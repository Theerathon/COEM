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revisions/userNames1.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Headers.xml" ContentType="application/vnd.openxmlformats-officedocument.spreadsheetml.revisionHeaders+xml"/>
  <Override PartName="/xl/revisions/revisionLog117.xml" ContentType="application/vnd.openxmlformats-officedocument.spreadsheetml.revisionLog+xml"/>
  <Override PartName="/xl/revisions/revisionLog299.xml" ContentType="application/vnd.openxmlformats-officedocument.spreadsheetml.revisionLog+xml"/>
  <Override PartName="/xl/revisions/revisionLog21.xml" ContentType="application/vnd.openxmlformats-officedocument.spreadsheetml.revisionLog+xml"/>
  <Override PartName="/xl/revisions/revisionLog63.xml" ContentType="application/vnd.openxmlformats-officedocument.spreadsheetml.revisionLog+xml"/>
  <Override PartName="/xl/revisions/revisionLog159.xml" ContentType="application/vnd.openxmlformats-officedocument.spreadsheetml.revisionLog+xml"/>
  <Override PartName="/xl/revisions/revisionLog324.xml" ContentType="application/vnd.openxmlformats-officedocument.spreadsheetml.revisionLog+xml"/>
  <Override PartName="/xl/revisions/revisionLog366.xml" ContentType="application/vnd.openxmlformats-officedocument.spreadsheetml.revisionLog+xml"/>
  <Override PartName="/xl/revisions/revisionLog531.xml" ContentType="application/vnd.openxmlformats-officedocument.spreadsheetml.revisionLog+xml"/>
  <Override PartName="/xl/revisions/revisionLog573.xml" ContentType="application/vnd.openxmlformats-officedocument.spreadsheetml.revisionLog+xml"/>
  <Override PartName="/xl/revisions/revisionLog170.xml" ContentType="application/vnd.openxmlformats-officedocument.spreadsheetml.revisionLog+xml"/>
  <Override PartName="/xl/revisions/revisionLog226.xml" ContentType="application/vnd.openxmlformats-officedocument.spreadsheetml.revisionLog+xml"/>
  <Override PartName="/xl/revisions/revisionLog433.xml" ContentType="application/vnd.openxmlformats-officedocument.spreadsheetml.revisionLog+xml"/>
  <Override PartName="/xl/revisions/revisionLog268.xml" ContentType="application/vnd.openxmlformats-officedocument.spreadsheetml.revisionLog+xml"/>
  <Override PartName="/xl/revisions/revisionLog475.xml" ContentType="application/vnd.openxmlformats-officedocument.spreadsheetml.revisionLog+xml"/>
  <Override PartName="/xl/revisions/revisionLog32.xml" ContentType="application/vnd.openxmlformats-officedocument.spreadsheetml.revisionLog+xml"/>
  <Override PartName="/xl/revisions/revisionLog74.xml" ContentType="application/vnd.openxmlformats-officedocument.spreadsheetml.revisionLog+xml"/>
  <Override PartName="/xl/revisions/revisionLog128.xml" ContentType="application/vnd.openxmlformats-officedocument.spreadsheetml.revisionLog+xml"/>
  <Override PartName="/xl/revisions/revisionLog335.xml" ContentType="application/vnd.openxmlformats-officedocument.spreadsheetml.revisionLog+xml"/>
  <Override PartName="/xl/revisions/revisionLog377.xml" ContentType="application/vnd.openxmlformats-officedocument.spreadsheetml.revisionLog+xml"/>
  <Override PartName="/xl/revisions/revisionLog500.xml" ContentType="application/vnd.openxmlformats-officedocument.spreadsheetml.revisionLog+xml"/>
  <Override PartName="/xl/revisions/revisionLog542.xml" ContentType="application/vnd.openxmlformats-officedocument.spreadsheetml.revisionLog+xml"/>
  <Override PartName="/xl/revisions/revisionLog584.xml" ContentType="application/vnd.openxmlformats-officedocument.spreadsheetml.revisionLog+xml"/>
  <Override PartName="/xl/revisions/revisionLog5.xml" ContentType="application/vnd.openxmlformats-officedocument.spreadsheetml.revisionLog+xml"/>
  <Override PartName="/xl/revisions/revisionLog181.xml" ContentType="application/vnd.openxmlformats-officedocument.spreadsheetml.revisionLog+xml"/>
  <Override PartName="/xl/revisions/revisionLog237.xml" ContentType="application/vnd.openxmlformats-officedocument.spreadsheetml.revisionLog+xml"/>
  <Override PartName="/xl/revisions/revisionLog402.xml" ContentType="application/vnd.openxmlformats-officedocument.spreadsheetml.revisionLog+xml"/>
  <Override PartName="/xl/revisions/revisionLog279.xml" ContentType="application/vnd.openxmlformats-officedocument.spreadsheetml.revisionLog+xml"/>
  <Override PartName="/xl/revisions/revisionLog444.xml" ContentType="application/vnd.openxmlformats-officedocument.spreadsheetml.revisionLog+xml"/>
  <Override PartName="/xl/revisions/revisionLog486.xml" ContentType="application/vnd.openxmlformats-officedocument.spreadsheetml.revisionLog+xml"/>
  <Override PartName="/xl/revisions/revisionLog43.xml" ContentType="application/vnd.openxmlformats-officedocument.spreadsheetml.revisionLog+xml"/>
  <Override PartName="/xl/revisions/revisionLog139.xml" ContentType="application/vnd.openxmlformats-officedocument.spreadsheetml.revisionLog+xml"/>
  <Override PartName="/xl/revisions/revisionLog290.xml" ContentType="application/vnd.openxmlformats-officedocument.spreadsheetml.revisionLog+xml"/>
  <Override PartName="/xl/revisions/revisionLog304.xml" ContentType="application/vnd.openxmlformats-officedocument.spreadsheetml.revisionLog+xml"/>
  <Override PartName="/xl/revisions/revisionLog346.xml" ContentType="application/vnd.openxmlformats-officedocument.spreadsheetml.revisionLog+xml"/>
  <Override PartName="/xl/revisions/revisionLog388.xml" ContentType="application/vnd.openxmlformats-officedocument.spreadsheetml.revisionLog+xml"/>
  <Override PartName="/xl/revisions/revisionLog511.xml" ContentType="application/vnd.openxmlformats-officedocument.spreadsheetml.revisionLog+xml"/>
  <Override PartName="/xl/revisions/revisionLog553.xml" ContentType="application/vnd.openxmlformats-officedocument.spreadsheetml.revisionLog+xml"/>
  <Override PartName="/xl/revisions/revisionLog85.xml" ContentType="application/vnd.openxmlformats-officedocument.spreadsheetml.revisionLog+xml"/>
  <Override PartName="/xl/revisions/revisionLog150.xml" ContentType="application/vnd.openxmlformats-officedocument.spreadsheetml.revisionLog+xml"/>
  <Override PartName="/xl/revisions/revisionLog192.xml" ContentType="application/vnd.openxmlformats-officedocument.spreadsheetml.revisionLog+xml"/>
  <Override PartName="/xl/revisions/revisionLog206.xml" ContentType="application/vnd.openxmlformats-officedocument.spreadsheetml.revisionLog+xml"/>
  <Override PartName="/xl/revisions/revisionLog413.xml" ContentType="application/vnd.openxmlformats-officedocument.spreadsheetml.revisionLog+xml"/>
  <Override PartName="/xl/revisions/revisionLog595.xml" ContentType="application/vnd.openxmlformats-officedocument.spreadsheetml.revisionLog+xml"/>
  <Override PartName="/xl/revisions/revisionLog248.xml" ContentType="application/vnd.openxmlformats-officedocument.spreadsheetml.revisionLog+xml"/>
  <Override PartName="/xl/revisions/revisionLog455.xml" ContentType="application/vnd.openxmlformats-officedocument.spreadsheetml.revisionLog+xml"/>
  <Override PartName="/xl/revisions/revisionLog497.xml" ContentType="application/vnd.openxmlformats-officedocument.spreadsheetml.revisionLog+xml"/>
  <Override PartName="/xl/revisions/revisionLog12.xml" ContentType="application/vnd.openxmlformats-officedocument.spreadsheetml.revisionLog+xml"/>
  <Override PartName="/xl/revisions/revisionLog108.xml" ContentType="application/vnd.openxmlformats-officedocument.spreadsheetml.revisionLog+xml"/>
  <Override PartName="/xl/revisions/revisionLog315.xml" ContentType="application/vnd.openxmlformats-officedocument.spreadsheetml.revisionLog+xml"/>
  <Override PartName="/xl/revisions/revisionLog357.xml" ContentType="application/vnd.openxmlformats-officedocument.spreadsheetml.revisionLog+xml"/>
  <Override PartName="/xl/revisions/revisionLog522.xml" ContentType="application/vnd.openxmlformats-officedocument.spreadsheetml.revisionLog+xml"/>
  <Override PartName="/xl/revisions/revisionLog54.xml" ContentType="application/vnd.openxmlformats-officedocument.spreadsheetml.revisionLog+xml"/>
  <Override PartName="/xl/revisions/revisionLog96.xml" ContentType="application/vnd.openxmlformats-officedocument.spreadsheetml.revisionLog+xml"/>
  <Override PartName="/xl/revisions/revisionLog161.xml" ContentType="application/vnd.openxmlformats-officedocument.spreadsheetml.revisionLog+xml"/>
  <Override PartName="/xl/revisions/revisionLog217.xml" ContentType="application/vnd.openxmlformats-officedocument.spreadsheetml.revisionLog+xml"/>
  <Override PartName="/xl/revisions/revisionLog399.xml" ContentType="application/vnd.openxmlformats-officedocument.spreadsheetml.revisionLog+xml"/>
  <Override PartName="/xl/revisions/revisionLog564.xml" ContentType="application/vnd.openxmlformats-officedocument.spreadsheetml.revisionLog+xml"/>
  <Override PartName="/xl/revisions/revisionLog259.xml" ContentType="application/vnd.openxmlformats-officedocument.spreadsheetml.revisionLog+xml"/>
  <Override PartName="/xl/revisions/revisionLog424.xml" ContentType="application/vnd.openxmlformats-officedocument.spreadsheetml.revisionLog+xml"/>
  <Override PartName="/xl/revisions/revisionLog466.xml" ContentType="application/vnd.openxmlformats-officedocument.spreadsheetml.revisionLog+xml"/>
  <Override PartName="/xl/revisions/revisionLog23.xml" ContentType="application/vnd.openxmlformats-officedocument.spreadsheetml.revisionLog+xml"/>
  <Override PartName="/xl/revisions/revisionLog119.xml" ContentType="application/vnd.openxmlformats-officedocument.spreadsheetml.revisionLog+xml"/>
  <Override PartName="/xl/revisions/revisionLog270.xml" ContentType="application/vnd.openxmlformats-officedocument.spreadsheetml.revisionLog+xml"/>
  <Override PartName="/xl/revisions/revisionLog326.xml" ContentType="application/vnd.openxmlformats-officedocument.spreadsheetml.revisionLog+xml"/>
  <Override PartName="/xl/revisions/revisionLog533.xml" ContentType="application/vnd.openxmlformats-officedocument.spreadsheetml.revisionLog+xml"/>
  <Override PartName="/xl/revisions/revisionLog65.xml" ContentType="application/vnd.openxmlformats-officedocument.spreadsheetml.revisionLog+xml"/>
  <Override PartName="/xl/revisions/revisionLog130.xml" ContentType="application/vnd.openxmlformats-officedocument.spreadsheetml.revisionLog+xml"/>
  <Override PartName="/xl/revisions/revisionLog368.xml" ContentType="application/vnd.openxmlformats-officedocument.spreadsheetml.revisionLog+xml"/>
  <Override PartName="/xl/revisions/revisionLog575.xml" ContentType="application/vnd.openxmlformats-officedocument.spreadsheetml.revisionLog+xml"/>
  <Override PartName="/xl/revisions/revisionLog172.xml" ContentType="application/vnd.openxmlformats-officedocument.spreadsheetml.revisionLog+xml"/>
  <Override PartName="/xl/revisions/revisionLog228.xml" ContentType="application/vnd.openxmlformats-officedocument.spreadsheetml.revisionLog+xml"/>
  <Override PartName="/xl/revisions/revisionLog435.xml" ContentType="application/vnd.openxmlformats-officedocument.spreadsheetml.revisionLog+xml"/>
  <Override PartName="/xl/revisions/revisionLog477.xml" ContentType="application/vnd.openxmlformats-officedocument.spreadsheetml.revisionLog+xml"/>
  <Override PartName="/xl/revisions/revisionLog281.xml" ContentType="application/vnd.openxmlformats-officedocument.spreadsheetml.revisionLog+xml"/>
  <Override PartName="/xl/revisions/revisionLog337.xml" ContentType="application/vnd.openxmlformats-officedocument.spreadsheetml.revisionLog+xml"/>
  <Override PartName="/xl/revisions/revisionLog502.xml" ContentType="application/vnd.openxmlformats-officedocument.spreadsheetml.revisionLog+xml"/>
  <Override PartName="/xl/revisions/revisionLog34.xml" ContentType="application/vnd.openxmlformats-officedocument.spreadsheetml.revisionLog+xml"/>
  <Override PartName="/xl/revisions/revisionLog76.xml" ContentType="application/vnd.openxmlformats-officedocument.spreadsheetml.revisionLog+xml"/>
  <Override PartName="/xl/revisions/revisionLog141.xml" ContentType="application/vnd.openxmlformats-officedocument.spreadsheetml.revisionLog+xml"/>
  <Override PartName="/xl/revisions/revisionLog379.xml" ContentType="application/vnd.openxmlformats-officedocument.spreadsheetml.revisionLog+xml"/>
  <Override PartName="/xl/revisions/revisionLog544.xml" ContentType="application/vnd.openxmlformats-officedocument.spreadsheetml.revisionLog+xml"/>
  <Override PartName="/xl/revisions/revisionLog586.xml" ContentType="application/vnd.openxmlformats-officedocument.spreadsheetml.revisionLog+xml"/>
  <Override PartName="/xl/revisions/revisionLog7.xml" ContentType="application/vnd.openxmlformats-officedocument.spreadsheetml.revisionLog+xml"/>
  <Override PartName="/xl/revisions/revisionLog183.xml" ContentType="application/vnd.openxmlformats-officedocument.spreadsheetml.revisionLog+xml"/>
  <Override PartName="/xl/revisions/revisionLog239.xml" ContentType="application/vnd.openxmlformats-officedocument.spreadsheetml.revisionLog+xml"/>
  <Override PartName="/xl/revisions/revisionLog390.xml" ContentType="application/vnd.openxmlformats-officedocument.spreadsheetml.revisionLog+xml"/>
  <Override PartName="/xl/revisions/revisionLog404.xml" ContentType="application/vnd.openxmlformats-officedocument.spreadsheetml.revisionLog+xml"/>
  <Override PartName="/xl/revisions/revisionLog446.xml" ContentType="application/vnd.openxmlformats-officedocument.spreadsheetml.revisionLog+xml"/>
  <Override PartName="/xl/revisions/revisionLog250.xml" ContentType="application/vnd.openxmlformats-officedocument.spreadsheetml.revisionLog+xml"/>
  <Override PartName="/xl/revisions/revisionLog292.xml" ContentType="application/vnd.openxmlformats-officedocument.spreadsheetml.revisionLog+xml"/>
  <Override PartName="/xl/revisions/revisionLog306.xml" ContentType="application/vnd.openxmlformats-officedocument.spreadsheetml.revisionLog+xml"/>
  <Override PartName="/xl/revisions/revisionLog488.xml" ContentType="application/vnd.openxmlformats-officedocument.spreadsheetml.revisionLog+xml"/>
  <Override PartName="/xl/revisions/revisionLog45.xml" ContentType="application/vnd.openxmlformats-officedocument.spreadsheetml.revisionLog+xml"/>
  <Override PartName="/xl/revisions/revisionLog87.xml" ContentType="application/vnd.openxmlformats-officedocument.spreadsheetml.revisionLog+xml"/>
  <Override PartName="/xl/revisions/revisionLog110.xml" ContentType="application/vnd.openxmlformats-officedocument.spreadsheetml.revisionLog+xml"/>
  <Override PartName="/xl/revisions/revisionLog348.xml" ContentType="application/vnd.openxmlformats-officedocument.spreadsheetml.revisionLog+xml"/>
  <Override PartName="/xl/revisions/revisionLog513.xml" ContentType="application/vnd.openxmlformats-officedocument.spreadsheetml.revisionLog+xml"/>
  <Override PartName="/xl/revisions/revisionLog555.xml" ContentType="application/vnd.openxmlformats-officedocument.spreadsheetml.revisionLog+xml"/>
  <Override PartName="/xl/revisions/revisionLog597.xml" ContentType="application/vnd.openxmlformats-officedocument.spreadsheetml.revisionLog+xml"/>
  <Override PartName="/xl/revisions/revisionLog152.xml" ContentType="application/vnd.openxmlformats-officedocument.spreadsheetml.revisionLog+xml"/>
  <Override PartName="/xl/revisions/revisionLog194.xml" ContentType="application/vnd.openxmlformats-officedocument.spreadsheetml.revisionLog+xml"/>
  <Override PartName="/xl/revisions/revisionLog208.xml" ContentType="application/vnd.openxmlformats-officedocument.spreadsheetml.revisionLog+xml"/>
  <Override PartName="/xl/revisions/revisionLog415.xml" ContentType="application/vnd.openxmlformats-officedocument.spreadsheetml.revisionLog+xml"/>
  <Override PartName="/xl/revisions/revisionLog457.xml" ContentType="application/vnd.openxmlformats-officedocument.spreadsheetml.revisionLog+xml"/>
  <Override PartName="/xl/revisions/revisionLog261.xml" ContentType="application/vnd.openxmlformats-officedocument.spreadsheetml.revisionLog+xml"/>
  <Override PartName="/xl/revisions/revisionLog499.xml" ContentType="application/vnd.openxmlformats-officedocument.spreadsheetml.revisionLog+xml"/>
  <Override PartName="/xl/revisions/revisionLog14.xml" ContentType="application/vnd.openxmlformats-officedocument.spreadsheetml.revisionLog+xml"/>
  <Override PartName="/xl/revisions/revisionLog56.xml" ContentType="application/vnd.openxmlformats-officedocument.spreadsheetml.revisionLog+xml"/>
  <Override PartName="/xl/revisions/revisionLog317.xml" ContentType="application/vnd.openxmlformats-officedocument.spreadsheetml.revisionLog+xml"/>
  <Override PartName="/xl/revisions/revisionLog359.xml" ContentType="application/vnd.openxmlformats-officedocument.spreadsheetml.revisionLog+xml"/>
  <Override PartName="/xl/revisions/revisionLog524.xml" ContentType="application/vnd.openxmlformats-officedocument.spreadsheetml.revisionLog+xml"/>
  <Override PartName="/xl/revisions/revisionLog566.xml" ContentType="application/vnd.openxmlformats-officedocument.spreadsheetml.revisionLog+xml"/>
  <Override PartName="/xl/revisions/revisionLog98.xml" ContentType="application/vnd.openxmlformats-officedocument.spreadsheetml.revisionLog+xml"/>
  <Override PartName="/xl/revisions/revisionLog121.xml" ContentType="application/vnd.openxmlformats-officedocument.spreadsheetml.revisionLog+xml"/>
  <Override PartName="/xl/revisions/revisionLog163.xml" ContentType="application/vnd.openxmlformats-officedocument.spreadsheetml.revisionLog+xml"/>
  <Override PartName="/xl/revisions/revisionLog219.xml" ContentType="application/vnd.openxmlformats-officedocument.spreadsheetml.revisionLog+xml"/>
  <Override PartName="/xl/revisions/revisionLog370.xml" ContentType="application/vnd.openxmlformats-officedocument.spreadsheetml.revisionLog+xml"/>
  <Override PartName="/xl/revisions/revisionLog426.xml" ContentType="application/vnd.openxmlformats-officedocument.spreadsheetml.revisionLog+xml"/>
  <Override PartName="/xl/revisions/revisionLog230.xml" ContentType="application/vnd.openxmlformats-officedocument.spreadsheetml.revisionLog+xml"/>
  <Override PartName="/xl/revisions/revisionLog468.xml" ContentType="application/vnd.openxmlformats-officedocument.spreadsheetml.revisionLog+xml"/>
  <Override PartName="/xl/revisions/revisionLog25.xml" ContentType="application/vnd.openxmlformats-officedocument.spreadsheetml.revisionLog+xml"/>
  <Override PartName="/xl/revisions/revisionLog67.xml" ContentType="application/vnd.openxmlformats-officedocument.spreadsheetml.revisionLog+xml"/>
  <Override PartName="/xl/revisions/revisionLog272.xml" ContentType="application/vnd.openxmlformats-officedocument.spreadsheetml.revisionLog+xml"/>
  <Override PartName="/xl/revisions/revisionLog328.xml" ContentType="application/vnd.openxmlformats-officedocument.spreadsheetml.revisionLog+xml"/>
  <Override PartName="/xl/revisions/revisionLog535.xml" ContentType="application/vnd.openxmlformats-officedocument.spreadsheetml.revisionLog+xml"/>
  <Override PartName="/xl/revisions/revisionLog577.xml" ContentType="application/vnd.openxmlformats-officedocument.spreadsheetml.revisionLog+xml"/>
  <Override PartName="/xl/revisions/revisionLog132.xml" ContentType="application/vnd.openxmlformats-officedocument.spreadsheetml.revisionLog+xml"/>
  <Override PartName="/xl/revisions/revisionLog174.xml" ContentType="application/vnd.openxmlformats-officedocument.spreadsheetml.revisionLog+xml"/>
  <Override PartName="/xl/revisions/revisionLog381.xml" ContentType="application/vnd.openxmlformats-officedocument.spreadsheetml.revisionLog+xml"/>
  <Override PartName="/xl/revisions/revisionLog241.xml" ContentType="application/vnd.openxmlformats-officedocument.spreadsheetml.revisionLog+xml"/>
  <Override PartName="/xl/revisions/revisionLog437.xml" ContentType="application/vnd.openxmlformats-officedocument.spreadsheetml.revisionLog+xml"/>
  <Override PartName="/xl/revisions/revisionLog479.xml" ContentType="application/vnd.openxmlformats-officedocument.spreadsheetml.revisionLog+xml"/>
  <Override PartName="/xl/revisions/revisionLog36.xml" ContentType="application/vnd.openxmlformats-officedocument.spreadsheetml.revisionLog+xml"/>
  <Override PartName="/xl/revisions/revisionLog283.xml" ContentType="application/vnd.openxmlformats-officedocument.spreadsheetml.revisionLog+xml"/>
  <Override PartName="/xl/revisions/revisionLog339.xml" ContentType="application/vnd.openxmlformats-officedocument.spreadsheetml.revisionLog+xml"/>
  <Override PartName="/xl/revisions/revisionLog490.xml" ContentType="application/vnd.openxmlformats-officedocument.spreadsheetml.revisionLog+xml"/>
  <Override PartName="/xl/revisions/revisionLog504.xml" ContentType="application/vnd.openxmlformats-officedocument.spreadsheetml.revisionLog+xml"/>
  <Override PartName="/xl/revisions/revisionLog546.xml" ContentType="application/vnd.openxmlformats-officedocument.spreadsheetml.revisionLog+xml"/>
  <Override PartName="/xl/revisions/revisionLog78.xml" ContentType="application/vnd.openxmlformats-officedocument.spreadsheetml.revisionLog+xml"/>
  <Override PartName="/xl/revisions/revisionLog101.xml" ContentType="application/vnd.openxmlformats-officedocument.spreadsheetml.revisionLog+xml"/>
  <Override PartName="/xl/revisions/revisionLog143.xml" ContentType="application/vnd.openxmlformats-officedocument.spreadsheetml.revisionLog+xml"/>
  <Override PartName="/xl/revisions/revisionLog185.xml" ContentType="application/vnd.openxmlformats-officedocument.spreadsheetml.revisionLog+xml"/>
  <Override PartName="/xl/revisions/revisionLog350.xml" ContentType="application/vnd.openxmlformats-officedocument.spreadsheetml.revisionLog+xml"/>
  <Override PartName="/xl/revisions/revisionLog406.xml" ContentType="application/vnd.openxmlformats-officedocument.spreadsheetml.revisionLog+xml"/>
  <Override PartName="/xl/revisions/revisionLog588.xml" ContentType="application/vnd.openxmlformats-officedocument.spreadsheetml.revisionLog+xml"/>
  <Override PartName="/xl/revisions/revisionLog9.xml" ContentType="application/vnd.openxmlformats-officedocument.spreadsheetml.revisionLog+xml"/>
  <Override PartName="/xl/revisions/revisionLog210.xml" ContentType="application/vnd.openxmlformats-officedocument.spreadsheetml.revisionLog+xml"/>
  <Override PartName="/xl/revisions/revisionLog392.xml" ContentType="application/vnd.openxmlformats-officedocument.spreadsheetml.revisionLog+xml"/>
  <Override PartName="/xl/revisions/revisionLog448.xml" ContentType="application/vnd.openxmlformats-officedocument.spreadsheetml.revisionLog+xml"/>
  <Override PartName="/xl/revisions/revisionLog252.xml" ContentType="application/vnd.openxmlformats-officedocument.spreadsheetml.revisionLog+xml"/>
  <Override PartName="/xl/revisions/revisionLog294.xml" ContentType="application/vnd.openxmlformats-officedocument.spreadsheetml.revisionLog+xml"/>
  <Override PartName="/xl/revisions/revisionLog308.xml" ContentType="application/vnd.openxmlformats-officedocument.spreadsheetml.revisionLog+xml"/>
  <Override PartName="/xl/revisions/revisionLog515.xml" ContentType="application/vnd.openxmlformats-officedocument.spreadsheetml.revisionLog+xml"/>
  <Override PartName="/xl/revisions/revisionLog47.xml" ContentType="application/vnd.openxmlformats-officedocument.spreadsheetml.revisionLog+xml"/>
  <Override PartName="/xl/revisions/revisionLog89.xml" ContentType="application/vnd.openxmlformats-officedocument.spreadsheetml.revisionLog+xml"/>
  <Override PartName="/xl/revisions/revisionLog112.xml" ContentType="application/vnd.openxmlformats-officedocument.spreadsheetml.revisionLog+xml"/>
  <Override PartName="/xl/revisions/revisionLog154.xml" ContentType="application/vnd.openxmlformats-officedocument.spreadsheetml.revisionLog+xml"/>
  <Override PartName="/xl/revisions/revisionLog361.xml" ContentType="application/vnd.openxmlformats-officedocument.spreadsheetml.revisionLog+xml"/>
  <Override PartName="/xl/revisions/revisionLog557.xml" ContentType="application/vnd.openxmlformats-officedocument.spreadsheetml.revisionLog+xml"/>
  <Override PartName="/xl/revisions/revisionLog196.xml" ContentType="application/vnd.openxmlformats-officedocument.spreadsheetml.revisionLog+xml"/>
  <Override PartName="/xl/revisions/revisionLog417.xml" ContentType="application/vnd.openxmlformats-officedocument.spreadsheetml.revisionLog+xml"/>
  <Override PartName="/xl/revisions/revisionLog459.xml" ContentType="application/vnd.openxmlformats-officedocument.spreadsheetml.revisionLog+xml"/>
  <Override PartName="/xl/revisions/revisionLog16.xml" ContentType="application/vnd.openxmlformats-officedocument.spreadsheetml.revisionLog+xml"/>
  <Override PartName="/xl/revisions/revisionLog221.xml" ContentType="application/vnd.openxmlformats-officedocument.spreadsheetml.revisionLog+xml"/>
  <Override PartName="/xl/revisions/revisionLog263.xml" ContentType="application/vnd.openxmlformats-officedocument.spreadsheetml.revisionLog+xml"/>
  <Override PartName="/xl/revisions/revisionLog319.xml" ContentType="application/vnd.openxmlformats-officedocument.spreadsheetml.revisionLog+xml"/>
  <Override PartName="/xl/revisions/revisionLog470.xml" ContentType="application/vnd.openxmlformats-officedocument.spreadsheetml.revisionLog+xml"/>
  <Override PartName="/xl/revisions/revisionLog526.xml" ContentType="application/vnd.openxmlformats-officedocument.spreadsheetml.revisionLog+xml"/>
  <Override PartName="/xl/revisions/revisionLog37.xml" ContentType="application/vnd.openxmlformats-officedocument.spreadsheetml.revisionLog+xml"/>
  <Override PartName="/xl/revisions/revisionLog58.xml" ContentType="application/vnd.openxmlformats-officedocument.spreadsheetml.revisionLog+xml"/>
  <Override PartName="/xl/revisions/revisionLog79.xml" ContentType="application/vnd.openxmlformats-officedocument.spreadsheetml.revisionLog+xml"/>
  <Override PartName="/xl/revisions/revisionLog102.xml" ContentType="application/vnd.openxmlformats-officedocument.spreadsheetml.revisionLog+xml"/>
  <Override PartName="/xl/revisions/revisionLog123.xml" ContentType="application/vnd.openxmlformats-officedocument.spreadsheetml.revisionLog+xml"/>
  <Override PartName="/xl/revisions/revisionLog144.xml" ContentType="application/vnd.openxmlformats-officedocument.spreadsheetml.revisionLog+xml"/>
  <Override PartName="/xl/revisions/revisionLog330.xml" ContentType="application/vnd.openxmlformats-officedocument.spreadsheetml.revisionLog+xml"/>
  <Override PartName="/xl/revisions/revisionLog547.xml" ContentType="application/vnd.openxmlformats-officedocument.spreadsheetml.revisionLog+xml"/>
  <Override PartName="/xl/revisions/revisionLog568.xml" ContentType="application/vnd.openxmlformats-officedocument.spreadsheetml.revisionLog+xml"/>
  <Override PartName="/xl/revisions/revisionLog589.xml" ContentType="application/vnd.openxmlformats-officedocument.spreadsheetml.revisionLog+xml"/>
  <Override PartName="/xl/revisions/revisionLog90.xml" ContentType="application/vnd.openxmlformats-officedocument.spreadsheetml.revisionLog+xml"/>
  <Override PartName="/xl/revisions/revisionLog165.xml" ContentType="application/vnd.openxmlformats-officedocument.spreadsheetml.revisionLog+xml"/>
  <Override PartName="/xl/revisions/revisionLog186.xml" ContentType="application/vnd.openxmlformats-officedocument.spreadsheetml.revisionLog+xml"/>
  <Override PartName="/xl/revisions/revisionLog351.xml" ContentType="application/vnd.openxmlformats-officedocument.spreadsheetml.revisionLog+xml"/>
  <Override PartName="/xl/revisions/revisionLog372.xml" ContentType="application/vnd.openxmlformats-officedocument.spreadsheetml.revisionLog+xml"/>
  <Override PartName="/xl/revisions/revisionLog393.xml" ContentType="application/vnd.openxmlformats-officedocument.spreadsheetml.revisionLog+xml"/>
  <Override PartName="/xl/revisions/revisionLog407.xml" ContentType="application/vnd.openxmlformats-officedocument.spreadsheetml.revisionLog+xml"/>
  <Override PartName="/xl/revisions/revisionLog428.xml" ContentType="application/vnd.openxmlformats-officedocument.spreadsheetml.revisionLog+xml"/>
  <Override PartName="/xl/revisions/revisionLog449.xml" ContentType="application/vnd.openxmlformats-officedocument.spreadsheetml.revisionLog+xml"/>
  <Override PartName="/xl/revisions/revisionLog211.xml" ContentType="application/vnd.openxmlformats-officedocument.spreadsheetml.revisionLog+xml"/>
  <Override PartName="/xl/revisions/revisionLog232.xml" ContentType="application/vnd.openxmlformats-officedocument.spreadsheetml.revisionLog+xml"/>
  <Override PartName="/xl/revisions/revisionLog253.xml" ContentType="application/vnd.openxmlformats-officedocument.spreadsheetml.revisionLog+xml"/>
  <Override PartName="/xl/revisions/revisionLog274.xml" ContentType="application/vnd.openxmlformats-officedocument.spreadsheetml.revisionLog+xml"/>
  <Override PartName="/xl/revisions/revisionLog295.xml" ContentType="application/vnd.openxmlformats-officedocument.spreadsheetml.revisionLog+xml"/>
  <Override PartName="/xl/revisions/revisionLog309.xml" ContentType="application/vnd.openxmlformats-officedocument.spreadsheetml.revisionLog+xml"/>
  <Override PartName="/xl/revisions/revisionLog460.xml" ContentType="application/vnd.openxmlformats-officedocument.spreadsheetml.revisionLog+xml"/>
  <Override PartName="/xl/revisions/revisionLog481.xml" ContentType="application/vnd.openxmlformats-officedocument.spreadsheetml.revisionLog+xml"/>
  <Override PartName="/xl/revisions/revisionLog516.xml" ContentType="application/vnd.openxmlformats-officedocument.spreadsheetml.revisionLog+xml"/>
  <Override PartName="/xl/revisions/revisionLog27.xml" ContentType="application/vnd.openxmlformats-officedocument.spreadsheetml.revisionLog+xml"/>
  <Override PartName="/xl/revisions/revisionLog48.xml" ContentType="application/vnd.openxmlformats-officedocument.spreadsheetml.revisionLog+xml"/>
  <Override PartName="/xl/revisions/revisionLog69.xml" ContentType="application/vnd.openxmlformats-officedocument.spreadsheetml.revisionLog+xml"/>
  <Override PartName="/xl/revisions/revisionLog113.xml" ContentType="application/vnd.openxmlformats-officedocument.spreadsheetml.revisionLog+xml"/>
  <Override PartName="/xl/revisions/revisionLog134.xml" ContentType="application/vnd.openxmlformats-officedocument.spreadsheetml.revisionLog+xml"/>
  <Override PartName="/xl/revisions/revisionLog320.xml" ContentType="application/vnd.openxmlformats-officedocument.spreadsheetml.revisionLog+xml"/>
  <Override PartName="/xl/revisions/revisionLog537.xml" ContentType="application/vnd.openxmlformats-officedocument.spreadsheetml.revisionLog+xml"/>
  <Override PartName="/xl/revisions/revisionLog558.xml" ContentType="application/vnd.openxmlformats-officedocument.spreadsheetml.revisionLog+xml"/>
  <Override PartName="/xl/revisions/revisionLog579.xml" ContentType="application/vnd.openxmlformats-officedocument.spreadsheetml.revisionLog+xml"/>
  <Override PartName="/xl/revisions/revisionLog80.xml" ContentType="application/vnd.openxmlformats-officedocument.spreadsheetml.revisionLog+xml"/>
  <Override PartName="/xl/revisions/revisionLog155.xml" ContentType="application/vnd.openxmlformats-officedocument.spreadsheetml.revisionLog+xml"/>
  <Override PartName="/xl/revisions/revisionLog176.xml" ContentType="application/vnd.openxmlformats-officedocument.spreadsheetml.revisionLog+xml"/>
  <Override PartName="/xl/revisions/revisionLog197.xml" ContentType="application/vnd.openxmlformats-officedocument.spreadsheetml.revisionLog+xml"/>
  <Override PartName="/xl/revisions/revisionLog341.xml" ContentType="application/vnd.openxmlformats-officedocument.spreadsheetml.revisionLog+xml"/>
  <Override PartName="/xl/revisions/revisionLog362.xml" ContentType="application/vnd.openxmlformats-officedocument.spreadsheetml.revisionLog+xml"/>
  <Override PartName="/xl/revisions/revisionLog383.xml" ContentType="application/vnd.openxmlformats-officedocument.spreadsheetml.revisionLog+xml"/>
  <Override PartName="/xl/revisions/revisionLog418.xml" ContentType="application/vnd.openxmlformats-officedocument.spreadsheetml.revisionLog+xml"/>
  <Override PartName="/xl/revisions/revisionLog439.xml" ContentType="application/vnd.openxmlformats-officedocument.spreadsheetml.revisionLog+xml"/>
  <Override PartName="/xl/revisions/revisionLog590.xml" ContentType="application/vnd.openxmlformats-officedocument.spreadsheetml.revisionLog+xml"/>
  <Override PartName="/xl/revisions/revisionLog201.xml" ContentType="application/vnd.openxmlformats-officedocument.spreadsheetml.revisionLog+xml"/>
  <Override PartName="/xl/revisions/revisionLog222.xml" ContentType="application/vnd.openxmlformats-officedocument.spreadsheetml.revisionLog+xml"/>
  <Override PartName="/xl/revisions/revisionLog243.xml" ContentType="application/vnd.openxmlformats-officedocument.spreadsheetml.revisionLog+xml"/>
  <Override PartName="/xl/revisions/revisionLog264.xml" ContentType="application/vnd.openxmlformats-officedocument.spreadsheetml.revisionLog+xml"/>
  <Override PartName="/xl/revisions/revisionLog285.xml" ContentType="application/vnd.openxmlformats-officedocument.spreadsheetml.revisionLog+xml"/>
  <Override PartName="/xl/revisions/revisionLog450.xml" ContentType="application/vnd.openxmlformats-officedocument.spreadsheetml.revisionLog+xml"/>
  <Override PartName="/xl/revisions/revisionLog471.xml" ContentType="application/vnd.openxmlformats-officedocument.spreadsheetml.revisionLog+xml"/>
  <Override PartName="/xl/revisions/revisionLog506.xml" ContentType="application/vnd.openxmlformats-officedocument.spreadsheetml.revisionLog+xml"/>
  <Override PartName="/xl/revisions/revisionLog17.xml" ContentType="application/vnd.openxmlformats-officedocument.spreadsheetml.revisionLog+xml"/>
  <Override PartName="/xl/revisions/revisionLog38.xml" ContentType="application/vnd.openxmlformats-officedocument.spreadsheetml.revisionLog+xml"/>
  <Override PartName="/xl/revisions/revisionLog59.xml" ContentType="application/vnd.openxmlformats-officedocument.spreadsheetml.revisionLog+xml"/>
  <Override PartName="/xl/revisions/revisionLog103.xml" ContentType="application/vnd.openxmlformats-officedocument.spreadsheetml.revisionLog+xml"/>
  <Override PartName="/xl/revisions/revisionLog124.xml" ContentType="application/vnd.openxmlformats-officedocument.spreadsheetml.revisionLog+xml"/>
  <Override PartName="/xl/revisions/revisionLog310.xml" ContentType="application/vnd.openxmlformats-officedocument.spreadsheetml.revisionLog+xml"/>
  <Override PartName="/xl/revisions/revisionLog492.xml" ContentType="application/vnd.openxmlformats-officedocument.spreadsheetml.revisionLog+xml"/>
  <Override PartName="/xl/revisions/revisionLog527.xml" ContentType="application/vnd.openxmlformats-officedocument.spreadsheetml.revisionLog+xml"/>
  <Override PartName="/xl/revisions/revisionLog548.xml" ContentType="application/vnd.openxmlformats-officedocument.spreadsheetml.revisionLog+xml"/>
  <Override PartName="/xl/revisions/revisionLog569.xml" ContentType="application/vnd.openxmlformats-officedocument.spreadsheetml.revisionLog+xml"/>
  <Override PartName="/xl/revisions/revisionLog70.xml" ContentType="application/vnd.openxmlformats-officedocument.spreadsheetml.revisionLog+xml"/>
  <Override PartName="/xl/revisions/revisionLog91.xml" ContentType="application/vnd.openxmlformats-officedocument.spreadsheetml.revisionLog+xml"/>
  <Override PartName="/xl/revisions/revisionLog145.xml" ContentType="application/vnd.openxmlformats-officedocument.spreadsheetml.revisionLog+xml"/>
  <Override PartName="/xl/revisions/revisionLog166.xml" ContentType="application/vnd.openxmlformats-officedocument.spreadsheetml.revisionLog+xml"/>
  <Override PartName="/xl/revisions/revisionLog187.xml" ContentType="application/vnd.openxmlformats-officedocument.spreadsheetml.revisionLog+xml"/>
  <Override PartName="/xl/revisions/revisionLog331.xml" ContentType="application/vnd.openxmlformats-officedocument.spreadsheetml.revisionLog+xml"/>
  <Override PartName="/xl/revisions/revisionLog352.xml" ContentType="application/vnd.openxmlformats-officedocument.spreadsheetml.revisionLog+xml"/>
  <Override PartName="/xl/revisions/revisionLog373.xml" ContentType="application/vnd.openxmlformats-officedocument.spreadsheetml.revisionLog+xml"/>
  <Override PartName="/xl/revisions/revisionLog394.xml" ContentType="application/vnd.openxmlformats-officedocument.spreadsheetml.revisionLog+xml"/>
  <Override PartName="/xl/revisions/revisionLog408.xml" ContentType="application/vnd.openxmlformats-officedocument.spreadsheetml.revisionLog+xml"/>
  <Override PartName="/xl/revisions/revisionLog429.xml" ContentType="application/vnd.openxmlformats-officedocument.spreadsheetml.revisionLog+xml"/>
  <Override PartName="/xl/revisions/revisionLog580.xml" ContentType="application/vnd.openxmlformats-officedocument.spreadsheetml.revisionLog+xml"/>
  <Override PartName="/xl/revisions/revisionLog1.xml" ContentType="application/vnd.openxmlformats-officedocument.spreadsheetml.revisionLog+xml"/>
  <Override PartName="/xl/revisions/revisionLog212.xml" ContentType="application/vnd.openxmlformats-officedocument.spreadsheetml.revisionLog+xml"/>
  <Override PartName="/xl/revisions/revisionLog233.xml" ContentType="application/vnd.openxmlformats-officedocument.spreadsheetml.revisionLog+xml"/>
  <Override PartName="/xl/revisions/revisionLog254.xml" ContentType="application/vnd.openxmlformats-officedocument.spreadsheetml.revisionLog+xml"/>
  <Override PartName="/xl/revisions/revisionLog440.xml" ContentType="application/vnd.openxmlformats-officedocument.spreadsheetml.revisionLog+xml"/>
  <Override PartName="/xl/revisions/revisionLog28.xml" ContentType="application/vnd.openxmlformats-officedocument.spreadsheetml.revisionLog+xml"/>
  <Override PartName="/xl/revisions/revisionLog49.xml" ContentType="application/vnd.openxmlformats-officedocument.spreadsheetml.revisionLog+xml"/>
  <Override PartName="/xl/revisions/revisionLog114.xml" ContentType="application/vnd.openxmlformats-officedocument.spreadsheetml.revisionLog+xml"/>
  <Override PartName="/xl/revisions/revisionLog275.xml" ContentType="application/vnd.openxmlformats-officedocument.spreadsheetml.revisionLog+xml"/>
  <Override PartName="/xl/revisions/revisionLog296.xml" ContentType="application/vnd.openxmlformats-officedocument.spreadsheetml.revisionLog+xml"/>
  <Override PartName="/xl/revisions/revisionLog300.xml" ContentType="application/vnd.openxmlformats-officedocument.spreadsheetml.revisionLog+xml"/>
  <Override PartName="/xl/revisions/revisionLog461.xml" ContentType="application/vnd.openxmlformats-officedocument.spreadsheetml.revisionLog+xml"/>
  <Override PartName="/xl/revisions/revisionLog482.xml" ContentType="application/vnd.openxmlformats-officedocument.spreadsheetml.revisionLog+xml"/>
  <Override PartName="/xl/revisions/revisionLog517.xml" ContentType="application/vnd.openxmlformats-officedocument.spreadsheetml.revisionLog+xml"/>
  <Override PartName="/xl/revisions/revisionLog538.xml" ContentType="application/vnd.openxmlformats-officedocument.spreadsheetml.revisionLog+xml"/>
  <Override PartName="/xl/revisions/revisionLog559.xml" ContentType="application/vnd.openxmlformats-officedocument.spreadsheetml.revisionLog+xml"/>
  <Override PartName="/xl/revisions/revisionLog60.xml" ContentType="application/vnd.openxmlformats-officedocument.spreadsheetml.revisionLog+xml"/>
  <Override PartName="/xl/revisions/revisionLog81.xml" ContentType="application/vnd.openxmlformats-officedocument.spreadsheetml.revisionLog+xml"/>
  <Override PartName="/xl/revisions/revisionLog135.xml" ContentType="application/vnd.openxmlformats-officedocument.spreadsheetml.revisionLog+xml"/>
  <Override PartName="/xl/revisions/revisionLog156.xml" ContentType="application/vnd.openxmlformats-officedocument.spreadsheetml.revisionLog+xml"/>
  <Override PartName="/xl/revisions/revisionLog177.xml" ContentType="application/vnd.openxmlformats-officedocument.spreadsheetml.revisionLog+xml"/>
  <Override PartName="/xl/revisions/revisionLog198.xml" ContentType="application/vnd.openxmlformats-officedocument.spreadsheetml.revisionLog+xml"/>
  <Override PartName="/xl/revisions/revisionLog321.xml" ContentType="application/vnd.openxmlformats-officedocument.spreadsheetml.revisionLog+xml"/>
  <Override PartName="/xl/revisions/revisionLog342.xml" ContentType="application/vnd.openxmlformats-officedocument.spreadsheetml.revisionLog+xml"/>
  <Override PartName="/xl/revisions/revisionLog363.xml" ContentType="application/vnd.openxmlformats-officedocument.spreadsheetml.revisionLog+xml"/>
  <Override PartName="/xl/revisions/revisionLog384.xml" ContentType="application/vnd.openxmlformats-officedocument.spreadsheetml.revisionLog+xml"/>
  <Override PartName="/xl/revisions/revisionLog419.xml" ContentType="application/vnd.openxmlformats-officedocument.spreadsheetml.revisionLog+xml"/>
  <Override PartName="/xl/revisions/revisionLog570.xml" ContentType="application/vnd.openxmlformats-officedocument.spreadsheetml.revisionLog+xml"/>
  <Override PartName="/xl/revisions/revisionLog591.xml" ContentType="application/vnd.openxmlformats-officedocument.spreadsheetml.revisionLog+xml"/>
  <Override PartName="/xl/revisions/revisionLog202.xml" ContentType="application/vnd.openxmlformats-officedocument.spreadsheetml.revisionLog+xml"/>
  <Override PartName="/xl/revisions/revisionLog223.xml" ContentType="application/vnd.openxmlformats-officedocument.spreadsheetml.revisionLog+xml"/>
  <Override PartName="/xl/revisions/revisionLog244.xml" ContentType="application/vnd.openxmlformats-officedocument.spreadsheetml.revisionLog+xml"/>
  <Override PartName="/xl/revisions/revisionLog430.xml" ContentType="application/vnd.openxmlformats-officedocument.spreadsheetml.revisionLog+xml"/>
  <Override PartName="/xl/revisions/revisionLog18.xml" ContentType="application/vnd.openxmlformats-officedocument.spreadsheetml.revisionLog+xml"/>
  <Override PartName="/xl/revisions/revisionLog39.xml" ContentType="application/vnd.openxmlformats-officedocument.spreadsheetml.revisionLog+xml"/>
  <Override PartName="/xl/revisions/revisionLog265.xml" ContentType="application/vnd.openxmlformats-officedocument.spreadsheetml.revisionLog+xml"/>
  <Override PartName="/xl/revisions/revisionLog286.xml" ContentType="application/vnd.openxmlformats-officedocument.spreadsheetml.revisionLog+xml"/>
  <Override PartName="/xl/revisions/revisionLog451.xml" ContentType="application/vnd.openxmlformats-officedocument.spreadsheetml.revisionLog+xml"/>
  <Override PartName="/xl/revisions/revisionLog472.xml" ContentType="application/vnd.openxmlformats-officedocument.spreadsheetml.revisionLog+xml"/>
  <Override PartName="/xl/revisions/revisionLog493.xml" ContentType="application/vnd.openxmlformats-officedocument.spreadsheetml.revisionLog+xml"/>
  <Override PartName="/xl/revisions/revisionLog507.xml" ContentType="application/vnd.openxmlformats-officedocument.spreadsheetml.revisionLog+xml"/>
  <Override PartName="/xl/revisions/revisionLog528.xml" ContentType="application/vnd.openxmlformats-officedocument.spreadsheetml.revisionLog+xml"/>
  <Override PartName="/xl/revisions/revisionLog549.xml" ContentType="application/vnd.openxmlformats-officedocument.spreadsheetml.revisionLog+xml"/>
  <Override PartName="/xl/revisions/revisionLog50.xml" ContentType="application/vnd.openxmlformats-officedocument.spreadsheetml.revisionLog+xml"/>
  <Override PartName="/xl/revisions/revisionLog104.xml" ContentType="application/vnd.openxmlformats-officedocument.spreadsheetml.revisionLog+xml"/>
  <Override PartName="/xl/revisions/revisionLog125.xml" ContentType="application/vnd.openxmlformats-officedocument.spreadsheetml.revisionLog+xml"/>
  <Override PartName="/xl/revisions/revisionLog146.xml" ContentType="application/vnd.openxmlformats-officedocument.spreadsheetml.revisionLog+xml"/>
  <Override PartName="/xl/revisions/revisionLog167.xml" ContentType="application/vnd.openxmlformats-officedocument.spreadsheetml.revisionLog+xml"/>
  <Override PartName="/xl/revisions/revisionLog188.xml" ContentType="application/vnd.openxmlformats-officedocument.spreadsheetml.revisionLog+xml"/>
  <Override PartName="/xl/revisions/revisionLog311.xml" ContentType="application/vnd.openxmlformats-officedocument.spreadsheetml.revisionLog+xml"/>
  <Override PartName="/xl/revisions/revisionLog332.xml" ContentType="application/vnd.openxmlformats-officedocument.spreadsheetml.revisionLog+xml"/>
  <Override PartName="/xl/revisions/revisionLog353.xml" ContentType="application/vnd.openxmlformats-officedocument.spreadsheetml.revisionLog+xml"/>
  <Override PartName="/xl/revisions/revisionLog374.xml" ContentType="application/vnd.openxmlformats-officedocument.spreadsheetml.revisionLog+xml"/>
  <Override PartName="/xl/revisions/revisionLog395.xml" ContentType="application/vnd.openxmlformats-officedocument.spreadsheetml.revisionLog+xml"/>
  <Override PartName="/xl/revisions/revisionLog409.xml" ContentType="application/vnd.openxmlformats-officedocument.spreadsheetml.revisionLog+xml"/>
  <Override PartName="/xl/revisions/revisionLog560.xml" ContentType="application/vnd.openxmlformats-officedocument.spreadsheetml.revisionLog+xml"/>
  <Override PartName="/xl/revisions/revisionLog581.xml" ContentType="application/vnd.openxmlformats-officedocument.spreadsheetml.revisionLog+xml"/>
  <Override PartName="/xl/revisions/revisionLog71.xml" ContentType="application/vnd.openxmlformats-officedocument.spreadsheetml.revisionLog+xml"/>
  <Override PartName="/xl/revisions/revisionLog92.xml" ContentType="application/vnd.openxmlformats-officedocument.spreadsheetml.revisionLog+xml"/>
  <Override PartName="/xl/revisions/revisionLog213.xml" ContentType="application/vnd.openxmlformats-officedocument.spreadsheetml.revisionLog+xml"/>
  <Override PartName="/xl/revisions/revisionLog234.xml" ContentType="application/vnd.openxmlformats-officedocument.spreadsheetml.revisionLog+xml"/>
  <Override PartName="/xl/revisions/revisionLog420.xml" ContentType="application/vnd.openxmlformats-officedocument.spreadsheetml.revisionLog+xml"/>
  <Override PartName="/xl/revisions/revisionLog2.xml" ContentType="application/vnd.openxmlformats-officedocument.spreadsheetml.revisionLog+xml"/>
  <Override PartName="/xl/revisions/revisionLog29.xml" ContentType="application/vnd.openxmlformats-officedocument.spreadsheetml.revisionLog+xml"/>
  <Override PartName="/xl/revisions/revisionLog255.xml" ContentType="application/vnd.openxmlformats-officedocument.spreadsheetml.revisionLog+xml"/>
  <Override PartName="/xl/revisions/revisionLog276.xml" ContentType="application/vnd.openxmlformats-officedocument.spreadsheetml.revisionLog+xml"/>
  <Override PartName="/xl/revisions/revisionLog297.xml" ContentType="application/vnd.openxmlformats-officedocument.spreadsheetml.revisionLog+xml"/>
  <Override PartName="/xl/revisions/revisionLog441.xml" ContentType="application/vnd.openxmlformats-officedocument.spreadsheetml.revisionLog+xml"/>
  <Override PartName="/xl/revisions/revisionLog462.xml" ContentType="application/vnd.openxmlformats-officedocument.spreadsheetml.revisionLog+xml"/>
  <Override PartName="/xl/revisions/revisionLog483.xml" ContentType="application/vnd.openxmlformats-officedocument.spreadsheetml.revisionLog+xml"/>
  <Override PartName="/xl/revisions/revisionLog518.xml" ContentType="application/vnd.openxmlformats-officedocument.spreadsheetml.revisionLog+xml"/>
  <Override PartName="/xl/revisions/revisionLog539.xml" ContentType="application/vnd.openxmlformats-officedocument.spreadsheetml.revisionLog+xml"/>
  <Override PartName="/xl/revisions/revisionLog40.xml" ContentType="application/vnd.openxmlformats-officedocument.spreadsheetml.revisionLog+xml"/>
  <Override PartName="/xl/revisions/revisionLog115.xml" ContentType="application/vnd.openxmlformats-officedocument.spreadsheetml.revisionLog+xml"/>
  <Override PartName="/xl/revisions/revisionLog136.xml" ContentType="application/vnd.openxmlformats-officedocument.spreadsheetml.revisionLog+xml"/>
  <Override PartName="/xl/revisions/revisionLog157.xml" ContentType="application/vnd.openxmlformats-officedocument.spreadsheetml.revisionLog+xml"/>
  <Override PartName="/xl/revisions/revisionLog178.xml" ContentType="application/vnd.openxmlformats-officedocument.spreadsheetml.revisionLog+xml"/>
  <Override PartName="/xl/revisions/revisionLog301.xml" ContentType="application/vnd.openxmlformats-officedocument.spreadsheetml.revisionLog+xml"/>
  <Override PartName="/xl/revisions/revisionLog322.xml" ContentType="application/vnd.openxmlformats-officedocument.spreadsheetml.revisionLog+xml"/>
  <Override PartName="/xl/revisions/revisionLog343.xml" ContentType="application/vnd.openxmlformats-officedocument.spreadsheetml.revisionLog+xml"/>
  <Override PartName="/xl/revisions/revisionLog364.xml" ContentType="application/vnd.openxmlformats-officedocument.spreadsheetml.revisionLog+xml"/>
  <Override PartName="/xl/revisions/revisionLog550.xml" ContentType="application/vnd.openxmlformats-officedocument.spreadsheetml.revisionLog+xml"/>
  <Override PartName="/xl/revisions/revisionLog61.xml" ContentType="application/vnd.openxmlformats-officedocument.spreadsheetml.revisionLog+xml"/>
  <Override PartName="/xl/revisions/revisionLog82.xml" ContentType="application/vnd.openxmlformats-officedocument.spreadsheetml.revisionLog+xml"/>
  <Override PartName="/xl/revisions/revisionLog199.xml" ContentType="application/vnd.openxmlformats-officedocument.spreadsheetml.revisionLog+xml"/>
  <Override PartName="/xl/revisions/revisionLog203.xml" ContentType="application/vnd.openxmlformats-officedocument.spreadsheetml.revisionLog+xml"/>
  <Override PartName="/xl/revisions/revisionLog385.xml" ContentType="application/vnd.openxmlformats-officedocument.spreadsheetml.revisionLog+xml"/>
  <Override PartName="/xl/revisions/revisionLog571.xml" ContentType="application/vnd.openxmlformats-officedocument.spreadsheetml.revisionLog+xml"/>
  <Override PartName="/xl/revisions/revisionLog592.xml" ContentType="application/vnd.openxmlformats-officedocument.spreadsheetml.revisionLog+xml"/>
  <Override PartName="/xl/revisions/revisionLog19.xml" ContentType="application/vnd.openxmlformats-officedocument.spreadsheetml.revisionLog+xml"/>
  <Override PartName="/xl/revisions/revisionLog224.xml" ContentType="application/vnd.openxmlformats-officedocument.spreadsheetml.revisionLog+xml"/>
  <Override PartName="/xl/revisions/revisionLog245.xml" ContentType="application/vnd.openxmlformats-officedocument.spreadsheetml.revisionLog+xml"/>
  <Override PartName="/xl/revisions/revisionLog266.xml" ContentType="application/vnd.openxmlformats-officedocument.spreadsheetml.revisionLog+xml"/>
  <Override PartName="/xl/revisions/revisionLog287.xml" ContentType="application/vnd.openxmlformats-officedocument.spreadsheetml.revisionLog+xml"/>
  <Override PartName="/xl/revisions/revisionLog410.xml" ContentType="application/vnd.openxmlformats-officedocument.spreadsheetml.revisionLog+xml"/>
  <Override PartName="/xl/revisions/revisionLog431.xml" ContentType="application/vnd.openxmlformats-officedocument.spreadsheetml.revisionLog+xml"/>
  <Override PartName="/xl/revisions/revisionLog452.xml" ContentType="application/vnd.openxmlformats-officedocument.spreadsheetml.revisionLog+xml"/>
  <Override PartName="/xl/revisions/revisionLog473.xml" ContentType="application/vnd.openxmlformats-officedocument.spreadsheetml.revisionLog+xml"/>
  <Override PartName="/xl/revisions/revisionLog494.xml" ContentType="application/vnd.openxmlformats-officedocument.spreadsheetml.revisionLog+xml"/>
  <Override PartName="/xl/revisions/revisionLog508.xml" ContentType="application/vnd.openxmlformats-officedocument.spreadsheetml.revisionLog+xml"/>
  <Override PartName="/xl/revisions/revisionLog529.xml" ContentType="application/vnd.openxmlformats-officedocument.spreadsheetml.revisionLog+xml"/>
  <Override PartName="/xl/revisions/revisionLog30.xml" ContentType="application/vnd.openxmlformats-officedocument.spreadsheetml.revisionLog+xml"/>
  <Override PartName="/xl/revisions/revisionLog105.xml" ContentType="application/vnd.openxmlformats-officedocument.spreadsheetml.revisionLog+xml"/>
  <Override PartName="/xl/revisions/revisionLog126.xml" ContentType="application/vnd.openxmlformats-officedocument.spreadsheetml.revisionLog+xml"/>
  <Override PartName="/xl/revisions/revisionLog147.xml" ContentType="application/vnd.openxmlformats-officedocument.spreadsheetml.revisionLog+xml"/>
  <Override PartName="/xl/revisions/revisionLog168.xml" ContentType="application/vnd.openxmlformats-officedocument.spreadsheetml.revisionLog+xml"/>
  <Override PartName="/xl/revisions/revisionLog312.xml" ContentType="application/vnd.openxmlformats-officedocument.spreadsheetml.revisionLog+xml"/>
  <Override PartName="/xl/revisions/revisionLog333.xml" ContentType="application/vnd.openxmlformats-officedocument.spreadsheetml.revisionLog+xml"/>
  <Override PartName="/xl/revisions/revisionLog354.xml" ContentType="application/vnd.openxmlformats-officedocument.spreadsheetml.revisionLog+xml"/>
  <Override PartName="/xl/revisions/revisionLog540.xml" ContentType="application/vnd.openxmlformats-officedocument.spreadsheetml.revisionLog+xml"/>
  <Override PartName="/xl/revisions/revisionLog51.xml" ContentType="application/vnd.openxmlformats-officedocument.spreadsheetml.revisionLog+xml"/>
  <Override PartName="/xl/revisions/revisionLog72.xml" ContentType="application/vnd.openxmlformats-officedocument.spreadsheetml.revisionLog+xml"/>
  <Override PartName="/xl/revisions/revisionLog93.xml" ContentType="application/vnd.openxmlformats-officedocument.spreadsheetml.revisionLog+xml"/>
  <Override PartName="/xl/revisions/revisionLog189.xml" ContentType="application/vnd.openxmlformats-officedocument.spreadsheetml.revisionLog+xml"/>
  <Override PartName="/xl/revisions/revisionLog375.xml" ContentType="application/vnd.openxmlformats-officedocument.spreadsheetml.revisionLog+xml"/>
  <Override PartName="/xl/revisions/revisionLog396.xml" ContentType="application/vnd.openxmlformats-officedocument.spreadsheetml.revisionLog+xml"/>
  <Override PartName="/xl/revisions/revisionLog561.xml" ContentType="application/vnd.openxmlformats-officedocument.spreadsheetml.revisionLog+xml"/>
  <Override PartName="/xl/revisions/revisionLog582.xml" ContentType="application/vnd.openxmlformats-officedocument.spreadsheetml.revisionLog+xml"/>
  <Override PartName="/xl/revisions/revisionLog3.xml" ContentType="application/vnd.openxmlformats-officedocument.spreadsheetml.revisionLog+xml"/>
  <Override PartName="/xl/revisions/revisionLog214.xml" ContentType="application/vnd.openxmlformats-officedocument.spreadsheetml.revisionLog+xml"/>
  <Override PartName="/xl/revisions/revisionLog235.xml" ContentType="application/vnd.openxmlformats-officedocument.spreadsheetml.revisionLog+xml"/>
  <Override PartName="/xl/revisions/revisionLog256.xml" ContentType="application/vnd.openxmlformats-officedocument.spreadsheetml.revisionLog+xml"/>
  <Override PartName="/xl/revisions/revisionLog277.xml" ContentType="application/vnd.openxmlformats-officedocument.spreadsheetml.revisionLog+xml"/>
  <Override PartName="/xl/revisions/revisionLog298.xml" ContentType="application/vnd.openxmlformats-officedocument.spreadsheetml.revisionLog+xml"/>
  <Override PartName="/xl/revisions/revisionLog400.xml" ContentType="application/vnd.openxmlformats-officedocument.spreadsheetml.revisionLog+xml"/>
  <Override PartName="/xl/revisions/revisionLog421.xml" ContentType="application/vnd.openxmlformats-officedocument.spreadsheetml.revisionLog+xml"/>
  <Override PartName="/xl/revisions/revisionLog442.xml" ContentType="application/vnd.openxmlformats-officedocument.spreadsheetml.revisionLog+xml"/>
  <Override PartName="/xl/revisions/revisionLog463.xml" ContentType="application/vnd.openxmlformats-officedocument.spreadsheetml.revisionLog+xml"/>
  <Override PartName="/xl/revisions/revisionLog484.xml" ContentType="application/vnd.openxmlformats-officedocument.spreadsheetml.revisionLog+xml"/>
  <Override PartName="/xl/revisions/revisionLog519.xml" ContentType="application/vnd.openxmlformats-officedocument.spreadsheetml.revisionLog+xml"/>
  <Override PartName="/xl/revisions/revisionLog116.xml" ContentType="application/vnd.openxmlformats-officedocument.spreadsheetml.revisionLog+xml"/>
  <Override PartName="/xl/revisions/revisionLog137.xml" ContentType="application/vnd.openxmlformats-officedocument.spreadsheetml.revisionLog+xml"/>
  <Override PartName="/xl/revisions/revisionLog158.xml" ContentType="application/vnd.openxmlformats-officedocument.spreadsheetml.revisionLog+xml"/>
  <Override PartName="/xl/revisions/revisionLog302.xml" ContentType="application/vnd.openxmlformats-officedocument.spreadsheetml.revisionLog+xml"/>
  <Override PartName="/xl/revisions/revisionLog323.xml" ContentType="application/vnd.openxmlformats-officedocument.spreadsheetml.revisionLog+xml"/>
  <Override PartName="/xl/revisions/revisionLog344.xml" ContentType="application/vnd.openxmlformats-officedocument.spreadsheetml.revisionLog+xml"/>
  <Override PartName="/xl/revisions/revisionLog530.xml" ContentType="application/vnd.openxmlformats-officedocument.spreadsheetml.revisionLog+xml"/>
  <Override PartName="/xl/revisions/revisionLog20.xml" ContentType="application/vnd.openxmlformats-officedocument.spreadsheetml.revisionLog+xml"/>
  <Override PartName="/xl/revisions/revisionLog41.xml" ContentType="application/vnd.openxmlformats-officedocument.spreadsheetml.revisionLog+xml"/>
  <Override PartName="/xl/revisions/revisionLog62.xml" ContentType="application/vnd.openxmlformats-officedocument.spreadsheetml.revisionLog+xml"/>
  <Override PartName="/xl/revisions/revisionLog83.xml" ContentType="application/vnd.openxmlformats-officedocument.spreadsheetml.revisionLog+xml"/>
  <Override PartName="/xl/revisions/revisionLog179.xml" ContentType="application/vnd.openxmlformats-officedocument.spreadsheetml.revisionLog+xml"/>
  <Override PartName="/xl/revisions/revisionLog365.xml" ContentType="application/vnd.openxmlformats-officedocument.spreadsheetml.revisionLog+xml"/>
  <Override PartName="/xl/revisions/revisionLog386.xml" ContentType="application/vnd.openxmlformats-officedocument.spreadsheetml.revisionLog+xml"/>
  <Override PartName="/xl/revisions/revisionLog551.xml" ContentType="application/vnd.openxmlformats-officedocument.spreadsheetml.revisionLog+xml"/>
  <Override PartName="/xl/revisions/revisionLog572.xml" ContentType="application/vnd.openxmlformats-officedocument.spreadsheetml.revisionLog+xml"/>
  <Override PartName="/xl/revisions/revisionLog593.xml" ContentType="application/vnd.openxmlformats-officedocument.spreadsheetml.revisionLog+xml"/>
  <Override PartName="/xl/revisions/revisionLog190.xml" ContentType="application/vnd.openxmlformats-officedocument.spreadsheetml.revisionLog+xml"/>
  <Override PartName="/xl/revisions/revisionLog204.xml" ContentType="application/vnd.openxmlformats-officedocument.spreadsheetml.revisionLog+xml"/>
  <Override PartName="/xl/revisions/revisionLog225.xml" ContentType="application/vnd.openxmlformats-officedocument.spreadsheetml.revisionLog+xml"/>
  <Override PartName="/xl/revisions/revisionLog246.xml" ContentType="application/vnd.openxmlformats-officedocument.spreadsheetml.revisionLog+xml"/>
  <Override PartName="/xl/revisions/revisionLog267.xml" ContentType="application/vnd.openxmlformats-officedocument.spreadsheetml.revisionLog+xml"/>
  <Override PartName="/xl/revisions/revisionLog288.xml" ContentType="application/vnd.openxmlformats-officedocument.spreadsheetml.revisionLog+xml"/>
  <Override PartName="/xl/revisions/revisionLog411.xml" ContentType="application/vnd.openxmlformats-officedocument.spreadsheetml.revisionLog+xml"/>
  <Override PartName="/xl/revisions/revisionLog432.xml" ContentType="application/vnd.openxmlformats-officedocument.spreadsheetml.revisionLog+xml"/>
  <Override PartName="/xl/revisions/revisionLog453.xml" ContentType="application/vnd.openxmlformats-officedocument.spreadsheetml.revisionLog+xml"/>
  <Override PartName="/xl/revisions/revisionLog474.xml" ContentType="application/vnd.openxmlformats-officedocument.spreadsheetml.revisionLog+xml"/>
  <Override PartName="/xl/revisions/revisionLog509.xml" ContentType="application/vnd.openxmlformats-officedocument.spreadsheetml.revisionLog+xml"/>
  <Override PartName="/xl/revisions/revisionLog106.xml" ContentType="application/vnd.openxmlformats-officedocument.spreadsheetml.revisionLog+xml"/>
  <Override PartName="/xl/revisions/revisionLog127.xml" ContentType="application/vnd.openxmlformats-officedocument.spreadsheetml.revisionLog+xml"/>
  <Override PartName="/xl/revisions/revisionLog313.xml" ContentType="application/vnd.openxmlformats-officedocument.spreadsheetml.revisionLog+xml"/>
  <Override PartName="/xl/revisions/revisionLog495.xml" ContentType="application/vnd.openxmlformats-officedocument.spreadsheetml.revisionLog+xml"/>
  <Override PartName="/xl/revisions/revisionLog10.xml" ContentType="application/vnd.openxmlformats-officedocument.spreadsheetml.revisionLog+xml"/>
  <Override PartName="/xl/revisions/revisionLog31.xml" ContentType="application/vnd.openxmlformats-officedocument.spreadsheetml.revisionLog+xml"/>
  <Override PartName="/xl/revisions/revisionLog52.xml" ContentType="application/vnd.openxmlformats-officedocument.spreadsheetml.revisionLog+xml"/>
  <Override PartName="/xl/revisions/revisionLog73.xml" ContentType="application/vnd.openxmlformats-officedocument.spreadsheetml.revisionLog+xml"/>
  <Override PartName="/xl/revisions/revisionLog94.xml" ContentType="application/vnd.openxmlformats-officedocument.spreadsheetml.revisionLog+xml"/>
  <Override PartName="/xl/revisions/revisionLog148.xml" ContentType="application/vnd.openxmlformats-officedocument.spreadsheetml.revisionLog+xml"/>
  <Override PartName="/xl/revisions/revisionLog169.xml" ContentType="application/vnd.openxmlformats-officedocument.spreadsheetml.revisionLog+xml"/>
  <Override PartName="/xl/revisions/revisionLog334.xml" ContentType="application/vnd.openxmlformats-officedocument.spreadsheetml.revisionLog+xml"/>
  <Override PartName="/xl/revisions/revisionLog355.xml" ContentType="application/vnd.openxmlformats-officedocument.spreadsheetml.revisionLog+xml"/>
  <Override PartName="/xl/revisions/revisionLog376.xml" ContentType="application/vnd.openxmlformats-officedocument.spreadsheetml.revisionLog+xml"/>
  <Override PartName="/xl/revisions/revisionLog397.xml" ContentType="application/vnd.openxmlformats-officedocument.spreadsheetml.revisionLog+xml"/>
  <Override PartName="/xl/revisions/revisionLog520.xml" ContentType="application/vnd.openxmlformats-officedocument.spreadsheetml.revisionLog+xml"/>
  <Override PartName="/xl/revisions/revisionLog541.xml" ContentType="application/vnd.openxmlformats-officedocument.spreadsheetml.revisionLog+xml"/>
  <Override PartName="/xl/revisions/revisionLog562.xml" ContentType="application/vnd.openxmlformats-officedocument.spreadsheetml.revisionLog+xml"/>
  <Override PartName="/xl/revisions/revisionLog583.xml" ContentType="application/vnd.openxmlformats-officedocument.spreadsheetml.revisionLog+xml"/>
  <Override PartName="/xl/revisions/revisionLog4.xml" ContentType="application/vnd.openxmlformats-officedocument.spreadsheetml.revisionLog+xml"/>
  <Override PartName="/xl/revisions/revisionLog180.xml" ContentType="application/vnd.openxmlformats-officedocument.spreadsheetml.revisionLog+xml"/>
  <Override PartName="/xl/revisions/revisionLog215.xml" ContentType="application/vnd.openxmlformats-officedocument.spreadsheetml.revisionLog+xml"/>
  <Override PartName="/xl/revisions/revisionLog236.xml" ContentType="application/vnd.openxmlformats-officedocument.spreadsheetml.revisionLog+xml"/>
  <Override PartName="/xl/revisions/revisionLog257.xml" ContentType="application/vnd.openxmlformats-officedocument.spreadsheetml.revisionLog+xml"/>
  <Override PartName="/xl/revisions/revisionLog278.xml" ContentType="application/vnd.openxmlformats-officedocument.spreadsheetml.revisionLog+xml"/>
  <Override PartName="/xl/revisions/revisionLog401.xml" ContentType="application/vnd.openxmlformats-officedocument.spreadsheetml.revisionLog+xml"/>
  <Override PartName="/xl/revisions/revisionLog422.xml" ContentType="application/vnd.openxmlformats-officedocument.spreadsheetml.revisionLog+xml"/>
  <Override PartName="/xl/revisions/revisionLog443.xml" ContentType="application/vnd.openxmlformats-officedocument.spreadsheetml.revisionLog+xml"/>
  <Override PartName="/xl/revisions/revisionLog464.xml" ContentType="application/vnd.openxmlformats-officedocument.spreadsheetml.revisionLog+xml"/>
  <Override PartName="/xl/revisions/revisionLog303.xml" ContentType="application/vnd.openxmlformats-officedocument.spreadsheetml.revisionLog+xml"/>
  <Override PartName="/xl/revisions/revisionLog485.xml" ContentType="application/vnd.openxmlformats-officedocument.spreadsheetml.revisionLog+xml"/>
  <Override PartName="/xl/revisions/revisionLog42.xml" ContentType="application/vnd.openxmlformats-officedocument.spreadsheetml.revisionLog+xml"/>
  <Override PartName="/xl/revisions/revisionLog84.xml" ContentType="application/vnd.openxmlformats-officedocument.spreadsheetml.revisionLog+xml"/>
  <Override PartName="/xl/revisions/revisionLog138.xml" ContentType="application/vnd.openxmlformats-officedocument.spreadsheetml.revisionLog+xml"/>
  <Override PartName="/xl/revisions/revisionLog345.xml" ContentType="application/vnd.openxmlformats-officedocument.spreadsheetml.revisionLog+xml"/>
  <Override PartName="/xl/revisions/revisionLog387.xml" ContentType="application/vnd.openxmlformats-officedocument.spreadsheetml.revisionLog+xml"/>
  <Override PartName="/xl/revisions/revisionLog510.xml" ContentType="application/vnd.openxmlformats-officedocument.spreadsheetml.revisionLog+xml"/>
  <Override PartName="/xl/revisions/revisionLog552.xml" ContentType="application/vnd.openxmlformats-officedocument.spreadsheetml.revisionLog+xml"/>
  <Override PartName="/xl/revisions/revisionLog594.xml" ContentType="application/vnd.openxmlformats-officedocument.spreadsheetml.revisionLog+xml"/>
  <Override PartName="/xl/revisions/revisionLog191.xml" ContentType="application/vnd.openxmlformats-officedocument.spreadsheetml.revisionLog+xml"/>
  <Override PartName="/xl/revisions/revisionLog205.xml" ContentType="application/vnd.openxmlformats-officedocument.spreadsheetml.revisionLog+xml"/>
  <Override PartName="/xl/revisions/revisionLog247.xml" ContentType="application/vnd.openxmlformats-officedocument.spreadsheetml.revisionLog+xml"/>
  <Override PartName="/xl/revisions/revisionLog412.xml" ContentType="application/vnd.openxmlformats-officedocument.spreadsheetml.revisionLog+xml"/>
  <Override PartName="/xl/revisions/revisionLog107.xml" ContentType="application/vnd.openxmlformats-officedocument.spreadsheetml.revisionLog+xml"/>
  <Override PartName="/xl/revisions/revisionLog289.xml" ContentType="application/vnd.openxmlformats-officedocument.spreadsheetml.revisionLog+xml"/>
  <Override PartName="/xl/revisions/revisionLog454.xml" ContentType="application/vnd.openxmlformats-officedocument.spreadsheetml.revisionLog+xml"/>
  <Override PartName="/xl/revisions/revisionLog496.xml" ContentType="application/vnd.openxmlformats-officedocument.spreadsheetml.revisionLog+xml"/>
  <Override PartName="/xl/revisions/revisionLog11.xml" ContentType="application/vnd.openxmlformats-officedocument.spreadsheetml.revisionLog+xml"/>
  <Override PartName="/xl/revisions/revisionLog53.xml" ContentType="application/vnd.openxmlformats-officedocument.spreadsheetml.revisionLog+xml"/>
  <Override PartName="/xl/revisions/revisionLog149.xml" ContentType="application/vnd.openxmlformats-officedocument.spreadsheetml.revisionLog+xml"/>
  <Override PartName="/xl/revisions/revisionLog314.xml" ContentType="application/vnd.openxmlformats-officedocument.spreadsheetml.revisionLog+xml"/>
  <Override PartName="/xl/revisions/revisionLog356.xml" ContentType="application/vnd.openxmlformats-officedocument.spreadsheetml.revisionLog+xml"/>
  <Override PartName="/xl/revisions/revisionLog398.xml" ContentType="application/vnd.openxmlformats-officedocument.spreadsheetml.revisionLog+xml"/>
  <Override PartName="/xl/revisions/revisionLog521.xml" ContentType="application/vnd.openxmlformats-officedocument.spreadsheetml.revisionLog+xml"/>
  <Override PartName="/xl/revisions/revisionLog563.xml" ContentType="application/vnd.openxmlformats-officedocument.spreadsheetml.revisionLog+xml"/>
  <Override PartName="/xl/revisions/revisionLog95.xml" ContentType="application/vnd.openxmlformats-officedocument.spreadsheetml.revisionLog+xml"/>
  <Override PartName="/xl/revisions/revisionLog160.xml" ContentType="application/vnd.openxmlformats-officedocument.spreadsheetml.revisionLog+xml"/>
  <Override PartName="/xl/revisions/revisionLog216.xml" ContentType="application/vnd.openxmlformats-officedocument.spreadsheetml.revisionLog+xml"/>
  <Override PartName="/xl/revisions/revisionLog423.xml" ContentType="application/vnd.openxmlformats-officedocument.spreadsheetml.revisionLog+xml"/>
  <Override PartName="/xl/revisions/revisionLog258.xml" ContentType="application/vnd.openxmlformats-officedocument.spreadsheetml.revisionLog+xml"/>
  <Override PartName="/xl/revisions/revisionLog465.xml" ContentType="application/vnd.openxmlformats-officedocument.spreadsheetml.revisionLog+xml"/>
  <Override PartName="/xl/revisions/revisionLog22.xml" ContentType="application/vnd.openxmlformats-officedocument.spreadsheetml.revisionLog+xml"/>
  <Override PartName="/xl/revisions/revisionLog64.xml" ContentType="application/vnd.openxmlformats-officedocument.spreadsheetml.revisionLog+xml"/>
  <Override PartName="/xl/revisions/revisionLog118.xml" ContentType="application/vnd.openxmlformats-officedocument.spreadsheetml.revisionLog+xml"/>
  <Override PartName="/xl/revisions/revisionLog325.xml" ContentType="application/vnd.openxmlformats-officedocument.spreadsheetml.revisionLog+xml"/>
  <Override PartName="/xl/revisions/revisionLog367.xml" ContentType="application/vnd.openxmlformats-officedocument.spreadsheetml.revisionLog+xml"/>
  <Override PartName="/xl/revisions/revisionLog532.xml" ContentType="application/vnd.openxmlformats-officedocument.spreadsheetml.revisionLog+xml"/>
  <Override PartName="/xl/revisions/revisionLog574.xml" ContentType="application/vnd.openxmlformats-officedocument.spreadsheetml.revisionLog+xml"/>
  <Override PartName="/xl/revisions/revisionLog171.xml" ContentType="application/vnd.openxmlformats-officedocument.spreadsheetml.revisionLog+xml"/>
  <Override PartName="/xl/revisions/revisionLog227.xml" ContentType="application/vnd.openxmlformats-officedocument.spreadsheetml.revisionLog+xml"/>
  <Override PartName="/xl/revisions/revisionLog269.xml" ContentType="application/vnd.openxmlformats-officedocument.spreadsheetml.revisionLog+xml"/>
  <Override PartName="/xl/revisions/revisionLog434.xml" ContentType="application/vnd.openxmlformats-officedocument.spreadsheetml.revisionLog+xml"/>
  <Override PartName="/xl/revisions/revisionLog476.xml" ContentType="application/vnd.openxmlformats-officedocument.spreadsheetml.revisionLog+xml"/>
  <Override PartName="/xl/revisions/revisionLog33.xml" ContentType="application/vnd.openxmlformats-officedocument.spreadsheetml.revisionLog+xml"/>
  <Override PartName="/xl/revisions/revisionLog129.xml" ContentType="application/vnd.openxmlformats-officedocument.spreadsheetml.revisionLog+xml"/>
  <Override PartName="/xl/revisions/revisionLog280.xml" ContentType="application/vnd.openxmlformats-officedocument.spreadsheetml.revisionLog+xml"/>
  <Override PartName="/xl/revisions/revisionLog336.xml" ContentType="application/vnd.openxmlformats-officedocument.spreadsheetml.revisionLog+xml"/>
  <Override PartName="/xl/revisions/revisionLog501.xml" ContentType="application/vnd.openxmlformats-officedocument.spreadsheetml.revisionLog+xml"/>
  <Override PartName="/xl/revisions/revisionLog543.xml" ContentType="application/vnd.openxmlformats-officedocument.spreadsheetml.revisionLog+xml"/>
  <Override PartName="/xl/revisions/revisionLog75.xml" ContentType="application/vnd.openxmlformats-officedocument.spreadsheetml.revisionLog+xml"/>
  <Override PartName="/xl/revisions/revisionLog140.xml" ContentType="application/vnd.openxmlformats-officedocument.spreadsheetml.revisionLog+xml"/>
  <Override PartName="/xl/revisions/revisionLog182.xml" ContentType="application/vnd.openxmlformats-officedocument.spreadsheetml.revisionLog+xml"/>
  <Override PartName="/xl/revisions/revisionLog378.xml" ContentType="application/vnd.openxmlformats-officedocument.spreadsheetml.revisionLog+xml"/>
  <Override PartName="/xl/revisions/revisionLog403.xml" ContentType="application/vnd.openxmlformats-officedocument.spreadsheetml.revisionLog+xml"/>
  <Override PartName="/xl/revisions/revisionLog585.xml" ContentType="application/vnd.openxmlformats-officedocument.spreadsheetml.revisionLog+xml"/>
  <Override PartName="/xl/revisions/revisionLog6.xml" ContentType="application/vnd.openxmlformats-officedocument.spreadsheetml.revisionLog+xml"/>
  <Override PartName="/xl/revisions/revisionLog238.xml" ContentType="application/vnd.openxmlformats-officedocument.spreadsheetml.revisionLog+xml"/>
  <Override PartName="/xl/revisions/revisionLog445.xml" ContentType="application/vnd.openxmlformats-officedocument.spreadsheetml.revisionLog+xml"/>
  <Override PartName="/xl/revisions/revisionLog487.xml" ContentType="application/vnd.openxmlformats-officedocument.spreadsheetml.revisionLog+xml"/>
  <Override PartName="/xl/revisions/revisionLog291.xml" ContentType="application/vnd.openxmlformats-officedocument.spreadsheetml.revisionLog+xml"/>
  <Override PartName="/xl/revisions/revisionLog305.xml" ContentType="application/vnd.openxmlformats-officedocument.spreadsheetml.revisionLog+xml"/>
  <Override PartName="/xl/revisions/revisionLog347.xml" ContentType="application/vnd.openxmlformats-officedocument.spreadsheetml.revisionLog+xml"/>
  <Override PartName="/xl/revisions/revisionLog512.xml" ContentType="application/vnd.openxmlformats-officedocument.spreadsheetml.revisionLog+xml"/>
  <Override PartName="/xl/revisions/revisionLog44.xml" ContentType="application/vnd.openxmlformats-officedocument.spreadsheetml.revisionLog+xml"/>
  <Override PartName="/xl/revisions/revisionLog86.xml" ContentType="application/vnd.openxmlformats-officedocument.spreadsheetml.revisionLog+xml"/>
  <Override PartName="/xl/revisions/revisionLog151.xml" ContentType="application/vnd.openxmlformats-officedocument.spreadsheetml.revisionLog+xml"/>
  <Override PartName="/xl/revisions/revisionLog389.xml" ContentType="application/vnd.openxmlformats-officedocument.spreadsheetml.revisionLog+xml"/>
  <Override PartName="/xl/revisions/revisionLog554.xml" ContentType="application/vnd.openxmlformats-officedocument.spreadsheetml.revisionLog+xml"/>
  <Override PartName="/xl/revisions/revisionLog596.xml" ContentType="application/vnd.openxmlformats-officedocument.spreadsheetml.revisionLog+xml"/>
  <Override PartName="/xl/revisions/revisionLog193.xml" ContentType="application/vnd.openxmlformats-officedocument.spreadsheetml.revisionLog+xml"/>
  <Override PartName="/xl/revisions/revisionLog207.xml" ContentType="application/vnd.openxmlformats-officedocument.spreadsheetml.revisionLog+xml"/>
  <Override PartName="/xl/revisions/revisionLog249.xml" ContentType="application/vnd.openxmlformats-officedocument.spreadsheetml.revisionLog+xml"/>
  <Override PartName="/xl/revisions/revisionLog414.xml" ContentType="application/vnd.openxmlformats-officedocument.spreadsheetml.revisionLog+xml"/>
  <Override PartName="/xl/revisions/revisionLog456.xml" ContentType="application/vnd.openxmlformats-officedocument.spreadsheetml.revisionLog+xml"/>
  <Override PartName="/xl/revisions/revisionLog498.xml" ContentType="application/vnd.openxmlformats-officedocument.spreadsheetml.revisionLog+xml"/>
  <Override PartName="/xl/revisions/revisionLog13.xml" ContentType="application/vnd.openxmlformats-officedocument.spreadsheetml.revisionLog+xml"/>
  <Override PartName="/xl/revisions/revisionLog109.xml" ContentType="application/vnd.openxmlformats-officedocument.spreadsheetml.revisionLog+xml"/>
  <Override PartName="/xl/revisions/revisionLog260.xml" ContentType="application/vnd.openxmlformats-officedocument.spreadsheetml.revisionLog+xml"/>
  <Override PartName="/xl/revisions/revisionLog316.xml" ContentType="application/vnd.openxmlformats-officedocument.spreadsheetml.revisionLog+xml"/>
  <Override PartName="/xl/revisions/revisionLog523.xml" ContentType="application/vnd.openxmlformats-officedocument.spreadsheetml.revisionLog+xml"/>
  <Override PartName="/xl/revisions/revisionLog55.xml" ContentType="application/vnd.openxmlformats-officedocument.spreadsheetml.revisionLog+xml"/>
  <Override PartName="/xl/revisions/revisionLog97.xml" ContentType="application/vnd.openxmlformats-officedocument.spreadsheetml.revisionLog+xml"/>
  <Override PartName="/xl/revisions/revisionLog120.xml" ContentType="application/vnd.openxmlformats-officedocument.spreadsheetml.revisionLog+xml"/>
  <Override PartName="/xl/revisions/revisionLog358.xml" ContentType="application/vnd.openxmlformats-officedocument.spreadsheetml.revisionLog+xml"/>
  <Override PartName="/xl/revisions/revisionLog565.xml" ContentType="application/vnd.openxmlformats-officedocument.spreadsheetml.revisionLog+xml"/>
  <Override PartName="/xl/revisions/revisionLog162.xml" ContentType="application/vnd.openxmlformats-officedocument.spreadsheetml.revisionLog+xml"/>
  <Override PartName="/xl/revisions/revisionLog218.xml" ContentType="application/vnd.openxmlformats-officedocument.spreadsheetml.revisionLog+xml"/>
  <Override PartName="/xl/revisions/revisionLog425.xml" ContentType="application/vnd.openxmlformats-officedocument.spreadsheetml.revisionLog+xml"/>
  <Override PartName="/xl/revisions/revisionLog467.xml" ContentType="application/vnd.openxmlformats-officedocument.spreadsheetml.revisionLog+xml"/>
  <Override PartName="/xl/revisions/revisionLog271.xml" ContentType="application/vnd.openxmlformats-officedocument.spreadsheetml.revisionLog+xml"/>
  <Override PartName="/xl/revisions/revisionLog24.xml" ContentType="application/vnd.openxmlformats-officedocument.spreadsheetml.revisionLog+xml"/>
  <Override PartName="/xl/revisions/revisionLog66.xml" ContentType="application/vnd.openxmlformats-officedocument.spreadsheetml.revisionLog+xml"/>
  <Override PartName="/xl/revisions/revisionLog131.xml" ContentType="application/vnd.openxmlformats-officedocument.spreadsheetml.revisionLog+xml"/>
  <Override PartName="/xl/revisions/revisionLog327.xml" ContentType="application/vnd.openxmlformats-officedocument.spreadsheetml.revisionLog+xml"/>
  <Override PartName="/xl/revisions/revisionLog369.xml" ContentType="application/vnd.openxmlformats-officedocument.spreadsheetml.revisionLog+xml"/>
  <Override PartName="/xl/revisions/revisionLog534.xml" ContentType="application/vnd.openxmlformats-officedocument.spreadsheetml.revisionLog+xml"/>
  <Override PartName="/xl/revisions/revisionLog576.xml" ContentType="application/vnd.openxmlformats-officedocument.spreadsheetml.revisionLog+xml"/>
  <Override PartName="/xl/revisions/revisionLog173.xml" ContentType="application/vnd.openxmlformats-officedocument.spreadsheetml.revisionLog+xml"/>
  <Override PartName="/xl/revisions/revisionLog229.xml" ContentType="application/vnd.openxmlformats-officedocument.spreadsheetml.revisionLog+xml"/>
  <Override PartName="/xl/revisions/revisionLog380.xml" ContentType="application/vnd.openxmlformats-officedocument.spreadsheetml.revisionLog+xml"/>
  <Override PartName="/xl/revisions/revisionLog436.xml" ContentType="application/vnd.openxmlformats-officedocument.spreadsheetml.revisionLog+xml"/>
  <Override PartName="/xl/revisions/revisionLog240.xml" ContentType="application/vnd.openxmlformats-officedocument.spreadsheetml.revisionLog+xml"/>
  <Override PartName="/xl/revisions/revisionLog478.xml" ContentType="application/vnd.openxmlformats-officedocument.spreadsheetml.revisionLog+xml"/>
  <Override PartName="/xl/revisions/revisionLog35.xml" ContentType="application/vnd.openxmlformats-officedocument.spreadsheetml.revisionLog+xml"/>
  <Override PartName="/xl/revisions/revisionLog77.xml" ContentType="application/vnd.openxmlformats-officedocument.spreadsheetml.revisionLog+xml"/>
  <Override PartName="/xl/revisions/revisionLog100.xml" ContentType="application/vnd.openxmlformats-officedocument.spreadsheetml.revisionLog+xml"/>
  <Override PartName="/xl/revisions/revisionLog282.xml" ContentType="application/vnd.openxmlformats-officedocument.spreadsheetml.revisionLog+xml"/>
  <Override PartName="/xl/revisions/revisionLog338.xml" ContentType="application/vnd.openxmlformats-officedocument.spreadsheetml.revisionLog+xml"/>
  <Override PartName="/xl/revisions/revisionLog503.xml" ContentType="application/vnd.openxmlformats-officedocument.spreadsheetml.revisionLog+xml"/>
  <Override PartName="/xl/revisions/revisionLog545.xml" ContentType="application/vnd.openxmlformats-officedocument.spreadsheetml.revisionLog+xml"/>
  <Override PartName="/xl/revisions/revisionLog587.xml" ContentType="application/vnd.openxmlformats-officedocument.spreadsheetml.revisionLog+xml"/>
  <Override PartName="/xl/revisions/revisionLog8.xml" ContentType="application/vnd.openxmlformats-officedocument.spreadsheetml.revisionLog+xml"/>
  <Override PartName="/xl/revisions/revisionLog142.xml" ContentType="application/vnd.openxmlformats-officedocument.spreadsheetml.revisionLog+xml"/>
  <Override PartName="/xl/revisions/revisionLog184.xml" ContentType="application/vnd.openxmlformats-officedocument.spreadsheetml.revisionLog+xml"/>
  <Override PartName="/xl/revisions/revisionLog391.xml" ContentType="application/vnd.openxmlformats-officedocument.spreadsheetml.revisionLog+xml"/>
  <Override PartName="/xl/revisions/revisionLog405.xml" ContentType="application/vnd.openxmlformats-officedocument.spreadsheetml.revisionLog+xml"/>
  <Override PartName="/xl/revisions/revisionLog447.xml" ContentType="application/vnd.openxmlformats-officedocument.spreadsheetml.revisionLog+xml"/>
  <Override PartName="/xl/revisions/revisionLog251.xml" ContentType="application/vnd.openxmlformats-officedocument.spreadsheetml.revisionLog+xml"/>
  <Override PartName="/xl/revisions/revisionLog489.xml" ContentType="application/vnd.openxmlformats-officedocument.spreadsheetml.revisionLog+xml"/>
  <Override PartName="/xl/revisions/revisionLog46.xml" ContentType="application/vnd.openxmlformats-officedocument.spreadsheetml.revisionLog+xml"/>
  <Override PartName="/xl/revisions/revisionLog293.xml" ContentType="application/vnd.openxmlformats-officedocument.spreadsheetml.revisionLog+xml"/>
  <Override PartName="/xl/revisions/revisionLog307.xml" ContentType="application/vnd.openxmlformats-officedocument.spreadsheetml.revisionLog+xml"/>
  <Override PartName="/xl/revisions/revisionLog349.xml" ContentType="application/vnd.openxmlformats-officedocument.spreadsheetml.revisionLog+xml"/>
  <Override PartName="/xl/revisions/revisionLog514.xml" ContentType="application/vnd.openxmlformats-officedocument.spreadsheetml.revisionLog+xml"/>
  <Override PartName="/xl/revisions/revisionLog556.xml" ContentType="application/vnd.openxmlformats-officedocument.spreadsheetml.revisionLog+xml"/>
  <Override PartName="/xl/revisions/revisionLog88.xml" ContentType="application/vnd.openxmlformats-officedocument.spreadsheetml.revisionLog+xml"/>
  <Override PartName="/xl/revisions/revisionLog111.xml" ContentType="application/vnd.openxmlformats-officedocument.spreadsheetml.revisionLog+xml"/>
  <Override PartName="/xl/revisions/revisionLog153.xml" ContentType="application/vnd.openxmlformats-officedocument.spreadsheetml.revisionLog+xml"/>
  <Override PartName="/xl/revisions/revisionLog195.xml" ContentType="application/vnd.openxmlformats-officedocument.spreadsheetml.revisionLog+xml"/>
  <Override PartName="/xl/revisions/revisionLog209.xml" ContentType="application/vnd.openxmlformats-officedocument.spreadsheetml.revisionLog+xml"/>
  <Override PartName="/xl/revisions/revisionLog360.xml" ContentType="application/vnd.openxmlformats-officedocument.spreadsheetml.revisionLog+xml"/>
  <Override PartName="/xl/revisions/revisionLog416.xml" ContentType="application/vnd.openxmlformats-officedocument.spreadsheetml.revisionLog+xml"/>
  <Override PartName="/xl/revisions/revisionLog220.xml" ContentType="application/vnd.openxmlformats-officedocument.spreadsheetml.revisionLog+xml"/>
  <Override PartName="/xl/revisions/revisionLog458.xml" ContentType="application/vnd.openxmlformats-officedocument.spreadsheetml.revisionLog+xml"/>
  <Override PartName="/xl/revisions/revisionLog15.xml" ContentType="application/vnd.openxmlformats-officedocument.spreadsheetml.revisionLog+xml"/>
  <Override PartName="/xl/revisions/revisionLog57.xml" ContentType="application/vnd.openxmlformats-officedocument.spreadsheetml.revisionLog+xml"/>
  <Override PartName="/xl/revisions/revisionLog262.xml" ContentType="application/vnd.openxmlformats-officedocument.spreadsheetml.revisionLog+xml"/>
  <Override PartName="/xl/revisions/revisionLog318.xml" ContentType="application/vnd.openxmlformats-officedocument.spreadsheetml.revisionLog+xml"/>
  <Override PartName="/xl/revisions/revisionLog525.xml" ContentType="application/vnd.openxmlformats-officedocument.spreadsheetml.revisionLog+xml"/>
  <Override PartName="/xl/revisions/revisionLog567.xml" ContentType="application/vnd.openxmlformats-officedocument.spreadsheetml.revisionLog+xml"/>
  <Override PartName="/xl/revisions/revisionLog99.xml" ContentType="application/vnd.openxmlformats-officedocument.spreadsheetml.revisionLog+xml"/>
  <Override PartName="/xl/revisions/revisionLog122.xml" ContentType="application/vnd.openxmlformats-officedocument.spreadsheetml.revisionLog+xml"/>
  <Override PartName="/xl/revisions/revisionLog164.xml" ContentType="application/vnd.openxmlformats-officedocument.spreadsheetml.revisionLog+xml"/>
  <Override PartName="/xl/revisions/revisionLog371.xml" ContentType="application/vnd.openxmlformats-officedocument.spreadsheetml.revisionLog+xml"/>
  <Override PartName="/xl/revisions/revisionLog427.xml" ContentType="application/vnd.openxmlformats-officedocument.spreadsheetml.revisionLog+xml"/>
  <Override PartName="/xl/revisions/revisionLog469.xml" ContentType="application/vnd.openxmlformats-officedocument.spreadsheetml.revisionLog+xml"/>
  <Override PartName="/xl/revisions/revisionLog26.xml" ContentType="application/vnd.openxmlformats-officedocument.spreadsheetml.revisionLog+xml"/>
  <Override PartName="/xl/revisions/revisionLog231.xml" ContentType="application/vnd.openxmlformats-officedocument.spreadsheetml.revisionLog+xml"/>
  <Override PartName="/xl/revisions/revisionLog273.xml" ContentType="application/vnd.openxmlformats-officedocument.spreadsheetml.revisionLog+xml"/>
  <Override PartName="/xl/revisions/revisionLog329.xml" ContentType="application/vnd.openxmlformats-officedocument.spreadsheetml.revisionLog+xml"/>
  <Override PartName="/xl/revisions/revisionLog480.xml" ContentType="application/vnd.openxmlformats-officedocument.spreadsheetml.revisionLog+xml"/>
  <Override PartName="/xl/revisions/revisionLog536.xml" ContentType="application/vnd.openxmlformats-officedocument.spreadsheetml.revisionLog+xml"/>
  <Override PartName="/xl/revisions/revisionLog68.xml" ContentType="application/vnd.openxmlformats-officedocument.spreadsheetml.revisionLog+xml"/>
  <Override PartName="/xl/revisions/revisionLog133.xml" ContentType="application/vnd.openxmlformats-officedocument.spreadsheetml.revisionLog+xml"/>
  <Override PartName="/xl/revisions/revisionLog175.xml" ContentType="application/vnd.openxmlformats-officedocument.spreadsheetml.revisionLog+xml"/>
  <Override PartName="/xl/revisions/revisionLog340.xml" ContentType="application/vnd.openxmlformats-officedocument.spreadsheetml.revisionLog+xml"/>
  <Override PartName="/xl/revisions/revisionLog578.xml" ContentType="application/vnd.openxmlformats-officedocument.spreadsheetml.revisionLog+xml"/>
  <Override PartName="/xl/revisions/revisionLog200.xml" ContentType="application/vnd.openxmlformats-officedocument.spreadsheetml.revisionLog+xml"/>
  <Override PartName="/xl/revisions/revisionLog382.xml" ContentType="application/vnd.openxmlformats-officedocument.spreadsheetml.revisionLog+xml"/>
  <Override PartName="/xl/revisions/revisionLog438.xml" ContentType="application/vnd.openxmlformats-officedocument.spreadsheetml.revisionLog+xml"/>
  <Override PartName="/xl/revisions/revisionLog242.xml" ContentType="application/vnd.openxmlformats-officedocument.spreadsheetml.revisionLog+xml"/>
  <Override PartName="/xl/revisions/revisionLog284.xml" ContentType="application/vnd.openxmlformats-officedocument.spreadsheetml.revisionLog+xml"/>
  <Override PartName="/xl/revisions/revisionLog491.xml" ContentType="application/vnd.openxmlformats-officedocument.spreadsheetml.revisionLog+xml"/>
  <Override PartName="/xl/revisions/revisionLog505.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24226"/>
  <mc:AlternateContent xmlns:mc="http://schemas.openxmlformats.org/markup-compatibility/2006">
    <mc:Choice Requires="x15">
      <x15ac:absPath xmlns:x15ac="http://schemas.microsoft.com/office/spreadsheetml/2010/11/ac" url="C:\duongnguyen\0000_Project\001_Prj\02_JOEM\"/>
    </mc:Choice>
  </mc:AlternateContent>
  <bookViews>
    <workbookView xWindow="-120" yWindow="0" windowWidth="2280" windowHeight="0"/>
  </bookViews>
  <sheets>
    <sheet name="Merged_COEM" sheetId="1" r:id="rId1"/>
    <sheet name="Merged_JOEM" sheetId="2" r:id="rId2"/>
    <sheet name="|-&gt;" sheetId="3" r:id="rId3"/>
    <sheet name="Report_For_Each_Project_COEM" sheetId="4" r:id="rId4"/>
    <sheet name="Report_For_Each_Project_JOEM" sheetId="5" r:id="rId5"/>
    <sheet name="Template_Total_Report" sheetId="6" r:id="rId6"/>
    <sheet name="Table" sheetId="7" r:id="rId7"/>
    <sheet name="Check_List" sheetId="8" r:id="rId8"/>
    <sheet name="|--&gt;" sheetId="9" r:id="rId9"/>
  </sheets>
  <definedNames>
    <definedName name="_xlnm._FilterDatabase" localSheetId="0" hidden="1">Merged_COEM!$B$59:$AN$317</definedName>
    <definedName name="_xlnm._FilterDatabase" localSheetId="1" hidden="1">Merged_JOEM!$B$59:$AN$557</definedName>
    <definedName name="Z_004AE50D_49C9_4A96_B731_3C42CAA0B01D_.wvu.FilterData" localSheetId="0" hidden="1">Merged_COEM!$B$59:$AN$59</definedName>
    <definedName name="Z_00627CE1_7120_4788_9772_A991ED868B61_.wvu.FilterData" localSheetId="0" hidden="1">Merged_COEM!$B$59:$AN$317</definedName>
    <definedName name="Z_00627CE1_7120_4788_9772_A991ED868B61_.wvu.FilterData" localSheetId="1" hidden="1">Merged_JOEM!$B$59:$AN$538</definedName>
    <definedName name="Z_006FEADE_C1C8_4623_94EF_0C71C28F2B02_.wvu.FilterData" localSheetId="0" hidden="1">Merged_COEM!$A$59:$AN$317</definedName>
    <definedName name="Z_006FEADE_C1C8_4623_94EF_0C71C28F2B02_.wvu.FilterData" localSheetId="1" hidden="1">Merged_JOEM!$B$59:$AN$564</definedName>
    <definedName name="Z_0115AFB4_4C4E_4468_B6CC_4FCA3D2F432C_.wvu.FilterData" localSheetId="0" hidden="1">Merged_COEM!$A$59:$AN$317</definedName>
    <definedName name="Z_01DDD800_722F_415D_AA66_9ADBFD04888B_.wvu.FilterData" localSheetId="1" hidden="1">Merged_JOEM!$B$59:$AN$59</definedName>
    <definedName name="Z_01E511D8_96F0_4FC8_9F7C_EFD3A637D0BF_.wvu.FilterData" localSheetId="0" hidden="1">Merged_COEM!$A$59:$AN$317</definedName>
    <definedName name="Z_01F48ED4_6F4C_49BB_A369_E61277689C61_.wvu.FilterData" localSheetId="0" hidden="1">Merged_COEM!$B$59:$AN$317</definedName>
    <definedName name="Z_0261509A_A639_49AE_AA4A_769861E1FB47_.wvu.FilterData" localSheetId="0" hidden="1">Merged_COEM!$A$59:$AN$317</definedName>
    <definedName name="Z_0261509A_A639_49AE_AA4A_769861E1FB47_.wvu.FilterData" localSheetId="1" hidden="1">Merged_JOEM!$B$59:$AN$534</definedName>
    <definedName name="Z_027DC486_5FD8_4F20_9789_42783C7EA75D_.wvu.FilterData" localSheetId="0" hidden="1">Merged_COEM!$A$59:$AN$317</definedName>
    <definedName name="Z_02D2CB07_3C0A_4EA9_BB2C_BDA10CEE189C_.wvu.FilterData" localSheetId="0" hidden="1">Merged_COEM!$A$59:$AN$317</definedName>
    <definedName name="Z_02D2CB07_3C0A_4EA9_BB2C_BDA10CEE189C_.wvu.FilterData" localSheetId="1" hidden="1">Merged_JOEM!$B$59:$AN$355</definedName>
    <definedName name="Z_02F42AF6_AEB8_4115_B8EB_CDA5FF7AFB22_.wvu.FilterData" localSheetId="0" hidden="1">Merged_COEM!$A$59:$AN$317</definedName>
    <definedName name="Z_02F42AF6_AEB8_4115_B8EB_CDA5FF7AFB22_.wvu.FilterData" localSheetId="1" hidden="1">Merged_JOEM!$B$59:$AN$534</definedName>
    <definedName name="Z_02FB7E96_2799_4990_A37E_4BD93CFC5923_.wvu.FilterData" localSheetId="0" hidden="1">Merged_COEM!$A$59:$AN$317</definedName>
    <definedName name="Z_02FB7E96_2799_4990_A37E_4BD93CFC5923_.wvu.FilterData" localSheetId="1" hidden="1">Merged_JOEM!$B$59:$AN$532</definedName>
    <definedName name="Z_0388D3FB_1807_4982_B5C0_93DD569D4E00_.wvu.FilterData" localSheetId="1" hidden="1">Merged_JOEM!$B$59:$AN$274</definedName>
    <definedName name="Z_040E8B46_CA61_4A56_9419_C22F6B3F774B_.wvu.FilterData" localSheetId="0" hidden="1">Merged_COEM!$B$59:$AN$317</definedName>
    <definedName name="Z_04E2D24B_601F_4F5B_AF88_4D71CC02064C_.wvu.FilterData" localSheetId="0" hidden="1">Merged_COEM!$A$59:$AN$317</definedName>
    <definedName name="Z_05361591_7A29_421F_B4E3_2E109EC18103_.wvu.FilterData" localSheetId="0" hidden="1">Merged_COEM!$B$59:$AN$317</definedName>
    <definedName name="Z_055B52FC_2B7B_42BC_9AD2_87565E082A86_.wvu.FilterData" localSheetId="0" hidden="1">Merged_COEM!$B$59:$AN$317</definedName>
    <definedName name="Z_05B18CA3_DA68_4944_AD63_857EF7223B76_.wvu.FilterData" localSheetId="0" hidden="1">Merged_COEM!$A$59:$AN$317</definedName>
    <definedName name="Z_05B18CA3_DA68_4944_AD63_857EF7223B76_.wvu.FilterData" localSheetId="1" hidden="1">Merged_JOEM!$B$59:$AN$532</definedName>
    <definedName name="Z_0600F77B_03E6_457E_8094_42AB3F458D08_.wvu.FilterData" localSheetId="0" hidden="1">Merged_COEM!$B$59:$AN$317</definedName>
    <definedName name="Z_0600F77B_03E6_457E_8094_42AB3F458D08_.wvu.FilterData" localSheetId="1" hidden="1">Merged_JOEM!$B$59:$AN$564</definedName>
    <definedName name="Z_063B0768_12A0_417C_9213_22DD2115979B_.wvu.FilterData" localSheetId="1" hidden="1">Merged_JOEM!$B$59:$AN$534</definedName>
    <definedName name="Z_066EDE56_165F_488D_8F40_8FB2A8AF975D_.wvu.FilterData" localSheetId="1" hidden="1">Merged_JOEM!$B$59:$AN$538</definedName>
    <definedName name="Z_069C8E6F_B807_4CFF_804F_569E084B63E0_.wvu.FilterData" localSheetId="0" hidden="1">Merged_COEM!$B$59:$AN$59</definedName>
    <definedName name="Z_069C8E6F_B807_4CFF_804F_569E084B63E0_.wvu.FilterData" localSheetId="1" hidden="1">Merged_JOEM!$B$59:$AN$59</definedName>
    <definedName name="Z_06C7A52C_D0C4_4DA2_9863_62727E2D844E_.wvu.FilterData" localSheetId="1" hidden="1">Merged_JOEM!$B$59:$AN$564</definedName>
    <definedName name="Z_06E2F1FE_B942_412C_AA23_B5BA85E9E0CA_.wvu.FilterData" localSheetId="0" hidden="1">Merged_COEM!$A$59:$AN$317</definedName>
    <definedName name="Z_06E2F1FE_B942_412C_AA23_B5BA85E9E0CA_.wvu.FilterData" localSheetId="1" hidden="1">Merged_JOEM!$B$59:$AN$557</definedName>
    <definedName name="Z_06F3585B_DEF9_4D3E_A982_B08A4935ED38_.wvu.FilterData" localSheetId="0" hidden="1">Merged_COEM!$B$59:$AN$59</definedName>
    <definedName name="Z_06F3585B_DEF9_4D3E_A982_B08A4935ED38_.wvu.FilterData" localSheetId="1" hidden="1">Merged_JOEM!$B$59:$AN$59</definedName>
    <definedName name="Z_072A26A6_BE55_4F2D_A81B_3D32EF017B86_.wvu.FilterData" localSheetId="0" hidden="1">Merged_COEM!$B$59:$AN$59</definedName>
    <definedName name="Z_072A26A6_BE55_4F2D_A81B_3D32EF017B86_.wvu.FilterData" localSheetId="1" hidden="1">Merged_JOEM!$B$59:$AN$557</definedName>
    <definedName name="Z_07B34DA0_7292_4B42_8B28_B27A13F43E3A_.wvu.FilterData" localSheetId="0" hidden="1">Merged_COEM!$A$59:$AN$317</definedName>
    <definedName name="Z_07BED3F7_9F4A_4367_A4A9_9F2ABEA22AFC_.wvu.FilterData" localSheetId="1" hidden="1">Merged_JOEM!$B$59:$AN$538</definedName>
    <definedName name="Z_087D3374_38FA_4B40_971D_F10F6EEAF440_.wvu.FilterData" localSheetId="0" hidden="1">Merged_COEM!$A$59:$AN$317</definedName>
    <definedName name="Z_08D9EC9E_19A1_44EF_88CC_A93BDAE68A62_.wvu.FilterData" localSheetId="0" hidden="1">Merged_COEM!$B$59:$AN$317</definedName>
    <definedName name="Z_0921E775_DF47_46F9_BB77_A370BDC966C7_.wvu.FilterData" localSheetId="0" hidden="1">Merged_COEM!$A$59:$AN$317</definedName>
    <definedName name="Z_0921E775_DF47_46F9_BB77_A370BDC966C7_.wvu.FilterData" localSheetId="1" hidden="1">Merged_JOEM!$B$59:$AN$93</definedName>
    <definedName name="Z_095FDA14_CE3D_493D_8683_BACDCCE62C0A_.wvu.FilterData" localSheetId="0" hidden="1">Merged_COEM!$A$59:$AN$317</definedName>
    <definedName name="Z_095FDA14_CE3D_493D_8683_BACDCCE62C0A_.wvu.FilterData" localSheetId="1" hidden="1">Merged_JOEM!$B$59:$AN$538</definedName>
    <definedName name="Z_098A3A6D_BE9F_45E5_9A31_50E901908195_.wvu.FilterData" localSheetId="1" hidden="1">Merged_JOEM!$B$59:$AN$564</definedName>
    <definedName name="Z_09D9796A_BBD2_4AF7_BA95_A36C481CA4B7_.wvu.FilterData" localSheetId="0" hidden="1">Merged_COEM!$B$59:$AN$317</definedName>
    <definedName name="Z_0A33C66A_D017_4D2E_A979_2C584E7DC975_.wvu.FilterData" localSheetId="0" hidden="1">Merged_COEM!$A$59:$AN$317</definedName>
    <definedName name="Z_0A33C66A_D017_4D2E_A979_2C584E7DC975_.wvu.FilterData" localSheetId="1" hidden="1">Merged_JOEM!$B$59:$AN$274</definedName>
    <definedName name="Z_0A69D571_3018_4FA4_8C32_E2DFB0614496_.wvu.FilterData" localSheetId="0" hidden="1">Merged_COEM!$A$59:$AN$317</definedName>
    <definedName name="Z_0A6D8CFE_6EB2_43B1_B145_8F368E64B301_.wvu.FilterData" localSheetId="0" hidden="1">Merged_COEM!$A$59:$AN$317</definedName>
    <definedName name="Z_0A6D8CFE_6EB2_43B1_B145_8F368E64B301_.wvu.FilterData" localSheetId="1" hidden="1">Merged_JOEM!$B$59:$AN$564</definedName>
    <definedName name="Z_0A72C20A_78E4_45AF_8BCF_DC5B59043341_.wvu.FilterData" localSheetId="0" hidden="1">Merged_COEM!$A$59:$AN$317</definedName>
    <definedName name="Z_0A72C20A_78E4_45AF_8BCF_DC5B59043341_.wvu.FilterData" localSheetId="1" hidden="1">Merged_JOEM!$B$59:$AN$343</definedName>
    <definedName name="Z_0AA08EE5_3EA4_4BCE_AE2C_842AA3D7A4F6_.wvu.FilterData" localSheetId="0" hidden="1">Merged_COEM!$B$59:$AN$317</definedName>
    <definedName name="Z_0AB06E68_8BB9_4144_A84E_3331A1A4681E_.wvu.FilterData" localSheetId="0" hidden="1">Merged_COEM!$A$59:$AN$317</definedName>
    <definedName name="Z_0B484F93_8218_48C7_A465_CFF3723D2DDF_.wvu.FilterData" localSheetId="0" hidden="1">Merged_COEM!$A$59:$AN$317</definedName>
    <definedName name="Z_0B629CCC_DCFA_448F_AD35_5F0586401E6F_.wvu.FilterData" localSheetId="0" hidden="1">Merged_COEM!$A$59:$AN$317</definedName>
    <definedName name="Z_0B629CCC_DCFA_448F_AD35_5F0586401E6F_.wvu.FilterData" localSheetId="1" hidden="1">Merged_JOEM!$B$59:$AN$557</definedName>
    <definedName name="Z_0C6B4140_26C8_4A85_B5AF_F9A10600F366_.wvu.FilterData" localSheetId="0" hidden="1">Merged_COEM!$B$59:$AN$317</definedName>
    <definedName name="Z_0C6BE164_6BA3_446D_942F_966AE5EA2F00_.wvu.FilterData" localSheetId="0" hidden="1">Merged_COEM!$A$59:$AN$317</definedName>
    <definedName name="Z_0D0A6154_7CBF_4A37_BEA2_AB537B4B2A67_.wvu.FilterData" localSheetId="0" hidden="1">Merged_COEM!$A$59:$AN$317</definedName>
    <definedName name="Z_0D0A6154_7CBF_4A37_BEA2_AB537B4B2A67_.wvu.FilterData" localSheetId="1" hidden="1">Merged_JOEM!$B$59:$AN$564</definedName>
    <definedName name="Z_0D1BA331_ECC5_4B76_BF88_3D8E1D7061B4_.wvu.FilterData" localSheetId="0" hidden="1">Merged_COEM!$B$59:$AN$59</definedName>
    <definedName name="Z_0D1BA331_ECC5_4B76_BF88_3D8E1D7061B4_.wvu.FilterData" localSheetId="1" hidden="1">Merged_JOEM!$B$59:$AN$59</definedName>
    <definedName name="Z_0D6ADB20_C78F_4302_822F_99D9D59DFD49_.wvu.FilterData" localSheetId="1" hidden="1">Merged_JOEM!$B$59:$AN$93</definedName>
    <definedName name="Z_0D9E03C2_A32F_450C_B672_A32B6AB5F4CB_.wvu.FilterData" localSheetId="0" hidden="1">Merged_COEM!$A$59:$AN$317</definedName>
    <definedName name="Z_0E0A1A84_274E_4C87_84D6_9771A179FB59_.wvu.FilterData" localSheetId="0" hidden="1">Merged_COEM!$B$59:$AN$317</definedName>
    <definedName name="Z_0E177208_F531_4668_B683_013CB8491591_.wvu.FilterData" localSheetId="1" hidden="1">Merged_JOEM!$B$59:$AN$564</definedName>
    <definedName name="Z_0E7C8AE3_2DA8_47AA_8279_AE37635256F3_.wvu.FilterData" localSheetId="1" hidden="1">Merged_JOEM!$B$59:$AN$274</definedName>
    <definedName name="Z_0EEA61C8_BDF6_4697_A64F_14220225F3CA_.wvu.FilterData" localSheetId="1" hidden="1">Merged_JOEM!$B$59:$AN$564</definedName>
    <definedName name="Z_0EF03E06_FF78_44D3_8575_221339472074_.wvu.FilterData" localSheetId="0" hidden="1">Merged_COEM!$B$59:$AN$59</definedName>
    <definedName name="Z_0F6BA88F_F1C4_4C06_A527_0FB545F1DFFA_.wvu.FilterData" localSheetId="0" hidden="1">Merged_COEM!$B$59:$AN$317</definedName>
    <definedName name="Z_0F860EF4_5649_4931_8506_A849C414452A_.wvu.FilterData" localSheetId="0" hidden="1">Merged_COEM!$B$59:$AN$59</definedName>
    <definedName name="Z_0FE0C546_D282_4F4F_9A5D_4EC84C00DA49_.wvu.FilterData" localSheetId="0" hidden="1">Merged_COEM!$A$59:$AN$317</definedName>
    <definedName name="Z_0FE0C546_D282_4F4F_9A5D_4EC84C00DA49_.wvu.FilterData" localSheetId="1" hidden="1">Merged_JOEM!$B$59:$AN$274</definedName>
    <definedName name="Z_100C8711_49F0_420E_8575_3C1810AF7CC3_.wvu.FilterData" localSheetId="0" hidden="1">Merged_COEM!$B$59:$AN$317</definedName>
    <definedName name="Z_1041A54E_BA3B_4139_9F70_A0421929FFA9_.wvu.FilterData" localSheetId="0" hidden="1">Merged_COEM!$B$59:$AN$317</definedName>
    <definedName name="Z_1041A54E_BA3B_4139_9F70_A0421929FFA9_.wvu.FilterData" localSheetId="1" hidden="1">Merged_JOEM!$B$59:$AN$130</definedName>
    <definedName name="Z_104AE5AC_8222_46F3_AF76_9492CA93E999_.wvu.FilterData" localSheetId="1" hidden="1">Merged_JOEM!$B$59:$AN$139</definedName>
    <definedName name="Z_106E01A2_3463_4675_BE98_7276F6DD7ABE_.wvu.FilterData" localSheetId="0" hidden="1">Merged_COEM!$B$59:$AN$317</definedName>
    <definedName name="Z_109D4996_9949_4FB4_B04D_C5C7F29005EB_.wvu.FilterData" localSheetId="0" hidden="1">Merged_COEM!$A$59:$AN$317</definedName>
    <definedName name="Z_109D4996_9949_4FB4_B04D_C5C7F29005EB_.wvu.FilterData" localSheetId="1" hidden="1">Merged_JOEM!$B$59:$AN$416</definedName>
    <definedName name="Z_10AEEA8C_92E9_4868_801E_16751B8F1C9F_.wvu.FilterData" localSheetId="0" hidden="1">Merged_COEM!$A$59:$AN$317</definedName>
    <definedName name="Z_10AEEA8C_92E9_4868_801E_16751B8F1C9F_.wvu.FilterData" localSheetId="1" hidden="1">Merged_JOEM!$B$59:$AN$564</definedName>
    <definedName name="Z_10B5054A_878E_4E14_88A5_58B709AC46BE_.wvu.FilterData" localSheetId="0" hidden="1">Merged_COEM!$A$59:$AN$317</definedName>
    <definedName name="Z_10B5054A_878E_4E14_88A5_58B709AC46BE_.wvu.FilterData" localSheetId="1" hidden="1">Merged_JOEM!$B$59:$AN$564</definedName>
    <definedName name="Z_11339B11_1F4C_454D_B7AC_2AE6663A7C4F_.wvu.FilterData" localSheetId="1" hidden="1">Merged_JOEM!$B$59:$AN$564</definedName>
    <definedName name="Z_11367D4E_C5EB_41D2_9AC8_81DB66FC75D0_.wvu.FilterData" localSheetId="0" hidden="1">Merged_COEM!$A$59:$AN$317</definedName>
    <definedName name="Z_11367D4E_C5EB_41D2_9AC8_81DB66FC75D0_.wvu.FilterData" localSheetId="1" hidden="1">Merged_JOEM!$B$59:$AN$564</definedName>
    <definedName name="Z_116C406F_56EF_4929_AB69_7B88A04CBA56_.wvu.FilterData" localSheetId="0" hidden="1">Merged_COEM!$B$59:$AN$59</definedName>
    <definedName name="Z_119BB688_51FD_4E28_B976_424CDF204D2F_.wvu.FilterData" localSheetId="0" hidden="1">Merged_COEM!$A$59:$AN$317</definedName>
    <definedName name="Z_119BB688_51FD_4E28_B976_424CDF204D2F_.wvu.FilterData" localSheetId="1" hidden="1">Merged_JOEM!$B$59:$AN$538</definedName>
    <definedName name="Z_11B267B4_CCB5_4FD4_A4ED_6557FC3F3694_.wvu.FilterData" localSheetId="0" hidden="1">Merged_COEM!$A$59:$AN$317</definedName>
    <definedName name="Z_11B27346_2E80_4400_8BF0_9F583CD5AE0C_.wvu.FilterData" localSheetId="1" hidden="1">Merged_JOEM!$A$59:$AN$532</definedName>
    <definedName name="Z_120A6944_24D5_4B4D_A680_95B4E8DC27D1_.wvu.FilterData" localSheetId="0" hidden="1">Merged_COEM!$A$59:$AN$317</definedName>
    <definedName name="Z_120A6944_24D5_4B4D_A680_95B4E8DC27D1_.wvu.FilterData" localSheetId="1" hidden="1">Merged_JOEM!$B$59:$AN$564</definedName>
    <definedName name="Z_125E42F3_18DE_4272_A548_D075330F5284_.wvu.FilterData" localSheetId="0" hidden="1">Merged_COEM!$A$59:$AN$317</definedName>
    <definedName name="Z_125E42F3_18DE_4272_A548_D075330F5284_.wvu.FilterData" localSheetId="1" hidden="1">Merged_JOEM!$B$59:$AN$564</definedName>
    <definedName name="Z_126B9B84_8631_45A2_A779_A57C4FD4919E_.wvu.FilterData" localSheetId="0" hidden="1">Merged_COEM!$A$59:$AN$317</definedName>
    <definedName name="Z_126B9B84_8631_45A2_A779_A57C4FD4919E_.wvu.FilterData" localSheetId="1" hidden="1">Merged_JOEM!$B$59:$AN$538</definedName>
    <definedName name="Z_12E63D18_AE00_4A77_9D9D_5CD4A725408F_.wvu.FilterData" localSheetId="1" hidden="1">Merged_JOEM!$B$59:$AN$538</definedName>
    <definedName name="Z_1316A344_8526_4A5A_91CB_0B6860CD7B09_.wvu.FilterData" localSheetId="0" hidden="1">Merged_COEM!$A$59:$AN$317</definedName>
    <definedName name="Z_132C6898_7BD8_4053_9284_49B13D9C8D59_.wvu.FilterData" localSheetId="0" hidden="1">Merged_COEM!$B$59:$AN$317</definedName>
    <definedName name="Z_132C6898_7BD8_4053_9284_49B13D9C8D59_.wvu.FilterData" localSheetId="1" hidden="1">Merged_JOEM!$B$59:$AN$59</definedName>
    <definedName name="Z_13421632_55CA_4586_B03E_1FC519AC043B_.wvu.FilterData" localSheetId="0" hidden="1">Merged_COEM!$A$59:$AN$317</definedName>
    <definedName name="Z_13421632_55CA_4586_B03E_1FC519AC043B_.wvu.FilterData" localSheetId="1" hidden="1">Merged_JOEM!$B$59:$AN$564</definedName>
    <definedName name="Z_1423035C_B8AF_4653_8B0C_9092ECDBF18B_.wvu.FilterData" localSheetId="0" hidden="1">Merged_COEM!$A$59:$AN$317</definedName>
    <definedName name="Z_1423035C_B8AF_4653_8B0C_9092ECDBF18B_.wvu.FilterData" localSheetId="1" hidden="1">Merged_JOEM!$B$59:$AN$564</definedName>
    <definedName name="Z_156E4056_F49A_414F_A7D8_B7690A0A76E9_.wvu.FilterData" localSheetId="1" hidden="1">Merged_JOEM!$B$59:$AN$538</definedName>
    <definedName name="Z_1594703F_52BA_4A64_97E2_52459A1FCA6A_.wvu.FilterData" localSheetId="0" hidden="1">Merged_COEM!$A$59:$AN$317</definedName>
    <definedName name="Z_15C8F586_C4FB_448A_B0BF_A38D86E677C3_.wvu.FilterData" localSheetId="1" hidden="1">Merged_JOEM!$B$59:$AN$557</definedName>
    <definedName name="Z_16059B22_ECA7_4CF0_A34D_CD415168CA09_.wvu.FilterData" localSheetId="0" hidden="1">Merged_COEM!$A$59:$AN$317</definedName>
    <definedName name="Z_16059B22_ECA7_4CF0_A34D_CD415168CA09_.wvu.FilterData" localSheetId="1" hidden="1">Merged_JOEM!$B$59:$AN$564</definedName>
    <definedName name="Z_16B45F7C_0861_42E7_9410_12BF8F37DCD7_.wvu.FilterData" localSheetId="0" hidden="1">Merged_COEM!$B$59:$AN$317</definedName>
    <definedName name="Z_16F63D1D_5D08_4984_94E5_2BF0D97B7171_.wvu.FilterData" localSheetId="0" hidden="1">Merged_COEM!$B$59:$AN$317</definedName>
    <definedName name="Z_17183E33_A213_4F3F_9870_F1D7F2A6838A_.wvu.FilterData" localSheetId="0" hidden="1">Merged_COEM!$A$59:$AN$317</definedName>
    <definedName name="Z_174A6792_5EF5_42CE_9B3B_86F53BE71447_.wvu.FilterData" localSheetId="0" hidden="1">Merged_COEM!$B$59:$AN$317</definedName>
    <definedName name="Z_176FC70B_AC0D_4734_B7F2_807063B27563_.wvu.FilterData" localSheetId="0" hidden="1">Merged_COEM!$A$59:$AN$317</definedName>
    <definedName name="Z_176FC70B_AC0D_4734_B7F2_807063B27563_.wvu.FilterData" localSheetId="1" hidden="1">Merged_JOEM!$B$59:$AN$538</definedName>
    <definedName name="Z_177E9F46_91FD_4B8A_A333_529CDC2DA674_.wvu.FilterData" localSheetId="0" hidden="1">Merged_COEM!$A$59:$AN$317</definedName>
    <definedName name="Z_177E9F46_91FD_4B8A_A333_529CDC2DA674_.wvu.FilterData" localSheetId="1" hidden="1">Merged_JOEM!$B$59:$AN$538</definedName>
    <definedName name="Z_17925642_6879_487D_ADC0_372D49287D2A_.wvu.FilterData" localSheetId="0" hidden="1">Merged_COEM!$A$59:$AN$317</definedName>
    <definedName name="Z_17925642_6879_487D_ADC0_372D49287D2A_.wvu.FilterData" localSheetId="1" hidden="1">Merged_JOEM!$B$59:$AN$167</definedName>
    <definedName name="Z_17A5DA2D_485D_40DC_A1E4_8633668BB65B_.wvu.FilterData" localSheetId="0" hidden="1">Merged_COEM!$B$59:$AN$317</definedName>
    <definedName name="Z_17A5DA2D_485D_40DC_A1E4_8633668BB65B_.wvu.FilterData" localSheetId="1" hidden="1">Merged_JOEM!$B$59:$AN$228</definedName>
    <definedName name="Z_18167987_96B8_43EA_AF4B_66ABD6146BE9_.wvu.FilterData" localSheetId="0" hidden="1">Merged_COEM!$A$59:$AN$317</definedName>
    <definedName name="Z_1838E38E_0617_4284_B70D_EE93F3730ED0_.wvu.FilterData" localSheetId="0" hidden="1">Merged_COEM!$B$59:$AN$317</definedName>
    <definedName name="Z_187FE33E_091F_48F5_82B1_AC56446A11C1_.wvu.FilterData" localSheetId="1" hidden="1">Merged_JOEM!$A$59:$AN$534</definedName>
    <definedName name="Z_18D6C49E_A264_40A0_9D3C_E160CA9C6985_.wvu.FilterData" localSheetId="0" hidden="1">Merged_COEM!$A$59:$AN$317</definedName>
    <definedName name="Z_19402149_6114_4022_B33D_3C375B841BD8_.wvu.FilterData" localSheetId="0" hidden="1">Merged_COEM!$A$59:$AN$317</definedName>
    <definedName name="Z_19CD5048_EBFC_47E8_9FD0_E73DC58D3596_.wvu.FilterData" localSheetId="0" hidden="1">Merged_COEM!$A$59:$AN$317</definedName>
    <definedName name="Z_1A235C55_4FC8_4A85_B5B2_85253D71C4D6_.wvu.FilterData" localSheetId="0" hidden="1">Merged_COEM!$A$59:$AN$317</definedName>
    <definedName name="Z_1A40DE1E_71BB_4C99_BB8D_F9966378505E_.wvu.FilterData" localSheetId="0" hidden="1">Merged_COEM!$B$59:$AN$59</definedName>
    <definedName name="Z_1AC2B816_4921_47E2_914A_EF005FD281CF_.wvu.FilterData" localSheetId="1" hidden="1">Merged_JOEM!$B$59:$AN$538</definedName>
    <definedName name="Z_1B258722_B399_4C25_91A3_86BCFCE1DDB0_.wvu.FilterData" localSheetId="0" hidden="1">Merged_COEM!$B$59:$AN$317</definedName>
    <definedName name="Z_1B258722_B399_4C25_91A3_86BCFCE1DDB0_.wvu.FilterData" localSheetId="1" hidden="1">Merged_JOEM!$B$59:$AN$557</definedName>
    <definedName name="Z_1B4D24DE_B85A_4A3A_8CD0_1A40E6C2EC53_.wvu.FilterData" localSheetId="0" hidden="1">Merged_COEM!$B$59:$AN$317</definedName>
    <definedName name="Z_1B5A17C9_3A39_47DF_8140_88DA3B3AFAA5_.wvu.FilterData" localSheetId="0" hidden="1">Merged_COEM!$A$59:$AN$317</definedName>
    <definedName name="Z_1B7B88DD_0F8D_4BC2_AA4B_D8D802FE1AA4_.wvu.FilterData" localSheetId="0" hidden="1">Merged_COEM!$A$59:$AN$317</definedName>
    <definedName name="Z_1B7B88DD_0F8D_4BC2_AA4B_D8D802FE1AA4_.wvu.FilterData" localSheetId="1" hidden="1">Merged_JOEM!$B$59:$AN$557</definedName>
    <definedName name="Z_1BB5EA1F_AAE2_4EFE_AB90_D7BAC0E4951F_.wvu.FilterData" localSheetId="1" hidden="1">Merged_JOEM!$B$59:$AN$557</definedName>
    <definedName name="Z_1BFCAE6D_00EB_4CA0_9800_157E5C060610_.wvu.FilterData" localSheetId="0" hidden="1">Merged_COEM!$B$59:$AN$59</definedName>
    <definedName name="Z_1C772275_C5B7_4D48_A14A_229344678FAE_.wvu.FilterData" localSheetId="0" hidden="1">Merged_COEM!$A$59:$AN$317</definedName>
    <definedName name="Z_1C981C37_6033_4BA7_A26F_21A7E6B2A5A7_.wvu.FilterData" localSheetId="1" hidden="1">Merged_JOEM!$B$59:$AN$538</definedName>
    <definedName name="Z_1CB84568_0C36_49EF_BD1E_29708DF91946_.wvu.FilterData" localSheetId="0" hidden="1">Merged_COEM!$B$59:$AN$317</definedName>
    <definedName name="Z_1CD1B0AD_724D_4F54_AF9A_84E1CFD23A6B_.wvu.FilterData" localSheetId="0" hidden="1">Merged_COEM!$A$59:$AN$317</definedName>
    <definedName name="Z_1CD1B0AD_724D_4F54_AF9A_84E1CFD23A6B_.wvu.FilterData" localSheetId="1" hidden="1">Merged_JOEM!$B$59:$AN$564</definedName>
    <definedName name="Z_1CEFBF46_1407_41EA_A143_B0A34A2B667D_.wvu.FilterData" localSheetId="0" hidden="1">Merged_COEM!$B$59:$AN$317</definedName>
    <definedName name="Z_1CEFBF46_1407_41EA_A143_B0A34A2B667D_.wvu.FilterData" localSheetId="1" hidden="1">Merged_JOEM!$B$59:$AN$557</definedName>
    <definedName name="Z_1DF1AE50_72FB_42B0_A9FE_2F7F55E5FC3D_.wvu.FilterData" localSheetId="0" hidden="1">Merged_COEM!$B$59:$AN$59</definedName>
    <definedName name="Z_1DF1AE50_72FB_42B0_A9FE_2F7F55E5FC3D_.wvu.FilterData" localSheetId="1" hidden="1">Merged_JOEM!$B$59:$AN$557</definedName>
    <definedName name="Z_1E307FCD_934B_4070_BDAA_8F2B33379F52_.wvu.FilterData" localSheetId="0" hidden="1">Merged_COEM!$A$59:$AN$317</definedName>
    <definedName name="Z_1E307FCD_934B_4070_BDAA_8F2B33379F52_.wvu.FilterData" localSheetId="1" hidden="1">Merged_JOEM!$B$59:$AN$564</definedName>
    <definedName name="Z_1F96DBC8_93B4_4D2A_9E79_36D8B29E1FEF_.wvu.FilterData" localSheetId="0" hidden="1">Merged_COEM!$B$59:$AN$317</definedName>
    <definedName name="Z_1FE7120D_DB13_41F0_9DE6_703B2A3D70B8_.wvu.FilterData" localSheetId="0" hidden="1">Merged_COEM!$A$59:$AN$317</definedName>
    <definedName name="Z_1FE7120D_DB13_41F0_9DE6_703B2A3D70B8_.wvu.FilterData" localSheetId="1" hidden="1">Merged_JOEM!$B$59:$AN$538</definedName>
    <definedName name="Z_200A608B_BA79_454E_9949_704CDEBCBE02_.wvu.FilterData" localSheetId="0" hidden="1">Merged_COEM!$B$59:$AN$317</definedName>
    <definedName name="Z_200A608B_BA79_454E_9949_704CDEBCBE02_.wvu.FilterData" localSheetId="1" hidden="1">Merged_JOEM!$B$59:$AN$557</definedName>
    <definedName name="Z_200B8BBC_3261_4338_B3CF_1D7E97745833_.wvu.FilterData" localSheetId="0" hidden="1">Merged_COEM!$B$59:$AN$317</definedName>
    <definedName name="Z_20D828CF_D8F7_480A_A8C6_95288479E98C_.wvu.FilterData" localSheetId="0" hidden="1">Merged_COEM!$A$59:$AN$317</definedName>
    <definedName name="Z_20D828CF_D8F7_480A_A8C6_95288479E98C_.wvu.FilterData" localSheetId="1" hidden="1">Merged_JOEM!$B$59:$AN$557</definedName>
    <definedName name="Z_20E2792A_EB36_4E05_99BF_3FFC9CA25990_.wvu.FilterData" localSheetId="0" hidden="1">Merged_COEM!$A$59:$AN$317</definedName>
    <definedName name="Z_20E2792A_EB36_4E05_99BF_3FFC9CA25990_.wvu.FilterData" localSheetId="1" hidden="1">Merged_JOEM!$B$59:$AN$93</definedName>
    <definedName name="Z_2145B3D5_48CB_4714_A789_B89CA5325EF4_.wvu.FilterData" localSheetId="0" hidden="1">Merged_COEM!$B$59:$AN$59</definedName>
    <definedName name="Z_215B5F14_46F1_4C1B_ACAE_BF4088490709_.wvu.FilterData" localSheetId="0" hidden="1">Merged_COEM!$B$59:$AN$317</definedName>
    <definedName name="Z_215B5F14_46F1_4C1B_ACAE_BF4088490709_.wvu.FilterData" localSheetId="1" hidden="1">Merged_JOEM!$B$59:$AN$538</definedName>
    <definedName name="Z_217D1578_1343_4C4E_A44B_C4B1AE16B41C_.wvu.FilterData" localSheetId="0" hidden="1">Merged_COEM!$A$59:$AN$317</definedName>
    <definedName name="Z_217D1578_1343_4C4E_A44B_C4B1AE16B41C_.wvu.FilterData" localSheetId="1" hidden="1">Merged_JOEM!$B$59:$AN$538</definedName>
    <definedName name="Z_21BB3E48_D422_446E_8AB6_8B38771A9F18_.wvu.FilterData" localSheetId="0" hidden="1">Merged_COEM!$B$59:$AN$317</definedName>
    <definedName name="Z_21DAA9F9_C215_428C_BF04_E405FED15D7B_.wvu.FilterData" localSheetId="0" hidden="1">Merged_COEM!$A$59:$AN$317</definedName>
    <definedName name="Z_21DFCA27_D299_4221_887B_C75003D16FAE_.wvu.FilterData" localSheetId="0" hidden="1">Merged_COEM!$A$59:$AN$317</definedName>
    <definedName name="Z_22065CC9_37AB_47EC_BC97_06D6658ADC1B_.wvu.FilterData" localSheetId="1" hidden="1">Merged_JOEM!$B$59:$AN$228</definedName>
    <definedName name="Z_2291E1DD_CCE6_42EC_B123_A0DA080ADB38_.wvu.FilterData" localSheetId="1" hidden="1">Merged_JOEM!$B$59:$AN$557</definedName>
    <definedName name="Z_230AE275_002A_4985_92AF_B9C07BA0C56D_.wvu.FilterData" localSheetId="0" hidden="1">Merged_COEM!$A$59:$AN$317</definedName>
    <definedName name="Z_230AE275_002A_4985_92AF_B9C07BA0C56D_.wvu.FilterData" localSheetId="1" hidden="1">Merged_JOEM!$B$59:$AN$564</definedName>
    <definedName name="Z_232B9C3A_6049_4DD1_AAEB_B730189E6200_.wvu.FilterData" localSheetId="1" hidden="1">Merged_JOEM!$B$59:$AN$534</definedName>
    <definedName name="Z_237F83C6_2F54_4671_B72D_439DC986FA43_.wvu.FilterData" localSheetId="0" hidden="1">Merged_COEM!$A$59:$AN$317</definedName>
    <definedName name="Z_237F83C6_2F54_4671_B72D_439DC986FA43_.wvu.FilterData" localSheetId="1" hidden="1">Merged_JOEM!$B$59:$AN$557</definedName>
    <definedName name="Z_23D245D9_7B35_44A2_94B6_4223E1EC05C6_.wvu.FilterData" localSheetId="0" hidden="1">Merged_COEM!$A$59:$AN$317</definedName>
    <definedName name="Z_23D245D9_7B35_44A2_94B6_4223E1EC05C6_.wvu.FilterData" localSheetId="1" hidden="1">Merged_JOEM!$B$59:$AN$538</definedName>
    <definedName name="Z_23D7C543_4321_4BD5_A266_51B179CE94C1_.wvu.FilterData" localSheetId="0" hidden="1">Merged_COEM!$A$59:$AN$317</definedName>
    <definedName name="Z_23D7C543_4321_4BD5_A266_51B179CE94C1_.wvu.FilterData" localSheetId="1" hidden="1">Merged_JOEM!$B$59:$AN$532</definedName>
    <definedName name="Z_243D98C0_AF41_4E98_98EA_8605BD375B77_.wvu.FilterData" localSheetId="0" hidden="1">Merged_COEM!$B$59:$AN$317</definedName>
    <definedName name="Z_248003BD_EA5C_44B1_A093_224389DDBE20_.wvu.FilterData" localSheetId="0" hidden="1">Merged_COEM!$B$59:$AN$317</definedName>
    <definedName name="Z_24F938AF_0FF7_4211_AC75_7C89293FE5CE_.wvu.FilterData" localSheetId="0" hidden="1">Merged_COEM!$B$59:$AN$317</definedName>
    <definedName name="Z_2501AD2B_A07A_49BF_BF9A_AD98671EC307_.wvu.FilterData" localSheetId="0" hidden="1">Merged_COEM!$B$59:$AN$317</definedName>
    <definedName name="Z_250915DF_0B97_45D7_B29D_7EED4C89C1C1_.wvu.FilterData" localSheetId="0" hidden="1">Merged_COEM!$B$59:$AN$317</definedName>
    <definedName name="Z_250915DF_0B97_45D7_B29D_7EED4C89C1C1_.wvu.FilterData" localSheetId="1" hidden="1">Merged_JOEM!$B$59:$AN$59</definedName>
    <definedName name="Z_2524EDF4_CFD1_4CF6_8C84_E557B12D463E_.wvu.FilterData" localSheetId="0" hidden="1">Merged_COEM!$B$59:$AN$317</definedName>
    <definedName name="Z_254527B6_AF1D_4BAA_A397_AA4549043C81_.wvu.FilterData" localSheetId="0" hidden="1">Merged_COEM!$B$59:$AN$317</definedName>
    <definedName name="Z_254527B6_AF1D_4BAA_A397_AA4549043C81_.wvu.FilterData" localSheetId="1" hidden="1">Merged_JOEM!$B$59:$AN$538</definedName>
    <definedName name="Z_259D5BFF_B9A1_490C_AB12_1421827E23D6_.wvu.FilterData" localSheetId="0" hidden="1">Merged_COEM!$A$59:$AN$317</definedName>
    <definedName name="Z_25B933AF_E355_4338_8073_05504304F531_.wvu.FilterData" localSheetId="0" hidden="1">Merged_COEM!$A$59:$AN$317</definedName>
    <definedName name="Z_25FBC392_575A_46D5_8F77_708EBF5D79D6_.wvu.FilterData" localSheetId="0" hidden="1">Merged_COEM!$B$59:$AN$317</definedName>
    <definedName name="Z_25FBC392_575A_46D5_8F77_708EBF5D79D6_.wvu.FilterData" localSheetId="1" hidden="1">Merged_JOEM!$B$59:$AN$59</definedName>
    <definedName name="Z_26B03FE1_7816_4BFE_A93D_ED2084BAE8F0_.wvu.FilterData" localSheetId="0" hidden="1">Merged_COEM!$B$59:$AN$317</definedName>
    <definedName name="Z_26D1F5A5_96D6_4E71_B7C1_A23D5D0DBEB6_.wvu.FilterData" localSheetId="0" hidden="1">Merged_COEM!$B$59:$AN$317</definedName>
    <definedName name="Z_2707BC00_D1A8_4E5B_87AC_7CA121E79D65_.wvu.FilterData" localSheetId="0" hidden="1">Merged_COEM!$A$59:$AN$317</definedName>
    <definedName name="Z_2707BC00_D1A8_4E5B_87AC_7CA121E79D65_.wvu.FilterData" localSheetId="1" hidden="1">Merged_JOEM!$B$59:$AN$534</definedName>
    <definedName name="Z_278C5F8A_6BC0_4A01_A343_CB5ED23E686C_.wvu.FilterData" localSheetId="0" hidden="1">Merged_COEM!$B$59:$AN$317</definedName>
    <definedName name="Z_28129A8E_4F11_454E_8B08_01465DFCCE16_.wvu.FilterData" localSheetId="0" hidden="1">Merged_COEM!$B$59:$AN$59</definedName>
    <definedName name="Z_28129A8E_4F11_454E_8B08_01465DFCCE16_.wvu.FilterData" localSheetId="1" hidden="1">Merged_JOEM!$B$59:$AN$59</definedName>
    <definedName name="Z_283D4045_5188_4FA2_AA4A_D83AF43FEE1E_.wvu.FilterData" localSheetId="0" hidden="1">Merged_COEM!$A$59:$AN$317</definedName>
    <definedName name="Z_285DD5EF_1CB5_4C35_A533_25F2740DEC08_.wvu.FilterData" localSheetId="0" hidden="1">Merged_COEM!$B$59:$AN$59</definedName>
    <definedName name="Z_28C8BD23_5329_4874_A7AD_73CAB08624FE_.wvu.FilterData" localSheetId="1" hidden="1">Merged_JOEM!$B$59:$AN$315</definedName>
    <definedName name="Z_29839EDF_F2F9_4AC5_A497_0424D917FB56_.wvu.FilterData" localSheetId="0" hidden="1">Merged_COEM!$B$59:$AN$59</definedName>
    <definedName name="Z_29D3FF7C_BAD6_452E_A054_D8327450372D_.wvu.FilterData" localSheetId="0" hidden="1">Merged_COEM!$A$59:$AN$317</definedName>
    <definedName name="Z_29D3FF7C_BAD6_452E_A054_D8327450372D_.wvu.FilterData" localSheetId="1" hidden="1">Merged_JOEM!$B$59:$AN$354</definedName>
    <definedName name="Z_2A7AD122_F9C8_4A2C_A59F_C6EA38D19623_.wvu.FilterData" localSheetId="0" hidden="1">Merged_COEM!$A$59:$AN$317</definedName>
    <definedName name="Z_2A9975D9_7C20_4632_A4AA_EE470CC19EE0_.wvu.FilterData" localSheetId="0" hidden="1">Merged_COEM!$B$59:$AN$317</definedName>
    <definedName name="Z_2AB2D19C_A4BA_4574_8CD8_E01DB9CEF44C_.wvu.FilterData" localSheetId="0" hidden="1">Merged_COEM!$A$59:$AN$317</definedName>
    <definedName name="Z_2AB2D19C_A4BA_4574_8CD8_E01DB9CEF44C_.wvu.FilterData" localSheetId="1" hidden="1">Merged_JOEM!$B$59:$AN$564</definedName>
    <definedName name="Z_2BB144EC_5E5F_4D44_AD8D_03EF7D4BC90D_.wvu.FilterData" localSheetId="0" hidden="1">Merged_COEM!$A$59:$AN$317</definedName>
    <definedName name="Z_2BB7C7F9_75AA_4B3F_AF2D_E10396E569D3_.wvu.FilterData" localSheetId="0" hidden="1">Merged_COEM!$A$59:$AN$317</definedName>
    <definedName name="Z_2BB7C7F9_75AA_4B3F_AF2D_E10396E569D3_.wvu.FilterData" localSheetId="1" hidden="1">Merged_JOEM!$B$59:$AN$93</definedName>
    <definedName name="Z_2BC2A590_9684_4447_B38C_65C6FB0CEC4B_.wvu.FilterData" localSheetId="0" hidden="1">Merged_COEM!$A$59:$AN$317</definedName>
    <definedName name="Z_2BC2A590_9684_4447_B38C_65C6FB0CEC4B_.wvu.FilterData" localSheetId="1" hidden="1">Merged_JOEM!$B$59:$AN$564</definedName>
    <definedName name="Z_2C16F201_7F88_4F6B_A036_7E2F987161C5_.wvu.FilterData" localSheetId="0" hidden="1">Merged_COEM!$B$59:$AN$59</definedName>
    <definedName name="Z_2C16F201_7F88_4F6B_A036_7E2F987161C5_.wvu.FilterData" localSheetId="1" hidden="1">Merged_JOEM!$B$59:$AN$557</definedName>
    <definedName name="Z_2C1EB19B_B948_4109_9D26_12E6653E5E5A_.wvu.FilterData" localSheetId="0" hidden="1">Merged_COEM!$A$59:$AN$317</definedName>
    <definedName name="Z_2C1EB19B_B948_4109_9D26_12E6653E5E5A_.wvu.FilterData" localSheetId="1" hidden="1">Merged_JOEM!$B$59:$AN$557</definedName>
    <definedName name="Z_2C3435F1_E81D_47F6_BD8B_DF1F8AAB8E69_.wvu.FilterData" localSheetId="1" hidden="1">Merged_JOEM!$B$59:$AN$59</definedName>
    <definedName name="Z_2C75BAC8_7BA6_496F_8982_76E32EA3035D_.wvu.FilterData" localSheetId="0" hidden="1">Merged_COEM!$A$59:$AN$317</definedName>
    <definedName name="Z_2C75BAC8_7BA6_496F_8982_76E32EA3035D_.wvu.FilterData" localSheetId="1" hidden="1">Merged_JOEM!$B$59:$AN$354</definedName>
    <definedName name="Z_2D311D13_F455_493F_A4CC_19FFB7B72C04_.wvu.FilterData" localSheetId="1" hidden="1">Merged_JOEM!$B$59:$AN$274</definedName>
    <definedName name="Z_2D809D6B_2E51_47F1_9DCB_0CD6A0D443DD_.wvu.FilterData" localSheetId="0" hidden="1">Merged_COEM!$A$59:$AN$317</definedName>
    <definedName name="Z_2D809D6B_2E51_47F1_9DCB_0CD6A0D443DD_.wvu.FilterData" localSheetId="1" hidden="1">Merged_JOEM!$B$59:$AN$557</definedName>
    <definedName name="Z_2D9C8AE5_DCBC_444F_972E_A405F428F9A1_.wvu.FilterData" localSheetId="0" hidden="1">Merged_COEM!$A$59:$AN$317</definedName>
    <definedName name="Z_2D9C8AE5_DCBC_444F_972E_A405F428F9A1_.wvu.FilterData" localSheetId="1" hidden="1">Merged_JOEM!$B$59:$AN$564</definedName>
    <definedName name="Z_2E090A56_2888_4935_9988_615F66B95039_.wvu.FilterData" localSheetId="0" hidden="1">Merged_COEM!$B$59:$AN$317</definedName>
    <definedName name="Z_2E090A56_2888_4935_9988_615F66B95039_.wvu.FilterData" localSheetId="1" hidden="1">Merged_JOEM!$B$59:$AN$228</definedName>
    <definedName name="Z_2E32B38E_8332_4B76_9525_4C9E4A492B76_.wvu.FilterData" localSheetId="0" hidden="1">Merged_COEM!$A$59:$AN$317</definedName>
    <definedName name="Z_2E32B38E_8332_4B76_9525_4C9E4A492B76_.wvu.FilterData" localSheetId="1" hidden="1">Merged_JOEM!$B$59:$AN$564</definedName>
    <definedName name="Z_2E715778_0FD5_4002_A3DD_663BBC9D2879_.wvu.FilterData" localSheetId="0" hidden="1">Merged_COEM!$B$59:$AN$59</definedName>
    <definedName name="Z_2ECACE1E_D2E3_430C_8EF5_F1F6D824E42A_.wvu.FilterData" localSheetId="0" hidden="1">Merged_COEM!$A$59:$AN$317</definedName>
    <definedName name="Z_2ECACE1E_D2E3_430C_8EF5_F1F6D824E42A_.wvu.FilterData" localSheetId="1" hidden="1">Merged_JOEM!$B$59:$AN$315</definedName>
    <definedName name="Z_2EE4D9DF_B5D6_4F80_B201_455C7DF6B90A_.wvu.FilterData" localSheetId="0" hidden="1">Merged_COEM!$A$59:$AN$317</definedName>
    <definedName name="Z_2F4A13F2_5E21_45ED_9816_32CE9A2BF9E6_.wvu.FilterData" localSheetId="1" hidden="1">Merged_JOEM!$B$59:$AN$463</definedName>
    <definedName name="Z_2F601AC7_90C0_4B91_8424_FA87F0904645_.wvu.FilterData" localSheetId="0" hidden="1">Merged_COEM!$A$59:$AN$317</definedName>
    <definedName name="Z_2F98AE93_1499_4E97_BBE1_A4D77749ECC8_.wvu.FilterData" localSheetId="1" hidden="1">Merged_JOEM!$B$59:$AN$331</definedName>
    <definedName name="Z_2FD7C8F0_78E3_4394_A20B_82E7EACF1033_.wvu.FilterData" localSheetId="1" hidden="1">Merged_JOEM!$B$59:$AN$228</definedName>
    <definedName name="Z_30423F23_C01E_4086_8373_3C7B340DEBD4_.wvu.FilterData" localSheetId="1" hidden="1">Merged_JOEM!$B$59:$AN$274</definedName>
    <definedName name="Z_30448A52_705D_4B87_AE53_EC31210B9026_.wvu.FilterData" localSheetId="0" hidden="1">Merged_COEM!$A$59:$AN$317</definedName>
    <definedName name="Z_30448A52_705D_4B87_AE53_EC31210B9026_.wvu.FilterData" localSheetId="1" hidden="1">Merged_JOEM!$B$59:$AN$315</definedName>
    <definedName name="Z_307AA98B_D1DC_46DD_8986_F774A0EA6252_.wvu.FilterData" localSheetId="0" hidden="1">Merged_COEM!$A$59:$AN$317</definedName>
    <definedName name="Z_307AA98B_D1DC_46DD_8986_F774A0EA6252_.wvu.FilterData" localSheetId="1" hidden="1">Merged_JOEM!$A$59:$AN$534</definedName>
    <definedName name="Z_308F0676_A9B9_4C93_A293_C6BBBCA54ABC_.wvu.FilterData" localSheetId="0" hidden="1">Merged_COEM!$A$59:$AN$317</definedName>
    <definedName name="Z_30D2769D_31AE_47C4_90E9_5943152B3935_.wvu.FilterData" localSheetId="1" hidden="1">Merged_JOEM!$B$59:$AN$557</definedName>
    <definedName name="Z_30D9789E_A4FF_40E9_BF67_29ADA8CB1212_.wvu.FilterData" localSheetId="0" hidden="1">Merged_COEM!$B$59:$AN$317</definedName>
    <definedName name="Z_30F8A201_E4CA_4B8D_9C8A_6BF5BBDF1856_.wvu.FilterData" localSheetId="0" hidden="1">Merged_COEM!$A$59:$AN$317</definedName>
    <definedName name="Z_30F8A201_E4CA_4B8D_9C8A_6BF5BBDF1856_.wvu.FilterData" localSheetId="1" hidden="1">Merged_JOEM!$B$59:$AN$274</definedName>
    <definedName name="Z_30F91928_68DC_482E_AABC_DF89AB048D73_.wvu.FilterData" localSheetId="0" hidden="1">Merged_COEM!$A$59:$AN$317</definedName>
    <definedName name="Z_30F91928_68DC_482E_AABC_DF89AB048D73_.wvu.FilterData" localSheetId="1" hidden="1">Merged_JOEM!$B$59:$AN$564</definedName>
    <definedName name="Z_31148D3F_D233_4B5E_92DE_30A4208F1672_.wvu.FilterData" localSheetId="0" hidden="1">Merged_COEM!$A$59:$AN$317</definedName>
    <definedName name="Z_3130D014_973F_4DF5_B95F_39633D93F2F2_.wvu.FilterData" localSheetId="0" hidden="1">Merged_COEM!$A$59:$AN$317</definedName>
    <definedName name="Z_31A40E8B_548E_40B3_85D0_F053A5085308_.wvu.FilterData" localSheetId="0" hidden="1">Merged_COEM!$A$59:$AN$317</definedName>
    <definedName name="Z_31A40E8B_548E_40B3_85D0_F053A5085308_.wvu.FilterData" localSheetId="1" hidden="1">Merged_JOEM!$B$59:$AN$538</definedName>
    <definedName name="Z_323A885D_1080_4AF5_BB90_51C9DB809B81_.wvu.FilterData" localSheetId="1" hidden="1">Merged_JOEM!$B$59:$AN$354</definedName>
    <definedName name="Z_336B6883_2145_4B58_921E_CEC7185A847E_.wvu.Cols" localSheetId="1" hidden="1">Merged_JOEM!$A:$G,Merged_JOEM!$K:$K,Merged_JOEM!$M:$N,Merged_JOEM!$P:$Q,Merged_JOEM!$S:$X,Merged_JOEM!$AB:$AD</definedName>
    <definedName name="Z_336B6883_2145_4B58_921E_CEC7185A847E_.wvu.FilterData" localSheetId="0" hidden="1">Merged_COEM!$P$59:$P$317</definedName>
    <definedName name="Z_336B6883_2145_4B58_921E_CEC7185A847E_.wvu.FilterData" localSheetId="1" hidden="1">Merged_JOEM!$B$59:$AN$557</definedName>
    <definedName name="Z_3379F5D4_5E76_428C_9353_FFA4709A8F67_.wvu.FilterData" localSheetId="0" hidden="1">Merged_COEM!$A$59:$AN$317</definedName>
    <definedName name="Z_3379F5D4_5E76_428C_9353_FFA4709A8F67_.wvu.FilterData" localSheetId="1" hidden="1">Merged_JOEM!$B$59:$AN$463</definedName>
    <definedName name="Z_340679E5_EE95_46DD_AAED_AB4132625FC4_.wvu.FilterData" localSheetId="0" hidden="1">Merged_COEM!$A$59:$AN$317</definedName>
    <definedName name="Z_340679E5_EE95_46DD_AAED_AB4132625FC4_.wvu.FilterData" localSheetId="1" hidden="1">Merged_JOEM!$B$59:$AN$538</definedName>
    <definedName name="Z_35056E6E_D60B_468D_9B77_E32CA6AEE68F_.wvu.FilterData" localSheetId="0" hidden="1">Merged_COEM!$B$59:$AN$59</definedName>
    <definedName name="Z_35056E6E_D60B_468D_9B77_E32CA6AEE68F_.wvu.FilterData" localSheetId="1" hidden="1">Merged_JOEM!$B$59:$AN$228</definedName>
    <definedName name="Z_352F7979_7891_4C3B_A1C2_F092716CECF2_.wvu.FilterData" localSheetId="0" hidden="1">Merged_COEM!$A$59:$AN$317</definedName>
    <definedName name="Z_35786AA9_2E48_405B_9347_0ADA1F299865_.wvu.FilterData" localSheetId="1" hidden="1">Merged_JOEM!$B$59:$AN$538</definedName>
    <definedName name="Z_36540C60_265F_4498_B23A_15E0886B2552_.wvu.FilterData" localSheetId="0" hidden="1">Merged_COEM!$A$59:$AN$317</definedName>
    <definedName name="Z_36599628_2389_4803_851A_D6E5004D8A4F_.wvu.FilterData" localSheetId="0" hidden="1">Merged_COEM!$A$59:$AN$317</definedName>
    <definedName name="Z_36623BD2_CACF_4A31_9FDE_180BE1FBD22D_.wvu.FilterData" localSheetId="0" hidden="1">Merged_COEM!$A$59:$AN$317</definedName>
    <definedName name="Z_36B89FCF_06F8_420B_B5B7_D30030E7DBE9_.wvu.FilterData" localSheetId="0" hidden="1">Merged_COEM!$B$59:$AN$317</definedName>
    <definedName name="Z_3874996D_2C2B_4338_B6B4_F3173CC1B067_.wvu.FilterData" localSheetId="0" hidden="1">Merged_COEM!$B$59:$AN$317</definedName>
    <definedName name="Z_389C76C2_C502_4EAE_BD4B_6D7DAF4A1938_.wvu.FilterData" localSheetId="0" hidden="1">Merged_COEM!$A$59:$AN$317</definedName>
    <definedName name="Z_39427D5B_F473_4CF7_84AB_A752B113723A_.wvu.FilterData" localSheetId="1" hidden="1">Merged_JOEM!$B$59:$AN$538</definedName>
    <definedName name="Z_399A2B8F_620D_4119_8345_C1BC98E6FDED_.wvu.FilterData" localSheetId="0" hidden="1">Merged_COEM!$A$59:$AN$317</definedName>
    <definedName name="Z_39E4AC89_7841_4E5A_8620_536EED1E7344_.wvu.FilterData" localSheetId="0" hidden="1">Merged_COEM!$A$59:$AN$317</definedName>
    <definedName name="Z_39E4AC89_7841_4E5A_8620_536EED1E7344_.wvu.FilterData" localSheetId="1" hidden="1">Merged_JOEM!$B$59:$AN$534</definedName>
    <definedName name="Z_3A3DB99F_F462_44E1_B1E7_E76CEAEEA419_.wvu.FilterData" localSheetId="0" hidden="1">Merged_COEM!$A$59:$AN$317</definedName>
    <definedName name="Z_3A3DB99F_F462_44E1_B1E7_E76CEAEEA419_.wvu.FilterData" localSheetId="1" hidden="1">Merged_JOEM!$B$59:$AN$538</definedName>
    <definedName name="Z_3A801556_43C5_4BD3_9032_2EEFBEA893C0_.wvu.FilterData" localSheetId="1" hidden="1">Merged_JOEM!$B$59:$AN$337</definedName>
    <definedName name="Z_3B3E6719_EACB_4D2C_89C1_05FFAB6020FD_.wvu.FilterData" localSheetId="0" hidden="1">Merged_COEM!$A$59:$AN$317</definedName>
    <definedName name="Z_3B3E6719_EACB_4D2C_89C1_05FFAB6020FD_.wvu.FilterData" localSheetId="1" hidden="1">Merged_JOEM!$B$59:$AN$557</definedName>
    <definedName name="Z_3B45C606_206A_455F_B529_DFEB684DA3EB_.wvu.FilterData" localSheetId="1" hidden="1">Merged_JOEM!$B$59:$AN$315</definedName>
    <definedName name="Z_3B4E6437_AA27_4825_92C4_EE0CE894630B_.wvu.FilterData" localSheetId="1" hidden="1">Merged_JOEM!$B$59:$AN$167</definedName>
    <definedName name="Z_3B954526_77A2_415B_8A44_A388EFC846B3_.wvu.FilterData" localSheetId="0" hidden="1">Merged_COEM!$A$59:$AN$317</definedName>
    <definedName name="Z_3C3D8148_CC77_4F21_831C_F88D10B59C24_.wvu.FilterData" localSheetId="1" hidden="1">Merged_JOEM!$B$59:$AN$274</definedName>
    <definedName name="Z_3C5C5F0C_A99F_4360_9E8D_ACCAA835E36C_.wvu.FilterData" localSheetId="1" hidden="1">Merged_JOEM!$B$59:$AN$557</definedName>
    <definedName name="Z_3D4CD47C_226B_4FF1_88AF_593F8969A0FD_.wvu.FilterData" localSheetId="0" hidden="1">Merged_COEM!$A$59:$AN$317</definedName>
    <definedName name="Z_3D91D09F_6D0C_4255_BA2B_6BD947E2FF0E_.wvu.FilterData" localSheetId="0" hidden="1">Merged_COEM!$B$59:$AN$317</definedName>
    <definedName name="Z_3DA6A480_37AA_4361_B359_67BDC8170173_.wvu.FilterData" localSheetId="0" hidden="1">Merged_COEM!$B$59:$AN$317</definedName>
    <definedName name="Z_3DE9B179_E2E6_467A_9DD7_0F3E3A90D04B_.wvu.FilterData" localSheetId="0" hidden="1">Merged_COEM!$A$59:$AN$317</definedName>
    <definedName name="Z_3DF09920_EE81_4793_85ED_952B91BC0FF9_.wvu.FilterData" localSheetId="0" hidden="1">Merged_COEM!$A$59:$AN$317</definedName>
    <definedName name="Z_3DF09920_EE81_4793_85ED_952B91BC0FF9_.wvu.FilterData" localSheetId="1" hidden="1">Merged_JOEM!$B$59:$AN$331</definedName>
    <definedName name="Z_3E3EE777_FBC3_4BBA_B1D6_0E928DBEDF6C_.wvu.FilterData" localSheetId="0" hidden="1">Merged_COEM!$A$59:$AN$317</definedName>
    <definedName name="Z_3E3EE777_FBC3_4BBA_B1D6_0E928DBEDF6C_.wvu.FilterData" localSheetId="1" hidden="1">Merged_JOEM!$B$59:$AN$534</definedName>
    <definedName name="Z_3E3F0822_A017_450A_AAE1_67E212084D3A_.wvu.FilterData" localSheetId="0" hidden="1">Merged_COEM!$A$59:$AN$317</definedName>
    <definedName name="Z_3E3F0822_A017_450A_AAE1_67E212084D3A_.wvu.FilterData" localSheetId="1" hidden="1">Merged_JOEM!$B$59:$AN$315</definedName>
    <definedName name="Z_3E512D20_8B7B_452F_8EE9_28F7DEAB8451_.wvu.FilterData" localSheetId="1" hidden="1">Merged_JOEM!$B$59:$AN$538</definedName>
    <definedName name="Z_3E8FBB19_A64D_448B_81AB_04038F2F5450_.wvu.FilterData" localSheetId="0" hidden="1">Merged_COEM!$A$59:$AN$317</definedName>
    <definedName name="Z_3E996AB7_9F11_4FF7_8D4A_AB69CCF7F453_.wvu.FilterData" localSheetId="0" hidden="1">Merged_COEM!$B$59:$AN$59</definedName>
    <definedName name="Z_3E996AB7_9F11_4FF7_8D4A_AB69CCF7F453_.wvu.FilterData" localSheetId="1" hidden="1">Merged_JOEM!$B$59:$AN$557</definedName>
    <definedName name="Z_3EA4C9FF_8C78_4D45_BDC9_FDE42D0A7F9D_.wvu.FilterData" localSheetId="0" hidden="1">Merged_COEM!$A$59:$AN$317</definedName>
    <definedName name="Z_3EA4C9FF_8C78_4D45_BDC9_FDE42D0A7F9D_.wvu.FilterData" localSheetId="1" hidden="1">Merged_JOEM!$B$59:$AN$274</definedName>
    <definedName name="Z_3F2D718E_A8F5_4195_B9AD_DD90158865D0_.wvu.FilterData" localSheetId="0" hidden="1">Merged_COEM!$A$59:$AN$317</definedName>
    <definedName name="Z_3F2D718E_A8F5_4195_B9AD_DD90158865D0_.wvu.FilterData" localSheetId="1" hidden="1">Merged_JOEM!$B$59:$AN$538</definedName>
    <definedName name="Z_3F3C2FF1_7DE3_44CF_ADEA_69A591BC0518_.wvu.FilterData" localSheetId="0" hidden="1">Merged_COEM!$A$59:$AN$317</definedName>
    <definedName name="Z_3F7EF641_556C_46DE_86B1_8FD08FA7AADD_.wvu.FilterData" localSheetId="1" hidden="1">Merged_JOEM!$B$59:$AN$59</definedName>
    <definedName name="Z_3FE10495_1B6C_4959_94D5_3F24189E452B_.wvu.FilterData" localSheetId="0" hidden="1">Merged_COEM!$A$59:$AN$317</definedName>
    <definedName name="Z_3FE10495_1B6C_4959_94D5_3F24189E452B_.wvu.FilterData" localSheetId="1" hidden="1">Merged_JOEM!$B$59:$AN$557</definedName>
    <definedName name="Z_401E0DCE_A68E_49A9_8102_9884577193E5_.wvu.FilterData" localSheetId="1" hidden="1">Merged_JOEM!$B$59:$AN$564</definedName>
    <definedName name="Z_40A964FB_C92A_49B8_9AA3_FE8F219A42A3_.wvu.FilterData" localSheetId="0" hidden="1">Merged_COEM!$B$59:$AN$317</definedName>
    <definedName name="Z_410A5739_65A6_4083_AD75_810DFD50385D_.wvu.FilterData" localSheetId="0" hidden="1">Merged_COEM!$B$59:$AN$317</definedName>
    <definedName name="Z_410A5739_65A6_4083_AD75_810DFD50385D_.wvu.FilterData" localSheetId="1" hidden="1">Merged_JOEM!$B$59:$AN$228</definedName>
    <definedName name="Z_4113A7E6_6C3F_4D64_B0E0_3D21B9E2D7FB_.wvu.FilterData" localSheetId="0" hidden="1">Merged_COEM!$A$59:$AN$317</definedName>
    <definedName name="Z_4113A7E6_6C3F_4D64_B0E0_3D21B9E2D7FB_.wvu.FilterData" localSheetId="1" hidden="1">Merged_JOEM!$B$59:$AN$564</definedName>
    <definedName name="Z_4159EBD5_3F29_43BF_9091_937341109825_.wvu.FilterData" localSheetId="1" hidden="1">Merged_JOEM!$B$59:$AN$538</definedName>
    <definedName name="Z_418BE608_8E05_425D_ADF5_C98828D3118E_.wvu.FilterData" localSheetId="0" hidden="1">Merged_COEM!$A$59:$AN$317</definedName>
    <definedName name="Z_418BE608_8E05_425D_ADF5_C98828D3118E_.wvu.FilterData" localSheetId="1" hidden="1">Merged_JOEM!$B$59:$AN$93</definedName>
    <definedName name="Z_418FE5D8_ED33_487E_935B_D5A73A0239F7_.wvu.FilterData" localSheetId="0" hidden="1">Merged_COEM!$B$59:$AN$317</definedName>
    <definedName name="Z_41B3B5E7_01C8_41FF_922A_4593EFAB73DD_.wvu.FilterData" localSheetId="0" hidden="1">Merged_COEM!$A$59:$AN$317</definedName>
    <definedName name="Z_41B3B5E7_01C8_41FF_922A_4593EFAB73DD_.wvu.FilterData" localSheetId="1" hidden="1">Merged_JOEM!$B$59:$AN$343</definedName>
    <definedName name="Z_41B7224C_354F_4B88_9B98_43627917A540_.wvu.FilterData" localSheetId="0" hidden="1">Merged_COEM!$A$59:$AN$317</definedName>
    <definedName name="Z_41DCA6EC_5692_4454_B626_EEE78EA80FBF_.wvu.FilterData" localSheetId="1" hidden="1">Merged_JOEM!$B$59:$AN$564</definedName>
    <definedName name="Z_41E28B46_16FD_473E_AED2_27DFD35D1D37_.wvu.FilterData" localSheetId="0" hidden="1">Merged_COEM!$B$59:$AN$317</definedName>
    <definedName name="Z_41E28B46_16FD_473E_AED2_27DFD35D1D37_.wvu.FilterData" localSheetId="1" hidden="1">Merged_JOEM!$B$59:$AN$564</definedName>
    <definedName name="Z_41E605F5_B28F_4BC6_9DF2_D2AF66B5F685_.wvu.FilterData" localSheetId="0" hidden="1">Merged_COEM!$B$59:$AN$317</definedName>
    <definedName name="Z_41E7CAB0_2A4B_4958_880B_BCC01CA8D9B0_.wvu.FilterData" localSheetId="0" hidden="1">Merged_COEM!$A$59:$AN$317</definedName>
    <definedName name="Z_41E7CAB0_2A4B_4958_880B_BCC01CA8D9B0_.wvu.FilterData" localSheetId="1" hidden="1">Merged_JOEM!$B$59:$AN$463</definedName>
    <definedName name="Z_4220BD7A_5279_44B7_9128_8036388EB893_.wvu.FilterData" localSheetId="0" hidden="1">Merged_COEM!$B$59:$AN$317</definedName>
    <definedName name="Z_425A2E89_916B_4444_B171_BEFEB4EF24C6_.wvu.FilterData" localSheetId="1" hidden="1">Merged_JOEM!$B$59:$AN$557</definedName>
    <definedName name="Z_42AC1B0D_F791_4C63_92EF_E01CFF03908D_.wvu.FilterData" localSheetId="0" hidden="1">Merged_COEM!$B$59:$AN$317</definedName>
    <definedName name="Z_42AC1B0D_F791_4C63_92EF_E01CFF03908D_.wvu.FilterData" localSheetId="1" hidden="1">Merged_JOEM!$B$59:$AN$564</definedName>
    <definedName name="Z_42AD34C9_C124_4891_A108_88C3C0237529_.wvu.FilterData" localSheetId="0" hidden="1">Merged_COEM!$B$59:$AN$317</definedName>
    <definedName name="Z_42B4B22B_3661_4B4F_B6F8_C22BE5CABCC0_.wvu.FilterData" localSheetId="0" hidden="1">Merged_COEM!$A$59:$AN$317</definedName>
    <definedName name="Z_42E40103_7615_46A1_B31B_E7FFA4654119_.wvu.FilterData" localSheetId="1" hidden="1">Merged_JOEM!$S$60:$S$564</definedName>
    <definedName name="Z_430E0251_170F_469C_9C43_B836F1B76A84_.wvu.FilterData" localSheetId="0" hidden="1">Merged_COEM!$A$59:$AN$317</definedName>
    <definedName name="Z_43337ABF_C1F2_4A60_B522_79A00E6352AF_.wvu.FilterData" localSheetId="0" hidden="1">Merged_COEM!$A$59:$AN$317</definedName>
    <definedName name="Z_43337ABF_C1F2_4A60_B522_79A00E6352AF_.wvu.FilterData" localSheetId="1" hidden="1">Merged_JOEM!$B$59:$AN$93</definedName>
    <definedName name="Z_43349B58_238D_424F_9B38_B9A02D36598B_.wvu.FilterData" localSheetId="0" hidden="1">Merged_COEM!$B$59:$AN$317</definedName>
    <definedName name="Z_4363CAFB_03FC_4F1F_A0DE_EC53309C77B7_.wvu.FilterData" localSheetId="0" hidden="1">Merged_COEM!$A$59:$AN$317</definedName>
    <definedName name="Z_4392F3EF_F9F6_4504_ACF1_4C5CCB12EF49_.wvu.FilterData" localSheetId="0" hidden="1">Merged_COEM!$A$59:$AN$317</definedName>
    <definedName name="Z_4392F3EF_F9F6_4504_ACF1_4C5CCB12EF49_.wvu.FilterData" localSheetId="1" hidden="1">Merged_JOEM!$B$59:$AN$333</definedName>
    <definedName name="Z_43B967EC_0D7C_46DF_9BEA_C0266BCF49B2_.wvu.FilterData" localSheetId="0" hidden="1">Merged_COEM!$B$59:$AN$317</definedName>
    <definedName name="Z_4416DC42_C500_4E08_B795_23B2AC6564A1_.wvu.FilterData" localSheetId="0" hidden="1">Merged_COEM!$A$59:$AN$317</definedName>
    <definedName name="Z_4416DC42_C500_4E08_B795_23B2AC6564A1_.wvu.FilterData" localSheetId="1" hidden="1">Merged_JOEM!$B$59:$AN$538</definedName>
    <definedName name="Z_44BEF170_9AEA_4F90_9A56_B8F048D8ECC7_.wvu.FilterData" localSheetId="0" hidden="1">Merged_COEM!$A$59:$AN$317</definedName>
    <definedName name="Z_44F07CD8_75F8_4EF5_81A0_4E20874952AF_.wvu.FilterData" localSheetId="0" hidden="1">Merged_COEM!$A$59:$AN$317</definedName>
    <definedName name="Z_44F07CD8_75F8_4EF5_81A0_4E20874952AF_.wvu.FilterData" localSheetId="1" hidden="1">Merged_JOEM!$B$59:$AN$274</definedName>
    <definedName name="Z_45340776_D766_4A0B_93F4_B7378860A599_.wvu.FilterData" localSheetId="1" hidden="1">Merged_JOEM!$B$59:$AN$274</definedName>
    <definedName name="Z_45376FFC_9D48_4BF3_8A6A_30CD587F744C_.wvu.FilterData" localSheetId="0" hidden="1">Merged_COEM!$B$59:$AN$317</definedName>
    <definedName name="Z_45558626_06A1_4016_90E1_EC693EB777BB_.wvu.FilterData" localSheetId="0" hidden="1">Merged_COEM!$B$59:$AN$59</definedName>
    <definedName name="Z_45777512_E635_47E9_9A85_10736A9D3BF7_.wvu.FilterData" localSheetId="1" hidden="1">Merged_JOEM!$B$59:$AN$557</definedName>
    <definedName name="Z_45979D4F_AD59_474D_8932_09AE1A11767A_.wvu.FilterData" localSheetId="0" hidden="1">Merged_COEM!$A$59:$AN$317</definedName>
    <definedName name="Z_45979D4F_AD59_474D_8932_09AE1A11767A_.wvu.FilterData" localSheetId="1" hidden="1">Merged_JOEM!$B$59:$AN$210</definedName>
    <definedName name="Z_45C8166A_6143_4988_8C13_277BC5450552_.wvu.FilterData" localSheetId="0" hidden="1">Merged_COEM!$A$59:$AN$317</definedName>
    <definedName name="Z_45C8166A_6143_4988_8C13_277BC5450552_.wvu.FilterData" localSheetId="1" hidden="1">Merged_JOEM!$B$59:$AN$93</definedName>
    <definedName name="Z_4631CDC9_3CB0_46A0_A411_DA030B1C25C6_.wvu.FilterData" localSheetId="0" hidden="1">Merged_COEM!$B$59:$AN$317</definedName>
    <definedName name="Z_4631CDC9_3CB0_46A0_A411_DA030B1C25C6_.wvu.FilterData" localSheetId="1" hidden="1">Merged_JOEM!$B$59:$AN$59</definedName>
    <definedName name="Z_471F4494_0449_4884_B80A_27DCFF4E79A7_.wvu.FilterData" localSheetId="0" hidden="1">Merged_COEM!$P$59:$P$317</definedName>
    <definedName name="Z_481381C8_936B_4AC6_87F5_3AC9921D1BE8_.wvu.FilterData" localSheetId="0" hidden="1">Merged_COEM!$B$59:$AN$317</definedName>
    <definedName name="Z_481381C8_936B_4AC6_87F5_3AC9921D1BE8_.wvu.FilterData" localSheetId="1" hidden="1">Merged_JOEM!$B$59:$AN$538</definedName>
    <definedName name="Z_48A1C157_EB42_4B01_A611_12202E451DA5_.wvu.FilterData" localSheetId="0" hidden="1">Merged_COEM!$A$59:$AN$317</definedName>
    <definedName name="Z_48EBC9BD_BBD3_4C6E_B628_D0EABB67588C_.wvu.FilterData" localSheetId="0" hidden="1">Merged_COEM!$B$59:$AN$317</definedName>
    <definedName name="Z_493108DE_9603_4365_BFD2_C55BE96A33AB_.wvu.FilterData" localSheetId="1" hidden="1">Merged_JOEM!$B$59:$AN$335</definedName>
    <definedName name="Z_4970BA83_E618_4BB7_83E7_4E7F87DEC79C_.wvu.FilterData" localSheetId="0" hidden="1">Merged_COEM!$A$59:$AN$317</definedName>
    <definedName name="Z_4970BA83_E618_4BB7_83E7_4E7F87DEC79C_.wvu.FilterData" localSheetId="1" hidden="1">Merged_JOEM!$B$59:$AN$557</definedName>
    <definedName name="Z_499CBB20_2A9B_44FA_B2E9_2EE640A5E612_.wvu.FilterData" localSheetId="1" hidden="1">Merged_JOEM!$B$59:$AN$93</definedName>
    <definedName name="Z_49C41633_B7C8_4854_8F3B_012C131B8151_.wvu.FilterData" localSheetId="0" hidden="1">Merged_COEM!$B$59:$AN$317</definedName>
    <definedName name="Z_49D02DDA_0D46_45A3_9B78_079EE3DF44A6_.wvu.FilterData" localSheetId="0" hidden="1">Merged_COEM!$A$59:$AN$317</definedName>
    <definedName name="Z_49D02DDA_0D46_45A3_9B78_079EE3DF44A6_.wvu.FilterData" localSheetId="1" hidden="1">Merged_JOEM!$B$59:$AN$534</definedName>
    <definedName name="Z_49D2DFC2_E45E_4ACF_943D_E49E761F553F_.wvu.FilterData" localSheetId="0" hidden="1">Merged_COEM!$A$59:$AN$317</definedName>
    <definedName name="Z_49D2DFC2_E45E_4ACF_943D_E49E761F553F_.wvu.FilterData" localSheetId="1" hidden="1">Merged_JOEM!$B$59:$AN$534</definedName>
    <definedName name="Z_4AC7CF20_9D78_47F0_AF1F_29F122739E1A_.wvu.FilterData" localSheetId="0" hidden="1">Merged_COEM!$A$59:$AN$317</definedName>
    <definedName name="Z_4AC7CF20_9D78_47F0_AF1F_29F122739E1A_.wvu.FilterData" localSheetId="1" hidden="1">Merged_JOEM!$B$59:$AN$564</definedName>
    <definedName name="Z_4AD25AEE_EA55_4BCE_BBD5_EAAA3C478C5C_.wvu.FilterData" localSheetId="0" hidden="1">Merged_COEM!$A$59:$AN$317</definedName>
    <definedName name="Z_4AD25AEE_EA55_4BCE_BBD5_EAAA3C478C5C_.wvu.FilterData" localSheetId="1" hidden="1">Merged_JOEM!$B$59:$AN$93</definedName>
    <definedName name="Z_4AD92DE0_78C5_42B7_8A4F_CCEDC4E9C3B1_.wvu.FilterData" localSheetId="0" hidden="1">Merged_COEM!$A$59:$AN$317</definedName>
    <definedName name="Z_4B0EF13B_3811_45B4_8ADD_DBF7FB5B90B4_.wvu.FilterData" localSheetId="0" hidden="1">Merged_COEM!$A$59:$AN$317</definedName>
    <definedName name="Z_4B0EF13B_3811_45B4_8ADD_DBF7FB5B90B4_.wvu.FilterData" localSheetId="1" hidden="1">Merged_JOEM!$B$59:$AN$538</definedName>
    <definedName name="Z_4B15AE1E_61F1_4DFF_8DFB_922F992A1C65_.wvu.FilterData" localSheetId="0" hidden="1">Merged_COEM!$A$59:$AN$317</definedName>
    <definedName name="Z_4B15AE1E_61F1_4DFF_8DFB_922F992A1C65_.wvu.FilterData" localSheetId="1" hidden="1">Merged_JOEM!$B$59:$AN$538</definedName>
    <definedName name="Z_4B3AD98F_FC31_4192_812D_58B676113428_.wvu.FilterData" localSheetId="0" hidden="1">Merged_COEM!$A$59:$AN$317</definedName>
    <definedName name="Z_4B3AD98F_FC31_4192_812D_58B676113428_.wvu.FilterData" localSheetId="1" hidden="1">Merged_JOEM!$B$59:$AN$274</definedName>
    <definedName name="Z_4BA3C47F_108C_4FA7_93CE_5DFE3C857851_.wvu.FilterData" localSheetId="1" hidden="1">Merged_JOEM!$B$59:$AN$343</definedName>
    <definedName name="Z_4C7058D9_79D5_4933_B9FF_70E893F9B385_.wvu.FilterData" localSheetId="0" hidden="1">Merged_COEM!$A$59:$AN$317</definedName>
    <definedName name="Z_4C7058D9_79D5_4933_B9FF_70E893F9B385_.wvu.FilterData" localSheetId="1" hidden="1">Merged_JOEM!$B$59:$AN$274</definedName>
    <definedName name="Z_4C89BABC_41A3_4FF5_BD95_5F2DE66DC0C2_.wvu.FilterData" localSheetId="1" hidden="1">Merged_JOEM!$B$59:$AN$400</definedName>
    <definedName name="Z_4D18CEA0_D888_4F4D_AE86_1305F839E5A9_.wvu.FilterData" localSheetId="0" hidden="1">Merged_COEM!$B$59:$AN$317</definedName>
    <definedName name="Z_4D2F8744_31F2_4DED_9554_0177B13B9AFB_.wvu.FilterData" localSheetId="1" hidden="1">Merged_JOEM!$B$59:$AN$557</definedName>
    <definedName name="Z_4D74C45C_721C_468D_B7CA_077CBC33B37C_.wvu.FilterData" localSheetId="0" hidden="1">Merged_COEM!$A$59:$AN$317</definedName>
    <definedName name="Z_4D79686D_D785_4C50_A86D_E4842F383245_.wvu.FilterData" localSheetId="0" hidden="1">Merged_COEM!$A$59:$AN$317</definedName>
    <definedName name="Z_4DB9989C_4464_43E8_8078_E808BE505BAA_.wvu.FilterData" localSheetId="0" hidden="1">Merged_COEM!$A$59:$AN$317</definedName>
    <definedName name="Z_4DB9989C_4464_43E8_8078_E808BE505BAA_.wvu.FilterData" localSheetId="1" hidden="1">Merged_JOEM!$B$59:$AN$564</definedName>
    <definedName name="Z_4DC21B34_0602_481E_94FE_0BD7F968F358_.wvu.FilterData" localSheetId="0" hidden="1">Merged_COEM!$B$59:$AN$317</definedName>
    <definedName name="Z_4DC27000_A69C_4DC6_9CFF_103008543473_.wvu.FilterData" localSheetId="0" hidden="1">Merged_COEM!$A$59:$AN$317</definedName>
    <definedName name="Z_4DD7506C_2047_4768_AFAB_87822174D939_.wvu.FilterData" localSheetId="1" hidden="1">Merged_JOEM!$B$59:$AN$534</definedName>
    <definedName name="Z_4DDFB3D2_CD93_416E_9EB7_7228A4AF2504_.wvu.FilterData" localSheetId="0" hidden="1">Merged_COEM!$A$59:$AN$317</definedName>
    <definedName name="Z_4DDFB3D2_CD93_416E_9EB7_7228A4AF2504_.wvu.FilterData" localSheetId="1" hidden="1">Merged_JOEM!$B$59:$AN$416</definedName>
    <definedName name="Z_4E063B21_08E6_44C4_B8F4_79AF495C514C_.wvu.FilterData" localSheetId="0" hidden="1">Merged_COEM!$B$59:$AN$317</definedName>
    <definedName name="Z_4E06BDBF_2CED_473B_850B_2A6C7311FF41_.wvu.FilterData" localSheetId="0" hidden="1">Merged_COEM!$A$59:$AN$317</definedName>
    <definedName name="Z_4E06BDBF_2CED_473B_850B_2A6C7311FF41_.wvu.FilterData" localSheetId="1" hidden="1">Merged_JOEM!$A$59:$AN$534</definedName>
    <definedName name="Z_4E13FC82_B7E6_42BB_A36D_2CAF4FD1B4C8_.wvu.FilterData" localSheetId="1" hidden="1">Merged_JOEM!$B$59:$AN$463</definedName>
    <definedName name="Z_4E3C0829_ED1C_4CAD_8FC1_6F6B5266F4E1_.wvu.FilterData" localSheetId="0" hidden="1">Merged_COEM!$A$59:$AN$317</definedName>
    <definedName name="Z_4E3C0829_ED1C_4CAD_8FC1_6F6B5266F4E1_.wvu.FilterData" localSheetId="1" hidden="1">Merged_JOEM!$B$59:$AN$315</definedName>
    <definedName name="Z_4E40C96A_1DEC_426A_8589_DE34E4915A35_.wvu.FilterData" localSheetId="0" hidden="1">Merged_COEM!$B$59:$AN$317</definedName>
    <definedName name="Z_4E40C96A_1DEC_426A_8589_DE34E4915A35_.wvu.FilterData" localSheetId="1" hidden="1">Merged_JOEM!$B$59:$AN$59</definedName>
    <definedName name="Z_4F06BBAE_E91E_44B6_8F57_972D5EE0D29B_.wvu.FilterData" localSheetId="0" hidden="1">Merged_COEM!$B$59:$AN$59</definedName>
    <definedName name="Z_4F729C5C_B2A1_43F7_9582_A5B50BC46423_.wvu.FilterData" localSheetId="0" hidden="1">Merged_COEM!$B$59:$AN$59</definedName>
    <definedName name="Z_4FB35E73_34FB_4120_9ADC_FE2337D8BECC_.wvu.FilterData" localSheetId="0" hidden="1">Merged_COEM!$B$59:$AN$59</definedName>
    <definedName name="Z_4FED5175_DCDA_44CD_A82D_FF4D7FE13304_.wvu.FilterData" localSheetId="0" hidden="1">Merged_COEM!$B$59:$AN$317</definedName>
    <definedName name="Z_4FED5175_DCDA_44CD_A82D_FF4D7FE13304_.wvu.FilterData" localSheetId="1" hidden="1">Merged_JOEM!$B$59:$AN$228</definedName>
    <definedName name="Z_50DCF7A5_2981_4D29_A1B0_FCC718EF1C57_.wvu.FilterData" localSheetId="0" hidden="1">Merged_COEM!$A$59:$AN$317</definedName>
    <definedName name="Z_511B2FEC_26B8_45E1_90DB_175DA6F1DCC9_.wvu.FilterData" localSheetId="1" hidden="1">Merged_JOEM!$B$59:$AN$557</definedName>
    <definedName name="Z_514F237C_375F_464E_B009_1C9457CCD9C9_.wvu.FilterData" localSheetId="0" hidden="1">Merged_COEM!$B$59:$AN$317</definedName>
    <definedName name="Z_52019DA7_9246_4B08_9F51_34B8F5416A98_.wvu.FilterData" localSheetId="0" hidden="1">Merged_COEM!$B$59:$AN$317</definedName>
    <definedName name="Z_529BE7BC_5C54_4BE6_8F7A_FAB0CA2C2AA8_.wvu.FilterData" localSheetId="0" hidden="1">Merged_COEM!$B$59:$AN$317</definedName>
    <definedName name="Z_529BE7BC_5C54_4BE6_8F7A_FAB0CA2C2AA8_.wvu.FilterData" localSheetId="1" hidden="1">Merged_JOEM!$B$59:$AN$538</definedName>
    <definedName name="Z_52A57B55_91F1_44CE_A92C_27384918E1DD_.wvu.FilterData" localSheetId="0" hidden="1">Merged_COEM!$A$59:$AN$317</definedName>
    <definedName name="Z_52A57B55_91F1_44CE_A92C_27384918E1DD_.wvu.FilterData" localSheetId="1" hidden="1">Merged_JOEM!$B$59:$AN$564</definedName>
    <definedName name="Z_52E5463D_8C23_4C5E_9563_8FAC384914C2_.wvu.FilterData" localSheetId="0" hidden="1">Merged_COEM!$A$59:$AN$317</definedName>
    <definedName name="Z_52E5463D_8C23_4C5E_9563_8FAC384914C2_.wvu.FilterData" localSheetId="1" hidden="1">Merged_JOEM!$B$59:$AN$564</definedName>
    <definedName name="Z_531A60D9_F723_438A_88CF_A7EC35AE5C5D_.wvu.FilterData" localSheetId="0" hidden="1">Merged_COEM!$A$59:$AN$317</definedName>
    <definedName name="Z_531A60D9_F723_438A_88CF_A7EC35AE5C5D_.wvu.FilterData" localSheetId="1" hidden="1">Merged_JOEM!$B$59:$AN$315</definedName>
    <definedName name="Z_53933DC9_8D3E_405A_98A9_80740AC0B9CF_.wvu.FilterData" localSheetId="0" hidden="1">Merged_COEM!$A$59:$AN$317</definedName>
    <definedName name="Z_53933DC9_8D3E_405A_98A9_80740AC0B9CF_.wvu.FilterData" localSheetId="1" hidden="1">Merged_JOEM!$B$59:$AN$564</definedName>
    <definedName name="Z_540ED67E_48A4_42C9_8933_01DBB70F9FC6_.wvu.FilterData" localSheetId="0" hidden="1">Merged_COEM!$A$59:$AN$317</definedName>
    <definedName name="Z_540ED67E_48A4_42C9_8933_01DBB70F9FC6_.wvu.FilterData" localSheetId="1" hidden="1">Merged_JOEM!$B$59:$AN$564</definedName>
    <definedName name="Z_541E82AB_44C9_481A_AEBC_2B2BB3B58A09_.wvu.FilterData" localSheetId="0" hidden="1">Merged_COEM!$A$59:$AN$317</definedName>
    <definedName name="Z_542EBC9D_64B9_4ABA_A324_302A387E309D_.wvu.FilterData" localSheetId="0" hidden="1">Merged_COEM!$B$59:$AN$317</definedName>
    <definedName name="Z_5449D300_34C1_4154_9209_BD3BED708BF5_.wvu.FilterData" localSheetId="0" hidden="1">Merged_COEM!$B$59:$AN$317</definedName>
    <definedName name="Z_5449D300_34C1_4154_9209_BD3BED708BF5_.wvu.FilterData" localSheetId="1" hidden="1">Merged_JOEM!$B$59:$AN$538</definedName>
    <definedName name="Z_547B5818_C68D_42A6_96EB_2ED559F44C37_.wvu.FilterData" localSheetId="1" hidden="1">Merged_JOEM!$B$59:$AN$534</definedName>
    <definedName name="Z_5498894E_BF4D_431D_84F2_F519DD548AE5_.wvu.FilterData" localSheetId="0" hidden="1">Merged_COEM!$B$59:$AN$317</definedName>
    <definedName name="Z_5498894E_BF4D_431D_84F2_F519DD548AE5_.wvu.FilterData" localSheetId="1" hidden="1">Merged_JOEM!$B$59:$AN$538</definedName>
    <definedName name="Z_54DB054C_01F1_461C_86D7_4B8791E643D6_.wvu.FilterData" localSheetId="0" hidden="1">Merged_COEM!$A$59:$AN$317</definedName>
    <definedName name="Z_54E7C880_04F6_41E4_9B97_98DF683D10E9_.wvu.FilterData" localSheetId="1" hidden="1">Merged_JOEM!$B$59:$AN$534</definedName>
    <definedName name="Z_552FCC10_8D10_416D_A078_293D8F62BD42_.wvu.FilterData" localSheetId="0" hidden="1">Merged_COEM!$A$59:$AN$317</definedName>
    <definedName name="Z_55512613_14D7_4168_A76D_6593BA530EA5_.wvu.FilterData" localSheetId="0" hidden="1">Merged_COEM!$B$59:$AN$59</definedName>
    <definedName name="Z_55512613_14D7_4168_A76D_6593BA530EA5_.wvu.FilterData" localSheetId="1" hidden="1">Merged_JOEM!$B$59:$AN$59</definedName>
    <definedName name="Z_555F3FCB_2741_40F9_A2E8_4947D8EA1113_.wvu.FilterData" localSheetId="0" hidden="1">Merged_COEM!$B$59:$AN$59</definedName>
    <definedName name="Z_556962E9_62D3_4D2A_A89A_15CA2D7496E9_.wvu.FilterData" localSheetId="0" hidden="1">Merged_COEM!$A$59:$AN$317</definedName>
    <definedName name="Z_55A9D4C0_8482_4959_B827_6AC69AD7F2F0_.wvu.FilterData" localSheetId="0" hidden="1">Merged_COEM!$A$59:$AN$317</definedName>
    <definedName name="Z_55A9D4C0_8482_4959_B827_6AC69AD7F2F0_.wvu.FilterData" localSheetId="1" hidden="1">Merged_JOEM!$B$59:$AN$210</definedName>
    <definedName name="Z_55B30DB6_8312_48D0_8EBC_C09666C0024F_.wvu.FilterData" localSheetId="0" hidden="1">Merged_COEM!$A$59:$AN$317</definedName>
    <definedName name="Z_55DD069B_3978_4FE9_9C83_8FBEED3226A1_.wvu.FilterData" localSheetId="1" hidden="1">Merged_JOEM!$B$59:$AN$59</definedName>
    <definedName name="Z_563F0E48_4880_4BA0_8B51_589CD49BC542_.wvu.FilterData" localSheetId="0" hidden="1">Merged_COEM!$B$59:$AN$317</definedName>
    <definedName name="Z_563F0E48_4880_4BA0_8B51_589CD49BC542_.wvu.FilterData" localSheetId="1" hidden="1">Merged_JOEM!$B$59:$AN$228</definedName>
    <definedName name="Z_56811EEF_FE6B_419A_9D63_F8571928A5FA_.wvu.FilterData" localSheetId="0" hidden="1">Merged_COEM!$B$59:$AN$317</definedName>
    <definedName name="Z_56EF2257_F8BF_4AD9_8AEB_55C432255099_.wvu.FilterData" localSheetId="0" hidden="1">Merged_COEM!$B$59:$AN$59</definedName>
    <definedName name="Z_56EF2257_F8BF_4AD9_8AEB_55C432255099_.wvu.FilterData" localSheetId="1" hidden="1">Merged_JOEM!$B$59:$AN$59</definedName>
    <definedName name="Z_5726533A_9898_44CF_98FC_C69A068BE61C_.wvu.FilterData" localSheetId="0" hidden="1">Merged_COEM!$A$59:$AN$317</definedName>
    <definedName name="Z_5726533A_9898_44CF_98FC_C69A068BE61C_.wvu.FilterData" localSheetId="1" hidden="1">Merged_JOEM!$B$59:$AN$400</definedName>
    <definedName name="Z_57E56D14_1944_4903_97E4_26AB37944736_.wvu.FilterData" localSheetId="0" hidden="1">Merged_COEM!$B$59:$AN$317</definedName>
    <definedName name="Z_57E56D14_1944_4903_97E4_26AB37944736_.wvu.FilterData" localSheetId="1" hidden="1">Merged_JOEM!$B$59:$AN$538</definedName>
    <definedName name="Z_584FB3CE_102E_4394_9BBE_155B20E57E5A_.wvu.FilterData" localSheetId="0" hidden="1">Merged_COEM!$B$59:$AN$59</definedName>
    <definedName name="Z_587E78D9_8F50_4AC3_9E1F_581BE3551E64_.wvu.FilterData" localSheetId="0" hidden="1">Merged_COEM!$A$59:$AN$317</definedName>
    <definedName name="Z_587E78D9_8F50_4AC3_9E1F_581BE3551E64_.wvu.FilterData" localSheetId="1" hidden="1">Merged_JOEM!$B$59:$AN$403</definedName>
    <definedName name="Z_587FB410_5482_4AFE_8500_563AD5F77249_.wvu.FilterData" localSheetId="1" hidden="1">Merged_JOEM!$B$59:$AN$139</definedName>
    <definedName name="Z_58850641_8130_4339_8D8C_DDA9502A83CD_.wvu.FilterData" localSheetId="0" hidden="1">Merged_COEM!$A$59:$AN$317</definedName>
    <definedName name="Z_58850641_8130_4339_8D8C_DDA9502A83CD_.wvu.FilterData" localSheetId="1" hidden="1">Merged_JOEM!$B$59:$AN$557</definedName>
    <definedName name="Z_590C7751_D2AD_44DD_9E2C_6A20FF74A475_.wvu.FilterData" localSheetId="0" hidden="1">Merged_COEM!$B$59:$AN$317</definedName>
    <definedName name="Z_590C7751_D2AD_44DD_9E2C_6A20FF74A475_.wvu.FilterData" localSheetId="1" hidden="1">Merged_JOEM!$B$59:$AN$130</definedName>
    <definedName name="Z_5987616E_1448_448E_9F5B_7BE6DE6A8035_.wvu.FilterData" localSheetId="0" hidden="1">Merged_COEM!$A$59:$AN$317</definedName>
    <definedName name="Z_5B6DC8B2_B67A_40E4_8DD7_7813D2ABA00A_.wvu.FilterData" localSheetId="0" hidden="1">Merged_COEM!$A$59:$AN$317</definedName>
    <definedName name="Z_5BB3BEFD_1A62_45A9_98B1_873AA0E36F1C_.wvu.FilterData" localSheetId="0" hidden="1">Merged_COEM!$A$59:$AN$317</definedName>
    <definedName name="Z_5BB3BEFD_1A62_45A9_98B1_873AA0E36F1C_.wvu.FilterData" localSheetId="1" hidden="1">Merged_JOEM!$B$59:$AN$564</definedName>
    <definedName name="Z_5BF3CBF8_AF67_4888_9C50_863FE1C874BA_.wvu.FilterData" localSheetId="1" hidden="1">Merged_JOEM!$B$59:$AN$228</definedName>
    <definedName name="Z_5C3799C0_C642_426B_89BE_BE1EE5249DB4_.wvu.FilterData" localSheetId="0" hidden="1">Merged_COEM!$P$59:$P$317</definedName>
    <definedName name="Z_5C3799C0_C642_426B_89BE_BE1EE5249DB4_.wvu.FilterData" localSheetId="1" hidden="1">Merged_JOEM!$B$59:$AN$59</definedName>
    <definedName name="Z_5C4A574E_1376_4305_B673_0BFEAD2A7E3B_.wvu.FilterData" localSheetId="1" hidden="1">Merged_JOEM!$B$59:$AN$564</definedName>
    <definedName name="Z_5CFC70B4_1A78_4D4E_9FE4_E799626D57F8_.wvu.FilterData" localSheetId="0" hidden="1">Merged_COEM!$B$59:$AN$59</definedName>
    <definedName name="Z_5CFC70B4_1A78_4D4E_9FE4_E799626D57F8_.wvu.FilterData" localSheetId="1" hidden="1">Merged_JOEM!$B$59:$AN$59</definedName>
    <definedName name="Z_5D3F990D_A922_4ED1_95AE_64CAB3AF267D_.wvu.FilterData" localSheetId="0" hidden="1">Merged_COEM!$A$59:$AN$317</definedName>
    <definedName name="Z_5DA88502_EE01_4790_8D73_BA293A53CF17_.wvu.FilterData" localSheetId="0" hidden="1">Merged_COEM!$B$59:$AN$317</definedName>
    <definedName name="Z_5E97057D_04B6_4A37_BD04_0994460E991C_.wvu.FilterData" localSheetId="0" hidden="1">Merged_COEM!$B$59:$AN$59</definedName>
    <definedName name="Z_5E97057D_04B6_4A37_BD04_0994460E991C_.wvu.FilterData" localSheetId="1" hidden="1">Merged_JOEM!$B$59:$AN$557</definedName>
    <definedName name="Z_5EDC2EA2_DC97_444B_84E3_463258DE9175_.wvu.FilterData" localSheetId="1" hidden="1">Merged_JOEM!$B$59:$AN$331</definedName>
    <definedName name="Z_5EDC2EFF_5E79_4466_BF9D_79C6A5B40ED9_.wvu.FilterData" localSheetId="0" hidden="1">Merged_COEM!$B$59:$AN$317</definedName>
    <definedName name="Z_5F293130_E18A_40E4_98F9_B70CE78B7503_.wvu.FilterData" localSheetId="0" hidden="1">Merged_COEM!$A$59:$AN$317</definedName>
    <definedName name="Z_5F3177B4_B689_4E12_8B01_B6230235E1C9_.wvu.FilterData" localSheetId="1" hidden="1">Merged_JOEM!$B$59:$AN$564</definedName>
    <definedName name="Z_5F4C5D0B_AAFB_45D3_9977_5762875B45D9_.wvu.FilterData" localSheetId="0" hidden="1">Merged_COEM!$A$59:$AN$317</definedName>
    <definedName name="Z_5F4C5D0B_AAFB_45D3_9977_5762875B45D9_.wvu.FilterData" localSheetId="1" hidden="1">Merged_JOEM!$B$59:$AN$335</definedName>
    <definedName name="Z_5FB124BF_7101_4D12_899A_5D83D3002B21_.wvu.FilterData" localSheetId="0" hidden="1">Merged_COEM!$A$59:$AN$317</definedName>
    <definedName name="Z_5FB124BF_7101_4D12_899A_5D83D3002B21_.wvu.FilterData" localSheetId="1" hidden="1">Merged_JOEM!$A$59:$AN$534</definedName>
    <definedName name="Z_6064FCA4_1299_45BD_A7FB_A6A1EA1CED0D_.wvu.FilterData" localSheetId="0" hidden="1">Merged_COEM!$A$59:$AN$317</definedName>
    <definedName name="Z_6092DC54_C197_474D_96BB_93CE1F6EC59D_.wvu.FilterData" localSheetId="1" hidden="1">Merged_JOEM!$B$59:$AN$538</definedName>
    <definedName name="Z_60AC2527_814D_446F_96A2_688DF4B3FB31_.wvu.FilterData" localSheetId="0" hidden="1">Merged_COEM!$B$59:$AN$317</definedName>
    <definedName name="Z_60D2C030_4E31_4E07_8E1C_44D2EE84B177_.wvu.FilterData" localSheetId="0" hidden="1">Merged_COEM!$A$59:$AN$317</definedName>
    <definedName name="Z_60D2C030_4E31_4E07_8E1C_44D2EE84B177_.wvu.FilterData" localSheetId="1" hidden="1">Merged_JOEM!$B$59:$AN$557</definedName>
    <definedName name="Z_615E8902_4EDA_4AC3_B52E_00FEECA0D554_.wvu.FilterData" localSheetId="1" hidden="1">Merged_JOEM!$B$59:$AN$538</definedName>
    <definedName name="Z_61B8E132_3892_4F93_B401_96B2CE19D429_.wvu.FilterData" localSheetId="0" hidden="1">Merged_COEM!$B$59:$AN$317</definedName>
    <definedName name="Z_61CDA96D_05D5_4048_BE36_A749ACF0BF16_.wvu.FilterData" localSheetId="0" hidden="1">Merged_COEM!$A$59:$AN$317</definedName>
    <definedName name="Z_61CDA96D_05D5_4048_BE36_A749ACF0BF16_.wvu.FilterData" localSheetId="1" hidden="1">Merged_JOEM!$B$59:$AN$416</definedName>
    <definedName name="Z_63337695_5DA8_4EAA_8A57_B229D6DAA2E2_.wvu.FilterData" localSheetId="1" hidden="1">Merged_JOEM!$B$59:$AN$274</definedName>
    <definedName name="Z_634F6C8E_7D1D_4721_88C4_2B2FC469DD17_.wvu.FilterData" localSheetId="1" hidden="1">Merged_JOEM!$B$59:$AN$167</definedName>
    <definedName name="Z_636AF546_865A_4746_B0C4_E25D46F459D4_.wvu.FilterData" localSheetId="0" hidden="1">Merged_COEM!$B$59:$AN$317</definedName>
    <definedName name="Z_6376E30F_EA7D_4EDE_9A8B_EC85FD3DE64F_.wvu.FilterData" localSheetId="1" hidden="1">Merged_JOEM!$B$59:$AN$534</definedName>
    <definedName name="Z_63A7928D_6930_4841_969C_FCD344601064_.wvu.FilterData" localSheetId="1" hidden="1">Merged_JOEM!$B$59:$AN$564</definedName>
    <definedName name="Z_64A2AB02_D456_417B_891E_F6D0030057BB_.wvu.FilterData" localSheetId="0" hidden="1">Merged_COEM!$A$59:$AN$317</definedName>
    <definedName name="Z_64D01CE5_FE18_455E_9C99_8DEE681E7DA8_.wvu.FilterData" localSheetId="0" hidden="1">Merged_COEM!$B$59:$AN$59</definedName>
    <definedName name="Z_654DEE07_DF95_4D03_A781_4519E9F80CCE_.wvu.FilterData" localSheetId="0" hidden="1">Merged_COEM!$B$59:$AN$317</definedName>
    <definedName name="Z_656025FA_CC5B_4D55_9B87_DB7CD14FDC3E_.wvu.FilterData" localSheetId="0" hidden="1">Merged_COEM!$B$59:$AN$59</definedName>
    <definedName name="Z_6607199E_6F59_49CF_9E27_CD16D2C15F5A_.wvu.FilterData" localSheetId="0" hidden="1">Merged_COEM!$B$59:$AN$317</definedName>
    <definedName name="Z_6607199E_6F59_49CF_9E27_CD16D2C15F5A_.wvu.FilterData" localSheetId="1" hidden="1">Merged_JOEM!$B$59:$AN$59</definedName>
    <definedName name="Z_66371693_7808_439E_B063_70A4978B65CE_.wvu.FilterData" localSheetId="0" hidden="1">Merged_COEM!$B$59:$AN$317</definedName>
    <definedName name="Z_66371693_7808_439E_B063_70A4978B65CE_.wvu.FilterData" localSheetId="1" hidden="1">Merged_JOEM!$B$59:$AN$538</definedName>
    <definedName name="Z_663D92E1_2F0A_4236_AFC6_1C6DF6871513_.wvu.FilterData" localSheetId="0" hidden="1">Merged_COEM!$A$59:$AN$317</definedName>
    <definedName name="Z_663D92E1_2F0A_4236_AFC6_1C6DF6871513_.wvu.FilterData" localSheetId="1" hidden="1">Merged_JOEM!$B$59:$AN$557</definedName>
    <definedName name="Z_668D2601_6D28_4914_B978_99DC33EE7E47_.wvu.FilterData" localSheetId="0" hidden="1">Merged_COEM!$B$59:$AN$317</definedName>
    <definedName name="Z_668FC5B4_A974_4B0C_A190_6FBF948C282E_.wvu.FilterData" localSheetId="0" hidden="1">Merged_COEM!$B$59:$AN$317</definedName>
    <definedName name="Z_668FC5B4_A974_4B0C_A190_6FBF948C282E_.wvu.FilterData" localSheetId="1" hidden="1">Merged_JOEM!$B$59:$AN$59</definedName>
    <definedName name="Z_6696990D_763D_4F00_B09E_0F50C060141A_.wvu.FilterData" localSheetId="1" hidden="1">Merged_JOEM!$B$59:$AN$315</definedName>
    <definedName name="Z_676ED31B_26A9_422B_B32B_D771CE6CFCB7_.wvu.FilterData" localSheetId="0" hidden="1">Merged_COEM!$A$59:$AN$317</definedName>
    <definedName name="Z_676ED31B_26A9_422B_B32B_D771CE6CFCB7_.wvu.FilterData" localSheetId="1" hidden="1">Merged_JOEM!$B$59:$AN$360</definedName>
    <definedName name="Z_67ABB675_2C62_49AF_8540_021B914E058D_.wvu.FilterData" localSheetId="0" hidden="1">Merged_COEM!$A$59:$AN$317</definedName>
    <definedName name="Z_67ABB675_2C62_49AF_8540_021B914E058D_.wvu.FilterData" localSheetId="1" hidden="1">Merged_JOEM!$B$59:$AN$534</definedName>
    <definedName name="Z_67B95EDC_AC2A_44C2_8FB8_E957261DFF9D_.wvu.FilterData" localSheetId="0" hidden="1">Merged_COEM!$B$59:$AN$59</definedName>
    <definedName name="Z_67E57B50_D86F_49C3_A1F4_A2F9D15BD239_.wvu.FilterData" localSheetId="1" hidden="1">Merged_JOEM!$B$59:$AN$331</definedName>
    <definedName name="Z_686C29B7_8607_4292_9041_CB1F6097339C_.wvu.FilterData" localSheetId="0" hidden="1">Merged_COEM!$B$59:$AN$59</definedName>
    <definedName name="Z_6897B548_3C41_42CA_B63B_C5E92D05FB97_.wvu.FilterData" localSheetId="1" hidden="1">Merged_JOEM!$B$59:$AN$564</definedName>
    <definedName name="Z_68A8DFB2_121C_4691_9D2A_B69DC01BC1C7_.wvu.FilterData" localSheetId="0" hidden="1">Merged_COEM!$B$59:$AN$317</definedName>
    <definedName name="Z_692EEB33_DCD1_458F_9C5E_4B229B986D68_.wvu.FilterData" localSheetId="0" hidden="1">Merged_COEM!$A$59:$AN$317</definedName>
    <definedName name="Z_692EEB33_DCD1_458F_9C5E_4B229B986D68_.wvu.FilterData" localSheetId="1" hidden="1">Merged_JOEM!$B$59:$AN$335</definedName>
    <definedName name="Z_69A90271_D13B_4CCF_8FCA_9323261EF376_.wvu.FilterData" localSheetId="0" hidden="1">Merged_COEM!$A$59:$AN$317</definedName>
    <definedName name="Z_69D96A59_A112_4111_95F1_42A34D2FE5D3_.wvu.FilterData" localSheetId="0" hidden="1">Merged_COEM!$B$59:$AN$59</definedName>
    <definedName name="Z_69D96A59_A112_4111_95F1_42A34D2FE5D3_.wvu.FilterData" localSheetId="1" hidden="1">Merged_JOEM!$B$59:$AN$557</definedName>
    <definedName name="Z_6A5804B2_391C_4C29_93A5_DA8848A9C0A9_.wvu.FilterData" localSheetId="0" hidden="1">Merged_COEM!$B$59:$AN$317</definedName>
    <definedName name="Z_6ABF4929_1E19_4B07_9876_68664A935E9C_.wvu.FilterData" localSheetId="1" hidden="1">Merged_JOEM!$A$59:$AN$534</definedName>
    <definedName name="Z_6AC12BBF_4FCF_454B_8B71_C95696419151_.wvu.FilterData" localSheetId="0" hidden="1">Merged_COEM!$A$59:$AN$317</definedName>
    <definedName name="Z_6AC12BBF_4FCF_454B_8B71_C95696419151_.wvu.FilterData" localSheetId="1" hidden="1">Merged_JOEM!$B$59:$AN$360</definedName>
    <definedName name="Z_6B1C0053_0046_4D67_BA8B_616B43777C0C_.wvu.FilterData" localSheetId="0" hidden="1">Merged_COEM!$A$59:$AN$317</definedName>
    <definedName name="Z_6B1C0053_0046_4D67_BA8B_616B43777C0C_.wvu.FilterData" localSheetId="1" hidden="1">Merged_JOEM!$B$59:$AN$538</definedName>
    <definedName name="Z_6B374A4D_249C_4C23_AA17_86959F27F346_.wvu.FilterData" localSheetId="0" hidden="1">Merged_COEM!$B$59:$AN$317</definedName>
    <definedName name="Z_6B374A4D_249C_4C23_AA17_86959F27F346_.wvu.FilterData" localSheetId="1" hidden="1">Merged_JOEM!$B$59:$AN$59</definedName>
    <definedName name="Z_6B638F14_A9F5_4448_A254_1C4B412009F0_.wvu.FilterData" localSheetId="0" hidden="1">Merged_COEM!$B$59:$AN$59</definedName>
    <definedName name="Z_6B638F14_A9F5_4448_A254_1C4B412009F0_.wvu.FilterData" localSheetId="1" hidden="1">Merged_JOEM!$B$59:$AN$59</definedName>
    <definedName name="Z_6B713E76_ED25_4678_A716_879278BE9607_.wvu.FilterData" localSheetId="1" hidden="1">Merged_JOEM!$B$59:$AN$59</definedName>
    <definedName name="Z_6BAEB746_6A64_4AC5_8303_BAD8776C6375_.wvu.FilterData" localSheetId="0" hidden="1">Merged_COEM!$A$59:$AN$317</definedName>
    <definedName name="Z_6BAEB746_6A64_4AC5_8303_BAD8776C6375_.wvu.FilterData" localSheetId="1" hidden="1">Merged_JOEM!$B$59:$AN$274</definedName>
    <definedName name="Z_6BE441EC_C2B3_484F_8D66_B1F935DB9228_.wvu.FilterData" localSheetId="0" hidden="1">Merged_COEM!$A$59:$AN$317</definedName>
    <definedName name="Z_6BE441EC_C2B3_484F_8D66_B1F935DB9228_.wvu.FilterData" localSheetId="1" hidden="1">Merged_JOEM!$B$59:$AN$463</definedName>
    <definedName name="Z_6C33A3EC_A973_4E70_B09E_73BDA74B0561_.wvu.FilterData" localSheetId="1" hidden="1">Merged_JOEM!$B$59:$AN$557</definedName>
    <definedName name="Z_6CABF124_200E_4AC7_9AB1_549B637A0FFC_.wvu.FilterData" localSheetId="0" hidden="1">Merged_COEM!$B$59:$AN$59</definedName>
    <definedName name="Z_6CDC68E0_8BBA_4F62_B4E1_F840303D63ED_.wvu.FilterData" localSheetId="0" hidden="1">Merged_COEM!$A$59:$AN$317</definedName>
    <definedName name="Z_6CDC68E0_8BBA_4F62_B4E1_F840303D63ED_.wvu.FilterData" localSheetId="1" hidden="1">Merged_JOEM!$B$59:$AN$400</definedName>
    <definedName name="Z_6D2D7777_D86E_4AC5_A18E_02C5E07CB22A_.wvu.FilterData" localSheetId="1" hidden="1">Merged_JOEM!$B$59:$AN$331</definedName>
    <definedName name="Z_6D5437E7_0F6A_474A_A969_679C02E613D2_.wvu.FilterData" localSheetId="0" hidden="1">Merged_COEM!$B$59:$AN$317</definedName>
    <definedName name="Z_6D9B17D1_971C_4073_86BB_ED56854123E5_.wvu.FilterData" localSheetId="0" hidden="1">Merged_COEM!$A$59:$AN$317</definedName>
    <definedName name="Z_6D9B17D1_971C_4073_86BB_ED56854123E5_.wvu.FilterData" localSheetId="1" hidden="1">Merged_JOEM!$B$59:$AN$59</definedName>
    <definedName name="Z_6DE17C78_E65F_476D_9F32_90CC12C01E83_.wvu.FilterData" localSheetId="0" hidden="1">Merged_COEM!$A$59:$AN$317</definedName>
    <definedName name="Z_6E1799E6_49A9_4A8E_AC1B_E18712DD61BF_.wvu.FilterData" localSheetId="0" hidden="1">Merged_COEM!$A$59:$AN$317</definedName>
    <definedName name="Z_6E1799E6_49A9_4A8E_AC1B_E18712DD61BF_.wvu.FilterData" localSheetId="1" hidden="1">Merged_JOEM!$B$59:$AN$534</definedName>
    <definedName name="Z_6F138582_DA2E_48FF_8C71_FD324AC976C1_.wvu.FilterData" localSheetId="0" hidden="1">Merged_COEM!$B$59:$AN$317</definedName>
    <definedName name="Z_6F144052_1690_4609_B145_94EAC52CA5F6_.wvu.FilterData" localSheetId="0" hidden="1">Merged_COEM!$A$59:$AN$317</definedName>
    <definedName name="Z_6F144052_1690_4609_B145_94EAC52CA5F6_.wvu.FilterData" localSheetId="1" hidden="1">Merged_JOEM!$B$59:$AN$315</definedName>
    <definedName name="Z_6FCAA524_7D77_4BB4_8962_4E73EBC6BB43_.wvu.FilterData" localSheetId="0" hidden="1">Merged_COEM!$B$59:$AN$59</definedName>
    <definedName name="Z_6FDA3908_33D8_4257_8E81_8918028CEF1C_.wvu.FilterData" localSheetId="0" hidden="1">Merged_COEM!$A$59:$AN$317</definedName>
    <definedName name="Z_6FDA3908_33D8_4257_8E81_8918028CEF1C_.wvu.FilterData" localSheetId="1" hidden="1">Merged_JOEM!$B$59:$AN$564</definedName>
    <definedName name="Z_7007375C_B801_4F7C_AD2F_596B93A71EC0_.wvu.FilterData" localSheetId="0" hidden="1">Merged_COEM!$B$59:$AN$59</definedName>
    <definedName name="Z_7007375C_B801_4F7C_AD2F_596B93A71EC0_.wvu.FilterData" localSheetId="1" hidden="1">Merged_JOEM!$B$59:$AN$557</definedName>
    <definedName name="Z_705DC135_428A_4950_A2C7_342AB4CA334B_.wvu.FilterData" localSheetId="0" hidden="1">Merged_COEM!$A$59:$AN$317</definedName>
    <definedName name="Z_707C7C0B_3564_439F_A2E9_21F383DF0CBB_.wvu.FilterData" localSheetId="1" hidden="1">Merged_JOEM!$B$59:$AN$228</definedName>
    <definedName name="Z_70990595_124F_498D_BF4D_D7019536FF16_.wvu.FilterData" localSheetId="1" hidden="1">Merged_JOEM!$B$59:$AN$331</definedName>
    <definedName name="Z_70DDEEC0_45AF_4451_8DAA_CB6E764E900C_.wvu.FilterData" localSheetId="0" hidden="1">Merged_COEM!$B$59:$AN$317</definedName>
    <definedName name="Z_715BFEE4_32CD_4B7E_A647_03CCF4A790F0_.wvu.FilterData" localSheetId="0" hidden="1">Merged_COEM!$A$59:$AN$317</definedName>
    <definedName name="Z_71FB7BD1_E9E9_4316_AB57_FA637A29F9E5_.wvu.FilterData" localSheetId="0" hidden="1">Merged_COEM!$B$59:$AN$59</definedName>
    <definedName name="Z_71FB7BD1_E9E9_4316_AB57_FA637A29F9E5_.wvu.FilterData" localSheetId="1" hidden="1">Merged_JOEM!$B$59:$AN$228</definedName>
    <definedName name="Z_725BEA76_0B85_4A75_A741_5CDDEA2ADA81_.wvu.FilterData" localSheetId="0" hidden="1">Merged_COEM!$B$59:$AN$317</definedName>
    <definedName name="Z_725BEA76_0B85_4A75_A741_5CDDEA2ADA81_.wvu.FilterData" localSheetId="1" hidden="1">Merged_JOEM!$B$59:$AN$228</definedName>
    <definedName name="Z_7261821D_1D33_4FAC_B604_2D03A21B59EC_.wvu.FilterData" localSheetId="0" hidden="1">Merged_COEM!$A$59:$AN$317</definedName>
    <definedName name="Z_72A6EB0A_84D5_4B8A_AC51_54CCD061630B_.wvu.FilterData" localSheetId="0" hidden="1">Merged_COEM!$B$59:$AN$317</definedName>
    <definedName name="Z_72A6EB0A_84D5_4B8A_AC51_54CCD061630B_.wvu.FilterData" localSheetId="1" hidden="1">Merged_JOEM!$B$59:$AN$59</definedName>
    <definedName name="Z_72B3F568_6EC5_48A5_9A41_473348E2FBC6_.wvu.FilterData" localSheetId="0" hidden="1">Merged_COEM!$A$59:$AN$317</definedName>
    <definedName name="Z_72D648CE_924C_46FA_A890_E31171A4436D_.wvu.FilterData" localSheetId="0" hidden="1">Merged_COEM!$A$59:$AN$317</definedName>
    <definedName name="Z_72D648CE_924C_46FA_A890_E31171A4436D_.wvu.FilterData" localSheetId="1" hidden="1">Merged_JOEM!$B$59:$AN$534</definedName>
    <definedName name="Z_730E331C_10E7_4E98_BC37_6021A4A49A07_.wvu.FilterData" localSheetId="0" hidden="1">Merged_COEM!$A$59:$AN$317</definedName>
    <definedName name="Z_730E331C_10E7_4E98_BC37_6021A4A49A07_.wvu.FilterData" localSheetId="1" hidden="1">Merged_JOEM!$B$59:$AN$564</definedName>
    <definedName name="Z_730EFCB3_2402_4578_8B7C_79704658095C_.wvu.FilterData" localSheetId="1" hidden="1">Merged_JOEM!$B$59:$AN$59</definedName>
    <definedName name="Z_73375288_6B6E_4B64_B8CA_8A2D17E4EE8E_.wvu.FilterData" localSheetId="0" hidden="1">Merged_COEM!$B$59:$AN$317</definedName>
    <definedName name="Z_7339CFDD_5D7C_41FE_8AD1_208FBEAD7A1C_.wvu.FilterData" localSheetId="0" hidden="1">Merged_COEM!$A$59:$AN$317</definedName>
    <definedName name="Z_7339CFDD_5D7C_41FE_8AD1_208FBEAD7A1C_.wvu.FilterData" localSheetId="1" hidden="1">Merged_JOEM!$B$59:$AN$564</definedName>
    <definedName name="Z_7353763A_A80D_4A0D_ABFA_E5EDD6EA4E4E_.wvu.FilterData" localSheetId="0" hidden="1">Merged_COEM!$A$59:$AN$317</definedName>
    <definedName name="Z_7353763A_A80D_4A0D_ABFA_E5EDD6EA4E4E_.wvu.FilterData" localSheetId="1" hidden="1">Merged_JOEM!$B$59:$AN$403</definedName>
    <definedName name="Z_741C657B_5761_48ED_8FB8_A62E920FA431_.wvu.FilterData" localSheetId="0" hidden="1">Merged_COEM!$A$59:$AN$317</definedName>
    <definedName name="Z_741C657B_5761_48ED_8FB8_A62E920FA431_.wvu.FilterData" localSheetId="1" hidden="1">Merged_JOEM!$B$59:$AN$538</definedName>
    <definedName name="Z_74F104B0_C4E5_41FD_9F43_0DFCE277A292_.wvu.FilterData" localSheetId="0" hidden="1">Merged_COEM!$B$59:$AN$317</definedName>
    <definedName name="Z_7559AD3C_156F_45C7_936A_55D8B4CF8FD3_.wvu.FilterData" localSheetId="0" hidden="1">Merged_COEM!$A$59:$AN$317</definedName>
    <definedName name="Z_7559AD3C_156F_45C7_936A_55D8B4CF8FD3_.wvu.FilterData" localSheetId="1" hidden="1">Merged_JOEM!$B$59:$AN$564</definedName>
    <definedName name="Z_75A4D877_FE20_4425_A218_8034F59191DE_.wvu.FilterData" localSheetId="0" hidden="1">Merged_COEM!$B$59:$AN$59</definedName>
    <definedName name="Z_75A4D877_FE20_4425_A218_8034F59191DE_.wvu.FilterData" localSheetId="1" hidden="1">Merged_JOEM!$B$59:$AN$557</definedName>
    <definedName name="Z_75ACA920_8B81_4268_B8AB_2A53A1F1C632_.wvu.FilterData" localSheetId="1" hidden="1">Merged_JOEM!$B$59:$AN$534</definedName>
    <definedName name="Z_7631F57F_2776_4521_B9A4_E50DF3C50E08_.wvu.FilterData" localSheetId="0" hidden="1">Merged_COEM!$A$59:$AN$317</definedName>
    <definedName name="Z_7631F57F_2776_4521_B9A4_E50DF3C50E08_.wvu.FilterData" localSheetId="1" hidden="1">Merged_JOEM!$B$59:$AN$564</definedName>
    <definedName name="Z_76551960_825E_460F_979A_E5C4C2C41114_.wvu.FilterData" localSheetId="0" hidden="1">Merged_COEM!$B$59:$AN$317</definedName>
    <definedName name="Z_76551960_825E_460F_979A_E5C4C2C41114_.wvu.FilterData" localSheetId="1" hidden="1">Merged_JOEM!$B$59:$AN$59</definedName>
    <definedName name="Z_7670F964_2211_41BB_B261_6E87AFB6DF09_.wvu.FilterData" localSheetId="0" hidden="1">Merged_COEM!$A$59:$AN$317</definedName>
    <definedName name="Z_7670F964_2211_41BB_B261_6E87AFB6DF09_.wvu.FilterData" localSheetId="1" hidden="1">Merged_JOEM!$B$59:$AN$360</definedName>
    <definedName name="Z_76769627_11CE_4A9C_8027_8CA0878DEAC5_.wvu.FilterData" localSheetId="0" hidden="1">Merged_COEM!$A$59:$AN$317</definedName>
    <definedName name="Z_76769627_11CE_4A9C_8027_8CA0878DEAC5_.wvu.FilterData" localSheetId="1" hidden="1">Merged_JOEM!$B$59:$AN$343</definedName>
    <definedName name="Z_7684DE88_CD79_4EF5_9C9B_B69951F70D93_.wvu.FilterData" localSheetId="1" hidden="1">Merged_JOEM!$B$59:$AN$564</definedName>
    <definedName name="Z_7747FA4E_759E_44F6_BA3F_BCA6126954F3_.wvu.FilterData" localSheetId="0" hidden="1">Merged_COEM!$A$59:$AN$317</definedName>
    <definedName name="Z_775F6381_EE6B_4BE5_9118_9ACDCBEBC90F_.wvu.FilterData" localSheetId="0" hidden="1">Merged_COEM!$A$59:$AN$317</definedName>
    <definedName name="Z_7766F98E_4A78_4ADA_937E_526F26631568_.wvu.FilterData" localSheetId="0" hidden="1">Merged_COEM!$A$59:$AN$317</definedName>
    <definedName name="Z_7766F98E_4A78_4ADA_937E_526F26631568_.wvu.FilterData" localSheetId="1" hidden="1">Merged_JOEM!$B$59:$AN$315</definedName>
    <definedName name="Z_7777A75B_07B0_495F_A799_12C6A93E0748_.wvu.FilterData" localSheetId="0" hidden="1">Merged_COEM!$B$59:$AN$317</definedName>
    <definedName name="Z_7817676C_B178_4996_A1C5_3C76C20F9B73_.wvu.FilterData" localSheetId="1" hidden="1">Merged_JOEM!$B$59:$AN$139</definedName>
    <definedName name="Z_783349D3_16E7_48CE_AED8_C9DC07B646DB_.wvu.FilterData" localSheetId="0" hidden="1">Merged_COEM!$A$59:$AN$317</definedName>
    <definedName name="Z_783349D3_16E7_48CE_AED8_C9DC07B646DB_.wvu.FilterData" localSheetId="1" hidden="1">Merged_JOEM!$B$59:$AN$274</definedName>
    <definedName name="Z_79294D82_6CB7_4E0E_AB42_B1669FD73308_.wvu.FilterData" localSheetId="1" hidden="1">Merged_JOEM!$B$59:$AN$538</definedName>
    <definedName name="Z_7944494E_8CD1_491C_B632_1E18754DE671_.wvu.FilterData" localSheetId="1" hidden="1">Merged_JOEM!$B$59:$AN$130</definedName>
    <definedName name="Z_79BDC2B7_FDF9_43C1_A0EC_E2074B3F7BC8_.wvu.FilterData" localSheetId="1" hidden="1">Merged_JOEM!$B$59:$AN$315</definedName>
    <definedName name="Z_79C11DCF_1E87_4D92_9874_E8CDE749621A_.wvu.FilterData" localSheetId="0" hidden="1">Merged_COEM!$A$59:$AN$317</definedName>
    <definedName name="Z_79C11DCF_1E87_4D92_9874_E8CDE749621A_.wvu.FilterData" localSheetId="1" hidden="1">Merged_JOEM!$B$59:$AN$557</definedName>
    <definedName name="Z_7A71BEF5_1E4A_4C73_B92F_2B1E3389560A_.wvu.FilterData" localSheetId="0" hidden="1">Merged_COEM!$A$59:$AN$317</definedName>
    <definedName name="Z_7A71BEF5_1E4A_4C73_B92F_2B1E3389560A_.wvu.FilterData" localSheetId="1" hidden="1">Merged_JOEM!$B$59:$AN$534</definedName>
    <definedName name="Z_7A8CB8A9_61C4_4CF1_BA54_B291C6A5550F_.wvu.FilterData" localSheetId="0" hidden="1">Merged_COEM!$B$59:$AN$317</definedName>
    <definedName name="Z_7B0A1F40_3CEE_4045_9C99_7D8C42864803_.wvu.FilterData" localSheetId="1" hidden="1">Merged_JOEM!$B$59:$AN$534</definedName>
    <definedName name="Z_7B73230E_69E0_43F5_B0B0_DBE5465075A3_.wvu.FilterData" localSheetId="0" hidden="1">Merged_COEM!$A$59:$AN$317</definedName>
    <definedName name="Z_7B73230E_69E0_43F5_B0B0_DBE5465075A3_.wvu.FilterData" localSheetId="1" hidden="1">Merged_JOEM!$B$59:$AN$564</definedName>
    <definedName name="Z_7B889AAC_31FF_4187_BC9A_97347D0C1404_.wvu.FilterData" localSheetId="0" hidden="1">Merged_COEM!$A$59:$AN$317</definedName>
    <definedName name="Z_7B889AAC_31FF_4187_BC9A_97347D0C1404_.wvu.FilterData" localSheetId="1" hidden="1">Merged_JOEM!$B$59:$AN$564</definedName>
    <definedName name="Z_7BCF790B_B0C0_4842_8AD7_5E2098ABB76A_.wvu.FilterData" localSheetId="0" hidden="1">Merged_COEM!$B$59:$AN$317</definedName>
    <definedName name="Z_7BFB5FB4_A8B0_4F63_A181_1734FD1FFF81_.wvu.FilterData" localSheetId="1" hidden="1">Merged_JOEM!$B$59:$AN$564</definedName>
    <definedName name="Z_7C4AC733_71DF_4C4D_85AA_F169CF3BF8D0_.wvu.FilterData" localSheetId="0" hidden="1">Merged_COEM!$A$59:$AN$317</definedName>
    <definedName name="Z_7C54DD60_2343_494A_9B25_2EE5F2700F94_.wvu.FilterData" localSheetId="0" hidden="1">Merged_COEM!$A$59:$AN$317</definedName>
    <definedName name="Z_7C54DD60_2343_494A_9B25_2EE5F2700F94_.wvu.FilterData" localSheetId="1" hidden="1">Merged_JOEM!$B$59:$AN$335</definedName>
    <definedName name="Z_7CFE9172_C0BA_4835_AC09_77680F071012_.wvu.FilterData" localSheetId="0" hidden="1">Merged_COEM!$A$59:$AN$317</definedName>
    <definedName name="Z_7D2C77B3_6E46_4DCE_877B_745D1A81F317_.wvu.FilterData" localSheetId="1" hidden="1">Merged_JOEM!$B$59:$AN$331</definedName>
    <definedName name="Z_7D7B6956_6DB9_4B66_98B8_6F396B19BC96_.wvu.FilterData" localSheetId="1" hidden="1">Merged_JOEM!$B$59:$AN$557</definedName>
    <definedName name="Z_7DCD15CB_DC85_44A5_822F_78442A4740F8_.wvu.FilterData" localSheetId="0" hidden="1">Merged_COEM!$B$59:$AN$317</definedName>
    <definedName name="Z_7E0EA425_A420_4443_B9E0_CDF0AA9E5D09_.wvu.FilterData" localSheetId="0" hidden="1">Merged_COEM!$B$59:$AN$317</definedName>
    <definedName name="Z_7E0EA425_A420_4443_B9E0_CDF0AA9E5D09_.wvu.FilterData" localSheetId="1" hidden="1">Merged_JOEM!$B$59:$AN$557</definedName>
    <definedName name="Z_7E197F63_9137_49A9_B42F_FE0233AD596E_.wvu.FilterData" localSheetId="0" hidden="1">Merged_COEM!$B$59:$AN$317</definedName>
    <definedName name="Z_7E197F63_9137_49A9_B42F_FE0233AD596E_.wvu.FilterData" localSheetId="1" hidden="1">Merged_JOEM!$B$59:$AN$538</definedName>
    <definedName name="Z_7E28528F_E20C_4D62_AACF_5045EC0851EC_.wvu.FilterData" localSheetId="0" hidden="1">Merged_COEM!$A$59:$AN$317</definedName>
    <definedName name="Z_7E28528F_E20C_4D62_AACF_5045EC0851EC_.wvu.FilterData" localSheetId="1" hidden="1">Merged_JOEM!$B$59:$AN$564</definedName>
    <definedName name="Z_7E60AD22_29CE_4DD6_AAAE_4421B58B02C1_.wvu.FilterData" localSheetId="0" hidden="1">Merged_COEM!$A$59:$AN$317</definedName>
    <definedName name="Z_7E60AD22_29CE_4DD6_AAAE_4421B58B02C1_.wvu.FilterData" localSheetId="1" hidden="1">Merged_JOEM!$B$59:$AN$538</definedName>
    <definedName name="Z_7E62BDEA_A146_4AAB_BD01_DEE0B742A4FB_.wvu.FilterData" localSheetId="1" hidden="1">Merged_JOEM!$B$59:$AN$400</definedName>
    <definedName name="Z_7E9E86EE_4E86_464D_A02D_88BA33E6F7E1_.wvu.FilterData" localSheetId="0" hidden="1">Merged_COEM!$B$59:$AN$317</definedName>
    <definedName name="Z_7EB9A7E8_B517_43E6_B1A9_EE4F88D95676_.wvu.FilterData" localSheetId="0" hidden="1">Merged_COEM!$B$59:$AN$317</definedName>
    <definedName name="Z_7EB9A7E8_B517_43E6_B1A9_EE4F88D95676_.wvu.FilterData" localSheetId="1" hidden="1">Merged_JOEM!$B$59:$AN$557</definedName>
    <definedName name="Z_7ECA1D62_ABBC_43E6_9937_2E03B35496B2_.wvu.FilterData" localSheetId="0" hidden="1">Merged_COEM!$B$59:$AN$317</definedName>
    <definedName name="Z_7ECA1D62_ABBC_43E6_9937_2E03B35496B2_.wvu.FilterData" localSheetId="1" hidden="1">Merged_JOEM!$B$59:$AN$564</definedName>
    <definedName name="Z_7ECC2B8E_6A82_42F5_8AB0_4A51C54EA5EC_.wvu.FilterData" localSheetId="0" hidden="1">Merged_COEM!$A$59:$AN$317</definedName>
    <definedName name="Z_7ECC2B8E_6A82_42F5_8AB0_4A51C54EA5EC_.wvu.FilterData" localSheetId="1" hidden="1">Merged_JOEM!$B$59:$AN$557</definedName>
    <definedName name="Z_7F67A8AD_9567_4C1F_9FE0_3A1B039478FD_.wvu.FilterData" localSheetId="0" hidden="1">Merged_COEM!$A$59:$AN$317</definedName>
    <definedName name="Z_7FB20ABB_D8A4_4965_8E88_80AC614DF5A9_.wvu.FilterData" localSheetId="0" hidden="1">Merged_COEM!$A$59:$AN$317</definedName>
    <definedName name="Z_7FC062FF_43CE_406D_9670_5D1AA49208CC_.wvu.FilterData" localSheetId="0" hidden="1">Merged_COEM!$B$59:$AN$317</definedName>
    <definedName name="Z_7FEB5690_7B38_49CE_A727_CCA7747AA9AE_.wvu.FilterData" localSheetId="0" hidden="1">Merged_COEM!$B$59:$AN$317</definedName>
    <definedName name="Z_7FEB5690_7B38_49CE_A727_CCA7747AA9AE_.wvu.FilterData" localSheetId="1" hidden="1">Merged_JOEM!$B$59:$AN$564</definedName>
    <definedName name="Z_800716EA_F7AD_445F_A82C_AD7029120035_.wvu.FilterData" localSheetId="1" hidden="1">Merged_JOEM!$B$59:$AN$564</definedName>
    <definedName name="Z_803CD872_D993_4AEC_ABDC_098E41A41D56_.wvu.FilterData" localSheetId="0" hidden="1">Merged_COEM!$B$59:$AN$317</definedName>
    <definedName name="Z_808E2667_81A3_4C6A_BBA2_19DD06DD6803_.wvu.FilterData" localSheetId="0" hidden="1">Merged_COEM!$A$59:$AN$317</definedName>
    <definedName name="Z_808E2667_81A3_4C6A_BBA2_19DD06DD6803_.wvu.FilterData" localSheetId="1" hidden="1">Merged_JOEM!$B$59:$AN$462</definedName>
    <definedName name="Z_813A7912_0731_46B9_B4CC_33DA5DAC5D0E_.wvu.FilterData" localSheetId="0" hidden="1">Merged_COEM!$A$59:$AN$317</definedName>
    <definedName name="Z_813A7912_0731_46B9_B4CC_33DA5DAC5D0E_.wvu.FilterData" localSheetId="1" hidden="1">Merged_JOEM!$B$59:$AN$564</definedName>
    <definedName name="Z_8196DF26_FED6_4AD5_81BB_407D7FD9D469_.wvu.FilterData" localSheetId="0" hidden="1">Merged_COEM!$B$59:$AN$317</definedName>
    <definedName name="Z_81FA0B0F_EF1A_4AD6_89BA_3A6395222780_.wvu.FilterData" localSheetId="1" hidden="1">Merged_JOEM!$B$59:$AN$564</definedName>
    <definedName name="Z_8272A3A2_9E6D_45E6_9C0F_2BEE73EF2A02_.wvu.FilterData" localSheetId="0" hidden="1">Merged_COEM!$B$59:$AN$317</definedName>
    <definedName name="Z_829A4E16_046C_44CF_A5AA_B2E034E6EB70_.wvu.FilterData" localSheetId="0" hidden="1">Merged_COEM!$A$59:$AN$317</definedName>
    <definedName name="Z_829A4E16_046C_44CF_A5AA_B2E034E6EB70_.wvu.FilterData" localSheetId="1" hidden="1">Merged_JOEM!$B$59:$AN$564</definedName>
    <definedName name="Z_83DCD566_267F_4C53_8236_CFDD1B3CAECE_.wvu.FilterData" localSheetId="0" hidden="1">Merged_COEM!$A$59:$AN$317</definedName>
    <definedName name="Z_83DCD566_267F_4C53_8236_CFDD1B3CAECE_.wvu.FilterData" localSheetId="1" hidden="1">Merged_JOEM!$B$59:$AN$315</definedName>
    <definedName name="Z_83FFA778_AFF7_4A11_945D_7F2F22134079_.wvu.FilterData" localSheetId="1" hidden="1">Merged_JOEM!$B$59:$AN$534</definedName>
    <definedName name="Z_8411BEB1_2171_43CE_A328_22A286B02862_.wvu.FilterData" localSheetId="0" hidden="1">Merged_COEM!$A$59:$AN$317</definedName>
    <definedName name="Z_843FA270_5B9E_4F77_AB09_31412142C11C_.wvu.FilterData" localSheetId="1" hidden="1">Merged_JOEM!$B$59:$AN$534</definedName>
    <definedName name="Z_8467614B_AC17_44BB_8A84_30F28E73CEFC_.wvu.FilterData" localSheetId="0" hidden="1">Merged_COEM!$A$59:$AN$317</definedName>
    <definedName name="Z_8467614B_AC17_44BB_8A84_30F28E73CEFC_.wvu.FilterData" localSheetId="1" hidden="1">Merged_JOEM!$B$59:$AN$416</definedName>
    <definedName name="Z_85045786_B7D1_41CF_8C70_1888B8E5320F_.wvu.FilterData" localSheetId="1" hidden="1">Merged_JOEM!$B$59:$AN$228</definedName>
    <definedName name="Z_85A0930F_259C_45E1_BAE2_0EEDD0B3722A_.wvu.FilterData" localSheetId="0" hidden="1">Merged_COEM!$B$59:$AN$317</definedName>
    <definedName name="Z_85DF30EA_73FF_4BF2_92F2_FCC9BE054F50_.wvu.FilterData" localSheetId="0" hidden="1">Merged_COEM!$A$59:$AN$317</definedName>
    <definedName name="Z_85DF30EA_73FF_4BF2_92F2_FCC9BE054F50_.wvu.FilterData" localSheetId="1" hidden="1">Merged_JOEM!$B$59:$AN$538</definedName>
    <definedName name="Z_860D614A_8721_43EB_B83C_D17744C7F854_.wvu.FilterData" localSheetId="1" hidden="1">Merged_JOEM!$S$60:$S$564</definedName>
    <definedName name="Z_8653925C_A99B_4048_B5B5_D7E2559BEF9D_.wvu.FilterData" localSheetId="0" hidden="1">Merged_COEM!$B$59:$AN$317</definedName>
    <definedName name="Z_86DAF2A7_1716_40A4_A48C_C8E7EF2E3819_.wvu.FilterData" localSheetId="0" hidden="1">Merged_COEM!$A$59:$AN$317</definedName>
    <definedName name="Z_86DAF2A7_1716_40A4_A48C_C8E7EF2E3819_.wvu.FilterData" localSheetId="1" hidden="1">Merged_JOEM!$B$59:$AN$532</definedName>
    <definedName name="Z_86DC6F30_C367_4A3B_8A06_DA397A8B8A9A_.wvu.FilterData" localSheetId="0" hidden="1">Merged_COEM!$A$59:$AN$317</definedName>
    <definedName name="Z_86DC6F30_C367_4A3B_8A06_DA397A8B8A9A_.wvu.FilterData" localSheetId="1" hidden="1">Merged_JOEM!$B$59:$AN$564</definedName>
    <definedName name="Z_8766447F_1722_4AC0_B084_82BED859C4BC_.wvu.FilterData" localSheetId="0" hidden="1">Merged_COEM!$A$59:$AN$317</definedName>
    <definedName name="Z_8766447F_1722_4AC0_B084_82BED859C4BC_.wvu.FilterData" localSheetId="1" hidden="1">Merged_JOEM!$A$59:$AN$532</definedName>
    <definedName name="Z_87B9B6D0_FCFD_415C_BDD0_A69B81D9BDE2_.wvu.FilterData" localSheetId="0" hidden="1">Merged_COEM!$B$59:$AN$317</definedName>
    <definedName name="Z_884B0F10_5A34_444B_B198_846ACF3EE5A6_.wvu.FilterData" localSheetId="0" hidden="1">Merged_COEM!$B$59:$AN$317</definedName>
    <definedName name="Z_88CE456E_359B_447D_B7A0_CC4E1465B4B3_.wvu.FilterData" localSheetId="0" hidden="1">Merged_COEM!$A$59:$AN$317</definedName>
    <definedName name="Z_88CE456E_359B_447D_B7A0_CC4E1465B4B3_.wvu.FilterData" localSheetId="1" hidden="1">Merged_JOEM!$B$59:$AN$564</definedName>
    <definedName name="Z_88E33156_B4B4_46C5_9DEC_A8C1A71097F0_.wvu.FilterData" localSheetId="0" hidden="1">Merged_COEM!$B$59:$AN$317</definedName>
    <definedName name="Z_88EC7E9E_4CA5_4115_8116_60A420A5CA1D_.wvu.FilterData" localSheetId="0" hidden="1">Merged_COEM!$A$59:$AN$317</definedName>
    <definedName name="Z_88EC7E9E_4CA5_4115_8116_60A420A5CA1D_.wvu.FilterData" localSheetId="1" hidden="1">Merged_JOEM!$B$59:$AN$354</definedName>
    <definedName name="Z_890925D0_B636_4D3A_B874_B6C1F5A51B55_.wvu.FilterData" localSheetId="0" hidden="1">Merged_COEM!$A$59:$AN$317</definedName>
    <definedName name="Z_893CD852_24B0_46B7_AEB7_74E4BB8E0F04_.wvu.FilterData" localSheetId="0" hidden="1">Merged_COEM!$A$59:$AN$317</definedName>
    <definedName name="Z_897F2672_D884_45B1_9880_B9C71B54DAEB_.wvu.FilterData" localSheetId="0" hidden="1">Merged_COEM!$A$1:$H$18</definedName>
    <definedName name="Z_898B4F00_6DC3_4313_8F93_016808D06DF4_.wvu.FilterData" localSheetId="0" hidden="1">Merged_COEM!$A$59:$AN$317</definedName>
    <definedName name="Z_898B4F00_6DC3_4313_8F93_016808D06DF4_.wvu.FilterData" localSheetId="1" hidden="1">Merged_JOEM!$B$59:$AN$354</definedName>
    <definedName name="Z_89C03E1E_B6A8_49A1_B29C_5DC4FAB2FBC6_.wvu.FilterData" localSheetId="0" hidden="1">Merged_COEM!$B$59:$AN$317</definedName>
    <definedName name="Z_89C03E1E_B6A8_49A1_B29C_5DC4FAB2FBC6_.wvu.FilterData" localSheetId="1" hidden="1">Merged_JOEM!$B$59:$AN$557</definedName>
    <definedName name="Z_8A29A023_DD0C_4369_8B7A_60DF7E6E2F5F_.wvu.FilterData" localSheetId="0" hidden="1">Merged_COEM!$A$59:$AN$317</definedName>
    <definedName name="Z_8A9E848C_2F92_4247_A828_CFD46DB0543C_.wvu.FilterData" localSheetId="0" hidden="1">Merged_COEM!$A$59:$AN$317</definedName>
    <definedName name="Z_8AF3B40C_4A62_4CCD_B7A0_B85E971B5DE3_.wvu.FilterData" localSheetId="0" hidden="1">Merged_COEM!$B$59:$AN$317</definedName>
    <definedName name="Z_8B172390_B31C_4527_B9E9_212E62C70A74_.wvu.FilterData" localSheetId="0" hidden="1">Merged_COEM!$A$59:$AN$317</definedName>
    <definedName name="Z_8B172390_B31C_4527_B9E9_212E62C70A74_.wvu.FilterData" localSheetId="1" hidden="1">Merged_JOEM!$B$59:$AN$534</definedName>
    <definedName name="Z_8C1DFF45_60A9_4BE5_8753_4CD2C65F4B45_.wvu.FilterData" localSheetId="0" hidden="1">Merged_COEM!$A$59:$AN$317</definedName>
    <definedName name="Z_8C375C63_D467_4856_867E_0D376340DFF8_.wvu.FilterData" localSheetId="0" hidden="1">Merged_COEM!$A$59:$AN$317</definedName>
    <definedName name="Z_8C375C63_D467_4856_867E_0D376340DFF8_.wvu.FilterData" localSheetId="1" hidden="1">Merged_JOEM!$B$59:$AN$564</definedName>
    <definedName name="Z_8C93A640_930B_411B_8D78_081C9283D060_.wvu.FilterData" localSheetId="0" hidden="1">Merged_COEM!$B$59:$AN$317</definedName>
    <definedName name="Z_8C93A640_930B_411B_8D78_081C9283D060_.wvu.FilterData" localSheetId="1" hidden="1">Merged_JOEM!$B$59:$AN$59</definedName>
    <definedName name="Z_8CB29A5E_F3E2_44D5_BE30_104BB26C7D9C_.wvu.FilterData" localSheetId="0" hidden="1">Merged_COEM!$A$59:$AN$317</definedName>
    <definedName name="Z_8CB29A5E_F3E2_44D5_BE30_104BB26C7D9C_.wvu.FilterData" localSheetId="1" hidden="1">Merged_JOEM!$B$59:$AN$557</definedName>
    <definedName name="Z_8CE8B7C2_A72F_4E17_8707_E89EA28FE14C_.wvu.FilterData" localSheetId="0" hidden="1">Merged_COEM!$B$59:$AN$317</definedName>
    <definedName name="Z_8CF9B453_4899_464D_85BD_71E4DD56D47A_.wvu.FilterData" localSheetId="0" hidden="1">Merged_COEM!$B$59:$AN$317</definedName>
    <definedName name="Z_8CF9B453_4899_464D_85BD_71E4DD56D47A_.wvu.FilterData" localSheetId="1" hidden="1">Merged_JOEM!$B$59:$AN$564</definedName>
    <definedName name="Z_8CFDC2B1_A931_463F_B4B3_66F2BDFB2938_.wvu.FilterData" localSheetId="0" hidden="1">Merged_COEM!$B$59:$AN$59</definedName>
    <definedName name="Z_8CFDC2B1_A931_463F_B4B3_66F2BDFB2938_.wvu.FilterData" localSheetId="1" hidden="1">Merged_JOEM!$B$59:$AN$59</definedName>
    <definedName name="Z_8DDDD18D_E14B_46EA_A1C5_9CA812456655_.wvu.FilterData" localSheetId="0" hidden="1">Merged_COEM!$B$59:$AN$317</definedName>
    <definedName name="Z_8EE6330F_7335_462A_9FAF_1E7423CBB72C_.wvu.FilterData" localSheetId="0" hidden="1">Merged_COEM!$A$59:$AN$317</definedName>
    <definedName name="Z_8EE6330F_7335_462A_9FAF_1E7423CBB72C_.wvu.FilterData" localSheetId="1" hidden="1">Merged_JOEM!$B$59:$AN$534</definedName>
    <definedName name="Z_8FCF9FED_56C4_4D1B_95E3_283C65014199_.wvu.FilterData" localSheetId="0" hidden="1">Merged_COEM!$A$59:$AN$317</definedName>
    <definedName name="Z_8FEAAFE6_8C67_486F_AC34_94D895687376_.wvu.FilterData" localSheetId="0" hidden="1">Merged_COEM!$A$59:$AN$317</definedName>
    <definedName name="Z_90215879_D202_47D7_95B0_308EB9360CBB_.wvu.FilterData" localSheetId="0" hidden="1">Merged_COEM!$B$59:$AN$59</definedName>
    <definedName name="Z_902B3045_8312_4929_92C6_F486D7649C91_.wvu.FilterData" localSheetId="0" hidden="1">Merged_COEM!$B$59:$AN$317</definedName>
    <definedName name="Z_902B3045_8312_4929_92C6_F486D7649C91_.wvu.FilterData" localSheetId="1" hidden="1">Merged_JOEM!$B$59:$AN$557</definedName>
    <definedName name="Z_90494C03_06F7_4356_89CC_B3784BF69957_.wvu.FilterData" localSheetId="0" hidden="1">Merged_COEM!$A$59:$AN$317</definedName>
    <definedName name="Z_90718E1C_4543_4EB8_A035_B9486B98BB64_.wvu.FilterData" localSheetId="0" hidden="1">Merged_COEM!$A$59:$AN$317</definedName>
    <definedName name="Z_90815266_CBB3_4FCC_8625_ACA5F166A734_.wvu.FilterData" localSheetId="0" hidden="1">Merged_COEM!$A$59:$AN$317</definedName>
    <definedName name="Z_90815266_CBB3_4FCC_8625_ACA5F166A734_.wvu.FilterData" localSheetId="1" hidden="1">Merged_JOEM!$B$59:$AN$557</definedName>
    <definedName name="Z_9172FC8D_E851_4BB8_9BB1_CD04A2EC2118_.wvu.FilterData" localSheetId="0" hidden="1">Merged_COEM!$B$59:$AN$317</definedName>
    <definedName name="Z_920C0394_B43C_4B62_8011_4E163017BD41_.wvu.FilterData" localSheetId="0" hidden="1">Merged_COEM!$A$59:$AN$317</definedName>
    <definedName name="Z_920C0394_B43C_4B62_8011_4E163017BD41_.wvu.FilterData" localSheetId="1" hidden="1">Merged_JOEM!$B$59:$AN$335</definedName>
    <definedName name="Z_92142F03_965D_4EC5_9147_0A5F19A88128_.wvu.FilterData" localSheetId="0" hidden="1">Merged_COEM!$B$59:$AN$317</definedName>
    <definedName name="Z_9296379B_2EE5_44F9_8EB8_C5FEF7275418_.wvu.FilterData" localSheetId="1" hidden="1">Merged_JOEM!$B$59:$AN$557</definedName>
    <definedName name="Z_92BD6F69_2CA2_4DC8_8181_9BDB7F443D55_.wvu.FilterData" localSheetId="1" hidden="1">Merged_JOEM!$B$59:$AN$538</definedName>
    <definedName name="Z_92C3B6E0_E822_4BCF_8785_C7C14B2ADD22_.wvu.FilterData" localSheetId="0" hidden="1">Merged_COEM!$B$59:$AN$317</definedName>
    <definedName name="Z_93D0B8F8_66DE_4024_9FE7_38B77AEA12C8_.wvu.FilterData" localSheetId="1" hidden="1">Merged_JOEM!$B$59:$AN$538</definedName>
    <definedName name="Z_941532EF_D4AE_4427_AF5E_4AA3CE92CC4B_.wvu.FilterData" localSheetId="1" hidden="1">Merged_JOEM!$B$59:$AN$538</definedName>
    <definedName name="Z_941EC5C4_AFCD_4317_A8EF_E30831CE28E0_.wvu.FilterData" localSheetId="0" hidden="1">Merged_COEM!$A$59:$AN$317</definedName>
    <definedName name="Z_947974DE_783E_47CF_93A3_70615FD27EB8_.wvu.FilterData" localSheetId="1" hidden="1">Merged_JOEM!$B$59:$AN$538</definedName>
    <definedName name="Z_948AAA3E_FDC6_47E8_9FD0_C830D95AC493_.wvu.FilterData" localSheetId="0" hidden="1">Merged_COEM!$A$59:$AN$317</definedName>
    <definedName name="Z_948AAA3E_FDC6_47E8_9FD0_C830D95AC493_.wvu.FilterData" localSheetId="1" hidden="1">Merged_JOEM!$B$59:$AN$564</definedName>
    <definedName name="Z_94E26A26_506C_4689_88B6_25E21271D599_.wvu.FilterData" localSheetId="0" hidden="1">Merged_COEM!$A$59:$AN$317</definedName>
    <definedName name="Z_951F84BC_6E0F_48A5_9328_00C512BF8879_.wvu.FilterData" localSheetId="0" hidden="1">Merged_COEM!$B$59:$AN$317</definedName>
    <definedName name="Z_951F84BC_6E0F_48A5_9328_00C512BF8879_.wvu.FilterData" localSheetId="1" hidden="1">Merged_JOEM!$B$59:$AN$564</definedName>
    <definedName name="Z_9562D2D0_0C41_4023_A1EA_BD1C74059448_.wvu.FilterData" localSheetId="0" hidden="1">Merged_COEM!$B$59:$AN$317</definedName>
    <definedName name="Z_95924D04_DEAC_4AC9_B742_E78D23F2DA9C_.wvu.FilterData" localSheetId="0" hidden="1">Merged_COEM!$A$59:$AN$317</definedName>
    <definedName name="Z_95924D04_DEAC_4AC9_B742_E78D23F2DA9C_.wvu.FilterData" localSheetId="1" hidden="1">Merged_JOEM!$B$59:$AN$335</definedName>
    <definedName name="Z_95D890FD_D22B_47CA_BBB1_9ADB62429D3C_.wvu.FilterData" localSheetId="0" hidden="1">Merged_COEM!$B$59:$AN$59</definedName>
    <definedName name="Z_965F36C5_93F9_4A82_9F85_D6B45F35669B_.wvu.FilterData" localSheetId="0" hidden="1">Merged_COEM!$A$59:$AN$317</definedName>
    <definedName name="Z_965F36C5_93F9_4A82_9F85_D6B45F35669B_.wvu.FilterData" localSheetId="1" hidden="1">Merged_JOEM!$B$59:$AN$538</definedName>
    <definedName name="Z_96F5AD9E_A448_4455_911A_A97097FE4C59_.wvu.FilterData" localSheetId="0" hidden="1">Merged_COEM!$A$59:$AN$317</definedName>
    <definedName name="Z_96F5AD9E_A448_4455_911A_A97097FE4C59_.wvu.FilterData" localSheetId="1" hidden="1">Merged_JOEM!$B$59:$AN$557</definedName>
    <definedName name="Z_970EE037_F5E5_47AF_896A_0F6222879EBC_.wvu.FilterData" localSheetId="0" hidden="1">Merged_COEM!$A$59:$AN$317</definedName>
    <definedName name="Z_970EE037_F5E5_47AF_896A_0F6222879EBC_.wvu.FilterData" localSheetId="1" hidden="1">Merged_JOEM!$B$59:$AN$343</definedName>
    <definedName name="Z_97218D6F_FBE0_4BB8_82A5_9A2B9CDAE672_.wvu.FilterData" localSheetId="0" hidden="1">Merged_COEM!$B$59:$AN$317</definedName>
    <definedName name="Z_9750A76A_9AC2_4661_A077_1F37F1CA2D63_.wvu.FilterData" localSheetId="0" hidden="1">Merged_COEM!$A$59:$AN$317</definedName>
    <definedName name="Z_9750A76A_9AC2_4661_A077_1F37F1CA2D63_.wvu.FilterData" localSheetId="1" hidden="1">Merged_JOEM!$B$59:$AN$343</definedName>
    <definedName name="Z_97A9DF88_B70E_4292_BE2C_86AD0A2D47DE_.wvu.FilterData" localSheetId="0" hidden="1">Merged_COEM!$B$59:$AN$317</definedName>
    <definedName name="Z_97AAF0FB_833F_410F_98E6_7D7318D10BAE_.wvu.FilterData" localSheetId="1" hidden="1">Merged_JOEM!$B$59:$AN$534</definedName>
    <definedName name="Z_97EF7E7D_823B_4724_B450_423F574FDE0D_.wvu.FilterData" localSheetId="1" hidden="1">Merged_JOEM!$B$59:$AN$534</definedName>
    <definedName name="Z_983C141A_8D59_4E1D_97B7_B88EFFF46736_.wvu.FilterData" localSheetId="1" hidden="1">Merged_JOEM!$A$59:$AN$532</definedName>
    <definedName name="Z_984B2F44_EE13_4F2D_BD1D_5920AACED939_.wvu.FilterData" localSheetId="0" hidden="1">Merged_COEM!$A$59:$AN$317</definedName>
    <definedName name="Z_984B2F44_EE13_4F2D_BD1D_5920AACED939_.wvu.FilterData" localSheetId="1" hidden="1">Merged_JOEM!$B$59:$AN$564</definedName>
    <definedName name="Z_98A00DCA_BF5A_4F56_82AD_F0FA90642632_.wvu.FilterData" localSheetId="0" hidden="1">Merged_COEM!$A$59:$AN$317</definedName>
    <definedName name="Z_98A00DCA_BF5A_4F56_82AD_F0FA90642632_.wvu.FilterData" localSheetId="1" hidden="1">Merged_JOEM!$B$59:$AN$416</definedName>
    <definedName name="Z_990FD16A_9FF3_4588_AE9A_2DC9132A731F_.wvu.FilterData" localSheetId="1" hidden="1">Merged_JOEM!$B$59:$AN$228</definedName>
    <definedName name="Z_99193316_C55A_4185_B53F_2ACB69CFB515_.wvu.FilterData" localSheetId="0" hidden="1">Merged_COEM!$A$59:$AN$317</definedName>
    <definedName name="Z_99193316_C55A_4185_B53F_2ACB69CFB515_.wvu.FilterData" localSheetId="1" hidden="1">Merged_JOEM!$B$59:$AN$557</definedName>
    <definedName name="Z_99BC1C51_34DC_4BF2_906C_1E31B6171D71_.wvu.FilterData" localSheetId="0" hidden="1">Merged_COEM!$A$59:$AN$317</definedName>
    <definedName name="Z_99BC1C51_34DC_4BF2_906C_1E31B6171D71_.wvu.FilterData" localSheetId="1" hidden="1">Merged_JOEM!$B$59:$AN$557</definedName>
    <definedName name="Z_99D8ACC7_6571_46A2_80A8_E3B7AB2D8AA6_.wvu.FilterData" localSheetId="0" hidden="1">Merged_COEM!$A$59:$AN$317</definedName>
    <definedName name="Z_99D8ACC7_6571_46A2_80A8_E3B7AB2D8AA6_.wvu.FilterData" localSheetId="1" hidden="1">Merged_JOEM!$B$59:$AN$416</definedName>
    <definedName name="Z_99E5354C_71C6_436F_9EE1_C848EB01C814_.wvu.FilterData" localSheetId="0" hidden="1">Merged_COEM!$B$59:$AN$59</definedName>
    <definedName name="Z_99E5354C_71C6_436F_9EE1_C848EB01C814_.wvu.FilterData" localSheetId="1" hidden="1">Merged_JOEM!$B$59:$AN$59</definedName>
    <definedName name="Z_9A86CE79_1851_42BA_9B14_0E6B800902B9_.wvu.FilterData" localSheetId="1" hidden="1">Merged_JOEM!$B$59:$AN$463</definedName>
    <definedName name="Z_9AD1B165_0807_4FC0_AD7A_19295CA7995A_.wvu.FilterData" localSheetId="0" hidden="1">Merged_COEM!$B$59:$AN$59</definedName>
    <definedName name="Z_9AD1B165_0807_4FC0_AD7A_19295CA7995A_.wvu.FilterData" localSheetId="1" hidden="1">Merged_JOEM!$B$59:$AN$59</definedName>
    <definedName name="Z_9B284A23_0F1B_4C7D_B2C2_B10F6E505930_.wvu.FilterData" localSheetId="0" hidden="1">Merged_COEM!$B$59:$AN$317</definedName>
    <definedName name="Z_9B908383_707F_47D3_9642_C5167E466EE6_.wvu.FilterData" localSheetId="0" hidden="1">Merged_COEM!$A$59:$AN$317</definedName>
    <definedName name="Z_9BC0BD38_C2C1_49B2_9120_CD2B9E68C14D_.wvu.FilterData" localSheetId="0" hidden="1">Merged_COEM!$A$59:$AN$317</definedName>
    <definedName name="Z_9BC0BD38_C2C1_49B2_9120_CD2B9E68C14D_.wvu.FilterData" localSheetId="1" hidden="1">Merged_JOEM!$B$59:$AN$354</definedName>
    <definedName name="Z_9BF84FDF_20F5_4C19_83EE_38413C8541E5_.wvu.FilterData" localSheetId="0" hidden="1">Merged_COEM!$B$59:$AN$317</definedName>
    <definedName name="Z_9BF84FDF_20F5_4C19_83EE_38413C8541E5_.wvu.FilterData" localSheetId="1" hidden="1">Merged_JOEM!$B$59:$AN$557</definedName>
    <definedName name="Z_9BFBDFBB_2B19_4AA7_AE31_6ACFC5F32A4D_.wvu.FilterData" localSheetId="0" hidden="1">Merged_COEM!$A$59:$AN$317</definedName>
    <definedName name="Z_9D714EDB_35D2_4BA7_9AE2_8FA7614FCB4C_.wvu.FilterData" localSheetId="0" hidden="1">Merged_COEM!$A$59:$AN$317</definedName>
    <definedName name="Z_9D714EDB_35D2_4BA7_9AE2_8FA7614FCB4C_.wvu.FilterData" localSheetId="1" hidden="1">Merged_JOEM!$B$59:$AN$564</definedName>
    <definedName name="Z_9D8AFE7E_9E2B_4CC2_8DD9_1F54F32F36DE_.wvu.FilterData" localSheetId="0" hidden="1">Merged_COEM!$A$59:$AN$317</definedName>
    <definedName name="Z_9DA22320_E202_4AF4_A4F8_412387725E48_.wvu.FilterData" localSheetId="0" hidden="1">Merged_COEM!$A$59:$AN$317</definedName>
    <definedName name="Z_9DE5D1E3_34D1_41A1_AF9A_7D2454A346C3_.wvu.FilterData" localSheetId="0" hidden="1">Merged_COEM!$A$59:$AN$317</definedName>
    <definedName name="Z_9DFE89D2_7319_4A78_B4E8_1C3E54A467C5_.wvu.FilterData" localSheetId="1" hidden="1">Merged_JOEM!$B$59:$AN$534</definedName>
    <definedName name="Z_9E145E8C_2B31_4DB8_B4B0_C616F5D01119_.wvu.FilterData" localSheetId="0" hidden="1">Merged_COEM!$B$59:$AN$59</definedName>
    <definedName name="Z_9E58552E_A9C9_4FDD_9351_27222DB502AD_.wvu.FilterData" localSheetId="0" hidden="1">Merged_COEM!$A$59:$AN$317</definedName>
    <definedName name="Z_9E58552E_A9C9_4FDD_9351_27222DB502AD_.wvu.FilterData" localSheetId="1" hidden="1">Merged_JOEM!$B$59:$AN$538</definedName>
    <definedName name="Z_9F45223C_9767_4C33_8ED0_77D77C44DDED_.wvu.FilterData" localSheetId="1" hidden="1">Merged_JOEM!$B$59:$AN$564</definedName>
    <definedName name="Z_9FCD0F21_6588_4820_B156_FD9CAB29A8E1_.wvu.FilterData" localSheetId="0" hidden="1">Merged_COEM!$B$59:$AN$317</definedName>
    <definedName name="Z_9FCD0F21_6588_4820_B156_FD9CAB29A8E1_.wvu.FilterData" localSheetId="1" hidden="1">Merged_JOEM!$B$59:$AN$228</definedName>
    <definedName name="Z_9FEC5F16_0415_467C_9D43_55FB7EEA0794_.wvu.FilterData" localSheetId="1" hidden="1">Merged_JOEM!$B$59:$AN$564</definedName>
    <definedName name="Z_A01D47D5_089B_449D_8A98_708E8387C72E_.wvu.FilterData" localSheetId="0" hidden="1">Merged_COEM!$A$59:$AN$317</definedName>
    <definedName name="Z_A01D47D5_089B_449D_8A98_708E8387C72E_.wvu.FilterData" localSheetId="1" hidden="1">Merged_JOEM!$B$59:$AN$538</definedName>
    <definedName name="Z_A0775B09_FAB0_4DE7_9AE6_1D4E50E30721_.wvu.FilterData" localSheetId="1" hidden="1">Merged_JOEM!$B$59:$AN$130</definedName>
    <definedName name="Z_A0C8FF3D_B76B_442F_975B_965579239FA1_.wvu.FilterData" localSheetId="0" hidden="1">Merged_COEM!$B$59:$AN$317</definedName>
    <definedName name="Z_A0C8FF3D_B76B_442F_975B_965579239FA1_.wvu.FilterData" localSheetId="1" hidden="1">Merged_JOEM!$B$59:$AN$538</definedName>
    <definedName name="Z_A13FB3CB_6392_4AB9_9BB3_3AC24AFC7B13_.wvu.FilterData" localSheetId="1" hidden="1">Merged_JOEM!$B$59:$AN$315</definedName>
    <definedName name="Z_A15A9366_E30F_41B7_BA75_6474B00ABCD6_.wvu.FilterData" localSheetId="0" hidden="1">Merged_COEM!$B$59:$AN$317</definedName>
    <definedName name="Z_A250327B_29D1_494C_9436_0B51910F3323_.wvu.FilterData" localSheetId="0" hidden="1">Merged_COEM!$B$59:$AN$317</definedName>
    <definedName name="Z_A2A917F4_F661_4683_88C9_57D64E10A4C2_.wvu.FilterData" localSheetId="0" hidden="1">Merged_COEM!$B$59:$AN$317</definedName>
    <definedName name="Z_A2C66332_A809_458E_971B_FDB6D62C74C3_.wvu.FilterData" localSheetId="0" hidden="1">Merged_COEM!$A$59:$AN$317</definedName>
    <definedName name="Z_A2C66332_A809_458E_971B_FDB6D62C74C3_.wvu.FilterData" localSheetId="1" hidden="1">Merged_JOEM!$B$59:$AN$538</definedName>
    <definedName name="Z_A2E8CE38_D15E_4374_89B2_69D9421C4465_.wvu.FilterData" localSheetId="0" hidden="1">Merged_COEM!$A$59:$AN$317</definedName>
    <definedName name="Z_A2E8CE38_D15E_4374_89B2_69D9421C4465_.wvu.FilterData" localSheetId="1" hidden="1">Merged_JOEM!$B$59:$AN$557</definedName>
    <definedName name="Z_A2ED90D5_0AE2_4182_9A3F_E75804CB6440_.wvu.FilterData" localSheetId="0" hidden="1">Merged_COEM!$B$59:$AN$317</definedName>
    <definedName name="Z_A301D847_2FFF_4123_8B9E_71D3C55C5D57_.wvu.FilterData" localSheetId="1" hidden="1">Merged_JOEM!$B$59:$AN$564</definedName>
    <definedName name="Z_A3997E62_95A5_441B_BCD1_F36DF1F56B38_.wvu.FilterData" localSheetId="1" hidden="1">Merged_JOEM!$B$59:$AN$534</definedName>
    <definedName name="Z_A3F6F405_A8BB_41EE_B64B_0C0A5F47BBB9_.wvu.FilterData" localSheetId="0" hidden="1">Merged_COEM!$A$59:$AN$317</definedName>
    <definedName name="Z_A3F6F405_A8BB_41EE_B64B_0C0A5F47BBB9_.wvu.FilterData" localSheetId="1" hidden="1">Merged_JOEM!$B$59:$AN$400</definedName>
    <definedName name="Z_A41FDE28_6FFB_43B6_B43B_9101088A5207_.wvu.FilterData" localSheetId="0" hidden="1">Merged_COEM!$B$59:$AN$59</definedName>
    <definedName name="Z_A4227727_9F71_47E1_8C2E_042438D3D073_.wvu.FilterData" localSheetId="0" hidden="1">Merged_COEM!$B$59:$AN$59</definedName>
    <definedName name="Z_A4C099B1_5E5F_4C56_A24C_DD6003681108_.wvu.FilterData" localSheetId="0" hidden="1">Merged_COEM!$A$59:$AN$317</definedName>
    <definedName name="Z_A50E4143_AF12_4C63_895C_11E0B566FC9F_.wvu.FilterData" localSheetId="0" hidden="1">Merged_COEM!$A$59:$AN$317</definedName>
    <definedName name="Z_A50E4143_AF12_4C63_895C_11E0B566FC9F_.wvu.FilterData" localSheetId="1" hidden="1">Merged_JOEM!$B$59:$AN$557</definedName>
    <definedName name="Z_A52B4186_3590_4AD1_9624_DC2A103B03AD_.wvu.FilterData" localSheetId="0" hidden="1">Merged_COEM!$A$59:$AN$317</definedName>
    <definedName name="Z_A530D591_A56D_49B0_89DC_9DC0A415D13A_.wvu.FilterData" localSheetId="0" hidden="1">Merged_COEM!$B$59:$AN$317</definedName>
    <definedName name="Z_A546423F_1F1A_4C80_A6E5_B1F632CC0E97_.wvu.FilterData" localSheetId="0" hidden="1">Merged_COEM!$A$59:$AN$317</definedName>
    <definedName name="Z_A660862E_E137_45E6_9126_F71C85FD8B0C_.wvu.FilterData" localSheetId="0" hidden="1">Merged_COEM!$B$59:$AN$59</definedName>
    <definedName name="Z_A663A7DA_D86D_4DEF_9BFD_5DB8AD74E021_.wvu.FilterData" localSheetId="0" hidden="1">Merged_COEM!$B$59:$AN$317</definedName>
    <definedName name="Z_A69D5879_F20E_424D_BE9A_D2AC0F4120BC_.wvu.FilterData" localSheetId="0" hidden="1">Merged_COEM!$A$59:$AN$317</definedName>
    <definedName name="Z_A69D5879_F20E_424D_BE9A_D2AC0F4120BC_.wvu.FilterData" localSheetId="1" hidden="1">Merged_JOEM!$B$59:$AN$538</definedName>
    <definedName name="Z_A6A46D6D_F867_4FA0_8E53_62A7F47A4E88_.wvu.FilterData" localSheetId="0" hidden="1">Merged_COEM!$P$59:$P$317</definedName>
    <definedName name="Z_A6B4BABA_9A83_450F_9E9D_56563B528D17_.wvu.FilterData" localSheetId="1" hidden="1">Merged_JOEM!$A$59:$AN$532</definedName>
    <definedName name="Z_A744FF6C_D2CD_4F7F_AB46_8716E1600217_.wvu.FilterData" localSheetId="0" hidden="1">Merged_COEM!$B$59:$AN$59</definedName>
    <definedName name="Z_A7D380F0_390E_41B2_8D7C_8A5C5BADE80E_.wvu.FilterData" localSheetId="0" hidden="1">Merged_COEM!$A$59:$AN$317</definedName>
    <definedName name="Z_A7D380F0_390E_41B2_8D7C_8A5C5BADE80E_.wvu.FilterData" localSheetId="1" hidden="1">Merged_JOEM!$B$59:$AN$564</definedName>
    <definedName name="Z_A836B445_4F59_4535_9297_85C0D2ED9ECD_.wvu.FilterData" localSheetId="0" hidden="1">Merged_COEM!$A$59:$AN$317</definedName>
    <definedName name="Z_A872A925_F97A_4BCF_ADA0_5A890430B25E_.wvu.FilterData" localSheetId="0" hidden="1">Merged_COEM!$A$59:$AN$317</definedName>
    <definedName name="Z_A872A925_F97A_4BCF_ADA0_5A890430B25E_.wvu.FilterData" localSheetId="1" hidden="1">Merged_JOEM!$B$59:$AN$564</definedName>
    <definedName name="Z_A87FFE3F_77FF_433C_8CA8_6171BAB76800_.wvu.FilterData" localSheetId="0" hidden="1">Merged_COEM!$A$59:$AN$317</definedName>
    <definedName name="Z_A87FFE3F_77FF_433C_8CA8_6171BAB76800_.wvu.FilterData" localSheetId="1" hidden="1">Merged_JOEM!$B$59:$AN$538</definedName>
    <definedName name="Z_A9044116_3E03_430C_A15B_D9F866E62660_.wvu.FilterData" localSheetId="1" hidden="1">Merged_JOEM!$B$59:$AN$315</definedName>
    <definedName name="Z_A93E953F_27EC_4E0F_9AF0_C32DACBD628F_.wvu.FilterData" localSheetId="1" hidden="1">Merged_JOEM!$B$59:$AN$557</definedName>
    <definedName name="Z_A97F1F0F_D4DA_4DCF_90A4_C17A9941DAFC_.wvu.FilterData" localSheetId="0" hidden="1">Merged_COEM!$B$59:$AN$317</definedName>
    <definedName name="Z_AA08188C_4214_4528_ACD9_C2614CA84F28_.wvu.FilterData" localSheetId="0" hidden="1">Merged_COEM!$B$59:$AN$317</definedName>
    <definedName name="Z_AA3A2856_F934_43FD_A71B_100B2ECD9F4A_.wvu.FilterData" localSheetId="0" hidden="1">Merged_COEM!$B$59:$AN$59</definedName>
    <definedName name="Z_AA663744_F859_43D9_A54D_2B5EE93430E9_.wvu.FilterData" localSheetId="1" hidden="1">Merged_JOEM!$B$59:$AN$538</definedName>
    <definedName name="Z_AA85FADB_94FF_41A1_80F2_8EF99C6BD443_.wvu.FilterData" localSheetId="0" hidden="1">Merged_COEM!$B$59:$AN$59</definedName>
    <definedName name="Z_AA8C2556_A8CA_4B08_BB29_340946A085B5_.wvu.FilterData" localSheetId="1" hidden="1">Merged_JOEM!$B$59:$AN$538</definedName>
    <definedName name="Z_AB5B9EA7_3D5B_4C61_9D01_380D7E46D55A_.wvu.FilterData" localSheetId="0" hidden="1">Merged_COEM!$A$59:$AN$59</definedName>
    <definedName name="Z_AB8A5668_D9AB_4435_929C_EC5CD32EE891_.wvu.FilterData" localSheetId="0" hidden="1">Merged_COEM!$B$59:$AN$317</definedName>
    <definedName name="Z_ABE1B979_D75D_42A3_AB3C_1BC48A1ABE90_.wvu.FilterData" localSheetId="0" hidden="1">Merged_COEM!$B$59:$AN$317</definedName>
    <definedName name="Z_ABE55103_FF5C_42FF_AFC6_3D572B40F6DA_.wvu.FilterData" localSheetId="1" hidden="1">Merged_JOEM!$B$59:$AN$534</definedName>
    <definedName name="Z_ABF2DD7F_B65A_4CC6_B74A_38052D2B8E59_.wvu.FilterData" localSheetId="1" hidden="1">Merged_JOEM!$B$59:$AN$400</definedName>
    <definedName name="Z_AC8C72C0_BF05_466A_9B57_221E13D8718D_.wvu.FilterData" localSheetId="1" hidden="1">Merged_JOEM!$B$59:$AN$538</definedName>
    <definedName name="Z_AC999F38_EF0E_452F_99C6_511671044A11_.wvu.FilterData" localSheetId="0" hidden="1">Merged_COEM!$B$59:$AN$317</definedName>
    <definedName name="Z_AC999F38_EF0E_452F_99C6_511671044A11_.wvu.FilterData" localSheetId="1" hidden="1">Merged_JOEM!$B$59:$AN$59</definedName>
    <definedName name="Z_AD0FF98A_2F3B_40F7_861D_434AA89A29DD_.wvu.FilterData" localSheetId="0" hidden="1">Merged_COEM!$A$59:$AN$317</definedName>
    <definedName name="Z_AD14E8B8_0FE3_4B3A_BB57_D701B4483B73_.wvu.FilterData" localSheetId="1" hidden="1">Merged_JOEM!$B$59:$AN$557</definedName>
    <definedName name="Z_AD27B5B3_C4F2_4AB4_889A_203E2C0A7B22_.wvu.FilterData" localSheetId="0" hidden="1">Merged_COEM!$A$59:$AN$317</definedName>
    <definedName name="Z_AD31D473_ABF1_4543_84A5_D817CF174F0C_.wvu.FilterData" localSheetId="0" hidden="1">Merged_COEM!$B$59:$AN$317</definedName>
    <definedName name="Z_AD410EFD_3C48_4974_8190_54E997645D2E_.wvu.FilterData" localSheetId="1" hidden="1">Merged_JOEM!$B$59:$AN$557</definedName>
    <definedName name="Z_AD8B49E8_87DC_4177_B177_5FFC62AFABB7_.wvu.FilterData" localSheetId="0" hidden="1">Merged_COEM!$A$59:$AN$317</definedName>
    <definedName name="Z_AD8B49E8_87DC_4177_B177_5FFC62AFABB7_.wvu.FilterData" localSheetId="1" hidden="1">Merged_JOEM!$B$59:$AN$167</definedName>
    <definedName name="Z_ADAA3B81_1A27_4812_A625_9DAC9F788255_.wvu.FilterData" localSheetId="1" hidden="1">Merged_JOEM!$B$59:$AN$534</definedName>
    <definedName name="Z_ADD46B79_F7F7_46DE_9772_2E93369E66DE_.wvu.FilterData" localSheetId="0" hidden="1">Merged_COEM!$B$59:$AN$317</definedName>
    <definedName name="Z_ADD81405_E6B7_41C3_A379_D812EDE6C6DE_.wvu.FilterData" localSheetId="0" hidden="1">Merged_COEM!$A$59:$AN$317</definedName>
    <definedName name="Z_AEA1E269_51AD_49F9_AF94_73DA4275CBCE_.wvu.FilterData" localSheetId="1" hidden="1">Merged_JOEM!$B$59:$AN$228</definedName>
    <definedName name="Z_AEE31DEF_6354_4D0B_A102_CB9D77D60F31_.wvu.FilterData" localSheetId="0" hidden="1">Merged_COEM!$A$59:$AN$317</definedName>
    <definedName name="Z_AEE31DEF_6354_4D0B_A102_CB9D77D60F31_.wvu.FilterData" localSheetId="1" hidden="1">Merged_JOEM!$B$59:$AN$538</definedName>
    <definedName name="Z_AF189699_1222_40FF_ACE8_2099FF14FAC9_.wvu.FilterData" localSheetId="0" hidden="1">Merged_COEM!$A$59:$AN$317</definedName>
    <definedName name="Z_AF189699_1222_40FF_ACE8_2099FF14FAC9_.wvu.FilterData" localSheetId="1" hidden="1">Merged_JOEM!$B$59:$AN$564</definedName>
    <definedName name="Z_AF2C09E3_1A45_4560_8BFB_57F00F3CF600_.wvu.FilterData" localSheetId="0" hidden="1">Merged_COEM!$A$59:$AN$317</definedName>
    <definedName name="Z_AF60E8FC_E99A_4BA9_AE63_B01E44AC58AC_.wvu.FilterData" localSheetId="0" hidden="1">Merged_COEM!$B$59:$AN$317</definedName>
    <definedName name="Z_AF60E8FC_E99A_4BA9_AE63_B01E44AC58AC_.wvu.FilterData" localSheetId="1" hidden="1">Merged_JOEM!$B$59:$AN$538</definedName>
    <definedName name="Z_AF7454D1_A4E3_4B0F_983D_A39068D44D6C_.wvu.FilterData" localSheetId="0" hidden="1">Merged_COEM!$B$59:$AN$59</definedName>
    <definedName name="Z_AF7454D1_A4E3_4B0F_983D_A39068D44D6C_.wvu.FilterData" localSheetId="1" hidden="1">Merged_JOEM!$B$59:$AN$557</definedName>
    <definedName name="Z_AF9F7688_81A2_4B02_A8EB_BF911C86CCD5_.wvu.FilterData" localSheetId="0" hidden="1">Merged_COEM!$B$59:$AN$317</definedName>
    <definedName name="Z_AF9F7688_81A2_4B02_A8EB_BF911C86CCD5_.wvu.FilterData" localSheetId="1" hidden="1">Merged_JOEM!$B$59:$AN$557</definedName>
    <definedName name="Z_AFC1A459_0CFD_449E_852E_780E257CA969_.wvu.FilterData" localSheetId="0" hidden="1">Merged_COEM!$A$59:$AN$317</definedName>
    <definedName name="Z_AFC1A459_0CFD_449E_852E_780E257CA969_.wvu.FilterData" localSheetId="1" hidden="1">Merged_JOEM!$B$59:$AN$564</definedName>
    <definedName name="Z_AFFDAC2E_AA36_440A_92AD_D39007548BA0_.wvu.FilterData" localSheetId="1" hidden="1">Merged_JOEM!$B$59:$AN$557</definedName>
    <definedName name="Z_B047BE5B_FE60_48F0_9260_C39693686782_.wvu.FilterData" localSheetId="0" hidden="1">Merged_COEM!$A$59:$AN$317</definedName>
    <definedName name="Z_B047BE5B_FE60_48F0_9260_C39693686782_.wvu.FilterData" localSheetId="1" hidden="1">Merged_JOEM!$B$59:$AN$315</definedName>
    <definedName name="Z_B06D242B_D21C_41E5_82AB_BA350B34DB54_.wvu.FilterData" localSheetId="0" hidden="1">Merged_COEM!$A$59:$AN$317</definedName>
    <definedName name="Z_B0D4B0A9_441A_40CA_8004_F6D98B3003DF_.wvu.FilterData" localSheetId="0" hidden="1">Merged_COEM!$B$59:$AN$317</definedName>
    <definedName name="Z_B1055908_6224_4011_925E_7C2E1172AE70_.wvu.FilterData" localSheetId="0" hidden="1">Merged_COEM!$A$59:$AN$317</definedName>
    <definedName name="Z_B1055908_6224_4011_925E_7C2E1172AE70_.wvu.FilterData" localSheetId="1" hidden="1">Merged_JOEM!$B$59:$AN$564</definedName>
    <definedName name="Z_B11A962E_2A67_42C2_BEEE_79C17A6F4042_.wvu.FilterData" localSheetId="0" hidden="1">Merged_COEM!$A$59:$AN$317</definedName>
    <definedName name="Z_B11A962E_2A67_42C2_BEEE_79C17A6F4042_.wvu.FilterData" localSheetId="1" hidden="1">Merged_JOEM!$B$59:$AN$538</definedName>
    <definedName name="Z_B1BAE94B_9F00_4EF3_A8CE_FFF8D917D97C_.wvu.FilterData" localSheetId="0" hidden="1">Merged_COEM!$B$59:$AN$317</definedName>
    <definedName name="Z_B21B93A4_DB8C_447E_A2B3_6FDA5FBC137D_.wvu.FilterData" localSheetId="0" hidden="1">Merged_COEM!$A$59:$AN$317</definedName>
    <definedName name="Z_B21B93A4_DB8C_447E_A2B3_6FDA5FBC137D_.wvu.FilterData" localSheetId="1" hidden="1">Merged_JOEM!$B$59:$AN$315</definedName>
    <definedName name="Z_B2714BA8_459F_40A1_BA80_112C2233A107_.wvu.FilterData" localSheetId="0" hidden="1">Merged_COEM!$B$59:$AN$59</definedName>
    <definedName name="Z_B2714BA8_459F_40A1_BA80_112C2233A107_.wvu.FilterData" localSheetId="1" hidden="1">Merged_JOEM!$B$59:$AN$557</definedName>
    <definedName name="Z_B28487AD_1FF3_420C_9816_908EA83E5D3C_.wvu.FilterData" localSheetId="0" hidden="1">Merged_COEM!$A$59:$AN$317</definedName>
    <definedName name="Z_B28487AD_1FF3_420C_9816_908EA83E5D3C_.wvu.FilterData" localSheetId="1" hidden="1">Merged_JOEM!$B$59:$AN$59</definedName>
    <definedName name="Z_B28746A6_3784_4E4C_9E3E_05917653FE5F_.wvu.FilterData" localSheetId="0" hidden="1">Merged_COEM!$B$59:$AN$317</definedName>
    <definedName name="Z_B2C38213_55F0_472A_9AC5_17E55E58FE85_.wvu.FilterData" localSheetId="0" hidden="1">Merged_COEM!$A$59:$AN$317</definedName>
    <definedName name="Z_B2C38213_55F0_472A_9AC5_17E55E58FE85_.wvu.FilterData" localSheetId="1" hidden="1">Merged_JOEM!$B$59:$AN$538</definedName>
    <definedName name="Z_B2C470A8_EA38_4E8A_AFC7_3088AC1C6257_.wvu.FilterData" localSheetId="0" hidden="1">Merged_COEM!$B$59:$AN$317</definedName>
    <definedName name="Z_B2EC619E_F51B_483E_9AAF_517D4B41291A_.wvu.FilterData" localSheetId="0" hidden="1">Merged_COEM!$A$59:$AN$317</definedName>
    <definedName name="Z_B386F4D0_99CB_473C_A930_D441BD49F02F_.wvu.FilterData" localSheetId="0" hidden="1">Merged_COEM!$A$59:$AN$317</definedName>
    <definedName name="Z_B3AB6DAA_41F0_4EE2_8B00_F7180AC3BF7E_.wvu.FilterData" localSheetId="1" hidden="1">Merged_JOEM!$B$59:$AN$564</definedName>
    <definedName name="Z_B3C086B7_C71E_4A43_AC71_93C9CD26D0B5_.wvu.FilterData" localSheetId="0" hidden="1">Merged_COEM!$B$59:$AN$59</definedName>
    <definedName name="Z_B3C086B7_C71E_4A43_AC71_93C9CD26D0B5_.wvu.FilterData" localSheetId="1" hidden="1">Merged_JOEM!$B$59:$AN$228</definedName>
    <definedName name="Z_B3C63703_90C0_415A_9B74_0BAEBA645E35_.wvu.FilterData" localSheetId="0" hidden="1">Merged_COEM!$A$59:$AN$317</definedName>
    <definedName name="Z_B3C63703_90C0_415A_9B74_0BAEBA645E35_.wvu.FilterData" localSheetId="1" hidden="1">Merged_JOEM!$B$59:$AN$59</definedName>
    <definedName name="Z_B3CBA697_396C_49AA_95DB_637C81CB8DF9_.wvu.FilterData" localSheetId="0" hidden="1">Merged_COEM!$B$59:$AN$317</definedName>
    <definedName name="Z_B3D249B3_F897_444B_A67E_E6939251C5B3_.wvu.FilterData" localSheetId="1" hidden="1">Merged_JOEM!$B$59:$AN$564</definedName>
    <definedName name="Z_B4601849_6CE0_4B24_B972_5640A5762B98_.wvu.FilterData" localSheetId="1" hidden="1">Merged_JOEM!$B$59:$AN$462</definedName>
    <definedName name="Z_B499B82B_96ED_4CBF_BFE1_5CA7DAD3BC0F_.wvu.FilterData" localSheetId="0" hidden="1">Merged_COEM!$B$59:$AN$317</definedName>
    <definedName name="Z_B4A86492_91CA_4B88_905A_7180E7C62EB2_.wvu.FilterData" localSheetId="0" hidden="1">Merged_COEM!$A$59:$AN$317</definedName>
    <definedName name="Z_B532AA05_9EB4_46DE_A45A_E34C29A069AA_.wvu.FilterData" localSheetId="0" hidden="1">Merged_COEM!$B$59:$AN$317</definedName>
    <definedName name="Z_B54D8A4B_BE39_481D_84D7_4F280C2EA516_.wvu.FilterData" localSheetId="0" hidden="1">Merged_COEM!$A$59:$AN$317</definedName>
    <definedName name="Z_B54D8A4B_BE39_481D_84D7_4F280C2EA516_.wvu.FilterData" localSheetId="1" hidden="1">Merged_JOEM!$B$59:$AN$564</definedName>
    <definedName name="Z_B562E70C_2A1E_48DF_BB71_B13898DA0A62_.wvu.FilterData" localSheetId="0" hidden="1">Merged_COEM!$B$59:$AN$59</definedName>
    <definedName name="Z_B5BFFC65_D8AA_4F24_A457_30C4D3425FDB_.wvu.FilterData" localSheetId="0" hidden="1">Merged_COEM!$A$59:$AN$317</definedName>
    <definedName name="Z_B5BFFC65_D8AA_4F24_A457_30C4D3425FDB_.wvu.FilterData" localSheetId="1" hidden="1">Merged_JOEM!$B$59:$AN$538</definedName>
    <definedName name="Z_B63DD65C_9EF8_4E01_9252_9D7B6691A477_.wvu.FilterData" localSheetId="0" hidden="1">Merged_COEM!$B$59:$AN$59</definedName>
    <definedName name="Z_B69D5D5A_EDF4_438E_9F3E_469D15CDC311_.wvu.FilterData" localSheetId="1" hidden="1">Merged_JOEM!$B$59:$AN$416</definedName>
    <definedName name="Z_B6B30A94_A4FB_42AF_BB3D_564C0E1E2210_.wvu.FilterData" localSheetId="0" hidden="1">Merged_COEM!$B$59:$AN$59</definedName>
    <definedName name="Z_B6B30A94_A4FB_42AF_BB3D_564C0E1E2210_.wvu.FilterData" localSheetId="1" hidden="1">Merged_JOEM!$B$59:$AN$59</definedName>
    <definedName name="Z_B6E0A596_FEEC_43ED_BE9D_795F6CC2C20C_.wvu.FilterData" localSheetId="1" hidden="1">Merged_JOEM!$B$59:$AN$93</definedName>
    <definedName name="Z_B6ED238C_0DE9_471E_909B_1EAB15BEA059_.wvu.FilterData" localSheetId="0" hidden="1">Merged_COEM!$P$59:$P$317</definedName>
    <definedName name="Z_B703749A_6F20_44E3_9889_2D4D66BE4590_.wvu.FilterData" localSheetId="1" hidden="1">Merged_JOEM!$B$59:$AN$343</definedName>
    <definedName name="Z_B72E275A_6F24_41A1_9C6B_D2DDECD287BC_.wvu.FilterData" localSheetId="0" hidden="1">Merged_COEM!$A$59:$AN$317</definedName>
    <definedName name="Z_B72E275A_6F24_41A1_9C6B_D2DDECD287BC_.wvu.FilterData" localSheetId="1" hidden="1">Merged_JOEM!$B$59:$AN$534</definedName>
    <definedName name="Z_B74AD96C_E5E8_4D30_8527_5E9CD4AFA591_.wvu.FilterData" localSheetId="1" hidden="1">Merged_JOEM!$B$59:$AN$538</definedName>
    <definedName name="Z_B765EB56_FE5D_42F0_8849_389B423DADAB_.wvu.FilterData" localSheetId="1" hidden="1">Merged_JOEM!$B$59:$AN$534</definedName>
    <definedName name="Z_B79C9779_79E7_4967_9F57_FA2282BD4D08_.wvu.FilterData" localSheetId="0" hidden="1">Merged_COEM!$A$59:$AN$317</definedName>
    <definedName name="Z_B79C9779_79E7_4967_9F57_FA2282BD4D08_.wvu.FilterData" localSheetId="1" hidden="1">Merged_JOEM!$B$59:$AN$400</definedName>
    <definedName name="Z_B82A2657_0220_4B0F_9DBB_FE1041FAE52C_.wvu.FilterData" localSheetId="1" hidden="1">Merged_JOEM!$B$59:$AN$538</definedName>
    <definedName name="Z_B8A226AA_4E0E_4D2F_B0B1_CAC5B7F3C8A1_.wvu.FilterData" localSheetId="0" hidden="1">Merged_COEM!$A$59:$AN$317</definedName>
    <definedName name="Z_B91F8F80_1E41_4E6C_9709_D19696E1443D_.wvu.FilterData" localSheetId="0" hidden="1">Merged_COEM!$A$59:$AN$317</definedName>
    <definedName name="Z_B9EFE5C6_68FB_4933_972C_7F8BD5F2D994_.wvu.FilterData" localSheetId="1" hidden="1">Merged_JOEM!$S$60:$S$564</definedName>
    <definedName name="Z_BA4855AA_40FB_418D_84E2_7F88F123D064_.wvu.FilterData" localSheetId="1" hidden="1">Merged_JOEM!$B$59:$AN$93</definedName>
    <definedName name="Z_BA8AB1D4_534F_4F8C_8EFD_F4916436D0AB_.wvu.FilterData" localSheetId="1" hidden="1">Merged_JOEM!$B$59:$AN$315</definedName>
    <definedName name="Z_BAA03A74_DBB5_4360_8A5A_7F67B14FB70B_.wvu.FilterData" localSheetId="0" hidden="1">Merged_COEM!$B$59:$AN$317</definedName>
    <definedName name="Z_BAA03A74_DBB5_4360_8A5A_7F67B14FB70B_.wvu.FilterData" localSheetId="1" hidden="1">Merged_JOEM!$B$59:$AN$538</definedName>
    <definedName name="Z_BB0D45F8_2221_4F41_ADDE_560121F7F728_.wvu.FilterData" localSheetId="0" hidden="1">Merged_COEM!$B$59:$AN$317</definedName>
    <definedName name="Z_BBF1917C_086C_4375_B9C9_44D06983F7F5_.wvu.FilterData" localSheetId="0" hidden="1">Merged_COEM!$B$59:$AN$317</definedName>
    <definedName name="Z_BC0ABD15_012F_43E9_B656_1AF96E1EC960_.wvu.FilterData" localSheetId="0" hidden="1">Merged_COEM!$A$59:$AN$317</definedName>
    <definedName name="Z_BC173873_A7A3_429A_A2F2_06B8E17D4E2D_.wvu.FilterData" localSheetId="0" hidden="1">Merged_COEM!$P$59:$P$317</definedName>
    <definedName name="Z_BC173873_A7A3_429A_A2F2_06B8E17D4E2D_.wvu.FilterData" localSheetId="1" hidden="1">Merged_JOEM!$B$59:$AN$59</definedName>
    <definedName name="Z_BC9E3217_B55A_4318_BC37_B4A44F3EFD84_.wvu.FilterData" localSheetId="0" hidden="1">Merged_COEM!$B$59:$AN$317</definedName>
    <definedName name="Z_BCA8DD9F_034E_4FA8_9E78_7C48E88504CC_.wvu.FilterData" localSheetId="0" hidden="1">Merged_COEM!$B$59:$AN$59</definedName>
    <definedName name="Z_BCD67A5F_3B8A_4ACB_A5B6_A8178B148F07_.wvu.FilterData" localSheetId="0" hidden="1">Merged_COEM!$B$59:$AN$317</definedName>
    <definedName name="Z_BCD67A5F_3B8A_4ACB_A5B6_A8178B148F07_.wvu.FilterData" localSheetId="1" hidden="1">Merged_JOEM!$B$59:$AN$557</definedName>
    <definedName name="Z_BCE93B8C_C7A9_4EA3_9D8F_A38689784C4F_.wvu.FilterData" localSheetId="1" hidden="1">Merged_JOEM!$B$59:$AN$557</definedName>
    <definedName name="Z_BCE99E97_CE8F_4575_BF43_E13B513D810F_.wvu.FilterData" localSheetId="0" hidden="1">Merged_COEM!$B$59:$AN$317</definedName>
    <definedName name="Z_BD8FF058_B31E_4C72_A923_312AF439B99F_.wvu.FilterData" localSheetId="0" hidden="1">Merged_COEM!$A$59:$AN$317</definedName>
    <definedName name="Z_BD8FF058_B31E_4C72_A923_312AF439B99F_.wvu.FilterData" localSheetId="1" hidden="1">Merged_JOEM!$B$59:$AN$564</definedName>
    <definedName name="Z_BDB40059_4248_41EF_B3FC_8DCB8FB6E621_.wvu.FilterData" localSheetId="1" hidden="1">Merged_JOEM!$B$59:$AN$557</definedName>
    <definedName name="Z_BDB7F577_AD1D_4527_B4B3_1BDA43ED5ABB_.wvu.FilterData" localSheetId="0" hidden="1">Merged_COEM!$A$59:$AN$317</definedName>
    <definedName name="Z_BDB7F577_AD1D_4527_B4B3_1BDA43ED5ABB_.wvu.FilterData" localSheetId="1" hidden="1">Merged_JOEM!$B$59:$AN$534</definedName>
    <definedName name="Z_BDE1555A_96A9_4ACC_A4E5_304887666D22_.wvu.FilterData" localSheetId="1" hidden="1">Merged_JOEM!$B$59:$AN$315</definedName>
    <definedName name="Z_BE2C4139_45FB_4F61_B94D_DB5662A7B828_.wvu.FilterData" localSheetId="0" hidden="1">Merged_COEM!$A$59:$AN$317</definedName>
    <definedName name="Z_BE2C4139_45FB_4F61_B94D_DB5662A7B828_.wvu.FilterData" localSheetId="1" hidden="1">Merged_JOEM!$B$59:$AN$557</definedName>
    <definedName name="Z_BE7BA0FA_2892_4827_BA29_74B6E16E353B_.wvu.FilterData" localSheetId="0" hidden="1">Merged_COEM!$A$59:$AN$317</definedName>
    <definedName name="Z_BECCF56E_D016_4416_89DC_61E6A6FE3DA2_.wvu.FilterData" localSheetId="0" hidden="1">Merged_COEM!$B$59:$AN$59</definedName>
    <definedName name="Z_BECCF56E_D016_4416_89DC_61E6A6FE3DA2_.wvu.FilterData" localSheetId="1" hidden="1">Merged_JOEM!$B$59:$AN$228</definedName>
    <definedName name="Z_BEDDEF76_28AB_4A0B_BC4B_8B6473A05FB8_.wvu.FilterData" localSheetId="0" hidden="1">Merged_COEM!$A$59:$AN$317</definedName>
    <definedName name="Z_BEDDEF76_28AB_4A0B_BC4B_8B6473A05FB8_.wvu.FilterData" localSheetId="1" hidden="1">Merged_JOEM!$B$59:$AN$274</definedName>
    <definedName name="Z_BEE26344_5F89_46BE_ADCC_85D6BF33A053_.wvu.FilterData" localSheetId="0" hidden="1">Merged_COEM!$A$59:$AN$317</definedName>
    <definedName name="Z_BEE26344_5F89_46BE_ADCC_85D6BF33A053_.wvu.FilterData" localSheetId="1" hidden="1">Merged_JOEM!$B$59:$AN$564</definedName>
    <definedName name="Z_BEEF2F45_0C55_4CE8_9EFB_543C69F3213D_.wvu.FilterData" localSheetId="0" hidden="1">Merged_COEM!$A$59:$AN$317</definedName>
    <definedName name="Z_BF1F7491_F461_4810_B06E_8AF629E4946B_.wvu.FilterData" localSheetId="0" hidden="1">Merged_COEM!$B$59:$AN$317</definedName>
    <definedName name="Z_BF52B18B_F9A5_4F9E_8A83_0B8804B283D0_.wvu.FilterData" localSheetId="1" hidden="1">Merged_JOEM!$B$59:$AN$315</definedName>
    <definedName name="Z_BF7A1F8F_74AD_4DDA_B23C_B5C3DB65C08A_.wvu.FilterData" localSheetId="1" hidden="1">Merged_JOEM!$B$59:$AN$564</definedName>
    <definedName name="Z_BF8A59F3_8F18_4B86_BC75_81913D647D5D_.wvu.FilterData" localSheetId="0" hidden="1">Merged_COEM!$B$59:$AN$59</definedName>
    <definedName name="Z_BF8A59F3_8F18_4B86_BC75_81913D647D5D_.wvu.FilterData" localSheetId="1" hidden="1">Merged_JOEM!$B$59:$AN$557</definedName>
    <definedName name="Z_BFA91855_D249_42DF_9643_A4925F317283_.wvu.FilterData" localSheetId="0" hidden="1">Merged_COEM!$A$59:$AN$317</definedName>
    <definedName name="Z_BFA91855_D249_42DF_9643_A4925F317283_.wvu.FilterData" localSheetId="1" hidden="1">Merged_JOEM!$B$59:$AN$343</definedName>
    <definedName name="Z_BFD55FAF_43A4_480D_9185_A855D1C1DB84_.wvu.FilterData" localSheetId="1" hidden="1">Merged_JOEM!$B$59:$AN$538</definedName>
    <definedName name="Z_BFE28FD3_FC05_47D2_B394_F3516A4D0AB3_.wvu.FilterData" localSheetId="0" hidden="1">Merged_COEM!$B$59:$AN$59</definedName>
    <definedName name="Z_C040E5A8_52D5_4EAD_AE14_E299EEBFA450_.wvu.FilterData" localSheetId="0" hidden="1">Merged_COEM!$A$59:$AN$317</definedName>
    <definedName name="Z_C040E5A8_52D5_4EAD_AE14_E299EEBFA450_.wvu.FilterData" localSheetId="1" hidden="1">Merged_JOEM!$B$59:$AN$557</definedName>
    <definedName name="Z_C067C736_CE11_433B_A9A2_C3341C50D7F4_.wvu.FilterData" localSheetId="1" hidden="1">Merged_JOEM!$A$59:$AN$534</definedName>
    <definedName name="Z_C0E51FCA_4F01_4943_98A0_011C2CAE2D2E_.wvu.FilterData" localSheetId="0" hidden="1">Merged_COEM!$B$59:$AN$59</definedName>
    <definedName name="Z_C0F8B497_FB1A_45EA_9D03_2183FFE54A49_.wvu.FilterData" localSheetId="1" hidden="1">Merged_JOEM!$B$59:$AN$228</definedName>
    <definedName name="Z_C1337DB0_8B04_4406_8923_236FDF621140_.wvu.FilterData" localSheetId="1" hidden="1">Merged_JOEM!$B$59:$AN$534</definedName>
    <definedName name="Z_C1FF6141_5619_4E0A_B661_25917EBD3F7D_.wvu.FilterData" localSheetId="1" hidden="1">Merged_JOEM!$B$59:$AN$534</definedName>
    <definedName name="Z_C2303EBD_E6D7_4FF7_845D_A3B248E6EFF5_.wvu.FilterData" localSheetId="1" hidden="1">Merged_JOEM!$B$59:$AN$564</definedName>
    <definedName name="Z_C23B4670_A03E_4935_A5AE_6ADF7F3ACA1F_.wvu.FilterData" localSheetId="0" hidden="1">Merged_COEM!$A$59:$AN$317</definedName>
    <definedName name="Z_C2BC807A_4231_4D9F_A0E3_91083B1E2121_.wvu.FilterData" localSheetId="0" hidden="1">Merged_COEM!$B$59:$AN$317</definedName>
    <definedName name="Z_C2BC807A_4231_4D9F_A0E3_91083B1E2121_.wvu.FilterData" localSheetId="1" hidden="1">Merged_JOEM!$B$59:$AN$59</definedName>
    <definedName name="Z_C2CCA076_8851_43CC_9A1E_2FD22C7E2390_.wvu.FilterData" localSheetId="0" hidden="1">Merged_COEM!$A$59:$AN$317</definedName>
    <definedName name="Z_C2CCA076_8851_43CC_9A1E_2FD22C7E2390_.wvu.FilterData" localSheetId="1" hidden="1">Merged_JOEM!$B$59:$AN$564</definedName>
    <definedName name="Z_C2E07036_503C_47A6_8849_1E5951B99899_.wvu.FilterData" localSheetId="0" hidden="1">Merged_COEM!$A$59:$AN$317</definedName>
    <definedName name="Z_C2E07036_503C_47A6_8849_1E5951B99899_.wvu.FilterData" localSheetId="1" hidden="1">Merged_JOEM!$B$59:$AN$538</definedName>
    <definedName name="Z_C2E9C00B_F768_442F_8B2A_04CB795F6615_.wvu.FilterData" localSheetId="1" hidden="1">Merged_JOEM!$B$59:$AN$335</definedName>
    <definedName name="Z_C31051D7_AFC0_459C_A71B_F502AC13F27D_.wvu.FilterData" localSheetId="0" hidden="1">Merged_COEM!$B$59:$AN$317</definedName>
    <definedName name="Z_C36428D0_4662_4A3F_8269_04B9F62FB882_.wvu.FilterData" localSheetId="0" hidden="1">Merged_COEM!$B$59:$AN$317</definedName>
    <definedName name="Z_C39A1255_439D_4B5C_97C6_DEC6C0FDD34B_.wvu.FilterData" localSheetId="1" hidden="1">Merged_JOEM!$B$59:$AN$532</definedName>
    <definedName name="Z_C3AF598E_C6CA_49E7_949E_5CFC6B5DAC8E_.wvu.FilterData" localSheetId="0" hidden="1">Merged_COEM!$A$59:$AN$317</definedName>
    <definedName name="Z_C3AF598E_C6CA_49E7_949E_5CFC6B5DAC8E_.wvu.FilterData" localSheetId="1" hidden="1">Merged_JOEM!$B$59:$AN$538</definedName>
    <definedName name="Z_C3B26110_BB96_4041_9E86_8FB1D3595EC3_.wvu.FilterData" localSheetId="0" hidden="1">Merged_COEM!$P$59:$P$317</definedName>
    <definedName name="Z_C3B4C962_046C_447F_94C1_3E742479F259_.wvu.FilterData" localSheetId="0" hidden="1">Merged_COEM!$A$59:$AN$317</definedName>
    <definedName name="Z_C3B4C962_046C_447F_94C1_3E742479F259_.wvu.FilterData" localSheetId="1" hidden="1">Merged_JOEM!$A$59:$AN$532</definedName>
    <definedName name="Z_C477A7B9_FAF8_4542_B07F_F4099E2D59B5_.wvu.FilterData" localSheetId="0" hidden="1">Merged_COEM!$A$59:$AN$317</definedName>
    <definedName name="Z_C477A7B9_FAF8_4542_B07F_F4099E2D59B5_.wvu.FilterData" localSheetId="1" hidden="1">Merged_JOEM!$B$59:$AN$564</definedName>
    <definedName name="Z_C4F0B9FE_524E_4995_B6B5_8BFA17BD6D07_.wvu.FilterData" localSheetId="1" hidden="1">Merged_JOEM!$B$59:$AN$538</definedName>
    <definedName name="Z_C50D12DF_6C69_4124_8F27_C26236140C8D_.wvu.FilterData" localSheetId="0" hidden="1">Merged_COEM!$B$59:$AN$317</definedName>
    <definedName name="Z_C50D12DF_6C69_4124_8F27_C26236140C8D_.wvu.FilterData" localSheetId="1" hidden="1">Merged_JOEM!$B$59:$AN$538</definedName>
    <definedName name="Z_C6889E15_1A62_4F54_A8B7_B3679CC028D9_.wvu.FilterData" localSheetId="0" hidden="1">Merged_COEM!$A$59:$AN$317</definedName>
    <definedName name="Z_C6889E15_1A62_4F54_A8B7_B3679CC028D9_.wvu.FilterData" localSheetId="1" hidden="1">Merged_JOEM!$B$59:$AN$564</definedName>
    <definedName name="Z_C6A281C6_2BF4_4CB8_A530_128B89970377_.wvu.FilterData" localSheetId="1" hidden="1">Merged_JOEM!$B$59:$AN$534</definedName>
    <definedName name="Z_C94451EF_7A3E_4D72_B5A4_3D1B193192CC_.wvu.FilterData" localSheetId="0" hidden="1">Merged_COEM!$B$59:$AN$317</definedName>
    <definedName name="Z_C94451EF_7A3E_4D72_B5A4_3D1B193192CC_.wvu.FilterData" localSheetId="1" hidden="1">Merged_JOEM!$B$59:$AN$557</definedName>
    <definedName name="Z_C994653C_BDA0_4559_9402_FC0E5CB19FE6_.wvu.FilterData" localSheetId="0" hidden="1">Merged_COEM!$A$59:$AN$317</definedName>
    <definedName name="Z_C994653C_BDA0_4559_9402_FC0E5CB19FE6_.wvu.FilterData" localSheetId="1" hidden="1">Merged_JOEM!$B$59:$AN$93</definedName>
    <definedName name="Z_C9E42B05_B52A_4A11_A52C_322A33FD04AC_.wvu.FilterData" localSheetId="1" hidden="1">Merged_JOEM!$B$59:$AN$564</definedName>
    <definedName name="Z_CA0C84CB_A94A_4360_85AD_C7A014E8F41D_.wvu.FilterData" localSheetId="0" hidden="1">Merged_COEM!$B$59:$AN$317</definedName>
    <definedName name="Z_CA3FE1E3_9530_4F0E_ACAD_0C4BB98D7A6C_.wvu.FilterData" localSheetId="0" hidden="1">Merged_COEM!$B$59:$AN$59</definedName>
    <definedName name="Z_CA3FE1E3_9530_4F0E_ACAD_0C4BB98D7A6C_.wvu.FilterData" localSheetId="1" hidden="1">Merged_JOEM!$B$59:$AN$557</definedName>
    <definedName name="Z_CA610046_2946_4C6D_A575_B33B2261CDA0_.wvu.FilterData" localSheetId="0" hidden="1">Merged_COEM!$A$59:$AN$317</definedName>
    <definedName name="Z_CA610046_2946_4C6D_A575_B33B2261CDA0_.wvu.FilterData" localSheetId="1" hidden="1">Merged_JOEM!$B$59:$AN$564</definedName>
    <definedName name="Z_CB2D8F44_72B6_4784_85C6_8C82D3B41596_.wvu.FilterData" localSheetId="0" hidden="1">Merged_COEM!$A$59:$AN$317</definedName>
    <definedName name="Z_CB878EEF_D456_4AC2_A47A_33FB11DA205A_.wvu.FilterData" localSheetId="0" hidden="1">Merged_COEM!$A$59:$AN$317</definedName>
    <definedName name="Z_CC2DF4BC_7040_4A69_824A_12E4A2243AB0_.wvu.FilterData" localSheetId="1" hidden="1">Merged_JOEM!$B$59:$AN$538</definedName>
    <definedName name="Z_CC3F580C_15C7_4259_B4F0_2E2F4C5CDBDE_.wvu.FilterData" localSheetId="0" hidden="1">Merged_COEM!$A$59:$AN$317</definedName>
    <definedName name="Z_CC3F580C_15C7_4259_B4F0_2E2F4C5CDBDE_.wvu.FilterData" localSheetId="1" hidden="1">Merged_JOEM!$B$59:$AN$564</definedName>
    <definedName name="Z_CC487568_3956_4F08_A6E4_B2BC54D2ECDB_.wvu.FilterData" localSheetId="0" hidden="1">Merged_COEM!$A$59:$AN$317</definedName>
    <definedName name="Z_CCA7F1FF_379C_4C65_89F0_CACBCCEE7ECD_.wvu.FilterData" localSheetId="1" hidden="1">Merged_JOEM!$B$59:$AN$538</definedName>
    <definedName name="Z_CCD00BDA_4316_4755_846B_9F44DA3B82B2_.wvu.FilterData" localSheetId="1" hidden="1">Merged_JOEM!$B$59:$AN$538</definedName>
    <definedName name="Z_CCDFBF79_6FDD_4C1F_AB4A_4290ECEF9616_.wvu.FilterData" localSheetId="0" hidden="1">Merged_COEM!$A$59:$AN$317</definedName>
    <definedName name="Z_CCDFBF79_6FDD_4C1F_AB4A_4290ECEF9616_.wvu.FilterData" localSheetId="1" hidden="1">Merged_JOEM!$B$59:$AN$534</definedName>
    <definedName name="Z_CCF61B3D_8C0C_49D1_86D5_25AF34E23F89_.wvu.FilterData" localSheetId="0" hidden="1">Merged_COEM!$A$59:$AN$317</definedName>
    <definedName name="Z_CCF61B3D_8C0C_49D1_86D5_25AF34E23F89_.wvu.FilterData" localSheetId="1" hidden="1">Merged_JOEM!$B$59:$AN$538</definedName>
    <definedName name="Z_CD229BC3_8D0F_4B2B_8518_AFFA02D46771_.wvu.FilterData" localSheetId="0" hidden="1">Merged_COEM!$B$59:$AN$59</definedName>
    <definedName name="Z_CD229BC3_8D0F_4B2B_8518_AFFA02D46771_.wvu.FilterData" localSheetId="1" hidden="1">Merged_JOEM!$B$59:$AN$557</definedName>
    <definedName name="Z_CD235416_A5FA_481B_8E55_C60A832823B9_.wvu.FilterData" localSheetId="0" hidden="1">Merged_COEM!$B$59:$AN$317</definedName>
    <definedName name="Z_CD27DB33_53E8_44D2_9D7B_46C7E0D8406D_.wvu.FilterData" localSheetId="1" hidden="1">Merged_JOEM!$B$59:$AN$59</definedName>
    <definedName name="Z_CD8071F6_CC78_4F59_9D6B_4643D9AFD4AA_.wvu.FilterData" localSheetId="0" hidden="1">Merged_COEM!$A$59:$AN$317</definedName>
    <definedName name="Z_CD8071F6_CC78_4F59_9D6B_4643D9AFD4AA_.wvu.FilterData" localSheetId="1" hidden="1">Merged_JOEM!$B$59:$AN$534</definedName>
    <definedName name="Z_CDA0C6D7_3A34_4603_A386_6EC3B3F2C1A3_.wvu.FilterData" localSheetId="0" hidden="1">Merged_COEM!$B$59:$AN$59</definedName>
    <definedName name="Z_CDBB1A2A_231D_4FFC_9270_4805D06A351E_.wvu.FilterData" localSheetId="0" hidden="1">Merged_COEM!$A$59:$AN$317</definedName>
    <definedName name="Z_CDBB1A2A_231D_4FFC_9270_4805D06A351E_.wvu.FilterData" localSheetId="1" hidden="1">Merged_JOEM!$B$59:$AN$564</definedName>
    <definedName name="Z_CDC7ACBF_254D_4A76_93CF_497958E2EE6E_.wvu.FilterData" localSheetId="0" hidden="1">Merged_COEM!$A$59:$AN$317</definedName>
    <definedName name="Z_CDC7ACBF_254D_4A76_93CF_497958E2EE6E_.wvu.FilterData" localSheetId="1" hidden="1">Merged_JOEM!$B$59:$AN$534</definedName>
    <definedName name="Z_CDDA9E63_0ED3_4A09_8299_4B3B6E425C6A_.wvu.FilterData" localSheetId="1" hidden="1">Merged_JOEM!$A$59:$AN$534</definedName>
    <definedName name="Z_CDDB73FF_BA79_4055_9DF2_59D856F9CE75_.wvu.FilterData" localSheetId="0" hidden="1">Merged_COEM!$A$59:$AN$317</definedName>
    <definedName name="Z_CDF410FC_A9B8_4825_8C51_CB863DAD9EB0_.wvu.FilterData" localSheetId="0" hidden="1">Merged_COEM!$A$59:$AN$317</definedName>
    <definedName name="Z_CE1AD879_4E3E_419F_98AE_AEB21B971F2A_.wvu.FilterData" localSheetId="0" hidden="1">Merged_COEM!$A$59:$AN$317</definedName>
    <definedName name="Z_CE1AD879_4E3E_419F_98AE_AEB21B971F2A_.wvu.FilterData" localSheetId="1" hidden="1">Merged_JOEM!$B$59:$AN$564</definedName>
    <definedName name="Z_CE2EDACD_AA27_49A1_A4CC_4160D8E5B192_.wvu.FilterData" localSheetId="0" hidden="1">Merged_COEM!$A$59:$AN$317</definedName>
    <definedName name="Z_CE53B601_5089_4DCD_884E_E31984E57AA7_.wvu.FilterData" localSheetId="0" hidden="1">Merged_COEM!$A$59:$AN$317</definedName>
    <definedName name="Z_CE6E4FDD_C5AA_420F_AF49_516E16308BAD_.wvu.FilterData" localSheetId="0" hidden="1">Merged_COEM!$A$59:$AN$317</definedName>
    <definedName name="Z_CE6E4FDD_C5AA_420F_AF49_516E16308BAD_.wvu.FilterData" localSheetId="1" hidden="1">Merged_JOEM!$B$59:$AN$564</definedName>
    <definedName name="Z_CEA010CE_4499_4072_B3D6_4AE9AD81ECB0_.wvu.FilterData" localSheetId="0" hidden="1">Merged_COEM!$A$59:$AN$317</definedName>
    <definedName name="Z_CEBE8AC3_188B_4F97_A24F_371A11C4421A_.wvu.FilterData" localSheetId="0" hidden="1">Merged_COEM!$B$59:$AN$59</definedName>
    <definedName name="Z_CEF5B96F_2009_4B95_B046_8EF92D34D1B5_.wvu.FilterData" localSheetId="0" hidden="1">Merged_COEM!$A$59:$AN$317</definedName>
    <definedName name="Z_CEF5B96F_2009_4B95_B046_8EF92D34D1B5_.wvu.FilterData" localSheetId="1" hidden="1">Merged_JOEM!$B$59:$AN$557</definedName>
    <definedName name="Z_CF191CDA_59C7_49C3_BC89_1051D296C6BE_.wvu.FilterData" localSheetId="0" hidden="1">Merged_COEM!$B$59:$AN$59</definedName>
    <definedName name="Z_CF191CDA_59C7_49C3_BC89_1051D296C6BE_.wvu.FilterData" localSheetId="1" hidden="1">Merged_JOEM!$A$59:$AN$228</definedName>
    <definedName name="Z_CF1D8F03_CC7A_41AC_BA77_166210383B5E_.wvu.FilterData" localSheetId="0" hidden="1">Merged_COEM!$A$59:$AN$317</definedName>
    <definedName name="Z_CF1D8F03_CC7A_41AC_BA77_166210383B5E_.wvu.FilterData" localSheetId="1" hidden="1">Merged_JOEM!$A$59:$AN$532</definedName>
    <definedName name="Z_CF789F89_E944_4123_99BC_A68BDCD5854E_.wvu.FilterData" localSheetId="0" hidden="1">Merged_COEM!$A$59:$AN$317</definedName>
    <definedName name="Z_CF84BCBE_BE22_4A6D_8717_6A7CF544566C_.wvu.FilterData" localSheetId="1" hidden="1">Merged_JOEM!$S$60:$S$564</definedName>
    <definedName name="Z_CF96DFEB_8781_47AC_8CB4_D87914283008_.wvu.FilterData" localSheetId="1" hidden="1">Merged_JOEM!$B$59:$AN$557</definedName>
    <definedName name="Z_CFABF19D_46C3_4F13_A4CA_B725B7531F6C_.wvu.FilterData" localSheetId="0" hidden="1">Merged_COEM!$A$59:$AN$317</definedName>
    <definedName name="Z_CFDF51A4_31D6_4E09_9872_4D69918FBCA4_.wvu.FilterData" localSheetId="0" hidden="1">Merged_COEM!$B$59:$AN$317</definedName>
    <definedName name="Z_D02104D3_51B8_4533_A2F3_8DEEA8EA85DE_.wvu.FilterData" localSheetId="0" hidden="1">Merged_COEM!$B$59:$AN$317</definedName>
    <definedName name="Z_D05573DF_C746_48BC_8D00_84FB0DE2757B_.wvu.FilterData" localSheetId="1" hidden="1">Merged_JOEM!$B$59:$AN$538</definedName>
    <definedName name="Z_D086E2C8_DBDB_447C_AEAF_4D570D675B0D_.wvu.FilterData" localSheetId="0" hidden="1">Merged_COEM!$B$59:$AN$317</definedName>
    <definedName name="Z_D08F91D2_5A1B_4929_94DC_02D76B8BFF2E_.wvu.FilterData" localSheetId="1" hidden="1">Merged_JOEM!$B$59:$AN$538</definedName>
    <definedName name="Z_D118D28E_7F46_4D74_8DB6_77DA9E1E650B_.wvu.FilterData" localSheetId="0" hidden="1">Merged_COEM!$A$59:$AN$317</definedName>
    <definedName name="Z_D118D28E_7F46_4D74_8DB6_77DA9E1E650B_.wvu.FilterData" localSheetId="1" hidden="1">Merged_JOEM!$B$59:$AN$416</definedName>
    <definedName name="Z_D11A8AEF_1A0D_48F8_8F86_A9C0B8906E44_.wvu.FilterData" localSheetId="1" hidden="1">Merged_JOEM!$B$59:$AN$538</definedName>
    <definedName name="Z_D15FC6DE_9D87_4831_81DE_4BABFC901C15_.wvu.FilterData" localSheetId="0" hidden="1">Merged_COEM!$A$59:$AN$317</definedName>
    <definedName name="Z_D15FC6DE_9D87_4831_81DE_4BABFC901C15_.wvu.FilterData" localSheetId="1" hidden="1">Merged_JOEM!$B$59:$AN$274</definedName>
    <definedName name="Z_D27A9719_CA1F_4F10_B026_6793A25D97CF_.wvu.FilterData" localSheetId="0" hidden="1">Merged_COEM!$B$59:$AN$59</definedName>
    <definedName name="Z_D27A9719_CA1F_4F10_B026_6793A25D97CF_.wvu.FilterData" localSheetId="1" hidden="1">Merged_JOEM!$B$59:$AN$59</definedName>
    <definedName name="Z_D2C2B472_7F3F_4296_8659_57FFE58045BE_.wvu.FilterData" localSheetId="0" hidden="1">Merged_COEM!$B$59:$AN$317</definedName>
    <definedName name="Z_D2C2B472_7F3F_4296_8659_57FFE58045BE_.wvu.FilterData" localSheetId="1" hidden="1">Merged_JOEM!$B$59:$AN$557</definedName>
    <definedName name="Z_D2D6ED81_7AE6_43BD_A723_27C9E276BA56_.wvu.FilterData" localSheetId="0" hidden="1">Merged_COEM!$B$59:$AN$317</definedName>
    <definedName name="Z_D2D6ED81_7AE6_43BD_A723_27C9E276BA56_.wvu.FilterData" localSheetId="1" hidden="1">Merged_JOEM!$B$59:$AN$538</definedName>
    <definedName name="Z_D33AC7AF_C8AB_4CE9_94C7_9237011A5FC3_.wvu.FilterData" localSheetId="0" hidden="1">Merged_COEM!$B$59:$AN$317</definedName>
    <definedName name="Z_D33AC7AF_C8AB_4CE9_94C7_9237011A5FC3_.wvu.FilterData" localSheetId="1" hidden="1">Merged_JOEM!$B$59:$AN$557</definedName>
    <definedName name="Z_D3768440_23CD_4BDD_84C8_BCAA56955537_.wvu.FilterData" localSheetId="0" hidden="1">Merged_COEM!$B$59:$AN$317</definedName>
    <definedName name="Z_D3768440_23CD_4BDD_84C8_BCAA56955537_.wvu.FilterData" localSheetId="1" hidden="1">Merged_JOEM!$B$59:$AN$538</definedName>
    <definedName name="Z_D38342FB_44F2_4C40_B39A_DFD93C1F7369_.wvu.FilterData" localSheetId="0" hidden="1">Merged_COEM!$A$59:$AN$317</definedName>
    <definedName name="Z_D41295E5_0507_4FFC_9DE6_9C52285F0275_.wvu.FilterData" localSheetId="0" hidden="1">Merged_COEM!$B$59:$AN$317</definedName>
    <definedName name="Z_D48A7008_0664_41CA_847E_E3D860D8CAB6_.wvu.FilterData" localSheetId="0" hidden="1">Merged_COEM!$B$59:$AN$317</definedName>
    <definedName name="Z_D4D31799_D309_49FE_A753_935575949FDF_.wvu.FilterData" localSheetId="0" hidden="1">Merged_COEM!$B$59:$AN$317</definedName>
    <definedName name="Z_D4D31799_D309_49FE_A753_935575949FDF_.wvu.FilterData" localSheetId="1" hidden="1">Merged_JOEM!$B$59:$AN$59</definedName>
    <definedName name="Z_D51A5667_5F84_4600_90D6_6E29813D4C84_.wvu.FilterData" localSheetId="0" hidden="1">Merged_COEM!$A$59:$AN$317</definedName>
    <definedName name="Z_D5495B41_8856_434C_AE51_6C7F28A4892B_.wvu.FilterData" localSheetId="0" hidden="1">Merged_COEM!$A$59:$AN$317</definedName>
    <definedName name="Z_D5495B41_8856_434C_AE51_6C7F28A4892B_.wvu.FilterData" localSheetId="1" hidden="1">Merged_JOEM!$B$59:$AN$564</definedName>
    <definedName name="Z_D5ACA420_0704_4A7B_8271_EFB400689CE3_.wvu.FilterData" localSheetId="0" hidden="1">Merged_COEM!$B$59:$AN$59</definedName>
    <definedName name="Z_D5ACA420_0704_4A7B_8271_EFB400689CE3_.wvu.FilterData" localSheetId="1" hidden="1">Merged_JOEM!$B$59:$AN$59</definedName>
    <definedName name="Z_D5DA6DDF_3700_45A0_A688_A8C6200B4E00_.wvu.FilterData" localSheetId="0" hidden="1">Merged_COEM!$A$59:$AN$317</definedName>
    <definedName name="Z_D5DA6DDF_3700_45A0_A688_A8C6200B4E00_.wvu.FilterData" localSheetId="1" hidden="1">Merged_JOEM!$B$59:$AN$416</definedName>
    <definedName name="Z_D6832C49_66A5_40BB_A73B_0C25E4D9B698_.wvu.FilterData" localSheetId="0" hidden="1">Merged_COEM!$B$59:$AN$59</definedName>
    <definedName name="Z_D68AA120_23E6_4E33_B593_B08CB8C9A9E2_.wvu.FilterData" localSheetId="0" hidden="1">Merged_COEM!$A$59:$AN$317</definedName>
    <definedName name="Z_D6B6CCCC_9FFF_4FFF_98B0_4EA5B228ED4B_.wvu.FilterData" localSheetId="0" hidden="1">Merged_COEM!$A$59:$AN$317</definedName>
    <definedName name="Z_D6D5D4A0_EDE2_446E_BA1C_410355A487AD_.wvu.FilterData" localSheetId="0" hidden="1">Merged_COEM!$B$59:$AN$317</definedName>
    <definedName name="Z_D6D5D4A0_EDE2_446E_BA1C_410355A487AD_.wvu.FilterData" localSheetId="1" hidden="1">Merged_JOEM!$B$59:$AN$538</definedName>
    <definedName name="Z_D77CCEF1_8D3A_4E1F_984B_678440D6A2B2_.wvu.FilterData" localSheetId="0" hidden="1">Merged_COEM!$A$59:$AN$317</definedName>
    <definedName name="Z_D77D42D4_806B_4CB1_A5B6_310D2AD130D5_.wvu.FilterData" localSheetId="0" hidden="1">Merged_COEM!$B$59:$AN$317</definedName>
    <definedName name="Z_D77D42D4_806B_4CB1_A5B6_310D2AD130D5_.wvu.FilterData" localSheetId="1" hidden="1">Merged_JOEM!$B$59:$AN$538</definedName>
    <definedName name="Z_D872AF61_C529_4DF8_A0AD_23C1DBB7ABFF_.wvu.FilterData" localSheetId="0" hidden="1">Merged_COEM!$B$59:$AN$317</definedName>
    <definedName name="Z_D96D1389_4C8F_47A3_9E16_746F53899CC4_.wvu.FilterData" localSheetId="0" hidden="1">Merged_COEM!$A$59:$AN$317</definedName>
    <definedName name="Z_D9FBC216_2016_4058_8B49_FABCA0D9F73F_.wvu.FilterData" localSheetId="0" hidden="1">Merged_COEM!$A$59:$AN$317</definedName>
    <definedName name="Z_D9FBC216_2016_4058_8B49_FABCA0D9F73F_.wvu.FilterData" localSheetId="1" hidden="1">Merged_JOEM!$B$59:$AN$557</definedName>
    <definedName name="Z_DA60DB17_D662_44C5_A44E_0215B156F1CB_.wvu.FilterData" localSheetId="0" hidden="1">Merged_COEM!$B$59:$AN$317</definedName>
    <definedName name="Z_DA60DB17_D662_44C5_A44E_0215B156F1CB_.wvu.FilterData" localSheetId="1" hidden="1">Merged_JOEM!$B$59:$AN$59</definedName>
    <definedName name="Z_DA781726_B906_42BF_9F10_92770707708D_.wvu.FilterData" localSheetId="0" hidden="1">Merged_COEM!$B$59:$AN$59</definedName>
    <definedName name="Z_DA7942D6_CB98_4540_885F_D4B3DDB4C3BC_.wvu.FilterData" localSheetId="0" hidden="1">Merged_COEM!$A$59:$AN$317</definedName>
    <definedName name="Z_DAA8F091_E546_42D7_9E34_AA0C266FAE9C_.wvu.FilterData" localSheetId="1" hidden="1">Merged_JOEM!$B$59:$AN$557</definedName>
    <definedName name="Z_DB3D53BC_032F_471F_94FC_E9876370C211_.wvu.FilterData" localSheetId="0" hidden="1">Merged_COEM!$B$59:$AN$317</definedName>
    <definedName name="Z_DCB49D15_4EC2_40E2_99C4_E04CD61EACEB_.wvu.FilterData" localSheetId="0" hidden="1">Merged_COEM!$A$59:$AN$317</definedName>
    <definedName name="Z_DD788658_D329_4BC9_A4CF_42A7BA14B6A8_.wvu.FilterData" localSheetId="0" hidden="1">Merged_COEM!$A$59:$AN$317</definedName>
    <definedName name="Z_DD788658_D329_4BC9_A4CF_42A7BA14B6A8_.wvu.FilterData" localSheetId="1" hidden="1">Merged_JOEM!$B$59:$AN$564</definedName>
    <definedName name="Z_DDB52F07_9CA6_4C4D_B256_178082EC8245_.wvu.FilterData" localSheetId="0" hidden="1">Merged_COEM!$B$59:$AN$317</definedName>
    <definedName name="Z_DDB52F07_9CA6_4C4D_B256_178082EC8245_.wvu.FilterData" localSheetId="1" hidden="1">Merged_JOEM!$B$59:$AN$59</definedName>
    <definedName name="Z_DDDADFC2_892F_4575_9FB5_7FE71276432C_.wvu.FilterData" localSheetId="0" hidden="1">Merged_COEM!$A$59:$AN$317</definedName>
    <definedName name="Z_DDDADFC2_892F_4575_9FB5_7FE71276432C_.wvu.FilterData" localSheetId="1" hidden="1">Merged_JOEM!$B$59:$AN$331</definedName>
    <definedName name="Z_DE7792AA_5050_4583_A5BB_E5DDC52489C5_.wvu.FilterData" localSheetId="0" hidden="1">Merged_COEM!$B$59:$AN$317</definedName>
    <definedName name="Z_DE7792AA_5050_4583_A5BB_E5DDC52489C5_.wvu.FilterData" localSheetId="1" hidden="1">Merged_JOEM!$B$59:$AN$59</definedName>
    <definedName name="Z_DE9A72B3_86E4_4CA9_9E38_9AB1D0ED3F99_.wvu.FilterData" localSheetId="1" hidden="1">Merged_JOEM!$B$59:$AN$167</definedName>
    <definedName name="Z_DF988CF1_FD31_448D_A2C9_E8188E54B2EB_.wvu.FilterData" localSheetId="0" hidden="1">Merged_COEM!$A$59:$AN$317</definedName>
    <definedName name="Z_DF988CF1_FD31_448D_A2C9_E8188E54B2EB_.wvu.FilterData" localSheetId="1" hidden="1">Merged_JOEM!$B$59:$AN$400</definedName>
    <definedName name="Z_DFD986E7_AAC3_43E9_B4BE_C5FE92B23FBE_.wvu.FilterData" localSheetId="0" hidden="1">Merged_COEM!$A$59:$AN$317</definedName>
    <definedName name="Z_E00A38E8_FC2F_43F8_AE31_79E0D2D16894_.wvu.FilterData" localSheetId="0" hidden="1">Merged_COEM!$A$59:$AN$317</definedName>
    <definedName name="Z_E00A38E8_FC2F_43F8_AE31_79E0D2D16894_.wvu.FilterData" localSheetId="1" hidden="1">Merged_JOEM!$B$59:$AN$93</definedName>
    <definedName name="Z_E058DDBE_ED0A_4CA8_8C04_26D1B7AA285A_.wvu.FilterData" localSheetId="0" hidden="1">Merged_COEM!$A$59:$AN$317</definedName>
    <definedName name="Z_E058DDBE_ED0A_4CA8_8C04_26D1B7AA285A_.wvu.FilterData" localSheetId="1" hidden="1">Merged_JOEM!$B$59:$AN$564</definedName>
    <definedName name="Z_E05C2F43_CE08_45DC_B1B4_839ACC60C017_.wvu.FilterData" localSheetId="0" hidden="1">Merged_COEM!$A$59:$AN$317</definedName>
    <definedName name="Z_E05C2F43_CE08_45DC_B1B4_839ACC60C017_.wvu.FilterData" localSheetId="1" hidden="1">Merged_JOEM!$B$59:$AN$343</definedName>
    <definedName name="Z_E06730C8_417E_4BF4_B51A_53DDC930E9E9_.wvu.FilterData" localSheetId="0" hidden="1">Merged_COEM!$A$59:$AN$317</definedName>
    <definedName name="Z_E0DA618F_5168_4BDA_B90D_1071596CF2FC_.wvu.FilterData" localSheetId="0" hidden="1">Merged_COEM!$B$59:$AN$59</definedName>
    <definedName name="Z_E0F05845_7B3E_4BDE_9641_919043CF8853_.wvu.FilterData" localSheetId="0" hidden="1">Merged_COEM!$B$59:$AN$317</definedName>
    <definedName name="Z_E11762FF_53FC_47CD_8FED_E01CCAF12BA9_.wvu.FilterData" localSheetId="0" hidden="1">Merged_COEM!$A$59:$AN$317</definedName>
    <definedName name="Z_E11D25D0_2BF3_48B3_9FBC_3B6D0D0AF949_.wvu.FilterData" localSheetId="0" hidden="1">Merged_COEM!$A$59:$AN$317</definedName>
    <definedName name="Z_E11D25D0_2BF3_48B3_9FBC_3B6D0D0AF949_.wvu.FilterData" localSheetId="1" hidden="1">Merged_JOEM!$B$59:$AN$564</definedName>
    <definedName name="Z_E12EC836_80E0_45EE_A6D0_34069B8708A0_.wvu.FilterData" localSheetId="0" hidden="1">Merged_COEM!$A$59:$AN$317</definedName>
    <definedName name="Z_E12EC836_80E0_45EE_A6D0_34069B8708A0_.wvu.FilterData" localSheetId="1" hidden="1">Merged_JOEM!$B$59:$AN$564</definedName>
    <definedName name="Z_E1600B48_4BC4_43DD_8FC3_BD994B47B660_.wvu.FilterData" localSheetId="1" hidden="1">Merged_JOEM!$B$59:$AN$416</definedName>
    <definedName name="Z_E169ACCC_5904_447E_A318_1E8EC1939B18_.wvu.FilterData" localSheetId="0" hidden="1">Merged_COEM!$A$59:$AN$317</definedName>
    <definedName name="Z_E169ACCC_5904_447E_A318_1E8EC1939B18_.wvu.FilterData" localSheetId="1" hidden="1">Merged_JOEM!$B$59:$AN$557</definedName>
    <definedName name="Z_E1E1CED1_D24D_4201_B5A3_BFA1AB2FD0D5_.wvu.FilterData" localSheetId="0" hidden="1">Merged_COEM!$A$59:$AN$317</definedName>
    <definedName name="Z_E21F497B_C8B3_425D_9564_DAB73C9822BB_.wvu.FilterData" localSheetId="0" hidden="1">Merged_COEM!$A$59:$AN$317</definedName>
    <definedName name="Z_E21F497B_C8B3_425D_9564_DAB73C9822BB_.wvu.FilterData" localSheetId="1" hidden="1">Merged_JOEM!$B$59:$AN$343</definedName>
    <definedName name="Z_E22C7180_8318_4063_B51E_CCE57C69952C_.wvu.FilterData" localSheetId="1" hidden="1">Merged_JOEM!$B$59:$AN$228</definedName>
    <definedName name="Z_E2480007_FB45_4613_9F8A_26BBBEB60716_.wvu.FilterData" localSheetId="0" hidden="1">Merged_COEM!$B$59:$AN$317</definedName>
    <definedName name="Z_E2CCE2BB_55E8_477A_B457_5F732212A481_.wvu.FilterData" localSheetId="0" hidden="1">Merged_COEM!$A$59:$AN$317</definedName>
    <definedName name="Z_E2CCE2BB_55E8_477A_B457_5F732212A481_.wvu.FilterData" localSheetId="1" hidden="1">Merged_JOEM!$B$59:$AN$403</definedName>
    <definedName name="Z_E2F01DF1_5235_4931_B0AA_790594455BB6_.wvu.FilterData" localSheetId="0" hidden="1">Merged_COEM!$A$59:$AN$317</definedName>
    <definedName name="Z_E2F43DAF_2663_428C_81A4_640BF7825CAD_.wvu.FilterData" localSheetId="1" hidden="1">Merged_JOEM!$B$59:$AN$557</definedName>
    <definedName name="Z_E36B2453_F811_41EA_9FD1_7FA18414D43B_.wvu.FilterData" localSheetId="1" hidden="1">Merged_JOEM!$B$59:$AN$564</definedName>
    <definedName name="Z_E3E05231_41EB_42F2_BE17_0917C84ED42A_.wvu.FilterData" localSheetId="1" hidden="1">Merged_JOEM!$B$59:$AN$315</definedName>
    <definedName name="Z_E42CC2D7_E706_469E_8006_588FEEFCA5C0_.wvu.FilterData" localSheetId="0" hidden="1">Merged_COEM!$A$59:$AN$317</definedName>
    <definedName name="Z_E42CC2D7_E706_469E_8006_588FEEFCA5C0_.wvu.FilterData" localSheetId="1" hidden="1">Merged_JOEM!$B$59:$AN$557</definedName>
    <definedName name="Z_E51951AC_4BE1_43BB_9EF9_3A103CBA1EDF_.wvu.FilterData" localSheetId="1" hidden="1">Merged_JOEM!$B$59:$AN$228</definedName>
    <definedName name="Z_E5B6C117_544A_4A15_9506_72CFAF8D0D1D_.wvu.FilterData" localSheetId="0" hidden="1">Merged_COEM!$A$59:$AN$317</definedName>
    <definedName name="Z_E6141633_D7E6_4C6C_8705_4DA7F2940436_.wvu.FilterData" localSheetId="0" hidden="1">Merged_COEM!$A$59:$AN$317</definedName>
    <definedName name="Z_E6180E73_1E02_47C0_826F_065429E1DBB3_.wvu.FilterData" localSheetId="0" hidden="1">Merged_COEM!$B$59:$AN$59</definedName>
    <definedName name="Z_E6637879_26CD_45BB_85B9_AB81FCEF6B80_.wvu.FilterData" localSheetId="0" hidden="1">Merged_COEM!$B$59:$AN$317</definedName>
    <definedName name="Z_E673B4DF_81B7_434A_93DB_BA0164F62BE9_.wvu.FilterData" localSheetId="0" hidden="1">Merged_COEM!$A$59:$AN$317</definedName>
    <definedName name="Z_E6F4F2EA_EEB8_40E2_9829_3CEC1CA17805_.wvu.FilterData" localSheetId="1" hidden="1">Merged_JOEM!$B$59:$AN$534</definedName>
    <definedName name="Z_E6FA8B06_6F53_4E75_AECF_656515E042B9_.wvu.FilterData" localSheetId="0" hidden="1">Merged_COEM!$B$59:$AN$317</definedName>
    <definedName name="Z_E6FA8B06_6F53_4E75_AECF_656515E042B9_.wvu.FilterData" localSheetId="1" hidden="1">Merged_JOEM!$B$59:$AN$557</definedName>
    <definedName name="Z_E6FDFB7C_A7B9_48D5_BBD6_68140ADA35BB_.wvu.FilterData" localSheetId="0" hidden="1">Merged_COEM!$B$59:$AN$317</definedName>
    <definedName name="Z_E72CA2CF_6FE7_4387_B8FB_A8EC0BD159B1_.wvu.FilterData" localSheetId="0" hidden="1">Merged_COEM!$B$59:$AN$317</definedName>
    <definedName name="Z_E73B0B7F_6007_4682_BC1D_F46CD41654E9_.wvu.FilterData" localSheetId="0" hidden="1">Merged_COEM!$B$59:$AN$317</definedName>
    <definedName name="Z_E745E283_742B_4CAE_943B_7CC6E673F217_.wvu.FilterData" localSheetId="0" hidden="1">Merged_COEM!$B$59:$AN$317</definedName>
    <definedName name="Z_E7566E6F_5ADA_4819_AB8F_99FEAEC5CC4B_.wvu.FilterData" localSheetId="1" hidden="1">Merged_JOEM!$B$59:$AN$557</definedName>
    <definedName name="Z_E88DC3CB_0C36_4621_A78A_EADE25323E65_.wvu.FilterData" localSheetId="0" hidden="1">Merged_COEM!$B$59:$AN$317</definedName>
    <definedName name="Z_E88DC3CB_0C36_4621_A78A_EADE25323E65_.wvu.FilterData" localSheetId="1" hidden="1">Merged_JOEM!$B$59:$AN$564</definedName>
    <definedName name="Z_E8A82E4B_5EC1_4EEF_95D3_AAA319FE965B_.wvu.FilterData" localSheetId="0" hidden="1">Merged_COEM!$A$59:$AN$317</definedName>
    <definedName name="Z_E92DE111_DF59_4BAC_923C_88C7BF153DF1_.wvu.FilterData" localSheetId="0" hidden="1">Merged_COEM!$A$59:$AN$317</definedName>
    <definedName name="Z_E92DE111_DF59_4BAC_923C_88C7BF153DF1_.wvu.FilterData" localSheetId="1" hidden="1">Merged_JOEM!$B$59:$AN$315</definedName>
    <definedName name="Z_E95678FD_7412_485F_BAEB_BBDA8CD69D5C_.wvu.FilterData" localSheetId="0" hidden="1">Merged_COEM!$A$59:$AN$317</definedName>
    <definedName name="Z_E95678FD_7412_485F_BAEB_BBDA8CD69D5C_.wvu.FilterData" localSheetId="1" hidden="1">Merged_JOEM!$B$59:$AN$538</definedName>
    <definedName name="Z_E99E86A9_5819_46B6_9894_23114CB6A4F6_.wvu.FilterData" localSheetId="1" hidden="1">Merged_JOEM!$B$59:$AN$534</definedName>
    <definedName name="Z_E9FCF652_54D7_41CD_A215_E2EB7B47E5E7_.wvu.FilterData" localSheetId="1" hidden="1">Merged_JOEM!$B$59:$AN$416</definedName>
    <definedName name="Z_EA3387DF_EA53_4463_9FC4_D1C96792473C_.wvu.FilterData" localSheetId="1" hidden="1">Merged_JOEM!$B$59:$AN$463</definedName>
    <definedName name="Z_EA615293_38E7_4916_A5E8_C227C7F1B733_.wvu.FilterData" localSheetId="0" hidden="1">Merged_COEM!$A$59:$AN$317</definedName>
    <definedName name="Z_EAF4E43D_B79D_48B8_94E1_DDDE812B18CC_.wvu.FilterData" localSheetId="0" hidden="1">Merged_COEM!$B$59:$AN$59</definedName>
    <definedName name="Z_EAF7C7AB_B9C1_40BD_B2F4_11BC8B7E9DD4_.wvu.FilterData" localSheetId="0" hidden="1">Merged_COEM!$A$59:$AN$317</definedName>
    <definedName name="Z_EAF7C7AB_B9C1_40BD_B2F4_11BC8B7E9DD4_.wvu.FilterData" localSheetId="1" hidden="1">Merged_JOEM!$A$59:$AN$534</definedName>
    <definedName name="Z_EB30279F_71BB_4BBD_A7EE_691D83FBCC50_.wvu.FilterData" localSheetId="0" hidden="1">Merged_COEM!$B$59:$AN$59</definedName>
    <definedName name="Z_EB354AEF_2F6F_4850_8B31_D02F1AF5CE4B_.wvu.FilterData" localSheetId="0" hidden="1">Merged_COEM!$B$59:$AN$59</definedName>
    <definedName name="Z_EBFE2CA4_AFB4_45DF_B165_8BD4F8BC19DB_.wvu.FilterData" localSheetId="0" hidden="1">Merged_COEM!$A$59:$AN$317</definedName>
    <definedName name="Z_EBFFEBE0_546B_462A_9BC2_2449B908527C_.wvu.FilterData" localSheetId="0" hidden="1">Merged_COEM!$A$59:$AN$317</definedName>
    <definedName name="Z_EBFFEBE0_546B_462A_9BC2_2449B908527C_.wvu.FilterData" localSheetId="1" hidden="1">Merged_JOEM!$B$59:$AN$564</definedName>
    <definedName name="Z_EC49E9F2_8B73_419A_8639_1D12E499590C_.wvu.FilterData" localSheetId="0" hidden="1">Merged_COEM!$A$59:$AN$317</definedName>
    <definedName name="Z_EC5ACE61_8110_4FBC_9E8A_7BBE23E9EAD9_.wvu.FilterData" localSheetId="1" hidden="1">Merged_JOEM!$B$59:$AN$534</definedName>
    <definedName name="Z_ED74FC3D_A36C_4FBD_AAB4_A4D80F730ECF_.wvu.FilterData" localSheetId="0" hidden="1">Merged_COEM!$A$59:$AN$317</definedName>
    <definedName name="Z_ED9B2654_EB5E_4DE3_810D_CA5EF07E8CD7_.wvu.FilterData" localSheetId="1" hidden="1">Merged_JOEM!$B$59:$AN$557</definedName>
    <definedName name="Z_EE73AC1D_D830_44B7_9DC4_1CCC2AC80F1D_.wvu.FilterData" localSheetId="0" hidden="1">Merged_COEM!$A$59:$AN$317</definedName>
    <definedName name="Z_EE73AC1D_D830_44B7_9DC4_1CCC2AC80F1D_.wvu.FilterData" localSheetId="1" hidden="1">Merged_JOEM!$B$59:$AN$564</definedName>
    <definedName name="Z_EF66253A_CDE3_48E2_949D_1C6BA70286CF_.wvu.FilterData" localSheetId="0" hidden="1">Merged_COEM!$A$59:$AN$317</definedName>
    <definedName name="Z_EF90BF9B_5BE8_4CFE_9F81_7A870501C042_.wvu.FilterData" localSheetId="0" hidden="1">Merged_COEM!$A$59:$AN$317</definedName>
    <definedName name="Z_EF90BF9B_5BE8_4CFE_9F81_7A870501C042_.wvu.FilterData" localSheetId="1" hidden="1">Merged_JOEM!$B$59:$AN$538</definedName>
    <definedName name="Z_F050E9E1_F25B_4095_9E95_D7089EDC2226_.wvu.FilterData" localSheetId="0" hidden="1">Merged_COEM!$A$59:$AN$317</definedName>
    <definedName name="Z_F0C44ECA_0D2B_4805_B4D2_E17DE61DEB71_.wvu.FilterData" localSheetId="1" hidden="1">Merged_JOEM!$B$59:$AN$564</definedName>
    <definedName name="Z_F156840B_A87F_4F21_ACF9_03F56312743A_.wvu.FilterData" localSheetId="0" hidden="1">Merged_COEM!$A$59:$AN$317</definedName>
    <definedName name="Z_F162DB86_5C1E_4516_A70C_427D9A3C0E58_.wvu.FilterData" localSheetId="0" hidden="1">Merged_COEM!$A$59:$AN$317</definedName>
    <definedName name="Z_F162DB86_5C1E_4516_A70C_427D9A3C0E58_.wvu.FilterData" localSheetId="1" hidden="1">Merged_JOEM!$B$59:$AN$538</definedName>
    <definedName name="Z_F1F37EDD_6A2B_4E56_B1F4_D71DAD8C88B9_.wvu.FilterData" localSheetId="0" hidden="1">Merged_COEM!$A$59:$AN$317</definedName>
    <definedName name="Z_F1F37EDD_6A2B_4E56_B1F4_D71DAD8C88B9_.wvu.FilterData" localSheetId="1" hidden="1">Merged_JOEM!$B$59:$AN$538</definedName>
    <definedName name="Z_F1F64108_9986_4C76_85A0_39EC93519757_.wvu.FilterData" localSheetId="1" hidden="1">Merged_JOEM!$B$59:$AN$93</definedName>
    <definedName name="Z_F2EDCD89_57F9_44FE_9CDE_762B73C7B7F3_.wvu.FilterData" localSheetId="0" hidden="1">Merged_COEM!$B$59:$AN$317</definedName>
    <definedName name="Z_F2EDCD89_57F9_44FE_9CDE_762B73C7B7F3_.wvu.FilterData" localSheetId="1" hidden="1">Merged_JOEM!$B$59:$AN$538</definedName>
    <definedName name="Z_F2F80064_51A8_4D52_A123_C0058F84AA1A_.wvu.FilterData" localSheetId="0" hidden="1">Merged_COEM!$B$59:$AN$317</definedName>
    <definedName name="Z_F3532C7A_7113_46B3_ADCA_11F1836BD68A_.wvu.FilterData" localSheetId="0" hidden="1">Merged_COEM!$A$59:$AN$317</definedName>
    <definedName name="Z_F3576CD0_5355_439B_B618_26A976A8AD4D_.wvu.FilterData" localSheetId="0" hidden="1">Merged_COEM!$B$59:$AN$317</definedName>
    <definedName name="Z_F3576CD0_5355_439B_B618_26A976A8AD4D_.wvu.FilterData" localSheetId="1" hidden="1">Merged_JOEM!$B$59:$AN$59</definedName>
    <definedName name="Z_F379E926_A7D0_4173_BEC7_BDD92726F12F_.wvu.FilterData" localSheetId="0" hidden="1">Merged_COEM!$A$59:$AN$317</definedName>
    <definedName name="Z_F379E926_A7D0_4173_BEC7_BDD92726F12F_.wvu.FilterData" localSheetId="1" hidden="1">Merged_JOEM!$B$59:$AN$335</definedName>
    <definedName name="Z_F38A8B63_2595_4015_9369_5A1D2288C1A7_.wvu.FilterData" localSheetId="1" hidden="1">Merged_JOEM!$B$59:$AN$228</definedName>
    <definedName name="Z_F3C62E6E_7BB8_439B_825E_263944F8EEFB_.wvu.FilterData" localSheetId="0" hidden="1">Merged_COEM!$B$59:$AN$317</definedName>
    <definedName name="Z_F4009E2D_0500_444F_9349_FCACAEB553D5_.wvu.FilterData" localSheetId="0" hidden="1">Merged_COEM!$A$59:$AN$317</definedName>
    <definedName name="Z_F4009E2D_0500_444F_9349_FCACAEB553D5_.wvu.FilterData" localSheetId="1" hidden="1">Merged_JOEM!$B$59:$AN$557</definedName>
    <definedName name="Z_F422237B_D2F8_42B1_8FCD_9E1FCCEE63E3_.wvu.FilterData" localSheetId="0" hidden="1">Merged_COEM!$B$59:$AN$59</definedName>
    <definedName name="Z_F42B3598_EC4C_4CA4_96A7_EB7E4FD7B31F_.wvu.FilterData" localSheetId="0" hidden="1">Merged_COEM!$B$59:$AN$59</definedName>
    <definedName name="Z_F4392C89_FF1A_483A_847A_11EFDD89C2F6_.wvu.FilterData" localSheetId="0" hidden="1">Merged_COEM!$A$59:$AN$317</definedName>
    <definedName name="Z_F4392C89_FF1A_483A_847A_11EFDD89C2F6_.wvu.FilterData" localSheetId="1" hidden="1">Merged_JOEM!$B$59:$AN$564</definedName>
    <definedName name="Z_F4BB21C5_FA9E_401D_974B_19FFB0836A27_.wvu.FilterData" localSheetId="0" hidden="1">Merged_COEM!$B$59:$AN$59</definedName>
    <definedName name="Z_F5189931_E130_4E42_B4D4_9E1B4FBEE9C3_.wvu.FilterData" localSheetId="0" hidden="1">Merged_COEM!$A$59:$AN$317</definedName>
    <definedName name="Z_F5CB03B4_3484_43D5_A43F_CBF3ECE6533D_.wvu.FilterData" localSheetId="1" hidden="1">Merged_JOEM!$B$59:$AN$538</definedName>
    <definedName name="Z_F63151A6_9691_41F1_BAC1_9048FED00384_.wvu.FilterData" localSheetId="1" hidden="1">Merged_JOEM!$B$59:$AN$534</definedName>
    <definedName name="Z_F687CD9E_1B76_4957_9426_4ECD58D5D7D3_.wvu.FilterData" localSheetId="0" hidden="1">Merged_COEM!$B$59:$AN$59</definedName>
    <definedName name="Z_F696EBBA_65A4_4CDB_858C_218687A8E6FE_.wvu.FilterData" localSheetId="0" hidden="1">Merged_COEM!$A$59:$AN$317</definedName>
    <definedName name="Z_F696EBBA_65A4_4CDB_858C_218687A8E6FE_.wvu.FilterData" localSheetId="1" hidden="1">Merged_JOEM!$B$59:$AN$343</definedName>
    <definedName name="Z_F6C70AF2_E9CC_4AB8_AEDF_BD6B4340BBF0_.wvu.FilterData" localSheetId="0" hidden="1">Merged_COEM!$A$59:$AN$317</definedName>
    <definedName name="Z_F6C98E0B_57D0_437D_BA92_34B319AECDE5_.wvu.FilterData" localSheetId="0" hidden="1">Merged_COEM!$B$59:$AN$59</definedName>
    <definedName name="Z_F6F5D31C_2CBD_4A84_9BD3_5212ED91B020_.wvu.FilterData" localSheetId="1" hidden="1">Merged_JOEM!$B$59:$AN$228</definedName>
    <definedName name="Z_F72C2D2D_04A3_487C_B8F2_0426A0993EBD_.wvu.FilterData" localSheetId="1" hidden="1">Merged_JOEM!$B$59:$AN$228</definedName>
    <definedName name="Z_F7D0EF95_307E_4948_ACC2_0B81F27172C1_.wvu.FilterData" localSheetId="0" hidden="1">Merged_COEM!$A$59:$AN$317</definedName>
    <definedName name="Z_F7D0EF95_307E_4948_ACC2_0B81F27172C1_.wvu.FilterData" localSheetId="1" hidden="1">Merged_JOEM!$B$59:$AN$343</definedName>
    <definedName name="Z_F7E33AA4_20B3_43EB_9BA5_36014C40D96F_.wvu.FilterData" localSheetId="0" hidden="1">Merged_COEM!$B$59:$AN$317</definedName>
    <definedName name="Z_F8123D76_55B1_4B53_A000_EE110DA11BDA_.wvu.FilterData" localSheetId="0" hidden="1">Merged_COEM!$A$59:$AN$317</definedName>
    <definedName name="Z_F8123D76_55B1_4B53_A000_EE110DA11BDA_.wvu.FilterData" localSheetId="1" hidden="1">Merged_JOEM!$B$59:$AN$564</definedName>
    <definedName name="Z_F81FA1AD_6EE0_4370_AEBF_E6F8CADAEBF0_.wvu.FilterData" localSheetId="0" hidden="1">Merged_COEM!$A$59:$AN$317</definedName>
    <definedName name="Z_F8AC11C7_F745_4F90_B8BD_A7477CAEDBF6_.wvu.FilterData" localSheetId="1" hidden="1">Merged_JOEM!$B$59:$AN$557</definedName>
    <definedName name="Z_F8AC5957_DF1E_44B6_924E_E29F60EEF58B_.wvu.FilterData" localSheetId="0" hidden="1">Merged_COEM!$B$59:$AN$317</definedName>
    <definedName name="Z_F8CE8691_220F_445B_B47A_FBA80FD44D07_.wvu.FilterData" localSheetId="0" hidden="1">Merged_COEM!$A$59:$AN$317</definedName>
    <definedName name="Z_F8DEA099_8757_4B5F_BBB9_98FA1CFA0073_.wvu.FilterData" localSheetId="0" hidden="1">Merged_COEM!$A$59:$AN$317</definedName>
    <definedName name="Z_F8F1EBB8_CC50_4AFD_A9AF_D19A39A103F0_.wvu.FilterData" localSheetId="1" hidden="1">Merged_JOEM!$B$59:$AN$400</definedName>
    <definedName name="Z_F93D09B4_E318_4FDA_8C28_995A74531ED9_.wvu.FilterData" localSheetId="0" hidden="1">Merged_COEM!$A$59:$AN$317</definedName>
    <definedName name="Z_F93D09B4_E318_4FDA_8C28_995A74531ED9_.wvu.FilterData" localSheetId="1" hidden="1">Merged_JOEM!$B$59:$AN$416</definedName>
    <definedName name="Z_F96FC7D9_4F89_4FE0_8D00_C0083DEB0472_.wvu.FilterData" localSheetId="0" hidden="1">Merged_COEM!$A$59:$AN$317</definedName>
    <definedName name="Z_F96FC7D9_4F89_4FE0_8D00_C0083DEB0472_.wvu.FilterData" localSheetId="1" hidden="1">Merged_JOEM!$B$59:$AN$564</definedName>
    <definedName name="Z_F9C9B13C_720B_4A04_B3A2_069AB8597591_.wvu.FilterData" localSheetId="0" hidden="1">Merged_COEM!$A$59:$AN$317</definedName>
    <definedName name="Z_FAB023CB_E0CF_40FE_B81B_D8D0A8C66F4A_.wvu.FilterData" localSheetId="0" hidden="1">Merged_COEM!$A$59:$AN$317</definedName>
    <definedName name="Z_FAB023CB_E0CF_40FE_B81B_D8D0A8C66F4A_.wvu.FilterData" localSheetId="1" hidden="1">Merged_JOEM!$B$59:$AN$274</definedName>
    <definedName name="Z_FAE8A80C_C4BC_48D8_BD9C_49CF101A2744_.wvu.FilterData" localSheetId="0" hidden="1">Merged_COEM!$B$59:$AN$317</definedName>
    <definedName name="Z_FB4ABC6B_6C18_424F_A635_017DF96F5889_.wvu.FilterData" localSheetId="1" hidden="1">Merged_JOEM!$B$59:$AN$534</definedName>
    <definedName name="Z_FBB7FF55_CC73_4838_B42C_1ACAC3EF5632_.wvu.FilterData" localSheetId="1" hidden="1">Merged_JOEM!$B$59:$AN$228</definedName>
    <definedName name="Z_FC2911C6_0600_44A7_AF61_1351B56A8D6C_.wvu.FilterData" localSheetId="0" hidden="1">Merged_COEM!$B$59:$AN$317</definedName>
    <definedName name="Z_FC2911C6_0600_44A7_AF61_1351B56A8D6C_.wvu.FilterData" localSheetId="1" hidden="1">Merged_JOEM!$B$59:$AN$538</definedName>
    <definedName name="Z_FCBA969A_5620_43C9_8851_24D48C83982B_.wvu.FilterData" localSheetId="0" hidden="1">Merged_COEM!$A$59:$AN$317</definedName>
    <definedName name="Z_FCE21000_0736_466E_98A9_00BE42E52D8B_.wvu.FilterData" localSheetId="0" hidden="1">Merged_COEM!$A$59:$AN$317</definedName>
    <definedName name="Z_FCE21000_0736_466E_98A9_00BE42E52D8B_.wvu.FilterData" localSheetId="1" hidden="1">Merged_JOEM!$B$59:$AN$315</definedName>
    <definedName name="Z_FD1D0D7B_7524_4858_9DDA_ED871B923AF9_.wvu.FilterData" localSheetId="0" hidden="1">Merged_COEM!$B$59:$AN$317</definedName>
    <definedName name="Z_FD1D0D7B_7524_4858_9DDA_ED871B923AF9_.wvu.FilterData" localSheetId="1" hidden="1">Merged_JOEM!$B$59:$AN$228</definedName>
    <definedName name="Z_FD1F90DC_77AC_49C2_AE8D_305C4AFC55E0_.wvu.FilterData" localSheetId="1" hidden="1">Merged_JOEM!$B$59:$AN$557</definedName>
    <definedName name="Z_FD253E6C_9D84_41B1_8B73_4FFC0A94179A_.wvu.FilterData" localSheetId="0" hidden="1">Merged_COEM!$A$59:$AN$317</definedName>
    <definedName name="Z_FD253E6C_9D84_41B1_8B73_4FFC0A94179A_.wvu.FilterData" localSheetId="1" hidden="1">Merged_JOEM!$B$59:$AN$315</definedName>
    <definedName name="Z_FDF8FFD6_749D_4772_99C1_B3E079EA1F04_.wvu.FilterData" localSheetId="0" hidden="1">Merged_COEM!$B$59:$AN$317</definedName>
    <definedName name="Z_FE2C839D_CFC1_49B1_AC2C_8A6402AB94F3_.wvu.FilterData" localSheetId="0" hidden="1">Merged_COEM!$A$59:$AN$317</definedName>
    <definedName name="Z_FE2C839D_CFC1_49B1_AC2C_8A6402AB94F3_.wvu.FilterData" localSheetId="1" hidden="1">Merged_JOEM!$B$59:$AN$564</definedName>
    <definedName name="Z_FE2E7FF7_4365_4B97_A1BB_BFF7237A3CA9_.wvu.FilterData" localSheetId="0" hidden="1">Merged_COEM!$B$59:$AN$317</definedName>
    <definedName name="Z_FE2E7FF7_4365_4B97_A1BB_BFF7237A3CA9_.wvu.FilterData" localSheetId="1" hidden="1">Merged_JOEM!$B$59:$AN$538</definedName>
    <definedName name="Z_FE47AD71_8CD2_4893_9C49_6254ECC2E440_.wvu.FilterData" localSheetId="0" hidden="1">Merged_COEM!$A$59:$AN$317</definedName>
    <definedName name="Z_FECB4C41_27E8_4A22_AFB3_4F54CDD4960E_.wvu.FilterData" localSheetId="0" hidden="1">Merged_COEM!$B$59:$AN$317</definedName>
    <definedName name="Z_FECB4C41_27E8_4A22_AFB3_4F54CDD4960E_.wvu.FilterData" localSheetId="1" hidden="1">Merged_JOEM!$B$59:$AN$557</definedName>
    <definedName name="Z_FF038A42_899B_4F04_83C3_FF87697D2BC3_.wvu.FilterData" localSheetId="1" hidden="1">Merged_JOEM!$B$59:$AN$538</definedName>
    <definedName name="Z_FF1BF787_1CF3_4849_AB6B_6847F0D0B44C_.wvu.FilterData" localSheetId="0" hidden="1">Merged_COEM!$A$59:$AN$317</definedName>
    <definedName name="Z_FF1BF787_1CF3_4849_AB6B_6847F0D0B44C_.wvu.FilterData" localSheetId="1" hidden="1">Merged_JOEM!$B$59:$AN$93</definedName>
    <definedName name="Z_FF4D0A88_8E58_4B2D_ADD4_8B798800E789_.wvu.FilterData" localSheetId="0" hidden="1">Merged_COEM!$A$59:$AN$317</definedName>
    <definedName name="Z_FF4D0A88_8E58_4B2D_ADD4_8B798800E789_.wvu.FilterData" localSheetId="1" hidden="1">Merged_JOEM!$B$59:$AN$335</definedName>
    <definedName name="Z_FF8C4B39_B2F5_497E_BC38_7C8656C296DA_.wvu.FilterData" localSheetId="0" hidden="1">Merged_COEM!$B$59:$AN$59</definedName>
  </definedNames>
  <calcPr calcId="162913"/>
  <customWorkbookViews>
    <customWorkbookView name="EXTERNAL Nguyen Tuan Duong (Ban Vien, RBVH/EPS45) - Personal View" guid="{7E0EA425-A420-4443-B9E0-CDF0AA9E5D09}" mergeInterval="0" personalView="1" maximized="1" xWindow="-8" yWindow="-8" windowWidth="1936" windowHeight="1176" activeSheetId="1"/>
    <customWorkbookView name="gup7hc - Personal View" guid="{3B3E6719-EACB-4D2C-89C1-05FFAB6020FD}" mergeInterval="0" personalView="1" maximized="1" xWindow="-8" yWindow="-8" windowWidth="1936" windowHeight="1186" activeSheetId="2"/>
    <customWorkbookView name="EXTERNAL Phan The Nam (Ban Vien Company, RBVH/EPS45) - Personal View" guid="{89C03E1E-B6A8-49A1-B29C-5DC4FAB2FBC6}" mergeInterval="0" personalView="1" minimized="1" windowWidth="0" windowHeight="0" activeSheetId="1"/>
    <customWorkbookView name="NCH7HC - Personal View" guid="{FECB4C41-27E8-4A22-AFB3-4F54CDD4960E}" mergeInterval="0" personalView="1" maximized="1" xWindow="-8" yWindow="-8" windowWidth="1936" windowHeight="1186" tabRatio="636" activeSheetId="1"/>
    <customWorkbookView name="EXTERNAL Nguyen Tai Hau (Ban Vien, RBVH/EPS45) - Personal View" guid="{7ECC2B8E-6A82-42F5-8AB0-4A51C54EA5EC}" mergeInterval="0" personalView="1" maximized="1" xWindow="-8" yWindow="-8" windowWidth="1936" windowHeight="1176" activeSheetId="2"/>
    <customWorkbookView name="HGY7HC - Personal View" guid="{99BC1C51-34DC-4BF2-906C-1E31B6171D71}" mergeInterval="0" personalView="1" maximized="1" xWindow="-8" yWindow="-8" windowWidth="1936" windowHeight="1176" activeSheetId="1"/>
    <customWorkbookView name="duo81hc - Personal View" guid="{A2E8CE38-D15E-4374-89B2-69D9421C4465}" mergeInterval="0" personalView="1" maximized="1" xWindow="-8" yWindow="-8" windowWidth="1936" windowHeight="1176" activeSheetId="2"/>
    <customWorkbookView name="EXTERNAL Luu Cong Dac (Ban Vien, RBVH/EPS45) - Personal View" guid="{336B6883-2145-4B58-921E-CEC7185A847E}" mergeInterval="0" personalView="1" xWindow="11" yWindow="9" windowWidth="1475" windowHeight="1066" tabRatio="428" activeSheetId="2"/>
    <customWorkbookView name="EXTERNAL Ly Chung (Ban Vien, RBVH/EPS45) - Personal View" guid="{60D2C030-4E31-4E07-8E1C-44D2EE84B177}" mergeInterval="0" personalView="1" maximized="1" xWindow="-8" yWindow="-8" windowWidth="1936" windowHeight="1176" tabRatio="612" activeSheetId="2"/>
    <customWorkbookView name="EXTERNAL Do Phu Loc (Ban Vien, RBVH/EPS45) - Personal View" guid="{C94451EF-7A3E-4D72-B5A4-3D1B193192CC}" mergeInterval="0" personalView="1" maximized="1" xWindow="-8" yWindow="-8" windowWidth="1936" windowHeight="1176" tabRatio="564" activeSheetId="1"/>
    <customWorkbookView name="EXTERNAL Do Anh Huy (Ban Vien Company, RBVH/EPS45) - Personal View" guid="{D33AC7AF-C8AB-4CE9-94C7-9237011A5FC3}" mergeInterval="0" personalView="1" maximized="1" xWindow="-8" yWindow="-8" windowWidth="1936" windowHeight="1176" activeSheetId="2"/>
    <customWorkbookView name="EXTERNAL Nguyen Duy Bang (Ban Vien, RBVH/EPS45) - Personal View" guid="{A2C66332-A809-458E-971B-FDB6D62C74C3}" mergeInterval="0" personalView="1" windowWidth="960" windowHeight="1160" tabRatio="584" activeSheetId="2"/>
    <customWorkbookView name="EXTERNAL Le Hong Phuc (Ban Vien Company, RBVH/EPS45) - Personal View" guid="{F96FC7D9-4F89-4FE0-8D00-C0083DEB0472}" mergeInterval="0" personalView="1" maximized="1" xWindow="-8" yWindow="-8" windowWidth="1936" windowHeight="1176" activeSheetId="2"/>
    <customWorkbookView name="EXTERNAL Nguyen Trung Hieu (Ban Vien, RBVH/EPS45) - Personal View" guid="{970EE037-F5E5-47AF-896A-0F6222879EBC}" mergeInterval="0" personalView="1" maximized="1" xWindow="-8" yWindow="-8" windowWidth="1936" windowHeight="1176" activeSheetId="1"/>
    <customWorkbookView name="EXTERNAL Nguyen Kim Thanh (Ban Vien, RBVH/EPS45) - Personal View" guid="{4E06BDBF-2CED-473B-850B-2A6C7311FF41}" mergeInterval="0" personalView="1" maximized="1" xWindow="-8" yWindow="-8" windowWidth="1936" windowHeight="1176" tabRatio="612" activeSheetId="1"/>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95" i="1" l="1"/>
  <c r="Y297" i="1"/>
  <c r="Y298" i="1"/>
  <c r="Y299" i="1"/>
  <c r="Y301" i="1"/>
  <c r="Y302" i="1"/>
  <c r="Y303" i="1"/>
  <c r="Y304" i="1"/>
  <c r="Y305" i="1"/>
  <c r="Y306" i="1"/>
  <c r="Y307" i="1"/>
  <c r="Y308" i="1"/>
  <c r="Y309" i="1"/>
  <c r="Y310" i="1"/>
  <c r="Y311" i="1"/>
  <c r="Y312" i="1"/>
  <c r="Y313" i="1"/>
  <c r="Y314" i="1"/>
  <c r="W296" i="1"/>
  <c r="Y296" i="1" s="1"/>
  <c r="W297" i="1"/>
  <c r="W298" i="1"/>
  <c r="W299" i="1"/>
  <c r="W300" i="1"/>
  <c r="Y300" i="1" s="1"/>
  <c r="W301" i="1"/>
  <c r="W302" i="1"/>
  <c r="W303" i="1"/>
  <c r="W304" i="1"/>
  <c r="W305" i="1"/>
  <c r="W306" i="1"/>
  <c r="W307" i="1"/>
  <c r="W308" i="1"/>
  <c r="W309" i="1"/>
  <c r="W310" i="1"/>
  <c r="W311" i="1"/>
  <c r="W312" i="1"/>
  <c r="W313" i="1"/>
  <c r="W314" i="1"/>
  <c r="W295" i="1"/>
  <c r="X253" i="1"/>
  <c r="X252" i="1" l="1"/>
  <c r="Z502" i="2"/>
  <c r="X251" i="1"/>
  <c r="Z501" i="2" l="1"/>
  <c r="X247" i="1"/>
  <c r="Z450" i="2"/>
  <c r="Z504" i="2"/>
  <c r="Z467" i="2"/>
  <c r="X250" i="1"/>
  <c r="X248" i="1" l="1"/>
  <c r="Z482" i="2" l="1"/>
  <c r="X246" i="1"/>
  <c r="X535" i="2" l="1"/>
  <c r="X537" i="2" s="1"/>
  <c r="X538" i="2" s="1"/>
  <c r="W534" i="2"/>
  <c r="W533" i="2"/>
  <c r="W532" i="2"/>
  <c r="W531" i="2"/>
  <c r="W530" i="2"/>
  <c r="W529" i="2"/>
  <c r="W528" i="2"/>
  <c r="W527" i="2"/>
  <c r="W526" i="2"/>
  <c r="W525" i="2"/>
  <c r="W524" i="2"/>
  <c r="W523" i="2"/>
  <c r="Z466" i="2"/>
  <c r="W208" i="1"/>
  <c r="X269" i="1"/>
  <c r="W239" i="1"/>
  <c r="Y239" i="1" s="1"/>
  <c r="X262" i="1"/>
  <c r="X255" i="1"/>
  <c r="Z455" i="2"/>
  <c r="Z465" i="2"/>
  <c r="Z454" i="2"/>
  <c r="Z483" i="2"/>
  <c r="Z453" i="2"/>
  <c r="Z464" i="2"/>
  <c r="Z452" i="2"/>
  <c r="Z451" i="2"/>
  <c r="Z449" i="2"/>
  <c r="Z462" i="2"/>
  <c r="X32" i="6"/>
  <c r="D23" i="6"/>
  <c r="I28" i="1"/>
  <c r="X243" i="1"/>
  <c r="X239" i="1" l="1"/>
  <c r="D218" i="5"/>
  <c r="G218" i="5" s="1"/>
  <c r="D217" i="5"/>
  <c r="G217" i="5" s="1"/>
  <c r="K216" i="5"/>
  <c r="K218" i="5" s="1"/>
  <c r="J216" i="5"/>
  <c r="J218" i="5" s="1"/>
  <c r="C213" i="5"/>
  <c r="C212" i="5"/>
  <c r="W522" i="2"/>
  <c r="W521" i="2"/>
  <c r="W520" i="2"/>
  <c r="W519" i="2"/>
  <c r="W518" i="2"/>
  <c r="W517" i="2"/>
  <c r="W516" i="2"/>
  <c r="W515" i="2"/>
  <c r="W514" i="2"/>
  <c r="W513" i="2"/>
  <c r="W512" i="2"/>
  <c r="W511" i="2"/>
  <c r="W510" i="2"/>
  <c r="W509" i="2"/>
  <c r="W508" i="2"/>
  <c r="W507" i="2"/>
  <c r="W506" i="2"/>
  <c r="W505" i="2"/>
  <c r="W504" i="2"/>
  <c r="X504" i="2" s="1"/>
  <c r="W503" i="2"/>
  <c r="W502" i="2"/>
  <c r="X502" i="2" s="1"/>
  <c r="W501" i="2"/>
  <c r="X501" i="2" s="1"/>
  <c r="W500" i="2"/>
  <c r="W499" i="2"/>
  <c r="W498" i="2"/>
  <c r="C211" i="5" l="1"/>
  <c r="H217" i="5"/>
  <c r="H218" i="5"/>
  <c r="E217" i="5"/>
  <c r="E218" i="5"/>
  <c r="F217" i="5"/>
  <c r="J217" i="5"/>
  <c r="F218" i="5"/>
  <c r="I218" i="5" s="1"/>
  <c r="K217" i="5"/>
  <c r="Z460" i="2"/>
  <c r="I217" i="5" l="1"/>
  <c r="C214" i="5"/>
  <c r="Z461" i="2"/>
  <c r="W226" i="1"/>
  <c r="X226" i="1" s="1"/>
  <c r="Z456" i="2"/>
  <c r="Z447" i="2"/>
  <c r="Z446" i="2"/>
  <c r="Z423" i="2"/>
  <c r="Z373" i="2"/>
  <c r="D206" i="5"/>
  <c r="G206" i="5" s="1"/>
  <c r="D205" i="5"/>
  <c r="G205" i="5" s="1"/>
  <c r="K204" i="5"/>
  <c r="K206" i="5" s="1"/>
  <c r="J204" i="5"/>
  <c r="J206" i="5" s="1"/>
  <c r="C201" i="5"/>
  <c r="C200" i="5"/>
  <c r="C199" i="5" l="1"/>
  <c r="H205" i="5"/>
  <c r="H206" i="5"/>
  <c r="J205" i="5"/>
  <c r="K205" i="5"/>
  <c r="W480" i="2"/>
  <c r="W497" i="2"/>
  <c r="X497" i="2" s="1"/>
  <c r="W496" i="2"/>
  <c r="X496" i="2" s="1"/>
  <c r="W495" i="2"/>
  <c r="X495" i="2" s="1"/>
  <c r="W494" i="2"/>
  <c r="X494" i="2" s="1"/>
  <c r="W493" i="2"/>
  <c r="X493" i="2" s="1"/>
  <c r="W492" i="2"/>
  <c r="X492" i="2" s="1"/>
  <c r="W491" i="2"/>
  <c r="X491" i="2" s="1"/>
  <c r="W490" i="2"/>
  <c r="X490" i="2" s="1"/>
  <c r="W489" i="2"/>
  <c r="X489" i="2" s="1"/>
  <c r="W488" i="2"/>
  <c r="X488" i="2" s="1"/>
  <c r="W487" i="2"/>
  <c r="X487" i="2" s="1"/>
  <c r="W486" i="2"/>
  <c r="X486" i="2" s="1"/>
  <c r="W485" i="2"/>
  <c r="X485" i="2" s="1"/>
  <c r="W484" i="2"/>
  <c r="X484" i="2" s="1"/>
  <c r="W483" i="2"/>
  <c r="X483" i="2" s="1"/>
  <c r="W482" i="2"/>
  <c r="X482" i="2" s="1"/>
  <c r="W481" i="2"/>
  <c r="W479" i="2"/>
  <c r="W478" i="2"/>
  <c r="W477" i="2"/>
  <c r="W476" i="2"/>
  <c r="W475" i="2"/>
  <c r="W474" i="2"/>
  <c r="W473" i="2"/>
  <c r="W472" i="2"/>
  <c r="W471" i="2"/>
  <c r="W470" i="2"/>
  <c r="W469" i="2"/>
  <c r="W468" i="2"/>
  <c r="W467" i="2"/>
  <c r="X467" i="2" s="1"/>
  <c r="W466" i="2"/>
  <c r="X466" i="2" s="1"/>
  <c r="W465" i="2"/>
  <c r="X465" i="2" s="1"/>
  <c r="W464" i="2"/>
  <c r="X464" i="2" s="1"/>
  <c r="W463" i="2"/>
  <c r="X463" i="2" s="1"/>
  <c r="W462" i="2"/>
  <c r="X462" i="2" s="1"/>
  <c r="W461" i="2"/>
  <c r="X461" i="2" s="1"/>
  <c r="W460" i="2"/>
  <c r="X460" i="2" s="1"/>
  <c r="W459" i="2"/>
  <c r="X459" i="2" s="1"/>
  <c r="W458" i="2"/>
  <c r="X458" i="2" s="1"/>
  <c r="W457" i="2"/>
  <c r="X457" i="2" s="1"/>
  <c r="W456" i="2"/>
  <c r="X456" i="2" s="1"/>
  <c r="W455" i="2"/>
  <c r="X455" i="2" s="1"/>
  <c r="W454" i="2"/>
  <c r="X454" i="2" s="1"/>
  <c r="W453" i="2"/>
  <c r="X453" i="2" s="1"/>
  <c r="W452" i="2"/>
  <c r="X452" i="2" s="1"/>
  <c r="W451" i="2"/>
  <c r="X451" i="2" s="1"/>
  <c r="W450" i="2"/>
  <c r="X450" i="2" s="1"/>
  <c r="W449" i="2"/>
  <c r="X449" i="2" s="1"/>
  <c r="F206" i="5" l="1"/>
  <c r="E206" i="5"/>
  <c r="E205" i="5"/>
  <c r="F205" i="5"/>
  <c r="W244" i="1"/>
  <c r="W245" i="1"/>
  <c r="Y246" i="1"/>
  <c r="Z246" i="1" s="1"/>
  <c r="Y247" i="1"/>
  <c r="Z247" i="1" s="1"/>
  <c r="Y248" i="1"/>
  <c r="W249" i="1"/>
  <c r="Y250" i="1"/>
  <c r="Y251" i="1"/>
  <c r="Z251" i="1" s="1"/>
  <c r="Y252" i="1"/>
  <c r="Y253" i="1"/>
  <c r="W254" i="1"/>
  <c r="Y254" i="1" s="1"/>
  <c r="W256" i="1"/>
  <c r="X256" i="1" s="1"/>
  <c r="W257" i="1"/>
  <c r="W258" i="1"/>
  <c r="W259" i="1"/>
  <c r="W260" i="1"/>
  <c r="W261" i="1"/>
  <c r="Y262" i="1"/>
  <c r="Z262" i="1" s="1"/>
  <c r="W263" i="1"/>
  <c r="W264" i="1"/>
  <c r="W265" i="1"/>
  <c r="Y265" i="1" s="1"/>
  <c r="W266" i="1"/>
  <c r="W267" i="1"/>
  <c r="W268" i="1"/>
  <c r="Y269" i="1"/>
  <c r="Y270" i="1"/>
  <c r="W271" i="1"/>
  <c r="Y272" i="1"/>
  <c r="W273" i="1"/>
  <c r="W274" i="1"/>
  <c r="Y274" i="1" s="1"/>
  <c r="W275" i="1"/>
  <c r="W276" i="1"/>
  <c r="Y276" i="1" s="1"/>
  <c r="W277" i="1"/>
  <c r="W278" i="1"/>
  <c r="W279" i="1"/>
  <c r="Y279" i="1" s="1"/>
  <c r="Y280" i="1"/>
  <c r="W281" i="1"/>
  <c r="Y281" i="1" s="1"/>
  <c r="W283" i="1"/>
  <c r="W284" i="1"/>
  <c r="Y284" i="1" s="1"/>
  <c r="W285" i="1"/>
  <c r="Y285" i="1" s="1"/>
  <c r="W286" i="1"/>
  <c r="Y286" i="1" s="1"/>
  <c r="W287" i="1"/>
  <c r="W288" i="1"/>
  <c r="Y288" i="1" s="1"/>
  <c r="W289" i="1"/>
  <c r="W290" i="1"/>
  <c r="W291" i="1"/>
  <c r="W292" i="1"/>
  <c r="Y292" i="1" s="1"/>
  <c r="W293" i="1"/>
  <c r="W294" i="1"/>
  <c r="Y243" i="1"/>
  <c r="Z243" i="1" s="1"/>
  <c r="D205" i="4"/>
  <c r="K205" i="4" s="1"/>
  <c r="D204" i="4"/>
  <c r="K204" i="4" s="1"/>
  <c r="C200" i="4"/>
  <c r="C199" i="4"/>
  <c r="M19" i="6"/>
  <c r="G193" i="5"/>
  <c r="D193" i="5"/>
  <c r="G192" i="5"/>
  <c r="F192" i="5"/>
  <c r="D192" i="5"/>
  <c r="E192" i="5" s="1"/>
  <c r="K191" i="5"/>
  <c r="K192" i="5" s="1"/>
  <c r="J191" i="5"/>
  <c r="J193" i="5" s="1"/>
  <c r="C188" i="5"/>
  <c r="C187" i="5"/>
  <c r="Z444" i="2"/>
  <c r="Y283" i="1" l="1"/>
  <c r="X283" i="1"/>
  <c r="Y249" i="1"/>
  <c r="Z249" i="1" s="1"/>
  <c r="X249" i="1"/>
  <c r="Y273" i="1"/>
  <c r="X273" i="1"/>
  <c r="Y245" i="1"/>
  <c r="X245" i="1"/>
  <c r="Y244" i="1"/>
  <c r="Z244" i="1" s="1"/>
  <c r="X244" i="1"/>
  <c r="Y268" i="1"/>
  <c r="X268" i="1"/>
  <c r="Y275" i="1"/>
  <c r="X275" i="1"/>
  <c r="Y271" i="1"/>
  <c r="X271" i="1"/>
  <c r="Y282" i="1"/>
  <c r="X282" i="1"/>
  <c r="Y289" i="1"/>
  <c r="X289" i="1"/>
  <c r="Y261" i="1"/>
  <c r="X261" i="1"/>
  <c r="Y257" i="1"/>
  <c r="X257" i="1"/>
  <c r="Y264" i="1"/>
  <c r="X264" i="1"/>
  <c r="Y260" i="1"/>
  <c r="X260" i="1"/>
  <c r="Y291" i="1"/>
  <c r="X291" i="1"/>
  <c r="Y287" i="1"/>
  <c r="X287" i="1"/>
  <c r="Y267" i="1"/>
  <c r="X267" i="1"/>
  <c r="Y263" i="1"/>
  <c r="Z263" i="1" s="1"/>
  <c r="X263" i="1"/>
  <c r="Y259" i="1"/>
  <c r="X259" i="1"/>
  <c r="Y294" i="1"/>
  <c r="X294" i="1"/>
  <c r="Y290" i="1"/>
  <c r="X290" i="1"/>
  <c r="Y266" i="1"/>
  <c r="X266" i="1"/>
  <c r="Y258" i="1"/>
  <c r="X258" i="1"/>
  <c r="Y293" i="1"/>
  <c r="Z293" i="1" s="1"/>
  <c r="X293" i="1"/>
  <c r="I206" i="5"/>
  <c r="Y277" i="1"/>
  <c r="Z277" i="1" s="1"/>
  <c r="X277" i="1"/>
  <c r="C202" i="5"/>
  <c r="Y256" i="1"/>
  <c r="Y278" i="1"/>
  <c r="Z278" i="1" s="1"/>
  <c r="X278" i="1"/>
  <c r="I205" i="5"/>
  <c r="Y255" i="1"/>
  <c r="C186" i="5"/>
  <c r="E204" i="4"/>
  <c r="E205" i="4"/>
  <c r="H205" i="4"/>
  <c r="J205" i="4"/>
  <c r="J204" i="4"/>
  <c r="F205" i="4"/>
  <c r="G205" i="4"/>
  <c r="I192" i="5"/>
  <c r="K193" i="5"/>
  <c r="H192" i="5"/>
  <c r="H193" i="5"/>
  <c r="J192" i="5"/>
  <c r="G204" i="4" l="1"/>
  <c r="C198" i="4" s="1"/>
  <c r="F204" i="4"/>
  <c r="C201" i="4" s="1"/>
  <c r="H204" i="4"/>
  <c r="I205" i="4"/>
  <c r="W178" i="1"/>
  <c r="I204" i="4" l="1"/>
  <c r="W224" i="1"/>
  <c r="W223" i="1"/>
  <c r="W222" i="1"/>
  <c r="W221" i="1"/>
  <c r="W220" i="1"/>
  <c r="W219" i="1"/>
  <c r="Y224" i="1" l="1"/>
  <c r="X224" i="1"/>
  <c r="Z443" i="2"/>
  <c r="W147" i="1"/>
  <c r="Z442" i="2"/>
  <c r="W448" i="2"/>
  <c r="Z427" i="2"/>
  <c r="Z401" i="2"/>
  <c r="X448" i="2" l="1"/>
  <c r="F193" i="5" s="1"/>
  <c r="E193" i="5"/>
  <c r="Z400" i="2"/>
  <c r="I193" i="5" l="1"/>
  <c r="C189" i="5"/>
  <c r="W242" i="1"/>
  <c r="Z397" i="2"/>
  <c r="Z396" i="2"/>
  <c r="M18" i="6"/>
  <c r="Z395" i="2"/>
  <c r="Z394" i="2"/>
  <c r="K192" i="4"/>
  <c r="G192" i="4"/>
  <c r="E192" i="4"/>
  <c r="D192" i="4"/>
  <c r="J192" i="4" s="1"/>
  <c r="K191" i="4"/>
  <c r="D191" i="4"/>
  <c r="J191" i="4" s="1"/>
  <c r="C187" i="4"/>
  <c r="C186" i="4"/>
  <c r="Y226" i="1"/>
  <c r="W227" i="1"/>
  <c r="W228" i="1"/>
  <c r="W229" i="1"/>
  <c r="W230" i="1"/>
  <c r="W232" i="1"/>
  <c r="W233" i="1"/>
  <c r="W234" i="1"/>
  <c r="W235" i="1"/>
  <c r="W236" i="1"/>
  <c r="W237" i="1"/>
  <c r="X237" i="1" s="1"/>
  <c r="W238" i="1"/>
  <c r="W240" i="1"/>
  <c r="W241" i="1"/>
  <c r="W225" i="1"/>
  <c r="Y240" i="1" l="1"/>
  <c r="X240" i="1"/>
  <c r="Y225" i="1"/>
  <c r="X225" i="1"/>
  <c r="Y234" i="1"/>
  <c r="X234" i="1"/>
  <c r="Y233" i="1"/>
  <c r="X233" i="1"/>
  <c r="Y236" i="1"/>
  <c r="X236" i="1"/>
  <c r="Y235" i="1"/>
  <c r="X235" i="1"/>
  <c r="Y241" i="1"/>
  <c r="Z241" i="1" s="1"/>
  <c r="X241" i="1"/>
  <c r="Y237" i="1"/>
  <c r="Y228" i="1"/>
  <c r="X228" i="1"/>
  <c r="Y242" i="1"/>
  <c r="Z242" i="1" s="1"/>
  <c r="X242" i="1"/>
  <c r="Y238" i="1"/>
  <c r="X238" i="1"/>
  <c r="Y222" i="1"/>
  <c r="X222" i="1"/>
  <c r="Y230" i="1"/>
  <c r="X230" i="1"/>
  <c r="Y223" i="1"/>
  <c r="X223" i="1"/>
  <c r="Y229" i="1"/>
  <c r="X229" i="1"/>
  <c r="Y232" i="1"/>
  <c r="X232" i="1"/>
  <c r="Y227" i="1"/>
  <c r="X227" i="1"/>
  <c r="Y231" i="1"/>
  <c r="Z231" i="1" s="1"/>
  <c r="Y221" i="1"/>
  <c r="X221" i="1"/>
  <c r="Y219" i="1"/>
  <c r="X219" i="1"/>
  <c r="Y220" i="1"/>
  <c r="X220" i="1"/>
  <c r="E191" i="4"/>
  <c r="H192" i="4"/>
  <c r="F192" i="4"/>
  <c r="I192" i="4" s="1"/>
  <c r="H191" i="4" l="1"/>
  <c r="F191" i="4"/>
  <c r="I191" i="4" s="1"/>
  <c r="G191" i="4"/>
  <c r="C185" i="4" s="1"/>
  <c r="C188" i="4" l="1"/>
  <c r="Z402" i="2"/>
  <c r="Z403" i="2"/>
  <c r="Z404" i="2"/>
  <c r="Z393" i="2"/>
  <c r="Z392" i="2"/>
  <c r="Z391" i="2"/>
  <c r="Z380" i="2" l="1"/>
  <c r="Z405" i="2"/>
  <c r="Z441" i="2" l="1"/>
  <c r="Z440" i="2" l="1"/>
  <c r="Z439" i="2" l="1"/>
  <c r="Z438" i="2" l="1"/>
  <c r="Z379" i="2"/>
  <c r="Z378" i="2"/>
  <c r="Z415" i="2"/>
  <c r="Z437" i="2"/>
  <c r="Z416" i="2"/>
  <c r="Z377" i="2" l="1"/>
  <c r="Z376" i="2" l="1"/>
  <c r="Z354" i="2" l="1"/>
  <c r="D179" i="4" l="1"/>
  <c r="K179" i="4" s="1"/>
  <c r="D178" i="4"/>
  <c r="K178" i="4" s="1"/>
  <c r="C174" i="4"/>
  <c r="C173" i="4"/>
  <c r="W218" i="1"/>
  <c r="W217" i="1"/>
  <c r="W216" i="1"/>
  <c r="W215" i="1"/>
  <c r="W202" i="1"/>
  <c r="X202" i="1" s="1"/>
  <c r="D180" i="5"/>
  <c r="G180" i="5" s="1"/>
  <c r="D179" i="5"/>
  <c r="G179" i="5" s="1"/>
  <c r="K178" i="5"/>
  <c r="J178" i="5"/>
  <c r="C175" i="5"/>
  <c r="C174" i="5"/>
  <c r="Z352" i="2"/>
  <c r="Z348" i="2"/>
  <c r="Z398" i="2"/>
  <c r="Y218" i="1" l="1"/>
  <c r="X218" i="1"/>
  <c r="Y216" i="1"/>
  <c r="Z216" i="1" s="1"/>
  <c r="X216" i="1"/>
  <c r="Y217" i="1"/>
  <c r="G179" i="4" s="1"/>
  <c r="X217" i="1"/>
  <c r="F179" i="4" s="1"/>
  <c r="Y215" i="1"/>
  <c r="Z215" i="1" s="1"/>
  <c r="H178" i="4" s="1"/>
  <c r="X215" i="1"/>
  <c r="F178" i="4" s="1"/>
  <c r="J180" i="5"/>
  <c r="K180" i="5"/>
  <c r="C173" i="5"/>
  <c r="J179" i="5"/>
  <c r="H180" i="5"/>
  <c r="H179" i="4"/>
  <c r="E178" i="4"/>
  <c r="E179" i="4"/>
  <c r="J178" i="4"/>
  <c r="J179" i="4"/>
  <c r="K179" i="5"/>
  <c r="G178" i="4" l="1"/>
  <c r="C172" i="4" s="1"/>
  <c r="I179" i="4"/>
  <c r="I178" i="4"/>
  <c r="Z375" i="2"/>
  <c r="Z374" i="2"/>
  <c r="Z372" i="2"/>
  <c r="Z371" i="2"/>
  <c r="Z370" i="2"/>
  <c r="H179" i="5" l="1"/>
  <c r="C175" i="4"/>
  <c r="Z361" i="2"/>
  <c r="Z360" i="2"/>
  <c r="W447" i="2" l="1"/>
  <c r="X447" i="2" s="1"/>
  <c r="W446" i="2"/>
  <c r="X446" i="2" s="1"/>
  <c r="W445" i="2"/>
  <c r="W444" i="2"/>
  <c r="X444" i="2" s="1"/>
  <c r="W443" i="2"/>
  <c r="X443" i="2" s="1"/>
  <c r="W442" i="2"/>
  <c r="X442" i="2" s="1"/>
  <c r="W441" i="2"/>
  <c r="X441" i="2" s="1"/>
  <c r="W440" i="2"/>
  <c r="X440" i="2" s="1"/>
  <c r="W439" i="2"/>
  <c r="X439" i="2" s="1"/>
  <c r="W438" i="2"/>
  <c r="X438" i="2" s="1"/>
  <c r="W437" i="2"/>
  <c r="X437" i="2" s="1"/>
  <c r="W436" i="2"/>
  <c r="X436" i="2" s="1"/>
  <c r="W435" i="2"/>
  <c r="X435" i="2" s="1"/>
  <c r="W434" i="2"/>
  <c r="X434" i="2" s="1"/>
  <c r="W433" i="2"/>
  <c r="X433" i="2" s="1"/>
  <c r="W432" i="2"/>
  <c r="X432" i="2" s="1"/>
  <c r="W431" i="2"/>
  <c r="X431" i="2" s="1"/>
  <c r="W430" i="2"/>
  <c r="X430" i="2" s="1"/>
  <c r="W429" i="2"/>
  <c r="X429" i="2" s="1"/>
  <c r="W428" i="2"/>
  <c r="X428" i="2" s="1"/>
  <c r="W427" i="2"/>
  <c r="X427" i="2" s="1"/>
  <c r="W426" i="2"/>
  <c r="X426" i="2" s="1"/>
  <c r="W425" i="2"/>
  <c r="X425" i="2" s="1"/>
  <c r="W424" i="2"/>
  <c r="X424" i="2" s="1"/>
  <c r="W423" i="2"/>
  <c r="X423" i="2" s="1"/>
  <c r="W422" i="2"/>
  <c r="X422" i="2" s="1"/>
  <c r="W421" i="2"/>
  <c r="X421" i="2" s="1"/>
  <c r="W420" i="2"/>
  <c r="X420" i="2" s="1"/>
  <c r="W419" i="2"/>
  <c r="X419" i="2" s="1"/>
  <c r="W418" i="2"/>
  <c r="X418" i="2" s="1"/>
  <c r="W417" i="2"/>
  <c r="W416" i="2"/>
  <c r="X416" i="2" s="1"/>
  <c r="W415" i="2"/>
  <c r="X415" i="2" s="1"/>
  <c r="W414" i="2"/>
  <c r="X414" i="2" s="1"/>
  <c r="W413" i="2"/>
  <c r="X413" i="2" s="1"/>
  <c r="W412" i="2"/>
  <c r="X412" i="2" s="1"/>
  <c r="W411" i="2"/>
  <c r="X411" i="2" s="1"/>
  <c r="W410" i="2"/>
  <c r="X410" i="2" s="1"/>
  <c r="W409" i="2"/>
  <c r="X409" i="2" s="1"/>
  <c r="W408" i="2"/>
  <c r="X408" i="2" s="1"/>
  <c r="W407" i="2"/>
  <c r="X407" i="2" s="1"/>
  <c r="W406" i="2"/>
  <c r="X406" i="2" s="1"/>
  <c r="W405" i="2"/>
  <c r="X405" i="2" s="1"/>
  <c r="W404" i="2"/>
  <c r="X404" i="2" s="1"/>
  <c r="W403" i="2"/>
  <c r="X403" i="2" s="1"/>
  <c r="W402" i="2"/>
  <c r="X402" i="2" s="1"/>
  <c r="W401" i="2"/>
  <c r="X401" i="2" s="1"/>
  <c r="W400" i="2"/>
  <c r="X400" i="2" s="1"/>
  <c r="W399" i="2"/>
  <c r="X399" i="2" s="1"/>
  <c r="W398" i="2"/>
  <c r="X398" i="2" s="1"/>
  <c r="W397" i="2"/>
  <c r="X397" i="2" s="1"/>
  <c r="W396" i="2"/>
  <c r="X396" i="2" s="1"/>
  <c r="W395" i="2"/>
  <c r="X395" i="2" s="1"/>
  <c r="W394" i="2"/>
  <c r="X394" i="2" s="1"/>
  <c r="W393" i="2"/>
  <c r="X393" i="2" s="1"/>
  <c r="W392" i="2"/>
  <c r="X392" i="2" s="1"/>
  <c r="W391" i="2"/>
  <c r="X391" i="2" s="1"/>
  <c r="W390" i="2"/>
  <c r="X390" i="2" s="1"/>
  <c r="W389" i="2"/>
  <c r="X389" i="2" s="1"/>
  <c r="W388" i="2"/>
  <c r="X388" i="2" s="1"/>
  <c r="W387" i="2"/>
  <c r="X387" i="2" s="1"/>
  <c r="W386" i="2"/>
  <c r="X386" i="2" s="1"/>
  <c r="W385" i="2"/>
  <c r="X385" i="2" s="1"/>
  <c r="W384" i="2"/>
  <c r="X384" i="2" s="1"/>
  <c r="W383" i="2"/>
  <c r="X383" i="2" s="1"/>
  <c r="W382" i="2"/>
  <c r="X382" i="2" s="1"/>
  <c r="W381" i="2"/>
  <c r="X381" i="2" s="1"/>
  <c r="W380" i="2"/>
  <c r="X380" i="2" s="1"/>
  <c r="W379" i="2"/>
  <c r="X379" i="2" s="1"/>
  <c r="W378" i="2"/>
  <c r="X378" i="2" s="1"/>
  <c r="W377" i="2"/>
  <c r="X377" i="2" s="1"/>
  <c r="W376" i="2"/>
  <c r="X376" i="2" s="1"/>
  <c r="W375" i="2"/>
  <c r="X375" i="2" s="1"/>
  <c r="W374" i="2"/>
  <c r="X374" i="2" s="1"/>
  <c r="W373" i="2"/>
  <c r="X373" i="2" s="1"/>
  <c r="W372" i="2"/>
  <c r="X372" i="2" s="1"/>
  <c r="W371" i="2"/>
  <c r="X371" i="2" s="1"/>
  <c r="W370" i="2"/>
  <c r="X370" i="2" s="1"/>
  <c r="W369" i="2"/>
  <c r="X369" i="2" s="1"/>
  <c r="W368" i="2"/>
  <c r="X368" i="2" s="1"/>
  <c r="W367" i="2"/>
  <c r="X367" i="2" s="1"/>
  <c r="W366" i="2"/>
  <c r="X366" i="2" s="1"/>
  <c r="W365" i="2"/>
  <c r="X365" i="2" s="1"/>
  <c r="W364" i="2"/>
  <c r="X364" i="2" s="1"/>
  <c r="W363" i="2"/>
  <c r="X363" i="2" s="1"/>
  <c r="W362" i="2"/>
  <c r="Z347" i="2"/>
  <c r="Z359" i="2"/>
  <c r="Z358" i="2"/>
  <c r="D167" i="5"/>
  <c r="G167" i="5" s="1"/>
  <c r="D166" i="5"/>
  <c r="G166" i="5" s="1"/>
  <c r="K165" i="5"/>
  <c r="J165" i="5"/>
  <c r="C162" i="5"/>
  <c r="C161" i="5"/>
  <c r="D154" i="5"/>
  <c r="H154" i="5" s="1"/>
  <c r="D153" i="5"/>
  <c r="H153" i="5" s="1"/>
  <c r="K152" i="5"/>
  <c r="K154" i="5" s="1"/>
  <c r="J152" i="5"/>
  <c r="J153" i="5" s="1"/>
  <c r="C149" i="5"/>
  <c r="C148" i="5"/>
  <c r="Z357" i="2"/>
  <c r="Z351" i="2"/>
  <c r="Z350" i="2"/>
  <c r="Z349" i="2"/>
  <c r="W361" i="2"/>
  <c r="X361" i="2" s="1"/>
  <c r="W360" i="2"/>
  <c r="X360" i="2" s="1"/>
  <c r="W359" i="2"/>
  <c r="X359" i="2" s="1"/>
  <c r="W358" i="2"/>
  <c r="X358" i="2" s="1"/>
  <c r="W357" i="2"/>
  <c r="X357" i="2" s="1"/>
  <c r="W356" i="2"/>
  <c r="W355" i="2"/>
  <c r="W354" i="2"/>
  <c r="X354" i="2" s="1"/>
  <c r="W353" i="2"/>
  <c r="W352" i="2"/>
  <c r="X352" i="2" s="1"/>
  <c r="W351" i="2"/>
  <c r="X351" i="2" s="1"/>
  <c r="W350" i="2"/>
  <c r="X350" i="2" s="1"/>
  <c r="W349" i="2"/>
  <c r="X349" i="2" s="1"/>
  <c r="W348" i="2"/>
  <c r="X348" i="2" s="1"/>
  <c r="W347" i="2"/>
  <c r="X347" i="2" s="1"/>
  <c r="W346" i="2"/>
  <c r="X346" i="2" s="1"/>
  <c r="W345" i="2"/>
  <c r="W344" i="2"/>
  <c r="X344" i="2" s="1"/>
  <c r="W343" i="2"/>
  <c r="X343" i="2" s="1"/>
  <c r="X206" i="1"/>
  <c r="D166" i="4"/>
  <c r="J166" i="4" s="1"/>
  <c r="D165" i="4"/>
  <c r="J165" i="4" s="1"/>
  <c r="C161" i="4"/>
  <c r="C160" i="4"/>
  <c r="W214" i="1"/>
  <c r="W213" i="1"/>
  <c r="W212" i="1"/>
  <c r="W211" i="1"/>
  <c r="W210" i="1"/>
  <c r="W209" i="1"/>
  <c r="Y208" i="1"/>
  <c r="W207" i="1"/>
  <c r="Z318" i="2"/>
  <c r="W205" i="1"/>
  <c r="X205" i="1"/>
  <c r="X204" i="1"/>
  <c r="E84" i="8"/>
  <c r="Y213" i="1" l="1"/>
  <c r="X213" i="1"/>
  <c r="Y211" i="1"/>
  <c r="X211" i="1"/>
  <c r="Y212" i="1"/>
  <c r="X212" i="1"/>
  <c r="Y209" i="1"/>
  <c r="X209" i="1"/>
  <c r="F153" i="5"/>
  <c r="J167" i="5"/>
  <c r="K167" i="5"/>
  <c r="Y207" i="1"/>
  <c r="X207" i="1"/>
  <c r="Y210" i="1"/>
  <c r="X210" i="1"/>
  <c r="Y214" i="1"/>
  <c r="Z214" i="1" s="1"/>
  <c r="H165" i="4" s="1"/>
  <c r="X214" i="1"/>
  <c r="K165" i="4"/>
  <c r="E153" i="5"/>
  <c r="X417" i="2"/>
  <c r="F180" i="5" s="1"/>
  <c r="E180" i="5"/>
  <c r="K166" i="4"/>
  <c r="X362" i="2"/>
  <c r="F179" i="5" s="1"/>
  <c r="E179" i="5"/>
  <c r="C160" i="5"/>
  <c r="E154" i="5"/>
  <c r="F166" i="5"/>
  <c r="F167" i="5"/>
  <c r="X345" i="2"/>
  <c r="F154" i="5" s="1"/>
  <c r="H166" i="4"/>
  <c r="J154" i="5"/>
  <c r="H166" i="5"/>
  <c r="H167" i="5"/>
  <c r="X208" i="1"/>
  <c r="E165" i="4"/>
  <c r="E166" i="4"/>
  <c r="G153" i="5"/>
  <c r="K153" i="5"/>
  <c r="G154" i="5"/>
  <c r="E166" i="5"/>
  <c r="E167" i="5"/>
  <c r="K166" i="5"/>
  <c r="J166" i="5"/>
  <c r="Z321" i="2"/>
  <c r="Z320" i="2"/>
  <c r="D153" i="4"/>
  <c r="J153" i="4" s="1"/>
  <c r="D152" i="4"/>
  <c r="H152" i="4" s="1"/>
  <c r="C148" i="4"/>
  <c r="C147" i="4"/>
  <c r="G166" i="4" l="1"/>
  <c r="F166" i="4"/>
  <c r="I166" i="4" s="1"/>
  <c r="I153" i="5"/>
  <c r="F165" i="4"/>
  <c r="G165" i="4"/>
  <c r="C159" i="4" s="1"/>
  <c r="I180" i="5"/>
  <c r="J152" i="4"/>
  <c r="K153" i="4"/>
  <c r="I179" i="5"/>
  <c r="C176" i="5"/>
  <c r="F152" i="4"/>
  <c r="K152" i="4"/>
  <c r="C147" i="5"/>
  <c r="I154" i="5"/>
  <c r="C150" i="5"/>
  <c r="I167" i="5"/>
  <c r="I166" i="5"/>
  <c r="C163" i="5"/>
  <c r="Y206" i="1"/>
  <c r="Y205" i="1"/>
  <c r="E152" i="4"/>
  <c r="W203" i="1"/>
  <c r="D141" i="5"/>
  <c r="D140" i="5"/>
  <c r="E140" i="5" s="1"/>
  <c r="K139" i="5"/>
  <c r="J139" i="5"/>
  <c r="J141" i="5" s="1"/>
  <c r="C136" i="5"/>
  <c r="C135" i="5"/>
  <c r="W342" i="2"/>
  <c r="X342" i="2" s="1"/>
  <c r="W341" i="2"/>
  <c r="X341" i="2" s="1"/>
  <c r="W340" i="2"/>
  <c r="X340" i="2" s="1"/>
  <c r="W325" i="2"/>
  <c r="X325" i="2" s="1"/>
  <c r="Z319" i="2"/>
  <c r="Z331" i="2"/>
  <c r="Z316" i="2"/>
  <c r="Z332" i="2"/>
  <c r="Z336" i="2"/>
  <c r="Z333" i="2"/>
  <c r="C162" i="4" l="1"/>
  <c r="F140" i="5"/>
  <c r="I140" i="5" s="1"/>
  <c r="I165" i="4"/>
  <c r="K141" i="5"/>
  <c r="I152" i="4"/>
  <c r="Y203" i="1"/>
  <c r="Z203" i="1" s="1"/>
  <c r="H153" i="4" s="1"/>
  <c r="X203" i="1"/>
  <c r="F153" i="4" s="1"/>
  <c r="E153" i="4"/>
  <c r="E141" i="5"/>
  <c r="Y202" i="1"/>
  <c r="Y204" i="1"/>
  <c r="G152" i="4" s="1"/>
  <c r="F141" i="5"/>
  <c r="G140" i="5"/>
  <c r="K140" i="5"/>
  <c r="G141" i="5"/>
  <c r="H140" i="5"/>
  <c r="H141" i="5"/>
  <c r="J140" i="5"/>
  <c r="Z334" i="2"/>
  <c r="Z337" i="2"/>
  <c r="Z315" i="2"/>
  <c r="Z335" i="2"/>
  <c r="G153" i="4" l="1"/>
  <c r="C146" i="4" s="1"/>
  <c r="I141" i="5"/>
  <c r="I153" i="4"/>
  <c r="C134" i="5"/>
  <c r="C137" i="5"/>
  <c r="D128" i="5"/>
  <c r="G128" i="5" s="1"/>
  <c r="F127" i="5"/>
  <c r="D127" i="5"/>
  <c r="E127" i="5" s="1"/>
  <c r="K126" i="5"/>
  <c r="K128" i="5" s="1"/>
  <c r="J126" i="5"/>
  <c r="J128" i="5" s="1"/>
  <c r="C123" i="5"/>
  <c r="C122" i="5"/>
  <c r="W339" i="2"/>
  <c r="X339" i="2" s="1"/>
  <c r="W338" i="2"/>
  <c r="X338" i="2" s="1"/>
  <c r="W337" i="2"/>
  <c r="X337" i="2" s="1"/>
  <c r="W336" i="2"/>
  <c r="X336" i="2" s="1"/>
  <c r="W335" i="2"/>
  <c r="X335" i="2" s="1"/>
  <c r="W334" i="2"/>
  <c r="X334" i="2" s="1"/>
  <c r="W333" i="2"/>
  <c r="X333" i="2" s="1"/>
  <c r="W332" i="2"/>
  <c r="X332" i="2" s="1"/>
  <c r="W331" i="2"/>
  <c r="X331" i="2" s="1"/>
  <c r="W330" i="2"/>
  <c r="X330" i="2" s="1"/>
  <c r="W329" i="2"/>
  <c r="X329" i="2" s="1"/>
  <c r="W328" i="2"/>
  <c r="X328" i="2" s="1"/>
  <c r="W327" i="2"/>
  <c r="X327" i="2" s="1"/>
  <c r="W326" i="2"/>
  <c r="X326" i="2" s="1"/>
  <c r="W324" i="2"/>
  <c r="W323" i="2"/>
  <c r="X323" i="2" s="1"/>
  <c r="W322" i="2"/>
  <c r="X322" i="2" s="1"/>
  <c r="W321" i="2"/>
  <c r="X321" i="2" s="1"/>
  <c r="W320" i="2"/>
  <c r="X320" i="2" s="1"/>
  <c r="W319" i="2"/>
  <c r="X319" i="2" s="1"/>
  <c r="W318" i="2"/>
  <c r="X318" i="2" s="1"/>
  <c r="W317" i="2"/>
  <c r="X317" i="2" s="1"/>
  <c r="W316" i="2"/>
  <c r="X316" i="2" s="1"/>
  <c r="W315" i="2"/>
  <c r="X315" i="2" s="1"/>
  <c r="W314" i="2"/>
  <c r="X314" i="2" s="1"/>
  <c r="W200" i="1"/>
  <c r="W199" i="1"/>
  <c r="X198" i="1"/>
  <c r="X197" i="1"/>
  <c r="D140" i="4"/>
  <c r="K140" i="4" s="1"/>
  <c r="D139" i="4"/>
  <c r="K139" i="4" s="1"/>
  <c r="C135" i="4"/>
  <c r="C134" i="4"/>
  <c r="Z308" i="2"/>
  <c r="X192" i="1"/>
  <c r="Z312" i="2"/>
  <c r="X191" i="1"/>
  <c r="Z311" i="2"/>
  <c r="Z307" i="2"/>
  <c r="Z304" i="2"/>
  <c r="X165" i="1"/>
  <c r="G127" i="5" l="1"/>
  <c r="C121" i="5" s="1"/>
  <c r="C149" i="4"/>
  <c r="Y200" i="1"/>
  <c r="X200" i="1"/>
  <c r="Y201" i="1"/>
  <c r="X201" i="1"/>
  <c r="F128" i="5"/>
  <c r="Y199" i="1"/>
  <c r="X199" i="1"/>
  <c r="E128" i="5"/>
  <c r="I127" i="5"/>
  <c r="J127" i="5"/>
  <c r="K127" i="5"/>
  <c r="H127" i="5"/>
  <c r="H128" i="5"/>
  <c r="J139" i="4"/>
  <c r="J140" i="4"/>
  <c r="H140" i="4"/>
  <c r="Z303" i="2"/>
  <c r="D116" i="5"/>
  <c r="H116" i="5" s="1"/>
  <c r="D115" i="5"/>
  <c r="H115" i="5" s="1"/>
  <c r="K114" i="5"/>
  <c r="K115" i="5" s="1"/>
  <c r="J114" i="5"/>
  <c r="C111" i="5"/>
  <c r="C110" i="5"/>
  <c r="D103" i="5"/>
  <c r="G103" i="5" s="1"/>
  <c r="D102" i="5"/>
  <c r="G102" i="5" s="1"/>
  <c r="K101" i="5"/>
  <c r="J101" i="5"/>
  <c r="C98" i="5"/>
  <c r="C97" i="5"/>
  <c r="Y198" i="1"/>
  <c r="Y197" i="1"/>
  <c r="W196" i="1"/>
  <c r="W195" i="1"/>
  <c r="W194" i="1"/>
  <c r="W193" i="1"/>
  <c r="Y192" i="1"/>
  <c r="Y191" i="1"/>
  <c r="Y190" i="1"/>
  <c r="W189" i="1"/>
  <c r="W188" i="1"/>
  <c r="W187" i="1"/>
  <c r="F115" i="5" l="1"/>
  <c r="J115" i="5"/>
  <c r="G115" i="5"/>
  <c r="J103" i="5"/>
  <c r="K103" i="5"/>
  <c r="E115" i="5"/>
  <c r="G116" i="5"/>
  <c r="C109" i="5" s="1"/>
  <c r="I128" i="5"/>
  <c r="C124" i="5"/>
  <c r="Y187" i="1"/>
  <c r="X187" i="1"/>
  <c r="Y196" i="1"/>
  <c r="X196" i="1"/>
  <c r="Y189" i="1"/>
  <c r="G140" i="4" s="1"/>
  <c r="X189" i="1"/>
  <c r="F140" i="4" s="1"/>
  <c r="Y195" i="1"/>
  <c r="Z195" i="1" s="1"/>
  <c r="X195" i="1"/>
  <c r="Y194" i="1"/>
  <c r="X194" i="1"/>
  <c r="Y193" i="1"/>
  <c r="Z193" i="1" s="1"/>
  <c r="H139" i="4" s="1"/>
  <c r="X193" i="1"/>
  <c r="E140" i="4"/>
  <c r="E139" i="4"/>
  <c r="Y188" i="1"/>
  <c r="X188" i="1"/>
  <c r="C96" i="5"/>
  <c r="J116" i="5"/>
  <c r="K116" i="5"/>
  <c r="H102" i="5"/>
  <c r="H103" i="5"/>
  <c r="E102" i="5"/>
  <c r="F102" i="5"/>
  <c r="J102" i="5"/>
  <c r="K102" i="5"/>
  <c r="W313" i="2"/>
  <c r="W312" i="2"/>
  <c r="X312" i="2" s="1"/>
  <c r="W311" i="2"/>
  <c r="X311" i="2" s="1"/>
  <c r="W310" i="2"/>
  <c r="W309" i="2"/>
  <c r="W308" i="2"/>
  <c r="X308" i="2" s="1"/>
  <c r="W307" i="2"/>
  <c r="X307" i="2" s="1"/>
  <c r="W306" i="2"/>
  <c r="W305" i="2"/>
  <c r="W304" i="2"/>
  <c r="X304" i="2" s="1"/>
  <c r="W303" i="2"/>
  <c r="X303" i="2" s="1"/>
  <c r="I115" i="5" l="1"/>
  <c r="E116" i="5"/>
  <c r="X313" i="2"/>
  <c r="F116" i="5" s="1"/>
  <c r="G139" i="4"/>
  <c r="C133" i="4" s="1"/>
  <c r="I140" i="4"/>
  <c r="F103" i="5"/>
  <c r="F139" i="4"/>
  <c r="I139" i="4" s="1"/>
  <c r="I102" i="5"/>
  <c r="E103" i="5"/>
  <c r="Y165" i="1"/>
  <c r="D127" i="4"/>
  <c r="K127" i="4" s="1"/>
  <c r="D126" i="4"/>
  <c r="K126" i="4" s="1"/>
  <c r="C122" i="4"/>
  <c r="C121" i="4"/>
  <c r="C112" i="5" l="1"/>
  <c r="I116" i="5"/>
  <c r="I103" i="5"/>
  <c r="C136" i="4"/>
  <c r="C99" i="5"/>
  <c r="J126" i="4"/>
  <c r="J127" i="4"/>
  <c r="D90" i="5" l="1"/>
  <c r="H90" i="5" s="1"/>
  <c r="D89" i="5"/>
  <c r="H89" i="5" s="1"/>
  <c r="K88" i="5"/>
  <c r="J88" i="5"/>
  <c r="C85" i="5"/>
  <c r="C84" i="5"/>
  <c r="W302" i="2"/>
  <c r="X302" i="2" s="1"/>
  <c r="W301" i="2"/>
  <c r="X301" i="2" s="1"/>
  <c r="W300" i="2"/>
  <c r="X300" i="2" s="1"/>
  <c r="W299" i="2"/>
  <c r="X299" i="2" s="1"/>
  <c r="W298" i="2"/>
  <c r="X298" i="2" s="1"/>
  <c r="W297" i="2"/>
  <c r="X297" i="2" s="1"/>
  <c r="Z186" i="1"/>
  <c r="W175" i="1"/>
  <c r="X175" i="1" s="1"/>
  <c r="W174" i="1"/>
  <c r="X174" i="1" s="1"/>
  <c r="W173" i="1"/>
  <c r="X173" i="1" s="1"/>
  <c r="B153" i="6"/>
  <c r="B151" i="6"/>
  <c r="X181" i="1"/>
  <c r="J90" i="5" l="1"/>
  <c r="K90" i="5"/>
  <c r="F10" i="6"/>
  <c r="F6" i="6"/>
  <c r="E89" i="5"/>
  <c r="E90" i="5"/>
  <c r="F89" i="5"/>
  <c r="J89" i="5"/>
  <c r="F90" i="5"/>
  <c r="G89" i="5"/>
  <c r="K89" i="5"/>
  <c r="G90" i="5"/>
  <c r="Y173" i="1"/>
  <c r="Y181" i="1"/>
  <c r="Y174" i="1"/>
  <c r="Y175" i="1"/>
  <c r="Z175" i="1" s="1"/>
  <c r="W176" i="1"/>
  <c r="W177" i="1"/>
  <c r="W179" i="1"/>
  <c r="W180" i="1"/>
  <c r="W182" i="1"/>
  <c r="W183" i="1"/>
  <c r="W184" i="1"/>
  <c r="X184" i="1" s="1"/>
  <c r="W185" i="1"/>
  <c r="W186" i="1"/>
  <c r="W172" i="1"/>
  <c r="I90" i="5" l="1"/>
  <c r="E127" i="4"/>
  <c r="Y176" i="1"/>
  <c r="X176" i="1"/>
  <c r="E126" i="4"/>
  <c r="C83" i="5"/>
  <c r="Y179" i="1"/>
  <c r="X179" i="1"/>
  <c r="Y178" i="1"/>
  <c r="X178" i="1"/>
  <c r="Y177" i="1"/>
  <c r="X177" i="1"/>
  <c r="I89" i="5"/>
  <c r="C86" i="5"/>
  <c r="Y180" i="1"/>
  <c r="Z180" i="1" s="1"/>
  <c r="X180" i="1"/>
  <c r="Y172" i="1"/>
  <c r="X172" i="1"/>
  <c r="Y186" i="1"/>
  <c r="X186" i="1"/>
  <c r="Y185" i="1"/>
  <c r="X185" i="1"/>
  <c r="Y182" i="1"/>
  <c r="Z182" i="1" s="1"/>
  <c r="H126" i="4" s="1"/>
  <c r="X182" i="1"/>
  <c r="Y184" i="1"/>
  <c r="Y183" i="1"/>
  <c r="X183" i="1"/>
  <c r="X164" i="1"/>
  <c r="F126" i="4" l="1"/>
  <c r="G126" i="4"/>
  <c r="F127" i="4"/>
  <c r="I127" i="4" s="1"/>
  <c r="Z172" i="1"/>
  <c r="H127" i="4" s="1"/>
  <c r="G127" i="4"/>
  <c r="X162" i="1"/>
  <c r="Z202" i="2"/>
  <c r="W169" i="1"/>
  <c r="X169" i="1" s="1"/>
  <c r="W168" i="1"/>
  <c r="X168" i="1" s="1"/>
  <c r="C120" i="4" l="1"/>
  <c r="I126" i="4"/>
  <c r="C123" i="4"/>
  <c r="X143" i="1"/>
  <c r="Z150" i="2"/>
  <c r="Z255" i="2" l="1"/>
  <c r="Y171" i="1"/>
  <c r="Z171" i="1" s="1"/>
  <c r="X171" i="1"/>
  <c r="Z148" i="2"/>
  <c r="D77" i="5"/>
  <c r="G77" i="5" s="1"/>
  <c r="D76" i="5"/>
  <c r="F76" i="5" s="1"/>
  <c r="K75" i="5"/>
  <c r="J75" i="5"/>
  <c r="J77" i="5" s="1"/>
  <c r="C72" i="5"/>
  <c r="C71" i="5"/>
  <c r="W296" i="2"/>
  <c r="X296" i="2" s="1"/>
  <c r="Z146" i="2"/>
  <c r="Y170" i="1"/>
  <c r="Z170" i="1" s="1"/>
  <c r="X170" i="1"/>
  <c r="G76" i="5" l="1"/>
  <c r="C70" i="5" s="1"/>
  <c r="K77" i="5"/>
  <c r="F77" i="5"/>
  <c r="H76" i="5"/>
  <c r="H77" i="5"/>
  <c r="K76" i="5"/>
  <c r="E76" i="5"/>
  <c r="I76" i="5" s="1"/>
  <c r="E77" i="5"/>
  <c r="J76" i="5"/>
  <c r="Y169" i="1"/>
  <c r="Y168" i="1"/>
  <c r="D114" i="4"/>
  <c r="K114" i="4" s="1"/>
  <c r="D113" i="4"/>
  <c r="K113" i="4" s="1"/>
  <c r="C109" i="4"/>
  <c r="C108" i="4"/>
  <c r="D101" i="4"/>
  <c r="K101" i="4" s="1"/>
  <c r="D100" i="4"/>
  <c r="K100" i="4" s="1"/>
  <c r="C96" i="4"/>
  <c r="C95" i="4"/>
  <c r="W166" i="1"/>
  <c r="Y164" i="1"/>
  <c r="W163" i="1"/>
  <c r="Y162" i="1"/>
  <c r="W161" i="1"/>
  <c r="W160" i="1"/>
  <c r="W158" i="1"/>
  <c r="W157" i="1"/>
  <c r="W156" i="1"/>
  <c r="W155" i="1"/>
  <c r="W154" i="1"/>
  <c r="W153" i="1"/>
  <c r="Z254" i="2"/>
  <c r="Z212" i="2"/>
  <c r="Z211" i="2"/>
  <c r="X146" i="1"/>
  <c r="Z228" i="2"/>
  <c r="Y153" i="1" l="1"/>
  <c r="X153" i="1"/>
  <c r="Y163" i="1"/>
  <c r="X163" i="1"/>
  <c r="Y161" i="1"/>
  <c r="X161" i="1"/>
  <c r="Y158" i="1"/>
  <c r="Z158" i="1" s="1"/>
  <c r="X158" i="1"/>
  <c r="Y159" i="1"/>
  <c r="X159" i="1"/>
  <c r="Y160" i="1"/>
  <c r="X160" i="1"/>
  <c r="Y166" i="1"/>
  <c r="X166" i="1"/>
  <c r="Y167" i="1"/>
  <c r="Z167" i="1" s="1"/>
  <c r="X167" i="1"/>
  <c r="I77" i="5"/>
  <c r="Y157" i="1"/>
  <c r="X157" i="1"/>
  <c r="Y154" i="1"/>
  <c r="X154" i="1"/>
  <c r="Y155" i="1"/>
  <c r="X155" i="1"/>
  <c r="Y156" i="1"/>
  <c r="X156" i="1"/>
  <c r="C73" i="5"/>
  <c r="E100" i="4"/>
  <c r="E101" i="4"/>
  <c r="E113" i="4"/>
  <c r="E114" i="4"/>
  <c r="H100" i="4"/>
  <c r="H101" i="4"/>
  <c r="H113" i="4"/>
  <c r="F113" i="4"/>
  <c r="J113" i="4"/>
  <c r="F114" i="4"/>
  <c r="J114" i="4"/>
  <c r="H114" i="4"/>
  <c r="J100" i="4"/>
  <c r="F101" i="4"/>
  <c r="J101" i="4"/>
  <c r="G101" i="4"/>
  <c r="G113" i="4"/>
  <c r="G114" i="4"/>
  <c r="Z204" i="2"/>
  <c r="Z203" i="2"/>
  <c r="Z205" i="2"/>
  <c r="Z213" i="2"/>
  <c r="X150" i="1"/>
  <c r="W145" i="1"/>
  <c r="X145" i="1" s="1"/>
  <c r="W142" i="1"/>
  <c r="X142" i="1" s="1"/>
  <c r="X147" i="1"/>
  <c r="Z214" i="2"/>
  <c r="Z253" i="2"/>
  <c r="D64" i="5"/>
  <c r="H64" i="5" s="1"/>
  <c r="E63" i="5"/>
  <c r="D63" i="5"/>
  <c r="H63" i="5" s="1"/>
  <c r="K62" i="5"/>
  <c r="K64" i="5" s="1"/>
  <c r="J62" i="5"/>
  <c r="J64" i="5" s="1"/>
  <c r="C59" i="5"/>
  <c r="C58" i="5"/>
  <c r="W295" i="2"/>
  <c r="W294" i="2"/>
  <c r="X294" i="2" s="1"/>
  <c r="Z145" i="2"/>
  <c r="F53" i="6"/>
  <c r="H53" i="6" s="1"/>
  <c r="E53" i="6"/>
  <c r="G53" i="6" s="1"/>
  <c r="Z216" i="2"/>
  <c r="Z252" i="2"/>
  <c r="Z217" i="2"/>
  <c r="Z218" i="2"/>
  <c r="D88" i="4"/>
  <c r="K88" i="4" s="1"/>
  <c r="J87" i="4"/>
  <c r="D87" i="4"/>
  <c r="K87" i="4" s="1"/>
  <c r="C83" i="4"/>
  <c r="C82" i="4"/>
  <c r="Z144" i="2"/>
  <c r="Z227" i="2"/>
  <c r="J88" i="4" l="1"/>
  <c r="F100" i="4"/>
  <c r="I100" i="4" s="1"/>
  <c r="I101" i="4"/>
  <c r="G100" i="4"/>
  <c r="C94" i="4" s="1"/>
  <c r="C107" i="4"/>
  <c r="E64" i="5"/>
  <c r="I114" i="4"/>
  <c r="C110" i="4"/>
  <c r="I113" i="4"/>
  <c r="F63" i="5"/>
  <c r="J63" i="5"/>
  <c r="G63" i="5"/>
  <c r="K63" i="5"/>
  <c r="G64" i="5"/>
  <c r="X295" i="2"/>
  <c r="F64" i="5" s="1"/>
  <c r="I64" i="5" s="1"/>
  <c r="W152" i="1"/>
  <c r="W151" i="1"/>
  <c r="Y150" i="1"/>
  <c r="Z150" i="1" s="1"/>
  <c r="W149" i="1"/>
  <c r="W148" i="1"/>
  <c r="Y147" i="1"/>
  <c r="Y146" i="1"/>
  <c r="Y145" i="1"/>
  <c r="Z145" i="1" s="1"/>
  <c r="W144" i="1"/>
  <c r="Y143" i="1"/>
  <c r="Y142" i="1"/>
  <c r="Z256" i="2"/>
  <c r="Z257" i="2"/>
  <c r="Z258" i="2"/>
  <c r="Z259" i="2"/>
  <c r="Z260" i="2"/>
  <c r="Z261" i="2"/>
  <c r="Z262" i="2"/>
  <c r="Z263" i="2"/>
  <c r="Z264" i="2"/>
  <c r="Z143" i="2"/>
  <c r="C97" i="4" l="1"/>
  <c r="Y144" i="1"/>
  <c r="X144" i="1"/>
  <c r="E88" i="4"/>
  <c r="Z142" i="1"/>
  <c r="E87" i="4"/>
  <c r="Y149" i="1"/>
  <c r="Z149" i="1" s="1"/>
  <c r="X149" i="1"/>
  <c r="I63" i="5"/>
  <c r="C60" i="5"/>
  <c r="Y151" i="1"/>
  <c r="X151" i="1"/>
  <c r="Y148" i="1"/>
  <c r="Z148" i="1" s="1"/>
  <c r="X148" i="1"/>
  <c r="Y152" i="1"/>
  <c r="X152" i="1"/>
  <c r="C57" i="5"/>
  <c r="Z215" i="2"/>
  <c r="Z142" i="2"/>
  <c r="Z219" i="2"/>
  <c r="Z220" i="2"/>
  <c r="Z139" i="2"/>
  <c r="Z138" i="2"/>
  <c r="Z221" i="2"/>
  <c r="Z137" i="2"/>
  <c r="Z136" i="2"/>
  <c r="Z222" i="2"/>
  <c r="Z226" i="2"/>
  <c r="H87" i="4" l="1"/>
  <c r="F88" i="4"/>
  <c r="I88" i="4" s="1"/>
  <c r="G87" i="4"/>
  <c r="Z151" i="1"/>
  <c r="H88" i="4" s="1"/>
  <c r="G88" i="4"/>
  <c r="F87" i="4"/>
  <c r="I87" i="4" s="1"/>
  <c r="Z234" i="2"/>
  <c r="Z141" i="2"/>
  <c r="C81" i="4" l="1"/>
  <c r="C84" i="4"/>
  <c r="D75" i="4"/>
  <c r="K75" i="4" s="1"/>
  <c r="D74" i="4"/>
  <c r="K74" i="4" s="1"/>
  <c r="C70" i="4"/>
  <c r="C69" i="4"/>
  <c r="W134" i="1"/>
  <c r="W135" i="1"/>
  <c r="W136" i="1"/>
  <c r="W137" i="1"/>
  <c r="W138" i="1"/>
  <c r="W139" i="1"/>
  <c r="W140" i="1"/>
  <c r="W141" i="1"/>
  <c r="W133" i="1"/>
  <c r="Y133" i="1" l="1"/>
  <c r="X133" i="1"/>
  <c r="Y141" i="1"/>
  <c r="Z141" i="1" s="1"/>
  <c r="X141" i="1"/>
  <c r="Y137" i="1"/>
  <c r="X137" i="1"/>
  <c r="Y140" i="1"/>
  <c r="Z140" i="1" s="1"/>
  <c r="X140" i="1"/>
  <c r="Y139" i="1"/>
  <c r="Z139" i="1" s="1"/>
  <c r="X139" i="1"/>
  <c r="Y135" i="1"/>
  <c r="X135" i="1"/>
  <c r="Y138" i="1"/>
  <c r="Z138" i="1" s="1"/>
  <c r="X138" i="1"/>
  <c r="Y134" i="1"/>
  <c r="X134" i="1"/>
  <c r="Y136" i="1"/>
  <c r="X136" i="1"/>
  <c r="E74" i="4"/>
  <c r="E75" i="4"/>
  <c r="H75" i="4"/>
  <c r="J75" i="4"/>
  <c r="J74" i="4"/>
  <c r="Z271" i="2"/>
  <c r="Z270" i="2"/>
  <c r="Z269" i="2"/>
  <c r="Z268" i="2"/>
  <c r="Z267" i="2"/>
  <c r="Z266" i="2"/>
  <c r="Z265" i="2"/>
  <c r="Z140" i="2"/>
  <c r="Z149" i="2"/>
  <c r="Z242" i="2"/>
  <c r="W218" i="2"/>
  <c r="X218" i="2" s="1"/>
  <c r="W211" i="2"/>
  <c r="X211" i="2" s="1"/>
  <c r="W293" i="2"/>
  <c r="X293" i="2" s="1"/>
  <c r="W292" i="2"/>
  <c r="X292" i="2" s="1"/>
  <c r="W291" i="2"/>
  <c r="X291" i="2" s="1"/>
  <c r="W290" i="2"/>
  <c r="X290" i="2" s="1"/>
  <c r="J62" i="4"/>
  <c r="D62" i="4"/>
  <c r="K62" i="4" s="1"/>
  <c r="D61" i="4"/>
  <c r="H61" i="4" s="1"/>
  <c r="C57" i="4"/>
  <c r="C56" i="4"/>
  <c r="D49" i="4"/>
  <c r="H49" i="4" s="1"/>
  <c r="K48" i="4"/>
  <c r="J48" i="4"/>
  <c r="D48" i="4"/>
  <c r="H48" i="4" s="1"/>
  <c r="C44" i="4"/>
  <c r="C43" i="4"/>
  <c r="Z210" i="2"/>
  <c r="Z209" i="2"/>
  <c r="D51" i="5"/>
  <c r="H51" i="5" s="1"/>
  <c r="D50" i="5"/>
  <c r="H50" i="5" s="1"/>
  <c r="K49" i="5"/>
  <c r="J49" i="5"/>
  <c r="J51" i="5" s="1"/>
  <c r="C46" i="5"/>
  <c r="C45" i="5"/>
  <c r="Z168" i="2"/>
  <c r="Z147" i="2"/>
  <c r="X125" i="1"/>
  <c r="X127" i="1"/>
  <c r="W126" i="1"/>
  <c r="E62" i="4" s="1"/>
  <c r="E49" i="4" l="1"/>
  <c r="K49" i="4"/>
  <c r="J61" i="4"/>
  <c r="F49" i="4"/>
  <c r="K61" i="4"/>
  <c r="J49" i="4"/>
  <c r="K51" i="5"/>
  <c r="E50" i="5"/>
  <c r="G49" i="4"/>
  <c r="E61" i="4"/>
  <c r="G75" i="4"/>
  <c r="F75" i="4"/>
  <c r="I75" i="4" s="1"/>
  <c r="G74" i="4"/>
  <c r="H74" i="4"/>
  <c r="F74" i="4"/>
  <c r="I74" i="4" s="1"/>
  <c r="E51" i="5"/>
  <c r="X126" i="1"/>
  <c r="J50" i="5"/>
  <c r="F50" i="5"/>
  <c r="F51" i="5"/>
  <c r="G50" i="5"/>
  <c r="K50" i="5"/>
  <c r="G51" i="5"/>
  <c r="I49" i="4" l="1"/>
  <c r="F62" i="4"/>
  <c r="I62" i="4" s="1"/>
  <c r="F61" i="4"/>
  <c r="I61" i="4" s="1"/>
  <c r="I51" i="5"/>
  <c r="C68" i="4"/>
  <c r="C71" i="4"/>
  <c r="C44" i="5"/>
  <c r="C47" i="5"/>
  <c r="I50" i="5"/>
  <c r="W129" i="1"/>
  <c r="Y130" i="1"/>
  <c r="W131" i="1"/>
  <c r="W132" i="1"/>
  <c r="W128" i="1"/>
  <c r="X128" i="1" s="1"/>
  <c r="Y129" i="1" l="1"/>
  <c r="X129" i="1"/>
  <c r="Y131" i="1"/>
  <c r="X131" i="1"/>
  <c r="Y132" i="1"/>
  <c r="X132" i="1"/>
  <c r="Y128" i="1"/>
  <c r="E48" i="4"/>
  <c r="Z135" i="2"/>
  <c r="Z134" i="2"/>
  <c r="Z133" i="2"/>
  <c r="Z132" i="2"/>
  <c r="Z131" i="2"/>
  <c r="X102" i="1"/>
  <c r="Z129" i="2"/>
  <c r="X90" i="1"/>
  <c r="Y127" i="1"/>
  <c r="Y126" i="1"/>
  <c r="G61" i="4" s="1"/>
  <c r="Y125" i="1"/>
  <c r="Z130" i="2"/>
  <c r="F48" i="4" l="1"/>
  <c r="I48" i="4" s="1"/>
  <c r="G48" i="4"/>
  <c r="C42" i="4" s="1"/>
  <c r="Z125" i="1"/>
  <c r="H62" i="4" s="1"/>
  <c r="G62" i="4"/>
  <c r="C55" i="4" s="1"/>
  <c r="Z251" i="2"/>
  <c r="Z250" i="2"/>
  <c r="Z249" i="2"/>
  <c r="Z248" i="2"/>
  <c r="Z247" i="2"/>
  <c r="Z246" i="2"/>
  <c r="Z245" i="2"/>
  <c r="Z244" i="2"/>
  <c r="Z243" i="2"/>
  <c r="Z241" i="2"/>
  <c r="Z240" i="2"/>
  <c r="Z239" i="2"/>
  <c r="Z238" i="2"/>
  <c r="Z237" i="2"/>
  <c r="Z236" i="2"/>
  <c r="Z235" i="2"/>
  <c r="Z233" i="2"/>
  <c r="Z232" i="2"/>
  <c r="Z231" i="2"/>
  <c r="Z230" i="2"/>
  <c r="Z229" i="2"/>
  <c r="Z225" i="2"/>
  <c r="Z224" i="2"/>
  <c r="Z223" i="2"/>
  <c r="C45" i="4" l="1"/>
  <c r="C58" i="4"/>
  <c r="Z128" i="2"/>
  <c r="Z127" i="2"/>
  <c r="Z124" i="2" l="1"/>
  <c r="Z123" i="2"/>
  <c r="Z122" i="2"/>
  <c r="X116" i="1"/>
  <c r="X98" i="1"/>
  <c r="W92" i="1"/>
  <c r="X97" i="1"/>
  <c r="X91" i="1"/>
  <c r="D38" i="5"/>
  <c r="D37" i="5"/>
  <c r="K36" i="5"/>
  <c r="J36" i="5"/>
  <c r="J38" i="5" s="1"/>
  <c r="C33" i="5"/>
  <c r="C32" i="5"/>
  <c r="W289" i="2"/>
  <c r="X289" i="2" s="1"/>
  <c r="W288" i="2"/>
  <c r="X288" i="2" s="1"/>
  <c r="W287" i="2"/>
  <c r="X287" i="2" s="1"/>
  <c r="W286" i="2"/>
  <c r="X286" i="2" s="1"/>
  <c r="W285" i="2"/>
  <c r="X285" i="2" s="1"/>
  <c r="W284" i="2"/>
  <c r="X284" i="2" s="1"/>
  <c r="W283" i="2"/>
  <c r="X283" i="2" s="1"/>
  <c r="W282" i="2"/>
  <c r="X282" i="2" s="1"/>
  <c r="W281" i="2"/>
  <c r="X281" i="2" s="1"/>
  <c r="W280" i="2"/>
  <c r="X280" i="2" s="1"/>
  <c r="W279" i="2"/>
  <c r="X279" i="2" s="1"/>
  <c r="W278" i="2"/>
  <c r="X278" i="2" s="1"/>
  <c r="W277" i="2"/>
  <c r="X277" i="2" s="1"/>
  <c r="W276" i="2"/>
  <c r="X276" i="2" s="1"/>
  <c r="W275" i="2"/>
  <c r="X275" i="2" s="1"/>
  <c r="W274" i="2"/>
  <c r="X274" i="2" s="1"/>
  <c r="W273" i="2"/>
  <c r="X273" i="2" s="1"/>
  <c r="W272" i="2"/>
  <c r="X272" i="2" s="1"/>
  <c r="W271" i="2"/>
  <c r="X271" i="2" s="1"/>
  <c r="W270" i="2"/>
  <c r="X270" i="2" s="1"/>
  <c r="W269" i="2"/>
  <c r="X269" i="2" s="1"/>
  <c r="W268" i="2"/>
  <c r="X268" i="2" s="1"/>
  <c r="W267" i="2"/>
  <c r="X267" i="2" s="1"/>
  <c r="W266" i="2"/>
  <c r="X266" i="2" s="1"/>
  <c r="W265" i="2"/>
  <c r="X265" i="2" s="1"/>
  <c r="W264" i="2"/>
  <c r="X264" i="2" s="1"/>
  <c r="W263" i="2"/>
  <c r="X263" i="2" s="1"/>
  <c r="W262" i="2"/>
  <c r="X262" i="2" s="1"/>
  <c r="W261" i="2"/>
  <c r="X261" i="2" s="1"/>
  <c r="W260" i="2"/>
  <c r="X260" i="2" s="1"/>
  <c r="W259" i="2"/>
  <c r="X259" i="2" s="1"/>
  <c r="W258" i="2"/>
  <c r="X258" i="2" s="1"/>
  <c r="W257" i="2"/>
  <c r="X257" i="2" s="1"/>
  <c r="W256" i="2"/>
  <c r="X256" i="2" s="1"/>
  <c r="W255" i="2"/>
  <c r="X255" i="2" s="1"/>
  <c r="W254" i="2"/>
  <c r="X254" i="2" s="1"/>
  <c r="W253" i="2"/>
  <c r="X253" i="2" s="1"/>
  <c r="W252" i="2"/>
  <c r="X252" i="2" s="1"/>
  <c r="W251" i="2"/>
  <c r="X251" i="2" s="1"/>
  <c r="W250" i="2"/>
  <c r="X250" i="2" s="1"/>
  <c r="W249" i="2"/>
  <c r="X249" i="2" s="1"/>
  <c r="W248" i="2"/>
  <c r="X248" i="2" s="1"/>
  <c r="W247" i="2"/>
  <c r="X247" i="2" s="1"/>
  <c r="W246" i="2"/>
  <c r="X246" i="2" s="1"/>
  <c r="W245" i="2"/>
  <c r="X245" i="2" s="1"/>
  <c r="W244" i="2"/>
  <c r="X244" i="2" s="1"/>
  <c r="W243" i="2"/>
  <c r="X243" i="2" s="1"/>
  <c r="W242" i="2"/>
  <c r="X242" i="2" s="1"/>
  <c r="W241" i="2"/>
  <c r="X241" i="2" s="1"/>
  <c r="W240" i="2"/>
  <c r="X240" i="2" s="1"/>
  <c r="W239" i="2"/>
  <c r="X239" i="2" s="1"/>
  <c r="W238" i="2"/>
  <c r="X238" i="2" s="1"/>
  <c r="W237" i="2"/>
  <c r="X237" i="2" s="1"/>
  <c r="W236" i="2"/>
  <c r="X236" i="2" s="1"/>
  <c r="W235" i="2"/>
  <c r="X235" i="2" s="1"/>
  <c r="W234" i="2"/>
  <c r="X234" i="2" s="1"/>
  <c r="W233" i="2"/>
  <c r="X233" i="2" s="1"/>
  <c r="W232" i="2"/>
  <c r="X232" i="2" s="1"/>
  <c r="W231" i="2"/>
  <c r="X231" i="2" s="1"/>
  <c r="W230" i="2"/>
  <c r="X230" i="2" s="1"/>
  <c r="W229" i="2"/>
  <c r="X229" i="2" s="1"/>
  <c r="W228" i="2"/>
  <c r="X228" i="2" s="1"/>
  <c r="W227" i="2"/>
  <c r="X227" i="2" s="1"/>
  <c r="W226" i="2"/>
  <c r="X226" i="2" s="1"/>
  <c r="W225" i="2"/>
  <c r="X225" i="2" s="1"/>
  <c r="W224" i="2"/>
  <c r="X224" i="2" s="1"/>
  <c r="W223" i="2"/>
  <c r="X223" i="2" s="1"/>
  <c r="W222" i="2"/>
  <c r="X222" i="2" s="1"/>
  <c r="W221" i="2"/>
  <c r="X221" i="2" s="1"/>
  <c r="W220" i="2"/>
  <c r="X220" i="2" s="1"/>
  <c r="W219" i="2"/>
  <c r="X219" i="2" s="1"/>
  <c r="W217" i="2"/>
  <c r="X217" i="2" s="1"/>
  <c r="W216" i="2"/>
  <c r="X216" i="2" s="1"/>
  <c r="W215" i="2"/>
  <c r="X215" i="2" s="1"/>
  <c r="W214" i="2"/>
  <c r="X214" i="2" s="1"/>
  <c r="W213" i="2"/>
  <c r="X213" i="2" s="1"/>
  <c r="W212" i="2"/>
  <c r="X212" i="2" s="1"/>
  <c r="W210" i="2"/>
  <c r="X210" i="2" s="1"/>
  <c r="W209" i="2"/>
  <c r="X209" i="2" s="1"/>
  <c r="W208" i="2"/>
  <c r="W207" i="2"/>
  <c r="W206" i="2"/>
  <c r="W205" i="2"/>
  <c r="X205" i="2" s="1"/>
  <c r="W204" i="2"/>
  <c r="X204" i="2" s="1"/>
  <c r="W203" i="2"/>
  <c r="X203" i="2" s="1"/>
  <c r="W202" i="2"/>
  <c r="X202" i="2" s="1"/>
  <c r="W201" i="2"/>
  <c r="W200" i="2"/>
  <c r="W199" i="2"/>
  <c r="W198" i="2"/>
  <c r="W197" i="2"/>
  <c r="W196" i="2"/>
  <c r="W195" i="2"/>
  <c r="W194" i="2"/>
  <c r="W193" i="2"/>
  <c r="W192" i="2"/>
  <c r="W191" i="2"/>
  <c r="W190" i="2"/>
  <c r="W189" i="2"/>
  <c r="W188" i="2"/>
  <c r="W187" i="2"/>
  <c r="W186" i="2"/>
  <c r="X186" i="2" s="1"/>
  <c r="W185" i="2"/>
  <c r="X185" i="2" s="1"/>
  <c r="W184" i="2"/>
  <c r="X184" i="2" s="1"/>
  <c r="W183" i="2"/>
  <c r="X183" i="2" s="1"/>
  <c r="W182" i="2"/>
  <c r="X182" i="2" s="1"/>
  <c r="W181" i="2"/>
  <c r="X181" i="2" s="1"/>
  <c r="W180" i="2"/>
  <c r="X180" i="2" s="1"/>
  <c r="W179" i="2"/>
  <c r="X179" i="2" s="1"/>
  <c r="W178" i="2"/>
  <c r="X178" i="2" s="1"/>
  <c r="W177" i="2"/>
  <c r="X177" i="2" s="1"/>
  <c r="W176" i="2"/>
  <c r="X176" i="2" s="1"/>
  <c r="W175" i="2"/>
  <c r="X175" i="2" s="1"/>
  <c r="W174" i="2"/>
  <c r="X174" i="2" s="1"/>
  <c r="W173" i="2"/>
  <c r="W172" i="2"/>
  <c r="W171" i="2"/>
  <c r="W170" i="2"/>
  <c r="W169" i="2"/>
  <c r="W168" i="2"/>
  <c r="X168" i="2" s="1"/>
  <c r="W167" i="2"/>
  <c r="X167" i="2" s="1"/>
  <c r="W166" i="2"/>
  <c r="X166" i="2" s="1"/>
  <c r="W165" i="2"/>
  <c r="X165" i="2" s="1"/>
  <c r="W164" i="2"/>
  <c r="X164" i="2" s="1"/>
  <c r="W163" i="2"/>
  <c r="X163" i="2" s="1"/>
  <c r="W162" i="2"/>
  <c r="X162" i="2" s="1"/>
  <c r="W161" i="2"/>
  <c r="X161" i="2" s="1"/>
  <c r="W160" i="2"/>
  <c r="X160" i="2" s="1"/>
  <c r="W159" i="2"/>
  <c r="X159" i="2" s="1"/>
  <c r="W158" i="2"/>
  <c r="X158" i="2" s="1"/>
  <c r="W157" i="2"/>
  <c r="X157" i="2" s="1"/>
  <c r="W156" i="2"/>
  <c r="X156" i="2" s="1"/>
  <c r="W155" i="2"/>
  <c r="X155" i="2" s="1"/>
  <c r="W154" i="2"/>
  <c r="X154" i="2" s="1"/>
  <c r="W153" i="2"/>
  <c r="X153" i="2" s="1"/>
  <c r="W152" i="2"/>
  <c r="X152" i="2" s="1"/>
  <c r="W151" i="2"/>
  <c r="X151" i="2" s="1"/>
  <c r="W150" i="2"/>
  <c r="X150" i="2" s="1"/>
  <c r="W149" i="2"/>
  <c r="X149" i="2" s="1"/>
  <c r="W148" i="2"/>
  <c r="X148" i="2" s="1"/>
  <c r="W147" i="2"/>
  <c r="X147" i="2" s="1"/>
  <c r="W146" i="2"/>
  <c r="X146" i="2" s="1"/>
  <c r="W145" i="2"/>
  <c r="X145" i="2" s="1"/>
  <c r="W144" i="2"/>
  <c r="X144" i="2" s="1"/>
  <c r="W143" i="2"/>
  <c r="X143" i="2" s="1"/>
  <c r="W142" i="2"/>
  <c r="X142" i="2" s="1"/>
  <c r="W141" i="2"/>
  <c r="X141" i="2" s="1"/>
  <c r="W140" i="2"/>
  <c r="X140" i="2" s="1"/>
  <c r="W139" i="2"/>
  <c r="X139" i="2" s="1"/>
  <c r="W138" i="2"/>
  <c r="X138" i="2" s="1"/>
  <c r="W137" i="2"/>
  <c r="X137" i="2" s="1"/>
  <c r="W136" i="2"/>
  <c r="X136" i="2" s="1"/>
  <c r="W135" i="2"/>
  <c r="X135" i="2" s="1"/>
  <c r="W134" i="2"/>
  <c r="X134" i="2" s="1"/>
  <c r="W133" i="2"/>
  <c r="X133" i="2" s="1"/>
  <c r="W132" i="2"/>
  <c r="X132" i="2" s="1"/>
  <c r="W131" i="2"/>
  <c r="X131" i="2" s="1"/>
  <c r="W130" i="2"/>
  <c r="X130" i="2" s="1"/>
  <c r="W129" i="2"/>
  <c r="X129" i="2" s="1"/>
  <c r="J36" i="4"/>
  <c r="D36" i="4"/>
  <c r="K36" i="4" s="1"/>
  <c r="J35" i="4"/>
  <c r="D35" i="4"/>
  <c r="K35" i="4" s="1"/>
  <c r="C31" i="4"/>
  <c r="C30" i="4"/>
  <c r="I55" i="2"/>
  <c r="I54" i="2"/>
  <c r="I53" i="2"/>
  <c r="I52" i="2"/>
  <c r="I51" i="2"/>
  <c r="I50" i="2"/>
  <c r="I49" i="2"/>
  <c r="I48" i="2"/>
  <c r="I47" i="2"/>
  <c r="I46" i="2"/>
  <c r="I45" i="2"/>
  <c r="I44" i="2"/>
  <c r="I43" i="2"/>
  <c r="W77" i="1"/>
  <c r="X95" i="1"/>
  <c r="Z117" i="2"/>
  <c r="Z121" i="2"/>
  <c r="Z120" i="2"/>
  <c r="W124" i="1"/>
  <c r="X124" i="1" s="1"/>
  <c r="W123" i="1"/>
  <c r="W122" i="1"/>
  <c r="W121" i="1"/>
  <c r="W120" i="1"/>
  <c r="W119" i="1"/>
  <c r="W118" i="1"/>
  <c r="K38" i="5" l="1"/>
  <c r="Y122" i="1"/>
  <c r="X122" i="1"/>
  <c r="Y120" i="1"/>
  <c r="X120" i="1"/>
  <c r="Y121" i="1"/>
  <c r="X121" i="1"/>
  <c r="E35" i="4"/>
  <c r="Y124" i="1"/>
  <c r="E36" i="4"/>
  <c r="Y119" i="1"/>
  <c r="X119" i="1"/>
  <c r="X118" i="1"/>
  <c r="E38" i="5"/>
  <c r="E37" i="5"/>
  <c r="Y118" i="1"/>
  <c r="H35" i="4"/>
  <c r="H36" i="4"/>
  <c r="F37" i="5"/>
  <c r="J37" i="5"/>
  <c r="F38" i="5"/>
  <c r="Y123" i="1"/>
  <c r="X123" i="1"/>
  <c r="F35" i="4" s="1"/>
  <c r="G37" i="5"/>
  <c r="K37" i="5"/>
  <c r="G38" i="5"/>
  <c r="H37" i="5"/>
  <c r="H38" i="5"/>
  <c r="X94" i="1"/>
  <c r="X115" i="1"/>
  <c r="M51" i="2"/>
  <c r="D24" i="5"/>
  <c r="G24" i="5" s="1"/>
  <c r="D23" i="5"/>
  <c r="G23" i="5" s="1"/>
  <c r="K22" i="5"/>
  <c r="J22" i="5"/>
  <c r="C19" i="5"/>
  <c r="C18" i="5"/>
  <c r="W128" i="2"/>
  <c r="X128" i="2" s="1"/>
  <c r="W127" i="2"/>
  <c r="X127" i="2" s="1"/>
  <c r="W126" i="2"/>
  <c r="W125" i="2"/>
  <c r="W124" i="2"/>
  <c r="X124" i="2" s="1"/>
  <c r="W123" i="2"/>
  <c r="X123" i="2" s="1"/>
  <c r="W122" i="2"/>
  <c r="X122" i="2" s="1"/>
  <c r="W121" i="2"/>
  <c r="X121" i="2" s="1"/>
  <c r="W120" i="2"/>
  <c r="X120" i="2" s="1"/>
  <c r="W119" i="2"/>
  <c r="X119" i="2" s="1"/>
  <c r="W118" i="2"/>
  <c r="W117" i="2"/>
  <c r="X117" i="2" s="1"/>
  <c r="W116" i="2"/>
  <c r="W115" i="2"/>
  <c r="W114" i="2"/>
  <c r="X114" i="2" s="1"/>
  <c r="W113" i="2"/>
  <c r="X113" i="2" s="1"/>
  <c r="W112" i="2"/>
  <c r="X112" i="2" s="1"/>
  <c r="W111" i="2"/>
  <c r="X111" i="2" s="1"/>
  <c r="W110" i="2"/>
  <c r="X110" i="2" s="1"/>
  <c r="W109" i="2"/>
  <c r="X109" i="2" s="1"/>
  <c r="W108" i="2"/>
  <c r="X108" i="2" s="1"/>
  <c r="E78" i="8"/>
  <c r="J24" i="5" l="1"/>
  <c r="K24" i="5"/>
  <c r="G35" i="4"/>
  <c r="G36" i="4"/>
  <c r="F36" i="4"/>
  <c r="I36" i="4" s="1"/>
  <c r="I38" i="5"/>
  <c r="C31" i="5"/>
  <c r="I35" i="4"/>
  <c r="I37" i="5"/>
  <c r="C34" i="5"/>
  <c r="C17" i="5"/>
  <c r="H23" i="5"/>
  <c r="H24" i="5"/>
  <c r="E23" i="5"/>
  <c r="E24" i="5"/>
  <c r="F23" i="5"/>
  <c r="J23" i="5"/>
  <c r="F24" i="5"/>
  <c r="K23" i="5"/>
  <c r="X89" i="1"/>
  <c r="C29" i="4" l="1"/>
  <c r="C32" i="4"/>
  <c r="I24" i="5"/>
  <c r="I23" i="5"/>
  <c r="C20" i="5"/>
  <c r="X93" i="1"/>
  <c r="X92" i="1"/>
  <c r="Z96" i="2" l="1"/>
  <c r="Z95" i="2"/>
  <c r="Z90" i="2"/>
  <c r="Y116" i="1"/>
  <c r="W117" i="1"/>
  <c r="Y115" i="1"/>
  <c r="W114" i="1"/>
  <c r="W113" i="1"/>
  <c r="X79" i="1"/>
  <c r="X78" i="1"/>
  <c r="Y117" i="1" l="1"/>
  <c r="X117" i="1"/>
  <c r="Y113" i="1"/>
  <c r="X113" i="1"/>
  <c r="Y114" i="1"/>
  <c r="X114" i="1"/>
  <c r="X77" i="1"/>
  <c r="W112" i="1"/>
  <c r="W111" i="1"/>
  <c r="W110" i="1"/>
  <c r="W109" i="1"/>
  <c r="W108" i="1"/>
  <c r="W107" i="1"/>
  <c r="W106" i="1"/>
  <c r="W105" i="1"/>
  <c r="W104" i="1"/>
  <c r="W103" i="1"/>
  <c r="Y102" i="1"/>
  <c r="Z102" i="1" s="1"/>
  <c r="W101" i="1"/>
  <c r="W100" i="1"/>
  <c r="W99" i="1"/>
  <c r="Y98" i="1"/>
  <c r="Y97" i="1"/>
  <c r="W96" i="1"/>
  <c r="Y95" i="1"/>
  <c r="Y94" i="1"/>
  <c r="Y93" i="1"/>
  <c r="Z93" i="1" s="1"/>
  <c r="Y92" i="1"/>
  <c r="Y91" i="1"/>
  <c r="Y90" i="1"/>
  <c r="Z90" i="1" s="1"/>
  <c r="Y89" i="1"/>
  <c r="Z89" i="1" s="1"/>
  <c r="W88" i="1"/>
  <c r="W87" i="1"/>
  <c r="W86" i="1"/>
  <c r="W85" i="1"/>
  <c r="W84" i="1"/>
  <c r="W83" i="1"/>
  <c r="W82" i="1"/>
  <c r="W81" i="1"/>
  <c r="W80" i="1"/>
  <c r="Y79" i="1"/>
  <c r="Z79" i="1" s="1"/>
  <c r="Y78" i="1"/>
  <c r="Z78" i="1" s="1"/>
  <c r="Y106" i="1" l="1"/>
  <c r="Z106" i="1" s="1"/>
  <c r="X106" i="1"/>
  <c r="Y99" i="1"/>
  <c r="Z99" i="1" s="1"/>
  <c r="X99" i="1"/>
  <c r="Y103" i="1"/>
  <c r="Z103" i="1" s="1"/>
  <c r="X103" i="1"/>
  <c r="Y100" i="1"/>
  <c r="Z100" i="1" s="1"/>
  <c r="X100" i="1"/>
  <c r="Y104" i="1"/>
  <c r="Z104" i="1" s="1"/>
  <c r="X104" i="1"/>
  <c r="Y101" i="1"/>
  <c r="Z101" i="1" s="1"/>
  <c r="X101" i="1"/>
  <c r="Y105" i="1"/>
  <c r="Z105" i="1" s="1"/>
  <c r="X105" i="1"/>
  <c r="Y110" i="1"/>
  <c r="Z110" i="1" s="1"/>
  <c r="X110" i="1"/>
  <c r="Y86" i="1"/>
  <c r="X86" i="1"/>
  <c r="Y111" i="1"/>
  <c r="Z111" i="1" s="1"/>
  <c r="X111" i="1"/>
  <c r="Y83" i="1"/>
  <c r="X83" i="1"/>
  <c r="Y80" i="1"/>
  <c r="X80" i="1"/>
  <c r="Y84" i="1"/>
  <c r="X84" i="1"/>
  <c r="Y96" i="1"/>
  <c r="X96" i="1"/>
  <c r="Y108" i="1"/>
  <c r="Z108" i="1" s="1"/>
  <c r="X108" i="1"/>
  <c r="X112" i="1"/>
  <c r="Y112" i="1"/>
  <c r="Z112" i="1" s="1"/>
  <c r="Y82" i="1"/>
  <c r="Z82" i="1" s="1"/>
  <c r="X82" i="1"/>
  <c r="Y87" i="1"/>
  <c r="X87" i="1"/>
  <c r="Y81" i="1"/>
  <c r="X81" i="1"/>
  <c r="Y85" i="1"/>
  <c r="X85" i="1"/>
  <c r="Y109" i="1"/>
  <c r="Z109" i="1" s="1"/>
  <c r="X109" i="1"/>
  <c r="Y88" i="1"/>
  <c r="Z88" i="1" s="1"/>
  <c r="X88" i="1"/>
  <c r="Y107" i="1"/>
  <c r="Z107" i="1" s="1"/>
  <c r="X107" i="1"/>
  <c r="Y77" i="1"/>
  <c r="Z77" i="1" s="1"/>
  <c r="D23" i="4"/>
  <c r="K23" i="4" s="1"/>
  <c r="D22" i="4"/>
  <c r="K22" i="4" s="1"/>
  <c r="C18" i="4"/>
  <c r="C17" i="4"/>
  <c r="H22" i="4" l="1"/>
  <c r="H23" i="4"/>
  <c r="E22" i="4"/>
  <c r="E23" i="4"/>
  <c r="F22" i="4"/>
  <c r="J22" i="4"/>
  <c r="F23" i="4"/>
  <c r="J23" i="4"/>
  <c r="G22" i="4"/>
  <c r="G23" i="4"/>
  <c r="Z69" i="2"/>
  <c r="Z70" i="2"/>
  <c r="Z71" i="2"/>
  <c r="Z72" i="2"/>
  <c r="Z73" i="2"/>
  <c r="Z74" i="2"/>
  <c r="Z75" i="2"/>
  <c r="Z91" i="2"/>
  <c r="I23" i="4" l="1"/>
  <c r="C16" i="4"/>
  <c r="C19" i="4"/>
  <c r="I22" i="4"/>
  <c r="W65" i="1"/>
  <c r="W67" i="1"/>
  <c r="W68" i="1"/>
  <c r="Y68" i="1" s="1"/>
  <c r="Z68" i="1" s="1"/>
  <c r="W69" i="1"/>
  <c r="W70" i="1"/>
  <c r="X70" i="1" s="1"/>
  <c r="W71" i="1"/>
  <c r="W72" i="1"/>
  <c r="W73" i="1"/>
  <c r="W74" i="1"/>
  <c r="W75" i="1"/>
  <c r="Y75" i="1" s="1"/>
  <c r="Z75" i="1" s="1"/>
  <c r="Y74" i="1" l="1"/>
  <c r="X74" i="1"/>
  <c r="Y73" i="1"/>
  <c r="Z73" i="1" s="1"/>
  <c r="X73" i="1"/>
  <c r="Y67" i="1"/>
  <c r="X67" i="1"/>
  <c r="Y71" i="1"/>
  <c r="Z71" i="1" s="1"/>
  <c r="X71" i="1"/>
  <c r="X65" i="1"/>
  <c r="Y72" i="1"/>
  <c r="Z72" i="1" s="1"/>
  <c r="X72" i="1"/>
  <c r="Y69" i="1"/>
  <c r="X69" i="1"/>
  <c r="X68" i="1"/>
  <c r="X75" i="1"/>
  <c r="Y70" i="1"/>
  <c r="Z70" i="1" s="1"/>
  <c r="X66" i="1"/>
  <c r="Z83" i="2" l="1"/>
  <c r="Z76" i="2" l="1"/>
  <c r="Z82" i="2"/>
  <c r="Z81" i="2"/>
  <c r="Z80" i="2"/>
  <c r="Z77" i="2" l="1"/>
  <c r="Z104" i="2" l="1"/>
  <c r="Z105" i="2"/>
  <c r="Z103" i="2"/>
  <c r="Z102" i="2"/>
  <c r="Z101" i="2"/>
  <c r="Z79" i="2"/>
  <c r="W61" i="2" l="1"/>
  <c r="W62" i="2"/>
  <c r="W63" i="2"/>
  <c r="W64" i="2"/>
  <c r="W65" i="2"/>
  <c r="W66" i="2"/>
  <c r="W67" i="2"/>
  <c r="W68" i="2"/>
  <c r="W69" i="2"/>
  <c r="X69" i="2" s="1"/>
  <c r="W70" i="2"/>
  <c r="X70" i="2" s="1"/>
  <c r="W71" i="2"/>
  <c r="X71" i="2" s="1"/>
  <c r="W72" i="2"/>
  <c r="X72" i="2" s="1"/>
  <c r="W73" i="2"/>
  <c r="X73" i="2" s="1"/>
  <c r="W74" i="2"/>
  <c r="X74" i="2" s="1"/>
  <c r="W75" i="2"/>
  <c r="X75" i="2" s="1"/>
  <c r="W76" i="2"/>
  <c r="X76" i="2" s="1"/>
  <c r="W77" i="2"/>
  <c r="X77" i="2" s="1"/>
  <c r="W78" i="2"/>
  <c r="X78" i="2" s="1"/>
  <c r="W79" i="2"/>
  <c r="X79" i="2" s="1"/>
  <c r="W80" i="2"/>
  <c r="X80" i="2" s="1"/>
  <c r="W81" i="2"/>
  <c r="X81" i="2" s="1"/>
  <c r="W82" i="2"/>
  <c r="X82" i="2" s="1"/>
  <c r="W83" i="2"/>
  <c r="X83" i="2" s="1"/>
  <c r="W84" i="2"/>
  <c r="X84" i="2" s="1"/>
  <c r="W85" i="2"/>
  <c r="X85" i="2" s="1"/>
  <c r="W86" i="2"/>
  <c r="X86" i="2" s="1"/>
  <c r="W87" i="2"/>
  <c r="X87" i="2" s="1"/>
  <c r="W88" i="2"/>
  <c r="X88" i="2" s="1"/>
  <c r="W89" i="2"/>
  <c r="X89" i="2" s="1"/>
  <c r="W90" i="2"/>
  <c r="X90" i="2" s="1"/>
  <c r="W91" i="2"/>
  <c r="X91" i="2" s="1"/>
  <c r="W92" i="2"/>
  <c r="X92" i="2" s="1"/>
  <c r="W93" i="2"/>
  <c r="X93" i="2" s="1"/>
  <c r="W94" i="2"/>
  <c r="X94" i="2" s="1"/>
  <c r="W95" i="2"/>
  <c r="X95" i="2" s="1"/>
  <c r="W96" i="2"/>
  <c r="X96" i="2" s="1"/>
  <c r="W97" i="2"/>
  <c r="W98" i="2"/>
  <c r="W99" i="2"/>
  <c r="X99" i="2" s="1"/>
  <c r="W100" i="2"/>
  <c r="X100" i="2" s="1"/>
  <c r="W101" i="2"/>
  <c r="X101" i="2" s="1"/>
  <c r="W102" i="2"/>
  <c r="X102" i="2" s="1"/>
  <c r="W103" i="2"/>
  <c r="X103" i="2" s="1"/>
  <c r="W104" i="2"/>
  <c r="X104" i="2" s="1"/>
  <c r="W105" i="2"/>
  <c r="X105" i="2" s="1"/>
  <c r="W106" i="2"/>
  <c r="W107" i="2"/>
  <c r="W76" i="1" l="1"/>
  <c r="W64" i="1"/>
  <c r="W63" i="1"/>
  <c r="X63" i="1" s="1"/>
  <c r="W60" i="1"/>
  <c r="Y64" i="1" l="1"/>
  <c r="Z64" i="1" s="1"/>
  <c r="X64" i="1"/>
  <c r="Y60" i="1"/>
  <c r="Z60" i="1" s="1"/>
  <c r="X60" i="1"/>
  <c r="Y76" i="1"/>
  <c r="Z76" i="1" s="1"/>
  <c r="X76" i="1"/>
  <c r="Y63" i="1"/>
  <c r="Z63" i="1" s="1"/>
  <c r="E77" i="8" l="1"/>
  <c r="E76" i="8"/>
  <c r="E75" i="8"/>
  <c r="E74" i="8"/>
  <c r="E73" i="8" l="1"/>
  <c r="E72" i="8"/>
  <c r="E80" i="8" l="1"/>
  <c r="M55" i="2" l="1"/>
  <c r="M54" i="2"/>
  <c r="M53" i="2"/>
  <c r="M52" i="2"/>
  <c r="M50" i="2"/>
  <c r="M49" i="2"/>
  <c r="M48" i="2"/>
  <c r="M47" i="2"/>
  <c r="M46" i="2"/>
  <c r="M45" i="2"/>
  <c r="M44" i="2"/>
  <c r="M43" i="2"/>
  <c r="M42" i="2"/>
  <c r="E71" i="8" l="1"/>
  <c r="C62" i="7" l="1"/>
  <c r="C65" i="7" s="1"/>
  <c r="C60" i="7"/>
  <c r="P19" i="1" l="1"/>
  <c r="W60" i="2" l="1"/>
  <c r="D11" i="5" l="1"/>
  <c r="F11" i="5" s="1"/>
  <c r="D10" i="5"/>
  <c r="F10" i="5" s="1"/>
  <c r="K9" i="5"/>
  <c r="J9" i="5"/>
  <c r="C6" i="5"/>
  <c r="C5" i="5"/>
  <c r="J11" i="5" l="1"/>
  <c r="G10" i="5"/>
  <c r="K10" i="5"/>
  <c r="G11" i="5"/>
  <c r="H10" i="5"/>
  <c r="H11" i="5"/>
  <c r="E10" i="5"/>
  <c r="I10" i="5" s="1"/>
  <c r="E11" i="5"/>
  <c r="I11" i="5" s="1"/>
  <c r="K11" i="5"/>
  <c r="J10" i="5"/>
  <c r="C4" i="5" l="1"/>
  <c r="C7" i="5"/>
  <c r="F54" i="6"/>
  <c r="F55" i="6"/>
  <c r="F56" i="6"/>
  <c r="F57" i="6"/>
  <c r="F58" i="6"/>
  <c r="F59" i="6"/>
  <c r="F60" i="6"/>
  <c r="F61" i="6"/>
  <c r="F62" i="6"/>
  <c r="F63" i="6"/>
  <c r="F64" i="6"/>
  <c r="F65" i="6"/>
  <c r="F66" i="6"/>
  <c r="E54" i="6"/>
  <c r="E55" i="6"/>
  <c r="E56" i="6"/>
  <c r="E57" i="6"/>
  <c r="E58" i="6"/>
  <c r="E59" i="6"/>
  <c r="E60" i="6"/>
  <c r="E61" i="6"/>
  <c r="E62" i="6"/>
  <c r="E63" i="6"/>
  <c r="E64" i="6"/>
  <c r="E65" i="6"/>
  <c r="E66" i="6"/>
  <c r="I37" i="1"/>
  <c r="I18" i="1"/>
  <c r="I56" i="1" l="1"/>
  <c r="E4" i="1" l="1"/>
  <c r="J4" i="1" s="1"/>
  <c r="E35" i="6" s="1"/>
  <c r="G35" i="6" s="1"/>
  <c r="L23" i="6" l="1"/>
  <c r="P17" i="2" l="1"/>
  <c r="P17" i="1"/>
  <c r="D10" i="4"/>
  <c r="D9" i="4"/>
  <c r="C5" i="4" l="1"/>
  <c r="C4" i="4"/>
  <c r="J9" i="4" l="1"/>
  <c r="J10" i="4"/>
  <c r="K9" i="4"/>
  <c r="K10" i="4"/>
  <c r="E10" i="4" l="1"/>
  <c r="E9" i="4"/>
  <c r="H10" i="4" l="1"/>
  <c r="H9" i="4"/>
  <c r="G9" i="4"/>
  <c r="F9" i="4"/>
  <c r="I9" i="4" s="1"/>
  <c r="F10" i="4"/>
  <c r="I10" i="4" s="1"/>
  <c r="G10" i="4"/>
  <c r="C3" i="4" l="1"/>
  <c r="C6" i="4"/>
  <c r="B61" i="2" l="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l="1"/>
  <c r="B95" i="2" s="1"/>
  <c r="B96" i="2" s="1"/>
  <c r="B97" i="2" s="1"/>
  <c r="B98" i="2" s="1"/>
  <c r="B99" i="2" s="1"/>
  <c r="B100" i="2" s="1"/>
  <c r="B101" i="2" s="1"/>
  <c r="B102" i="2" s="1"/>
  <c r="B103" i="2" s="1"/>
  <c r="B104" i="2" s="1"/>
  <c r="B105" i="2" s="1"/>
  <c r="B106" i="2" s="1"/>
  <c r="B107" i="2" s="1"/>
  <c r="H54" i="8"/>
  <c r="H53" i="8"/>
  <c r="H52" i="8"/>
  <c r="H51" i="8"/>
  <c r="E29" i="8" s="1"/>
  <c r="H50" i="8"/>
  <c r="H49" i="8"/>
  <c r="H48" i="8"/>
  <c r="H47" i="8"/>
  <c r="H46" i="8"/>
  <c r="H45" i="8"/>
  <c r="H44" i="8"/>
  <c r="H43" i="8"/>
  <c r="H42" i="8"/>
  <c r="E28" i="8" s="1"/>
  <c r="H41" i="8"/>
  <c r="B108" i="2" l="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B167" i="2" s="1"/>
  <c r="B168" i="2" s="1"/>
  <c r="B169" i="2" s="1"/>
  <c r="B170" i="2" s="1"/>
  <c r="B171" i="2" s="1"/>
  <c r="B172" i="2" s="1"/>
  <c r="B173" i="2" s="1"/>
  <c r="B174" i="2" s="1"/>
  <c r="B175" i="2" s="1"/>
  <c r="B176" i="2" s="1"/>
  <c r="B177" i="2" s="1"/>
  <c r="B178" i="2" s="1"/>
  <c r="B179" i="2" s="1"/>
  <c r="B180" i="2" s="1"/>
  <c r="B181" i="2" s="1"/>
  <c r="B182" i="2" s="1"/>
  <c r="B183" i="2" s="1"/>
  <c r="B184" i="2" s="1"/>
  <c r="B185" i="2" s="1"/>
  <c r="B186" i="2" s="1"/>
  <c r="B187" i="2" s="1"/>
  <c r="B188" i="2" s="1"/>
  <c r="B189" i="2" s="1"/>
  <c r="B190" i="2" s="1"/>
  <c r="B191" i="2" s="1"/>
  <c r="B192" i="2" s="1"/>
  <c r="B193" i="2" s="1"/>
  <c r="B194" i="2" s="1"/>
  <c r="B195" i="2" s="1"/>
  <c r="B196" i="2" s="1"/>
  <c r="B197" i="2" s="1"/>
  <c r="B198" i="2" s="1"/>
  <c r="B199" i="2" s="1"/>
  <c r="B200" i="2" s="1"/>
  <c r="B201" i="2" s="1"/>
  <c r="B202" i="2" s="1"/>
  <c r="B203" i="2" s="1"/>
  <c r="B204" i="2" s="1"/>
  <c r="B205" i="2" s="1"/>
  <c r="B206" i="2" s="1"/>
  <c r="B207" i="2" s="1"/>
  <c r="B208" i="2" s="1"/>
  <c r="B209" i="2" s="1"/>
  <c r="B210" i="2" s="1"/>
  <c r="B211" i="2" s="1"/>
  <c r="B212" i="2" s="1"/>
  <c r="B213" i="2" s="1"/>
  <c r="B214" i="2" s="1"/>
  <c r="B215" i="2" s="1"/>
  <c r="B216" i="2" s="1"/>
  <c r="B217" i="2" s="1"/>
  <c r="B218" i="2" s="1"/>
  <c r="B219" i="2" s="1"/>
  <c r="B220" i="2" s="1"/>
  <c r="B221" i="2" s="1"/>
  <c r="B222" i="2" s="1"/>
  <c r="B223" i="2" s="1"/>
  <c r="B224" i="2" s="1"/>
  <c r="B225" i="2" s="1"/>
  <c r="B226" i="2" s="1"/>
  <c r="B227" i="2" s="1"/>
  <c r="B228" i="2" s="1"/>
  <c r="B229" i="2" s="1"/>
  <c r="B230" i="2" s="1"/>
  <c r="B231" i="2" s="1"/>
  <c r="B232" i="2" s="1"/>
  <c r="B233" i="2" s="1"/>
  <c r="B234" i="2" s="1"/>
  <c r="B235" i="2" s="1"/>
  <c r="B236" i="2" s="1"/>
  <c r="B237" i="2" s="1"/>
  <c r="B238" i="2" s="1"/>
  <c r="B239" i="2" s="1"/>
  <c r="B240" i="2" s="1"/>
  <c r="B241" i="2" s="1"/>
  <c r="B242" i="2" s="1"/>
  <c r="B243" i="2" s="1"/>
  <c r="B244"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6" i="2" s="1"/>
  <c r="B277" i="2" s="1"/>
  <c r="B278" i="2" s="1"/>
  <c r="B279" i="2" s="1"/>
  <c r="B280" i="2" s="1"/>
  <c r="B281" i="2" s="1"/>
  <c r="B282" i="2" s="1"/>
  <c r="B283" i="2" s="1"/>
  <c r="B284" i="2" s="1"/>
  <c r="B285" i="2" s="1"/>
  <c r="B286" i="2" s="1"/>
  <c r="B287" i="2" s="1"/>
  <c r="B288" i="2" s="1"/>
  <c r="B289" i="2" s="1"/>
  <c r="I54" i="8"/>
  <c r="I53" i="8"/>
  <c r="I52" i="8"/>
  <c r="I51" i="8"/>
  <c r="E12" i="8" s="1"/>
  <c r="I50" i="8"/>
  <c r="E17" i="8" s="1"/>
  <c r="I49" i="8"/>
  <c r="E14" i="8" s="1"/>
  <c r="I48" i="8"/>
  <c r="I47" i="8"/>
  <c r="I46" i="8"/>
  <c r="I45" i="8"/>
  <c r="E18" i="8" s="1"/>
  <c r="I44" i="8"/>
  <c r="E13" i="8" s="1"/>
  <c r="I43" i="8"/>
  <c r="E15" i="8" s="1"/>
  <c r="I42" i="8"/>
  <c r="E16" i="8" s="1"/>
  <c r="I41" i="8"/>
  <c r="B290" i="2" l="1"/>
  <c r="B291" i="2" s="1"/>
  <c r="B292" i="2" s="1"/>
  <c r="B293" i="2" s="1"/>
  <c r="B294" i="2" s="1"/>
  <c r="B295" i="2" s="1"/>
  <c r="B296" i="2" s="1"/>
  <c r="B297" i="2" s="1"/>
  <c r="B298" i="2" s="1"/>
  <c r="B299" i="2" s="1"/>
  <c r="B300" i="2" s="1"/>
  <c r="B301" i="2" s="1"/>
  <c r="B302" i="2" s="1"/>
  <c r="B303" i="2" s="1"/>
  <c r="B304" i="2" s="1"/>
  <c r="B305" i="2" s="1"/>
  <c r="B306" i="2" s="1"/>
  <c r="B307" i="2" s="1"/>
  <c r="B308" i="2" s="1"/>
  <c r="B309" i="2" s="1"/>
  <c r="B310" i="2" s="1"/>
  <c r="B311" i="2" s="1"/>
  <c r="B312" i="2" s="1"/>
  <c r="B313" i="2" s="1"/>
  <c r="P5" i="6"/>
  <c r="P6" i="6"/>
  <c r="P7" i="6"/>
  <c r="P8" i="6"/>
  <c r="P9" i="6"/>
  <c r="P10" i="6"/>
  <c r="P11" i="6"/>
  <c r="P12" i="6"/>
  <c r="P13" i="6"/>
  <c r="P14" i="6"/>
  <c r="P15" i="6"/>
  <c r="P16" i="6"/>
  <c r="P17" i="6"/>
  <c r="P4" i="6"/>
  <c r="B314" i="2" l="1"/>
  <c r="B315" i="2" s="1"/>
  <c r="B316" i="2" s="1"/>
  <c r="B317" i="2" s="1"/>
  <c r="B318" i="2" s="1"/>
  <c r="B319" i="2" s="1"/>
  <c r="B320" i="2" s="1"/>
  <c r="B321" i="2" s="1"/>
  <c r="B322" i="2" s="1"/>
  <c r="B323" i="2" s="1"/>
  <c r="B324" i="2" s="1"/>
  <c r="B325" i="2" s="1"/>
  <c r="B326" i="2" s="1"/>
  <c r="B327" i="2" s="1"/>
  <c r="B328" i="2" s="1"/>
  <c r="B329" i="2" s="1"/>
  <c r="B330" i="2" s="1"/>
  <c r="B331" i="2" s="1"/>
  <c r="P66" i="6"/>
  <c r="R66" i="6" s="1"/>
  <c r="P65" i="6"/>
  <c r="R65" i="6" s="1"/>
  <c r="P64" i="6"/>
  <c r="R64" i="6" s="1"/>
  <c r="P63" i="6"/>
  <c r="R63" i="6" s="1"/>
  <c r="P62" i="6"/>
  <c r="R62" i="6" s="1"/>
  <c r="P61" i="6"/>
  <c r="R61" i="6" s="1"/>
  <c r="P60" i="6"/>
  <c r="R60" i="6" s="1"/>
  <c r="P59" i="6"/>
  <c r="R59" i="6" s="1"/>
  <c r="P58" i="6"/>
  <c r="R58" i="6" s="1"/>
  <c r="P57" i="6"/>
  <c r="R57" i="6" s="1"/>
  <c r="P56" i="6"/>
  <c r="R56" i="6" s="1"/>
  <c r="P55" i="6"/>
  <c r="R55" i="6" s="1"/>
  <c r="P54" i="6"/>
  <c r="R54" i="6" s="1"/>
  <c r="P53" i="6"/>
  <c r="R53" i="6" s="1"/>
  <c r="O66" i="6"/>
  <c r="Q66" i="6" s="1"/>
  <c r="O65" i="6"/>
  <c r="Q65" i="6" s="1"/>
  <c r="O64" i="6"/>
  <c r="Q64" i="6" s="1"/>
  <c r="O63" i="6"/>
  <c r="Q63" i="6" s="1"/>
  <c r="O62" i="6"/>
  <c r="Q62" i="6" s="1"/>
  <c r="O61" i="6"/>
  <c r="Q61" i="6" s="1"/>
  <c r="O60" i="6"/>
  <c r="Q60" i="6" s="1"/>
  <c r="O59" i="6"/>
  <c r="Q59" i="6" s="1"/>
  <c r="O58" i="6"/>
  <c r="Q58" i="6" s="1"/>
  <c r="O57" i="6"/>
  <c r="Q57" i="6" s="1"/>
  <c r="O56" i="6"/>
  <c r="Q56" i="6" s="1"/>
  <c r="O55" i="6"/>
  <c r="Q55" i="6" s="1"/>
  <c r="O54" i="6"/>
  <c r="Q54" i="6" s="1"/>
  <c r="O53" i="6"/>
  <c r="Q53" i="6" s="1"/>
  <c r="H66" i="6"/>
  <c r="H65" i="6"/>
  <c r="H64" i="6"/>
  <c r="H63" i="6"/>
  <c r="H62" i="6"/>
  <c r="H61" i="6"/>
  <c r="H60" i="6"/>
  <c r="H59" i="6"/>
  <c r="H58" i="6"/>
  <c r="H57" i="6"/>
  <c r="H56" i="6"/>
  <c r="H55" i="6"/>
  <c r="H54" i="6"/>
  <c r="G66" i="6"/>
  <c r="G65" i="6"/>
  <c r="G64" i="6"/>
  <c r="G63" i="6"/>
  <c r="G62" i="6"/>
  <c r="G61" i="6"/>
  <c r="G60" i="6"/>
  <c r="G59" i="6"/>
  <c r="G58" i="6"/>
  <c r="G57" i="6"/>
  <c r="G56" i="6"/>
  <c r="G55" i="6"/>
  <c r="G54" i="6"/>
  <c r="I42" i="2"/>
  <c r="I37" i="2"/>
  <c r="I18" i="2"/>
  <c r="B332" i="2" l="1"/>
  <c r="B333" i="2" s="1"/>
  <c r="B334" i="2" s="1"/>
  <c r="B335" i="2" s="1"/>
  <c r="B336" i="2" s="1"/>
  <c r="B337" i="2" s="1"/>
  <c r="B338" i="2" s="1"/>
  <c r="B339" i="2" s="1"/>
  <c r="B340" i="2" s="1"/>
  <c r="B341" i="2" s="1"/>
  <c r="B342" i="2" s="1"/>
  <c r="F36" i="1"/>
  <c r="F35" i="1"/>
  <c r="F33" i="1"/>
  <c r="F32" i="1"/>
  <c r="F31" i="1"/>
  <c r="F30" i="1"/>
  <c r="F29" i="1"/>
  <c r="F27" i="1"/>
  <c r="F26" i="1"/>
  <c r="F25" i="1"/>
  <c r="F24" i="1"/>
  <c r="F23" i="1"/>
  <c r="F17" i="1"/>
  <c r="F16" i="1"/>
  <c r="F15" i="1"/>
  <c r="F14" i="1"/>
  <c r="F13" i="1"/>
  <c r="F12" i="1"/>
  <c r="F11" i="1"/>
  <c r="F10" i="1"/>
  <c r="F8" i="1"/>
  <c r="F7" i="1"/>
  <c r="F6" i="1"/>
  <c r="F5" i="1"/>
  <c r="F4" i="1"/>
  <c r="B343" i="2" l="1"/>
  <c r="B344" i="2" s="1"/>
  <c r="B345" i="2" s="1"/>
  <c r="B346" i="2" s="1"/>
  <c r="B347" i="2" s="1"/>
  <c r="B348" i="2" s="1"/>
  <c r="B349" i="2" s="1"/>
  <c r="B350" i="2" s="1"/>
  <c r="B351" i="2" s="1"/>
  <c r="B352" i="2" s="1"/>
  <c r="B353" i="2" s="1"/>
  <c r="B354" i="2" s="1"/>
  <c r="B355" i="2" s="1"/>
  <c r="B356" i="2" s="1"/>
  <c r="B357" i="2" s="1"/>
  <c r="B358" i="2" s="1"/>
  <c r="B359" i="2" s="1"/>
  <c r="B360" i="2" s="1"/>
  <c r="B361" i="2" s="1"/>
  <c r="B362" i="2" s="1"/>
  <c r="B363" i="2" s="1"/>
  <c r="B364" i="2" s="1"/>
  <c r="B365" i="2" s="1"/>
  <c r="B366" i="2" s="1"/>
  <c r="B367" i="2" s="1"/>
  <c r="B368" i="2" s="1"/>
  <c r="B369" i="2" s="1"/>
  <c r="B370" i="2" s="1"/>
  <c r="B371" i="2" s="1"/>
  <c r="B372" i="2" s="1"/>
  <c r="B373" i="2" s="1"/>
  <c r="B374" i="2" s="1"/>
  <c r="B375" i="2" s="1"/>
  <c r="B376" i="2" s="1"/>
  <c r="B377" i="2" s="1"/>
  <c r="B378" i="2" s="1"/>
  <c r="B379" i="2" s="1"/>
  <c r="B380" i="2" s="1"/>
  <c r="B381" i="2" s="1"/>
  <c r="B382" i="2" s="1"/>
  <c r="B383" i="2" s="1"/>
  <c r="B384" i="2" s="1"/>
  <c r="B385" i="2" s="1"/>
  <c r="B386" i="2" s="1"/>
  <c r="B387" i="2" s="1"/>
  <c r="B388" i="2" s="1"/>
  <c r="B389" i="2" s="1"/>
  <c r="B390" i="2" s="1"/>
  <c r="B391" i="2" s="1"/>
  <c r="B392" i="2" s="1"/>
  <c r="B393" i="2" s="1"/>
  <c r="B394" i="2" s="1"/>
  <c r="B395" i="2" s="1"/>
  <c r="B396" i="2" s="1"/>
  <c r="B397" i="2" s="1"/>
  <c r="B398" i="2" s="1"/>
  <c r="B399" i="2" s="1"/>
  <c r="B400" i="2" s="1"/>
  <c r="B401" i="2" s="1"/>
  <c r="B402" i="2" s="1"/>
  <c r="B403" i="2" s="1"/>
  <c r="B404" i="2" s="1"/>
  <c r="B405" i="2" s="1"/>
  <c r="B406" i="2" s="1"/>
  <c r="B407" i="2" s="1"/>
  <c r="B408" i="2" s="1"/>
  <c r="B409" i="2" s="1"/>
  <c r="B410" i="2" s="1"/>
  <c r="B411" i="2" s="1"/>
  <c r="B412" i="2" s="1"/>
  <c r="B413" i="2" s="1"/>
  <c r="B414" i="2" s="1"/>
  <c r="B415" i="2" s="1"/>
  <c r="B416" i="2" s="1"/>
  <c r="B417" i="2" s="1"/>
  <c r="B418" i="2" s="1"/>
  <c r="B419" i="2" s="1"/>
  <c r="B420" i="2" s="1"/>
  <c r="B421" i="2" s="1"/>
  <c r="B422" i="2" s="1"/>
  <c r="B423" i="2" s="1"/>
  <c r="B424" i="2" s="1"/>
  <c r="B425" i="2" s="1"/>
  <c r="B426" i="2" s="1"/>
  <c r="B427" i="2" s="1"/>
  <c r="B428" i="2" s="1"/>
  <c r="B429" i="2" s="1"/>
  <c r="B430" i="2" s="1"/>
  <c r="B431" i="2" s="1"/>
  <c r="B432" i="2" s="1"/>
  <c r="B433" i="2" s="1"/>
  <c r="B434" i="2" s="1"/>
  <c r="B435" i="2" s="1"/>
  <c r="B436" i="2" s="1"/>
  <c r="B437" i="2" s="1"/>
  <c r="B438" i="2" s="1"/>
  <c r="B439" i="2" s="1"/>
  <c r="B440" i="2" s="1"/>
  <c r="B441" i="2" s="1"/>
  <c r="B442" i="2" s="1"/>
  <c r="B443" i="2" s="1"/>
  <c r="B444" i="2" s="1"/>
  <c r="B445" i="2" s="1"/>
  <c r="B446" i="2" s="1"/>
  <c r="B447" i="2" s="1"/>
  <c r="B448" i="2" s="1"/>
  <c r="B449" i="2" s="1"/>
  <c r="B450" i="2" s="1"/>
  <c r="B451" i="2" s="1"/>
  <c r="B452" i="2" s="1"/>
  <c r="B453" i="2" s="1"/>
  <c r="B454" i="2" s="1"/>
  <c r="B455" i="2" s="1"/>
  <c r="B456" i="2" s="1"/>
  <c r="B457" i="2" s="1"/>
  <c r="B458" i="2" s="1"/>
  <c r="B459" i="2" s="1"/>
  <c r="B460" i="2" s="1"/>
  <c r="B461" i="2" s="1"/>
  <c r="B462" i="2" s="1"/>
  <c r="F34" i="1"/>
  <c r="B463" i="2" l="1"/>
  <c r="B464" i="2" s="1"/>
  <c r="B465" i="2" s="1"/>
  <c r="B466" i="2" s="1"/>
  <c r="B467" i="2" s="1"/>
  <c r="B468" i="2" s="1"/>
  <c r="B469" i="2" s="1"/>
  <c r="B470" i="2" s="1"/>
  <c r="B471" i="2" s="1"/>
  <c r="B472" i="2" s="1"/>
  <c r="B473" i="2" s="1"/>
  <c r="B474" i="2" s="1"/>
  <c r="B475" i="2" s="1"/>
  <c r="B476" i="2" s="1"/>
  <c r="B477" i="2" s="1"/>
  <c r="B478" i="2" s="1"/>
  <c r="B479" i="2" s="1"/>
  <c r="F36" i="2"/>
  <c r="E36" i="2"/>
  <c r="J36" i="2" s="1"/>
  <c r="D36" i="2"/>
  <c r="F35" i="2"/>
  <c r="E35" i="2"/>
  <c r="J35" i="2" s="1"/>
  <c r="D35" i="2"/>
  <c r="F34" i="2"/>
  <c r="E34" i="2"/>
  <c r="J34" i="2" s="1"/>
  <c r="D34" i="2"/>
  <c r="F33" i="2"/>
  <c r="F32" i="2"/>
  <c r="E32" i="2"/>
  <c r="J32" i="2" s="1"/>
  <c r="D32" i="2"/>
  <c r="F31" i="2"/>
  <c r="E31" i="2"/>
  <c r="J31" i="2" s="1"/>
  <c r="F30" i="2"/>
  <c r="E30" i="2"/>
  <c r="J30" i="2" s="1"/>
  <c r="D30" i="2"/>
  <c r="F29" i="2"/>
  <c r="E29" i="2"/>
  <c r="J29" i="2" s="1"/>
  <c r="D29" i="2"/>
  <c r="F28" i="2"/>
  <c r="E28" i="2"/>
  <c r="J28" i="2" s="1"/>
  <c r="D28" i="2"/>
  <c r="F27" i="2"/>
  <c r="E27" i="2"/>
  <c r="J27" i="2" s="1"/>
  <c r="D27" i="2"/>
  <c r="F26" i="2"/>
  <c r="F25" i="2"/>
  <c r="F24" i="2"/>
  <c r="F17" i="2"/>
  <c r="E17" i="2"/>
  <c r="J17" i="2" s="1"/>
  <c r="D17" i="2"/>
  <c r="F16" i="2"/>
  <c r="E16" i="2"/>
  <c r="J16" i="2" s="1"/>
  <c r="D16" i="2"/>
  <c r="F15" i="2"/>
  <c r="E15" i="2"/>
  <c r="J15" i="2" s="1"/>
  <c r="D15" i="2"/>
  <c r="F14" i="2"/>
  <c r="F13" i="2"/>
  <c r="E13" i="2"/>
  <c r="J13" i="2" s="1"/>
  <c r="D13" i="2"/>
  <c r="F12" i="2"/>
  <c r="E12" i="2"/>
  <c r="J12" i="2" s="1"/>
  <c r="D12" i="2"/>
  <c r="F11" i="2"/>
  <c r="E11" i="2"/>
  <c r="J11" i="2" s="1"/>
  <c r="D11" i="2"/>
  <c r="F10" i="2"/>
  <c r="E10" i="2"/>
  <c r="J10" i="2" s="1"/>
  <c r="D10" i="2"/>
  <c r="F9" i="2"/>
  <c r="E9" i="2"/>
  <c r="J9" i="2" s="1"/>
  <c r="D9" i="2"/>
  <c r="F8" i="2"/>
  <c r="E8" i="2"/>
  <c r="J8" i="2" s="1"/>
  <c r="D8" i="2"/>
  <c r="F7" i="2"/>
  <c r="E7" i="2"/>
  <c r="J7" i="2" s="1"/>
  <c r="D7" i="2"/>
  <c r="F6" i="2"/>
  <c r="E6" i="2"/>
  <c r="J6" i="2" s="1"/>
  <c r="D6" i="2"/>
  <c r="F5" i="2"/>
  <c r="E5" i="2"/>
  <c r="J5" i="2" s="1"/>
  <c r="D5" i="2"/>
  <c r="E35" i="1"/>
  <c r="D35" i="1"/>
  <c r="E33" i="1"/>
  <c r="D33" i="1"/>
  <c r="E32" i="1"/>
  <c r="D32" i="1"/>
  <c r="E31" i="1"/>
  <c r="D31" i="1"/>
  <c r="E26" i="1"/>
  <c r="D26" i="1"/>
  <c r="E25" i="1"/>
  <c r="D25" i="1"/>
  <c r="E24" i="1"/>
  <c r="D24" i="1"/>
  <c r="D14" i="1"/>
  <c r="D12" i="1"/>
  <c r="D7" i="1"/>
  <c r="D6" i="1"/>
  <c r="D5" i="1"/>
  <c r="E14" i="1"/>
  <c r="E12" i="1"/>
  <c r="E7" i="1"/>
  <c r="E6" i="1"/>
  <c r="E5" i="1"/>
  <c r="B480" i="2" l="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J5" i="1"/>
  <c r="E36" i="6" s="1"/>
  <c r="G36" i="6" s="1"/>
  <c r="J14" i="1"/>
  <c r="E45" i="6" s="1"/>
  <c r="G45" i="6" s="1"/>
  <c r="J12" i="1"/>
  <c r="E43" i="6" s="1"/>
  <c r="G43" i="6" s="1"/>
  <c r="J6" i="1"/>
  <c r="E37" i="6" s="1"/>
  <c r="G37" i="6" s="1"/>
  <c r="J7" i="1"/>
  <c r="E38" i="6" s="1"/>
  <c r="G38" i="6" s="1"/>
  <c r="J26" i="1"/>
  <c r="F38" i="6" s="1"/>
  <c r="H26" i="1"/>
  <c r="J32" i="1"/>
  <c r="F44" i="6" s="1"/>
  <c r="H44" i="6" s="1"/>
  <c r="H32" i="1"/>
  <c r="J35" i="1"/>
  <c r="H35" i="1"/>
  <c r="J25" i="1"/>
  <c r="H25" i="1"/>
  <c r="J31" i="1"/>
  <c r="F43" i="6" s="1"/>
  <c r="H31" i="1"/>
  <c r="J33" i="1"/>
  <c r="H33" i="1"/>
  <c r="J24" i="1"/>
  <c r="F36" i="6" s="1"/>
  <c r="H24" i="1"/>
  <c r="O39" i="6"/>
  <c r="Q39" i="6" s="1"/>
  <c r="O42" i="6"/>
  <c r="Q42" i="6" s="1"/>
  <c r="O48" i="6"/>
  <c r="Q48" i="6" s="1"/>
  <c r="P41" i="6"/>
  <c r="R41" i="6" s="1"/>
  <c r="P44" i="6"/>
  <c r="R44" i="6" s="1"/>
  <c r="P46" i="6"/>
  <c r="R46" i="6" s="1"/>
  <c r="O43" i="6"/>
  <c r="Q43" i="6" s="1"/>
  <c r="O38" i="6"/>
  <c r="Q38" i="6" s="1"/>
  <c r="O37" i="6"/>
  <c r="Q37" i="6" s="1"/>
  <c r="O41" i="6"/>
  <c r="Q41" i="6" s="1"/>
  <c r="O47" i="6"/>
  <c r="Q47" i="6" s="1"/>
  <c r="P40" i="6"/>
  <c r="R40" i="6" s="1"/>
  <c r="P43" i="6"/>
  <c r="R43" i="6" s="1"/>
  <c r="O36" i="6"/>
  <c r="Q36" i="6" s="1"/>
  <c r="O40" i="6"/>
  <c r="Q40" i="6" s="1"/>
  <c r="O44" i="6"/>
  <c r="Q44" i="6" s="1"/>
  <c r="O46" i="6"/>
  <c r="Q46" i="6" s="1"/>
  <c r="P39" i="6"/>
  <c r="R39" i="6" s="1"/>
  <c r="P48" i="6"/>
  <c r="R48" i="6" s="1"/>
  <c r="P42" i="6"/>
  <c r="R42" i="6" s="1"/>
  <c r="P47" i="6"/>
  <c r="R47" i="6" s="1"/>
  <c r="J46" i="2"/>
  <c r="J49" i="2"/>
  <c r="J55" i="2"/>
  <c r="J48" i="2"/>
  <c r="J51" i="2"/>
  <c r="J54" i="2"/>
  <c r="J47" i="2"/>
  <c r="K47" i="2" s="1"/>
  <c r="J50" i="2"/>
  <c r="J53" i="2"/>
  <c r="K53" i="2" s="1"/>
  <c r="D50" i="1"/>
  <c r="D43" i="1"/>
  <c r="D52" i="1"/>
  <c r="E44" i="1"/>
  <c r="E43" i="1"/>
  <c r="E52" i="1"/>
  <c r="D44" i="1"/>
  <c r="E45" i="1"/>
  <c r="E50" i="1"/>
  <c r="D45" i="1"/>
  <c r="B523" i="2" l="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F45" i="6"/>
  <c r="H45" i="6" s="1"/>
  <c r="J44" i="1"/>
  <c r="K44" i="1" s="1"/>
  <c r="F37" i="6"/>
  <c r="H37" i="6" s="1"/>
  <c r="F47" i="6"/>
  <c r="H47" i="6" s="1"/>
  <c r="J43" i="1"/>
  <c r="K43" i="1" s="1"/>
  <c r="H50" i="1"/>
  <c r="J50" i="1"/>
  <c r="K50" i="1" s="1"/>
  <c r="H36" i="6"/>
  <c r="H44" i="1"/>
  <c r="J45" i="1"/>
  <c r="K45" i="1" s="1"/>
  <c r="J52" i="1"/>
  <c r="K52" i="1" s="1"/>
  <c r="H52" i="1"/>
  <c r="H43" i="6"/>
  <c r="H38" i="6"/>
  <c r="H43" i="1"/>
  <c r="H45" i="1"/>
  <c r="Q12" i="6" l="1"/>
  <c r="D27" i="1" l="1"/>
  <c r="D16" i="1"/>
  <c r="D54" i="1" s="1"/>
  <c r="D29" i="1"/>
  <c r="D36" i="1"/>
  <c r="D34" i="1"/>
  <c r="E34" i="1"/>
  <c r="D13" i="1"/>
  <c r="D51" i="1" s="1"/>
  <c r="D17" i="1"/>
  <c r="D15" i="1"/>
  <c r="D11" i="1"/>
  <c r="D8" i="1"/>
  <c r="D10" i="1"/>
  <c r="B61" i="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D28" i="1"/>
  <c r="D9" i="1"/>
  <c r="E28" i="1"/>
  <c r="L56" i="2"/>
  <c r="L55" i="2"/>
  <c r="L54" i="2"/>
  <c r="L53" i="2"/>
  <c r="L52" i="2"/>
  <c r="L51" i="2"/>
  <c r="L50" i="2"/>
  <c r="L49" i="2"/>
  <c r="L48" i="2"/>
  <c r="L47" i="2"/>
  <c r="L46" i="2"/>
  <c r="L45" i="2"/>
  <c r="L44" i="2"/>
  <c r="L43" i="2"/>
  <c r="L42" i="2"/>
  <c r="D53" i="1" l="1"/>
  <c r="D47" i="1"/>
  <c r="J28" i="1"/>
  <c r="H28" i="1"/>
  <c r="J34" i="1"/>
  <c r="H34" i="1"/>
  <c r="D46" i="1"/>
  <c r="F28" i="1"/>
  <c r="F37" i="1"/>
  <c r="D48" i="1"/>
  <c r="O83" i="6"/>
  <c r="O91" i="6"/>
  <c r="O80" i="6"/>
  <c r="O84" i="6"/>
  <c r="O88" i="6"/>
  <c r="O87" i="6"/>
  <c r="O81" i="6"/>
  <c r="O85" i="6"/>
  <c r="O89" i="6"/>
  <c r="P78" i="6"/>
  <c r="O79" i="6"/>
  <c r="O78" i="6"/>
  <c r="O82" i="6"/>
  <c r="O86" i="6"/>
  <c r="O90" i="6"/>
  <c r="D55" i="1"/>
  <c r="E36" i="1"/>
  <c r="E27" i="1"/>
  <c r="F9" i="1"/>
  <c r="F18" i="1"/>
  <c r="E29" i="1"/>
  <c r="E10" i="1"/>
  <c r="E8" i="1"/>
  <c r="E13" i="1"/>
  <c r="J13" i="1" s="1"/>
  <c r="E11" i="1"/>
  <c r="E17" i="1"/>
  <c r="E15" i="1"/>
  <c r="E53" i="1" s="1"/>
  <c r="E16" i="1"/>
  <c r="J16" i="1" s="1"/>
  <c r="E9" i="1"/>
  <c r="L42" i="1"/>
  <c r="E78" i="6" s="1"/>
  <c r="F46" i="6" l="1"/>
  <c r="H46" i="6" s="1"/>
  <c r="F40" i="6"/>
  <c r="H40" i="6" s="1"/>
  <c r="J15" i="1"/>
  <c r="E46" i="6" s="1"/>
  <c r="G46" i="6" s="1"/>
  <c r="J8" i="1"/>
  <c r="E39" i="6" s="1"/>
  <c r="G39" i="6" s="1"/>
  <c r="J17" i="1"/>
  <c r="E48" i="6" s="1"/>
  <c r="G48" i="6" s="1"/>
  <c r="J10" i="1"/>
  <c r="E41" i="6" s="1"/>
  <c r="G41" i="6" s="1"/>
  <c r="J9" i="1"/>
  <c r="E40" i="6" s="1"/>
  <c r="G40" i="6" s="1"/>
  <c r="J11" i="1"/>
  <c r="E42" i="6" s="1"/>
  <c r="G42" i="6" s="1"/>
  <c r="J29" i="1"/>
  <c r="F41" i="6" s="1"/>
  <c r="H29" i="1"/>
  <c r="J36" i="1"/>
  <c r="F48" i="6" s="1"/>
  <c r="H48" i="6" s="1"/>
  <c r="H36" i="1"/>
  <c r="J27" i="1"/>
  <c r="F39" i="6" s="1"/>
  <c r="H27" i="1"/>
  <c r="E47" i="6"/>
  <c r="G47" i="6" s="1"/>
  <c r="J54" i="1"/>
  <c r="E44" i="6"/>
  <c r="G44" i="6" s="1"/>
  <c r="J51" i="1"/>
  <c r="E33" i="2"/>
  <c r="J33" i="2" s="1"/>
  <c r="E14" i="2"/>
  <c r="J14" i="2" s="1"/>
  <c r="E47" i="1"/>
  <c r="H47" i="1" s="1"/>
  <c r="E51" i="1"/>
  <c r="H51" i="1" s="1"/>
  <c r="E54" i="1"/>
  <c r="H54" i="1" s="1"/>
  <c r="E55" i="1"/>
  <c r="H55" i="1" s="1"/>
  <c r="E46" i="1"/>
  <c r="H46" i="1" s="1"/>
  <c r="H53" i="1"/>
  <c r="E48" i="1"/>
  <c r="H48" i="1" s="1"/>
  <c r="D33" i="2"/>
  <c r="D25" i="2"/>
  <c r="D14" i="2"/>
  <c r="E25" i="2"/>
  <c r="J25" i="2" s="1"/>
  <c r="E26" i="2"/>
  <c r="J26" i="2" s="1"/>
  <c r="D26" i="2"/>
  <c r="E24" i="2"/>
  <c r="J24" i="2" s="1"/>
  <c r="D24" i="2"/>
  <c r="D31" i="2"/>
  <c r="J47" i="1" l="1"/>
  <c r="Q9" i="6" s="1"/>
  <c r="J46" i="1"/>
  <c r="Q8" i="6" s="1"/>
  <c r="J55" i="1"/>
  <c r="Q17" i="6" s="1"/>
  <c r="J48" i="1"/>
  <c r="Q10" i="6" s="1"/>
  <c r="H39" i="6"/>
  <c r="Q16" i="6"/>
  <c r="H41" i="6"/>
  <c r="Q13" i="6"/>
  <c r="K51" i="1"/>
  <c r="J53" i="1"/>
  <c r="P45" i="6"/>
  <c r="R45" i="6" s="1"/>
  <c r="P38" i="6"/>
  <c r="R38" i="6" s="1"/>
  <c r="O45" i="6"/>
  <c r="Q45" i="6" s="1"/>
  <c r="P36" i="6"/>
  <c r="R36" i="6" s="1"/>
  <c r="P37" i="6"/>
  <c r="R37" i="6" s="1"/>
  <c r="J45" i="2"/>
  <c r="J52" i="2"/>
  <c r="J43" i="2"/>
  <c r="J44" i="2"/>
  <c r="Q15" i="6" l="1"/>
  <c r="Q14" i="6"/>
  <c r="Q5" i="6"/>
  <c r="Q7" i="6"/>
  <c r="Q6" i="6"/>
  <c r="F37" i="2"/>
  <c r="F23" i="2"/>
  <c r="F18" i="2" l="1"/>
  <c r="F4" i="2"/>
  <c r="M55" i="1" l="1"/>
  <c r="L55" i="1"/>
  <c r="M54" i="1"/>
  <c r="L54" i="1"/>
  <c r="M53" i="1"/>
  <c r="L53" i="1"/>
  <c r="M52" i="1"/>
  <c r="L52" i="1"/>
  <c r="M51" i="1"/>
  <c r="L51" i="1"/>
  <c r="E88" i="6" l="1"/>
  <c r="F88" i="6"/>
  <c r="F90" i="6"/>
  <c r="E90" i="6"/>
  <c r="E87" i="6"/>
  <c r="E89" i="6"/>
  <c r="E91" i="6"/>
  <c r="F87" i="6"/>
  <c r="F89" i="6"/>
  <c r="F91" i="6"/>
  <c r="I14" i="6"/>
  <c r="I13" i="6"/>
  <c r="I15" i="6"/>
  <c r="G34" i="2"/>
  <c r="K34" i="2" s="1"/>
  <c r="E51" i="2"/>
  <c r="D54" i="2"/>
  <c r="E55" i="2"/>
  <c r="D53" i="2"/>
  <c r="E54" i="2"/>
  <c r="D52" i="2"/>
  <c r="I16" i="6"/>
  <c r="I17" i="6"/>
  <c r="D51" i="2"/>
  <c r="E52" i="2"/>
  <c r="D55" i="2"/>
  <c r="E53" i="2"/>
  <c r="H35" i="2"/>
  <c r="H15" i="2"/>
  <c r="H33" i="2"/>
  <c r="H36" i="2"/>
  <c r="H32" i="2"/>
  <c r="G35" i="2"/>
  <c r="K35" i="2" s="1"/>
  <c r="H34" i="2"/>
  <c r="G32" i="2"/>
  <c r="G36" i="2"/>
  <c r="K36" i="2" s="1"/>
  <c r="G33" i="2"/>
  <c r="H16" i="2"/>
  <c r="G14" i="2"/>
  <c r="H17" i="2"/>
  <c r="G15" i="2"/>
  <c r="K15" i="2" s="1"/>
  <c r="H13" i="2"/>
  <c r="H14" i="2"/>
  <c r="G16" i="2"/>
  <c r="G13" i="2"/>
  <c r="G17" i="2"/>
  <c r="G35" i="1"/>
  <c r="H15" i="1"/>
  <c r="G34" i="1"/>
  <c r="G36" i="1"/>
  <c r="G32" i="1"/>
  <c r="K32" i="1" s="1"/>
  <c r="G33" i="1"/>
  <c r="K33" i="1" s="1"/>
  <c r="H16" i="1"/>
  <c r="H14" i="1"/>
  <c r="G14" i="1"/>
  <c r="K14" i="1" s="1"/>
  <c r="G15" i="1"/>
  <c r="G16" i="1"/>
  <c r="E15" i="6" l="1"/>
  <c r="M56" i="2"/>
  <c r="D15" i="6"/>
  <c r="E14" i="6"/>
  <c r="H53" i="2"/>
  <c r="D14" i="6"/>
  <c r="H55" i="2"/>
  <c r="H52" i="2"/>
  <c r="H51" i="2"/>
  <c r="H54" i="2"/>
  <c r="D16" i="6"/>
  <c r="E16" i="6"/>
  <c r="H15" i="6" l="1"/>
  <c r="P89" i="6"/>
  <c r="P91" i="6"/>
  <c r="P90" i="6"/>
  <c r="P88" i="6"/>
  <c r="J16" i="6"/>
  <c r="J14" i="6"/>
  <c r="J15" i="6"/>
  <c r="J17" i="6"/>
  <c r="H14" i="6"/>
  <c r="H16" i="6"/>
  <c r="E23" i="2" l="1"/>
  <c r="J23" i="2" s="1"/>
  <c r="D23" i="2"/>
  <c r="D4" i="2"/>
  <c r="E4" i="2"/>
  <c r="J4" i="2" s="1"/>
  <c r="E18" i="2"/>
  <c r="D18" i="2"/>
  <c r="O35" i="6" l="1"/>
  <c r="Q35" i="6" s="1"/>
  <c r="P35" i="6"/>
  <c r="R35" i="6" s="1"/>
  <c r="J18" i="2"/>
  <c r="J42" i="2"/>
  <c r="K42" i="2" s="1"/>
  <c r="J37" i="2"/>
  <c r="J56" i="2" l="1"/>
  <c r="P19" i="2" l="1"/>
  <c r="J18" i="1" l="1"/>
  <c r="E37" i="2" l="1"/>
  <c r="D37" i="2"/>
  <c r="D13" i="6"/>
  <c r="E13" i="6" l="1"/>
  <c r="E17" i="6"/>
  <c r="H13" i="1"/>
  <c r="G13" i="1"/>
  <c r="H13" i="6" l="1"/>
  <c r="D4" i="1" l="1"/>
  <c r="H4" i="1" s="1"/>
  <c r="L25" i="6" l="1"/>
  <c r="M43" i="1"/>
  <c r="F79" i="6" l="1"/>
  <c r="M50" i="1"/>
  <c r="M49" i="1"/>
  <c r="M48" i="1"/>
  <c r="M47" i="1"/>
  <c r="M46" i="1"/>
  <c r="M45" i="1"/>
  <c r="M44" i="1"/>
  <c r="M42" i="1"/>
  <c r="F78" i="6" s="1"/>
  <c r="L43" i="1"/>
  <c r="L44" i="1"/>
  <c r="L45" i="1"/>
  <c r="L46" i="1"/>
  <c r="L47" i="1"/>
  <c r="L48" i="1"/>
  <c r="L49" i="1"/>
  <c r="L50" i="1"/>
  <c r="F82" i="6" l="1"/>
  <c r="F83" i="6"/>
  <c r="E79" i="6"/>
  <c r="E86" i="6"/>
  <c r="E85" i="6"/>
  <c r="E81" i="6"/>
  <c r="F80" i="6"/>
  <c r="F84" i="6"/>
  <c r="E83" i="6"/>
  <c r="F86" i="6"/>
  <c r="E82" i="6"/>
  <c r="E84" i="6"/>
  <c r="E80" i="6"/>
  <c r="F81" i="6"/>
  <c r="F85" i="6"/>
  <c r="I12" i="6"/>
  <c r="I11" i="6"/>
  <c r="I9" i="6"/>
  <c r="I5" i="6"/>
  <c r="I7" i="6"/>
  <c r="I8" i="6"/>
  <c r="I6" i="6"/>
  <c r="I10" i="6"/>
  <c r="D42" i="2"/>
  <c r="D50" i="2"/>
  <c r="I4" i="6"/>
  <c r="M56" i="1"/>
  <c r="L56" i="1"/>
  <c r="H31" i="2"/>
  <c r="D47" i="2"/>
  <c r="G10" i="2"/>
  <c r="H23" i="2"/>
  <c r="E43" i="2"/>
  <c r="D49" i="2"/>
  <c r="G31" i="2"/>
  <c r="H6" i="2"/>
  <c r="G9" i="2"/>
  <c r="K9" i="2" s="1"/>
  <c r="G23" i="2"/>
  <c r="K23" i="2" s="1"/>
  <c r="G30" i="2"/>
  <c r="G28" i="2"/>
  <c r="K28" i="2" s="1"/>
  <c r="O31" i="6"/>
  <c r="Q31" i="6" s="1"/>
  <c r="G27" i="2"/>
  <c r="D48" i="2"/>
  <c r="D43" i="2"/>
  <c r="G6" i="2"/>
  <c r="H11" i="2"/>
  <c r="D44" i="2"/>
  <c r="G11" i="2"/>
  <c r="H27" i="2"/>
  <c r="E49" i="2"/>
  <c r="H10" i="2"/>
  <c r="G24" i="2"/>
  <c r="E47" i="2"/>
  <c r="H30" i="2"/>
  <c r="D46" i="2"/>
  <c r="G5" i="2"/>
  <c r="E48" i="2"/>
  <c r="H29" i="2"/>
  <c r="G29" i="2"/>
  <c r="K29" i="2" s="1"/>
  <c r="H8" i="2"/>
  <c r="G8" i="2"/>
  <c r="E46" i="2"/>
  <c r="H9" i="2"/>
  <c r="E44" i="2"/>
  <c r="H25" i="2"/>
  <c r="G25" i="2"/>
  <c r="H5" i="2"/>
  <c r="O30" i="6"/>
  <c r="Q30" i="6" s="1"/>
  <c r="H24" i="2"/>
  <c r="H28" i="2"/>
  <c r="V31" i="6" l="1"/>
  <c r="V32" i="6" s="1"/>
  <c r="I18" i="6"/>
  <c r="J4" i="6"/>
  <c r="E45" i="2"/>
  <c r="E42" i="2"/>
  <c r="H42" i="2" s="1"/>
  <c r="G4" i="2"/>
  <c r="K4" i="2" s="1"/>
  <c r="H4" i="2"/>
  <c r="H12" i="2"/>
  <c r="E50" i="2"/>
  <c r="G12" i="2"/>
  <c r="H47" i="2"/>
  <c r="H49" i="2"/>
  <c r="H37" i="2"/>
  <c r="H43" i="2"/>
  <c r="D45" i="2"/>
  <c r="G18" i="2"/>
  <c r="P30" i="6"/>
  <c r="G37" i="2"/>
  <c r="P31" i="6"/>
  <c r="R31" i="6" s="1"/>
  <c r="G7" i="2"/>
  <c r="H7" i="2"/>
  <c r="H18" i="2"/>
  <c r="H44" i="2"/>
  <c r="H46" i="2"/>
  <c r="H48" i="2"/>
  <c r="R30" i="6" l="1"/>
  <c r="J8" i="6"/>
  <c r="P86" i="6"/>
  <c r="P84" i="6"/>
  <c r="P87" i="6"/>
  <c r="P85" i="6"/>
  <c r="P79" i="6"/>
  <c r="P83" i="6"/>
  <c r="H50" i="2"/>
  <c r="P81" i="6"/>
  <c r="P80" i="6"/>
  <c r="J10" i="6"/>
  <c r="J12" i="6"/>
  <c r="J13" i="6"/>
  <c r="J5" i="6"/>
  <c r="J9" i="6"/>
  <c r="J6" i="6"/>
  <c r="J11" i="6"/>
  <c r="D56" i="2"/>
  <c r="H26" i="2"/>
  <c r="G26" i="2"/>
  <c r="H45" i="2"/>
  <c r="E56" i="2"/>
  <c r="P82" i="6" l="1"/>
  <c r="J7" i="6"/>
  <c r="J18" i="6" s="1"/>
  <c r="H56" i="2"/>
  <c r="D18" i="1"/>
  <c r="H8" i="1" l="1"/>
  <c r="G10" i="1"/>
  <c r="G29" i="1"/>
  <c r="D9" i="6"/>
  <c r="D8" i="6"/>
  <c r="E8" i="6"/>
  <c r="H10" i="1"/>
  <c r="G11" i="1"/>
  <c r="D10" i="6"/>
  <c r="E10" i="6"/>
  <c r="H11" i="1"/>
  <c r="H9" i="1"/>
  <c r="E9" i="6"/>
  <c r="G27" i="1"/>
  <c r="G31" i="1"/>
  <c r="K31" i="1" s="1"/>
  <c r="G28" i="1"/>
  <c r="G8" i="1"/>
  <c r="G9" i="1"/>
  <c r="H9" i="6" l="1"/>
  <c r="H10" i="6"/>
  <c r="H8" i="6"/>
  <c r="D12" i="6" l="1"/>
  <c r="D17" i="6" l="1"/>
  <c r="H17" i="6" s="1"/>
  <c r="H12" i="1"/>
  <c r="G12" i="1"/>
  <c r="K12" i="1" s="1"/>
  <c r="E12" i="6"/>
  <c r="H17" i="1"/>
  <c r="G17" i="1"/>
  <c r="H12" i="6" l="1"/>
  <c r="B26" i="6"/>
  <c r="F18" i="6" s="1"/>
  <c r="N23" i="6"/>
  <c r="R17" i="1" s="1"/>
  <c r="B24" i="6"/>
  <c r="P18" i="1" s="1"/>
  <c r="F8" i="6" l="1"/>
  <c r="F13" i="6"/>
  <c r="P20" i="1"/>
  <c r="P18" i="2"/>
  <c r="R17" i="2"/>
  <c r="K18" i="6"/>
  <c r="F15" i="6"/>
  <c r="F11" i="6"/>
  <c r="F7" i="6"/>
  <c r="R7" i="6" s="1"/>
  <c r="F14" i="6"/>
  <c r="R6" i="6"/>
  <c r="F16" i="6"/>
  <c r="F17" i="6"/>
  <c r="F9" i="6"/>
  <c r="F5" i="6"/>
  <c r="F12" i="6"/>
  <c r="P20" i="2"/>
  <c r="L24" i="6"/>
  <c r="L26" i="6"/>
  <c r="R5" i="6" l="1"/>
  <c r="F19" i="6"/>
  <c r="K19" i="6" s="1"/>
  <c r="F49" i="2"/>
  <c r="G49" i="2" s="1"/>
  <c r="F43" i="2"/>
  <c r="F51" i="2"/>
  <c r="G51" i="2" s="1"/>
  <c r="K49" i="2"/>
  <c r="K11" i="2"/>
  <c r="K30" i="2"/>
  <c r="K27" i="1"/>
  <c r="K54" i="1"/>
  <c r="K46" i="1"/>
  <c r="K48" i="2"/>
  <c r="K55" i="2"/>
  <c r="K17" i="2"/>
  <c r="K10" i="2"/>
  <c r="K48" i="1"/>
  <c r="K55" i="1"/>
  <c r="K47" i="1"/>
  <c r="K53" i="1"/>
  <c r="K54" i="2"/>
  <c r="K16" i="2"/>
  <c r="G53" i="2"/>
  <c r="F45" i="2"/>
  <c r="G45" i="2" s="1"/>
  <c r="F52" i="2"/>
  <c r="G52" i="2" s="1"/>
  <c r="G48" i="2"/>
  <c r="G44" i="2"/>
  <c r="G55" i="2"/>
  <c r="G47" i="2"/>
  <c r="G54" i="2"/>
  <c r="F50" i="2"/>
  <c r="G50" i="2" s="1"/>
  <c r="G46" i="2"/>
  <c r="G42" i="2"/>
  <c r="K13" i="2"/>
  <c r="K8" i="2"/>
  <c r="K6" i="2"/>
  <c r="K5" i="2"/>
  <c r="K12" i="2"/>
  <c r="K50" i="2"/>
  <c r="K7" i="2"/>
  <c r="K51" i="2"/>
  <c r="K46" i="2"/>
  <c r="K43" i="2"/>
  <c r="K44" i="2"/>
  <c r="K45" i="2"/>
  <c r="K52" i="2"/>
  <c r="K35" i="1"/>
  <c r="K34" i="1"/>
  <c r="K28" i="1"/>
  <c r="K17" i="1"/>
  <c r="K16" i="1"/>
  <c r="K11" i="1"/>
  <c r="K13" i="1"/>
  <c r="K15" i="1"/>
  <c r="K8" i="1"/>
  <c r="K9" i="1"/>
  <c r="K29" i="1"/>
  <c r="K10" i="1"/>
  <c r="K36" i="1"/>
  <c r="K32" i="2"/>
  <c r="K33" i="2"/>
  <c r="K27" i="2"/>
  <c r="K24" i="2"/>
  <c r="K31" i="2"/>
  <c r="K26" i="2"/>
  <c r="K14" i="2"/>
  <c r="K25" i="2"/>
  <c r="G13" i="6"/>
  <c r="R13" i="6"/>
  <c r="G16" i="6"/>
  <c r="R16" i="6"/>
  <c r="G10" i="6"/>
  <c r="R10" i="6"/>
  <c r="G15" i="6"/>
  <c r="R15" i="6"/>
  <c r="G12" i="6"/>
  <c r="R12" i="6"/>
  <c r="G17" i="6"/>
  <c r="R17" i="6"/>
  <c r="G9" i="6"/>
  <c r="R9" i="6"/>
  <c r="G8" i="6"/>
  <c r="R8" i="6"/>
  <c r="G14" i="6"/>
  <c r="R14" i="6"/>
  <c r="F53" i="1"/>
  <c r="G53" i="1" s="1"/>
  <c r="F49" i="1"/>
  <c r="F54" i="1"/>
  <c r="G54" i="1" s="1"/>
  <c r="G50" i="1"/>
  <c r="F46" i="1"/>
  <c r="G46" i="1" s="1"/>
  <c r="F55" i="1"/>
  <c r="G55" i="1" s="1"/>
  <c r="G51" i="1"/>
  <c r="F47" i="1"/>
  <c r="G47" i="1" s="1"/>
  <c r="G52" i="1"/>
  <c r="F48" i="1"/>
  <c r="G48" i="1" s="1"/>
  <c r="F56" i="1"/>
  <c r="G43" i="2" l="1"/>
  <c r="F56" i="2"/>
  <c r="G56" i="2" s="1"/>
  <c r="K18" i="2"/>
  <c r="K56" i="2"/>
  <c r="K37" i="2"/>
  <c r="E30" i="6"/>
  <c r="E18" i="1"/>
  <c r="D23" i="1"/>
  <c r="F30" i="6" l="1"/>
  <c r="G30" i="6"/>
  <c r="D7" i="6"/>
  <c r="E6" i="6"/>
  <c r="K25" i="1"/>
  <c r="H7" i="1"/>
  <c r="G7" i="1"/>
  <c r="K7" i="1" s="1"/>
  <c r="D6" i="6"/>
  <c r="G5" i="1"/>
  <c r="K5" i="1" s="1"/>
  <c r="E23" i="1"/>
  <c r="D5" i="6"/>
  <c r="D42" i="1"/>
  <c r="G4" i="1"/>
  <c r="K4" i="1" s="1"/>
  <c r="H5" i="1"/>
  <c r="G18" i="1"/>
  <c r="H18" i="1"/>
  <c r="G6" i="1"/>
  <c r="K6" i="1" s="1"/>
  <c r="H6" i="1"/>
  <c r="J23" i="1" l="1"/>
  <c r="F35" i="6" s="1"/>
  <c r="H35" i="6" s="1"/>
  <c r="H23" i="1"/>
  <c r="K18" i="1"/>
  <c r="D4" i="6"/>
  <c r="G6" i="6"/>
  <c r="H6" i="6"/>
  <c r="E42" i="1"/>
  <c r="G44" i="1"/>
  <c r="H30" i="6"/>
  <c r="E7" i="6"/>
  <c r="G26" i="1"/>
  <c r="K26" i="1" s="1"/>
  <c r="G23" i="1"/>
  <c r="E5" i="6"/>
  <c r="G24" i="1"/>
  <c r="K24" i="1" s="1"/>
  <c r="J42" i="1" l="1"/>
  <c r="K23" i="1"/>
  <c r="E4" i="6"/>
  <c r="G7" i="6"/>
  <c r="H5" i="6"/>
  <c r="G5" i="6"/>
  <c r="H7" i="6"/>
  <c r="H42" i="1"/>
  <c r="G45" i="1"/>
  <c r="K42" i="1" l="1"/>
  <c r="H4" i="6"/>
  <c r="G4" i="6"/>
  <c r="G43" i="1"/>
  <c r="G42" i="1"/>
  <c r="E37" i="1" l="1"/>
  <c r="D30" i="1"/>
  <c r="D49" i="1" s="1"/>
  <c r="E30" i="1"/>
  <c r="D37" i="1"/>
  <c r="E31" i="6" s="1"/>
  <c r="G31" i="6" s="1"/>
  <c r="H37" i="1" l="1"/>
  <c r="J30" i="1"/>
  <c r="H30" i="1"/>
  <c r="E49" i="1"/>
  <c r="G49" i="1" s="1"/>
  <c r="D11" i="6"/>
  <c r="D56" i="1"/>
  <c r="F31" i="6"/>
  <c r="H31" i="6" s="1"/>
  <c r="G30" i="1"/>
  <c r="G37" i="1"/>
  <c r="D18" i="6" l="1"/>
  <c r="D19" i="6"/>
  <c r="J49" i="1"/>
  <c r="K49" i="1" s="1"/>
  <c r="K56" i="1" s="1"/>
  <c r="F42" i="6"/>
  <c r="H42" i="6" s="1"/>
  <c r="K30" i="1"/>
  <c r="K37" i="1" s="1"/>
  <c r="J37" i="1"/>
  <c r="J56" i="1" s="1"/>
  <c r="E56" i="1"/>
  <c r="H56" i="1" s="1"/>
  <c r="H49" i="1"/>
  <c r="E11" i="6"/>
  <c r="E18" i="6" l="1"/>
  <c r="L18" i="6" s="1"/>
  <c r="N18" i="6" s="1"/>
  <c r="E19" i="6"/>
  <c r="L19" i="6" s="1"/>
  <c r="N19" i="6" s="1"/>
  <c r="Q11" i="6"/>
  <c r="Q18" i="6" s="1"/>
  <c r="G56" i="1"/>
  <c r="H11" i="6"/>
  <c r="G11" i="6"/>
  <c r="S14" i="6" l="1"/>
  <c r="G19" i="6"/>
  <c r="H19" i="6"/>
  <c r="G18" i="6"/>
  <c r="H18" i="6"/>
  <c r="S11" i="6"/>
  <c r="S8" i="6"/>
  <c r="S5" i="6"/>
  <c r="S17" i="6"/>
  <c r="S16" i="6"/>
  <c r="S13" i="6"/>
  <c r="R11" i="6"/>
  <c r="R18" i="6" s="1"/>
  <c r="S12" i="6"/>
  <c r="S6" i="6"/>
  <c r="S9" i="6"/>
  <c r="S15" i="6"/>
  <c r="S7" i="6"/>
  <c r="S10" i="6"/>
  <c r="T11" i="6" l="1"/>
  <c r="T5" i="6"/>
  <c r="T17" i="6"/>
  <c r="T12" i="6"/>
  <c r="T15" i="6"/>
  <c r="T8" i="6"/>
  <c r="T10" i="6"/>
  <c r="T6" i="6"/>
  <c r="T16" i="6"/>
  <c r="T14" i="6"/>
  <c r="T13" i="6"/>
  <c r="T7" i="6"/>
  <c r="T9" i="6"/>
</calcChain>
</file>

<file path=xl/comments1.xml><?xml version="1.0" encoding="utf-8"?>
<comments xmlns="http://schemas.openxmlformats.org/spreadsheetml/2006/main">
  <authors>
    <author>EXTERNAL Nguyen Tuan Duong (Ban Vien, RBVH/EPS45)</author>
    <author>NCH7HC</author>
  </authors>
  <commentList>
    <comment ref="W75" authorId="0" guid="{0E966BB5-B628-4447-9FD9-B587B82EB3DA}" shapeId="0">
      <text>
        <r>
          <rPr>
            <b/>
            <sz val="9"/>
            <color indexed="81"/>
            <rFont val="Tahoma"/>
            <family val="2"/>
          </rPr>
          <t>EXTERNAL Nguyen Tuan Duong (Ban Vien, RBVH/EPS45):</t>
        </r>
        <r>
          <rPr>
            <sz val="9"/>
            <color indexed="81"/>
            <rFont val="Tahoma"/>
            <family val="2"/>
          </rPr>
          <t xml:space="preserve">
Cancel UT
</t>
        </r>
      </text>
    </comment>
    <comment ref="W76" authorId="0" guid="{B805412D-0CDE-47E4-BC85-5C0B2DDCE4C5}" shapeId="0">
      <text>
        <r>
          <rPr>
            <b/>
            <sz val="9"/>
            <color indexed="81"/>
            <rFont val="Tahoma"/>
            <family val="2"/>
          </rPr>
          <t>EXTERNAL Nguyen Tuan Duong (Ban Vien, RBVH/EPS45):</t>
        </r>
        <r>
          <rPr>
            <sz val="9"/>
            <color indexed="81"/>
            <rFont val="Tahoma"/>
            <family val="2"/>
          </rPr>
          <t xml:space="preserve">
Cancel UT
</t>
        </r>
      </text>
    </comment>
    <comment ref="V77" authorId="0" guid="{BB7AC6C2-4405-4699-BE16-D74A9A5EC614}" shapeId="0">
      <text>
        <r>
          <rPr>
            <b/>
            <sz val="9"/>
            <color indexed="81"/>
            <rFont val="Tahoma"/>
            <family val="2"/>
          </rPr>
          <t>EXTERNAL Nguyen Tuan Duong (Ban Vien, RBVH/EPS45):</t>
        </r>
        <r>
          <rPr>
            <sz val="9"/>
            <color indexed="81"/>
            <rFont val="Tahoma"/>
            <family val="2"/>
          </rPr>
          <t xml:space="preserve">
Tester check num of ELOCs again -&gt; double effort
</t>
        </r>
      </text>
    </comment>
    <comment ref="W127" authorId="1" guid="{7E321982-34DB-48F8-8806-B70A4A42A7B0}" shapeId="0">
      <text>
        <r>
          <rPr>
            <b/>
            <sz val="9"/>
            <color indexed="81"/>
            <rFont val="Tahoma"/>
            <family val="2"/>
          </rPr>
          <t xml:space="preserve">NCH7HC:
Test V1.0 defect 
Double eloc 
</t>
        </r>
      </text>
    </comment>
    <comment ref="W168" authorId="1" guid="{B6BC3F41-EB50-4B63-823E-91822FA8A2B7}" shapeId="0">
      <text>
        <r>
          <rPr>
            <b/>
            <sz val="9"/>
            <color indexed="81"/>
            <rFont val="Tahoma"/>
            <family val="2"/>
          </rPr>
          <t>NCH7HC:</t>
        </r>
        <r>
          <rPr>
            <sz val="9"/>
            <color indexed="81"/>
            <rFont val="Tahoma"/>
            <family val="2"/>
          </rPr>
          <t xml:space="preserve">
Double eloc
</t>
        </r>
      </text>
    </comment>
    <comment ref="W169" authorId="1" guid="{C68B0F26-DCAE-4723-A637-4A44E4117EDD}" shapeId="0">
      <text>
        <r>
          <rPr>
            <b/>
            <sz val="9"/>
            <color indexed="81"/>
            <rFont val="Tahoma"/>
            <family val="2"/>
          </rPr>
          <t>NCH7HC:</t>
        </r>
        <r>
          <rPr>
            <sz val="9"/>
            <color indexed="81"/>
            <rFont val="Tahoma"/>
            <family val="2"/>
          </rPr>
          <t xml:space="preserve">
Double eloc
</t>
        </r>
      </text>
    </comment>
    <comment ref="V204" authorId="0" guid="{EADD9436-ADB4-44A4-83FC-E7B2C8DB69CA}" shapeId="0">
      <text>
        <r>
          <rPr>
            <b/>
            <sz val="9"/>
            <color indexed="81"/>
            <rFont val="Tahoma"/>
            <family val="2"/>
          </rPr>
          <t>EXTERNAL Nguyen Tuan Duong (Ban Vien, RBVH/EPS45):</t>
        </r>
        <r>
          <rPr>
            <sz val="9"/>
            <color indexed="81"/>
            <rFont val="Tahoma"/>
            <family val="2"/>
          </rPr>
          <t xml:space="preserve">
Tester check ELOCs again and double effort if any
</t>
        </r>
      </text>
    </comment>
    <comment ref="V205" authorId="0" guid="{3778A28D-3C29-49D7-A87F-5CC158CC3589}" shapeId="0">
      <text>
        <r>
          <rPr>
            <b/>
            <sz val="9"/>
            <color indexed="81"/>
            <rFont val="Tahoma"/>
            <family val="2"/>
          </rPr>
          <t>EXTERNAL Nguyen Tuan Duong (Ban Vien, RBVH/EPS45):</t>
        </r>
        <r>
          <rPr>
            <sz val="9"/>
            <color indexed="81"/>
            <rFont val="Tahoma"/>
            <family val="2"/>
          </rPr>
          <t xml:space="preserve">
Tester check ELOCs again and double effort if any
</t>
        </r>
      </text>
    </comment>
    <comment ref="V206" authorId="0" guid="{D15D1AD9-C5AD-4D0E-BF4A-BE389C47A39D}" shapeId="0">
      <text>
        <r>
          <rPr>
            <b/>
            <sz val="9"/>
            <color indexed="81"/>
            <rFont val="Tahoma"/>
            <family val="2"/>
          </rPr>
          <t>EXTERNAL Nguyen Tuan Duong (Ban Vien, RBVH/EPS45):</t>
        </r>
        <r>
          <rPr>
            <sz val="9"/>
            <color indexed="81"/>
            <rFont val="Tahoma"/>
            <family val="2"/>
          </rPr>
          <t xml:space="preserve">
Tester check ELOCs again and double effort if any
</t>
        </r>
      </text>
    </comment>
    <comment ref="W219" authorId="0" guid="{AC8341B6-3E3B-44C1-913C-1390EA6EDEF8}" shapeId="0">
      <text>
        <r>
          <rPr>
            <b/>
            <sz val="9"/>
            <color indexed="81"/>
            <rFont val="Tahoma"/>
            <family val="2"/>
          </rPr>
          <t>EXTERNAL Nguyen Tuan Duong (Ban Vien, RBVH/EPS45):</t>
        </r>
        <r>
          <rPr>
            <sz val="9"/>
            <color indexed="81"/>
            <rFont val="Tahoma"/>
            <family val="2"/>
          </rPr>
          <t xml:space="preserve">
Tester double check again ELOCs for CNMS prj
</t>
        </r>
      </text>
    </comment>
    <comment ref="W220" authorId="0" guid="{76AAD2EB-920B-4703-B0DB-C905C08FC21C}" shapeId="0">
      <text>
        <r>
          <rPr>
            <b/>
            <sz val="9"/>
            <color indexed="81"/>
            <rFont val="Tahoma"/>
            <family val="2"/>
          </rPr>
          <t>EXTERNAL Nguyen Tuan Duong (Ban Vien, RBVH/EPS45):</t>
        </r>
        <r>
          <rPr>
            <sz val="9"/>
            <color indexed="81"/>
            <rFont val="Tahoma"/>
            <family val="2"/>
          </rPr>
          <t xml:space="preserve">
Tester double check again ELOCs for CNMS prj
</t>
        </r>
      </text>
    </comment>
    <comment ref="W221" authorId="0" guid="{91A46D63-2E97-4EFB-9281-65DB38D07037}" shapeId="0">
      <text>
        <r>
          <rPr>
            <b/>
            <sz val="9"/>
            <color indexed="81"/>
            <rFont val="Tahoma"/>
            <family val="2"/>
          </rPr>
          <t>EXTERNAL Nguyen Tuan Duong (Ban Vien, RBVH/EPS45):</t>
        </r>
        <r>
          <rPr>
            <sz val="9"/>
            <color indexed="81"/>
            <rFont val="Tahoma"/>
            <family val="2"/>
          </rPr>
          <t xml:space="preserve">
Tester double check again ELOCs for CNMS prj
</t>
        </r>
      </text>
    </comment>
    <comment ref="W222" authorId="0" guid="{28A64356-5653-47D3-8797-FD19C304E812}" shapeId="0">
      <text>
        <r>
          <rPr>
            <b/>
            <sz val="9"/>
            <color indexed="81"/>
            <rFont val="Tahoma"/>
            <family val="2"/>
          </rPr>
          <t>EXTERNAL Nguyen Tuan Duong (Ban Vien, RBVH/EPS45):</t>
        </r>
        <r>
          <rPr>
            <sz val="9"/>
            <color indexed="81"/>
            <rFont val="Tahoma"/>
            <family val="2"/>
          </rPr>
          <t xml:space="preserve">
Tester double check again ELOCs for CNMS prj
</t>
        </r>
      </text>
    </comment>
    <comment ref="W223" authorId="0" guid="{48CE168A-A57B-4676-89E3-C688058438DE}" shapeId="0">
      <text>
        <r>
          <rPr>
            <b/>
            <sz val="9"/>
            <color indexed="81"/>
            <rFont val="Tahoma"/>
            <family val="2"/>
          </rPr>
          <t>EXTERNAL Nguyen Tuan Duong (Ban Vien, RBVH/EPS45):</t>
        </r>
        <r>
          <rPr>
            <sz val="9"/>
            <color indexed="81"/>
            <rFont val="Tahoma"/>
            <family val="2"/>
          </rPr>
          <t xml:space="preserve">
Tester double check again ELOCs for CNMS prj
</t>
        </r>
      </text>
    </comment>
  </commentList>
</comments>
</file>

<file path=xl/comments2.xml><?xml version="1.0" encoding="utf-8"?>
<comments xmlns="http://schemas.openxmlformats.org/spreadsheetml/2006/main">
  <authors>
    <author>EXTERNAL Nguyen Tai Hau (Ban Vien, RBVH/EPS45)</author>
  </authors>
  <commentList>
    <comment ref="AK177" authorId="0" guid="{7A5F3A13-A97C-4A20-9E93-48D448BF60A7}" shapeId="0">
      <text>
        <r>
          <rPr>
            <b/>
            <sz val="9"/>
            <color indexed="81"/>
            <rFont val="Tahoma"/>
            <family val="2"/>
          </rPr>
          <t>EXTERNAL Nguyen Tai Hau (Ban Vien, RBVH/EPS45):</t>
        </r>
        <r>
          <rPr>
            <sz val="9"/>
            <color indexed="81"/>
            <rFont val="Tahoma"/>
            <family val="2"/>
          </rPr>
          <t xml:space="preserve">
Don’t change it. This is count defect
</t>
        </r>
      </text>
    </comment>
  </commentList>
</comments>
</file>

<file path=xl/sharedStrings.xml><?xml version="1.0" encoding="utf-8"?>
<sst xmlns="http://schemas.openxmlformats.org/spreadsheetml/2006/main" count="13661" uniqueCount="2231">
  <si>
    <t>No</t>
  </si>
  <si>
    <t>Type</t>
  </si>
  <si>
    <t>ASW</t>
  </si>
  <si>
    <t>PSW</t>
  </si>
  <si>
    <t>No\Type</t>
  </si>
  <si>
    <t>Member</t>
  </si>
  <si>
    <t>hieu.nguyen-trung</t>
  </si>
  <si>
    <t>TaskGroup</t>
  </si>
  <si>
    <t>Tester</t>
  </si>
  <si>
    <t>1. Test Design (.xls)
2. Plot File (.plt)
3. ATT project
4. Coverage Log</t>
  </si>
  <si>
    <t>1. TPA file (.tpa)
2. test report (.html)
3. test report (.xml)
4. test summary (.html)
5. File Coverage Fail Reason (.xls)</t>
  </si>
  <si>
    <t>KPI Table</t>
  </si>
  <si>
    <t>Start</t>
  </si>
  <si>
    <t>End</t>
  </si>
  <si>
    <t>C0</t>
  </si>
  <si>
    <t>C1</t>
  </si>
  <si>
    <t>MCDC</t>
  </si>
  <si>
    <t>Status</t>
  </si>
  <si>
    <t>Ready for review</t>
  </si>
  <si>
    <t>Status Table</t>
  </si>
  <si>
    <t>N/A</t>
  </si>
  <si>
    <t>Ready for PLC</t>
  </si>
  <si>
    <t>KPI/days</t>
  </si>
  <si>
    <t>Ongoing</t>
  </si>
  <si>
    <t>Status (%)</t>
  </si>
  <si>
    <t>#</t>
  </si>
  <si>
    <t>Types</t>
  </si>
  <si>
    <t>Assigned ELOCs</t>
  </si>
  <si>
    <t>Completed ELOCs</t>
  </si>
  <si>
    <t>Status (%)
(Completed/Assigned)</t>
  </si>
  <si>
    <t>Total Days</t>
  </si>
  <si>
    <t>External Name</t>
  </si>
  <si>
    <t>PSW
ELOCs</t>
  </si>
  <si>
    <t>ASW
ELOCs</t>
  </si>
  <si>
    <t>3. Risks/ Pending Issues:</t>
  </si>
  <si>
    <t>Risks/ Issues</t>
  </si>
  <si>
    <t>Num of Day</t>
  </si>
  <si>
    <t>Detail</t>
  </si>
  <si>
    <t>Date</t>
  </si>
  <si>
    <t>Note:</t>
  </si>
  <si>
    <t>PSW: 450 ELOCs</t>
  </si>
  <si>
    <t>Productivity of each Member per Day</t>
  </si>
  <si>
    <t>Table Type of Testing</t>
  </si>
  <si>
    <t>Table Tester</t>
  </si>
  <si>
    <t>Detail Output</t>
  </si>
  <si>
    <t>ATT</t>
  </si>
  <si>
    <t>Cantata</t>
  </si>
  <si>
    <t>Tool</t>
  </si>
  <si>
    <t>Table KPI ASW</t>
  </si>
  <si>
    <t>Table KPI PSW</t>
  </si>
  <si>
    <t>LOC Complete</t>
  </si>
  <si>
    <t>Actual hour</t>
  </si>
  <si>
    <t>Task Jira</t>
  </si>
  <si>
    <t>Project</t>
  </si>
  <si>
    <t>ComponentName</t>
  </si>
  <si>
    <t>ItemName</t>
  </si>
  <si>
    <t>Planned Start</t>
  </si>
  <si>
    <t>Planned End</t>
  </si>
  <si>
    <t>-</t>
  </si>
  <si>
    <t>ItemRevision</t>
  </si>
  <si>
    <t>Package</t>
  </si>
  <si>
    <t>hau.nguyen-tai</t>
  </si>
  <si>
    <t>bang.nguyen-duy</t>
  </si>
  <si>
    <t>dac.luu-cong</t>
  </si>
  <si>
    <t>loc.do-phu</t>
  </si>
  <si>
    <t>thanh.nguyen-kim</t>
  </si>
  <si>
    <t>chung.ly</t>
  </si>
  <si>
    <t>Database</t>
  </si>
  <si>
    <t>BB</t>
  </si>
  <si>
    <t>Ready for delivery</t>
  </si>
  <si>
    <t>Complete &amp; Closed</t>
  </si>
  <si>
    <t>ELOC Assigned</t>
  </si>
  <si>
    <t>ELOC Recheck With Tool</t>
  </si>
  <si>
    <t>Status Result</t>
  </si>
  <si>
    <t>PeerReviewer</t>
  </si>
  <si>
    <t>Estimation base TOOL</t>
  </si>
  <si>
    <t>Owner Contact</t>
  </si>
  <si>
    <t>Remark</t>
  </si>
  <si>
    <t>Please ensure your push correct the Package name with the TaskGroup</t>
  </si>
  <si>
    <t xml:space="preserve">+ Location for delivery to internal team: </t>
  </si>
  <si>
    <t>Location</t>
  </si>
  <si>
    <t>\\hc-ut40745c\Ban_Vien_external\Release\Gen_9.3</t>
  </si>
  <si>
    <t>+ Location Internal Project:</t>
  </si>
  <si>
    <t>\\hc-ut40346c\NHI5HC\hieunguyen\0000_Project</t>
  </si>
  <si>
    <t>\\hc-ut40346c\NHI5HC\hieunguyen\0000_Project\001_Prj\01_COEM\01_Output_Package</t>
  </si>
  <si>
    <t>+ Location Internal Your Output:</t>
  </si>
  <si>
    <t>+ Location Internal Your Release Output:</t>
  </si>
  <si>
    <t>\\hc-ut40346c\NHI5HC\hieunguyen\0000_Project\001_Prj\01_COEM\02_Release_Package</t>
  </si>
  <si>
    <t>Status Review</t>
  </si>
  <si>
    <t>Pending for OPL</t>
  </si>
  <si>
    <t>ASW: 130 ELOCs</t>
  </si>
  <si>
    <t>Task Group</t>
  </si>
  <si>
    <t>Effort (days)</t>
  </si>
  <si>
    <t>UT_Status</t>
  </si>
  <si>
    <t>EXTERNAL Nguyen Trung Hieu (Ban Vien, RBVH/EPS45)</t>
  </si>
  <si>
    <t>Done</t>
  </si>
  <si>
    <t>EXTERNAL Nguyen Tai Hau (Ban Vien, RBVH/EPS45)</t>
  </si>
  <si>
    <t>EXTERNAL Nguyen Duy Bang (Ban Vien, RBVH/EPS45)</t>
  </si>
  <si>
    <t>EXTERNAL Luu Cong Dac (Ban Vien, RBVH/EPS45)</t>
  </si>
  <si>
    <t>Total</t>
  </si>
  <si>
    <t>Judge Total KPI</t>
  </si>
  <si>
    <t>Duration</t>
  </si>
  <si>
    <t>MT_Needed</t>
  </si>
  <si>
    <t>MT_Number</t>
  </si>
  <si>
    <t>How to fill status</t>
  </si>
  <si>
    <t>Status: Passed/Failed</t>
  </si>
  <si>
    <t>Test_Result: Ready for review</t>
  </si>
  <si>
    <t>Nguyen Trung Hieu</t>
  </si>
  <si>
    <t>Nguyen Tai Hau</t>
  </si>
  <si>
    <t>Nguyen Duy Bang</t>
  </si>
  <si>
    <t>Luu Cong Dac</t>
  </si>
  <si>
    <t>17h00</t>
  </si>
  <si>
    <t>Time</t>
  </si>
  <si>
    <t>days</t>
  </si>
  <si>
    <t>Assigned
ELOCs</t>
  </si>
  <si>
    <t>Completed
ELOCs</t>
  </si>
  <si>
    <t>Effort
(days)</t>
  </si>
  <si>
    <t>Actual Effort
(days)</t>
  </si>
  <si>
    <t>Brief Description:</t>
  </si>
  <si>
    <t>Duration (Plan)</t>
  </si>
  <si>
    <t>Duration (Actual)</t>
  </si>
  <si>
    <t>- No comment</t>
  </si>
  <si>
    <t>Actual Effort (days)</t>
  </si>
  <si>
    <t>Num of OPLs</t>
  </si>
  <si>
    <t>Num of Defects</t>
  </si>
  <si>
    <t>Effort PSW (days)</t>
  </si>
  <si>
    <t>Effort ASW
(days)</t>
  </si>
  <si>
    <t>Holidays</t>
  </si>
  <si>
    <t>Reason for Fail Testcase</t>
  </si>
  <si>
    <t>Reason For code coverage</t>
  </si>
  <si>
    <t>OPL</t>
  </si>
  <si>
    <t>Summary</t>
  </si>
  <si>
    <t>huy.do-anh</t>
  </si>
  <si>
    <t>phuong.nguyen-thanh</t>
  </si>
  <si>
    <t>TaskID</t>
  </si>
  <si>
    <t>Type of Comment</t>
  </si>
  <si>
    <t>OPL/Defect</t>
  </si>
  <si>
    <t>Baseline</t>
  </si>
  <si>
    <t>Type of OPL/Defect</t>
  </si>
  <si>
    <t>Defect</t>
  </si>
  <si>
    <t>None</t>
  </si>
  <si>
    <t>10h00</t>
  </si>
  <si>
    <t>Nguyen Thanh Phuong</t>
  </si>
  <si>
    <t>Do Anh Huy</t>
  </si>
  <si>
    <t>Release Date</t>
  </si>
  <si>
    <t>JOEM</t>
  </si>
  <si>
    <t>COEM</t>
  </si>
  <si>
    <t>Total Package for all JOEM, COEM</t>
  </si>
  <si>
    <t>PSW: 45000 ELOCS</t>
  </si>
  <si>
    <t>ASW: 13000 ELOCS</t>
  </si>
  <si>
    <t>Nguyen Tuan Duong</t>
  </si>
  <si>
    <t>Do Phu Loc</t>
  </si>
  <si>
    <t>Nguyen Kim Thanh</t>
  </si>
  <si>
    <t>Ly Chung</t>
  </si>
  <si>
    <t>Team size</t>
  </si>
  <si>
    <t>OK</t>
  </si>
  <si>
    <t>NG</t>
  </si>
  <si>
    <t>Team:</t>
  </si>
  <si>
    <t>1. Completed ELOCs of the team from the beginning of Month till Now:</t>
  </si>
  <si>
    <t>2. Completed ELOCs of each member from the beginning of Month till Now:</t>
  </si>
  <si>
    <t>4. Found Defects/ OPLs in Month:</t>
  </si>
  <si>
    <t>5. Leave Plan:</t>
  </si>
  <si>
    <t>Refer</t>
  </si>
  <si>
    <t>EXTERNAL Do Anh Huy (Ban Vien, RBVH/EPS45)</t>
  </si>
  <si>
    <t>Phan The Nam</t>
  </si>
  <si>
    <t>Nguyen Tran Hoang Huy</t>
  </si>
  <si>
    <t>Nguyen Minh Chuong</t>
  </si>
  <si>
    <t>chuong.nguyen-minh</t>
  </si>
  <si>
    <t>nam.phan-the</t>
  </si>
  <si>
    <t>huy.nguyen-hoang</t>
  </si>
  <si>
    <t>1.0</t>
  </si>
  <si>
    <t xml:space="preserve"> </t>
  </si>
  <si>
    <t>Duong Chi Khang</t>
  </si>
  <si>
    <t>Now</t>
  </si>
  <si>
    <t>khang.duong-chi</t>
  </si>
  <si>
    <t>LOC Assigned</t>
  </si>
  <si>
    <t>LOC Assign</t>
  </si>
  <si>
    <t>Rank LOC</t>
  </si>
  <si>
    <t>Rank KPI</t>
  </si>
  <si>
    <t>duong.nguyen-tuan</t>
  </si>
  <si>
    <t>Remain</t>
  </si>
  <si>
    <t>LOC Complete without remain</t>
  </si>
  <si>
    <t>Remain previous month (late release)</t>
  </si>
  <si>
    <t>Refer Total KPI</t>
  </si>
  <si>
    <t>Total LOC complete without remain</t>
  </si>
  <si>
    <t>Redundant LOC</t>
  </si>
  <si>
    <t>Redundant Manday</t>
  </si>
  <si>
    <t>Test auto by cantata tool, No comment</t>
  </si>
  <si>
    <t>Test by manual, No comment</t>
  </si>
  <si>
    <t>Test auto by cantata tool, comment manual</t>
  </si>
  <si>
    <t>Test manual by cantata tool, comment manual</t>
  </si>
  <si>
    <t>Test: Auto; Cmt: Auto</t>
  </si>
  <si>
    <t>Test: Manual; Cmt: Auto</t>
  </si>
  <si>
    <t>Test: Auto; Cmt: Manual</t>
  </si>
  <si>
    <t>Test: Manual; Cmt: Manual</t>
  </si>
  <si>
    <t>EXTERNAL Duong Chi Khang (Ban Vien, RBVH/EPS45)</t>
  </si>
  <si>
    <t>PSA_EMP2V3_BL5S6_15ASW_22June</t>
  </si>
  <si>
    <t>T200</t>
  </si>
  <si>
    <t>T201</t>
  </si>
  <si>
    <t>T202</t>
  </si>
  <si>
    <t>T203</t>
  </si>
  <si>
    <t>T204</t>
  </si>
  <si>
    <t>T205</t>
  </si>
  <si>
    <t>EXTERNAL Nguyen Tuan Duong (Ban Vien, RBVH/EPS45)</t>
  </si>
  <si>
    <t>EXTERNAL Nguyen Thanh Phuong (Ban Vien, RBVH/EPS45)</t>
  </si>
  <si>
    <t>T206</t>
  </si>
  <si>
    <t>ESP93hevXEncapSWCust_ECU_CSW_BB97468.axl</t>
  </si>
  <si>
    <t>1.7.146314.0</t>
  </si>
  <si>
    <t>New</t>
  </si>
  <si>
    <t>1.3</t>
  </si>
  <si>
    <t>1.1</t>
  </si>
  <si>
    <t>ZHONG Yan (CC-AS/EVA-SW2-CN)</t>
  </si>
  <si>
    <t>11h00</t>
  </si>
  <si>
    <t>NA</t>
  </si>
  <si>
    <t>RN_SUV_BSS80</t>
  </si>
  <si>
    <t>1.1.1.0</t>
  </si>
  <si>
    <t>Note</t>
  </si>
  <si>
    <t>TCS_Ps_Switcher_BTC_Factor</t>
  </si>
  <si>
    <t>TCS_Ps_Switcher_BTC_SystGainAdj</t>
  </si>
  <si>
    <t>Man days</t>
  </si>
  <si>
    <t>Headcount</t>
  </si>
  <si>
    <t>Estimate total ELOCs cycle (16th Jul – 15th Aug)</t>
  </si>
  <si>
    <t>MT_026</t>
  </si>
  <si>
    <t>MT_040</t>
  </si>
  <si>
    <t>MT_054</t>
  </si>
  <si>
    <t>MT_071</t>
  </si>
  <si>
    <t>MT_072</t>
  </si>
  <si>
    <t>MT_073</t>
  </si>
  <si>
    <t>MT_074</t>
  </si>
  <si>
    <t>MT_075</t>
  </si>
  <si>
    <t>MT_076</t>
  </si>
  <si>
    <t>MT_077</t>
  </si>
  <si>
    <t>MT_078</t>
  </si>
  <si>
    <t>MT_079</t>
  </si>
  <si>
    <t>MT_080</t>
  </si>
  <si>
    <t>MT_081</t>
  </si>
  <si>
    <t>MT_082</t>
  </si>
  <si>
    <t>MT_083</t>
  </si>
  <si>
    <t>MT_084</t>
  </si>
  <si>
    <t>MT_085</t>
  </si>
  <si>
    <t>MT_086</t>
  </si>
  <si>
    <t>MT_087</t>
  </si>
  <si>
    <t>MT_089</t>
  </si>
  <si>
    <t>MT_090</t>
  </si>
  <si>
    <t>RBPduHandler_Callouts</t>
  </si>
  <si>
    <t>Otazawa, Takumi</t>
  </si>
  <si>
    <t>Delta</t>
  </si>
  <si>
    <t>TCS_OneWhlStable</t>
  </si>
  <si>
    <t>1.4</t>
  </si>
  <si>
    <t>MT_015</t>
  </si>
  <si>
    <t>MT_051</t>
  </si>
  <si>
    <t>MT_046</t>
  </si>
  <si>
    <t>MT_053</t>
  </si>
  <si>
    <t>MT_060</t>
  </si>
  <si>
    <t>MT_061</t>
  </si>
  <si>
    <t>MT_063</t>
  </si>
  <si>
    <t>MT_064</t>
  </si>
  <si>
    <t>MT_065</t>
  </si>
  <si>
    <t>MT_067</t>
  </si>
  <si>
    <t>No.</t>
  </si>
  <si>
    <t>ESDL</t>
  </si>
  <si>
    <t>Current Version</t>
  </si>
  <si>
    <t>Previous Version</t>
  </si>
  <si>
    <t>Previous Tester</t>
  </si>
  <si>
    <t>Planned Effort (hour)</t>
  </si>
  <si>
    <t>Remarks</t>
  </si>
  <si>
    <t>Code coverage</t>
  </si>
  <si>
    <t>C0 (%)</t>
  </si>
  <si>
    <t>C1 (%)</t>
  </si>
  <si>
    <t>MCDC(%)</t>
  </si>
  <si>
    <t>Description</t>
  </si>
  <si>
    <t>RBVH</t>
  </si>
  <si>
    <t>Template report for review in PLT</t>
  </si>
  <si>
    <t>MT_008</t>
  </si>
  <si>
    <t>MT_011</t>
  </si>
  <si>
    <t>MT_013</t>
  </si>
  <si>
    <t>TCS_Ps_Switcher_BTC_DiffNeeded</t>
  </si>
  <si>
    <t>MT_043</t>
  </si>
  <si>
    <t>MT_048</t>
  </si>
  <si>
    <t>MT_050</t>
  </si>
  <si>
    <t>MT_052</t>
  </si>
  <si>
    <t>MT_055</t>
  </si>
  <si>
    <t>MT_066</t>
  </si>
  <si>
    <t>MT_068</t>
  </si>
  <si>
    <t>VlcLsm_EmergencyReqProcessing</t>
  </si>
  <si>
    <t>VlcLsm_MainReqMod</t>
  </si>
  <si>
    <t>MT_069</t>
  </si>
  <si>
    <t>MT_070</t>
  </si>
  <si>
    <t>Out of team from 31-Jul</t>
  </si>
  <si>
    <t>UT_PHEVV1_BL17S1_6ASW_30July</t>
  </si>
  <si>
    <t>CRBESPhevXSingleChannel_ECU_CSW_BB00001.axl</t>
  </si>
  <si>
    <t>Pata_HMI_Interface</t>
  </si>
  <si>
    <t>MT_062</t>
  </si>
  <si>
    <t>-No MCDC</t>
  </si>
  <si>
    <t>BTC_SystGainAdj_Axe</t>
  </si>
  <si>
    <t>MT_088</t>
  </si>
  <si>
    <t>BAIC_BJEV_N60/N61_4WD_BL75_STRBJEV_C301</t>
  </si>
  <si>
    <t>TCS_Ps_Switcher_BTC_MbMax_VxBased</t>
  </si>
  <si>
    <t>TCS_Ps_Switcher_MTC_ReinitDnwd</t>
  </si>
  <si>
    <t>TCS_Ps_Switcher_RefSuppBrkTrq</t>
  </si>
  <si>
    <t>TCS_Ps_Switcher_VSE_LongTireForce_muLong_offset</t>
  </si>
  <si>
    <t>VSE_Ps_Switcher_cx</t>
  </si>
  <si>
    <t>MTC_ActuatorDistributor</t>
  </si>
  <si>
    <t>MTC_PIDFCtrl</t>
  </si>
  <si>
    <t>TCS_BrakeReqLimits</t>
  </si>
  <si>
    <t>TCS_MbMax_VxBased</t>
  </si>
  <si>
    <t>TCS_Ps_Switcher_BTC_TargetSlip_Whl</t>
  </si>
  <si>
    <t>TCS_Ps_Switcher_MTC_Co_eBasedColdStartCorrection</t>
  </si>
  <si>
    <t>TCS_RefSuppBrkTrqEst</t>
  </si>
  <si>
    <t>VSE_LongitudinalTireStiffness</t>
  </si>
  <si>
    <t>VSE_LongTireForce_MuLongOffset</t>
  </si>
  <si>
    <t>VSE_SupportRequest_TireForce</t>
  </si>
  <si>
    <t>ApbRequest_for_BJEV</t>
  </si>
  <si>
    <t>TrqLimit</t>
  </si>
  <si>
    <t>CRB_ESPhybrid_OutputInterface</t>
  </si>
  <si>
    <t>BL75_STRBJEV_C301</t>
  </si>
  <si>
    <t>BL03SP07</t>
  </si>
  <si>
    <t>CHENG Jie (CC-AS/EVA-SW1-CN)</t>
  </si>
  <si>
    <t>WANG Renrui (CC-AS/ESW5-CN)</t>
  </si>
  <si>
    <t>LeanTcs20msVseAxleSplit_ECU_CSW_BB00001.axl</t>
  </si>
  <si>
    <t>1.18.146314.0</t>
  </si>
  <si>
    <t>1.27.147315.0.301.1</t>
  </si>
  <si>
    <t>1.6.146310.0</t>
  </si>
  <si>
    <t>1.5.146322.2</t>
  </si>
  <si>
    <t>1.4.147310.0</t>
  </si>
  <si>
    <t>1.10.146322.1</t>
  </si>
  <si>
    <t>1.0.147310.0</t>
  </si>
  <si>
    <t>2.20.147.1</t>
  </si>
  <si>
    <r>
      <rPr>
        <b/>
        <sz val="11"/>
        <color rgb="FFFF0000"/>
        <rFont val="Calibri"/>
        <family val="2"/>
      </rPr>
      <t>CNMS</t>
    </r>
    <r>
      <rPr>
        <sz val="11"/>
        <color theme="1"/>
        <rFont val="Calibri"/>
        <family val="2"/>
      </rPr>
      <t>_226315_HevX_RPA_BL03SP07</t>
    </r>
  </si>
  <si>
    <t>-Param 1D: calib and non calib table is same</t>
  </si>
  <si>
    <t>Cancel UT</t>
  </si>
  <si>
    <t>WM_ASE-3_iB_BB99884_BSS06_STRWM_C401</t>
  </si>
  <si>
    <t>MT_047</t>
  </si>
  <si>
    <t>MT_049</t>
  </si>
  <si>
    <t>No found module in previous projects</t>
  </si>
  <si>
    <t xml:space="preserve">Statemachine - Tested Ver: [4.5.118.3 in TOY_UHD_BL4.1_Integration17_T2xx_MT_310#]  </t>
  </si>
  <si>
    <t xml:space="preserve">Tested Ver: [1.0.118.8 in TOY_UHD_BL4.1_Integration17_T from 211 to 220_MT_315#] </t>
  </si>
  <si>
    <t xml:space="preserve">Tested Ver: [ in Nissan L42P BSS34#] ; [1.23.42.1.118.1 in TOY_310B_1A_BugFix_Release_1_T01_MT_104#ATT] ; [1.29.144.0 in SMC_ESP93_BundleProjects_133(Y2R_ESP93)_T09_MT_008#] ; [1.29.118.0 in TOY_PF19_CMP_BL12_Integration08_T13_MT_332#] ; [1.34.118.0 in TOY_UHD_BL3_780B_Integration7_T07_MT_361#] </t>
  </si>
  <si>
    <t xml:space="preserve">Tested Ver: [ in Nissan L42P BSS34#] ; [1.29.42.1 in TOY_240B_CV_164B_CV_310B_FS_CV2_PreIntegration1_T58_MT_A230#ATT] ; [1.29.42.0.1.0.118.0 in TOY_403B_1A_Production_BaseSnapshot_T08_MT_318#None] ; [1.31.176.0 in RMN_CMP_R11_S2_T11_MT_452#] ; [1.31.118.0 in TOY_PF19_CMP_BL12_Integration08_T13_MT_333#] ; [1.38.118.0 in TOY_UHD_BL3_780B_Integration7_T07_MT_362#] </t>
  </si>
  <si>
    <t xml:space="preserve">2 Data - Tested Ver: [1.2.115.0 in PSA_PHEV1_BL16S2_83ASW#] ; [1.6.118.2 in TOY_800B_780B_CV1_Snapshot5_T500_510_MT_081#] </t>
  </si>
  <si>
    <t xml:space="preserve">Tested Ver: [1.6.118.3 in TOY_UHD_BL4.1_Integration17_T from 211 to 220_MT_347#] </t>
  </si>
  <si>
    <t xml:space="preserve">Tested Ver: [ in Nissan L42P BSS34#] ; [1.6.42.0.118.2 in TOY_310B_1A_BugFix_Release_1_T01_MT_109#ATT] ; [1.9.118.1 in TOY_PF19_CMP_BL12_Integration08_T14_MT_340#] ; [1.11.118.0 in TOY_UHD_BL3_780B_Integration7_T501_MT_371#] </t>
  </si>
  <si>
    <t xml:space="preserve">Tested Ver: [1.1.115.0 in PSA_PHEV1_BL16S2_83ASW#] Tested Ver: [1.1.176.3 in RMN_CMP_R11_S2_T11_MT_458#] </t>
  </si>
  <si>
    <t xml:space="preserve">Tested Ver: [1.1.176.3 in RMN_CMP_R11_S2_T11_MT_459#] ; [1.1.118.0 in TOY_PF19_CMP_BL12_Integration08_T14_MT_341#] ; [1.4.118.1 in TOY_UHD_BL3_780B_Integration7_T08_MT_372#] </t>
  </si>
  <si>
    <t xml:space="preserve">Tested Ver: [1.2.115.1 in PSA_PHEV1_BL16S2_83ASW#] ; [1.6.118.2 in TOY_800B_780B_CV1_Snapshot5_T500_510_MT_083#] </t>
  </si>
  <si>
    <t xml:space="preserve">Tested Ver: [1.1.118.0 in TOY_UHD_BL3_780B_Integration7_T09_MT_375#] </t>
  </si>
  <si>
    <t xml:space="preserve">Tested Ver: [1.1.118.0 in TOY_UHD_BL3_780B_Integration7_T09_MT_376#] </t>
  </si>
  <si>
    <t xml:space="preserve">Tested Ver: [4.1.143.0 in MMC_4P45_134424_T69_MT_440#] ; [ in Nissan L42P BSS34#] </t>
  </si>
  <si>
    <t xml:space="preserve">Tested Ver: [ in Nissan L42P BSS34#] ; [1.4.131.0 in Honda_CMP_BL08sp3SW_T08_MT_403#None] </t>
  </si>
  <si>
    <t xml:space="preserve">Tested Ver: [1.3 in TOY_310B_1A_BugFix_Release_1_T03_MT_124#ATT] </t>
  </si>
  <si>
    <t xml:space="preserve">Tested Ver: [1.0 in TOY_800B_780B_CV1_Snapshot5_T500_510_MT_102#] </t>
  </si>
  <si>
    <t xml:space="preserve">Tested Ver: [1.0 in TOY_800B_780B_CV1_Snapshot5_T500_510_MT_104#] </t>
  </si>
  <si>
    <t xml:space="preserve">Statemachine - Tested Ver: [1.1 in TOY_800B_780B_CV1_Snapshot5_T03_MT_114#] </t>
  </si>
  <si>
    <t xml:space="preserve">Statemachine - Tested Ver: [1.0 in TOY_800B_780B_CV1_Snapshot5_T500_510_MT_115#] </t>
  </si>
  <si>
    <t xml:space="preserve">Tested Ver: [1.1 in TOY_800B_780B_CV1_Snapshot5_T500_510_MT_116#] </t>
  </si>
  <si>
    <t xml:space="preserve">Tested Ver: [2.1.93.5 in TOY_800B_780B_CV1_Snapshot5_T500_510_MT_138#] </t>
  </si>
  <si>
    <t xml:space="preserve">Tested Ver: [1.2 in TOY_PF19_CMP_BL12_Integration08_T11_MT_344#] </t>
  </si>
  <si>
    <t xml:space="preserve">Tested Ver: [4.0.118.10.1.4 in TOY_800B_780B_CV1_Snapshot5_T500_510_MT_151#] </t>
  </si>
  <si>
    <t xml:space="preserve">Tested Ver: [6.10.1.6.0.5 in TOY_800B_780B_CV1_Snapshot5_T500_510_MT_153#] </t>
  </si>
  <si>
    <t xml:space="preserve">Tested Ver: [6.3 in TOY_UHD_BL4.1_Integration17_T from 211 to 220_MT_369#] </t>
  </si>
  <si>
    <t xml:space="preserve">Tested Ver: [ in TOY_UHD_BL4.1_Integration17_T2xx_MT_081#] </t>
  </si>
  <si>
    <t xml:space="preserve">Cancelled Ver: [ in TOY_UHD_BL4.1_Integration17_None_MT_122##Reason: Re-use Hoa] ; [ in TOY_800B_780B_CV1_Snapshot5_None_None##Reason: Same version tested in TOY_UHD_BL4.1_Integration17] </t>
  </si>
  <si>
    <t xml:space="preserve">Tested Ver: [ in TOY_UHD_BL4.1_Integration17_T06_MT_170#] </t>
  </si>
  <si>
    <t xml:space="preserve">Tested Ver: [ in TOY_UHD_BL4.1_Integration17_T2xx_MT_196#] </t>
  </si>
  <si>
    <t>TOY_800B_780B_CV1_Snapshot5_T04_MT_046</t>
  </si>
  <si>
    <t xml:space="preserve">Tested Ver: [ in TOY_PF19_CMP_BL16_Integration_36_T2xx_MT_029#] ; [ in TOY_UHD_BL4.1_Integration17_T from 511 to 520_MT_205#] </t>
  </si>
  <si>
    <t xml:space="preserve">Tested Ver: [ in TOY_PF19_CMP_BL16_Integration_36_T2xx_MT_030#] ; [ in TOY_UHD_BL4.1_Integration17_T03_MT_206#] </t>
  </si>
  <si>
    <t>TOY_800B_780B_CV1_Snapshot5_T500_510_MT_052</t>
  </si>
  <si>
    <t xml:space="preserve">Tested Ver: [ in TOY_UHD_BL4.1_Integration17_T from 511 to 520_MT_223#] </t>
  </si>
  <si>
    <t xml:space="preserve">Tested Ver: [ in TOY_UHD_BL4.1_Integration17_T01_MT_224#] </t>
  </si>
  <si>
    <t>PCA_Enable_Axle</t>
  </si>
  <si>
    <t>PCA_Enable_Veh</t>
  </si>
  <si>
    <t>AEB_AutomaticBraking_SM</t>
  </si>
  <si>
    <t>AVH_TriggerStandbyOn</t>
  </si>
  <si>
    <t>BTC_HiWhlRecovery</t>
  </si>
  <si>
    <t>BTC_OpModeSelector</t>
  </si>
  <si>
    <t>TCS_Ps_Switcher_BTC_HiUnst_MbEstDiffSet</t>
  </si>
  <si>
    <t>TCS_Ps_Switcher_BTC_MbColdstartOpPt_wMF</t>
  </si>
  <si>
    <t>TCS_Ps_Switcher_BTC_WhlSwapTranquiliser</t>
  </si>
  <si>
    <t>TCS_Ps_Switcher_TCS_CoreBrkReqCoordinator</t>
  </si>
  <si>
    <t>RMIstate_t03_cond</t>
  </si>
  <si>
    <t>MEADistributionSituation</t>
  </si>
  <si>
    <t>RBRFPEC_BridgeDriverMonitoring</t>
  </si>
  <si>
    <t>BuzzerOperationRequestArbitrator</t>
  </si>
  <si>
    <t>Toyota_DAC_MID</t>
  </si>
  <si>
    <t>Toyota_DAC_Targetspeed</t>
  </si>
  <si>
    <t>Toyota_IntgSW_CrawlStatemachine</t>
  </si>
  <si>
    <t>Toyota_IntgSW_DACStatemachine</t>
  </si>
  <si>
    <t>Toyota_IntgSW_PostSignalProcessing</t>
  </si>
  <si>
    <t>Toyota_PCS_Testmode</t>
  </si>
  <si>
    <t>Toyota_WheelDirection</t>
  </si>
  <si>
    <t>Toyota_Pata_ModeSelectionOutput</t>
  </si>
  <si>
    <t>Toyota_PHI_Toy_RampTimeTime</t>
  </si>
  <si>
    <t>Toyota_PHI_vhcDeactRampTimeTime</t>
  </si>
  <si>
    <t>RBHMI_ExtendedStateCalculation_TOYOTA</t>
  </si>
  <si>
    <t>NET_CommunicationInvalidConfig</t>
  </si>
  <si>
    <t>RBVAR_SubFunctions</t>
  </si>
  <si>
    <t>APLEOL09_AXSENSORCALIBRATION_TOYOTA</t>
  </si>
  <si>
    <t>InspectionModeInterfaceFunctions_TOYOTA</t>
  </si>
  <si>
    <t>RBAPLCUST_RoutineControl_LampActuation0x1101-0x1159</t>
  </si>
  <si>
    <t>NET_CommunicationInvalid_TOYOTA</t>
  </si>
  <si>
    <t>NET_SCL_RcvECT1G01_TOY</t>
  </si>
  <si>
    <t>NET_SCL_RcvYGS1G03_TOY</t>
  </si>
  <si>
    <t>NET_SCL_XmtVSC1G07_TOY</t>
  </si>
  <si>
    <t>NET_SCL_XmtVSC1G13_TOY</t>
  </si>
  <si>
    <t>NET_SCL_XmtVSC1G14_TOY</t>
  </si>
  <si>
    <t>NET_SCL_XmtVSC1S95_TOY</t>
  </si>
  <si>
    <t>NET_SCL_XmtVSC1S97_TOY</t>
  </si>
  <si>
    <t>NET_SSAZ_XFA_TOYOTA</t>
  </si>
  <si>
    <t>5.6.118.0</t>
  </si>
  <si>
    <t>6.4.118.0</t>
  </si>
  <si>
    <t>4.5.118.5</t>
  </si>
  <si>
    <t>1.0.118.9</t>
  </si>
  <si>
    <t>1.34.118.1</t>
  </si>
  <si>
    <t>1.38.118.1</t>
  </si>
  <si>
    <t>1.6.118.3</t>
  </si>
  <si>
    <t>1.6.118.4</t>
  </si>
  <si>
    <t>1.11.118.1</t>
  </si>
  <si>
    <t>1.2.118.1</t>
  </si>
  <si>
    <t>1.4.118.2</t>
  </si>
  <si>
    <t>1.3.118.1</t>
  </si>
  <si>
    <t>1.1.118.1</t>
  </si>
  <si>
    <t>1.1.118.2</t>
  </si>
  <si>
    <t>4.2.118.0</t>
  </si>
  <si>
    <t>1.4.118.0</t>
  </si>
  <si>
    <t>[UUID _sp39EFWBEee7WtzKYnV0Cg]</t>
  </si>
  <si>
    <t>1.2.1.0</t>
  </si>
  <si>
    <t>2.1.93.6</t>
  </si>
  <si>
    <t>4.0.118.10.1.5</t>
  </si>
  <si>
    <t>6.10.1.6.0.7</t>
  </si>
  <si>
    <t>6.4</t>
  </si>
  <si>
    <t>[UUID _eZdtAG2hEem8ls9n_JMkWQ]</t>
  </si>
  <si>
    <t>[UUID _7H5_MHY4EemT8e4o0sHAHA]</t>
  </si>
  <si>
    <t>[UUID _TYNw4fd6EeefAbOIs-wp4g]</t>
  </si>
  <si>
    <t>[UUID _p6FCYOuUEeenDaQrDAfw8A]</t>
  </si>
  <si>
    <t>[UUID _cbTwkEcuEea3_e6PXjAwSA]</t>
  </si>
  <si>
    <t>[UUID __OeAUZ8jEeW9yO55Mv01Xg]</t>
  </si>
  <si>
    <t>[UUID _BYPpMD7mEearLcoWvqvUmA]</t>
  </si>
  <si>
    <t>[UUID _MWebUDNOEem3jZk4sk4BjQ]</t>
  </si>
  <si>
    <t>[UUID _MWu6ADNOEem3jZk4sk4BjQ]</t>
  </si>
  <si>
    <t>[UUID _MWMHcDNOEem3jZk4sk4BjQ]</t>
  </si>
  <si>
    <t>[UUID _MXB08DNOEem3jZk4sk4BjQ]</t>
  </si>
  <si>
    <t>[UUID _MXmcsDNOEem3jZk4sk4BjQ]</t>
  </si>
  <si>
    <t>[UUID _MXUI0DNOEem3jZk4sk4BjQ]</t>
  </si>
  <si>
    <t>[UUID _MXNbIDNOEem3jZk4sk4BjQ]</t>
  </si>
  <si>
    <t>[UUID _MWkh8DNOEem3jZk4sk4BjQ]</t>
  </si>
  <si>
    <t>[UUID _MWUDQDNOEem3jZk4sk4BjQ]</t>
  </si>
  <si>
    <t>TOY_800B_780B_CV1_Snapshot19</t>
  </si>
  <si>
    <t>Vinothkumar, Kuppusamy</t>
  </si>
  <si>
    <t>Bade, Kishore</t>
  </si>
  <si>
    <t>Swetha Rajegowda, Nanjegowda</t>
  </si>
  <si>
    <t>Varghese, Anisha Mariam</t>
  </si>
  <si>
    <t>Sahu, Ashish Kumar</t>
  </si>
  <si>
    <t>Vivek Parashar (RBEI/ESJ6)</t>
  </si>
  <si>
    <t>Sourab, Gopal Rao</t>
  </si>
  <si>
    <t>Thomas, George</t>
  </si>
  <si>
    <t>Rajendrakumar, Karthika</t>
  </si>
  <si>
    <t>Ramesh, Pulipati</t>
  </si>
  <si>
    <t>Behera, Sourav</t>
  </si>
  <si>
    <t>Justin X (RBEI/ESJ3)</t>
  </si>
  <si>
    <t>Jotheshwari Subramanian (RBEI/ESJ1)</t>
  </si>
  <si>
    <t>Wagner Steffen (CC-AS/EAB1)</t>
  </si>
  <si>
    <t>Krithika Premkumar (RBEI/ESJ32)</t>
  </si>
  <si>
    <t>Rajeev Ranjan (RBEI/ESJ33)</t>
  </si>
  <si>
    <t>Chandrasekar Ramasamy (RBEI/ESJ33)</t>
  </si>
  <si>
    <t>Line #558: Cannot cover FALSE case of else if(LINE1_ON == ls_PresentLine1State_u8) because ls_PresentLine1State_u8 only had 2 value LINE1_ON or LINE1_OFF (at line #532)</t>
  </si>
  <si>
    <t>Line #87: Can't cover outrange max of tHoldMb += P_dT_TCS because if tHoldMb = 50 (max value) -&gt; tHoldMb &gt; P_HoldBrakeTorque_TimeDuration (max: 0.5) -&gt; this line never reach</t>
  </si>
  <si>
    <t>Line#7, #8, #9, #10, #11: cannot cover out range max for l_t03_cond_RMI because limited statement at line 5</t>
  </si>
  <si>
    <t>Param 1D cannot cover full C0/C1
Line #65: Cannot cover outrange max of tRampUp += P_dT_TCS(0.02-noncalibration) because if tRampUp = 2[max value] -&gt; tRampUp &gt; P_tRampUp[max value = 1] -&gt; decision at line #57 = FALSE -&gt; this line never reach</t>
  </si>
  <si>
    <t>Param 1D can't cover full C0/C1</t>
  </si>
  <si>
    <t>line2</t>
  </si>
  <si>
    <t>Line#5: cannot cover false case at line 5 because when line 5 false =&gt; line 1 true =&gt; line 5 cannot reach</t>
  </si>
  <si>
    <t>Param1D, Can't cover full C0/C1</t>
  </si>
  <si>
    <t>BB99711</t>
  </si>
  <si>
    <t>Cannot cover full C0C1 becasue Param 1D and Param 2D.
===========
CoWheeli_FA () return: Cannot cover out range max for CoWheelo_FA[0;2] because CoSlWheelFAF[0;1] and P_CoWeightFA_ay[0;1].
===========
CoWheeli_RA () return: Cannot cover out range max for CoWheeli_RA[0;2] because P_CoWeightFA_ay[0;1] and CoTemp[0;1].
=========== 
CoWheelo_FA () return: Cannot cover out range max for CoWheelo_FA[0;2] because P_CoWeightFA_ay[0;1] and CoTemp[0;1].
===========
CoWheelo_RA () return: Cannot cover out range max for CoWheelo_RA[0;2] because CoSlWheelFAF[0;1] and P_CoWeightFA_ay[0;1].</t>
  </si>
  <si>
    <t>T500</t>
  </si>
  <si>
    <t>T501</t>
  </si>
  <si>
    <t>T502</t>
  </si>
  <si>
    <t>T503</t>
  </si>
  <si>
    <t>T504</t>
  </si>
  <si>
    <t>T505</t>
  </si>
  <si>
    <t>1. I can’t cover MCDC 10 of decision (!MTCActive_Axe_K1 &amp;&amp; MTCActive_Axe) at line 81 because it makes decision (MbMaxBTCSym_Axe &lt;= 0) at line 73 comes TRUE. 
2. I can’t cover min value of KpPT1_MMotTar_Dyn (less than 0.02) and max value of KpPT1_MMotTar_Dyn (greater than 1) at line 123
3. I can’t cover min value of MTarF_Axe (less than -30000) and max value of MTarF_Axe (greater than 30000) at line 127
4. I can’t cover min value of MbTarBTCSymF_Axe (less than 0) and max value of MbTarBTCSymF_Axe (greater than 60000) at line 157</t>
  </si>
  <si>
    <t>1. I can’t cover MCDC 0100 of decision (ActuatorSaturated||(!PID_Active_K1&amp;&amp;PID_Active)||Reinit) at line 99 because it conflict with decision if (PID_Active) at line 89.
2. I can’t cover MCDC 101 of decision (PID_Active_K1&amp;&amp;PID_Active&amp;&amp;MRoadAxS_Valid) at line 116 because it conflict with decision if (PID_Active) at line 89.
3. I can’t cover min value of PID_I (less than -30000) at line 109
4. I can’t cover min value of PID_I (less than -30000) and max value of PID_I (greater than 30000) at line 159
5. I can’t cover min value of PID_I (less than -30000) and max value of PID_I (greater than 30000) at line 166</t>
  </si>
  <si>
    <t>Param 2D can't cover full C0/C1
Line #43, can not cover for case division by zero. Because this line depend on conditon at line #36 (vhcdtRamp1 &lt;= C_LDMdT).
Line #55, can not cover for case division by zero. Because this line depend on conditon at line #36 (vhcdtRamp2 &lt;= C_LDMdT).
Line #50, can not cover for case (SsmpVehStartRollFreeze - 0.0 )* C_LDMfdT &lt; -32768512 ( implement value ). Because:
 - Imported of C_LDMfdT is P_LDMdT and it is noncalibration. Default value of C_LDMfdT is 12800 ( implement value ).
 - Implement range of SsmpVehStartRollFreeze from -640 to 12800.
 - So that,  (SsmpVehStartRollFreeze - 0.0 )* C_LDMfdT = ( -640 - 0 )* 12800 = - 8 192 000 can not less than -32768512.
Line #56, can not cover for case (SsmpVehStartRollFreeze - 0.0 ) * vhcfRampAct2 &lt; -32768512 ( implement value ). Because:
 - Implement range of SsmpVehStartRollFreeze from -640 to 12800.
 - vhcfRampAct2 = 1/vhcdtRamp2 in line #55. Value of variable vhcdtRamp2 must be greater than 0.02 ( FALSE result of conditon vhcdtRamp2 &lt;= C_LDMdT to perform line #56 ). So that vhcfRampAct2 &lt; 50 ( or less than 12 800 with implement value ).</t>
  </si>
  <si>
    <t>-Owner confirms no impact.</t>
  </si>
  <si>
    <t>-4 Param1D, have not MCDC</t>
  </si>
  <si>
    <t>-4 Param1D. -Check plt: Enum variables failed, have not MCDC, but enum value is correct.</t>
  </si>
  <si>
    <t>221619_DFSK_F513_ESP9.3_BL06_SP01</t>
  </si>
  <si>
    <t>NET_SCL_Rx_APB_DFSK.c</t>
  </si>
  <si>
    <t>RBVAR_SystemStateManagement_PROJECT.c</t>
  </si>
  <si>
    <t>rba_BldrCmp_Cfg_CheckMem.c</t>
  </si>
  <si>
    <t>rba_BldrCmp_Cfg_FlashIf.c</t>
  </si>
  <si>
    <t>rba_BldrCmp_Cfg_Functions.c</t>
  </si>
  <si>
    <t>rba_BldrCmp_Cfg_PrjFunctions.c</t>
  </si>
  <si>
    <t>rba_BldrCmp_Cfg_SecA.c</t>
  </si>
  <si>
    <t>rba_AS_HWProt.c</t>
  </si>
  <si>
    <t>rba_BldrCmp.c</t>
  </si>
  <si>
    <t>rba_BldrCmp_2EWriteDataByIdentifier.c</t>
  </si>
  <si>
    <t>rba_BldrCmp_10DiagnosticSessionControl.c</t>
  </si>
  <si>
    <t>rba_BldrCmp_11EcuReset.c</t>
  </si>
  <si>
    <t>rba_BldrCmp_22ReadDataByIdentifier.c</t>
  </si>
  <si>
    <t>rba_BldrCMP_27SecurityAccess.c</t>
  </si>
  <si>
    <t>rba_BldrCmp_28CommunicationControl.c</t>
  </si>
  <si>
    <t>rba_BldrCmp_31RoutineControl.c</t>
  </si>
  <si>
    <t>rba_BldrCmp_31RoutineControl_Chkmem.c</t>
  </si>
  <si>
    <t>rba_BldrCmp_31RoutineControl_Chkpd.c</t>
  </si>
  <si>
    <t>rba_BldrCmp_31RoutineControl_Er.c</t>
  </si>
  <si>
    <t>rba_BldrCmp_34RequestDownload.c</t>
  </si>
  <si>
    <t>rba_BldrCmp_36TransferData.c</t>
  </si>
  <si>
    <t>rba_BldrCmp_36TransferData_Decomp.c</t>
  </si>
  <si>
    <t>rba_BldrCmp_37RequestTransferExit.c</t>
  </si>
  <si>
    <t>rba_BldrCmp_85ControlDTCSettings.c</t>
  </si>
  <si>
    <t>rba_BldrCmp_CheckMemTask.c</t>
  </si>
  <si>
    <t>rba_BldrCmp_DataHdl.c</t>
  </si>
  <si>
    <t>rba_BldrCmp_LogBlkHdl.c</t>
  </si>
  <si>
    <t>rba_BldrCmp_ServiceCondCheck.c</t>
  </si>
  <si>
    <t>rba_BldrCmp_Task_BootRunTimer.c</t>
  </si>
  <si>
    <t>rba_BldrCmp_Task_SADelayTimer.c</t>
  </si>
  <si>
    <t>NET_ChecksumLib_WM.c</t>
  </si>
  <si>
    <t>NET_MonitoringClasses_WM.c</t>
  </si>
  <si>
    <t>NET_PostrunHMIStrategy_WM.c</t>
  </si>
  <si>
    <t>WM_NET_buttonsts_Callout.c</t>
  </si>
  <si>
    <t>WM_NET_HMIPostrun_Callout.c</t>
  </si>
  <si>
    <t>Tran Minh Nhut (RBVH/EAS13)</t>
  </si>
  <si>
    <t>Tran Phuoc Tai (RBVH/ETA22)</t>
  </si>
  <si>
    <t>WU Yuping (CC-AS/EVA-SW33-CN)</t>
  </si>
  <si>
    <t>DFSK_ESP93_Mainstream_Int</t>
  </si>
  <si>
    <t>GWM_CP_Stream_Int</t>
  </si>
  <si>
    <t>WM_ASE3_iBooster_HADHAP_Init</t>
  </si>
  <si>
    <t>-Owner confirm because of low resolution of parametter, so don't need to check exactly value of this parametter</t>
  </si>
  <si>
    <t>BL06_SP01</t>
  </si>
  <si>
    <t>BSS06_STRWM_C401</t>
  </si>
  <si>
    <t>BB99584</t>
  </si>
  <si>
    <t>BB99884</t>
  </si>
  <si>
    <t>EC02 Korea BSS14</t>
  </si>
  <si>
    <t>BSS14</t>
  </si>
  <si>
    <t>-7 Dataset ,4 Param1D</t>
  </si>
  <si>
    <t>-7 Dataset ,4 Param1D, Check plt: Enum variables failed, have not MCDC, but enum value is correct.</t>
  </si>
  <si>
    <t>-No MCDC, Param 1D, 2D</t>
  </si>
  <si>
    <t>Param1D so can't cover full C0,C1</t>
  </si>
  <si>
    <t>-2 Subclass. -Check plt: Enum variables failed, have not MCDC, but enum value is correct. Owner confirm no impact</t>
  </si>
  <si>
    <t>DFSK_ESP93_Mainstream_Int\MainstreamF30\rb\as\dfsk\CpiwAPB\app\net\RBScl_BB99582\src</t>
  </si>
  <si>
    <t>GWM_CP_Stream_Int\rba.FBL.SW.ApplicationLayer.rba_BldrCmp\src</t>
  </si>
  <si>
    <t>DFSK_ESP93_Mainstream_Int\MainstreamF30\rb\as\dfsk\CpiwAPB\app\dsm\RBVAR_BB99584\src</t>
  </si>
  <si>
    <t>HHT_VX1_iBooster_Gen2_BL3_Sprint3</t>
  </si>
  <si>
    <t>HHT_VX1_ESPHevX_BL3_Sprint2</t>
  </si>
  <si>
    <t>HHT_VX1_ESPHevX_BL3</t>
  </si>
  <si>
    <t>2.5.805.0</t>
  </si>
  <si>
    <t>ComScl_Scl_EB_FD_2_Tx.c</t>
  </si>
  <si>
    <t>ComScl_UserDefinedProcessing.c</t>
  </si>
  <si>
    <t>HHT_CampingMode_ChargingSt_VDCMAutoLock</t>
  </si>
  <si>
    <t>CTRL_GetClutchEngTrigger</t>
  </si>
  <si>
    <t>BL3_Sprint3</t>
  </si>
  <si>
    <t>BL3_Sprint2</t>
  </si>
  <si>
    <t>BL3</t>
  </si>
  <si>
    <t>HU Nannan (BEG/ESW-CN)</t>
  </si>
  <si>
    <t>YAN Jiebing (BEG/ESW-CN)</t>
  </si>
  <si>
    <t>CHEN Xu (BEG/ECA1-CN)</t>
  </si>
  <si>
    <t>HHT_VX1_IB2_Carbon_Int</t>
  </si>
  <si>
    <t>HHT_VX1_ESPHevX_Carbon_Int</t>
  </si>
  <si>
    <t>CM_APB_hevX_BB80426.axl</t>
  </si>
  <si>
    <t>APB_Ctrl_20ms.axl</t>
  </si>
  <si>
    <t>BB80428</t>
  </si>
  <si>
    <t>Line #409: Can't cover false case. Because the condition at line #391 (vfzref &lt;= P_V_thr_low_AUTOLSD), and the condition at line #402 ((vfzref &gt; P_V_thr_low_AUTOLSD) &amp;&amp; (vfzref &lt; P_V_thr_high_AUTOLSD)), and condition at line #409 (vfzref &gt;= P_V_thr_high_AUTOLSD).
Line #561: Can't cover false case. Because the condition at line #543 (vfzref &lt;= P_V_thr_low_AUTOLSD), and the condition at line #554 ((vfzref &gt; P_V_thr_low_AUTOLSD) &amp;&amp; (vfzref &lt; P_V_thr_high_AUTOLSD)), and condition at line #561 (vfzref &gt;= P_V_thr_high_AUTOLSD).
Line #790: Can't cover false case. Because the condition at line #772 (vfzref &lt;= P_V_thr_low_AUTOLSD), and the condition at line #783 ((vfzref &gt; P_V_thr_low_AUTOLSD) &amp;&amp; (vfzref &lt; P_V_thr_high_AUTOLSD)), and condition at line #790 (vfzref &gt;= P_V_thr_high_AUTOLSD).
Line #806: Can't cover false case. Because of the condition at line #797 and line #802. =&gt; vfzref much be greater than P_V_thr_low_AUTOLSD 
     + if  vfzref is less than P_V_thr_high_AUTOLSD. =&gt; if the variable AutoLSDActive == true then codition at line #802 is TRUE, if the variable AutoLSDActive == false then codition at line #806 is TRUE.
     + if vfzref is greater than or equal to P_V_thr_high_AUTOLSD. =&gt; condition at line #790 is TRUE. =&gt; AutoLSDActive is set to TRUE. =&gt; condition at line #806 is TRUE.</t>
  </si>
  <si>
    <t>HHT_VX1_IB2_Carbon_Int\iBoosterGen2\rb\as\hht\vx1\netpr\gen\Cubas\CAN_OBD_Off\src</t>
  </si>
  <si>
    <t>+ At line #200 cant cover full C0/C1 because if velocity &lt; P_V_thr_high_AUTOLSD then go to branch at line 196.</t>
  </si>
  <si>
    <t xml:space="preserve">- Can’t cover case T &amp;&amp; F of decision else if((SecLevel_u8 != RBA_BLDRCMP_SA_SEC_LEV_EXTENDED) &amp;&amp; (CurrentSession_u8 == RBA_BLDRCMP_DSC_EXTENDED_DIAGNOSTIC_SESSION))  at line #137
</t>
  </si>
  <si>
    <t>-Owner confirm it can be ignore</t>
  </si>
  <si>
    <t>Line #232 Cannot cover C0C1 because l_BB_b alsway equal false.</t>
  </si>
  <si>
    <t>T506</t>
  </si>
  <si>
    <t>GWM_CP_Stream_Int\rba\FBL\SW\ApplicationLayer\rba_BldrCmp\src\rba_BldrCmp_2EWriteDataByIdentifier.c</t>
  </si>
  <si>
    <t>GWM_CP_Stream_Int\rba\FBL\SW\ApplicationLayer\rba_BldrCmp\src\rba_BldrCmp_10DiagnosticSessionControl.c</t>
  </si>
  <si>
    <t>GWM_CP_Stream_Int\rba\FBL\SW\ApplicationLayer\rba_BldrCmp\src\rba_BldrCmp_11EcuReset.c</t>
  </si>
  <si>
    <t>GWM_CP_Stream_Int\rba\FBL\SW\ApplicationLayer\rba_BldrCmp\src\rba_BldrCmp_22ReadDataByIdentifier.c</t>
  </si>
  <si>
    <t>GWM_CP_Stream_Int\rba\FBL\SW\ApplicationLayer\rba_BldrCmp\src\rba_BldrCMP_27SecurityAccess.c</t>
  </si>
  <si>
    <t>GWM_CP_Stream_Int\rba\FBL\SW\ApplicationLayer\rba_BldrCmp\src\rba_BldrCmp_28CommunicationControl.c</t>
  </si>
  <si>
    <t>GWM_CP_Stream_Int\rba\FBL\SW\ApplicationLayer\rba_BldrCmp\src\rba_BldrCmp_31RoutineControl.c</t>
  </si>
  <si>
    <t>In ASCET6, Unable to cover all interpolation types for 1D/2D parameters
Line#38: Unable to coverage out range min because PhiDeltaPreesureLimit must &gt; -10 in order to get inside at line#33. And C_PhipDeltaPresLimitRamp1 has a range (-10, 10)
Line#43: Unable to coverage vhcdtRamp1 ==0 because vhcdtRamp1 must &gt; C_LDMdT (0, 327.675) to false condition in line#36
Line#44: Unable to coverage out range min because PhiDeltaPreesureLimit must &gt; -10 in order to get inside at line#33. And C_PhipDeltaPresLimitRamp1 has a range (-10, 10)
Line#55: Unable to coverage out range min because C_LDMfdT alwyas = 50, C_OneBitpGrad_return always = 0.125 
Line#60: Unable to coverage vhcdtRamp1 ==0 because vhcdtRamp1 must &gt; C_LDMdT (0, 327.675) to false condition in line#53
Line#61: Unable to coverage out range min because vhcfRampAct2 = 1/vhcdtRamp2 at line#60. vhcdtRamp2 is set by Param2D at line#23 C_PhitRamp2D2 (0,4) with tolerance 0.005, C_LDMdT always = 0.02</t>
  </si>
  <si>
    <t>Yes</t>
  </si>
  <si>
    <t>rba\Bldr\config\ApplicationLayer\rba_BldrCmp\src\rba_BldrCmp_Cfg_CheckMem.c</t>
  </si>
  <si>
    <t>rba\Bldr\config\ApplicationLayer\rba_BldrCmp\src\rba_BldrCmp_Cfg_FlashIf.c</t>
  </si>
  <si>
    <t>rba\Bldr\config\ApplicationLayer\rba_BldrCmp\src\rba_BldrCmp_Cfg_Functions.c</t>
  </si>
  <si>
    <t>rba\Bldr\config\ApplicationLayer\rba_BldrCmp\src\rba_BldrCmp_Cfg_PrjFunctions.c</t>
  </si>
  <si>
    <t>rba\Bldr\config\ApplicationLayer\rba_BldrCmp\src\rba_BldrCmp_Cfg_SecA.c</t>
  </si>
  <si>
    <t>rba\Bldr\config\Infrastruct\rba_AS_HWProt\src\rba_AS_HWProt.c</t>
  </si>
  <si>
    <t>HHT_VX1_IB2_Carbon_Int\iBoosterGen2\rb\as\hht\vx1\netpr\src</t>
  </si>
  <si>
    <t>HHT_VX1_ESPHevX_Carbon_Int\HHTESPHevX\rb\as\hht\core\app\net\RBScl\src</t>
  </si>
  <si>
    <t>EXTERNAL Ly Chung (Ban Vien, RBVH/EPS45)</t>
  </si>
  <si>
    <t>ToyCamry_OdoOutputSignalExport_5ms</t>
  </si>
  <si>
    <t>Toyota_RingCounter_Odo</t>
  </si>
  <si>
    <t>RBHMI_ConfigOutputDriver_TOYOTA</t>
  </si>
  <si>
    <t>RBHMI_Synchronisation_TOYOTA</t>
  </si>
  <si>
    <t>SecOC_PduRIF</t>
  </si>
  <si>
    <t>TOY_DEM_Implementation</t>
  </si>
  <si>
    <t>RBAPLCUST_IOCBI_2F</t>
  </si>
  <si>
    <t>RBAPLCUST_IOControl_DID_2802</t>
  </si>
  <si>
    <t>RBAPLCUST_Processes_TOYOTA</t>
  </si>
  <si>
    <t>RBAPLCUST_Read_SSR_TSR_TOYOTA</t>
  </si>
  <si>
    <t>RBAPLCUST_RecordOnBehavior</t>
  </si>
  <si>
    <t>RBAPLCUST_ROBDID_Functions</t>
  </si>
  <si>
    <t>SnapshotRecordFunctions_TOYOTA</t>
  </si>
  <si>
    <t>SystemActiveCheckMain_TOYOTA</t>
  </si>
  <si>
    <t>TimeSeriesFreezeFrameDataFunctions_TOYOTA</t>
  </si>
  <si>
    <t>TripTimeCountersMain_TOYOTA</t>
  </si>
  <si>
    <t>NET_SST_TOYOTA</t>
  </si>
  <si>
    <t>TOY_PF19_CMP_BL17_Integration_3</t>
  </si>
  <si>
    <t>MT_142</t>
  </si>
  <si>
    <t>MT_146</t>
  </si>
  <si>
    <t>MT_147</t>
  </si>
  <si>
    <t>MT_029</t>
  </si>
  <si>
    <t>MT_031</t>
  </si>
  <si>
    <t>MT_036</t>
  </si>
  <si>
    <t>MT_037</t>
  </si>
  <si>
    <t>MT_056</t>
  </si>
  <si>
    <t>BB97973</t>
  </si>
  <si>
    <t>Check version 6.10.1.6.0.5</t>
  </si>
  <si>
    <t>Should Auto</t>
  </si>
  <si>
    <t>6.10.1.7</t>
  </si>
  <si>
    <t>6.1.1.1</t>
  </si>
  <si>
    <t>6.2.1.2</t>
  </si>
  <si>
    <t>Sowmiya S (RBEI/ESJ31)</t>
  </si>
  <si>
    <t>Yuvaraju Raju (RBEI/ESJ32)</t>
  </si>
  <si>
    <t>Bordoloi Ananya (RBEI/ESJ32)</t>
  </si>
  <si>
    <t>Rayapudi Susmitha (RBEI/ESJ31)</t>
  </si>
  <si>
    <t>Sambrani Rakesh (RBEI/ESJ31)</t>
  </si>
  <si>
    <t>- Get assignment phase 1:8/13/2020 =&gt; Complete 8/18/2020</t>
  </si>
  <si>
    <t>- Class has 5 param 2D, 5 param 1D</t>
  </si>
  <si>
    <t>Line #378, can not cover for case l_ActYear_u16 &lt; 1. Because l_ActYear_u16 = l_ActYear_u16 + (UW)l_GPSTM_Y_u8, macro C_BaseYear_u16 can not change value and l_GPSTM_Y_u8 is unsign number.</t>
  </si>
  <si>
    <t>- Can’t cover min at line #79 for value MbWhlMax_NoMotInt  and line#96 for value MbWhlMax_BTCSym_RA.
- Can’t cover max at line #86 for value MbWhlMax_BTCSym_RA. And  line#90 for value MbWhlMax_BTCSym_FA.
+ Because These variable are all returned by the same value by the function MbMax_VxBased ().</t>
  </si>
  <si>
    <t>SAIC EP22 M2 noneDA ESP9.3 237432 BSS04</t>
  </si>
  <si>
    <t>SAIC_EP21_MCE_EU_ESPHevX_BSS03</t>
  </si>
  <si>
    <t>BSS04</t>
  </si>
  <si>
    <t>BSS03</t>
  </si>
  <si>
    <t>AVH_ActTempNotAvail</t>
  </si>
  <si>
    <t>PbcActuatorStateLR2ApbSystemState</t>
  </si>
  <si>
    <t>CTRL_SlopeProcessing</t>
  </si>
  <si>
    <t>GM_ApbTextMessage_TRW</t>
  </si>
  <si>
    <t>Slope2Fx</t>
  </si>
  <si>
    <t>ComScl_Scl_GW_HSC2_FICM_FrP33_Rx.c</t>
  </si>
  <si>
    <t>ComScl_Scl_SCS_HSC2_FVCM_FrP05_Tx.c</t>
  </si>
  <si>
    <t>4.1.805.0</t>
  </si>
  <si>
    <t>1.4.147306.0</t>
  </si>
  <si>
    <t>2.0.147306.0</t>
  </si>
  <si>
    <t>4.4.147306.0</t>
  </si>
  <si>
    <t>AVH20ms.axl</t>
  </si>
  <si>
    <t>SAIC_EP22</t>
  </si>
  <si>
    <t>SAIC_EP_CMP_ESPHevX_Int</t>
  </si>
  <si>
    <t>- Line #136, Can't cover out range max value of PCA_Time because when true case of if ( PCA_Enable_Veh &amp;&amp; !(PCA_Time &gt;= Reset_tRadini_Max) ) at line #77  happen,  PCA_Time must be less than Reset_tRadini_Max (max value is 1), then PCA_Time can't greater than 1
- Line #89 Can't cover out range max of DBG_Set_p_Whl_XL because when (Set_pWhl_Min_XA -  pWhl_Tol_XL) &lt; 400   ==&gt; condition at line #82 is TRUE, but in this case DBG_Set_p_Whl_XL = (Set_pWhl_Min_XA -  pWhl_Tol_XL) &lt; 400 ===&gt; DBG_Set_p_Whl_XL can't greater than 400
- Line #99 Can't cover out range max of DBG_Set_p_Whl_XR because when (Set_pWhl_Min_XA -  pWhl_Tol_XR) &lt; 400   ==&gt; condition at line #92 is TRUE, but in this case DBG_Set_p_Whl_XR = (Set_pWhl_Min_XA -  pWhl_Tol_XR) &lt; 400 ===&gt; DBG_Set_p_Whl_XR can't greater than 400</t>
  </si>
  <si>
    <t>QIN Jian (BEG/ESW-CN)</t>
  </si>
  <si>
    <t>LI Xiaoyu (CC-AS/EVA-SW2-CN)</t>
  </si>
  <si>
    <t>LI Jiaxing (CC-AS/EVA-SW32-CN)</t>
  </si>
  <si>
    <t>-Some branch "else" can't cover but these point is expected of developer.
(Line #150, #196, #285, #435, #555, #707, #841, #902, #1007)
"/* the input value is not within valid ranges: should not happen */"</t>
  </si>
  <si>
    <t>-Can't cover for default case because values of this parameter was check above
=&gt; Owner confirm is no impact</t>
  </si>
  <si>
    <t>-Please comment follow ASPICE Standard
- Owner confirm not impact</t>
  </si>
  <si>
    <t>-Can’t cover false case for condition if (NRC_u8 == 0x00) at line #288. Because at line#173 if (NRC_u8 == 0x00) if test case false for line#288, can’t reach to line #288</t>
  </si>
  <si>
    <t>SAIC_EP_CMP_ESPHevX_Int\ESPhevXSAICEP\rb\as\saicep\esphevx\app\net\RBScl\src\Rcv</t>
  </si>
  <si>
    <t>SAIC_EP_CMP_ESPHevX_Int\ESPhevXSAICEP\rb\as\saicep\esphevx\app\net\RBScl\src\Xmt</t>
  </si>
  <si>
    <t>Line #383,  can not cover for case false. Because this condition depend on condition at line #379.
Line #1875,  can not cover for case false. Because this condition depend on condition at line #1868</t>
  </si>
  <si>
    <t xml:space="preserve">Line #213 cannot cover case FALSE line #213 (vfzref &gt;= P_V_thr_high_AUTOLSD) because it is conflict with line #195, #206
Line #288 cannot cover case FALSE line #288 (vfzref &gt;= P_V_thr_high_AUTOLSD) because it is conflict with line #270, #281.
Line #398 cannot cover case FALSE line #398 (vfzref &gt;= P_V_thr_high_AUTOLSD) because it is conflict with line #380, #391.
Line #414 cannot cover case FALSE line #414 (vfzref &gt;= P_V_thr_high_AUTOLSD) because it is conflict with line #406, #410.
</t>
  </si>
  <si>
    <t>Line #39 cannot cover out range min because MaxOdo_Toyota is const = 2ota) alsway &gt;= 0.</t>
  </si>
  <si>
    <t>Line #43 cannot cover out range max because condition (OdoInt &lt; 0) and (OdoInt +</t>
  </si>
  <si>
    <t>Line #46 cannot cover out range max because it is conflict-limited with line #5 (axOdo_Toyota).</t>
  </si>
  <si>
    <t>GWM_CP_Stream_Int\rba\FBL\SW\ApplicationLayer\rba_BldrCmp\src</t>
  </si>
  <si>
    <t>No impact</t>
  </si>
  <si>
    <r>
      <t xml:space="preserve">-Can’t cover for cases bellow at line#70 because range of them [-8192:8192].
Can’t cover for cases bellow at line#76 and 77, because can’t set value for param2D P_muLong_offset_latDyn_brake and P_muLong_offset_latDyn_traction in dcm file.
</t>
    </r>
    <r>
      <rPr>
        <sz val="11"/>
        <color theme="1"/>
        <rFont val="Calibri"/>
        <family val="2"/>
      </rPr>
      <t xml:space="preserve">
</t>
    </r>
  </si>
  <si>
    <t>WM_ASE3_iBooster_HADHAP_Int\iBoosterGen2\rb\as\WM\core\app\net\net_OBD_Off\RBScl\src</t>
  </si>
  <si>
    <t>WM_ASE3_iBooster_HADHAP_Int\iBoosterGen2\rb\as\WM\core\app\net\net_OBD_Off\RBNetPrj\RBNet_Can\src\</t>
  </si>
  <si>
    <t>CTRL_DSBAHandler</t>
  </si>
  <si>
    <t>CTRL_STM_DSBA</t>
  </si>
  <si>
    <t>Toy_AEB_SSMDegradation</t>
  </si>
  <si>
    <t>Toyota_AEB_BH_DAMODE</t>
  </si>
  <si>
    <t>CDD_SsmStrategy</t>
  </si>
  <si>
    <t>CDD_Toyota_SSM_vhcRolloutpTarCalc</t>
  </si>
  <si>
    <t>Toyota_ACC_BH_DAMODE</t>
  </si>
  <si>
    <t>Toyota_VMC_CDD_FB_CalcLimitation</t>
  </si>
  <si>
    <t>CDD_Prefill</t>
  </si>
  <si>
    <t>LdmVafHalConnector</t>
  </si>
  <si>
    <t>SSM_FxTarPTDriveOff</t>
  </si>
  <si>
    <t>Toyota_VlcRsp_Decision</t>
  </si>
  <si>
    <t>Toyota_VMC_For_EC2DC_Hysteresis</t>
  </si>
  <si>
    <t>VLC_AxTar</t>
  </si>
  <si>
    <t>VLC_DecToStopReq</t>
  </si>
  <si>
    <t>VLC_FxLimForAxCtrl</t>
  </si>
  <si>
    <t>VLC_FxTarPTStatProp</t>
  </si>
  <si>
    <t>VLC_MMotLimitReached</t>
  </si>
  <si>
    <t>VLC_SetFx</t>
  </si>
  <si>
    <t>VLC_StatPropEnable</t>
  </si>
  <si>
    <t>MTC_PIDF_GainComp</t>
  </si>
  <si>
    <t>Toyota_AOF_cal_pPedalViapVacb</t>
  </si>
  <si>
    <t>Toyota_AOF_FilterpMC_Pumo_qMC</t>
  </si>
  <si>
    <t>Toyota_AOF_FxTar_dFx_limit</t>
  </si>
  <si>
    <t>Toyota_AOF_p2FxTar_dFx_calc</t>
  </si>
  <si>
    <t>Toyota_AOF_pMcGradient</t>
  </si>
  <si>
    <t>Toyota_AOF_VehicleStopped</t>
  </si>
  <si>
    <t>TOY_APP_EPB_Operation_Request</t>
  </si>
  <si>
    <t>Toyota_APP_Enable</t>
  </si>
  <si>
    <t>Toyota_APP_EPB_Driver_presence</t>
  </si>
  <si>
    <t>Toyota_APP_EPB_TimeUp_Request</t>
  </si>
  <si>
    <t>Toyota_APP_StandstillDetection</t>
  </si>
  <si>
    <t>Toyota_APP_VehicleSecured</t>
  </si>
  <si>
    <t>Toyota_LFC_APP_PumpAct</t>
  </si>
  <si>
    <t>Toyota_PLimiter_Abort</t>
  </si>
  <si>
    <t>Toyota_PLimiter_FinishIncrease</t>
  </si>
  <si>
    <t>Toyota_PLimiter_InitialIncrease</t>
  </si>
  <si>
    <t>Toyota_PLimiter_RestartIncrease</t>
  </si>
  <si>
    <t>Toyota_PLimiter_Statemachine</t>
  </si>
  <si>
    <t>ApbTargetStateHandler</t>
  </si>
  <si>
    <t>APP_ID_Mapping</t>
  </si>
  <si>
    <t>Toyota_ABG_Upper_ProhibitDecision</t>
  </si>
  <si>
    <t>Toyota_ACC_BH_SlopeCondition</t>
  </si>
  <si>
    <t>Toyota_AccAxTarComfBand</t>
  </si>
  <si>
    <t>Toyota_AccAxTarWinnerLim</t>
  </si>
  <si>
    <t>Toyota_ACCBKLE</t>
  </si>
  <si>
    <t>Toyota_AccBrakePreferred</t>
  </si>
  <si>
    <t>Toyota_AccdAxTarLimit</t>
  </si>
  <si>
    <t>Toyota_AccReq_DriveOff</t>
  </si>
  <si>
    <t>Toyota_AccReq_Standstill</t>
  </si>
  <si>
    <t>Toyota_AccUseUpperComfBand</t>
  </si>
  <si>
    <t>Toyota_AccVlcMainReq</t>
  </si>
  <si>
    <t>Toyota_AEB_arbitrator</t>
  </si>
  <si>
    <t>Toyota_APP_BLA</t>
  </si>
  <si>
    <t>Toyota_AutoBrkMainSysFailClass</t>
  </si>
  <si>
    <t>Toyota_AutoBrkSubSysFailClass</t>
  </si>
  <si>
    <t>Toyota_AutoMode</t>
  </si>
  <si>
    <t>Toyota_AxLowPriorityFlagControler</t>
  </si>
  <si>
    <t>Toyota_CSR_Lateral_ProhibitDecision</t>
  </si>
  <si>
    <t>Toyota_CSR_LMRL_Arbitrator</t>
  </si>
  <si>
    <t>Toyota_CSR_ProhibitDecision</t>
  </si>
  <si>
    <t>Toyota_CSRDRV_ProhibitDecision</t>
  </si>
  <si>
    <t>Toyota_CSREndProcessLower</t>
  </si>
  <si>
    <t>Toyota_CSREndProcessUpper</t>
  </si>
  <si>
    <t>Toyota_Direction_Convert_for_HEV</t>
  </si>
  <si>
    <t>Toyota_DrivingSysFailClass</t>
  </si>
  <si>
    <t>Toyota_DrvBrkInputFailClass</t>
  </si>
  <si>
    <t>Toyota_DrvrBrk_Calculator</t>
  </si>
  <si>
    <t>Toyota_ECGPOvrd</t>
  </si>
  <si>
    <t>Toyota_EndProcessCDD</t>
  </si>
  <si>
    <t>Toyota_EndProcessLower</t>
  </si>
  <si>
    <t>Toyota_EndProcessUpper</t>
  </si>
  <si>
    <t>Toyota_EPB_request_converter</t>
  </si>
  <si>
    <t>Toyota_EPBApplyDegradation</t>
  </si>
  <si>
    <t>Toyota_EPBDDACT</t>
  </si>
  <si>
    <t>Toyota_EPBSysFailClass</t>
  </si>
  <si>
    <t>Toyota_Est_SignalCheck</t>
  </si>
  <si>
    <t>Toyota_GVC_SignInvert</t>
  </si>
  <si>
    <t>Toyota_ICS_VSC_Communication_Abnormal_Judgment</t>
  </si>
  <si>
    <t>Toyota_Input_Hold</t>
  </si>
  <si>
    <t>Toyota_Intermittent_EngCtrl</t>
  </si>
  <si>
    <t>Toyota_Lateral_Arbitration_Decision</t>
  </si>
  <si>
    <t>Toyota_Lateral_arbitrator</t>
  </si>
  <si>
    <t>Toyota_LateralCtrlSysFailClass</t>
  </si>
  <si>
    <t>Toyota_LDMArbitrator_WithPriority</t>
  </si>
  <si>
    <t>Toyota_Longitudinal_Arbitration_DecisionAx</t>
  </si>
  <si>
    <t>Toyota_Longitudinal_Arbitration_DecisionAx_for_VLC</t>
  </si>
  <si>
    <t>Toyota_Longitudinal_AxPreProcess</t>
  </si>
  <si>
    <t>Toyota_Longitudinal_Lower_arbitrator</t>
  </si>
  <si>
    <t>Toyota_Longitudinal_Upper_arbitrator</t>
  </si>
  <si>
    <t>Toyota_OtherSignals_EndProcess</t>
  </si>
  <si>
    <t>Toyota_Override_Decision</t>
  </si>
  <si>
    <t>Toyota_PCSBKLE</t>
  </si>
  <si>
    <t>Toyota_PKSB_arbitrator</t>
  </si>
  <si>
    <t>Toyota_Post_AEB_Foce_Controller</t>
  </si>
  <si>
    <t>Toyota_Post_Ax_calculator_block</t>
  </si>
  <si>
    <t>Toyota_Post_Ax_calculator_division</t>
  </si>
  <si>
    <t>Toyota_Post_Ax_calculator_FB_Decision</t>
  </si>
  <si>
    <t>Toyota_Post_Ax_calculator_prohibit_Decision</t>
  </si>
  <si>
    <t>Toyota_Post_CDD_arbitrator</t>
  </si>
  <si>
    <t>Toyota_Post_CDD_HighTempAxCtrl</t>
  </si>
  <si>
    <t>Toyota_Post_CDD_IntermittentCtrl</t>
  </si>
  <si>
    <t>Toyota_Post_DistributionValueLimitation</t>
  </si>
  <si>
    <t>Toyota_Post_DrvrBrkAx_calculator</t>
  </si>
  <si>
    <t>Toyota_Post_Force_Loser_Calculator</t>
  </si>
  <si>
    <t>Toyota_Post_Force_without_jerk_calculator</t>
  </si>
  <si>
    <t>Toyota_Post_FuelCutPreventionRequest</t>
  </si>
  <si>
    <t>Toyota_Post_Longitudinal_Arbitration_Decision_LowerFx</t>
  </si>
  <si>
    <t>Toyota_Post_Longitudinal_Arbitration_Decision_UpperFx</t>
  </si>
  <si>
    <t>Toyota_Post_Longitudinal_LowerFx_arbitrator</t>
  </si>
  <si>
    <t>Toyota_Post_Longitudinal_UpperFx_arbitrator</t>
  </si>
  <si>
    <t>Toyota_Post_ShiftRecog_Converter</t>
  </si>
  <si>
    <t>Toyota_Post_Upper_Lower_Converter</t>
  </si>
  <si>
    <t>Toyota_PT_Lower_ProhibitDecision</t>
  </si>
  <si>
    <t>Toyota_PT_Upper_ProhibitDecision</t>
  </si>
  <si>
    <t>Toyota_Regen_ProhibitDecision</t>
  </si>
  <si>
    <t>Toyota_Shift_Unmatch_Force_Controler</t>
  </si>
  <si>
    <t>Toyota_ShiftCtrlSysFailClass</t>
  </si>
  <si>
    <t>Toyota_ShiftRange_Decision</t>
  </si>
  <si>
    <t>Toyota_TargetStateVLC</t>
  </si>
  <si>
    <t>Toyota_TSS_Lateral_ProhibitDecision</t>
  </si>
  <si>
    <t>Toyota_TSS_Lower_ProhibitDecision</t>
  </si>
  <si>
    <t>Toyota_TSS_ProhibitDecision</t>
  </si>
  <si>
    <t>Toyota_VLC_FxTarManipulation</t>
  </si>
  <si>
    <t>Toyota_VLC_Upper_ASL_transition</t>
  </si>
  <si>
    <t>Toyota_VlcStatPropEnableCondition</t>
  </si>
  <si>
    <t>Toyota_VMC_AVHProhibit</t>
  </si>
  <si>
    <t>Toyota_VMC_BrakeHoldPermit</t>
  </si>
  <si>
    <t>Toyota_VMC_Deceleration_Arbitration</t>
  </si>
  <si>
    <t>Toyota_VMC_ForceTerminationBH</t>
  </si>
  <si>
    <t>Toyota_VMC_TargetBrakeForceJerkLimit</t>
  </si>
  <si>
    <t>Toyota_VMC_Timer</t>
  </si>
  <si>
    <t>Toyota_WheelDirectionQualifier</t>
  </si>
  <si>
    <t>Toyota_WSTP_signalhandling</t>
  </si>
  <si>
    <t>Toyota_XFA_TargetStateHandling</t>
  </si>
  <si>
    <t>TSH_GetApbDriveOffDisable</t>
  </si>
  <si>
    <t>TSH_GetApbExtLockDisable</t>
  </si>
  <si>
    <t>TSH_GetApbExtRelDisable</t>
  </si>
  <si>
    <t>AudiMLBevo_ApbCtrl_MonHydDeceleration</t>
  </si>
  <si>
    <t>rba_ComScl_RxSignalCopy</t>
  </si>
  <si>
    <t>SecOC_Prv</t>
  </si>
  <si>
    <t>SecOC_Prv_CryptIF</t>
  </si>
  <si>
    <t>RBVAR_AutoLearning_TOYOTA</t>
  </si>
  <si>
    <t>NET_SCL_RcvCSR1G10_TOY</t>
  </si>
  <si>
    <t>NET_SCL_RcvFCM1S95_TOY</t>
  </si>
  <si>
    <t>NET_SCL_RcvSTR1S01_TOY</t>
  </si>
  <si>
    <t>NET_SCL_XmtVSC1G12_TOY</t>
  </si>
  <si>
    <t>NET_SCL_XmtVSC1G34_TOY</t>
  </si>
  <si>
    <t>NET_SCL_XmtVSC1G35_TOY</t>
  </si>
  <si>
    <t>2.2</t>
  </si>
  <si>
    <t>2.3</t>
  </si>
  <si>
    <t>4.5.118.6</t>
  </si>
  <si>
    <t>1.5</t>
  </si>
  <si>
    <t>4.3.118.4</t>
  </si>
  <si>
    <t>1.6</t>
  </si>
  <si>
    <t>4.0.118.2</t>
  </si>
  <si>
    <t>1.4.118.1</t>
  </si>
  <si>
    <t>1.6.118.1</t>
  </si>
  <si>
    <t>4.7.118.0</t>
  </si>
  <si>
    <t>4.4</t>
  </si>
  <si>
    <t>1.0.118.0</t>
  </si>
  <si>
    <t>4.9.118.2</t>
  </si>
  <si>
    <t>4.7.118.1</t>
  </si>
  <si>
    <t>1.19.118.1</t>
  </si>
  <si>
    <t>1.2</t>
  </si>
  <si>
    <t>1.0.1.4</t>
  </si>
  <si>
    <t>1.1.0.9</t>
  </si>
  <si>
    <t>1.13</t>
  </si>
  <si>
    <t>1.10</t>
  </si>
  <si>
    <t>1.0.1.0</t>
  </si>
  <si>
    <t>1.11</t>
  </si>
  <si>
    <t>1.9</t>
  </si>
  <si>
    <t>1.7</t>
  </si>
  <si>
    <t>2.1</t>
  </si>
  <si>
    <t>1.16</t>
  </si>
  <si>
    <t>1.8</t>
  </si>
  <si>
    <t>1.15</t>
  </si>
  <si>
    <t>1.0.118.4</t>
  </si>
  <si>
    <t>1.0.118.3</t>
  </si>
  <si>
    <t>_t_e5sLjOEemgpp5PaMhXjA</t>
  </si>
  <si>
    <t>__C138CIUEeqpw5q1EvSZkw</t>
  </si>
  <si>
    <t>_KVnpMCIUEeqpw5q1EvSZkw</t>
  </si>
  <si>
    <t>_KBH_4CIUEeqpw5q1EvSZkw</t>
  </si>
  <si>
    <t>_TapZ0Pd6EeefAbOIs-wp4g</t>
  </si>
  <si>
    <t>_TYNw4fd6EeefAbOIs-wp4g</t>
  </si>
  <si>
    <t>_cbTwkEcuEea3_e6PXjAwSA</t>
  </si>
  <si>
    <t>_rNO3cKPREeq-lOayxAB-6Q</t>
  </si>
  <si>
    <t>_MWu6ADNOEem3jZk4sk4BjQ</t>
  </si>
  <si>
    <t>_01UzEKPREeq-lOayxAB-6Q</t>
  </si>
  <si>
    <t>_MW5SEDNOEem3jZk4sk4BjQ</t>
  </si>
  <si>
    <t>_MWMHcDNOEem3jZk4sk4BjQ</t>
  </si>
  <si>
    <t>_MXl1oDNOEem3jZk4sk4BjQ</t>
  </si>
  <si>
    <t>_MXUI0DNOEem3jZk4sk4BjQ</t>
  </si>
  <si>
    <t>_CqcIwKPSEeq-lOayxAB-6Q</t>
  </si>
  <si>
    <t>_CrLvoKPSEeq-lOayxAB-6Q</t>
  </si>
  <si>
    <t>_MXNbIDNOEem3jZk4sk4BjQ</t>
  </si>
  <si>
    <t>_MWUDQDNOEem3jZk4sk4BjQ</t>
  </si>
  <si>
    <t>Liu, Yiqing</t>
  </si>
  <si>
    <t>Mounika, Thalluri</t>
  </si>
  <si>
    <t>Koizumi, Tafu</t>
  </si>
  <si>
    <t>Morishita, Takahito</t>
  </si>
  <si>
    <t>Pati, Rakesh Kumar</t>
  </si>
  <si>
    <t>Akshaya, Sathiyanarayanan</t>
  </si>
  <si>
    <t>Wako, Takayuki</t>
  </si>
  <si>
    <t>Krabbe, Michael</t>
  </si>
  <si>
    <t>Kumagai, Ken</t>
  </si>
  <si>
    <t>Kavya K M (RBEI/ESJ33)</t>
  </si>
  <si>
    <t>Uratsuji Tomoharu (CC-AS/ESJ3-JP)</t>
  </si>
  <si>
    <t>Rao Ananya (RBEI/ESJ32)</t>
  </si>
  <si>
    <t>BB80801</t>
  </si>
  <si>
    <t>TOY_800BCV2_670BCV_893BSysken_227D_Sysken_Integration_3</t>
  </si>
  <si>
    <t>rb.as.core.app.asw.apbmi.host</t>
  </si>
  <si>
    <t>rb.as.core.app.asw.ldm.aeb</t>
  </si>
  <si>
    <t>rb.as.core.app.asw.ldm.cdd</t>
  </si>
  <si>
    <t>rb.as.core.app.asw.ldm.ldmcoreesp</t>
  </si>
  <si>
    <t>rb.as.core.app.asw.ldm.vlc</t>
  </si>
  <si>
    <t>rb.as.core.app.asw.tcs.leantcs20msvse</t>
  </si>
  <si>
    <t>rb.as.toy.cmpuhd.app.asw.aof</t>
  </si>
  <si>
    <t>rb.as.toy.cmpuhd.app.asw.app</t>
  </si>
  <si>
    <t>rb.as.toy.cmpuhd.app.asw.custtarball</t>
  </si>
  <si>
    <t>rb.as.toy.cmpuhd.app.net</t>
  </si>
  <si>
    <t>rb.as.toy.cmpuhd.app.var</t>
  </si>
  <si>
    <t>rb.as.toy.core.app.dcom</t>
  </si>
  <si>
    <t>rb.as.toy.core.app.uhdpf19</t>
  </si>
  <si>
    <t>ToyotaCMP</t>
  </si>
  <si>
    <t>- Get assignment phase 1:8/19/2020 =&gt; Complete ???</t>
  </si>
  <si>
    <t>MT_300</t>
  </si>
  <si>
    <t>MT_301</t>
  </si>
  <si>
    <t>MT_302</t>
  </si>
  <si>
    <t>MT_303</t>
  </si>
  <si>
    <t>MT_304</t>
  </si>
  <si>
    <t>MT_305</t>
  </si>
  <si>
    <t>MT_306</t>
  </si>
  <si>
    <t>MT_307</t>
  </si>
  <si>
    <t>MT_308</t>
  </si>
  <si>
    <t>MT_309</t>
  </si>
  <si>
    <t>MT_310</t>
  </si>
  <si>
    <t>MT_311</t>
  </si>
  <si>
    <t>MT_312</t>
  </si>
  <si>
    <t>MT_313</t>
  </si>
  <si>
    <t>MT_314</t>
  </si>
  <si>
    <t>MT_315</t>
  </si>
  <si>
    <t>MT_316</t>
  </si>
  <si>
    <t>MT_317</t>
  </si>
  <si>
    <t>MT_318</t>
  </si>
  <si>
    <t>MT_319</t>
  </si>
  <si>
    <t>MT_320</t>
  </si>
  <si>
    <t>MT_321</t>
  </si>
  <si>
    <t>MT_322</t>
  </si>
  <si>
    <t>MT_323</t>
  </si>
  <si>
    <t>MT_324</t>
  </si>
  <si>
    <t>MT_325</t>
  </si>
  <si>
    <t>MT_326</t>
  </si>
  <si>
    <t>MT_327</t>
  </si>
  <si>
    <t>MT_328</t>
  </si>
  <si>
    <t>MT_329</t>
  </si>
  <si>
    <t>MT_330</t>
  </si>
  <si>
    <t>MT_331</t>
  </si>
  <si>
    <t>MT_332</t>
  </si>
  <si>
    <t>MT_333</t>
  </si>
  <si>
    <t>MT_334</t>
  </si>
  <si>
    <t>MT_335</t>
  </si>
  <si>
    <t>MT_336</t>
  </si>
  <si>
    <t>MT_337</t>
  </si>
  <si>
    <t>MT_338</t>
  </si>
  <si>
    <t>MT_339</t>
  </si>
  <si>
    <t>MT_340</t>
  </si>
  <si>
    <t>MT_341</t>
  </si>
  <si>
    <t>MT_342</t>
  </si>
  <si>
    <t>MT_343</t>
  </si>
  <si>
    <t>MT_344</t>
  </si>
  <si>
    <t>MT_345</t>
  </si>
  <si>
    <t>MT_346</t>
  </si>
  <si>
    <t>MT_347</t>
  </si>
  <si>
    <t>MT_348</t>
  </si>
  <si>
    <t>MT_349</t>
  </si>
  <si>
    <t>MT_350</t>
  </si>
  <si>
    <t>MT_351</t>
  </si>
  <si>
    <t>MT_352</t>
  </si>
  <si>
    <t>MT_353</t>
  </si>
  <si>
    <t>MT_354</t>
  </si>
  <si>
    <t>MT_355</t>
  </si>
  <si>
    <t>MT_356</t>
  </si>
  <si>
    <t>MT_357</t>
  </si>
  <si>
    <t>MT_358</t>
  </si>
  <si>
    <t>MT_359</t>
  </si>
  <si>
    <t>MT_360</t>
  </si>
  <si>
    <t>MT_361</t>
  </si>
  <si>
    <t>MT_362</t>
  </si>
  <si>
    <t>MT_363</t>
  </si>
  <si>
    <t>MT_364</t>
  </si>
  <si>
    <t>MT_365</t>
  </si>
  <si>
    <t>MT_366</t>
  </si>
  <si>
    <t>MT_367</t>
  </si>
  <si>
    <t>MT_368</t>
  </si>
  <si>
    <t>MT_369</t>
  </si>
  <si>
    <t>MT_370</t>
  </si>
  <si>
    <t>MT_371</t>
  </si>
  <si>
    <t>MT_372</t>
  </si>
  <si>
    <t>MT_373</t>
  </si>
  <si>
    <t>MT_374</t>
  </si>
  <si>
    <t>MT_375</t>
  </si>
  <si>
    <t>MT_376</t>
  </si>
  <si>
    <t>MT_377</t>
  </si>
  <si>
    <t>MT_378</t>
  </si>
  <si>
    <t>MT_379</t>
  </si>
  <si>
    <t>MT_380</t>
  </si>
  <si>
    <t>MT_381</t>
  </si>
  <si>
    <t>MT_382</t>
  </si>
  <si>
    <t>MT_383</t>
  </si>
  <si>
    <t>MT_384</t>
  </si>
  <si>
    <t>MT_385</t>
  </si>
  <si>
    <t>MT_386</t>
  </si>
  <si>
    <t>MT_387</t>
  </si>
  <si>
    <t>MT_388</t>
  </si>
  <si>
    <t>MT_389</t>
  </si>
  <si>
    <t>MT_390</t>
  </si>
  <si>
    <t>MT_391</t>
  </si>
  <si>
    <t>MT_392</t>
  </si>
  <si>
    <t>MT_393</t>
  </si>
  <si>
    <t>MT_394</t>
  </si>
  <si>
    <t>MT_395</t>
  </si>
  <si>
    <t>MT_396</t>
  </si>
  <si>
    <t>MT_397</t>
  </si>
  <si>
    <t>MT_398</t>
  </si>
  <si>
    <t>MT_399</t>
  </si>
  <si>
    <t>MT_400</t>
  </si>
  <si>
    <t>MT_401</t>
  </si>
  <si>
    <t>MT_402</t>
  </si>
  <si>
    <t>MT_403</t>
  </si>
  <si>
    <t>MT_404</t>
  </si>
  <si>
    <t>MT_405</t>
  </si>
  <si>
    <t>MT_406</t>
  </si>
  <si>
    <t>MT_407</t>
  </si>
  <si>
    <t>MT_408</t>
  </si>
  <si>
    <t>MT_409</t>
  </si>
  <si>
    <t>MT_410</t>
  </si>
  <si>
    <t>MT_411</t>
  </si>
  <si>
    <t>MT_412</t>
  </si>
  <si>
    <t>MT_413</t>
  </si>
  <si>
    <t>MT_414</t>
  </si>
  <si>
    <t>MT_415</t>
  </si>
  <si>
    <t>MT_416</t>
  </si>
  <si>
    <t>MT_417</t>
  </si>
  <si>
    <t>MT_418</t>
  </si>
  <si>
    <t>MT_419</t>
  </si>
  <si>
    <t>MT_420</t>
  </si>
  <si>
    <t>MT_421</t>
  </si>
  <si>
    <t>MT_422</t>
  </si>
  <si>
    <t>MT_423</t>
  </si>
  <si>
    <t>MT_424</t>
  </si>
  <si>
    <t>MT_425</t>
  </si>
  <si>
    <t>MT_426</t>
  </si>
  <si>
    <t>MT_427</t>
  </si>
  <si>
    <t>MT_428</t>
  </si>
  <si>
    <t>MT_429</t>
  </si>
  <si>
    <t>MT_430</t>
  </si>
  <si>
    <t>MT_431</t>
  </si>
  <si>
    <t>MT_432</t>
  </si>
  <si>
    <t>MT_433</t>
  </si>
  <si>
    <t>MT_434</t>
  </si>
  <si>
    <t>MT_435</t>
  </si>
  <si>
    <t>MT_436</t>
  </si>
  <si>
    <t>MT_437</t>
  </si>
  <si>
    <t>MT_438</t>
  </si>
  <si>
    <t>MT_439</t>
  </si>
  <si>
    <t>MT_440</t>
  </si>
  <si>
    <t>MT_441</t>
  </si>
  <si>
    <t>MT_442</t>
  </si>
  <si>
    <t>MT_012</t>
  </si>
  <si>
    <t>MT_018</t>
  </si>
  <si>
    <t>MT_027</t>
  </si>
  <si>
    <t>MT_032</t>
  </si>
  <si>
    <t>MT_038</t>
  </si>
  <si>
    <t>MT_092</t>
  </si>
  <si>
    <t>MT_094</t>
  </si>
  <si>
    <t>delta/new</t>
  </si>
  <si>
    <t>delta</t>
  </si>
  <si>
    <t>-Actual ELOCs is 68, have 2 subclass -&gt; ELOCs is 78</t>
  </si>
  <si>
    <t>Line #98 Can't cover TRUE case of if(signalchanged &amp;&amp; !ls_initial_delay_counter_UB) because signalchanged is always equal 0</t>
  </si>
  <si>
    <t>Param1D, Can't cover ful C0/C1</t>
  </si>
  <si>
    <t xml:space="preserve">Line #1096 Can't cover false case of else if (g_MAC_F016_flag_B) because when g_SOPflag_B = g_MAC_F014_flag_B = g_MAC_F01B_flag_B = g_MAC_F016_flag_B =FALSE, then condition at line #1053 is FALSE ==&gt; LINE #1096 can't be reached.
The same case for line #1121, #1146, #1171
Due to MCDCs are too complex that cause out our memory error, it must be turned off report MCDC for running UT successfull.
</t>
  </si>
  <si>
    <t xml:space="preserve">1. I can’t cover case FALSE of condition if ( ( rba_BldrCmp_WDBI_DidByNvmidList_pst[rba_BldrCmp_WDBI_ListIdx_u8].Supported_Session &amp; CurrentSes_u8) == 0u ) at line #167. Because “rba_BldrCmp_WDBI_DidByNvmidList_pst[rba_BldrCmp_WDBI_ListIdx_u8].Supported_Session” is a constant and be initialied is 0. 
2. I can’t cover case (T &amp; T) of decision “if ((nvmif_b == TRUE)&amp;&amp; (rba_BldrCmp_WDBI_ListIdx_u8&lt;RBA_BLDRCMP_WDBI_NoWriteDidByNvmidListEntries))” at line #190. Because if I control nvmif_b = TRUE, NRC_u8 will be not equal to 0, than condition at line #187 will be FALSE.
3. I can’t cover case (F &amp; ?) and case (T &amp; F) of decision if ((func_b == TRUE)&amp;&amp; (rba_BldrCmp_WDBI_ListIdx_u8&lt;RBA_BLDRCMP_WDBI_NoWriteDidByFuncListEntries)) at line #218. Because:
4. I can’t cover case (T &amp; F) of decision if ( ((pMsgContext-&gt;reqDataLen - 2u) != rba_BldrCmp_WDBI_DidByFuncList_pst[rba_BldrCmp_WDBI_ListIdx_u8].Length_u16) &amp;&amp; \
(rba_BldrCmp_WDBI_DidByFuncList_pst[rba_BldrCmp_WDBI_ListIdx_u8].Length_u16 != 0) ) at line #221. Because rba_BldrCmp_WDBI_DidByFuncList_pst[rba_BldrCmp_WDBI_ListIdx_u8].Length_u16 is a constant and set to 0xF1F0.
5. I can’t cover case (T &amp; T) of decision “else if(( rba_BldrCmp_WDBI_DidByFuncList_pst[rba_BldrCmp_WDBI_ListIdx_u8].Security_level != secLvl) &amp;&amp; (rba_BldrCmp_WDBI_DidByFuncList_pst[rba_BldrCmp_WDBI_ListIdx_u8].Security_level != RBA_BLDRCMP_SA_SEC_LEV_LOCKED))”. Because rba_BldrCmp_WDBI_DidByFuncList_pst[rba_BldrCmp_WDBI_ListIdx_u8].Security is a constant and set to RBA_BLDRCMP_SA_SEC_LEV_LOCKED
6. I can’t cover case TRUE of decision if (rba_BldrCmp_WDBI_DidByFuncList_pst[rba_BldrCmp_WDBI_ListIdx_u8].rba_BldrCmp_Write_pfct != NULL_PTR) at line #280 because rba_BldrCmp_WDBI_DidByFuncList_pst[rba_BldrCmp_WDBI_ListIdx_u8].rba_BldrCmp_Write_pfct is a constant and point to function rba_BldrCmp_Write_Fingerprint.
</t>
  </si>
  <si>
    <t>- Can’t cover full MCDC at line #182,206 for case ((T &amp;&amp; F))  of decision  ((NRC_u8 == 0x00)&amp;&amp;(blockIndex != RBA_BLDRCMP_LOGICALBLOCK_NOT_FOUND)) . Because value NRC_u8 and blockIndex is always update the value in the if and else case.</t>
  </si>
  <si>
    <t>- Name too long "HHT_CampingMode_ChargingSt_VDCMAutoLock" make ATT -&gt; TM_HHT_CampingMode_ChargingSt</t>
  </si>
  <si>
    <t>-Owner confirm no impact, Missing Eloc</t>
  </si>
  <si>
    <t>- Missing Eloc</t>
  </si>
  <si>
    <t>- Get assignment phase 1:8/18/2020 =&gt; Complete 8/19/2020</t>
  </si>
  <si>
    <t xml:space="preserve">HHT_VX1_ESPHevX_BL3_Sprint2 </t>
  </si>
  <si>
    <t>CM_IVC_HHT_IVCRWS_Mode_Request</t>
  </si>
  <si>
    <t>CM_IVC_HHT_IVCRWS_APARPA_Availability</t>
  </si>
  <si>
    <t>CM_IVC_HHT_IVCRWSTargetTravel_APARPA</t>
  </si>
  <si>
    <t xml:space="preserve">BL3_Sprint2 </t>
  </si>
  <si>
    <t>ESP93hevXEncapSWCust_ECU_CSW_BB80426.axl</t>
  </si>
  <si>
    <t>ZHANG Dong (BEG/ESW-CN)</t>
  </si>
  <si>
    <t>Line #24: Cannot cover outrange max of BrkHighTempCount += C_LDMdT because:
 - To reach this line: BrkHighTempCount[0-400-Tolerance: 0.02] &lt; C_BrkHighTempConvergenceTime [0-400-Tolerance: 0.02]
 - If BrkHighTempCount = 399.98, C_BrkHighTempConvergenceTime = 400 -&gt; BrkHighTempCount = BrkHighTempCount + C_LDMdT[0.02 - noncalibration value] = 400
Line #33: Cannot cover outrange min of BrkHighTempCount -= C_LDMdT because:
 - If BrkHighTempCount = BrkHighTempCount - C_LDMdT[0.02 - noncalibration value] &lt; 0 -&gt; BrkHighTempCount &lt; C_LDMdT -&gt; Decision at line #27 TRUE -&gt; This line never reach
Line #48: Cannot cover outrange max of HighTempAx = C_BaranceAx_10per - CalcAxTMC because:
 - To reach this line: BaranceAx_250deg[-14-14] &gt;= C_BaranceAx_10per [- 32.767 - 32.767]
 - If BaranceAx_250deg = C_BaranceAx_10per = 14:
  + At line #37: CalcAxTMC_step1 = C_BaranceAx_10per - BaranceAx_250deg = 0 -&gt; CalcAxTMC = CalcAxTMC_step1 * CalcFactorTMC_step2 = 0
  =&gt; HighTempAx = C_BaranceAx_10per - CalcAxTMC = 14 - 0 = 14 (max value)</t>
  </si>
  <si>
    <t xml:space="preserve">Line #51 : Can't cover case assignment to EPBLockMaxDurationTimer out range max. Because of max value of the variable EPBLockMaxDurationTimer is equal to 5 and tolerance is 0.005, and max value of local parameter C_SSMtVehSecuredReqMax is equal to 5, and the imported parameter P_AEBdT is equal to 0.005 (non-calib). =&gt; when the condition at line #42 is TRUE, local param C_SSMtVehSecuredReqMax = 5, variable EPBLockMaxDurationTimer = 4.995. =&gt; at line #45: max of value EPBLockMaxDurationTimer = 4.995 + 0.005 = 5
</t>
  </si>
  <si>
    <t xml:space="preserve">1. Can’t cover case (T &amp; T) of decision "if ((nvmif_b == TRUE) &amp;&amp; (rba_BldrCmp_RDBI_ListIdx_u8 &lt; RBA_BLDRCMP_RDBI_NoReadDidByNvmidListEntries))" at line #292. 
2. Can’t cover case (T &amp; F) of decision "if ((func_b == TRUE)  &amp;&amp; (rba_BldrCmp_RDBI_ListIdx_u8 &lt; RBA_BLDRCMP_RDBI_NoReadDidByFuncListEntries))" at line #338.
3. Can’t cover case (T &amp; T) of decision "else if(( rba_BldrCmp_RDBI_DidByNvmidList_pst[rba_BldrCmp_RDBI_ListIdx_u8].Security_level != secLvl) &amp;&amp; (rba_BldrCmp_RDBI_DidByNvmidList_pst[rba_BldrCmp_RDBI_ListIdx_u8].Security_level != RBA_BLDRCMP_SA_SEC_LEV_LOCKED))" at line #321. Because rba_BldrCmp_RDBI_DidByNvmidList_pst[rba_BldrCmp_RDBI_ListIdx_u8].Security_level is a constant and set to RBA_BLDRCMP_SA_SEC_LEV_LOCKED
4. Can’t cover case (T &amp; T) of decision "else if(( rba_BldrCmp_RDBI_DidByFuncList_pst[rba_BldrCmp_RDBI_ListIdx_u8].Security_level  != secLvl) &amp;&amp; (rba_BldrCmp_RDBI_DidByFuncList_pst[rba_BldrCmp_RDBI_ListIdx_u8].Security_level != RBA_BLDRCMP_SA_SEC_LEV_LOCKED))" at line #367. Because rba_BldrCmp_RDBI_DidByFuncList_pst[rba_BldrCmp_RDBI_ListIdx_u8].Security_level is a constant and set to RBA_BLDRCMP_SA_SEC_LEV_LOCKED
5. Can’t cover case TRUE of decision "if (rba_BldrCmp_RDBI_DidByFuncList_pst[rba_BldrCmp_RDBI_ListIdx_u8].rba_BldrCmp_Read_pfct != NULL_PTR)" at line #429 because rba_BldrCmp_WDBI_DidByFuncList_pst[rba_BldrCmp_WDBI_ListIdx_u8].rba_BldrCmp_Write_pfct is a constant and point to function rba_BldrCmp_Write_Fingerprint.
6. Can’t cover case (T &amp; F) of decision "else if ( (rba_BldrCmp_RDBI_RespIndex_u16 &gt; 0) &amp;&amp; (rba_BldrCmp_RDBI_NumberOfIds_u8 == 0))" at line #308 because the case T &amp; F only happen when rba_BldrCmp_RDBI_NumberOfIds_u8 less than 0, but rba_BldrCmp_RDBI_NumberOfIds_u8 is type uint8
7. Can’t cover case (T &amp; F) of decision "else if ( (rba_BldrCmp_RDBI_RespIndex_u16 &gt; 0) &amp;&amp; (rba_BldrCmp_RDBI_NumberOfIds_u8 == 0))" at line #354 because the case T &amp; F only happen when rba_BldrCmp_RDBI_NumberOfIds_u8 less than 0, but rba_BldrCmp_RDBI_NumberOfIds_u8 is type uint8
</t>
  </si>
  <si>
    <t>-Local variable TBOX_IVCRWSRequest_K1 is used but it never is set wherever.</t>
  </si>
  <si>
    <t>Line #35: Cannot cover outrange max and outrange min of y[-65536 - 65534] = y + b0[0-1] * (u[-65536 - 65534] - y); because:
 - If b0 = 0 -&gt; y = y + 0 * (u - y) = y
 - If b0 = 1 -&gt; y = y + 1 * (u - y) = u
 - If b0 = 0.6-&gt; y = y + 0.6 * (u - y) = 0.6*u + 0.4*y always &lt;= 65534 and &gt;= -65536</t>
  </si>
  <si>
    <t>-1, 2, 3, 4, 5: reuse OPL - 6,7: Owner confirm it can be ignore</t>
  </si>
  <si>
    <t>cannot cover full C0/C1 because of Param1D</t>
  </si>
  <si>
    <t>Line #96 Can't cover false case. Beacause of marco C_NumberOfComparison_UB is defined 2.</t>
  </si>
  <si>
    <t>CNMS_179148_Deuterium_Super_BL02</t>
  </si>
  <si>
    <t>CNMS_179148_Deu_ESP_BL02</t>
  </si>
  <si>
    <t>MSI_SMM_MessageAdapter_iPB.c</t>
  </si>
  <si>
    <t>RBRSS_ProjectConfiguration.c</t>
  </si>
  <si>
    <t>Obd_CalId.c</t>
  </si>
  <si>
    <t>RBA_NDS_ATS_Callout.c</t>
  </si>
  <si>
    <t>RBA_NDS_TOD_Callout.c</t>
  </si>
  <si>
    <t>BL02</t>
  </si>
  <si>
    <t>HU Di (CC-AS/ESW2-CN)</t>
  </si>
  <si>
    <t>HUANG Kaibing (CC-AS/ESW2-CN)</t>
  </si>
  <si>
    <t>CNMS_Deuterium_Int</t>
  </si>
  <si>
    <t>-Please comment follow ASPICE Standard</t>
  </si>
  <si>
    <t>Line #211: Can't cover false case. Because the variable l_BB_b is always equal to zero at line #183
Line #231: Can't cover true case and false case. Because the condition at line #211 is always TRUE.</t>
  </si>
  <si>
    <t>1. Can’t cover TRUE case of IF condition at line 134, because at line 117 maxLength_u16 is set to *length_pu16 and at line 130 *length_pu16 is set to 0
- Can’t cover FALSE case of IF condition at line 379, because at line 373, retValue is set to E_OK and no line of code to change value of retValue.</t>
  </si>
  <si>
    <t>ESP93hevXEncapSWCust_ECU_CSW_BB80426(1).axl</t>
  </si>
  <si>
    <t>Owner confirm TBOX_IVCRWSRequest_K1 is not used for class and will remove it out source, we will test this class for new version
Defect ID 1638716
double efford (test for new version)</t>
  </si>
  <si>
    <t>-1. The calculation TargetTravel_APARPA.max(IVCRWS_TargetTravel-P_IVCRWS_APARPA_Gradient).min(IVCRWS_TargetTravel+P_IVCRWS_APARPA_Gradient) at line 18 can’t be greater than 16.6.</t>
  </si>
  <si>
    <t>Line #15, can not cover for case CdpAxMonTimer + C_ApbCtrldT &gt; 10. Because this line depend on line #14.
Line #47, can not cover for case CdpActTimer + C_ApbCtrldT &gt; 10. Because this line depend on line #40.</t>
  </si>
  <si>
    <t>- Cannot cover Param1D(), Param2D() in ASCET 6.14.
-  Cannot cover case default of condition switch(sm).
Reason: sm only has 3 values 0, 1, 2.</t>
  </si>
  <si>
    <t>BSCL_AccPedalIntrStgy</t>
  </si>
  <si>
    <t>BSCL_FctChnStMgr</t>
  </si>
  <si>
    <t>BSCL_InputLimitation</t>
  </si>
  <si>
    <t>BSCL_LstFctChnSwActvt</t>
  </si>
  <si>
    <t>PLTMT_21082108</t>
  </si>
  <si>
    <t>- Get assignment phase 1:8/21/2020 =&gt; Complete 8/21/2020</t>
  </si>
  <si>
    <t>GWM_CP_Stream_Int\rba\FBL\SW\ApplicationLayer\rba_BldrCmp\src\rba_BldrCmp.c</t>
  </si>
  <si>
    <t>CNMS_179148_Deuterium_Super_20200828_BL02_SP04</t>
  </si>
  <si>
    <t>CNMS_226315_HevX_RPA_BL03SP07</t>
  </si>
  <si>
    <t>GAC_219651_Carbon_A18_iB2_FPA/RPA_BL07</t>
  </si>
  <si>
    <t>GAC_212111_Carbon_A12_iB2_FPA/RPA_BL05</t>
  </si>
  <si>
    <t>250519_G201S_ECR_ESP9.3CB_FixErrata6752</t>
  </si>
  <si>
    <t>BaoNeng_GX16_ESPhevX_BL02SP02</t>
  </si>
  <si>
    <t>CRB_RegenMaxGradient_PreShaping</t>
  </si>
  <si>
    <t>RBVAR_VarCode_PROJECT.c</t>
  </si>
  <si>
    <t>RBVAR_OutputDriver_PROJECT.c</t>
  </si>
  <si>
    <t>RBAPLCUST_DiagnosticSessionControl.c</t>
  </si>
  <si>
    <t>NET_SCL_Complex_SAS.c</t>
  </si>
  <si>
    <t>NET_SCL_Complex_ASW.c</t>
  </si>
  <si>
    <t>NET_Monitoring.c</t>
  </si>
  <si>
    <t>6.10.146.0</t>
  </si>
  <si>
    <t>1.10.601.1</t>
  </si>
  <si>
    <t>YU Yichi (CC-AD/EYM-CN)</t>
  </si>
  <si>
    <t>RUBAGAN Varunidhan (CC-AS/EVA-SW2-CN)</t>
  </si>
  <si>
    <t>ZHANG Chao (CC-AS/EVA-SW32-CN)</t>
  </si>
  <si>
    <t>TANG Yanqi (CC-AS/EVA-SW31-CN)</t>
  </si>
  <si>
    <t>CRB_RegenMaxGradient_PreShaping.axl</t>
  </si>
  <si>
    <t>VLCAPA_ECU_CSW_BB00001.axl</t>
  </si>
  <si>
    <t>GAC_IB2_HADHAP_Int</t>
  </si>
  <si>
    <t>ChangAn_ESP93CB_Mainstream_Int</t>
  </si>
  <si>
    <t>BaoNeng_Deuterium_ESP_HevX_INT</t>
  </si>
  <si>
    <t>BL02_SP04</t>
  </si>
  <si>
    <t>BL07</t>
  </si>
  <si>
    <t>BL05</t>
  </si>
  <si>
    <t>BL02SP02</t>
  </si>
  <si>
    <t>BB81614/BB99300</t>
  </si>
  <si>
    <t>BB99202</t>
  </si>
  <si>
    <t>BB82795/BB82796</t>
  </si>
  <si>
    <t>BB82219</t>
  </si>
  <si>
    <t>Param 1D can't cover full C0/C1
'- Can't cover outrange max of VlcAXCKiMassDt at line #36, VlcAXCKpMass at line #37 because C_VlcAXCKiMassDt_High,C_VlcAXCKiMassDt_Middle,C_VlcAXCKiMassDt_Low,C_VlcAXCKiMassDt,C_VlcAXCKpMass_High,C_VlcAXCKpMass_Middle,C_VlcAXCKpMass_Low,C_VlcAXCKpMass never reach to max value</t>
  </si>
  <si>
    <t>Line#36: Unable to coverage out range max because C_VlctSinceMMotMinReachedMax always &lt;= 0.5 because  C_VlctSinceMMotMinReachedMax = P_VlctSinceMMotMinReachedMax (0, 0.5)</t>
  </si>
  <si>
    <t>Line#29, Can not cover over max for IntermitOnCountTimer because depend condition at line #23 IntermitOnCountTimer need to set less than C_IntermitOnCountThr for false case of this condition so the maximun value can set is 399.98 then this parameter plus with 0.02 equal to 400 (that is maximum value) so can not cover over max.
Return State, Can not cover for over max of State because in this code Sate just set in range [0 to 255].</t>
  </si>
  <si>
    <t>GAC_IB2_HADHAP_Int\iBoosterGen2\rb\as\gaig\core\app\dsm\RBVAR\A12FPA\src</t>
  </si>
  <si>
    <t>Defect ID 1641874</t>
  </si>
  <si>
    <t>- Missing initial ApbCtrlMinDICCounter_Message6 = 0 in method Init().</t>
  </si>
  <si>
    <t>- Can’t cover maximum for line#6 of variable IVCRWS_TargetTravel . Because this value can’t  &gt;16.6 
=&gt; Owner confirm is no impact.</t>
  </si>
  <si>
    <t>-Defect ID 1638725
-Reason of defect: Variable output have range IVCRWS_TargetTravel (-16.6 to 16.6 ) but local variable IVCRWS_TargetTravel have range  (-17.7 to 17.7 ).(output=local variable )</t>
  </si>
  <si>
    <t>BaoNeng_Deuterium_ESP_HevX_INT\CNMSRPAhevX\rb\as\baoneng\core\app\dcom\RBAPLCust\src\common</t>
  </si>
  <si>
    <t>cannot cover default case of switch case because limition of enum SsmState (0-3)</t>
  </si>
  <si>
    <t>Line #2. can not cover for case dASLFx * C_LDMdT &gt; 409587.5. Because imported of C_LDMdT is P_LDMdT and it is noncalibration.
Line #2. can not cover for case dASLFx * C_LDMdT &lt; -409600. Because imported of C_LDMdT is P_LDMdT and it is noncalibration.
Line #3. can not cover for case dIDAFx * C_LDMdT &gt; 409587.5. Because imported of C_LDMdT is P_LDMdT and it is noncalibration.
Line #3. can not cover for case dIDAFx * C_LDMdT &lt; -409600. Because imported of C_LDMdT is P_LDMdT and it is noncalibration.
Line #4. can not cover for case dURSMFx * C_LDMdT &gt; 409587.5. Because imported of C_LDMdT is P_LDMdT and it is noncalibration.
Line #4. can not cover for case dURSMFx * C_LDMdT &lt; -409600. Because imported of C_LDMdT is P_LDMdT and it is noncalibration.
Line #11, can not cover for case LDMFxTotalAct + dURSM_Fx_JerkLim &lt; -250 000. Because:
 - At line #4, dURSM_Fx_JerkLim = dURSMFx * C_LDMdT with C_LDMdT = 0.02 ( imported of C_LDMdT is P_LDMdT and it is noncalibration ) and range of dURSMFx from -409600 to 409587.5. So that range of dURSM_Fx_JerkLim from 8191.75 to -8192.
 - (Cdd_LDMCor_FxTarIn - LDMFxTotalAct ) must less than dURSM_Fx_JerkLim ( condition at line #9 ).
 - If LDMFxTotalAct = -250 000, Cdd_LDMCor_FxTarIn = -250 000 and dURSM_Fx_JerkLim = 1 ( conditon at line #9 is TRUE to line #11 perform ) then Cdd_LDMCor_FxTarOut = LDMFxTotalAct + dURSM_Fx_JerkLim = -250 000 + 1 = -249 999 can not less than -250 000.
Line #26, can not cover for case LDMFxTotalAct + dIDA_Fx_JerkLim &lt; -250 000. Because:
 - At line #3, dIDA_Fx_JerkLim = dIDAFx * C_LDMdT with C_LDMdT = 0.02 ( imported of C_LDMdT is P_LDMdT and it is noncalibration ) and range of dIDAFx from -409600 to 409587.5. So that range of dIDA_Fx_JerkLim from 8191.75 to -8192.
 - (Cdd_LDMCor_FxTarIn - LDMFxTotalAct ) must less than dIDA_Fx_JerkLim ( condition at line #24 ).
 - If LDMFxTotalAct = -250 000, Cdd_LDMCor_FxTarIn = -250 000 and dIDA_Fx_JerkLim = 1 ( conditon at line #24 is TRUE to line #26 perform ) then Cdd_LDMCor_FxTarOut = LDMFxTotalAct + dIDA_Fx_JerkLim = -250 000 + 1 = -249 999 can not less than -250 000.
 Line #40, can not cover for case LDMFxTotalAct + dASL_Fx_JerkLim &lt; -250 000. Because:
 - At line #2, dASL_Fx_JerkLim = dASLFx * C_LDMdT with C_LDMdT = 0.02 ( imported of C_LDMdT is P_LDMdT and it is noncalibration ) and range of dASLFx from -409600 to 409587.5. So that range of dASL_Fx_JerkLim from 8191.75 to -8192.
 - (Cdd_LDMCor_FxTarIn - LDMFxTotalAct ) must less than dASL_Fx_JerkLim ( condition at line #38 ).
 - If LDMFxTotalAct = -250 000, Cdd_LDMCor_FxTarIn = -250 000 and dASL_Fx_JerkLim = 1 ( conditon at line #38 is TRUE to line #40 perform ) then Cdd_LDMCor_FxTarOut = LDMFxTotalAct + dASL_Fx_JerkLim = -250 000 + 1 = -249 999 can not less than -250 000.</t>
  </si>
  <si>
    <r>
      <t>Can’t cover for MCDC FX</t>
    </r>
    <r>
      <rPr>
        <sz val="10"/>
        <color rgb="FFFF0000"/>
        <rFont val="Arial"/>
        <family val="2"/>
      </rPr>
      <t>F</t>
    </r>
    <r>
      <rPr>
        <sz val="10"/>
        <color theme="1"/>
        <rFont val="Arial"/>
        <family val="2"/>
      </rPr>
      <t>X (or TF</t>
    </r>
    <r>
      <rPr>
        <sz val="10"/>
        <color rgb="FFFF0000"/>
        <rFont val="Arial"/>
        <family val="2"/>
      </rPr>
      <t>T</t>
    </r>
    <r>
      <rPr>
        <sz val="10"/>
        <color theme="1"/>
        <rFont val="Arial"/>
        <family val="2"/>
      </rPr>
      <t>T) because RBAPLCUST_RollerBenchSessionState is both equal and different from RBAPLCUST_RollerBenchSessionState_NOT_ACTIVE.</t>
    </r>
  </si>
  <si>
    <t>Line #30 Can’t cover outrange max of ACLP_TGTFDRV and ACLP_TGTFDRVwoJerk at line #31 Because condition pre_TGTFDRV &gt;= (FAVLL - C_Hysterisis_for_Lower_force) ==&gt; (FAVLL - C_Hysterisis_for_Lower_force) is less than or equal 250000</t>
  </si>
  <si>
    <t>Line #4: Cannot cover case C_LDMdT &gt; 0.247 because C_LDMdT = P_LDMdT (non-calibration value) = 0.02</t>
  </si>
  <si>
    <t>1.0.147306.7</t>
  </si>
  <si>
    <t>BaoNeng_Deuterium_ESP_HevX_INT\CNMSRPAhevX\rb\as\baoneng\rpahevx\app\net\RBScl\src</t>
  </si>
  <si>
    <t>GAC_IB2_HADHAP_Int\iBoosterGen2\rb\as\gaig\core\app\dsm\RBVAR\A18FPA\src</t>
  </si>
  <si>
    <t>Line#14: cannot cover out range min because limited condition at line 11</t>
  </si>
  <si>
    <r>
      <t xml:space="preserve">- Test for path of component </t>
    </r>
    <r>
      <rPr>
        <b/>
        <sz val="11"/>
        <color theme="1"/>
        <rFont val="Calibri"/>
        <family val="2"/>
      </rPr>
      <t>A18FPA</t>
    </r>
    <r>
      <rPr>
        <sz val="11"/>
        <color theme="1"/>
        <rFont val="Calibri"/>
        <family val="2"/>
      </rPr>
      <t xml:space="preserve">
#define RBFS_RBVarCodeCustomized           RBFS_RBVarCodeCustomized_No</t>
    </r>
  </si>
  <si>
    <r>
      <t xml:space="preserve">- Test for path of component </t>
    </r>
    <r>
      <rPr>
        <b/>
        <sz val="11"/>
        <color theme="1"/>
        <rFont val="Calibri"/>
        <family val="2"/>
      </rPr>
      <t>A12FPA</t>
    </r>
    <r>
      <rPr>
        <sz val="11"/>
        <color theme="1"/>
        <rFont val="Calibri"/>
        <family val="2"/>
      </rPr>
      <t xml:space="preserve">
#define RBFS_RBVarCodeCustomized           RBFS_RBVarCodeCustomized_No</t>
    </r>
  </si>
  <si>
    <t>-Can’t cover out range max and min for local variable axF at line#5 with case FALSE for condition (!axValidK1). C_FilterConstant has range [0-1]. We can only cover out range max and min 
through expression axF+( ax- axF) =&gt; ax. Input ax has the same range local variable axF so we can’t cover out range max and min.
- Class has param 1D.
=&gt; Owner confirm is no impact</t>
  </si>
  <si>
    <r>
      <t xml:space="preserve">- Can’t cover out range max and min for local variable FxDriveOffSlope at line#11. FxDriveOffSlope is set to value by expression (C_VehicleMass* AxSensor_AbsLim). C_VehicleMass has max value is 8000. AxSensor_AbsLim has range [-30:30] and FxDriveOffSlope has range [-250000:250000].
</t>
    </r>
    <r>
      <rPr>
        <b/>
        <sz val="11"/>
        <color theme="1"/>
        <rFont val="Calibri"/>
        <family val="2"/>
      </rPr>
      <t>=&gt;Owner confirm is no impact.</t>
    </r>
  </si>
  <si>
    <t>Line #28, Can not cover for under min for VlcAxTar at line #28 because minimum for C_VlcAxTarRampSuspendDC is 0.01953125 and VlcAxBaseMin is -14 so total of them cannot under -14
Line #54, Can not cover for over max for VlcAxTar at line #54 because maximun for C_VlcAxTarRampECToStandBy is -0.01953125 and VlcAxBaseMin is 14 so total of them cannot over 14</t>
  </si>
  <si>
    <t>GAC_Carbon_Stream_ESPCP_STRGAC_C201_BL07</t>
  </si>
  <si>
    <t>MC_239507_SGMW_CN210S_PHEV_ESP9.3CPi_BSS04_SP1</t>
  </si>
  <si>
    <t>Adapt_218053_CA_CD569_ESP9.3CP_BL6</t>
  </si>
  <si>
    <t>GEELY_FE-3AH_CB_CSIS241976_BSS06</t>
  </si>
  <si>
    <t>GAC_Carbon_RPA_ESPHevx_Mainpath_BL08</t>
  </si>
  <si>
    <t>RBAPLCUST_ExpectedOBDType.c</t>
  </si>
  <si>
    <t>RBAPLCUST_InputOutputControl.c</t>
  </si>
  <si>
    <t>RBAPLCUST_WDBI_IPBAssemblyMode.c</t>
  </si>
  <si>
    <t>RB_SCL_GAC_RX.c</t>
  </si>
  <si>
    <t>SGMW_RBA_NDS_SystemInfo_Callout.c</t>
  </si>
  <si>
    <t>RBAPLCUST_CA_RDBI_ECUSerialNumber.c</t>
  </si>
  <si>
    <t>rba_BldrCmp_Cfg_NvmIf.c</t>
  </si>
  <si>
    <t>DrvMode_Selection</t>
  </si>
  <si>
    <t>WANG Bei (CC-AS/ESW2-CN )</t>
  </si>
  <si>
    <t>ZHANG Yu (CC-AS/EVA-SW31-CN)</t>
  </si>
  <si>
    <t>BAO Eric (CC-AS/EVA-SW32-CN)</t>
  </si>
  <si>
    <t>JIA Steven (CC-AS/EVA-SW32-CN)</t>
  </si>
  <si>
    <t>Moogambika Ratha Krishnan (RBEI/EBB7)</t>
  </si>
  <si>
    <t>HUANG Shuai (CC-AS/EVA-SW1-CN)</t>
  </si>
  <si>
    <t>GAC_ESP93CP_Carbon_Int</t>
  </si>
  <si>
    <t>SGMW_ESP93_Carbon_Int</t>
  </si>
  <si>
    <t>ChangAn_ESP_Carbon_Int</t>
  </si>
  <si>
    <t>Geely_FE3AH_CB_Carbon_Int</t>
  </si>
  <si>
    <t>ESP93RPAEncapSWCust_ECU_CSW_BB99704.axl</t>
  </si>
  <si>
    <t>BSS04_SP1</t>
  </si>
  <si>
    <t>BL6</t>
  </si>
  <si>
    <t>BSS06</t>
  </si>
  <si>
    <t>BL08</t>
  </si>
  <si>
    <t>rb\as\sgmw\CN210S\app\net\RBScl\RBScl_SGMW\src\</t>
  </si>
  <si>
    <t>Line #235: Cannot cover false case of else if(CSRDRVID == VMCLongitudinal_AP).
Line #256: Cannot cover true case for this condition.
Reason:
 - To reach these line , RNGID must equals to 2.
 - RNGID = 2 if conditions at line #66,#91,#98,#112,#119,#151,#174(choose one of them) is TRUE.
 - These conditions only equals to TRUE if CSRDRVID_Loc = CSRDRVID (at line #43) = VMCLongitudinal_AP or VMCLongitudinal_AP_RC</t>
  </si>
  <si>
    <t>CNMS_12-06\CNMS_ESP\rb\as\rbcn\core\app\dcom\RBAPLCust\src\IPB\</t>
  </si>
  <si>
    <t>CNMS_12-06\CNMS_ESP\rb\as\rbcn\core\app\dcom\RBAPLCust\src\common\</t>
  </si>
  <si>
    <t>Line#21, #34: cannot cover out range max because when it max =&gt; condition at line#18 and line#31 false =&gt; line#21 , #34 never reach</t>
  </si>
  <si>
    <t>BB81262/BB81708</t>
  </si>
  <si>
    <t>BB81377</t>
  </si>
  <si>
    <t>BB99186</t>
  </si>
  <si>
    <t>BB81720</t>
  </si>
  <si>
    <t>-Version 1.0 has defect.
-Double effort for re-test.
Defect 1642848</t>
  </si>
  <si>
    <t>CNMS_12-06\CNMS_ESP\rb\as\cnms_core\app\net\scl\src\Callout_Functions\</t>
  </si>
  <si>
    <t>GAC_ESP93CP_Carbon_Int\MainstreamF30\rb\as\gaig\A12ESP\app\net\RBScl\RBScl_GAC\src\RB_SCL_GAC_RX.c</t>
  </si>
  <si>
    <t>-Can’t cover for case default of switch (crb_TargetState) at line#96 because enum STM_State_CRB_ESPhevX range [0:2].</t>
  </si>
  <si>
    <t>waiting owner confirm</t>
  </si>
  <si>
    <t>Line#4: cannot cover C_LDMdT &gt; 64 because C_LDMdT = P_LDMdT, P_LDMdT is noncalib value = 0.02</t>
  </si>
  <si>
    <t>Line#6, Canot cover over max for Trq2FxVeh at line #6 because the maximum can return in this api equal maximum this parameter
Line#9, Canot cover over max for VlcFxDevPos because this parameter is set to multip C_VlcAxDevPosForLimChar( range 0.2001953125 to 14) and C_mVehicle (0 to 8000)
Line#15, Canot cover under minimun for VlcFxDevNeg because this is multip of C_VlcAxDevNegForLimChar (range -250000 to 250000) and C_mVehicle (range 0 to 8000) 
Line#20, Canot cover under minimum for VlcFxPTMaxCtrl because this parameter is set to sum FxPTMax range -250000 to 250000) and C_VlcFxPTMaxOffsetCtrl with C_VlcFxPTMaxOffsetCtrl is set to P_VlcFxPTMaxOffsetCtrl (range 0 to 500)</t>
  </si>
  <si>
    <t>Geely_FE3AH_CB_Carbon_Int\MainstreamF30\rba\Bldr\config\ApplicationLayer\rba_BldrCmp\src</t>
  </si>
  <si>
    <t>PLTMT_25082508</t>
  </si>
  <si>
    <t>SsmParkCtrlEpbCore</t>
  </si>
  <si>
    <t>SsmRollPrevnStsCalc</t>
  </si>
  <si>
    <t>- Get assignment phase 1:8/25/2020 =&gt; Complete 8/25/2020</t>
  </si>
  <si>
    <t>-Can’t cover for case true of if(returnValue == E_OK) at line#178 because cantata can't set fixed addess to cover for line#180(limit of catata)</t>
  </si>
  <si>
    <t>-Can't cover for false case of condition at line#373 because condition at line#272 so Direction_u8 equal to RBA_BLDRCMP_NvmIf_Dir_Direct_Read or Direction_u8  equal to RBA_BLDRCMP_NvmIf_Dir_Async_Read</t>
  </si>
  <si>
    <t>ChangAn_ESP_Carbon_Int\MainstreamF30\rb\as\ca\core\app\dcom\RBAPLCust\src\common\</t>
  </si>
  <si>
    <t>CNMS_12-06\CNMS_ESP\rb\as\rbcn\core\app\dcom\RBAPLCust\src\ESP\</t>
  </si>
  <si>
    <t>GWM_B30_CP_BSS09</t>
  </si>
  <si>
    <t>244262_CA_CD569PHEV_iBooster_BL01</t>
  </si>
  <si>
    <t>MC_244608_SGMW_CN185M_CVT_ESP9.3CBi_BL03_SP01</t>
  </si>
  <si>
    <t>NET_SCL_GAC_Complex_function.c</t>
  </si>
  <si>
    <t>E2E.c</t>
  </si>
  <si>
    <t>E2E_P01.c</t>
  </si>
  <si>
    <t>E2E_P02.c</t>
  </si>
  <si>
    <t>NET_SwitchCRCCheck.c</t>
  </si>
  <si>
    <t>RBPduHandler_Callouts.c</t>
  </si>
  <si>
    <t>RBEMM_Project.c</t>
  </si>
  <si>
    <t>RBA_NDS_Tx_Callout_CA.c</t>
  </si>
  <si>
    <t>ComScl_Scl_Complex_proc.c</t>
  </si>
  <si>
    <t>RBCNMS_CANIDFilter.c</t>
  </si>
  <si>
    <t>NET_CheckSumLib_CA.c</t>
  </si>
  <si>
    <t>NET_ChecksumLib_CNMS_Crc1850.c</t>
  </si>
  <si>
    <t>BSS09</t>
  </si>
  <si>
    <t>BL01</t>
  </si>
  <si>
    <t>BL03_SP01</t>
  </si>
  <si>
    <t>ZHOU Xiaoxi (CC-AS/EVA-SW31-CN)</t>
  </si>
  <si>
    <t>LI Chengcheng (CC-AS/EVA-SW33-CN)</t>
  </si>
  <si>
    <t>WANG Yang (CC-AS/EVA-SW32-CN)</t>
  </si>
  <si>
    <t>Lam Ngoc Nga (RBVH/ETA22)</t>
  </si>
  <si>
    <t>GAC_ESPHevX_HADHAP_Int</t>
  </si>
  <si>
    <t>GWM_AB30_CP_Int</t>
  </si>
  <si>
    <t>CA_iBooster_Deuterium_Int</t>
  </si>
  <si>
    <t>SGMW_ESP93_Mainstream_RBVH_iTPMS_Int</t>
  </si>
  <si>
    <t>rb\as\gwm\cp\app\net\RbNetPrj\RBNet_Can\src\</t>
  </si>
  <si>
    <t>GAC_ESPHevX_HADHAP_Int\CNMSHevXHADHAP\rb\as\gaig\core\app\net\RBScl\src</t>
  </si>
  <si>
    <t>RBA_NDS_OBD_Callout.c</t>
  </si>
  <si>
    <t>rba_NET_Global_variable.c</t>
  </si>
  <si>
    <t>BB99228</t>
  </si>
  <si>
    <t>BB82313</t>
  </si>
  <si>
    <t>BB82173</t>
  </si>
  <si>
    <t>CNMS_12-06</t>
  </si>
  <si>
    <t>BB97468</t>
  </si>
  <si>
    <t>Param 1D can't cover full C0/C1
Line #87, can not cover for case C_Mass * C_Grad_BRK_Slow &gt; 104854400 ( implement value ). Because m_DryVehicleMass is Imported of Imported of C_Mass and m_DryVehicleMass can not reach maximum value of C_Mass.
Line #87, can not cover for case C_Mass * C_Grad_BRK_Slow &lt; -104854400 ( implement value ). Because m_DryVehicleMass is Imported of Imported of C_Mass and m_DryVehicleMass can not reach maximum value of C_Mass.
Line #115, can not cover for case C_Mass * C_Grad_BRK &gt; 104854400 ( implement value ). Because m_DryVehicleMass is Imported of Imported of C_Mass and m_DryVehicleMass can not reach maximum value of C_Mass.
Line #115, can not cover for case C_Mass * C_Grad_BRK &lt; -104854400 ( implement value ). Because m_DryVehicleMass is Imported of Imported of C_Mass and m_DryVehicleMass can not reach maximum value of C_Mass.</t>
  </si>
  <si>
    <t>CNMS_12-06\CNMS_ESPHevX\rb\as\rbcn\esphevx\app\net\RBScl\src</t>
  </si>
  <si>
    <t>CNMS_12-06\CNMS_ESPHevX\rb\as\rbcn\esphevx\netpr\src</t>
  </si>
  <si>
    <t xml:space="preserve">-Line 50: Line 50: (absoluteAddress_u32 &gt;= rba_BldrCmp_LogicalBlockTable_pst[rba_BldrCmp_BootCtrl_st.LogicalBlockIdx].BlockSegTable[rba_BldrCmp_BootCtrl_st.LogBlkCurSegment_u8].segment_begin). Detail: Can not cover false condition case F &amp; ? </t>
  </si>
  <si>
    <t>CNMS_12-06\CNMS_IPB\rb\as\rbcn\ipb\app\obd\ObdCvnCalId\src</t>
  </si>
  <si>
    <t>-No function to test</t>
  </si>
  <si>
    <t>Line#19, Cannot cover over max and under min for VlcFxTarPTStatProp because range for C_VlcFiFxStatProp from 0 to 1 
Line#27, Cannot cover true condition at this line because VlcFxTarPTStatPropModel alway more or equal VlcFxTarPTStatProp for true condition at line #21
Line#25,Cannot cover over max for VlcFxTarPTStatProp because VlcFxTarPTStatProp is set to VlcFxTarPTStatProp plus with zero</t>
  </si>
  <si>
    <t>Line #1, Can't cover case C_LDMdT &gt; 63 Because C_LDMdT is set to P_LDMdT which is non-calib variable</t>
  </si>
  <si>
    <t>PLTMT_26082608</t>
  </si>
  <si>
    <t>VMC_TRC_Lat_CtrlDeviation</t>
  </si>
  <si>
    <t># Line 74: Can't cover division by zero (D_FB_fadeConcept_vx_delta = 0). Because range value of imported parameter P_TRC_FB_fadeConcept_vx_delta is from 0.5 to 10</t>
  </si>
  <si>
    <t>- Get assignment phase 1:8/26/2020 =&gt; Complete 8/26/2020</t>
  </si>
  <si>
    <t>SGMW_ESP93_Mainstream_RBVH_iTPMS_Int\MainstreamF30\rba\Bldr\config\Infrastruct\rba_AS_HWProt\src\</t>
  </si>
  <si>
    <t>SGMW_ESP93_Mainstream_RBVH_iTPMS_Int\MainstreamF30\rba\Bldr\config\ApplicationLayer\rba_BldrCmp\src\</t>
  </si>
  <si>
    <t>Param 1D cannot cover full C0/C1</t>
  </si>
  <si>
    <t>The Value for output is out off range</t>
  </si>
  <si>
    <t>- Update path</t>
  </si>
  <si>
    <t>CA_iBooster_Deuterium_Int\iBoosterGen2\rb\as\ca\ib2\netpr\src</t>
  </si>
  <si>
    <t>CA_iBooster_Deuterium_Int\iBoosterGen2\rb\as\ca\ib2\dsmpr\RBEMM\src</t>
  </si>
  <si>
    <t>CA_iBooster_Deuterium_Int\iBoosterGen2\rb\as\ca\ib2\app\net\RBScl\src</t>
  </si>
  <si>
    <t>CA_iBooster_Deuterium_Int\iBoosterGen2\rb\as\ca\core\app\net\RBNm\src</t>
  </si>
  <si>
    <t>CA_iBooster_Deuterium_Int\iBoosterGen2\rb\as\ca\core\app\net\RBNetPrj\RBNet_Can\src</t>
  </si>
  <si>
    <t>Param 1D can't cover full C0/C1
Line #161, can not cover for case C_Mass * C_Grad_PBH &gt; 104854400 ( implement value ). Because m_DryVehicleMass is Imported of Imported of C_Mass and m_DryVehicleMass can not reach maximum value of C_Mass.
Line #161, can not cover for case C_Mass * C_Grad_PBH &lt; -104854400 ( implement value ). Because m_DryVehicleMass is Imported of Imported of C_Mass and m_DryVehicleMass can not reach maximum value of C_Mass.
Line #189, can not cover for case C_Mass * C_Grad_PB &gt; 104854400 ( implement value ). Because m_DryVehicleMass is Imported of Imported of C_Mass and m_DryVehicleMass can not reach maximum value of C_Mass.
Line #189, can not cover for case C_Mass * C_Grad_PB &lt; -104854400 ( implement value ). Because m_DryVehicleMass is Imported of Imported of C_Mass and m_DryVehicleMass can not reach maximum value of C_Mass.
Line #214, can not cover for case C_Mass * C_Grad_PAS &gt; 104854400 ( implement value ). Because m_DryVehicleMass is Imported of Imported of C_Mass and m_DryVehicleMass can not reach maximum value of C_Mass.
Line #214, can not cover for case C_Mass * C_Grad_PAS &lt; -104854400 ( implement value ). Because m_DryVehicleMass is Imported of Imported of C_Mass and m_DryVehicleMass can not reach maximum value of C_Mass.
Line #228 and #229, can not cover for case C_Mass * C_Grad_ASL &gt; 104854400 ( implement value ). Because m_DryVehicleMass is Imported of Imported of C_Mass and m_DryVehicleMass can not reach maximum value of C_Mass.
Line #228 and #229, can not cover for case C_Mass * C_Grad_ASL &lt; -104854400 ( implement value ). Because m_DryVehicleMass is Imported of Imported of C_Mass and m_DryVehicleMass can not reach maximum value of C_Mass.
Line #243, can not cover for case C_Mass * C_Grad_IDA &gt; 104854400 ( implement value ). Because m_DryVehicleMass is Imported of Imported of C_Mass and m_DryVehicleMass can not reach maximum value of C_Mass.
Line #243, can not cover for case C_Mass * C_Grad_IDA &lt; -104854400 ( implement value ). Because m_DryVehicleMass is Imported of Imported of C_Mass and m_DryVehicleMass can not reach maximum value of C_Mass.
Line #244, can not cover for case C_Mass * C_Grad_BRK &gt; 104854400 ( implement value ). Because m_DryVehicleMass is Imported of Imported of C_Mass and m_DryVehicleMass can not reach maximum value of C_Mass.
Line #244, can not cover for case C_Mass * C_Grad_BRK &lt; -104854400 ( implement value ). Because m_DryVehicleMass is Imported of Imported of C_Mass and m_DryVehicleMass can not reach maximum value of C_Mass.</t>
  </si>
  <si>
    <t>-1. Can not cover MCDC 01 of condition at line 42 because it is locked by condition at line 24.
2. Can not cover MCDC 01 of condition at line 52 because it is locked by condition at line 33,42.
=&gt; Re-use OPL</t>
  </si>
  <si>
    <t>CNMS_12-06\CNMS_IPB\rb\as\rbcn\ipb\dsmpr\src\RBRSS\src</t>
  </si>
  <si>
    <t>CNMS_12-06\CNMS_IPB\rb\as\rbcn\ipb\dsmpr\src\RBMSI\src</t>
  </si>
  <si>
    <t>-Please comment follow ASPICE Standard
-comment line#7 #include "../../RBScl/api/ComScl_Scl_Complex_proc.h"</t>
  </si>
  <si>
    <t>Line #6 #7, can not cover for case Counter_Dir++ &gt; 3. Because Counter_Dir is noncalibration and has been asigned Counter_Dir=0 in line #2.
Line #8, can not cover for case Counter_Dir++ &gt; 3. Because:
 - Counter_Dir is noncalibration and has been asigned Counter_Dir=0 in line #2.
 - When condition at line #6 #7 #8 is TRUE, at the time line #8 perform so value of Counter_Dir = 2 because Counter_Dir++ is postfix increment.
Line #13 #14, can not cover for case Counter_Dir++ &gt; 3. Because:
 - When conditon at line #11 is TRUE ( WheelDirection_XY = WheelDirection_Backward ) then condition at line #4 is FALSE.
 - Counter_Dir is noncalibration and has been asigned Counter_Dir=0 in line #2.
Line #15, can not cover for case Counter_Dir++ &gt; 3. Because:
 - When conditon at line #11 is TRUE ( WheelDirection_XY = WheelDirection_Backward ) then condition at line #4 is FALSE.
 - Counter_Dir is noncalibration and has been asigned Counter_Dir=0 in line #2.
 - When condition at line #13 #14 #15 is TRUE, at the time line #15 perform so value of Counter_Dir = 2 because Counter_Dir++ is postfix increment.
Line #34, can not cover for case Counter_conditionCSet + dT_VWPxyPMS &gt; 5.1. Because:
 - Counter_conditionCSet is noncalibration.
 - Imported of dT_VWPxyPMS is SignalExport_dt_20ms and it is noncalibration.
Line #51, can not cover for case Counter_conditionCReset + dT_VWPxyPMS &gt; 5.1. Because:
 - Counter_conditionCReset is noncalibration.
 - Imported of dT_VWPxyPMS is SignalExport_dt_20ms and it is noncalibration.
Line #85, can not cover for case Counter_conditionBSet + dT_VWPxyPMS &gt; 5.1. Because:
 - Counter_conditionBSet is noncalibration.
 - Imported of dT_VWPxyPMS is SignalExport_dt_20ms and it is noncalibration.
Line #107, can not cover for case Counter_conditionBReset + dT_VWPxyPMS &gt; 5.1. Because:
 - Counter_conditionBReset is noncalibration.
 - Imported of dT_VWPxyPMS is SignalExport_dt_20ms and it is noncalibration.</t>
  </si>
  <si>
    <t>BYD_IPB_SW_Mainstream_BL06_SP05</t>
  </si>
  <si>
    <t>MC_239507_SGMW_CN210S_PHEV_ESP9.3CPi_BSS04_SP1_STRSGMW_C201</t>
  </si>
  <si>
    <t>EC_250534_CN210M_ESPCB_STRSGMW_B201_BSS01_SP01</t>
  </si>
  <si>
    <t>RC2_249571_DFSK_F517_Base_ESP9.3_BL01_SP01</t>
  </si>
  <si>
    <t>SAIC_EP21_MCE_EU_ESPHevX_BSS02</t>
  </si>
  <si>
    <t>LSM_FctlSftyMon_DrvrPresAcvn</t>
  </si>
  <si>
    <t>rba_SCL_Settings.c</t>
  </si>
  <si>
    <t>NET_SCL_Rx_TPMS.c</t>
  </si>
  <si>
    <t>NET_SCL_Rx_SystemInfo.c</t>
  </si>
  <si>
    <t>VAM_EVPCheck</t>
  </si>
  <si>
    <t>RBHMI_Synchronisation_F30.C</t>
  </si>
  <si>
    <t>NET_SCL_Tx_SGMW.c</t>
  </si>
  <si>
    <t>NET_SCL_Tx_AVH.c</t>
  </si>
  <si>
    <t>LDM_AxleSplit_StateDrvUnitPt</t>
  </si>
  <si>
    <t>RBVAR_StateMachine_CustomerProject.c</t>
  </si>
  <si>
    <t>NET_SCL_Tx_HBB_DFSK.c</t>
  </si>
  <si>
    <t>NET_SCL_Tx_VACUUM_DFSK.c</t>
  </si>
  <si>
    <t>BL06_SP05</t>
  </si>
  <si>
    <t>BSS04_SP1_STRSGMW_C201</t>
  </si>
  <si>
    <t>BSS01_SP01</t>
  </si>
  <si>
    <t>BL01_SP01</t>
  </si>
  <si>
    <t>BSS02</t>
  </si>
  <si>
    <t>1.1.147.3</t>
  </si>
  <si>
    <t>3.0.147308.0</t>
  </si>
  <si>
    <t>RPAESPHevXEncapSWCust_ECU_CSW_BB99704.axl</t>
  </si>
  <si>
    <t>BYD_IPB_BL05_Int</t>
  </si>
  <si>
    <t>VAMBase_ECU_CSW_BB00001.axl</t>
  </si>
  <si>
    <t>SGMW_Errata6572_CP</t>
  </si>
  <si>
    <t>Esp9wAPBCPEncapSWCust_ECU_CSW_BB95572.axl</t>
  </si>
  <si>
    <t>GUO Sasa (CC-AS/EVA-SW3-CN)</t>
  </si>
  <si>
    <t>XU Sherry (CC-AS/EVA-SW2-CN)</t>
  </si>
  <si>
    <t>Nguyen Hoang Huong Giang (RBVH/EAS11)</t>
  </si>
  <si>
    <t>BB82803</t>
  </si>
  <si>
    <t>BB82654</t>
  </si>
  <si>
    <t>BB82652</t>
  </si>
  <si>
    <t>\rb\as\sgmw\CN210S\app\dsm\RBHMI\src\RBHMI_Synchronisation_F30.c</t>
  </si>
  <si>
    <t>\rb\as\sgmw\CN210S\app\net\RBScl\RBScl_SGMW\src\NET_SCL_Tx_SGMW.c</t>
  </si>
  <si>
    <t>\rb\as\cnms_core\app\net\scl\LDMFunctions\AVH\src\NET_SCL_Tx_AVH.c</t>
  </si>
  <si>
    <t>DFSK_ESP93_Mainstream_Int\MainstreamF30\rb\as\dfsk\CpiwAPB\app\dsm\RBVAR_BB82654_F517_BASE_RC\src\RBVAR_StateMachine_CustomerProject.c</t>
  </si>
  <si>
    <t>DFSK_ESP93_Mainstream_Int\MainstreamF30\rb\as\dfsk\CpiwAPB\app\net\RBScl_F517CDD\src\NET_SCL_Tx_HBB_DFSK.c</t>
  </si>
  <si>
    <t>DFSK_ESP93_Mainstream_Int\MainstreamF30\rb\as\dfsk\CpiwAPB\app\net\RBScl_F517CDD\src\NET_SCL_Tx_VACUUM_DFSK.c</t>
  </si>
  <si>
    <t>BYD_IPB_BL05_Int\BYDIPB\rb\as\BYD\ipb\app\net\RBScl\src</t>
  </si>
  <si>
    <t>BYD_IPB_BL05_Int\BYDIPB\rb\as\BYD\ipb\app\net\RBScl\Scl_Callout\src</t>
  </si>
  <si>
    <t>DFSK_ESP93_Mainstream_Int\MainstreamF30\rb\as\dfsk\CpiwAPB\app\net\RBScl_BB99582\src\NET_SCL_Tx_VACUUM_DFSK.c</t>
  </si>
  <si>
    <t>SAIC_EP_CMP_ESPHevX_Int\ESPhevXSAICEP\rb\as\saicep\esphevx\app\net\RBScl\src\Rcv\ComScl_Scl_GW_HSC2_FICM_FrP33_Rx.c</t>
  </si>
  <si>
    <t>SAIC_EP_CMP_ESPHevX_Int\ESPhevXSAICEP\rb\as\saicep\esphevx\app\net\RBScl\src\Xmt\ComScl_Scl_SCS_HSC2_FVCM_FrP05_Tx.c</t>
  </si>
  <si>
    <t xml:space="preserve">Line #29: cannot cover out range min-max because C_hbbFiltpPedal max is 1, so hbbpPedal = pVacb[-20;400] =&gt; hbbpPedal min is -20, max is 400, Cannot out range.
==========
Line #39: cannot cover out range max because if "hbbpPedal max is 400" then condition at line #38(pVacb &gt; hbbpPedal) cannot be real.(pVacb max is 400).
==========
Line #43: cannot cover out range max because if "hbbpPedal min is -20" then condition at line #38(pVacb &lt; hbbpPedal) cannot be real.(pVacb min is -20).
</t>
  </si>
  <si>
    <t xml:space="preserve"> Cannot cover full C0C1 because Param1D.
=================
Line #81: cannot cover out range min for AOF_FxDecreaseThresh because AOF_FxDecreaseThresh[-250000;250000] and AOF_dFx_pPedalBase &gt; 0  (line #77).
=================
Line #86: cannot cover out range min for AOF_dFx_SysGrad2 because AOF_dFx_pPedalBase &gt; 0 ( at line #77) and Decreasing_ratio2 max is 0.1 ( at line #85).
=================
Line #90: cannot cover out range min for AOF_FxSystemTarget2 because limited of AOF_dFx_SysGrad2 (at line #88, #89) and AOF_FxSystemTarget2 have value min -250000.
=================
Line #101: cannot cover case div/0 because it is conflict condition with line #35, #39. (C_AOFAddOnFinishTime)
</t>
  </si>
  <si>
    <t>Cannot cover out range max loc_HoldTime because condition "loc_HoldTime &lt; C_APP_SSMActiveCounterMax" and C_APP_SSMActiveCounterMax max must be 600.</t>
  </si>
  <si>
    <t xml:space="preserve">Line #41: cannot cover VlcWinnerTarAxAcc out range min because it is limited of conditon (TarAxIn - TarAxK1) * C_fLDM &lt; AccTarAxJerkLim.
=========
Line #66: cannot cover VlcWinnerTarAxUrsm out range min because it is limited of conditon (TarAxIn - TarAxK1)* C_fLDM &lt; C_UrsmTarAxJerkLim.
=========
Line #87: cannot cover VlcWinnerTarAxIDA out range min because it is limited of conditon (TarAxIn - TarAxK1)* C_fLDM &lt; C_IdaTarAxJerkLim
</t>
  </si>
  <si>
    <t>Cannot cover full C0C1 because Param1D.</t>
  </si>
  <si>
    <t xml:space="preserve">Line #9: Cannot cover case div 0 because condition AccAxTarAim &lt; 0.
Line #9: Cannot cover out range min (Standstill_calculate_time &lt; 0) because AccAxTarAim &lt; 0 and LDMvWhlAvrgF &gt; 0 so -LDMvWhlAvrgF/AccAxTarAim &gt; 0
</t>
  </si>
  <si>
    <t>T207</t>
  </si>
  <si>
    <t xml:space="preserve">-1. Can’t cover case (((T &amp;&amp; F) || F) || (F &amp;&amp; ?)) of decision else if(((l_RBVarcode_ST.RBVarCode_UB &gt;= 11) &amp;&amp; (l_RBVarcode_ST.RBVarCode_UB &lt;= 14))\
                                                                                    || (l_RBVarcode_ST.RBVarCode_UB == 18)\
                                                                                    || ((l_RBVarcode_ST.RBVarCode_UB &gt;= 24) &amp;&amp; (l_RBVarcode_ST.RBVarCode_UB &lt;= 31)))  at line #306
</t>
  </si>
  <si>
    <t>-1. Condition (ls_HMI_SmmCurrModestate_N == C_SMM_NET_ON_N) at line 251 can’t show its influence to decision at line (250-251).</t>
  </si>
  <si>
    <t>PLTMT_28083108</t>
  </si>
  <si>
    <t>CDD_AP_VehIsParkedEval</t>
  </si>
  <si>
    <t>VlcLsm_ActLgtLsmMainCptSts</t>
  </si>
  <si>
    <t>VlcLsm_BckpMotionSrvDeactvtn</t>
  </si>
  <si>
    <t>VlcLsm_BckpSignalQualifierCheck</t>
  </si>
  <si>
    <t>VlcLsm_DegradationStgyExtd</t>
  </si>
  <si>
    <t>-1. Can’t cover MCDC case TRUE &amp;&amp; FALSE of decision else if((g_Postrun_B == TRUE) &amp;&amp; (l_AVLLampTimeCount_UB == 0))</t>
  </si>
  <si>
    <t>Out of team from 31-Aug</t>
  </si>
  <si>
    <t>iBoosterGen2</t>
  </si>
  <si>
    <t>2/9 (Independence day)</t>
  </si>
  <si>
    <t>-Line 1013 MCDC can not cover false case “ls_SCL_TotalOdometer_UL &gt;= 0” because ls_SCL_TotalOdometer_UL is static ULONG</t>
  </si>
  <si>
    <t>Re-use OPL</t>
  </si>
  <si>
    <t>TCS_Output_Switcher</t>
  </si>
  <si>
    <t>MTC_PIDF_GainScheduling</t>
  </si>
  <si>
    <t>Pata_EnvironmentVariables_Dy</t>
  </si>
  <si>
    <t>OneBit16</t>
  </si>
  <si>
    <t>Interface_ESP_to_iBooster_postcontrol</t>
  </si>
  <si>
    <t>DyPSA_WheelTorqueTransmission</t>
  </si>
  <si>
    <t>DyPSA_SCM_RequestTransmission_V2</t>
  </si>
  <si>
    <t>DyPSA_PCL_Main</t>
  </si>
  <si>
    <t>DyPSA_PCL_HMI_Request</t>
  </si>
  <si>
    <t>Dy_HBB_DeacOnPrunoutCalc</t>
  </si>
  <si>
    <t>1.33.115.0</t>
  </si>
  <si>
    <t>1.17.1.0.115.2</t>
  </si>
  <si>
    <t>10.15</t>
  </si>
  <si>
    <t>3.0</t>
  </si>
  <si>
    <t>2 datasheet</t>
  </si>
  <si>
    <t>4 function</t>
  </si>
  <si>
    <t>easy</t>
  </si>
  <si>
    <t>MT_001</t>
  </si>
  <si>
    <t>MT_002</t>
  </si>
  <si>
    <t>MT_003</t>
  </si>
  <si>
    <t>MT_004</t>
  </si>
  <si>
    <t>MT_005</t>
  </si>
  <si>
    <t>MT_006</t>
  </si>
  <si>
    <t>MT_007</t>
  </si>
  <si>
    <t>MT_009</t>
  </si>
  <si>
    <t>MT_010</t>
  </si>
  <si>
    <t>PSA_PHEV_GEN2_BL1S5</t>
  </si>
  <si>
    <t>PSA_PHEV_V2_BL5</t>
  </si>
  <si>
    <t>BYD_IPB_BL05_Int\BYDIPB\rb\as\BYD\ipb\app\net\RBScl_TPMS\src</t>
  </si>
  <si>
    <t>243519_FAW_C100_IPB1.1_BSS02_SP05_STRFAW_D501</t>
  </si>
  <si>
    <t>GWM_B30_CP_BSS09_Sprint3</t>
  </si>
  <si>
    <t>221619_DFSK_F513_ESP9.3_BL07_SP01</t>
  </si>
  <si>
    <t>BYD_IPB_SW_Mainstream_BL06</t>
  </si>
  <si>
    <t>RBA_NDS_Complex_Callout.c</t>
  </si>
  <si>
    <t>RBAPLCUST_RDBI_BOM.c</t>
  </si>
  <si>
    <t>VAM_CombustionEngineSSAControl</t>
  </si>
  <si>
    <t>RBVAR_IDDefinitionTable_PROJECT.c</t>
  </si>
  <si>
    <t>BL07_SP01</t>
  </si>
  <si>
    <t>BL06</t>
  </si>
  <si>
    <t>BSS09_Sprint3</t>
  </si>
  <si>
    <t>BSS02_SP05_STRFAW_D501</t>
  </si>
  <si>
    <t>BB82026</t>
  </si>
  <si>
    <t>BB81003</t>
  </si>
  <si>
    <t>BB82880</t>
  </si>
  <si>
    <t>10.0.147308.0</t>
  </si>
  <si>
    <t>XU Zhuofan (CC-AS/EVA-SW33-CN)</t>
  </si>
  <si>
    <t>Priyanka Perumal (RBEI/EBB7)</t>
  </si>
  <si>
    <t>rb\as\fawIPB\prj\app\net\RBScl\RBSCL_FAW\src\RBA_NDS_Complex_Callout.c</t>
  </si>
  <si>
    <t>rb\as\gwm\core\app\dcom\RBAPLCust\src\common\RBAPLCUST_RDBI_BOM.c</t>
  </si>
  <si>
    <t>FAW_IPB1.1_Int</t>
  </si>
  <si>
    <t>Line#6: Can't cover full MCDC of (BackupInstanceRelsd = false, FXXTX=F) because BackupInstanceRelsd can't be set more than 2 values at the same time.
Line#21: Can't cover full MCDC of (MotionSrvReqK1 = 3) because MotionSrvReqK1 can't be set more than 2 values at the same time</t>
  </si>
  <si>
    <t>- Get assignment phase 1:8/28/2020 =&gt; Complete 8/31/2020</t>
  </si>
  <si>
    <t>- Get assignment phase 1:8/31/2020 =&gt; Complete 8/31/2020</t>
  </si>
  <si>
    <t>Line #30: Cannot cover MCDC FXFX of if (((VAR_BoosterConfig == VacBooster) &amp;&amp; (HBBpVac &lt;= C_HbbDeacVacLvlThr))|| ((VAR_BoosterConfig == iBooster) &amp;&amp; (HBBpVac &lt;= C_HbbDeacIBpRunoutLvlThr))) because VAR_BoosterConfig had only 2 value (iBooster or VacBooster).</t>
  </si>
  <si>
    <t>iBoosterGen2\rb\as\ca\core\app\net\RBNm\src</t>
  </si>
  <si>
    <t>BYD_IPB_BL05_Int\BYDIPB\rba\Bldr\config\ApplicationLayer\rba_BldrCmp\src\rba_BldrCmp_Cfg_CheckMem.c</t>
  </si>
  <si>
    <t>BYD_IPB_BL05_Int\BYDIPB\rba\Bldr\BldrCmp\src\rba_BldrCmp_DataHdl.c</t>
  </si>
  <si>
    <t>DFSK_ESP93_Mainstream_Int\MainstreamF30\rb\as\dfsk\CpiwAPB\app\dsm\RBVAR_BB99584\src\RBVAR_IDDefinitionTable_PROJECT.c</t>
  </si>
  <si>
    <t>Line #30: Cannot cover MCDC FXFX of if (((VAR_BoosterConfig == VacBooster) &amp;&amp; (HBBpVac &lt;= C_HbbDeacVacLvlThr))|| ((VAR_BoosterConfig == iBooster) &amp;&amp; (HBBpVac &lt;= C_HbbDeacIBpRunoutLvlThr))) because VAR_BoosterConfig had only 2 values (iBooster or VacBooster).</t>
  </si>
  <si>
    <t>Param 1D can't cover full C0/C1
Line #31, can not cover for case l_WheelTrqCombination &gt; 8000. Because: 
 - l_XForTrqPrediction and l_YForTrqPrediction range from 0 to 1.
 - l_XForTrqPrediction and l_YForTrqPrediction calculate in line #28 #29, so that its can not equal 1 at the same time.
Line #31, can not cover for case l_WheelTrqCombination &lt; -20. Because: 
 - l_XForTrqPrediction and l_YForTrqPrediction range from 0 to 1.
 - l_XForTrqPrediction and l_YForTrqPrediction calculate in line #28 #29, so that its can not equal 1 at the same time.</t>
  </si>
  <si>
    <t>DFSK_ESP93_Mainstream_Int\MainstreamF30\rb\as\dfsk\CpiwAPB\app\dsm\RBVAR_BB99584\src\RBVAR_SystemStateManagement_PROJECT.c</t>
  </si>
  <si>
    <t>DFSK_ESP93_Mainstream_Int\MainstreamF30\rb\as\dfsk\CpiwAPB\app\dsm\RBVAR_BB99584\src\RBVAR_VarCode_PROJECT.c</t>
  </si>
  <si>
    <t>Geely_FE3AH_CB_Carbon_Int\MainstreamF30\rba\Bldr\config\ApplicationLayer\rba_BldrCmp\src\</t>
  </si>
  <si>
    <t>Geely_FE3AH_CB_Carbon_Int\MainstreamF30\rba\Bldr\config\Infrastruct\rba_AS_HWProt\src\</t>
  </si>
  <si>
    <t>DFN_ESP_Gen9.3_534_238307_BS04SP03</t>
  </si>
  <si>
    <t>218053_CA_CD569_ESP9.3CP_BL6_SP4</t>
  </si>
  <si>
    <t>Pata_EspNormalReactivation</t>
  </si>
  <si>
    <t>RBSEC_Sec.c</t>
  </si>
  <si>
    <t>NET_SCL_Tx_DFN.c</t>
  </si>
  <si>
    <t>4.0.147.0.1.0</t>
  </si>
  <si>
    <t>BS04SP03</t>
  </si>
  <si>
    <t>BL6_SP4</t>
  </si>
  <si>
    <t>QIAN Li (CC-AS/EVA-SW2-CN)</t>
  </si>
  <si>
    <t>XU Jialin (CC-AS/EVA-SW32-CN)</t>
  </si>
  <si>
    <t>LI Hongyu (CC-AS/EVA-SW32-CN)</t>
  </si>
  <si>
    <t>VDM_ECU_CSW_BB00147.axl</t>
  </si>
  <si>
    <t>DFN_Venucia_ESP93_Carbon_Int</t>
  </si>
  <si>
    <t>rb\as\venucia\project\app\net\RBScl\src\</t>
  </si>
  <si>
    <t>RMIstate_t40_cond</t>
  </si>
  <si>
    <t>RMIstate_t30_cond</t>
  </si>
  <si>
    <t>RMIstate_t20_cond</t>
  </si>
  <si>
    <t>RMI_CON_DMB_Filter</t>
  </si>
  <si>
    <t>DySosCon_dMzDySosHMueMain</t>
  </si>
  <si>
    <t>TCS_Ps_Switcher_MTC_SlipAdj_wBTC</t>
  </si>
  <si>
    <t>MTC_US_OS_Coordinator</t>
  </si>
  <si>
    <t>BTC_TarMaker</t>
  </si>
  <si>
    <t>HBA_Patamode</t>
  </si>
  <si>
    <t>Psa_TCSPlus_TakeOffModeReq</t>
  </si>
  <si>
    <t>Psa_TCSPlus_Ps_Switcher_MTCTargetSlip_Stability</t>
  </si>
  <si>
    <t>Psa_TCSPlus_Ps_Switcher_BTCTargetSlip_Stability</t>
  </si>
  <si>
    <t>Psa_TCSPlus_Ps_Switcher_AxControl</t>
  </si>
  <si>
    <t>Psa_TCSPlus_MTCTargetSlip_Stability</t>
  </si>
  <si>
    <t>Psa_TCSPlus_MTCTargetSlip_AxControl</t>
  </si>
  <si>
    <t>Psa_TCSPlus_DetectionModeReq</t>
  </si>
  <si>
    <t>PSA_MTC_TarSlip_Constraints</t>
  </si>
  <si>
    <t>Psa_MTC_Info</t>
  </si>
  <si>
    <t>Dy_TCSPlus_SelectorDSM</t>
  </si>
  <si>
    <t>Dy_TCSPlus_KnobSelector</t>
  </si>
  <si>
    <t>Dy_TCSPlus_DSM</t>
  </si>
  <si>
    <t>Dy_TCSPlus_ButtonMoveProcessing</t>
  </si>
  <si>
    <t>Dy_LeanTCS_VehicleStuck</t>
  </si>
  <si>
    <t>Dy_LeanTCS_VehicleSkid</t>
  </si>
  <si>
    <t>Dy_LeanTCS_SlowWheelTorqueRequired</t>
  </si>
  <si>
    <t>4.2.115.0</t>
  </si>
  <si>
    <t>4.3.115.1</t>
  </si>
  <si>
    <t>3.5</t>
  </si>
  <si>
    <t>1.4.115.1</t>
  </si>
  <si>
    <t>1.22.115.1</t>
  </si>
  <si>
    <t>1.0.115.0</t>
  </si>
  <si>
    <t>4.3.115.0 (add one OR method)</t>
  </si>
  <si>
    <t>3.3  difficult</t>
  </si>
  <si>
    <t>re-run testcase 1.22.115.0</t>
  </si>
  <si>
    <t>re run 1.3</t>
  </si>
  <si>
    <t>re-run testcase 1.4</t>
  </si>
  <si>
    <t>2.1 small change</t>
  </si>
  <si>
    <t>re-run testcase 1.1</t>
  </si>
  <si>
    <t>continue cover MCDC of v10.15</t>
  </si>
  <si>
    <t>1.7 add one independent condition</t>
  </si>
  <si>
    <t>re-run testcase 1.2</t>
  </si>
  <si>
    <t>re-run testcase 1.0</t>
  </si>
  <si>
    <t>Delta/New</t>
  </si>
  <si>
    <t>MT_014</t>
  </si>
  <si>
    <t>MT_016</t>
  </si>
  <si>
    <t>MT_017</t>
  </si>
  <si>
    <t>MT_019</t>
  </si>
  <si>
    <t>MT_020</t>
  </si>
  <si>
    <t>MT_021</t>
  </si>
  <si>
    <t>MT_022</t>
  </si>
  <si>
    <t>MT_023</t>
  </si>
  <si>
    <t>MT_024</t>
  </si>
  <si>
    <t>MT_025</t>
  </si>
  <si>
    <t>BB81615</t>
  </si>
  <si>
    <t>PSA_PHEV_V1_BL18</t>
  </si>
  <si>
    <t>-Can’t cover for default case at line #43 due to: TargetStateVAM have range ENUM (0 – 3)</t>
  </si>
  <si>
    <t>- Get assignment phase 1:9/1/2020 =&gt; Complete ???</t>
  </si>
  <si>
    <t>Param 1D cannot cover full C0/C1
Line #24: Cannot cover outrange max of vSlipTarTCSPlus_Stability_Axe = vSlipTarTCSPlus_Basic_Axe * MTCTargetSlip_StabilityFactor because vSlipTarTCSPlus_Stability_Axe[max: 100] = vSlipTarTCSPlus_Basic_Axe[max: 100] * MTCTargetSlip_StabilityFactor.min(1.0)[max: 1] (at line #15) always &lt;= 100
Line #45: Cannot cover outrange max of StabFactor_ETR_Axe_Adapted = StabFactor_ETR_Axe_Adapted * MTCTargetSlip_StabilityFactor because StabFactor_ETR_Axe_Adapted[max: 1] = StabFactor_ETR_Axe_Adapted[max: 1] * MTCTargetSlip_StabilityFactor.min(1.0)[max: 1] (at line #15) always &lt;= 1</t>
  </si>
  <si>
    <t xml:space="preserve">Line#7,#11,#13,#15,#17,#22,#24,#26: cannot cover OOR Max of variable l_t30_cond_RMI[0;1023] because l_t30_cond_RMI is equal to 0 at line#5
</t>
  </si>
  <si>
    <t>Param 1D can't cover full C0/C1
Line #26, can not cover for case t_memo_vVeh + P_dT_TCS &gt; P_TCSPlus_VehicleStuck_tMemovVeh. Because :
 - P_dT_TCS range from 0.02 to 0.02
 - t_memo_vVeh must be less than P_TCSPlus_VehicleStuck_tMemovVeh in condition at line #24
Line #104, can not cover for case t_takeoff_impossible + P_dT_TCS &gt; P_TCSPlus_VehicleStuck_TakeOff_impossible_tTCSThr. Because when it true =&gt; condition at line 89, 60 true =&gt; condition at line 101 false =&gt; line 104 never reach and cannot cover out range max at line 104</t>
  </si>
  <si>
    <t>Param 1D cannot cover full C0/C1
Line #59,#161: Cannot cover case t_NoAxControl = (t_NoAxControl[0-50 , Tolerance: 0.02] + P_dT_TCS[0.02, non-calibration value]).min(2500) &gt; 5 because :
 + If t_NoAxControl &gt;= 5 -&gt; t_NoAxControl &gt;= Ps_Switcher.AxControl_CycleTime() [0-5 , Tolerance: 0.02] -&gt; This line never reach.
 + If t_NoAxControl = 5 - 0.02(Tolerance) = 4.98 &lt; 5 -&gt; t_NoAxControl = 4.98 + 0.02 = 5</t>
  </si>
  <si>
    <t>Line #19, can not cover for case LOC_RotButtonPos_MOD + 5 &gt; 31. Because condition ( LOC_RotButtonPos_MOD &lt;0 ) must be true at line #17</t>
  </si>
  <si>
    <t>Line#29: cannot cover MCDC case TFFTTTX, FXTXXXF at this line because 2  line#26 and #29 is the same variable and the same TRUE or FALSE value</t>
  </si>
  <si>
    <t>ChangAn_ESP_Carbon_Int\MainstreamF30\rb\as\core\app\sec\security\src\</t>
  </si>
  <si>
    <t>KPI\days</t>
  </si>
  <si>
    <t>BYD_IPB_BL05_Int\BYDIPB\rba\Bldr\config\ApplicationLayer\rba_BldrCmp\src\</t>
  </si>
  <si>
    <t>BYD_IPB_BL05_Int\BYDIPB\rba\Bldr\BldrCmp\src\</t>
  </si>
  <si>
    <t>+ Cannot cover full C0/C1 because Param1D</t>
  </si>
  <si>
    <t xml:space="preserve">Line#14, Cann't cover for over max at line #14, 20, 30, 36, 38 because l_t20_cond_RMI is a global and set to 0 </t>
  </si>
  <si>
    <t>In ASCET 6, can't cover full param1D</t>
  </si>
  <si>
    <t>Param1D, can't cover full C0/C1</t>
  </si>
  <si>
    <t>Type casting Boolean variable into Boolean makes issues in other compilations(BSWSIM/CSW4SIL)</t>
  </si>
  <si>
    <t>PLTMT_01090109</t>
  </si>
  <si>
    <t>CLD_BCL_ActivationStates</t>
  </si>
  <si>
    <t>CLD_BCL_SetdImmersePP</t>
  </si>
  <si>
    <t>Measure_GeneralLimits</t>
  </si>
  <si>
    <t>Rerun</t>
  </si>
  <si>
    <t xml:space="preserve">Can't cover param1D,2D in Ascet 5,6
Because limitation in range of P_ReferencePoint1dDesiredMap,  P_ReferencePoint2dDesiredMap and P_ReferencePoint1dDesiredMap, belows cases can't be coverd:
#Line30,31,32: Can't cover C_ReferencePoint1dImmerseMap or C_ReferencePoint2dImmerseMap or C_ReferencePoint3dImmerseMap is smaller than 0
#Line30,31,32: Can't cover out range max of y value of param2D C_dImmerseMap_ECO
#Line30,31,32: Can't cover out range min of y value of param2D C_dImmerseMap_ECO
#Line39,40,41: Can't cover C_ReferencePoint1dImmerseMap or C_ReferencePoint2dImmerseMap or C_ReferencePoint3dImmerseMap is smaller than 0
#Line39,40,41: Can't cover out range max of y value of param2D C_dImmerseMap_DYNAMIC
#Line39,40,41: Can't cover out range min of y value of param2D C_dImmerseMap_DYNAMIC
#Line48,49,50: Can't cover C_ReferencePoint1dImmerseMap or C_ReferencePoint2dImmerseMap or C_ReferencePoint3dImmerseMap is smaller than 0
#Line48,49,50: Can't cover out range max of y value of param2D C_dImmerseMap_DYNAMIC
#Line48,49,50: Can't cover out range min of y value of param2D C_dImmerseMap_DYNAMIC
</t>
  </si>
  <si>
    <t>- Get assignment phase 1:9/1/2020 =&gt; Complete 9/1/2020</t>
  </si>
  <si>
    <t>PBCFaultState_GAC</t>
  </si>
  <si>
    <t>Pata_EnvironmentVariables</t>
  </si>
  <si>
    <t>rba_BldrSrvStHdl_Cfg.c</t>
  </si>
  <si>
    <t>rba_BldrCmp_Cfg_Com.c</t>
  </si>
  <si>
    <t>5.0.146.5.315.2</t>
  </si>
  <si>
    <t>2.8</t>
  </si>
  <si>
    <t>YANG Xianlin (CC-AS/EVA-SW2-CN)</t>
  </si>
  <si>
    <t>Chitra Chandrasekaran (RBEI/EBB7)</t>
  </si>
  <si>
    <t>GAC_239741_Carbon_A12_4WD_ESPHevx_FPA_BL03</t>
  </si>
  <si>
    <t>CNMS_179148_Deuterium_Super_20200918_BL02_SP05</t>
  </si>
  <si>
    <t>BL03</t>
  </si>
  <si>
    <t>BL02_SP05</t>
  </si>
  <si>
    <t>ApbMiGen2hevX_ECU_CSW_BB97468.axl</t>
  </si>
  <si>
    <t>CNMS.zip</t>
  </si>
  <si>
    <t>Line #14, #22, #33, #40, #49, #58, #60: Can't cover outrange max value of variable l_t40_cond_RMI due to at line #5 (l_t40_cond_RMI = 0)</t>
  </si>
  <si>
    <t>CNMS\CNMS_12-06\rba\as\Bldr\CNMS\config\ApplicationLayer\rba_BldrCmp\src</t>
  </si>
  <si>
    <t>Owner confirm is no impact.</t>
  </si>
  <si>
    <t>Param1D and Param2D, Can't cover full C0/C1</t>
  </si>
  <si>
    <t>- Check plt: Enum variables failed but enum value is correct.</t>
  </si>
  <si>
    <t>Line #77, Can't cover out range min value of l_dmb Because when l_dmb &lt; -500 ==&gt; l_dmb &lt; 0 and l_dMbWheelo_FA_GradOnInact_RMI &gt; 0. But in this case, condition ((l_dmb-l_dMbWheelo_FA_GradOnInact_RMI)&gt;=0) is false. And then, line #77 can't be reached
Line #47, Can't cover default case of switch(currentStateK1) Because when currentStateK1 &lt;&gt; [RMI_CMD_Hold_Control, RMI_CMD_HoldCurve_Control, RMI_CMD_Counterfly_Prefill, RMI_CMD_Counterfly_Ramp_up, RMI_CMD_Counterfly_Control] ===&gt; transitionDetection is False ===&gt; Line #47 Can't be reached.</t>
  </si>
  <si>
    <t>Line #32, Can't cover full MCDC because of conflict value of imported parameter FS_Tcs4Used</t>
  </si>
  <si>
    <t>CNMS\CNMS_12-06\rba\as\Bldr\CNMS\config\ApplicationLayer\rba_BldrCmp\src\</t>
  </si>
  <si>
    <t>In ASCET6, Unable to cover all interpolation types for 1D/2D parameters  
Line #72, can not cover case FALSE because it conflict with the condition at line #41
Line #206, can not cover the case of BetaIntBdOverHM is smaller than 0 because it conflict with the condition at line#48
Line #230, can not cover out range max of vGiMaxFl because vGiSoFlLwKo has the limit from 0 to 2 and vGiMaxFl is smaller than 1 (vGiMaxFl at line#161, 192, 209 are smaller than 1 because P_vGiMaxFl is smaller than 1)
Line #230, can not cover out range min of vGiMaxFl because vGiSoFlLwKo has the limit from 0 to 2
Line #235, can not cover out range max/min of vGiMaxFl because vGiMax has the limit from -2 to 2
Line #236, can not cover out range min of vGiMaxFl because vGiMaxFl is not smaller than 0
Line #257, can not cover out range min of vGiMaxFl due to the limitation of imported parameter at line #227, 206, 74
line #282, #285, #304 and #308, can not cover out range min of vGiMaxFl2 bacause vGiMaxFl2 is not smaller than 0
Line #336, can not cover out range max of tFZRHAFrei ( range from 0 to 254 ) because it conflict with the condition at line#320 and P_tFZRHAFreiMax ( range from 2 to 250 ) has max value to 250
Line #490, can not cover out range max of delvGiOff because vGiF.abs() is always larger than 0 and vGiSoFl is always larger than 0 (because vGiSoFl = vGiMaxFl but vGiMaxFl = vGiMaxFl.max(vGiSoBegAy.abs()) )
Line #514, can not cover out range max of vGiSoFl because MuevGiSoFlOff can not smaller than 0 (MuevGiSoFlOff = P_MuevGiSoFlOff.getAt(mueF)) and vGiF.abs() is always larger than 0
Line #566, can not cover out range max/min of evGiUndFrF because P_koevGiUndFrF has the limit from 0.1015625 to 1
Line #666, #673 and #678, can not cover out range min of delvGi because delvGi is not smaller than 0
Line #699, can not cover case FALSE because it conflict with the condition at line #41
Line #709, can not cover out range max of dMzDySosHMueMain because P_AmpldMz and CoMzvFzDySosHMue and CoMzMueDySosHMue and delvGi is not smaller than 0
Line #756, can not cover tMBVAOLKoHMueMain is smaller than 0 because P_tMBVAOLKoHMueMain is not smaller than 0
Line #787, #790 and #792, can not cover for case FALSE of condition VDCModeSelection == VDC_Sport. Because it conflict with the condition at line #41</t>
  </si>
  <si>
    <t>GAC_248361_Carbon_A29CP FPA/RPA w/ib2_BL02</t>
  </si>
  <si>
    <t>MC_239507_SGMW_CN210S_PHEV_ESP9.3CPi_BSS04_SP2_S</t>
  </si>
  <si>
    <t>FxEmergencyBrakingLimit_AP</t>
  </si>
  <si>
    <t>CounterSteeringDetection</t>
  </si>
  <si>
    <t>DTCCritPassive</t>
  </si>
  <si>
    <t>VlcLsm_DrvDirChangeSftyEval</t>
  </si>
  <si>
    <t>BSS04_SP2_S</t>
  </si>
  <si>
    <t>MA Python (CC-AS/EVA-SW31-CN)</t>
  </si>
  <si>
    <t>ZHANG Allen (CC-AS/EVA-SW2-CN)</t>
  </si>
  <si>
    <t>QIU Liqi (CC-AS/EVA-SW2-CN)</t>
  </si>
  <si>
    <t>CDDAP_ECU_CSW_BB00001</t>
  </si>
  <si>
    <t>DtfDtcDte20msESP_ECU_CSW_BB00001, VDCwAddOns_ECU_CSW_BB00001</t>
  </si>
  <si>
    <t>8.3.147315.0</t>
  </si>
  <si>
    <t>3.0.147315.0</t>
  </si>
  <si>
    <t>1.2.147.2</t>
  </si>
  <si>
    <t>rb\as\BYD\ipb\app\dsm\RBVAR\src</t>
  </si>
  <si>
    <t>CNMS\CNMS_12-06\rba\as\Bldr\CNMS\config\ApplicationLayer\rba_BldrSrvStHdl\src</t>
  </si>
  <si>
    <t>SGMW_ESP93_Carbon_Int\MainstreamF30\rb\as\sgmw\CN210S\app\net\RBScl\RBScl_SGMW\src</t>
  </si>
  <si>
    <t>VlcADBackupAvailabilityCalcn</t>
  </si>
  <si>
    <t>VlcDAxBaseValues</t>
  </si>
  <si>
    <t>AXCAbsoluteForceLimitationCalculation</t>
  </si>
  <si>
    <t>AXCdFxLimArbtr</t>
  </si>
  <si>
    <t>PLTMT_03090409</t>
  </si>
  <si>
    <t>RBLBR_BrakeRequestLimitation</t>
  </si>
  <si>
    <t>RBLBR_ControlMain</t>
  </si>
  <si>
    <t>MLI_Current_Reduction</t>
  </si>
  <si>
    <t>MLI_SmoothRunOutTransition</t>
  </si>
  <si>
    <t>MLI_RunoutTransition</t>
  </si>
  <si>
    <t>RBPSC_VoltageDegradation</t>
  </si>
  <si>
    <t>CUBAS_Comstack_Can</t>
  </si>
  <si>
    <t>RBAPLPLANT_RoutineControl</t>
  </si>
  <si>
    <t>Net_Interface_FHI_iB</t>
  </si>
  <si>
    <t>Net_MonitoringClasseslib</t>
  </si>
  <si>
    <t>rba_ComScl_Scl_VDC_143_Rx</t>
  </si>
  <si>
    <t>RBNET_ESPMaskHandler_FHI_iB</t>
  </si>
  <si>
    <t>RBVar_VariantHandling_SBR</t>
  </si>
  <si>
    <t>DIA_MonitoringDeactivation_SUBARU</t>
  </si>
  <si>
    <t>DSW_SUB_FHI</t>
  </si>
  <si>
    <t>_JZqA0OL7EeadpvCs8fxX9A</t>
  </si>
  <si>
    <t>_JZu5UOL7EeadpvCs8fxX9A</t>
  </si>
  <si>
    <t>15.0.1.2.140.0</t>
  </si>
  <si>
    <t>16.6.140.2</t>
  </si>
  <si>
    <t>14.4.140.0</t>
  </si>
  <si>
    <t>_20UF1aH2Eee2s5bjfNwcWw</t>
  </si>
  <si>
    <t>_HG2BwFp9EeeM0at1h6DXkA</t>
  </si>
  <si>
    <t>_jb6WMd7bEeWIg7A4mt86gQ</t>
  </si>
  <si>
    <t>_Sx5BoI7hEeibP4_XIugNcQ</t>
  </si>
  <si>
    <t>_3FDG0CwqEeidyPR7sPIymw</t>
  </si>
  <si>
    <t>_3QIVcCwqEeidyPR7sPIymw</t>
  </si>
  <si>
    <t>_3DqmwCwqEeidyPR7sPIymw</t>
  </si>
  <si>
    <t>_SLUTEO_gEemXqOt6hVmm4w</t>
  </si>
  <si>
    <t>_ee0B4BYoEeqFA_W42qyrRw</t>
  </si>
  <si>
    <t>_ee9y4BYoEeqFA_W42qyrRw</t>
  </si>
  <si>
    <t>EXTERNAL Nakamura Ayaka (Artner, CC/EYB3-JP)</t>
  </si>
  <si>
    <t>Nakamura, Ayaka</t>
  </si>
  <si>
    <t>EXTERNAL Morinaga Gosuke (Artner, CC/EYB3-JP)</t>
  </si>
  <si>
    <t>D_Phan Thanh Minh (RBVH/ESS31, CC-AS/ESJ4-JP)</t>
  </si>
  <si>
    <t>Tran Anh Tuan (RBVH/EAS22)</t>
  </si>
  <si>
    <t>Le Thi My Duyen (RBVH/EAS24)</t>
  </si>
  <si>
    <t>D_Vo Thanh Phuc (RBVH/EAS24)</t>
  </si>
  <si>
    <t>Sakurai Masahiro (CC-AS/ESJ4-JP)</t>
  </si>
  <si>
    <t>Check 15.0.1.1.140.0</t>
  </si>
  <si>
    <t>Check 16.6.140.1</t>
  </si>
  <si>
    <t>Check 14.0.1.1.146314.0</t>
  </si>
  <si>
    <t>MT_100</t>
  </si>
  <si>
    <t>MT_101</t>
  </si>
  <si>
    <t>MT_102</t>
  </si>
  <si>
    <t>MT_034</t>
  </si>
  <si>
    <t>MT_035</t>
  </si>
  <si>
    <t>MT_058</t>
  </si>
  <si>
    <t>MT_059</t>
  </si>
  <si>
    <t>BB80485</t>
  </si>
  <si>
    <t>Line #101, can not cover for case l_rba_ComScl_EvaluateRxPdu_VDC_143 = FALSE at line #101. Because it conflic with condition at line #86.
Line #127, can not cover for case l_rba_ComScl_EvaluateRxPdu_VDC_143 = FALSE at line #127. Because it conflic with condition at line #86.
Line #189, can not cover for case l_rba_ComScl_EvaluateRxPdu_VDC_143 = FALSE at line #189. Because it conflic with condition at line #86.
Line #198, can not cover for case l_rba_ComScl_EvaluateRxPdu_VDC_143 = FALSE at line #198. Because it conflic with condition at line #86.</t>
  </si>
  <si>
    <t>FHI_iBGen2_MS_14_Dev_37</t>
  </si>
  <si>
    <t>- Get assignment phase 1:9/3/2020 =&gt; Complete 9/4/2020</t>
  </si>
  <si>
    <t>- Get assignment phase 1:9/4/2020 =&gt; Complete ???</t>
  </si>
  <si>
    <t>BYD_IPB_BL05_Int\BYDIPB\rb\as\BYD\ipb\app\dsm\RBVAR\src</t>
  </si>
  <si>
    <t>Line#84: Cannot cover the false case(ShutdownReq needs TRUE: FXTT or TFTT) due to confliction with the true case at line 40
Line#137: Cannot cover the false case(with StVehStMgr is not equal to StVehStMgr_Standby and tVehStMgrK1 is equal to StVehStMgr_Standby) due to confliction with line 84.
Line#162: Cannot cover the false case(with StVehStMgr is not equal to StVehStMgr_Standby and tVehStMgrK1 is equal to StVehStMgr_Standby) due to confliction with line 84.</t>
  </si>
  <si>
    <t>Line #10: Can't cover full MCDC of (FxTarCord = AxcCtrlPathCord_Closed, FX=F) due to confliction with line #3.</t>
  </si>
  <si>
    <t>PbcVariantItem_PersistentData</t>
  </si>
  <si>
    <t>RBAPLHELP_SessionHandler</t>
  </si>
  <si>
    <t>RBVoltageHandler_HydraulicVoltageSupplyCommon</t>
  </si>
  <si>
    <t>RBSUPPLYBASE_CPPerformanceTest</t>
  </si>
  <si>
    <t>RBHMI_ConfigOutput_APBMi_Status</t>
  </si>
  <si>
    <t>RBHMI_ConfigOutput_ESP_Status</t>
  </si>
  <si>
    <t>RBHMI_ConfigOutput_HDC_Status</t>
  </si>
  <si>
    <t>RBHMI_HONDACustom_Functions</t>
  </si>
  <si>
    <t>PduR_dSecOC_Transmit</t>
  </si>
  <si>
    <t>PduR_Gateway_SecOC</t>
  </si>
  <si>
    <t>rba_ComScl_DlcCbk</t>
  </si>
  <si>
    <t>rba_ComScl_Scl_VSA_0E8_CH1_Tx</t>
  </si>
  <si>
    <t>rba_ComScl_Scl_VSA_0E8_CH2_Tx</t>
  </si>
  <si>
    <t>rba_ComScl_Scl_VSA_1A4_CH1_Tx</t>
  </si>
  <si>
    <t>rba_ComScl_Scl_VSA_1AC_CH1_Tx</t>
  </si>
  <si>
    <t>RBNET_RemoteDiag_HONDA</t>
  </si>
  <si>
    <t>RBNET_VariantTableInterface_HONDA</t>
  </si>
  <si>
    <t>RBSecOcFV_ComSclAdapters_Monitoring_PRJ</t>
  </si>
  <si>
    <t>RBSecOcFV_Debug_Scl_Debug_Tx</t>
  </si>
  <si>
    <t>STM_FeatureDeactivation_Honda</t>
  </si>
  <si>
    <t>RBNET_APB_interface</t>
  </si>
  <si>
    <t>RBNET_ASW_ControllerInterface</t>
  </si>
  <si>
    <t>RBNET_BrakeRelay</t>
  </si>
  <si>
    <t>RBNET_HBC_Interface</t>
  </si>
  <si>
    <t>RBNET_InterfaceToDCOM</t>
  </si>
  <si>
    <t>RBNET_Service_OnBoardSnapshot</t>
  </si>
  <si>
    <t>RBND4_interface</t>
  </si>
  <si>
    <t>Dem_PrjSpecificDCOMFailureMemory</t>
  </si>
  <si>
    <t>RBAplCust_BrakePadExchangeModeNvmHandler_Project</t>
  </si>
  <si>
    <t>RBAplCust_DiagnosisHMIHandler_Project</t>
  </si>
  <si>
    <t>RBAplCust_EOLBegining_NVMHandler_Project</t>
  </si>
  <si>
    <t>RBAplCust_EOLStateTransitionHandler_Project</t>
  </si>
  <si>
    <t>RbAplCust_EPBEOLAssemblyTest_Project</t>
  </si>
  <si>
    <t>RBAplCust_MemoryErrasureService_Project</t>
  </si>
  <si>
    <t>RBAplCust_MultiDynamoTest_TFTMeter_Project</t>
  </si>
  <si>
    <t>RbAplCust_Rc_RID_40C2_SensorCalibration_TFTMeter_Project</t>
  </si>
  <si>
    <t>RBAplCust_Rc_RID_40C4_SFTABSPressureReliefOperation_Project</t>
  </si>
  <si>
    <t>RBAplCust_Rc_RID_40C5_SFTVSAPressureReliefOperation_Project</t>
  </si>
  <si>
    <t>RBAplCust_Rc_RID_40C9_StartupofEOLMode_TFTMeter_Project</t>
  </si>
  <si>
    <t>RBAplCust_Rc_RID_40CA_StartupofSEOLMode_Project</t>
  </si>
  <si>
    <t>RBAplCust_Rc_RID_40CF_EnterEPBBrakePadExchangeMode_Project</t>
  </si>
  <si>
    <t>RBAplCust_Rc_RID_40D0_ExitEPBBrakePadExchangeMode_Project</t>
  </si>
  <si>
    <t>RBAplCust_Rc_RID_40D1_ActivationofEPBactuator_Project</t>
  </si>
  <si>
    <t>RBAplCust_Rc_RID_40D2_EPBAssemblyCheck_Project</t>
  </si>
  <si>
    <t>RBAplCust_Rc_RID_6F18_SteeringAngleSensorLearning_Project</t>
  </si>
  <si>
    <t>RBAplCust_Rc_RID_D010_EnterEPBPlantSafetyMode_Project</t>
  </si>
  <si>
    <t>RBAplCust_RDBI_4001_ReadLETAndAirBleedingInTheLineData_Project</t>
  </si>
  <si>
    <t>RBAplCust_RDBI_4002_ReadLineEndTestParameters_Project</t>
  </si>
  <si>
    <t>RBAplCust_RDBI_4003_ReadSpecialLineEndTestParameters_Project</t>
  </si>
  <si>
    <t>RBAplCust_RDBI_4006_ReadVSACANCommunicationStatus_Project</t>
  </si>
  <si>
    <t>RBFMHC_FreezeFrameHandling_EPB</t>
  </si>
  <si>
    <t>RbAplCust_Processes_HDC</t>
  </si>
  <si>
    <t>RbAplCust_RoutineControl_HDC</t>
  </si>
  <si>
    <t>Honda_HDC_MIDOpGuide</t>
  </si>
  <si>
    <t>Honda_Hdc_ReqAct</t>
  </si>
  <si>
    <t>Honda_HDC_SwitchOp_MID</t>
  </si>
  <si>
    <t>LDM_HoldTimeManager</t>
  </si>
  <si>
    <t>Honda_ACM_ESPiB_PtsMc_DS10_5ms</t>
  </si>
  <si>
    <t>HONDA_HMI_ApbFunctionFailure</t>
  </si>
  <si>
    <t>HONDA_HMI_ApbSystemFailure</t>
  </si>
  <si>
    <t>HGT_IDS_SignalExport</t>
  </si>
  <si>
    <t>HGT_IMGRequest</t>
  </si>
  <si>
    <t>HGT_Pata_Lamp</t>
  </si>
  <si>
    <t>HGT_Pata_ModeEspNormal</t>
  </si>
  <si>
    <t>HGT_Pata_ModeEspPassiv</t>
  </si>
  <si>
    <t>HGT_Pata_ModeLaunch</t>
  </si>
  <si>
    <t>HGT_Pata_ModeMaintenance</t>
  </si>
  <si>
    <t>HGT_Pata_ModeQuiet</t>
  </si>
  <si>
    <t>HGT_Pata_ModeSand</t>
  </si>
  <si>
    <t>HGT_Pata_ModeSnow</t>
  </si>
  <si>
    <t>HGT_Pata_ModeSport</t>
  </si>
  <si>
    <t>HGT_Pata_ModeSportC</t>
  </si>
  <si>
    <t>HGT_Pata_ModeTCSOFFQuiet</t>
  </si>
  <si>
    <t>HGT_Pata_ModeTCSOFFSand</t>
  </si>
  <si>
    <t>HGT_Pata_ModeTCSOFFSnow</t>
  </si>
  <si>
    <t>HGT_Pata_ModeTCSOFFSport</t>
  </si>
  <si>
    <t>HGT_Pata_ModeTCSOFFSportPlus</t>
  </si>
  <si>
    <t>HGT_Pata_ModeTCSOFFTrack</t>
  </si>
  <si>
    <t>HGT_Pata_ModeTCSOFFTrail</t>
  </si>
  <si>
    <t>HGT_Pata_ModeTCSWeak</t>
  </si>
  <si>
    <t>HGT_Pata_ModeTrack</t>
  </si>
  <si>
    <t>HGT_Pata_ModeTrail</t>
  </si>
  <si>
    <t>HGT_Pata_ModeVSAOFF</t>
  </si>
  <si>
    <t>HGT_Pata_SportSW_Selection</t>
  </si>
  <si>
    <t>_1NW8wEqCEealBsqVXsCb8g</t>
  </si>
  <si>
    <t>_uV7m8c4fEeSjs6BHmnUvww</t>
  </si>
  <si>
    <t>_aBFQ4Q32EeaEbJU2FKtuSA</t>
  </si>
  <si>
    <t>_nxpA4L-NEeW0jLgcyoDr7A</t>
  </si>
  <si>
    <t>_7CrjkzC_EeeuOfOnL60ezA</t>
  </si>
  <si>
    <t>_7CrjljC_EeeuOfOnL60ezA</t>
  </si>
  <si>
    <t>_7CrjmDC_EeeuOfOnL60ezA</t>
  </si>
  <si>
    <t>_jENPkAivEee19rtGEhXkVg</t>
  </si>
  <si>
    <t>_dYry6NWlEeeqR5GBwkhPkQ</t>
  </si>
  <si>
    <t>_dYry2tWlEeeqR5GBwkhPkQ</t>
  </si>
  <si>
    <t>_yk_1AEzsEeen4ZQlSFYJ0g</t>
  </si>
  <si>
    <t>_ylBqMUzsEeen4ZQlSFYJ0g</t>
  </si>
  <si>
    <t>_zZ8F8dUVEeeKeNW92atgTw</t>
  </si>
  <si>
    <t>_zZy8ANUVEeeKeNW92atgTw</t>
  </si>
  <si>
    <t>_-FUAkDDfEeeuOfOnL60ezA</t>
  </si>
  <si>
    <t>_-FUnoTDfEeeuOfOnL60ezA</t>
  </si>
  <si>
    <t>_Z1NE0G2QEeqzSsezg26o9Q</t>
  </si>
  <si>
    <t>_-EsVgDDfEeeuOfOnL60ezA</t>
  </si>
  <si>
    <t>_hsnQQK8QEee_g6BQ7YoBVQ</t>
  </si>
  <si>
    <t>_e78wEM3IEeeeZ8bxkyx5oA</t>
  </si>
  <si>
    <t>_dY1j0dWlEeeqR5GBwkhPkQ</t>
  </si>
  <si>
    <t>_FAMNMIPQEee4RI6BDk-xHw</t>
  </si>
  <si>
    <t>_P9gRgYZQEeeu-eR2p-hDKA</t>
  </si>
  <si>
    <t>_P7bN4YZQEeeu-eR2p-hDKA</t>
  </si>
  <si>
    <t>_zWjsYpIaEeeEKOxN0W7CGA</t>
  </si>
  <si>
    <t>_EB09QNDlEeiya8lTOEgyNA</t>
  </si>
  <si>
    <t>_ED7cIP0xEeih34kE31ugPQ</t>
  </si>
  <si>
    <t>_Nj0LwSLcEeig2dazTxWFFQ</t>
  </si>
  <si>
    <t>_FvRDErzpEeqGtcP1qd2ZLg</t>
  </si>
  <si>
    <t>_Zjb3QEWWEemcZNVGuEuSDQ</t>
  </si>
  <si>
    <t>_U75BUF6MEeiLMNqBAQXczg</t>
  </si>
  <si>
    <t>_mMqdcCXUEeiI49l_cfm5QQ</t>
  </si>
  <si>
    <t>_XKYz0C3-EemQ5IdHIdbtiw</t>
  </si>
  <si>
    <t>_mOWfgCXUEeiI49l_cfm5QQ</t>
  </si>
  <si>
    <t>_Ph_9wPzfEeeNLMwT2-NPrw</t>
  </si>
  <si>
    <t>_PiHSgPzfEeeNLMwT2-NPrw</t>
  </si>
  <si>
    <t>_7J9x4IeVEemgeb7iVh-XWA</t>
  </si>
  <si>
    <t>_7J-Y8IeVEemgeb7iVh-XWA</t>
  </si>
  <si>
    <t>_c5fjUPzfEeeNLMwT2-NPrw</t>
  </si>
  <si>
    <t>_c6g3APzfEeeNLMwT2-NPrw</t>
  </si>
  <si>
    <t>_7J_nEIeVEemgeb7iVh-XWA</t>
  </si>
  <si>
    <t>_c6uSYPzfEeeNLMwT2-NPrw</t>
  </si>
  <si>
    <t>_c4-l8PzfEeeNLMwT2-NPrw</t>
  </si>
  <si>
    <t>_c8l6oPzfEeeNLMwT2-NPrw</t>
  </si>
  <si>
    <t>_c6bXcPzfEeeNLMwT2-NPrw</t>
  </si>
  <si>
    <t>_65LwoPx8EeiVkefP0kaSkQ</t>
  </si>
  <si>
    <t>_mN2JMCXUEeiI49l_cfm5QQ</t>
  </si>
  <si>
    <t>_6A5n0F8KEeiLMNqBAQXczg</t>
  </si>
  <si>
    <t>_c6lIcPzfEeeNLMwT2-NPrw</t>
  </si>
  <si>
    <t>_c8dXwPzfEeeNLMwT2-NPrw</t>
  </si>
  <si>
    <t>_c8-8MPzfEeeNLMwT2-NPrw</t>
  </si>
  <si>
    <t>_c7uX8PzfEeeNLMwT2-NPrw</t>
  </si>
  <si>
    <t>_2LJtMIaSEemZJ_7oU2eDtQ</t>
  </si>
  <si>
    <t>_Qgk8oBhjEee_MIOmqRxaPA</t>
  </si>
  <si>
    <t>_QgljsRhjEee_MIOmqRxaPA</t>
  </si>
  <si>
    <t>1.0.131.4</t>
  </si>
  <si>
    <t>1.3.131.3</t>
  </si>
  <si>
    <t>1.12</t>
  </si>
  <si>
    <t>Veena Chandrashekar (RBEI/ESJ2)</t>
  </si>
  <si>
    <t>Jowelle Pinlac (CC-AS/ESJ2-JP)</t>
  </si>
  <si>
    <t>Sen Yashodhara (RBEI/ESJ2)</t>
  </si>
  <si>
    <t>Harisha K S (RBEI/ESJ6)</t>
  </si>
  <si>
    <t>Rahul Madhukar (RBEI/ESJ2)</t>
  </si>
  <si>
    <t>Soumya Satheesh (RBEI/ESJ2)</t>
  </si>
  <si>
    <t>Deepa S N (RBEI/ESJ2)</t>
  </si>
  <si>
    <t>Kikegawa Ryo (CC-AS/ESJ2-JP)</t>
  </si>
  <si>
    <t>D_Arjun Haritsa Krishnamurthy (RBEI/ESJ33)</t>
  </si>
  <si>
    <t>Sumanth Kumar M (RBEI/ESJ5)</t>
  </si>
  <si>
    <t>Bharath Ramappa (RBEI/ESJ2)</t>
  </si>
  <si>
    <t>Sai Kumar Achari Mangalore (RBEI/ESJ-AHG1)</t>
  </si>
  <si>
    <t>Sunil C Hanumantharaya (RBEI/ESJ2)</t>
  </si>
  <si>
    <t>Manivannan Selvaraj (RBEI/ESJ2)</t>
  </si>
  <si>
    <t>Prithvi K P (RBEI/ESJ2)</t>
  </si>
  <si>
    <t>Soni Gokulesh (RBEI/ESJ2)</t>
  </si>
  <si>
    <t>Geethanjali, Valagerahalli Seenappa</t>
  </si>
  <si>
    <t>Ganesh, K M</t>
  </si>
  <si>
    <t>Ajay, K Srinath</t>
  </si>
  <si>
    <t>Imamura, Hirotaka</t>
  </si>
  <si>
    <t>Sachin, Kirangi</t>
  </si>
  <si>
    <t>MT_057</t>
  </si>
  <si>
    <t>MT_091</t>
  </si>
  <si>
    <t>MT_093</t>
  </si>
  <si>
    <t>MT_095</t>
  </si>
  <si>
    <t>MT_097</t>
  </si>
  <si>
    <t>MT_098</t>
  </si>
  <si>
    <t>MT_104</t>
  </si>
  <si>
    <t>MT_105</t>
  </si>
  <si>
    <t>MT_106</t>
  </si>
  <si>
    <t>MT_109</t>
  </si>
  <si>
    <t>MT_110</t>
  </si>
  <si>
    <t>MT_112</t>
  </si>
  <si>
    <t>MT_113</t>
  </si>
  <si>
    <t>MT_114</t>
  </si>
  <si>
    <t>MT_115</t>
  </si>
  <si>
    <t>MT_116</t>
  </si>
  <si>
    <t>MT_117</t>
  </si>
  <si>
    <t>MT_118</t>
  </si>
  <si>
    <t>MT_119</t>
  </si>
  <si>
    <t>MT_120</t>
  </si>
  <si>
    <t>MT_122</t>
  </si>
  <si>
    <t>MT_151</t>
  </si>
  <si>
    <t>MT_154</t>
  </si>
  <si>
    <t>MT_170</t>
  </si>
  <si>
    <t>MT_171</t>
  </si>
  <si>
    <t>MT_172</t>
  </si>
  <si>
    <t>MT_173</t>
  </si>
  <si>
    <t>MT_174</t>
  </si>
  <si>
    <t>MT_175</t>
  </si>
  <si>
    <t>MT_176</t>
  </si>
  <si>
    <t>MT_178</t>
  </si>
  <si>
    <t>MT_179</t>
  </si>
  <si>
    <t>MT_180</t>
  </si>
  <si>
    <t>MT_181</t>
  </si>
  <si>
    <t>MT_182</t>
  </si>
  <si>
    <t>MT_183</t>
  </si>
  <si>
    <t>MT_184</t>
  </si>
  <si>
    <t>MT_185</t>
  </si>
  <si>
    <t>MT_186</t>
  </si>
  <si>
    <t>MT_187</t>
  </si>
  <si>
    <t>MT_188</t>
  </si>
  <si>
    <t>MT_189</t>
  </si>
  <si>
    <t>MT_190</t>
  </si>
  <si>
    <t>MT_191</t>
  </si>
  <si>
    <t>MT_192</t>
  </si>
  <si>
    <t>MT_193</t>
  </si>
  <si>
    <t>MT_194</t>
  </si>
  <si>
    <t>MT_195</t>
  </si>
  <si>
    <t>MT_196</t>
  </si>
  <si>
    <t>MT_197</t>
  </si>
  <si>
    <t>MT_198</t>
  </si>
  <si>
    <t>MT_199</t>
  </si>
  <si>
    <t>MT_200</t>
  </si>
  <si>
    <t>MT_201</t>
  </si>
  <si>
    <t>BB80249</t>
  </si>
  <si>
    <t>Honda_CMP_BL12sp02_snapshot03</t>
  </si>
  <si>
    <t>Line #24: Cannot cover outrange max of MLI_CurrentRed_cntr ++ because:
 + To reach this line : MLI_CurrentRed_cntr[max: 5000] &lt;= P_RO_TorqueRed_WaitTime -&gt; MLI_CurrentRed_cntr &lt;= MLI_RO_TorqueRed_WaitTime[max = 20]/FIX_MLI_task_cycle_time_f[=0.005 - non-calibration value] -&gt; MLI_CurrentRed_cntr &lt;= 4000 -&gt; MLI_CurrentRed_cntr ++ never &gt; 5000
Line #59: Cannot division by zero with variable P_RO_Torque_RampTime of (MLI_Runout_Target_Torque - MLI_RO_TorqueLimit)/P_RO_Torque_RampTime because P_RO_Torque_RampTime = MLI_RO_Torque_RampTime[min: 0.005]/FIX_MLI_task_cycle_time_f[=0.005 - non-calibration value] -&gt; P_RO_Torque_RampTime always &gt;= 1
Line #59: Cannot cover outrange max and outrange min of MLI_RO_Trq_step[-16 - 15.99951171875] = (MLI_Runout_Target_Torque - MLI_RO_TorqueLimit)/P_RO_Torque_RampTime because:
 + P_RO_Torque_RampTime = MLI_RO_Torque_RampTime[min: 0.005]/FIX_MLI_task_cycle_time_f[=0.005 - non-calibration value] -&gt; P_RO_Torque_RampTime always &gt;= 1 -&gt; P_RO_Torque_RampTime min = 1
 + To reach this line : MLI_Runout_Target_Torque[-16 - 15.99951171875] &gt; MLI_RO_TorqueLimit [-16 - 15.99951171875].
 + MLI_RO_TorqueLimit = P_MLI_RO_TorqueRedLimit_ib1 = MLI_RO_TorqueRed_Limit_s1 [0 -16] (line #36) OR MLI_RO_TorqueLimit = P_MLI_RO_TorqueRedLimit_ib1_plus = MLI_RO_TorqueRed_Limit_s1p [0 -16] (line #42)
 OR MLI_RO_TorqueLimit = P_MLI_RO_TorqueRedLimit_ib2 = MLI_RO_TorqueRed_Limit_s2 [0 -16] (line #49) -&gt; MLI_RO_TorqueLimit [0 - 15.99951171875]
 + Therefore:
  - If P_RO_Torque_RampTime = 1, MLI_Runout_Target_Torque = 15.99951171875, MLI_RO_TorqueLimit = 0 -&gt; MLI_RO_Trq_step = (15.99951171875 - 0)/1 = 15.99951171875
  - If P_RO_Torque_RampTime = 1, MLI_Runout_Target_Torque = -16, MLI_RO_TorqueLimit = 16 -&gt; This line never reach
Line #64: Cannot cover outrange min of MLI_Runout_Target_Torque[-16 - 15.99951171875] = MLI_Runout_Target_Torque[-16 - 15.99951171875] - MLI_RO_Trq_step[-16 - 15.99951171875] because:
 + MLI_Runout_Target_Torque[-16 - 15.99951171875] &gt; MLI_RO_TorqueLimit [0 - 15.99951171875](explained above) to reach this line -&gt; MLI_Runout_Target_Torque min = 0.00048828125
 + Therefore: MLI_Runout_Target_Torque = 0.00048828125 - 15.99951171875 = -15.99902344 &lt; -16</t>
  </si>
  <si>
    <t>Line #131, can not cover for case TRUE at line #131. Because macros can not control.
Line #158, can not cover for case FALSE at line #158. Because macros can not control.
Line #185, can not cover for case TRUE at line #185. Because macros can not control.
Line #212, can not cover for case FALSE at line #212. Because macros can not control.
Line #240, can not cover for case FALSE at line #240. Because macros can not control.</t>
  </si>
  <si>
    <t>No function to test</t>
  </si>
  <si>
    <t xml:space="preserve">Line #60,#86,#110,#136, #149,#162,#201,#188,#214,#240,#266,#292,#305,#344,#357,#370,#396,#422,#435,#448,#474,#487,#500,#513,#526,#539,#565,#591,#604,#617,#643,#669,#695,#721,#747,#760,#773,#812,#838,#851,#864,#877,#890 can not cover for case TRUE. Because macro can not control.
Line #97,#175,#331,#383,#409,#461,#552,#630,#682,#708,#734,#799,#825 can not cover for case FALSE Because macro can not control.
</t>
  </si>
  <si>
    <t>- Can’t cover full MCDC with case (T&amp;F) for line#184 and line#256  of decision ((g_Postrun_B == TRUE) &amp;&amp; (l_ESPLampTimeCount_UB == 0)). Because  if test case false for line#175, can’t reach to line #184</t>
  </si>
  <si>
    <t>Line #41: - Cannot division by zero with variable P_MLI_DiffStrokeLvl3 - MLI_DiffStrokeAtLevel1 of MLI_Torque_Slope = (P_MLI_RO_TorqueExpAtP2 - MLI_RO_TorqueAtLevel1)/(P_MLI_DiffStrokeLvl3 - MLI_DiffStrokeAtLevel1) because to reach this line , P_MLI_DiffStrokeLvl3 must greater than MLI_DiffStrokeAtLevel1
    - Cannot cover outrange min of MLI_Torque_Slope[-32.768 - 32.767] = (P_MLI_RO_TorqueExpAtP2 - MLI_RO_TorqueAtLevel1)/(P_MLI_DiffStrokeLvl3 - MLI_DiffStrokeAtLevel1) because:
   + To reach this line, MLI_RO_TorqueAtLevel1 &lt; P_MLI_RO_TorqueExpAtP2 and P_MLI_DiffStrokeLvl3 &gt; MLI_DiffStrokeAtLevel1 -&gt; MLI_Torque_Slope = (P_MLI_RO_TorqueExpAtP2 - MLI_RO_TorqueAtLevel1)/(P_MLI_DiffStrokeLvl3 - MLI_DiffStrokeAtLevel1) always &gt;= 0
Line #45: Cannot cover outrange min and outrange max of MLI_SmoothTorque = MLI_Torque_Slope* in_DifferentialStroke + MLI_Torque_Offset because:
 + MLI_Torque_Offset = MLI_RO_TorqueAtLevel1 - MLI_Torque_Slope * MLI_DiffStrokeAtLevel1 (line #42)
 + MLI_DiffStrokeAtLevel1 = in_DifferentialStroke (line #29)
 + Therefore: MLI_SmoothTorque[-16 - 15.99951171875] = MLI_Torque_Slope* in_DifferentialStroke + MLI_RO_TorqueAtLevel1 - MLI_Torque_Slope * MLI_DiffStrokeAtLevel1 = MLI_RO_TorqueAtLevel1[-16 - 15.99951171875]
Line #48: Cannot cover P_MLI_RampPressureLvl3 &gt; 276.625 because P_MLI_RampPressureLvl3 = MLI_RampPressureLvl3[0 - 250]
Line #75: Cannot cover case MLI_PressureLvl1 &lt; 0 because: MLI_PressureLvl1 = P_MLI_RampPressureLvl1[20 - 150].max(P_MBM_PressureLimitForPSDMonitoring[-30 - 276.625]) (line #18) &gt;0</t>
  </si>
  <si>
    <t xml:space="preserve">Line #276 Can't cover case else of if if(C_SubService_Idle == l_SubService_Cycle_Status_u8) because local variable l_SubService_Cycle_Status_u8 has been declared with C_SubService_Idle ===&gt; if condition always TRUE ===&gt; else case can't be reached
Line #300 Can't cover default case of switch(rb_g_dcom_40C2SensorCalibrationroutinesubfunction_u8) Because rb_g_dcom_40C2SensorCalibrationroutinesubfunction_u8 only reached two value [C_RID_StartRoutine_u8, C_RID_ReadResult_u8]
Line #654 Can't control condition if(0) 
Line #1733 Can't control condition if(0) </t>
  </si>
  <si>
    <t>-Owner confirm no impact</t>
  </si>
  <si>
    <t>Line #352 Can't cover if(RBFS_HondaCANRxSBW358 == RBFS_HondaCANRxSBW358_CH1) because it's the comparation of two macros.</t>
  </si>
  <si>
    <t>NET_SCL_Tx_VAF_Complex.c</t>
  </si>
  <si>
    <t>SAIC_ApbtextMsg</t>
  </si>
  <si>
    <t>BYD_IPB_SW_Mainstream_BL06_SP06</t>
  </si>
  <si>
    <t>BL06_SP06</t>
  </si>
  <si>
    <t>ApbMiGen2_ECU_CSW_BB00001</t>
  </si>
  <si>
    <t>Line #2938, can not cover for case true because condition can not control ( if(0) ).
Line #2839, can not cover for case true because condition can not control ( if(0) ).
Line #3025, can not cover for case true because condition can not control ( if(0) ).
Line #3030, can not cover for case true because condition can not control ( if(0) ).</t>
  </si>
  <si>
    <t>1.0.147306.8</t>
  </si>
  <si>
    <t>- 1. Can’t cover full MCDC at line#273 for case (((((((((((T &amp;&amp; F) &amp;&amp; ?) &amp;&amp; ?) || (F &amp;&amp; ?)) || (F &amp;&amp; ?)) || (T &amp;&amp; F)) || (T &amp;&amp; F)) || (T &amp;&amp; F)) || (T &amp;&amp; F)) || (T &amp;&amp; F)) || (T &amp;&amp; F)); case (((((((((((T &amp;&amp; F) &amp;&amp; ?) &amp;&amp; ?) || (F &amp;&amp; ?)) || (T &amp;&amp; F)) || (F &amp;&amp; ?)) || (T &amp;&amp; F)) || (T &amp;&amp; F)) || (T &amp;&amp; F)) || (T &amp;&amp; F)) || (T &amp;&amp; F)); case (((((((((((F &amp;&amp; ?) &amp;&amp; ?) &amp;&amp; ?) || (T &amp;&amp; F)) || (F &amp;&amp; ?)) || (F &amp;&amp; ?)) || (F &amp;&amp; ?)) || (T &amp;&amp; F)) || (T &amp;&amp; F)) || (T &amp;&amp; F)) || (T &amp;&amp; F)); case (((((((((((T &amp;&amp; F) &amp;&amp; ?) &amp;&amp; ?) || (F &amp;&amp; ?)) || (T &amp;&amp; F)) || (T &amp;&amp; F)) || (F &amp;&amp; ?)) || (F &amp;&amp; ?)) || (T &amp;&amp; F)) || (T &amp;&amp; F)) || (T &amp;&amp; F)); case (((((((((((T &amp;&amp; T) &amp;&amp; T) &amp;&amp; F) || (F &amp;&amp; ?)) || (T &amp;&amp; F)) || (T &amp;&amp; F)) || (F &amp;&amp; ?)) || (T &amp;&amp; F)) || (F &amp;&amp; ?)) || (T &amp;&amp; F)) || (T &amp;&amp; F)); case (((((((((((T &amp;&amp; F) &amp;&amp; ?) &amp;&amp; ?) || (F &amp;&amp; ?)) || (T &amp;&amp; F)) || (T &amp;&amp; F)) || (F &amp;&amp; ?)) || (T &amp;&amp; F)) || (F &amp;&amp; ?)) || (F &amp;&amp; ?)) || (T &amp;&amp; F)); case (((((((((((T &amp;&amp; F) &amp;&amp; ?) &amp;&amp; ?) || (F &amp;&amp; ?)) || (T &amp;&amp; F)) || (T &amp;&amp; F)) || (F &amp;&amp; ?)) || (T &amp;&amp; F)) || (F &amp;&amp; ?)) || (T &amp;&amp; F)) || (F &amp;&amp; ?)) because l_CustVarCode.VehicleType1 takes two opposite value at the same time.
2. Can’t cover full MCDC at line#288 for case (((T &amp;&amp; F) || (F &amp;&amp; ?)) || ((F &amp;&amp; ?) &amp;&amp; ?)); case (((F &amp;&amp; ?) || (F &amp;&amp; ?)) || ((T &amp;&amp; T) &amp;&amp; (T || ?))) because l_CustVarCode.VehicleType1 takes two opposite value at the same time.
3. Can’t cover full MCDC at line#297 for case ((F &amp;&amp; ?) || (T &amp;&amp; T)) because l_CustVarCode.VehicleType1 takes two opposite value at the same time.</t>
  </si>
  <si>
    <t xml:space="preserve">In ASCET6, Unable to cover all interpolation types for 1D/2D parameters  </t>
  </si>
  <si>
    <t>- At line #353: Can’t cover for MCDC with FALSE case of 
• TargetStateACHR == ACHR_On
• TargetStateACHL == ACHL_On
Root cause: conflict with condition at line #340, #347, TargetStateACHR == ACHR_On, TargetStateACHL == ACHL_On should be remove for condition at line #353</t>
  </si>
  <si>
    <t>Line#1078: at this switch case just only cover case 0xD6 because mySENTIdMapping_st[ifCnt].fixSENTId is a const struct declared at line 321 in source</t>
  </si>
  <si>
    <t xml:space="preserve">- Can’t cover case (((T &amp;&amp; F) || F) || (F &amp;&amp; ?)) of decision else if(((l_RBVarcode_ST.RBVarCode_UB &gt;= 11) &amp;&amp; (l_RBVarcode_ST.RBVarCode_UB &lt;= 14))\
                                                                                    || (l_RBVarcode_ST.RBVarCode_UB == 18)\
                                                                                    || ((l_RBVarcode_ST.RBVarCode_UB &gt;= 24) &amp;&amp; (l_RBVarcode_ST.RBVarCode_UB &lt;= 31)))  at line #306. 
</t>
  </si>
  <si>
    <t>-reuse mail OPL 
-Owner confirm no impact</t>
  </si>
  <si>
    <t>Function MLI_Initialize_Ramp:
 -Line #30,#34,#37,#40: Cannot cover division by zero with variable MLI_Ramp_Time because :
  + MLI_Ramp_Time = P_MLI_Service_RampTime(line #20) = MLI_Service_RampTime[0.005 - 1]/FIX_MLI_task_cycle_time_f[=0.005 - noncalibration value] never = 0 OR
  + MLI_Ramp_Time = P_RampTime(line #26) = MLI_RampTime[0.005 - 10]/FIX_MLI_task_cycle_time_f[=0.005 - noncalibration value] never = 0</t>
  </si>
  <si>
    <t>Line #120 Can't cover true case of  if (RBNet_Variant_EBB_1FF_CH2_Rx_b()) because macro RBNet_Variant_EBB_1FF_CH2_Rx_b() always return 0
Line #131 Can't cover true case of  if (RBNet_Variant_EBB_20C_CH2_Rx_b()) because macro RBNet_Variant_EBB_20C_CH2_Rx_b() always return 0
Line #142 Can't cover true case of if (RBNet_Variant_ESB_14C_CH2_Rx_b()) because macro RBNet_Variant_ESB_14C_CH2_Rx_b() always return 0</t>
  </si>
  <si>
    <t xml:space="preserve">line#1070: cannot cover fase case at this line because line#1066 assign l_SubService_Cycle_Status_u8 = C_SubService_Idle
line#1127: cannot cover default case at this line because: we need rb_g_dcom_40D0ExitEPBBrakePadExchangeModeroutinesubfunction_u8 diferent with 1 and 3 =&gt; default case at line#1093 always run =&gt; l_SubService_Cycle_Status_u8 = 2 by line#1098 =&gt; condition at line#1108 false =&gt; cannot reach line#1127
</t>
  </si>
  <si>
    <t>Line #978 MCDC can not cover false case “ls_SCL_TotalOdometer_UL &gt;= 0” because ls_SCL_TotalOdometer_UL is static ULONG</t>
  </si>
  <si>
    <t xml:space="preserve">Line#412, Can not cover for deault case of switch (l_pdu_u32) because valueable for this from 0 to less than 4. This just C structure. </t>
  </si>
  <si>
    <t>Line #536 can't cover false case of condition because unable to control any variable, Dem_MapNodeIdToChildNodeId and Dem_NodeToChildNodeIndex arrays are constant.
Line #499 can't cover false case of condition because DeactivateFeatureTbl array is constant.</t>
  </si>
  <si>
    <t>- Can’t cover case FXXXXXTXXXX of decision at line 22 because P_LaneChangeUseAyBand can’t have 2 value at one time</t>
  </si>
  <si>
    <t xml:space="preserve">line#517, #552: cannot cover true case at those line because if(0) always false
line#1249: cannot cover false case at this line because assignment l_SubService_Cycle_Status_u8 = C_SubService_Idle at line#1245
line#1306: cannot cover default case at this line because: we need rb_g_dcom_40CFEnterEPBBrakePadExchangeModeroutinesubfunction_u8 diferent with 1 and 3 =&gt; default case at line#1272 always run =&gt; l_SubService_Cycle_Status_u8 = 2 by line#1277 =&gt; condition at line#1287 false =&gt; cannot reach line#1306
</t>
  </si>
  <si>
    <t xml:space="preserve">line#913: cannot cover false case at this line because assignment l_SubService_Cycle_Status_u8 = C_SubService_Idle at line#909
line#971: cannot cover default case at this line because: we need rb_g_dcom_40CAStartupofSEOLModeRoutinesubfunction_u8 diferent with 1 and 3 =&gt; default case at line#938 always run =&gt; l_SubService_Cycle_Status_u8 = 2 by line#943 =&gt; condition at line#952 false =&gt; cannot reach line#971
</t>
  </si>
  <si>
    <t>- Get assignment phase 1:9/4/2020 =&gt; Complete 9/7/2020</t>
  </si>
  <si>
    <t xml:space="preserve">line#987: cannot cover false case at this line because when it false =&gt; condition at line#957 true =&gt; line#987 never reach
line#843: cannot cover false case at this line because assignment l_SubService_Cycle_Status_u8 = C_SubService_Idle at line#839
line#900: cannot cover default case at this line because: we need rb_g_dcom_40CAStartupofSEOLModeRoutinesubfunction_u8 diferent with 1 and 3 =&gt; default case at line#866 always run =&gt; l_SubService_Cycle_Status_u8 = 2 by line#871=&gt; condition at line#880 false =&gt; cannot reach line#900
</t>
  </si>
  <si>
    <t>\CNMS_IPB\rb\as\rbcn\ipb\app\net\RBScl\src</t>
  </si>
  <si>
    <t>\CNMS_IPB\rb\as\rbcn\ipb\netpr\src</t>
  </si>
  <si>
    <t>rb\as\rbcn\core\app\dsm\RBHMI\src\</t>
  </si>
  <si>
    <t>rb\as\rbcn\core\app\dsm\RBVAR\src\</t>
  </si>
  <si>
    <t>rb\as\cnms_core\app\dsm\RBDEM_SystemDegrade\src</t>
  </si>
  <si>
    <t>RBHMI_ConfigOutputDriver_PRJ.c</t>
  </si>
  <si>
    <t>DEM_SystemDegrade.c</t>
  </si>
  <si>
    <t>YE Tianyu (CC-AS/ESW2-CN)</t>
  </si>
  <si>
    <t>MC_246833_CA_F202_ICA_ESP9.3CP_BSS01SP01</t>
  </si>
  <si>
    <t>EC_249688_NIO_ESX_iB2_Relocation_BL04_SP01</t>
  </si>
  <si>
    <t>242754_FAW_C100_ESP9.3_Deuterium_BSS02_SP02</t>
  </si>
  <si>
    <t>GEEA2.0_iBooster_CMP_BL08_B2H2_20R2_Sprint03</t>
  </si>
  <si>
    <t>HAIMA_237810_SG00_RC4_BL04_SR</t>
  </si>
  <si>
    <t>SGM_iBooster_CMP_BL04</t>
  </si>
  <si>
    <t>ChangAn_ESP93CP_Mainstream_Int</t>
  </si>
  <si>
    <t>NextEV_IB2_Int</t>
  </si>
  <si>
    <t>HAIMA_CMP_ESP93_INT</t>
  </si>
  <si>
    <t>SGMCMP_iBooster_Int</t>
  </si>
  <si>
    <t>BSS01SP01</t>
  </si>
  <si>
    <t>BL04_SP01</t>
  </si>
  <si>
    <t>BSS02_SP02</t>
  </si>
  <si>
    <t>BL08_B2H2_20R2_Sprint03</t>
  </si>
  <si>
    <t>BL04_SR</t>
  </si>
  <si>
    <t>BL04</t>
  </si>
  <si>
    <t>BB82606</t>
  </si>
  <si>
    <t>BB82276</t>
  </si>
  <si>
    <t>BB81519</t>
  </si>
  <si>
    <t>BB81338</t>
  </si>
  <si>
    <t>BB82773</t>
  </si>
  <si>
    <t>RBAPLEOL_iBoosterPostAssemblyTest.c</t>
  </si>
  <si>
    <t>RBAPLEOL_InterfaceAPL.c</t>
  </si>
  <si>
    <t>RBAPLEOL_PlungerActuation.c</t>
  </si>
  <si>
    <t>RBAPLCUST_RoutineControl.c</t>
  </si>
  <si>
    <t>ASWIF_CommonConfig.c</t>
  </si>
  <si>
    <t>RBAPLCUST_RoutineControl_iBoosterPostAssemblyTest.c</t>
  </si>
  <si>
    <t>RBAPLCUST_SecurityAccess.c</t>
  </si>
  <si>
    <t>RBAPLCUST_RDBI_NVMData_FAW.c</t>
  </si>
  <si>
    <t>RBAPLCUST_WDBI_NVMData_FAW.c</t>
  </si>
  <si>
    <t>RBAPLCUST_RDBI_Odometer.c</t>
  </si>
  <si>
    <t>VAR09_GCCC_StateMachine_CEVT.c</t>
  </si>
  <si>
    <t>VAR09_VarCode_CEVT.c</t>
  </si>
  <si>
    <t>NET_SCL_Tx_CDD.c</t>
  </si>
  <si>
    <t>RB_STM_CGC.c</t>
  </si>
  <si>
    <t>rb\as\core\app\dcom\RBAPLEOL\src\</t>
  </si>
  <si>
    <t>rb\as\nio\core\app\dcom\RBAPLCust\src\</t>
  </si>
  <si>
    <t>Truong Minh Khoi Nguyen (RBVH/ETA22)</t>
  </si>
  <si>
    <t>CAI Betty (CC-AS/EVA-SW32-CN)</t>
  </si>
  <si>
    <t>CHEN Steve (CC-AS/EVA-SW33-CN)</t>
  </si>
  <si>
    <t>Jogi Madivalappa (RBEI/ESH31)</t>
  </si>
  <si>
    <t>Revathi Sundaram (RBEI/ESC1)</t>
  </si>
  <si>
    <t>SONG Yaping (CC-AS/EVA-SW3-CN)</t>
  </si>
  <si>
    <t>Line #2457: Cannot cover false case of if(C_SubService_Idle == l_SubService_Cycle_Status_u8) because l_SubService_Cycle_Status_u8 is a local variable and l_SubService_Cycle_Status_u8 = C_SubService_Idle (line #2453)</t>
  </si>
  <si>
    <t>Line#327, #220, #269, can't cover these line because that condition is IF(0)</t>
  </si>
  <si>
    <t>GEEA2_0-IB2-CSW-Deuterium-Development___SDB_B2H2_BG4\iBoosterGen2\rb\as\mb\ib2\app\dsm\RBVAR\src\</t>
  </si>
  <si>
    <t>+ Issues#1: Can’t cover for case ClutchPedalCEPEst &gt; 0 at line #28 due it limit by condition at line #26
+ Issues#2: Can’t cover for out of min value of ClutchPedalCEPEst due to it limit value by:  ClutchPosGrad.abs() * C_ApbCtrltRelease (min = 0) 
=&gt;Owner confirm is no impact.</t>
  </si>
  <si>
    <t>line#214: cannot cover false case at this line because assignment l_SubService_Cycle_Status_u8 = C_SubService_Idle at line#210
line#271: cannot cover default case at this line because: we need rb_g_dcom_40CAStartupofSEOLModeRoutinesubfunction_u8 diferent with 1 and 3 =&gt; default case at line#237 always run =&gt; l_SubService_Cycle_Status_u8 = 2 by line#242=&gt; condition at line#251 false =&gt; cannot reach line#271</t>
  </si>
  <si>
    <t>Line #290,#373,#403,#445: Cannot cover true case of else if(0) because this decision always FALSE
Line #589: Cannot cover false case of if(C_SubService_Idle == l_SubService_Cycle_Status_u8) because l_SubService_Cycle_Status_u8 is a local variable and l_SubService_Cycle_Status_u8 = C_SubService_Idle (line #585)
Line #646: Cannot cover default case for switch switch(rb_l_dcom_routinesubfunction_u8) because:
 + To reach this line, l_SubService_Cycle_Status_u8 = C_SubService_Pending -&gt; rb_l_dcom_routinesubfunction_u8 must equals to C_RID_StartRoutine_u8 OR C_RID_ReadResult_u8 (line #597 OR line #605)</t>
  </si>
  <si>
    <t xml:space="preserve">-No function to test </t>
  </si>
  <si>
    <t>line#792: cannot cover false case at this line because assignment l_SubService_Cycle_Status_u8 = C_SubService_Idle at line#788
line#849: cannot cover default case at this line because: we need rb_g_dcom_40CAStartupofSEOLModeRoutinesubfunction_u8 diferent with 1 and 3 =&gt; default case at line#815 always run =&gt; l_SubService_Cycle_Status_u8 = 2 by line#820=&gt; condition at line#829 false =&gt; cannot reach line#849</t>
  </si>
  <si>
    <t>cannot cover full C0/C1 because of param1D</t>
  </si>
  <si>
    <t>PLTMT_07090809</t>
  </si>
  <si>
    <t>SsmHldDeactnBrkCtrl</t>
  </si>
  <si>
    <t>Code coverage reason:
# Line 139: Cannot cover out range min value of ResCalcdDeactvndFx. Because value of imported parameter P_HldDeactImdtMaxdFxStdBrk is 100 (non-calib) and range value of variable VehMEstimd is from 0 to 16000
MCDC coverage reason:
# Line 31: Cannot cover full MCDC (DeactBrkFxRampEna_B=FALSE, FFX=F) due to condition at line #20
# Line 99: Cannot cover full MCDC (SsmVehStop=FALSE, FX=F) due to condition at line #95</t>
  </si>
  <si>
    <t>FAW_IPB1.1_Int\FAW_IPB\rb\as\fawIPB\core\app\dcom\RBAPLCust\src\common</t>
  </si>
  <si>
    <t>NextEV_IB2_Int\iBoosterGen2\rb\as\nio\core\app\dcom\RBAPLCust\src\</t>
  </si>
  <si>
    <t>NextEV_IB2_Int\iBoosterGen2\rb\as\nio\core\app\asw\aswif\Src_gen\</t>
  </si>
  <si>
    <t>Line #181: Cannot cover false case of if(C_SubService_Idle == l_SubService_Cycle_Status_u8) because l_SubService_Cycle_Status_u8 is a local variable and l_SubService_Cycle_Status_u8 = C_SubService_Idle (line #177)
Line #238: Cannot cover default case for switch switch(rb_l_dcom_routinesubfunction_u8) because:
 + To reach this line, l_SubService_Cycle_Status_u8 = C_SubService_Pending -&gt; rb_l_dcom_routinesubfunction_u8 must equals to C_RID_StartRoutine_u8 OR C_RID_ReadResult_u8 (line #189 OR line #197)</t>
  </si>
  <si>
    <t>FAW_IPB1.1_Int\FAW_IPB\rb\as\fawIPB\core\app\dcom\RBAPLCust\src\IPB</t>
  </si>
  <si>
    <t>Line #246: Cannot cover true case of else if(0) because this decision always FALSE
Line #1151: Cannot cover false case of if(C_SubService_Idle == l_SubService_Cycle_Status_u8) because l_SubService_Cycle_Status_u8 is a local variable and l_SubService_Cycle_Status_u8 = C_SubService_Idle.
Line #1123: Cannot cover default case for switch switch(rb_l_dcom_routinesubfunction_u8) because:
 + To reach this line, l_SubService_Cycle_Status_u8 = C_SubService_Pending -&gt; rb_l_dcom_routinesubfunction_u8 = rb_l_dcom_D010EPBPlantSafetyModeroutinesubfunction_u8 must equals to C_RID_StartRoutine_u8 OR C_RID_StopRoutine_u8 OR C_RID_ReadResult_u8.</t>
  </si>
  <si>
    <t>Line #4 Can't cover default case of switch (State) Because State only in range [0, 3]</t>
  </si>
  <si>
    <t>CNMS_ESP\rb\as\rbcn\core\app\dcom\RBAPLCust\src\common\</t>
  </si>
  <si>
    <t>WANG Bei (CC-AS/ESW2-CN)</t>
  </si>
  <si>
    <t>-Please comment follow ASPICE Standard
Owner confirms no impact.</t>
  </si>
  <si>
    <t>MT_comments: Message Class
 MT_Needed: NA</t>
  </si>
  <si>
    <t>NextEV_IB2_Int\iBoosterGen2\rb\as\core\app\dcom\RBAPLEOL\src</t>
  </si>
  <si>
    <t>FAW_IPB1.1_Int\FAW_IPB\rb\as\fawIPB\prj\app\net\RBScl\RBSCL_FAW\src\</t>
  </si>
  <si>
    <t>- Cantata bug. Confirm by Mr Bao</t>
  </si>
  <si>
    <t>SGMCMP_iBooster_Int\iBoosterSGMK226\rb\as\core\hwp\cubas\Diagnosis\src\Dem_CSMosar\src\</t>
  </si>
  <si>
    <t>- Get assignment phase 1:9/7/2020 =&gt; Complete 9/8/2020</t>
  </si>
  <si>
    <t>225059 JMC Carbon V348 MCA2 BSS05_SP02</t>
  </si>
  <si>
    <t>FAW C100 IPB BSS02</t>
  </si>
  <si>
    <t>AB30_9DCT_CP_BSS09_Sprint2</t>
  </si>
  <si>
    <t>RBAPLCUST_DcmManufacturerNotification.c</t>
  </si>
  <si>
    <t>RBAPLCUST_RDBI_BLS.c</t>
  </si>
  <si>
    <t>RBAPLCUST_RDBI_CBDS.c</t>
  </si>
  <si>
    <t>RBAPLCUST_RoutineControl_iBoosterActuatorTest.c</t>
  </si>
  <si>
    <t>RBAPLOBD_Global.c</t>
  </si>
  <si>
    <t>Dem_PrjSpecificIndiHandling.c</t>
  </si>
  <si>
    <t>DSMSim_PRJ_Specific.c</t>
  </si>
  <si>
    <t>rba_DemObdBasic_ProjectExtension.c</t>
  </si>
  <si>
    <t>VAR_OBDSWitch_COMMON.c</t>
  </si>
  <si>
    <t>VAR_OBDSWitch_IF.c</t>
  </si>
  <si>
    <t>rba_InternalIF.c</t>
  </si>
  <si>
    <t>rbnm.c</t>
  </si>
  <si>
    <t>DNCIF_Stubs_PQ26.c</t>
  </si>
  <si>
    <t>PCT_AswWrapper.c</t>
  </si>
  <si>
    <t>RBDemVar_VariantHandling.c</t>
  </si>
  <si>
    <t>DemCSMosar_StoreEvtImm_Cfg.c</t>
  </si>
  <si>
    <t>Net_Stubs.c</t>
  </si>
  <si>
    <t>rba_STM_SSC_Cfg.c</t>
  </si>
  <si>
    <t>RBSUPPLYVLV_UBVRVoltage.c</t>
  </si>
  <si>
    <t>RBDSM_SWT_ComponentSwitch.c</t>
  </si>
  <si>
    <t>HwModel_CNMS_HEVX.c</t>
  </si>
  <si>
    <t>RBDfaEmf_SignalOutput_BMWG01.c</t>
  </si>
  <si>
    <t>RBVlvFreewheelingIssue.c</t>
  </si>
  <si>
    <t>TestEnvironment_Fee_EV711101.c</t>
  </si>
  <si>
    <t>TestEnvironment_Fee_EV711106.c</t>
  </si>
  <si>
    <t>RBCooLS_Main_Volvo.c</t>
  </si>
  <si>
    <t>NET_SystemInfo_Callout_GWM.c</t>
  </si>
  <si>
    <t>JMC_Ford_V348_ESP9.3CP_Int</t>
  </si>
  <si>
    <t>FAW_IPB1.1_Int_ESP</t>
  </si>
  <si>
    <t>BSS05_SP02</t>
  </si>
  <si>
    <t>BSS09_Sprint2</t>
  </si>
  <si>
    <t>Luu Quoc Tho (RBVH/ETA22)</t>
  </si>
  <si>
    <t>TAO Frank (CC-AS/EVA-SW31-CN)</t>
  </si>
  <si>
    <t>BB80049</t>
  </si>
  <si>
    <t>rb\as\fawESP\core\app\dsm\RBVAR\src\RBVAR_VarCode_PROJECT.c</t>
  </si>
  <si>
    <t>rb\as\fawESP\core\app\dsm\RBOBD\OBDSwitch\src\VAR_OBDSWitch_COMMON.c</t>
  </si>
  <si>
    <t>rb\as\fawESP\core\app\dsm\RBOBD\OBDSwitch\src\VAR_OBDSWitch_IF.c</t>
  </si>
  <si>
    <t>rb\as\fawESP\core\app\net\Cubas\src\rba_InternalIF.c</t>
  </si>
  <si>
    <t>rb\as\fawESP\core\app\net\RBNm\src\rbnm.c</t>
  </si>
  <si>
    <t>rb\as\fawESP\esp\app\asw\aswif\src\DNCIF_Stubs_PQ26.c</t>
  </si>
  <si>
    <t>rb\as\fawESP\esp\app\dsm\RBWarningIndicator\src\Dem_PrjSpecificIndiHandling.c</t>
  </si>
  <si>
    <t>rb\as\fawESP\esp\dcompr\tst\Stubs\CUBAS\src\rba_STM_SSC_Cfg.c</t>
  </si>
  <si>
    <t>rb\as\fawESP\esp\dcompr\tst\Stubs\HSW\src\RBSUPPLYVLV_UBVRVoltage.c</t>
  </si>
  <si>
    <t>-Have 1 sub class
- Owner confirm is no impact.</t>
  </si>
  <si>
    <t>Line #8: Cannot cover false case (MCDC FFF) because if HDCCurrentPhase != Hdc_Active and != Hdc_FadeOut and GRC_Id != LDMSelectedController_HDC -&gt; HDCCurrentPhase == Hdc_Off OR HDCCurrentPhase == Hdc_Standby (HDCCurrentPhase had only 4 value) and GRC_Id != LDMSelectedController_HDC -&gt; Condition at line #4 TRUE -&gt; This line never reach</t>
  </si>
  <si>
    <t>AEB_vhcRollout</t>
  </si>
  <si>
    <t>VLC_PreventFuelCutOff</t>
  </si>
  <si>
    <t>Controller_Gain_evGi</t>
  </si>
  <si>
    <t>RBSEC_Sec</t>
  </si>
  <si>
    <t>RBWSS_RotDir</t>
  </si>
  <si>
    <t>Toyota_BLA_request</t>
  </si>
  <si>
    <t>Toyota_CSP_Prefill_Enable</t>
  </si>
  <si>
    <t>Toyota_DRA_IGP_Status</t>
  </si>
  <si>
    <t>Toyota_DRA_Pre</t>
  </si>
  <si>
    <t>Toyota_FPB_PB_Enable</t>
  </si>
  <si>
    <t>Toyota_PBH_Enable</t>
  </si>
  <si>
    <t>Toyota_PCS_FVSCSFT</t>
  </si>
  <si>
    <t>Toyota_PCS_FVSCSFT_Deceleration_lim</t>
  </si>
  <si>
    <t>Toyota_VMC_Timer_FalseDebounced</t>
  </si>
  <si>
    <t>RBAPLCUST_RoutineControl_RIDSupport</t>
  </si>
  <si>
    <t>NET_SCL_XmtVSC1G05_TOY</t>
  </si>
  <si>
    <t>NET_SCL_XmtVSC1S96_TOY</t>
  </si>
  <si>
    <t>2.2.1.0</t>
  </si>
  <si>
    <t>4.5.118.8</t>
  </si>
  <si>
    <t>3.7.118.1</t>
  </si>
  <si>
    <t>4.3.118.5</t>
  </si>
  <si>
    <t>4.8.118.0</t>
  </si>
  <si>
    <t>_tfitwXbTEee5I9RvZWO0-w</t>
  </si>
  <si>
    <t>_uWG_gEHCEeW2wrBJvKWoPA</t>
  </si>
  <si>
    <t>1.14</t>
  </si>
  <si>
    <t>6.14.93.1</t>
  </si>
  <si>
    <t>2.4.93.2</t>
  </si>
  <si>
    <t>2.2.93.2</t>
  </si>
  <si>
    <t>2.3.93.9</t>
  </si>
  <si>
    <t>2.0.93.4</t>
  </si>
  <si>
    <t>1.18</t>
  </si>
  <si>
    <t>1.0.118.10</t>
  </si>
  <si>
    <t>_jKcY4Iq7EeqI1IdvoKOkKw</t>
  </si>
  <si>
    <t>_Yh90zoqvEeqI1IdvoKOkKw</t>
  </si>
  <si>
    <t>_Yh900IqvEeqI1IdvoKOkKw</t>
  </si>
  <si>
    <t>_Yh900oqvEeqI1IdvoKOkKw</t>
  </si>
  <si>
    <t>_fPru8ES4Eea5Ka2iz1LZvg</t>
  </si>
  <si>
    <t>_MWebUDNOEem3jZk4sk4BjQ</t>
  </si>
  <si>
    <t>_MXZoYDNOEem3jZk4sk4BjQ</t>
  </si>
  <si>
    <t>_MXSToDNOEem3jZk4sk4BjQ</t>
  </si>
  <si>
    <t>rb.as.core.app.asw.vdc.vdcwaddons</t>
  </si>
  <si>
    <t>rb.as.core.app.sec.security</t>
  </si>
  <si>
    <t>rb.as.core.hwp.hsw.rbwss</t>
  </si>
  <si>
    <t>Hemanath, Venkatesh</t>
  </si>
  <si>
    <t>Chaitanya Kumar Kollu (RBEI/ESD-PP2)</t>
  </si>
  <si>
    <t>Nithin N E (RBEI/ESJ32)</t>
  </si>
  <si>
    <t>MT_042</t>
  </si>
  <si>
    <t>MT_045</t>
  </si>
  <si>
    <t>Toyota_TaskInterpol</t>
  </si>
  <si>
    <t>BB82421</t>
  </si>
  <si>
    <t>TOY_800BCV2_670BCV_893BSysken_227DSysken_Integration9</t>
  </si>
  <si>
    <t>FAW_IPB1.1_Int_ESP\FAW_ESP\rb\as\fawESP\esp\app\dsm\DemVar\src\RBDemVar_VariantHandling.c</t>
  </si>
  <si>
    <t>FAW_IPB1.1_Int_ESP\FAW_ESP\rb\as\fawESP\esp\app\net\RBScl\src\ComScl_Scl_Complex_proc.c</t>
  </si>
  <si>
    <t>FAW_IPB1.1_Int_ESP\FAW_ESP\rb\as\fawESP\esp\netpr\src\RBPduHandler_Callouts.c</t>
  </si>
  <si>
    <t>-comment line#7 #include "../../RBScl/api/ComScl_Scl_Complex_proc.h"</t>
  </si>
  <si>
    <t>Line #49 can not cover case true, because condition in While loop always FALSE (transferData_Producer = rba_ComScl_TransferData_Producer_au8[rba_ComScl_RxPduFlagsId_ACC_30C_CH1] in #49). Same reason with lines: #49; #97; #145; #192; #241; #294; #347; #406; #465; #515; #565; #615; #665; #714; #763; #818; #873; #924; #975; #1029; #1083; #1130; #1178; #1242; #1306; #1354; #1402; #1459; #1516; #1566; #1616; #1664; #1712; #1766; #1820; #1866; #1922; #1978; #2036; #2094; #2146; #2198; #2246; #2294; #2347; #2400; #2450; #2500; #2549; #2598; #2650; #2702; #2750; #2798; #2846; #2894; #2942; #2990; #3042; #3106; #3170; #3219; #3268; #3320; #3371; #3431</t>
  </si>
  <si>
    <t>Line #4 Can’t cover outrange max of timer_Track_MID because when timer_Track_MID &lt; C_timer_Track_MID ===&gt; timer_Track_MID++ &lt;= C_timer_Track_MID, thus timer_Track_MID can't reach outrange value
Line #14 Can’t cover outrange max of timer_Track_MID because when timer_Track_MID &lt; C_timer_Track_MID ===&gt; timer_Track_MID++ &lt;= C_timer_Track_MID, thus timer_Track_MID can't reach outrange value</t>
  </si>
  <si>
    <t>Haima_CMP_ESP93_Int\MainstreamF30\rb\as\cnms_core\app\net\scl\LDMFunctions\ACC\src</t>
  </si>
  <si>
    <t>ChangAn_ESP93CP_Mainstream_Int\MainstreamF30\rba\Bldr\config\Infrastruct\rba_AS_HWProt\src</t>
  </si>
  <si>
    <t>ChangAn_ESP93CP_Mainstream_Int\MainstreamF30\rba\Bldr\config\ApplicationLayer\rba_BldrCmp\src</t>
  </si>
  <si>
    <t>Condition (RBAPLCUST_RollerBenchSessionState != RBAPLCUST_RollerBenchSessionState_NOT_ACTIVE) could not show it's influence to decision
if(((RBAPLCUST_RollerBenchSessionState == RBAPLCUST_RollerBenchSessionState_NOT_ACTIVE) &amp;&amp; (l_Active == FALSE))
|| ((RBAPLCUST_RollerBenchSessionState != RBAPLCUST_RollerBenchSessionState_NOT_ACTIVE) &amp;&amp; (l_Active == TRUE)))</t>
  </si>
  <si>
    <t>Line#1993 cannot cover false case because RBWSS_TaskCntChangeDir_PUB and RBWSS_EdgeCntChangeDir_PUB always &gt;= 0</t>
  </si>
  <si>
    <t>JMC_Ford_V348_ESP9.3CP_Int\JMC\rba\Bldr\BldrCmp\src\</t>
  </si>
  <si>
    <t>JMC_Ford_V348_ESP9.3CP_Int\JMC\rba\Bldr\config\Infrastruct\rba_AS_HWProt\src\</t>
  </si>
  <si>
    <t>JMC_Ford_V348_ESP9.3CP_Int\JMC\rba\Bldr\config\ApplicationLayer\rba_BldrCmp\src\</t>
  </si>
  <si>
    <t>-Owner confirm it's no impact</t>
  </si>
  <si>
    <t>rb.as.honda.core.app.asw.pata</t>
  </si>
  <si>
    <t>PSBC_ControllerIncreaseRfp</t>
  </si>
  <si>
    <t>ReverseFlowPrevention</t>
  </si>
  <si>
    <t>ESPhybrid_VolFlowPt1Filter</t>
  </si>
  <si>
    <t>EV_Inv_Open2Close_ESPhybrid</t>
  </si>
  <si>
    <t>StrategyCase2Mode_ESPhybrid</t>
  </si>
  <si>
    <t>RBRFP_LowendAct</t>
  </si>
  <si>
    <t>RBRFP_ShortActTest</t>
  </si>
  <si>
    <t>RBVLV_ValveDriverFeedback</t>
  </si>
  <si>
    <t>RBSYS_LocksImpl</t>
  </si>
  <si>
    <t>HBB_Adapter_iBooster_DBR</t>
  </si>
  <si>
    <t>HBB_ASILGuard_Strokebased</t>
  </si>
  <si>
    <t>HBB_Stroke2Decel</t>
  </si>
  <si>
    <t>MTC_FaultHandling</t>
  </si>
  <si>
    <t>CBEST_InterfaceFunction_TOYOTA</t>
  </si>
  <si>
    <t>CBEST_Main_TOYOTA</t>
  </si>
  <si>
    <t>RBAPLCUST_22_RDBI</t>
  </si>
  <si>
    <t>2.5</t>
  </si>
  <si>
    <t>4.18.413.0</t>
  </si>
  <si>
    <t>1.7.0.1.118.0</t>
  </si>
  <si>
    <t>1.13.413.0</t>
  </si>
  <si>
    <t>5.4.413.0</t>
  </si>
  <si>
    <t>6.25.118.4.413.0</t>
  </si>
  <si>
    <t>_NlaL0MTjEeWmw6F8Aw3cCg</t>
  </si>
  <si>
    <t>_RR_yUMTjEeWmw6F8Aw3cCg</t>
  </si>
  <si>
    <t>_BqyOEcT9EeWUj9noREh3Hg</t>
  </si>
  <si>
    <t>_T8NYME12EeWx_bCQ_p-5GQ</t>
  </si>
  <si>
    <t>1.0.118.8</t>
  </si>
  <si>
    <t>1.31.118.1</t>
  </si>
  <si>
    <t>1.12.118.1</t>
  </si>
  <si>
    <t>_49g-FPofEeiNu__0fCuwiQ</t>
  </si>
  <si>
    <t>_49g-FvofEeiNu__0fCuwiQ</t>
  </si>
  <si>
    <t>_49g-F_ofEeiNu__0fCuwiQ</t>
  </si>
  <si>
    <t>_BdcCIDMqEei1FdF65FacFQ</t>
  </si>
  <si>
    <t>_0AUIoEJwEeaXn4fO7myAiw</t>
  </si>
  <si>
    <t>_0AUvsEJwEeaXn4fO7myAiw</t>
  </si>
  <si>
    <t>_jxIMcKJ7EeWgbrVUGix0mg</t>
  </si>
  <si>
    <t>_lzwO8G01EeifyfhLxmbFOQ</t>
  </si>
  <si>
    <t>TOY_PF19_CMP_BL17_Integration_7</t>
  </si>
  <si>
    <t>Kaur, Jaspreet</t>
  </si>
  <si>
    <t>Rekha, Kumari</t>
  </si>
  <si>
    <t>Krapp Waldemar (CC-AS/ESB1)</t>
  </si>
  <si>
    <t>Guist Hartmut (CC-AS/ECC6)</t>
  </si>
  <si>
    <t>Bopp Rainer (CC-AS/ECC6)</t>
  </si>
  <si>
    <t>Weires Marcel (CC-AS/ECC6)</t>
  </si>
  <si>
    <t>Straetz Richard (CC-AS/ECC6)</t>
  </si>
  <si>
    <t>Sugisawa, Toshifumi</t>
  </si>
  <si>
    <t>MT_103</t>
  </si>
  <si>
    <t>MT_107</t>
  </si>
  <si>
    <t>MT_121</t>
  </si>
  <si>
    <t>MT_028</t>
  </si>
  <si>
    <t>MT_033</t>
  </si>
  <si>
    <t>BB98335</t>
  </si>
  <si>
    <t>rb\as\core\app\asw\apbmi\host\PDM\APBPbcVariantItem_C\SRC\PbcVariantItem_PersistentData.c</t>
  </si>
  <si>
    <t>rb\as\core\app\dcom\rbaplhelp\src\RBAPLHELP_SessionHandler.c</t>
  </si>
  <si>
    <t>rb\as\core\app\dsm\RBVoltageHandler\src\RBVoltageHandler_HydraulicVoltageSupplyCommon.c</t>
  </si>
  <si>
    <t>rb\as\core\hwp\hsw\ecubase\safety\rbsupplybase\src\ChargePump\RBSUPPLYBASE_CPPerformanceTest.c</t>
  </si>
  <si>
    <t>rb\as\honda\cmp\app\dsm\RBHMI\src\RBHMI_IndividualLamp_Handling\RBHMI_ConfigOutput_APBMi_Status.c</t>
  </si>
  <si>
    <t>rb\as\honda\cmp\app\dsm\RBHMI\src\RBHMI_IndividualLamp_Handling\RBHMI_ConfigOutput_ESP_Status.c</t>
  </si>
  <si>
    <t>rb\as\honda\cmp\app\dsm\RBHMI\src\RBHMI_IndividualLamp_Handling\RBHMI_ConfigOutput_HDC_Status.c</t>
  </si>
  <si>
    <t>rb\as\honda\cmp\app\dsm\RBHMI\src\RBHMI_CustomFunctions\RBHMI_HONDACustom_Functions.c</t>
  </si>
  <si>
    <t>rb\as\honda\cmp\app\net\Cubas\CANxCANxSecOC\PduR_dSecOC_Transmit.c</t>
  </si>
  <si>
    <t>rb\as\honda\cmp\app\net\Cubas\CANxCANxSecOC\PduR_Gateway_SecOC.c</t>
  </si>
  <si>
    <t>rb\as\honda\cmp\app\net\RBComScl\CANxCANxSecOC\src\rba_ComScl_DlcCbk.c</t>
  </si>
  <si>
    <t>rb\as\honda\cmp\app\net\RBComScl\CANxCANxSecOC\src\rba_ComScl_RxSignalCopy.c</t>
  </si>
  <si>
    <t>rb\as\honda\cmp\app\net\RBScl\src\tx\rba_ComScl_Scl_VSA_0E8_CH1_Tx.c</t>
  </si>
  <si>
    <t>rb\as\honda\cmp\app\net\RBScl\src\tx\rba_ComScl_Scl_VSA_0E8_CH2_Tx.c</t>
  </si>
  <si>
    <t>rb\as\honda\cmp\app\net\RBScl\src\tx\rba_ComScl_Scl_VSA_1A4_CH1_Tx.c</t>
  </si>
  <si>
    <t>rb\as\honda\cmp\app\net\RBScl\src\tx\rba_ComScl_Scl_VSA_1AC_CH1_Tx.c</t>
  </si>
  <si>
    <t>rb\as\honda\cmp\app\net\RBNetHonda\src\RBNETRemoteDiag\src\RBNET_RemoteDiag_HONDA.c</t>
  </si>
  <si>
    <t>rb\as\honda\cmp\app\net\RBNetHonda\src\RBNETVariant\src\RBNET_VariantTableInterface_HONDA.c</t>
  </si>
  <si>
    <t>rb\as\honda\cmp\app\net\RBNetHonda\src\RBNETSecOc\src\mon\RBSecOcFV_ComSclAdapters_Monitoring_PRJ.c</t>
  </si>
  <si>
    <t>rb\as\honda\cmp\app\net\RBNetHonda\src\RBNETSecOc\src\debug\RBSecOcFV_Debug_Scl_Debug_Tx.c</t>
  </si>
  <si>
    <t>rb\as\honda\cmp\app\net\Cubas\CANxCANxSecOC\SecOC_Prv.c</t>
  </si>
  <si>
    <t>rb\as\honda\core\app\dsm\DEM_Honda\src\STM_FeatureDeactivation_Honda.c</t>
  </si>
  <si>
    <t>rb\as\honda\core\app\net\netinterfaces\asw\vafs\apb\src\RBNET_APB_interface.c</t>
  </si>
  <si>
    <t>rb\as\honda\core\app\net\netinterfaces\asw\controllers\src\RBNET_ASW_ControllerInterface.c</t>
  </si>
  <si>
    <t>rb\as\honda\core\app\net\netservices\brakerelay\src\RBNET_BrakeRelay.c</t>
  </si>
  <si>
    <t>rb\as\honda\core\app\net\netinterfaces\asw\vafs\hbc\src\RBNET_HBC_Interface.c</t>
  </si>
  <si>
    <t>rb\as\honda\core\app\net\netinterfaces\dcom\src\RBNET_InterfaceToDCOM.c</t>
  </si>
  <si>
    <t>rb\as\honda\core\app\net\netservices\OBS\src\RBNET_Service_OnBoardSnapshot.c</t>
  </si>
  <si>
    <t>rb\as\honda\core\app\tpsw\NIRA\src\RBND4_interface.c</t>
  </si>
  <si>
    <t>rb\as\honda\esp\tgva\app\dcom\RBAPLCust\src\Dem_PrjSpecificDCOMFailureMemory.c</t>
  </si>
  <si>
    <t>rb\as\honda\esp\tgva\app\dcom\RBAPLCust\src\RBAplCust_BrakePadExchangeModeNvmHandler_Project.c</t>
  </si>
  <si>
    <t>rb\as\honda\esp\tgva\app\dcom\RBAPLCust\src\RBAplCust_DiagnosisHMIHandler_Project.c</t>
  </si>
  <si>
    <t>rb\as\honda\esp\tgva\app\dcom\RBAPLCust\src\RBAplCust_EOLBegining_NVMHandler_Project.c</t>
  </si>
  <si>
    <t>rb\as\honda\esp\tgva\app\dcom\RBAPLCust\src\RBAplCust_EOLStateTransitionHandler_Project.c</t>
  </si>
  <si>
    <t>rb\as\honda\esp\tgva\app\dcom\RBAPLCust\src\RbAplCust_EPBEOLAssemblyTest_Project.c</t>
  </si>
  <si>
    <t>rb\as\honda\esp\tgva\app\dcom\RBAPLCust\src\RBAplCust_MemoryErrasureService_Project.c</t>
  </si>
  <si>
    <t>rb\as\honda\esp\tgva\app\dcom\TFT_Meter\src\RBAplCust_MultiDynamoTest_TFTMeter_Project.c</t>
  </si>
  <si>
    <t>rb\as\honda\esp\tgva\app\dcom\TFT_Meter\src\RbAplCust_Rc_RID_40C2_SensorCalibration_TFTMeter_Project.c</t>
  </si>
  <si>
    <t>rb\as\honda\esp\tgva\app\dcom\RBAPLCust\src\RBAplCust_Rc_RID_40C4_SFTABSPressureReliefOperation_Project.c</t>
  </si>
  <si>
    <t>rb\as\honda\esp\tgva\app\dcom\RBAPLCust\src\RBAplCust_Rc_RID_40C5_SFTVSAPressureReliefOperation_Project.c</t>
  </si>
  <si>
    <t>rb\as\honda\esp\tgva\app\dcom\TFT_Meter\src\RBAplCust_Rc_RID_40C9_StartupofEOLMode_TFTMeter_Project.c</t>
  </si>
  <si>
    <t>rb\as\honda\esp\tgva\app\dcom\RBAPLCust\src\RBAplCust_Rc_RID_40CA_StartupofSEOLMode_Project.c</t>
  </si>
  <si>
    <t>rb\as\honda\esp\tgva\app\dcom\RBAPLCust\src\RBAplCust_Rc_RID_40CF_EnterEPBBrakePadExchangeMode_Project.c</t>
  </si>
  <si>
    <t>rb\as\honda\esp\tgva\app\dcom\RBAPLCust\src\RBAplCust_Rc_RID_40D0_ExitEPBBrakePadExchangeMode_Project.c</t>
  </si>
  <si>
    <t>rb\as\honda\esp\tgva\app\dcom\RBAPLCust\src\RBAplCust_Rc_RID_40D1_ActivationofEPBactuator_Project.c</t>
  </si>
  <si>
    <t>rb\as\honda\esp\tgva\app\dcom\RBAPLCust\src\RBAplCust_Rc_RID_40D2_EPBAssemblyCheck_Project.c</t>
  </si>
  <si>
    <t>rb\as\honda\esp\tgva\app\dcom\RBAPLCust\src\RBAplCust_Rc_RID_6F18_SteeringAngleSensorLearning_Project.c</t>
  </si>
  <si>
    <t>rb\as\honda\esp\tgva\app\dcom\RBAPLCust\src\RBAplCust_Rc_RID_D010_EnterEPBPlantSafetyMode_Project.c</t>
  </si>
  <si>
    <t>rb\as\honda\esp\tgva\app\dcom\RBAPLCust\src\RBAplCust_RDBI_4001_ReadLETAndAirBleedingInTheLineData_Project.c</t>
  </si>
  <si>
    <t>rb\as\honda\esp\tgva\app\dcom\RBAPLCust\src\RBAplCust_RDBI_4002_ReadLineEndTestParameters_Project.c</t>
  </si>
  <si>
    <t>rb\as\honda\esp\tgva\app\dcom\RBAPLCust\src\RBAplCust_RDBI_4003_ReadSpecialLineEndTestParameters_Project.c</t>
  </si>
  <si>
    <t>rb\as\honda\esp\tgva\app\dcom\RBAPLCust\src\RBAplCust_RDBI_4006_ReadVSACANCommunicationStatus_Project.c</t>
  </si>
  <si>
    <t>rb\as\honda\esp\tgva\app\dcom\RBFMHC_EPB_FRZFRM\src\RBFMHC_FreezeFrameHandling_EPB.c</t>
  </si>
  <si>
    <t>rb\as\honda\esp\tgva\app\dcom_core\RBAPLCust\src\RbAplCust_Processes_HDC.c</t>
  </si>
  <si>
    <t>rb\as\honda\esp\tgva\app\dcom_core\RBAPLCust\src\RbAplCust_RoutineControl_HDC.c</t>
  </si>
  <si>
    <t>Line #2939: Cannot cover true case due to if( FALSE)
Line #2884: Cannot cover true case due to if( FALSE)
Line #3128: Cannot cover true case due to if( FALSE)
Line #3063: Cannot cover true case due to if( FALSE)</t>
  </si>
  <si>
    <t>Line #408: Cannot cover true case. Because the variable l_ISAB_Active_b is set FALSE at line #372</t>
  </si>
  <si>
    <t>Line #2438: Cannot cover false case due to g_ND4Torque0Valid_B = TRUE at line 2436
Line #2456: Cannot cover false case due to g_ND4EngineRPMValid_B = TRUE at line 2454
Line #2474: Cannot cover false case due to g_ND4DrsValid_B = TRUE at line 2472
Line #2490: Cannot cover false case due to g_ND4AlValid_B = TRUE at line 2488
Line #2506: Cannot cover false case due to g_ND4AqValid_B = TRUE at line 2504
Line #2522: Cannot cover false case due to g_ND4AmbientTempValid_B = TRUE at line 2520
Line #2538: Cannot cover false case due to g_ND4MileageValid_B = TRUE at line 2536
Line #2554: Cannot cover false case due to g_ND4SasValid_B = TRUE at line 2552</t>
  </si>
  <si>
    <t>-Can't cover for FALSE case for condition if(1) at line #152.</t>
  </si>
  <si>
    <t>Can not cover default case of Switch because SsmState (enum: SSMState_Standby; SSMState_HydHold; SSMState_MechHold; SSMState_Release) had been used 4 element in this Switch.</t>
  </si>
  <si>
    <t>FAW_IPB1.1_Int_ESP\FAW_ESP\rb\as\fawESP\esp\hswpr\tst\hswsim\src\TestEnvironment_Fee_EV711101.c</t>
  </si>
  <si>
    <t>FAW_IPB1.1_Int_ESP\FAW_ESP\rb\as\fawESP\esp\hswpr\tst\hswsim\src\TestEnvironment_Fee_EV711106.c</t>
  </si>
  <si>
    <t>FAW_IPB1.1_Int_ESP\FAW_ESP\rb\as\fawESP\esp\hwp\src\RBCooLS\src\RBCooLS_Main_Volvo.c</t>
  </si>
  <si>
    <t>FAW_IPB1.1_Int_ESP\FAW_ESP\rb\as\fawESP\esp\hwp\src\DfaEmf\src\RBDfaEmf_SignalOutput_BMWG01.c</t>
  </si>
  <si>
    <t>FAW_IPB1.1_Int_ESP\FAW_ESP\rb\as\fawESP\esp\hswpr\src\DfaEmf\src\RBDfaEmf_SignalOutput_BMWG01.c</t>
  </si>
  <si>
    <t>FAW_IPB1.1_Int_ESP\FAW_ESP\rb\as\fawESP\core\app\dcom\RBAPLCust\src\common\RBAPLCUST_DcmManufacturerNotification.c</t>
  </si>
  <si>
    <t>FAW_IPB1.1_Int_ESP\FAW_ESP\rb\as\fawESP\core\app\dcom\RBAPLCust\src\common\RBAPLCUST_ExpectedOBDType.c</t>
  </si>
  <si>
    <t>FAW_IPB1.1_Int_ESP\FAW_ESP\rb\as\fawESP\core\app\dcom\RBAPLCust\src\common\RBAPLCUST_RDBI_BLS.c</t>
  </si>
  <si>
    <t>FAW_IPB1.1_Int_ESP\FAW_ESP\rb\as\fawESP\core\app\dcom\rbaplcust\src\IPB\RBAPLCUST_RDBI_CBDS.c</t>
  </si>
  <si>
    <t>FAW_IPB1.1_Int_ESP\FAW_ESP\rb\as\fawESP\core\app\dcom\RBAPLCust\src\iBooster\RBAPLCUST_RoutineControl_iBoosterActuatorTest.c</t>
  </si>
  <si>
    <t>FAW_IPB1.1_Int_ESP\FAW_ESP\rb\as\fawESP\core\app\dcom\rbaplobd\src\RBAPLOBD_Global.c</t>
  </si>
  <si>
    <t>FAW_IPB1.1_Int_ESP\FAW_ESP\rb\as\fawESP\core\app\dsm\RBWarningIndicator\src\Dem_PrjSpecificIndiHandling.c</t>
  </si>
  <si>
    <t>FAW_IPB1.1_Int_ESP\FAW_ESP\rb\as\fawESP\core\app\dsm\RBDsmSim\RB_SimDsmCfg\PRJ_Specific\src\DSMSim_PRJ_Specific.c</t>
  </si>
  <si>
    <t>FAW_IPB1.1_Int_ESP\FAW_ESP\rb\as\fawESP\core\app\dsm\RBOBD\OBDGeneric\src\rba_DemObdBasic_ProjectExtension.c</t>
  </si>
  <si>
    <t>FAW_IPB1.1_Int_ESP\FAW_ESP\rb\as\fawESP\core\app\dsm\RBHMI_IB2\src\RBHMI_ConfigOutputDriver_PRJ.c</t>
  </si>
  <si>
    <t>FAW_IPB1.1_Int_ESP\FAW_ESP\rb\as\fawESP\core\app\dsm\RBHMI\src\RBHMI_ConfigOutputDriver_PRJ.c</t>
  </si>
  <si>
    <t>FAW_IPB1.1_Int_ESP\FAW_ESP\rb\as\fawESP\core\app\dsm\RBVAR\src\RBVAR_OutputDriver_PROJECT.c</t>
  </si>
  <si>
    <t>GWM_AB30_CP_Int\MainstreamF30\rb\as\gwm\cp\app\net\SclCallout\src</t>
  </si>
  <si>
    <t>55%</t>
  </si>
  <si>
    <t xml:space="preserve">Line #592: Cannot cover C0 at this line. Because it has return at lines #578, #583, #589.
Line #623: Cannot cover C0 at this line. Because it has return at lines #615, #620.
Line #628: Cannot cover C0 at this line. Because it has return at line #627.
Line #637: Cannot cover C0 at this line. Because it has return at line #636.
Line #714: Cannot cover C0 at this line. Because it has return at lines #700, #705, #711.
Line #743: Cannot cover C0 at this line. Because it has return at lines #735, #740.
Line #748: Cannot cover C0 at this line. Because it has return at line #747.
Line #757: Cannot cover C0 at this line. Because it has return at line #756.
</t>
  </si>
  <si>
    <t>Line #30: Cannot cover outrange min of incr because to reach this line : in_Slow &gt; out_Fast -&gt; in_Slow - out_Fast &gt; 0
Line #35: Cannot cover outrange min of incr because to reach this line : in_Slow &lt;= out_Fast -&gt; out_Fast - in_Slow &gt;= 0</t>
  </si>
  <si>
    <t>VAR09_OutputDriver_CEVT.c</t>
  </si>
  <si>
    <t>GEEA2_0-IB2-CSW-Deuterium-Development___SDB_B2H2_BG4.zip</t>
  </si>
  <si>
    <t>Line #24 Cannot cover OOR max of t_PBH_Enable because: C_t_TSS3_PBH_max always less than t_PBH_Enable when accessing this case.</t>
  </si>
  <si>
    <t>-No function for testing</t>
  </si>
  <si>
    <t>Line#54, Can't cover for over max for tBlaOn at line#54 because depend condition at line#52 then tBlaOn need to less than C_tBlaOnMin meanwhile C_tBlaOnMin is set to P_tBlaOnMin (range from 0 to 5) so maximum for C_tBlaOnMin is 5. For true condition at line#52, tBlaOn less than 5 =&gt;  tBlaOn + C_LDMdT (is constant with value is 0.02) can't over max</t>
  </si>
  <si>
    <t>- Can’t cover case F&amp;&amp;?&amp;&amp;? of decision if((!GCCC_INVALID_CHECK)&amp;&amp;(GCCC_BLK_SET) &amp;&amp; (!GCCC_WRITE_ONCE_B)) at line #2780
- Can’t cover case T&amp;&amp;F of decision else if((GCCC_LocVars.BlockID_UB != (UWORD)0)&amp;&amp;(!GCCC_BLK_SET)) at line #3084
- Bug cantata at 2 decision upper</t>
  </si>
  <si>
    <t>GEEA2_0-IB2-CSW-Deuterium-Development___SDB_B2H2_BG4\iBoosterGen2\rb\as\mb\ib2\app\dsm\RBVAR\src\VAR09_OutputDriver_CEVT.c</t>
  </si>
  <si>
    <t>-1.Can’t cover full MCDC with case (T&amp;F) for line#283 and line#299  of decision ((nvmif_b == TRUE) &amp;&amp; (rba_BldrCmp_RDBI_ListIdx_u8 &lt; RBA_BLDRCMP_RDBI_NoReadDidByNvmidListEntries)). Because variable rba_BldrCmp_RDBI_ListIdx_u8 is always less than RBA_BLDRCMP_RDBI_NoReadDidByNvmidListEntries.
-2. Can’t cover full MCDC with case (T&amp;F) for line#329 and line#345,340,400  of decision ((func_b == TRUE) &amp;&amp; (rba_BldrCmp_RDBI_ListIdx_u8 &lt; RBA_BLDRCMP_RDBI_NoReadDidByFuncListEntries)). Because variable rba_BldrCmp_RDBI_ListIdx_u8 is always less than RBA_BLDRCMP_RDBI_NoReadDidByNvmidListEntries.</t>
  </si>
  <si>
    <t>JMC_Ford_V348_ESP9.3CP_Int\JMC\rba\Bldr\BldrCmp\src</t>
  </si>
  <si>
    <t>JMC_Ford_V348_ESP9.3CP_Int\JMC\rba\Bldr\config\ApplicationLayer\rba_BldrCmp\src</t>
  </si>
  <si>
    <t>Line#104 can't cover these line because that condition is IF(0)
Line#114 can't cover these line because that condition is IF(0)</t>
  </si>
  <si>
    <t>Line #33, can not cover case Counter &gt; 2.5. Because Counter must be greater than 0 and dT_Hydraulikinterface range from 0.005 to 0.005</t>
  </si>
  <si>
    <t>FAW_IPB1.1_Int_ESP\FAW_ESP\rb\as\fawESP\esp\app\asw\WrapperSWC\src\PCT_AswWrapper.c</t>
  </si>
  <si>
    <t>FAW_IPB1.1_Int_ESP\FAW_ESP\rb\as\fawESP\esp\app\dsm.rbhmi\src\RBHMI_ConfigOutputDriver_PRJ.c</t>
  </si>
  <si>
    <t>FAW_IPB1.1_Int_ESP\FAW_ESP\rb\as\fawESP\esp\app\dsm\RBDsmSim\RB_SimDsmCfg\PRJ_Specific\src\DSMSim_PRJ_Specific.c</t>
  </si>
  <si>
    <t>FAW_IPB1.1_Int_ESP\FAW_ESP\rb\as\fawESP\esp\app\net\RBScl\src\rba_NET_Global_variable.c</t>
  </si>
  <si>
    <t>FAW_IPB1.1_Int_ESP\FAW_ESP\rb\as\fawESP\esp\dcompr\tst\Stubs\CUBAS\src\Net_Stubs.c</t>
  </si>
  <si>
    <t>FAW_IPB1.1_Int_ESP\FAW_ESP\rb\as\fawESP\esp\dsmpr\rbemm\src\RBEMM_Project.c</t>
  </si>
  <si>
    <t>FAW_IPB1.1_Int_ESP\FAW_ESP\rb\as\fawESP\esp\dsmpr\tst\ct\Src\RBDSM_SWT_ComponentSwitch.c</t>
  </si>
  <si>
    <t>FAW_IPB1.1_Int_ESP\FAW_ESP\rb\as\fawESP\esp\hswpr\tst\hswsim\src\HwModel_CNMS_HEVX.c</t>
  </si>
  <si>
    <t>FAW_IPB1.1_Int_ESP\FAW_ESP\rb\as\fawESP\esp\hswpr\src\RBVlvFreewheelingIssue\src\RBVlvFreewheelingIssue.c</t>
  </si>
  <si>
    <t xml:space="preserve">Line #19, can not cover case out range min. Because:
 - dp_k1 range from -400 to 400
 - MinStep range from 0 to 400 </t>
  </si>
  <si>
    <t>Can’t cover full MCDC at line 60 with case (F&amp;&amp;?) because l_TotalOdometer_UL is always greater than 0 and TotalOdometer_Min is equal 0.</t>
  </si>
  <si>
    <t>FAW_IPB1.1_Int_ESP\FAW_ESP\rb\as\fawESP\esp\dcompr\tst\Stubs\CUBAS\src</t>
  </si>
  <si>
    <t>241472_CheHeJ_X01_D_booster_STRCHJ_D401_BL01_SP03</t>
  </si>
  <si>
    <t>243519_FAW_C100_IPB1.1_BSS02_SP06_STRFAW_D501</t>
  </si>
  <si>
    <t>CRB_FxQualifier</t>
  </si>
  <si>
    <t>RBAPLCUST_RBDI_SWVersionNumber.c</t>
  </si>
  <si>
    <t>RBAPLCUST_RDBI_NVMData_CHJ.c</t>
  </si>
  <si>
    <t>RBA_NDS_IPBPressure_Callout.c</t>
  </si>
  <si>
    <t>NET_PSM_Interface_IPB.c</t>
  </si>
  <si>
    <t>RBA_NDS_Engine_Callout.c</t>
  </si>
  <si>
    <t>RBA_NDS_SystemInfo.c</t>
  </si>
  <si>
    <t>RBA_NDS_WheelOdoEdges_Callout.c</t>
  </si>
  <si>
    <t>RBA_NDS_WSS_FailureInfo_Callout.c</t>
  </si>
  <si>
    <t>RBNET_ProjectSpecific_Monitoring.c</t>
  </si>
  <si>
    <t>SAS_LWS_Standard.c</t>
  </si>
  <si>
    <t>1.1.146.3</t>
  </si>
  <si>
    <t>MA Maoting (CC-AS/EVA-SW31-CN)</t>
  </si>
  <si>
    <t>CRBrbc_ECU_CSW_BB00001.axl</t>
  </si>
  <si>
    <t>CheHeJia_X01IB2_Int</t>
  </si>
  <si>
    <t>rb\as\cnms_core\app\dcom\RBAPLCust\src\common</t>
  </si>
  <si>
    <t>rb\as\chjx01ib2\core\app\dcom\RBAPLCust\src\common</t>
  </si>
  <si>
    <t>rb\as\rbcn\ipb\app\net\RBScl\src\</t>
  </si>
  <si>
    <t>\RBScl\RBSCL_BB82026\src\ComScl_Scl_Complex_proc.c</t>
  </si>
  <si>
    <t>\RBScl\RBSCL_FAW\src\NET_PSM_Interface_IPB.c</t>
  </si>
  <si>
    <t>\scl\src\Callout_Functions\RBA_NDS_ATS_Callout.c</t>
  </si>
  <si>
    <t>\RBScl\RBSCL_FAW\src\RBA_NDS_Complex_Callout.c</t>
  </si>
  <si>
    <t>\scl\src\Callout_Functions\RBA_NDS_Engine_Callout.c</t>
  </si>
  <si>
    <t>\RBScl\RBSCL_FAW\src\RBA_NDS_IPBPressure_Callout.c</t>
  </si>
  <si>
    <t>\scl\src\Callout_Functions\RBA_NDS_SystemInfo.c</t>
  </si>
  <si>
    <t>\scl\src\Callout_Functions\RBA_NDS_TOD_Callout.c</t>
  </si>
  <si>
    <t>\scl\src\Callout_Functions\RBA_NDS_WheelOdoEdges_Callout.c</t>
  </si>
  <si>
    <t>\scl\src\Callout_Functions\RBA_NDS_WSS_FailureInfo_Callout.c</t>
  </si>
  <si>
    <t>\RBScl\RBSCL_FAW\src\RBNET_ProjectSpecific_Monitoring.c</t>
  </si>
  <si>
    <t>\src\RBPduHandler_Callouts.c</t>
  </si>
  <si>
    <t>\scl\src\Steering\SAS_LWS_Standard.c</t>
  </si>
  <si>
    <t>BL01_SP03</t>
  </si>
  <si>
    <t>BSS02_SP06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</si>
</sst>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409]d\-mmm\-yyyy;@"/>
    <numFmt numFmtId="165" formatCode="0.0"/>
    <numFmt numFmtId="166" formatCode="0.0%"/>
  </numFmts>
  <fonts count="54">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b/>
      <sz val="11"/>
      <color theme="1"/>
      <name val="Calibri"/>
      <family val="2"/>
      <scheme val="minor"/>
    </font>
    <font>
      <b/>
      <sz val="11"/>
      <name val="Calibri"/>
      <family val="2"/>
      <scheme val="minor"/>
    </font>
    <font>
      <sz val="11"/>
      <name val="Calibri"/>
      <family val="2"/>
      <scheme val="minor"/>
    </font>
    <font>
      <sz val="10"/>
      <name val="Arial"/>
      <family val="2"/>
    </font>
    <font>
      <b/>
      <sz val="10"/>
      <color theme="1"/>
      <name val="Arial"/>
      <family val="2"/>
    </font>
    <font>
      <sz val="10"/>
      <color rgb="FF9C0006"/>
      <name val="Arial"/>
      <family val="2"/>
    </font>
    <font>
      <b/>
      <sz val="11"/>
      <color rgb="FFFF0000"/>
      <name val="Calibri"/>
      <family val="2"/>
      <scheme val="minor"/>
    </font>
    <font>
      <sz val="12"/>
      <color theme="1"/>
      <name val="Calibri"/>
      <family val="2"/>
      <scheme val="minor"/>
    </font>
    <font>
      <sz val="11"/>
      <color theme="1"/>
      <name val="Calibri"/>
      <family val="2"/>
      <scheme val="minor"/>
    </font>
    <font>
      <sz val="10"/>
      <color theme="1"/>
      <name val="Arial"/>
      <family val="2"/>
    </font>
    <font>
      <sz val="11"/>
      <color theme="1"/>
      <name val="Calibri"/>
      <family val="2"/>
      <scheme val="minor"/>
    </font>
    <font>
      <sz val="11"/>
      <color theme="1"/>
      <name val="Bosch Office Sans"/>
    </font>
    <font>
      <b/>
      <sz val="10"/>
      <color theme="1"/>
      <name val="Arial"/>
      <family val="2"/>
    </font>
    <font>
      <sz val="11"/>
      <color theme="1"/>
      <name val="Calibri"/>
      <family val="2"/>
      <scheme val="minor"/>
    </font>
    <font>
      <sz val="9"/>
      <color indexed="81"/>
      <name val="Tahoma"/>
      <family val="2"/>
    </font>
    <font>
      <b/>
      <sz val="9"/>
      <color indexed="81"/>
      <name val="Tahoma"/>
      <family val="2"/>
    </font>
    <font>
      <b/>
      <sz val="11"/>
      <color theme="1"/>
      <name val="Calibri"/>
      <family val="2"/>
      <scheme val="minor"/>
    </font>
    <font>
      <b/>
      <sz val="10"/>
      <name val="Arial"/>
      <family val="2"/>
    </font>
    <font>
      <sz val="11"/>
      <color theme="1"/>
      <name val="Calibri"/>
      <family val="2"/>
      <scheme val="minor"/>
    </font>
    <font>
      <b/>
      <sz val="11"/>
      <color theme="1"/>
      <name val="Calibri"/>
      <family val="2"/>
      <scheme val="minor"/>
    </font>
    <font>
      <b/>
      <sz val="10"/>
      <color rgb="FFFF0000"/>
      <name val="Arial"/>
      <family val="2"/>
    </font>
    <font>
      <sz val="11"/>
      <color rgb="FFFF0000"/>
      <name val="Calibri"/>
      <family val="2"/>
      <scheme val="minor"/>
    </font>
    <font>
      <sz val="10"/>
      <name val="Arial"/>
      <family val="2"/>
    </font>
    <font>
      <sz val="11"/>
      <color rgb="FFFF0000"/>
      <name val="Calibri"/>
      <family val="2"/>
      <scheme val="minor"/>
    </font>
    <font>
      <b/>
      <sz val="10"/>
      <name val="Arial"/>
      <family val="2"/>
    </font>
    <font>
      <sz val="10"/>
      <color rgb="FF000000"/>
      <name val="Arial"/>
      <family val="2"/>
    </font>
    <font>
      <sz val="10"/>
      <color rgb="FF000000"/>
      <name val="Arial"/>
      <family val="2"/>
    </font>
    <font>
      <sz val="11"/>
      <color rgb="FF000000"/>
      <name val="Calibri"/>
      <family val="2"/>
      <scheme val="minor"/>
    </font>
    <font>
      <sz val="11"/>
      <color theme="1"/>
      <name val="Calibri"/>
      <family val="2"/>
    </font>
    <font>
      <sz val="10"/>
      <name val="Arial"/>
      <family val="2"/>
    </font>
    <font>
      <sz val="11"/>
      <color theme="1"/>
      <name val="Calibri"/>
      <family val="2"/>
      <scheme val="minor"/>
    </font>
    <font>
      <sz val="11"/>
      <color theme="1"/>
      <name val="Calibri"/>
      <family val="2"/>
      <scheme val="minor"/>
    </font>
    <font>
      <sz val="10"/>
      <name val="Arial"/>
      <family val="2"/>
    </font>
    <font>
      <b/>
      <sz val="11"/>
      <color rgb="FFFF0000"/>
      <name val="Calibri"/>
      <family val="2"/>
    </font>
    <font>
      <sz val="10"/>
      <name val="Arial"/>
      <family val="2"/>
    </font>
    <font>
      <b/>
      <sz val="11"/>
      <color theme="1"/>
      <name val="Calibri"/>
      <family val="2"/>
    </font>
    <font>
      <sz val="11"/>
      <color theme="1"/>
      <name val="Calibri"/>
      <family val="2"/>
      <scheme val="minor"/>
    </font>
    <font>
      <b/>
      <sz val="10"/>
      <color theme="1"/>
      <name val="Arial"/>
      <family val="2"/>
    </font>
    <font>
      <b/>
      <sz val="11"/>
      <color theme="1"/>
      <name val="Calibri"/>
      <family val="2"/>
      <scheme val="minor"/>
    </font>
    <font>
      <sz val="11"/>
      <name val="Calibri"/>
      <family val="2"/>
      <scheme val="minor"/>
    </font>
    <font>
      <sz val="10"/>
      <name val="Arial"/>
      <family val="2"/>
    </font>
    <font>
      <b/>
      <sz val="10"/>
      <color rgb="FF000000"/>
      <name val="Calibri"/>
      <family val="2"/>
      <scheme val="minor"/>
    </font>
    <font>
      <sz val="10"/>
      <color rgb="FFFF0000"/>
      <name val="Arial"/>
      <family val="2"/>
    </font>
    <font>
      <sz val="10"/>
      <color theme="1"/>
      <name val="Arial"/>
      <family val="2"/>
    </font>
    <font>
      <sz val="10"/>
      <color rgb="FF000000"/>
      <name val="Arial"/>
      <family val="2"/>
    </font>
    <font>
      <sz val="11"/>
      <color theme="1"/>
      <name val="Calibri"/>
      <scheme val="minor"/>
    </font>
    <font>
      <sz val="10"/>
      <name val="Arial"/>
    </font>
    <font>
      <b/>
      <sz val="11"/>
      <color theme="1"/>
      <name val="Calibri"/>
      <scheme val="minor"/>
    </font>
  </fonts>
  <fills count="38">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0"/>
        <bgColor indexed="64"/>
      </patternFill>
    </fill>
    <fill>
      <patternFill patternType="solid">
        <fgColor rgb="FFFFC7CE"/>
      </patternFill>
    </fill>
    <fill>
      <patternFill patternType="solid">
        <fgColor theme="0" tint="-0.499984740745262"/>
        <bgColor indexed="64"/>
      </patternFill>
    </fill>
    <fill>
      <patternFill patternType="solid">
        <fgColor rgb="FF00B0F0"/>
        <bgColor indexed="64"/>
      </patternFill>
    </fill>
    <fill>
      <patternFill patternType="solid">
        <fgColor rgb="FFFFC000"/>
        <bgColor indexed="64"/>
      </patternFill>
    </fill>
    <fill>
      <patternFill patternType="solid">
        <fgColor rgb="FF00B05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6"/>
        <bgColor indexed="64"/>
      </patternFill>
    </fill>
    <fill>
      <patternFill patternType="solid">
        <fgColor theme="2" tint="-0.249977111117893"/>
        <bgColor indexed="64"/>
      </patternFill>
    </fill>
    <fill>
      <patternFill patternType="solid">
        <fgColor theme="6" tint="-0.249977111117893"/>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theme="9" tint="-0.499984740745262"/>
        <bgColor indexed="64"/>
      </patternFill>
    </fill>
    <fill>
      <patternFill patternType="solid">
        <fgColor theme="6" tint="0.79998168889431442"/>
        <bgColor indexed="64"/>
      </patternFill>
    </fill>
    <fill>
      <patternFill patternType="solid">
        <fgColor theme="4"/>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rgb="FFFFC7CE"/>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C6EFCE"/>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s>
  <cellStyleXfs count="3">
    <xf numFmtId="0" fontId="0" fillId="0" borderId="0"/>
    <xf numFmtId="0" fontId="9" fillId="0" borderId="0"/>
    <xf numFmtId="0" fontId="11" fillId="7" borderId="0" applyNumberFormat="0" applyBorder="0" applyAlignment="0" applyProtection="0"/>
  </cellStyleXfs>
  <cellXfs count="383">
    <xf numFmtId="0" fontId="0" fillId="0" borderId="0" xfId="0"/>
    <xf numFmtId="0" fontId="6" fillId="0" borderId="0" xfId="0" applyFont="1"/>
    <xf numFmtId="0" fontId="6" fillId="0" borderId="1" xfId="0" applyFont="1" applyBorder="1"/>
    <xf numFmtId="0" fontId="0" fillId="0" borderId="1" xfId="0" applyBorder="1"/>
    <xf numFmtId="0" fontId="6" fillId="0" borderId="1" xfId="0" applyFont="1" applyFill="1" applyBorder="1"/>
    <xf numFmtId="0" fontId="0" fillId="0" borderId="0" xfId="0" applyBorder="1"/>
    <xf numFmtId="14" fontId="0" fillId="0" borderId="0" xfId="0" applyNumberFormat="1"/>
    <xf numFmtId="0" fontId="0" fillId="0" borderId="0" xfId="0" applyNumberFormat="1"/>
    <xf numFmtId="0" fontId="6" fillId="2" borderId="1" xfId="0" applyFont="1" applyFill="1" applyBorder="1" applyAlignment="1">
      <alignment horizontal="center" vertical="center" wrapText="1"/>
    </xf>
    <xf numFmtId="0" fontId="7" fillId="0" borderId="0" xfId="0" applyFont="1"/>
    <xf numFmtId="0" fontId="6"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quotePrefix="1" applyBorder="1"/>
    <xf numFmtId="0" fontId="0" fillId="0" borderId="1" xfId="0" applyFont="1" applyBorder="1" applyAlignment="1">
      <alignment horizontal="left" vertical="top"/>
    </xf>
    <xf numFmtId="0" fontId="0" fillId="0" borderId="1" xfId="0" applyFont="1" applyFill="1" applyBorder="1" applyAlignment="1">
      <alignment horizontal="left" vertical="top"/>
    </xf>
    <xf numFmtId="0" fontId="0" fillId="0" borderId="1" xfId="0" quotePrefix="1" applyFont="1" applyBorder="1" applyAlignment="1">
      <alignment horizontal="left" vertical="top"/>
    </xf>
    <xf numFmtId="0" fontId="0" fillId="2" borderId="1" xfId="0" applyFont="1" applyFill="1" applyBorder="1" applyAlignment="1">
      <alignment horizontal="left" vertical="top"/>
    </xf>
    <xf numFmtId="164" fontId="0" fillId="0" borderId="1" xfId="0" applyNumberFormat="1" applyFont="1" applyBorder="1" applyAlignment="1">
      <alignment horizontal="left" vertical="top"/>
    </xf>
    <xf numFmtId="0" fontId="8" fillId="0" borderId="1" xfId="0" applyNumberFormat="1" applyFont="1" applyFill="1" applyBorder="1" applyAlignment="1" applyProtection="1">
      <alignment horizontal="left" vertical="top"/>
    </xf>
    <xf numFmtId="0" fontId="5" fillId="0" borderId="0" xfId="0" applyFont="1" applyAlignment="1">
      <alignment vertical="center"/>
    </xf>
    <xf numFmtId="0" fontId="5" fillId="0" borderId="0" xfId="0" quotePrefix="1" applyFont="1" applyAlignment="1">
      <alignment vertical="center"/>
    </xf>
    <xf numFmtId="0" fontId="0" fillId="0" borderId="0" xfId="0" applyAlignment="1">
      <alignment vertical="top"/>
    </xf>
    <xf numFmtId="0" fontId="10" fillId="2" borderId="1" xfId="0" applyFont="1" applyFill="1" applyBorder="1" applyAlignment="1">
      <alignment horizont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0" fillId="0" borderId="1" xfId="0" applyFill="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10" fontId="0" fillId="0" borderId="1" xfId="0" applyNumberFormat="1" applyFont="1" applyBorder="1" applyAlignment="1">
      <alignment horizontal="left" vertical="top"/>
    </xf>
    <xf numFmtId="0" fontId="0" fillId="0" borderId="0" xfId="0" applyFill="1" applyBorder="1" applyAlignment="1">
      <alignment horizontal="right" vertical="center"/>
    </xf>
    <xf numFmtId="10" fontId="0" fillId="0" borderId="0" xfId="0" applyNumberFormat="1" applyFill="1" applyBorder="1" applyAlignment="1">
      <alignment horizontal="center" vertical="center"/>
    </xf>
    <xf numFmtId="164" fontId="0" fillId="0" borderId="0" xfId="0" applyNumberFormat="1"/>
    <xf numFmtId="0" fontId="0" fillId="0" borderId="0" xfId="0" quotePrefix="1"/>
    <xf numFmtId="0" fontId="0" fillId="6" borderId="4" xfId="0" quotePrefix="1" applyFill="1" applyBorder="1" applyAlignment="1">
      <alignment vertical="center"/>
    </xf>
    <xf numFmtId="0" fontId="0" fillId="6" borderId="5" xfId="0" applyFill="1" applyBorder="1" applyAlignment="1">
      <alignment vertical="center"/>
    </xf>
    <xf numFmtId="0" fontId="0" fillId="6" borderId="6" xfId="0" applyFill="1" applyBorder="1" applyAlignment="1">
      <alignment vertical="center"/>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0" fillId="0" borderId="1" xfId="0" applyBorder="1" applyAlignment="1">
      <alignment horizontal="right" vertical="center"/>
    </xf>
    <xf numFmtId="0" fontId="6"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6" fillId="2" borderId="4" xfId="0" applyFont="1" applyFill="1" applyBorder="1" applyAlignment="1">
      <alignment vertical="center"/>
    </xf>
    <xf numFmtId="0" fontId="6" fillId="2" borderId="5" xfId="0" applyFont="1" applyFill="1" applyBorder="1" applyAlignment="1">
      <alignment vertical="center"/>
    </xf>
    <xf numFmtId="0" fontId="6" fillId="2" borderId="6" xfId="0" applyFont="1" applyFill="1" applyBorder="1" applyAlignment="1">
      <alignment vertical="center"/>
    </xf>
    <xf numFmtId="0" fontId="0" fillId="8" borderId="1" xfId="0" quotePrefix="1" applyFont="1" applyFill="1" applyBorder="1" applyAlignment="1">
      <alignment horizontal="left" vertical="top"/>
    </xf>
    <xf numFmtId="0" fontId="6" fillId="2" borderId="1" xfId="0" applyFont="1" applyFill="1" applyBorder="1" applyAlignment="1">
      <alignment horizontal="left" vertical="top"/>
    </xf>
    <xf numFmtId="0" fontId="6" fillId="2" borderId="1" xfId="0" applyFont="1" applyFill="1" applyBorder="1" applyAlignment="1">
      <alignment horizontal="center" vertical="center"/>
    </xf>
    <xf numFmtId="0" fontId="0" fillId="0" borderId="1" xfId="0" applyFill="1" applyBorder="1" applyAlignment="1">
      <alignment horizontal="center" vertical="center"/>
    </xf>
    <xf numFmtId="0" fontId="6" fillId="0" borderId="1" xfId="0" applyFont="1" applyBorder="1" applyAlignment="1">
      <alignment horizontal="left" vertical="top"/>
    </xf>
    <xf numFmtId="0" fontId="6" fillId="0" borderId="1" xfId="0" applyFont="1" applyFill="1" applyBorder="1" applyAlignment="1">
      <alignment horizontal="left" vertical="top"/>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0" xfId="0" quotePrefix="1" applyFill="1" applyBorder="1" applyAlignment="1">
      <alignment horizontal="center" vertical="center"/>
    </xf>
    <xf numFmtId="0" fontId="6" fillId="0" borderId="1" xfId="0" applyFont="1" applyBorder="1" applyAlignment="1">
      <alignment vertical="top"/>
    </xf>
    <xf numFmtId="0" fontId="6" fillId="0" borderId="1" xfId="0" applyFont="1" applyFill="1" applyBorder="1" applyAlignment="1">
      <alignment vertical="top"/>
    </xf>
    <xf numFmtId="0" fontId="0" fillId="0" borderId="1" xfId="0" applyBorder="1" applyAlignment="1">
      <alignment vertical="top"/>
    </xf>
    <xf numFmtId="0" fontId="0" fillId="4" borderId="1" xfId="0" applyFill="1" applyBorder="1" applyAlignment="1">
      <alignment vertical="top"/>
    </xf>
    <xf numFmtId="0" fontId="0" fillId="0" borderId="1" xfId="0" applyBorder="1" applyAlignment="1">
      <alignment horizontal="center" vertical="top"/>
    </xf>
    <xf numFmtId="10" fontId="0" fillId="0" borderId="1" xfId="0" applyNumberFormat="1" applyBorder="1" applyAlignment="1">
      <alignment horizontal="center" vertical="top"/>
    </xf>
    <xf numFmtId="0" fontId="0" fillId="3" borderId="1" xfId="0" applyFill="1" applyBorder="1" applyAlignment="1">
      <alignment vertical="top"/>
    </xf>
    <xf numFmtId="0" fontId="6" fillId="0" borderId="0" xfId="0" applyFont="1" applyAlignment="1">
      <alignment vertical="top"/>
    </xf>
    <xf numFmtId="0" fontId="11" fillId="7" borderId="1" xfId="2" applyBorder="1" applyAlignment="1">
      <alignment horizontal="center" vertical="top"/>
    </xf>
    <xf numFmtId="164" fontId="0" fillId="0" borderId="0" xfId="0" applyNumberFormat="1" applyAlignment="1">
      <alignment vertical="top"/>
    </xf>
    <xf numFmtId="0" fontId="0" fillId="0" borderId="0" xfId="0" applyNumberFormat="1" applyAlignment="1">
      <alignment vertical="top"/>
    </xf>
    <xf numFmtId="16" fontId="0" fillId="0" borderId="0" xfId="0" quotePrefix="1" applyNumberFormat="1" applyAlignment="1">
      <alignment vertical="top"/>
    </xf>
    <xf numFmtId="0" fontId="6" fillId="4" borderId="1" xfId="0" applyFont="1" applyFill="1" applyBorder="1" applyAlignment="1">
      <alignment vertical="top"/>
    </xf>
    <xf numFmtId="0" fontId="12" fillId="2" borderId="0" xfId="0" applyFont="1" applyFill="1"/>
    <xf numFmtId="0" fontId="0" fillId="9" borderId="0" xfId="0" applyFill="1"/>
    <xf numFmtId="0" fontId="0" fillId="4" borderId="1" xfId="0" applyFont="1" applyFill="1" applyBorder="1" applyAlignment="1">
      <alignment vertical="top"/>
    </xf>
    <xf numFmtId="0" fontId="0" fillId="0" borderId="1" xfId="0" quotePrefix="1" applyBorder="1" applyAlignment="1">
      <alignment horizontal="left" vertical="top"/>
    </xf>
    <xf numFmtId="0" fontId="0" fillId="0" borderId="1" xfId="0" applyBorder="1" applyAlignment="1">
      <alignment horizontal="left" vertical="top"/>
    </xf>
    <xf numFmtId="0" fontId="6" fillId="2" borderId="1" xfId="0" applyFont="1" applyFill="1" applyBorder="1" applyAlignment="1">
      <alignment vertical="top"/>
    </xf>
    <xf numFmtId="0" fontId="6" fillId="5" borderId="1" xfId="0" applyFont="1" applyFill="1" applyBorder="1" applyAlignment="1">
      <alignment vertical="top"/>
    </xf>
    <xf numFmtId="0" fontId="13" fillId="0" borderId="1" xfId="0" applyFont="1" applyBorder="1"/>
    <xf numFmtId="164" fontId="0" fillId="0" borderId="1" xfId="0" applyNumberFormat="1" applyBorder="1" applyAlignment="1">
      <alignment horizontal="left" vertical="top"/>
    </xf>
    <xf numFmtId="0" fontId="0" fillId="2" borderId="0" xfId="0" applyFill="1"/>
    <xf numFmtId="0" fontId="0" fillId="0" borderId="0" xfId="0" applyFont="1" applyBorder="1" applyAlignment="1">
      <alignment horizontal="left" vertical="top"/>
    </xf>
    <xf numFmtId="0" fontId="0" fillId="0" borderId="1" xfId="0" quotePrefix="1" applyFont="1" applyFill="1" applyBorder="1" applyAlignment="1">
      <alignment horizontal="left" vertical="top"/>
    </xf>
    <xf numFmtId="164" fontId="0" fillId="0" borderId="1" xfId="0" applyNumberFormat="1" applyFont="1" applyFill="1" applyBorder="1" applyAlignment="1">
      <alignment horizontal="left" vertical="top"/>
    </xf>
    <xf numFmtId="10" fontId="0" fillId="0" borderId="1" xfId="0" applyNumberFormat="1" applyFont="1" applyFill="1" applyBorder="1" applyAlignment="1">
      <alignment horizontal="left" vertical="top"/>
    </xf>
    <xf numFmtId="0" fontId="0" fillId="0" borderId="0" xfId="0" applyFont="1" applyFill="1"/>
    <xf numFmtId="0" fontId="0" fillId="0" borderId="1" xfId="0" quotePrefix="1" applyBorder="1" applyAlignment="1"/>
    <xf numFmtId="0" fontId="0" fillId="0" borderId="1" xfId="0" applyFill="1" applyBorder="1" applyAlignment="1">
      <alignment horizontal="left" vertical="top"/>
    </xf>
    <xf numFmtId="0" fontId="0" fillId="0" borderId="0" xfId="0" applyBorder="1" applyAlignment="1"/>
    <xf numFmtId="0" fontId="0" fillId="0" borderId="1" xfId="0" quotePrefix="1" applyFill="1" applyBorder="1" applyAlignment="1"/>
    <xf numFmtId="0" fontId="8" fillId="10" borderId="1" xfId="0" applyNumberFormat="1" applyFont="1" applyFill="1" applyBorder="1" applyAlignment="1" applyProtection="1">
      <alignment horizontal="left" vertical="top"/>
    </xf>
    <xf numFmtId="10" fontId="0" fillId="0" borderId="1" xfId="0" applyNumberFormat="1" applyBorder="1" applyAlignment="1">
      <alignment horizontal="left" vertical="top"/>
    </xf>
    <xf numFmtId="0" fontId="0" fillId="0" borderId="1" xfId="0" quotePrefix="1" applyNumberFormat="1" applyFill="1" applyBorder="1" applyAlignment="1">
      <alignment horizontal="center" vertical="center"/>
    </xf>
    <xf numFmtId="0" fontId="6" fillId="5" borderId="1" xfId="0" quotePrefix="1" applyFont="1" applyFill="1" applyBorder="1" applyAlignment="1">
      <alignment horizontal="left" vertical="top"/>
    </xf>
    <xf numFmtId="0" fontId="0" fillId="0" borderId="7" xfId="0" applyBorder="1"/>
    <xf numFmtId="0" fontId="14" fillId="4" borderId="1" xfId="0" applyFont="1" applyFill="1" applyBorder="1" applyAlignment="1">
      <alignment vertical="top"/>
    </xf>
    <xf numFmtId="0" fontId="0" fillId="0" borderId="0" xfId="0" quotePrefix="1" applyBorder="1" applyAlignment="1">
      <alignment vertical="top"/>
    </xf>
    <xf numFmtId="0" fontId="9" fillId="0" borderId="1" xfId="1" applyFont="1" applyBorder="1" applyAlignment="1"/>
    <xf numFmtId="0" fontId="0" fillId="0" borderId="1" xfId="0" applyFont="1" applyFill="1" applyBorder="1" applyAlignment="1">
      <alignment horizontal="left" vertical="center"/>
    </xf>
    <xf numFmtId="0" fontId="15" fillId="0" borderId="0" xfId="0" applyFont="1"/>
    <xf numFmtId="0" fontId="16" fillId="0" borderId="8" xfId="0" applyFont="1" applyFill="1" applyBorder="1" applyAlignment="1">
      <alignment vertical="top"/>
    </xf>
    <xf numFmtId="0" fontId="16" fillId="0" borderId="0" xfId="0" applyFont="1" applyFill="1" applyBorder="1" applyAlignment="1">
      <alignment vertical="top"/>
    </xf>
    <xf numFmtId="0" fontId="17" fillId="0" borderId="0" xfId="0" applyFont="1" applyAlignment="1">
      <alignment horizontal="left" vertical="center" indent="5"/>
    </xf>
    <xf numFmtId="0" fontId="4" fillId="0" borderId="0" xfId="0" applyFont="1" applyAlignment="1">
      <alignment horizontal="left" vertical="center" indent="5"/>
    </xf>
    <xf numFmtId="0" fontId="8" fillId="0" borderId="0" xfId="0" quotePrefix="1" applyFont="1"/>
    <xf numFmtId="0" fontId="11" fillId="0" borderId="0" xfId="0" applyFont="1"/>
    <xf numFmtId="0" fontId="0" fillId="0" borderId="0" xfId="0" applyFont="1" applyBorder="1"/>
    <xf numFmtId="0" fontId="0" fillId="0" borderId="0" xfId="0" applyAlignment="1"/>
    <xf numFmtId="16" fontId="0" fillId="0" borderId="0" xfId="0" applyNumberFormat="1" applyAlignment="1">
      <alignment horizontal="left"/>
    </xf>
    <xf numFmtId="0" fontId="0" fillId="9" borderId="0" xfId="0" applyFont="1" applyFill="1"/>
    <xf numFmtId="0" fontId="0" fillId="11" borderId="0" xfId="0" applyFont="1" applyFill="1"/>
    <xf numFmtId="0" fontId="9" fillId="0" borderId="1" xfId="0" quotePrefix="1" applyFont="1" applyBorder="1" applyAlignment="1"/>
    <xf numFmtId="0" fontId="0" fillId="0" borderId="1" xfId="2" applyFont="1" applyFill="1" applyBorder="1" applyAlignment="1">
      <alignment horizontal="center" vertical="top"/>
    </xf>
    <xf numFmtId="0" fontId="0" fillId="0" borderId="0" xfId="0" applyFill="1"/>
    <xf numFmtId="0" fontId="0" fillId="0" borderId="1" xfId="0" applyFont="1" applyBorder="1" applyAlignment="1">
      <alignment vertical="top"/>
    </xf>
    <xf numFmtId="0" fontId="0" fillId="0" borderId="0" xfId="0" applyFont="1" applyFill="1" applyBorder="1" applyAlignment="1"/>
    <xf numFmtId="0" fontId="0" fillId="0" borderId="1" xfId="0" applyBorder="1" applyAlignment="1">
      <alignment horizontal="left" vertical="center"/>
    </xf>
    <xf numFmtId="165" fontId="0" fillId="0" borderId="1" xfId="0" applyNumberFormat="1" applyBorder="1"/>
    <xf numFmtId="0" fontId="18" fillId="5" borderId="3" xfId="0" applyFont="1" applyFill="1" applyBorder="1" applyAlignment="1">
      <alignment horizontal="center" vertical="center"/>
    </xf>
    <xf numFmtId="10" fontId="0" fillId="0" borderId="1" xfId="0" quotePrefix="1" applyNumberFormat="1" applyFont="1" applyFill="1" applyBorder="1" applyAlignment="1">
      <alignment horizontal="left" vertical="top"/>
    </xf>
    <xf numFmtId="0" fontId="0" fillId="0" borderId="1" xfId="0" quotePrefix="1" applyFont="1" applyBorder="1" applyAlignment="1">
      <alignment vertical="top"/>
    </xf>
    <xf numFmtId="165" fontId="0" fillId="0" borderId="0" xfId="0" applyNumberFormat="1" applyBorder="1"/>
    <xf numFmtId="0" fontId="10" fillId="2" borderId="1" xfId="0" applyFont="1" applyFill="1" applyBorder="1" applyAlignment="1">
      <alignment horizontal="center" vertical="top"/>
    </xf>
    <xf numFmtId="0" fontId="10" fillId="2" borderId="1" xfId="0" applyNumberFormat="1" applyFont="1" applyFill="1" applyBorder="1" applyAlignment="1">
      <alignment horizontal="center" vertical="top"/>
    </xf>
    <xf numFmtId="0" fontId="0" fillId="0" borderId="1" xfId="0" quotePrefix="1" applyBorder="1" applyAlignment="1">
      <alignment vertical="top"/>
    </xf>
    <xf numFmtId="0" fontId="8" fillId="14" borderId="1" xfId="0" applyNumberFormat="1" applyFont="1" applyFill="1" applyBorder="1" applyAlignment="1" applyProtection="1">
      <alignment horizontal="left" vertical="top"/>
    </xf>
    <xf numFmtId="0" fontId="19" fillId="0" borderId="0" xfId="0" applyFont="1" applyBorder="1" applyAlignment="1">
      <alignment horizontal="left" vertical="top"/>
    </xf>
    <xf numFmtId="0" fontId="10" fillId="5" borderId="9" xfId="0" applyFont="1" applyFill="1" applyBorder="1" applyAlignment="1">
      <alignment horizontal="center" vertical="center"/>
    </xf>
    <xf numFmtId="0" fontId="9" fillId="0" borderId="1" xfId="0" quotePrefix="1" applyFont="1" applyFill="1" applyBorder="1" applyAlignment="1"/>
    <xf numFmtId="10" fontId="0" fillId="0" borderId="1" xfId="0" quotePrefix="1" applyNumberFormat="1" applyFont="1" applyBorder="1" applyAlignment="1">
      <alignment horizontal="left" vertical="top"/>
    </xf>
    <xf numFmtId="0" fontId="6" fillId="0" borderId="6" xfId="0" applyFont="1" applyBorder="1"/>
    <xf numFmtId="0" fontId="0" fillId="0" borderId="6" xfId="0" applyBorder="1"/>
    <xf numFmtId="0" fontId="0" fillId="0" borderId="0" xfId="0" quotePrefix="1" applyBorder="1" applyAlignment="1"/>
    <xf numFmtId="0" fontId="8" fillId="16" borderId="1" xfId="0" applyNumberFormat="1" applyFont="1" applyFill="1" applyBorder="1" applyAlignment="1" applyProtection="1">
      <alignment horizontal="left" vertical="top"/>
    </xf>
    <xf numFmtId="0" fontId="22" fillId="0" borderId="0" xfId="0" applyFont="1"/>
    <xf numFmtId="0" fontId="22" fillId="2" borderId="1" xfId="0" applyFont="1" applyFill="1" applyBorder="1" applyAlignment="1">
      <alignment horizontal="center" vertical="center"/>
    </xf>
    <xf numFmtId="0" fontId="22" fillId="2" borderId="1" xfId="0" applyFont="1" applyFill="1" applyBorder="1" applyAlignment="1">
      <alignment horizontal="center" vertical="center" wrapText="1"/>
    </xf>
    <xf numFmtId="0" fontId="0" fillId="0" borderId="1" xfId="0" applyFont="1" applyBorder="1" applyAlignment="1">
      <alignment horizontal="left" vertical="top" wrapText="1"/>
    </xf>
    <xf numFmtId="0" fontId="0" fillId="5" borderId="1" xfId="0" applyFont="1" applyFill="1" applyBorder="1" applyAlignment="1">
      <alignment horizontal="left" vertical="top"/>
    </xf>
    <xf numFmtId="0" fontId="0" fillId="0" borderId="1" xfId="0" quotePrefix="1" applyFont="1" applyBorder="1" applyAlignment="1">
      <alignment horizontal="left" vertical="top" wrapText="1"/>
    </xf>
    <xf numFmtId="2" fontId="0" fillId="0" borderId="1" xfId="0" applyNumberFormat="1" applyBorder="1"/>
    <xf numFmtId="10" fontId="8" fillId="0" borderId="1" xfId="0" applyNumberFormat="1" applyFont="1" applyBorder="1" applyAlignment="1">
      <alignment horizontal="center" vertical="top"/>
    </xf>
    <xf numFmtId="0" fontId="9" fillId="0" borderId="1" xfId="1" quotePrefix="1" applyFont="1" applyBorder="1" applyAlignment="1"/>
    <xf numFmtId="166" fontId="0" fillId="0" borderId="1" xfId="0" applyNumberFormat="1" applyFont="1" applyFill="1" applyBorder="1" applyAlignment="1">
      <alignment horizontal="left" vertical="top"/>
    </xf>
    <xf numFmtId="0" fontId="0" fillId="0" borderId="5" xfId="0" applyBorder="1"/>
    <xf numFmtId="0" fontId="24" fillId="0" borderId="0" xfId="0" applyFont="1" applyFill="1"/>
    <xf numFmtId="2" fontId="0" fillId="0" borderId="0" xfId="0" applyNumberFormat="1" applyBorder="1"/>
    <xf numFmtId="0" fontId="10" fillId="0" borderId="0" xfId="0" applyFont="1" applyFill="1" applyBorder="1" applyAlignment="1">
      <alignment horizontal="center" vertical="center"/>
    </xf>
    <xf numFmtId="0" fontId="8" fillId="2" borderId="1" xfId="0" applyNumberFormat="1" applyFont="1" applyFill="1" applyBorder="1" applyAlignment="1" applyProtection="1">
      <alignment horizontal="left" vertical="top"/>
    </xf>
    <xf numFmtId="0" fontId="25" fillId="0" borderId="0" xfId="0" applyFont="1"/>
    <xf numFmtId="0" fontId="0" fillId="13" borderId="1" xfId="0" applyFont="1" applyFill="1" applyBorder="1" applyAlignment="1">
      <alignment horizontal="left" vertical="top"/>
    </xf>
    <xf numFmtId="0" fontId="0" fillId="13" borderId="0" xfId="0" applyFill="1"/>
    <xf numFmtId="0" fontId="0" fillId="0" borderId="1" xfId="0" quotePrefix="1" applyFont="1" applyBorder="1" applyAlignment="1"/>
    <xf numFmtId="0" fontId="9" fillId="0" borderId="1" xfId="0" quotePrefix="1" applyFont="1" applyBorder="1"/>
    <xf numFmtId="0" fontId="26" fillId="2" borderId="1" xfId="0" applyFont="1" applyFill="1" applyBorder="1" applyAlignment="1">
      <alignment horizontal="center" vertical="center" wrapText="1"/>
    </xf>
    <xf numFmtId="49" fontId="26" fillId="2"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xf numFmtId="49" fontId="9" fillId="0" borderId="1" xfId="0" applyNumberFormat="1" applyFont="1" applyBorder="1" applyAlignment="1">
      <alignment horizontal="center" vertical="center"/>
    </xf>
    <xf numFmtId="0" fontId="23" fillId="17" borderId="1" xfId="0" applyFont="1" applyFill="1" applyBorder="1" applyAlignment="1">
      <alignment horizontal="center" vertical="center"/>
    </xf>
    <xf numFmtId="0" fontId="0" fillId="0" borderId="0" xfId="0" quotePrefix="1" applyFont="1" applyFill="1" applyBorder="1" applyAlignment="1"/>
    <xf numFmtId="0" fontId="8" fillId="18" borderId="1" xfId="0" applyNumberFormat="1" applyFont="1" applyFill="1" applyBorder="1" applyAlignment="1" applyProtection="1">
      <alignment horizontal="left" vertical="top"/>
    </xf>
    <xf numFmtId="0" fontId="0" fillId="18" borderId="1" xfId="0" applyFont="1" applyFill="1" applyBorder="1" applyAlignment="1">
      <alignment horizontal="left" vertical="top"/>
    </xf>
    <xf numFmtId="0" fontId="28" fillId="0" borderId="1" xfId="0" quotePrefix="1" applyFont="1" applyBorder="1"/>
    <xf numFmtId="0" fontId="29" fillId="0" borderId="0" xfId="0" quotePrefix="1" applyFont="1" applyFill="1" applyBorder="1" applyAlignment="1"/>
    <xf numFmtId="0" fontId="28" fillId="0" borderId="1" xfId="0" quotePrefix="1" applyFont="1" applyBorder="1" applyAlignment="1"/>
    <xf numFmtId="0" fontId="0" fillId="19" borderId="1" xfId="0" applyFont="1" applyFill="1" applyBorder="1" applyAlignment="1">
      <alignment horizontal="left" vertical="top"/>
    </xf>
    <xf numFmtId="0" fontId="0" fillId="10" borderId="1" xfId="0" applyFont="1" applyFill="1" applyBorder="1" applyAlignment="1">
      <alignment horizontal="left" vertical="top"/>
    </xf>
    <xf numFmtId="0" fontId="0" fillId="6" borderId="1" xfId="0" applyFont="1" applyFill="1" applyBorder="1" applyAlignment="1">
      <alignment horizontal="left" vertical="top"/>
    </xf>
    <xf numFmtId="0" fontId="30" fillId="0" borderId="1" xfId="0" quotePrefix="1" applyFont="1" applyBorder="1" applyAlignment="1"/>
    <xf numFmtId="0" fontId="0" fillId="0" borderId="1" xfId="0" quotePrefix="1" applyNumberFormat="1" applyFont="1" applyFill="1" applyBorder="1" applyAlignment="1">
      <alignment vertical="top"/>
    </xf>
    <xf numFmtId="0" fontId="31" fillId="0" borderId="0" xfId="0" applyFont="1"/>
    <xf numFmtId="0" fontId="0" fillId="0" borderId="0" xfId="0" applyNumberFormat="1" applyBorder="1"/>
    <xf numFmtId="0" fontId="0" fillId="0" borderId="1" xfId="0" quotePrefix="1" applyFill="1" applyBorder="1" applyAlignment="1">
      <alignment wrapText="1"/>
    </xf>
    <xf numFmtId="0" fontId="32" fillId="0" borderId="9" xfId="0" applyFont="1" applyBorder="1" applyAlignment="1">
      <alignment horizontal="center" vertical="center"/>
    </xf>
    <xf numFmtId="0" fontId="32" fillId="0" borderId="9" xfId="0" applyFont="1" applyBorder="1" applyAlignment="1">
      <alignment vertical="center"/>
    </xf>
    <xf numFmtId="0" fontId="3" fillId="0" borderId="9" xfId="0" applyFont="1" applyBorder="1" applyAlignment="1">
      <alignment horizontal="center" vertical="center"/>
    </xf>
    <xf numFmtId="0" fontId="32" fillId="0" borderId="1" xfId="0" applyFont="1" applyBorder="1" applyAlignment="1">
      <alignment horizontal="center" vertical="center"/>
    </xf>
    <xf numFmtId="0" fontId="32" fillId="0" borderId="1" xfId="0" applyFont="1" applyBorder="1" applyAlignment="1">
      <alignment vertical="center"/>
    </xf>
    <xf numFmtId="0" fontId="3" fillId="0" borderId="1" xfId="0" applyFont="1" applyBorder="1" applyAlignment="1">
      <alignment horizontal="center" vertical="center"/>
    </xf>
    <xf numFmtId="0" fontId="32" fillId="0" borderId="1" xfId="0" applyFont="1" applyFill="1" applyBorder="1" applyAlignment="1">
      <alignment horizontal="center" vertical="center"/>
    </xf>
    <xf numFmtId="0" fontId="8" fillId="20" borderId="1" xfId="0" applyNumberFormat="1" applyFont="1" applyFill="1" applyBorder="1" applyAlignment="1" applyProtection="1">
      <alignment horizontal="left" vertical="top"/>
    </xf>
    <xf numFmtId="0" fontId="33" fillId="0" borderId="0" xfId="0" applyFont="1"/>
    <xf numFmtId="0" fontId="0" fillId="21" borderId="1" xfId="0" applyFont="1" applyFill="1" applyBorder="1" applyAlignment="1">
      <alignment horizontal="left" vertical="top"/>
    </xf>
    <xf numFmtId="0" fontId="8" fillId="22" borderId="1" xfId="0" applyNumberFormat="1" applyFont="1" applyFill="1" applyBorder="1" applyAlignment="1" applyProtection="1">
      <alignment horizontal="left" vertical="top"/>
    </xf>
    <xf numFmtId="0" fontId="0" fillId="0" borderId="1" xfId="0" applyNumberFormat="1" applyBorder="1"/>
    <xf numFmtId="0" fontId="0" fillId="18" borderId="1" xfId="0" applyFill="1" applyBorder="1" applyAlignment="1">
      <alignment horizontal="left" vertical="top"/>
    </xf>
    <xf numFmtId="0" fontId="0" fillId="18" borderId="1" xfId="0" quotePrefix="1" applyFont="1" applyFill="1" applyBorder="1" applyAlignment="1">
      <alignment horizontal="left" vertical="top"/>
    </xf>
    <xf numFmtId="164" fontId="0" fillId="18" borderId="1" xfId="0" applyNumberFormat="1" applyFont="1" applyFill="1" applyBorder="1" applyAlignment="1">
      <alignment horizontal="left" vertical="top"/>
    </xf>
    <xf numFmtId="0" fontId="0" fillId="18" borderId="0" xfId="0" applyFill="1"/>
    <xf numFmtId="0" fontId="35" fillId="0" borderId="1" xfId="0" quotePrefix="1" applyFont="1" applyBorder="1" applyAlignment="1"/>
    <xf numFmtId="0" fontId="7" fillId="0" borderId="0" xfId="0" applyNumberFormat="1" applyFont="1"/>
    <xf numFmtId="0" fontId="6" fillId="0" borderId="1" xfId="0" applyNumberFormat="1" applyFont="1" applyFill="1" applyBorder="1" applyAlignment="1">
      <alignment horizontal="left" vertical="top"/>
    </xf>
    <xf numFmtId="0" fontId="0" fillId="0" borderId="1" xfId="0" applyNumberFormat="1" applyFont="1" applyFill="1" applyBorder="1" applyAlignment="1">
      <alignment horizontal="left" vertical="top"/>
    </xf>
    <xf numFmtId="0" fontId="0" fillId="18" borderId="1" xfId="0" applyNumberFormat="1" applyFont="1" applyFill="1" applyBorder="1" applyAlignment="1">
      <alignment horizontal="left" vertical="top"/>
    </xf>
    <xf numFmtId="0" fontId="0" fillId="0" borderId="1" xfId="0" applyFont="1" applyBorder="1" applyAlignment="1"/>
    <xf numFmtId="0" fontId="8" fillId="23" borderId="1" xfId="0" applyNumberFormat="1" applyFont="1" applyFill="1" applyBorder="1" applyAlignment="1" applyProtection="1">
      <alignment horizontal="left" vertical="top"/>
    </xf>
    <xf numFmtId="0" fontId="8" fillId="3" borderId="1" xfId="0" applyNumberFormat="1" applyFont="1" applyFill="1" applyBorder="1" applyAlignment="1" applyProtection="1">
      <alignment horizontal="left" vertical="top"/>
    </xf>
    <xf numFmtId="0" fontId="36" fillId="0" borderId="1" xfId="0" applyFont="1" applyFill="1" applyBorder="1" applyAlignment="1">
      <alignment horizontal="left" vertical="top"/>
    </xf>
    <xf numFmtId="0" fontId="8" fillId="24" borderId="1" xfId="0" applyNumberFormat="1" applyFont="1" applyFill="1" applyBorder="1" applyAlignment="1" applyProtection="1">
      <alignment horizontal="left" vertical="top"/>
    </xf>
    <xf numFmtId="0" fontId="0" fillId="24" borderId="1" xfId="0" applyFont="1" applyFill="1" applyBorder="1" applyAlignment="1">
      <alignment horizontal="left" vertical="top"/>
    </xf>
    <xf numFmtId="0" fontId="0" fillId="24" borderId="1" xfId="0" quotePrefix="1" applyFont="1" applyFill="1" applyBorder="1" applyAlignment="1">
      <alignment horizontal="left" vertical="top"/>
    </xf>
    <xf numFmtId="164" fontId="0" fillId="24" borderId="1" xfId="0" applyNumberFormat="1" applyFont="1" applyFill="1" applyBorder="1" applyAlignment="1">
      <alignment horizontal="left" vertical="top"/>
    </xf>
    <xf numFmtId="0" fontId="0" fillId="24" borderId="1" xfId="0" applyNumberFormat="1" applyFont="1" applyFill="1" applyBorder="1" applyAlignment="1">
      <alignment horizontal="left" vertical="top"/>
    </xf>
    <xf numFmtId="0" fontId="0" fillId="24" borderId="0" xfId="0" applyFill="1"/>
    <xf numFmtId="0" fontId="0" fillId="2" borderId="1" xfId="0" applyNumberFormat="1" applyFont="1" applyFill="1" applyBorder="1" applyAlignment="1">
      <alignment horizontal="left" vertical="top"/>
    </xf>
    <xf numFmtId="0" fontId="0" fillId="12" borderId="1" xfId="0" applyNumberFormat="1" applyFont="1" applyFill="1" applyBorder="1" applyAlignment="1">
      <alignment horizontal="left" vertical="top"/>
    </xf>
    <xf numFmtId="0" fontId="10" fillId="5" borderId="0" xfId="0" applyFont="1" applyFill="1" applyBorder="1" applyAlignment="1">
      <alignment horizontal="center" vertical="center"/>
    </xf>
    <xf numFmtId="0" fontId="0" fillId="0" borderId="10" xfId="0" applyBorder="1"/>
    <xf numFmtId="0" fontId="0" fillId="0" borderId="0" xfId="0" quotePrefix="1" applyFont="1" applyAlignment="1">
      <alignment horizontal="left" vertical="top"/>
    </xf>
    <xf numFmtId="0" fontId="0" fillId="0" borderId="1" xfId="0" quotePrefix="1" applyBorder="1" applyAlignment="1">
      <alignment horizontal="left"/>
    </xf>
    <xf numFmtId="10" fontId="37" fillId="0" borderId="1" xfId="0" quotePrefix="1" applyNumberFormat="1" applyFont="1" applyFill="1" applyBorder="1" applyAlignment="1">
      <alignment horizontal="left" vertical="top"/>
    </xf>
    <xf numFmtId="0" fontId="0" fillId="25" borderId="1" xfId="0" applyFont="1" applyFill="1" applyBorder="1" applyAlignment="1">
      <alignment horizontal="left" vertical="top"/>
    </xf>
    <xf numFmtId="0" fontId="0" fillId="25" borderId="1" xfId="0" applyNumberFormat="1" applyFont="1" applyFill="1" applyBorder="1" applyAlignment="1">
      <alignment horizontal="left" vertical="top"/>
    </xf>
    <xf numFmtId="0" fontId="0" fillId="12" borderId="1" xfId="0" applyFont="1" applyFill="1" applyBorder="1" applyAlignment="1">
      <alignment horizontal="left" vertical="top"/>
    </xf>
    <xf numFmtId="0" fontId="38" fillId="0" borderId="1" xfId="0" quotePrefix="1" applyFont="1" applyFill="1" applyBorder="1" applyAlignment="1"/>
    <xf numFmtId="0" fontId="0" fillId="0" borderId="1" xfId="0" quotePrefix="1" applyNumberFormat="1" applyBorder="1" applyAlignment="1">
      <alignment vertical="top"/>
    </xf>
    <xf numFmtId="0" fontId="0" fillId="0" borderId="0" xfId="0" applyBorder="1" applyAlignment="1">
      <alignment horizontal="center" vertical="top"/>
    </xf>
    <xf numFmtId="0" fontId="0" fillId="15" borderId="1" xfId="0" applyNumberFormat="1" applyFont="1" applyFill="1" applyBorder="1" applyAlignment="1">
      <alignment horizontal="left" vertical="top"/>
    </xf>
    <xf numFmtId="0" fontId="27" fillId="0" borderId="1" xfId="0" applyFont="1" applyFill="1" applyBorder="1" applyAlignment="1">
      <alignment horizontal="left" vertical="top"/>
    </xf>
    <xf numFmtId="0" fontId="40" fillId="0" borderId="1" xfId="0" quotePrefix="1" applyFont="1" applyBorder="1" applyAlignment="1"/>
    <xf numFmtId="0" fontId="8" fillId="0" borderId="1" xfId="0" applyFont="1" applyBorder="1"/>
    <xf numFmtId="0" fontId="8" fillId="26" borderId="1" xfId="0" applyNumberFormat="1" applyFont="1" applyFill="1" applyBorder="1" applyAlignment="1" applyProtection="1">
      <alignment horizontal="left" vertical="top"/>
    </xf>
    <xf numFmtId="0" fontId="0" fillId="27" borderId="0" xfId="0" applyFill="1"/>
    <xf numFmtId="16" fontId="0" fillId="27" borderId="0" xfId="0" applyNumberFormat="1" applyFill="1" applyAlignment="1">
      <alignment horizontal="left"/>
    </xf>
    <xf numFmtId="164" fontId="0" fillId="5" borderId="1" xfId="0" applyNumberFormat="1" applyFill="1" applyBorder="1" applyAlignment="1">
      <alignment horizontal="left" vertical="top"/>
    </xf>
    <xf numFmtId="0" fontId="0" fillId="0" borderId="1" xfId="0" applyBorder="1" applyAlignment="1"/>
    <xf numFmtId="0" fontId="6" fillId="0" borderId="1" xfId="0" quotePrefix="1" applyFont="1" applyBorder="1" applyAlignment="1">
      <alignment horizontal="left" vertical="top"/>
    </xf>
    <xf numFmtId="0" fontId="41" fillId="0" borderId="1" xfId="0" quotePrefix="1" applyFont="1" applyBorder="1" applyAlignment="1">
      <alignment horizontal="left" vertical="top" wrapText="1"/>
    </xf>
    <xf numFmtId="0" fontId="42" fillId="4" borderId="1" xfId="0" applyFont="1" applyFill="1" applyBorder="1" applyAlignment="1">
      <alignment vertical="top"/>
    </xf>
    <xf numFmtId="166" fontId="0" fillId="0" borderId="1" xfId="0" applyNumberFormat="1" applyBorder="1" applyAlignment="1">
      <alignment horizontal="left" vertical="top"/>
    </xf>
    <xf numFmtId="0" fontId="0" fillId="23" borderId="1" xfId="0" applyFill="1" applyBorder="1"/>
    <xf numFmtId="0" fontId="43" fillId="5" borderId="2" xfId="0" applyFont="1" applyFill="1" applyBorder="1" applyAlignment="1">
      <alignment horizontal="center" vertical="center"/>
    </xf>
    <xf numFmtId="0" fontId="43" fillId="5" borderId="0" xfId="0" applyFont="1" applyFill="1" applyAlignment="1">
      <alignment horizontal="center" vertical="center"/>
    </xf>
    <xf numFmtId="0" fontId="44" fillId="0" borderId="0" xfId="0" applyFont="1"/>
    <xf numFmtId="0" fontId="44" fillId="2" borderId="1" xfId="0" applyFont="1" applyFill="1" applyBorder="1" applyAlignment="1">
      <alignment horizontal="center" vertical="center"/>
    </xf>
    <xf numFmtId="0" fontId="44" fillId="2" borderId="1" xfId="0" applyFont="1" applyFill="1" applyBorder="1" applyAlignment="1">
      <alignment horizontal="center" vertical="center" wrapText="1"/>
    </xf>
    <xf numFmtId="10" fontId="0" fillId="12" borderId="1" xfId="0" applyNumberFormat="1" applyFill="1" applyBorder="1" applyAlignment="1">
      <alignment horizontal="center" vertical="top"/>
    </xf>
    <xf numFmtId="0" fontId="42" fillId="0" borderId="1" xfId="0" applyFont="1" applyFill="1" applyBorder="1" applyAlignment="1">
      <alignment horizontal="left" vertical="top"/>
    </xf>
    <xf numFmtId="0" fontId="0" fillId="5" borderId="1" xfId="0" quotePrefix="1" applyFont="1" applyFill="1" applyBorder="1" applyAlignment="1">
      <alignment horizontal="left" vertical="top"/>
    </xf>
    <xf numFmtId="0" fontId="44" fillId="4" borderId="1" xfId="0" applyFont="1" applyFill="1" applyBorder="1" applyAlignment="1">
      <alignment vertical="top"/>
    </xf>
    <xf numFmtId="164" fontId="0" fillId="5" borderId="1" xfId="0" applyNumberFormat="1" applyFont="1" applyFill="1" applyBorder="1" applyAlignment="1">
      <alignment horizontal="left" vertical="top"/>
    </xf>
    <xf numFmtId="0" fontId="44" fillId="0" borderId="1" xfId="0" quotePrefix="1" applyFont="1" applyBorder="1" applyAlignment="1">
      <alignment horizontal="left" vertical="top"/>
    </xf>
    <xf numFmtId="16" fontId="0" fillId="0" borderId="0" xfId="0" applyNumberFormat="1" applyAlignment="1">
      <alignment horizontal="left" vertical="top"/>
    </xf>
    <xf numFmtId="0" fontId="0" fillId="0" borderId="0" xfId="0" applyNumberFormat="1" applyAlignment="1"/>
    <xf numFmtId="0" fontId="8" fillId="15" borderId="1" xfId="0" applyNumberFormat="1" applyFont="1" applyFill="1" applyBorder="1" applyAlignment="1" applyProtection="1">
      <alignment horizontal="left" vertical="top"/>
    </xf>
    <xf numFmtId="164" fontId="0" fillId="0" borderId="1" xfId="0" applyNumberFormat="1" applyFill="1" applyBorder="1" applyAlignment="1">
      <alignment horizontal="left" vertical="top"/>
    </xf>
    <xf numFmtId="0" fontId="45" fillId="0" borderId="0" xfId="0" quotePrefix="1" applyFont="1"/>
    <xf numFmtId="0" fontId="8" fillId="28" borderId="1" xfId="0" applyNumberFormat="1" applyFont="1" applyFill="1" applyBorder="1" applyAlignment="1" applyProtection="1">
      <alignment horizontal="left" vertical="top"/>
    </xf>
    <xf numFmtId="0" fontId="0" fillId="28" borderId="1" xfId="0" applyFont="1" applyFill="1" applyBorder="1" applyAlignment="1">
      <alignment horizontal="left" vertical="top"/>
    </xf>
    <xf numFmtId="0" fontId="0" fillId="28" borderId="1" xfId="0" applyFill="1" applyBorder="1" applyAlignment="1">
      <alignment horizontal="left" vertical="top"/>
    </xf>
    <xf numFmtId="0" fontId="0" fillId="28" borderId="1" xfId="0" quotePrefix="1" applyFont="1" applyFill="1" applyBorder="1" applyAlignment="1">
      <alignment horizontal="left" vertical="top"/>
    </xf>
    <xf numFmtId="0" fontId="0" fillId="28" borderId="1" xfId="0" applyNumberFormat="1" applyFont="1" applyFill="1" applyBorder="1" applyAlignment="1">
      <alignment horizontal="left" vertical="top"/>
    </xf>
    <xf numFmtId="164" fontId="0" fillId="28" borderId="1" xfId="0" applyNumberFormat="1" applyFont="1" applyFill="1" applyBorder="1" applyAlignment="1">
      <alignment horizontal="left" vertical="top"/>
    </xf>
    <xf numFmtId="10" fontId="0" fillId="28" borderId="1" xfId="0" applyNumberFormat="1" applyFont="1" applyFill="1" applyBorder="1" applyAlignment="1">
      <alignment horizontal="left" vertical="top"/>
    </xf>
    <xf numFmtId="0" fontId="0" fillId="28" borderId="1" xfId="0" quotePrefix="1" applyFill="1" applyBorder="1" applyAlignment="1"/>
    <xf numFmtId="0" fontId="0" fillId="28" borderId="1" xfId="0" quotePrefix="1" applyFont="1" applyFill="1" applyBorder="1" applyAlignment="1">
      <alignment horizontal="left" vertical="top" wrapText="1"/>
    </xf>
    <xf numFmtId="0" fontId="0" fillId="28" borderId="0" xfId="0" applyFill="1"/>
    <xf numFmtId="0" fontId="0" fillId="13" borderId="1" xfId="0" applyFill="1" applyBorder="1" applyAlignment="1">
      <alignment horizontal="left" vertical="top"/>
    </xf>
    <xf numFmtId="0" fontId="8" fillId="9" borderId="1" xfId="0" applyNumberFormat="1" applyFont="1" applyFill="1" applyBorder="1" applyAlignment="1" applyProtection="1">
      <alignment horizontal="left" vertical="top"/>
    </xf>
    <xf numFmtId="0" fontId="46" fillId="0" borderId="1" xfId="0" quotePrefix="1" applyFont="1" applyBorder="1" applyAlignment="1"/>
    <xf numFmtId="0" fontId="0" fillId="29" borderId="1" xfId="0" applyNumberFormat="1" applyFont="1" applyFill="1" applyBorder="1" applyAlignment="1">
      <alignment horizontal="left" vertical="top"/>
    </xf>
    <xf numFmtId="0" fontId="8" fillId="0" borderId="1" xfId="0" applyFont="1" applyFill="1" applyBorder="1" applyAlignment="1">
      <alignment horizontal="left" vertical="top"/>
    </xf>
    <xf numFmtId="166" fontId="0" fillId="0" borderId="1" xfId="0" quotePrefix="1" applyNumberFormat="1" applyFont="1" applyFill="1" applyBorder="1" applyAlignment="1">
      <alignment horizontal="left" vertical="top"/>
    </xf>
    <xf numFmtId="0" fontId="0" fillId="5" borderId="1" xfId="0" quotePrefix="1" applyFont="1" applyFill="1" applyBorder="1" applyAlignment="1">
      <alignment horizontal="left" vertical="top" wrapText="1"/>
    </xf>
    <xf numFmtId="0" fontId="0" fillId="2" borderId="1" xfId="0" applyFill="1" applyBorder="1" applyAlignment="1">
      <alignment horizontal="left" vertical="top"/>
    </xf>
    <xf numFmtId="0" fontId="0" fillId="2" borderId="1" xfId="0" quotePrefix="1" applyFont="1" applyFill="1" applyBorder="1" applyAlignment="1">
      <alignment horizontal="left" vertical="top"/>
    </xf>
    <xf numFmtId="164" fontId="0" fillId="2" borderId="1" xfId="0" applyNumberFormat="1" applyFont="1" applyFill="1" applyBorder="1" applyAlignment="1">
      <alignment horizontal="left" vertical="top"/>
    </xf>
    <xf numFmtId="0" fontId="0" fillId="2" borderId="1" xfId="0" quotePrefix="1" applyFill="1" applyBorder="1" applyAlignment="1"/>
    <xf numFmtId="0" fontId="9" fillId="2" borderId="1" xfId="0" quotePrefix="1" applyFont="1" applyFill="1" applyBorder="1" applyAlignment="1"/>
    <xf numFmtId="0" fontId="8" fillId="4" borderId="1" xfId="0" applyNumberFormat="1" applyFont="1" applyFill="1" applyBorder="1" applyAlignment="1" applyProtection="1">
      <alignment horizontal="left" vertical="top"/>
    </xf>
    <xf numFmtId="10" fontId="0" fillId="2" borderId="1" xfId="0" applyNumberFormat="1" applyFont="1" applyFill="1" applyBorder="1" applyAlignment="1">
      <alignment horizontal="left" vertical="top"/>
    </xf>
    <xf numFmtId="0" fontId="0" fillId="23" borderId="1" xfId="0" applyFont="1" applyFill="1" applyBorder="1" applyAlignment="1">
      <alignment horizontal="left" vertical="top"/>
    </xf>
    <xf numFmtId="0" fontId="0" fillId="23" borderId="1" xfId="0" applyFill="1" applyBorder="1" applyAlignment="1">
      <alignment horizontal="left" vertical="top"/>
    </xf>
    <xf numFmtId="0" fontId="0" fillId="23" borderId="1" xfId="0" quotePrefix="1" applyFont="1" applyFill="1" applyBorder="1" applyAlignment="1">
      <alignment horizontal="left" vertical="top"/>
    </xf>
    <xf numFmtId="0" fontId="0" fillId="23" borderId="1" xfId="0" applyNumberFormat="1" applyFont="1" applyFill="1" applyBorder="1" applyAlignment="1">
      <alignment horizontal="left" vertical="top"/>
    </xf>
    <xf numFmtId="164" fontId="0" fillId="23" borderId="1" xfId="0" applyNumberFormat="1" applyFont="1" applyFill="1" applyBorder="1" applyAlignment="1">
      <alignment horizontal="left" vertical="top"/>
    </xf>
    <xf numFmtId="10" fontId="0" fillId="23" borderId="1" xfId="0" applyNumberFormat="1" applyFont="1" applyFill="1" applyBorder="1" applyAlignment="1">
      <alignment horizontal="left" vertical="top"/>
    </xf>
    <xf numFmtId="10" fontId="0" fillId="23" borderId="1" xfId="0" quotePrefix="1" applyNumberFormat="1" applyFont="1" applyFill="1" applyBorder="1" applyAlignment="1">
      <alignment horizontal="left" vertical="top"/>
    </xf>
    <xf numFmtId="0" fontId="0" fillId="23" borderId="0" xfId="0" applyFill="1"/>
    <xf numFmtId="0" fontId="0" fillId="0" borderId="1" xfId="0" applyNumberFormat="1" applyFill="1" applyBorder="1" applyAlignment="1">
      <alignment horizontal="left" vertical="top"/>
    </xf>
    <xf numFmtId="0" fontId="42" fillId="23" borderId="1" xfId="0" quotePrefix="1" applyFont="1" applyFill="1" applyBorder="1" applyAlignment="1"/>
    <xf numFmtId="10" fontId="0" fillId="0" borderId="1" xfId="0" quotePrefix="1" applyNumberFormat="1" applyFill="1" applyBorder="1" applyAlignment="1">
      <alignment horizontal="left"/>
    </xf>
    <xf numFmtId="10" fontId="0" fillId="0" borderId="1" xfId="0" applyNumberFormat="1" applyFill="1" applyBorder="1" applyAlignment="1">
      <alignment horizontal="left" vertical="top"/>
    </xf>
    <xf numFmtId="10" fontId="0" fillId="0" borderId="1" xfId="0" quotePrefix="1" applyNumberFormat="1" applyFont="1" applyBorder="1" applyAlignment="1">
      <alignment horizontal="left"/>
    </xf>
    <xf numFmtId="10" fontId="0" fillId="0" borderId="1" xfId="0" quotePrefix="1" applyNumberFormat="1" applyBorder="1" applyAlignment="1">
      <alignment horizontal="left"/>
    </xf>
    <xf numFmtId="10" fontId="42" fillId="0" borderId="1" xfId="0" quotePrefix="1" applyNumberFormat="1" applyFont="1" applyFill="1" applyBorder="1" applyAlignment="1">
      <alignment horizontal="left"/>
    </xf>
    <xf numFmtId="0" fontId="8" fillId="5" borderId="1" xfId="0" applyFont="1" applyFill="1" applyBorder="1" applyAlignment="1">
      <alignment horizontal="left" vertical="top"/>
    </xf>
    <xf numFmtId="10" fontId="0" fillId="0" borderId="1" xfId="0" quotePrefix="1" applyNumberFormat="1" applyBorder="1" applyAlignment="1">
      <alignment horizontal="left" vertical="top"/>
    </xf>
    <xf numFmtId="0" fontId="0" fillId="31" borderId="1" xfId="0" applyFill="1" applyBorder="1" applyAlignment="1">
      <alignment horizontal="center" vertical="center"/>
    </xf>
    <xf numFmtId="0" fontId="0" fillId="31" borderId="1" xfId="0" applyFill="1" applyBorder="1" applyAlignment="1">
      <alignment horizontal="left" vertical="center"/>
    </xf>
    <xf numFmtId="0" fontId="0" fillId="31" borderId="1" xfId="0" quotePrefix="1" applyFill="1" applyBorder="1" applyAlignment="1">
      <alignment horizontal="center" vertical="center"/>
    </xf>
    <xf numFmtId="0" fontId="0" fillId="31" borderId="1" xfId="0" applyFill="1" applyBorder="1" applyAlignment="1">
      <alignment vertical="top"/>
    </xf>
    <xf numFmtId="0" fontId="0" fillId="31" borderId="1" xfId="0" applyFont="1" applyFill="1" applyBorder="1" applyAlignment="1">
      <alignment vertical="top"/>
    </xf>
    <xf numFmtId="0" fontId="0" fillId="31" borderId="1" xfId="0" applyFill="1" applyBorder="1" applyAlignment="1">
      <alignment horizontal="center" vertical="top"/>
    </xf>
    <xf numFmtId="10" fontId="0" fillId="31" borderId="1" xfId="0" applyNumberFormat="1" applyFill="1" applyBorder="1" applyAlignment="1">
      <alignment horizontal="center" vertical="top"/>
    </xf>
    <xf numFmtId="0" fontId="0" fillId="31" borderId="1" xfId="0" applyFill="1" applyBorder="1"/>
    <xf numFmtId="0" fontId="49" fillId="0" borderId="0" xfId="0" applyFont="1" applyAlignment="1">
      <alignment vertical="center"/>
    </xf>
    <xf numFmtId="0" fontId="46" fillId="0" borderId="1" xfId="0" quotePrefix="1" applyNumberFormat="1" applyFont="1" applyBorder="1" applyAlignment="1"/>
    <xf numFmtId="0" fontId="0" fillId="0" borderId="1" xfId="0" quotePrefix="1" applyNumberFormat="1" applyFill="1" applyBorder="1" applyAlignment="1"/>
    <xf numFmtId="0" fontId="42" fillId="0" borderId="1" xfId="0" quotePrefix="1" applyFont="1" applyFill="1" applyBorder="1" applyAlignment="1">
      <alignment horizontal="left" vertical="top"/>
    </xf>
    <xf numFmtId="0" fontId="44" fillId="5" borderId="1" xfId="0" quotePrefix="1" applyFont="1" applyFill="1" applyBorder="1" applyAlignment="1">
      <alignment horizontal="left" vertical="top"/>
    </xf>
    <xf numFmtId="0" fontId="0" fillId="30" borderId="1" xfId="0" applyFont="1" applyFill="1" applyBorder="1" applyAlignment="1">
      <alignment horizontal="left" vertical="top"/>
    </xf>
    <xf numFmtId="0" fontId="42" fillId="2" borderId="1" xfId="0" applyFont="1" applyFill="1" applyBorder="1" applyAlignment="1">
      <alignment horizontal="left" vertical="top"/>
    </xf>
    <xf numFmtId="0" fontId="0" fillId="31" borderId="1" xfId="0" quotePrefix="1" applyNumberFormat="1" applyFill="1" applyBorder="1" applyAlignment="1">
      <alignment horizontal="center" vertical="center"/>
    </xf>
    <xf numFmtId="0" fontId="50" fillId="0" borderId="0" xfId="0" applyFont="1"/>
    <xf numFmtId="0" fontId="42" fillId="0" borderId="0" xfId="0" applyFont="1" applyBorder="1"/>
    <xf numFmtId="0" fontId="8" fillId="32" borderId="1" xfId="0" applyNumberFormat="1" applyFont="1" applyFill="1" applyBorder="1" applyAlignment="1" applyProtection="1">
      <alignment horizontal="left" vertical="top"/>
    </xf>
    <xf numFmtId="0" fontId="44" fillId="5" borderId="1" xfId="0" quotePrefix="1" applyFont="1" applyFill="1" applyBorder="1" applyAlignment="1">
      <alignment horizontal="left" vertical="top" wrapText="1"/>
    </xf>
    <xf numFmtId="0" fontId="6" fillId="0" borderId="0" xfId="0" applyNumberFormat="1" applyFont="1"/>
    <xf numFmtId="164" fontId="6" fillId="0" borderId="0" xfId="0" applyNumberFormat="1" applyFont="1"/>
    <xf numFmtId="10" fontId="0" fillId="0" borderId="0" xfId="0" applyNumberFormat="1" applyFont="1" applyFill="1" applyBorder="1" applyAlignment="1">
      <alignment horizontal="left" vertical="top"/>
    </xf>
    <xf numFmtId="0" fontId="0" fillId="10" borderId="0" xfId="0" applyFill="1"/>
    <xf numFmtId="0" fontId="43" fillId="2" borderId="1" xfId="0" applyFont="1" applyFill="1" applyBorder="1" applyAlignment="1">
      <alignment horizontal="center" vertical="top"/>
    </xf>
    <xf numFmtId="0" fontId="43" fillId="5" borderId="1" xfId="0" applyFont="1" applyFill="1" applyBorder="1" applyAlignment="1">
      <alignment horizontal="center" vertical="center"/>
    </xf>
    <xf numFmtId="0" fontId="0" fillId="0" borderId="4" xfId="0" applyBorder="1"/>
    <xf numFmtId="0" fontId="8" fillId="33" borderId="1" xfId="0" applyNumberFormat="1" applyFont="1" applyFill="1" applyBorder="1" applyAlignment="1" applyProtection="1">
      <alignment horizontal="left" vertical="top"/>
    </xf>
    <xf numFmtId="0" fontId="42" fillId="0" borderId="1" xfId="0" applyFont="1" applyBorder="1" applyAlignment="1">
      <alignment horizontal="left" vertical="top"/>
    </xf>
    <xf numFmtId="0" fontId="42" fillId="0" borderId="1" xfId="0" applyFont="1" applyFill="1" applyBorder="1" applyAlignment="1">
      <alignment horizontal="left"/>
    </xf>
    <xf numFmtId="0" fontId="0" fillId="34" borderId="0" xfId="0" applyFill="1"/>
    <xf numFmtId="0" fontId="33" fillId="2" borderId="4" xfId="0" applyFont="1" applyFill="1" applyBorder="1"/>
    <xf numFmtId="0" fontId="2" fillId="0" borderId="11" xfId="0" applyFont="1" applyBorder="1"/>
    <xf numFmtId="0" fontId="2" fillId="0" borderId="4" xfId="0" applyFont="1" applyBorder="1"/>
    <xf numFmtId="0" fontId="33" fillId="2" borderId="10" xfId="0" applyFont="1" applyFill="1" applyBorder="1"/>
    <xf numFmtId="0" fontId="0" fillId="0" borderId="1" xfId="0" quotePrefix="1" applyFont="1" applyBorder="1" applyAlignment="1">
      <alignment horizontal="left"/>
    </xf>
    <xf numFmtId="0" fontId="6" fillId="0" borderId="1" xfId="0" quotePrefix="1" applyFont="1" applyBorder="1" applyAlignment="1"/>
    <xf numFmtId="0" fontId="0" fillId="0" borderId="1" xfId="0" applyFont="1" applyFill="1" applyBorder="1" applyAlignment="1"/>
    <xf numFmtId="0" fontId="0" fillId="0" borderId="1" xfId="0" quotePrefix="1" applyFont="1" applyFill="1" applyBorder="1" applyAlignment="1"/>
    <xf numFmtId="2" fontId="0" fillId="0" borderId="1" xfId="0" quotePrefix="1" applyNumberFormat="1" applyFont="1" applyFill="1" applyBorder="1" applyAlignment="1"/>
    <xf numFmtId="0" fontId="8" fillId="35" borderId="1" xfId="0" applyNumberFormat="1" applyFont="1" applyFill="1" applyBorder="1" applyAlignment="1" applyProtection="1">
      <alignment horizontal="left" vertical="top"/>
    </xf>
    <xf numFmtId="0" fontId="8" fillId="36" borderId="1" xfId="0" applyNumberFormat="1" applyFont="1" applyFill="1" applyBorder="1" applyAlignment="1" applyProtection="1">
      <alignment horizontal="left" vertical="top"/>
    </xf>
    <xf numFmtId="10" fontId="0" fillId="0" borderId="1" xfId="0" applyNumberFormat="1" applyFill="1" applyBorder="1" applyAlignment="1">
      <alignment horizontal="center" vertical="top"/>
    </xf>
    <xf numFmtId="0" fontId="0" fillId="9" borderId="1" xfId="0" applyFont="1" applyFill="1" applyBorder="1" applyAlignment="1">
      <alignment horizontal="left" vertical="top"/>
    </xf>
    <xf numFmtId="0" fontId="8" fillId="11" borderId="1" xfId="0" applyNumberFormat="1" applyFont="1" applyFill="1" applyBorder="1" applyAlignment="1" applyProtection="1">
      <alignment horizontal="left" vertical="top"/>
    </xf>
    <xf numFmtId="164" fontId="0" fillId="0" borderId="1" xfId="0" quotePrefix="1" applyNumberFormat="1" applyFont="1" applyFill="1" applyBorder="1" applyAlignment="1">
      <alignment horizontal="left" vertical="top"/>
    </xf>
    <xf numFmtId="0" fontId="0" fillId="0" borderId="1" xfId="0" applyNumberFormat="1" applyFont="1" applyFill="1" applyBorder="1" applyAlignment="1">
      <alignment vertical="top"/>
    </xf>
    <xf numFmtId="164" fontId="42" fillId="0" borderId="1" xfId="0" quotePrefix="1" applyNumberFormat="1" applyFont="1" applyFill="1" applyBorder="1" applyAlignment="1">
      <alignment horizontal="left" vertical="top"/>
    </xf>
    <xf numFmtId="10" fontId="42" fillId="0" borderId="1" xfId="0" applyNumberFormat="1" applyFont="1" applyFill="1" applyBorder="1" applyAlignment="1">
      <alignment horizontal="left" vertical="top"/>
    </xf>
    <xf numFmtId="0" fontId="0" fillId="0" borderId="0" xfId="0" applyNumberFormat="1" applyFont="1" applyFill="1" applyBorder="1" applyAlignment="1"/>
    <xf numFmtId="0" fontId="0" fillId="0" borderId="1" xfId="0" quotePrefix="1" applyNumberFormat="1" applyFont="1" applyFill="1" applyBorder="1" applyAlignment="1"/>
    <xf numFmtId="0" fontId="8" fillId="34" borderId="1" xfId="0" applyNumberFormat="1" applyFont="1" applyFill="1" applyBorder="1" applyAlignment="1" applyProtection="1">
      <alignment horizontal="left" vertical="top"/>
    </xf>
    <xf numFmtId="0" fontId="0" fillId="0" borderId="1" xfId="0" applyFill="1" applyBorder="1" applyAlignment="1">
      <alignment horizontal="center" vertical="top"/>
    </xf>
    <xf numFmtId="164" fontId="0" fillId="0" borderId="1" xfId="0" quotePrefix="1" applyNumberFormat="1" applyBorder="1" applyAlignment="1">
      <alignment horizontal="left"/>
    </xf>
    <xf numFmtId="0" fontId="46" fillId="0" borderId="1" xfId="0" applyNumberFormat="1" applyFont="1" applyFill="1" applyBorder="1" applyAlignment="1"/>
    <xf numFmtId="0" fontId="8" fillId="37" borderId="1" xfId="0" applyNumberFormat="1" applyFont="1" applyFill="1" applyBorder="1" applyAlignment="1" applyProtection="1">
      <alignment horizontal="left" vertical="top"/>
    </xf>
    <xf numFmtId="0" fontId="6" fillId="0" borderId="1" xfId="0" quotePrefix="1" applyFont="1" applyFill="1" applyBorder="1" applyAlignment="1">
      <alignment horizontal="left" vertical="top"/>
    </xf>
    <xf numFmtId="0" fontId="47" fillId="0" borderId="1" xfId="0" quotePrefix="1" applyFont="1" applyFill="1" applyBorder="1" applyAlignment="1">
      <alignment horizontal="left" vertical="top"/>
    </xf>
    <xf numFmtId="10" fontId="51" fillId="0" borderId="1" xfId="0" quotePrefix="1" applyNumberFormat="1" applyFont="1" applyFill="1" applyBorder="1" applyAlignment="1">
      <alignment horizontal="left" vertical="top"/>
    </xf>
    <xf numFmtId="0" fontId="51" fillId="0" borderId="1" xfId="0" applyFont="1" applyFill="1" applyBorder="1" applyAlignment="1">
      <alignment horizontal="left" vertical="top"/>
    </xf>
    <xf numFmtId="10" fontId="0" fillId="37" borderId="1" xfId="0" applyNumberFormat="1" applyFill="1" applyBorder="1" applyAlignment="1">
      <alignment horizontal="center" vertical="top"/>
    </xf>
    <xf numFmtId="0" fontId="6" fillId="5" borderId="1" xfId="0" quotePrefix="1" applyFont="1" applyFill="1" applyBorder="1" applyAlignment="1">
      <alignment horizontal="left" vertical="top" wrapText="1"/>
    </xf>
    <xf numFmtId="0" fontId="52" fillId="0" borderId="1" xfId="0" applyNumberFormat="1" applyFont="1" applyFill="1" applyBorder="1" applyAlignment="1"/>
    <xf numFmtId="164" fontId="51" fillId="0" borderId="1" xfId="0" applyNumberFormat="1" applyFont="1" applyFill="1" applyBorder="1" applyAlignment="1">
      <alignment horizontal="left" vertical="top"/>
    </xf>
    <xf numFmtId="0" fontId="27" fillId="0" borderId="1" xfId="0" quotePrefix="1" applyFont="1" applyFill="1" applyBorder="1" applyAlignment="1">
      <alignment horizontal="left" vertical="top"/>
    </xf>
    <xf numFmtId="0" fontId="27" fillId="0" borderId="1" xfId="0" applyNumberFormat="1" applyFont="1" applyFill="1" applyBorder="1" applyAlignment="1">
      <alignment horizontal="left" vertical="top"/>
    </xf>
    <xf numFmtId="164" fontId="27" fillId="0" borderId="1" xfId="0" applyNumberFormat="1" applyFont="1" applyFill="1" applyBorder="1" applyAlignment="1">
      <alignment horizontal="left" vertical="top"/>
    </xf>
    <xf numFmtId="10" fontId="27" fillId="0" borderId="1" xfId="0" applyNumberFormat="1" applyFont="1" applyFill="1" applyBorder="1" applyAlignment="1">
      <alignment horizontal="left" vertical="top"/>
    </xf>
    <xf numFmtId="10" fontId="27" fillId="0" borderId="1" xfId="0" quotePrefix="1" applyNumberFormat="1" applyFont="1" applyFill="1" applyBorder="1" applyAlignment="1">
      <alignment horizontal="left" vertical="top"/>
    </xf>
    <xf numFmtId="0" fontId="27" fillId="0" borderId="1" xfId="0" quotePrefix="1" applyFont="1" applyFill="1" applyBorder="1" applyAlignment="1"/>
    <xf numFmtId="0" fontId="27" fillId="0" borderId="1" xfId="0" quotePrefix="1" applyFont="1" applyBorder="1" applyAlignment="1">
      <alignment horizontal="left" vertical="top"/>
    </xf>
    <xf numFmtId="0" fontId="27" fillId="0" borderId="0" xfId="0" applyFont="1"/>
    <xf numFmtId="0" fontId="0" fillId="8" borderId="1" xfId="0" applyFont="1" applyFill="1" applyBorder="1" applyAlignment="1">
      <alignment horizontal="left" vertical="top"/>
    </xf>
    <xf numFmtId="0" fontId="0" fillId="8" borderId="1" xfId="0" applyNumberFormat="1" applyFont="1" applyFill="1" applyBorder="1" applyAlignment="1">
      <alignment horizontal="left" vertical="top"/>
    </xf>
    <xf numFmtId="0" fontId="0" fillId="0" borderId="1" xfId="0" applyNumberFormat="1" applyBorder="1" applyAlignment="1">
      <alignment horizontal="left" vertical="top"/>
    </xf>
    <xf numFmtId="0" fontId="53" fillId="0" borderId="0" xfId="0" applyFont="1"/>
    <xf numFmtId="0" fontId="53" fillId="2" borderId="1" xfId="0" applyFont="1" applyFill="1" applyBorder="1" applyAlignment="1">
      <alignment horizontal="center" vertical="center"/>
    </xf>
    <xf numFmtId="0" fontId="53" fillId="2" borderId="1" xfId="0" applyFont="1" applyFill="1" applyBorder="1" applyAlignment="1">
      <alignment horizontal="center" vertical="center" wrapText="1"/>
    </xf>
    <xf numFmtId="164" fontId="0" fillId="0" borderId="1" xfId="0" quotePrefix="1" applyNumberFormat="1" applyFill="1" applyBorder="1" applyAlignment="1">
      <alignment horizontal="left"/>
    </xf>
    <xf numFmtId="0" fontId="52" fillId="0" borderId="1" xfId="0" quotePrefix="1" applyFont="1" applyBorder="1" applyAlignment="1"/>
    <xf numFmtId="0" fontId="52" fillId="0" borderId="1" xfId="0" quotePrefix="1" applyFont="1" applyFill="1" applyBorder="1" applyAlignment="1"/>
    <xf numFmtId="0" fontId="52" fillId="0" borderId="0" xfId="0" quotePrefix="1" applyFont="1" applyAlignment="1"/>
    <xf numFmtId="0" fontId="8" fillId="31" borderId="1" xfId="0" applyNumberFormat="1" applyFont="1" applyFill="1" applyBorder="1" applyAlignment="1" applyProtection="1">
      <alignment horizontal="left" vertical="top"/>
    </xf>
    <xf numFmtId="0" fontId="0" fillId="31" borderId="1" xfId="0" applyFont="1" applyFill="1" applyBorder="1" applyAlignment="1">
      <alignment horizontal="left" vertical="top"/>
    </xf>
    <xf numFmtId="0" fontId="0" fillId="31" borderId="1" xfId="0" applyFill="1" applyBorder="1" applyAlignment="1">
      <alignment horizontal="left" vertical="top"/>
    </xf>
    <xf numFmtId="0" fontId="0" fillId="31" borderId="1" xfId="0" quotePrefix="1" applyFont="1" applyFill="1" applyBorder="1" applyAlignment="1">
      <alignment horizontal="left" vertical="top"/>
    </xf>
    <xf numFmtId="0" fontId="0" fillId="31" borderId="1" xfId="0" applyNumberFormat="1" applyFont="1" applyFill="1" applyBorder="1" applyAlignment="1">
      <alignment horizontal="left" vertical="top"/>
    </xf>
    <xf numFmtId="164" fontId="0" fillId="31" borderId="1" xfId="0" applyNumberFormat="1" applyFont="1" applyFill="1" applyBorder="1" applyAlignment="1">
      <alignment horizontal="left" vertical="top"/>
    </xf>
    <xf numFmtId="10" fontId="0" fillId="31" borderId="1" xfId="0" applyNumberFormat="1" applyFont="1" applyFill="1" applyBorder="1" applyAlignment="1">
      <alignment horizontal="left" vertical="top"/>
    </xf>
    <xf numFmtId="10" fontId="0" fillId="31" borderId="1" xfId="0" quotePrefix="1" applyNumberFormat="1" applyFont="1" applyFill="1" applyBorder="1" applyAlignment="1">
      <alignment horizontal="left" vertical="top"/>
    </xf>
    <xf numFmtId="0" fontId="0" fillId="31" borderId="1" xfId="0" quotePrefix="1" applyFill="1" applyBorder="1" applyAlignment="1"/>
    <xf numFmtId="0" fontId="12" fillId="2" borderId="1" xfId="0" quotePrefix="1" applyFont="1" applyFill="1" applyBorder="1" applyAlignment="1">
      <alignment horizontal="left" vertical="top"/>
    </xf>
    <xf numFmtId="0" fontId="12" fillId="23" borderId="1" xfId="0" quotePrefix="1" applyFont="1" applyFill="1" applyBorder="1" applyAlignment="1">
      <alignment horizontal="left" vertical="top"/>
    </xf>
    <xf numFmtId="0" fontId="0" fillId="23" borderId="1" xfId="0" quotePrefix="1" applyFill="1" applyBorder="1" applyAlignment="1"/>
    <xf numFmtId="0" fontId="53" fillId="0" borderId="1" xfId="0" quotePrefix="1" applyFont="1" applyBorder="1" applyAlignment="1">
      <alignment horizontal="left" vertical="top"/>
    </xf>
    <xf numFmtId="164" fontId="51" fillId="0" borderId="1" xfId="0" quotePrefix="1" applyNumberFormat="1" applyFont="1" applyFill="1" applyBorder="1" applyAlignment="1">
      <alignment horizontal="left" vertical="top"/>
    </xf>
  </cellXfs>
  <cellStyles count="3">
    <cellStyle name="Bad" xfId="2" builtinId="27"/>
    <cellStyle name="Normal" xfId="0" builtinId="0"/>
    <cellStyle name="Normal 3" xfId="1"/>
  </cellStyles>
  <dxfs count="10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FF00"/>
        </patternFill>
      </fill>
    </dxf>
    <dxf>
      <fill>
        <patternFill>
          <bgColor rgb="FFC00000"/>
        </patternFill>
      </fill>
    </dxf>
    <dxf>
      <fill>
        <patternFill>
          <bgColor rgb="FF00B0F0"/>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C6EFCE"/>
      <color rgb="FFFFC7CE"/>
      <color rgb="FF006100"/>
      <color rgb="FF9C0006"/>
      <color rgb="FFE1C7CE"/>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openxmlformats.org/officeDocument/2006/relationships/usernames" Target="revisions/userNames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revisionHeaders" Target="revisions/revisionHeaders.xml"/></Relationships>
</file>

<file path=xl/revisions/_rels/revisionHeaders.xml.rels><?xml version="1.0" encoding="UTF-8" standalone="yes"?>
<Relationships xmlns="http://schemas.openxmlformats.org/package/2006/relationships"><Relationship Id="rId117" Type="http://schemas.openxmlformats.org/officeDocument/2006/relationships/revisionLog" Target="revisionLog117.xml"/><Relationship Id="rId299" Type="http://schemas.openxmlformats.org/officeDocument/2006/relationships/revisionLog" Target="revisionLog299.xml"/><Relationship Id="rId21" Type="http://schemas.openxmlformats.org/officeDocument/2006/relationships/revisionLog" Target="revisionLog21.xml"/><Relationship Id="rId63" Type="http://schemas.openxmlformats.org/officeDocument/2006/relationships/revisionLog" Target="revisionLog63.xml"/><Relationship Id="rId159" Type="http://schemas.openxmlformats.org/officeDocument/2006/relationships/revisionLog" Target="revisionLog159.xml"/><Relationship Id="rId324" Type="http://schemas.openxmlformats.org/officeDocument/2006/relationships/revisionLog" Target="revisionLog324.xml"/><Relationship Id="rId366" Type="http://schemas.openxmlformats.org/officeDocument/2006/relationships/revisionLog" Target="revisionLog366.xml"/><Relationship Id="rId531" Type="http://schemas.openxmlformats.org/officeDocument/2006/relationships/revisionLog" Target="revisionLog531.xml"/><Relationship Id="rId573" Type="http://schemas.openxmlformats.org/officeDocument/2006/relationships/revisionLog" Target="revisionLog573.xml"/><Relationship Id="rId170" Type="http://schemas.openxmlformats.org/officeDocument/2006/relationships/revisionLog" Target="revisionLog170.xml"/><Relationship Id="rId226" Type="http://schemas.openxmlformats.org/officeDocument/2006/relationships/revisionLog" Target="revisionLog226.xml"/><Relationship Id="rId433" Type="http://schemas.openxmlformats.org/officeDocument/2006/relationships/revisionLog" Target="revisionLog433.xml"/><Relationship Id="rId268" Type="http://schemas.openxmlformats.org/officeDocument/2006/relationships/revisionLog" Target="revisionLog268.xml"/><Relationship Id="rId475" Type="http://schemas.openxmlformats.org/officeDocument/2006/relationships/revisionLog" Target="revisionLog475.xml"/><Relationship Id="rId32" Type="http://schemas.openxmlformats.org/officeDocument/2006/relationships/revisionLog" Target="revisionLog32.xml"/><Relationship Id="rId74" Type="http://schemas.openxmlformats.org/officeDocument/2006/relationships/revisionLog" Target="revisionLog74.xml"/><Relationship Id="rId128" Type="http://schemas.openxmlformats.org/officeDocument/2006/relationships/revisionLog" Target="revisionLog128.xml"/><Relationship Id="rId335" Type="http://schemas.openxmlformats.org/officeDocument/2006/relationships/revisionLog" Target="revisionLog335.xml"/><Relationship Id="rId377" Type="http://schemas.openxmlformats.org/officeDocument/2006/relationships/revisionLog" Target="revisionLog377.xml"/><Relationship Id="rId500" Type="http://schemas.openxmlformats.org/officeDocument/2006/relationships/revisionLog" Target="revisionLog500.xml"/><Relationship Id="rId542" Type="http://schemas.openxmlformats.org/officeDocument/2006/relationships/revisionLog" Target="revisionLog542.xml"/><Relationship Id="rId584" Type="http://schemas.openxmlformats.org/officeDocument/2006/relationships/revisionLog" Target="revisionLog584.xml"/><Relationship Id="rId5" Type="http://schemas.openxmlformats.org/officeDocument/2006/relationships/revisionLog" Target="revisionLog5.xml"/><Relationship Id="rId181" Type="http://schemas.openxmlformats.org/officeDocument/2006/relationships/revisionLog" Target="revisionLog181.xml"/><Relationship Id="rId237" Type="http://schemas.openxmlformats.org/officeDocument/2006/relationships/revisionLog" Target="revisionLog237.xml"/><Relationship Id="rId402" Type="http://schemas.openxmlformats.org/officeDocument/2006/relationships/revisionLog" Target="revisionLog402.xml"/><Relationship Id="rId279" Type="http://schemas.openxmlformats.org/officeDocument/2006/relationships/revisionLog" Target="revisionLog279.xml"/><Relationship Id="rId444" Type="http://schemas.openxmlformats.org/officeDocument/2006/relationships/revisionLog" Target="revisionLog444.xml"/><Relationship Id="rId486" Type="http://schemas.openxmlformats.org/officeDocument/2006/relationships/revisionLog" Target="revisionLog486.xml"/><Relationship Id="rId43" Type="http://schemas.openxmlformats.org/officeDocument/2006/relationships/revisionLog" Target="revisionLog43.xml"/><Relationship Id="rId139" Type="http://schemas.openxmlformats.org/officeDocument/2006/relationships/revisionLog" Target="revisionLog139.xml"/><Relationship Id="rId290" Type="http://schemas.openxmlformats.org/officeDocument/2006/relationships/revisionLog" Target="revisionLog290.xml"/><Relationship Id="rId304" Type="http://schemas.openxmlformats.org/officeDocument/2006/relationships/revisionLog" Target="revisionLog304.xml"/><Relationship Id="rId346" Type="http://schemas.openxmlformats.org/officeDocument/2006/relationships/revisionLog" Target="revisionLog346.xml"/><Relationship Id="rId388" Type="http://schemas.openxmlformats.org/officeDocument/2006/relationships/revisionLog" Target="revisionLog388.xml"/><Relationship Id="rId511" Type="http://schemas.openxmlformats.org/officeDocument/2006/relationships/revisionLog" Target="revisionLog511.xml"/><Relationship Id="rId553" Type="http://schemas.openxmlformats.org/officeDocument/2006/relationships/revisionLog" Target="revisionLog553.xml"/><Relationship Id="rId85" Type="http://schemas.openxmlformats.org/officeDocument/2006/relationships/revisionLog" Target="revisionLog85.xml"/><Relationship Id="rId150" Type="http://schemas.openxmlformats.org/officeDocument/2006/relationships/revisionLog" Target="revisionLog150.xml"/><Relationship Id="rId192" Type="http://schemas.openxmlformats.org/officeDocument/2006/relationships/revisionLog" Target="revisionLog192.xml"/><Relationship Id="rId206" Type="http://schemas.openxmlformats.org/officeDocument/2006/relationships/revisionLog" Target="revisionLog206.xml"/><Relationship Id="rId413" Type="http://schemas.openxmlformats.org/officeDocument/2006/relationships/revisionLog" Target="revisionLog413.xml"/><Relationship Id="rId595" Type="http://schemas.openxmlformats.org/officeDocument/2006/relationships/revisionLog" Target="revisionLog595.xml"/><Relationship Id="rId248" Type="http://schemas.openxmlformats.org/officeDocument/2006/relationships/revisionLog" Target="revisionLog248.xml"/><Relationship Id="rId455" Type="http://schemas.openxmlformats.org/officeDocument/2006/relationships/revisionLog" Target="revisionLog455.xml"/><Relationship Id="rId497" Type="http://schemas.openxmlformats.org/officeDocument/2006/relationships/revisionLog" Target="revisionLog497.xml"/><Relationship Id="rId12" Type="http://schemas.openxmlformats.org/officeDocument/2006/relationships/revisionLog" Target="revisionLog12.xml"/><Relationship Id="rId108" Type="http://schemas.openxmlformats.org/officeDocument/2006/relationships/revisionLog" Target="revisionLog108.xml"/><Relationship Id="rId315" Type="http://schemas.openxmlformats.org/officeDocument/2006/relationships/revisionLog" Target="revisionLog315.xml"/><Relationship Id="rId357" Type="http://schemas.openxmlformats.org/officeDocument/2006/relationships/revisionLog" Target="revisionLog357.xml"/><Relationship Id="rId522" Type="http://schemas.openxmlformats.org/officeDocument/2006/relationships/revisionLog" Target="revisionLog522.xml"/><Relationship Id="rId54" Type="http://schemas.openxmlformats.org/officeDocument/2006/relationships/revisionLog" Target="revisionLog54.xml"/><Relationship Id="rId96" Type="http://schemas.openxmlformats.org/officeDocument/2006/relationships/revisionLog" Target="revisionLog96.xml"/><Relationship Id="rId161" Type="http://schemas.openxmlformats.org/officeDocument/2006/relationships/revisionLog" Target="revisionLog161.xml"/><Relationship Id="rId217" Type="http://schemas.openxmlformats.org/officeDocument/2006/relationships/revisionLog" Target="revisionLog217.xml"/><Relationship Id="rId399" Type="http://schemas.openxmlformats.org/officeDocument/2006/relationships/revisionLog" Target="revisionLog399.xml"/><Relationship Id="rId564" Type="http://schemas.openxmlformats.org/officeDocument/2006/relationships/revisionLog" Target="revisionLog564.xml"/><Relationship Id="rId259" Type="http://schemas.openxmlformats.org/officeDocument/2006/relationships/revisionLog" Target="revisionLog259.xml"/><Relationship Id="rId424" Type="http://schemas.openxmlformats.org/officeDocument/2006/relationships/revisionLog" Target="revisionLog424.xml"/><Relationship Id="rId466" Type="http://schemas.openxmlformats.org/officeDocument/2006/relationships/revisionLog" Target="revisionLog466.xml"/><Relationship Id="rId23" Type="http://schemas.openxmlformats.org/officeDocument/2006/relationships/revisionLog" Target="revisionLog23.xml"/><Relationship Id="rId119" Type="http://schemas.openxmlformats.org/officeDocument/2006/relationships/revisionLog" Target="revisionLog119.xml"/><Relationship Id="rId270" Type="http://schemas.openxmlformats.org/officeDocument/2006/relationships/revisionLog" Target="revisionLog270.xml"/><Relationship Id="rId326" Type="http://schemas.openxmlformats.org/officeDocument/2006/relationships/revisionLog" Target="revisionLog326.xml"/><Relationship Id="rId533" Type="http://schemas.openxmlformats.org/officeDocument/2006/relationships/revisionLog" Target="revisionLog533.xml"/><Relationship Id="rId65" Type="http://schemas.openxmlformats.org/officeDocument/2006/relationships/revisionLog" Target="revisionLog65.xml"/><Relationship Id="rId130" Type="http://schemas.openxmlformats.org/officeDocument/2006/relationships/revisionLog" Target="revisionLog130.xml"/><Relationship Id="rId368" Type="http://schemas.openxmlformats.org/officeDocument/2006/relationships/revisionLog" Target="revisionLog368.xml"/><Relationship Id="rId575" Type="http://schemas.openxmlformats.org/officeDocument/2006/relationships/revisionLog" Target="revisionLog575.xml"/><Relationship Id="rId172" Type="http://schemas.openxmlformats.org/officeDocument/2006/relationships/revisionLog" Target="revisionLog172.xml"/><Relationship Id="rId228" Type="http://schemas.openxmlformats.org/officeDocument/2006/relationships/revisionLog" Target="revisionLog228.xml"/><Relationship Id="rId435" Type="http://schemas.openxmlformats.org/officeDocument/2006/relationships/revisionLog" Target="revisionLog435.xml"/><Relationship Id="rId477" Type="http://schemas.openxmlformats.org/officeDocument/2006/relationships/revisionLog" Target="revisionLog477.xml"/><Relationship Id="rId281" Type="http://schemas.openxmlformats.org/officeDocument/2006/relationships/revisionLog" Target="revisionLog281.xml"/><Relationship Id="rId337" Type="http://schemas.openxmlformats.org/officeDocument/2006/relationships/revisionLog" Target="revisionLog337.xml"/><Relationship Id="rId502" Type="http://schemas.openxmlformats.org/officeDocument/2006/relationships/revisionLog" Target="revisionLog502.xml"/><Relationship Id="rId34" Type="http://schemas.openxmlformats.org/officeDocument/2006/relationships/revisionLog" Target="revisionLog34.xml"/><Relationship Id="rId76" Type="http://schemas.openxmlformats.org/officeDocument/2006/relationships/revisionLog" Target="revisionLog76.xml"/><Relationship Id="rId141" Type="http://schemas.openxmlformats.org/officeDocument/2006/relationships/revisionLog" Target="revisionLog141.xml"/><Relationship Id="rId379" Type="http://schemas.openxmlformats.org/officeDocument/2006/relationships/revisionLog" Target="revisionLog379.xml"/><Relationship Id="rId544" Type="http://schemas.openxmlformats.org/officeDocument/2006/relationships/revisionLog" Target="revisionLog544.xml"/><Relationship Id="rId586" Type="http://schemas.openxmlformats.org/officeDocument/2006/relationships/revisionLog" Target="revisionLog586.xml"/><Relationship Id="rId7" Type="http://schemas.openxmlformats.org/officeDocument/2006/relationships/revisionLog" Target="revisionLog7.xml"/><Relationship Id="rId183" Type="http://schemas.openxmlformats.org/officeDocument/2006/relationships/revisionLog" Target="revisionLog183.xml"/><Relationship Id="rId239" Type="http://schemas.openxmlformats.org/officeDocument/2006/relationships/revisionLog" Target="revisionLog239.xml"/><Relationship Id="rId390" Type="http://schemas.openxmlformats.org/officeDocument/2006/relationships/revisionLog" Target="revisionLog390.xml"/><Relationship Id="rId404" Type="http://schemas.openxmlformats.org/officeDocument/2006/relationships/revisionLog" Target="revisionLog404.xml"/><Relationship Id="rId446" Type="http://schemas.openxmlformats.org/officeDocument/2006/relationships/revisionLog" Target="revisionLog446.xml"/><Relationship Id="rId250" Type="http://schemas.openxmlformats.org/officeDocument/2006/relationships/revisionLog" Target="revisionLog250.xml"/><Relationship Id="rId292" Type="http://schemas.openxmlformats.org/officeDocument/2006/relationships/revisionLog" Target="revisionLog292.xml"/><Relationship Id="rId306" Type="http://schemas.openxmlformats.org/officeDocument/2006/relationships/revisionLog" Target="revisionLog306.xml"/><Relationship Id="rId488" Type="http://schemas.openxmlformats.org/officeDocument/2006/relationships/revisionLog" Target="revisionLog488.xml"/><Relationship Id="rId45" Type="http://schemas.openxmlformats.org/officeDocument/2006/relationships/revisionLog" Target="revisionLog45.xml"/><Relationship Id="rId87" Type="http://schemas.openxmlformats.org/officeDocument/2006/relationships/revisionLog" Target="revisionLog87.xml"/><Relationship Id="rId110" Type="http://schemas.openxmlformats.org/officeDocument/2006/relationships/revisionLog" Target="revisionLog110.xml"/><Relationship Id="rId348" Type="http://schemas.openxmlformats.org/officeDocument/2006/relationships/revisionLog" Target="revisionLog348.xml"/><Relationship Id="rId513" Type="http://schemas.openxmlformats.org/officeDocument/2006/relationships/revisionLog" Target="revisionLog513.xml"/><Relationship Id="rId555" Type="http://schemas.openxmlformats.org/officeDocument/2006/relationships/revisionLog" Target="revisionLog555.xml"/><Relationship Id="rId597" Type="http://schemas.openxmlformats.org/officeDocument/2006/relationships/revisionLog" Target="revisionLog597.xml"/><Relationship Id="rId152" Type="http://schemas.openxmlformats.org/officeDocument/2006/relationships/revisionLog" Target="revisionLog152.xml"/><Relationship Id="rId194" Type="http://schemas.openxmlformats.org/officeDocument/2006/relationships/revisionLog" Target="revisionLog194.xml"/><Relationship Id="rId208" Type="http://schemas.openxmlformats.org/officeDocument/2006/relationships/revisionLog" Target="revisionLog208.xml"/><Relationship Id="rId415" Type="http://schemas.openxmlformats.org/officeDocument/2006/relationships/revisionLog" Target="revisionLog415.xml"/><Relationship Id="rId457" Type="http://schemas.openxmlformats.org/officeDocument/2006/relationships/revisionLog" Target="revisionLog457.xml"/><Relationship Id="rId261" Type="http://schemas.openxmlformats.org/officeDocument/2006/relationships/revisionLog" Target="revisionLog261.xml"/><Relationship Id="rId499" Type="http://schemas.openxmlformats.org/officeDocument/2006/relationships/revisionLog" Target="revisionLog499.xml"/><Relationship Id="rId14" Type="http://schemas.openxmlformats.org/officeDocument/2006/relationships/revisionLog" Target="revisionLog14.xml"/><Relationship Id="rId56" Type="http://schemas.openxmlformats.org/officeDocument/2006/relationships/revisionLog" Target="revisionLog56.xml"/><Relationship Id="rId317" Type="http://schemas.openxmlformats.org/officeDocument/2006/relationships/revisionLog" Target="revisionLog317.xml"/><Relationship Id="rId359" Type="http://schemas.openxmlformats.org/officeDocument/2006/relationships/revisionLog" Target="revisionLog359.xml"/><Relationship Id="rId524" Type="http://schemas.openxmlformats.org/officeDocument/2006/relationships/revisionLog" Target="revisionLog524.xml"/><Relationship Id="rId566" Type="http://schemas.openxmlformats.org/officeDocument/2006/relationships/revisionLog" Target="revisionLog566.xml"/><Relationship Id="rId98" Type="http://schemas.openxmlformats.org/officeDocument/2006/relationships/revisionLog" Target="revisionLog98.xml"/><Relationship Id="rId121" Type="http://schemas.openxmlformats.org/officeDocument/2006/relationships/revisionLog" Target="revisionLog121.xml"/><Relationship Id="rId163" Type="http://schemas.openxmlformats.org/officeDocument/2006/relationships/revisionLog" Target="revisionLog163.xml"/><Relationship Id="rId219" Type="http://schemas.openxmlformats.org/officeDocument/2006/relationships/revisionLog" Target="revisionLog219.xml"/><Relationship Id="rId370" Type="http://schemas.openxmlformats.org/officeDocument/2006/relationships/revisionLog" Target="revisionLog370.xml"/><Relationship Id="rId426" Type="http://schemas.openxmlformats.org/officeDocument/2006/relationships/revisionLog" Target="revisionLog426.xml"/><Relationship Id="rId230" Type="http://schemas.openxmlformats.org/officeDocument/2006/relationships/revisionLog" Target="revisionLog230.xml"/><Relationship Id="rId468" Type="http://schemas.openxmlformats.org/officeDocument/2006/relationships/revisionLog" Target="revisionLog468.xml"/><Relationship Id="rId25" Type="http://schemas.openxmlformats.org/officeDocument/2006/relationships/revisionLog" Target="revisionLog25.xml"/><Relationship Id="rId67" Type="http://schemas.openxmlformats.org/officeDocument/2006/relationships/revisionLog" Target="revisionLog67.xml"/><Relationship Id="rId272" Type="http://schemas.openxmlformats.org/officeDocument/2006/relationships/revisionLog" Target="revisionLog272.xml"/><Relationship Id="rId328" Type="http://schemas.openxmlformats.org/officeDocument/2006/relationships/revisionLog" Target="revisionLog328.xml"/><Relationship Id="rId535" Type="http://schemas.openxmlformats.org/officeDocument/2006/relationships/revisionLog" Target="revisionLog535.xml"/><Relationship Id="rId577" Type="http://schemas.openxmlformats.org/officeDocument/2006/relationships/revisionLog" Target="revisionLog577.xml"/><Relationship Id="rId132" Type="http://schemas.openxmlformats.org/officeDocument/2006/relationships/revisionLog" Target="revisionLog132.xml"/><Relationship Id="rId174" Type="http://schemas.openxmlformats.org/officeDocument/2006/relationships/revisionLog" Target="revisionLog174.xml"/><Relationship Id="rId381" Type="http://schemas.openxmlformats.org/officeDocument/2006/relationships/revisionLog" Target="revisionLog381.xml"/><Relationship Id="rId241" Type="http://schemas.openxmlformats.org/officeDocument/2006/relationships/revisionLog" Target="revisionLog241.xml"/><Relationship Id="rId437" Type="http://schemas.openxmlformats.org/officeDocument/2006/relationships/revisionLog" Target="revisionLog437.xml"/><Relationship Id="rId479" Type="http://schemas.openxmlformats.org/officeDocument/2006/relationships/revisionLog" Target="revisionLog479.xml"/><Relationship Id="rId36" Type="http://schemas.openxmlformats.org/officeDocument/2006/relationships/revisionLog" Target="revisionLog36.xml"/><Relationship Id="rId283" Type="http://schemas.openxmlformats.org/officeDocument/2006/relationships/revisionLog" Target="revisionLog283.xml"/><Relationship Id="rId339" Type="http://schemas.openxmlformats.org/officeDocument/2006/relationships/revisionLog" Target="revisionLog339.xml"/><Relationship Id="rId490" Type="http://schemas.openxmlformats.org/officeDocument/2006/relationships/revisionLog" Target="revisionLog490.xml"/><Relationship Id="rId504" Type="http://schemas.openxmlformats.org/officeDocument/2006/relationships/revisionLog" Target="revisionLog504.xml"/><Relationship Id="rId546" Type="http://schemas.openxmlformats.org/officeDocument/2006/relationships/revisionLog" Target="revisionLog546.xml"/><Relationship Id="rId78" Type="http://schemas.openxmlformats.org/officeDocument/2006/relationships/revisionLog" Target="revisionLog78.xml"/><Relationship Id="rId101" Type="http://schemas.openxmlformats.org/officeDocument/2006/relationships/revisionLog" Target="revisionLog101.xml"/><Relationship Id="rId143" Type="http://schemas.openxmlformats.org/officeDocument/2006/relationships/revisionLog" Target="revisionLog143.xml"/><Relationship Id="rId185" Type="http://schemas.openxmlformats.org/officeDocument/2006/relationships/revisionLog" Target="revisionLog185.xml"/><Relationship Id="rId350" Type="http://schemas.openxmlformats.org/officeDocument/2006/relationships/revisionLog" Target="revisionLog350.xml"/><Relationship Id="rId406" Type="http://schemas.openxmlformats.org/officeDocument/2006/relationships/revisionLog" Target="revisionLog406.xml"/><Relationship Id="rId588" Type="http://schemas.openxmlformats.org/officeDocument/2006/relationships/revisionLog" Target="revisionLog588.xml"/><Relationship Id="rId9" Type="http://schemas.openxmlformats.org/officeDocument/2006/relationships/revisionLog" Target="revisionLog9.xml"/><Relationship Id="rId210" Type="http://schemas.openxmlformats.org/officeDocument/2006/relationships/revisionLog" Target="revisionLog210.xml"/><Relationship Id="rId392" Type="http://schemas.openxmlformats.org/officeDocument/2006/relationships/revisionLog" Target="revisionLog392.xml"/><Relationship Id="rId448" Type="http://schemas.openxmlformats.org/officeDocument/2006/relationships/revisionLog" Target="revisionLog448.xml"/><Relationship Id="rId252" Type="http://schemas.openxmlformats.org/officeDocument/2006/relationships/revisionLog" Target="revisionLog252.xml"/><Relationship Id="rId294" Type="http://schemas.openxmlformats.org/officeDocument/2006/relationships/revisionLog" Target="revisionLog294.xml"/><Relationship Id="rId308" Type="http://schemas.openxmlformats.org/officeDocument/2006/relationships/revisionLog" Target="revisionLog308.xml"/><Relationship Id="rId515" Type="http://schemas.openxmlformats.org/officeDocument/2006/relationships/revisionLog" Target="revisionLog515.xml"/><Relationship Id="rId47" Type="http://schemas.openxmlformats.org/officeDocument/2006/relationships/revisionLog" Target="revisionLog47.xml"/><Relationship Id="rId89" Type="http://schemas.openxmlformats.org/officeDocument/2006/relationships/revisionLog" Target="revisionLog89.xml"/><Relationship Id="rId112" Type="http://schemas.openxmlformats.org/officeDocument/2006/relationships/revisionLog" Target="revisionLog112.xml"/><Relationship Id="rId154" Type="http://schemas.openxmlformats.org/officeDocument/2006/relationships/revisionLog" Target="revisionLog154.xml"/><Relationship Id="rId361" Type="http://schemas.openxmlformats.org/officeDocument/2006/relationships/revisionLog" Target="revisionLog361.xml"/><Relationship Id="rId557" Type="http://schemas.openxmlformats.org/officeDocument/2006/relationships/revisionLog" Target="revisionLog557.xml"/><Relationship Id="rId196" Type="http://schemas.openxmlformats.org/officeDocument/2006/relationships/revisionLog" Target="revisionLog196.xml"/><Relationship Id="rId417" Type="http://schemas.openxmlformats.org/officeDocument/2006/relationships/revisionLog" Target="revisionLog417.xml"/><Relationship Id="rId459" Type="http://schemas.openxmlformats.org/officeDocument/2006/relationships/revisionLog" Target="revisionLog459.xml"/><Relationship Id="rId16" Type="http://schemas.openxmlformats.org/officeDocument/2006/relationships/revisionLog" Target="revisionLog16.xml"/><Relationship Id="rId221" Type="http://schemas.openxmlformats.org/officeDocument/2006/relationships/revisionLog" Target="revisionLog221.xml"/><Relationship Id="rId263" Type="http://schemas.openxmlformats.org/officeDocument/2006/relationships/revisionLog" Target="revisionLog263.xml"/><Relationship Id="rId319" Type="http://schemas.openxmlformats.org/officeDocument/2006/relationships/revisionLog" Target="revisionLog319.xml"/><Relationship Id="rId470" Type="http://schemas.openxmlformats.org/officeDocument/2006/relationships/revisionLog" Target="revisionLog470.xml"/><Relationship Id="rId526" Type="http://schemas.openxmlformats.org/officeDocument/2006/relationships/revisionLog" Target="revisionLog526.xml"/><Relationship Id="rId37" Type="http://schemas.openxmlformats.org/officeDocument/2006/relationships/revisionLog" Target="revisionLog37.xml"/><Relationship Id="rId58" Type="http://schemas.openxmlformats.org/officeDocument/2006/relationships/revisionLog" Target="revisionLog58.xml"/><Relationship Id="rId79" Type="http://schemas.openxmlformats.org/officeDocument/2006/relationships/revisionLog" Target="revisionLog79.xml"/><Relationship Id="rId102" Type="http://schemas.openxmlformats.org/officeDocument/2006/relationships/revisionLog" Target="revisionLog102.xml"/><Relationship Id="rId123" Type="http://schemas.openxmlformats.org/officeDocument/2006/relationships/revisionLog" Target="revisionLog123.xml"/><Relationship Id="rId144" Type="http://schemas.openxmlformats.org/officeDocument/2006/relationships/revisionLog" Target="revisionLog144.xml"/><Relationship Id="rId330" Type="http://schemas.openxmlformats.org/officeDocument/2006/relationships/revisionLog" Target="revisionLog330.xml"/><Relationship Id="rId547" Type="http://schemas.openxmlformats.org/officeDocument/2006/relationships/revisionLog" Target="revisionLog547.xml"/><Relationship Id="rId568" Type="http://schemas.openxmlformats.org/officeDocument/2006/relationships/revisionLog" Target="revisionLog568.xml"/><Relationship Id="rId589" Type="http://schemas.openxmlformats.org/officeDocument/2006/relationships/revisionLog" Target="revisionLog589.xml"/><Relationship Id="rId90" Type="http://schemas.openxmlformats.org/officeDocument/2006/relationships/revisionLog" Target="revisionLog90.xml"/><Relationship Id="rId165" Type="http://schemas.openxmlformats.org/officeDocument/2006/relationships/revisionLog" Target="revisionLog165.xml"/><Relationship Id="rId186" Type="http://schemas.openxmlformats.org/officeDocument/2006/relationships/revisionLog" Target="revisionLog186.xml"/><Relationship Id="rId351" Type="http://schemas.openxmlformats.org/officeDocument/2006/relationships/revisionLog" Target="revisionLog351.xml"/><Relationship Id="rId372" Type="http://schemas.openxmlformats.org/officeDocument/2006/relationships/revisionLog" Target="revisionLog372.xml"/><Relationship Id="rId393" Type="http://schemas.openxmlformats.org/officeDocument/2006/relationships/revisionLog" Target="revisionLog393.xml"/><Relationship Id="rId407" Type="http://schemas.openxmlformats.org/officeDocument/2006/relationships/revisionLog" Target="revisionLog407.xml"/><Relationship Id="rId428" Type="http://schemas.openxmlformats.org/officeDocument/2006/relationships/revisionLog" Target="revisionLog428.xml"/><Relationship Id="rId449" Type="http://schemas.openxmlformats.org/officeDocument/2006/relationships/revisionLog" Target="revisionLog449.xml"/><Relationship Id="rId211" Type="http://schemas.openxmlformats.org/officeDocument/2006/relationships/revisionLog" Target="revisionLog211.xml"/><Relationship Id="rId232" Type="http://schemas.openxmlformats.org/officeDocument/2006/relationships/revisionLog" Target="revisionLog232.xml"/><Relationship Id="rId253" Type="http://schemas.openxmlformats.org/officeDocument/2006/relationships/revisionLog" Target="revisionLog253.xml"/><Relationship Id="rId274" Type="http://schemas.openxmlformats.org/officeDocument/2006/relationships/revisionLog" Target="revisionLog274.xml"/><Relationship Id="rId295" Type="http://schemas.openxmlformats.org/officeDocument/2006/relationships/revisionLog" Target="revisionLog295.xml"/><Relationship Id="rId309" Type="http://schemas.openxmlformats.org/officeDocument/2006/relationships/revisionLog" Target="revisionLog309.xml"/><Relationship Id="rId460" Type="http://schemas.openxmlformats.org/officeDocument/2006/relationships/revisionLog" Target="revisionLog460.xml"/><Relationship Id="rId481" Type="http://schemas.openxmlformats.org/officeDocument/2006/relationships/revisionLog" Target="revisionLog481.xml"/><Relationship Id="rId516" Type="http://schemas.openxmlformats.org/officeDocument/2006/relationships/revisionLog" Target="revisionLog516.xml"/><Relationship Id="rId27" Type="http://schemas.openxmlformats.org/officeDocument/2006/relationships/revisionLog" Target="revisionLog27.xml"/><Relationship Id="rId48" Type="http://schemas.openxmlformats.org/officeDocument/2006/relationships/revisionLog" Target="revisionLog48.xml"/><Relationship Id="rId69" Type="http://schemas.openxmlformats.org/officeDocument/2006/relationships/revisionLog" Target="revisionLog69.xml"/><Relationship Id="rId113" Type="http://schemas.openxmlformats.org/officeDocument/2006/relationships/revisionLog" Target="revisionLog113.xml"/><Relationship Id="rId134" Type="http://schemas.openxmlformats.org/officeDocument/2006/relationships/revisionLog" Target="revisionLog134.xml"/><Relationship Id="rId320" Type="http://schemas.openxmlformats.org/officeDocument/2006/relationships/revisionLog" Target="revisionLog320.xml"/><Relationship Id="rId537" Type="http://schemas.openxmlformats.org/officeDocument/2006/relationships/revisionLog" Target="revisionLog537.xml"/><Relationship Id="rId558" Type="http://schemas.openxmlformats.org/officeDocument/2006/relationships/revisionLog" Target="revisionLog558.xml"/><Relationship Id="rId579" Type="http://schemas.openxmlformats.org/officeDocument/2006/relationships/revisionLog" Target="revisionLog579.xml"/><Relationship Id="rId80" Type="http://schemas.openxmlformats.org/officeDocument/2006/relationships/revisionLog" Target="revisionLog80.xml"/><Relationship Id="rId155" Type="http://schemas.openxmlformats.org/officeDocument/2006/relationships/revisionLog" Target="revisionLog155.xml"/><Relationship Id="rId176" Type="http://schemas.openxmlformats.org/officeDocument/2006/relationships/revisionLog" Target="revisionLog176.xml"/><Relationship Id="rId197" Type="http://schemas.openxmlformats.org/officeDocument/2006/relationships/revisionLog" Target="revisionLog197.xml"/><Relationship Id="rId341" Type="http://schemas.openxmlformats.org/officeDocument/2006/relationships/revisionLog" Target="revisionLog341.xml"/><Relationship Id="rId362" Type="http://schemas.openxmlformats.org/officeDocument/2006/relationships/revisionLog" Target="revisionLog362.xml"/><Relationship Id="rId383" Type="http://schemas.openxmlformats.org/officeDocument/2006/relationships/revisionLog" Target="revisionLog383.xml"/><Relationship Id="rId418" Type="http://schemas.openxmlformats.org/officeDocument/2006/relationships/revisionLog" Target="revisionLog418.xml"/><Relationship Id="rId439" Type="http://schemas.openxmlformats.org/officeDocument/2006/relationships/revisionLog" Target="revisionLog439.xml"/><Relationship Id="rId590" Type="http://schemas.openxmlformats.org/officeDocument/2006/relationships/revisionLog" Target="revisionLog590.xml"/><Relationship Id="rId201" Type="http://schemas.openxmlformats.org/officeDocument/2006/relationships/revisionLog" Target="revisionLog201.xml"/><Relationship Id="rId222" Type="http://schemas.openxmlformats.org/officeDocument/2006/relationships/revisionLog" Target="revisionLog222.xml"/><Relationship Id="rId243" Type="http://schemas.openxmlformats.org/officeDocument/2006/relationships/revisionLog" Target="revisionLog243.xml"/><Relationship Id="rId264" Type="http://schemas.openxmlformats.org/officeDocument/2006/relationships/revisionLog" Target="revisionLog264.xml"/><Relationship Id="rId285" Type="http://schemas.openxmlformats.org/officeDocument/2006/relationships/revisionLog" Target="revisionLog285.xml"/><Relationship Id="rId450" Type="http://schemas.openxmlformats.org/officeDocument/2006/relationships/revisionLog" Target="revisionLog450.xml"/><Relationship Id="rId471" Type="http://schemas.openxmlformats.org/officeDocument/2006/relationships/revisionLog" Target="revisionLog471.xml"/><Relationship Id="rId506" Type="http://schemas.openxmlformats.org/officeDocument/2006/relationships/revisionLog" Target="revisionLog506.xml"/><Relationship Id="rId17" Type="http://schemas.openxmlformats.org/officeDocument/2006/relationships/revisionLog" Target="revisionLog17.xml"/><Relationship Id="rId38" Type="http://schemas.openxmlformats.org/officeDocument/2006/relationships/revisionLog" Target="revisionLog38.xml"/><Relationship Id="rId59" Type="http://schemas.openxmlformats.org/officeDocument/2006/relationships/revisionLog" Target="revisionLog59.xml"/><Relationship Id="rId103" Type="http://schemas.openxmlformats.org/officeDocument/2006/relationships/revisionLog" Target="revisionLog103.xml"/><Relationship Id="rId124" Type="http://schemas.openxmlformats.org/officeDocument/2006/relationships/revisionLog" Target="revisionLog124.xml"/><Relationship Id="rId310" Type="http://schemas.openxmlformats.org/officeDocument/2006/relationships/revisionLog" Target="revisionLog310.xml"/><Relationship Id="rId492" Type="http://schemas.openxmlformats.org/officeDocument/2006/relationships/revisionLog" Target="revisionLog492.xml"/><Relationship Id="rId527" Type="http://schemas.openxmlformats.org/officeDocument/2006/relationships/revisionLog" Target="revisionLog527.xml"/><Relationship Id="rId548" Type="http://schemas.openxmlformats.org/officeDocument/2006/relationships/revisionLog" Target="revisionLog548.xml"/><Relationship Id="rId569" Type="http://schemas.openxmlformats.org/officeDocument/2006/relationships/revisionLog" Target="revisionLog569.xml"/><Relationship Id="rId70" Type="http://schemas.openxmlformats.org/officeDocument/2006/relationships/revisionLog" Target="revisionLog70.xml"/><Relationship Id="rId91" Type="http://schemas.openxmlformats.org/officeDocument/2006/relationships/revisionLog" Target="revisionLog91.xml"/><Relationship Id="rId145" Type="http://schemas.openxmlformats.org/officeDocument/2006/relationships/revisionLog" Target="revisionLog145.xml"/><Relationship Id="rId166" Type="http://schemas.openxmlformats.org/officeDocument/2006/relationships/revisionLog" Target="revisionLog166.xml"/><Relationship Id="rId187" Type="http://schemas.openxmlformats.org/officeDocument/2006/relationships/revisionLog" Target="revisionLog187.xml"/><Relationship Id="rId331" Type="http://schemas.openxmlformats.org/officeDocument/2006/relationships/revisionLog" Target="revisionLog331.xml"/><Relationship Id="rId352" Type="http://schemas.openxmlformats.org/officeDocument/2006/relationships/revisionLog" Target="revisionLog352.xml"/><Relationship Id="rId373" Type="http://schemas.openxmlformats.org/officeDocument/2006/relationships/revisionLog" Target="revisionLog373.xml"/><Relationship Id="rId394" Type="http://schemas.openxmlformats.org/officeDocument/2006/relationships/revisionLog" Target="revisionLog394.xml"/><Relationship Id="rId408" Type="http://schemas.openxmlformats.org/officeDocument/2006/relationships/revisionLog" Target="revisionLog408.xml"/><Relationship Id="rId429" Type="http://schemas.openxmlformats.org/officeDocument/2006/relationships/revisionLog" Target="revisionLog429.xml"/><Relationship Id="rId580" Type="http://schemas.openxmlformats.org/officeDocument/2006/relationships/revisionLog" Target="revisionLog580.xml"/><Relationship Id="rId1" Type="http://schemas.openxmlformats.org/officeDocument/2006/relationships/revisionLog" Target="revisionLog1.xml"/><Relationship Id="rId212" Type="http://schemas.openxmlformats.org/officeDocument/2006/relationships/revisionLog" Target="revisionLog212.xml"/><Relationship Id="rId233" Type="http://schemas.openxmlformats.org/officeDocument/2006/relationships/revisionLog" Target="revisionLog233.xml"/><Relationship Id="rId254" Type="http://schemas.openxmlformats.org/officeDocument/2006/relationships/revisionLog" Target="revisionLog254.xml"/><Relationship Id="rId440" Type="http://schemas.openxmlformats.org/officeDocument/2006/relationships/revisionLog" Target="revisionLog440.xml"/><Relationship Id="rId28" Type="http://schemas.openxmlformats.org/officeDocument/2006/relationships/revisionLog" Target="revisionLog28.xml"/><Relationship Id="rId49" Type="http://schemas.openxmlformats.org/officeDocument/2006/relationships/revisionLog" Target="revisionLog49.xml"/><Relationship Id="rId114" Type="http://schemas.openxmlformats.org/officeDocument/2006/relationships/revisionLog" Target="revisionLog114.xml"/><Relationship Id="rId275" Type="http://schemas.openxmlformats.org/officeDocument/2006/relationships/revisionLog" Target="revisionLog275.xml"/><Relationship Id="rId296" Type="http://schemas.openxmlformats.org/officeDocument/2006/relationships/revisionLog" Target="revisionLog296.xml"/><Relationship Id="rId300" Type="http://schemas.openxmlformats.org/officeDocument/2006/relationships/revisionLog" Target="revisionLog300.xml"/><Relationship Id="rId461" Type="http://schemas.openxmlformats.org/officeDocument/2006/relationships/revisionLog" Target="revisionLog461.xml"/><Relationship Id="rId482" Type="http://schemas.openxmlformats.org/officeDocument/2006/relationships/revisionLog" Target="revisionLog482.xml"/><Relationship Id="rId517" Type="http://schemas.openxmlformats.org/officeDocument/2006/relationships/revisionLog" Target="revisionLog517.xml"/><Relationship Id="rId538" Type="http://schemas.openxmlformats.org/officeDocument/2006/relationships/revisionLog" Target="revisionLog538.xml"/><Relationship Id="rId559" Type="http://schemas.openxmlformats.org/officeDocument/2006/relationships/revisionLog" Target="revisionLog559.xml"/><Relationship Id="rId60" Type="http://schemas.openxmlformats.org/officeDocument/2006/relationships/revisionLog" Target="revisionLog60.xml"/><Relationship Id="rId81" Type="http://schemas.openxmlformats.org/officeDocument/2006/relationships/revisionLog" Target="revisionLog81.xml"/><Relationship Id="rId135" Type="http://schemas.openxmlformats.org/officeDocument/2006/relationships/revisionLog" Target="revisionLog135.xml"/><Relationship Id="rId156" Type="http://schemas.openxmlformats.org/officeDocument/2006/relationships/revisionLog" Target="revisionLog156.xml"/><Relationship Id="rId177" Type="http://schemas.openxmlformats.org/officeDocument/2006/relationships/revisionLog" Target="revisionLog177.xml"/><Relationship Id="rId198" Type="http://schemas.openxmlformats.org/officeDocument/2006/relationships/revisionLog" Target="revisionLog198.xml"/><Relationship Id="rId321" Type="http://schemas.openxmlformats.org/officeDocument/2006/relationships/revisionLog" Target="revisionLog321.xml"/><Relationship Id="rId342" Type="http://schemas.openxmlformats.org/officeDocument/2006/relationships/revisionLog" Target="revisionLog342.xml"/><Relationship Id="rId363" Type="http://schemas.openxmlformats.org/officeDocument/2006/relationships/revisionLog" Target="revisionLog363.xml"/><Relationship Id="rId384" Type="http://schemas.openxmlformats.org/officeDocument/2006/relationships/revisionLog" Target="revisionLog384.xml"/><Relationship Id="rId419" Type="http://schemas.openxmlformats.org/officeDocument/2006/relationships/revisionLog" Target="revisionLog419.xml"/><Relationship Id="rId570" Type="http://schemas.openxmlformats.org/officeDocument/2006/relationships/revisionLog" Target="revisionLog570.xml"/><Relationship Id="rId591" Type="http://schemas.openxmlformats.org/officeDocument/2006/relationships/revisionLog" Target="revisionLog591.xml"/><Relationship Id="rId202" Type="http://schemas.openxmlformats.org/officeDocument/2006/relationships/revisionLog" Target="revisionLog202.xml"/><Relationship Id="rId223" Type="http://schemas.openxmlformats.org/officeDocument/2006/relationships/revisionLog" Target="revisionLog223.xml"/><Relationship Id="rId244" Type="http://schemas.openxmlformats.org/officeDocument/2006/relationships/revisionLog" Target="revisionLog244.xml"/><Relationship Id="rId430" Type="http://schemas.openxmlformats.org/officeDocument/2006/relationships/revisionLog" Target="revisionLog430.xml"/><Relationship Id="rId18" Type="http://schemas.openxmlformats.org/officeDocument/2006/relationships/revisionLog" Target="revisionLog18.xml"/><Relationship Id="rId39" Type="http://schemas.openxmlformats.org/officeDocument/2006/relationships/revisionLog" Target="revisionLog39.xml"/><Relationship Id="rId265" Type="http://schemas.openxmlformats.org/officeDocument/2006/relationships/revisionLog" Target="revisionLog265.xml"/><Relationship Id="rId286" Type="http://schemas.openxmlformats.org/officeDocument/2006/relationships/revisionLog" Target="revisionLog286.xml"/><Relationship Id="rId451" Type="http://schemas.openxmlformats.org/officeDocument/2006/relationships/revisionLog" Target="revisionLog451.xml"/><Relationship Id="rId472" Type="http://schemas.openxmlformats.org/officeDocument/2006/relationships/revisionLog" Target="revisionLog472.xml"/><Relationship Id="rId493" Type="http://schemas.openxmlformats.org/officeDocument/2006/relationships/revisionLog" Target="revisionLog493.xml"/><Relationship Id="rId507" Type="http://schemas.openxmlformats.org/officeDocument/2006/relationships/revisionLog" Target="revisionLog507.xml"/><Relationship Id="rId528" Type="http://schemas.openxmlformats.org/officeDocument/2006/relationships/revisionLog" Target="revisionLog528.xml"/><Relationship Id="rId549" Type="http://schemas.openxmlformats.org/officeDocument/2006/relationships/revisionLog" Target="revisionLog549.xml"/><Relationship Id="rId50" Type="http://schemas.openxmlformats.org/officeDocument/2006/relationships/revisionLog" Target="revisionLog50.xml"/><Relationship Id="rId104" Type="http://schemas.openxmlformats.org/officeDocument/2006/relationships/revisionLog" Target="revisionLog104.xml"/><Relationship Id="rId125" Type="http://schemas.openxmlformats.org/officeDocument/2006/relationships/revisionLog" Target="revisionLog125.xml"/><Relationship Id="rId146" Type="http://schemas.openxmlformats.org/officeDocument/2006/relationships/revisionLog" Target="revisionLog146.xml"/><Relationship Id="rId167" Type="http://schemas.openxmlformats.org/officeDocument/2006/relationships/revisionLog" Target="revisionLog167.xml"/><Relationship Id="rId188" Type="http://schemas.openxmlformats.org/officeDocument/2006/relationships/revisionLog" Target="revisionLog188.xml"/><Relationship Id="rId311" Type="http://schemas.openxmlformats.org/officeDocument/2006/relationships/revisionLog" Target="revisionLog311.xml"/><Relationship Id="rId332" Type="http://schemas.openxmlformats.org/officeDocument/2006/relationships/revisionLog" Target="revisionLog332.xml"/><Relationship Id="rId353" Type="http://schemas.openxmlformats.org/officeDocument/2006/relationships/revisionLog" Target="revisionLog353.xml"/><Relationship Id="rId374" Type="http://schemas.openxmlformats.org/officeDocument/2006/relationships/revisionLog" Target="revisionLog374.xml"/><Relationship Id="rId395" Type="http://schemas.openxmlformats.org/officeDocument/2006/relationships/revisionLog" Target="revisionLog395.xml"/><Relationship Id="rId409" Type="http://schemas.openxmlformats.org/officeDocument/2006/relationships/revisionLog" Target="revisionLog409.xml"/><Relationship Id="rId560" Type="http://schemas.openxmlformats.org/officeDocument/2006/relationships/revisionLog" Target="revisionLog560.xml"/><Relationship Id="rId581" Type="http://schemas.openxmlformats.org/officeDocument/2006/relationships/revisionLog" Target="revisionLog581.xml"/><Relationship Id="rId71" Type="http://schemas.openxmlformats.org/officeDocument/2006/relationships/revisionLog" Target="revisionLog71.xml"/><Relationship Id="rId92" Type="http://schemas.openxmlformats.org/officeDocument/2006/relationships/revisionLog" Target="revisionLog92.xml"/><Relationship Id="rId213" Type="http://schemas.openxmlformats.org/officeDocument/2006/relationships/revisionLog" Target="revisionLog213.xml"/><Relationship Id="rId234" Type="http://schemas.openxmlformats.org/officeDocument/2006/relationships/revisionLog" Target="revisionLog234.xml"/><Relationship Id="rId420" Type="http://schemas.openxmlformats.org/officeDocument/2006/relationships/revisionLog" Target="revisionLog420.xml"/><Relationship Id="rId2" Type="http://schemas.openxmlformats.org/officeDocument/2006/relationships/revisionLog" Target="revisionLog2.xml"/><Relationship Id="rId29" Type="http://schemas.openxmlformats.org/officeDocument/2006/relationships/revisionLog" Target="revisionLog29.xml"/><Relationship Id="rId255" Type="http://schemas.openxmlformats.org/officeDocument/2006/relationships/revisionLog" Target="revisionLog255.xml"/><Relationship Id="rId276" Type="http://schemas.openxmlformats.org/officeDocument/2006/relationships/revisionLog" Target="revisionLog276.xml"/><Relationship Id="rId297" Type="http://schemas.openxmlformats.org/officeDocument/2006/relationships/revisionLog" Target="revisionLog297.xml"/><Relationship Id="rId441" Type="http://schemas.openxmlformats.org/officeDocument/2006/relationships/revisionLog" Target="revisionLog441.xml"/><Relationship Id="rId462" Type="http://schemas.openxmlformats.org/officeDocument/2006/relationships/revisionLog" Target="revisionLog462.xml"/><Relationship Id="rId483" Type="http://schemas.openxmlformats.org/officeDocument/2006/relationships/revisionLog" Target="revisionLog483.xml"/><Relationship Id="rId518" Type="http://schemas.openxmlformats.org/officeDocument/2006/relationships/revisionLog" Target="revisionLog518.xml"/><Relationship Id="rId539" Type="http://schemas.openxmlformats.org/officeDocument/2006/relationships/revisionLog" Target="revisionLog539.xml"/><Relationship Id="rId40" Type="http://schemas.openxmlformats.org/officeDocument/2006/relationships/revisionLog" Target="revisionLog40.xml"/><Relationship Id="rId115" Type="http://schemas.openxmlformats.org/officeDocument/2006/relationships/revisionLog" Target="revisionLog115.xml"/><Relationship Id="rId136" Type="http://schemas.openxmlformats.org/officeDocument/2006/relationships/revisionLog" Target="revisionLog136.xml"/><Relationship Id="rId157" Type="http://schemas.openxmlformats.org/officeDocument/2006/relationships/revisionLog" Target="revisionLog157.xml"/><Relationship Id="rId178" Type="http://schemas.openxmlformats.org/officeDocument/2006/relationships/revisionLog" Target="revisionLog178.xml"/><Relationship Id="rId301" Type="http://schemas.openxmlformats.org/officeDocument/2006/relationships/revisionLog" Target="revisionLog301.xml"/><Relationship Id="rId322" Type="http://schemas.openxmlformats.org/officeDocument/2006/relationships/revisionLog" Target="revisionLog322.xml"/><Relationship Id="rId343" Type="http://schemas.openxmlformats.org/officeDocument/2006/relationships/revisionLog" Target="revisionLog343.xml"/><Relationship Id="rId364" Type="http://schemas.openxmlformats.org/officeDocument/2006/relationships/revisionLog" Target="revisionLog364.xml"/><Relationship Id="rId550" Type="http://schemas.openxmlformats.org/officeDocument/2006/relationships/revisionLog" Target="revisionLog550.xml"/><Relationship Id="rId61" Type="http://schemas.openxmlformats.org/officeDocument/2006/relationships/revisionLog" Target="revisionLog61.xml"/><Relationship Id="rId82" Type="http://schemas.openxmlformats.org/officeDocument/2006/relationships/revisionLog" Target="revisionLog82.xml"/><Relationship Id="rId199" Type="http://schemas.openxmlformats.org/officeDocument/2006/relationships/revisionLog" Target="revisionLog199.xml"/><Relationship Id="rId203" Type="http://schemas.openxmlformats.org/officeDocument/2006/relationships/revisionLog" Target="revisionLog203.xml"/><Relationship Id="rId385" Type="http://schemas.openxmlformats.org/officeDocument/2006/relationships/revisionLog" Target="revisionLog385.xml"/><Relationship Id="rId571" Type="http://schemas.openxmlformats.org/officeDocument/2006/relationships/revisionLog" Target="revisionLog571.xml"/><Relationship Id="rId592" Type="http://schemas.openxmlformats.org/officeDocument/2006/relationships/revisionLog" Target="revisionLog592.xml"/><Relationship Id="rId19" Type="http://schemas.openxmlformats.org/officeDocument/2006/relationships/revisionLog" Target="revisionLog19.xml"/><Relationship Id="rId224" Type="http://schemas.openxmlformats.org/officeDocument/2006/relationships/revisionLog" Target="revisionLog224.xml"/><Relationship Id="rId245" Type="http://schemas.openxmlformats.org/officeDocument/2006/relationships/revisionLog" Target="revisionLog245.xml"/><Relationship Id="rId266" Type="http://schemas.openxmlformats.org/officeDocument/2006/relationships/revisionLog" Target="revisionLog266.xml"/><Relationship Id="rId287" Type="http://schemas.openxmlformats.org/officeDocument/2006/relationships/revisionLog" Target="revisionLog287.xml"/><Relationship Id="rId410" Type="http://schemas.openxmlformats.org/officeDocument/2006/relationships/revisionLog" Target="revisionLog410.xml"/><Relationship Id="rId431" Type="http://schemas.openxmlformats.org/officeDocument/2006/relationships/revisionLog" Target="revisionLog431.xml"/><Relationship Id="rId452" Type="http://schemas.openxmlformats.org/officeDocument/2006/relationships/revisionLog" Target="revisionLog452.xml"/><Relationship Id="rId473" Type="http://schemas.openxmlformats.org/officeDocument/2006/relationships/revisionLog" Target="revisionLog473.xml"/><Relationship Id="rId494" Type="http://schemas.openxmlformats.org/officeDocument/2006/relationships/revisionLog" Target="revisionLog494.xml"/><Relationship Id="rId508" Type="http://schemas.openxmlformats.org/officeDocument/2006/relationships/revisionLog" Target="revisionLog508.xml"/><Relationship Id="rId529" Type="http://schemas.openxmlformats.org/officeDocument/2006/relationships/revisionLog" Target="revisionLog529.xml"/><Relationship Id="rId30" Type="http://schemas.openxmlformats.org/officeDocument/2006/relationships/revisionLog" Target="revisionLog30.xml"/><Relationship Id="rId105" Type="http://schemas.openxmlformats.org/officeDocument/2006/relationships/revisionLog" Target="revisionLog105.xml"/><Relationship Id="rId126" Type="http://schemas.openxmlformats.org/officeDocument/2006/relationships/revisionLog" Target="revisionLog126.xml"/><Relationship Id="rId147" Type="http://schemas.openxmlformats.org/officeDocument/2006/relationships/revisionLog" Target="revisionLog147.xml"/><Relationship Id="rId168" Type="http://schemas.openxmlformats.org/officeDocument/2006/relationships/revisionLog" Target="revisionLog168.xml"/><Relationship Id="rId312" Type="http://schemas.openxmlformats.org/officeDocument/2006/relationships/revisionLog" Target="revisionLog312.xml"/><Relationship Id="rId333" Type="http://schemas.openxmlformats.org/officeDocument/2006/relationships/revisionLog" Target="revisionLog333.xml"/><Relationship Id="rId354" Type="http://schemas.openxmlformats.org/officeDocument/2006/relationships/revisionLog" Target="revisionLog354.xml"/><Relationship Id="rId540" Type="http://schemas.openxmlformats.org/officeDocument/2006/relationships/revisionLog" Target="revisionLog540.xml"/><Relationship Id="rId51" Type="http://schemas.openxmlformats.org/officeDocument/2006/relationships/revisionLog" Target="revisionLog51.xml"/><Relationship Id="rId72" Type="http://schemas.openxmlformats.org/officeDocument/2006/relationships/revisionLog" Target="revisionLog72.xml"/><Relationship Id="rId93" Type="http://schemas.openxmlformats.org/officeDocument/2006/relationships/revisionLog" Target="revisionLog93.xml"/><Relationship Id="rId189" Type="http://schemas.openxmlformats.org/officeDocument/2006/relationships/revisionLog" Target="revisionLog189.xml"/><Relationship Id="rId375" Type="http://schemas.openxmlformats.org/officeDocument/2006/relationships/revisionLog" Target="revisionLog375.xml"/><Relationship Id="rId396" Type="http://schemas.openxmlformats.org/officeDocument/2006/relationships/revisionLog" Target="revisionLog396.xml"/><Relationship Id="rId561" Type="http://schemas.openxmlformats.org/officeDocument/2006/relationships/revisionLog" Target="revisionLog561.xml"/><Relationship Id="rId582" Type="http://schemas.openxmlformats.org/officeDocument/2006/relationships/revisionLog" Target="revisionLog582.xml"/><Relationship Id="rId3" Type="http://schemas.openxmlformats.org/officeDocument/2006/relationships/revisionLog" Target="revisionLog3.xml"/><Relationship Id="rId214" Type="http://schemas.openxmlformats.org/officeDocument/2006/relationships/revisionLog" Target="revisionLog214.xml"/><Relationship Id="rId235" Type="http://schemas.openxmlformats.org/officeDocument/2006/relationships/revisionLog" Target="revisionLog235.xml"/><Relationship Id="rId256" Type="http://schemas.openxmlformats.org/officeDocument/2006/relationships/revisionLog" Target="revisionLog256.xml"/><Relationship Id="rId277" Type="http://schemas.openxmlformats.org/officeDocument/2006/relationships/revisionLog" Target="revisionLog277.xml"/><Relationship Id="rId298" Type="http://schemas.openxmlformats.org/officeDocument/2006/relationships/revisionLog" Target="revisionLog298.xml"/><Relationship Id="rId400" Type="http://schemas.openxmlformats.org/officeDocument/2006/relationships/revisionLog" Target="revisionLog400.xml"/><Relationship Id="rId421" Type="http://schemas.openxmlformats.org/officeDocument/2006/relationships/revisionLog" Target="revisionLog421.xml"/><Relationship Id="rId442" Type="http://schemas.openxmlformats.org/officeDocument/2006/relationships/revisionLog" Target="revisionLog442.xml"/><Relationship Id="rId463" Type="http://schemas.openxmlformats.org/officeDocument/2006/relationships/revisionLog" Target="revisionLog463.xml"/><Relationship Id="rId484" Type="http://schemas.openxmlformats.org/officeDocument/2006/relationships/revisionLog" Target="revisionLog484.xml"/><Relationship Id="rId519" Type="http://schemas.openxmlformats.org/officeDocument/2006/relationships/revisionLog" Target="revisionLog519.xml"/><Relationship Id="rId116" Type="http://schemas.openxmlformats.org/officeDocument/2006/relationships/revisionLog" Target="revisionLog116.xml"/><Relationship Id="rId137" Type="http://schemas.openxmlformats.org/officeDocument/2006/relationships/revisionLog" Target="revisionLog137.xml"/><Relationship Id="rId158" Type="http://schemas.openxmlformats.org/officeDocument/2006/relationships/revisionLog" Target="revisionLog158.xml"/><Relationship Id="rId302" Type="http://schemas.openxmlformats.org/officeDocument/2006/relationships/revisionLog" Target="revisionLog302.xml"/><Relationship Id="rId323" Type="http://schemas.openxmlformats.org/officeDocument/2006/relationships/revisionLog" Target="revisionLog323.xml"/><Relationship Id="rId344" Type="http://schemas.openxmlformats.org/officeDocument/2006/relationships/revisionLog" Target="revisionLog344.xml"/><Relationship Id="rId530" Type="http://schemas.openxmlformats.org/officeDocument/2006/relationships/revisionLog" Target="revisionLog530.xml"/><Relationship Id="rId20" Type="http://schemas.openxmlformats.org/officeDocument/2006/relationships/revisionLog" Target="revisionLog20.xml"/><Relationship Id="rId41" Type="http://schemas.openxmlformats.org/officeDocument/2006/relationships/revisionLog" Target="revisionLog41.xml"/><Relationship Id="rId62" Type="http://schemas.openxmlformats.org/officeDocument/2006/relationships/revisionLog" Target="revisionLog62.xml"/><Relationship Id="rId83" Type="http://schemas.openxmlformats.org/officeDocument/2006/relationships/revisionLog" Target="revisionLog83.xml"/><Relationship Id="rId179" Type="http://schemas.openxmlformats.org/officeDocument/2006/relationships/revisionLog" Target="revisionLog179.xml"/><Relationship Id="rId365" Type="http://schemas.openxmlformats.org/officeDocument/2006/relationships/revisionLog" Target="revisionLog365.xml"/><Relationship Id="rId386" Type="http://schemas.openxmlformats.org/officeDocument/2006/relationships/revisionLog" Target="revisionLog386.xml"/><Relationship Id="rId551" Type="http://schemas.openxmlformats.org/officeDocument/2006/relationships/revisionLog" Target="revisionLog551.xml"/><Relationship Id="rId572" Type="http://schemas.openxmlformats.org/officeDocument/2006/relationships/revisionLog" Target="revisionLog572.xml"/><Relationship Id="rId593" Type="http://schemas.openxmlformats.org/officeDocument/2006/relationships/revisionLog" Target="revisionLog593.xml"/><Relationship Id="rId190" Type="http://schemas.openxmlformats.org/officeDocument/2006/relationships/revisionLog" Target="revisionLog190.xml"/><Relationship Id="rId204" Type="http://schemas.openxmlformats.org/officeDocument/2006/relationships/revisionLog" Target="revisionLog204.xml"/><Relationship Id="rId225" Type="http://schemas.openxmlformats.org/officeDocument/2006/relationships/revisionLog" Target="revisionLog225.xml"/><Relationship Id="rId246" Type="http://schemas.openxmlformats.org/officeDocument/2006/relationships/revisionLog" Target="revisionLog246.xml"/><Relationship Id="rId267" Type="http://schemas.openxmlformats.org/officeDocument/2006/relationships/revisionLog" Target="revisionLog267.xml"/><Relationship Id="rId288" Type="http://schemas.openxmlformats.org/officeDocument/2006/relationships/revisionLog" Target="revisionLog288.xml"/><Relationship Id="rId411" Type="http://schemas.openxmlformats.org/officeDocument/2006/relationships/revisionLog" Target="revisionLog411.xml"/><Relationship Id="rId432" Type="http://schemas.openxmlformats.org/officeDocument/2006/relationships/revisionLog" Target="revisionLog432.xml"/><Relationship Id="rId453" Type="http://schemas.openxmlformats.org/officeDocument/2006/relationships/revisionLog" Target="revisionLog453.xml"/><Relationship Id="rId474" Type="http://schemas.openxmlformats.org/officeDocument/2006/relationships/revisionLog" Target="revisionLog474.xml"/><Relationship Id="rId509" Type="http://schemas.openxmlformats.org/officeDocument/2006/relationships/revisionLog" Target="revisionLog509.xml"/><Relationship Id="rId106" Type="http://schemas.openxmlformats.org/officeDocument/2006/relationships/revisionLog" Target="revisionLog106.xml"/><Relationship Id="rId127" Type="http://schemas.openxmlformats.org/officeDocument/2006/relationships/revisionLog" Target="revisionLog127.xml"/><Relationship Id="rId313" Type="http://schemas.openxmlformats.org/officeDocument/2006/relationships/revisionLog" Target="revisionLog313.xml"/><Relationship Id="rId495" Type="http://schemas.openxmlformats.org/officeDocument/2006/relationships/revisionLog" Target="revisionLog495.xml"/><Relationship Id="rId10" Type="http://schemas.openxmlformats.org/officeDocument/2006/relationships/revisionLog" Target="revisionLog10.xml"/><Relationship Id="rId31" Type="http://schemas.openxmlformats.org/officeDocument/2006/relationships/revisionLog" Target="revisionLog31.xml"/><Relationship Id="rId52" Type="http://schemas.openxmlformats.org/officeDocument/2006/relationships/revisionLog" Target="revisionLog52.xml"/><Relationship Id="rId73" Type="http://schemas.openxmlformats.org/officeDocument/2006/relationships/revisionLog" Target="revisionLog73.xml"/><Relationship Id="rId94" Type="http://schemas.openxmlformats.org/officeDocument/2006/relationships/revisionLog" Target="revisionLog94.xml"/><Relationship Id="rId148" Type="http://schemas.openxmlformats.org/officeDocument/2006/relationships/revisionLog" Target="revisionLog148.xml"/><Relationship Id="rId169" Type="http://schemas.openxmlformats.org/officeDocument/2006/relationships/revisionLog" Target="revisionLog169.xml"/><Relationship Id="rId334" Type="http://schemas.openxmlformats.org/officeDocument/2006/relationships/revisionLog" Target="revisionLog334.xml"/><Relationship Id="rId355" Type="http://schemas.openxmlformats.org/officeDocument/2006/relationships/revisionLog" Target="revisionLog355.xml"/><Relationship Id="rId376" Type="http://schemas.openxmlformats.org/officeDocument/2006/relationships/revisionLog" Target="revisionLog376.xml"/><Relationship Id="rId397" Type="http://schemas.openxmlformats.org/officeDocument/2006/relationships/revisionLog" Target="revisionLog397.xml"/><Relationship Id="rId520" Type="http://schemas.openxmlformats.org/officeDocument/2006/relationships/revisionLog" Target="revisionLog520.xml"/><Relationship Id="rId541" Type="http://schemas.openxmlformats.org/officeDocument/2006/relationships/revisionLog" Target="revisionLog541.xml"/><Relationship Id="rId562" Type="http://schemas.openxmlformats.org/officeDocument/2006/relationships/revisionLog" Target="revisionLog562.xml"/><Relationship Id="rId583" Type="http://schemas.openxmlformats.org/officeDocument/2006/relationships/revisionLog" Target="revisionLog583.xml"/><Relationship Id="rId4" Type="http://schemas.openxmlformats.org/officeDocument/2006/relationships/revisionLog" Target="revisionLog4.xml"/><Relationship Id="rId180" Type="http://schemas.openxmlformats.org/officeDocument/2006/relationships/revisionLog" Target="revisionLog180.xml"/><Relationship Id="rId215" Type="http://schemas.openxmlformats.org/officeDocument/2006/relationships/revisionLog" Target="revisionLog215.xml"/><Relationship Id="rId236" Type="http://schemas.openxmlformats.org/officeDocument/2006/relationships/revisionLog" Target="revisionLog236.xml"/><Relationship Id="rId257" Type="http://schemas.openxmlformats.org/officeDocument/2006/relationships/revisionLog" Target="revisionLog257.xml"/><Relationship Id="rId278" Type="http://schemas.openxmlformats.org/officeDocument/2006/relationships/revisionLog" Target="revisionLog278.xml"/><Relationship Id="rId401" Type="http://schemas.openxmlformats.org/officeDocument/2006/relationships/revisionLog" Target="revisionLog401.xml"/><Relationship Id="rId422" Type="http://schemas.openxmlformats.org/officeDocument/2006/relationships/revisionLog" Target="revisionLog422.xml"/><Relationship Id="rId443" Type="http://schemas.openxmlformats.org/officeDocument/2006/relationships/revisionLog" Target="revisionLog443.xml"/><Relationship Id="rId464" Type="http://schemas.openxmlformats.org/officeDocument/2006/relationships/revisionLog" Target="revisionLog464.xml"/><Relationship Id="rId303" Type="http://schemas.openxmlformats.org/officeDocument/2006/relationships/revisionLog" Target="revisionLog303.xml"/><Relationship Id="rId485" Type="http://schemas.openxmlformats.org/officeDocument/2006/relationships/revisionLog" Target="revisionLog485.xml"/><Relationship Id="rId42" Type="http://schemas.openxmlformats.org/officeDocument/2006/relationships/revisionLog" Target="revisionLog42.xml"/><Relationship Id="rId84" Type="http://schemas.openxmlformats.org/officeDocument/2006/relationships/revisionLog" Target="revisionLog84.xml"/><Relationship Id="rId138" Type="http://schemas.openxmlformats.org/officeDocument/2006/relationships/revisionLog" Target="revisionLog138.xml"/><Relationship Id="rId345" Type="http://schemas.openxmlformats.org/officeDocument/2006/relationships/revisionLog" Target="revisionLog345.xml"/><Relationship Id="rId387" Type="http://schemas.openxmlformats.org/officeDocument/2006/relationships/revisionLog" Target="revisionLog387.xml"/><Relationship Id="rId510" Type="http://schemas.openxmlformats.org/officeDocument/2006/relationships/revisionLog" Target="revisionLog510.xml"/><Relationship Id="rId552" Type="http://schemas.openxmlformats.org/officeDocument/2006/relationships/revisionLog" Target="revisionLog552.xml"/><Relationship Id="rId594" Type="http://schemas.openxmlformats.org/officeDocument/2006/relationships/revisionLog" Target="revisionLog594.xml"/><Relationship Id="rId191" Type="http://schemas.openxmlformats.org/officeDocument/2006/relationships/revisionLog" Target="revisionLog191.xml"/><Relationship Id="rId205" Type="http://schemas.openxmlformats.org/officeDocument/2006/relationships/revisionLog" Target="revisionLog205.xml"/><Relationship Id="rId247" Type="http://schemas.openxmlformats.org/officeDocument/2006/relationships/revisionLog" Target="revisionLog247.xml"/><Relationship Id="rId412" Type="http://schemas.openxmlformats.org/officeDocument/2006/relationships/revisionLog" Target="revisionLog412.xml"/><Relationship Id="rId107" Type="http://schemas.openxmlformats.org/officeDocument/2006/relationships/revisionLog" Target="revisionLog107.xml"/><Relationship Id="rId289" Type="http://schemas.openxmlformats.org/officeDocument/2006/relationships/revisionLog" Target="revisionLog289.xml"/><Relationship Id="rId454" Type="http://schemas.openxmlformats.org/officeDocument/2006/relationships/revisionLog" Target="revisionLog454.xml"/><Relationship Id="rId496" Type="http://schemas.openxmlformats.org/officeDocument/2006/relationships/revisionLog" Target="revisionLog496.xml"/><Relationship Id="rId11" Type="http://schemas.openxmlformats.org/officeDocument/2006/relationships/revisionLog" Target="revisionLog11.xml"/><Relationship Id="rId53" Type="http://schemas.openxmlformats.org/officeDocument/2006/relationships/revisionLog" Target="revisionLog53.xml"/><Relationship Id="rId149" Type="http://schemas.openxmlformats.org/officeDocument/2006/relationships/revisionLog" Target="revisionLog149.xml"/><Relationship Id="rId314" Type="http://schemas.openxmlformats.org/officeDocument/2006/relationships/revisionLog" Target="revisionLog314.xml"/><Relationship Id="rId356" Type="http://schemas.openxmlformats.org/officeDocument/2006/relationships/revisionLog" Target="revisionLog356.xml"/><Relationship Id="rId398" Type="http://schemas.openxmlformats.org/officeDocument/2006/relationships/revisionLog" Target="revisionLog398.xml"/><Relationship Id="rId521" Type="http://schemas.openxmlformats.org/officeDocument/2006/relationships/revisionLog" Target="revisionLog521.xml"/><Relationship Id="rId563" Type="http://schemas.openxmlformats.org/officeDocument/2006/relationships/revisionLog" Target="revisionLog563.xml"/><Relationship Id="rId95" Type="http://schemas.openxmlformats.org/officeDocument/2006/relationships/revisionLog" Target="revisionLog95.xml"/><Relationship Id="rId160" Type="http://schemas.openxmlformats.org/officeDocument/2006/relationships/revisionLog" Target="revisionLog160.xml"/><Relationship Id="rId216" Type="http://schemas.openxmlformats.org/officeDocument/2006/relationships/revisionLog" Target="revisionLog216.xml"/><Relationship Id="rId423" Type="http://schemas.openxmlformats.org/officeDocument/2006/relationships/revisionLog" Target="revisionLog423.xml"/><Relationship Id="rId258" Type="http://schemas.openxmlformats.org/officeDocument/2006/relationships/revisionLog" Target="revisionLog258.xml"/><Relationship Id="rId465" Type="http://schemas.openxmlformats.org/officeDocument/2006/relationships/revisionLog" Target="revisionLog465.xml"/><Relationship Id="rId22" Type="http://schemas.openxmlformats.org/officeDocument/2006/relationships/revisionLog" Target="revisionLog22.xml"/><Relationship Id="rId64" Type="http://schemas.openxmlformats.org/officeDocument/2006/relationships/revisionLog" Target="revisionLog64.xml"/><Relationship Id="rId118" Type="http://schemas.openxmlformats.org/officeDocument/2006/relationships/revisionLog" Target="revisionLog118.xml"/><Relationship Id="rId325" Type="http://schemas.openxmlformats.org/officeDocument/2006/relationships/revisionLog" Target="revisionLog325.xml"/><Relationship Id="rId367" Type="http://schemas.openxmlformats.org/officeDocument/2006/relationships/revisionLog" Target="revisionLog367.xml"/><Relationship Id="rId532" Type="http://schemas.openxmlformats.org/officeDocument/2006/relationships/revisionLog" Target="revisionLog532.xml"/><Relationship Id="rId574" Type="http://schemas.openxmlformats.org/officeDocument/2006/relationships/revisionLog" Target="revisionLog574.xml"/><Relationship Id="rId171" Type="http://schemas.openxmlformats.org/officeDocument/2006/relationships/revisionLog" Target="revisionLog171.xml"/><Relationship Id="rId227" Type="http://schemas.openxmlformats.org/officeDocument/2006/relationships/revisionLog" Target="revisionLog227.xml"/><Relationship Id="rId269" Type="http://schemas.openxmlformats.org/officeDocument/2006/relationships/revisionLog" Target="revisionLog269.xml"/><Relationship Id="rId434" Type="http://schemas.openxmlformats.org/officeDocument/2006/relationships/revisionLog" Target="revisionLog434.xml"/><Relationship Id="rId476" Type="http://schemas.openxmlformats.org/officeDocument/2006/relationships/revisionLog" Target="revisionLog476.xml"/><Relationship Id="rId33" Type="http://schemas.openxmlformats.org/officeDocument/2006/relationships/revisionLog" Target="revisionLog33.xml"/><Relationship Id="rId129" Type="http://schemas.openxmlformats.org/officeDocument/2006/relationships/revisionLog" Target="revisionLog129.xml"/><Relationship Id="rId280" Type="http://schemas.openxmlformats.org/officeDocument/2006/relationships/revisionLog" Target="revisionLog280.xml"/><Relationship Id="rId336" Type="http://schemas.openxmlformats.org/officeDocument/2006/relationships/revisionLog" Target="revisionLog336.xml"/><Relationship Id="rId501" Type="http://schemas.openxmlformats.org/officeDocument/2006/relationships/revisionLog" Target="revisionLog501.xml"/><Relationship Id="rId543" Type="http://schemas.openxmlformats.org/officeDocument/2006/relationships/revisionLog" Target="revisionLog543.xml"/><Relationship Id="rId75" Type="http://schemas.openxmlformats.org/officeDocument/2006/relationships/revisionLog" Target="revisionLog75.xml"/><Relationship Id="rId140" Type="http://schemas.openxmlformats.org/officeDocument/2006/relationships/revisionLog" Target="revisionLog140.xml"/><Relationship Id="rId182" Type="http://schemas.openxmlformats.org/officeDocument/2006/relationships/revisionLog" Target="revisionLog182.xml"/><Relationship Id="rId378" Type="http://schemas.openxmlformats.org/officeDocument/2006/relationships/revisionLog" Target="revisionLog378.xml"/><Relationship Id="rId403" Type="http://schemas.openxmlformats.org/officeDocument/2006/relationships/revisionLog" Target="revisionLog403.xml"/><Relationship Id="rId585" Type="http://schemas.openxmlformats.org/officeDocument/2006/relationships/revisionLog" Target="revisionLog585.xml"/><Relationship Id="rId6" Type="http://schemas.openxmlformats.org/officeDocument/2006/relationships/revisionLog" Target="revisionLog6.xml"/><Relationship Id="rId238" Type="http://schemas.openxmlformats.org/officeDocument/2006/relationships/revisionLog" Target="revisionLog238.xml"/><Relationship Id="rId445" Type="http://schemas.openxmlformats.org/officeDocument/2006/relationships/revisionLog" Target="revisionLog445.xml"/><Relationship Id="rId487" Type="http://schemas.openxmlformats.org/officeDocument/2006/relationships/revisionLog" Target="revisionLog487.xml"/><Relationship Id="rId291" Type="http://schemas.openxmlformats.org/officeDocument/2006/relationships/revisionLog" Target="revisionLog291.xml"/><Relationship Id="rId305" Type="http://schemas.openxmlformats.org/officeDocument/2006/relationships/revisionLog" Target="revisionLog305.xml"/><Relationship Id="rId347" Type="http://schemas.openxmlformats.org/officeDocument/2006/relationships/revisionLog" Target="revisionLog347.xml"/><Relationship Id="rId512" Type="http://schemas.openxmlformats.org/officeDocument/2006/relationships/revisionLog" Target="revisionLog512.xml"/><Relationship Id="rId44" Type="http://schemas.openxmlformats.org/officeDocument/2006/relationships/revisionLog" Target="revisionLog44.xml"/><Relationship Id="rId86" Type="http://schemas.openxmlformats.org/officeDocument/2006/relationships/revisionLog" Target="revisionLog86.xml"/><Relationship Id="rId151" Type="http://schemas.openxmlformats.org/officeDocument/2006/relationships/revisionLog" Target="revisionLog151.xml"/><Relationship Id="rId389" Type="http://schemas.openxmlformats.org/officeDocument/2006/relationships/revisionLog" Target="revisionLog389.xml"/><Relationship Id="rId554" Type="http://schemas.openxmlformats.org/officeDocument/2006/relationships/revisionLog" Target="revisionLog554.xml"/><Relationship Id="rId596" Type="http://schemas.openxmlformats.org/officeDocument/2006/relationships/revisionLog" Target="revisionLog596.xml"/><Relationship Id="rId193" Type="http://schemas.openxmlformats.org/officeDocument/2006/relationships/revisionLog" Target="revisionLog193.xml"/><Relationship Id="rId207" Type="http://schemas.openxmlformats.org/officeDocument/2006/relationships/revisionLog" Target="revisionLog207.xml"/><Relationship Id="rId249" Type="http://schemas.openxmlformats.org/officeDocument/2006/relationships/revisionLog" Target="revisionLog249.xml"/><Relationship Id="rId414" Type="http://schemas.openxmlformats.org/officeDocument/2006/relationships/revisionLog" Target="revisionLog414.xml"/><Relationship Id="rId456" Type="http://schemas.openxmlformats.org/officeDocument/2006/relationships/revisionLog" Target="revisionLog456.xml"/><Relationship Id="rId498" Type="http://schemas.openxmlformats.org/officeDocument/2006/relationships/revisionLog" Target="revisionLog498.xml"/><Relationship Id="rId13" Type="http://schemas.openxmlformats.org/officeDocument/2006/relationships/revisionLog" Target="revisionLog13.xml"/><Relationship Id="rId109" Type="http://schemas.openxmlformats.org/officeDocument/2006/relationships/revisionLog" Target="revisionLog109.xml"/><Relationship Id="rId260" Type="http://schemas.openxmlformats.org/officeDocument/2006/relationships/revisionLog" Target="revisionLog260.xml"/><Relationship Id="rId316" Type="http://schemas.openxmlformats.org/officeDocument/2006/relationships/revisionLog" Target="revisionLog316.xml"/><Relationship Id="rId523" Type="http://schemas.openxmlformats.org/officeDocument/2006/relationships/revisionLog" Target="revisionLog523.xml"/><Relationship Id="rId55" Type="http://schemas.openxmlformats.org/officeDocument/2006/relationships/revisionLog" Target="revisionLog55.xml"/><Relationship Id="rId97" Type="http://schemas.openxmlformats.org/officeDocument/2006/relationships/revisionLog" Target="revisionLog97.xml"/><Relationship Id="rId120" Type="http://schemas.openxmlformats.org/officeDocument/2006/relationships/revisionLog" Target="revisionLog120.xml"/><Relationship Id="rId358" Type="http://schemas.openxmlformats.org/officeDocument/2006/relationships/revisionLog" Target="revisionLog358.xml"/><Relationship Id="rId565" Type="http://schemas.openxmlformats.org/officeDocument/2006/relationships/revisionLog" Target="revisionLog565.xml"/><Relationship Id="rId162" Type="http://schemas.openxmlformats.org/officeDocument/2006/relationships/revisionLog" Target="revisionLog162.xml"/><Relationship Id="rId218" Type="http://schemas.openxmlformats.org/officeDocument/2006/relationships/revisionLog" Target="revisionLog218.xml"/><Relationship Id="rId425" Type="http://schemas.openxmlformats.org/officeDocument/2006/relationships/revisionLog" Target="revisionLog425.xml"/><Relationship Id="rId467" Type="http://schemas.openxmlformats.org/officeDocument/2006/relationships/revisionLog" Target="revisionLog467.xml"/><Relationship Id="rId271" Type="http://schemas.openxmlformats.org/officeDocument/2006/relationships/revisionLog" Target="revisionLog271.xml"/><Relationship Id="rId24" Type="http://schemas.openxmlformats.org/officeDocument/2006/relationships/revisionLog" Target="revisionLog24.xml"/><Relationship Id="rId66" Type="http://schemas.openxmlformats.org/officeDocument/2006/relationships/revisionLog" Target="revisionLog66.xml"/><Relationship Id="rId131" Type="http://schemas.openxmlformats.org/officeDocument/2006/relationships/revisionLog" Target="revisionLog131.xml"/><Relationship Id="rId327" Type="http://schemas.openxmlformats.org/officeDocument/2006/relationships/revisionLog" Target="revisionLog327.xml"/><Relationship Id="rId369" Type="http://schemas.openxmlformats.org/officeDocument/2006/relationships/revisionLog" Target="revisionLog369.xml"/><Relationship Id="rId534" Type="http://schemas.openxmlformats.org/officeDocument/2006/relationships/revisionLog" Target="revisionLog534.xml"/><Relationship Id="rId576" Type="http://schemas.openxmlformats.org/officeDocument/2006/relationships/revisionLog" Target="revisionLog576.xml"/><Relationship Id="rId173" Type="http://schemas.openxmlformats.org/officeDocument/2006/relationships/revisionLog" Target="revisionLog173.xml"/><Relationship Id="rId229" Type="http://schemas.openxmlformats.org/officeDocument/2006/relationships/revisionLog" Target="revisionLog229.xml"/><Relationship Id="rId380" Type="http://schemas.openxmlformats.org/officeDocument/2006/relationships/revisionLog" Target="revisionLog380.xml"/><Relationship Id="rId436" Type="http://schemas.openxmlformats.org/officeDocument/2006/relationships/revisionLog" Target="revisionLog436.xml"/><Relationship Id="rId240" Type="http://schemas.openxmlformats.org/officeDocument/2006/relationships/revisionLog" Target="revisionLog240.xml"/><Relationship Id="rId478" Type="http://schemas.openxmlformats.org/officeDocument/2006/relationships/revisionLog" Target="revisionLog478.xml"/><Relationship Id="rId35" Type="http://schemas.openxmlformats.org/officeDocument/2006/relationships/revisionLog" Target="revisionLog35.xml"/><Relationship Id="rId77" Type="http://schemas.openxmlformats.org/officeDocument/2006/relationships/revisionLog" Target="revisionLog77.xml"/><Relationship Id="rId100" Type="http://schemas.openxmlformats.org/officeDocument/2006/relationships/revisionLog" Target="revisionLog100.xml"/><Relationship Id="rId282" Type="http://schemas.openxmlformats.org/officeDocument/2006/relationships/revisionLog" Target="revisionLog282.xml"/><Relationship Id="rId338" Type="http://schemas.openxmlformats.org/officeDocument/2006/relationships/revisionLog" Target="revisionLog338.xml"/><Relationship Id="rId503" Type="http://schemas.openxmlformats.org/officeDocument/2006/relationships/revisionLog" Target="revisionLog503.xml"/><Relationship Id="rId545" Type="http://schemas.openxmlformats.org/officeDocument/2006/relationships/revisionLog" Target="revisionLog545.xml"/><Relationship Id="rId587" Type="http://schemas.openxmlformats.org/officeDocument/2006/relationships/revisionLog" Target="revisionLog587.xml"/><Relationship Id="rId8" Type="http://schemas.openxmlformats.org/officeDocument/2006/relationships/revisionLog" Target="revisionLog8.xml"/><Relationship Id="rId142" Type="http://schemas.openxmlformats.org/officeDocument/2006/relationships/revisionLog" Target="revisionLog142.xml"/><Relationship Id="rId184" Type="http://schemas.openxmlformats.org/officeDocument/2006/relationships/revisionLog" Target="revisionLog184.xml"/><Relationship Id="rId391" Type="http://schemas.openxmlformats.org/officeDocument/2006/relationships/revisionLog" Target="revisionLog391.xml"/><Relationship Id="rId405" Type="http://schemas.openxmlformats.org/officeDocument/2006/relationships/revisionLog" Target="revisionLog405.xml"/><Relationship Id="rId447" Type="http://schemas.openxmlformats.org/officeDocument/2006/relationships/revisionLog" Target="revisionLog447.xml"/><Relationship Id="rId251" Type="http://schemas.openxmlformats.org/officeDocument/2006/relationships/revisionLog" Target="revisionLog251.xml"/><Relationship Id="rId489" Type="http://schemas.openxmlformats.org/officeDocument/2006/relationships/revisionLog" Target="revisionLog489.xml"/><Relationship Id="rId46" Type="http://schemas.openxmlformats.org/officeDocument/2006/relationships/revisionLog" Target="revisionLog46.xml"/><Relationship Id="rId293" Type="http://schemas.openxmlformats.org/officeDocument/2006/relationships/revisionLog" Target="revisionLog293.xml"/><Relationship Id="rId307" Type="http://schemas.openxmlformats.org/officeDocument/2006/relationships/revisionLog" Target="revisionLog307.xml"/><Relationship Id="rId349" Type="http://schemas.openxmlformats.org/officeDocument/2006/relationships/revisionLog" Target="revisionLog349.xml"/><Relationship Id="rId514" Type="http://schemas.openxmlformats.org/officeDocument/2006/relationships/revisionLog" Target="revisionLog514.xml"/><Relationship Id="rId556" Type="http://schemas.openxmlformats.org/officeDocument/2006/relationships/revisionLog" Target="revisionLog556.xml"/><Relationship Id="rId88" Type="http://schemas.openxmlformats.org/officeDocument/2006/relationships/revisionLog" Target="revisionLog88.xml"/><Relationship Id="rId111" Type="http://schemas.openxmlformats.org/officeDocument/2006/relationships/revisionLog" Target="revisionLog111.xml"/><Relationship Id="rId153" Type="http://schemas.openxmlformats.org/officeDocument/2006/relationships/revisionLog" Target="revisionLog153.xml"/><Relationship Id="rId195" Type="http://schemas.openxmlformats.org/officeDocument/2006/relationships/revisionLog" Target="revisionLog195.xml"/><Relationship Id="rId209" Type="http://schemas.openxmlformats.org/officeDocument/2006/relationships/revisionLog" Target="revisionLog209.xml"/><Relationship Id="rId360" Type="http://schemas.openxmlformats.org/officeDocument/2006/relationships/revisionLog" Target="revisionLog360.xml"/><Relationship Id="rId416" Type="http://schemas.openxmlformats.org/officeDocument/2006/relationships/revisionLog" Target="revisionLog416.xml"/><Relationship Id="rId220" Type="http://schemas.openxmlformats.org/officeDocument/2006/relationships/revisionLog" Target="revisionLog220.xml"/><Relationship Id="rId458" Type="http://schemas.openxmlformats.org/officeDocument/2006/relationships/revisionLog" Target="revisionLog458.xml"/><Relationship Id="rId15" Type="http://schemas.openxmlformats.org/officeDocument/2006/relationships/revisionLog" Target="revisionLog15.xml"/><Relationship Id="rId57" Type="http://schemas.openxmlformats.org/officeDocument/2006/relationships/revisionLog" Target="revisionLog57.xml"/><Relationship Id="rId262" Type="http://schemas.openxmlformats.org/officeDocument/2006/relationships/revisionLog" Target="revisionLog262.xml"/><Relationship Id="rId318" Type="http://schemas.openxmlformats.org/officeDocument/2006/relationships/revisionLog" Target="revisionLog318.xml"/><Relationship Id="rId525" Type="http://schemas.openxmlformats.org/officeDocument/2006/relationships/revisionLog" Target="revisionLog525.xml"/><Relationship Id="rId567" Type="http://schemas.openxmlformats.org/officeDocument/2006/relationships/revisionLog" Target="revisionLog567.xml"/><Relationship Id="rId99" Type="http://schemas.openxmlformats.org/officeDocument/2006/relationships/revisionLog" Target="revisionLog99.xml"/><Relationship Id="rId122" Type="http://schemas.openxmlformats.org/officeDocument/2006/relationships/revisionLog" Target="revisionLog122.xml"/><Relationship Id="rId164" Type="http://schemas.openxmlformats.org/officeDocument/2006/relationships/revisionLog" Target="revisionLog164.xml"/><Relationship Id="rId371" Type="http://schemas.openxmlformats.org/officeDocument/2006/relationships/revisionLog" Target="revisionLog371.xml"/><Relationship Id="rId427" Type="http://schemas.openxmlformats.org/officeDocument/2006/relationships/revisionLog" Target="revisionLog427.xml"/><Relationship Id="rId469" Type="http://schemas.openxmlformats.org/officeDocument/2006/relationships/revisionLog" Target="revisionLog469.xml"/><Relationship Id="rId26" Type="http://schemas.openxmlformats.org/officeDocument/2006/relationships/revisionLog" Target="revisionLog26.xml"/><Relationship Id="rId231" Type="http://schemas.openxmlformats.org/officeDocument/2006/relationships/revisionLog" Target="revisionLog231.xml"/><Relationship Id="rId273" Type="http://schemas.openxmlformats.org/officeDocument/2006/relationships/revisionLog" Target="revisionLog273.xml"/><Relationship Id="rId329" Type="http://schemas.openxmlformats.org/officeDocument/2006/relationships/revisionLog" Target="revisionLog329.xml"/><Relationship Id="rId480" Type="http://schemas.openxmlformats.org/officeDocument/2006/relationships/revisionLog" Target="revisionLog480.xml"/><Relationship Id="rId536" Type="http://schemas.openxmlformats.org/officeDocument/2006/relationships/revisionLog" Target="revisionLog536.xml"/><Relationship Id="rId68" Type="http://schemas.openxmlformats.org/officeDocument/2006/relationships/revisionLog" Target="revisionLog68.xml"/><Relationship Id="rId133" Type="http://schemas.openxmlformats.org/officeDocument/2006/relationships/revisionLog" Target="revisionLog133.xml"/><Relationship Id="rId175" Type="http://schemas.openxmlformats.org/officeDocument/2006/relationships/revisionLog" Target="revisionLog175.xml"/><Relationship Id="rId340" Type="http://schemas.openxmlformats.org/officeDocument/2006/relationships/revisionLog" Target="revisionLog340.xml"/><Relationship Id="rId578" Type="http://schemas.openxmlformats.org/officeDocument/2006/relationships/revisionLog" Target="revisionLog578.xml"/><Relationship Id="rId200" Type="http://schemas.openxmlformats.org/officeDocument/2006/relationships/revisionLog" Target="revisionLog200.xml"/><Relationship Id="rId382" Type="http://schemas.openxmlformats.org/officeDocument/2006/relationships/revisionLog" Target="revisionLog382.xml"/><Relationship Id="rId438" Type="http://schemas.openxmlformats.org/officeDocument/2006/relationships/revisionLog" Target="revisionLog438.xml"/><Relationship Id="rId242" Type="http://schemas.openxmlformats.org/officeDocument/2006/relationships/revisionLog" Target="revisionLog242.xml"/><Relationship Id="rId284" Type="http://schemas.openxmlformats.org/officeDocument/2006/relationships/revisionLog" Target="revisionLog284.xml"/><Relationship Id="rId491" Type="http://schemas.openxmlformats.org/officeDocument/2006/relationships/revisionLog" Target="revisionLog491.xml"/><Relationship Id="rId505" Type="http://schemas.openxmlformats.org/officeDocument/2006/relationships/revisionLog" Target="revisionLog505.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5B4E5592-292E-4147-B571-7D2083569270}" diskRevisions="1" revisionId="6853" version="597">
  <header guid="{3D073D48-1D36-456B-BC4E-9BD317A2BF9C}" dateTime="2020-09-09T08:03:46" maxSheetId="10" userName="EXTERNAL Nguyen Tuan Duong (Ban Vien, RBVH/EPS45)" r:id="rId1">
    <sheetIdMap count="9">
      <sheetId val="1"/>
      <sheetId val="2"/>
      <sheetId val="3"/>
      <sheetId val="4"/>
      <sheetId val="5"/>
      <sheetId val="6"/>
      <sheetId val="7"/>
      <sheetId val="8"/>
      <sheetId val="9"/>
    </sheetIdMap>
  </header>
  <header guid="{3B81B3EE-D183-4F44-9B2E-DB5700A8E791}" dateTime="2020-09-09T08:04:54" maxSheetId="10" userName="EXTERNAL Nguyen Tuan Duong (Ban Vien, RBVH/EPS45)" r:id="rId2" minRId="1" maxRId="135">
    <sheetIdMap count="9">
      <sheetId val="1"/>
      <sheetId val="2"/>
      <sheetId val="3"/>
      <sheetId val="4"/>
      <sheetId val="5"/>
      <sheetId val="6"/>
      <sheetId val="7"/>
      <sheetId val="8"/>
      <sheetId val="9"/>
    </sheetIdMap>
  </header>
  <header guid="{7996084F-72EE-4C86-A4D7-373B1E15F7E0}" dateTime="2020-09-09T08:13:17" maxSheetId="10" userName="EXTERNAL Nguyen Tuan Duong (Ban Vien, RBVH/EPS45)" r:id="rId3" minRId="138" maxRId="160">
    <sheetIdMap count="9">
      <sheetId val="1"/>
      <sheetId val="2"/>
      <sheetId val="3"/>
      <sheetId val="4"/>
      <sheetId val="5"/>
      <sheetId val="6"/>
      <sheetId val="7"/>
      <sheetId val="8"/>
      <sheetId val="9"/>
    </sheetIdMap>
  </header>
  <header guid="{1C3673D4-1558-425E-96F8-62C5F268B0D1}" dateTime="2020-09-09T08:15:17" maxSheetId="10" userName="EXTERNAL Nguyen Tuan Duong (Ban Vien, RBVH/EPS45)" r:id="rId4" minRId="161" maxRId="432">
    <sheetIdMap count="9">
      <sheetId val="1"/>
      <sheetId val="2"/>
      <sheetId val="3"/>
      <sheetId val="4"/>
      <sheetId val="5"/>
      <sheetId val="6"/>
      <sheetId val="7"/>
      <sheetId val="8"/>
      <sheetId val="9"/>
    </sheetIdMap>
  </header>
  <header guid="{E38CDB4D-493F-4074-B1C1-D69740289050}" dateTime="2020-09-09T08:15:39" maxSheetId="10" userName="EXTERNAL Nguyen Tuan Duong (Ban Vien, RBVH/EPS45)" r:id="rId5" minRId="433" maxRId="484">
    <sheetIdMap count="9">
      <sheetId val="1"/>
      <sheetId val="2"/>
      <sheetId val="3"/>
      <sheetId val="4"/>
      <sheetId val="5"/>
      <sheetId val="6"/>
      <sheetId val="7"/>
      <sheetId val="8"/>
      <sheetId val="9"/>
    </sheetIdMap>
  </header>
  <header guid="{4342DD86-3658-4326-970C-82E5FF85CB83}" dateTime="2020-09-09T08:15:55" maxSheetId="10" userName="EXTERNAL Nguyen Tuan Duong (Ban Vien, RBVH/EPS45)" r:id="rId6" minRId="485" maxRId="652">
    <sheetIdMap count="9">
      <sheetId val="1"/>
      <sheetId val="2"/>
      <sheetId val="3"/>
      <sheetId val="4"/>
      <sheetId val="5"/>
      <sheetId val="6"/>
      <sheetId val="7"/>
      <sheetId val="8"/>
      <sheetId val="9"/>
    </sheetIdMap>
  </header>
  <header guid="{5A6A7AFB-98D1-4B52-8308-79FB2A2AB724}" dateTime="2020-09-09T08:16:16" maxSheetId="10" userName="EXTERNAL Nguyen Tuan Duong (Ban Vien, RBVH/EPS45)" r:id="rId7" minRId="655" maxRId="757">
    <sheetIdMap count="9">
      <sheetId val="1"/>
      <sheetId val="2"/>
      <sheetId val="3"/>
      <sheetId val="4"/>
      <sheetId val="5"/>
      <sheetId val="6"/>
      <sheetId val="7"/>
      <sheetId val="8"/>
      <sheetId val="9"/>
    </sheetIdMap>
  </header>
  <header guid="{8CDDFF26-8097-44F5-9DFF-E91EF48118B3}" dateTime="2020-09-09T08:17:08" maxSheetId="10" userName="EXTERNAL Nguyen Tuan Duong (Ban Vien, RBVH/EPS45)" r:id="rId8" minRId="760" maxRId="890">
    <sheetIdMap count="9">
      <sheetId val="1"/>
      <sheetId val="2"/>
      <sheetId val="3"/>
      <sheetId val="4"/>
      <sheetId val="5"/>
      <sheetId val="6"/>
      <sheetId val="7"/>
      <sheetId val="8"/>
      <sheetId val="9"/>
    </sheetIdMap>
  </header>
  <header guid="{73A79ED4-F933-4DF5-8BD4-940DF1D30520}" dateTime="2020-09-09T08:17:12" maxSheetId="10" userName="EXTERNAL Nguyen Tuan Duong (Ban Vien, RBVH/EPS45)" r:id="rId9" minRId="891" maxRId="942">
    <sheetIdMap count="9">
      <sheetId val="1"/>
      <sheetId val="2"/>
      <sheetId val="3"/>
      <sheetId val="4"/>
      <sheetId val="5"/>
      <sheetId val="6"/>
      <sheetId val="7"/>
      <sheetId val="8"/>
      <sheetId val="9"/>
    </sheetIdMap>
  </header>
  <header guid="{5342F628-08E7-4763-928D-39AE62A0455A}" dateTime="2020-09-09T08:17:46" maxSheetId="10" userName="EXTERNAL Nguyen Tuan Duong (Ban Vien, RBVH/EPS45)" r:id="rId10" minRId="943" maxRId="1223">
    <sheetIdMap count="9">
      <sheetId val="1"/>
      <sheetId val="2"/>
      <sheetId val="3"/>
      <sheetId val="4"/>
      <sheetId val="5"/>
      <sheetId val="6"/>
      <sheetId val="7"/>
      <sheetId val="8"/>
      <sheetId val="9"/>
    </sheetIdMap>
  </header>
  <header guid="{BD8546E0-86E3-4043-87F9-BF07D68D0A85}" dateTime="2020-09-09T08:17:58" maxSheetId="10" userName="EXTERNAL Nguyen Tuan Duong (Ban Vien, RBVH/EPS45)" r:id="rId11">
    <sheetIdMap count="9">
      <sheetId val="1"/>
      <sheetId val="2"/>
      <sheetId val="3"/>
      <sheetId val="4"/>
      <sheetId val="5"/>
      <sheetId val="6"/>
      <sheetId val="7"/>
      <sheetId val="8"/>
      <sheetId val="9"/>
    </sheetIdMap>
  </header>
  <header guid="{95F19D14-C537-4D5D-B706-36E5EA063001}" dateTime="2020-09-09T08:18:15" maxSheetId="10" userName="EXTERNAL Nguyen Tuan Duong (Ban Vien, RBVH/EPS45)" r:id="rId12" minRId="1226" maxRId="1277">
    <sheetIdMap count="9">
      <sheetId val="1"/>
      <sheetId val="2"/>
      <sheetId val="3"/>
      <sheetId val="4"/>
      <sheetId val="5"/>
      <sheetId val="6"/>
      <sheetId val="7"/>
      <sheetId val="8"/>
      <sheetId val="9"/>
    </sheetIdMap>
  </header>
  <header guid="{20421208-4AE2-4B74-BEF7-38336E31F675}" dateTime="2020-09-09T08:18:29" maxSheetId="10" userName="EXTERNAL Nguyen Tuan Duong (Ban Vien, RBVH/EPS45)" r:id="rId13" minRId="1280" maxRId="1291">
    <sheetIdMap count="9">
      <sheetId val="1"/>
      <sheetId val="2"/>
      <sheetId val="3"/>
      <sheetId val="4"/>
      <sheetId val="5"/>
      <sheetId val="6"/>
      <sheetId val="7"/>
      <sheetId val="8"/>
      <sheetId val="9"/>
    </sheetIdMap>
  </header>
  <header guid="{E3916457-412C-49BB-8F57-B52A162AEE8A}" dateTime="2020-09-09T08:18:52" maxSheetId="10" userName="EXTERNAL Nguyen Tuan Duong (Ban Vien, RBVH/EPS45)" r:id="rId14" minRId="1292" maxRId="1331">
    <sheetIdMap count="9">
      <sheetId val="1"/>
      <sheetId val="2"/>
      <sheetId val="3"/>
      <sheetId val="4"/>
      <sheetId val="5"/>
      <sheetId val="6"/>
      <sheetId val="7"/>
      <sheetId val="8"/>
      <sheetId val="9"/>
    </sheetIdMap>
  </header>
  <header guid="{5C6D7524-5373-4C90-9EBC-9A6570DBD1DC}" dateTime="2020-09-09T08:20:48" maxSheetId="10" userName="EXTERNAL Nguyen Tuan Duong (Ban Vien, RBVH/EPS45)" r:id="rId15" minRId="1332" maxRId="1383">
    <sheetIdMap count="9">
      <sheetId val="1"/>
      <sheetId val="2"/>
      <sheetId val="3"/>
      <sheetId val="4"/>
      <sheetId val="5"/>
      <sheetId val="6"/>
      <sheetId val="7"/>
      <sheetId val="8"/>
      <sheetId val="9"/>
    </sheetIdMap>
  </header>
  <header guid="{AB53BCF8-4534-4238-BD64-6BAFCBDB3F63}" dateTime="2020-09-09T08:21:27" maxSheetId="10" userName="EXTERNAL Nguyen Tuan Duong (Ban Vien, RBVH/EPS45)" r:id="rId16" minRId="1384" maxRId="1435">
    <sheetIdMap count="9">
      <sheetId val="1"/>
      <sheetId val="2"/>
      <sheetId val="3"/>
      <sheetId val="4"/>
      <sheetId val="5"/>
      <sheetId val="6"/>
      <sheetId val="7"/>
      <sheetId val="8"/>
      <sheetId val="9"/>
    </sheetIdMap>
  </header>
  <header guid="{E88953BA-F4F7-42A2-91A0-2FA4DB275AD8}" dateTime="2020-09-09T08:22:52" maxSheetId="10" userName="EXTERNAL Nguyen Tuan Duong (Ban Vien, RBVH/EPS45)" r:id="rId17">
    <sheetIdMap count="9">
      <sheetId val="1"/>
      <sheetId val="2"/>
      <sheetId val="3"/>
      <sheetId val="4"/>
      <sheetId val="5"/>
      <sheetId val="6"/>
      <sheetId val="7"/>
      <sheetId val="8"/>
      <sheetId val="9"/>
    </sheetIdMap>
  </header>
  <header guid="{ABAFF6DC-6E1B-4B94-99E3-23CEE4E6549E}" dateTime="2020-09-09T08:22:53" maxSheetId="10" userName="EXTERNAL Nguyen Tuan Duong (Ban Vien, RBVH/EPS45)" r:id="rId18">
    <sheetIdMap count="9">
      <sheetId val="1"/>
      <sheetId val="2"/>
      <sheetId val="3"/>
      <sheetId val="4"/>
      <sheetId val="5"/>
      <sheetId val="6"/>
      <sheetId val="7"/>
      <sheetId val="8"/>
      <sheetId val="9"/>
    </sheetIdMap>
  </header>
  <header guid="{5AE834FC-0CFF-4556-A460-98482C634FEC}" dateTime="2020-09-09T08:22:53" maxSheetId="10" userName="EXTERNAL Nguyen Tuan Duong (Ban Vien, RBVH/EPS45)" r:id="rId19">
    <sheetIdMap count="9">
      <sheetId val="1"/>
      <sheetId val="2"/>
      <sheetId val="3"/>
      <sheetId val="4"/>
      <sheetId val="5"/>
      <sheetId val="6"/>
      <sheetId val="7"/>
      <sheetId val="8"/>
      <sheetId val="9"/>
    </sheetIdMap>
  </header>
  <header guid="{9EA4B1EA-2895-47E4-ADD8-9E335300D403}" dateTime="2020-09-09T08:22:53" maxSheetId="10" userName="EXTERNAL Nguyen Tuan Duong (Ban Vien, RBVH/EPS45)" r:id="rId20">
    <sheetIdMap count="9">
      <sheetId val="1"/>
      <sheetId val="2"/>
      <sheetId val="3"/>
      <sheetId val="4"/>
      <sheetId val="5"/>
      <sheetId val="6"/>
      <sheetId val="7"/>
      <sheetId val="8"/>
      <sheetId val="9"/>
    </sheetIdMap>
  </header>
  <header guid="{0BC0F351-6304-4778-9D44-A0D704E3CF64}" dateTime="2020-09-09T08:22:53" maxSheetId="10" userName="EXTERNAL Nguyen Tuan Duong (Ban Vien, RBVH/EPS45)" r:id="rId21">
    <sheetIdMap count="9">
      <sheetId val="1"/>
      <sheetId val="2"/>
      <sheetId val="3"/>
      <sheetId val="4"/>
      <sheetId val="5"/>
      <sheetId val="6"/>
      <sheetId val="7"/>
      <sheetId val="8"/>
      <sheetId val="9"/>
    </sheetIdMap>
  </header>
  <header guid="{96119614-A201-4E3F-810F-54A2A1005F88}" dateTime="2020-09-09T08:27:53" maxSheetId="10" userName="EXTERNAL Nguyen Tuan Duong (Ban Vien, RBVH/EPS45)" r:id="rId22" minRId="1448" maxRId="1499">
    <sheetIdMap count="9">
      <sheetId val="1"/>
      <sheetId val="2"/>
      <sheetId val="3"/>
      <sheetId val="4"/>
      <sheetId val="5"/>
      <sheetId val="6"/>
      <sheetId val="7"/>
      <sheetId val="8"/>
      <sheetId val="9"/>
    </sheetIdMap>
  </header>
  <header guid="{EF3447B4-3F2B-40F2-BC3A-A49AE62F429F}" dateTime="2020-09-09T08:32:57" maxSheetId="10" userName="EXTERNAL Nguyen Tuan Duong (Ban Vien, RBVH/EPS45)" r:id="rId23">
    <sheetIdMap count="9">
      <sheetId val="1"/>
      <sheetId val="2"/>
      <sheetId val="3"/>
      <sheetId val="4"/>
      <sheetId val="5"/>
      <sheetId val="6"/>
      <sheetId val="7"/>
      <sheetId val="8"/>
      <sheetId val="9"/>
    </sheetIdMap>
  </header>
  <header guid="{953BA687-3723-4B72-8F43-D4CFE6FFF2D4}" dateTime="2020-09-09T08:36:55" maxSheetId="10" userName="EXTERNAL Nguyen Tuan Duong (Ban Vien, RBVH/EPS45)" r:id="rId24" minRId="1504">
    <sheetIdMap count="9">
      <sheetId val="1"/>
      <sheetId val="2"/>
      <sheetId val="3"/>
      <sheetId val="4"/>
      <sheetId val="5"/>
      <sheetId val="6"/>
      <sheetId val="7"/>
      <sheetId val="8"/>
      <sheetId val="9"/>
    </sheetIdMap>
  </header>
  <header guid="{286BC0A0-5F81-4E0B-8223-A195B2DA93DD}" dateTime="2020-09-09T08:39:15" maxSheetId="10" userName="EXTERNAL Nguyen Tuan Duong (Ban Vien, RBVH/EPS45)" r:id="rId25" minRId="1507" maxRId="1518">
    <sheetIdMap count="9">
      <sheetId val="1"/>
      <sheetId val="2"/>
      <sheetId val="3"/>
      <sheetId val="4"/>
      <sheetId val="5"/>
      <sheetId val="6"/>
      <sheetId val="7"/>
      <sheetId val="8"/>
      <sheetId val="9"/>
    </sheetIdMap>
  </header>
  <header guid="{C0C6DCC8-5D08-40CE-87C6-93F1568CFEB1}" dateTime="2020-09-09T08:40:03" maxSheetId="10" userName="EXTERNAL Do Anh Huy (Ban Vien Company, RBVH/EPS45)" r:id="rId26" minRId="1522" maxRId="1528">
    <sheetIdMap count="9">
      <sheetId val="1"/>
      <sheetId val="2"/>
      <sheetId val="3"/>
      <sheetId val="4"/>
      <sheetId val="5"/>
      <sheetId val="6"/>
      <sheetId val="7"/>
      <sheetId val="8"/>
      <sheetId val="9"/>
    </sheetIdMap>
  </header>
  <header guid="{8436A3CE-8F70-42EF-9C96-BF7C6CFD06EF}" dateTime="2020-09-09T08:40:07" maxSheetId="10" userName="EXTERNAL Nguyen Tuan Duong (Ban Vien, RBVH/EPS45)" r:id="rId27" minRId="1531" maxRId="1543">
    <sheetIdMap count="9">
      <sheetId val="1"/>
      <sheetId val="2"/>
      <sheetId val="3"/>
      <sheetId val="4"/>
      <sheetId val="5"/>
      <sheetId val="6"/>
      <sheetId val="7"/>
      <sheetId val="8"/>
      <sheetId val="9"/>
    </sheetIdMap>
  </header>
  <header guid="{147D5392-C256-420C-A202-694D43C3BFDD}" dateTime="2020-09-09T08:42:30" maxSheetId="10" userName="EXTERNAL Nguyen Tuan Duong (Ban Vien, RBVH/EPS45)" r:id="rId28" minRId="1547" maxRId="1573">
    <sheetIdMap count="9">
      <sheetId val="1"/>
      <sheetId val="2"/>
      <sheetId val="3"/>
      <sheetId val="4"/>
      <sheetId val="5"/>
      <sheetId val="6"/>
      <sheetId val="7"/>
      <sheetId val="8"/>
      <sheetId val="9"/>
    </sheetIdMap>
  </header>
  <header guid="{920616A9-1109-48B5-9C31-F09522891E2E}" dateTime="2020-09-09T08:42:45" maxSheetId="10" userName="EXTERNAL Nguyen Tuan Duong (Ban Vien, RBVH/EPS45)" r:id="rId29" minRId="1577">
    <sheetIdMap count="9">
      <sheetId val="1"/>
      <sheetId val="2"/>
      <sheetId val="3"/>
      <sheetId val="4"/>
      <sheetId val="5"/>
      <sheetId val="6"/>
      <sheetId val="7"/>
      <sheetId val="8"/>
      <sheetId val="9"/>
    </sheetIdMap>
  </header>
  <header guid="{B694A402-1C7D-4095-A6DC-035369FC7AB0}" dateTime="2020-09-09T08:42:45" maxSheetId="10" userName="EXTERNAL Nguyen Tuan Duong (Ban Vien, RBVH/EPS45)" r:id="rId30">
    <sheetIdMap count="9">
      <sheetId val="1"/>
      <sheetId val="2"/>
      <sheetId val="3"/>
      <sheetId val="4"/>
      <sheetId val="5"/>
      <sheetId val="6"/>
      <sheetId val="7"/>
      <sheetId val="8"/>
      <sheetId val="9"/>
    </sheetIdMap>
  </header>
  <header guid="{35F77338-B05E-4AAC-B9D4-16E925D18FF8}" dateTime="2020-09-09T08:42:45" maxSheetId="10" userName="EXTERNAL Nguyen Tuan Duong (Ban Vien, RBVH/EPS45)" r:id="rId31">
    <sheetIdMap count="9">
      <sheetId val="1"/>
      <sheetId val="2"/>
      <sheetId val="3"/>
      <sheetId val="4"/>
      <sheetId val="5"/>
      <sheetId val="6"/>
      <sheetId val="7"/>
      <sheetId val="8"/>
      <sheetId val="9"/>
    </sheetIdMap>
  </header>
  <header guid="{80AE43FB-9EF9-40CA-BE4C-30A3BF4AC3F7}" dateTime="2020-09-09T08:42:46" maxSheetId="10" userName="EXTERNAL Nguyen Tuan Duong (Ban Vien, RBVH/EPS45)" r:id="rId32">
    <sheetIdMap count="9">
      <sheetId val="1"/>
      <sheetId val="2"/>
      <sheetId val="3"/>
      <sheetId val="4"/>
      <sheetId val="5"/>
      <sheetId val="6"/>
      <sheetId val="7"/>
      <sheetId val="8"/>
      <sheetId val="9"/>
    </sheetIdMap>
  </header>
  <header guid="{503AF2A4-EEBC-464C-9EE2-8AD8274C47E2}" dateTime="2020-09-09T08:42:46" maxSheetId="10" userName="EXTERNAL Nguyen Tuan Duong (Ban Vien, RBVH/EPS45)" r:id="rId33">
    <sheetIdMap count="9">
      <sheetId val="1"/>
      <sheetId val="2"/>
      <sheetId val="3"/>
      <sheetId val="4"/>
      <sheetId val="5"/>
      <sheetId val="6"/>
      <sheetId val="7"/>
      <sheetId val="8"/>
      <sheetId val="9"/>
    </sheetIdMap>
  </header>
  <header guid="{5266D3D9-003E-41C2-87A3-90B1F914E628}" dateTime="2020-09-09T08:42:46" maxSheetId="10" userName="EXTERNAL Nguyen Tuan Duong (Ban Vien, RBVH/EPS45)" r:id="rId34">
    <sheetIdMap count="9">
      <sheetId val="1"/>
      <sheetId val="2"/>
      <sheetId val="3"/>
      <sheetId val="4"/>
      <sheetId val="5"/>
      <sheetId val="6"/>
      <sheetId val="7"/>
      <sheetId val="8"/>
      <sheetId val="9"/>
    </sheetIdMap>
  </header>
  <header guid="{A9B89B81-29F5-4CC1-9F15-078F4A750350}" dateTime="2020-09-09T08:42:46" maxSheetId="10" userName="EXTERNAL Nguyen Tuan Duong (Ban Vien, RBVH/EPS45)" r:id="rId35">
    <sheetIdMap count="9">
      <sheetId val="1"/>
      <sheetId val="2"/>
      <sheetId val="3"/>
      <sheetId val="4"/>
      <sheetId val="5"/>
      <sheetId val="6"/>
      <sheetId val="7"/>
      <sheetId val="8"/>
      <sheetId val="9"/>
    </sheetIdMap>
  </header>
  <header guid="{B591E126-9717-4F06-A48D-BA8417E90A46}" dateTime="2020-09-09T08:42:47" maxSheetId="10" userName="EXTERNAL Nguyen Tuan Duong (Ban Vien, RBVH/EPS45)" r:id="rId36">
    <sheetIdMap count="9">
      <sheetId val="1"/>
      <sheetId val="2"/>
      <sheetId val="3"/>
      <sheetId val="4"/>
      <sheetId val="5"/>
      <sheetId val="6"/>
      <sheetId val="7"/>
      <sheetId val="8"/>
      <sheetId val="9"/>
    </sheetIdMap>
  </header>
  <header guid="{01C87625-142F-4750-BE04-C20B6374ED6A}" dateTime="2020-09-09T08:42:47" maxSheetId="10" userName="EXTERNAL Nguyen Tuan Duong (Ban Vien, RBVH/EPS45)" r:id="rId37">
    <sheetIdMap count="9">
      <sheetId val="1"/>
      <sheetId val="2"/>
      <sheetId val="3"/>
      <sheetId val="4"/>
      <sheetId val="5"/>
      <sheetId val="6"/>
      <sheetId val="7"/>
      <sheetId val="8"/>
      <sheetId val="9"/>
    </sheetIdMap>
  </header>
  <header guid="{9823EB58-0119-4DE0-920C-F5F19A0E405B}" dateTime="2020-09-09T08:42:47" maxSheetId="10" userName="EXTERNAL Nguyen Tuan Duong (Ban Vien, RBVH/EPS45)" r:id="rId38">
    <sheetIdMap count="9">
      <sheetId val="1"/>
      <sheetId val="2"/>
      <sheetId val="3"/>
      <sheetId val="4"/>
      <sheetId val="5"/>
      <sheetId val="6"/>
      <sheetId val="7"/>
      <sheetId val="8"/>
      <sheetId val="9"/>
    </sheetIdMap>
  </header>
  <header guid="{940ABECD-1303-45B4-B90F-7AABB4EC46BA}" dateTime="2020-09-09T08:42:47" maxSheetId="10" userName="EXTERNAL Nguyen Tuan Duong (Ban Vien, RBVH/EPS45)" r:id="rId39">
    <sheetIdMap count="9">
      <sheetId val="1"/>
      <sheetId val="2"/>
      <sheetId val="3"/>
      <sheetId val="4"/>
      <sheetId val="5"/>
      <sheetId val="6"/>
      <sheetId val="7"/>
      <sheetId val="8"/>
      <sheetId val="9"/>
    </sheetIdMap>
  </header>
  <header guid="{13165704-9C61-472F-A769-FD7F36935E1C}" dateTime="2020-09-09T08:42:48" maxSheetId="10" userName="EXTERNAL Nguyen Tuan Duong (Ban Vien, RBVH/EPS45)" r:id="rId40">
    <sheetIdMap count="9">
      <sheetId val="1"/>
      <sheetId val="2"/>
      <sheetId val="3"/>
      <sheetId val="4"/>
      <sheetId val="5"/>
      <sheetId val="6"/>
      <sheetId val="7"/>
      <sheetId val="8"/>
      <sheetId val="9"/>
    </sheetIdMap>
  </header>
  <header guid="{9989D308-37F7-40BD-B1DA-D0BDFFBD3C9D}" dateTime="2020-09-09T08:42:48" maxSheetId="10" userName="EXTERNAL Nguyen Tuan Duong (Ban Vien, RBVH/EPS45)" r:id="rId41">
    <sheetIdMap count="9">
      <sheetId val="1"/>
      <sheetId val="2"/>
      <sheetId val="3"/>
      <sheetId val="4"/>
      <sheetId val="5"/>
      <sheetId val="6"/>
      <sheetId val="7"/>
      <sheetId val="8"/>
      <sheetId val="9"/>
    </sheetIdMap>
  </header>
  <header guid="{E33373BF-4EB5-42B6-B64F-8BC5C98C25CE}" dateTime="2020-09-09T08:42:48" maxSheetId="10" userName="EXTERNAL Nguyen Tuan Duong (Ban Vien, RBVH/EPS45)" r:id="rId42">
    <sheetIdMap count="9">
      <sheetId val="1"/>
      <sheetId val="2"/>
      <sheetId val="3"/>
      <sheetId val="4"/>
      <sheetId val="5"/>
      <sheetId val="6"/>
      <sheetId val="7"/>
      <sheetId val="8"/>
      <sheetId val="9"/>
    </sheetIdMap>
  </header>
  <header guid="{5D6EBCD6-E935-4802-AD12-C0320587D3A8}" dateTime="2020-09-09T08:42:48" maxSheetId="10" userName="EXTERNAL Nguyen Tuan Duong (Ban Vien, RBVH/EPS45)" r:id="rId43">
    <sheetIdMap count="9">
      <sheetId val="1"/>
      <sheetId val="2"/>
      <sheetId val="3"/>
      <sheetId val="4"/>
      <sheetId val="5"/>
      <sheetId val="6"/>
      <sheetId val="7"/>
      <sheetId val="8"/>
      <sheetId val="9"/>
    </sheetIdMap>
  </header>
  <header guid="{E2171FAF-71A8-48DD-8D68-C994762AFE70}" dateTime="2020-09-09T08:42:48" maxSheetId="10" userName="EXTERNAL Nguyen Tuan Duong (Ban Vien, RBVH/EPS45)" r:id="rId44">
    <sheetIdMap count="9">
      <sheetId val="1"/>
      <sheetId val="2"/>
      <sheetId val="3"/>
      <sheetId val="4"/>
      <sheetId val="5"/>
      <sheetId val="6"/>
      <sheetId val="7"/>
      <sheetId val="8"/>
      <sheetId val="9"/>
    </sheetIdMap>
  </header>
  <header guid="{A4842115-1DF6-47F6-BF5A-84E5F79FD001}" dateTime="2020-09-09T08:42:49" maxSheetId="10" userName="EXTERNAL Nguyen Tuan Duong (Ban Vien, RBVH/EPS45)" r:id="rId45">
    <sheetIdMap count="9">
      <sheetId val="1"/>
      <sheetId val="2"/>
      <sheetId val="3"/>
      <sheetId val="4"/>
      <sheetId val="5"/>
      <sheetId val="6"/>
      <sheetId val="7"/>
      <sheetId val="8"/>
      <sheetId val="9"/>
    </sheetIdMap>
  </header>
  <header guid="{F2773BFF-2E26-49B9-975F-4379B91E31D8}" dateTime="2020-09-09T08:42:49" maxSheetId="10" userName="EXTERNAL Nguyen Tuan Duong (Ban Vien, RBVH/EPS45)" r:id="rId46">
    <sheetIdMap count="9">
      <sheetId val="1"/>
      <sheetId val="2"/>
      <sheetId val="3"/>
      <sheetId val="4"/>
      <sheetId val="5"/>
      <sheetId val="6"/>
      <sheetId val="7"/>
      <sheetId val="8"/>
      <sheetId val="9"/>
    </sheetIdMap>
  </header>
  <header guid="{83506A64-AA7A-467A-822D-BF43E8A20D22}" dateTime="2020-09-09T08:42:49" maxSheetId="10" userName="EXTERNAL Nguyen Tuan Duong (Ban Vien, RBVH/EPS45)" r:id="rId47">
    <sheetIdMap count="9">
      <sheetId val="1"/>
      <sheetId val="2"/>
      <sheetId val="3"/>
      <sheetId val="4"/>
      <sheetId val="5"/>
      <sheetId val="6"/>
      <sheetId val="7"/>
      <sheetId val="8"/>
      <sheetId val="9"/>
    </sheetIdMap>
  </header>
  <header guid="{1A1C22D4-306B-42C5-AA6A-239971861D6F}" dateTime="2020-09-09T08:43:53" maxSheetId="10" userName="EXTERNAL Nguyen Tuan Duong (Ban Vien, RBVH/EPS45)" r:id="rId48">
    <sheetIdMap count="9">
      <sheetId val="1"/>
      <sheetId val="2"/>
      <sheetId val="3"/>
      <sheetId val="4"/>
      <sheetId val="5"/>
      <sheetId val="6"/>
      <sheetId val="7"/>
      <sheetId val="8"/>
      <sheetId val="9"/>
    </sheetIdMap>
  </header>
  <header guid="{A7DF603E-ACD4-4B55-A69B-3B743B51CB78}" dateTime="2020-09-09T08:43:54" maxSheetId="10" userName="EXTERNAL Nguyen Tuan Duong (Ban Vien, RBVH/EPS45)" r:id="rId49">
    <sheetIdMap count="9">
      <sheetId val="1"/>
      <sheetId val="2"/>
      <sheetId val="3"/>
      <sheetId val="4"/>
      <sheetId val="5"/>
      <sheetId val="6"/>
      <sheetId val="7"/>
      <sheetId val="8"/>
      <sheetId val="9"/>
    </sheetIdMap>
  </header>
  <header guid="{F0A8D75D-7BD8-4906-AEAC-9293193CBE28}" dateTime="2020-09-09T08:43:54" maxSheetId="10" userName="EXTERNAL Nguyen Tuan Duong (Ban Vien, RBVH/EPS45)" r:id="rId50">
    <sheetIdMap count="9">
      <sheetId val="1"/>
      <sheetId val="2"/>
      <sheetId val="3"/>
      <sheetId val="4"/>
      <sheetId val="5"/>
      <sheetId val="6"/>
      <sheetId val="7"/>
      <sheetId val="8"/>
      <sheetId val="9"/>
    </sheetIdMap>
  </header>
  <header guid="{CF4CBD6C-ABDB-450B-8E11-584E1EEA5E0B}" dateTime="2020-09-09T08:43:55" maxSheetId="10" userName="EXTERNAL Nguyen Tuan Duong (Ban Vien, RBVH/EPS45)" r:id="rId51">
    <sheetIdMap count="9">
      <sheetId val="1"/>
      <sheetId val="2"/>
      <sheetId val="3"/>
      <sheetId val="4"/>
      <sheetId val="5"/>
      <sheetId val="6"/>
      <sheetId val="7"/>
      <sheetId val="8"/>
      <sheetId val="9"/>
    </sheetIdMap>
  </header>
  <header guid="{B28E915A-5138-4E2E-B483-431A4C318F6D}" dateTime="2020-09-09T08:43:55" maxSheetId="10" userName="EXTERNAL Nguyen Tuan Duong (Ban Vien, RBVH/EPS45)" r:id="rId52">
    <sheetIdMap count="9">
      <sheetId val="1"/>
      <sheetId val="2"/>
      <sheetId val="3"/>
      <sheetId val="4"/>
      <sheetId val="5"/>
      <sheetId val="6"/>
      <sheetId val="7"/>
      <sheetId val="8"/>
      <sheetId val="9"/>
    </sheetIdMap>
  </header>
  <header guid="{49CC889C-8E07-4A7A-9102-FE936CCC28B9}" dateTime="2020-09-09T08:44:49" maxSheetId="10" userName="EXTERNAL Nguyen Tuan Duong (Ban Vien, RBVH/EPS45)" r:id="rId53">
    <sheetIdMap count="9">
      <sheetId val="1"/>
      <sheetId val="2"/>
      <sheetId val="3"/>
      <sheetId val="4"/>
      <sheetId val="5"/>
      <sheetId val="6"/>
      <sheetId val="7"/>
      <sheetId val="8"/>
      <sheetId val="9"/>
    </sheetIdMap>
  </header>
  <header guid="{DA826753-B37A-4ED0-8034-B09E5A9CE6E1}" dateTime="2020-09-09T08:44:50" maxSheetId="10" userName="EXTERNAL Nguyen Tuan Duong (Ban Vien, RBVH/EPS45)" r:id="rId54">
    <sheetIdMap count="9">
      <sheetId val="1"/>
      <sheetId val="2"/>
      <sheetId val="3"/>
      <sheetId val="4"/>
      <sheetId val="5"/>
      <sheetId val="6"/>
      <sheetId val="7"/>
      <sheetId val="8"/>
      <sheetId val="9"/>
    </sheetIdMap>
  </header>
  <header guid="{5641628E-8B7C-4904-AA28-FBB0C8FF0202}" dateTime="2020-09-09T08:44:50" maxSheetId="10" userName="EXTERNAL Nguyen Tuan Duong (Ban Vien, RBVH/EPS45)" r:id="rId55">
    <sheetIdMap count="9">
      <sheetId val="1"/>
      <sheetId val="2"/>
      <sheetId val="3"/>
      <sheetId val="4"/>
      <sheetId val="5"/>
      <sheetId val="6"/>
      <sheetId val="7"/>
      <sheetId val="8"/>
      <sheetId val="9"/>
    </sheetIdMap>
  </header>
  <header guid="{A3D1418C-C594-4272-8B20-F2C50021F7C0}" dateTime="2020-09-09T08:44:50" maxSheetId="10" userName="EXTERNAL Nguyen Tuan Duong (Ban Vien, RBVH/EPS45)" r:id="rId56">
    <sheetIdMap count="9">
      <sheetId val="1"/>
      <sheetId val="2"/>
      <sheetId val="3"/>
      <sheetId val="4"/>
      <sheetId val="5"/>
      <sheetId val="6"/>
      <sheetId val="7"/>
      <sheetId val="8"/>
      <sheetId val="9"/>
    </sheetIdMap>
  </header>
  <header guid="{4DEA9C3C-BFC8-44D9-9DB6-A36E81EF8867}" dateTime="2020-09-09T08:44:54" maxSheetId="10" userName="EXTERNAL Nguyen Tuan Duong (Ban Vien, RBVH/EPS45)" r:id="rId57">
    <sheetIdMap count="9">
      <sheetId val="1"/>
      <sheetId val="2"/>
      <sheetId val="3"/>
      <sheetId val="4"/>
      <sheetId val="5"/>
      <sheetId val="6"/>
      <sheetId val="7"/>
      <sheetId val="8"/>
      <sheetId val="9"/>
    </sheetIdMap>
  </header>
  <header guid="{B571A632-0047-4911-9FBA-84C5E2B7EAC6}" dateTime="2020-09-09T08:49:25" maxSheetId="10" userName="EXTERNAL Nguyen Tuan Duong (Ban Vien, RBVH/EPS45)" r:id="rId58">
    <sheetIdMap count="9">
      <sheetId val="1"/>
      <sheetId val="2"/>
      <sheetId val="3"/>
      <sheetId val="4"/>
      <sheetId val="5"/>
      <sheetId val="6"/>
      <sheetId val="7"/>
      <sheetId val="8"/>
      <sheetId val="9"/>
    </sheetIdMap>
  </header>
  <header guid="{7D13EADA-7030-4100-AB6F-68BA4D9D82EC}" dateTime="2020-09-09T08:49:54" maxSheetId="10" userName="EXTERNAL Nguyen Tuan Duong (Ban Vien, RBVH/EPS45)" r:id="rId59">
    <sheetIdMap count="9">
      <sheetId val="1"/>
      <sheetId val="2"/>
      <sheetId val="3"/>
      <sheetId val="4"/>
      <sheetId val="5"/>
      <sheetId val="6"/>
      <sheetId val="7"/>
      <sheetId val="8"/>
      <sheetId val="9"/>
    </sheetIdMap>
  </header>
  <header guid="{66D15527-E197-4178-A82E-366C99B1C5FE}" dateTime="2020-09-09T08:49:55" maxSheetId="10" userName="EXTERNAL Nguyen Tuan Duong (Ban Vien, RBVH/EPS45)" r:id="rId60">
    <sheetIdMap count="9">
      <sheetId val="1"/>
      <sheetId val="2"/>
      <sheetId val="3"/>
      <sheetId val="4"/>
      <sheetId val="5"/>
      <sheetId val="6"/>
      <sheetId val="7"/>
      <sheetId val="8"/>
      <sheetId val="9"/>
    </sheetIdMap>
  </header>
  <header guid="{DBB122F8-E49B-4E69-9B49-482A9CF2E899}" dateTime="2020-09-09T08:49:55" maxSheetId="10" userName="EXTERNAL Nguyen Tuan Duong (Ban Vien, RBVH/EPS45)" r:id="rId61">
    <sheetIdMap count="9">
      <sheetId val="1"/>
      <sheetId val="2"/>
      <sheetId val="3"/>
      <sheetId val="4"/>
      <sheetId val="5"/>
      <sheetId val="6"/>
      <sheetId val="7"/>
      <sheetId val="8"/>
      <sheetId val="9"/>
    </sheetIdMap>
  </header>
  <header guid="{D7A415A3-F5D7-4306-9BEF-AACDDDB03DB9}" dateTime="2020-09-09T08:49:55" maxSheetId="10" userName="EXTERNAL Nguyen Tuan Duong (Ban Vien, RBVH/EPS45)" r:id="rId62">
    <sheetIdMap count="9">
      <sheetId val="1"/>
      <sheetId val="2"/>
      <sheetId val="3"/>
      <sheetId val="4"/>
      <sheetId val="5"/>
      <sheetId val="6"/>
      <sheetId val="7"/>
      <sheetId val="8"/>
      <sheetId val="9"/>
    </sheetIdMap>
  </header>
  <header guid="{D1CF6B2A-A597-4795-BDB6-9FCB503B92F7}" dateTime="2020-09-09T08:49:55" maxSheetId="10" userName="EXTERNAL Nguyen Tuan Duong (Ban Vien, RBVH/EPS45)" r:id="rId63">
    <sheetIdMap count="9">
      <sheetId val="1"/>
      <sheetId val="2"/>
      <sheetId val="3"/>
      <sheetId val="4"/>
      <sheetId val="5"/>
      <sheetId val="6"/>
      <sheetId val="7"/>
      <sheetId val="8"/>
      <sheetId val="9"/>
    </sheetIdMap>
  </header>
  <header guid="{4C783DCF-F341-4271-B8C9-E972D50565C8}" dateTime="2020-09-09T08:49:55" maxSheetId="10" userName="EXTERNAL Nguyen Tuan Duong (Ban Vien, RBVH/EPS45)" r:id="rId64">
    <sheetIdMap count="9">
      <sheetId val="1"/>
      <sheetId val="2"/>
      <sheetId val="3"/>
      <sheetId val="4"/>
      <sheetId val="5"/>
      <sheetId val="6"/>
      <sheetId val="7"/>
      <sheetId val="8"/>
      <sheetId val="9"/>
    </sheetIdMap>
  </header>
  <header guid="{E7245D1A-2E06-4D5F-AD3E-4BC679878128}" dateTime="2020-09-09T08:49:56" maxSheetId="10" userName="EXTERNAL Nguyen Tuan Duong (Ban Vien, RBVH/EPS45)" r:id="rId65">
    <sheetIdMap count="9">
      <sheetId val="1"/>
      <sheetId val="2"/>
      <sheetId val="3"/>
      <sheetId val="4"/>
      <sheetId val="5"/>
      <sheetId val="6"/>
      <sheetId val="7"/>
      <sheetId val="8"/>
      <sheetId val="9"/>
    </sheetIdMap>
  </header>
  <header guid="{3E79486E-4903-4A43-8AB2-245EF2CFFE80}" dateTime="2020-09-09T08:52:30" maxSheetId="10" userName="EXTERNAL Nguyen Tuan Duong (Ban Vien, RBVH/EPS45)" r:id="rId66">
    <sheetIdMap count="9">
      <sheetId val="1"/>
      <sheetId val="2"/>
      <sheetId val="3"/>
      <sheetId val="4"/>
      <sheetId val="5"/>
      <sheetId val="6"/>
      <sheetId val="7"/>
      <sheetId val="8"/>
      <sheetId val="9"/>
    </sheetIdMap>
  </header>
  <header guid="{8E781A7E-A6A8-43CF-B2C9-973660915020}" dateTime="2020-09-09T08:52:30" maxSheetId="10" userName="EXTERNAL Nguyen Tuan Duong (Ban Vien, RBVH/EPS45)" r:id="rId67">
    <sheetIdMap count="9">
      <sheetId val="1"/>
      <sheetId val="2"/>
      <sheetId val="3"/>
      <sheetId val="4"/>
      <sheetId val="5"/>
      <sheetId val="6"/>
      <sheetId val="7"/>
      <sheetId val="8"/>
      <sheetId val="9"/>
    </sheetIdMap>
  </header>
  <header guid="{4D10B04F-820D-4C08-83B9-66E40A46ECCF}" dateTime="2020-09-09T08:52:30" maxSheetId="10" userName="EXTERNAL Nguyen Tuan Duong (Ban Vien, RBVH/EPS45)" r:id="rId68">
    <sheetIdMap count="9">
      <sheetId val="1"/>
      <sheetId val="2"/>
      <sheetId val="3"/>
      <sheetId val="4"/>
      <sheetId val="5"/>
      <sheetId val="6"/>
      <sheetId val="7"/>
      <sheetId val="8"/>
      <sheetId val="9"/>
    </sheetIdMap>
  </header>
  <header guid="{05CEF2B2-6CD1-4838-AC3F-8D35B6EEFE9F}" dateTime="2020-09-09T08:52:31" maxSheetId="10" userName="EXTERNAL Nguyen Tuan Duong (Ban Vien, RBVH/EPS45)" r:id="rId69">
    <sheetIdMap count="9">
      <sheetId val="1"/>
      <sheetId val="2"/>
      <sheetId val="3"/>
      <sheetId val="4"/>
      <sheetId val="5"/>
      <sheetId val="6"/>
      <sheetId val="7"/>
      <sheetId val="8"/>
      <sheetId val="9"/>
    </sheetIdMap>
  </header>
  <header guid="{7F5F1D3D-D841-499C-AB63-076BF374E5EF}" dateTime="2020-09-09T08:53:03" maxSheetId="10" userName="EXTERNAL Nguyen Tuan Duong (Ban Vien, RBVH/EPS45)" r:id="rId70" minRId="1683">
    <sheetIdMap count="9">
      <sheetId val="1"/>
      <sheetId val="2"/>
      <sheetId val="3"/>
      <sheetId val="4"/>
      <sheetId val="5"/>
      <sheetId val="6"/>
      <sheetId val="7"/>
      <sheetId val="8"/>
      <sheetId val="9"/>
    </sheetIdMap>
  </header>
  <header guid="{097F50A1-8662-4493-B684-445F3EBAFE60}" dateTime="2020-09-09T09:06:39" maxSheetId="10" userName="EXTERNAL Nguyen Tuan Duong (Ban Vien, RBVH/EPS45)" r:id="rId71">
    <sheetIdMap count="9">
      <sheetId val="1"/>
      <sheetId val="2"/>
      <sheetId val="3"/>
      <sheetId val="4"/>
      <sheetId val="5"/>
      <sheetId val="6"/>
      <sheetId val="7"/>
      <sheetId val="8"/>
      <sheetId val="9"/>
    </sheetIdMap>
  </header>
  <header guid="{227E4151-897C-48A1-9253-1B5BBC759009}" dateTime="2020-09-09T09:06:46" maxSheetId="10" userName="EXTERNAL Nguyen Tuan Duong (Ban Vien, RBVH/EPS45)" r:id="rId72">
    <sheetIdMap count="9">
      <sheetId val="1"/>
      <sheetId val="2"/>
      <sheetId val="3"/>
      <sheetId val="4"/>
      <sheetId val="5"/>
      <sheetId val="6"/>
      <sheetId val="7"/>
      <sheetId val="8"/>
      <sheetId val="9"/>
    </sheetIdMap>
  </header>
  <header guid="{2F9CF949-2343-4C11-A2B7-C972CA8BB258}" dateTime="2020-09-09T09:06:46" maxSheetId="10" userName="EXTERNAL Nguyen Tuan Duong (Ban Vien, RBVH/EPS45)" r:id="rId73">
    <sheetIdMap count="9">
      <sheetId val="1"/>
      <sheetId val="2"/>
      <sheetId val="3"/>
      <sheetId val="4"/>
      <sheetId val="5"/>
      <sheetId val="6"/>
      <sheetId val="7"/>
      <sheetId val="8"/>
      <sheetId val="9"/>
    </sheetIdMap>
  </header>
  <header guid="{3F6EF91C-E2C4-4BB2-9042-1F11FB40802E}" dateTime="2020-09-09T09:06:46" maxSheetId="10" userName="EXTERNAL Nguyen Tuan Duong (Ban Vien, RBVH/EPS45)" r:id="rId74">
    <sheetIdMap count="9">
      <sheetId val="1"/>
      <sheetId val="2"/>
      <sheetId val="3"/>
      <sheetId val="4"/>
      <sheetId val="5"/>
      <sheetId val="6"/>
      <sheetId val="7"/>
      <sheetId val="8"/>
      <sheetId val="9"/>
    </sheetIdMap>
  </header>
  <header guid="{EB49E2E3-EDB1-4C06-8238-D7DA4A47666E}" dateTime="2020-09-09T09:06:46" maxSheetId="10" userName="EXTERNAL Nguyen Tuan Duong (Ban Vien, RBVH/EPS45)" r:id="rId75">
    <sheetIdMap count="9">
      <sheetId val="1"/>
      <sheetId val="2"/>
      <sheetId val="3"/>
      <sheetId val="4"/>
      <sheetId val="5"/>
      <sheetId val="6"/>
      <sheetId val="7"/>
      <sheetId val="8"/>
      <sheetId val="9"/>
    </sheetIdMap>
  </header>
  <header guid="{13000C20-02D9-4874-B79F-A84FC733BD14}" dateTime="2020-09-09T09:06:47" maxSheetId="10" userName="EXTERNAL Nguyen Tuan Duong (Ban Vien, RBVH/EPS45)" r:id="rId76">
    <sheetIdMap count="9">
      <sheetId val="1"/>
      <sheetId val="2"/>
      <sheetId val="3"/>
      <sheetId val="4"/>
      <sheetId val="5"/>
      <sheetId val="6"/>
      <sheetId val="7"/>
      <sheetId val="8"/>
      <sheetId val="9"/>
    </sheetIdMap>
  </header>
  <header guid="{C597BF45-C557-4CB4-9F44-454BD660ED90}" dateTime="2020-09-09T09:06:47" maxSheetId="10" userName="EXTERNAL Nguyen Tuan Duong (Ban Vien, RBVH/EPS45)" r:id="rId77">
    <sheetIdMap count="9">
      <sheetId val="1"/>
      <sheetId val="2"/>
      <sheetId val="3"/>
      <sheetId val="4"/>
      <sheetId val="5"/>
      <sheetId val="6"/>
      <sheetId val="7"/>
      <sheetId val="8"/>
      <sheetId val="9"/>
    </sheetIdMap>
  </header>
  <header guid="{24CC9A38-3CD2-45B8-A9AB-C0E365D34027}" dateTime="2020-09-09T09:18:18" maxSheetId="10" userName="EXTERNAL Nguyen Tuan Duong (Ban Vien, RBVH/EPS45)" r:id="rId78">
    <sheetIdMap count="9">
      <sheetId val="1"/>
      <sheetId val="2"/>
      <sheetId val="3"/>
      <sheetId val="4"/>
      <sheetId val="5"/>
      <sheetId val="6"/>
      <sheetId val="7"/>
      <sheetId val="8"/>
      <sheetId val="9"/>
    </sheetIdMap>
  </header>
  <header guid="{184B895B-79D7-45E8-A57F-07845C991353}" dateTime="2020-09-09T09:18:28" maxSheetId="10" userName="EXTERNAL Nguyen Tuan Duong (Ban Vien, RBVH/EPS45)" r:id="rId79">
    <sheetIdMap count="9">
      <sheetId val="1"/>
      <sheetId val="2"/>
      <sheetId val="3"/>
      <sheetId val="4"/>
      <sheetId val="5"/>
      <sheetId val="6"/>
      <sheetId val="7"/>
      <sheetId val="8"/>
      <sheetId val="9"/>
    </sheetIdMap>
  </header>
  <header guid="{3664804E-A28C-4A55-BB3D-758A2BAFCB4A}" dateTime="2020-09-09T09:18:29" maxSheetId="10" userName="EXTERNAL Nguyen Tuan Duong (Ban Vien, RBVH/EPS45)" r:id="rId80">
    <sheetIdMap count="9">
      <sheetId val="1"/>
      <sheetId val="2"/>
      <sheetId val="3"/>
      <sheetId val="4"/>
      <sheetId val="5"/>
      <sheetId val="6"/>
      <sheetId val="7"/>
      <sheetId val="8"/>
      <sheetId val="9"/>
    </sheetIdMap>
  </header>
  <header guid="{4E0A29FE-F2C2-4A91-90FC-6BC00DA05929}" dateTime="2020-09-09T09:20:11" maxSheetId="10" userName="EXTERNAL Nguyen Tuan Duong (Ban Vien, RBVH/EPS45)" r:id="rId81">
    <sheetIdMap count="9">
      <sheetId val="1"/>
      <sheetId val="2"/>
      <sheetId val="3"/>
      <sheetId val="4"/>
      <sheetId val="5"/>
      <sheetId val="6"/>
      <sheetId val="7"/>
      <sheetId val="8"/>
      <sheetId val="9"/>
    </sheetIdMap>
  </header>
  <header guid="{BFD88CAF-7586-4CD2-A702-64CEACC08027}" dateTime="2020-09-09T09:20:19" maxSheetId="10" userName="EXTERNAL Nguyen Tuan Duong (Ban Vien, RBVH/EPS45)" r:id="rId82">
    <sheetIdMap count="9">
      <sheetId val="1"/>
      <sheetId val="2"/>
      <sheetId val="3"/>
      <sheetId val="4"/>
      <sheetId val="5"/>
      <sheetId val="6"/>
      <sheetId val="7"/>
      <sheetId val="8"/>
      <sheetId val="9"/>
    </sheetIdMap>
  </header>
  <header guid="{F8F4C9B0-E087-45F2-AB97-8B9D8D67B49F}" dateTime="2020-09-09T09:23:20" maxSheetId="10" userName="EXTERNAL Do Anh Huy (Ban Vien Company, RBVH/EPS45)" r:id="rId83" minRId="1710" maxRId="1716">
    <sheetIdMap count="9">
      <sheetId val="1"/>
      <sheetId val="2"/>
      <sheetId val="3"/>
      <sheetId val="4"/>
      <sheetId val="5"/>
      <sheetId val="6"/>
      <sheetId val="7"/>
      <sheetId val="8"/>
      <sheetId val="9"/>
    </sheetIdMap>
  </header>
  <header guid="{70DBF0E0-C9F5-4B3C-8B0B-11A346D24B31}" dateTime="2020-09-09T09:25:20" maxSheetId="10" userName="EXTERNAL Do Anh Huy (Ban Vien Company, RBVH/EPS45)" r:id="rId84" minRId="1719">
    <sheetIdMap count="9">
      <sheetId val="1"/>
      <sheetId val="2"/>
      <sheetId val="3"/>
      <sheetId val="4"/>
      <sheetId val="5"/>
      <sheetId val="6"/>
      <sheetId val="7"/>
      <sheetId val="8"/>
      <sheetId val="9"/>
    </sheetIdMap>
  </header>
  <header guid="{5C3509FD-9641-4323-BA30-BB9EA2C31D5B}" dateTime="2020-09-09T09:40:06" maxSheetId="10" userName="EXTERNAL Ly Chung (Ban Vien, RBVH/EPS45)" r:id="rId85" minRId="1722" maxRId="1730">
    <sheetIdMap count="9">
      <sheetId val="1"/>
      <sheetId val="2"/>
      <sheetId val="3"/>
      <sheetId val="4"/>
      <sheetId val="5"/>
      <sheetId val="6"/>
      <sheetId val="7"/>
      <sheetId val="8"/>
      <sheetId val="9"/>
    </sheetIdMap>
  </header>
  <header guid="{EDCB59AE-786C-4743-AA1B-F3CF261346DE}" dateTime="2020-09-09T09:40:09" maxSheetId="10" userName="EXTERNAL Ly Chung (Ban Vien, RBVH/EPS45)" r:id="rId86" minRId="1733">
    <sheetIdMap count="9">
      <sheetId val="1"/>
      <sheetId val="2"/>
      <sheetId val="3"/>
      <sheetId val="4"/>
      <sheetId val="5"/>
      <sheetId val="6"/>
      <sheetId val="7"/>
      <sheetId val="8"/>
      <sheetId val="9"/>
    </sheetIdMap>
  </header>
  <header guid="{69FDA31E-8C9C-4034-AA90-684E4FA7BDD6}" dateTime="2020-09-09T09:52:00" maxSheetId="10" userName="gup7hc" r:id="rId87">
    <sheetIdMap count="9">
      <sheetId val="1"/>
      <sheetId val="2"/>
      <sheetId val="3"/>
      <sheetId val="4"/>
      <sheetId val="5"/>
      <sheetId val="6"/>
      <sheetId val="7"/>
      <sheetId val="8"/>
      <sheetId val="9"/>
    </sheetIdMap>
  </header>
  <header guid="{EEB64369-807A-4DD7-9A90-4C393C0BA08A}" dateTime="2020-09-09T09:57:43" maxSheetId="10" userName="NCH7HC" r:id="rId88">
    <sheetIdMap count="9">
      <sheetId val="1"/>
      <sheetId val="2"/>
      <sheetId val="3"/>
      <sheetId val="4"/>
      <sheetId val="5"/>
      <sheetId val="6"/>
      <sheetId val="7"/>
      <sheetId val="8"/>
      <sheetId val="9"/>
    </sheetIdMap>
  </header>
  <header guid="{E5504C1F-4BA6-4603-B3B3-C64B81CC0F30}" dateTime="2020-09-09T09:58:15" maxSheetId="10" userName="gup7hc" r:id="rId89">
    <sheetIdMap count="9">
      <sheetId val="1"/>
      <sheetId val="2"/>
      <sheetId val="3"/>
      <sheetId val="4"/>
      <sheetId val="5"/>
      <sheetId val="6"/>
      <sheetId val="7"/>
      <sheetId val="8"/>
      <sheetId val="9"/>
    </sheetIdMap>
  </header>
  <header guid="{2EB6B0AD-5DBC-4DCE-B8E1-BBE3C03A630E}" dateTime="2020-09-09T09:59:03" maxSheetId="10" userName="EXTERNAL Phan The Nam (Ban Vien Company, RBVH/EPS45)" r:id="rId90" minRId="1742">
    <sheetIdMap count="9">
      <sheetId val="1"/>
      <sheetId val="2"/>
      <sheetId val="3"/>
      <sheetId val="4"/>
      <sheetId val="5"/>
      <sheetId val="6"/>
      <sheetId val="7"/>
      <sheetId val="8"/>
      <sheetId val="9"/>
    </sheetIdMap>
  </header>
  <header guid="{F8123596-BA70-4DA3-A8DB-BA57C69875AF}" dateTime="2020-09-09T10:09:01" maxSheetId="10" userName="EXTERNAL Do Anh Huy (Ban Vien Company, RBVH/EPS45)" r:id="rId91" minRId="1745" maxRId="1751">
    <sheetIdMap count="9">
      <sheetId val="1"/>
      <sheetId val="2"/>
      <sheetId val="3"/>
      <sheetId val="4"/>
      <sheetId val="5"/>
      <sheetId val="6"/>
      <sheetId val="7"/>
      <sheetId val="8"/>
      <sheetId val="9"/>
    </sheetIdMap>
  </header>
  <header guid="{95617D25-B2A8-4080-8876-8A97B97FF00B}" dateTime="2020-09-09T10:10:19" maxSheetId="10" userName="EXTERNAL Ly Chung (Ban Vien, RBVH/EPS45)" r:id="rId92">
    <sheetIdMap count="9">
      <sheetId val="1"/>
      <sheetId val="2"/>
      <sheetId val="3"/>
      <sheetId val="4"/>
      <sheetId val="5"/>
      <sheetId val="6"/>
      <sheetId val="7"/>
      <sheetId val="8"/>
      <sheetId val="9"/>
    </sheetIdMap>
  </header>
  <header guid="{EBC27555-A464-43A0-88D2-4ADDCB16A38A}" dateTime="2020-09-09T10:10:35" maxSheetId="10" userName="EXTERNAL Do Anh Huy (Ban Vien Company, RBVH/EPS45)" r:id="rId93">
    <sheetIdMap count="9">
      <sheetId val="1"/>
      <sheetId val="2"/>
      <sheetId val="3"/>
      <sheetId val="4"/>
      <sheetId val="5"/>
      <sheetId val="6"/>
      <sheetId val="7"/>
      <sheetId val="8"/>
      <sheetId val="9"/>
    </sheetIdMap>
  </header>
  <header guid="{687B248C-0A74-4F81-8B00-E67CB20ADAA8}" dateTime="2020-09-09T10:14:08" maxSheetId="10" userName="EXTERNAL Ly Chung (Ban Vien, RBVH/EPS45)" r:id="rId94" minRId="1758" maxRId="1777">
    <sheetIdMap count="9">
      <sheetId val="1"/>
      <sheetId val="2"/>
      <sheetId val="3"/>
      <sheetId val="4"/>
      <sheetId val="5"/>
      <sheetId val="6"/>
      <sheetId val="7"/>
      <sheetId val="8"/>
      <sheetId val="9"/>
    </sheetIdMap>
  </header>
  <header guid="{22D31891-A9A6-4877-96F1-DCD3CE6B19E5}" dateTime="2020-09-09T10:14:15" maxSheetId="10" userName="EXTERNAL Ly Chung (Ban Vien, RBVH/EPS45)" r:id="rId95" minRId="1780" maxRId="1781">
    <sheetIdMap count="9">
      <sheetId val="1"/>
      <sheetId val="2"/>
      <sheetId val="3"/>
      <sheetId val="4"/>
      <sheetId val="5"/>
      <sheetId val="6"/>
      <sheetId val="7"/>
      <sheetId val="8"/>
      <sheetId val="9"/>
    </sheetIdMap>
  </header>
  <header guid="{1D9A68B2-67DD-4BCE-95BD-B1F718D963BB}" dateTime="2020-09-09T10:15:45" maxSheetId="10" userName="HGY7HC" r:id="rId96">
    <sheetIdMap count="9">
      <sheetId val="1"/>
      <sheetId val="2"/>
      <sheetId val="3"/>
      <sheetId val="4"/>
      <sheetId val="5"/>
      <sheetId val="6"/>
      <sheetId val="7"/>
      <sheetId val="8"/>
      <sheetId val="9"/>
    </sheetIdMap>
  </header>
  <header guid="{05CBF993-AB47-4821-BBC4-C758543D5BF5}" dateTime="2020-09-09T10:24:40" maxSheetId="10" userName="EXTERNAL Phan The Nam (Ban Vien Company, RBVH/EPS45)" r:id="rId97" minRId="1784" maxRId="1799">
    <sheetIdMap count="9">
      <sheetId val="1"/>
      <sheetId val="2"/>
      <sheetId val="3"/>
      <sheetId val="4"/>
      <sheetId val="5"/>
      <sheetId val="6"/>
      <sheetId val="7"/>
      <sheetId val="8"/>
      <sheetId val="9"/>
    </sheetIdMap>
  </header>
  <header guid="{DA32242A-B58C-4B5C-AA09-A44D89CEFEAB}" dateTime="2020-09-09T10:25:41" maxSheetId="10" userName="EXTERNAL Do Phu Loc (Ban Vien, RBVH/EPS45)" r:id="rId98" minRId="1802" maxRId="1809">
    <sheetIdMap count="9">
      <sheetId val="1"/>
      <sheetId val="2"/>
      <sheetId val="3"/>
      <sheetId val="4"/>
      <sheetId val="5"/>
      <sheetId val="6"/>
      <sheetId val="7"/>
      <sheetId val="8"/>
      <sheetId val="9"/>
    </sheetIdMap>
  </header>
  <header guid="{2918EDDB-866A-423C-82D7-7CC95049DA82}" dateTime="2020-09-09T10:26:20" maxSheetId="10" userName="EXTERNAL Do Phu Loc (Ban Vien, RBVH/EPS45)" r:id="rId99">
    <sheetIdMap count="9">
      <sheetId val="1"/>
      <sheetId val="2"/>
      <sheetId val="3"/>
      <sheetId val="4"/>
      <sheetId val="5"/>
      <sheetId val="6"/>
      <sheetId val="7"/>
      <sheetId val="8"/>
      <sheetId val="9"/>
    </sheetIdMap>
  </header>
  <header guid="{7120AB7A-85BC-47F2-877A-DE6AADADE8D0}" dateTime="2020-09-09T10:26:38" maxSheetId="10" userName="EXTERNAL Phan The Nam (Ban Vien Company, RBVH/EPS45)" r:id="rId100">
    <sheetIdMap count="9">
      <sheetId val="1"/>
      <sheetId val="2"/>
      <sheetId val="3"/>
      <sheetId val="4"/>
      <sheetId val="5"/>
      <sheetId val="6"/>
      <sheetId val="7"/>
      <sheetId val="8"/>
      <sheetId val="9"/>
    </sheetIdMap>
  </header>
  <header guid="{0E306876-4B26-4736-B221-A40C01807B96}" dateTime="2020-09-09T10:27:21" maxSheetId="10" userName="EXTERNAL Phan The Nam (Ban Vien Company, RBVH/EPS45)" r:id="rId101">
    <sheetIdMap count="9">
      <sheetId val="1"/>
      <sheetId val="2"/>
      <sheetId val="3"/>
      <sheetId val="4"/>
      <sheetId val="5"/>
      <sheetId val="6"/>
      <sheetId val="7"/>
      <sheetId val="8"/>
      <sheetId val="9"/>
    </sheetIdMap>
  </header>
  <header guid="{F9B38E1D-294A-4B0B-B7AC-7D445A7C1BAE}" dateTime="2020-09-09T10:33:46" maxSheetId="10" userName="EXTERNAL Do Phu Loc (Ban Vien, RBVH/EPS45)" r:id="rId102" minRId="1816">
    <sheetIdMap count="9">
      <sheetId val="1"/>
      <sheetId val="2"/>
      <sheetId val="3"/>
      <sheetId val="4"/>
      <sheetId val="5"/>
      <sheetId val="6"/>
      <sheetId val="7"/>
      <sheetId val="8"/>
      <sheetId val="9"/>
    </sheetIdMap>
  </header>
  <header guid="{01547310-CF0D-4942-92D5-41EE84188E06}" dateTime="2020-09-09T10:43:07" maxSheetId="10" userName="EXTERNAL Ly Chung (Ban Vien, RBVH/EPS45)" r:id="rId103">
    <sheetIdMap count="9">
      <sheetId val="1"/>
      <sheetId val="2"/>
      <sheetId val="3"/>
      <sheetId val="4"/>
      <sheetId val="5"/>
      <sheetId val="6"/>
      <sheetId val="7"/>
      <sheetId val="8"/>
      <sheetId val="9"/>
    </sheetIdMap>
  </header>
  <header guid="{ACEE692A-9752-42E4-BA8C-A3A76F76021A}" dateTime="2020-09-09T10:53:34" maxSheetId="10" userName="EXTERNAL Nguyen Tai Hau (Ban Vien, RBVH/EPS45)" r:id="rId104" minRId="1821" maxRId="2659">
    <sheetIdMap count="9">
      <sheetId val="1"/>
      <sheetId val="2"/>
      <sheetId val="3"/>
      <sheetId val="4"/>
      <sheetId val="5"/>
      <sheetId val="6"/>
      <sheetId val="7"/>
      <sheetId val="8"/>
      <sheetId val="9"/>
    </sheetIdMap>
  </header>
  <header guid="{06A85618-0F68-4E44-9E84-1FFD265FCC5F}" dateTime="2020-09-09T10:55:45" maxSheetId="10" userName="EXTERNAL Phan The Nam (Ban Vien Company, RBVH/EPS45)" r:id="rId105" minRId="2662" maxRId="2678">
    <sheetIdMap count="9">
      <sheetId val="1"/>
      <sheetId val="2"/>
      <sheetId val="3"/>
      <sheetId val="4"/>
      <sheetId val="5"/>
      <sheetId val="6"/>
      <sheetId val="7"/>
      <sheetId val="8"/>
      <sheetId val="9"/>
    </sheetIdMap>
  </header>
  <header guid="{6796AFAB-6C48-442E-A2DD-9C5A41EBE268}" dateTime="2020-09-09T10:55:53" maxSheetId="10" userName="EXTERNAL Nguyen Tuan Duong (Ban Vien, RBVH/EPS45)" r:id="rId106">
    <sheetIdMap count="9">
      <sheetId val="1"/>
      <sheetId val="2"/>
      <sheetId val="3"/>
      <sheetId val="4"/>
      <sheetId val="5"/>
      <sheetId val="6"/>
      <sheetId val="7"/>
      <sheetId val="8"/>
      <sheetId val="9"/>
    </sheetIdMap>
  </header>
  <header guid="{D15E122C-A95E-42AA-AED5-CC7FE1FEFA9B}" dateTime="2020-09-09T10:56:48" maxSheetId="10" userName="EXTERNAL Phan The Nam (Ban Vien Company, RBVH/EPS45)" r:id="rId107" minRId="2681" maxRId="2685">
    <sheetIdMap count="9">
      <sheetId val="1"/>
      <sheetId val="2"/>
      <sheetId val="3"/>
      <sheetId val="4"/>
      <sheetId val="5"/>
      <sheetId val="6"/>
      <sheetId val="7"/>
      <sheetId val="8"/>
      <sheetId val="9"/>
    </sheetIdMap>
  </header>
  <header guid="{30AE23D2-047A-4C96-B1BE-89B86433E3A1}" dateTime="2020-09-09T10:56:51" maxSheetId="10" userName="EXTERNAL Nguyen Tai Hau (Ban Vien, RBVH/EPS45)" r:id="rId108" minRId="2686" maxRId="2739">
    <sheetIdMap count="9">
      <sheetId val="1"/>
      <sheetId val="2"/>
      <sheetId val="3"/>
      <sheetId val="4"/>
      <sheetId val="5"/>
      <sheetId val="6"/>
      <sheetId val="7"/>
      <sheetId val="8"/>
      <sheetId val="9"/>
    </sheetIdMap>
  </header>
  <header guid="{0B596818-BC6F-4419-8154-DC1C6E8F82EF}" dateTime="2020-09-09T10:57:07" maxSheetId="10" userName="EXTERNAL Do Anh Huy (Ban Vien Company, RBVH/EPS45)" r:id="rId109">
    <sheetIdMap count="9">
      <sheetId val="1"/>
      <sheetId val="2"/>
      <sheetId val="3"/>
      <sheetId val="4"/>
      <sheetId val="5"/>
      <sheetId val="6"/>
      <sheetId val="7"/>
      <sheetId val="8"/>
      <sheetId val="9"/>
    </sheetIdMap>
  </header>
  <header guid="{3C3AA2C9-D26F-4676-894A-D262CA1ADE2D}" dateTime="2020-09-09T10:57:32" maxSheetId="10" userName="EXTERNAL Luu Cong Dac (Ban Vien, RBVH/EPS45)" r:id="rId110" minRId="2744" maxRId="2746">
    <sheetIdMap count="9">
      <sheetId val="1"/>
      <sheetId val="2"/>
      <sheetId val="3"/>
      <sheetId val="4"/>
      <sheetId val="5"/>
      <sheetId val="6"/>
      <sheetId val="7"/>
      <sheetId val="8"/>
      <sheetId val="9"/>
    </sheetIdMap>
  </header>
  <header guid="{0FC0E721-39BD-4788-A97A-815931F6A483}" dateTime="2020-09-09T10:57:33" maxSheetId="10" userName="duo81hc" r:id="rId111">
    <sheetIdMap count="9">
      <sheetId val="1"/>
      <sheetId val="2"/>
      <sheetId val="3"/>
      <sheetId val="4"/>
      <sheetId val="5"/>
      <sheetId val="6"/>
      <sheetId val="7"/>
      <sheetId val="8"/>
      <sheetId val="9"/>
    </sheetIdMap>
  </header>
  <header guid="{7BE1CAC0-F19A-470D-BC96-D68EC32DCC17}" dateTime="2020-09-09T10:59:31" maxSheetId="10" userName="NCH7HC" r:id="rId112">
    <sheetIdMap count="9">
      <sheetId val="1"/>
      <sheetId val="2"/>
      <sheetId val="3"/>
      <sheetId val="4"/>
      <sheetId val="5"/>
      <sheetId val="6"/>
      <sheetId val="7"/>
      <sheetId val="8"/>
      <sheetId val="9"/>
    </sheetIdMap>
  </header>
  <header guid="{C117C353-1946-402B-88B8-13082D7D06FD}" dateTime="2020-09-09T11:02:36" maxSheetId="10" userName="EXTERNAL Phan The Nam (Ban Vien Company, RBVH/EPS45)" r:id="rId113">
    <sheetIdMap count="9">
      <sheetId val="1"/>
      <sheetId val="2"/>
      <sheetId val="3"/>
      <sheetId val="4"/>
      <sheetId val="5"/>
      <sheetId val="6"/>
      <sheetId val="7"/>
      <sheetId val="8"/>
      <sheetId val="9"/>
    </sheetIdMap>
  </header>
  <header guid="{473D50EF-0DB0-43F3-A278-597C82E3E2EF}" dateTime="2020-09-09T11:02:48" maxSheetId="10" userName="EXTERNAL Phan The Nam (Ban Vien Company, RBVH/EPS45)" r:id="rId114" minRId="2753">
    <sheetIdMap count="9">
      <sheetId val="1"/>
      <sheetId val="2"/>
      <sheetId val="3"/>
      <sheetId val="4"/>
      <sheetId val="5"/>
      <sheetId val="6"/>
      <sheetId val="7"/>
      <sheetId val="8"/>
      <sheetId val="9"/>
    </sheetIdMap>
  </header>
  <header guid="{F565E8A1-C20B-436D-9C72-8E98E68F7AE8}" dateTime="2020-09-09T11:02:56" maxSheetId="10" userName="EXTERNAL Phan The Nam (Ban Vien Company, RBVH/EPS45)" r:id="rId115">
    <sheetIdMap count="9">
      <sheetId val="1"/>
      <sheetId val="2"/>
      <sheetId val="3"/>
      <sheetId val="4"/>
      <sheetId val="5"/>
      <sheetId val="6"/>
      <sheetId val="7"/>
      <sheetId val="8"/>
      <sheetId val="9"/>
    </sheetIdMap>
  </header>
  <header guid="{E3A23E18-2DA7-42DC-A163-71EC8B4662C1}" dateTime="2020-09-09T11:04:02" maxSheetId="10" userName="HGY7HC" r:id="rId116" minRId="2754" maxRId="2763">
    <sheetIdMap count="9">
      <sheetId val="1"/>
      <sheetId val="2"/>
      <sheetId val="3"/>
      <sheetId val="4"/>
      <sheetId val="5"/>
      <sheetId val="6"/>
      <sheetId val="7"/>
      <sheetId val="8"/>
      <sheetId val="9"/>
    </sheetIdMap>
  </header>
  <header guid="{38AD0A42-2246-4ACD-8F84-78FD244E93E4}" dateTime="2020-09-09T11:04:04" maxSheetId="10" userName="EXTERNAL Luu Cong Dac (Ban Vien, RBVH/EPS45)" r:id="rId117" minRId="2766" maxRId="2774">
    <sheetIdMap count="9">
      <sheetId val="1"/>
      <sheetId val="2"/>
      <sheetId val="3"/>
      <sheetId val="4"/>
      <sheetId val="5"/>
      <sheetId val="6"/>
      <sheetId val="7"/>
      <sheetId val="8"/>
      <sheetId val="9"/>
    </sheetIdMap>
  </header>
  <header guid="{6A7534D9-6AC8-4174-BC59-8174D4E3719A}" dateTime="2020-09-09T11:04:35" maxSheetId="10" userName="HGY7HC" r:id="rId118" minRId="2778" maxRId="2795">
    <sheetIdMap count="9">
      <sheetId val="1"/>
      <sheetId val="2"/>
      <sheetId val="3"/>
      <sheetId val="4"/>
      <sheetId val="5"/>
      <sheetId val="6"/>
      <sheetId val="7"/>
      <sheetId val="8"/>
      <sheetId val="9"/>
    </sheetIdMap>
  </header>
  <header guid="{51FDAFB1-9571-437E-AAD2-D820FE210743}" dateTime="2020-09-09T11:07:27" maxSheetId="10" userName="HGY7HC" r:id="rId119" minRId="2798">
    <sheetIdMap count="9">
      <sheetId val="1"/>
      <sheetId val="2"/>
      <sheetId val="3"/>
      <sheetId val="4"/>
      <sheetId val="5"/>
      <sheetId val="6"/>
      <sheetId val="7"/>
      <sheetId val="8"/>
      <sheetId val="9"/>
    </sheetIdMap>
  </header>
  <header guid="{DCA0519F-0FFE-40A8-87E1-36BCAB5BEB9B}" dateTime="2020-09-09T11:07:55" maxSheetId="10" userName="HGY7HC" r:id="rId120" minRId="2799" maxRId="2807">
    <sheetIdMap count="9">
      <sheetId val="1"/>
      <sheetId val="2"/>
      <sheetId val="3"/>
      <sheetId val="4"/>
      <sheetId val="5"/>
      <sheetId val="6"/>
      <sheetId val="7"/>
      <sheetId val="8"/>
      <sheetId val="9"/>
    </sheetIdMap>
  </header>
  <header guid="{A203F9AD-A6FC-4D78-9340-23EB5B48DA59}" dateTime="2020-09-09T11:08:09" maxSheetId="10" userName="HGY7HC" r:id="rId121" minRId="2810" maxRId="2813">
    <sheetIdMap count="9">
      <sheetId val="1"/>
      <sheetId val="2"/>
      <sheetId val="3"/>
      <sheetId val="4"/>
      <sheetId val="5"/>
      <sheetId val="6"/>
      <sheetId val="7"/>
      <sheetId val="8"/>
      <sheetId val="9"/>
    </sheetIdMap>
  </header>
  <header guid="{F899515F-0B51-4B5A-82C7-3D233B4F4CBB}" dateTime="2020-09-09T11:10:29" maxSheetId="10" userName="EXTERNAL Nguyen Tai Hau (Ban Vien, RBVH/EPS45)" r:id="rId122" minRId="2816" maxRId="2865">
    <sheetIdMap count="9">
      <sheetId val="1"/>
      <sheetId val="2"/>
      <sheetId val="3"/>
      <sheetId val="4"/>
      <sheetId val="5"/>
      <sheetId val="6"/>
      <sheetId val="7"/>
      <sheetId val="8"/>
      <sheetId val="9"/>
    </sheetIdMap>
  </header>
  <header guid="{095BCC3A-3F98-49CC-95AA-96A775BF4579}" dateTime="2020-09-09T11:10:33" maxSheetId="10" userName="EXTERNAL Do Anh Huy (Ban Vien Company, RBVH/EPS45)" r:id="rId123" minRId="2866" maxRId="2873">
    <sheetIdMap count="9">
      <sheetId val="1"/>
      <sheetId val="2"/>
      <sheetId val="3"/>
      <sheetId val="4"/>
      <sheetId val="5"/>
      <sheetId val="6"/>
      <sheetId val="7"/>
      <sheetId val="8"/>
      <sheetId val="9"/>
    </sheetIdMap>
  </header>
  <header guid="{9136DB93-66DF-4C00-98E9-77437D739BF5}" dateTime="2020-09-09T11:12:41" maxSheetId="10" userName="NCH7HC" r:id="rId124" minRId="2876" maxRId="2878">
    <sheetIdMap count="9">
      <sheetId val="1"/>
      <sheetId val="2"/>
      <sheetId val="3"/>
      <sheetId val="4"/>
      <sheetId val="5"/>
      <sheetId val="6"/>
      <sheetId val="7"/>
      <sheetId val="8"/>
      <sheetId val="9"/>
    </sheetIdMap>
  </header>
  <header guid="{97CC589D-DC0F-467B-87CF-90AAB614253F}" dateTime="2020-09-09T11:13:26" maxSheetId="10" userName="EXTERNAL Ly Chung (Ban Vien, RBVH/EPS45)" r:id="rId125" minRId="2879" maxRId="2882">
    <sheetIdMap count="9">
      <sheetId val="1"/>
      <sheetId val="2"/>
      <sheetId val="3"/>
      <sheetId val="4"/>
      <sheetId val="5"/>
      <sheetId val="6"/>
      <sheetId val="7"/>
      <sheetId val="8"/>
      <sheetId val="9"/>
    </sheetIdMap>
  </header>
  <header guid="{19CB87F0-8CE2-43EF-AB8E-7F5751AD8E4F}" dateTime="2020-09-09T11:18:14" maxSheetId="10" userName="duo81hc" r:id="rId126" minRId="2885" maxRId="2895">
    <sheetIdMap count="9">
      <sheetId val="1"/>
      <sheetId val="2"/>
      <sheetId val="3"/>
      <sheetId val="4"/>
      <sheetId val="5"/>
      <sheetId val="6"/>
      <sheetId val="7"/>
      <sheetId val="8"/>
      <sheetId val="9"/>
    </sheetIdMap>
  </header>
  <header guid="{08050208-6B9A-4FA7-AA69-D4C015FF713A}" dateTime="2020-09-09T11:20:32" maxSheetId="10" userName="EXTERNAL Phan The Nam (Ban Vien Company, RBVH/EPS45)" r:id="rId127" minRId="2898" maxRId="2924">
    <sheetIdMap count="9">
      <sheetId val="1"/>
      <sheetId val="2"/>
      <sheetId val="3"/>
      <sheetId val="4"/>
      <sheetId val="5"/>
      <sheetId val="6"/>
      <sheetId val="7"/>
      <sheetId val="8"/>
      <sheetId val="9"/>
    </sheetIdMap>
  </header>
  <header guid="{32D19D19-83D4-4436-A9AA-34EB70B3BDE0}" dateTime="2020-09-09T11:22:29" maxSheetId="10" userName="NCH7HC" r:id="rId128" minRId="2927">
    <sheetIdMap count="9">
      <sheetId val="1"/>
      <sheetId val="2"/>
      <sheetId val="3"/>
      <sheetId val="4"/>
      <sheetId val="5"/>
      <sheetId val="6"/>
      <sheetId val="7"/>
      <sheetId val="8"/>
      <sheetId val="9"/>
    </sheetIdMap>
  </header>
  <header guid="{0E1D80FA-E0D9-4A23-8CF7-61F90CA82CC2}" dateTime="2020-09-09T11:29:43" maxSheetId="10" userName="EXTERNAL Nguyen Tai Hau (Ban Vien, RBVH/EPS45)" r:id="rId129" minRId="2928" maxRId="2934">
    <sheetIdMap count="9">
      <sheetId val="1"/>
      <sheetId val="2"/>
      <sheetId val="3"/>
      <sheetId val="4"/>
      <sheetId val="5"/>
      <sheetId val="6"/>
      <sheetId val="7"/>
      <sheetId val="8"/>
      <sheetId val="9"/>
    </sheetIdMap>
  </header>
  <header guid="{DE7130B5-8047-4D72-910E-3E1033CF48F6}" dateTime="2020-09-09T11:32:36" maxSheetId="10" userName="gup7hc" r:id="rId130" minRId="2937">
    <sheetIdMap count="9">
      <sheetId val="1"/>
      <sheetId val="2"/>
      <sheetId val="3"/>
      <sheetId val="4"/>
      <sheetId val="5"/>
      <sheetId val="6"/>
      <sheetId val="7"/>
      <sheetId val="8"/>
      <sheetId val="9"/>
    </sheetIdMap>
  </header>
  <header guid="{D480C71C-1E2E-47BB-B649-F00E0ED14127}" dateTime="2020-09-09T11:33:18" maxSheetId="10" userName="gup7hc" r:id="rId131" minRId="2940" maxRId="2941">
    <sheetIdMap count="9">
      <sheetId val="1"/>
      <sheetId val="2"/>
      <sheetId val="3"/>
      <sheetId val="4"/>
      <sheetId val="5"/>
      <sheetId val="6"/>
      <sheetId val="7"/>
      <sheetId val="8"/>
      <sheetId val="9"/>
    </sheetIdMap>
  </header>
  <header guid="{5A7D1BA8-3A23-4CAE-8D49-90A86542C077}" dateTime="2020-09-09T11:33:37" maxSheetId="10" userName="gup7hc" r:id="rId132" minRId="2944" maxRId="2946">
    <sheetIdMap count="9">
      <sheetId val="1"/>
      <sheetId val="2"/>
      <sheetId val="3"/>
      <sheetId val="4"/>
      <sheetId val="5"/>
      <sheetId val="6"/>
      <sheetId val="7"/>
      <sheetId val="8"/>
      <sheetId val="9"/>
    </sheetIdMap>
  </header>
  <header guid="{FE448CAD-06F1-4D11-8D46-CB04A856CDCB}" dateTime="2020-09-09T11:33:42" maxSheetId="10" userName="gup7hc" r:id="rId133" minRId="2947" maxRId="2948">
    <sheetIdMap count="9">
      <sheetId val="1"/>
      <sheetId val="2"/>
      <sheetId val="3"/>
      <sheetId val="4"/>
      <sheetId val="5"/>
      <sheetId val="6"/>
      <sheetId val="7"/>
      <sheetId val="8"/>
      <sheetId val="9"/>
    </sheetIdMap>
  </header>
  <header guid="{2EBA67EC-C444-450C-AC7F-DD896A485BA8}" dateTime="2020-09-09T11:33:46" maxSheetId="10" userName="gup7hc" r:id="rId134" minRId="2951" maxRId="2952">
    <sheetIdMap count="9">
      <sheetId val="1"/>
      <sheetId val="2"/>
      <sheetId val="3"/>
      <sheetId val="4"/>
      <sheetId val="5"/>
      <sheetId val="6"/>
      <sheetId val="7"/>
      <sheetId val="8"/>
      <sheetId val="9"/>
    </sheetIdMap>
  </header>
  <header guid="{5B0D5A9F-7097-4264-BE6A-8DB8682654D2}" dateTime="2020-09-09T11:33:51" maxSheetId="10" userName="gup7hc" r:id="rId135" minRId="2953">
    <sheetIdMap count="9">
      <sheetId val="1"/>
      <sheetId val="2"/>
      <sheetId val="3"/>
      <sheetId val="4"/>
      <sheetId val="5"/>
      <sheetId val="6"/>
      <sheetId val="7"/>
      <sheetId val="8"/>
      <sheetId val="9"/>
    </sheetIdMap>
  </header>
  <header guid="{122944E8-8AFF-4D4D-9C7C-A8E7F519288F}" dateTime="2020-09-09T11:33:53" maxSheetId="10" userName="gup7hc" r:id="rId136" minRId="2954">
    <sheetIdMap count="9">
      <sheetId val="1"/>
      <sheetId val="2"/>
      <sheetId val="3"/>
      <sheetId val="4"/>
      <sheetId val="5"/>
      <sheetId val="6"/>
      <sheetId val="7"/>
      <sheetId val="8"/>
      <sheetId val="9"/>
    </sheetIdMap>
  </header>
  <header guid="{969CC860-B3DE-4473-9D18-59EAEB5A36C1}" dateTime="2020-09-09T11:34:34" maxSheetId="10" userName="EXTERNAL Ly Chung (Ban Vien, RBVH/EPS45)" r:id="rId137">
    <sheetIdMap count="9">
      <sheetId val="1"/>
      <sheetId val="2"/>
      <sheetId val="3"/>
      <sheetId val="4"/>
      <sheetId val="5"/>
      <sheetId val="6"/>
      <sheetId val="7"/>
      <sheetId val="8"/>
      <sheetId val="9"/>
    </sheetIdMap>
  </header>
  <header guid="{8D4B13EB-DD6F-4D43-9F68-3E5C6CDB944B}" dateTime="2020-09-09T11:35:31" maxSheetId="10" userName="NCH7HC" r:id="rId138" minRId="2959" maxRId="2965">
    <sheetIdMap count="9">
      <sheetId val="1"/>
      <sheetId val="2"/>
      <sheetId val="3"/>
      <sheetId val="4"/>
      <sheetId val="5"/>
      <sheetId val="6"/>
      <sheetId val="7"/>
      <sheetId val="8"/>
      <sheetId val="9"/>
    </sheetIdMap>
  </header>
  <header guid="{19EA8821-6E28-44B9-B0B5-F6667C0EFD1F}" dateTime="2020-09-09T11:36:06" maxSheetId="10" userName="NCH7HC" r:id="rId139" minRId="2968" maxRId="2971">
    <sheetIdMap count="9">
      <sheetId val="1"/>
      <sheetId val="2"/>
      <sheetId val="3"/>
      <sheetId val="4"/>
      <sheetId val="5"/>
      <sheetId val="6"/>
      <sheetId val="7"/>
      <sheetId val="8"/>
      <sheetId val="9"/>
    </sheetIdMap>
  </header>
  <header guid="{1FC0BAB3-6A65-4D64-9EFE-06A8574EA175}" dateTime="2020-09-09T11:36:33" maxSheetId="10" userName="NCH7HC" r:id="rId140" minRId="2974" maxRId="2976">
    <sheetIdMap count="9">
      <sheetId val="1"/>
      <sheetId val="2"/>
      <sheetId val="3"/>
      <sheetId val="4"/>
      <sheetId val="5"/>
      <sheetId val="6"/>
      <sheetId val="7"/>
      <sheetId val="8"/>
      <sheetId val="9"/>
    </sheetIdMap>
  </header>
  <header guid="{4908DAF2-AEF1-4E8A-851E-50B964CB368B}" dateTime="2020-09-09T11:37:10" maxSheetId="10" userName="EXTERNAL Do Anh Huy (Ban Vien Company, RBVH/EPS45)" r:id="rId141" minRId="2979" maxRId="2986">
    <sheetIdMap count="9">
      <sheetId val="1"/>
      <sheetId val="2"/>
      <sheetId val="3"/>
      <sheetId val="4"/>
      <sheetId val="5"/>
      <sheetId val="6"/>
      <sheetId val="7"/>
      <sheetId val="8"/>
      <sheetId val="9"/>
    </sheetIdMap>
  </header>
  <header guid="{7DAE6E71-68B2-47F7-81B4-C95C81843134}" dateTime="2020-09-09T11:46:17" maxSheetId="10" userName="EXTERNAL Phan The Nam (Ban Vien Company, RBVH/EPS45)" r:id="rId142" minRId="2987" maxRId="2996">
    <sheetIdMap count="9">
      <sheetId val="1"/>
      <sheetId val="2"/>
      <sheetId val="3"/>
      <sheetId val="4"/>
      <sheetId val="5"/>
      <sheetId val="6"/>
      <sheetId val="7"/>
      <sheetId val="8"/>
      <sheetId val="9"/>
    </sheetIdMap>
  </header>
  <header guid="{1421BCF6-EBFD-4AED-AA57-7ECAA0312086}" dateTime="2020-09-09T11:50:39" maxSheetId="10" userName="HGY7HC" r:id="rId143" minRId="2999" maxRId="3000">
    <sheetIdMap count="9">
      <sheetId val="1"/>
      <sheetId val="2"/>
      <sheetId val="3"/>
      <sheetId val="4"/>
      <sheetId val="5"/>
      <sheetId val="6"/>
      <sheetId val="7"/>
      <sheetId val="8"/>
      <sheetId val="9"/>
    </sheetIdMap>
  </header>
  <header guid="{E385C79E-79CF-40E2-9D08-1EF2BC4657DF}" dateTime="2020-09-09T11:51:06" maxSheetId="10" userName="HGY7HC" r:id="rId144" minRId="3003">
    <sheetIdMap count="9">
      <sheetId val="1"/>
      <sheetId val="2"/>
      <sheetId val="3"/>
      <sheetId val="4"/>
      <sheetId val="5"/>
      <sheetId val="6"/>
      <sheetId val="7"/>
      <sheetId val="8"/>
      <sheetId val="9"/>
    </sheetIdMap>
  </header>
  <header guid="{19080DEE-92DB-4D87-9FF3-B0B2118F583F}" dateTime="2020-09-09T11:51:08" maxSheetId="10" userName="duo81hc" r:id="rId145" minRId="3006" maxRId="3014">
    <sheetIdMap count="9">
      <sheetId val="1"/>
      <sheetId val="2"/>
      <sheetId val="3"/>
      <sheetId val="4"/>
      <sheetId val="5"/>
      <sheetId val="6"/>
      <sheetId val="7"/>
      <sheetId val="8"/>
      <sheetId val="9"/>
    </sheetIdMap>
  </header>
  <header guid="{9C28E393-2277-485E-AF11-930F9907EED5}" dateTime="2020-09-09T11:53:05" maxSheetId="10" userName="EXTERNAL Ly Chung (Ban Vien, RBVH/EPS45)" r:id="rId146" minRId="3017" maxRId="3041">
    <sheetIdMap count="9">
      <sheetId val="1"/>
      <sheetId val="2"/>
      <sheetId val="3"/>
      <sheetId val="4"/>
      <sheetId val="5"/>
      <sheetId val="6"/>
      <sheetId val="7"/>
      <sheetId val="8"/>
      <sheetId val="9"/>
    </sheetIdMap>
  </header>
  <header guid="{71385212-1D11-4DD2-9EC1-2DB45B5BDDA0}" dateTime="2020-09-09T12:05:54" maxSheetId="10" userName="EXTERNAL Do Anh Huy (Ban Vien Company, RBVH/EPS45)" r:id="rId147">
    <sheetIdMap count="9">
      <sheetId val="1"/>
      <sheetId val="2"/>
      <sheetId val="3"/>
      <sheetId val="4"/>
      <sheetId val="5"/>
      <sheetId val="6"/>
      <sheetId val="7"/>
      <sheetId val="8"/>
      <sheetId val="9"/>
    </sheetIdMap>
  </header>
  <header guid="{896AA5AE-8FA9-46BE-A1EB-DC092CDB42E1}" dateTime="2020-09-09T12:46:12" maxSheetId="10" userName="HGY7HC" r:id="rId148" minRId="3046">
    <sheetIdMap count="9">
      <sheetId val="1"/>
      <sheetId val="2"/>
      <sheetId val="3"/>
      <sheetId val="4"/>
      <sheetId val="5"/>
      <sheetId val="6"/>
      <sheetId val="7"/>
      <sheetId val="8"/>
      <sheetId val="9"/>
    </sheetIdMap>
  </header>
  <header guid="{97C0D232-7306-49C4-8490-92DA4D82C6BA}" dateTime="2020-09-09T13:08:05" maxSheetId="10" userName="gup7hc" r:id="rId149">
    <sheetIdMap count="9">
      <sheetId val="1"/>
      <sheetId val="2"/>
      <sheetId val="3"/>
      <sheetId val="4"/>
      <sheetId val="5"/>
      <sheetId val="6"/>
      <sheetId val="7"/>
      <sheetId val="8"/>
      <sheetId val="9"/>
    </sheetIdMap>
  </header>
  <header guid="{CBAE1FB5-B7E6-43F1-9846-EC3C002D355D}" dateTime="2020-09-09T13:10:56" maxSheetId="10" userName="NCH7HC" r:id="rId150">
    <sheetIdMap count="9">
      <sheetId val="1"/>
      <sheetId val="2"/>
      <sheetId val="3"/>
      <sheetId val="4"/>
      <sheetId val="5"/>
      <sheetId val="6"/>
      <sheetId val="7"/>
      <sheetId val="8"/>
      <sheetId val="9"/>
    </sheetIdMap>
  </header>
  <header guid="{3303ECDD-EE19-4C00-90B2-BA733322B0A4}" dateTime="2020-09-09T13:20:17" maxSheetId="10" userName="NCH7HC" r:id="rId151" minRId="3053" maxRId="3062">
    <sheetIdMap count="9">
      <sheetId val="1"/>
      <sheetId val="2"/>
      <sheetId val="3"/>
      <sheetId val="4"/>
      <sheetId val="5"/>
      <sheetId val="6"/>
      <sheetId val="7"/>
      <sheetId val="8"/>
      <sheetId val="9"/>
    </sheetIdMap>
  </header>
  <header guid="{AFF7D6C0-9094-46B4-A66F-179B071A23C4}" dateTime="2020-09-09T13:22:29" maxSheetId="10" userName="EXTERNAL Nguyen Tuan Duong (Ban Vien, RBVH/EPS45)" r:id="rId152" minRId="3065" maxRId="3066">
    <sheetIdMap count="9">
      <sheetId val="1"/>
      <sheetId val="2"/>
      <sheetId val="3"/>
      <sheetId val="4"/>
      <sheetId val="5"/>
      <sheetId val="6"/>
      <sheetId val="7"/>
      <sheetId val="8"/>
      <sheetId val="9"/>
    </sheetIdMap>
  </header>
  <header guid="{5A94D667-E638-4592-93D6-E028BF41F69F}" dateTime="2020-09-09T13:22:43" maxSheetId="10" userName="EXTERNAL Nguyen Tuan Duong (Ban Vien, RBVH/EPS45)" r:id="rId153">
    <sheetIdMap count="9">
      <sheetId val="1"/>
      <sheetId val="2"/>
      <sheetId val="3"/>
      <sheetId val="4"/>
      <sheetId val="5"/>
      <sheetId val="6"/>
      <sheetId val="7"/>
      <sheetId val="8"/>
      <sheetId val="9"/>
    </sheetIdMap>
  </header>
  <header guid="{FE26AA5E-4A80-43C4-946E-A47E5CAEB39B}" dateTime="2020-09-09T13:23:14" maxSheetId="10" userName="EXTERNAL Nguyen Tuan Duong (Ban Vien, RBVH/EPS45)" r:id="rId154" minRId="3069" maxRId="3078">
    <sheetIdMap count="9">
      <sheetId val="1"/>
      <sheetId val="2"/>
      <sheetId val="3"/>
      <sheetId val="4"/>
      <sheetId val="5"/>
      <sheetId val="6"/>
      <sheetId val="7"/>
      <sheetId val="8"/>
      <sheetId val="9"/>
    </sheetIdMap>
  </header>
  <header guid="{88B58D54-C207-4C70-A0B2-DE82AB3824ED}" dateTime="2020-09-09T13:23:17" maxSheetId="10" userName="EXTERNAL Nguyen Tuan Duong (Ban Vien, RBVH/EPS45)" r:id="rId155">
    <sheetIdMap count="9">
      <sheetId val="1"/>
      <sheetId val="2"/>
      <sheetId val="3"/>
      <sheetId val="4"/>
      <sheetId val="5"/>
      <sheetId val="6"/>
      <sheetId val="7"/>
      <sheetId val="8"/>
      <sheetId val="9"/>
    </sheetIdMap>
  </header>
  <header guid="{C94835F4-B4E7-46B7-A57B-10C133B0D294}" dateTime="2020-09-09T13:23:35" maxSheetId="10" userName="EXTERNAL Nguyen Tuan Duong (Ban Vien, RBVH/EPS45)" r:id="rId156" minRId="3083">
    <sheetIdMap count="9">
      <sheetId val="1"/>
      <sheetId val="2"/>
      <sheetId val="3"/>
      <sheetId val="4"/>
      <sheetId val="5"/>
      <sheetId val="6"/>
      <sheetId val="7"/>
      <sheetId val="8"/>
      <sheetId val="9"/>
    </sheetIdMap>
  </header>
  <header guid="{4C72221D-80DD-4EB2-A031-6D82A1E772DB}" dateTime="2020-09-09T13:24:37" maxSheetId="10" userName="EXTERNAL Phan The Nam (Ban Vien Company, RBVH/EPS45)" r:id="rId157" minRId="3086" maxRId="3096">
    <sheetIdMap count="9">
      <sheetId val="1"/>
      <sheetId val="2"/>
      <sheetId val="3"/>
      <sheetId val="4"/>
      <sheetId val="5"/>
      <sheetId val="6"/>
      <sheetId val="7"/>
      <sheetId val="8"/>
      <sheetId val="9"/>
    </sheetIdMap>
  </header>
  <header guid="{6CB4F283-B773-4C74-98ED-AD5A5D20E075}" dateTime="2020-09-09T13:31:28" maxSheetId="10" userName="EXTERNAL Do Phu Loc (Ban Vien, RBVH/EPS45)" r:id="rId158" minRId="3099">
    <sheetIdMap count="9">
      <sheetId val="1"/>
      <sheetId val="2"/>
      <sheetId val="3"/>
      <sheetId val="4"/>
      <sheetId val="5"/>
      <sheetId val="6"/>
      <sheetId val="7"/>
      <sheetId val="8"/>
      <sheetId val="9"/>
    </sheetIdMap>
  </header>
  <header guid="{762E6FF0-2458-432A-A8D9-B9BCFF1CB490}" dateTime="2020-09-09T13:54:25" maxSheetId="10" userName="gup7hc" r:id="rId159" minRId="3102" maxRId="3111">
    <sheetIdMap count="9">
      <sheetId val="1"/>
      <sheetId val="2"/>
      <sheetId val="3"/>
      <sheetId val="4"/>
      <sheetId val="5"/>
      <sheetId val="6"/>
      <sheetId val="7"/>
      <sheetId val="8"/>
      <sheetId val="9"/>
    </sheetIdMap>
  </header>
  <header guid="{E3CF5D05-FE43-4828-B35D-0DBF59F2FDA7}" dateTime="2020-09-09T13:54:29" maxSheetId="10" userName="gup7hc" r:id="rId160" minRId="3114" maxRId="3115">
    <sheetIdMap count="9">
      <sheetId val="1"/>
      <sheetId val="2"/>
      <sheetId val="3"/>
      <sheetId val="4"/>
      <sheetId val="5"/>
      <sheetId val="6"/>
      <sheetId val="7"/>
      <sheetId val="8"/>
      <sheetId val="9"/>
    </sheetIdMap>
  </header>
  <header guid="{C0EC4938-78E7-4BC6-B790-CAEEAD9AFE69}" dateTime="2020-09-09T13:54:36" maxSheetId="10" userName="gup7hc" r:id="rId161" minRId="3116" maxRId="3118">
    <sheetIdMap count="9">
      <sheetId val="1"/>
      <sheetId val="2"/>
      <sheetId val="3"/>
      <sheetId val="4"/>
      <sheetId val="5"/>
      <sheetId val="6"/>
      <sheetId val="7"/>
      <sheetId val="8"/>
      <sheetId val="9"/>
    </sheetIdMap>
  </header>
  <header guid="{2A99B41A-810B-4E83-A9CF-4BDAC27D129A}" dateTime="2020-09-09T14:01:12" maxSheetId="10" userName="EXTERNAL Luu Cong Dac (Ban Vien, RBVH/EPS45)" r:id="rId162" minRId="3121" maxRId="3130">
    <sheetIdMap count="9">
      <sheetId val="1"/>
      <sheetId val="2"/>
      <sheetId val="3"/>
      <sheetId val="4"/>
      <sheetId val="5"/>
      <sheetId val="6"/>
      <sheetId val="7"/>
      <sheetId val="8"/>
      <sheetId val="9"/>
    </sheetIdMap>
  </header>
  <header guid="{B9AAD2B1-5FB6-4CD7-BA66-D6C2FED08943}" dateTime="2020-09-09T14:02:35" maxSheetId="10" userName="EXTERNAL Phan The Nam (Ban Vien Company, RBVH/EPS45)" r:id="rId163" minRId="3134" maxRId="3155">
    <sheetIdMap count="9">
      <sheetId val="1"/>
      <sheetId val="2"/>
      <sheetId val="3"/>
      <sheetId val="4"/>
      <sheetId val="5"/>
      <sheetId val="6"/>
      <sheetId val="7"/>
      <sheetId val="8"/>
      <sheetId val="9"/>
    </sheetIdMap>
  </header>
  <header guid="{EC403EF1-7A42-44DA-9ADA-E11D20F9DC40}" dateTime="2020-09-09T14:14:10" maxSheetId="10" userName="EXTERNAL Nguyen Tuan Duong (Ban Vien, RBVH/EPS45)" r:id="rId164">
    <sheetIdMap count="9">
      <sheetId val="1"/>
      <sheetId val="2"/>
      <sheetId val="3"/>
      <sheetId val="4"/>
      <sheetId val="5"/>
      <sheetId val="6"/>
      <sheetId val="7"/>
      <sheetId val="8"/>
      <sheetId val="9"/>
    </sheetIdMap>
  </header>
  <header guid="{36675654-A157-4196-B59E-00A8FE206803}" dateTime="2020-09-09T14:27:43" maxSheetId="10" userName="gup7hc" r:id="rId165">
    <sheetIdMap count="9">
      <sheetId val="1"/>
      <sheetId val="2"/>
      <sheetId val="3"/>
      <sheetId val="4"/>
      <sheetId val="5"/>
      <sheetId val="6"/>
      <sheetId val="7"/>
      <sheetId val="8"/>
      <sheetId val="9"/>
    </sheetIdMap>
  </header>
  <header guid="{BD262FDB-DE0C-429F-A481-5E161D2C67C9}" dateTime="2020-09-09T14:30:27" maxSheetId="10" userName="EXTERNAL Nguyen Tuan Duong (Ban Vien, RBVH/EPS45)" r:id="rId166">
    <sheetIdMap count="9">
      <sheetId val="1"/>
      <sheetId val="2"/>
      <sheetId val="3"/>
      <sheetId val="4"/>
      <sheetId val="5"/>
      <sheetId val="6"/>
      <sheetId val="7"/>
      <sheetId val="8"/>
      <sheetId val="9"/>
    </sheetIdMap>
  </header>
  <header guid="{19359D7A-F728-47E6-8504-5C9EC6975340}" dateTime="2020-09-09T14:30:44" maxSheetId="10" userName="EXTERNAL Nguyen Tuan Duong (Ban Vien, RBVH/EPS45)" r:id="rId167">
    <sheetIdMap count="9">
      <sheetId val="1"/>
      <sheetId val="2"/>
      <sheetId val="3"/>
      <sheetId val="4"/>
      <sheetId val="5"/>
      <sheetId val="6"/>
      <sheetId val="7"/>
      <sheetId val="8"/>
      <sheetId val="9"/>
    </sheetIdMap>
  </header>
  <header guid="{0A8A225E-0F58-4CA5-81BF-96D76C137701}" dateTime="2020-09-09T14:31:28" maxSheetId="10" userName="EXTERNAL Nguyen Tuan Duong (Ban Vien, RBVH/EPS45)" r:id="rId168" minRId="3166">
    <sheetIdMap count="9">
      <sheetId val="1"/>
      <sheetId val="2"/>
      <sheetId val="3"/>
      <sheetId val="4"/>
      <sheetId val="5"/>
      <sheetId val="6"/>
      <sheetId val="7"/>
      <sheetId val="8"/>
      <sheetId val="9"/>
    </sheetIdMap>
  </header>
  <header guid="{5801B810-D00B-4283-BB18-98FF437E223C}" dateTime="2020-09-09T14:31:29" maxSheetId="10" userName="EXTERNAL Nguyen Tuan Duong (Ban Vien, RBVH/EPS45)" r:id="rId169">
    <sheetIdMap count="9">
      <sheetId val="1"/>
      <sheetId val="2"/>
      <sheetId val="3"/>
      <sheetId val="4"/>
      <sheetId val="5"/>
      <sheetId val="6"/>
      <sheetId val="7"/>
      <sheetId val="8"/>
      <sheetId val="9"/>
    </sheetIdMap>
  </header>
  <header guid="{48F68D30-387F-48B4-B6B9-381D3ACF0D35}" dateTime="2020-09-09T14:31:29" maxSheetId="10" userName="EXTERNAL Nguyen Tuan Duong (Ban Vien, RBVH/EPS45)" r:id="rId170">
    <sheetIdMap count="9">
      <sheetId val="1"/>
      <sheetId val="2"/>
      <sheetId val="3"/>
      <sheetId val="4"/>
      <sheetId val="5"/>
      <sheetId val="6"/>
      <sheetId val="7"/>
      <sheetId val="8"/>
      <sheetId val="9"/>
    </sheetIdMap>
  </header>
  <header guid="{2FD7F778-D0E6-48BC-84FD-3F6782AF14DB}" dateTime="2020-09-09T14:31:30" maxSheetId="10" userName="EXTERNAL Nguyen Tuan Duong (Ban Vien, RBVH/EPS45)" r:id="rId171">
    <sheetIdMap count="9">
      <sheetId val="1"/>
      <sheetId val="2"/>
      <sheetId val="3"/>
      <sheetId val="4"/>
      <sheetId val="5"/>
      <sheetId val="6"/>
      <sheetId val="7"/>
      <sheetId val="8"/>
      <sheetId val="9"/>
    </sheetIdMap>
  </header>
  <header guid="{B6DD3E9E-2B80-4C4F-81A9-A35ABFE567BA}" dateTime="2020-09-09T14:31:30" maxSheetId="10" userName="EXTERNAL Nguyen Tuan Duong (Ban Vien, RBVH/EPS45)" r:id="rId172">
    <sheetIdMap count="9">
      <sheetId val="1"/>
      <sheetId val="2"/>
      <sheetId val="3"/>
      <sheetId val="4"/>
      <sheetId val="5"/>
      <sheetId val="6"/>
      <sheetId val="7"/>
      <sheetId val="8"/>
      <sheetId val="9"/>
    </sheetIdMap>
  </header>
  <header guid="{1D2BE952-3DAC-41A3-91BE-FFD0A51B4796}" dateTime="2020-09-09T14:31:30" maxSheetId="10" userName="EXTERNAL Nguyen Tuan Duong (Ban Vien, RBVH/EPS45)" r:id="rId173">
    <sheetIdMap count="9">
      <sheetId val="1"/>
      <sheetId val="2"/>
      <sheetId val="3"/>
      <sheetId val="4"/>
      <sheetId val="5"/>
      <sheetId val="6"/>
      <sheetId val="7"/>
      <sheetId val="8"/>
      <sheetId val="9"/>
    </sheetIdMap>
  </header>
  <header guid="{0E7D52D9-BD48-4DE4-BAB0-6C1AD108B4DC}" dateTime="2020-09-09T14:31:32" maxSheetId="10" userName="EXTERNAL Nguyen Tuan Duong (Ban Vien, RBVH/EPS45)" r:id="rId174">
    <sheetIdMap count="9">
      <sheetId val="1"/>
      <sheetId val="2"/>
      <sheetId val="3"/>
      <sheetId val="4"/>
      <sheetId val="5"/>
      <sheetId val="6"/>
      <sheetId val="7"/>
      <sheetId val="8"/>
      <sheetId val="9"/>
    </sheetIdMap>
  </header>
  <header guid="{B94A74ED-B179-42FC-9E80-53DB45659D5A}" dateTime="2020-09-09T14:31:54" maxSheetId="10" userName="EXTERNAL Nguyen Tuan Duong (Ban Vien, RBVH/EPS45)" r:id="rId175">
    <sheetIdMap count="9">
      <sheetId val="1"/>
      <sheetId val="2"/>
      <sheetId val="3"/>
      <sheetId val="4"/>
      <sheetId val="5"/>
      <sheetId val="6"/>
      <sheetId val="7"/>
      <sheetId val="8"/>
      <sheetId val="9"/>
    </sheetIdMap>
  </header>
  <header guid="{2B84C75E-63FB-4606-8B16-18DDF73406C0}" dateTime="2020-09-09T14:33:34" maxSheetId="10" userName="NCH7HC" r:id="rId176">
    <sheetIdMap count="9">
      <sheetId val="1"/>
      <sheetId val="2"/>
      <sheetId val="3"/>
      <sheetId val="4"/>
      <sheetId val="5"/>
      <sheetId val="6"/>
      <sheetId val="7"/>
      <sheetId val="8"/>
      <sheetId val="9"/>
    </sheetIdMap>
  </header>
  <header guid="{943B8DE0-B732-452D-B869-1463476D375C}" dateTime="2020-09-09T14:36:18" maxSheetId="10" userName="gup7hc" r:id="rId177" minRId="3185" maxRId="3197">
    <sheetIdMap count="9">
      <sheetId val="1"/>
      <sheetId val="2"/>
      <sheetId val="3"/>
      <sheetId val="4"/>
      <sheetId val="5"/>
      <sheetId val="6"/>
      <sheetId val="7"/>
      <sheetId val="8"/>
      <sheetId val="9"/>
    </sheetIdMap>
  </header>
  <header guid="{FB429770-1059-446F-A24D-FC082D3BC88B}" dateTime="2020-09-09T14:42:55" maxSheetId="10" userName="EXTERNAL Phan The Nam (Ban Vien Company, RBVH/EPS45)" r:id="rId178" minRId="3200" maxRId="3208">
    <sheetIdMap count="9">
      <sheetId val="1"/>
      <sheetId val="2"/>
      <sheetId val="3"/>
      <sheetId val="4"/>
      <sheetId val="5"/>
      <sheetId val="6"/>
      <sheetId val="7"/>
      <sheetId val="8"/>
      <sheetId val="9"/>
    </sheetIdMap>
  </header>
  <header guid="{94D88851-068B-4E8B-9518-52CDCD911D8B}" dateTime="2020-09-09T14:43:11" maxSheetId="10" userName="EXTERNAL Phan The Nam (Ban Vien Company, RBVH/EPS45)" r:id="rId179" minRId="3211" maxRId="3213">
    <sheetIdMap count="9">
      <sheetId val="1"/>
      <sheetId val="2"/>
      <sheetId val="3"/>
      <sheetId val="4"/>
      <sheetId val="5"/>
      <sheetId val="6"/>
      <sheetId val="7"/>
      <sheetId val="8"/>
      <sheetId val="9"/>
    </sheetIdMap>
  </header>
  <header guid="{72DAD12F-DB0F-46AB-93AE-2276502557FC}" dateTime="2020-09-09T14:43:18" maxSheetId="10" userName="EXTERNAL Phan The Nam (Ban Vien Company, RBVH/EPS45)" r:id="rId180" minRId="3216" maxRId="3225">
    <sheetIdMap count="9">
      <sheetId val="1"/>
      <sheetId val="2"/>
      <sheetId val="3"/>
      <sheetId val="4"/>
      <sheetId val="5"/>
      <sheetId val="6"/>
      <sheetId val="7"/>
      <sheetId val="8"/>
      <sheetId val="9"/>
    </sheetIdMap>
  </header>
  <header guid="{E5362545-2969-41D6-B786-E0BA8B147678}" dateTime="2020-09-09T14:43:26" maxSheetId="10" userName="EXTERNAL Phan The Nam (Ban Vien Company, RBVH/EPS45)" r:id="rId181" minRId="3228" maxRId="3237">
    <sheetIdMap count="9">
      <sheetId val="1"/>
      <sheetId val="2"/>
      <sheetId val="3"/>
      <sheetId val="4"/>
      <sheetId val="5"/>
      <sheetId val="6"/>
      <sheetId val="7"/>
      <sheetId val="8"/>
      <sheetId val="9"/>
    </sheetIdMap>
  </header>
  <header guid="{0E75DA45-BB73-4C88-8B12-A766528E8DDD}" dateTime="2020-09-09T14:44:08" maxSheetId="10" userName="NCH7HC" r:id="rId182" minRId="3240">
    <sheetIdMap count="9">
      <sheetId val="1"/>
      <sheetId val="2"/>
      <sheetId val="3"/>
      <sheetId val="4"/>
      <sheetId val="5"/>
      <sheetId val="6"/>
      <sheetId val="7"/>
      <sheetId val="8"/>
      <sheetId val="9"/>
    </sheetIdMap>
  </header>
  <header guid="{7BE45312-ADBE-454C-8B69-9EDAC82A9C8A}" dateTime="2020-09-09T14:44:48" maxSheetId="10" userName="NCH7HC" r:id="rId183" minRId="3243" maxRId="3245">
    <sheetIdMap count="9">
      <sheetId val="1"/>
      <sheetId val="2"/>
      <sheetId val="3"/>
      <sheetId val="4"/>
      <sheetId val="5"/>
      <sheetId val="6"/>
      <sheetId val="7"/>
      <sheetId val="8"/>
      <sheetId val="9"/>
    </sheetIdMap>
  </header>
  <header guid="{3BB26836-54C5-4432-A4E9-F0056FAE4223}" dateTime="2020-09-09T14:46:40" maxSheetId="10" userName="EXTERNAL Nguyen Tuan Duong (Ban Vien, RBVH/EPS45)" r:id="rId184">
    <sheetIdMap count="9">
      <sheetId val="1"/>
      <sheetId val="2"/>
      <sheetId val="3"/>
      <sheetId val="4"/>
      <sheetId val="5"/>
      <sheetId val="6"/>
      <sheetId val="7"/>
      <sheetId val="8"/>
      <sheetId val="9"/>
    </sheetIdMap>
  </header>
  <header guid="{66B68210-1924-471F-8877-703B5F72DEB6}" dateTime="2020-09-09T14:46:43" maxSheetId="10" userName="EXTERNAL Nguyen Tuan Duong (Ban Vien, RBVH/EPS45)" r:id="rId185">
    <sheetIdMap count="9">
      <sheetId val="1"/>
      <sheetId val="2"/>
      <sheetId val="3"/>
      <sheetId val="4"/>
      <sheetId val="5"/>
      <sheetId val="6"/>
      <sheetId val="7"/>
      <sheetId val="8"/>
      <sheetId val="9"/>
    </sheetIdMap>
  </header>
  <header guid="{B56B2582-64C9-4A91-9A16-EAC74679DA12}" dateTime="2020-09-09T14:46:44" maxSheetId="10" userName="EXTERNAL Nguyen Tuan Duong (Ban Vien, RBVH/EPS45)" r:id="rId186">
    <sheetIdMap count="9">
      <sheetId val="1"/>
      <sheetId val="2"/>
      <sheetId val="3"/>
      <sheetId val="4"/>
      <sheetId val="5"/>
      <sheetId val="6"/>
      <sheetId val="7"/>
      <sheetId val="8"/>
      <sheetId val="9"/>
    </sheetIdMap>
  </header>
  <header guid="{21C7E212-F82F-4F3B-B40A-31C430A1DF46}" dateTime="2020-09-09T14:46:44" maxSheetId="10" userName="EXTERNAL Nguyen Tuan Duong (Ban Vien, RBVH/EPS45)" r:id="rId187">
    <sheetIdMap count="9">
      <sheetId val="1"/>
      <sheetId val="2"/>
      <sheetId val="3"/>
      <sheetId val="4"/>
      <sheetId val="5"/>
      <sheetId val="6"/>
      <sheetId val="7"/>
      <sheetId val="8"/>
      <sheetId val="9"/>
    </sheetIdMap>
  </header>
  <header guid="{E19C17FE-1C61-4293-B9BD-5A44A71E2F1F}" dateTime="2020-09-09T14:46:44" maxSheetId="10" userName="EXTERNAL Nguyen Tuan Duong (Ban Vien, RBVH/EPS45)" r:id="rId188">
    <sheetIdMap count="9">
      <sheetId val="1"/>
      <sheetId val="2"/>
      <sheetId val="3"/>
      <sheetId val="4"/>
      <sheetId val="5"/>
      <sheetId val="6"/>
      <sheetId val="7"/>
      <sheetId val="8"/>
      <sheetId val="9"/>
    </sheetIdMap>
  </header>
  <header guid="{BDD56B6E-AA70-4F93-A117-7FD7F955506A}" dateTime="2020-09-09T14:46:44" maxSheetId="10" userName="EXTERNAL Nguyen Tuan Duong (Ban Vien, RBVH/EPS45)" r:id="rId189">
    <sheetIdMap count="9">
      <sheetId val="1"/>
      <sheetId val="2"/>
      <sheetId val="3"/>
      <sheetId val="4"/>
      <sheetId val="5"/>
      <sheetId val="6"/>
      <sheetId val="7"/>
      <sheetId val="8"/>
      <sheetId val="9"/>
    </sheetIdMap>
  </header>
  <header guid="{D847DB3B-BDD0-4BF3-B501-4EFF0A7BBE6B}" dateTime="2020-09-09T14:47:48" maxSheetId="10" userName="NCH7HC" r:id="rId190" minRId="3260" maxRId="3261">
    <sheetIdMap count="9">
      <sheetId val="1"/>
      <sheetId val="2"/>
      <sheetId val="3"/>
      <sheetId val="4"/>
      <sheetId val="5"/>
      <sheetId val="6"/>
      <sheetId val="7"/>
      <sheetId val="8"/>
      <sheetId val="9"/>
    </sheetIdMap>
  </header>
  <header guid="{12BDFF59-E547-4C55-8B3A-851E4F177393}" dateTime="2020-09-09T14:50:24" maxSheetId="10" userName="EXTERNAL Phan The Nam (Ban Vien Company, RBVH/EPS45)" r:id="rId191" minRId="3264" maxRId="3271">
    <sheetIdMap count="9">
      <sheetId val="1"/>
      <sheetId val="2"/>
      <sheetId val="3"/>
      <sheetId val="4"/>
      <sheetId val="5"/>
      <sheetId val="6"/>
      <sheetId val="7"/>
      <sheetId val="8"/>
      <sheetId val="9"/>
    </sheetIdMap>
  </header>
  <header guid="{12F83E74-C75A-4FE8-83BB-3F907975AFE5}" dateTime="2020-09-09T14:50:28" maxSheetId="10" userName="EXTERNAL Nguyen Tuan Duong (Ban Vien, RBVH/EPS45)" r:id="rId192">
    <sheetIdMap count="9">
      <sheetId val="1"/>
      <sheetId val="2"/>
      <sheetId val="3"/>
      <sheetId val="4"/>
      <sheetId val="5"/>
      <sheetId val="6"/>
      <sheetId val="7"/>
      <sheetId val="8"/>
      <sheetId val="9"/>
    </sheetIdMap>
  </header>
  <header guid="{ABA06EE2-B309-4D99-B38F-B2BC69D51447}" dateTime="2020-09-09T14:50:31" maxSheetId="10" userName="EXTERNAL Nguyen Tuan Duong (Ban Vien, RBVH/EPS45)" r:id="rId193">
    <sheetIdMap count="9">
      <sheetId val="1"/>
      <sheetId val="2"/>
      <sheetId val="3"/>
      <sheetId val="4"/>
      <sheetId val="5"/>
      <sheetId val="6"/>
      <sheetId val="7"/>
      <sheetId val="8"/>
      <sheetId val="9"/>
    </sheetIdMap>
  </header>
  <header guid="{DE39281B-EE93-4C77-906D-39F09E719E17}" dateTime="2020-09-09T14:50:31" maxSheetId="10" userName="EXTERNAL Nguyen Tuan Duong (Ban Vien, RBVH/EPS45)" r:id="rId194">
    <sheetIdMap count="9">
      <sheetId val="1"/>
      <sheetId val="2"/>
      <sheetId val="3"/>
      <sheetId val="4"/>
      <sheetId val="5"/>
      <sheetId val="6"/>
      <sheetId val="7"/>
      <sheetId val="8"/>
      <sheetId val="9"/>
    </sheetIdMap>
  </header>
  <header guid="{3981B8F3-D8A5-46C4-8BD8-ACF28B9E79C8}" dateTime="2020-09-09T14:50:32" maxSheetId="10" userName="EXTERNAL Nguyen Tuan Duong (Ban Vien, RBVH/EPS45)" r:id="rId195">
    <sheetIdMap count="9">
      <sheetId val="1"/>
      <sheetId val="2"/>
      <sheetId val="3"/>
      <sheetId val="4"/>
      <sheetId val="5"/>
      <sheetId val="6"/>
      <sheetId val="7"/>
      <sheetId val="8"/>
      <sheetId val="9"/>
    </sheetIdMap>
  </header>
  <header guid="{77D94B9F-F028-49A7-AB86-944094CDAD9F}" dateTime="2020-09-09T14:50:32" maxSheetId="10" userName="EXTERNAL Nguyen Tuan Duong (Ban Vien, RBVH/EPS45)" r:id="rId196">
    <sheetIdMap count="9">
      <sheetId val="1"/>
      <sheetId val="2"/>
      <sheetId val="3"/>
      <sheetId val="4"/>
      <sheetId val="5"/>
      <sheetId val="6"/>
      <sheetId val="7"/>
      <sheetId val="8"/>
      <sheetId val="9"/>
    </sheetIdMap>
  </header>
  <header guid="{16357699-CB9D-4F0E-8EE8-B91E1B271976}" dateTime="2020-09-09T14:50:37" maxSheetId="10" userName="EXTERNAL Nguyen Tuan Duong (Ban Vien, RBVH/EPS45)" r:id="rId197" minRId="3284">
    <sheetIdMap count="9">
      <sheetId val="1"/>
      <sheetId val="2"/>
      <sheetId val="3"/>
      <sheetId val="4"/>
      <sheetId val="5"/>
      <sheetId val="6"/>
      <sheetId val="7"/>
      <sheetId val="8"/>
      <sheetId val="9"/>
    </sheetIdMap>
  </header>
  <header guid="{11155AD9-521E-4DC8-B0E3-39BCED99B802}" dateTime="2020-09-09T14:50:38" maxSheetId="10" userName="EXTERNAL Nguyen Tuan Duong (Ban Vien, RBVH/EPS45)" r:id="rId198">
    <sheetIdMap count="9">
      <sheetId val="1"/>
      <sheetId val="2"/>
      <sheetId val="3"/>
      <sheetId val="4"/>
      <sheetId val="5"/>
      <sheetId val="6"/>
      <sheetId val="7"/>
      <sheetId val="8"/>
      <sheetId val="9"/>
    </sheetIdMap>
  </header>
  <header guid="{8F759EFD-F394-4DE9-9D5C-F2F9FEC2C439}" dateTime="2020-09-09T14:50:38" maxSheetId="10" userName="EXTERNAL Nguyen Tuan Duong (Ban Vien, RBVH/EPS45)" r:id="rId199">
    <sheetIdMap count="9">
      <sheetId val="1"/>
      <sheetId val="2"/>
      <sheetId val="3"/>
      <sheetId val="4"/>
      <sheetId val="5"/>
      <sheetId val="6"/>
      <sheetId val="7"/>
      <sheetId val="8"/>
      <sheetId val="9"/>
    </sheetIdMap>
  </header>
  <header guid="{63724114-74D3-42A3-8DE0-93867F685A8B}" dateTime="2020-09-09T14:50:38" maxSheetId="10" userName="EXTERNAL Nguyen Tuan Duong (Ban Vien, RBVH/EPS45)" r:id="rId200">
    <sheetIdMap count="9">
      <sheetId val="1"/>
      <sheetId val="2"/>
      <sheetId val="3"/>
      <sheetId val="4"/>
      <sheetId val="5"/>
      <sheetId val="6"/>
      <sheetId val="7"/>
      <sheetId val="8"/>
      <sheetId val="9"/>
    </sheetIdMap>
  </header>
  <header guid="{27BF4F10-53D1-4B97-8DD5-937DBE992B21}" dateTime="2020-09-09T14:50:39" maxSheetId="10" userName="EXTERNAL Nguyen Tuan Duong (Ban Vien, RBVH/EPS45)" r:id="rId201">
    <sheetIdMap count="9">
      <sheetId val="1"/>
      <sheetId val="2"/>
      <sheetId val="3"/>
      <sheetId val="4"/>
      <sheetId val="5"/>
      <sheetId val="6"/>
      <sheetId val="7"/>
      <sheetId val="8"/>
      <sheetId val="9"/>
    </sheetIdMap>
  </header>
  <header guid="{7A5ADA6A-832D-40FA-BE6B-980FA9875149}" dateTime="2020-09-09T14:50:41" maxSheetId="10" userName="EXTERNAL Phan The Nam (Ban Vien Company, RBVH/EPS45)" r:id="rId202" minRId="3295" maxRId="3303">
    <sheetIdMap count="9">
      <sheetId val="1"/>
      <sheetId val="2"/>
      <sheetId val="3"/>
      <sheetId val="4"/>
      <sheetId val="5"/>
      <sheetId val="6"/>
      <sheetId val="7"/>
      <sheetId val="8"/>
      <sheetId val="9"/>
    </sheetIdMap>
  </header>
  <header guid="{90497245-ECCC-45E1-8694-BC93F4C5C73A}" dateTime="2020-09-09T14:51:34" maxSheetId="10" userName="gup7hc" r:id="rId203">
    <sheetIdMap count="9">
      <sheetId val="1"/>
      <sheetId val="2"/>
      <sheetId val="3"/>
      <sheetId val="4"/>
      <sheetId val="5"/>
      <sheetId val="6"/>
      <sheetId val="7"/>
      <sheetId val="8"/>
      <sheetId val="9"/>
    </sheetIdMap>
  </header>
  <header guid="{09804A84-C7EA-4497-9C95-5996E1539C97}" dateTime="2020-09-09T14:52:17" maxSheetId="10" userName="NCH7HC" r:id="rId204" minRId="3308" maxRId="3315">
    <sheetIdMap count="9">
      <sheetId val="1"/>
      <sheetId val="2"/>
      <sheetId val="3"/>
      <sheetId val="4"/>
      <sheetId val="5"/>
      <sheetId val="6"/>
      <sheetId val="7"/>
      <sheetId val="8"/>
      <sheetId val="9"/>
    </sheetIdMap>
  </header>
  <header guid="{1D12EDBE-7CA7-4306-A8D5-3E7A6BFFC588}" dateTime="2020-09-09T14:59:21" maxSheetId="10" userName="HGY7HC" r:id="rId205" minRId="3318">
    <sheetIdMap count="9">
      <sheetId val="1"/>
      <sheetId val="2"/>
      <sheetId val="3"/>
      <sheetId val="4"/>
      <sheetId val="5"/>
      <sheetId val="6"/>
      <sheetId val="7"/>
      <sheetId val="8"/>
      <sheetId val="9"/>
    </sheetIdMap>
  </header>
  <header guid="{EC6306DC-3E42-4099-BD80-64E8B43127DD}" dateTime="2020-09-09T15:00:33" maxSheetId="10" userName="EXTERNAL Nguyen Tuan Duong (Ban Vien, RBVH/EPS45)" r:id="rId206" minRId="3319" maxRId="3324">
    <sheetIdMap count="9">
      <sheetId val="1"/>
      <sheetId val="2"/>
      <sheetId val="3"/>
      <sheetId val="4"/>
      <sheetId val="5"/>
      <sheetId val="6"/>
      <sheetId val="7"/>
      <sheetId val="8"/>
      <sheetId val="9"/>
    </sheetIdMap>
  </header>
  <header guid="{C3962724-4253-4D8C-A9C7-B6229179B60D}" dateTime="2020-09-09T15:00:38" maxSheetId="10" userName="EXTERNAL Nguyen Tuan Duong (Ban Vien, RBVH/EPS45)" r:id="rId207">
    <sheetIdMap count="9">
      <sheetId val="1"/>
      <sheetId val="2"/>
      <sheetId val="3"/>
      <sheetId val="4"/>
      <sheetId val="5"/>
      <sheetId val="6"/>
      <sheetId val="7"/>
      <sheetId val="8"/>
      <sheetId val="9"/>
    </sheetIdMap>
  </header>
  <header guid="{EDC00944-FF9C-4126-8CB4-CB797C42CD48}" dateTime="2020-09-09T15:00:40" maxSheetId="10" userName="EXTERNAL Nguyen Tuan Duong (Ban Vien, RBVH/EPS45)" r:id="rId208">
    <sheetIdMap count="9">
      <sheetId val="1"/>
      <sheetId val="2"/>
      <sheetId val="3"/>
      <sheetId val="4"/>
      <sheetId val="5"/>
      <sheetId val="6"/>
      <sheetId val="7"/>
      <sheetId val="8"/>
      <sheetId val="9"/>
    </sheetIdMap>
  </header>
  <header guid="{C4441167-A516-4933-B00A-8370C490FC9C}" dateTime="2020-09-09T15:00:54" maxSheetId="10" userName="EXTERNAL Nguyen Tuan Duong (Ban Vien, RBVH/EPS45)" r:id="rId209" minRId="3331" maxRId="3336">
    <sheetIdMap count="9">
      <sheetId val="1"/>
      <sheetId val="2"/>
      <sheetId val="3"/>
      <sheetId val="4"/>
      <sheetId val="5"/>
      <sheetId val="6"/>
      <sheetId val="7"/>
      <sheetId val="8"/>
      <sheetId val="9"/>
    </sheetIdMap>
  </header>
  <header guid="{398F077E-236C-418B-B945-152F616D7DDA}" dateTime="2020-09-09T15:01:06" maxSheetId="10" userName="EXTERNAL Nguyen Tuan Duong (Ban Vien, RBVH/EPS45)" r:id="rId210">
    <sheetIdMap count="9">
      <sheetId val="1"/>
      <sheetId val="2"/>
      <sheetId val="3"/>
      <sheetId val="4"/>
      <sheetId val="5"/>
      <sheetId val="6"/>
      <sheetId val="7"/>
      <sheetId val="8"/>
      <sheetId val="9"/>
    </sheetIdMap>
  </header>
  <header guid="{73EA5C3E-F58E-44C0-B73E-A9072595E2B4}" dateTime="2020-09-09T15:01:21" maxSheetId="10" userName="EXTERNAL Nguyen Tuan Duong (Ban Vien, RBVH/EPS45)" r:id="rId211">
    <sheetIdMap count="9">
      <sheetId val="1"/>
      <sheetId val="2"/>
      <sheetId val="3"/>
      <sheetId val="4"/>
      <sheetId val="5"/>
      <sheetId val="6"/>
      <sheetId val="7"/>
      <sheetId val="8"/>
      <sheetId val="9"/>
    </sheetIdMap>
  </header>
  <header guid="{3B4BFFF4-26E5-4381-B6F9-C06B62D5D318}" dateTime="2020-09-09T15:03:48" maxSheetId="10" userName="NCH7HC" r:id="rId212">
    <sheetIdMap count="9">
      <sheetId val="1"/>
      <sheetId val="2"/>
      <sheetId val="3"/>
      <sheetId val="4"/>
      <sheetId val="5"/>
      <sheetId val="6"/>
      <sheetId val="7"/>
      <sheetId val="8"/>
      <sheetId val="9"/>
    </sheetIdMap>
  </header>
  <header guid="{737486B2-F051-479B-A1BD-1C43EA47B83C}" dateTime="2020-09-09T15:03:58" maxSheetId="10" userName="NCH7HC" r:id="rId213" minRId="3343" maxRId="3349">
    <sheetIdMap count="9">
      <sheetId val="1"/>
      <sheetId val="2"/>
      <sheetId val="3"/>
      <sheetId val="4"/>
      <sheetId val="5"/>
      <sheetId val="6"/>
      <sheetId val="7"/>
      <sheetId val="8"/>
      <sheetId val="9"/>
    </sheetIdMap>
  </header>
  <header guid="{19780104-5928-4248-B1F7-7551CE038E88}" dateTime="2020-09-09T15:10:02" maxSheetId="10" userName="EXTERNAL Nguyen Tuan Duong (Ban Vien, RBVH/EPS45)" r:id="rId214">
    <sheetIdMap count="9">
      <sheetId val="1"/>
      <sheetId val="2"/>
      <sheetId val="3"/>
      <sheetId val="4"/>
      <sheetId val="5"/>
      <sheetId val="6"/>
      <sheetId val="7"/>
      <sheetId val="8"/>
      <sheetId val="9"/>
    </sheetIdMap>
  </header>
  <header guid="{A598B018-BB01-412C-ACB3-A6CD531AAF21}" dateTime="2020-09-09T15:10:03" maxSheetId="10" userName="EXTERNAL Phan The Nam (Ban Vien Company, RBVH/EPS45)" r:id="rId215" minRId="3352" maxRId="3371">
    <sheetIdMap count="9">
      <sheetId val="1"/>
      <sheetId val="2"/>
      <sheetId val="3"/>
      <sheetId val="4"/>
      <sheetId val="5"/>
      <sheetId val="6"/>
      <sheetId val="7"/>
      <sheetId val="8"/>
      <sheetId val="9"/>
    </sheetIdMap>
  </header>
  <header guid="{DF0F7FD4-6269-4648-9B56-CC7FCBBA9AEA}" dateTime="2020-09-09T15:10:05" maxSheetId="10" userName="EXTERNAL Nguyen Tuan Duong (Ban Vien, RBVH/EPS45)" r:id="rId216">
    <sheetIdMap count="9">
      <sheetId val="1"/>
      <sheetId val="2"/>
      <sheetId val="3"/>
      <sheetId val="4"/>
      <sheetId val="5"/>
      <sheetId val="6"/>
      <sheetId val="7"/>
      <sheetId val="8"/>
      <sheetId val="9"/>
    </sheetIdMap>
  </header>
  <header guid="{579E26AF-FC0C-4D48-9934-85A811ED3B28}" dateTime="2020-09-09T15:10:14" maxSheetId="10" userName="EXTERNAL Nguyen Tuan Duong (Ban Vien, RBVH/EPS45)" r:id="rId217" minRId="3376" maxRId="3377">
    <sheetIdMap count="9">
      <sheetId val="1"/>
      <sheetId val="2"/>
      <sheetId val="3"/>
      <sheetId val="4"/>
      <sheetId val="5"/>
      <sheetId val="6"/>
      <sheetId val="7"/>
      <sheetId val="8"/>
      <sheetId val="9"/>
    </sheetIdMap>
  </header>
  <header guid="{4C1B852D-6E37-4D5E-BBD7-686D15C889E9}" dateTime="2020-09-09T15:10:15" maxSheetId="10" userName="EXTERNAL Nguyen Tuan Duong (Ban Vien, RBVH/EPS45)" r:id="rId218">
    <sheetIdMap count="9">
      <sheetId val="1"/>
      <sheetId val="2"/>
      <sheetId val="3"/>
      <sheetId val="4"/>
      <sheetId val="5"/>
      <sheetId val="6"/>
      <sheetId val="7"/>
      <sheetId val="8"/>
      <sheetId val="9"/>
    </sheetIdMap>
  </header>
  <header guid="{B257DFC2-5CC5-4F93-B22C-6DB042114A14}" dateTime="2020-09-09T15:10:15" maxSheetId="10" userName="EXTERNAL Nguyen Tuan Duong (Ban Vien, RBVH/EPS45)" r:id="rId219">
    <sheetIdMap count="9">
      <sheetId val="1"/>
      <sheetId val="2"/>
      <sheetId val="3"/>
      <sheetId val="4"/>
      <sheetId val="5"/>
      <sheetId val="6"/>
      <sheetId val="7"/>
      <sheetId val="8"/>
      <sheetId val="9"/>
    </sheetIdMap>
  </header>
  <header guid="{DE40B5D0-B5DC-45A7-BEC6-482AF8373664}" dateTime="2020-09-09T15:10:15" maxSheetId="10" userName="EXTERNAL Nguyen Tuan Duong (Ban Vien, RBVH/EPS45)" r:id="rId220">
    <sheetIdMap count="9">
      <sheetId val="1"/>
      <sheetId val="2"/>
      <sheetId val="3"/>
      <sheetId val="4"/>
      <sheetId val="5"/>
      <sheetId val="6"/>
      <sheetId val="7"/>
      <sheetId val="8"/>
      <sheetId val="9"/>
    </sheetIdMap>
  </header>
  <header guid="{7B49C5D0-08A6-45DC-A26D-72B33B081E5B}" dateTime="2020-09-09T15:10:57" maxSheetId="10" userName="gup7hc" r:id="rId221">
    <sheetIdMap count="9">
      <sheetId val="1"/>
      <sheetId val="2"/>
      <sheetId val="3"/>
      <sheetId val="4"/>
      <sheetId val="5"/>
      <sheetId val="6"/>
      <sheetId val="7"/>
      <sheetId val="8"/>
      <sheetId val="9"/>
    </sheetIdMap>
  </header>
  <header guid="{F6F61877-BEC0-4793-B7FB-3AFB5AC23864}" dateTime="2020-09-09T15:11:03" maxSheetId="10" userName="EXTERNAL Nguyen Tuan Duong (Ban Vien, RBVH/EPS45)" r:id="rId222">
    <sheetIdMap count="9">
      <sheetId val="1"/>
      <sheetId val="2"/>
      <sheetId val="3"/>
      <sheetId val="4"/>
      <sheetId val="5"/>
      <sheetId val="6"/>
      <sheetId val="7"/>
      <sheetId val="8"/>
      <sheetId val="9"/>
    </sheetIdMap>
  </header>
  <header guid="{CF034012-1EBF-4190-99DC-ABBC860288EF}" dateTime="2020-09-09T15:19:27" maxSheetId="10" userName="EXTERNAL Luu Cong Dac (Ban Vien, RBVH/EPS45)" r:id="rId223" minRId="3390" maxRId="3398">
    <sheetIdMap count="9">
      <sheetId val="1"/>
      <sheetId val="2"/>
      <sheetId val="3"/>
      <sheetId val="4"/>
      <sheetId val="5"/>
      <sheetId val="6"/>
      <sheetId val="7"/>
      <sheetId val="8"/>
      <sheetId val="9"/>
    </sheetIdMap>
  </header>
  <header guid="{C0D168E4-F617-4EA1-AC36-2A4B8C40D50E}" dateTime="2020-09-09T15:19:39" maxSheetId="10" userName="EXTERNAL Luu Cong Dac (Ban Vien, RBVH/EPS45)" r:id="rId224">
    <sheetIdMap count="9">
      <sheetId val="1"/>
      <sheetId val="2"/>
      <sheetId val="3"/>
      <sheetId val="4"/>
      <sheetId val="5"/>
      <sheetId val="6"/>
      <sheetId val="7"/>
      <sheetId val="8"/>
      <sheetId val="9"/>
    </sheetIdMap>
  </header>
  <header guid="{BCCD9226-BE27-4FDE-9E9F-12EE60FBE003}" dateTime="2020-09-09T15:27:08" maxSheetId="10" userName="EXTERNAL Nguyen Tai Hau (Ban Vien, RBVH/EPS45)" r:id="rId225" minRId="3405" maxRId="3517">
    <sheetIdMap count="9">
      <sheetId val="1"/>
      <sheetId val="2"/>
      <sheetId val="3"/>
      <sheetId val="4"/>
      <sheetId val="5"/>
      <sheetId val="6"/>
      <sheetId val="7"/>
      <sheetId val="8"/>
      <sheetId val="9"/>
    </sheetIdMap>
  </header>
  <header guid="{568F182C-BD52-4413-BBCB-FCAB7983DE07}" dateTime="2020-09-09T15:27:39" maxSheetId="10" userName="EXTERNAL Nguyen Tuan Duong (Ban Vien, RBVH/EPS45)" r:id="rId226" minRId="3520" maxRId="3526">
    <sheetIdMap count="9">
      <sheetId val="1"/>
      <sheetId val="2"/>
      <sheetId val="3"/>
      <sheetId val="4"/>
      <sheetId val="5"/>
      <sheetId val="6"/>
      <sheetId val="7"/>
      <sheetId val="8"/>
      <sheetId val="9"/>
    </sheetIdMap>
  </header>
  <header guid="{8E9683E6-2491-463E-90D8-1EE9A1420258}" dateTime="2020-09-09T15:27:44" maxSheetId="10" userName="EXTERNAL Nguyen Tuan Duong (Ban Vien, RBVH/EPS45)" r:id="rId227" minRId="3529">
    <sheetIdMap count="9">
      <sheetId val="1"/>
      <sheetId val="2"/>
      <sheetId val="3"/>
      <sheetId val="4"/>
      <sheetId val="5"/>
      <sheetId val="6"/>
      <sheetId val="7"/>
      <sheetId val="8"/>
      <sheetId val="9"/>
    </sheetIdMap>
  </header>
  <header guid="{90510820-A285-49BD-B14A-C113771159B5}" dateTime="2020-09-09T15:27:48" maxSheetId="10" userName="EXTERNAL Nguyen Tuan Duong (Ban Vien, RBVH/EPS45)" r:id="rId228">
    <sheetIdMap count="9">
      <sheetId val="1"/>
      <sheetId val="2"/>
      <sheetId val="3"/>
      <sheetId val="4"/>
      <sheetId val="5"/>
      <sheetId val="6"/>
      <sheetId val="7"/>
      <sheetId val="8"/>
      <sheetId val="9"/>
    </sheetIdMap>
  </header>
  <header guid="{95F31515-E758-46DE-9E65-9089CBE69CCE}" dateTime="2020-09-09T15:27:48" maxSheetId="10" userName="EXTERNAL Nguyen Tuan Duong (Ban Vien, RBVH/EPS45)" r:id="rId229">
    <sheetIdMap count="9">
      <sheetId val="1"/>
      <sheetId val="2"/>
      <sheetId val="3"/>
      <sheetId val="4"/>
      <sheetId val="5"/>
      <sheetId val="6"/>
      <sheetId val="7"/>
      <sheetId val="8"/>
      <sheetId val="9"/>
    </sheetIdMap>
  </header>
  <header guid="{E3B6239B-116A-49CA-B23B-7F8AD3F576C2}" dateTime="2020-09-09T15:27:49" maxSheetId="10" userName="EXTERNAL Nguyen Tuan Duong (Ban Vien, RBVH/EPS45)" r:id="rId230">
    <sheetIdMap count="9">
      <sheetId val="1"/>
      <sheetId val="2"/>
      <sheetId val="3"/>
      <sheetId val="4"/>
      <sheetId val="5"/>
      <sheetId val="6"/>
      <sheetId val="7"/>
      <sheetId val="8"/>
      <sheetId val="9"/>
    </sheetIdMap>
  </header>
  <header guid="{3E7DF8B3-7866-4B0C-9621-82CF926FF74D}" dateTime="2020-09-09T15:54:50" maxSheetId="10" userName="EXTERNAL Nguyen Tai Hau (Ban Vien, RBVH/EPS45)" r:id="rId231" minRId="3538" maxRId="3583">
    <sheetIdMap count="9">
      <sheetId val="1"/>
      <sheetId val="2"/>
      <sheetId val="3"/>
      <sheetId val="4"/>
      <sheetId val="5"/>
      <sheetId val="6"/>
      <sheetId val="7"/>
      <sheetId val="8"/>
      <sheetId val="9"/>
    </sheetIdMap>
  </header>
  <header guid="{FD2DD09E-FBFC-40C1-94ED-A8C7ECACAA7C}" dateTime="2020-09-09T16:07:42" maxSheetId="10" userName="EXTERNAL Nguyen Tai Hau (Ban Vien, RBVH/EPS45)" r:id="rId232" minRId="3586" maxRId="3587">
    <sheetIdMap count="9">
      <sheetId val="1"/>
      <sheetId val="2"/>
      <sheetId val="3"/>
      <sheetId val="4"/>
      <sheetId val="5"/>
      <sheetId val="6"/>
      <sheetId val="7"/>
      <sheetId val="8"/>
      <sheetId val="9"/>
    </sheetIdMap>
  </header>
  <header guid="{90763FEB-F948-4B21-AE7F-6CBC0815235E}" dateTime="2020-09-09T16:38:30" maxSheetId="10" userName="EXTERNAL Nguyen Tai Hau (Ban Vien, RBVH/EPS45)" r:id="rId233" minRId="3590" maxRId="3977">
    <sheetIdMap count="9">
      <sheetId val="1"/>
      <sheetId val="2"/>
      <sheetId val="3"/>
      <sheetId val="4"/>
      <sheetId val="5"/>
      <sheetId val="6"/>
      <sheetId val="7"/>
      <sheetId val="8"/>
      <sheetId val="9"/>
    </sheetIdMap>
  </header>
  <header guid="{2B88C8F4-71F7-492D-A880-9ED1241AC0BC}" dateTime="2020-09-09T16:39:09" maxSheetId="10" userName="EXTERNAL Nguyen Tai Hau (Ban Vien, RBVH/EPS45)" r:id="rId234" minRId="3980" maxRId="4029">
    <sheetIdMap count="9">
      <sheetId val="1"/>
      <sheetId val="2"/>
      <sheetId val="3"/>
      <sheetId val="4"/>
      <sheetId val="5"/>
      <sheetId val="6"/>
      <sheetId val="7"/>
      <sheetId val="8"/>
      <sheetId val="9"/>
    </sheetIdMap>
  </header>
  <header guid="{6A18DE43-6961-4C75-BCD2-C773AD3EE13D}" dateTime="2020-09-09T16:41:20" maxSheetId="10" userName="EXTERNAL Nguyen Tai Hau (Ban Vien, RBVH/EPS45)" r:id="rId235" minRId="4032" maxRId="4056">
    <sheetIdMap count="9">
      <sheetId val="1"/>
      <sheetId val="2"/>
      <sheetId val="3"/>
      <sheetId val="4"/>
      <sheetId val="5"/>
      <sheetId val="6"/>
      <sheetId val="7"/>
      <sheetId val="8"/>
      <sheetId val="9"/>
    </sheetIdMap>
  </header>
  <header guid="{E69F3393-D690-4785-BFD9-72A2825E2127}" dateTime="2020-09-09T16:49:02" maxSheetId="10" userName="EXTERNAL Nguyen Tai Hau (Ban Vien, RBVH/EPS45)" r:id="rId236" minRId="4057" maxRId="4058">
    <sheetIdMap count="9">
      <sheetId val="1"/>
      <sheetId val="2"/>
      <sheetId val="3"/>
      <sheetId val="4"/>
      <sheetId val="5"/>
      <sheetId val="6"/>
      <sheetId val="7"/>
      <sheetId val="8"/>
      <sheetId val="9"/>
    </sheetIdMap>
  </header>
  <header guid="{A9BDEBBC-F8B8-4605-B959-8C104FE31C19}" dateTime="2020-09-09T16:50:19" maxSheetId="10" userName="EXTERNAL Nguyen Tai Hau (Ban Vien, RBVH/EPS45)" r:id="rId237" minRId="4061" maxRId="4062">
    <sheetIdMap count="9">
      <sheetId val="1"/>
      <sheetId val="2"/>
      <sheetId val="3"/>
      <sheetId val="4"/>
      <sheetId val="5"/>
      <sheetId val="6"/>
      <sheetId val="7"/>
      <sheetId val="8"/>
      <sheetId val="9"/>
    </sheetIdMap>
  </header>
  <header guid="{F6F026C5-1E8F-4A1C-93FF-C35EDD10A386}" dateTime="2020-09-09T16:54:49" maxSheetId="10" userName="EXTERNAL Luu Cong Dac (Ban Vien, RBVH/EPS45)" r:id="rId238" minRId="4063" maxRId="4073">
    <sheetIdMap count="9">
      <sheetId val="1"/>
      <sheetId val="2"/>
      <sheetId val="3"/>
      <sheetId val="4"/>
      <sheetId val="5"/>
      <sheetId val="6"/>
      <sheetId val="7"/>
      <sheetId val="8"/>
      <sheetId val="9"/>
    </sheetIdMap>
  </header>
  <header guid="{2EE340A1-AB0D-4D8B-B45A-09AD0A5FA57E}" dateTime="2020-09-09T17:02:11" maxSheetId="10" userName="EXTERNAL Luu Cong Dac (Ban Vien, RBVH/EPS45)" r:id="rId239">
    <sheetIdMap count="9">
      <sheetId val="1"/>
      <sheetId val="2"/>
      <sheetId val="3"/>
      <sheetId val="4"/>
      <sheetId val="5"/>
      <sheetId val="6"/>
      <sheetId val="7"/>
      <sheetId val="8"/>
      <sheetId val="9"/>
    </sheetIdMap>
  </header>
  <header guid="{72842DCE-A839-497E-9C79-282461F97D5E}" dateTime="2020-09-09T17:03:28" maxSheetId="10" userName="EXTERNAL Nguyen Tai Hau (Ban Vien, RBVH/EPS45)" r:id="rId240" minRId="4080" maxRId="4081">
    <sheetIdMap count="9">
      <sheetId val="1"/>
      <sheetId val="2"/>
      <sheetId val="3"/>
      <sheetId val="4"/>
      <sheetId val="5"/>
      <sheetId val="6"/>
      <sheetId val="7"/>
      <sheetId val="8"/>
      <sheetId val="9"/>
    </sheetIdMap>
  </header>
  <header guid="{9D16F9A5-8D98-4F07-AAD2-2A25085418E2}" dateTime="2020-09-09T17:13:57" maxSheetId="10" userName="EXTERNAL Nguyen Tai Hau (Ban Vien, RBVH/EPS45)" r:id="rId241" minRId="4082" maxRId="4083">
    <sheetIdMap count="9">
      <sheetId val="1"/>
      <sheetId val="2"/>
      <sheetId val="3"/>
      <sheetId val="4"/>
      <sheetId val="5"/>
      <sheetId val="6"/>
      <sheetId val="7"/>
      <sheetId val="8"/>
      <sheetId val="9"/>
    </sheetIdMap>
  </header>
  <header guid="{774E2885-56EB-4ED3-80D2-0FD069E32EAC}" dateTime="2020-09-09T17:32:25" maxSheetId="10" userName="EXTERNAL Nguyen Tai Hau (Ban Vien, RBVH/EPS45)" r:id="rId242" minRId="4084" maxRId="4168">
    <sheetIdMap count="9">
      <sheetId val="1"/>
      <sheetId val="2"/>
      <sheetId val="3"/>
      <sheetId val="4"/>
      <sheetId val="5"/>
      <sheetId val="6"/>
      <sheetId val="7"/>
      <sheetId val="8"/>
      <sheetId val="9"/>
    </sheetIdMap>
  </header>
  <header guid="{FE69A6FD-C27D-4251-9AAC-7055B78318E3}" dateTime="2020-09-09T17:57:36" maxSheetId="10" userName="HGY7HC" r:id="rId243" minRId="4169" maxRId="4178">
    <sheetIdMap count="9">
      <sheetId val="1"/>
      <sheetId val="2"/>
      <sheetId val="3"/>
      <sheetId val="4"/>
      <sheetId val="5"/>
      <sheetId val="6"/>
      <sheetId val="7"/>
      <sheetId val="8"/>
      <sheetId val="9"/>
    </sheetIdMap>
  </header>
  <header guid="{2F34198E-BB08-448F-A5C4-7A4B86CC7A04}" dateTime="2020-09-09T18:27:41" maxSheetId="10" userName="EXTERNAL Nguyen Tai Hau (Ban Vien, RBVH/EPS45)" r:id="rId244" minRId="4181" maxRId="4184">
    <sheetIdMap count="9">
      <sheetId val="1"/>
      <sheetId val="2"/>
      <sheetId val="3"/>
      <sheetId val="4"/>
      <sheetId val="5"/>
      <sheetId val="6"/>
      <sheetId val="7"/>
      <sheetId val="8"/>
      <sheetId val="9"/>
    </sheetIdMap>
  </header>
  <header guid="{24B8041D-4803-4448-B524-A05AD9F84C2E}" dateTime="2020-09-09T18:34:54" maxSheetId="10" userName="EXTERNAL Nguyen Tai Hau (Ban Vien, RBVH/EPS45)" r:id="rId245">
    <sheetIdMap count="9">
      <sheetId val="1"/>
      <sheetId val="2"/>
      <sheetId val="3"/>
      <sheetId val="4"/>
      <sheetId val="5"/>
      <sheetId val="6"/>
      <sheetId val="7"/>
      <sheetId val="8"/>
      <sheetId val="9"/>
    </sheetIdMap>
  </header>
  <header guid="{274A0F68-6AC5-4946-BA30-8F7F67D4B5EF}" dateTime="2020-09-09T18:40:11" maxSheetId="10" userName="EXTERNAL Nguyen Tai Hau (Ban Vien, RBVH/EPS45)" r:id="rId246" minRId="4189" maxRId="4191">
    <sheetIdMap count="9">
      <sheetId val="1"/>
      <sheetId val="2"/>
      <sheetId val="3"/>
      <sheetId val="4"/>
      <sheetId val="5"/>
      <sheetId val="6"/>
      <sheetId val="7"/>
      <sheetId val="8"/>
      <sheetId val="9"/>
    </sheetIdMap>
  </header>
  <header guid="{8EB5B4EE-7B70-422F-B0A3-CD4E19902DD9}" dateTime="2020-09-09T18:49:39" maxSheetId="10" userName="EXTERNAL Nguyen Tai Hau (Ban Vien, RBVH/EPS45)" r:id="rId247">
    <sheetIdMap count="9">
      <sheetId val="1"/>
      <sheetId val="2"/>
      <sheetId val="3"/>
      <sheetId val="4"/>
      <sheetId val="5"/>
      <sheetId val="6"/>
      <sheetId val="7"/>
      <sheetId val="8"/>
      <sheetId val="9"/>
    </sheetIdMap>
  </header>
  <header guid="{B18C28D5-EE28-4DF9-ADC3-4DBC690D5C40}" dateTime="2020-09-09T19:11:13" maxSheetId="10" userName="EXTERNAL Nguyen Tai Hau (Ban Vien, RBVH/EPS45)" r:id="rId248">
    <sheetIdMap count="9">
      <sheetId val="1"/>
      <sheetId val="2"/>
      <sheetId val="3"/>
      <sheetId val="4"/>
      <sheetId val="5"/>
      <sheetId val="6"/>
      <sheetId val="7"/>
      <sheetId val="8"/>
      <sheetId val="9"/>
    </sheetIdMap>
  </header>
  <header guid="{AA1C2CF7-FB34-48A6-A6CB-FC137F3D06D4}" dateTime="2020-09-09T19:12:48" maxSheetId="10" userName="NCH7HC" r:id="rId249" minRId="4198" maxRId="4208">
    <sheetIdMap count="9">
      <sheetId val="1"/>
      <sheetId val="2"/>
      <sheetId val="3"/>
      <sheetId val="4"/>
      <sheetId val="5"/>
      <sheetId val="6"/>
      <sheetId val="7"/>
      <sheetId val="8"/>
      <sheetId val="9"/>
    </sheetIdMap>
  </header>
  <header guid="{2EDDCD05-4BE5-45DE-92C2-80A57773A085}" dateTime="2020-09-09T19:12:58" maxSheetId="10" userName="NCH7HC" r:id="rId250" minRId="4211">
    <sheetIdMap count="9">
      <sheetId val="1"/>
      <sheetId val="2"/>
      <sheetId val="3"/>
      <sheetId val="4"/>
      <sheetId val="5"/>
      <sheetId val="6"/>
      <sheetId val="7"/>
      <sheetId val="8"/>
      <sheetId val="9"/>
    </sheetIdMap>
  </header>
  <header guid="{02B026DF-B86A-416B-85F7-A4E60F32F2EC}" dateTime="2020-09-09T19:13:09" maxSheetId="10" userName="NCH7HC" r:id="rId251" minRId="4214">
    <sheetIdMap count="9">
      <sheetId val="1"/>
      <sheetId val="2"/>
      <sheetId val="3"/>
      <sheetId val="4"/>
      <sheetId val="5"/>
      <sheetId val="6"/>
      <sheetId val="7"/>
      <sheetId val="8"/>
      <sheetId val="9"/>
    </sheetIdMap>
  </header>
  <header guid="{948329EE-1D2F-41BC-B901-96D02942B6A1}" dateTime="2020-09-10T07:53:05" maxSheetId="10" userName="duo81hc" r:id="rId252">
    <sheetIdMap count="9">
      <sheetId val="1"/>
      <sheetId val="2"/>
      <sheetId val="3"/>
      <sheetId val="4"/>
      <sheetId val="5"/>
      <sheetId val="6"/>
      <sheetId val="7"/>
      <sheetId val="8"/>
      <sheetId val="9"/>
    </sheetIdMap>
  </header>
  <header guid="{26A5B889-EB02-46F7-B0B0-C720F38695B0}" dateTime="2020-09-10T08:07:44" maxSheetId="10" userName="EXTERNAL Do Anh Huy (Ban Vien Company, RBVH/EPS45)" r:id="rId253" minRId="4217" maxRId="4226">
    <sheetIdMap count="9">
      <sheetId val="1"/>
      <sheetId val="2"/>
      <sheetId val="3"/>
      <sheetId val="4"/>
      <sheetId val="5"/>
      <sheetId val="6"/>
      <sheetId val="7"/>
      <sheetId val="8"/>
      <sheetId val="9"/>
    </sheetIdMap>
  </header>
  <header guid="{75B123EB-80A2-44F7-A250-6C532C2E01A1}" dateTime="2020-09-10T08:17:50" maxSheetId="10" userName="EXTERNAL Nguyen Tuan Duong (Ban Vien, RBVH/EPS45)" r:id="rId254">
    <sheetIdMap count="9">
      <sheetId val="1"/>
      <sheetId val="2"/>
      <sheetId val="3"/>
      <sheetId val="4"/>
      <sheetId val="5"/>
      <sheetId val="6"/>
      <sheetId val="7"/>
      <sheetId val="8"/>
      <sheetId val="9"/>
    </sheetIdMap>
  </header>
  <header guid="{72327B54-1526-41C1-97A7-877E05FFC525}" dateTime="2020-09-10T08:18:11" maxSheetId="10" userName="EXTERNAL Nguyen Tuan Duong (Ban Vien, RBVH/EPS45)" r:id="rId255" minRId="4231" maxRId="4232">
    <sheetIdMap count="9">
      <sheetId val="1"/>
      <sheetId val="2"/>
      <sheetId val="3"/>
      <sheetId val="4"/>
      <sheetId val="5"/>
      <sheetId val="6"/>
      <sheetId val="7"/>
      <sheetId val="8"/>
      <sheetId val="9"/>
    </sheetIdMap>
  </header>
  <header guid="{912E65D4-8273-4A4D-9D45-8EBD86C9F42B}" dateTime="2020-09-10T08:24:12" maxSheetId="10" userName="EXTERNAL Nguyen Tuan Duong (Ban Vien, RBVH/EPS45)" r:id="rId256">
    <sheetIdMap count="9">
      <sheetId val="1"/>
      <sheetId val="2"/>
      <sheetId val="3"/>
      <sheetId val="4"/>
      <sheetId val="5"/>
      <sheetId val="6"/>
      <sheetId val="7"/>
      <sheetId val="8"/>
      <sheetId val="9"/>
    </sheetIdMap>
  </header>
  <header guid="{ADB2BC9A-FA6E-47F8-95EA-48068AC68617}" dateTime="2020-09-10T08:26:26" maxSheetId="10" userName="EXTERNAL Nguyen Tuan Duong (Ban Vien, RBVH/EPS45)" r:id="rId257" minRId="4237">
    <sheetIdMap count="9">
      <sheetId val="1"/>
      <sheetId val="2"/>
      <sheetId val="3"/>
      <sheetId val="4"/>
      <sheetId val="5"/>
      <sheetId val="6"/>
      <sheetId val="7"/>
      <sheetId val="8"/>
      <sheetId val="9"/>
    </sheetIdMap>
  </header>
  <header guid="{EDA51F7C-D585-4D78-992D-2DE1A802ECAD}" dateTime="2020-09-10T08:27:29" maxSheetId="10" userName="EXTERNAL Nguyen Tuan Duong (Ban Vien, RBVH/EPS45)" r:id="rId258" minRId="4240">
    <sheetIdMap count="9">
      <sheetId val="1"/>
      <sheetId val="2"/>
      <sheetId val="3"/>
      <sheetId val="4"/>
      <sheetId val="5"/>
      <sheetId val="6"/>
      <sheetId val="7"/>
      <sheetId val="8"/>
      <sheetId val="9"/>
    </sheetIdMap>
  </header>
  <header guid="{50FD64D8-1A84-4E57-A2C7-E9A9AE1AEF65}" dateTime="2020-09-10T08:28:01" maxSheetId="10" userName="EXTERNAL Nguyen Tai Hau (Ban Vien, RBVH/EPS45)" r:id="rId259">
    <sheetIdMap count="9">
      <sheetId val="1"/>
      <sheetId val="2"/>
      <sheetId val="3"/>
      <sheetId val="4"/>
      <sheetId val="5"/>
      <sheetId val="6"/>
      <sheetId val="7"/>
      <sheetId val="8"/>
      <sheetId val="9"/>
    </sheetIdMap>
  </header>
  <header guid="{46FFBFDB-5A71-4AF1-BA6C-581CAD7BF008}" dateTime="2020-09-10T08:41:07" maxSheetId="10" userName="EXTERNAL Nguyen Tuan Duong (Ban Vien, RBVH/EPS45)" r:id="rId260" minRId="4243">
    <sheetIdMap count="9">
      <sheetId val="1"/>
      <sheetId val="2"/>
      <sheetId val="3"/>
      <sheetId val="4"/>
      <sheetId val="5"/>
      <sheetId val="6"/>
      <sheetId val="7"/>
      <sheetId val="8"/>
      <sheetId val="9"/>
    </sheetIdMap>
  </header>
  <header guid="{5B59DBED-01DF-44CD-9ACC-016255C73741}" dateTime="2020-09-10T08:47:03" maxSheetId="10" userName="EXTERNAL Nguyen Tai Hau (Ban Vien, RBVH/EPS45)" r:id="rId261" minRId="4244" maxRId="4247">
    <sheetIdMap count="9">
      <sheetId val="1"/>
      <sheetId val="2"/>
      <sheetId val="3"/>
      <sheetId val="4"/>
      <sheetId val="5"/>
      <sheetId val="6"/>
      <sheetId val="7"/>
      <sheetId val="8"/>
      <sheetId val="9"/>
    </sheetIdMap>
  </header>
  <header guid="{A281F3A4-9B05-4FC6-9ABE-D2DAE8989013}" dateTime="2020-09-10T08:47:56" maxSheetId="10" userName="gup7hc" r:id="rId262">
    <sheetIdMap count="9">
      <sheetId val="1"/>
      <sheetId val="2"/>
      <sheetId val="3"/>
      <sheetId val="4"/>
      <sheetId val="5"/>
      <sheetId val="6"/>
      <sheetId val="7"/>
      <sheetId val="8"/>
      <sheetId val="9"/>
    </sheetIdMap>
  </header>
  <header guid="{C94DA879-6325-4E8D-B643-7DBC0A7A8E72}" dateTime="2020-09-10T08:56:21" maxSheetId="10" userName="EXTERNAL Nguyen Tuan Duong (Ban Vien, RBVH/EPS45)" r:id="rId263" minRId="4252" maxRId="4261">
    <sheetIdMap count="9">
      <sheetId val="1"/>
      <sheetId val="2"/>
      <sheetId val="3"/>
      <sheetId val="4"/>
      <sheetId val="5"/>
      <sheetId val="6"/>
      <sheetId val="7"/>
      <sheetId val="8"/>
      <sheetId val="9"/>
    </sheetIdMap>
  </header>
  <header guid="{DB924F21-F2BE-4307-9BC4-35FF3D726C83}" dateTime="2020-09-10T08:56:58" maxSheetId="10" userName="EXTERNAL Nguyen Tuan Duong (Ban Vien, RBVH/EPS45)" r:id="rId264" minRId="4264">
    <sheetIdMap count="9">
      <sheetId val="1"/>
      <sheetId val="2"/>
      <sheetId val="3"/>
      <sheetId val="4"/>
      <sheetId val="5"/>
      <sheetId val="6"/>
      <sheetId val="7"/>
      <sheetId val="8"/>
      <sheetId val="9"/>
    </sheetIdMap>
  </header>
  <header guid="{457262C3-15C6-4363-A74D-E1559DC4F49D}" dateTime="2020-09-10T08:57:39" maxSheetId="10" userName="EXTERNAL Nguyen Tuan Duong (Ban Vien, RBVH/EPS45)" r:id="rId265" minRId="4265">
    <sheetIdMap count="9">
      <sheetId val="1"/>
      <sheetId val="2"/>
      <sheetId val="3"/>
      <sheetId val="4"/>
      <sheetId val="5"/>
      <sheetId val="6"/>
      <sheetId val="7"/>
      <sheetId val="8"/>
      <sheetId val="9"/>
    </sheetIdMap>
  </header>
  <header guid="{252D1D11-F52C-44B7-A466-DC79F343E8F1}" dateTime="2020-09-10T08:57:41" maxSheetId="10" userName="EXTERNAL Nguyen Tuan Duong (Ban Vien, RBVH/EPS45)" r:id="rId266" minRId="4268">
    <sheetIdMap count="9">
      <sheetId val="1"/>
      <sheetId val="2"/>
      <sheetId val="3"/>
      <sheetId val="4"/>
      <sheetId val="5"/>
      <sheetId val="6"/>
      <sheetId val="7"/>
      <sheetId val="8"/>
      <sheetId val="9"/>
    </sheetIdMap>
  </header>
  <header guid="{C182C4BB-9449-4D4B-BBDF-F33E35C90769}" dateTime="2020-09-10T08:57:42" maxSheetId="10" userName="EXTERNAL Nguyen Tuan Duong (Ban Vien, RBVH/EPS45)" r:id="rId267">
    <sheetIdMap count="9">
      <sheetId val="1"/>
      <sheetId val="2"/>
      <sheetId val="3"/>
      <sheetId val="4"/>
      <sheetId val="5"/>
      <sheetId val="6"/>
      <sheetId val="7"/>
      <sheetId val="8"/>
      <sheetId val="9"/>
    </sheetIdMap>
  </header>
  <header guid="{C9A9AEAD-63CA-4CFF-BC26-36CE8DD354AF}" dateTime="2020-09-10T08:57:43" maxSheetId="10" userName="EXTERNAL Nguyen Tuan Duong (Ban Vien, RBVH/EPS45)" r:id="rId268">
    <sheetIdMap count="9">
      <sheetId val="1"/>
      <sheetId val="2"/>
      <sheetId val="3"/>
      <sheetId val="4"/>
      <sheetId val="5"/>
      <sheetId val="6"/>
      <sheetId val="7"/>
      <sheetId val="8"/>
      <sheetId val="9"/>
    </sheetIdMap>
  </header>
  <header guid="{1919FEA2-1931-4510-9484-B9A60CF4A0FE}" dateTime="2020-09-10T08:57:43" maxSheetId="10" userName="EXTERNAL Nguyen Tuan Duong (Ban Vien, RBVH/EPS45)" r:id="rId269">
    <sheetIdMap count="9">
      <sheetId val="1"/>
      <sheetId val="2"/>
      <sheetId val="3"/>
      <sheetId val="4"/>
      <sheetId val="5"/>
      <sheetId val="6"/>
      <sheetId val="7"/>
      <sheetId val="8"/>
      <sheetId val="9"/>
    </sheetIdMap>
  </header>
  <header guid="{EB673E7A-DCEC-4434-95C7-86E85A5A3EF2}" dateTime="2020-09-10T08:57:43" maxSheetId="10" userName="EXTERNAL Nguyen Tuan Duong (Ban Vien, RBVH/EPS45)" r:id="rId270">
    <sheetIdMap count="9">
      <sheetId val="1"/>
      <sheetId val="2"/>
      <sheetId val="3"/>
      <sheetId val="4"/>
      <sheetId val="5"/>
      <sheetId val="6"/>
      <sheetId val="7"/>
      <sheetId val="8"/>
      <sheetId val="9"/>
    </sheetIdMap>
  </header>
  <header guid="{318C0E34-63D1-4BE9-B0CC-4F168855A674}" dateTime="2020-09-10T08:57:44" maxSheetId="10" userName="EXTERNAL Nguyen Tuan Duong (Ban Vien, RBVH/EPS45)" r:id="rId271">
    <sheetIdMap count="9">
      <sheetId val="1"/>
      <sheetId val="2"/>
      <sheetId val="3"/>
      <sheetId val="4"/>
      <sheetId val="5"/>
      <sheetId val="6"/>
      <sheetId val="7"/>
      <sheetId val="8"/>
      <sheetId val="9"/>
    </sheetIdMap>
  </header>
  <header guid="{B0CB827D-FD68-4167-B800-0BAEDCB09EED}" dateTime="2020-09-10T08:57:44" maxSheetId="10" userName="EXTERNAL Nguyen Tuan Duong (Ban Vien, RBVH/EPS45)" r:id="rId272">
    <sheetIdMap count="9">
      <sheetId val="1"/>
      <sheetId val="2"/>
      <sheetId val="3"/>
      <sheetId val="4"/>
      <sheetId val="5"/>
      <sheetId val="6"/>
      <sheetId val="7"/>
      <sheetId val="8"/>
      <sheetId val="9"/>
    </sheetIdMap>
  </header>
  <header guid="{85C03C92-2DBE-4219-AA64-29FE3AC1086B}" dateTime="2020-09-10T08:57:44" maxSheetId="10" userName="EXTERNAL Nguyen Tuan Duong (Ban Vien, RBVH/EPS45)" r:id="rId273">
    <sheetIdMap count="9">
      <sheetId val="1"/>
      <sheetId val="2"/>
      <sheetId val="3"/>
      <sheetId val="4"/>
      <sheetId val="5"/>
      <sheetId val="6"/>
      <sheetId val="7"/>
      <sheetId val="8"/>
      <sheetId val="9"/>
    </sheetIdMap>
  </header>
  <header guid="{8FF1D811-D15E-4D7E-9B1C-55A82D4FE8A4}" dateTime="2020-09-10T09:03:49" maxSheetId="10" userName="EXTERNAL Ly Chung (Ban Vien, RBVH/EPS45)" r:id="rId274" minRId="4285" maxRId="4293">
    <sheetIdMap count="9">
      <sheetId val="1"/>
      <sheetId val="2"/>
      <sheetId val="3"/>
      <sheetId val="4"/>
      <sheetId val="5"/>
      <sheetId val="6"/>
      <sheetId val="7"/>
      <sheetId val="8"/>
      <sheetId val="9"/>
    </sheetIdMap>
  </header>
  <header guid="{982A0CCD-2EDF-4EFC-8DCF-4D42AE282DAB}" dateTime="2020-09-10T09:08:27" maxSheetId="10" userName="duo81hc" r:id="rId275" minRId="4296" maxRId="4305">
    <sheetIdMap count="9">
      <sheetId val="1"/>
      <sheetId val="2"/>
      <sheetId val="3"/>
      <sheetId val="4"/>
      <sheetId val="5"/>
      <sheetId val="6"/>
      <sheetId val="7"/>
      <sheetId val="8"/>
      <sheetId val="9"/>
    </sheetIdMap>
  </header>
  <header guid="{62D4D261-970A-4D72-B53F-16892EA64EA8}" dateTime="2020-09-10T09:11:11" maxSheetId="10" userName="EXTERNAL Nguyen Tuan Duong (Ban Vien, RBVH/EPS45)" r:id="rId276">
    <sheetIdMap count="9">
      <sheetId val="1"/>
      <sheetId val="2"/>
      <sheetId val="3"/>
      <sheetId val="4"/>
      <sheetId val="5"/>
      <sheetId val="6"/>
      <sheetId val="7"/>
      <sheetId val="8"/>
      <sheetId val="9"/>
    </sheetIdMap>
  </header>
  <header guid="{F2950E97-5367-4AA7-9BA8-E4CB698E0DCF}" dateTime="2020-09-10T09:12:42" maxSheetId="10" userName="duo81hc" r:id="rId277" minRId="4310" maxRId="4319">
    <sheetIdMap count="9">
      <sheetId val="1"/>
      <sheetId val="2"/>
      <sheetId val="3"/>
      <sheetId val="4"/>
      <sheetId val="5"/>
      <sheetId val="6"/>
      <sheetId val="7"/>
      <sheetId val="8"/>
      <sheetId val="9"/>
    </sheetIdMap>
  </header>
  <header guid="{272DCC17-23E4-468C-9E8A-1C26777B2893}" dateTime="2020-09-10T09:24:01" maxSheetId="10" userName="gup7hc" r:id="rId278" minRId="4322" maxRId="4334">
    <sheetIdMap count="9">
      <sheetId val="1"/>
      <sheetId val="2"/>
      <sheetId val="3"/>
      <sheetId val="4"/>
      <sheetId val="5"/>
      <sheetId val="6"/>
      <sheetId val="7"/>
      <sheetId val="8"/>
      <sheetId val="9"/>
    </sheetIdMap>
  </header>
  <header guid="{B8E9E85B-53AE-4C94-AB88-1DBA5191A7D3}" dateTime="2020-09-10T09:24:12" maxSheetId="10" userName="gup7hc" r:id="rId279">
    <sheetIdMap count="9">
      <sheetId val="1"/>
      <sheetId val="2"/>
      <sheetId val="3"/>
      <sheetId val="4"/>
      <sheetId val="5"/>
      <sheetId val="6"/>
      <sheetId val="7"/>
      <sheetId val="8"/>
      <sheetId val="9"/>
    </sheetIdMap>
  </header>
  <header guid="{9DBAD7D6-88E1-4F4F-BD9B-170CFAF4FD42}" dateTime="2020-09-10T09:30:38" maxSheetId="10" userName="EXTERNAL Nguyen Tuan Duong (Ban Vien, RBVH/EPS45)" r:id="rId280">
    <sheetIdMap count="9">
      <sheetId val="1"/>
      <sheetId val="2"/>
      <sheetId val="3"/>
      <sheetId val="4"/>
      <sheetId val="5"/>
      <sheetId val="6"/>
      <sheetId val="7"/>
      <sheetId val="8"/>
      <sheetId val="9"/>
    </sheetIdMap>
  </header>
  <header guid="{913351A9-331D-4AF4-BC06-D89039E4BEDF}" dateTime="2020-09-10T09:31:15" maxSheetId="10" userName="EXTERNAL Nguyen Tuan Duong (Ban Vien, RBVH/EPS45)" r:id="rId281">
    <sheetIdMap count="9">
      <sheetId val="1"/>
      <sheetId val="2"/>
      <sheetId val="3"/>
      <sheetId val="4"/>
      <sheetId val="5"/>
      <sheetId val="6"/>
      <sheetId val="7"/>
      <sheetId val="8"/>
      <sheetId val="9"/>
    </sheetIdMap>
  </header>
  <header guid="{BAF0EAF8-7648-41C0-996C-C7E090675FC6}" dateTime="2020-09-10T09:33:44" maxSheetId="10" userName="EXTERNAL Nguyen Tuan Duong (Ban Vien, RBVH/EPS45)" r:id="rId282">
    <sheetIdMap count="9">
      <sheetId val="1"/>
      <sheetId val="2"/>
      <sheetId val="3"/>
      <sheetId val="4"/>
      <sheetId val="5"/>
      <sheetId val="6"/>
      <sheetId val="7"/>
      <sheetId val="8"/>
      <sheetId val="9"/>
    </sheetIdMap>
  </header>
  <header guid="{100ABC4F-7CDB-495D-85E6-241947FE6B54}" dateTime="2020-09-10T09:34:28" maxSheetId="10" userName="EXTERNAL Nguyen Tuan Duong (Ban Vien, RBVH/EPS45)" r:id="rId283">
    <sheetIdMap count="9">
      <sheetId val="1"/>
      <sheetId val="2"/>
      <sheetId val="3"/>
      <sheetId val="4"/>
      <sheetId val="5"/>
      <sheetId val="6"/>
      <sheetId val="7"/>
      <sheetId val="8"/>
      <sheetId val="9"/>
    </sheetIdMap>
  </header>
  <header guid="{87865540-DBD0-4487-AEF2-5718AE5BBE94}" dateTime="2020-09-10T09:34:54" maxSheetId="10" userName="EXTERNAL Nguyen Tuan Duong (Ban Vien, RBVH/EPS45)" r:id="rId284">
    <sheetIdMap count="9">
      <sheetId val="1"/>
      <sheetId val="2"/>
      <sheetId val="3"/>
      <sheetId val="4"/>
      <sheetId val="5"/>
      <sheetId val="6"/>
      <sheetId val="7"/>
      <sheetId val="8"/>
      <sheetId val="9"/>
    </sheetIdMap>
  </header>
  <header guid="{5AF5EFD6-D00D-48FA-BC95-9EF5079D5BA3}" dateTime="2020-09-10T09:35:22" maxSheetId="10" userName="EXTERNAL Nguyen Tuan Duong (Ban Vien, RBVH/EPS45)" r:id="rId285">
    <sheetIdMap count="9">
      <sheetId val="1"/>
      <sheetId val="2"/>
      <sheetId val="3"/>
      <sheetId val="4"/>
      <sheetId val="5"/>
      <sheetId val="6"/>
      <sheetId val="7"/>
      <sheetId val="8"/>
      <sheetId val="9"/>
    </sheetIdMap>
  </header>
  <header guid="{8ACC917C-6143-4C47-956E-86DF2E4B3397}" dateTime="2020-09-10T09:36:49" maxSheetId="10" userName="EXTERNAL Nguyen Tuan Duong (Ban Vien, RBVH/EPS45)" r:id="rId286">
    <sheetIdMap count="9">
      <sheetId val="1"/>
      <sheetId val="2"/>
      <sheetId val="3"/>
      <sheetId val="4"/>
      <sheetId val="5"/>
      <sheetId val="6"/>
      <sheetId val="7"/>
      <sheetId val="8"/>
      <sheetId val="9"/>
    </sheetIdMap>
  </header>
  <header guid="{B3368673-FA61-4376-8E93-D6DEA38EF602}" dateTime="2020-09-10T09:38:50" maxSheetId="10" userName="duo81hc" r:id="rId287" minRId="4353" maxRId="4357">
    <sheetIdMap count="9">
      <sheetId val="1"/>
      <sheetId val="2"/>
      <sheetId val="3"/>
      <sheetId val="4"/>
      <sheetId val="5"/>
      <sheetId val="6"/>
      <sheetId val="7"/>
      <sheetId val="8"/>
      <sheetId val="9"/>
    </sheetIdMap>
  </header>
  <header guid="{989C5D96-D20E-4C2B-A3C9-4281A885F024}" dateTime="2020-09-10T09:39:10" maxSheetId="10" userName="duo81hc" r:id="rId288" minRId="4360" maxRId="4365">
    <sheetIdMap count="9">
      <sheetId val="1"/>
      <sheetId val="2"/>
      <sheetId val="3"/>
      <sheetId val="4"/>
      <sheetId val="5"/>
      <sheetId val="6"/>
      <sheetId val="7"/>
      <sheetId val="8"/>
      <sheetId val="9"/>
    </sheetIdMap>
  </header>
  <header guid="{80380AFF-0ED4-4E92-B2D2-815C526E1B0C}" dateTime="2020-09-10T09:42:53" maxSheetId="10" userName="EXTERNAL Nguyen Tuan Duong (Ban Vien, RBVH/EPS45)" r:id="rId289">
    <sheetIdMap count="9">
      <sheetId val="1"/>
      <sheetId val="2"/>
      <sheetId val="3"/>
      <sheetId val="4"/>
      <sheetId val="5"/>
      <sheetId val="6"/>
      <sheetId val="7"/>
      <sheetId val="8"/>
      <sheetId val="9"/>
    </sheetIdMap>
  </header>
  <header guid="{7F5A0F15-60F9-4922-BFF3-F60B2F5117BE}" dateTime="2020-09-10T09:43:32" maxSheetId="10" userName="gup7hc" r:id="rId290">
    <sheetIdMap count="9">
      <sheetId val="1"/>
      <sheetId val="2"/>
      <sheetId val="3"/>
      <sheetId val="4"/>
      <sheetId val="5"/>
      <sheetId val="6"/>
      <sheetId val="7"/>
      <sheetId val="8"/>
      <sheetId val="9"/>
    </sheetIdMap>
  </header>
  <header guid="{D672054E-FE47-4AC8-B630-E6173FBD4A6B}" dateTime="2020-09-10T09:52:12" maxSheetId="10" userName="EXTERNAL Nguyen Tuan Duong (Ban Vien, RBVH/EPS45)" r:id="rId291">
    <sheetIdMap count="9">
      <sheetId val="1"/>
      <sheetId val="2"/>
      <sheetId val="3"/>
      <sheetId val="4"/>
      <sheetId val="5"/>
      <sheetId val="6"/>
      <sheetId val="7"/>
      <sheetId val="8"/>
      <sheetId val="9"/>
    </sheetIdMap>
  </header>
  <header guid="{53C38336-899F-4A1E-BD7D-AAF658833D4B}" dateTime="2020-09-10T09:52:59" maxSheetId="10" userName="EXTERNAL Nguyen Tuan Duong (Ban Vien, RBVH/EPS45)" r:id="rId292">
    <sheetIdMap count="9">
      <sheetId val="1"/>
      <sheetId val="2"/>
      <sheetId val="3"/>
      <sheetId val="4"/>
      <sheetId val="5"/>
      <sheetId val="6"/>
      <sheetId val="7"/>
      <sheetId val="8"/>
      <sheetId val="9"/>
    </sheetIdMap>
  </header>
  <header guid="{A3E79771-11ED-4B3B-BB46-11346EAF5C1E}" dateTime="2020-09-10T09:53:00" maxSheetId="10" userName="EXTERNAL Nguyen Tuan Duong (Ban Vien, RBVH/EPS45)" r:id="rId293">
    <sheetIdMap count="9">
      <sheetId val="1"/>
      <sheetId val="2"/>
      <sheetId val="3"/>
      <sheetId val="4"/>
      <sheetId val="5"/>
      <sheetId val="6"/>
      <sheetId val="7"/>
      <sheetId val="8"/>
      <sheetId val="9"/>
    </sheetIdMap>
  </header>
  <header guid="{8758BADD-E27C-4461-A783-40FAA862345C}" dateTime="2020-09-10T09:53:01" maxSheetId="10" userName="EXTERNAL Nguyen Tuan Duong (Ban Vien, RBVH/EPS45)" r:id="rId294">
    <sheetIdMap count="9">
      <sheetId val="1"/>
      <sheetId val="2"/>
      <sheetId val="3"/>
      <sheetId val="4"/>
      <sheetId val="5"/>
      <sheetId val="6"/>
      <sheetId val="7"/>
      <sheetId val="8"/>
      <sheetId val="9"/>
    </sheetIdMap>
  </header>
  <header guid="{8EB9AD5D-922A-41C5-84AB-6F91DCD2D249}" dateTime="2020-09-10T09:53:01" maxSheetId="10" userName="EXTERNAL Nguyen Tuan Duong (Ban Vien, RBVH/EPS45)" r:id="rId295">
    <sheetIdMap count="9">
      <sheetId val="1"/>
      <sheetId val="2"/>
      <sheetId val="3"/>
      <sheetId val="4"/>
      <sheetId val="5"/>
      <sheetId val="6"/>
      <sheetId val="7"/>
      <sheetId val="8"/>
      <sheetId val="9"/>
    </sheetIdMap>
  </header>
  <header guid="{626F27F1-7486-4F95-ADE1-DE73985E1023}" dateTime="2020-09-10T09:53:14" maxSheetId="10" userName="EXTERNAL Nguyen Tuan Duong (Ban Vien, RBVH/EPS45)" r:id="rId296">
    <sheetIdMap count="9">
      <sheetId val="1"/>
      <sheetId val="2"/>
      <sheetId val="3"/>
      <sheetId val="4"/>
      <sheetId val="5"/>
      <sheetId val="6"/>
      <sheetId val="7"/>
      <sheetId val="8"/>
      <sheetId val="9"/>
    </sheetIdMap>
  </header>
  <header guid="{C89CEFA5-3CAB-4C08-B80F-22C20A7C5C5A}" dateTime="2020-09-10T09:57:50" maxSheetId="10" userName="EXTERNAL Nguyen Tuan Duong (Ban Vien, RBVH/EPS45)" r:id="rId297" minRId="4384" maxRId="4387">
    <sheetIdMap count="9">
      <sheetId val="1"/>
      <sheetId val="2"/>
      <sheetId val="3"/>
      <sheetId val="4"/>
      <sheetId val="5"/>
      <sheetId val="6"/>
      <sheetId val="7"/>
      <sheetId val="8"/>
      <sheetId val="9"/>
    </sheetIdMap>
  </header>
  <header guid="{6DF6BA49-C0DE-4175-8A6B-747D7ED71F04}" dateTime="2020-09-10T09:57:53" maxSheetId="10" userName="EXTERNAL Nguyen Tuan Duong (Ban Vien, RBVH/EPS45)" r:id="rId298" minRId="4390">
    <sheetIdMap count="9">
      <sheetId val="1"/>
      <sheetId val="2"/>
      <sheetId val="3"/>
      <sheetId val="4"/>
      <sheetId val="5"/>
      <sheetId val="6"/>
      <sheetId val="7"/>
      <sheetId val="8"/>
      <sheetId val="9"/>
    </sheetIdMap>
  </header>
  <header guid="{6943B2F2-F8F8-4927-8C39-9BD9B14B0E92}" dateTime="2020-09-10T09:59:15" maxSheetId="10" userName="EXTERNAL Nguyen Tuan Duong (Ban Vien, RBVH/EPS45)" r:id="rId299" minRId="4391" maxRId="4407">
    <sheetIdMap count="9">
      <sheetId val="1"/>
      <sheetId val="2"/>
      <sheetId val="3"/>
      <sheetId val="4"/>
      <sheetId val="5"/>
      <sheetId val="6"/>
      <sheetId val="7"/>
      <sheetId val="8"/>
      <sheetId val="9"/>
    </sheetIdMap>
  </header>
  <header guid="{055C659E-CC8C-4C9E-834A-B77F4D95C127}" dateTime="2020-09-10T10:00:24" maxSheetId="10" userName="EXTERNAL Nguyen Tuan Duong (Ban Vien, RBVH/EPS45)" r:id="rId300">
    <sheetIdMap count="9">
      <sheetId val="1"/>
      <sheetId val="2"/>
      <sheetId val="3"/>
      <sheetId val="4"/>
      <sheetId val="5"/>
      <sheetId val="6"/>
      <sheetId val="7"/>
      <sheetId val="8"/>
      <sheetId val="9"/>
    </sheetIdMap>
  </header>
  <header guid="{737550D7-D3E7-4684-A2C2-F9CD70D75807}" dateTime="2020-09-10T10:00:32" maxSheetId="10" userName="EXTERNAL Nguyen Tuan Duong (Ban Vien, RBVH/EPS45)" r:id="rId301">
    <sheetIdMap count="9">
      <sheetId val="1"/>
      <sheetId val="2"/>
      <sheetId val="3"/>
      <sheetId val="4"/>
      <sheetId val="5"/>
      <sheetId val="6"/>
      <sheetId val="7"/>
      <sheetId val="8"/>
      <sheetId val="9"/>
    </sheetIdMap>
  </header>
  <header guid="{59B8A015-C2FF-445D-B865-91BDAF7F6113}" dateTime="2020-09-10T10:02:41" maxSheetId="10" userName="EXTERNAL Nguyen Tuan Duong (Ban Vien, RBVH/EPS45)" r:id="rId302">
    <sheetIdMap count="9">
      <sheetId val="1"/>
      <sheetId val="2"/>
      <sheetId val="3"/>
      <sheetId val="4"/>
      <sheetId val="5"/>
      <sheetId val="6"/>
      <sheetId val="7"/>
      <sheetId val="8"/>
      <sheetId val="9"/>
    </sheetIdMap>
  </header>
  <header guid="{2795D067-9658-4C22-8AC4-9A7D034B07BF}" dateTime="2020-09-10T10:06:45" maxSheetId="10" userName="EXTERNAL Nguyen Tuan Duong (Ban Vien, RBVH/EPS45)" r:id="rId303" minRId="4414">
    <sheetIdMap count="9">
      <sheetId val="1"/>
      <sheetId val="2"/>
      <sheetId val="3"/>
      <sheetId val="4"/>
      <sheetId val="5"/>
      <sheetId val="6"/>
      <sheetId val="7"/>
      <sheetId val="8"/>
      <sheetId val="9"/>
    </sheetIdMap>
  </header>
  <header guid="{09647DAA-0337-4631-A5A8-9E15FD565475}" dateTime="2020-09-10T10:11:51" maxSheetId="10" userName="EXTERNAL Do Phu Loc (Ban Vien, RBVH/EPS45)" r:id="rId304">
    <sheetIdMap count="9">
      <sheetId val="1"/>
      <sheetId val="2"/>
      <sheetId val="3"/>
      <sheetId val="4"/>
      <sheetId val="5"/>
      <sheetId val="6"/>
      <sheetId val="7"/>
      <sheetId val="8"/>
      <sheetId val="9"/>
    </sheetIdMap>
  </header>
  <header guid="{68973F9C-DED4-4C2B-AF0C-4E33E5DCD800}" dateTime="2020-09-10T10:24:45" maxSheetId="10" userName="EXTERNAL Do Anh Huy (Ban Vien Company, RBVH/EPS45)" r:id="rId305">
    <sheetIdMap count="9">
      <sheetId val="1"/>
      <sheetId val="2"/>
      <sheetId val="3"/>
      <sheetId val="4"/>
      <sheetId val="5"/>
      <sheetId val="6"/>
      <sheetId val="7"/>
      <sheetId val="8"/>
      <sheetId val="9"/>
    </sheetIdMap>
  </header>
  <header guid="{0EFBEA45-FC26-4214-9EF4-152D4F5A40F8}" dateTime="2020-09-10T10:25:32" maxSheetId="10" userName="EXTERNAL Do Anh Huy (Ban Vien Company, RBVH/EPS45)" r:id="rId306" minRId="4421" maxRId="4427">
    <sheetIdMap count="9">
      <sheetId val="1"/>
      <sheetId val="2"/>
      <sheetId val="3"/>
      <sheetId val="4"/>
      <sheetId val="5"/>
      <sheetId val="6"/>
      <sheetId val="7"/>
      <sheetId val="8"/>
      <sheetId val="9"/>
    </sheetIdMap>
  </header>
  <header guid="{4A0E7D49-741E-4462-9D82-73B21DC7CCCE}" dateTime="2020-09-10T10:25:52" maxSheetId="10" userName="EXTERNAL Do Anh Huy (Ban Vien Company, RBVH/EPS45)" r:id="rId307" minRId="4430" maxRId="4436">
    <sheetIdMap count="9">
      <sheetId val="1"/>
      <sheetId val="2"/>
      <sheetId val="3"/>
      <sheetId val="4"/>
      <sheetId val="5"/>
      <sheetId val="6"/>
      <sheetId val="7"/>
      <sheetId val="8"/>
      <sheetId val="9"/>
    </sheetIdMap>
  </header>
  <header guid="{01828255-F887-4ED5-B148-D0FFDDD779DE}" dateTime="2020-09-10T10:31:14" maxSheetId="10" userName="EXTERNAL Do Phu Loc (Ban Vien, RBVH/EPS45)" r:id="rId308" minRId="4437" maxRId="4441">
    <sheetIdMap count="9">
      <sheetId val="1"/>
      <sheetId val="2"/>
      <sheetId val="3"/>
      <sheetId val="4"/>
      <sheetId val="5"/>
      <sheetId val="6"/>
      <sheetId val="7"/>
      <sheetId val="8"/>
      <sheetId val="9"/>
    </sheetIdMap>
  </header>
  <header guid="{5809B01E-09A3-48E8-96C5-0789565F13AD}" dateTime="2020-09-10T10:45:32" maxSheetId="10" userName="gup7hc" r:id="rId309" minRId="4444" maxRId="4456">
    <sheetIdMap count="9">
      <sheetId val="1"/>
      <sheetId val="2"/>
      <sheetId val="3"/>
      <sheetId val="4"/>
      <sheetId val="5"/>
      <sheetId val="6"/>
      <sheetId val="7"/>
      <sheetId val="8"/>
      <sheetId val="9"/>
    </sheetIdMap>
  </header>
  <header guid="{21875A52-2A14-487B-9017-90CD2A72E25C}" dateTime="2020-09-10T10:45:44" maxSheetId="10" userName="gup7hc" r:id="rId310">
    <sheetIdMap count="9">
      <sheetId val="1"/>
      <sheetId val="2"/>
      <sheetId val="3"/>
      <sheetId val="4"/>
      <sheetId val="5"/>
      <sheetId val="6"/>
      <sheetId val="7"/>
      <sheetId val="8"/>
      <sheetId val="9"/>
    </sheetIdMap>
  </header>
  <header guid="{B5BB28D0-A85A-4B00-A298-5117030E95FF}" dateTime="2020-09-10T10:46:17" maxSheetId="10" userName="EXTERNAL Do Anh Huy (Ban Vien Company, RBVH/EPS45)" r:id="rId311" minRId="4461">
    <sheetIdMap count="9">
      <sheetId val="1"/>
      <sheetId val="2"/>
      <sheetId val="3"/>
      <sheetId val="4"/>
      <sheetId val="5"/>
      <sheetId val="6"/>
      <sheetId val="7"/>
      <sheetId val="8"/>
      <sheetId val="9"/>
    </sheetIdMap>
  </header>
  <header guid="{1EC7AE5D-61AE-4033-ACE0-F19B298506E1}" dateTime="2020-09-10T10:48:43" maxSheetId="10" userName="EXTERNAL Do Anh Huy (Ban Vien Company, RBVH/EPS45)" r:id="rId312" minRId="4462" maxRId="4468">
    <sheetIdMap count="9">
      <sheetId val="1"/>
      <sheetId val="2"/>
      <sheetId val="3"/>
      <sheetId val="4"/>
      <sheetId val="5"/>
      <sheetId val="6"/>
      <sheetId val="7"/>
      <sheetId val="8"/>
      <sheetId val="9"/>
    </sheetIdMap>
  </header>
  <header guid="{049147D2-51A9-44FB-BCAD-FD8BDA5248B1}" dateTime="2020-09-10T10:52:22" maxSheetId="10" userName="EXTERNAL Ly Chung (Ban Vien, RBVH/EPS45)" r:id="rId313" minRId="4471" maxRId="4479">
    <sheetIdMap count="9">
      <sheetId val="1"/>
      <sheetId val="2"/>
      <sheetId val="3"/>
      <sheetId val="4"/>
      <sheetId val="5"/>
      <sheetId val="6"/>
      <sheetId val="7"/>
      <sheetId val="8"/>
      <sheetId val="9"/>
    </sheetIdMap>
  </header>
  <header guid="{E12A92FB-94E7-4BEE-81BD-82EF4410A3B2}" dateTime="2020-09-10T10:59:23" maxSheetId="10" userName="EXTERNAL Do Phu Loc (Ban Vien, RBVH/EPS45)" r:id="rId314" minRId="4482" maxRId="4491">
    <sheetIdMap count="9">
      <sheetId val="1"/>
      <sheetId val="2"/>
      <sheetId val="3"/>
      <sheetId val="4"/>
      <sheetId val="5"/>
      <sheetId val="6"/>
      <sheetId val="7"/>
      <sheetId val="8"/>
      <sheetId val="9"/>
    </sheetIdMap>
  </header>
  <header guid="{6E853F31-1A7B-496F-B4E0-90D6BDB0DE83}" dateTime="2020-09-10T11:01:17" maxSheetId="10" userName="EXTERNAL Do Phu Loc (Ban Vien, RBVH/EPS45)" r:id="rId315" minRId="4494" maxRId="4501">
    <sheetIdMap count="9">
      <sheetId val="1"/>
      <sheetId val="2"/>
      <sheetId val="3"/>
      <sheetId val="4"/>
      <sheetId val="5"/>
      <sheetId val="6"/>
      <sheetId val="7"/>
      <sheetId val="8"/>
      <sheetId val="9"/>
    </sheetIdMap>
  </header>
  <header guid="{9BEB997B-AA98-429A-9B1C-81DEA91F4EB2}" dateTime="2020-09-10T11:01:24" maxSheetId="10" userName="EXTERNAL Do Phu Loc (Ban Vien, RBVH/EPS45)" r:id="rId316" minRId="4504">
    <sheetIdMap count="9">
      <sheetId val="1"/>
      <sheetId val="2"/>
      <sheetId val="3"/>
      <sheetId val="4"/>
      <sheetId val="5"/>
      <sheetId val="6"/>
      <sheetId val="7"/>
      <sheetId val="8"/>
      <sheetId val="9"/>
    </sheetIdMap>
  </header>
  <header guid="{7D8402A7-8E46-49EE-AC0D-7C8A1C814ED0}" dateTime="2020-09-10T11:03:28" maxSheetId="10" userName="EXTERNAL Do Phu Loc (Ban Vien, RBVH/EPS45)" r:id="rId317">
    <sheetIdMap count="9">
      <sheetId val="1"/>
      <sheetId val="2"/>
      <sheetId val="3"/>
      <sheetId val="4"/>
      <sheetId val="5"/>
      <sheetId val="6"/>
      <sheetId val="7"/>
      <sheetId val="8"/>
      <sheetId val="9"/>
    </sheetIdMap>
  </header>
  <header guid="{0D0C4068-B64F-478A-8132-960F69861D3C}" dateTime="2020-09-10T11:05:14" maxSheetId="10" userName="gup7hc" r:id="rId318">
    <sheetIdMap count="9">
      <sheetId val="1"/>
      <sheetId val="2"/>
      <sheetId val="3"/>
      <sheetId val="4"/>
      <sheetId val="5"/>
      <sheetId val="6"/>
      <sheetId val="7"/>
      <sheetId val="8"/>
      <sheetId val="9"/>
    </sheetIdMap>
  </header>
  <header guid="{DDF84CB9-6956-4FC9-BB19-A18BD6036B20}" dateTime="2020-09-10T11:05:18" maxSheetId="10" userName="gup7hc" r:id="rId319">
    <sheetIdMap count="9">
      <sheetId val="1"/>
      <sheetId val="2"/>
      <sheetId val="3"/>
      <sheetId val="4"/>
      <sheetId val="5"/>
      <sheetId val="6"/>
      <sheetId val="7"/>
      <sheetId val="8"/>
      <sheetId val="9"/>
    </sheetIdMap>
  </header>
  <header guid="{D4CAC972-099A-45B9-A43E-265E5CD1F245}" dateTime="2020-09-10T11:15:11" maxSheetId="10" userName="gup7hc" r:id="rId320" minRId="4513" maxRId="4522">
    <sheetIdMap count="9">
      <sheetId val="1"/>
      <sheetId val="2"/>
      <sheetId val="3"/>
      <sheetId val="4"/>
      <sheetId val="5"/>
      <sheetId val="6"/>
      <sheetId val="7"/>
      <sheetId val="8"/>
      <sheetId val="9"/>
    </sheetIdMap>
  </header>
  <header guid="{D6D6F3D5-7982-416B-A668-452D6F295338}" dateTime="2020-09-10T11:15:41" maxSheetId="10" userName="gup7hc" r:id="rId321" minRId="4525">
    <sheetIdMap count="9">
      <sheetId val="1"/>
      <sheetId val="2"/>
      <sheetId val="3"/>
      <sheetId val="4"/>
      <sheetId val="5"/>
      <sheetId val="6"/>
      <sheetId val="7"/>
      <sheetId val="8"/>
      <sheetId val="9"/>
    </sheetIdMap>
  </header>
  <header guid="{FF6D13F2-DE8D-4ADE-93C8-10EA37AE0E45}" dateTime="2020-09-10T11:15:50" maxSheetId="10" userName="gup7hc" r:id="rId322" minRId="4526">
    <sheetIdMap count="9">
      <sheetId val="1"/>
      <sheetId val="2"/>
      <sheetId val="3"/>
      <sheetId val="4"/>
      <sheetId val="5"/>
      <sheetId val="6"/>
      <sheetId val="7"/>
      <sheetId val="8"/>
      <sheetId val="9"/>
    </sheetIdMap>
  </header>
  <header guid="{FB2E62EE-CDA0-475A-A790-6996AB1AC3DC}" dateTime="2020-09-10T11:15:56" maxSheetId="10" userName="gup7hc" r:id="rId323" minRId="4527" maxRId="4528">
    <sheetIdMap count="9">
      <sheetId val="1"/>
      <sheetId val="2"/>
      <sheetId val="3"/>
      <sheetId val="4"/>
      <sheetId val="5"/>
      <sheetId val="6"/>
      <sheetId val="7"/>
      <sheetId val="8"/>
      <sheetId val="9"/>
    </sheetIdMap>
  </header>
  <header guid="{B7E5C395-B0BA-4434-97CD-4EEEDF9C1365}" dateTime="2020-09-10T11:15:59" maxSheetId="10" userName="EXTERNAL Luu Cong Dac (Ban Vien, RBVH/EPS45)" r:id="rId324">
    <sheetIdMap count="9">
      <sheetId val="1"/>
      <sheetId val="2"/>
      <sheetId val="3"/>
      <sheetId val="4"/>
      <sheetId val="5"/>
      <sheetId val="6"/>
      <sheetId val="7"/>
      <sheetId val="8"/>
      <sheetId val="9"/>
    </sheetIdMap>
  </header>
  <header guid="{895841AE-EEDE-4E10-AF25-06F1C887F28C}" dateTime="2020-09-10T11:23:53" maxSheetId="10" userName="duo81hc" r:id="rId325" minRId="4534" maxRId="4543">
    <sheetIdMap count="9">
      <sheetId val="1"/>
      <sheetId val="2"/>
      <sheetId val="3"/>
      <sheetId val="4"/>
      <sheetId val="5"/>
      <sheetId val="6"/>
      <sheetId val="7"/>
      <sheetId val="8"/>
      <sheetId val="9"/>
    </sheetIdMap>
  </header>
  <header guid="{605F1FE7-DEE7-4F61-8133-028A709E7894}" dateTime="2020-09-10T11:28:34" maxSheetId="10" userName="EXTERNAL Phan The Nam (Ban Vien Company, RBVH/EPS45)" r:id="rId326" minRId="4546" maxRId="4554">
    <sheetIdMap count="9">
      <sheetId val="1"/>
      <sheetId val="2"/>
      <sheetId val="3"/>
      <sheetId val="4"/>
      <sheetId val="5"/>
      <sheetId val="6"/>
      <sheetId val="7"/>
      <sheetId val="8"/>
      <sheetId val="9"/>
    </sheetIdMap>
  </header>
  <header guid="{D326EDE4-96B0-4253-973B-B63DBD3DE85F}" dateTime="2020-09-10T11:28:52" maxSheetId="10" userName="EXTERNAL Do Phu Loc (Ban Vien, RBVH/EPS45)" r:id="rId327">
    <sheetIdMap count="9">
      <sheetId val="1"/>
      <sheetId val="2"/>
      <sheetId val="3"/>
      <sheetId val="4"/>
      <sheetId val="5"/>
      <sheetId val="6"/>
      <sheetId val="7"/>
      <sheetId val="8"/>
      <sheetId val="9"/>
    </sheetIdMap>
  </header>
  <header guid="{37D55B84-B3C5-417C-B763-D39903761E10}" dateTime="2020-09-10T11:42:02" maxSheetId="10" userName="EXTERNAL Nguyen Tuan Duong (Ban Vien, RBVH/EPS45)" r:id="rId328">
    <sheetIdMap count="9">
      <sheetId val="1"/>
      <sheetId val="2"/>
      <sheetId val="3"/>
      <sheetId val="4"/>
      <sheetId val="5"/>
      <sheetId val="6"/>
      <sheetId val="7"/>
      <sheetId val="8"/>
      <sheetId val="9"/>
    </sheetIdMap>
  </header>
  <header guid="{0BA52DBD-006A-4B6E-AB3E-9C3D6477BCBB}" dateTime="2020-09-10T11:43:27" maxSheetId="10" userName="EXTERNAL Nguyen Tai Hau (Ban Vien, RBVH/EPS45)" r:id="rId329" minRId="4561" maxRId="4579">
    <sheetIdMap count="9">
      <sheetId val="1"/>
      <sheetId val="2"/>
      <sheetId val="3"/>
      <sheetId val="4"/>
      <sheetId val="5"/>
      <sheetId val="6"/>
      <sheetId val="7"/>
      <sheetId val="8"/>
      <sheetId val="9"/>
    </sheetIdMap>
  </header>
  <header guid="{1C9DE8D2-1E0C-4791-B859-F8EAB3A62D22}" dateTime="2020-09-10T11:46:22" maxSheetId="10" userName="EXTERNAL Ly Chung (Ban Vien, RBVH/EPS45)" r:id="rId330">
    <sheetIdMap count="9">
      <sheetId val="1"/>
      <sheetId val="2"/>
      <sheetId val="3"/>
      <sheetId val="4"/>
      <sheetId val="5"/>
      <sheetId val="6"/>
      <sheetId val="7"/>
      <sheetId val="8"/>
      <sheetId val="9"/>
    </sheetIdMap>
  </header>
  <header guid="{4D0874A5-788B-4352-8812-001B021B7E8A}" dateTime="2020-09-10T11:50:39" maxSheetId="10" userName="EXTERNAL Nguyen Tuan Duong (Ban Vien, RBVH/EPS45)" r:id="rId331" minRId="4584" maxRId="4595">
    <sheetIdMap count="9">
      <sheetId val="1"/>
      <sheetId val="2"/>
      <sheetId val="3"/>
      <sheetId val="4"/>
      <sheetId val="5"/>
      <sheetId val="6"/>
      <sheetId val="7"/>
      <sheetId val="8"/>
      <sheetId val="9"/>
    </sheetIdMap>
  </header>
  <header guid="{C3F22B95-8BDA-4C99-BEA4-6EAF7500D558}" dateTime="2020-09-10T11:50:44" maxSheetId="10" userName="EXTERNAL Nguyen Tuan Duong (Ban Vien, RBVH/EPS45)" r:id="rId332">
    <sheetIdMap count="9">
      <sheetId val="1"/>
      <sheetId val="2"/>
      <sheetId val="3"/>
      <sheetId val="4"/>
      <sheetId val="5"/>
      <sheetId val="6"/>
      <sheetId val="7"/>
      <sheetId val="8"/>
      <sheetId val="9"/>
    </sheetIdMap>
  </header>
  <header guid="{C9FBAABB-1D3D-4E3C-842B-E52AD719B8A4}" dateTime="2020-09-10T11:51:03" maxSheetId="10" userName="gup7hc" r:id="rId333" minRId="4600" maxRId="4612">
    <sheetIdMap count="9">
      <sheetId val="1"/>
      <sheetId val="2"/>
      <sheetId val="3"/>
      <sheetId val="4"/>
      <sheetId val="5"/>
      <sheetId val="6"/>
      <sheetId val="7"/>
      <sheetId val="8"/>
      <sheetId val="9"/>
    </sheetIdMap>
  </header>
  <header guid="{C2849A18-98A8-4701-9E0D-E2C5D152C312}" dateTime="2020-09-10T11:52:28" maxSheetId="10" userName="gup7hc" r:id="rId334">
    <sheetIdMap count="9">
      <sheetId val="1"/>
      <sheetId val="2"/>
      <sheetId val="3"/>
      <sheetId val="4"/>
      <sheetId val="5"/>
      <sheetId val="6"/>
      <sheetId val="7"/>
      <sheetId val="8"/>
      <sheetId val="9"/>
    </sheetIdMap>
  </header>
  <header guid="{8714BDE0-856C-446B-8861-973BDEB6ABB6}" dateTime="2020-09-10T11:53:31" maxSheetId="10" userName="EXTERNAL Luu Cong Dac (Ban Vien, RBVH/EPS45)" r:id="rId335" minRId="4617" maxRId="4624">
    <sheetIdMap count="9">
      <sheetId val="1"/>
      <sheetId val="2"/>
      <sheetId val="3"/>
      <sheetId val="4"/>
      <sheetId val="5"/>
      <sheetId val="6"/>
      <sheetId val="7"/>
      <sheetId val="8"/>
      <sheetId val="9"/>
    </sheetIdMap>
  </header>
  <header guid="{FB13FFA1-BBAE-4BDF-894F-9A226AE911DB}" dateTime="2020-09-10T11:56:43" maxSheetId="10" userName="EXTERNAL Luu Cong Dac (Ban Vien, RBVH/EPS45)" r:id="rId336" minRId="4628">
    <sheetIdMap count="9">
      <sheetId val="1"/>
      <sheetId val="2"/>
      <sheetId val="3"/>
      <sheetId val="4"/>
      <sheetId val="5"/>
      <sheetId val="6"/>
      <sheetId val="7"/>
      <sheetId val="8"/>
      <sheetId val="9"/>
    </sheetIdMap>
  </header>
  <header guid="{778F4951-C051-45A9-BC2E-924AF412B220}" dateTime="2020-09-10T12:06:35" maxSheetId="10" userName="EXTERNAL Phan The Nam (Ban Vien Company, RBVH/EPS45)" r:id="rId337" minRId="4629" maxRId="4655">
    <sheetIdMap count="9">
      <sheetId val="1"/>
      <sheetId val="2"/>
      <sheetId val="3"/>
      <sheetId val="4"/>
      <sheetId val="5"/>
      <sheetId val="6"/>
      <sheetId val="7"/>
      <sheetId val="8"/>
      <sheetId val="9"/>
    </sheetIdMap>
  </header>
  <header guid="{E9DD311A-AED4-4B14-B9AD-E85BFA12AC3E}" dateTime="2020-09-10T12:09:37" maxSheetId="10" userName="duo81hc" r:id="rId338" minRId="4658" maxRId="4667">
    <sheetIdMap count="9">
      <sheetId val="1"/>
      <sheetId val="2"/>
      <sheetId val="3"/>
      <sheetId val="4"/>
      <sheetId val="5"/>
      <sheetId val="6"/>
      <sheetId val="7"/>
      <sheetId val="8"/>
      <sheetId val="9"/>
    </sheetIdMap>
  </header>
  <header guid="{CA0B19E7-740E-46EC-9D28-115A36ABD866}" dateTime="2020-09-10T12:26:38" maxSheetId="10" userName="EXTERNAL Do Anh Huy (Ban Vien Company, RBVH/EPS45)" r:id="rId339" minRId="4670" maxRId="4677">
    <sheetIdMap count="9">
      <sheetId val="1"/>
      <sheetId val="2"/>
      <sheetId val="3"/>
      <sheetId val="4"/>
      <sheetId val="5"/>
      <sheetId val="6"/>
      <sheetId val="7"/>
      <sheetId val="8"/>
      <sheetId val="9"/>
    </sheetIdMap>
  </header>
  <header guid="{C6EF2E0B-A3EB-47E2-BCF1-8A3357917A67}" dateTime="2020-09-10T12:27:50" maxSheetId="10" userName="gup7hc" r:id="rId340" minRId="4680" maxRId="4692">
    <sheetIdMap count="9">
      <sheetId val="1"/>
      <sheetId val="2"/>
      <sheetId val="3"/>
      <sheetId val="4"/>
      <sheetId val="5"/>
      <sheetId val="6"/>
      <sheetId val="7"/>
      <sheetId val="8"/>
      <sheetId val="9"/>
    </sheetIdMap>
  </header>
  <header guid="{202FAAD3-999C-4705-836A-2D60ED524688}" dateTime="2020-09-10T12:32:01" maxSheetId="10" userName="gup7hc" r:id="rId341" minRId="4695">
    <sheetIdMap count="9">
      <sheetId val="1"/>
      <sheetId val="2"/>
      <sheetId val="3"/>
      <sheetId val="4"/>
      <sheetId val="5"/>
      <sheetId val="6"/>
      <sheetId val="7"/>
      <sheetId val="8"/>
      <sheetId val="9"/>
    </sheetIdMap>
  </header>
  <header guid="{2D071363-CE23-497D-9763-B2AA07AD9432}" dateTime="2020-09-10T12:49:03" maxSheetId="10" userName="EXTERNAL Do Anh Huy (Ban Vien Company, RBVH/EPS45)" r:id="rId342">
    <sheetIdMap count="9">
      <sheetId val="1"/>
      <sheetId val="2"/>
      <sheetId val="3"/>
      <sheetId val="4"/>
      <sheetId val="5"/>
      <sheetId val="6"/>
      <sheetId val="7"/>
      <sheetId val="8"/>
      <sheetId val="9"/>
    </sheetIdMap>
  </header>
  <header guid="{471F96D0-F1A5-4FAD-A8ED-727A5613EF88}" dateTime="2020-09-10T12:49:05" maxSheetId="10" userName="EXTERNAL Luu Cong Dac (Ban Vien, RBVH/EPS45)" r:id="rId343" minRId="4700">
    <sheetIdMap count="9">
      <sheetId val="1"/>
      <sheetId val="2"/>
      <sheetId val="3"/>
      <sheetId val="4"/>
      <sheetId val="5"/>
      <sheetId val="6"/>
      <sheetId val="7"/>
      <sheetId val="8"/>
      <sheetId val="9"/>
    </sheetIdMap>
  </header>
  <header guid="{58BD8E83-7B5F-4080-996D-CC673F16BF25}" dateTime="2020-09-10T12:52:27" maxSheetId="10" userName="EXTERNAL Luu Cong Dac (Ban Vien, RBVH/EPS45)" r:id="rId344" minRId="4701" maxRId="4709">
    <sheetIdMap count="9">
      <sheetId val="1"/>
      <sheetId val="2"/>
      <sheetId val="3"/>
      <sheetId val="4"/>
      <sheetId val="5"/>
      <sheetId val="6"/>
      <sheetId val="7"/>
      <sheetId val="8"/>
      <sheetId val="9"/>
    </sheetIdMap>
  </header>
  <header guid="{2BFC92A1-83FF-414B-83CD-1BC18F001AF2}" dateTime="2020-09-10T12:52:46" maxSheetId="10" userName="EXTERNAL Luu Cong Dac (Ban Vien, RBVH/EPS45)" r:id="rId345">
    <sheetIdMap count="9">
      <sheetId val="1"/>
      <sheetId val="2"/>
      <sheetId val="3"/>
      <sheetId val="4"/>
      <sheetId val="5"/>
      <sheetId val="6"/>
      <sheetId val="7"/>
      <sheetId val="8"/>
      <sheetId val="9"/>
    </sheetIdMap>
  </header>
  <header guid="{7BBB6484-EF53-4AA3-8F3E-65EDE06B2771}" dateTime="2020-09-10T12:52:53" maxSheetId="10" userName="EXTERNAL Ly Chung (Ban Vien, RBVH/EPS45)" r:id="rId346" minRId="4713" maxRId="4721">
    <sheetIdMap count="9">
      <sheetId val="1"/>
      <sheetId val="2"/>
      <sheetId val="3"/>
      <sheetId val="4"/>
      <sheetId val="5"/>
      <sheetId val="6"/>
      <sheetId val="7"/>
      <sheetId val="8"/>
      <sheetId val="9"/>
    </sheetIdMap>
  </header>
  <header guid="{8CC65A3A-0DA1-4F4D-A75D-A2BC5A02FDFE}" dateTime="2020-09-10T12:53:00" maxSheetId="10" userName="EXTERNAL Ly Chung (Ban Vien, RBVH/EPS45)" r:id="rId347" minRId="4724">
    <sheetIdMap count="9">
      <sheetId val="1"/>
      <sheetId val="2"/>
      <sheetId val="3"/>
      <sheetId val="4"/>
      <sheetId val="5"/>
      <sheetId val="6"/>
      <sheetId val="7"/>
      <sheetId val="8"/>
      <sheetId val="9"/>
    </sheetIdMap>
  </header>
  <header guid="{D0148255-F1B3-4445-B2EA-C46C74DB2B78}" dateTime="2020-09-10T12:56:58" maxSheetId="10" userName="EXTERNAL Nguyen Tai Hau (Ban Vien, RBVH/EPS45)" r:id="rId348" minRId="4727" maxRId="4738">
    <sheetIdMap count="9">
      <sheetId val="1"/>
      <sheetId val="2"/>
      <sheetId val="3"/>
      <sheetId val="4"/>
      <sheetId val="5"/>
      <sheetId val="6"/>
      <sheetId val="7"/>
      <sheetId val="8"/>
      <sheetId val="9"/>
    </sheetIdMap>
  </header>
  <header guid="{08333F9E-44C7-4B36-89C8-0B5859AD1B7D}" dateTime="2020-09-10T13:02:15" maxSheetId="10" userName="EXTERNAL Nguyen Tai Hau (Ban Vien, RBVH/EPS45)" r:id="rId349">
    <sheetIdMap count="9">
      <sheetId val="1"/>
      <sheetId val="2"/>
      <sheetId val="3"/>
      <sheetId val="4"/>
      <sheetId val="5"/>
      <sheetId val="6"/>
      <sheetId val="7"/>
      <sheetId val="8"/>
      <sheetId val="9"/>
    </sheetIdMap>
  </header>
  <header guid="{73A2898E-CF4F-4527-8298-912F89F9190F}" dateTime="2020-09-10T13:05:22" maxSheetId="10" userName="duo81hc" r:id="rId350" minRId="4743" maxRId="4752">
    <sheetIdMap count="9">
      <sheetId val="1"/>
      <sheetId val="2"/>
      <sheetId val="3"/>
      <sheetId val="4"/>
      <sheetId val="5"/>
      <sheetId val="6"/>
      <sheetId val="7"/>
      <sheetId val="8"/>
      <sheetId val="9"/>
    </sheetIdMap>
  </header>
  <header guid="{CFBE2F3F-EED7-465E-AB8D-7DC91CBB27E4}" dateTime="2020-09-10T13:10:24" maxSheetId="10" userName="EXTERNAL Nguyen Tai Hau (Ban Vien, RBVH/EPS45)" r:id="rId351">
    <sheetIdMap count="9">
      <sheetId val="1"/>
      <sheetId val="2"/>
      <sheetId val="3"/>
      <sheetId val="4"/>
      <sheetId val="5"/>
      <sheetId val="6"/>
      <sheetId val="7"/>
      <sheetId val="8"/>
      <sheetId val="9"/>
    </sheetIdMap>
  </header>
  <header guid="{BB7C839E-0DBE-490E-B36E-9F3DEB720217}" dateTime="2020-09-10T13:13:24" maxSheetId="10" userName="gup7hc" r:id="rId352">
    <sheetIdMap count="9">
      <sheetId val="1"/>
      <sheetId val="2"/>
      <sheetId val="3"/>
      <sheetId val="4"/>
      <sheetId val="5"/>
      <sheetId val="6"/>
      <sheetId val="7"/>
      <sheetId val="8"/>
      <sheetId val="9"/>
    </sheetIdMap>
  </header>
  <header guid="{93E55325-DEFA-4C88-A0D1-5CBBB0C3F54A}" dateTime="2020-09-10T13:19:47" maxSheetId="10" userName="EXTERNAL Luu Cong Dac (Ban Vien, RBVH/EPS45)" r:id="rId353" minRId="4759" maxRId="4768">
    <sheetIdMap count="9">
      <sheetId val="1"/>
      <sheetId val="2"/>
      <sheetId val="3"/>
      <sheetId val="4"/>
      <sheetId val="5"/>
      <sheetId val="6"/>
      <sheetId val="7"/>
      <sheetId val="8"/>
      <sheetId val="9"/>
    </sheetIdMap>
  </header>
  <header guid="{EABF2116-357F-405F-ACE2-136BBD537A4A}" dateTime="2020-09-10T13:19:55" maxSheetId="10" userName="EXTERNAL Luu Cong Dac (Ban Vien, RBVH/EPS45)" r:id="rId354">
    <sheetIdMap count="9">
      <sheetId val="1"/>
      <sheetId val="2"/>
      <sheetId val="3"/>
      <sheetId val="4"/>
      <sheetId val="5"/>
      <sheetId val="6"/>
      <sheetId val="7"/>
      <sheetId val="8"/>
      <sheetId val="9"/>
    </sheetIdMap>
  </header>
  <header guid="{73B261F2-520D-416D-BBDF-A5D0ECCD86E3}" dateTime="2020-09-10T13:22:21" maxSheetId="10" userName="EXTERNAL Nguyen Tuan Duong (Ban Vien, RBVH/EPS45)" r:id="rId355">
    <sheetIdMap count="9">
      <sheetId val="1"/>
      <sheetId val="2"/>
      <sheetId val="3"/>
      <sheetId val="4"/>
      <sheetId val="5"/>
      <sheetId val="6"/>
      <sheetId val="7"/>
      <sheetId val="8"/>
      <sheetId val="9"/>
    </sheetIdMap>
  </header>
  <header guid="{8F4B337C-9F06-45F0-9BA5-1803A49A7CBC}" dateTime="2020-09-10T13:23:07" maxSheetId="10" userName="EXTERNAL Nguyen Tuan Duong (Ban Vien, RBVH/EPS45)" r:id="rId356">
    <sheetIdMap count="9">
      <sheetId val="1"/>
      <sheetId val="2"/>
      <sheetId val="3"/>
      <sheetId val="4"/>
      <sheetId val="5"/>
      <sheetId val="6"/>
      <sheetId val="7"/>
      <sheetId val="8"/>
      <sheetId val="9"/>
    </sheetIdMap>
  </header>
  <header guid="{29ABA7A0-36BA-4DB1-93D9-D6D349058C17}" dateTime="2020-09-10T13:23:07" maxSheetId="10" userName="EXTERNAL Nguyen Tuan Duong (Ban Vien, RBVH/EPS45)" r:id="rId357">
    <sheetIdMap count="9">
      <sheetId val="1"/>
      <sheetId val="2"/>
      <sheetId val="3"/>
      <sheetId val="4"/>
      <sheetId val="5"/>
      <sheetId val="6"/>
      <sheetId val="7"/>
      <sheetId val="8"/>
      <sheetId val="9"/>
    </sheetIdMap>
  </header>
  <header guid="{17F81861-4772-4E4B-BFBA-A7E4CC75C4D1}" dateTime="2020-09-10T13:23:08" maxSheetId="10" userName="EXTERNAL Nguyen Tuan Duong (Ban Vien, RBVH/EPS45)" r:id="rId358">
    <sheetIdMap count="9">
      <sheetId val="1"/>
      <sheetId val="2"/>
      <sheetId val="3"/>
      <sheetId val="4"/>
      <sheetId val="5"/>
      <sheetId val="6"/>
      <sheetId val="7"/>
      <sheetId val="8"/>
      <sheetId val="9"/>
    </sheetIdMap>
  </header>
  <header guid="{4921C227-36DE-49EA-B2E8-CB665F9686BA}" dateTime="2020-09-10T13:23:08" maxSheetId="10" userName="EXTERNAL Nguyen Tuan Duong (Ban Vien, RBVH/EPS45)" r:id="rId359">
    <sheetIdMap count="9">
      <sheetId val="1"/>
      <sheetId val="2"/>
      <sheetId val="3"/>
      <sheetId val="4"/>
      <sheetId val="5"/>
      <sheetId val="6"/>
      <sheetId val="7"/>
      <sheetId val="8"/>
      <sheetId val="9"/>
    </sheetIdMap>
  </header>
  <header guid="{459319F5-DFC1-443B-89AD-E43B39AB76B6}" dateTime="2020-09-10T13:23:08" maxSheetId="10" userName="EXTERNAL Nguyen Tuan Duong (Ban Vien, RBVH/EPS45)" r:id="rId360">
    <sheetIdMap count="9">
      <sheetId val="1"/>
      <sheetId val="2"/>
      <sheetId val="3"/>
      <sheetId val="4"/>
      <sheetId val="5"/>
      <sheetId val="6"/>
      <sheetId val="7"/>
      <sheetId val="8"/>
      <sheetId val="9"/>
    </sheetIdMap>
  </header>
  <header guid="{47AC7D54-A207-4222-BDF6-313FF0FC7582}" dateTime="2020-09-10T13:23:08" maxSheetId="10" userName="EXTERNAL Nguyen Tuan Duong (Ban Vien, RBVH/EPS45)" r:id="rId361">
    <sheetIdMap count="9">
      <sheetId val="1"/>
      <sheetId val="2"/>
      <sheetId val="3"/>
      <sheetId val="4"/>
      <sheetId val="5"/>
      <sheetId val="6"/>
      <sheetId val="7"/>
      <sheetId val="8"/>
      <sheetId val="9"/>
    </sheetIdMap>
  </header>
  <header guid="{CA35A27A-0197-49AC-A8A9-DA5E9BABF9E1}" dateTime="2020-09-10T13:23:09" maxSheetId="10" userName="EXTERNAL Nguyen Tuan Duong (Ban Vien, RBVH/EPS45)" r:id="rId362">
    <sheetIdMap count="9">
      <sheetId val="1"/>
      <sheetId val="2"/>
      <sheetId val="3"/>
      <sheetId val="4"/>
      <sheetId val="5"/>
      <sheetId val="6"/>
      <sheetId val="7"/>
      <sheetId val="8"/>
      <sheetId val="9"/>
    </sheetIdMap>
  </header>
  <header guid="{BC1546ED-5044-4B2C-A9AB-7B50EABBD38C}" dateTime="2020-09-10T13:23:09" maxSheetId="10" userName="EXTERNAL Nguyen Tuan Duong (Ban Vien, RBVH/EPS45)" r:id="rId363">
    <sheetIdMap count="9">
      <sheetId val="1"/>
      <sheetId val="2"/>
      <sheetId val="3"/>
      <sheetId val="4"/>
      <sheetId val="5"/>
      <sheetId val="6"/>
      <sheetId val="7"/>
      <sheetId val="8"/>
      <sheetId val="9"/>
    </sheetIdMap>
  </header>
  <header guid="{765BD9A2-520C-4F8A-BE55-A850962F9DD2}" dateTime="2020-09-10T13:23:09" maxSheetId="10" userName="EXTERNAL Nguyen Tuan Duong (Ban Vien, RBVH/EPS45)" r:id="rId364">
    <sheetIdMap count="9">
      <sheetId val="1"/>
      <sheetId val="2"/>
      <sheetId val="3"/>
      <sheetId val="4"/>
      <sheetId val="5"/>
      <sheetId val="6"/>
      <sheetId val="7"/>
      <sheetId val="8"/>
      <sheetId val="9"/>
    </sheetIdMap>
  </header>
  <header guid="{073AC9A3-4CFB-4045-B810-FBC8C599F7EE}" dateTime="2020-09-10T13:23:10" maxSheetId="10" userName="EXTERNAL Nguyen Tuan Duong (Ban Vien, RBVH/EPS45)" r:id="rId365">
    <sheetIdMap count="9">
      <sheetId val="1"/>
      <sheetId val="2"/>
      <sheetId val="3"/>
      <sheetId val="4"/>
      <sheetId val="5"/>
      <sheetId val="6"/>
      <sheetId val="7"/>
      <sheetId val="8"/>
      <sheetId val="9"/>
    </sheetIdMap>
  </header>
  <header guid="{21812E5F-17E1-4F6E-948C-A59703681863}" dateTime="2020-09-10T13:23:10" maxSheetId="10" userName="EXTERNAL Nguyen Tuan Duong (Ban Vien, RBVH/EPS45)" r:id="rId366">
    <sheetIdMap count="9">
      <sheetId val="1"/>
      <sheetId val="2"/>
      <sheetId val="3"/>
      <sheetId val="4"/>
      <sheetId val="5"/>
      <sheetId val="6"/>
      <sheetId val="7"/>
      <sheetId val="8"/>
      <sheetId val="9"/>
    </sheetIdMap>
  </header>
  <header guid="{F8A357DD-D3CC-446D-9415-EC1580C1D374}" dateTime="2020-09-10T13:27:20" maxSheetId="10" userName="EXTERNAL Nguyen Tuan Duong (Ban Vien, RBVH/EPS45)" r:id="rId367">
    <sheetIdMap count="9">
      <sheetId val="1"/>
      <sheetId val="2"/>
      <sheetId val="3"/>
      <sheetId val="4"/>
      <sheetId val="5"/>
      <sheetId val="6"/>
      <sheetId val="7"/>
      <sheetId val="8"/>
      <sheetId val="9"/>
    </sheetIdMap>
  </header>
  <header guid="{839C47B5-2222-4F8B-A176-CEA57F0225C9}" dateTime="2020-09-10T13:27:31" maxSheetId="10" userName="EXTERNAL Nguyen Tuan Duong (Ban Vien, RBVH/EPS45)" r:id="rId368">
    <sheetIdMap count="9">
      <sheetId val="1"/>
      <sheetId val="2"/>
      <sheetId val="3"/>
      <sheetId val="4"/>
      <sheetId val="5"/>
      <sheetId val="6"/>
      <sheetId val="7"/>
      <sheetId val="8"/>
      <sheetId val="9"/>
    </sheetIdMap>
  </header>
  <header guid="{8F07D760-C758-4280-BBC4-32FB806FDFD3}" dateTime="2020-09-10T13:29:46" maxSheetId="10" userName="EXTERNAL Nguyen Tuan Duong (Ban Vien, RBVH/EPS45)" r:id="rId369">
    <sheetIdMap count="9">
      <sheetId val="1"/>
      <sheetId val="2"/>
      <sheetId val="3"/>
      <sheetId val="4"/>
      <sheetId val="5"/>
      <sheetId val="6"/>
      <sheetId val="7"/>
      <sheetId val="8"/>
      <sheetId val="9"/>
    </sheetIdMap>
  </header>
  <header guid="{6F0D519B-5448-4D9C-8439-C4B76402CB49}" dateTime="2020-09-10T13:29:47" maxSheetId="10" userName="EXTERNAL Nguyen Tuan Duong (Ban Vien, RBVH/EPS45)" r:id="rId370">
    <sheetIdMap count="9">
      <sheetId val="1"/>
      <sheetId val="2"/>
      <sheetId val="3"/>
      <sheetId val="4"/>
      <sheetId val="5"/>
      <sheetId val="6"/>
      <sheetId val="7"/>
      <sheetId val="8"/>
      <sheetId val="9"/>
    </sheetIdMap>
  </header>
  <header guid="{6187F620-E3EA-4769-933A-477373F5E5B9}" dateTime="2020-09-10T13:33:45" maxSheetId="10" userName="EXTERNAL Phan The Nam (Ban Vien Company, RBVH/EPS45)" r:id="rId371" minRId="4804" maxRId="4828">
    <sheetIdMap count="9">
      <sheetId val="1"/>
      <sheetId val="2"/>
      <sheetId val="3"/>
      <sheetId val="4"/>
      <sheetId val="5"/>
      <sheetId val="6"/>
      <sheetId val="7"/>
      <sheetId val="8"/>
      <sheetId val="9"/>
    </sheetIdMap>
  </header>
  <header guid="{D8A23F11-BC0E-4ECD-B374-5B1AD4C38760}" dateTime="2020-09-10T13:34:21" maxSheetId="10" userName="EXTERNAL Nguyen Tai Hau (Ban Vien, RBVH/EPS45)" r:id="rId372" minRId="4831" maxRId="4833">
    <sheetIdMap count="9">
      <sheetId val="1"/>
      <sheetId val="2"/>
      <sheetId val="3"/>
      <sheetId val="4"/>
      <sheetId val="5"/>
      <sheetId val="6"/>
      <sheetId val="7"/>
      <sheetId val="8"/>
      <sheetId val="9"/>
    </sheetIdMap>
  </header>
  <header guid="{EB8830E7-F1B0-401C-8993-AD88141BBA25}" dateTime="2020-09-10T13:35:21" maxSheetId="10" userName="EXTERNAL Phan The Nam (Ban Vien Company, RBVH/EPS45)" r:id="rId373" minRId="4836" maxRId="4841">
    <sheetIdMap count="9">
      <sheetId val="1"/>
      <sheetId val="2"/>
      <sheetId val="3"/>
      <sheetId val="4"/>
      <sheetId val="5"/>
      <sheetId val="6"/>
      <sheetId val="7"/>
      <sheetId val="8"/>
      <sheetId val="9"/>
    </sheetIdMap>
  </header>
  <header guid="{F5754A4C-6F39-4B85-B537-B0A4FE416C73}" dateTime="2020-09-10T13:35:40" maxSheetId="10" userName="EXTERNAL Phan The Nam (Ban Vien Company, RBVH/EPS45)" r:id="rId374">
    <sheetIdMap count="9">
      <sheetId val="1"/>
      <sheetId val="2"/>
      <sheetId val="3"/>
      <sheetId val="4"/>
      <sheetId val="5"/>
      <sheetId val="6"/>
      <sheetId val="7"/>
      <sheetId val="8"/>
      <sheetId val="9"/>
    </sheetIdMap>
  </header>
  <header guid="{07181D13-230E-4D7E-8CF9-5E6BF49CA37A}" dateTime="2020-09-10T13:36:23" maxSheetId="10" userName="EXTERNAL Nguyen Tai Hau (Ban Vien, RBVH/EPS45)" r:id="rId375">
    <sheetIdMap count="9">
      <sheetId val="1"/>
      <sheetId val="2"/>
      <sheetId val="3"/>
      <sheetId val="4"/>
      <sheetId val="5"/>
      <sheetId val="6"/>
      <sheetId val="7"/>
      <sheetId val="8"/>
      <sheetId val="9"/>
    </sheetIdMap>
  </header>
  <header guid="{FC206B65-AB6D-4503-AFF4-D2360AC681E7}" dateTime="2020-09-10T13:43:54" maxSheetId="10" userName="gup7hc" r:id="rId376" minRId="4848" maxRId="4853">
    <sheetIdMap count="9">
      <sheetId val="1"/>
      <sheetId val="2"/>
      <sheetId val="3"/>
      <sheetId val="4"/>
      <sheetId val="5"/>
      <sheetId val="6"/>
      <sheetId val="7"/>
      <sheetId val="8"/>
      <sheetId val="9"/>
    </sheetIdMap>
  </header>
  <header guid="{4F6F7819-1DC1-4EA0-BB3D-8A6022C07408}" dateTime="2020-09-10T13:44:08" maxSheetId="10" userName="gup7hc" r:id="rId377" minRId="4856" maxRId="4859">
    <sheetIdMap count="9">
      <sheetId val="1"/>
      <sheetId val="2"/>
      <sheetId val="3"/>
      <sheetId val="4"/>
      <sheetId val="5"/>
      <sheetId val="6"/>
      <sheetId val="7"/>
      <sheetId val="8"/>
      <sheetId val="9"/>
    </sheetIdMap>
  </header>
  <header guid="{98D1F758-728F-4D26-833C-C740F53F2423}" dateTime="2020-09-10T13:44:11" maxSheetId="10" userName="gup7hc" r:id="rId378" minRId="4862">
    <sheetIdMap count="9">
      <sheetId val="1"/>
      <sheetId val="2"/>
      <sheetId val="3"/>
      <sheetId val="4"/>
      <sheetId val="5"/>
      <sheetId val="6"/>
      <sheetId val="7"/>
      <sheetId val="8"/>
      <sheetId val="9"/>
    </sheetIdMap>
  </header>
  <header guid="{59254786-9CC0-4DE8-9B61-028BC89511B5}" dateTime="2020-09-10T13:44:16" maxSheetId="10" userName="gup7hc" r:id="rId379" minRId="4865" maxRId="4866">
    <sheetIdMap count="9">
      <sheetId val="1"/>
      <sheetId val="2"/>
      <sheetId val="3"/>
      <sheetId val="4"/>
      <sheetId val="5"/>
      <sheetId val="6"/>
      <sheetId val="7"/>
      <sheetId val="8"/>
      <sheetId val="9"/>
    </sheetIdMap>
  </header>
  <header guid="{34D1C67F-62DD-4BF4-A607-6B1CCE25E80F}" dateTime="2020-09-10T13:45:10" maxSheetId="10" userName="EXTERNAL Nguyen Tuan Duong (Ban Vien, RBVH/EPS45)" r:id="rId380">
    <sheetIdMap count="9">
      <sheetId val="1"/>
      <sheetId val="2"/>
      <sheetId val="3"/>
      <sheetId val="4"/>
      <sheetId val="5"/>
      <sheetId val="6"/>
      <sheetId val="7"/>
      <sheetId val="8"/>
      <sheetId val="9"/>
    </sheetIdMap>
  </header>
  <header guid="{FEC1A4DF-DEB4-40BA-BD68-C72035050B9C}" dateTime="2020-09-10T13:45:15" maxSheetId="10" userName="EXTERNAL Nguyen Tuan Duong (Ban Vien, RBVH/EPS45)" r:id="rId381">
    <sheetIdMap count="9">
      <sheetId val="1"/>
      <sheetId val="2"/>
      <sheetId val="3"/>
      <sheetId val="4"/>
      <sheetId val="5"/>
      <sheetId val="6"/>
      <sheetId val="7"/>
      <sheetId val="8"/>
      <sheetId val="9"/>
    </sheetIdMap>
  </header>
  <header guid="{01A5C387-A62C-44F6-B2D5-6208CC25BF0C}" dateTime="2020-09-10T13:45:18" maxSheetId="10" userName="EXTERNAL Nguyen Tuan Duong (Ban Vien, RBVH/EPS45)" r:id="rId382">
    <sheetIdMap count="9">
      <sheetId val="1"/>
      <sheetId val="2"/>
      <sheetId val="3"/>
      <sheetId val="4"/>
      <sheetId val="5"/>
      <sheetId val="6"/>
      <sheetId val="7"/>
      <sheetId val="8"/>
      <sheetId val="9"/>
    </sheetIdMap>
  </header>
  <header guid="{839FD72A-4A14-4B70-B792-E59CE846EC49}" dateTime="2020-09-10T13:45:34" maxSheetId="10" userName="EXTERNAL Nguyen Tuan Duong (Ban Vien, RBVH/EPS45)" r:id="rId383" minRId="4873" maxRId="4929">
    <sheetIdMap count="9">
      <sheetId val="1"/>
      <sheetId val="2"/>
      <sheetId val="3"/>
      <sheetId val="4"/>
      <sheetId val="5"/>
      <sheetId val="6"/>
      <sheetId val="7"/>
      <sheetId val="8"/>
      <sheetId val="9"/>
    </sheetIdMap>
  </header>
  <header guid="{DB77CE6B-9499-4673-AEE8-E3229A578D24}" dateTime="2020-09-10T13:46:32" maxSheetId="10" userName="EXTERNAL Nguyen Tuan Duong (Ban Vien, RBVH/EPS45)" r:id="rId384" minRId="4930" maxRId="4939">
    <sheetIdMap count="9">
      <sheetId val="1"/>
      <sheetId val="2"/>
      <sheetId val="3"/>
      <sheetId val="4"/>
      <sheetId val="5"/>
      <sheetId val="6"/>
      <sheetId val="7"/>
      <sheetId val="8"/>
      <sheetId val="9"/>
    </sheetIdMap>
  </header>
  <header guid="{2FDEE7D2-F14E-45C0-916F-94A5DBEAD129}" dateTime="2020-09-10T13:47:24" maxSheetId="10" userName="EXTERNAL Nguyen Tuan Duong (Ban Vien, RBVH/EPS45)" r:id="rId385" minRId="4942" maxRId="4955">
    <sheetIdMap count="9">
      <sheetId val="1"/>
      <sheetId val="2"/>
      <sheetId val="3"/>
      <sheetId val="4"/>
      <sheetId val="5"/>
      <sheetId val="6"/>
      <sheetId val="7"/>
      <sheetId val="8"/>
      <sheetId val="9"/>
    </sheetIdMap>
  </header>
  <header guid="{EBCFBF85-A2DB-46D1-BDA9-CB0CF6757E11}" dateTime="2020-09-10T13:47:41" maxSheetId="10" userName="EXTERNAL Nguyen Tuan Duong (Ban Vien, RBVH/EPS45)" r:id="rId386" minRId="4958" maxRId="4960">
    <sheetIdMap count="9">
      <sheetId val="1"/>
      <sheetId val="2"/>
      <sheetId val="3"/>
      <sheetId val="4"/>
      <sheetId val="5"/>
      <sheetId val="6"/>
      <sheetId val="7"/>
      <sheetId val="8"/>
      <sheetId val="9"/>
    </sheetIdMap>
  </header>
  <header guid="{9DE553D1-24FE-4DF7-A9F2-6DEE5FBEDBB1}" dateTime="2020-09-10T13:47:49" maxSheetId="10" userName="EXTERNAL Nguyen Tuan Duong (Ban Vien, RBVH/EPS45)" r:id="rId387" minRId="4963" maxRId="4965">
    <sheetIdMap count="9">
      <sheetId val="1"/>
      <sheetId val="2"/>
      <sheetId val="3"/>
      <sheetId val="4"/>
      <sheetId val="5"/>
      <sheetId val="6"/>
      <sheetId val="7"/>
      <sheetId val="8"/>
      <sheetId val="9"/>
    </sheetIdMap>
  </header>
  <header guid="{07B81DE6-EF77-4A36-AC70-76410EAF5D2B}" dateTime="2020-09-10T13:47:55" maxSheetId="10" userName="EXTERNAL Nguyen Tuan Duong (Ban Vien, RBVH/EPS45)" r:id="rId388">
    <sheetIdMap count="9">
      <sheetId val="1"/>
      <sheetId val="2"/>
      <sheetId val="3"/>
      <sheetId val="4"/>
      <sheetId val="5"/>
      <sheetId val="6"/>
      <sheetId val="7"/>
      <sheetId val="8"/>
      <sheetId val="9"/>
    </sheetIdMap>
  </header>
  <header guid="{4229E965-F4D6-4ABC-9AF3-389FF5E0B70B}" dateTime="2020-09-10T13:52:32" maxSheetId="10" userName="gup7hc" r:id="rId389" minRId="4970">
    <sheetIdMap count="9">
      <sheetId val="1"/>
      <sheetId val="2"/>
      <sheetId val="3"/>
      <sheetId val="4"/>
      <sheetId val="5"/>
      <sheetId val="6"/>
      <sheetId val="7"/>
      <sheetId val="8"/>
      <sheetId val="9"/>
    </sheetIdMap>
  </header>
  <header guid="{653A68E4-9023-430E-B8BB-972CA71B359A}" dateTime="2020-09-10T13:53:10" maxSheetId="10" userName="EXTERNAL Luu Cong Dac (Ban Vien, RBVH/EPS45)" r:id="rId390" minRId="4973" maxRId="4981">
    <sheetIdMap count="9">
      <sheetId val="1"/>
      <sheetId val="2"/>
      <sheetId val="3"/>
      <sheetId val="4"/>
      <sheetId val="5"/>
      <sheetId val="6"/>
      <sheetId val="7"/>
      <sheetId val="8"/>
      <sheetId val="9"/>
    </sheetIdMap>
  </header>
  <header guid="{303D5915-4256-49EB-8FF6-2144CEDBC946}" dateTime="2020-09-10T13:54:47" maxSheetId="10" userName="gup7hc" r:id="rId391" minRId="4982">
    <sheetIdMap count="9">
      <sheetId val="1"/>
      <sheetId val="2"/>
      <sheetId val="3"/>
      <sheetId val="4"/>
      <sheetId val="5"/>
      <sheetId val="6"/>
      <sheetId val="7"/>
      <sheetId val="8"/>
      <sheetId val="9"/>
    </sheetIdMap>
  </header>
  <header guid="{C2A388E8-E169-4E08-9B74-B163F18E0545}" dateTime="2020-09-10T14:12:30" maxSheetId="10" userName="EXTERNAL Nguyen Tuan Duong (Ban Vien, RBVH/EPS45)" r:id="rId392">
    <sheetIdMap count="9">
      <sheetId val="1"/>
      <sheetId val="2"/>
      <sheetId val="3"/>
      <sheetId val="4"/>
      <sheetId val="5"/>
      <sheetId val="6"/>
      <sheetId val="7"/>
      <sheetId val="8"/>
      <sheetId val="9"/>
    </sheetIdMap>
  </header>
  <header guid="{976E6404-E666-4E74-B39C-01659611C75C}" dateTime="2020-09-10T14:13:48" maxSheetId="10" userName="EXTERNAL Nguyen Tuan Duong (Ban Vien, RBVH/EPS45)" r:id="rId393">
    <sheetIdMap count="9">
      <sheetId val="1"/>
      <sheetId val="2"/>
      <sheetId val="3"/>
      <sheetId val="4"/>
      <sheetId val="5"/>
      <sheetId val="6"/>
      <sheetId val="7"/>
      <sheetId val="8"/>
      <sheetId val="9"/>
    </sheetIdMap>
  </header>
  <header guid="{B5FDBC88-4D1E-449F-BAF1-A7AC0E13B83F}" dateTime="2020-09-10T14:13:48" maxSheetId="10" userName="EXTERNAL Nguyen Tuan Duong (Ban Vien, RBVH/EPS45)" r:id="rId394">
    <sheetIdMap count="9">
      <sheetId val="1"/>
      <sheetId val="2"/>
      <sheetId val="3"/>
      <sheetId val="4"/>
      <sheetId val="5"/>
      <sheetId val="6"/>
      <sheetId val="7"/>
      <sheetId val="8"/>
      <sheetId val="9"/>
    </sheetIdMap>
  </header>
  <header guid="{63A1D0B9-BC7D-44C6-895F-9AEC6C045901}" dateTime="2020-09-10T14:15:09" maxSheetId="10" userName="gup7hc" r:id="rId395" minRId="4991">
    <sheetIdMap count="9">
      <sheetId val="1"/>
      <sheetId val="2"/>
      <sheetId val="3"/>
      <sheetId val="4"/>
      <sheetId val="5"/>
      <sheetId val="6"/>
      <sheetId val="7"/>
      <sheetId val="8"/>
      <sheetId val="9"/>
    </sheetIdMap>
  </header>
  <header guid="{1E158DDD-D6FE-45EC-98BC-E770B517B073}" dateTime="2020-09-10T14:20:25" maxSheetId="10" userName="gup7hc" r:id="rId396" minRId="4994" maxRId="5003">
    <sheetIdMap count="9">
      <sheetId val="1"/>
      <sheetId val="2"/>
      <sheetId val="3"/>
      <sheetId val="4"/>
      <sheetId val="5"/>
      <sheetId val="6"/>
      <sheetId val="7"/>
      <sheetId val="8"/>
      <sheetId val="9"/>
    </sheetIdMap>
  </header>
  <header guid="{ACB250A3-DFA7-42CB-A17C-47F888EFE689}" dateTime="2020-09-10T14:24:08" maxSheetId="10" userName="EXTERNAL Nguyen Tai Hau (Ban Vien, RBVH/EPS45)" r:id="rId397" minRId="5004">
    <sheetIdMap count="9">
      <sheetId val="1"/>
      <sheetId val="2"/>
      <sheetId val="3"/>
      <sheetId val="4"/>
      <sheetId val="5"/>
      <sheetId val="6"/>
      <sheetId val="7"/>
      <sheetId val="8"/>
      <sheetId val="9"/>
    </sheetIdMap>
  </header>
  <header guid="{FE566D95-E25B-427A-B8B9-171102EF2394}" dateTime="2020-09-10T14:25:21" maxSheetId="10" userName="gup7hc" r:id="rId398" minRId="5007">
    <sheetIdMap count="9">
      <sheetId val="1"/>
      <sheetId val="2"/>
      <sheetId val="3"/>
      <sheetId val="4"/>
      <sheetId val="5"/>
      <sheetId val="6"/>
      <sheetId val="7"/>
      <sheetId val="8"/>
      <sheetId val="9"/>
    </sheetIdMap>
  </header>
  <header guid="{14314915-FA38-4821-8C36-518A083D03D8}" dateTime="2020-09-10T14:25:48" maxSheetId="10" userName="gup7hc" r:id="rId399" minRId="5010" maxRId="5011">
    <sheetIdMap count="9">
      <sheetId val="1"/>
      <sheetId val="2"/>
      <sheetId val="3"/>
      <sheetId val="4"/>
      <sheetId val="5"/>
      <sheetId val="6"/>
      <sheetId val="7"/>
      <sheetId val="8"/>
      <sheetId val="9"/>
    </sheetIdMap>
  </header>
  <header guid="{7991960A-A84B-4854-92A6-D7ACFD4FF23D}" dateTime="2020-09-10T14:26:18" maxSheetId="10" userName="gup7hc" r:id="rId400" minRId="5012">
    <sheetIdMap count="9">
      <sheetId val="1"/>
      <sheetId val="2"/>
      <sheetId val="3"/>
      <sheetId val="4"/>
      <sheetId val="5"/>
      <sheetId val="6"/>
      <sheetId val="7"/>
      <sheetId val="8"/>
      <sheetId val="9"/>
    </sheetIdMap>
  </header>
  <header guid="{A08BDE61-633D-430A-B71B-5C076608ED4C}" dateTime="2020-09-10T14:27:50" maxSheetId="10" userName="EXTERNAL Nguyen Tuan Duong (Ban Vien, RBVH/EPS45)" r:id="rId401">
    <sheetIdMap count="9">
      <sheetId val="1"/>
      <sheetId val="2"/>
      <sheetId val="3"/>
      <sheetId val="4"/>
      <sheetId val="5"/>
      <sheetId val="6"/>
      <sheetId val="7"/>
      <sheetId val="8"/>
      <sheetId val="9"/>
    </sheetIdMap>
  </header>
  <header guid="{83F12D12-7A19-4054-99ED-05343C4F6355}" dateTime="2020-09-10T14:28:08" maxSheetId="10" userName="EXTERNAL Nguyen Tuan Duong (Ban Vien, RBVH/EPS45)" r:id="rId402">
    <sheetIdMap count="9">
      <sheetId val="1"/>
      <sheetId val="2"/>
      <sheetId val="3"/>
      <sheetId val="4"/>
      <sheetId val="5"/>
      <sheetId val="6"/>
      <sheetId val="7"/>
      <sheetId val="8"/>
      <sheetId val="9"/>
    </sheetIdMap>
  </header>
  <header guid="{C61B7283-A1B0-4817-A17C-93D2083E9388}" dateTime="2020-09-10T14:29:31" maxSheetId="10" userName="EXTERNAL Do Phu Loc (Ban Vien, RBVH/EPS45)" r:id="rId403" minRId="5017">
    <sheetIdMap count="9">
      <sheetId val="1"/>
      <sheetId val="2"/>
      <sheetId val="3"/>
      <sheetId val="4"/>
      <sheetId val="5"/>
      <sheetId val="6"/>
      <sheetId val="7"/>
      <sheetId val="8"/>
      <sheetId val="9"/>
    </sheetIdMap>
  </header>
  <header guid="{3923E07B-87DD-4346-80A7-8CCE74792944}" dateTime="2020-09-10T14:34:45" maxSheetId="10" userName="NCH7HC" r:id="rId404">
    <sheetIdMap count="9">
      <sheetId val="1"/>
      <sheetId val="2"/>
      <sheetId val="3"/>
      <sheetId val="4"/>
      <sheetId val="5"/>
      <sheetId val="6"/>
      <sheetId val="7"/>
      <sheetId val="8"/>
      <sheetId val="9"/>
    </sheetIdMap>
  </header>
  <header guid="{846BF3E1-2FE5-44CF-A9DB-D5275DA07B53}" dateTime="2020-09-10T14:35:16" maxSheetId="10" userName="EXTERNAL Do Phu Loc (Ban Vien, RBVH/EPS45)" r:id="rId405">
    <sheetIdMap count="9">
      <sheetId val="1"/>
      <sheetId val="2"/>
      <sheetId val="3"/>
      <sheetId val="4"/>
      <sheetId val="5"/>
      <sheetId val="6"/>
      <sheetId val="7"/>
      <sheetId val="8"/>
      <sheetId val="9"/>
    </sheetIdMap>
  </header>
  <header guid="{2D0472D0-A1F9-448E-BEC1-16639CB790D8}" dateTime="2020-09-10T14:36:19" maxSheetId="10" userName="EXTERNAL Luu Cong Dac (Ban Vien, RBVH/EPS45)" r:id="rId406" minRId="5020" maxRId="5030">
    <sheetIdMap count="9">
      <sheetId val="1"/>
      <sheetId val="2"/>
      <sheetId val="3"/>
      <sheetId val="4"/>
      <sheetId val="5"/>
      <sheetId val="6"/>
      <sheetId val="7"/>
      <sheetId val="8"/>
      <sheetId val="9"/>
    </sheetIdMap>
  </header>
  <header guid="{01EFCB59-1562-43E9-AD92-DF0B5107D8FC}" dateTime="2020-09-10T14:40:10" maxSheetId="10" userName="EXTERNAL Nguyen Tai Hau (Ban Vien, RBVH/EPS45)" r:id="rId407" minRId="5031" maxRId="5036">
    <sheetIdMap count="9">
      <sheetId val="1"/>
      <sheetId val="2"/>
      <sheetId val="3"/>
      <sheetId val="4"/>
      <sheetId val="5"/>
      <sheetId val="6"/>
      <sheetId val="7"/>
      <sheetId val="8"/>
      <sheetId val="9"/>
    </sheetIdMap>
  </header>
  <header guid="{908DF9BB-D23E-42FA-94AC-7955D3F53C84}" dateTime="2020-09-10T14:49:16" maxSheetId="10" userName="EXTERNAL Do Phu Loc (Ban Vien, RBVH/EPS45)" r:id="rId408" minRId="5039" maxRId="5048">
    <sheetIdMap count="9">
      <sheetId val="1"/>
      <sheetId val="2"/>
      <sheetId val="3"/>
      <sheetId val="4"/>
      <sheetId val="5"/>
      <sheetId val="6"/>
      <sheetId val="7"/>
      <sheetId val="8"/>
      <sheetId val="9"/>
    </sheetIdMap>
  </header>
  <header guid="{23CDE320-4911-4726-92B9-3B40D090FF18}" dateTime="2020-09-10T14:52:03" maxSheetId="10" userName="EXTERNAL Do Phu Loc (Ban Vien, RBVH/EPS45)" r:id="rId409" minRId="5051" maxRId="5074">
    <sheetIdMap count="9">
      <sheetId val="1"/>
      <sheetId val="2"/>
      <sheetId val="3"/>
      <sheetId val="4"/>
      <sheetId val="5"/>
      <sheetId val="6"/>
      <sheetId val="7"/>
      <sheetId val="8"/>
      <sheetId val="9"/>
    </sheetIdMap>
  </header>
  <header guid="{F5B08052-97D8-4122-BBD2-FC96E13FC8E5}" dateTime="2020-09-10T14:52:06" maxSheetId="10" userName="EXTERNAL Phan The Nam (Ban Vien Company, RBVH/EPS45)" r:id="rId410">
    <sheetIdMap count="9">
      <sheetId val="1"/>
      <sheetId val="2"/>
      <sheetId val="3"/>
      <sheetId val="4"/>
      <sheetId val="5"/>
      <sheetId val="6"/>
      <sheetId val="7"/>
      <sheetId val="8"/>
      <sheetId val="9"/>
    </sheetIdMap>
  </header>
  <header guid="{4BBA5C20-8A9F-44A3-871F-3228D9A9E26B}" dateTime="2020-09-10T15:12:30" maxSheetId="10" userName="EXTERNAL Nguyen Tuan Duong (Ban Vien, RBVH/EPS45)" r:id="rId411" minRId="5079" maxRId="5086">
    <sheetIdMap count="9">
      <sheetId val="1"/>
      <sheetId val="2"/>
      <sheetId val="3"/>
      <sheetId val="4"/>
      <sheetId val="5"/>
      <sheetId val="6"/>
      <sheetId val="7"/>
      <sheetId val="8"/>
      <sheetId val="9"/>
    </sheetIdMap>
  </header>
  <header guid="{A0157892-327C-48D3-8469-B53C04EDEA76}" dateTime="2020-09-10T15:13:36" maxSheetId="10" userName="EXTERNAL Nguyen Tuan Duong (Ban Vien, RBVH/EPS45)" r:id="rId412" minRId="5089" maxRId="5093">
    <sheetIdMap count="9">
      <sheetId val="1"/>
      <sheetId val="2"/>
      <sheetId val="3"/>
      <sheetId val="4"/>
      <sheetId val="5"/>
      <sheetId val="6"/>
      <sheetId val="7"/>
      <sheetId val="8"/>
      <sheetId val="9"/>
    </sheetIdMap>
  </header>
  <header guid="{EEC431C0-5EA0-4E9F-A19E-2464DD024100}" dateTime="2020-09-10T15:19:35" maxSheetId="10" userName="EXTERNAL Nguyen Tuan Duong (Ban Vien, RBVH/EPS45)" r:id="rId413">
    <sheetIdMap count="9">
      <sheetId val="1"/>
      <sheetId val="2"/>
      <sheetId val="3"/>
      <sheetId val="4"/>
      <sheetId val="5"/>
      <sheetId val="6"/>
      <sheetId val="7"/>
      <sheetId val="8"/>
      <sheetId val="9"/>
    </sheetIdMap>
  </header>
  <header guid="{E0880F86-E5BD-4204-B89E-E69AA304DE42}" dateTime="2020-09-10T15:19:40" maxSheetId="10" userName="EXTERNAL Nguyen Tuan Duong (Ban Vien, RBVH/EPS45)" r:id="rId414">
    <sheetIdMap count="9">
      <sheetId val="1"/>
      <sheetId val="2"/>
      <sheetId val="3"/>
      <sheetId val="4"/>
      <sheetId val="5"/>
      <sheetId val="6"/>
      <sheetId val="7"/>
      <sheetId val="8"/>
      <sheetId val="9"/>
    </sheetIdMap>
  </header>
  <header guid="{5B6CF0A9-C5AA-4F89-9BEC-E921CEFC54CC}" dateTime="2020-09-10T15:19:47" maxSheetId="10" userName="EXTERNAL Nguyen Tuan Duong (Ban Vien, RBVH/EPS45)" r:id="rId415">
    <sheetIdMap count="9">
      <sheetId val="1"/>
      <sheetId val="2"/>
      <sheetId val="3"/>
      <sheetId val="4"/>
      <sheetId val="5"/>
      <sheetId val="6"/>
      <sheetId val="7"/>
      <sheetId val="8"/>
      <sheetId val="9"/>
    </sheetIdMap>
  </header>
  <header guid="{A0C92803-787D-4979-A863-47FD9246D533}" dateTime="2020-09-10T15:20:14" maxSheetId="10" userName="EXTERNAL Nguyen Tai Hau (Ban Vien, RBVH/EPS45)" r:id="rId416" minRId="5102" maxRId="5107">
    <sheetIdMap count="9">
      <sheetId val="1"/>
      <sheetId val="2"/>
      <sheetId val="3"/>
      <sheetId val="4"/>
      <sheetId val="5"/>
      <sheetId val="6"/>
      <sheetId val="7"/>
      <sheetId val="8"/>
      <sheetId val="9"/>
    </sheetIdMap>
  </header>
  <header guid="{6C2CD12D-A41B-458E-958E-F257FE26AA74}" dateTime="2020-09-10T15:33:37" maxSheetId="10" userName="EXTERNAL Do Phu Loc (Ban Vien, RBVH/EPS45)" r:id="rId417" minRId="5110" maxRId="5119">
    <sheetIdMap count="9">
      <sheetId val="1"/>
      <sheetId val="2"/>
      <sheetId val="3"/>
      <sheetId val="4"/>
      <sheetId val="5"/>
      <sheetId val="6"/>
      <sheetId val="7"/>
      <sheetId val="8"/>
      <sheetId val="9"/>
    </sheetIdMap>
  </header>
  <header guid="{E759CDC1-4844-4E0C-A144-09CBC2D4EBED}" dateTime="2020-09-10T15:34:36" maxSheetId="10" userName="EXTERNAL Do Phu Loc (Ban Vien, RBVH/EPS45)" r:id="rId418" minRId="5122" maxRId="5133">
    <sheetIdMap count="9">
      <sheetId val="1"/>
      <sheetId val="2"/>
      <sheetId val="3"/>
      <sheetId val="4"/>
      <sheetId val="5"/>
      <sheetId val="6"/>
      <sheetId val="7"/>
      <sheetId val="8"/>
      <sheetId val="9"/>
    </sheetIdMap>
  </header>
  <header guid="{4B010DF5-3D14-435F-9282-97CD67280FEA}" dateTime="2020-09-10T15:39:42" maxSheetId="10" userName="EXTERNAL Do Phu Loc (Ban Vien, RBVH/EPS45)" r:id="rId419" minRId="5136">
    <sheetIdMap count="9">
      <sheetId val="1"/>
      <sheetId val="2"/>
      <sheetId val="3"/>
      <sheetId val="4"/>
      <sheetId val="5"/>
      <sheetId val="6"/>
      <sheetId val="7"/>
      <sheetId val="8"/>
      <sheetId val="9"/>
    </sheetIdMap>
  </header>
  <header guid="{076CB1EA-E41E-4EBF-A779-C6CAC14224E7}" dateTime="2020-09-10T15:42:42" maxSheetId="10" userName="EXTERNAL Do Phu Loc (Ban Vien, RBVH/EPS45)" r:id="rId420" minRId="5139" maxRId="5156">
    <sheetIdMap count="9">
      <sheetId val="1"/>
      <sheetId val="2"/>
      <sheetId val="3"/>
      <sheetId val="4"/>
      <sheetId val="5"/>
      <sheetId val="6"/>
      <sheetId val="7"/>
      <sheetId val="8"/>
      <sheetId val="9"/>
    </sheetIdMap>
  </header>
  <header guid="{469A223E-3EF4-4B55-A358-F377C5626C12}" dateTime="2020-09-10T15:51:17" maxSheetId="10" userName="EXTERNAL Nguyen Tuan Duong (Ban Vien, RBVH/EPS45)" r:id="rId421">
    <sheetIdMap count="9">
      <sheetId val="1"/>
      <sheetId val="2"/>
      <sheetId val="3"/>
      <sheetId val="4"/>
      <sheetId val="5"/>
      <sheetId val="6"/>
      <sheetId val="7"/>
      <sheetId val="8"/>
      <sheetId val="9"/>
    </sheetIdMap>
  </header>
  <header guid="{1A13FF69-A2CF-4353-AAF2-AD6F1057AFDF}" dateTime="2020-09-10T15:52:20" maxSheetId="10" userName="EXTERNAL Nguyen Tuan Duong (Ban Vien, RBVH/EPS45)" r:id="rId422">
    <sheetIdMap count="9">
      <sheetId val="1"/>
      <sheetId val="2"/>
      <sheetId val="3"/>
      <sheetId val="4"/>
      <sheetId val="5"/>
      <sheetId val="6"/>
      <sheetId val="7"/>
      <sheetId val="8"/>
      <sheetId val="9"/>
    </sheetIdMap>
  </header>
  <header guid="{8E649938-9794-4A8B-A6A0-8FB9FBF6DF40}" dateTime="2020-09-10T15:53:04" maxSheetId="10" userName="EXTERNAL Nguyen Tuan Duong (Ban Vien, RBVH/EPS45)" r:id="rId423">
    <sheetIdMap count="9">
      <sheetId val="1"/>
      <sheetId val="2"/>
      <sheetId val="3"/>
      <sheetId val="4"/>
      <sheetId val="5"/>
      <sheetId val="6"/>
      <sheetId val="7"/>
      <sheetId val="8"/>
      <sheetId val="9"/>
    </sheetIdMap>
  </header>
  <header guid="{859AC20C-2A87-4ABE-825E-ACAED3AA6841}" dateTime="2020-09-10T15:53:17" maxSheetId="10" userName="EXTERNAL Nguyen Tuan Duong (Ban Vien, RBVH/EPS45)" r:id="rId424">
    <sheetIdMap count="9">
      <sheetId val="1"/>
      <sheetId val="2"/>
      <sheetId val="3"/>
      <sheetId val="4"/>
      <sheetId val="5"/>
      <sheetId val="6"/>
      <sheetId val="7"/>
      <sheetId val="8"/>
      <sheetId val="9"/>
    </sheetIdMap>
  </header>
  <header guid="{1151B9D9-9F1F-4D49-A288-84A6D9978F37}" dateTime="2020-09-10T15:53:53" maxSheetId="10" userName="EXTERNAL Nguyen Tuan Duong (Ban Vien, RBVH/EPS45)" r:id="rId425">
    <sheetIdMap count="9">
      <sheetId val="1"/>
      <sheetId val="2"/>
      <sheetId val="3"/>
      <sheetId val="4"/>
      <sheetId val="5"/>
      <sheetId val="6"/>
      <sheetId val="7"/>
      <sheetId val="8"/>
      <sheetId val="9"/>
    </sheetIdMap>
  </header>
  <header guid="{70F3F394-17D8-44F3-AF9A-67F2CE36359D}" dateTime="2020-09-10T15:55:34" maxSheetId="10" userName="EXTERNAL Nguyen Tuan Duong (Ban Vien, RBVH/EPS45)" r:id="rId426">
    <sheetIdMap count="9">
      <sheetId val="1"/>
      <sheetId val="2"/>
      <sheetId val="3"/>
      <sheetId val="4"/>
      <sheetId val="5"/>
      <sheetId val="6"/>
      <sheetId val="7"/>
      <sheetId val="8"/>
      <sheetId val="9"/>
    </sheetIdMap>
  </header>
  <header guid="{F48CB70E-87B3-4C3D-B33D-C0D86B6FF522}" dateTime="2020-09-10T16:04:02" maxSheetId="10" userName="EXTERNAL Nguyen Tai Hau (Ban Vien, RBVH/EPS45)" r:id="rId427" minRId="5171" maxRId="5200">
    <sheetIdMap count="9">
      <sheetId val="1"/>
      <sheetId val="2"/>
      <sheetId val="3"/>
      <sheetId val="4"/>
      <sheetId val="5"/>
      <sheetId val="6"/>
      <sheetId val="7"/>
      <sheetId val="8"/>
      <sheetId val="9"/>
    </sheetIdMap>
  </header>
  <header guid="{CAD22921-C7F9-48AB-A0DD-D7666B1C60A6}" dateTime="2020-09-10T16:09:39" maxSheetId="10" userName="EXTERNAL Ly Chung (Ban Vien, RBVH/EPS45)" r:id="rId428" minRId="5203" maxRId="5212">
    <sheetIdMap count="9">
      <sheetId val="1"/>
      <sheetId val="2"/>
      <sheetId val="3"/>
      <sheetId val="4"/>
      <sheetId val="5"/>
      <sheetId val="6"/>
      <sheetId val="7"/>
      <sheetId val="8"/>
      <sheetId val="9"/>
    </sheetIdMap>
  </header>
  <header guid="{D029E64E-442D-49C2-A308-9E1DB0E3DD96}" dateTime="2020-09-10T16:12:40" maxSheetId="10" userName="EXTERNAL Phan The Nam (Ban Vien Company, RBVH/EPS45)" r:id="rId429" minRId="5215" maxRId="5221">
    <sheetIdMap count="9">
      <sheetId val="1"/>
      <sheetId val="2"/>
      <sheetId val="3"/>
      <sheetId val="4"/>
      <sheetId val="5"/>
      <sheetId val="6"/>
      <sheetId val="7"/>
      <sheetId val="8"/>
      <sheetId val="9"/>
    </sheetIdMap>
  </header>
  <header guid="{A14301CA-5F8E-4401-9B97-C709F8563188}" dateTime="2020-09-10T16:13:40" maxSheetId="10" userName="EXTERNAL Phan The Nam (Ban Vien Company, RBVH/EPS45)" r:id="rId430" minRId="5224" maxRId="5225">
    <sheetIdMap count="9">
      <sheetId val="1"/>
      <sheetId val="2"/>
      <sheetId val="3"/>
      <sheetId val="4"/>
      <sheetId val="5"/>
      <sheetId val="6"/>
      <sheetId val="7"/>
      <sheetId val="8"/>
      <sheetId val="9"/>
    </sheetIdMap>
  </header>
  <header guid="{79E64974-2131-4EC6-97B5-99AE735FBC3D}" dateTime="2020-09-10T16:18:52" maxSheetId="10" userName="EXTERNAL Nguyen Tai Hau (Ban Vien, RBVH/EPS45)" r:id="rId431" minRId="5226" maxRId="5429">
    <sheetIdMap count="9">
      <sheetId val="1"/>
      <sheetId val="2"/>
      <sheetId val="3"/>
      <sheetId val="4"/>
      <sheetId val="5"/>
      <sheetId val="6"/>
      <sheetId val="7"/>
      <sheetId val="8"/>
      <sheetId val="9"/>
    </sheetIdMap>
  </header>
  <header guid="{AEE154A2-7642-45F7-BB1A-4E9A0E664D2B}" dateTime="2020-09-10T16:31:21" maxSheetId="10" userName="EXTERNAL Nguyen Tai Hau (Ban Vien, RBVH/EPS45)" r:id="rId432" minRId="5432" maxRId="5508">
    <sheetIdMap count="9">
      <sheetId val="1"/>
      <sheetId val="2"/>
      <sheetId val="3"/>
      <sheetId val="4"/>
      <sheetId val="5"/>
      <sheetId val="6"/>
      <sheetId val="7"/>
      <sheetId val="8"/>
      <sheetId val="9"/>
    </sheetIdMap>
  </header>
  <header guid="{498179AF-810A-4907-A1E2-2DD2D62085C8}" dateTime="2020-09-10T16:32:05" maxSheetId="10" userName="EXTERNAL Nguyen Tai Hau (Ban Vien, RBVH/EPS45)" r:id="rId433" minRId="5511" maxRId="5512">
    <sheetIdMap count="9">
      <sheetId val="1"/>
      <sheetId val="2"/>
      <sheetId val="3"/>
      <sheetId val="4"/>
      <sheetId val="5"/>
      <sheetId val="6"/>
      <sheetId val="7"/>
      <sheetId val="8"/>
      <sheetId val="9"/>
    </sheetIdMap>
  </header>
  <header guid="{FD52F44C-7D98-4DBF-B9C9-8EDE5AEC1167}" dateTime="2020-09-10T16:43:32" maxSheetId="10" userName="EXTERNAL Phan The Nam (Ban Vien Company, RBVH/EPS45)" r:id="rId434" minRId="5515" maxRId="5527">
    <sheetIdMap count="9">
      <sheetId val="1"/>
      <sheetId val="2"/>
      <sheetId val="3"/>
      <sheetId val="4"/>
      <sheetId val="5"/>
      <sheetId val="6"/>
      <sheetId val="7"/>
      <sheetId val="8"/>
      <sheetId val="9"/>
    </sheetIdMap>
  </header>
  <header guid="{6094E36E-1DAF-402C-91DC-8D3BA76370CD}" dateTime="2020-09-10T17:17:18" maxSheetId="10" userName="NCH7HC" r:id="rId435" minRId="5530" maxRId="5531">
    <sheetIdMap count="9">
      <sheetId val="1"/>
      <sheetId val="2"/>
      <sheetId val="3"/>
      <sheetId val="4"/>
      <sheetId val="5"/>
      <sheetId val="6"/>
      <sheetId val="7"/>
      <sheetId val="8"/>
      <sheetId val="9"/>
    </sheetIdMap>
  </header>
  <header guid="{D9B0B936-DFDD-4B56-9A35-714052180277}" dateTime="2020-09-10T17:18:33" maxSheetId="10" userName="NCH7HC" r:id="rId436" minRId="5534" maxRId="5544">
    <sheetIdMap count="9">
      <sheetId val="1"/>
      <sheetId val="2"/>
      <sheetId val="3"/>
      <sheetId val="4"/>
      <sheetId val="5"/>
      <sheetId val="6"/>
      <sheetId val="7"/>
      <sheetId val="8"/>
      <sheetId val="9"/>
    </sheetIdMap>
  </header>
  <header guid="{9CC012D1-8CAD-4F57-BC52-6FAD02E2C93B}" dateTime="2020-09-10T17:23:15" maxSheetId="10" userName="EXTERNAL Luu Cong Dac (Ban Vien, RBVH/EPS45)" r:id="rId437" minRId="5547" maxRId="5548">
    <sheetIdMap count="9">
      <sheetId val="1"/>
      <sheetId val="2"/>
      <sheetId val="3"/>
      <sheetId val="4"/>
      <sheetId val="5"/>
      <sheetId val="6"/>
      <sheetId val="7"/>
      <sheetId val="8"/>
      <sheetId val="9"/>
    </sheetIdMap>
  </header>
  <header guid="{8E0D59E1-EE44-434C-B025-770F2BF833E7}" dateTime="2020-09-10T17:53:09" maxSheetId="10" userName="NCH7HC" r:id="rId438" minRId="5549" maxRId="5550">
    <sheetIdMap count="9">
      <sheetId val="1"/>
      <sheetId val="2"/>
      <sheetId val="3"/>
      <sheetId val="4"/>
      <sheetId val="5"/>
      <sheetId val="6"/>
      <sheetId val="7"/>
      <sheetId val="8"/>
      <sheetId val="9"/>
    </sheetIdMap>
  </header>
  <header guid="{45F797C5-68CF-4EF2-9116-C0F29CE9B963}" dateTime="2020-09-11T08:31:17" maxSheetId="10" userName="EXTERNAL Nguyen Tuan Duong (Ban Vien, RBVH/EPS45)" r:id="rId439">
    <sheetIdMap count="9">
      <sheetId val="1"/>
      <sheetId val="2"/>
      <sheetId val="3"/>
      <sheetId val="4"/>
      <sheetId val="5"/>
      <sheetId val="6"/>
      <sheetId val="7"/>
      <sheetId val="8"/>
      <sheetId val="9"/>
    </sheetIdMap>
  </header>
  <header guid="{17C66809-EDA9-421A-B06F-84B89055DB94}" dateTime="2020-09-11T08:31:19" maxSheetId="10" userName="EXTERNAL Nguyen Tuan Duong (Ban Vien, RBVH/EPS45)" r:id="rId440">
    <sheetIdMap count="9">
      <sheetId val="1"/>
      <sheetId val="2"/>
      <sheetId val="3"/>
      <sheetId val="4"/>
      <sheetId val="5"/>
      <sheetId val="6"/>
      <sheetId val="7"/>
      <sheetId val="8"/>
      <sheetId val="9"/>
    </sheetIdMap>
  </header>
  <header guid="{034F8936-1EE3-4D04-9ACB-89FB88B54601}" dateTime="2020-09-11T08:31:20" maxSheetId="10" userName="EXTERNAL Nguyen Tuan Duong (Ban Vien, RBVH/EPS45)" r:id="rId441">
    <sheetIdMap count="9">
      <sheetId val="1"/>
      <sheetId val="2"/>
      <sheetId val="3"/>
      <sheetId val="4"/>
      <sheetId val="5"/>
      <sheetId val="6"/>
      <sheetId val="7"/>
      <sheetId val="8"/>
      <sheetId val="9"/>
    </sheetIdMap>
  </header>
  <header guid="{9CB6F388-2151-49E4-A72A-31D7F07EB034}" dateTime="2020-09-11T08:31:20" maxSheetId="10" userName="EXTERNAL Nguyen Tuan Duong (Ban Vien, RBVH/EPS45)" r:id="rId442">
    <sheetIdMap count="9">
      <sheetId val="1"/>
      <sheetId val="2"/>
      <sheetId val="3"/>
      <sheetId val="4"/>
      <sheetId val="5"/>
      <sheetId val="6"/>
      <sheetId val="7"/>
      <sheetId val="8"/>
      <sheetId val="9"/>
    </sheetIdMap>
  </header>
  <header guid="{4BFF118D-310A-445A-A854-7F26E367CFFE}" dateTime="2020-09-11T08:40:23" maxSheetId="10" userName="EXTERNAL Nguyen Tuan Duong (Ban Vien, RBVH/EPS45)" r:id="rId443" minRId="5561">
    <sheetIdMap count="9">
      <sheetId val="1"/>
      <sheetId val="2"/>
      <sheetId val="3"/>
      <sheetId val="4"/>
      <sheetId val="5"/>
      <sheetId val="6"/>
      <sheetId val="7"/>
      <sheetId val="8"/>
      <sheetId val="9"/>
    </sheetIdMap>
  </header>
  <header guid="{971EC118-2A76-470B-A198-B73140A8E72D}" dateTime="2020-09-11T08:40:25" maxSheetId="10" userName="EXTERNAL Nguyen Tuan Duong (Ban Vien, RBVH/EPS45)" r:id="rId444">
    <sheetIdMap count="9">
      <sheetId val="1"/>
      <sheetId val="2"/>
      <sheetId val="3"/>
      <sheetId val="4"/>
      <sheetId val="5"/>
      <sheetId val="6"/>
      <sheetId val="7"/>
      <sheetId val="8"/>
      <sheetId val="9"/>
    </sheetIdMap>
  </header>
  <header guid="{D9873153-F8C7-46B4-9A0B-B95EB517DEA0}" dateTime="2020-09-11T08:40:26" maxSheetId="10" userName="EXTERNAL Nguyen Tuan Duong (Ban Vien, RBVH/EPS45)" r:id="rId445">
    <sheetIdMap count="9">
      <sheetId val="1"/>
      <sheetId val="2"/>
      <sheetId val="3"/>
      <sheetId val="4"/>
      <sheetId val="5"/>
      <sheetId val="6"/>
      <sheetId val="7"/>
      <sheetId val="8"/>
      <sheetId val="9"/>
    </sheetIdMap>
  </header>
  <header guid="{FB058D3F-EF10-4258-9402-E5D256F644A8}" dateTime="2020-09-11T08:40:26" maxSheetId="10" userName="EXTERNAL Nguyen Tuan Duong (Ban Vien, RBVH/EPS45)" r:id="rId446">
    <sheetIdMap count="9">
      <sheetId val="1"/>
      <sheetId val="2"/>
      <sheetId val="3"/>
      <sheetId val="4"/>
      <sheetId val="5"/>
      <sheetId val="6"/>
      <sheetId val="7"/>
      <sheetId val="8"/>
      <sheetId val="9"/>
    </sheetIdMap>
  </header>
  <header guid="{117788DE-DF8F-4F82-9A92-6ED706CF6121}" dateTime="2020-09-11T08:40:38" maxSheetId="10" userName="EXTERNAL Nguyen Tuan Duong (Ban Vien, RBVH/EPS45)" r:id="rId447">
    <sheetIdMap count="9">
      <sheetId val="1"/>
      <sheetId val="2"/>
      <sheetId val="3"/>
      <sheetId val="4"/>
      <sheetId val="5"/>
      <sheetId val="6"/>
      <sheetId val="7"/>
      <sheetId val="8"/>
      <sheetId val="9"/>
    </sheetIdMap>
  </header>
  <header guid="{72F62284-B15B-4640-A047-6E0C121A5B24}" dateTime="2020-09-11T08:40:41" maxSheetId="10" userName="EXTERNAL Nguyen Tuan Duong (Ban Vien, RBVH/EPS45)" r:id="rId448">
    <sheetIdMap count="9">
      <sheetId val="1"/>
      <sheetId val="2"/>
      <sheetId val="3"/>
      <sheetId val="4"/>
      <sheetId val="5"/>
      <sheetId val="6"/>
      <sheetId val="7"/>
      <sheetId val="8"/>
      <sheetId val="9"/>
    </sheetIdMap>
  </header>
  <header guid="{1FD14699-CD63-4BD6-A154-A79CBAC0695C}" dateTime="2020-09-11T08:41:53" maxSheetId="10" userName="EXTERNAL Ly Chung (Ban Vien, RBVH/EPS45)" r:id="rId449">
    <sheetIdMap count="9">
      <sheetId val="1"/>
      <sheetId val="2"/>
      <sheetId val="3"/>
      <sheetId val="4"/>
      <sheetId val="5"/>
      <sheetId val="6"/>
      <sheetId val="7"/>
      <sheetId val="8"/>
      <sheetId val="9"/>
    </sheetIdMap>
  </header>
  <header guid="{08024159-D5EA-4D46-8216-62A41303C6CA}" dateTime="2020-09-11T08:47:57" maxSheetId="10" userName="EXTERNAL Nguyen Tuan Duong (Ban Vien, RBVH/EPS45)" r:id="rId450" minRId="5574">
    <sheetIdMap count="9">
      <sheetId val="1"/>
      <sheetId val="2"/>
      <sheetId val="3"/>
      <sheetId val="4"/>
      <sheetId val="5"/>
      <sheetId val="6"/>
      <sheetId val="7"/>
      <sheetId val="8"/>
      <sheetId val="9"/>
    </sheetIdMap>
  </header>
  <header guid="{B30729EF-8019-4293-85EA-C4399B8AB195}" dateTime="2020-09-11T08:48:10" maxSheetId="10" userName="EXTERNAL Nguyen Tuan Duong (Ban Vien, RBVH/EPS45)" r:id="rId451" minRId="5577" maxRId="5579">
    <sheetIdMap count="9">
      <sheetId val="1"/>
      <sheetId val="2"/>
      <sheetId val="3"/>
      <sheetId val="4"/>
      <sheetId val="5"/>
      <sheetId val="6"/>
      <sheetId val="7"/>
      <sheetId val="8"/>
      <sheetId val="9"/>
    </sheetIdMap>
  </header>
  <header guid="{5DFE3DC3-EC4F-4F99-B56C-AF4E01AF376E}" dateTime="2020-09-11T08:48:11" maxSheetId="10" userName="EXTERNAL Nguyen Tuan Duong (Ban Vien, RBVH/EPS45)" r:id="rId452">
    <sheetIdMap count="9">
      <sheetId val="1"/>
      <sheetId val="2"/>
      <sheetId val="3"/>
      <sheetId val="4"/>
      <sheetId val="5"/>
      <sheetId val="6"/>
      <sheetId val="7"/>
      <sheetId val="8"/>
      <sheetId val="9"/>
    </sheetIdMap>
  </header>
  <header guid="{20A3CE49-7C88-4811-82FF-596E145D7C4D}" dateTime="2020-09-11T08:48:11" maxSheetId="10" userName="EXTERNAL Nguyen Tuan Duong (Ban Vien, RBVH/EPS45)" r:id="rId453">
    <sheetIdMap count="9">
      <sheetId val="1"/>
      <sheetId val="2"/>
      <sheetId val="3"/>
      <sheetId val="4"/>
      <sheetId val="5"/>
      <sheetId val="6"/>
      <sheetId val="7"/>
      <sheetId val="8"/>
      <sheetId val="9"/>
    </sheetIdMap>
  </header>
  <header guid="{867D423C-5255-4F97-B5F7-7D0680A031DA}" dateTime="2020-09-11T08:48:12" maxSheetId="10" userName="EXTERNAL Nguyen Tuan Duong (Ban Vien, RBVH/EPS45)" r:id="rId454">
    <sheetIdMap count="9">
      <sheetId val="1"/>
      <sheetId val="2"/>
      <sheetId val="3"/>
      <sheetId val="4"/>
      <sheetId val="5"/>
      <sheetId val="6"/>
      <sheetId val="7"/>
      <sheetId val="8"/>
      <sheetId val="9"/>
    </sheetIdMap>
  </header>
  <header guid="{6836E728-70C4-473C-B0B1-B7FDF0BC4761}" dateTime="2020-09-11T08:55:42" maxSheetId="10" userName="EXTERNAL Nguyen Tuan Duong (Ban Vien, RBVH/EPS45)" r:id="rId455">
    <sheetIdMap count="9">
      <sheetId val="1"/>
      <sheetId val="2"/>
      <sheetId val="3"/>
      <sheetId val="4"/>
      <sheetId val="5"/>
      <sheetId val="6"/>
      <sheetId val="7"/>
      <sheetId val="8"/>
      <sheetId val="9"/>
    </sheetIdMap>
  </header>
  <header guid="{4950250C-40A5-4673-B852-D8A790F8E31F}" dateTime="2020-09-11T09:10:05" maxSheetId="10" userName="EXTERNAL Nguyen Tuan Duong (Ban Vien, RBVH/EPS45)" r:id="rId456">
    <sheetIdMap count="9">
      <sheetId val="1"/>
      <sheetId val="2"/>
      <sheetId val="3"/>
      <sheetId val="4"/>
      <sheetId val="5"/>
      <sheetId val="6"/>
      <sheetId val="7"/>
      <sheetId val="8"/>
      <sheetId val="9"/>
    </sheetIdMap>
  </header>
  <header guid="{86BA57BE-CB78-4E7F-ACA0-01C708EE5A63}" dateTime="2020-09-11T09:20:21" maxSheetId="10" userName="NCH7HC" r:id="rId457" minRId="5592" maxRId="5595">
    <sheetIdMap count="9">
      <sheetId val="1"/>
      <sheetId val="2"/>
      <sheetId val="3"/>
      <sheetId val="4"/>
      <sheetId val="5"/>
      <sheetId val="6"/>
      <sheetId val="7"/>
      <sheetId val="8"/>
      <sheetId val="9"/>
    </sheetIdMap>
  </header>
  <header guid="{08FB8BFA-BA8A-4846-954A-5694B0640675}" dateTime="2020-09-11T09:20:26" maxSheetId="10" userName="EXTERNAL Do Anh Huy (Ban Vien Company, RBVH/EPS45)" r:id="rId458">
    <sheetIdMap count="9">
      <sheetId val="1"/>
      <sheetId val="2"/>
      <sheetId val="3"/>
      <sheetId val="4"/>
      <sheetId val="5"/>
      <sheetId val="6"/>
      <sheetId val="7"/>
      <sheetId val="8"/>
      <sheetId val="9"/>
    </sheetIdMap>
  </header>
  <header guid="{139C0270-59A5-47B8-922E-CC0EB197E8CB}" dateTime="2020-09-11T09:21:29" maxSheetId="10" userName="NCH7HC" r:id="rId459">
    <sheetIdMap count="9">
      <sheetId val="1"/>
      <sheetId val="2"/>
      <sheetId val="3"/>
      <sheetId val="4"/>
      <sheetId val="5"/>
      <sheetId val="6"/>
      <sheetId val="7"/>
      <sheetId val="8"/>
      <sheetId val="9"/>
    </sheetIdMap>
  </header>
  <header guid="{4CF85C72-CE3E-4458-B240-388DBE2C01DC}" dateTime="2020-09-11T09:25:05" maxSheetId="10" userName="EXTERNAL Nguyen Tuan Duong (Ban Vien, RBVH/EPS45)" r:id="rId460">
    <sheetIdMap count="9">
      <sheetId val="1"/>
      <sheetId val="2"/>
      <sheetId val="3"/>
      <sheetId val="4"/>
      <sheetId val="5"/>
      <sheetId val="6"/>
      <sheetId val="7"/>
      <sheetId val="8"/>
      <sheetId val="9"/>
    </sheetIdMap>
  </header>
  <header guid="{2C039AD5-BAF5-4C17-9DF0-F8AE2BB83CE7}" dateTime="2020-09-11T09:25:29" maxSheetId="10" userName="HGY7HC" r:id="rId461">
    <sheetIdMap count="9">
      <sheetId val="1"/>
      <sheetId val="2"/>
      <sheetId val="3"/>
      <sheetId val="4"/>
      <sheetId val="5"/>
      <sheetId val="6"/>
      <sheetId val="7"/>
      <sheetId val="8"/>
      <sheetId val="9"/>
    </sheetIdMap>
  </header>
  <header guid="{25C43C32-2607-4B77-AD04-29A39FFE58F2}" dateTime="2020-09-11T09:25:57" maxSheetId="10" userName="HGY7HC" r:id="rId462" minRId="5606" maxRId="5610">
    <sheetIdMap count="9">
      <sheetId val="1"/>
      <sheetId val="2"/>
      <sheetId val="3"/>
      <sheetId val="4"/>
      <sheetId val="5"/>
      <sheetId val="6"/>
      <sheetId val="7"/>
      <sheetId val="8"/>
      <sheetId val="9"/>
    </sheetIdMap>
  </header>
  <header guid="{B25736DC-5E6C-4F88-A92B-2D37CE40D809}" dateTime="2020-09-11T09:26:04" maxSheetId="10" userName="HGY7HC" r:id="rId463" minRId="5613" maxRId="5614">
    <sheetIdMap count="9">
      <sheetId val="1"/>
      <sheetId val="2"/>
      <sheetId val="3"/>
      <sheetId val="4"/>
      <sheetId val="5"/>
      <sheetId val="6"/>
      <sheetId val="7"/>
      <sheetId val="8"/>
      <sheetId val="9"/>
    </sheetIdMap>
  </header>
  <header guid="{D054B37C-6B9F-43EB-947C-E3EFAD8C148E}" dateTime="2020-09-11T09:26:56" maxSheetId="10" userName="EXTERNAL Nguyen Tuan Duong (Ban Vien, RBVH/EPS45)" r:id="rId464">
    <sheetIdMap count="9">
      <sheetId val="1"/>
      <sheetId val="2"/>
      <sheetId val="3"/>
      <sheetId val="4"/>
      <sheetId val="5"/>
      <sheetId val="6"/>
      <sheetId val="7"/>
      <sheetId val="8"/>
      <sheetId val="9"/>
    </sheetIdMap>
  </header>
  <header guid="{A7495872-5689-4947-96D7-885287011155}" dateTime="2020-09-11T09:38:00" maxSheetId="10" userName="EXTERNAL Nguyen Tuan Duong (Ban Vien, RBVH/EPS45)" r:id="rId465" minRId="5619">
    <sheetIdMap count="9">
      <sheetId val="1"/>
      <sheetId val="2"/>
      <sheetId val="3"/>
      <sheetId val="4"/>
      <sheetId val="5"/>
      <sheetId val="6"/>
      <sheetId val="7"/>
      <sheetId val="8"/>
      <sheetId val="9"/>
    </sheetIdMap>
  </header>
  <header guid="{26179443-D854-4D69-A0ED-9E37B96137E0}" dateTime="2020-09-11T09:44:46" maxSheetId="10" userName="gup7hc" r:id="rId466">
    <sheetIdMap count="9">
      <sheetId val="1"/>
      <sheetId val="2"/>
      <sheetId val="3"/>
      <sheetId val="4"/>
      <sheetId val="5"/>
      <sheetId val="6"/>
      <sheetId val="7"/>
      <sheetId val="8"/>
      <sheetId val="9"/>
    </sheetIdMap>
  </header>
  <header guid="{ACC096D6-7163-4881-87A0-ADBEDB269C69}" dateTime="2020-09-11T09:46:24" maxSheetId="10" userName="HGY7HC" r:id="rId467" minRId="5625" maxRId="5626">
    <sheetIdMap count="9">
      <sheetId val="1"/>
      <sheetId val="2"/>
      <sheetId val="3"/>
      <sheetId val="4"/>
      <sheetId val="5"/>
      <sheetId val="6"/>
      <sheetId val="7"/>
      <sheetId val="8"/>
      <sheetId val="9"/>
    </sheetIdMap>
  </header>
  <header guid="{31210799-ECAB-4FBE-B83A-E6CB7CE6B94F}" dateTime="2020-09-11T09:47:05" maxSheetId="10" userName="HGY7HC" r:id="rId468" minRId="5629">
    <sheetIdMap count="9">
      <sheetId val="1"/>
      <sheetId val="2"/>
      <sheetId val="3"/>
      <sheetId val="4"/>
      <sheetId val="5"/>
      <sheetId val="6"/>
      <sheetId val="7"/>
      <sheetId val="8"/>
      <sheetId val="9"/>
    </sheetIdMap>
  </header>
  <header guid="{4B01B61C-9E1B-4E4A-AD9B-79F222FFEF21}" dateTime="2020-09-11T09:47:55" maxSheetId="10" userName="NCH7HC" r:id="rId469" minRId="5630" maxRId="5636">
    <sheetIdMap count="9">
      <sheetId val="1"/>
      <sheetId val="2"/>
      <sheetId val="3"/>
      <sheetId val="4"/>
      <sheetId val="5"/>
      <sheetId val="6"/>
      <sheetId val="7"/>
      <sheetId val="8"/>
      <sheetId val="9"/>
    </sheetIdMap>
  </header>
  <header guid="{64927B01-6389-4C4E-92BD-EEA094D0BC05}" dateTime="2020-09-11T09:48:25" maxSheetId="10" userName="HGY7HC" r:id="rId470" minRId="5639" maxRId="5640">
    <sheetIdMap count="9">
      <sheetId val="1"/>
      <sheetId val="2"/>
      <sheetId val="3"/>
      <sheetId val="4"/>
      <sheetId val="5"/>
      <sheetId val="6"/>
      <sheetId val="7"/>
      <sheetId val="8"/>
      <sheetId val="9"/>
    </sheetIdMap>
  </header>
  <header guid="{30EDA9D1-DB92-4FFB-B020-3B6E3D3FB922}" dateTime="2020-09-11T09:48:28" maxSheetId="10" userName="NCH7HC" r:id="rId471" minRId="5641" maxRId="5654">
    <sheetIdMap count="9">
      <sheetId val="1"/>
      <sheetId val="2"/>
      <sheetId val="3"/>
      <sheetId val="4"/>
      <sheetId val="5"/>
      <sheetId val="6"/>
      <sheetId val="7"/>
      <sheetId val="8"/>
      <sheetId val="9"/>
    </sheetIdMap>
  </header>
  <header guid="{04AADDBF-004A-45C2-960C-38B77FFB8F50}" dateTime="2020-09-11T09:57:01" maxSheetId="10" userName="gup7hc" r:id="rId472">
    <sheetIdMap count="9">
      <sheetId val="1"/>
      <sheetId val="2"/>
      <sheetId val="3"/>
      <sheetId val="4"/>
      <sheetId val="5"/>
      <sheetId val="6"/>
      <sheetId val="7"/>
      <sheetId val="8"/>
      <sheetId val="9"/>
    </sheetIdMap>
  </header>
  <header guid="{4D6BD0A1-1E63-47ED-BDD7-7646EABF1E8B}" dateTime="2020-09-11T10:04:50" maxSheetId="10" userName="EXTERNAL Do Anh Huy (Ban Vien Company, RBVH/EPS45)" r:id="rId473" minRId="5659" maxRId="5681">
    <sheetIdMap count="9">
      <sheetId val="1"/>
      <sheetId val="2"/>
      <sheetId val="3"/>
      <sheetId val="4"/>
      <sheetId val="5"/>
      <sheetId val="6"/>
      <sheetId val="7"/>
      <sheetId val="8"/>
      <sheetId val="9"/>
    </sheetIdMap>
  </header>
  <header guid="{37EA284C-4C86-427A-9BAD-933A8D2AD55D}" dateTime="2020-09-11T10:08:08" maxSheetId="10" userName="EXTERNAL Do Phu Loc (Ban Vien, RBVH/EPS45)" r:id="rId474">
    <sheetIdMap count="9">
      <sheetId val="1"/>
      <sheetId val="2"/>
      <sheetId val="3"/>
      <sheetId val="4"/>
      <sheetId val="5"/>
      <sheetId val="6"/>
      <sheetId val="7"/>
      <sheetId val="8"/>
      <sheetId val="9"/>
    </sheetIdMap>
  </header>
  <header guid="{EB01AAB9-E1D7-4E27-B228-BF7ECCCCC157}" dateTime="2020-09-11T10:09:39" maxSheetId="10" userName="EXTERNAL Luu Cong Dac (Ban Vien, RBVH/EPS45)" r:id="rId475" minRId="5686" maxRId="5692">
    <sheetIdMap count="9">
      <sheetId val="1"/>
      <sheetId val="2"/>
      <sheetId val="3"/>
      <sheetId val="4"/>
      <sheetId val="5"/>
      <sheetId val="6"/>
      <sheetId val="7"/>
      <sheetId val="8"/>
      <sheetId val="9"/>
    </sheetIdMap>
  </header>
  <header guid="{429AE5B0-65C8-4274-AA21-4994A53405F3}" dateTime="2020-09-11T10:37:15" maxSheetId="10" userName="EXTERNAL Do Phu Loc (Ban Vien, RBVH/EPS45)" r:id="rId476" minRId="5696" maxRId="5700">
    <sheetIdMap count="9">
      <sheetId val="1"/>
      <sheetId val="2"/>
      <sheetId val="3"/>
      <sheetId val="4"/>
      <sheetId val="5"/>
      <sheetId val="6"/>
      <sheetId val="7"/>
      <sheetId val="8"/>
      <sheetId val="9"/>
    </sheetIdMap>
  </header>
  <header guid="{34F2D7D2-83B0-43D9-BDB2-BCB178474B76}" dateTime="2020-09-11T10:43:10" maxSheetId="10" userName="EXTERNAL Ly Chung (Ban Vien, RBVH/EPS45)" r:id="rId477" minRId="5701" maxRId="5709">
    <sheetIdMap count="9">
      <sheetId val="1"/>
      <sheetId val="2"/>
      <sheetId val="3"/>
      <sheetId val="4"/>
      <sheetId val="5"/>
      <sheetId val="6"/>
      <sheetId val="7"/>
      <sheetId val="8"/>
      <sheetId val="9"/>
    </sheetIdMap>
  </header>
  <header guid="{1899BBF2-E9AC-495C-9706-1ECCADCBD775}" dateTime="2020-09-11T10:47:38" maxSheetId="10" userName="EXTERNAL Nguyen Tai Hau (Ban Vien, RBVH/EPS45)" r:id="rId478">
    <sheetIdMap count="9">
      <sheetId val="1"/>
      <sheetId val="2"/>
      <sheetId val="3"/>
      <sheetId val="4"/>
      <sheetId val="5"/>
      <sheetId val="6"/>
      <sheetId val="7"/>
      <sheetId val="8"/>
      <sheetId val="9"/>
    </sheetIdMap>
  </header>
  <header guid="{1F7532FF-DD81-4200-A191-5F764736AD4C}" dateTime="2020-09-11T10:54:49" maxSheetId="10" userName="EXTERNAL Nguyen Tai Hau (Ban Vien, RBVH/EPS45)" r:id="rId479" minRId="5714">
    <sheetIdMap count="9">
      <sheetId val="1"/>
      <sheetId val="2"/>
      <sheetId val="3"/>
      <sheetId val="4"/>
      <sheetId val="5"/>
      <sheetId val="6"/>
      <sheetId val="7"/>
      <sheetId val="8"/>
      <sheetId val="9"/>
    </sheetIdMap>
  </header>
  <header guid="{402F1C50-E8AA-4E54-A8F3-8A87A0437CF5}" dateTime="2020-09-11T10:55:58" maxSheetId="10" userName="duo81hc" r:id="rId480">
    <sheetIdMap count="9">
      <sheetId val="1"/>
      <sheetId val="2"/>
      <sheetId val="3"/>
      <sheetId val="4"/>
      <sheetId val="5"/>
      <sheetId val="6"/>
      <sheetId val="7"/>
      <sheetId val="8"/>
      <sheetId val="9"/>
    </sheetIdMap>
  </header>
  <header guid="{433DF072-6FC9-4971-AC41-C002633F6FE5}" dateTime="2020-09-11T11:01:56" maxSheetId="10" userName="EXTERNAL Nguyen Tai Hau (Ban Vien, RBVH/EPS45)" r:id="rId481" minRId="5719">
    <sheetIdMap count="9">
      <sheetId val="1"/>
      <sheetId val="2"/>
      <sheetId val="3"/>
      <sheetId val="4"/>
      <sheetId val="5"/>
      <sheetId val="6"/>
      <sheetId val="7"/>
      <sheetId val="8"/>
      <sheetId val="9"/>
    </sheetIdMap>
  </header>
  <header guid="{B49ED9C9-06F5-4CF2-90C7-B8714A13A16D}" dateTime="2020-09-11T11:04:36" maxSheetId="10" userName="EXTERNAL Nguyen Tai Hau (Ban Vien, RBVH/EPS45)" r:id="rId482">
    <sheetIdMap count="9">
      <sheetId val="1"/>
      <sheetId val="2"/>
      <sheetId val="3"/>
      <sheetId val="4"/>
      <sheetId val="5"/>
      <sheetId val="6"/>
      <sheetId val="7"/>
      <sheetId val="8"/>
      <sheetId val="9"/>
    </sheetIdMap>
  </header>
  <header guid="{D2B25F25-8082-4767-97BE-CD9909EE8BB2}" dateTime="2020-09-11T11:12:21" maxSheetId="10" userName="EXTERNAL Phan The Nam (Ban Vien Company, RBVH/EPS45)" r:id="rId483">
    <sheetIdMap count="9">
      <sheetId val="1"/>
      <sheetId val="2"/>
      <sheetId val="3"/>
      <sheetId val="4"/>
      <sheetId val="5"/>
      <sheetId val="6"/>
      <sheetId val="7"/>
      <sheetId val="8"/>
      <sheetId val="9"/>
    </sheetIdMap>
  </header>
  <header guid="{91815917-E475-4B8A-B287-E97E8E34C810}" dateTime="2020-09-11T11:12:26" maxSheetId="10" userName="EXTERNAL Ly Chung (Ban Vien, RBVH/EPS45)" r:id="rId484" minRId="5726" maxRId="5735">
    <sheetIdMap count="9">
      <sheetId val="1"/>
      <sheetId val="2"/>
      <sheetId val="3"/>
      <sheetId val="4"/>
      <sheetId val="5"/>
      <sheetId val="6"/>
      <sheetId val="7"/>
      <sheetId val="8"/>
      <sheetId val="9"/>
    </sheetIdMap>
  </header>
  <header guid="{46A8D45D-DD23-42DA-A83F-2D1F1F4FAB93}" dateTime="2020-09-11T11:31:31" maxSheetId="10" userName="EXTERNAL Phan The Nam (Ban Vien Company, RBVH/EPS45)" r:id="rId485" minRId="5738" maxRId="5739">
    <sheetIdMap count="9">
      <sheetId val="1"/>
      <sheetId val="2"/>
      <sheetId val="3"/>
      <sheetId val="4"/>
      <sheetId val="5"/>
      <sheetId val="6"/>
      <sheetId val="7"/>
      <sheetId val="8"/>
      <sheetId val="9"/>
    </sheetIdMap>
  </header>
  <header guid="{31B6AB5C-3DF5-4C16-8B57-B5D7B6A1FA8A}" dateTime="2020-09-11T11:31:43" maxSheetId="10" userName="EXTERNAL Phan The Nam (Ban Vien Company, RBVH/EPS45)" r:id="rId486" minRId="5742">
    <sheetIdMap count="9">
      <sheetId val="1"/>
      <sheetId val="2"/>
      <sheetId val="3"/>
      <sheetId val="4"/>
      <sheetId val="5"/>
      <sheetId val="6"/>
      <sheetId val="7"/>
      <sheetId val="8"/>
      <sheetId val="9"/>
    </sheetIdMap>
  </header>
  <header guid="{A41D1AA7-3459-4D43-A2ED-029D35011CDF}" dateTime="2020-09-11T11:34:30" maxSheetId="10" userName="EXTERNAL Do Anh Huy (Ban Vien Company, RBVH/EPS45)" r:id="rId487" minRId="5745" maxRId="5751">
    <sheetIdMap count="9">
      <sheetId val="1"/>
      <sheetId val="2"/>
      <sheetId val="3"/>
      <sheetId val="4"/>
      <sheetId val="5"/>
      <sheetId val="6"/>
      <sheetId val="7"/>
      <sheetId val="8"/>
      <sheetId val="9"/>
    </sheetIdMap>
  </header>
  <header guid="{CA84834C-C705-408C-924A-1287F6223FB3}" dateTime="2020-09-11T11:37:14" maxSheetId="10" userName="duo81hc" r:id="rId488" minRId="5752" maxRId="5761">
    <sheetIdMap count="9">
      <sheetId val="1"/>
      <sheetId val="2"/>
      <sheetId val="3"/>
      <sheetId val="4"/>
      <sheetId val="5"/>
      <sheetId val="6"/>
      <sheetId val="7"/>
      <sheetId val="8"/>
      <sheetId val="9"/>
    </sheetIdMap>
  </header>
  <header guid="{801CA75F-BD0B-4452-85CD-94B7D5182EBA}" dateTime="2020-09-11T11:41:13" maxSheetId="10" userName="EXTERNAL Phan The Nam (Ban Vien Company, RBVH/EPS45)" r:id="rId489">
    <sheetIdMap count="9">
      <sheetId val="1"/>
      <sheetId val="2"/>
      <sheetId val="3"/>
      <sheetId val="4"/>
      <sheetId val="5"/>
      <sheetId val="6"/>
      <sheetId val="7"/>
      <sheetId val="8"/>
      <sheetId val="9"/>
    </sheetIdMap>
  </header>
  <header guid="{8992D685-91CE-48B4-97FF-7AD58D7BF64A}" dateTime="2020-09-11T11:45:18" maxSheetId="10" userName="EXTERNAL Do Anh Huy (Ban Vien Company, RBVH/EPS45)" r:id="rId490" minRId="5766" maxRId="5772">
    <sheetIdMap count="9">
      <sheetId val="1"/>
      <sheetId val="2"/>
      <sheetId val="3"/>
      <sheetId val="4"/>
      <sheetId val="5"/>
      <sheetId val="6"/>
      <sheetId val="7"/>
      <sheetId val="8"/>
      <sheetId val="9"/>
    </sheetIdMap>
  </header>
  <header guid="{A6DD24A5-647C-40E4-B22B-C86FB2FE6823}" dateTime="2020-09-11T12:49:48" maxSheetId="10" userName="EXTERNAL Do Anh Huy (Ban Vien Company, RBVH/EPS45)" r:id="rId491" minRId="5773" maxRId="5779">
    <sheetIdMap count="9">
      <sheetId val="1"/>
      <sheetId val="2"/>
      <sheetId val="3"/>
      <sheetId val="4"/>
      <sheetId val="5"/>
      <sheetId val="6"/>
      <sheetId val="7"/>
      <sheetId val="8"/>
      <sheetId val="9"/>
    </sheetIdMap>
  </header>
  <header guid="{0184E822-333F-4337-B72A-1F9B02812CEE}" dateTime="2020-09-11T13:19:04" maxSheetId="10" userName="EXTERNAL Do Anh Huy (Ban Vien Company, RBVH/EPS45)" r:id="rId492" minRId="5782" maxRId="5788">
    <sheetIdMap count="9">
      <sheetId val="1"/>
      <sheetId val="2"/>
      <sheetId val="3"/>
      <sheetId val="4"/>
      <sheetId val="5"/>
      <sheetId val="6"/>
      <sheetId val="7"/>
      <sheetId val="8"/>
      <sheetId val="9"/>
    </sheetIdMap>
  </header>
  <header guid="{D73E211A-D23A-4385-8E3A-35A21E7A9166}" dateTime="2020-09-11T13:25:10" maxSheetId="10" userName="EXTERNAL Do Phu Loc (Ban Vien, RBVH/EPS45)" r:id="rId493">
    <sheetIdMap count="9">
      <sheetId val="1"/>
      <sheetId val="2"/>
      <sheetId val="3"/>
      <sheetId val="4"/>
      <sheetId val="5"/>
      <sheetId val="6"/>
      <sheetId val="7"/>
      <sheetId val="8"/>
      <sheetId val="9"/>
    </sheetIdMap>
  </header>
  <header guid="{4C67A03B-7C0C-45F8-A922-A2B81460B927}" dateTime="2020-09-11T13:43:00" maxSheetId="10" userName="HGY7HC" r:id="rId494">
    <sheetIdMap count="9">
      <sheetId val="1"/>
      <sheetId val="2"/>
      <sheetId val="3"/>
      <sheetId val="4"/>
      <sheetId val="5"/>
      <sheetId val="6"/>
      <sheetId val="7"/>
      <sheetId val="8"/>
      <sheetId val="9"/>
    </sheetIdMap>
  </header>
  <header guid="{258BAE23-3CF7-4BEF-ADDC-4480DFECC7F4}" dateTime="2020-09-11T13:46:33" maxSheetId="10" userName="EXTERNAL Phan The Nam (Ban Vien Company, RBVH/EPS45)" r:id="rId495" minRId="5795">
    <sheetIdMap count="9">
      <sheetId val="1"/>
      <sheetId val="2"/>
      <sheetId val="3"/>
      <sheetId val="4"/>
      <sheetId val="5"/>
      <sheetId val="6"/>
      <sheetId val="7"/>
      <sheetId val="8"/>
      <sheetId val="9"/>
    </sheetIdMap>
  </header>
  <header guid="{65D8E114-419B-4B3C-8722-807C323C9BCA}" dateTime="2020-09-11T13:59:20" maxSheetId="10" userName="NCH7HC" r:id="rId496" minRId="5798" maxRId="5800">
    <sheetIdMap count="9">
      <sheetId val="1"/>
      <sheetId val="2"/>
      <sheetId val="3"/>
      <sheetId val="4"/>
      <sheetId val="5"/>
      <sheetId val="6"/>
      <sheetId val="7"/>
      <sheetId val="8"/>
      <sheetId val="9"/>
    </sheetIdMap>
  </header>
  <header guid="{11FCDD33-534E-43CF-8896-4FB50C25A082}" dateTime="2020-09-11T14:05:48" maxSheetId="10" userName="duo81hc" r:id="rId497" minRId="5801">
    <sheetIdMap count="9">
      <sheetId val="1"/>
      <sheetId val="2"/>
      <sheetId val="3"/>
      <sheetId val="4"/>
      <sheetId val="5"/>
      <sheetId val="6"/>
      <sheetId val="7"/>
      <sheetId val="8"/>
      <sheetId val="9"/>
    </sheetIdMap>
  </header>
  <header guid="{112F247B-6362-4DD7-AE29-0CD09FFF8E1D}" dateTime="2020-09-11T14:16:36" maxSheetId="10" userName="HGY7HC" r:id="rId498" minRId="5802">
    <sheetIdMap count="9">
      <sheetId val="1"/>
      <sheetId val="2"/>
      <sheetId val="3"/>
      <sheetId val="4"/>
      <sheetId val="5"/>
      <sheetId val="6"/>
      <sheetId val="7"/>
      <sheetId val="8"/>
      <sheetId val="9"/>
    </sheetIdMap>
  </header>
  <header guid="{85C73B40-379B-4BC4-A94D-99515F6727BA}" dateTime="2020-09-11T14:29:52" maxSheetId="10" userName="EXTERNAL Nguyen Tuan Duong (Ban Vien, RBVH/EPS45)" r:id="rId499" minRId="5805" maxRId="5814">
    <sheetIdMap count="9">
      <sheetId val="1"/>
      <sheetId val="2"/>
      <sheetId val="3"/>
      <sheetId val="4"/>
      <sheetId val="5"/>
      <sheetId val="6"/>
      <sheetId val="7"/>
      <sheetId val="8"/>
      <sheetId val="9"/>
    </sheetIdMap>
  </header>
  <header guid="{5DC44597-08DB-436D-863E-03A4A6A2F2DE}" dateTime="2020-09-11T14:30:00" maxSheetId="10" userName="EXTERNAL Nguyen Tuan Duong (Ban Vien, RBVH/EPS45)" r:id="rId500">
    <sheetIdMap count="9">
      <sheetId val="1"/>
      <sheetId val="2"/>
      <sheetId val="3"/>
      <sheetId val="4"/>
      <sheetId val="5"/>
      <sheetId val="6"/>
      <sheetId val="7"/>
      <sheetId val="8"/>
      <sheetId val="9"/>
    </sheetIdMap>
  </header>
  <header guid="{E34E9E2B-DF1C-48C4-8B9B-FB66A4806A41}" dateTime="2020-09-11T14:30:24" maxSheetId="10" userName="EXTERNAL Nguyen Tuan Duong (Ban Vien, RBVH/EPS45)" r:id="rId501">
    <sheetIdMap count="9">
      <sheetId val="1"/>
      <sheetId val="2"/>
      <sheetId val="3"/>
      <sheetId val="4"/>
      <sheetId val="5"/>
      <sheetId val="6"/>
      <sheetId val="7"/>
      <sheetId val="8"/>
      <sheetId val="9"/>
    </sheetIdMap>
  </header>
  <header guid="{69A21376-364E-4F32-BD19-5C9D722D3FCA}" dateTime="2020-09-11T14:30:30" maxSheetId="10" userName="EXTERNAL Nguyen Tuan Duong (Ban Vien, RBVH/EPS45)" r:id="rId502" minRId="5824">
    <sheetIdMap count="9">
      <sheetId val="1"/>
      <sheetId val="2"/>
      <sheetId val="3"/>
      <sheetId val="4"/>
      <sheetId val="5"/>
      <sheetId val="6"/>
      <sheetId val="7"/>
      <sheetId val="8"/>
      <sheetId val="9"/>
    </sheetIdMap>
  </header>
  <header guid="{E757D7A9-3DA2-441B-BEC0-D8DF6B83AC23}" dateTime="2020-09-11T14:30:51" maxSheetId="10" userName="EXTERNAL Nguyen Tuan Duong (Ban Vien, RBVH/EPS45)" r:id="rId503">
    <sheetIdMap count="9">
      <sheetId val="1"/>
      <sheetId val="2"/>
      <sheetId val="3"/>
      <sheetId val="4"/>
      <sheetId val="5"/>
      <sheetId val="6"/>
      <sheetId val="7"/>
      <sheetId val="8"/>
      <sheetId val="9"/>
    </sheetIdMap>
  </header>
  <header guid="{3BC0C342-FA20-4DB1-B50D-E1EC0649E1FF}" dateTime="2020-09-11T14:30:56" maxSheetId="10" userName="EXTERNAL Nguyen Tuan Duong (Ban Vien, RBVH/EPS45)" r:id="rId504" minRId="5829">
    <sheetIdMap count="9">
      <sheetId val="1"/>
      <sheetId val="2"/>
      <sheetId val="3"/>
      <sheetId val="4"/>
      <sheetId val="5"/>
      <sheetId val="6"/>
      <sheetId val="7"/>
      <sheetId val="8"/>
      <sheetId val="9"/>
    </sheetIdMap>
  </header>
  <header guid="{B03BDCD4-E429-4880-B647-E4DB611D5C5E}" dateTime="2020-09-11T14:31:00" maxSheetId="10" userName="EXTERNAL Nguyen Tuan Duong (Ban Vien, RBVH/EPS45)" r:id="rId505">
    <sheetIdMap count="9">
      <sheetId val="1"/>
      <sheetId val="2"/>
      <sheetId val="3"/>
      <sheetId val="4"/>
      <sheetId val="5"/>
      <sheetId val="6"/>
      <sheetId val="7"/>
      <sheetId val="8"/>
      <sheetId val="9"/>
    </sheetIdMap>
  </header>
  <header guid="{9976BE84-9A14-4543-BC27-7961F3126C30}" dateTime="2020-09-11T14:32:13" maxSheetId="10" userName="duo81hc" r:id="rId506" minRId="5834" maxRId="5837">
    <sheetIdMap count="9">
      <sheetId val="1"/>
      <sheetId val="2"/>
      <sheetId val="3"/>
      <sheetId val="4"/>
      <sheetId val="5"/>
      <sheetId val="6"/>
      <sheetId val="7"/>
      <sheetId val="8"/>
      <sheetId val="9"/>
    </sheetIdMap>
  </header>
  <header guid="{2598B4C0-46E0-45F9-A52D-CB263566E3F4}" dateTime="2020-09-11T14:32:29" maxSheetId="10" userName="duo81hc" r:id="rId507" minRId="5840" maxRId="5845">
    <sheetIdMap count="9">
      <sheetId val="1"/>
      <sheetId val="2"/>
      <sheetId val="3"/>
      <sheetId val="4"/>
      <sheetId val="5"/>
      <sheetId val="6"/>
      <sheetId val="7"/>
      <sheetId val="8"/>
      <sheetId val="9"/>
    </sheetIdMap>
  </header>
  <header guid="{BD508CFB-85B4-4FE8-911C-8021FBC5F2BA}" dateTime="2020-09-11T14:36:20" maxSheetId="10" userName="EXTERNAL Nguyen Tuan Duong (Ban Vien, RBVH/EPS45)" r:id="rId508" minRId="5848" maxRId="5856">
    <sheetIdMap count="9">
      <sheetId val="1"/>
      <sheetId val="2"/>
      <sheetId val="3"/>
      <sheetId val="4"/>
      <sheetId val="5"/>
      <sheetId val="6"/>
      <sheetId val="7"/>
      <sheetId val="8"/>
      <sheetId val="9"/>
    </sheetIdMap>
  </header>
  <header guid="{40997AAC-8FBF-450F-A655-4C6F2648D4B6}" dateTime="2020-09-11T14:36:28" maxSheetId="10" userName="EXTERNAL Nguyen Tuan Duong (Ban Vien, RBVH/EPS45)" r:id="rId509">
    <sheetIdMap count="9">
      <sheetId val="1"/>
      <sheetId val="2"/>
      <sheetId val="3"/>
      <sheetId val="4"/>
      <sheetId val="5"/>
      <sheetId val="6"/>
      <sheetId val="7"/>
      <sheetId val="8"/>
      <sheetId val="9"/>
    </sheetIdMap>
  </header>
  <header guid="{7F1E1692-A67D-4414-8907-B9D51F9F98F1}" dateTime="2020-09-11T14:37:30" maxSheetId="10" userName="EXTERNAL Nguyen Tuan Duong (Ban Vien, RBVH/EPS45)" r:id="rId510">
    <sheetIdMap count="9">
      <sheetId val="1"/>
      <sheetId val="2"/>
      <sheetId val="3"/>
      <sheetId val="4"/>
      <sheetId val="5"/>
      <sheetId val="6"/>
      <sheetId val="7"/>
      <sheetId val="8"/>
      <sheetId val="9"/>
    </sheetIdMap>
  </header>
  <header guid="{3432ABB7-C85A-49B3-9B90-00B190E88FDD}" dateTime="2020-09-11T14:56:14" maxSheetId="10" userName="EXTERNAL Nguyen Tuan Duong (Ban Vien, RBVH/EPS45)" r:id="rId511">
    <sheetIdMap count="9">
      <sheetId val="1"/>
      <sheetId val="2"/>
      <sheetId val="3"/>
      <sheetId val="4"/>
      <sheetId val="5"/>
      <sheetId val="6"/>
      <sheetId val="7"/>
      <sheetId val="8"/>
      <sheetId val="9"/>
    </sheetIdMap>
  </header>
  <header guid="{A37103BA-0145-4864-B021-D2D0F8EF569B}" dateTime="2020-09-11T14:56:22" maxSheetId="10" userName="EXTERNAL Nguyen Tuan Duong (Ban Vien, RBVH/EPS45)" r:id="rId512" minRId="5865" maxRId="5869">
    <sheetIdMap count="9">
      <sheetId val="1"/>
      <sheetId val="2"/>
      <sheetId val="3"/>
      <sheetId val="4"/>
      <sheetId val="5"/>
      <sheetId val="6"/>
      <sheetId val="7"/>
      <sheetId val="8"/>
      <sheetId val="9"/>
    </sheetIdMap>
  </header>
  <header guid="{F4259BED-F66F-4DAC-8CBF-06F8CFF569EA}" dateTime="2020-09-11T14:57:58" maxSheetId="10" userName="EXTERNAL Nguyen Tuan Duong (Ban Vien, RBVH/EPS45)" r:id="rId513" minRId="5872" maxRId="5874">
    <sheetIdMap count="9">
      <sheetId val="1"/>
      <sheetId val="2"/>
      <sheetId val="3"/>
      <sheetId val="4"/>
      <sheetId val="5"/>
      <sheetId val="6"/>
      <sheetId val="7"/>
      <sheetId val="8"/>
      <sheetId val="9"/>
    </sheetIdMap>
  </header>
  <header guid="{6B94799C-3A02-4D05-A284-A23A6F004D81}" dateTime="2020-09-11T15:04:32" maxSheetId="10" userName="EXTERNAL Do Anh Huy (Ban Vien Company, RBVH/EPS45)" r:id="rId514" minRId="5877" maxRId="5883">
    <sheetIdMap count="9">
      <sheetId val="1"/>
      <sheetId val="2"/>
      <sheetId val="3"/>
      <sheetId val="4"/>
      <sheetId val="5"/>
      <sheetId val="6"/>
      <sheetId val="7"/>
      <sheetId val="8"/>
      <sheetId val="9"/>
    </sheetIdMap>
  </header>
  <header guid="{BAE414D6-A745-4420-B7B6-C55509B630F2}" dateTime="2020-09-11T15:06:01" maxSheetId="10" userName="EXTERNAL Nguyen Tuan Duong (Ban Vien, RBVH/EPS45)" r:id="rId515" minRId="5884">
    <sheetIdMap count="9">
      <sheetId val="1"/>
      <sheetId val="2"/>
      <sheetId val="3"/>
      <sheetId val="4"/>
      <sheetId val="5"/>
      <sheetId val="6"/>
      <sheetId val="7"/>
      <sheetId val="8"/>
      <sheetId val="9"/>
    </sheetIdMap>
  </header>
  <header guid="{17B20924-5E9D-4A93-B187-978878BA40EB}" dateTime="2020-09-11T15:06:13" maxSheetId="10" userName="EXTERNAL Nguyen Tuan Duong (Ban Vien, RBVH/EPS45)" r:id="rId516">
    <sheetIdMap count="9">
      <sheetId val="1"/>
      <sheetId val="2"/>
      <sheetId val="3"/>
      <sheetId val="4"/>
      <sheetId val="5"/>
      <sheetId val="6"/>
      <sheetId val="7"/>
      <sheetId val="8"/>
      <sheetId val="9"/>
    </sheetIdMap>
  </header>
  <header guid="{6243FC2E-052B-46AC-8820-B3E3D8DDF3F6}" dateTime="2020-09-11T15:06:13" maxSheetId="10" userName="EXTERNAL Nguyen Tuan Duong (Ban Vien, RBVH/EPS45)" r:id="rId517">
    <sheetIdMap count="9">
      <sheetId val="1"/>
      <sheetId val="2"/>
      <sheetId val="3"/>
      <sheetId val="4"/>
      <sheetId val="5"/>
      <sheetId val="6"/>
      <sheetId val="7"/>
      <sheetId val="8"/>
      <sheetId val="9"/>
    </sheetIdMap>
  </header>
  <header guid="{2EEE8E7A-F88E-4546-B283-9D1433BBBFBB}" dateTime="2020-09-11T15:06:14" maxSheetId="10" userName="EXTERNAL Nguyen Tuan Duong (Ban Vien, RBVH/EPS45)" r:id="rId518">
    <sheetIdMap count="9">
      <sheetId val="1"/>
      <sheetId val="2"/>
      <sheetId val="3"/>
      <sheetId val="4"/>
      <sheetId val="5"/>
      <sheetId val="6"/>
      <sheetId val="7"/>
      <sheetId val="8"/>
      <sheetId val="9"/>
    </sheetIdMap>
  </header>
  <header guid="{97BEAC85-B9D6-4307-9131-406615413C86}" dateTime="2020-09-11T15:06:14" maxSheetId="10" userName="EXTERNAL Nguyen Tuan Duong (Ban Vien, RBVH/EPS45)" r:id="rId519">
    <sheetIdMap count="9">
      <sheetId val="1"/>
      <sheetId val="2"/>
      <sheetId val="3"/>
      <sheetId val="4"/>
      <sheetId val="5"/>
      <sheetId val="6"/>
      <sheetId val="7"/>
      <sheetId val="8"/>
      <sheetId val="9"/>
    </sheetIdMap>
  </header>
  <header guid="{79B16C4C-9C75-41DC-A2C2-E86EB4182809}" dateTime="2020-09-11T15:06:15" maxSheetId="10" userName="EXTERNAL Nguyen Tuan Duong (Ban Vien, RBVH/EPS45)" r:id="rId520">
    <sheetIdMap count="9">
      <sheetId val="1"/>
      <sheetId val="2"/>
      <sheetId val="3"/>
      <sheetId val="4"/>
      <sheetId val="5"/>
      <sheetId val="6"/>
      <sheetId val="7"/>
      <sheetId val="8"/>
      <sheetId val="9"/>
    </sheetIdMap>
  </header>
  <header guid="{9209792C-CDCF-4554-A16A-738B210C1136}" dateTime="2020-09-11T15:06:15" maxSheetId="10" userName="EXTERNAL Nguyen Tuan Duong (Ban Vien, RBVH/EPS45)" r:id="rId521">
    <sheetIdMap count="9">
      <sheetId val="1"/>
      <sheetId val="2"/>
      <sheetId val="3"/>
      <sheetId val="4"/>
      <sheetId val="5"/>
      <sheetId val="6"/>
      <sheetId val="7"/>
      <sheetId val="8"/>
      <sheetId val="9"/>
    </sheetIdMap>
  </header>
  <header guid="{67E60257-DF32-47F9-BDCB-1B559DF0B39B}" dateTime="2020-09-11T15:06:15" maxSheetId="10" userName="EXTERNAL Nguyen Tuan Duong (Ban Vien, RBVH/EPS45)" r:id="rId522">
    <sheetIdMap count="9">
      <sheetId val="1"/>
      <sheetId val="2"/>
      <sheetId val="3"/>
      <sheetId val="4"/>
      <sheetId val="5"/>
      <sheetId val="6"/>
      <sheetId val="7"/>
      <sheetId val="8"/>
      <sheetId val="9"/>
    </sheetIdMap>
  </header>
  <header guid="{3F333469-5D9F-486A-B495-D6F41EB69F0D}" dateTime="2020-09-11T15:11:07" maxSheetId="10" userName="NCH7HC" r:id="rId523" minRId="5901" maxRId="5908">
    <sheetIdMap count="9">
      <sheetId val="1"/>
      <sheetId val="2"/>
      <sheetId val="3"/>
      <sheetId val="4"/>
      <sheetId val="5"/>
      <sheetId val="6"/>
      <sheetId val="7"/>
      <sheetId val="8"/>
      <sheetId val="9"/>
    </sheetIdMap>
  </header>
  <header guid="{9E2F27CB-04FD-46F7-A74B-6244BBCBDF1E}" dateTime="2020-09-11T15:11:53" maxSheetId="10" userName="duo81hc" r:id="rId524" minRId="5911">
    <sheetIdMap count="9">
      <sheetId val="1"/>
      <sheetId val="2"/>
      <sheetId val="3"/>
      <sheetId val="4"/>
      <sheetId val="5"/>
      <sheetId val="6"/>
      <sheetId val="7"/>
      <sheetId val="8"/>
      <sheetId val="9"/>
    </sheetIdMap>
  </header>
  <header guid="{E2485339-8754-425D-89C2-B785098DE7E0}" dateTime="2020-09-11T15:11:59" maxSheetId="10" userName="duo81hc" r:id="rId525">
    <sheetIdMap count="9">
      <sheetId val="1"/>
      <sheetId val="2"/>
      <sheetId val="3"/>
      <sheetId val="4"/>
      <sheetId val="5"/>
      <sheetId val="6"/>
      <sheetId val="7"/>
      <sheetId val="8"/>
      <sheetId val="9"/>
    </sheetIdMap>
  </header>
  <header guid="{C117803D-6868-4430-BBEB-1CC5E9DD192C}" dateTime="2020-09-11T15:28:46" maxSheetId="10" userName="HGY7HC" r:id="rId526" minRId="5914">
    <sheetIdMap count="9">
      <sheetId val="1"/>
      <sheetId val="2"/>
      <sheetId val="3"/>
      <sheetId val="4"/>
      <sheetId val="5"/>
      <sheetId val="6"/>
      <sheetId val="7"/>
      <sheetId val="8"/>
      <sheetId val="9"/>
    </sheetIdMap>
  </header>
  <header guid="{99BEEB12-3F8B-4205-8CD9-D3BBF4FDA711}" dateTime="2020-09-11T15:30:24" maxSheetId="10" userName="HGY7HC" r:id="rId527" minRId="5917" maxRId="5918">
    <sheetIdMap count="9">
      <sheetId val="1"/>
      <sheetId val="2"/>
      <sheetId val="3"/>
      <sheetId val="4"/>
      <sheetId val="5"/>
      <sheetId val="6"/>
      <sheetId val="7"/>
      <sheetId val="8"/>
      <sheetId val="9"/>
    </sheetIdMap>
  </header>
  <header guid="{00D5DAFF-CFE0-4055-A859-B9BAE83F30D7}" dateTime="2020-09-11T15:31:18" maxSheetId="10" userName="HGY7HC" r:id="rId528" minRId="5921" maxRId="5925">
    <sheetIdMap count="9">
      <sheetId val="1"/>
      <sheetId val="2"/>
      <sheetId val="3"/>
      <sheetId val="4"/>
      <sheetId val="5"/>
      <sheetId val="6"/>
      <sheetId val="7"/>
      <sheetId val="8"/>
      <sheetId val="9"/>
    </sheetIdMap>
  </header>
  <header guid="{7798374C-7F06-4ACE-BBE5-47CCE6F55401}" dateTime="2020-09-11T15:31:21" maxSheetId="10" userName="EXTERNAL Nguyen Tuan Duong (Ban Vien, RBVH/EPS45)" r:id="rId529" minRId="5928" maxRId="5930">
    <sheetIdMap count="9">
      <sheetId val="1"/>
      <sheetId val="2"/>
      <sheetId val="3"/>
      <sheetId val="4"/>
      <sheetId val="5"/>
      <sheetId val="6"/>
      <sheetId val="7"/>
      <sheetId val="8"/>
      <sheetId val="9"/>
    </sheetIdMap>
  </header>
  <header guid="{A361C014-0507-4888-9C75-C76CADD9377A}" dateTime="2020-09-11T15:31:48" maxSheetId="10" userName="HGY7HC" r:id="rId530" minRId="5933">
    <sheetIdMap count="9">
      <sheetId val="1"/>
      <sheetId val="2"/>
      <sheetId val="3"/>
      <sheetId val="4"/>
      <sheetId val="5"/>
      <sheetId val="6"/>
      <sheetId val="7"/>
      <sheetId val="8"/>
      <sheetId val="9"/>
    </sheetIdMap>
  </header>
  <header guid="{BFDF9ECE-0119-4868-8D32-12B3EF6F762C}" dateTime="2020-09-11T15:32:18" maxSheetId="10" userName="duo81hc" r:id="rId531" minRId="5936" maxRId="5937">
    <sheetIdMap count="9">
      <sheetId val="1"/>
      <sheetId val="2"/>
      <sheetId val="3"/>
      <sheetId val="4"/>
      <sheetId val="5"/>
      <sheetId val="6"/>
      <sheetId val="7"/>
      <sheetId val="8"/>
      <sheetId val="9"/>
    </sheetIdMap>
  </header>
  <header guid="{43DD05FA-708C-4397-9825-3EB00D3A69EA}" dateTime="2020-09-11T15:32:25" maxSheetId="10" userName="HGY7HC" r:id="rId532" minRId="5940" maxRId="5946">
    <sheetIdMap count="9">
      <sheetId val="1"/>
      <sheetId val="2"/>
      <sheetId val="3"/>
      <sheetId val="4"/>
      <sheetId val="5"/>
      <sheetId val="6"/>
      <sheetId val="7"/>
      <sheetId val="8"/>
      <sheetId val="9"/>
    </sheetIdMap>
  </header>
  <header guid="{D7854C44-0A9F-4334-B1E3-13D0D89C1B40}" dateTime="2020-09-11T15:33:46" maxSheetId="10" userName="duo81hc" r:id="rId533" minRId="5949">
    <sheetIdMap count="9">
      <sheetId val="1"/>
      <sheetId val="2"/>
      <sheetId val="3"/>
      <sheetId val="4"/>
      <sheetId val="5"/>
      <sheetId val="6"/>
      <sheetId val="7"/>
      <sheetId val="8"/>
      <sheetId val="9"/>
    </sheetIdMap>
  </header>
  <header guid="{09BE23B6-1597-437E-971E-1B98DC0968C6}" dateTime="2020-09-11T15:33:58" maxSheetId="10" userName="NCH7HC" r:id="rId534" minRId="5950" maxRId="5959">
    <sheetIdMap count="9">
      <sheetId val="1"/>
      <sheetId val="2"/>
      <sheetId val="3"/>
      <sheetId val="4"/>
      <sheetId val="5"/>
      <sheetId val="6"/>
      <sheetId val="7"/>
      <sheetId val="8"/>
      <sheetId val="9"/>
    </sheetIdMap>
  </header>
  <header guid="{80BA7900-1C21-464E-936D-99FE9CE83127}" dateTime="2020-09-11T15:34:24" maxSheetId="10" userName="EXTERNAL Nguyen Tuan Duong (Ban Vien, RBVH/EPS45)" r:id="rId535" minRId="5962" maxRId="5963">
    <sheetIdMap count="9">
      <sheetId val="1"/>
      <sheetId val="2"/>
      <sheetId val="3"/>
      <sheetId val="4"/>
      <sheetId val="5"/>
      <sheetId val="6"/>
      <sheetId val="7"/>
      <sheetId val="8"/>
      <sheetId val="9"/>
    </sheetIdMap>
  </header>
  <header guid="{A7FD5A8F-FD38-4E59-A0DC-20F06D7CCCAE}" dateTime="2020-09-11T15:37:16" maxSheetId="10" userName="NCH7HC" r:id="rId536" minRId="5966" maxRId="5967">
    <sheetIdMap count="9">
      <sheetId val="1"/>
      <sheetId val="2"/>
      <sheetId val="3"/>
      <sheetId val="4"/>
      <sheetId val="5"/>
      <sheetId val="6"/>
      <sheetId val="7"/>
      <sheetId val="8"/>
      <sheetId val="9"/>
    </sheetIdMap>
  </header>
  <header guid="{8277E4A1-C48E-4392-A9C0-4A11DFDDF283}" dateTime="2020-09-11T15:39:50" maxSheetId="10" userName="EXTERNAL Nguyen Tuan Duong (Ban Vien, RBVH/EPS45)" r:id="rId537" minRId="5968">
    <sheetIdMap count="9">
      <sheetId val="1"/>
      <sheetId val="2"/>
      <sheetId val="3"/>
      <sheetId val="4"/>
      <sheetId val="5"/>
      <sheetId val="6"/>
      <sheetId val="7"/>
      <sheetId val="8"/>
      <sheetId val="9"/>
    </sheetIdMap>
  </header>
  <header guid="{5878C188-ECAD-41F8-8058-AB1CB043E638}" dateTime="2020-09-11T15:40:08" maxSheetId="10" userName="duo81hc" r:id="rId538" minRId="5971" maxRId="5981">
    <sheetIdMap count="9">
      <sheetId val="1"/>
      <sheetId val="2"/>
      <sheetId val="3"/>
      <sheetId val="4"/>
      <sheetId val="5"/>
      <sheetId val="6"/>
      <sheetId val="7"/>
      <sheetId val="8"/>
      <sheetId val="9"/>
    </sheetIdMap>
  </header>
  <header guid="{B22C1F1D-E8F2-46C4-85C3-9D008AE2E119}" dateTime="2020-09-11T15:41:24" maxSheetId="10" userName="duo81hc" r:id="rId539" minRId="5984" maxRId="5985">
    <sheetIdMap count="9">
      <sheetId val="1"/>
      <sheetId val="2"/>
      <sheetId val="3"/>
      <sheetId val="4"/>
      <sheetId val="5"/>
      <sheetId val="6"/>
      <sheetId val="7"/>
      <sheetId val="8"/>
      <sheetId val="9"/>
    </sheetIdMap>
  </header>
  <header guid="{9F9DFBC6-7B6A-4AAF-92BE-E2FCD246469E}" dateTime="2020-09-11T15:43:11" maxSheetId="10" userName="duo81hc" r:id="rId540">
    <sheetIdMap count="9">
      <sheetId val="1"/>
      <sheetId val="2"/>
      <sheetId val="3"/>
      <sheetId val="4"/>
      <sheetId val="5"/>
      <sheetId val="6"/>
      <sheetId val="7"/>
      <sheetId val="8"/>
      <sheetId val="9"/>
    </sheetIdMap>
  </header>
  <header guid="{4F540588-4EEF-460A-96C2-FB6EC4066288}" dateTime="2020-09-11T15:45:11" maxSheetId="10" userName="HGY7HC" r:id="rId541" minRId="5986" maxRId="5995">
    <sheetIdMap count="9">
      <sheetId val="1"/>
      <sheetId val="2"/>
      <sheetId val="3"/>
      <sheetId val="4"/>
      <sheetId val="5"/>
      <sheetId val="6"/>
      <sheetId val="7"/>
      <sheetId val="8"/>
      <sheetId val="9"/>
    </sheetIdMap>
  </header>
  <header guid="{58434A78-DD24-432F-A3A1-8994D56C750F}" dateTime="2020-09-11T15:46:10" maxSheetId="10" userName="HGY7HC" r:id="rId542" minRId="5998">
    <sheetIdMap count="9">
      <sheetId val="1"/>
      <sheetId val="2"/>
      <sheetId val="3"/>
      <sheetId val="4"/>
      <sheetId val="5"/>
      <sheetId val="6"/>
      <sheetId val="7"/>
      <sheetId val="8"/>
      <sheetId val="9"/>
    </sheetIdMap>
  </header>
  <header guid="{C1F59524-06FD-4032-ADD3-C4F91008049F}" dateTime="2020-09-11T15:46:37" maxSheetId="10" userName="EXTERNAL Nguyen Tuan Duong (Ban Vien, RBVH/EPS45)" r:id="rId543" minRId="6001">
    <sheetIdMap count="9">
      <sheetId val="1"/>
      <sheetId val="2"/>
      <sheetId val="3"/>
      <sheetId val="4"/>
      <sheetId val="5"/>
      <sheetId val="6"/>
      <sheetId val="7"/>
      <sheetId val="8"/>
      <sheetId val="9"/>
    </sheetIdMap>
  </header>
  <header guid="{5C07C4AA-742C-4402-AC0E-373ACEFF3115}" dateTime="2020-09-11T15:48:47" maxSheetId="10" userName="HGY7HC" r:id="rId544" minRId="6004" maxRId="6013">
    <sheetIdMap count="9">
      <sheetId val="1"/>
      <sheetId val="2"/>
      <sheetId val="3"/>
      <sheetId val="4"/>
      <sheetId val="5"/>
      <sheetId val="6"/>
      <sheetId val="7"/>
      <sheetId val="8"/>
      <sheetId val="9"/>
    </sheetIdMap>
  </header>
  <header guid="{3FCC294F-BEF7-404F-97C3-26730D0ACADD}" dateTime="2020-09-11T15:49:22" maxSheetId="10" userName="HGY7HC" r:id="rId545" minRId="6016" maxRId="6019">
    <sheetIdMap count="9">
      <sheetId val="1"/>
      <sheetId val="2"/>
      <sheetId val="3"/>
      <sheetId val="4"/>
      <sheetId val="5"/>
      <sheetId val="6"/>
      <sheetId val="7"/>
      <sheetId val="8"/>
      <sheetId val="9"/>
    </sheetIdMap>
  </header>
  <header guid="{AFD4BCFA-97FB-425B-93B5-F684EFCAB03A}" dateTime="2020-09-11T15:49:26" maxSheetId="10" userName="HGY7HC" r:id="rId546" minRId="6022">
    <sheetIdMap count="9">
      <sheetId val="1"/>
      <sheetId val="2"/>
      <sheetId val="3"/>
      <sheetId val="4"/>
      <sheetId val="5"/>
      <sheetId val="6"/>
      <sheetId val="7"/>
      <sheetId val="8"/>
      <sheetId val="9"/>
    </sheetIdMap>
  </header>
  <header guid="{8DFF0A18-4CA3-4DE1-BD72-FE7FA73B1594}" dateTime="2020-09-11T15:49:55" maxSheetId="10" userName="HGY7HC" r:id="rId547">
    <sheetIdMap count="9">
      <sheetId val="1"/>
      <sheetId val="2"/>
      <sheetId val="3"/>
      <sheetId val="4"/>
      <sheetId val="5"/>
      <sheetId val="6"/>
      <sheetId val="7"/>
      <sheetId val="8"/>
      <sheetId val="9"/>
    </sheetIdMap>
  </header>
  <header guid="{367919A5-208B-4FD4-92D4-B46EF856463C}" dateTime="2020-09-11T15:55:43" maxSheetId="10" userName="HGY7HC" r:id="rId548" minRId="6027" maxRId="6037">
    <sheetIdMap count="9">
      <sheetId val="1"/>
      <sheetId val="2"/>
      <sheetId val="3"/>
      <sheetId val="4"/>
      <sheetId val="5"/>
      <sheetId val="6"/>
      <sheetId val="7"/>
      <sheetId val="8"/>
      <sheetId val="9"/>
    </sheetIdMap>
  </header>
  <header guid="{FB4DD3B4-9815-4CF8-9EED-184E2EA3534E}" dateTime="2020-09-11T16:00:13" maxSheetId="10" userName="EXTERNAL Nguyen Tuan Duong (Ban Vien, RBVH/EPS45)" r:id="rId549" minRId="6040" maxRId="6063">
    <sheetIdMap count="9">
      <sheetId val="1"/>
      <sheetId val="2"/>
      <sheetId val="3"/>
      <sheetId val="4"/>
      <sheetId val="5"/>
      <sheetId val="6"/>
      <sheetId val="7"/>
      <sheetId val="8"/>
      <sheetId val="9"/>
    </sheetIdMap>
  </header>
  <header guid="{41D067AE-97DD-4E72-BD2C-78E020FD923C}" dateTime="2020-09-11T16:00:20" maxSheetId="10" userName="EXTERNAL Nguyen Tuan Duong (Ban Vien, RBVH/EPS45)" r:id="rId550">
    <sheetIdMap count="9">
      <sheetId val="1"/>
      <sheetId val="2"/>
      <sheetId val="3"/>
      <sheetId val="4"/>
      <sheetId val="5"/>
      <sheetId val="6"/>
      <sheetId val="7"/>
      <sheetId val="8"/>
      <sheetId val="9"/>
    </sheetIdMap>
  </header>
  <header guid="{4F5F44FC-60C5-4E8B-A5F2-A91B4C011FC2}" dateTime="2020-09-11T16:05:44" maxSheetId="10" userName="EXTERNAL Nguyen Tai Hau (Ban Vien, RBVH/EPS45)" r:id="rId551" minRId="6068" maxRId="6158">
    <sheetIdMap count="9">
      <sheetId val="1"/>
      <sheetId val="2"/>
      <sheetId val="3"/>
      <sheetId val="4"/>
      <sheetId val="5"/>
      <sheetId val="6"/>
      <sheetId val="7"/>
      <sheetId val="8"/>
      <sheetId val="9"/>
    </sheetIdMap>
  </header>
  <header guid="{1842943F-B7AB-404B-AC19-5133CB2BC841}" dateTime="2020-09-11T16:06:27" maxSheetId="10" userName="NCH7HC" r:id="rId552">
    <sheetIdMap count="9">
      <sheetId val="1"/>
      <sheetId val="2"/>
      <sheetId val="3"/>
      <sheetId val="4"/>
      <sheetId val="5"/>
      <sheetId val="6"/>
      <sheetId val="7"/>
      <sheetId val="8"/>
      <sheetId val="9"/>
    </sheetIdMap>
  </header>
  <header guid="{C2E597C0-D71C-4437-99D6-A8F172D7ADEC}" dateTime="2020-09-11T16:20:25" maxSheetId="10" userName="NCH7HC" r:id="rId553" minRId="6163" maxRId="6169">
    <sheetIdMap count="9">
      <sheetId val="1"/>
      <sheetId val="2"/>
      <sheetId val="3"/>
      <sheetId val="4"/>
      <sheetId val="5"/>
      <sheetId val="6"/>
      <sheetId val="7"/>
      <sheetId val="8"/>
      <sheetId val="9"/>
    </sheetIdMap>
  </header>
  <header guid="{D8797AC0-8E33-4D23-839E-50CCD41F9443}" dateTime="2020-09-11T16:20:37" maxSheetId="10" userName="NCH7HC" r:id="rId554" minRId="6172" maxRId="6173">
    <sheetIdMap count="9">
      <sheetId val="1"/>
      <sheetId val="2"/>
      <sheetId val="3"/>
      <sheetId val="4"/>
      <sheetId val="5"/>
      <sheetId val="6"/>
      <sheetId val="7"/>
      <sheetId val="8"/>
      <sheetId val="9"/>
    </sheetIdMap>
  </header>
  <header guid="{607DAB6B-F0E0-48FF-BA28-27E46D5340BC}" dateTime="2020-09-11T16:29:06" maxSheetId="10" userName="EXTERNAL Nguyen Tuan Duong (Ban Vien, RBVH/EPS45)" r:id="rId555" minRId="6176" maxRId="6181">
    <sheetIdMap count="9">
      <sheetId val="1"/>
      <sheetId val="2"/>
      <sheetId val="3"/>
      <sheetId val="4"/>
      <sheetId val="5"/>
      <sheetId val="6"/>
      <sheetId val="7"/>
      <sheetId val="8"/>
      <sheetId val="9"/>
    </sheetIdMap>
  </header>
  <header guid="{78AD32A7-1CC9-4C4A-8FB0-79D992D9C6BD}" dateTime="2020-09-11T16:29:32" maxSheetId="10" userName="EXTERNAL Nguyen Tuan Duong (Ban Vien, RBVH/EPS45)" r:id="rId556">
    <sheetIdMap count="9">
      <sheetId val="1"/>
      <sheetId val="2"/>
      <sheetId val="3"/>
      <sheetId val="4"/>
      <sheetId val="5"/>
      <sheetId val="6"/>
      <sheetId val="7"/>
      <sheetId val="8"/>
      <sheetId val="9"/>
    </sheetIdMap>
  </header>
  <header guid="{40500BDD-182E-4B3A-9BB6-586BB48A5968}" dateTime="2020-09-11T16:30:33" maxSheetId="10" userName="EXTERNAL Nguyen Tuan Duong (Ban Vien, RBVH/EPS45)" r:id="rId557">
    <sheetIdMap count="9">
      <sheetId val="1"/>
      <sheetId val="2"/>
      <sheetId val="3"/>
      <sheetId val="4"/>
      <sheetId val="5"/>
      <sheetId val="6"/>
      <sheetId val="7"/>
      <sheetId val="8"/>
      <sheetId val="9"/>
    </sheetIdMap>
  </header>
  <header guid="{196F1257-E520-435F-9647-DC6230E4807A}" dateTime="2020-09-11T16:30:35" maxSheetId="10" userName="EXTERNAL Nguyen Tuan Duong (Ban Vien, RBVH/EPS45)" r:id="rId558">
    <sheetIdMap count="9">
      <sheetId val="1"/>
      <sheetId val="2"/>
      <sheetId val="3"/>
      <sheetId val="4"/>
      <sheetId val="5"/>
      <sheetId val="6"/>
      <sheetId val="7"/>
      <sheetId val="8"/>
      <sheetId val="9"/>
    </sheetIdMap>
  </header>
  <header guid="{F81AC095-B201-4D45-A528-2A5EBBF68065}" dateTime="2020-09-11T16:31:27" maxSheetId="10" userName="NCH7HC" r:id="rId559" minRId="6188">
    <sheetIdMap count="9">
      <sheetId val="1"/>
      <sheetId val="2"/>
      <sheetId val="3"/>
      <sheetId val="4"/>
      <sheetId val="5"/>
      <sheetId val="6"/>
      <sheetId val="7"/>
      <sheetId val="8"/>
      <sheetId val="9"/>
    </sheetIdMap>
  </header>
  <header guid="{1AD30E47-26B3-4804-A613-A302E739A1B4}" dateTime="2020-09-11T16:31:59" maxSheetId="10" userName="EXTERNAL Nguyen Tuan Duong (Ban Vien, RBVH/EPS45)" r:id="rId560">
    <sheetIdMap count="9">
      <sheetId val="1"/>
      <sheetId val="2"/>
      <sheetId val="3"/>
      <sheetId val="4"/>
      <sheetId val="5"/>
      <sheetId val="6"/>
      <sheetId val="7"/>
      <sheetId val="8"/>
      <sheetId val="9"/>
    </sheetIdMap>
  </header>
  <header guid="{7F4F903A-9428-4CF9-84C2-49E46E3EF4CE}" dateTime="2020-09-11T16:32:00" maxSheetId="10" userName="NCH7HC" r:id="rId561">
    <sheetIdMap count="9">
      <sheetId val="1"/>
      <sheetId val="2"/>
      <sheetId val="3"/>
      <sheetId val="4"/>
      <sheetId val="5"/>
      <sheetId val="6"/>
      <sheetId val="7"/>
      <sheetId val="8"/>
      <sheetId val="9"/>
    </sheetIdMap>
  </header>
  <header guid="{CD2FFE0A-AFB1-480D-8292-9AF59B2712CB}" dateTime="2020-09-11T16:34:52" maxSheetId="10" userName="EXTERNAL Nguyen Tuan Duong (Ban Vien, RBVH/EPS45)" r:id="rId562">
    <sheetIdMap count="9">
      <sheetId val="1"/>
      <sheetId val="2"/>
      <sheetId val="3"/>
      <sheetId val="4"/>
      <sheetId val="5"/>
      <sheetId val="6"/>
      <sheetId val="7"/>
      <sheetId val="8"/>
      <sheetId val="9"/>
    </sheetIdMap>
  </header>
  <header guid="{E9820A0E-D08F-4C22-935D-67708AA9C794}" dateTime="2020-09-11T17:01:26" maxSheetId="10" userName="NCH7HC" r:id="rId563" minRId="6197" maxRId="6198">
    <sheetIdMap count="9">
      <sheetId val="1"/>
      <sheetId val="2"/>
      <sheetId val="3"/>
      <sheetId val="4"/>
      <sheetId val="5"/>
      <sheetId val="6"/>
      <sheetId val="7"/>
      <sheetId val="8"/>
      <sheetId val="9"/>
    </sheetIdMap>
  </header>
  <header guid="{F3FEE90F-9416-4B29-A135-C80E1B6D1474}" dateTime="2020-09-11T17:33:22" maxSheetId="10" userName="EXTERNAL Phan The Nam (Ban Vien Company, RBVH/EPS45)" r:id="rId564">
    <sheetIdMap count="9">
      <sheetId val="1"/>
      <sheetId val="2"/>
      <sheetId val="3"/>
      <sheetId val="4"/>
      <sheetId val="5"/>
      <sheetId val="6"/>
      <sheetId val="7"/>
      <sheetId val="8"/>
      <sheetId val="9"/>
    </sheetIdMap>
  </header>
  <header guid="{E55C910C-2C2C-4CA0-8FA6-876A227AED40}" dateTime="2020-09-11T17:33:44" maxSheetId="10" userName="EXTERNAL Nguyen Tuan Duong (Ban Vien, RBVH/EPS45)" r:id="rId565">
    <sheetIdMap count="9">
      <sheetId val="1"/>
      <sheetId val="2"/>
      <sheetId val="3"/>
      <sheetId val="4"/>
      <sheetId val="5"/>
      <sheetId val="6"/>
      <sheetId val="7"/>
      <sheetId val="8"/>
      <sheetId val="9"/>
    </sheetIdMap>
  </header>
  <header guid="{7CC85651-076B-4D62-9B75-69EB8F3075C5}" dateTime="2020-09-11T17:33:47" maxSheetId="10" userName="EXTERNAL Nguyen Tuan Duong (Ban Vien, RBVH/EPS45)" r:id="rId566">
    <sheetIdMap count="9">
      <sheetId val="1"/>
      <sheetId val="2"/>
      <sheetId val="3"/>
      <sheetId val="4"/>
      <sheetId val="5"/>
      <sheetId val="6"/>
      <sheetId val="7"/>
      <sheetId val="8"/>
      <sheetId val="9"/>
    </sheetIdMap>
  </header>
  <header guid="{4BC8FFA2-9C74-4108-BCF9-55E48B8163F4}" dateTime="2020-09-11T17:40:55" maxSheetId="10" userName="gup7hc" r:id="rId567" minRId="6205" maxRId="6217">
    <sheetIdMap count="9">
      <sheetId val="1"/>
      <sheetId val="2"/>
      <sheetId val="3"/>
      <sheetId val="4"/>
      <sheetId val="5"/>
      <sheetId val="6"/>
      <sheetId val="7"/>
      <sheetId val="8"/>
      <sheetId val="9"/>
    </sheetIdMap>
  </header>
  <header guid="{EB014FD9-9BCC-41A1-B139-B535BD552563}" dateTime="2020-09-11T17:46:29" maxSheetId="10" userName="EXTERNAL Nguyen Tuan Duong (Ban Vien, RBVH/EPS45)" r:id="rId568" minRId="6220" maxRId="6518">
    <sheetIdMap count="9">
      <sheetId val="1"/>
      <sheetId val="2"/>
      <sheetId val="3"/>
      <sheetId val="4"/>
      <sheetId val="5"/>
      <sheetId val="6"/>
      <sheetId val="7"/>
      <sheetId val="8"/>
      <sheetId val="9"/>
    </sheetIdMap>
  </header>
  <header guid="{CBA683A0-ED68-477C-BC81-72F22729D3B7}" dateTime="2020-09-11T17:48:57" maxSheetId="10" userName="EXTERNAL Nguyen Tuan Duong (Ban Vien, RBVH/EPS45)" r:id="rId569" minRId="6521" maxRId="6678">
    <sheetIdMap count="9">
      <sheetId val="1"/>
      <sheetId val="2"/>
      <sheetId val="3"/>
      <sheetId val="4"/>
      <sheetId val="5"/>
      <sheetId val="6"/>
      <sheetId val="7"/>
      <sheetId val="8"/>
      <sheetId val="9"/>
    </sheetIdMap>
  </header>
  <header guid="{9CEAE76E-4EC0-42C6-98E5-86E459D8DFD6}" dateTime="2020-09-11T17:51:57" maxSheetId="10" userName="EXTERNAL Nguyen Tuan Duong (Ban Vien, RBVH/EPS45)" r:id="rId570" minRId="6681" maxRId="6720">
    <sheetIdMap count="9">
      <sheetId val="1"/>
      <sheetId val="2"/>
      <sheetId val="3"/>
      <sheetId val="4"/>
      <sheetId val="5"/>
      <sheetId val="6"/>
      <sheetId val="7"/>
      <sheetId val="8"/>
      <sheetId val="9"/>
    </sheetIdMap>
  </header>
  <header guid="{26D22865-A2C4-4BC8-BB91-89E31AD009B7}" dateTime="2020-09-11T17:52:38" maxSheetId="10" userName="EXTERNAL Nguyen Tuan Duong (Ban Vien, RBVH/EPS45)" r:id="rId571" minRId="6721" maxRId="6740">
    <sheetIdMap count="9">
      <sheetId val="1"/>
      <sheetId val="2"/>
      <sheetId val="3"/>
      <sheetId val="4"/>
      <sheetId val="5"/>
      <sheetId val="6"/>
      <sheetId val="7"/>
      <sheetId val="8"/>
      <sheetId val="9"/>
    </sheetIdMap>
  </header>
  <header guid="{2929A766-EA08-4CAA-953B-1A4F75A839C6}" dateTime="2020-09-11T17:52:58" maxSheetId="10" userName="EXTERNAL Nguyen Tuan Duong (Ban Vien, RBVH/EPS45)" r:id="rId572" minRId="6743" maxRId="6747">
    <sheetIdMap count="9">
      <sheetId val="1"/>
      <sheetId val="2"/>
      <sheetId val="3"/>
      <sheetId val="4"/>
      <sheetId val="5"/>
      <sheetId val="6"/>
      <sheetId val="7"/>
      <sheetId val="8"/>
      <sheetId val="9"/>
    </sheetIdMap>
  </header>
  <header guid="{9F51E041-2346-4413-B4AE-185BDD998EB6}" dateTime="2020-09-11T17:53:01" maxSheetId="10" userName="EXTERNAL Nguyen Tuan Duong (Ban Vien, RBVH/EPS45)" r:id="rId573">
    <sheetIdMap count="9">
      <sheetId val="1"/>
      <sheetId val="2"/>
      <sheetId val="3"/>
      <sheetId val="4"/>
      <sheetId val="5"/>
      <sheetId val="6"/>
      <sheetId val="7"/>
      <sheetId val="8"/>
      <sheetId val="9"/>
    </sheetIdMap>
  </header>
  <header guid="{86365C9C-4880-459C-8076-485A905F959C}" dateTime="2020-09-11T17:53:53" maxSheetId="10" userName="EXTERNAL Nguyen Tuan Duong (Ban Vien, RBVH/EPS45)" r:id="rId574">
    <sheetIdMap count="9">
      <sheetId val="1"/>
      <sheetId val="2"/>
      <sheetId val="3"/>
      <sheetId val="4"/>
      <sheetId val="5"/>
      <sheetId val="6"/>
      <sheetId val="7"/>
      <sheetId val="8"/>
      <sheetId val="9"/>
    </sheetIdMap>
  </header>
  <header guid="{4A8496C1-6472-42EE-A7BB-2ABEBD08FC04}" dateTime="2020-09-11T17:54:21" maxSheetId="10" userName="EXTERNAL Nguyen Tuan Duong (Ban Vien, RBVH/EPS45)" r:id="rId575" minRId="6754">
    <sheetIdMap count="9">
      <sheetId val="1"/>
      <sheetId val="2"/>
      <sheetId val="3"/>
      <sheetId val="4"/>
      <sheetId val="5"/>
      <sheetId val="6"/>
      <sheetId val="7"/>
      <sheetId val="8"/>
      <sheetId val="9"/>
    </sheetIdMap>
  </header>
  <header guid="{0788811F-75F4-4B1D-9E40-871077C37622}" dateTime="2020-09-11T17:54:44" maxSheetId="10" userName="EXTERNAL Nguyen Tuan Duong (Ban Vien, RBVH/EPS45)" r:id="rId576" minRId="6757">
    <sheetIdMap count="9">
      <sheetId val="1"/>
      <sheetId val="2"/>
      <sheetId val="3"/>
      <sheetId val="4"/>
      <sheetId val="5"/>
      <sheetId val="6"/>
      <sheetId val="7"/>
      <sheetId val="8"/>
      <sheetId val="9"/>
    </sheetIdMap>
  </header>
  <header guid="{7C3D8A06-4013-4120-B973-1385EBF91BA4}" dateTime="2020-09-11T17:54:50" maxSheetId="10" userName="EXTERNAL Nguyen Tuan Duong (Ban Vien, RBVH/EPS45)" r:id="rId577">
    <sheetIdMap count="9">
      <sheetId val="1"/>
      <sheetId val="2"/>
      <sheetId val="3"/>
      <sheetId val="4"/>
      <sheetId val="5"/>
      <sheetId val="6"/>
      <sheetId val="7"/>
      <sheetId val="8"/>
      <sheetId val="9"/>
    </sheetIdMap>
  </header>
  <header guid="{42652972-F9A9-406A-B3D5-C8077A5AB86B}" dateTime="2020-09-11T17:55:08" maxSheetId="10" userName="EXTERNAL Nguyen Tuan Duong (Ban Vien, RBVH/EPS45)" r:id="rId578">
    <sheetIdMap count="9">
      <sheetId val="1"/>
      <sheetId val="2"/>
      <sheetId val="3"/>
      <sheetId val="4"/>
      <sheetId val="5"/>
      <sheetId val="6"/>
      <sheetId val="7"/>
      <sheetId val="8"/>
      <sheetId val="9"/>
    </sheetIdMap>
  </header>
  <header guid="{84A434A0-5BFC-4406-A31D-B83CA824367E}" dateTime="2020-09-11T17:55:09" maxSheetId="10" userName="EXTERNAL Nguyen Tuan Duong (Ban Vien, RBVH/EPS45)" r:id="rId579">
    <sheetIdMap count="9">
      <sheetId val="1"/>
      <sheetId val="2"/>
      <sheetId val="3"/>
      <sheetId val="4"/>
      <sheetId val="5"/>
      <sheetId val="6"/>
      <sheetId val="7"/>
      <sheetId val="8"/>
      <sheetId val="9"/>
    </sheetIdMap>
  </header>
  <header guid="{0DC50695-A94D-4E4C-8278-3CEA45FABA56}" dateTime="2020-09-11T17:55:09" maxSheetId="10" userName="EXTERNAL Nguyen Tuan Duong (Ban Vien, RBVH/EPS45)" r:id="rId580">
    <sheetIdMap count="9">
      <sheetId val="1"/>
      <sheetId val="2"/>
      <sheetId val="3"/>
      <sheetId val="4"/>
      <sheetId val="5"/>
      <sheetId val="6"/>
      <sheetId val="7"/>
      <sheetId val="8"/>
      <sheetId val="9"/>
    </sheetIdMap>
  </header>
  <header guid="{2BAAE0CC-6CEE-4552-ABD9-0BE09B5C0230}" dateTime="2020-09-11T17:55:09" maxSheetId="10" userName="EXTERNAL Nguyen Tuan Duong (Ban Vien, RBVH/EPS45)" r:id="rId581">
    <sheetIdMap count="9">
      <sheetId val="1"/>
      <sheetId val="2"/>
      <sheetId val="3"/>
      <sheetId val="4"/>
      <sheetId val="5"/>
      <sheetId val="6"/>
      <sheetId val="7"/>
      <sheetId val="8"/>
      <sheetId val="9"/>
    </sheetIdMap>
  </header>
  <header guid="{B0743270-F305-4DDE-ACC3-5423628BD33D}" dateTime="2020-09-11T17:55:10" maxSheetId="10" userName="EXTERNAL Nguyen Tuan Duong (Ban Vien, RBVH/EPS45)" r:id="rId582">
    <sheetIdMap count="9">
      <sheetId val="1"/>
      <sheetId val="2"/>
      <sheetId val="3"/>
      <sheetId val="4"/>
      <sheetId val="5"/>
      <sheetId val="6"/>
      <sheetId val="7"/>
      <sheetId val="8"/>
      <sheetId val="9"/>
    </sheetIdMap>
  </header>
  <header guid="{C046AA17-C6B0-45CA-9E89-DD9495DDF01B}" dateTime="2020-09-11T17:55:10" maxSheetId="10" userName="EXTERNAL Nguyen Tuan Duong (Ban Vien, RBVH/EPS45)" r:id="rId583">
    <sheetIdMap count="9">
      <sheetId val="1"/>
      <sheetId val="2"/>
      <sheetId val="3"/>
      <sheetId val="4"/>
      <sheetId val="5"/>
      <sheetId val="6"/>
      <sheetId val="7"/>
      <sheetId val="8"/>
      <sheetId val="9"/>
    </sheetIdMap>
  </header>
  <header guid="{EAB55BA3-28B0-4DE7-B59C-E04E31880299}" dateTime="2020-09-11T17:55:11" maxSheetId="10" userName="EXTERNAL Nguyen Tuan Duong (Ban Vien, RBVH/EPS45)" r:id="rId584">
    <sheetIdMap count="9">
      <sheetId val="1"/>
      <sheetId val="2"/>
      <sheetId val="3"/>
      <sheetId val="4"/>
      <sheetId val="5"/>
      <sheetId val="6"/>
      <sheetId val="7"/>
      <sheetId val="8"/>
      <sheetId val="9"/>
    </sheetIdMap>
  </header>
  <header guid="{0BCF6E53-CFE2-4153-B42A-096B7167A963}" dateTime="2020-09-11T17:55:11" maxSheetId="10" userName="EXTERNAL Nguyen Tuan Duong (Ban Vien, RBVH/EPS45)" r:id="rId585">
    <sheetIdMap count="9">
      <sheetId val="1"/>
      <sheetId val="2"/>
      <sheetId val="3"/>
      <sheetId val="4"/>
      <sheetId val="5"/>
      <sheetId val="6"/>
      <sheetId val="7"/>
      <sheetId val="8"/>
      <sheetId val="9"/>
    </sheetIdMap>
  </header>
  <header guid="{BA9A90BA-1185-41C2-A725-60C57C3EB219}" dateTime="2020-09-11T17:55:11" maxSheetId="10" userName="EXTERNAL Nguyen Tuan Duong (Ban Vien, RBVH/EPS45)" r:id="rId586">
    <sheetIdMap count="9">
      <sheetId val="1"/>
      <sheetId val="2"/>
      <sheetId val="3"/>
      <sheetId val="4"/>
      <sheetId val="5"/>
      <sheetId val="6"/>
      <sheetId val="7"/>
      <sheetId val="8"/>
      <sheetId val="9"/>
    </sheetIdMap>
  </header>
  <header guid="{ED65D16F-6C11-41B0-A9FC-EF69075F7B4D}" dateTime="2020-09-11T17:55:12" maxSheetId="10" userName="EXTERNAL Nguyen Tuan Duong (Ban Vien, RBVH/EPS45)" r:id="rId587">
    <sheetIdMap count="9">
      <sheetId val="1"/>
      <sheetId val="2"/>
      <sheetId val="3"/>
      <sheetId val="4"/>
      <sheetId val="5"/>
      <sheetId val="6"/>
      <sheetId val="7"/>
      <sheetId val="8"/>
      <sheetId val="9"/>
    </sheetIdMap>
  </header>
  <header guid="{CBC34C17-FE1D-4F47-B5A1-8EF0C5270CAA}" dateTime="2020-09-11T17:57:26" maxSheetId="10" userName="EXTERNAL Nguyen Tuan Duong (Ban Vien, RBVH/EPS45)" r:id="rId588" minRId="6782" maxRId="6807">
    <sheetIdMap count="9">
      <sheetId val="1"/>
      <sheetId val="2"/>
      <sheetId val="3"/>
      <sheetId val="4"/>
      <sheetId val="5"/>
      <sheetId val="6"/>
      <sheetId val="7"/>
      <sheetId val="8"/>
      <sheetId val="9"/>
    </sheetIdMap>
  </header>
  <header guid="{36641E7E-B1A3-4A23-A2A0-534AF62C86B7}" dateTime="2020-09-11T17:57:35" maxSheetId="10" userName="EXTERNAL Nguyen Tuan Duong (Ban Vien, RBVH/EPS45)" r:id="rId589" minRId="6811" maxRId="6812">
    <sheetIdMap count="9">
      <sheetId val="1"/>
      <sheetId val="2"/>
      <sheetId val="3"/>
      <sheetId val="4"/>
      <sheetId val="5"/>
      <sheetId val="6"/>
      <sheetId val="7"/>
      <sheetId val="8"/>
      <sheetId val="9"/>
    </sheetIdMap>
  </header>
  <header guid="{50AE92F0-D4FF-4B74-A1C9-5820AD45BE87}" dateTime="2020-09-11T17:57:36" maxSheetId="10" userName="EXTERNAL Nguyen Tuan Duong (Ban Vien, RBVH/EPS45)" r:id="rId590">
    <sheetIdMap count="9">
      <sheetId val="1"/>
      <sheetId val="2"/>
      <sheetId val="3"/>
      <sheetId val="4"/>
      <sheetId val="5"/>
      <sheetId val="6"/>
      <sheetId val="7"/>
      <sheetId val="8"/>
      <sheetId val="9"/>
    </sheetIdMap>
  </header>
  <header guid="{9BE9BC82-0039-4E20-B524-36FD90CA6993}" dateTime="2020-09-11T17:57:36" maxSheetId="10" userName="EXTERNAL Nguyen Tuan Duong (Ban Vien, RBVH/EPS45)" r:id="rId591">
    <sheetIdMap count="9">
      <sheetId val="1"/>
      <sheetId val="2"/>
      <sheetId val="3"/>
      <sheetId val="4"/>
      <sheetId val="5"/>
      <sheetId val="6"/>
      <sheetId val="7"/>
      <sheetId val="8"/>
      <sheetId val="9"/>
    </sheetIdMap>
  </header>
  <header guid="{DBF8996C-A60F-48A8-8168-1D9F4F7A7843}" dateTime="2020-09-11T17:57:37" maxSheetId="10" userName="EXTERNAL Nguyen Tuan Duong (Ban Vien, RBVH/EPS45)" r:id="rId592">
    <sheetIdMap count="9">
      <sheetId val="1"/>
      <sheetId val="2"/>
      <sheetId val="3"/>
      <sheetId val="4"/>
      <sheetId val="5"/>
      <sheetId val="6"/>
      <sheetId val="7"/>
      <sheetId val="8"/>
      <sheetId val="9"/>
    </sheetIdMap>
  </header>
  <header guid="{C2978130-FEE3-4015-94E5-B30F5EB7F330}" dateTime="2020-09-11T17:57:37" maxSheetId="10" userName="EXTERNAL Nguyen Tuan Duong (Ban Vien, RBVH/EPS45)" r:id="rId593">
    <sheetIdMap count="9">
      <sheetId val="1"/>
      <sheetId val="2"/>
      <sheetId val="3"/>
      <sheetId val="4"/>
      <sheetId val="5"/>
      <sheetId val="6"/>
      <sheetId val="7"/>
      <sheetId val="8"/>
      <sheetId val="9"/>
    </sheetIdMap>
  </header>
  <header guid="{3AA41CEB-3CAA-43FA-BF84-864F3082379B}" dateTime="2020-09-11T17:57:37" maxSheetId="10" userName="EXTERNAL Nguyen Tuan Duong (Ban Vien, RBVH/EPS45)" r:id="rId594">
    <sheetIdMap count="9">
      <sheetId val="1"/>
      <sheetId val="2"/>
      <sheetId val="3"/>
      <sheetId val="4"/>
      <sheetId val="5"/>
      <sheetId val="6"/>
      <sheetId val="7"/>
      <sheetId val="8"/>
      <sheetId val="9"/>
    </sheetIdMap>
  </header>
  <header guid="{047B1160-C5DF-4905-8455-F14B1D9E70D7}" dateTime="2020-09-11T17:57:38" maxSheetId="10" userName="EXTERNAL Nguyen Tuan Duong (Ban Vien, RBVH/EPS45)" r:id="rId595">
    <sheetIdMap count="9">
      <sheetId val="1"/>
      <sheetId val="2"/>
      <sheetId val="3"/>
      <sheetId val="4"/>
      <sheetId val="5"/>
      <sheetId val="6"/>
      <sheetId val="7"/>
      <sheetId val="8"/>
      <sheetId val="9"/>
    </sheetIdMap>
  </header>
  <header guid="{97D76E18-9690-4865-AAC3-590ED2A5DC47}" dateTime="2020-09-11T17:57:42" maxSheetId="10" userName="EXTERNAL Nguyen Tuan Duong (Ban Vien, RBVH/EPS45)" r:id="rId596" minRId="6834" maxRId="6847">
    <sheetIdMap count="9">
      <sheetId val="1"/>
      <sheetId val="2"/>
      <sheetId val="3"/>
      <sheetId val="4"/>
      <sheetId val="5"/>
      <sheetId val="6"/>
      <sheetId val="7"/>
      <sheetId val="8"/>
      <sheetId val="9"/>
    </sheetIdMap>
  </header>
  <header guid="{5B4E5592-292E-4147-B571-7D2083569270}" dateTime="2020-09-11T17:57:48" maxSheetId="10" userName="EXTERNAL Nguyen Tuan Duong (Ban Vien, RBVH/EPS45)" r:id="rId597">
    <sheetIdMap count="9">
      <sheetId val="1"/>
      <sheetId val="2"/>
      <sheetId val="3"/>
      <sheetId val="4"/>
      <sheetId val="5"/>
      <sheetId val="6"/>
      <sheetId val="7"/>
      <sheetId val="8"/>
      <sheetId val="9"/>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 sId="1" ref="A243:XFD243" action="insertRow"/>
  <rrc rId="2" sId="1" ref="A243:XFD243" action="insertRow"/>
  <rrc rId="3" sId="1" ref="A243:XFD243" action="insertRow"/>
  <rrc rId="4" sId="1" ref="A243:XFD243" action="insertRow"/>
  <rrc rId="5" sId="1" ref="A243:XFD243" action="insertRow"/>
  <rrc rId="6" sId="1" ref="A243:XFD243" action="insertRow"/>
  <rrc rId="7" sId="1" ref="A243:XFD243" action="insertRow"/>
  <rrc rId="8" sId="1" ref="A243:XFD243" action="insertRow"/>
  <rrc rId="9" sId="1" ref="A243:XFD243" action="insertRow"/>
  <rrc rId="10" sId="1" ref="A243:XFD243" action="insertRow"/>
  <rrc rId="11" sId="1" ref="A243:XFD243" action="insertRow"/>
  <rrc rId="12" sId="1" ref="A243:XFD243" action="insertRow"/>
  <rrc rId="13" sId="1" ref="A243:XFD243" action="insertRow"/>
  <rrc rId="14" sId="1" ref="A243:XFD243" action="insertRow"/>
  <rrc rId="15" sId="1" ref="A243:XFD243" action="insertRow"/>
  <rrc rId="16" sId="1" ref="A243:XFD243" action="insertRow"/>
  <rrc rId="17" sId="1" ref="A243:XFD243" action="insertRow"/>
  <rrc rId="18" sId="1" ref="A243:XFD243" action="insertRow"/>
  <rrc rId="19" sId="1" ref="A243:XFD243" action="insertRow"/>
  <rrc rId="20" sId="1" ref="A243:XFD243" action="insertRow"/>
  <rrc rId="21" sId="1" ref="A243:XFD243" action="insertRow"/>
  <rrc rId="22" sId="1" ref="A243:XFD243" action="insertRow"/>
  <rrc rId="23" sId="1" ref="A243:XFD243" action="insertRow"/>
  <rrc rId="24" sId="1" ref="A243:XFD243" action="insertRow"/>
  <rrc rId="25" sId="1" ref="A243:XFD243" action="insertRow"/>
  <rrc rId="26" sId="1" ref="A243:XFD243" action="insertRow"/>
  <rrc rId="27" sId="1" ref="A243:XFD243" action="insertRow"/>
  <rrc rId="28" sId="1" ref="A245:XFD263" action="insertRow"/>
  <rrc rId="29" sId="1" ref="A245:XFD263" action="insertRow"/>
  <rrc rId="30" sId="1" ref="A245:XFD263" action="insertRow"/>
  <rcc rId="31" sId="1" xfDxf="1" dxf="1">
    <nc r="E242" t="inlineStr">
      <is>
        <t>225059 JMC Carbon V348 MCA2 BSS05_SP02</t>
      </is>
    </nc>
    <ndxf>
      <alignment horizontal="left" vertical="top" readingOrder="0"/>
      <border outline="0">
        <left style="thin">
          <color indexed="64"/>
        </left>
        <right style="thin">
          <color indexed="64"/>
        </right>
        <top style="thin">
          <color indexed="64"/>
        </top>
        <bottom style="thin">
          <color indexed="64"/>
        </bottom>
      </border>
    </ndxf>
  </rcc>
  <rcc rId="32" sId="1" xfDxf="1" dxf="1">
    <nc r="E243" t="inlineStr">
      <is>
        <t>225059 JMC Carbon V348 MCA2 BSS05_SP02</t>
      </is>
    </nc>
    <ndxf>
      <alignment horizontal="left" vertical="top" readingOrder="0"/>
      <border outline="0">
        <left style="thin">
          <color indexed="64"/>
        </left>
        <right style="thin">
          <color indexed="64"/>
        </right>
        <top style="thin">
          <color indexed="64"/>
        </top>
        <bottom style="thin">
          <color indexed="64"/>
        </bottom>
      </border>
    </ndxf>
  </rcc>
  <rcc rId="33" sId="1" xfDxf="1" dxf="1">
    <nc r="E244" t="inlineStr">
      <is>
        <t>225059 JMC Carbon V348 MCA2 BSS05_SP02</t>
      </is>
    </nc>
    <ndxf>
      <alignment horizontal="left" vertical="top" readingOrder="0"/>
      <border outline="0">
        <left style="thin">
          <color indexed="64"/>
        </left>
        <right style="thin">
          <color indexed="64"/>
        </right>
        <top style="thin">
          <color indexed="64"/>
        </top>
        <bottom style="thin">
          <color indexed="64"/>
        </bottom>
      </border>
    </ndxf>
  </rcc>
  <rcc rId="34" sId="1" xfDxf="1" dxf="1">
    <nc r="E245" t="inlineStr">
      <is>
        <t>225059 JMC Carbon V348 MCA2 BSS05_SP02</t>
      </is>
    </nc>
    <ndxf>
      <alignment horizontal="left" vertical="top" readingOrder="0"/>
      <border outline="0">
        <left style="thin">
          <color indexed="64"/>
        </left>
        <right style="thin">
          <color indexed="64"/>
        </right>
        <top style="thin">
          <color indexed="64"/>
        </top>
        <bottom style="thin">
          <color indexed="64"/>
        </bottom>
      </border>
    </ndxf>
  </rcc>
  <rcc rId="35" sId="1" xfDxf="1" dxf="1">
    <nc r="E246" t="inlineStr">
      <is>
        <t>225059 JMC Carbon V348 MCA2 BSS05_SP02</t>
      </is>
    </nc>
    <ndxf>
      <alignment horizontal="left" vertical="top" readingOrder="0"/>
      <border outline="0">
        <left style="thin">
          <color indexed="64"/>
        </left>
        <right style="thin">
          <color indexed="64"/>
        </right>
        <top style="thin">
          <color indexed="64"/>
        </top>
        <bottom style="thin">
          <color indexed="64"/>
        </bottom>
      </border>
    </ndxf>
  </rcc>
  <rcc rId="36" sId="1" xfDxf="1" dxf="1">
    <nc r="E247" t="inlineStr">
      <is>
        <t>225059 JMC Carbon V348 MCA2 BSS05_SP02</t>
      </is>
    </nc>
    <ndxf>
      <alignment horizontal="left" vertical="top" readingOrder="0"/>
      <border outline="0">
        <left style="thin">
          <color indexed="64"/>
        </left>
        <right style="thin">
          <color indexed="64"/>
        </right>
        <top style="thin">
          <color indexed="64"/>
        </top>
        <bottom style="thin">
          <color indexed="64"/>
        </bottom>
      </border>
    </ndxf>
  </rcc>
  <rcc rId="37" sId="1" xfDxf="1" dxf="1">
    <nc r="E248" t="inlineStr">
      <is>
        <t>225059 JMC Carbon V348 MCA2 BSS05_SP02</t>
      </is>
    </nc>
    <ndxf>
      <alignment horizontal="left" vertical="top" readingOrder="0"/>
      <border outline="0">
        <left style="thin">
          <color indexed="64"/>
        </left>
        <right style="thin">
          <color indexed="64"/>
        </right>
        <top style="thin">
          <color indexed="64"/>
        </top>
        <bottom style="thin">
          <color indexed="64"/>
        </bottom>
      </border>
    </ndxf>
  </rcc>
  <rcc rId="38" sId="1" xfDxf="1" dxf="1">
    <nc r="E249" t="inlineStr">
      <is>
        <t>225059 JMC Carbon V348 MCA2 BSS05_SP02</t>
      </is>
    </nc>
    <ndxf>
      <alignment horizontal="left" vertical="top" readingOrder="0"/>
      <border outline="0">
        <left style="thin">
          <color indexed="64"/>
        </left>
        <right style="thin">
          <color indexed="64"/>
        </right>
        <top style="thin">
          <color indexed="64"/>
        </top>
        <bottom style="thin">
          <color indexed="64"/>
        </bottom>
      </border>
    </ndxf>
  </rcc>
  <rcc rId="39" sId="1" xfDxf="1" dxf="1">
    <nc r="E250" t="inlineStr">
      <is>
        <t>225059 JMC Carbon V348 MCA2 BSS05_SP02</t>
      </is>
    </nc>
    <ndxf>
      <alignment horizontal="left" vertical="top" readingOrder="0"/>
      <border outline="0">
        <left style="thin">
          <color indexed="64"/>
        </left>
        <right style="thin">
          <color indexed="64"/>
        </right>
        <top style="thin">
          <color indexed="64"/>
        </top>
        <bottom style="thin">
          <color indexed="64"/>
        </bottom>
      </border>
    </ndxf>
  </rcc>
  <rcc rId="40" sId="1" xfDxf="1" dxf="1">
    <nc r="E251" t="inlineStr">
      <is>
        <t>225059 JMC Carbon V348 MCA2 BSS05_SP02</t>
      </is>
    </nc>
    <ndxf>
      <alignment horizontal="left" vertical="top" readingOrder="0"/>
      <border outline="0">
        <left style="thin">
          <color indexed="64"/>
        </left>
        <right style="thin">
          <color indexed="64"/>
        </right>
        <top style="thin">
          <color indexed="64"/>
        </top>
        <bottom style="thin">
          <color indexed="64"/>
        </bottom>
      </border>
    </ndxf>
  </rcc>
  <rcc rId="41" sId="1" xfDxf="1" dxf="1">
    <nc r="E252" t="inlineStr">
      <is>
        <t>225059 JMC Carbon V348 MCA2 BSS05_SP02</t>
      </is>
    </nc>
    <ndxf>
      <alignment horizontal="left" vertical="top" readingOrder="0"/>
      <border outline="0">
        <left style="thin">
          <color indexed="64"/>
        </left>
        <right style="thin">
          <color indexed="64"/>
        </right>
        <top style="thin">
          <color indexed="64"/>
        </top>
        <bottom style="thin">
          <color indexed="64"/>
        </bottom>
      </border>
    </ndxf>
  </rcc>
  <rcc rId="42" sId="1" xfDxf="1" dxf="1">
    <nc r="E253" t="inlineStr">
      <is>
        <t>225059 JMC Carbon V348 MCA2 BSS05_SP02</t>
      </is>
    </nc>
    <ndxf>
      <alignment horizontal="left" vertical="top" readingOrder="0"/>
      <border outline="0">
        <left style="thin">
          <color indexed="64"/>
        </left>
        <right style="thin">
          <color indexed="64"/>
        </right>
        <top style="thin">
          <color indexed="64"/>
        </top>
        <bottom style="thin">
          <color indexed="64"/>
        </bottom>
      </border>
    </ndxf>
  </rcc>
  <rcc rId="43" sId="1" xfDxf="1" dxf="1">
    <nc r="E254"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44" sId="1" xfDxf="1" dxf="1">
    <nc r="E255"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45" sId="1" xfDxf="1" dxf="1">
    <nc r="E256"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46" sId="1" xfDxf="1" dxf="1">
    <nc r="E257"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47" sId="1" xfDxf="1" dxf="1">
    <nc r="E258"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48" sId="1" xfDxf="1" dxf="1">
    <nc r="E259"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49" sId="1" xfDxf="1" dxf="1">
    <nc r="E260"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50" sId="1" xfDxf="1" dxf="1">
    <nc r="E261"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51" sId="1" xfDxf="1" dxf="1">
    <nc r="E262"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52" sId="1" xfDxf="1" dxf="1">
    <nc r="E263"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53" sId="1" xfDxf="1" dxf="1">
    <nc r="E264"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54" sId="1" xfDxf="1" dxf="1">
    <nc r="E265"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55" sId="1" xfDxf="1" dxf="1">
    <nc r="E266"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56" sId="1" xfDxf="1" dxf="1">
    <nc r="E267"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57" sId="1" xfDxf="1" dxf="1">
    <nc r="E268"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58" sId="1" xfDxf="1" dxf="1">
    <nc r="E269"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59" sId="1" xfDxf="1" dxf="1">
    <nc r="E270"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60" sId="1" xfDxf="1" dxf="1">
    <nc r="E271"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61" sId="1" xfDxf="1" dxf="1">
    <nc r="E272"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62" sId="1" xfDxf="1" dxf="1">
    <nc r="E273"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63" sId="1" xfDxf="1" dxf="1">
    <nc r="E274"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64" sId="1" xfDxf="1" dxf="1">
    <nc r="E275"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65" sId="1" xfDxf="1" dxf="1">
    <nc r="E276"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66" sId="1" xfDxf="1" dxf="1">
    <nc r="E277"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67" sId="1" xfDxf="1" dxf="1">
    <nc r="E278"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68" sId="1" xfDxf="1" dxf="1">
    <nc r="E279"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69" sId="1" xfDxf="1" dxf="1">
    <nc r="E280"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70" sId="1" xfDxf="1" dxf="1">
    <nc r="E281"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71" sId="1" xfDxf="1" dxf="1">
    <nc r="E282"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72" sId="1" xfDxf="1" dxf="1">
    <nc r="E283"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73" sId="1" xfDxf="1" dxf="1">
    <nc r="E284"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74" sId="1" xfDxf="1" dxf="1">
    <nc r="E285"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75" sId="1" xfDxf="1" dxf="1">
    <nc r="E286"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76" sId="1" xfDxf="1" dxf="1">
    <nc r="E287"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77" sId="1" xfDxf="1" dxf="1">
    <nc r="E288"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78" sId="1" xfDxf="1" dxf="1">
    <nc r="E289"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79" sId="1" xfDxf="1" dxf="1">
    <nc r="E290"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80" sId="1" xfDxf="1" dxf="1">
    <nc r="E291"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81" sId="1" xfDxf="1" dxf="1">
    <nc r="E292" t="inlineStr">
      <is>
        <t>FAW C100 IPB BSS02</t>
      </is>
    </nc>
    <ndxf>
      <alignment horizontal="left" vertical="top" readingOrder="0"/>
      <border outline="0">
        <left style="thin">
          <color indexed="64"/>
        </left>
        <right style="thin">
          <color indexed="64"/>
        </right>
        <top style="thin">
          <color indexed="64"/>
        </top>
        <bottom style="thin">
          <color indexed="64"/>
        </bottom>
      </border>
    </ndxf>
  </rcc>
  <rcc rId="82" sId="1" xfDxf="1" dxf="1">
    <nc r="E293" t="inlineStr">
      <is>
        <t>AB30_9DCT_CP_BSS09_Sprint2</t>
      </is>
    </nc>
    <ndxf>
      <alignment horizontal="left" vertical="top" readingOrder="0"/>
      <border outline="0">
        <left style="thin">
          <color indexed="64"/>
        </left>
        <right style="thin">
          <color indexed="64"/>
        </right>
        <top style="thin">
          <color indexed="64"/>
        </top>
        <bottom style="thin">
          <color indexed="64"/>
        </bottom>
      </border>
    </ndxf>
  </rcc>
  <rcc rId="83" sId="1">
    <nc r="D242" t="inlineStr">
      <is>
        <t>PSW</t>
      </is>
    </nc>
  </rcc>
  <rcc rId="84" sId="1">
    <nc r="D243" t="inlineStr">
      <is>
        <t>PSW</t>
      </is>
    </nc>
  </rcc>
  <rcc rId="85" sId="1">
    <nc r="D244" t="inlineStr">
      <is>
        <t>PSW</t>
      </is>
    </nc>
  </rcc>
  <rcc rId="86" sId="1">
    <nc r="D245" t="inlineStr">
      <is>
        <t>PSW</t>
      </is>
    </nc>
  </rcc>
  <rcc rId="87" sId="1">
    <nc r="D246" t="inlineStr">
      <is>
        <t>PSW</t>
      </is>
    </nc>
  </rcc>
  <rcc rId="88" sId="1">
    <nc r="D247" t="inlineStr">
      <is>
        <t>PSW</t>
      </is>
    </nc>
  </rcc>
  <rcc rId="89" sId="1">
    <nc r="D248" t="inlineStr">
      <is>
        <t>PSW</t>
      </is>
    </nc>
  </rcc>
  <rcc rId="90" sId="1">
    <nc r="D249" t="inlineStr">
      <is>
        <t>PSW</t>
      </is>
    </nc>
  </rcc>
  <rcc rId="91" sId="1">
    <nc r="D250" t="inlineStr">
      <is>
        <t>PSW</t>
      </is>
    </nc>
  </rcc>
  <rcc rId="92" sId="1">
    <nc r="D251" t="inlineStr">
      <is>
        <t>PSW</t>
      </is>
    </nc>
  </rcc>
  <rcc rId="93" sId="1">
    <nc r="D252" t="inlineStr">
      <is>
        <t>PSW</t>
      </is>
    </nc>
  </rcc>
  <rcc rId="94" sId="1">
    <nc r="D253" t="inlineStr">
      <is>
        <t>PSW</t>
      </is>
    </nc>
  </rcc>
  <rcc rId="95" sId="1">
    <nc r="D254" t="inlineStr">
      <is>
        <t>PSW</t>
      </is>
    </nc>
  </rcc>
  <rcc rId="96" sId="1">
    <nc r="D255" t="inlineStr">
      <is>
        <t>PSW</t>
      </is>
    </nc>
  </rcc>
  <rcc rId="97" sId="1">
    <nc r="D256" t="inlineStr">
      <is>
        <t>PSW</t>
      </is>
    </nc>
  </rcc>
  <rcc rId="98" sId="1">
    <nc r="D257" t="inlineStr">
      <is>
        <t>PSW</t>
      </is>
    </nc>
  </rcc>
  <rcc rId="99" sId="1">
    <nc r="D258" t="inlineStr">
      <is>
        <t>PSW</t>
      </is>
    </nc>
  </rcc>
  <rcc rId="100" sId="1">
    <nc r="D259" t="inlineStr">
      <is>
        <t>PSW</t>
      </is>
    </nc>
  </rcc>
  <rcc rId="101" sId="1">
    <nc r="D260" t="inlineStr">
      <is>
        <t>PSW</t>
      </is>
    </nc>
  </rcc>
  <rcc rId="102" sId="1">
    <nc r="D261" t="inlineStr">
      <is>
        <t>PSW</t>
      </is>
    </nc>
  </rcc>
  <rcc rId="103" sId="1">
    <nc r="D262" t="inlineStr">
      <is>
        <t>PSW</t>
      </is>
    </nc>
  </rcc>
  <rcc rId="104" sId="1">
    <nc r="D263" t="inlineStr">
      <is>
        <t>PSW</t>
      </is>
    </nc>
  </rcc>
  <rcc rId="105" sId="1">
    <nc r="D264" t="inlineStr">
      <is>
        <t>PSW</t>
      </is>
    </nc>
  </rcc>
  <rcc rId="106" sId="1">
    <nc r="D265" t="inlineStr">
      <is>
        <t>PSW</t>
      </is>
    </nc>
  </rcc>
  <rcc rId="107" sId="1">
    <nc r="D266" t="inlineStr">
      <is>
        <t>PSW</t>
      </is>
    </nc>
  </rcc>
  <rcc rId="108" sId="1">
    <nc r="D267" t="inlineStr">
      <is>
        <t>PSW</t>
      </is>
    </nc>
  </rcc>
  <rcc rId="109" sId="1">
    <nc r="D268" t="inlineStr">
      <is>
        <t>PSW</t>
      </is>
    </nc>
  </rcc>
  <rcc rId="110" sId="1">
    <nc r="D269" t="inlineStr">
      <is>
        <t>PSW</t>
      </is>
    </nc>
  </rcc>
  <rcc rId="111" sId="1">
    <nc r="D270" t="inlineStr">
      <is>
        <t>PSW</t>
      </is>
    </nc>
  </rcc>
  <rcc rId="112" sId="1">
    <nc r="D271" t="inlineStr">
      <is>
        <t>PSW</t>
      </is>
    </nc>
  </rcc>
  <rcc rId="113" sId="1">
    <nc r="D272" t="inlineStr">
      <is>
        <t>PSW</t>
      </is>
    </nc>
  </rcc>
  <rcc rId="114" sId="1">
    <nc r="D273" t="inlineStr">
      <is>
        <t>PSW</t>
      </is>
    </nc>
  </rcc>
  <rcc rId="115" sId="1">
    <nc r="D274" t="inlineStr">
      <is>
        <t>PSW</t>
      </is>
    </nc>
  </rcc>
  <rcc rId="116" sId="1">
    <nc r="D275" t="inlineStr">
      <is>
        <t>PSW</t>
      </is>
    </nc>
  </rcc>
  <rcc rId="117" sId="1">
    <nc r="D276" t="inlineStr">
      <is>
        <t>PSW</t>
      </is>
    </nc>
  </rcc>
  <rcc rId="118" sId="1">
    <nc r="D277" t="inlineStr">
      <is>
        <t>PSW</t>
      </is>
    </nc>
  </rcc>
  <rcc rId="119" sId="1">
    <nc r="D278" t="inlineStr">
      <is>
        <t>PSW</t>
      </is>
    </nc>
  </rcc>
  <rcc rId="120" sId="1">
    <nc r="D279" t="inlineStr">
      <is>
        <t>PSW</t>
      </is>
    </nc>
  </rcc>
  <rcc rId="121" sId="1">
    <nc r="D280" t="inlineStr">
      <is>
        <t>PSW</t>
      </is>
    </nc>
  </rcc>
  <rcc rId="122" sId="1">
    <nc r="D281" t="inlineStr">
      <is>
        <t>PSW</t>
      </is>
    </nc>
  </rcc>
  <rcc rId="123" sId="1">
    <nc r="D282" t="inlineStr">
      <is>
        <t>PSW</t>
      </is>
    </nc>
  </rcc>
  <rcc rId="124" sId="1">
    <nc r="D283" t="inlineStr">
      <is>
        <t>PSW</t>
      </is>
    </nc>
  </rcc>
  <rcc rId="125" sId="1">
    <nc r="D284" t="inlineStr">
      <is>
        <t>PSW</t>
      </is>
    </nc>
  </rcc>
  <rcc rId="126" sId="1">
    <nc r="D285" t="inlineStr">
      <is>
        <t>PSW</t>
      </is>
    </nc>
  </rcc>
  <rcc rId="127" sId="1">
    <nc r="D286" t="inlineStr">
      <is>
        <t>PSW</t>
      </is>
    </nc>
  </rcc>
  <rcc rId="128" sId="1">
    <nc r="D287" t="inlineStr">
      <is>
        <t>PSW</t>
      </is>
    </nc>
  </rcc>
  <rcc rId="129" sId="1">
    <nc r="D288" t="inlineStr">
      <is>
        <t>PSW</t>
      </is>
    </nc>
  </rcc>
  <rcc rId="130" sId="1">
    <nc r="D289" t="inlineStr">
      <is>
        <t>PSW</t>
      </is>
    </nc>
  </rcc>
  <rcc rId="131" sId="1">
    <nc r="D290" t="inlineStr">
      <is>
        <t>PSW</t>
      </is>
    </nc>
  </rcc>
  <rcc rId="132" sId="1">
    <nc r="D291" t="inlineStr">
      <is>
        <t>PSW</t>
      </is>
    </nc>
  </rcc>
  <rcc rId="133" sId="1">
    <nc r="D292" t="inlineStr">
      <is>
        <t>PSW</t>
      </is>
    </nc>
  </rcc>
  <rcc rId="134" sId="1">
    <nc r="D293" t="inlineStr">
      <is>
        <t>PSW</t>
      </is>
    </nc>
  </rcc>
  <rcc rId="135" sId="1">
    <nc r="C242">
      <v>20200908</v>
    </nc>
  </rcc>
  <rcv guid="{7E0EA425-A420-4443-B9E0-CDF0AA9E5D09}" action="delete"/>
  <rdn rId="0" localSheetId="1" customView="1" name="Z_7E0EA425_A420_4443_B9E0_CDF0AA9E5D09_.wvu.FilterData" hidden="1" oldHidden="1">
    <formula>Merged_COEM!$B$59:$AN$328</formula>
    <oldFormula>Merged_COEM!$B$59:$AN$328</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8" sId="1">
    <oc r="C219">
      <v>20200908</v>
    </oc>
    <nc r="C219">
      <v>20200907</v>
    </nc>
  </rcc>
  <rcc rId="139" sId="1">
    <oc r="C220">
      <v>20200908</v>
    </oc>
    <nc r="C220">
      <v>20200907</v>
    </nc>
  </rcc>
  <rcc rId="140" sId="1">
    <oc r="C221">
      <v>20200908</v>
    </oc>
    <nc r="C221">
      <v>20200907</v>
    </nc>
  </rcc>
  <rcc rId="141" sId="1">
    <oc r="C222">
      <v>20200908</v>
    </oc>
    <nc r="C222">
      <v>20200907</v>
    </nc>
  </rcc>
  <rcc rId="142" sId="1">
    <oc r="C223">
      <v>20200908</v>
    </oc>
    <nc r="C223">
      <v>20200907</v>
    </nc>
  </rcc>
  <rcc rId="143" sId="1">
    <oc r="C224">
      <v>20200908</v>
    </oc>
    <nc r="C224">
      <v>20200907</v>
    </nc>
  </rcc>
  <rcc rId="144" sId="1">
    <oc r="C225">
      <v>20200908</v>
    </oc>
    <nc r="C225">
      <v>20200907</v>
    </nc>
  </rcc>
  <rcc rId="145" sId="1">
    <oc r="C226">
      <v>20200908</v>
    </oc>
    <nc r="C226">
      <v>20200907</v>
    </nc>
  </rcc>
  <rcc rId="146" sId="1">
    <oc r="C227">
      <v>20200908</v>
    </oc>
    <nc r="C227">
      <v>20200907</v>
    </nc>
  </rcc>
  <rcc rId="147" sId="1">
    <oc r="C228">
      <v>20200908</v>
    </oc>
    <nc r="C228">
      <v>20200907</v>
    </nc>
  </rcc>
  <rcc rId="148" sId="1">
    <oc r="C229">
      <v>20200908</v>
    </oc>
    <nc r="C229">
      <v>20200907</v>
    </nc>
  </rcc>
  <rcc rId="149" sId="1">
    <oc r="C230">
      <v>20200908</v>
    </oc>
    <nc r="C230">
      <v>20200907</v>
    </nc>
  </rcc>
  <rcc rId="150" sId="1">
    <oc r="C231">
      <v>20200908</v>
    </oc>
    <nc r="C231">
      <v>20200907</v>
    </nc>
  </rcc>
  <rcc rId="151" sId="1">
    <oc r="C232">
      <v>20200908</v>
    </oc>
    <nc r="C232">
      <v>20200907</v>
    </nc>
  </rcc>
  <rcc rId="152" sId="1">
    <oc r="C233">
      <v>20200908</v>
    </oc>
    <nc r="C233">
      <v>20200907</v>
    </nc>
  </rcc>
  <rcc rId="153" sId="1">
    <oc r="C234">
      <v>20200908</v>
    </oc>
    <nc r="C234">
      <v>20200907</v>
    </nc>
  </rcc>
  <rcc rId="154" sId="1">
    <oc r="C235">
      <v>20200908</v>
    </oc>
    <nc r="C235">
      <v>20200907</v>
    </nc>
  </rcc>
  <rcc rId="155" sId="1">
    <oc r="C236">
      <v>20200908</v>
    </oc>
    <nc r="C236">
      <v>20200907</v>
    </nc>
  </rcc>
  <rcc rId="156" sId="1">
    <oc r="C237">
      <v>20200908</v>
    </oc>
    <nc r="C237">
      <v>20200907</v>
    </nc>
  </rcc>
  <rcc rId="157" sId="1">
    <oc r="C238">
      <v>20200908</v>
    </oc>
    <nc r="C238">
      <v>20200907</v>
    </nc>
  </rcc>
  <rcc rId="158" sId="1">
    <oc r="C239">
      <v>20200908</v>
    </oc>
    <nc r="C239">
      <v>20200907</v>
    </nc>
  </rcc>
  <rcc rId="159" sId="1">
    <oc r="C240">
      <v>20200908</v>
    </oc>
    <nc r="C240">
      <v>20200907</v>
    </nc>
  </rcc>
  <rcc rId="160" sId="1">
    <oc r="C241">
      <v>20200908</v>
    </oc>
    <nc r="C241">
      <v>20200907</v>
    </nc>
  </rcc>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1" sId="4">
    <oc r="C184">
      <v>20200908</v>
    </oc>
    <nc r="C184">
      <v>20200907</v>
    </nc>
  </rcc>
  <rfmt sheetId="4" sqref="A197" start="0" length="0">
    <dxf>
      <font>
        <b/>
        <sz val="11"/>
        <color theme="1"/>
        <name val="Calibri"/>
        <scheme val="minor"/>
      </font>
    </dxf>
  </rfmt>
  <rcc rId="162" sId="4" odxf="1" dxf="1">
    <nc r="B197" t="inlineStr">
      <is>
        <t>Project</t>
      </is>
    </nc>
    <odxf>
      <font>
        <b val="0"/>
        <sz val="11"/>
        <color theme="1"/>
        <name val="Calibri"/>
        <scheme val="minor"/>
      </font>
    </odxf>
    <ndxf>
      <font>
        <b/>
        <sz val="11"/>
        <color theme="1"/>
        <name val="Calibri"/>
        <scheme val="minor"/>
      </font>
    </ndxf>
  </rcc>
  <rfmt sheetId="4" sqref="C197" start="0" length="0">
    <dxf>
      <font>
        <b/>
        <sz val="11"/>
        <color theme="1"/>
        <name val="Calibri"/>
        <scheme val="minor"/>
      </font>
    </dxf>
  </rfmt>
  <rfmt sheetId="4" sqref="A198" start="0" length="0">
    <dxf>
      <font>
        <b/>
        <sz val="11"/>
        <color theme="1"/>
        <name val="Calibri"/>
        <scheme val="minor"/>
      </font>
    </dxf>
  </rfmt>
  <rcc rId="163" sId="4" odxf="1" dxf="1">
    <nc r="B198" t="inlineStr">
      <is>
        <t>Time</t>
      </is>
    </nc>
    <odxf>
      <font>
        <b val="0"/>
        <sz val="11"/>
        <color theme="1"/>
        <name val="Calibri"/>
        <scheme val="minor"/>
      </font>
    </odxf>
    <ndxf>
      <font>
        <b/>
        <sz val="11"/>
        <color theme="1"/>
        <name val="Calibri"/>
        <scheme val="minor"/>
      </font>
    </ndxf>
  </rcc>
  <rcc rId="164" sId="4">
    <nc r="C198">
      <f>SUM(G204:G205)</f>
    </nc>
  </rcc>
  <rcc rId="165" sId="4">
    <nc r="D198" t="inlineStr">
      <is>
        <t>days</t>
      </is>
    </nc>
  </rcc>
  <rfmt sheetId="4" sqref="A199" start="0" length="0">
    <dxf>
      <font>
        <b/>
        <sz val="11"/>
        <color theme="1"/>
        <name val="Calibri"/>
        <scheme val="minor"/>
      </font>
    </dxf>
  </rfmt>
  <rcc rId="166" sId="4" odxf="1" dxf="1">
    <nc r="B199" t="inlineStr">
      <is>
        <t>Duration (Plan)</t>
      </is>
    </nc>
    <odxf>
      <font>
        <b val="0"/>
        <sz val="11"/>
        <color theme="1"/>
        <name val="Calibri"/>
        <scheme val="minor"/>
      </font>
    </odxf>
    <ndxf>
      <font>
        <b/>
        <sz val="11"/>
        <color theme="1"/>
        <name val="Calibri"/>
        <scheme val="minor"/>
      </font>
    </ndxf>
  </rcc>
  <rcc rId="167" sId="4">
    <nc r="C199">
      <f>SUM(INT((WEEKDAY(F199-{2,3,4,5,6})+H199-F199)/7))</f>
    </nc>
  </rcc>
  <rcc rId="168" sId="4">
    <nc r="D199" t="inlineStr">
      <is>
        <t>days</t>
      </is>
    </nc>
  </rcc>
  <rcc rId="169" sId="4">
    <nc r="E199" t="inlineStr">
      <is>
        <t>10h00</t>
      </is>
    </nc>
  </rcc>
  <rcc rId="170" sId="4" odxf="1" dxf="1" numFmtId="19">
    <nc r="F199">
      <v>44082</v>
    </nc>
    <odxf>
      <numFmt numFmtId="0" formatCode="General"/>
    </odxf>
    <ndxf>
      <numFmt numFmtId="19" formatCode="m/d/yyyy"/>
    </ndxf>
  </rcc>
  <rcc rId="171" sId="4" odxf="1" dxf="1">
    <nc r="G199" t="inlineStr">
      <is>
        <t>17h00</t>
      </is>
    </nc>
    <odxf>
      <numFmt numFmtId="0" formatCode="General"/>
    </odxf>
    <ndxf>
      <numFmt numFmtId="19" formatCode="m/d/yyyy"/>
    </ndxf>
  </rcc>
  <rcc rId="172" sId="4" odxf="1" dxf="1" numFmtId="19">
    <nc r="H199">
      <v>44094</v>
    </nc>
    <odxf>
      <numFmt numFmtId="0" formatCode="General"/>
    </odxf>
    <ndxf>
      <numFmt numFmtId="19" formatCode="m/d/yyyy"/>
    </ndxf>
  </rcc>
  <rfmt sheetId="4" sqref="A200" start="0" length="0">
    <dxf>
      <font>
        <b/>
        <sz val="11"/>
        <color theme="1"/>
        <name val="Calibri"/>
        <scheme val="minor"/>
      </font>
    </dxf>
  </rfmt>
  <rcc rId="173" sId="4" odxf="1" dxf="1">
    <nc r="B200" t="inlineStr">
      <is>
        <t>Duration (Actual)</t>
      </is>
    </nc>
    <odxf>
      <font>
        <b val="0"/>
        <sz val="11"/>
        <color theme="1"/>
        <name val="Calibri"/>
        <scheme val="minor"/>
      </font>
    </odxf>
    <ndxf>
      <font>
        <b/>
        <sz val="11"/>
        <color theme="1"/>
        <name val="Calibri"/>
        <scheme val="minor"/>
      </font>
    </ndxf>
  </rcc>
  <rcc rId="174" sId="4">
    <nc r="C200">
      <f>SUM(INT((WEEKDAY(F200-{2,3,4,5,6})+H200-F200)/7))</f>
    </nc>
  </rcc>
  <rcc rId="175" sId="4">
    <nc r="D200" t="inlineStr">
      <is>
        <t>days</t>
      </is>
    </nc>
  </rcc>
  <rcc rId="176" sId="4">
    <nc r="E200" t="inlineStr">
      <is>
        <t>10h00</t>
      </is>
    </nc>
  </rcc>
  <rcc rId="177" sId="4" odxf="1" dxf="1" numFmtId="19">
    <nc r="F200">
      <v>44082</v>
    </nc>
    <odxf>
      <numFmt numFmtId="0" formatCode="General"/>
    </odxf>
    <ndxf>
      <numFmt numFmtId="19" formatCode="m/d/yyyy"/>
    </ndxf>
  </rcc>
  <rcc rId="178" sId="4" odxf="1" dxf="1">
    <nc r="G200" t="inlineStr">
      <is>
        <t>17h00</t>
      </is>
    </nc>
    <odxf>
      <numFmt numFmtId="0" formatCode="General"/>
    </odxf>
    <ndxf>
      <numFmt numFmtId="19" formatCode="m/d/yyyy"/>
    </ndxf>
  </rcc>
  <rcc rId="179" sId="4" odxf="1" dxf="1" numFmtId="19">
    <nc r="H200">
      <v>44094</v>
    </nc>
    <odxf>
      <numFmt numFmtId="0" formatCode="General"/>
    </odxf>
    <ndxf>
      <numFmt numFmtId="19" formatCode="m/d/yyyy"/>
    </ndxf>
  </rcc>
  <rfmt sheetId="4" sqref="A201" start="0" length="0">
    <dxf>
      <font>
        <b/>
        <sz val="11"/>
        <color theme="1"/>
        <name val="Calibri"/>
        <scheme val="minor"/>
      </font>
    </dxf>
  </rfmt>
  <rcc rId="180" sId="4" odxf="1" dxf="1">
    <nc r="B201" t="inlineStr">
      <is>
        <t>Status</t>
      </is>
    </nc>
    <odxf>
      <font>
        <b val="0"/>
        <sz val="11"/>
        <color theme="1"/>
        <name val="Calibri"/>
        <scheme val="minor"/>
      </font>
    </odxf>
    <ndxf>
      <font>
        <b/>
        <sz val="11"/>
        <color theme="1"/>
        <name val="Calibri"/>
        <scheme val="minor"/>
      </font>
    </ndxf>
  </rcc>
  <rcc rId="181" sId="4">
    <nc r="C201">
      <f>IF(AND(F204=E204,F205=E205),IF(SUM(H204:H205)&gt;SUM(G204:G205),"Delayed",IF(SUM(H204:H205)&lt;SUM(G204:G205),"InAdvanced","Ontime")),"N/A")</f>
    </nc>
  </rcc>
  <rfmt sheetId="4" sqref="F201" start="0" length="0">
    <dxf>
      <numFmt numFmtId="19" formatCode="m/d/yyyy"/>
    </dxf>
  </rfmt>
  <rfmt sheetId="4" sqref="G201" start="0" length="0">
    <dxf>
      <numFmt numFmtId="19" formatCode="m/d/yyyy"/>
    </dxf>
  </rfmt>
  <rfmt sheetId="4" sqref="H201" start="0" length="0">
    <dxf>
      <numFmt numFmtId="19" formatCode="m/d/yyyy"/>
    </dxf>
  </rfmt>
  <rfmt sheetId="4" sqref="A202" start="0" length="0">
    <dxf>
      <font>
        <b/>
        <sz val="11"/>
        <color theme="1"/>
        <name val="Calibri"/>
        <scheme val="minor"/>
      </font>
    </dxf>
  </rfmt>
  <rfmt sheetId="4" sqref="A203" start="0" length="0">
    <dxf>
      <font>
        <b/>
        <sz val="11"/>
        <color theme="1"/>
        <name val="Calibri"/>
        <scheme val="minor"/>
      </font>
    </dxf>
  </rfmt>
  <rcc rId="182" sId="4" odxf="1" dxf="1">
    <nc r="C203"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183" sId="4" odxf="1" dxf="1">
    <nc r="D203"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184" sId="4" odxf="1" dxf="1">
    <nc r="E203"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85" sId="4" odxf="1" dxf="1">
    <nc r="F203"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86" sId="4" odxf="1" dxf="1">
    <nc r="G203"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87" sId="4" odxf="1" dxf="1">
    <nc r="H203"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88" sId="4" odxf="1" dxf="1">
    <nc r="I203"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89" sId="4" odxf="1" dxf="1">
    <nc r="J203" t="inlineStr">
      <is>
        <t>OPL</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90" sId="4" odxf="1" dxf="1">
    <nc r="K203" t="inlineStr">
      <is>
        <t>Defect</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fmt sheetId="4" sqref="A204" start="0" length="0">
    <dxf>
      <font>
        <b/>
        <sz val="11"/>
        <color theme="1"/>
        <name val="Calibri"/>
        <scheme val="minor"/>
      </font>
    </dxf>
  </rfmt>
  <rcc rId="191" sId="4" odxf="1" dxf="1">
    <nc r="C204">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192" sId="4" odxf="1" dxf="1">
    <nc r="D204">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93" sId="4" odxf="1" dxf="1">
    <nc r="E204">
      <f>SUMIFS(Merged_COEM!$W$60:$W$328,Merged_COEM!$D$60:$D$328,D204, Merged_COEM!$C$60:$C$328,C197)</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94" sId="4" odxf="1" dxf="1">
    <nc r="F204">
      <f>SUMIFS(Merged_COEM!$X$60:$X$328,Merged_COEM!$D$60:$D$328,D204, Merged_COEM!$C$60:$C$328,C197)-SUM(SUMIFS(Merged_COEM!$X$60:$X$328,Merged_COEM!$D$60:$D$328,Table!$D$3,Merged_COEM!$AA$60:$AA$328,{"Ongoing","N/A",""},Merged_COEM!$C$60:$C$328,C197))</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95" sId="4" odxf="1" dxf="1">
    <nc r="G204">
      <f>1/8*(SUMIFS(Merged_COEM!$Y$60:$Y$328,Merged_COEM!$D$60:$D$328,D204, Merged_COEM!$C$60:$C$328,C197))</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96" sId="4" odxf="1" dxf="1">
    <nc r="H204">
      <f>1/8*(SUMIFS(Merged_COEM!$Z$60:$Z$328,Merged_COEM!$D$60:$D$328,D204, Merged_COEM!$C$60:$C$328,C197)-SUM(SUMIFS(Merged_COEM!$Z$60:$Z$328,Merged_COEM!$D$60:$D$328,D204,Merged_COEM!$AA$60:$AA$328,{"Ongoing","N/A",""},Merged_COEM!$C$60:$C$328,C197)))</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97" sId="4" odxf="1" dxf="1">
    <nc r="I204">
      <f>IFERROR(F204/E204,"N/A")</f>
    </nc>
    <odxf>
      <numFmt numFmtId="0" formatCode="General"/>
      <alignment horizontal="general" vertical="bottom" readingOrder="0"/>
      <border outline="0">
        <left/>
        <right/>
        <top/>
        <bottom/>
      </border>
    </odxf>
    <ndxf>
      <numFmt numFmtId="14" formatCode="0.00%"/>
      <alignment horizontal="center" vertical="top" readingOrder="0"/>
      <border outline="0">
        <left style="thin">
          <color indexed="64"/>
        </left>
        <right style="thin">
          <color indexed="64"/>
        </right>
        <top style="thin">
          <color indexed="64"/>
        </top>
        <bottom style="thin">
          <color indexed="64"/>
        </bottom>
      </border>
    </ndxf>
  </rcc>
  <rcc rId="198" sId="4" odxf="1" dxf="1">
    <nc r="J204">
      <f>COUNTIFS(Merged_COEM!$AK$60:$AK$328,J203,Merged_COEM!$D$60:$D$328,D204,Merged_COEM!$C$60:$C$328,C197)</f>
    </nc>
    <odxf>
      <border outline="0">
        <left/>
        <right/>
        <top/>
        <bottom/>
      </border>
    </odxf>
    <ndxf>
      <border outline="0">
        <left style="thin">
          <color indexed="64"/>
        </left>
        <right style="thin">
          <color indexed="64"/>
        </right>
        <top style="thin">
          <color indexed="64"/>
        </top>
        <bottom style="thin">
          <color indexed="64"/>
        </bottom>
      </border>
    </ndxf>
  </rcc>
  <rcc rId="199" sId="4" odxf="1" dxf="1">
    <nc r="K204">
      <f>COUNTIFS(Merged_COEM!$AK$60:$AK$328,K203,Merged_COEM!$D$60:$D$328,D204,Merged_COEM!$C$60:$C$328,C197)</f>
    </nc>
    <odxf>
      <border outline="0">
        <left/>
        <right/>
        <top/>
        <bottom/>
      </border>
    </odxf>
    <ndxf>
      <border outline="0">
        <left style="thin">
          <color indexed="64"/>
        </left>
        <right style="thin">
          <color indexed="64"/>
        </right>
        <top style="thin">
          <color indexed="64"/>
        </top>
        <bottom style="thin">
          <color indexed="64"/>
        </bottom>
      </border>
    </ndxf>
  </rcc>
  <rfmt sheetId="4" sqref="A205" start="0" length="0">
    <dxf>
      <font>
        <b/>
        <sz val="11"/>
        <color theme="1"/>
        <name val="Calibri"/>
        <scheme val="minor"/>
      </font>
    </dxf>
  </rfmt>
  <rcc rId="200" sId="4" odxf="1" dxf="1">
    <nc r="C205">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01" sId="4" odxf="1" dxf="1">
    <nc r="D205">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02" sId="4" odxf="1" dxf="1">
    <nc r="E205">
      <f>SUMIFS(Merged_COEM!$W$60:$W$328,Merged_COEM!$D$60:$D$328,D205, Merged_COEM!$C$60:$C$328,C197)</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03" sId="4" odxf="1" dxf="1">
    <nc r="F205">
      <f>SUMIFS(Merged_COEM!$X$60:$X$328,Merged_COEM!$D$60:$D$328,D205, Merged_COEM!$C$60:$C$328,C197)-SUM(SUMIFS(Merged_COEM!$X$60:$X$328,Merged_COEM!$D$60:$D$328,D205,Merged_COEM!$AA$60:$AA$328,{"Ongoing","N/A",""},Merged_COEM!$C$60:$C$328,C197))</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04" sId="4" odxf="1" dxf="1">
    <nc r="G205">
      <f>1/8*(SUMIFS(Merged_COEM!$Y$60:$Y$328,Merged_COEM!$D$60:$D$328,D205, Merged_COEM!$C$60:$C$328,C197))</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05" sId="4" odxf="1" dxf="1">
    <nc r="H205">
      <f>1/8*(SUMIFS(Merged_COEM!$Z$60:$Z$328,Merged_COEM!$D$60:$D$328,D205, Merged_COEM!$C$60:$C$328,C197)-SUM(SUMIFS(Merged_COEM!$Z$60:$Z$328,Merged_COEM!$D$60:$D$328,D205,Merged_COEM!$AA$60:$AA$328,{"Ongoing","N/A",""},Merged_COEM!$C$60:$C$328,C197)))</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06" sId="4" odxf="1" dxf="1">
    <nc r="I205">
      <f>IFERROR(F205/E205,"N/A")</f>
    </nc>
    <odxf>
      <numFmt numFmtId="0" formatCode="General"/>
      <alignment horizontal="general" vertical="bottom" readingOrder="0"/>
      <border outline="0">
        <left/>
        <right/>
        <top/>
        <bottom/>
      </border>
    </odxf>
    <ndxf>
      <numFmt numFmtId="14" formatCode="0.00%"/>
      <alignment horizontal="center" vertical="top" readingOrder="0"/>
      <border outline="0">
        <left style="thin">
          <color indexed="64"/>
        </left>
        <right style="thin">
          <color indexed="64"/>
        </right>
        <top style="thin">
          <color indexed="64"/>
        </top>
        <bottom style="thin">
          <color indexed="64"/>
        </bottom>
      </border>
    </ndxf>
  </rcc>
  <rcc rId="207" sId="4" odxf="1" dxf="1">
    <nc r="J205">
      <f>COUNTIFS(Merged_COEM!$AK$60:$AK$328,J203,Merged_COEM!$D$60:$D$328,D205,Merged_COEM!$C$60:$C$328,C197)</f>
    </nc>
    <odxf>
      <border outline="0">
        <left/>
        <right/>
        <top/>
        <bottom/>
      </border>
    </odxf>
    <ndxf>
      <border outline="0">
        <left style="thin">
          <color indexed="64"/>
        </left>
        <right style="thin">
          <color indexed="64"/>
        </right>
        <top style="thin">
          <color indexed="64"/>
        </top>
        <bottom style="thin">
          <color indexed="64"/>
        </bottom>
      </border>
    </ndxf>
  </rcc>
  <rcc rId="208" sId="4" odxf="1" dxf="1">
    <nc r="K205">
      <f>COUNTIFS(Merged_COEM!$AK$60:$AK$328,K203,Merged_COEM!$D$60:$D$328,D205,Merged_COEM!$C$60:$C$328,C197)</f>
    </nc>
    <odxf>
      <border outline="0">
        <left/>
        <right/>
        <top/>
        <bottom/>
      </border>
    </odxf>
    <ndxf>
      <border outline="0">
        <left style="thin">
          <color indexed="64"/>
        </left>
        <right style="thin">
          <color indexed="64"/>
        </right>
        <top style="thin">
          <color indexed="64"/>
        </top>
        <bottom style="thin">
          <color indexed="64"/>
        </bottom>
      </border>
    </ndxf>
  </rcc>
  <rfmt sheetId="4" sqref="A206" start="0" length="0">
    <dxf>
      <font>
        <b/>
        <sz val="11"/>
        <color theme="1"/>
        <name val="Calibri"/>
        <scheme val="minor"/>
      </font>
    </dxf>
  </rfmt>
  <rfmt sheetId="4" sqref="A207" start="0" length="0">
    <dxf>
      <font>
        <b/>
        <sz val="11"/>
        <color theme="1"/>
        <name val="Calibri"/>
        <scheme val="minor"/>
      </font>
    </dxf>
  </rfmt>
  <rcc rId="209" sId="4">
    <nc r="C207" t="inlineStr">
      <is>
        <t>Brief Description:</t>
      </is>
    </nc>
  </rcc>
  <rfmt sheetId="4" sqref="A208" start="0" length="0">
    <dxf>
      <font>
        <b/>
        <sz val="11"/>
        <color theme="1"/>
        <name val="Calibri"/>
        <scheme val="minor"/>
      </font>
    </dxf>
  </rfmt>
  <rcc rId="210" sId="4" odxf="1" dxf="1" quotePrefix="1">
    <nc r="D208" t="inlineStr">
      <is>
        <t>- No comment</t>
      </is>
    </nc>
    <odxf>
      <font>
        <sz val="11"/>
        <color theme="1"/>
        <name val="Calibri"/>
        <scheme val="minor"/>
      </font>
    </odxf>
    <ndxf>
      <font>
        <sz val="11"/>
        <color auto="1"/>
        <name val="Calibri"/>
        <scheme val="minor"/>
      </font>
    </ndxf>
  </rcc>
  <rcc rId="211" sId="4">
    <nc r="A197">
      <v>16</v>
    </nc>
  </rcc>
  <rcc rId="212" sId="4">
    <nc r="C197">
      <v>20200908</v>
    </nc>
  </rcc>
  <rcc rId="213" sId="1" xfDxf="1" dxf="1">
    <nc r="G242">
      <v>1666251</v>
    </nc>
    <ndxf>
      <alignment horizontal="left" vertical="top" readingOrder="0"/>
      <border outline="0">
        <left style="thin">
          <color indexed="64"/>
        </left>
        <right style="thin">
          <color indexed="64"/>
        </right>
        <top style="thin">
          <color indexed="64"/>
        </top>
        <bottom style="thin">
          <color indexed="64"/>
        </bottom>
      </border>
    </ndxf>
  </rcc>
  <rcc rId="214" sId="1" xfDxf="1" dxf="1">
    <nc r="G243">
      <v>1666251</v>
    </nc>
    <ndxf>
      <alignment horizontal="left" vertical="top" readingOrder="0"/>
      <border outline="0">
        <left style="thin">
          <color indexed="64"/>
        </left>
        <right style="thin">
          <color indexed="64"/>
        </right>
        <top style="thin">
          <color indexed="64"/>
        </top>
        <bottom style="thin">
          <color indexed="64"/>
        </bottom>
      </border>
    </ndxf>
  </rcc>
  <rcc rId="215" sId="1" xfDxf="1" dxf="1">
    <nc r="G244">
      <v>1666251</v>
    </nc>
    <ndxf>
      <alignment horizontal="left" vertical="top" readingOrder="0"/>
      <border outline="0">
        <left style="thin">
          <color indexed="64"/>
        </left>
        <right style="thin">
          <color indexed="64"/>
        </right>
        <top style="thin">
          <color indexed="64"/>
        </top>
        <bottom style="thin">
          <color indexed="64"/>
        </bottom>
      </border>
    </ndxf>
  </rcc>
  <rcc rId="216" sId="1" xfDxf="1" dxf="1">
    <nc r="G245">
      <v>1666251</v>
    </nc>
    <ndxf>
      <alignment horizontal="left" vertical="top" readingOrder="0"/>
      <border outline="0">
        <left style="thin">
          <color indexed="64"/>
        </left>
        <right style="thin">
          <color indexed="64"/>
        </right>
        <top style="thin">
          <color indexed="64"/>
        </top>
        <bottom style="thin">
          <color indexed="64"/>
        </bottom>
      </border>
    </ndxf>
  </rcc>
  <rcc rId="217" sId="1" xfDxf="1" dxf="1">
    <nc r="G246">
      <v>1666251</v>
    </nc>
    <ndxf>
      <alignment horizontal="left" vertical="top" readingOrder="0"/>
      <border outline="0">
        <left style="thin">
          <color indexed="64"/>
        </left>
        <right style="thin">
          <color indexed="64"/>
        </right>
        <top style="thin">
          <color indexed="64"/>
        </top>
        <bottom style="thin">
          <color indexed="64"/>
        </bottom>
      </border>
    </ndxf>
  </rcc>
  <rcc rId="218" sId="1" xfDxf="1" dxf="1">
    <nc r="G247">
      <v>1666251</v>
    </nc>
    <ndxf>
      <alignment horizontal="left" vertical="top" readingOrder="0"/>
      <border outline="0">
        <left style="thin">
          <color indexed="64"/>
        </left>
        <right style="thin">
          <color indexed="64"/>
        </right>
        <top style="thin">
          <color indexed="64"/>
        </top>
        <bottom style="thin">
          <color indexed="64"/>
        </bottom>
      </border>
    </ndxf>
  </rcc>
  <rcc rId="219" sId="1" xfDxf="1" dxf="1">
    <nc r="G248">
      <v>1666251</v>
    </nc>
    <ndxf>
      <alignment horizontal="left" vertical="top" readingOrder="0"/>
      <border outline="0">
        <left style="thin">
          <color indexed="64"/>
        </left>
        <right style="thin">
          <color indexed="64"/>
        </right>
        <top style="thin">
          <color indexed="64"/>
        </top>
        <bottom style="thin">
          <color indexed="64"/>
        </bottom>
      </border>
    </ndxf>
  </rcc>
  <rcc rId="220" sId="1" xfDxf="1" dxf="1">
    <nc r="G249">
      <v>1666251</v>
    </nc>
    <ndxf>
      <alignment horizontal="left" vertical="top" readingOrder="0"/>
      <border outline="0">
        <left style="thin">
          <color indexed="64"/>
        </left>
        <right style="thin">
          <color indexed="64"/>
        </right>
        <top style="thin">
          <color indexed="64"/>
        </top>
        <bottom style="thin">
          <color indexed="64"/>
        </bottom>
      </border>
    </ndxf>
  </rcc>
  <rcc rId="221" sId="1" xfDxf="1" dxf="1">
    <nc r="G250">
      <v>1666251</v>
    </nc>
    <ndxf>
      <alignment horizontal="left" vertical="top" readingOrder="0"/>
      <border outline="0">
        <left style="thin">
          <color indexed="64"/>
        </left>
        <right style="thin">
          <color indexed="64"/>
        </right>
        <top style="thin">
          <color indexed="64"/>
        </top>
        <bottom style="thin">
          <color indexed="64"/>
        </bottom>
      </border>
    </ndxf>
  </rcc>
  <rcc rId="222" sId="1" xfDxf="1" dxf="1">
    <nc r="G251">
      <v>1666251</v>
    </nc>
    <ndxf>
      <alignment horizontal="left" vertical="top" readingOrder="0"/>
      <border outline="0">
        <left style="thin">
          <color indexed="64"/>
        </left>
        <right style="thin">
          <color indexed="64"/>
        </right>
        <top style="thin">
          <color indexed="64"/>
        </top>
        <bottom style="thin">
          <color indexed="64"/>
        </bottom>
      </border>
    </ndxf>
  </rcc>
  <rcc rId="223" sId="1" xfDxf="1" dxf="1">
    <nc r="G252">
      <v>1666251</v>
    </nc>
    <ndxf>
      <alignment horizontal="left" vertical="top" readingOrder="0"/>
      <border outline="0">
        <left style="thin">
          <color indexed="64"/>
        </left>
        <right style="thin">
          <color indexed="64"/>
        </right>
        <top style="thin">
          <color indexed="64"/>
        </top>
        <bottom style="thin">
          <color indexed="64"/>
        </bottom>
      </border>
    </ndxf>
  </rcc>
  <rcc rId="224" sId="1" xfDxf="1" dxf="1">
    <nc r="G253">
      <v>1666251</v>
    </nc>
    <ndxf>
      <alignment horizontal="left" vertical="top" readingOrder="0"/>
      <border outline="0">
        <left style="thin">
          <color indexed="64"/>
        </left>
        <right style="thin">
          <color indexed="64"/>
        </right>
        <top style="thin">
          <color indexed="64"/>
        </top>
        <bottom style="thin">
          <color indexed="64"/>
        </bottom>
      </border>
    </ndxf>
  </rcc>
  <rcc rId="225" sId="1" xfDxf="1" dxf="1">
    <nc r="G254">
      <v>1667789</v>
    </nc>
    <ndxf>
      <alignment horizontal="left" vertical="top" readingOrder="0"/>
      <border outline="0">
        <left style="thin">
          <color indexed="64"/>
        </left>
        <right style="thin">
          <color indexed="64"/>
        </right>
        <top style="thin">
          <color indexed="64"/>
        </top>
        <bottom style="thin">
          <color indexed="64"/>
        </bottom>
      </border>
    </ndxf>
  </rcc>
  <rcc rId="226" sId="1" xfDxf="1" dxf="1">
    <nc r="G255">
      <v>1667789</v>
    </nc>
    <ndxf>
      <alignment horizontal="left" vertical="top" readingOrder="0"/>
      <border outline="0">
        <left style="thin">
          <color indexed="64"/>
        </left>
        <right style="thin">
          <color indexed="64"/>
        </right>
        <top style="thin">
          <color indexed="64"/>
        </top>
        <bottom style="thin">
          <color indexed="64"/>
        </bottom>
      </border>
    </ndxf>
  </rcc>
  <rcc rId="227" sId="1" xfDxf="1" dxf="1">
    <nc r="G256">
      <v>1667789</v>
    </nc>
    <ndxf>
      <alignment horizontal="left" vertical="top" readingOrder="0"/>
      <border outline="0">
        <left style="thin">
          <color indexed="64"/>
        </left>
        <right style="thin">
          <color indexed="64"/>
        </right>
        <top style="thin">
          <color indexed="64"/>
        </top>
        <bottom style="thin">
          <color indexed="64"/>
        </bottom>
      </border>
    </ndxf>
  </rcc>
  <rcc rId="228" sId="1" xfDxf="1" dxf="1">
    <nc r="G257">
      <v>1667789</v>
    </nc>
    <ndxf>
      <alignment horizontal="left" vertical="top" readingOrder="0"/>
      <border outline="0">
        <left style="thin">
          <color indexed="64"/>
        </left>
        <right style="thin">
          <color indexed="64"/>
        </right>
        <top style="thin">
          <color indexed="64"/>
        </top>
        <bottom style="thin">
          <color indexed="64"/>
        </bottom>
      </border>
    </ndxf>
  </rcc>
  <rcc rId="229" sId="1" xfDxf="1" dxf="1">
    <nc r="G258">
      <v>1667789</v>
    </nc>
    <ndxf>
      <alignment horizontal="left" vertical="top" readingOrder="0"/>
      <border outline="0">
        <left style="thin">
          <color indexed="64"/>
        </left>
        <right style="thin">
          <color indexed="64"/>
        </right>
        <top style="thin">
          <color indexed="64"/>
        </top>
        <bottom style="thin">
          <color indexed="64"/>
        </bottom>
      </border>
    </ndxf>
  </rcc>
  <rcc rId="230" sId="1" xfDxf="1" dxf="1">
    <nc r="G259">
      <v>1667789</v>
    </nc>
    <ndxf>
      <alignment horizontal="left" vertical="top" readingOrder="0"/>
      <border outline="0">
        <left style="thin">
          <color indexed="64"/>
        </left>
        <right style="thin">
          <color indexed="64"/>
        </right>
        <top style="thin">
          <color indexed="64"/>
        </top>
        <bottom style="thin">
          <color indexed="64"/>
        </bottom>
      </border>
    </ndxf>
  </rcc>
  <rcc rId="231" sId="1" xfDxf="1" dxf="1">
    <nc r="G260">
      <v>1667789</v>
    </nc>
    <ndxf>
      <alignment horizontal="left" vertical="top" readingOrder="0"/>
      <border outline="0">
        <left style="thin">
          <color indexed="64"/>
        </left>
        <right style="thin">
          <color indexed="64"/>
        </right>
        <top style="thin">
          <color indexed="64"/>
        </top>
        <bottom style="thin">
          <color indexed="64"/>
        </bottom>
      </border>
    </ndxf>
  </rcc>
  <rcc rId="232" sId="1" xfDxf="1" dxf="1">
    <nc r="G261">
      <v>1667789</v>
    </nc>
    <ndxf>
      <alignment horizontal="left" vertical="top" readingOrder="0"/>
      <border outline="0">
        <left style="thin">
          <color indexed="64"/>
        </left>
        <right style="thin">
          <color indexed="64"/>
        </right>
        <top style="thin">
          <color indexed="64"/>
        </top>
        <bottom style="thin">
          <color indexed="64"/>
        </bottom>
      </border>
    </ndxf>
  </rcc>
  <rcc rId="233" sId="1" xfDxf="1" dxf="1">
    <nc r="G262">
      <v>1667789</v>
    </nc>
    <ndxf>
      <alignment horizontal="left" vertical="top" readingOrder="0"/>
      <border outline="0">
        <left style="thin">
          <color indexed="64"/>
        </left>
        <right style="thin">
          <color indexed="64"/>
        </right>
        <top style="thin">
          <color indexed="64"/>
        </top>
        <bottom style="thin">
          <color indexed="64"/>
        </bottom>
      </border>
    </ndxf>
  </rcc>
  <rcc rId="234" sId="1" xfDxf="1" dxf="1">
    <nc r="G263">
      <v>1667789</v>
    </nc>
    <ndxf>
      <alignment horizontal="left" vertical="top" readingOrder="0"/>
      <border outline="0">
        <left style="thin">
          <color indexed="64"/>
        </left>
        <right style="thin">
          <color indexed="64"/>
        </right>
        <top style="thin">
          <color indexed="64"/>
        </top>
        <bottom style="thin">
          <color indexed="64"/>
        </bottom>
      </border>
    </ndxf>
  </rcc>
  <rcc rId="235" sId="1" xfDxf="1" dxf="1">
    <nc r="G264">
      <v>1667789</v>
    </nc>
    <ndxf>
      <alignment horizontal="left" vertical="top" readingOrder="0"/>
      <border outline="0">
        <left style="thin">
          <color indexed="64"/>
        </left>
        <right style="thin">
          <color indexed="64"/>
        </right>
        <top style="thin">
          <color indexed="64"/>
        </top>
        <bottom style="thin">
          <color indexed="64"/>
        </bottom>
      </border>
    </ndxf>
  </rcc>
  <rcc rId="236" sId="1" xfDxf="1" dxf="1">
    <nc r="G265">
      <v>1667789</v>
    </nc>
    <ndxf>
      <alignment horizontal="left" vertical="top" readingOrder="0"/>
      <border outline="0">
        <left style="thin">
          <color indexed="64"/>
        </left>
        <right style="thin">
          <color indexed="64"/>
        </right>
        <top style="thin">
          <color indexed="64"/>
        </top>
        <bottom style="thin">
          <color indexed="64"/>
        </bottom>
      </border>
    </ndxf>
  </rcc>
  <rcc rId="237" sId="1" xfDxf="1" dxf="1">
    <nc r="G266">
      <v>1667789</v>
    </nc>
    <ndxf>
      <alignment horizontal="left" vertical="top" readingOrder="0"/>
      <border outline="0">
        <left style="thin">
          <color indexed="64"/>
        </left>
        <right style="thin">
          <color indexed="64"/>
        </right>
        <top style="thin">
          <color indexed="64"/>
        </top>
        <bottom style="thin">
          <color indexed="64"/>
        </bottom>
      </border>
    </ndxf>
  </rcc>
  <rcc rId="238" sId="1" xfDxf="1" dxf="1">
    <nc r="G267">
      <v>1667789</v>
    </nc>
    <ndxf>
      <alignment horizontal="left" vertical="top" readingOrder="0"/>
      <border outline="0">
        <left style="thin">
          <color indexed="64"/>
        </left>
        <right style="thin">
          <color indexed="64"/>
        </right>
        <top style="thin">
          <color indexed="64"/>
        </top>
        <bottom style="thin">
          <color indexed="64"/>
        </bottom>
      </border>
    </ndxf>
  </rcc>
  <rcc rId="239" sId="1" xfDxf="1" dxf="1">
    <nc r="G268">
      <v>1667789</v>
    </nc>
    <ndxf>
      <alignment horizontal="left" vertical="top" readingOrder="0"/>
      <border outline="0">
        <left style="thin">
          <color indexed="64"/>
        </left>
        <right style="thin">
          <color indexed="64"/>
        </right>
        <top style="thin">
          <color indexed="64"/>
        </top>
        <bottom style="thin">
          <color indexed="64"/>
        </bottom>
      </border>
    </ndxf>
  </rcc>
  <rcc rId="240" sId="1" xfDxf="1" dxf="1">
    <nc r="G269">
      <v>1667789</v>
    </nc>
    <ndxf>
      <alignment horizontal="left" vertical="top" readingOrder="0"/>
      <border outline="0">
        <left style="thin">
          <color indexed="64"/>
        </left>
        <right style="thin">
          <color indexed="64"/>
        </right>
        <top style="thin">
          <color indexed="64"/>
        </top>
        <bottom style="thin">
          <color indexed="64"/>
        </bottom>
      </border>
    </ndxf>
  </rcc>
  <rcc rId="241" sId="1" xfDxf="1" dxf="1">
    <nc r="G270">
      <v>1667789</v>
    </nc>
    <ndxf>
      <alignment horizontal="left" vertical="top" readingOrder="0"/>
      <border outline="0">
        <left style="thin">
          <color indexed="64"/>
        </left>
        <right style="thin">
          <color indexed="64"/>
        </right>
        <top style="thin">
          <color indexed="64"/>
        </top>
        <bottom style="thin">
          <color indexed="64"/>
        </bottom>
      </border>
    </ndxf>
  </rcc>
  <rcc rId="242" sId="1" xfDxf="1" dxf="1">
    <nc r="G271">
      <v>1667789</v>
    </nc>
    <ndxf>
      <alignment horizontal="left" vertical="top" readingOrder="0"/>
      <border outline="0">
        <left style="thin">
          <color indexed="64"/>
        </left>
        <right style="thin">
          <color indexed="64"/>
        </right>
        <top style="thin">
          <color indexed="64"/>
        </top>
        <bottom style="thin">
          <color indexed="64"/>
        </bottom>
      </border>
    </ndxf>
  </rcc>
  <rcc rId="243" sId="1" xfDxf="1" dxf="1">
    <nc r="G272">
      <v>1667789</v>
    </nc>
    <ndxf>
      <alignment horizontal="left" vertical="top" readingOrder="0"/>
      <border outline="0">
        <left style="thin">
          <color indexed="64"/>
        </left>
        <right style="thin">
          <color indexed="64"/>
        </right>
        <top style="thin">
          <color indexed="64"/>
        </top>
        <bottom style="thin">
          <color indexed="64"/>
        </bottom>
      </border>
    </ndxf>
  </rcc>
  <rcc rId="244" sId="1" xfDxf="1" dxf="1">
    <nc r="G273">
      <v>1667789</v>
    </nc>
    <ndxf>
      <alignment horizontal="left" vertical="top" readingOrder="0"/>
      <border outline="0">
        <left style="thin">
          <color indexed="64"/>
        </left>
        <right style="thin">
          <color indexed="64"/>
        </right>
        <top style="thin">
          <color indexed="64"/>
        </top>
        <bottom style="thin">
          <color indexed="64"/>
        </bottom>
      </border>
    </ndxf>
  </rcc>
  <rcc rId="245" sId="1" xfDxf="1" dxf="1">
    <nc r="G274">
      <v>1667789</v>
    </nc>
    <ndxf>
      <alignment horizontal="left" vertical="top" readingOrder="0"/>
      <border outline="0">
        <left style="thin">
          <color indexed="64"/>
        </left>
        <right style="thin">
          <color indexed="64"/>
        </right>
        <top style="thin">
          <color indexed="64"/>
        </top>
        <bottom style="thin">
          <color indexed="64"/>
        </bottom>
      </border>
    </ndxf>
  </rcc>
  <rcc rId="246" sId="1" xfDxf="1" dxf="1">
    <nc r="G275">
      <v>1667789</v>
    </nc>
    <ndxf>
      <alignment horizontal="left" vertical="top" readingOrder="0"/>
      <border outline="0">
        <left style="thin">
          <color indexed="64"/>
        </left>
        <right style="thin">
          <color indexed="64"/>
        </right>
        <top style="thin">
          <color indexed="64"/>
        </top>
        <bottom style="thin">
          <color indexed="64"/>
        </bottom>
      </border>
    </ndxf>
  </rcc>
  <rcc rId="247" sId="1" xfDxf="1" dxf="1">
    <nc r="G276">
      <v>1667789</v>
    </nc>
    <ndxf>
      <alignment horizontal="left" vertical="top" readingOrder="0"/>
      <border outline="0">
        <left style="thin">
          <color indexed="64"/>
        </left>
        <right style="thin">
          <color indexed="64"/>
        </right>
        <top style="thin">
          <color indexed="64"/>
        </top>
        <bottom style="thin">
          <color indexed="64"/>
        </bottom>
      </border>
    </ndxf>
  </rcc>
  <rcc rId="248" sId="1" xfDxf="1" dxf="1">
    <nc r="G277">
      <v>1667789</v>
    </nc>
    <ndxf>
      <alignment horizontal="left" vertical="top" readingOrder="0"/>
      <border outline="0">
        <left style="thin">
          <color indexed="64"/>
        </left>
        <right style="thin">
          <color indexed="64"/>
        </right>
        <top style="thin">
          <color indexed="64"/>
        </top>
        <bottom style="thin">
          <color indexed="64"/>
        </bottom>
      </border>
    </ndxf>
  </rcc>
  <rcc rId="249" sId="1" xfDxf="1" dxf="1">
    <nc r="G278">
      <v>1667789</v>
    </nc>
    <ndxf>
      <alignment horizontal="left" vertical="top" readingOrder="0"/>
      <border outline="0">
        <left style="thin">
          <color indexed="64"/>
        </left>
        <right style="thin">
          <color indexed="64"/>
        </right>
        <top style="thin">
          <color indexed="64"/>
        </top>
        <bottom style="thin">
          <color indexed="64"/>
        </bottom>
      </border>
    </ndxf>
  </rcc>
  <rcc rId="250" sId="1" xfDxf="1" dxf="1">
    <nc r="G279">
      <v>1667789</v>
    </nc>
    <ndxf>
      <alignment horizontal="left" vertical="top" readingOrder="0"/>
      <border outline="0">
        <left style="thin">
          <color indexed="64"/>
        </left>
        <right style="thin">
          <color indexed="64"/>
        </right>
        <top style="thin">
          <color indexed="64"/>
        </top>
        <bottom style="thin">
          <color indexed="64"/>
        </bottom>
      </border>
    </ndxf>
  </rcc>
  <rcc rId="251" sId="1" xfDxf="1" dxf="1">
    <nc r="G280">
      <v>1667789</v>
    </nc>
    <ndxf>
      <alignment horizontal="left" vertical="top" readingOrder="0"/>
      <border outline="0">
        <left style="thin">
          <color indexed="64"/>
        </left>
        <right style="thin">
          <color indexed="64"/>
        </right>
        <top style="thin">
          <color indexed="64"/>
        </top>
        <bottom style="thin">
          <color indexed="64"/>
        </bottom>
      </border>
    </ndxf>
  </rcc>
  <rcc rId="252" sId="1" xfDxf="1" dxf="1">
    <nc r="G281">
      <v>1667789</v>
    </nc>
    <ndxf>
      <alignment horizontal="left" vertical="top" readingOrder="0"/>
      <border outline="0">
        <left style="thin">
          <color indexed="64"/>
        </left>
        <right style="thin">
          <color indexed="64"/>
        </right>
        <top style="thin">
          <color indexed="64"/>
        </top>
        <bottom style="thin">
          <color indexed="64"/>
        </bottom>
      </border>
    </ndxf>
  </rcc>
  <rcc rId="253" sId="1" xfDxf="1" dxf="1">
    <nc r="G282">
      <v>1667789</v>
    </nc>
    <ndxf>
      <alignment horizontal="left" vertical="top" readingOrder="0"/>
      <border outline="0">
        <left style="thin">
          <color indexed="64"/>
        </left>
        <right style="thin">
          <color indexed="64"/>
        </right>
        <top style="thin">
          <color indexed="64"/>
        </top>
        <bottom style="thin">
          <color indexed="64"/>
        </bottom>
      </border>
    </ndxf>
  </rcc>
  <rcc rId="254" sId="1" xfDxf="1" dxf="1">
    <nc r="G283">
      <v>1667789</v>
    </nc>
    <ndxf>
      <alignment horizontal="left" vertical="top" readingOrder="0"/>
      <border outline="0">
        <left style="thin">
          <color indexed="64"/>
        </left>
        <right style="thin">
          <color indexed="64"/>
        </right>
        <top style="thin">
          <color indexed="64"/>
        </top>
        <bottom style="thin">
          <color indexed="64"/>
        </bottom>
      </border>
    </ndxf>
  </rcc>
  <rcc rId="255" sId="1" xfDxf="1" dxf="1">
    <nc r="G284">
      <v>1667789</v>
    </nc>
    <ndxf>
      <alignment horizontal="left" vertical="top" readingOrder="0"/>
      <border outline="0">
        <left style="thin">
          <color indexed="64"/>
        </left>
        <right style="thin">
          <color indexed="64"/>
        </right>
        <top style="thin">
          <color indexed="64"/>
        </top>
        <bottom style="thin">
          <color indexed="64"/>
        </bottom>
      </border>
    </ndxf>
  </rcc>
  <rcc rId="256" sId="1" xfDxf="1" dxf="1">
    <nc r="G285">
      <v>1667789</v>
    </nc>
    <ndxf>
      <alignment horizontal="left" vertical="top" readingOrder="0"/>
      <border outline="0">
        <left style="thin">
          <color indexed="64"/>
        </left>
        <right style="thin">
          <color indexed="64"/>
        </right>
        <top style="thin">
          <color indexed="64"/>
        </top>
        <bottom style="thin">
          <color indexed="64"/>
        </bottom>
      </border>
    </ndxf>
  </rcc>
  <rcc rId="257" sId="1" xfDxf="1" dxf="1">
    <nc r="G286">
      <v>1667789</v>
    </nc>
    <ndxf>
      <alignment horizontal="left" vertical="top" readingOrder="0"/>
      <border outline="0">
        <left style="thin">
          <color indexed="64"/>
        </left>
        <right style="thin">
          <color indexed="64"/>
        </right>
        <top style="thin">
          <color indexed="64"/>
        </top>
        <bottom style="thin">
          <color indexed="64"/>
        </bottom>
      </border>
    </ndxf>
  </rcc>
  <rcc rId="258" sId="1" xfDxf="1" dxf="1">
    <nc r="G287">
      <v>1667789</v>
    </nc>
    <ndxf>
      <alignment horizontal="left" vertical="top" readingOrder="0"/>
      <border outline="0">
        <left style="thin">
          <color indexed="64"/>
        </left>
        <right style="thin">
          <color indexed="64"/>
        </right>
        <top style="thin">
          <color indexed="64"/>
        </top>
        <bottom style="thin">
          <color indexed="64"/>
        </bottom>
      </border>
    </ndxf>
  </rcc>
  <rcc rId="259" sId="1" xfDxf="1" dxf="1">
    <nc r="G288">
      <v>1667789</v>
    </nc>
    <ndxf>
      <alignment horizontal="left" vertical="top" readingOrder="0"/>
      <border outline="0">
        <left style="thin">
          <color indexed="64"/>
        </left>
        <right style="thin">
          <color indexed="64"/>
        </right>
        <top style="thin">
          <color indexed="64"/>
        </top>
        <bottom style="thin">
          <color indexed="64"/>
        </bottom>
      </border>
    </ndxf>
  </rcc>
  <rcc rId="260" sId="1" xfDxf="1" dxf="1">
    <nc r="G289">
      <v>1667789</v>
    </nc>
    <ndxf>
      <alignment horizontal="left" vertical="top" readingOrder="0"/>
      <border outline="0">
        <left style="thin">
          <color indexed="64"/>
        </left>
        <right style="thin">
          <color indexed="64"/>
        </right>
        <top style="thin">
          <color indexed="64"/>
        </top>
        <bottom style="thin">
          <color indexed="64"/>
        </bottom>
      </border>
    </ndxf>
  </rcc>
  <rcc rId="261" sId="1" xfDxf="1" dxf="1">
    <nc r="G290">
      <v>1667789</v>
    </nc>
    <ndxf>
      <alignment horizontal="left" vertical="top" readingOrder="0"/>
      <border outline="0">
        <left style="thin">
          <color indexed="64"/>
        </left>
        <right style="thin">
          <color indexed="64"/>
        </right>
        <top style="thin">
          <color indexed="64"/>
        </top>
        <bottom style="thin">
          <color indexed="64"/>
        </bottom>
      </border>
    </ndxf>
  </rcc>
  <rcc rId="262" sId="1" xfDxf="1" dxf="1">
    <nc r="G291">
      <v>1667789</v>
    </nc>
    <ndxf>
      <alignment horizontal="left" vertical="top" readingOrder="0"/>
      <border outline="0">
        <left style="thin">
          <color indexed="64"/>
        </left>
        <right style="thin">
          <color indexed="64"/>
        </right>
        <top style="thin">
          <color indexed="64"/>
        </top>
        <bottom style="thin">
          <color indexed="64"/>
        </bottom>
      </border>
    </ndxf>
  </rcc>
  <rcc rId="263" sId="1" xfDxf="1" dxf="1">
    <nc r="G292">
      <v>1667789</v>
    </nc>
    <ndxf>
      <alignment horizontal="left" vertical="top" readingOrder="0"/>
      <border outline="0">
        <left style="thin">
          <color indexed="64"/>
        </left>
        <right style="thin">
          <color indexed="64"/>
        </right>
        <top style="thin">
          <color indexed="64"/>
        </top>
        <bottom style="thin">
          <color indexed="64"/>
        </bottom>
      </border>
    </ndxf>
  </rcc>
  <rcc rId="264" sId="1" xfDxf="1" dxf="1">
    <nc r="G293">
      <v>1667777</v>
    </nc>
    <ndxf>
      <alignment horizontal="left" vertical="top" readingOrder="0"/>
      <border outline="0">
        <left style="thin">
          <color indexed="64"/>
        </left>
        <right style="thin">
          <color indexed="64"/>
        </right>
        <top style="thin">
          <color indexed="64"/>
        </top>
        <bottom style="thin">
          <color indexed="64"/>
        </bottom>
      </border>
    </ndxf>
  </rcc>
  <rcc rId="265" sId="1" quotePrefix="1">
    <nc r="H243" t="inlineStr">
      <is>
        <t>-</t>
      </is>
    </nc>
  </rcc>
  <rcc rId="266" sId="1" quotePrefix="1">
    <nc r="H244" t="inlineStr">
      <is>
        <t>-</t>
      </is>
    </nc>
  </rcc>
  <rcc rId="267" sId="1" quotePrefix="1">
    <nc r="H245" t="inlineStr">
      <is>
        <t>-</t>
      </is>
    </nc>
  </rcc>
  <rcc rId="268" sId="1" quotePrefix="1">
    <nc r="H246" t="inlineStr">
      <is>
        <t>-</t>
      </is>
    </nc>
  </rcc>
  <rcc rId="269" sId="1" quotePrefix="1">
    <nc r="H247" t="inlineStr">
      <is>
        <t>-</t>
      </is>
    </nc>
  </rcc>
  <rcc rId="270" sId="1" quotePrefix="1">
    <nc r="H248" t="inlineStr">
      <is>
        <t>-</t>
      </is>
    </nc>
  </rcc>
  <rcc rId="271" sId="1" quotePrefix="1">
    <nc r="H249" t="inlineStr">
      <is>
        <t>-</t>
      </is>
    </nc>
  </rcc>
  <rcc rId="272" sId="1" quotePrefix="1">
    <nc r="H250" t="inlineStr">
      <is>
        <t>-</t>
      </is>
    </nc>
  </rcc>
  <rcc rId="273" sId="1" quotePrefix="1">
    <nc r="H251" t="inlineStr">
      <is>
        <t>-</t>
      </is>
    </nc>
  </rcc>
  <rcc rId="274" sId="1" quotePrefix="1">
    <nc r="H252" t="inlineStr">
      <is>
        <t>-</t>
      </is>
    </nc>
  </rcc>
  <rcc rId="275" sId="1" quotePrefix="1">
    <nc r="H253" t="inlineStr">
      <is>
        <t>-</t>
      </is>
    </nc>
  </rcc>
  <rcc rId="276" sId="1" quotePrefix="1">
    <nc r="H254" t="inlineStr">
      <is>
        <t>-</t>
      </is>
    </nc>
  </rcc>
  <rcc rId="277" sId="1" quotePrefix="1">
    <nc r="H255" t="inlineStr">
      <is>
        <t>-</t>
      </is>
    </nc>
  </rcc>
  <rcc rId="278" sId="1" quotePrefix="1">
    <nc r="H256" t="inlineStr">
      <is>
        <t>-</t>
      </is>
    </nc>
  </rcc>
  <rcc rId="279" sId="1" quotePrefix="1">
    <nc r="H257" t="inlineStr">
      <is>
        <t>-</t>
      </is>
    </nc>
  </rcc>
  <rcc rId="280" sId="1" quotePrefix="1">
    <nc r="H258" t="inlineStr">
      <is>
        <t>-</t>
      </is>
    </nc>
  </rcc>
  <rcc rId="281" sId="1" quotePrefix="1">
    <nc r="H259" t="inlineStr">
      <is>
        <t>-</t>
      </is>
    </nc>
  </rcc>
  <rcc rId="282" sId="1" quotePrefix="1">
    <nc r="H260" t="inlineStr">
      <is>
        <t>-</t>
      </is>
    </nc>
  </rcc>
  <rcc rId="283" sId="1" quotePrefix="1">
    <nc r="H261" t="inlineStr">
      <is>
        <t>-</t>
      </is>
    </nc>
  </rcc>
  <rcc rId="284" sId="1" quotePrefix="1">
    <nc r="H262" t="inlineStr">
      <is>
        <t>-</t>
      </is>
    </nc>
  </rcc>
  <rcc rId="285" sId="1" quotePrefix="1">
    <nc r="H263" t="inlineStr">
      <is>
        <t>-</t>
      </is>
    </nc>
  </rcc>
  <rcc rId="286" sId="1" quotePrefix="1">
    <nc r="H264" t="inlineStr">
      <is>
        <t>-</t>
      </is>
    </nc>
  </rcc>
  <rcc rId="287" sId="1" quotePrefix="1">
    <nc r="H265" t="inlineStr">
      <is>
        <t>-</t>
      </is>
    </nc>
  </rcc>
  <rcc rId="288" sId="1" quotePrefix="1">
    <nc r="H266" t="inlineStr">
      <is>
        <t>-</t>
      </is>
    </nc>
  </rcc>
  <rcc rId="289" sId="1" quotePrefix="1">
    <nc r="H267" t="inlineStr">
      <is>
        <t>-</t>
      </is>
    </nc>
  </rcc>
  <rcc rId="290" sId="1" quotePrefix="1">
    <nc r="H268" t="inlineStr">
      <is>
        <t>-</t>
      </is>
    </nc>
  </rcc>
  <rcc rId="291" sId="1" quotePrefix="1">
    <nc r="H269" t="inlineStr">
      <is>
        <t>-</t>
      </is>
    </nc>
  </rcc>
  <rcc rId="292" sId="1" quotePrefix="1">
    <nc r="H270" t="inlineStr">
      <is>
        <t>-</t>
      </is>
    </nc>
  </rcc>
  <rcc rId="293" sId="1" quotePrefix="1">
    <nc r="H271" t="inlineStr">
      <is>
        <t>-</t>
      </is>
    </nc>
  </rcc>
  <rcc rId="294" sId="1" quotePrefix="1">
    <nc r="H272" t="inlineStr">
      <is>
        <t>-</t>
      </is>
    </nc>
  </rcc>
  <rcc rId="295" sId="1" quotePrefix="1">
    <nc r="H273" t="inlineStr">
      <is>
        <t>-</t>
      </is>
    </nc>
  </rcc>
  <rcc rId="296" sId="1" quotePrefix="1">
    <nc r="H274" t="inlineStr">
      <is>
        <t>-</t>
      </is>
    </nc>
  </rcc>
  <rcc rId="297" sId="1" quotePrefix="1">
    <nc r="H275" t="inlineStr">
      <is>
        <t>-</t>
      </is>
    </nc>
  </rcc>
  <rcc rId="298" sId="1" quotePrefix="1">
    <nc r="H276" t="inlineStr">
      <is>
        <t>-</t>
      </is>
    </nc>
  </rcc>
  <rcc rId="299" sId="1" quotePrefix="1">
    <nc r="H277" t="inlineStr">
      <is>
        <t>-</t>
      </is>
    </nc>
  </rcc>
  <rcc rId="300" sId="1" quotePrefix="1">
    <nc r="H278" t="inlineStr">
      <is>
        <t>-</t>
      </is>
    </nc>
  </rcc>
  <rcc rId="301" sId="1" quotePrefix="1">
    <nc r="H279" t="inlineStr">
      <is>
        <t>-</t>
      </is>
    </nc>
  </rcc>
  <rcc rId="302" sId="1" quotePrefix="1">
    <nc r="H280" t="inlineStr">
      <is>
        <t>-</t>
      </is>
    </nc>
  </rcc>
  <rcc rId="303" sId="1" quotePrefix="1">
    <nc r="H281" t="inlineStr">
      <is>
        <t>-</t>
      </is>
    </nc>
  </rcc>
  <rcc rId="304" sId="1" quotePrefix="1">
    <nc r="H282" t="inlineStr">
      <is>
        <t>-</t>
      </is>
    </nc>
  </rcc>
  <rcc rId="305" sId="1" quotePrefix="1">
    <nc r="H283" t="inlineStr">
      <is>
        <t>-</t>
      </is>
    </nc>
  </rcc>
  <rcc rId="306" sId="1" quotePrefix="1">
    <nc r="H284" t="inlineStr">
      <is>
        <t>-</t>
      </is>
    </nc>
  </rcc>
  <rcc rId="307" sId="1" quotePrefix="1">
    <nc r="H285" t="inlineStr">
      <is>
        <t>-</t>
      </is>
    </nc>
  </rcc>
  <rcc rId="308" sId="1" quotePrefix="1">
    <nc r="H286" t="inlineStr">
      <is>
        <t>-</t>
      </is>
    </nc>
  </rcc>
  <rcc rId="309" sId="1" quotePrefix="1">
    <nc r="H287" t="inlineStr">
      <is>
        <t>-</t>
      </is>
    </nc>
  </rcc>
  <rcc rId="310" sId="1" quotePrefix="1">
    <nc r="H288" t="inlineStr">
      <is>
        <t>-</t>
      </is>
    </nc>
  </rcc>
  <rcc rId="311" sId="1" quotePrefix="1">
    <nc r="H289" t="inlineStr">
      <is>
        <t>-</t>
      </is>
    </nc>
  </rcc>
  <rcc rId="312" sId="1" quotePrefix="1">
    <nc r="H290" t="inlineStr">
      <is>
        <t>-</t>
      </is>
    </nc>
  </rcc>
  <rcc rId="313" sId="1" quotePrefix="1">
    <nc r="H291" t="inlineStr">
      <is>
        <t>-</t>
      </is>
    </nc>
  </rcc>
  <rcc rId="314" sId="1" quotePrefix="1">
    <nc r="H292" t="inlineStr">
      <is>
        <t>-</t>
      </is>
    </nc>
  </rcc>
  <rcc rId="315" sId="1" quotePrefix="1">
    <nc r="H293" t="inlineStr">
      <is>
        <t>-</t>
      </is>
    </nc>
  </rcc>
  <rcc rId="316" sId="1" quotePrefix="1">
    <nc r="H294" t="inlineStr">
      <is>
        <t>-</t>
      </is>
    </nc>
  </rcc>
  <rcc rId="317" sId="1" quotePrefix="1">
    <nc r="H295" t="inlineStr">
      <is>
        <t>-</t>
      </is>
    </nc>
  </rcc>
  <rcc rId="318" sId="1" quotePrefix="1">
    <nc r="H296" t="inlineStr">
      <is>
        <t>-</t>
      </is>
    </nc>
  </rcc>
  <rcc rId="319" sId="1" quotePrefix="1">
    <nc r="H297" t="inlineStr">
      <is>
        <t>-</t>
      </is>
    </nc>
  </rcc>
  <rcc rId="320" sId="1" quotePrefix="1">
    <nc r="H298" t="inlineStr">
      <is>
        <t>-</t>
      </is>
    </nc>
  </rcc>
  <rcc rId="321" sId="1" quotePrefix="1">
    <nc r="H299" t="inlineStr">
      <is>
        <t>-</t>
      </is>
    </nc>
  </rcc>
  <rcc rId="322" sId="1" quotePrefix="1">
    <nc r="H300" t="inlineStr">
      <is>
        <t>-</t>
      </is>
    </nc>
  </rcc>
  <rcc rId="323" sId="1" quotePrefix="1">
    <nc r="H301" t="inlineStr">
      <is>
        <t>-</t>
      </is>
    </nc>
  </rcc>
  <rcc rId="324" sId="1" quotePrefix="1">
    <nc r="H302" t="inlineStr">
      <is>
        <t>-</t>
      </is>
    </nc>
  </rcc>
  <rcc rId="325" sId="1" quotePrefix="1">
    <nc r="H303" t="inlineStr">
      <is>
        <t>-</t>
      </is>
    </nc>
  </rcc>
  <rcc rId="326" sId="1" quotePrefix="1">
    <nc r="H304" t="inlineStr">
      <is>
        <t>-</t>
      </is>
    </nc>
  </rcc>
  <rcc rId="327" sId="1" quotePrefix="1">
    <nc r="H305" t="inlineStr">
      <is>
        <t>-</t>
      </is>
    </nc>
  </rcc>
  <rcc rId="328" sId="1" quotePrefix="1">
    <nc r="H306" t="inlineStr">
      <is>
        <t>-</t>
      </is>
    </nc>
  </rcc>
  <rcc rId="329" sId="1" quotePrefix="1">
    <nc r="H307" t="inlineStr">
      <is>
        <t>-</t>
      </is>
    </nc>
  </rcc>
  <rcc rId="330" sId="1" quotePrefix="1">
    <nc r="H308" t="inlineStr">
      <is>
        <t>-</t>
      </is>
    </nc>
  </rcc>
  <rcc rId="331" sId="1" quotePrefix="1">
    <nc r="H309" t="inlineStr">
      <is>
        <t>-</t>
      </is>
    </nc>
  </rcc>
  <rcc rId="332" sId="1" quotePrefix="1">
    <nc r="H310" t="inlineStr">
      <is>
        <t>-</t>
      </is>
    </nc>
  </rcc>
  <rcc rId="333" sId="1" quotePrefix="1">
    <nc r="H311" t="inlineStr">
      <is>
        <t>-</t>
      </is>
    </nc>
  </rcc>
  <rcc rId="334" sId="1" quotePrefix="1">
    <nc r="H312" t="inlineStr">
      <is>
        <t>-</t>
      </is>
    </nc>
  </rcc>
  <rcc rId="335" sId="1" quotePrefix="1">
    <nc r="H313" t="inlineStr">
      <is>
        <t>-</t>
      </is>
    </nc>
  </rcc>
  <rcc rId="336" sId="1" quotePrefix="1">
    <nc r="H314" t="inlineStr">
      <is>
        <t>-</t>
      </is>
    </nc>
  </rcc>
  <rcc rId="337" sId="1" quotePrefix="1">
    <nc r="H315" t="inlineStr">
      <is>
        <t>-</t>
      </is>
    </nc>
  </rcc>
  <rcc rId="338" sId="1" quotePrefix="1">
    <nc r="H316" t="inlineStr">
      <is>
        <t>-</t>
      </is>
    </nc>
  </rcc>
  <rcc rId="339" sId="1" quotePrefix="1">
    <nc r="H317" t="inlineStr">
      <is>
        <t>-</t>
      </is>
    </nc>
  </rcc>
  <rcc rId="340" sId="1" quotePrefix="1">
    <nc r="H318" t="inlineStr">
      <is>
        <t>-</t>
      </is>
    </nc>
  </rcc>
  <rcc rId="341" sId="1" quotePrefix="1">
    <nc r="H319" t="inlineStr">
      <is>
        <t>-</t>
      </is>
    </nc>
  </rcc>
  <rcc rId="342" sId="1" quotePrefix="1">
    <nc r="H320" t="inlineStr">
      <is>
        <t>-</t>
      </is>
    </nc>
  </rcc>
  <rcc rId="343" sId="1" quotePrefix="1">
    <nc r="H321" t="inlineStr">
      <is>
        <t>-</t>
      </is>
    </nc>
  </rcc>
  <rcc rId="344" sId="1" quotePrefix="1">
    <nc r="H322" t="inlineStr">
      <is>
        <t>-</t>
      </is>
    </nc>
  </rcc>
  <rcc rId="345" sId="1" quotePrefix="1">
    <nc r="H323" t="inlineStr">
      <is>
        <t>-</t>
      </is>
    </nc>
  </rcc>
  <rcc rId="346" sId="1" quotePrefix="1">
    <nc r="H324" t="inlineStr">
      <is>
        <t>-</t>
      </is>
    </nc>
  </rcc>
  <rcc rId="347" sId="1" quotePrefix="1">
    <nc r="H325" t="inlineStr">
      <is>
        <t>-</t>
      </is>
    </nc>
  </rcc>
  <rcc rId="348" sId="1" quotePrefix="1">
    <nc r="H326" t="inlineStr">
      <is>
        <t>-</t>
      </is>
    </nc>
  </rcc>
  <rcc rId="349" sId="1" quotePrefix="1">
    <nc r="J243" t="inlineStr">
      <is>
        <t>-</t>
      </is>
    </nc>
  </rcc>
  <rcc rId="350" sId="1" quotePrefix="1">
    <nc r="J244" t="inlineStr">
      <is>
        <t>-</t>
      </is>
    </nc>
  </rcc>
  <rcc rId="351" sId="1" quotePrefix="1">
    <nc r="J245" t="inlineStr">
      <is>
        <t>-</t>
      </is>
    </nc>
  </rcc>
  <rcc rId="352" sId="1" quotePrefix="1">
    <nc r="J246" t="inlineStr">
      <is>
        <t>-</t>
      </is>
    </nc>
  </rcc>
  <rcc rId="353" sId="1" quotePrefix="1">
    <nc r="J247" t="inlineStr">
      <is>
        <t>-</t>
      </is>
    </nc>
  </rcc>
  <rcc rId="354" sId="1" quotePrefix="1">
    <nc r="J248" t="inlineStr">
      <is>
        <t>-</t>
      </is>
    </nc>
  </rcc>
  <rcc rId="355" sId="1" quotePrefix="1">
    <nc r="J249" t="inlineStr">
      <is>
        <t>-</t>
      </is>
    </nc>
  </rcc>
  <rcc rId="356" sId="1" quotePrefix="1">
    <nc r="J250" t="inlineStr">
      <is>
        <t>-</t>
      </is>
    </nc>
  </rcc>
  <rcc rId="357" sId="1" quotePrefix="1">
    <nc r="J251" t="inlineStr">
      <is>
        <t>-</t>
      </is>
    </nc>
  </rcc>
  <rcc rId="358" sId="1" quotePrefix="1">
    <nc r="J252" t="inlineStr">
      <is>
        <t>-</t>
      </is>
    </nc>
  </rcc>
  <rcc rId="359" sId="1" quotePrefix="1">
    <nc r="J253" t="inlineStr">
      <is>
        <t>-</t>
      </is>
    </nc>
  </rcc>
  <rcc rId="360" sId="1" quotePrefix="1">
    <nc r="J254" t="inlineStr">
      <is>
        <t>-</t>
      </is>
    </nc>
  </rcc>
  <rcc rId="361" sId="1" quotePrefix="1">
    <nc r="J255" t="inlineStr">
      <is>
        <t>-</t>
      </is>
    </nc>
  </rcc>
  <rcc rId="362" sId="1" quotePrefix="1">
    <nc r="J256" t="inlineStr">
      <is>
        <t>-</t>
      </is>
    </nc>
  </rcc>
  <rcc rId="363" sId="1" quotePrefix="1">
    <nc r="J257" t="inlineStr">
      <is>
        <t>-</t>
      </is>
    </nc>
  </rcc>
  <rcc rId="364" sId="1" quotePrefix="1">
    <nc r="J258" t="inlineStr">
      <is>
        <t>-</t>
      </is>
    </nc>
  </rcc>
  <rcc rId="365" sId="1" quotePrefix="1">
    <nc r="J259" t="inlineStr">
      <is>
        <t>-</t>
      </is>
    </nc>
  </rcc>
  <rcc rId="366" sId="1" quotePrefix="1">
    <nc r="J260" t="inlineStr">
      <is>
        <t>-</t>
      </is>
    </nc>
  </rcc>
  <rcc rId="367" sId="1" quotePrefix="1">
    <nc r="J261" t="inlineStr">
      <is>
        <t>-</t>
      </is>
    </nc>
  </rcc>
  <rcc rId="368" sId="1" quotePrefix="1">
    <nc r="J262" t="inlineStr">
      <is>
        <t>-</t>
      </is>
    </nc>
  </rcc>
  <rcc rId="369" sId="1" quotePrefix="1">
    <nc r="J263" t="inlineStr">
      <is>
        <t>-</t>
      </is>
    </nc>
  </rcc>
  <rcc rId="370" sId="1" quotePrefix="1">
    <nc r="J264" t="inlineStr">
      <is>
        <t>-</t>
      </is>
    </nc>
  </rcc>
  <rcc rId="371" sId="1" quotePrefix="1">
    <nc r="J265" t="inlineStr">
      <is>
        <t>-</t>
      </is>
    </nc>
  </rcc>
  <rcc rId="372" sId="1" quotePrefix="1">
    <nc r="J266" t="inlineStr">
      <is>
        <t>-</t>
      </is>
    </nc>
  </rcc>
  <rcc rId="373" sId="1" quotePrefix="1">
    <nc r="J267" t="inlineStr">
      <is>
        <t>-</t>
      </is>
    </nc>
  </rcc>
  <rcc rId="374" sId="1" quotePrefix="1">
    <nc r="J268" t="inlineStr">
      <is>
        <t>-</t>
      </is>
    </nc>
  </rcc>
  <rcc rId="375" sId="1" quotePrefix="1">
    <nc r="J269" t="inlineStr">
      <is>
        <t>-</t>
      </is>
    </nc>
  </rcc>
  <rcc rId="376" sId="1" quotePrefix="1">
    <nc r="J270" t="inlineStr">
      <is>
        <t>-</t>
      </is>
    </nc>
  </rcc>
  <rcc rId="377" sId="1" quotePrefix="1">
    <nc r="J271" t="inlineStr">
      <is>
        <t>-</t>
      </is>
    </nc>
  </rcc>
  <rcc rId="378" sId="1" quotePrefix="1">
    <nc r="J272" t="inlineStr">
      <is>
        <t>-</t>
      </is>
    </nc>
  </rcc>
  <rcc rId="379" sId="1" quotePrefix="1">
    <nc r="J273" t="inlineStr">
      <is>
        <t>-</t>
      </is>
    </nc>
  </rcc>
  <rcc rId="380" sId="1" quotePrefix="1">
    <nc r="J274" t="inlineStr">
      <is>
        <t>-</t>
      </is>
    </nc>
  </rcc>
  <rcc rId="381" sId="1" quotePrefix="1">
    <nc r="J275" t="inlineStr">
      <is>
        <t>-</t>
      </is>
    </nc>
  </rcc>
  <rcc rId="382" sId="1" quotePrefix="1">
    <nc r="J276" t="inlineStr">
      <is>
        <t>-</t>
      </is>
    </nc>
  </rcc>
  <rcc rId="383" sId="1" quotePrefix="1">
    <nc r="J277" t="inlineStr">
      <is>
        <t>-</t>
      </is>
    </nc>
  </rcc>
  <rcc rId="384" sId="1" quotePrefix="1">
    <nc r="J278" t="inlineStr">
      <is>
        <t>-</t>
      </is>
    </nc>
  </rcc>
  <rcc rId="385" sId="1" quotePrefix="1">
    <nc r="J279" t="inlineStr">
      <is>
        <t>-</t>
      </is>
    </nc>
  </rcc>
  <rcc rId="386" sId="1" quotePrefix="1">
    <nc r="J280" t="inlineStr">
      <is>
        <t>-</t>
      </is>
    </nc>
  </rcc>
  <rcc rId="387" sId="1" quotePrefix="1">
    <nc r="J281" t="inlineStr">
      <is>
        <t>-</t>
      </is>
    </nc>
  </rcc>
  <rcc rId="388" sId="1" quotePrefix="1">
    <nc r="J282" t="inlineStr">
      <is>
        <t>-</t>
      </is>
    </nc>
  </rcc>
  <rcc rId="389" sId="1" quotePrefix="1">
    <nc r="J283" t="inlineStr">
      <is>
        <t>-</t>
      </is>
    </nc>
  </rcc>
  <rcc rId="390" sId="1" quotePrefix="1">
    <nc r="J284" t="inlineStr">
      <is>
        <t>-</t>
      </is>
    </nc>
  </rcc>
  <rcc rId="391" sId="1" quotePrefix="1">
    <nc r="J285" t="inlineStr">
      <is>
        <t>-</t>
      </is>
    </nc>
  </rcc>
  <rcc rId="392" sId="1" quotePrefix="1">
    <nc r="J286" t="inlineStr">
      <is>
        <t>-</t>
      </is>
    </nc>
  </rcc>
  <rcc rId="393" sId="1" quotePrefix="1">
    <nc r="J287" t="inlineStr">
      <is>
        <t>-</t>
      </is>
    </nc>
  </rcc>
  <rcc rId="394" sId="1" quotePrefix="1">
    <nc r="J288" t="inlineStr">
      <is>
        <t>-</t>
      </is>
    </nc>
  </rcc>
  <rcc rId="395" sId="1" quotePrefix="1">
    <nc r="J289" t="inlineStr">
      <is>
        <t>-</t>
      </is>
    </nc>
  </rcc>
  <rcc rId="396" sId="1" quotePrefix="1">
    <nc r="J290" t="inlineStr">
      <is>
        <t>-</t>
      </is>
    </nc>
  </rcc>
  <rcc rId="397" sId="1" quotePrefix="1">
    <nc r="J291" t="inlineStr">
      <is>
        <t>-</t>
      </is>
    </nc>
  </rcc>
  <rcc rId="398" sId="1" quotePrefix="1">
    <nc r="J292" t="inlineStr">
      <is>
        <t>-</t>
      </is>
    </nc>
  </rcc>
  <rcc rId="399" sId="1" quotePrefix="1">
    <nc r="J293" t="inlineStr">
      <is>
        <t>-</t>
      </is>
    </nc>
  </rcc>
  <rcc rId="400" sId="1" quotePrefix="1">
    <nc r="J294" t="inlineStr">
      <is>
        <t>-</t>
      </is>
    </nc>
  </rcc>
  <rcc rId="401" sId="1" quotePrefix="1">
    <nc r="J295" t="inlineStr">
      <is>
        <t>-</t>
      </is>
    </nc>
  </rcc>
  <rcc rId="402" sId="1" quotePrefix="1">
    <nc r="J296" t="inlineStr">
      <is>
        <t>-</t>
      </is>
    </nc>
  </rcc>
  <rcc rId="403" sId="1" quotePrefix="1">
    <nc r="J297" t="inlineStr">
      <is>
        <t>-</t>
      </is>
    </nc>
  </rcc>
  <rcc rId="404" sId="1" quotePrefix="1">
    <nc r="J298" t="inlineStr">
      <is>
        <t>-</t>
      </is>
    </nc>
  </rcc>
  <rcc rId="405" sId="1" quotePrefix="1">
    <nc r="J299" t="inlineStr">
      <is>
        <t>-</t>
      </is>
    </nc>
  </rcc>
  <rcc rId="406" sId="1" quotePrefix="1">
    <nc r="J300" t="inlineStr">
      <is>
        <t>-</t>
      </is>
    </nc>
  </rcc>
  <rcc rId="407" sId="1" quotePrefix="1">
    <nc r="J301" t="inlineStr">
      <is>
        <t>-</t>
      </is>
    </nc>
  </rcc>
  <rcc rId="408" sId="1" quotePrefix="1">
    <nc r="J302" t="inlineStr">
      <is>
        <t>-</t>
      </is>
    </nc>
  </rcc>
  <rcc rId="409" sId="1" quotePrefix="1">
    <nc r="J303" t="inlineStr">
      <is>
        <t>-</t>
      </is>
    </nc>
  </rcc>
  <rcc rId="410" sId="1" quotePrefix="1">
    <nc r="J304" t="inlineStr">
      <is>
        <t>-</t>
      </is>
    </nc>
  </rcc>
  <rcc rId="411" sId="1" quotePrefix="1">
    <nc r="J305" t="inlineStr">
      <is>
        <t>-</t>
      </is>
    </nc>
  </rcc>
  <rcc rId="412" sId="1" quotePrefix="1">
    <nc r="J306" t="inlineStr">
      <is>
        <t>-</t>
      </is>
    </nc>
  </rcc>
  <rcc rId="413" sId="1" quotePrefix="1">
    <nc r="J307" t="inlineStr">
      <is>
        <t>-</t>
      </is>
    </nc>
  </rcc>
  <rcc rId="414" sId="1" quotePrefix="1">
    <nc r="J308" t="inlineStr">
      <is>
        <t>-</t>
      </is>
    </nc>
  </rcc>
  <rcc rId="415" sId="1" quotePrefix="1">
    <nc r="J309" t="inlineStr">
      <is>
        <t>-</t>
      </is>
    </nc>
  </rcc>
  <rcc rId="416" sId="1" quotePrefix="1">
    <nc r="J310" t="inlineStr">
      <is>
        <t>-</t>
      </is>
    </nc>
  </rcc>
  <rcc rId="417" sId="1" quotePrefix="1">
    <nc r="J311" t="inlineStr">
      <is>
        <t>-</t>
      </is>
    </nc>
  </rcc>
  <rcc rId="418" sId="1" quotePrefix="1">
    <nc r="J312" t="inlineStr">
      <is>
        <t>-</t>
      </is>
    </nc>
  </rcc>
  <rcc rId="419" sId="1" quotePrefix="1">
    <nc r="J313" t="inlineStr">
      <is>
        <t>-</t>
      </is>
    </nc>
  </rcc>
  <rcc rId="420" sId="1" quotePrefix="1">
    <nc r="J314" t="inlineStr">
      <is>
        <t>-</t>
      </is>
    </nc>
  </rcc>
  <rcc rId="421" sId="1" quotePrefix="1">
    <nc r="J315" t="inlineStr">
      <is>
        <t>-</t>
      </is>
    </nc>
  </rcc>
  <rcc rId="422" sId="1" quotePrefix="1">
    <nc r="J316" t="inlineStr">
      <is>
        <t>-</t>
      </is>
    </nc>
  </rcc>
  <rcc rId="423" sId="1" quotePrefix="1">
    <nc r="J317" t="inlineStr">
      <is>
        <t>-</t>
      </is>
    </nc>
  </rcc>
  <rcc rId="424" sId="1" quotePrefix="1">
    <nc r="J318" t="inlineStr">
      <is>
        <t>-</t>
      </is>
    </nc>
  </rcc>
  <rcc rId="425" sId="1" quotePrefix="1">
    <nc r="J319" t="inlineStr">
      <is>
        <t>-</t>
      </is>
    </nc>
  </rcc>
  <rcc rId="426" sId="1" quotePrefix="1">
    <nc r="J320" t="inlineStr">
      <is>
        <t>-</t>
      </is>
    </nc>
  </rcc>
  <rcc rId="427" sId="1" quotePrefix="1">
    <nc r="J321" t="inlineStr">
      <is>
        <t>-</t>
      </is>
    </nc>
  </rcc>
  <rcc rId="428" sId="1" quotePrefix="1">
    <nc r="J322" t="inlineStr">
      <is>
        <t>-</t>
      </is>
    </nc>
  </rcc>
  <rcc rId="429" sId="1" quotePrefix="1">
    <nc r="J323" t="inlineStr">
      <is>
        <t>-</t>
      </is>
    </nc>
  </rcc>
  <rcc rId="430" sId="1" quotePrefix="1">
    <nc r="J324" t="inlineStr">
      <is>
        <t>-</t>
      </is>
    </nc>
  </rcc>
  <rcc rId="431" sId="1" quotePrefix="1">
    <nc r="J325" t="inlineStr">
      <is>
        <t>-</t>
      </is>
    </nc>
  </rcc>
  <rcc rId="432" sId="1" quotePrefix="1">
    <nc r="J326" t="inlineStr">
      <is>
        <t>-</t>
      </is>
    </nc>
  </rcc>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3" sId="1" xfDxf="1" dxf="1">
    <nc r="I242" t="inlineStr">
      <is>
        <t>rba_BldrCmp_10DiagnosticSessionControl.c</t>
      </is>
    </nc>
    <ndxf>
      <alignment horizontal="left" vertical="top" readingOrder="0"/>
      <border outline="0">
        <left style="thin">
          <color indexed="64"/>
        </left>
        <right style="thin">
          <color indexed="64"/>
        </right>
        <top style="thin">
          <color indexed="64"/>
        </top>
        <bottom style="thin">
          <color indexed="64"/>
        </bottom>
      </border>
    </ndxf>
  </rcc>
  <rcc rId="434" sId="1" xfDxf="1" dxf="1">
    <nc r="I243" t="inlineStr">
      <is>
        <t>rba_BldrCmp_22ReadDataByIdentifier.c</t>
      </is>
    </nc>
    <ndxf>
      <alignment horizontal="left" vertical="top" readingOrder="0"/>
      <border outline="0">
        <left style="thin">
          <color indexed="64"/>
        </left>
        <right style="thin">
          <color indexed="64"/>
        </right>
        <top style="thin">
          <color indexed="64"/>
        </top>
        <bottom style="thin">
          <color indexed="64"/>
        </bottom>
      </border>
    </ndxf>
  </rcc>
  <rcc rId="435" sId="1" xfDxf="1" dxf="1">
    <nc r="I244" t="inlineStr">
      <is>
        <t>rba_BldrCmp_31RoutineControl_Chkmem.c</t>
      </is>
    </nc>
    <ndxf>
      <alignment horizontal="left" vertical="top" readingOrder="0"/>
      <border outline="0">
        <left style="thin">
          <color indexed="64"/>
        </left>
        <right style="thin">
          <color indexed="64"/>
        </right>
        <top style="thin">
          <color indexed="64"/>
        </top>
        <bottom style="thin">
          <color indexed="64"/>
        </bottom>
      </border>
    </ndxf>
  </rcc>
  <rcc rId="436" sId="1" xfDxf="1" dxf="1">
    <nc r="I245" t="inlineStr">
      <is>
        <t>rba_BldrCmp_31RoutineControl_Chkpd.c</t>
      </is>
    </nc>
    <ndxf>
      <alignment horizontal="left" vertical="top" readingOrder="0"/>
      <border outline="0">
        <left style="thin">
          <color indexed="64"/>
        </left>
        <right style="thin">
          <color indexed="64"/>
        </right>
        <top style="thin">
          <color indexed="64"/>
        </top>
        <bottom style="thin">
          <color indexed="64"/>
        </bottom>
      </border>
    </ndxf>
  </rcc>
  <rcc rId="437" sId="1" xfDxf="1" dxf="1">
    <nc r="I246" t="inlineStr">
      <is>
        <t>rba_BldrCmp_36TransferData.c</t>
      </is>
    </nc>
    <ndxf>
      <alignment horizontal="left" vertical="top" readingOrder="0"/>
      <border outline="0">
        <left style="thin">
          <color indexed="64"/>
        </left>
        <right style="thin">
          <color indexed="64"/>
        </right>
        <top style="thin">
          <color indexed="64"/>
        </top>
        <bottom style="thin">
          <color indexed="64"/>
        </bottom>
      </border>
    </ndxf>
  </rcc>
  <rcc rId="438" sId="1" xfDxf="1" dxf="1">
    <nc r="I247" t="inlineStr">
      <is>
        <t>rba_BldrCmp_Task_SADelayTimer.c</t>
      </is>
    </nc>
    <ndxf>
      <alignment horizontal="left" vertical="top" readingOrder="0"/>
      <border outline="0">
        <left style="thin">
          <color indexed="64"/>
        </left>
        <right style="thin">
          <color indexed="64"/>
        </right>
        <top style="thin">
          <color indexed="64"/>
        </top>
        <bottom style="thin">
          <color indexed="64"/>
        </bottom>
      </border>
    </ndxf>
  </rcc>
  <rcc rId="439" sId="1" xfDxf="1" dxf="1">
    <nc r="I248" t="inlineStr">
      <is>
        <t>rba_AS_HWProt.c</t>
      </is>
    </nc>
    <ndxf>
      <alignment horizontal="left" vertical="top" readingOrder="0"/>
      <border outline="0">
        <left style="thin">
          <color indexed="64"/>
        </left>
        <right style="thin">
          <color indexed="64"/>
        </right>
        <top style="thin">
          <color indexed="64"/>
        </top>
        <bottom style="thin">
          <color indexed="64"/>
        </bottom>
      </border>
    </ndxf>
  </rcc>
  <rcc rId="440" sId="1" xfDxf="1" dxf="1">
    <nc r="I249" t="inlineStr">
      <is>
        <t>rba_BldrCmp_Cfg_CheckMem.c</t>
      </is>
    </nc>
    <ndxf>
      <alignment horizontal="left" vertical="top" readingOrder="0"/>
      <border outline="0">
        <left style="thin">
          <color indexed="64"/>
        </left>
        <right style="thin">
          <color indexed="64"/>
        </right>
        <top style="thin">
          <color indexed="64"/>
        </top>
        <bottom style="thin">
          <color indexed="64"/>
        </bottom>
      </border>
    </ndxf>
  </rcc>
  <rcc rId="441" sId="1" xfDxf="1" dxf="1">
    <nc r="I250" t="inlineStr">
      <is>
        <t>rba_BldrCmp_Cfg_FlashIf.c</t>
      </is>
    </nc>
    <ndxf>
      <alignment horizontal="left" vertical="top" readingOrder="0"/>
      <border outline="0">
        <left style="thin">
          <color indexed="64"/>
        </left>
        <right style="thin">
          <color indexed="64"/>
        </right>
        <top style="thin">
          <color indexed="64"/>
        </top>
        <bottom style="thin">
          <color indexed="64"/>
        </bottom>
      </border>
    </ndxf>
  </rcc>
  <rcc rId="442" sId="1" xfDxf="1" dxf="1">
    <nc r="I251" t="inlineStr">
      <is>
        <t>rba_BldrCmp_Cfg_Functions.c</t>
      </is>
    </nc>
    <ndxf>
      <alignment horizontal="left" vertical="top" readingOrder="0"/>
      <border outline="0">
        <left style="thin">
          <color indexed="64"/>
        </left>
        <right style="thin">
          <color indexed="64"/>
        </right>
        <top style="thin">
          <color indexed="64"/>
        </top>
        <bottom style="thin">
          <color indexed="64"/>
        </bottom>
      </border>
    </ndxf>
  </rcc>
  <rcc rId="443" sId="1" xfDxf="1" dxf="1">
    <nc r="I252" t="inlineStr">
      <is>
        <t>rba_BldrCmp_Cfg_NvmIf.c</t>
      </is>
    </nc>
    <ndxf>
      <alignment horizontal="left" vertical="top" readingOrder="0"/>
      <border outline="0">
        <left style="thin">
          <color indexed="64"/>
        </left>
        <right style="thin">
          <color indexed="64"/>
        </right>
        <top style="thin">
          <color indexed="64"/>
        </top>
        <bottom style="thin">
          <color indexed="64"/>
        </bottom>
      </border>
    </ndxf>
  </rcc>
  <rcc rId="444" sId="1" xfDxf="1" dxf="1">
    <nc r="I253" t="inlineStr">
      <is>
        <t>rba_BldrCmp_Cfg_PrjFunctions.c</t>
      </is>
    </nc>
    <ndxf>
      <alignment horizontal="left" vertical="top" readingOrder="0"/>
      <border outline="0">
        <left style="thin">
          <color indexed="64"/>
        </left>
        <right style="thin">
          <color indexed="64"/>
        </right>
        <top style="thin">
          <color indexed="64"/>
        </top>
        <bottom style="thin">
          <color indexed="64"/>
        </bottom>
      </border>
    </ndxf>
  </rcc>
  <rcc rId="445" sId="1" xfDxf="1" dxf="1">
    <nc r="I254" t="inlineStr">
      <is>
        <t>RBAPLCUST_DcmManufacturerNotification.c</t>
      </is>
    </nc>
    <ndxf>
      <alignment horizontal="left" vertical="top" readingOrder="0"/>
      <border outline="0">
        <left style="thin">
          <color indexed="64"/>
        </left>
        <right style="thin">
          <color indexed="64"/>
        </right>
        <top style="thin">
          <color indexed="64"/>
        </top>
        <bottom style="thin">
          <color indexed="64"/>
        </bottom>
      </border>
    </ndxf>
  </rcc>
  <rcc rId="446" sId="1" xfDxf="1" dxf="1">
    <nc r="I255" t="inlineStr">
      <is>
        <t>RBAPLCUST_ExpectedOBDType.c</t>
      </is>
    </nc>
    <ndxf>
      <alignment horizontal="left" vertical="top" readingOrder="0"/>
      <border outline="0">
        <left style="thin">
          <color indexed="64"/>
        </left>
        <right style="thin">
          <color indexed="64"/>
        </right>
        <top style="thin">
          <color indexed="64"/>
        </top>
        <bottom style="thin">
          <color indexed="64"/>
        </bottom>
      </border>
    </ndxf>
  </rcc>
  <rcc rId="447" sId="1" xfDxf="1" dxf="1">
    <nc r="I256" t="inlineStr">
      <is>
        <t>RBAPLCUST_RDBI_BLS.c</t>
      </is>
    </nc>
    <ndxf>
      <alignment horizontal="left" vertical="top" readingOrder="0"/>
      <border outline="0">
        <left style="thin">
          <color indexed="64"/>
        </left>
        <right style="thin">
          <color indexed="64"/>
        </right>
        <top style="thin">
          <color indexed="64"/>
        </top>
        <bottom style="thin">
          <color indexed="64"/>
        </bottom>
      </border>
    </ndxf>
  </rcc>
  <rcc rId="448" sId="1" xfDxf="1" dxf="1">
    <nc r="I257" t="inlineStr">
      <is>
        <t>RBAPLCUST_RDBI_CBDS.c</t>
      </is>
    </nc>
    <ndxf>
      <alignment horizontal="left" vertical="top" readingOrder="0"/>
      <border outline="0">
        <left style="thin">
          <color indexed="64"/>
        </left>
        <right style="thin">
          <color indexed="64"/>
        </right>
        <top style="thin">
          <color indexed="64"/>
        </top>
        <bottom style="thin">
          <color indexed="64"/>
        </bottom>
      </border>
    </ndxf>
  </rcc>
  <rcc rId="449" sId="1" xfDxf="1" dxf="1">
    <nc r="I258" t="inlineStr">
      <is>
        <t>RBAPLCUST_RoutineControl_iBoosterActuatorTest.c</t>
      </is>
    </nc>
    <ndxf>
      <alignment horizontal="left" vertical="top" readingOrder="0"/>
      <border outline="0">
        <left style="thin">
          <color indexed="64"/>
        </left>
        <right style="thin">
          <color indexed="64"/>
        </right>
        <top style="thin">
          <color indexed="64"/>
        </top>
        <bottom style="thin">
          <color indexed="64"/>
        </bottom>
      </border>
    </ndxf>
  </rcc>
  <rcc rId="450" sId="1" xfDxf="1" dxf="1">
    <nc r="I259" t="inlineStr">
      <is>
        <t>RBAPLOBD_Global.c</t>
      </is>
    </nc>
    <ndxf>
      <alignment horizontal="left" vertical="top" readingOrder="0"/>
      <border outline="0">
        <left style="thin">
          <color indexed="64"/>
        </left>
        <right style="thin">
          <color indexed="64"/>
        </right>
        <top style="thin">
          <color indexed="64"/>
        </top>
        <bottom style="thin">
          <color indexed="64"/>
        </bottom>
      </border>
    </ndxf>
  </rcc>
  <rcc rId="451" sId="1" xfDxf="1" dxf="1">
    <nc r="I260" t="inlineStr">
      <is>
        <t>Dem_PrjSpecificIndiHandling.c</t>
      </is>
    </nc>
    <ndxf>
      <alignment horizontal="left" vertical="top" readingOrder="0"/>
      <border outline="0">
        <left style="thin">
          <color indexed="64"/>
        </left>
        <right style="thin">
          <color indexed="64"/>
        </right>
        <top style="thin">
          <color indexed="64"/>
        </top>
        <bottom style="thin">
          <color indexed="64"/>
        </bottom>
      </border>
    </ndxf>
  </rcc>
  <rcc rId="452" sId="1" xfDxf="1" dxf="1">
    <nc r="I261" t="inlineStr">
      <is>
        <t>DSMSim_PRJ_Specific.c</t>
      </is>
    </nc>
    <ndxf>
      <alignment horizontal="left" vertical="top" readingOrder="0"/>
      <border outline="0">
        <left style="thin">
          <color indexed="64"/>
        </left>
        <right style="thin">
          <color indexed="64"/>
        </right>
        <top style="thin">
          <color indexed="64"/>
        </top>
        <bottom style="thin">
          <color indexed="64"/>
        </bottom>
      </border>
    </ndxf>
  </rcc>
  <rcc rId="453" sId="1" xfDxf="1" dxf="1">
    <nc r="I262" t="inlineStr">
      <is>
        <t>rba_DemObdBasic_ProjectExtension.c</t>
      </is>
    </nc>
    <ndxf>
      <alignment horizontal="left" vertical="top" readingOrder="0"/>
      <border outline="0">
        <left style="thin">
          <color indexed="64"/>
        </left>
        <right style="thin">
          <color indexed="64"/>
        </right>
        <top style="thin">
          <color indexed="64"/>
        </top>
        <bottom style="thin">
          <color indexed="64"/>
        </bottom>
      </border>
    </ndxf>
  </rcc>
  <rcc rId="454" sId="1" xfDxf="1" dxf="1">
    <nc r="I263" t="inlineStr">
      <is>
        <t>RBHMI_ConfigOutputDriver_PRJ.c</t>
      </is>
    </nc>
    <ndxf>
      <alignment horizontal="left" vertical="top" readingOrder="0"/>
      <border outline="0">
        <left style="thin">
          <color indexed="64"/>
        </left>
        <right style="thin">
          <color indexed="64"/>
        </right>
        <top style="thin">
          <color indexed="64"/>
        </top>
        <bottom style="thin">
          <color indexed="64"/>
        </bottom>
      </border>
    </ndxf>
  </rcc>
  <rcc rId="455" sId="1" xfDxf="1" dxf="1">
    <nc r="I264" t="inlineStr">
      <is>
        <t>RBHMI_ConfigOutputDriver_PRJ.c</t>
      </is>
    </nc>
    <ndxf>
      <alignment horizontal="left" vertical="top" readingOrder="0"/>
      <border outline="0">
        <left style="thin">
          <color indexed="64"/>
        </left>
        <right style="thin">
          <color indexed="64"/>
        </right>
        <top style="thin">
          <color indexed="64"/>
        </top>
        <bottom style="thin">
          <color indexed="64"/>
        </bottom>
      </border>
    </ndxf>
  </rcc>
  <rcc rId="456" sId="1" xfDxf="1" dxf="1">
    <nc r="I265" t="inlineStr">
      <is>
        <t>RBVAR_OutputDriver_PROJECT.c</t>
      </is>
    </nc>
    <ndxf>
      <alignment horizontal="left" vertical="top" readingOrder="0"/>
      <border outline="0">
        <left style="thin">
          <color indexed="64"/>
        </left>
        <right style="thin">
          <color indexed="64"/>
        </right>
        <top style="thin">
          <color indexed="64"/>
        </top>
        <bottom style="thin">
          <color indexed="64"/>
        </bottom>
      </border>
    </ndxf>
  </rcc>
  <rcc rId="457" sId="1" xfDxf="1" dxf="1">
    <nc r="I266"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458" sId="1" xfDxf="1" dxf="1">
    <nc r="I267" t="inlineStr">
      <is>
        <t>VAR_OBDSWitch_COMMON.c</t>
      </is>
    </nc>
    <ndxf>
      <alignment horizontal="left" vertical="top" readingOrder="0"/>
      <border outline="0">
        <left style="thin">
          <color indexed="64"/>
        </left>
        <right style="thin">
          <color indexed="64"/>
        </right>
        <top style="thin">
          <color indexed="64"/>
        </top>
        <bottom style="thin">
          <color indexed="64"/>
        </bottom>
      </border>
    </ndxf>
  </rcc>
  <rcc rId="459" sId="1" xfDxf="1" dxf="1">
    <nc r="I268" t="inlineStr">
      <is>
        <t>VAR_OBDSWitch_IF.c</t>
      </is>
    </nc>
    <ndxf>
      <alignment horizontal="left" vertical="top" readingOrder="0"/>
      <border outline="0">
        <left style="thin">
          <color indexed="64"/>
        </left>
        <right style="thin">
          <color indexed="64"/>
        </right>
        <top style="thin">
          <color indexed="64"/>
        </top>
        <bottom style="thin">
          <color indexed="64"/>
        </bottom>
      </border>
    </ndxf>
  </rcc>
  <rcc rId="460" sId="1" xfDxf="1" dxf="1">
    <nc r="I269" t="inlineStr">
      <is>
        <t>rba_InternalIF.c</t>
      </is>
    </nc>
    <ndxf>
      <alignment horizontal="left" vertical="top" readingOrder="0"/>
      <border outline="0">
        <left style="thin">
          <color indexed="64"/>
        </left>
        <right style="thin">
          <color indexed="64"/>
        </right>
        <top style="thin">
          <color indexed="64"/>
        </top>
        <bottom style="thin">
          <color indexed="64"/>
        </bottom>
      </border>
    </ndxf>
  </rcc>
  <rcc rId="461" sId="1" xfDxf="1" dxf="1">
    <nc r="I270" t="inlineStr">
      <is>
        <t>rbnm.c</t>
      </is>
    </nc>
    <ndxf>
      <alignment horizontal="left" vertical="top" readingOrder="0"/>
      <border outline="0">
        <left style="thin">
          <color indexed="64"/>
        </left>
        <right style="thin">
          <color indexed="64"/>
        </right>
        <top style="thin">
          <color indexed="64"/>
        </top>
        <bottom style="thin">
          <color indexed="64"/>
        </bottom>
      </border>
    </ndxf>
  </rcc>
  <rcc rId="462" sId="1" xfDxf="1" dxf="1">
    <nc r="I271" t="inlineStr">
      <is>
        <t>DNCIF_Stubs_PQ26.c</t>
      </is>
    </nc>
    <ndxf>
      <alignment horizontal="left" vertical="top" readingOrder="0"/>
      <border outline="0">
        <left style="thin">
          <color indexed="64"/>
        </left>
        <right style="thin">
          <color indexed="64"/>
        </right>
        <top style="thin">
          <color indexed="64"/>
        </top>
        <bottom style="thin">
          <color indexed="64"/>
        </bottom>
      </border>
    </ndxf>
  </rcc>
  <rcc rId="463" sId="1" xfDxf="1" dxf="1">
    <nc r="I272" t="inlineStr">
      <is>
        <t>PCT_AswWrapper.c</t>
      </is>
    </nc>
    <ndxf>
      <alignment horizontal="left" vertical="top" readingOrder="0"/>
      <border outline="0">
        <left style="thin">
          <color indexed="64"/>
        </left>
        <right style="thin">
          <color indexed="64"/>
        </right>
        <top style="thin">
          <color indexed="64"/>
        </top>
        <bottom style="thin">
          <color indexed="64"/>
        </bottom>
      </border>
    </ndxf>
  </rcc>
  <rcc rId="464" sId="1" xfDxf="1" dxf="1">
    <nc r="I273" t="inlineStr">
      <is>
        <t>RBHMI_ConfigOutputDriver_PRJ.c</t>
      </is>
    </nc>
    <ndxf>
      <alignment horizontal="left" vertical="top" readingOrder="0"/>
      <border outline="0">
        <left style="thin">
          <color indexed="64"/>
        </left>
        <right style="thin">
          <color indexed="64"/>
        </right>
        <top style="thin">
          <color indexed="64"/>
        </top>
        <bottom style="thin">
          <color indexed="64"/>
        </bottom>
      </border>
    </ndxf>
  </rcc>
  <rcc rId="465" sId="1" xfDxf="1" dxf="1">
    <nc r="I274" t="inlineStr">
      <is>
        <t>Dem_PrjSpecificIndiHandling.c</t>
      </is>
    </nc>
    <ndxf>
      <alignment horizontal="left" vertical="top" readingOrder="0"/>
      <border outline="0">
        <left style="thin">
          <color indexed="64"/>
        </left>
        <right style="thin">
          <color indexed="64"/>
        </right>
        <top style="thin">
          <color indexed="64"/>
        </top>
        <bottom style="thin">
          <color indexed="64"/>
        </bottom>
      </border>
    </ndxf>
  </rcc>
  <rcc rId="466" sId="1" xfDxf="1" dxf="1">
    <nc r="I275" t="inlineStr">
      <is>
        <t>DSMSim_PRJ_Specific.c</t>
      </is>
    </nc>
    <ndxf>
      <alignment horizontal="left" vertical="top" readingOrder="0"/>
      <border outline="0">
        <left style="thin">
          <color indexed="64"/>
        </left>
        <right style="thin">
          <color indexed="64"/>
        </right>
        <top style="thin">
          <color indexed="64"/>
        </top>
        <bottom style="thin">
          <color indexed="64"/>
        </bottom>
      </border>
    </ndxf>
  </rcc>
  <rcc rId="467" sId="1" xfDxf="1" dxf="1">
    <nc r="I276" t="inlineStr">
      <is>
        <t>RBDemVar_VariantHandling.c</t>
      </is>
    </nc>
    <ndxf>
      <alignment horizontal="left" vertical="top" readingOrder="0"/>
      <border outline="0">
        <left style="thin">
          <color indexed="64"/>
        </left>
        <right style="thin">
          <color indexed="64"/>
        </right>
        <top style="thin">
          <color indexed="64"/>
        </top>
        <bottom style="thin">
          <color indexed="64"/>
        </bottom>
      </border>
    </ndxf>
  </rcc>
  <rcc rId="468" sId="1" xfDxf="1" dxf="1">
    <nc r="I277" t="inlineStr">
      <is>
        <t>ComScl_Scl_Complex_proc.c</t>
      </is>
    </nc>
    <ndxf>
      <alignment horizontal="left" vertical="top" readingOrder="0"/>
      <border outline="0">
        <left style="thin">
          <color indexed="64"/>
        </left>
        <right style="thin">
          <color indexed="64"/>
        </right>
        <top style="thin">
          <color indexed="64"/>
        </top>
        <bottom style="thin">
          <color indexed="64"/>
        </bottom>
      </border>
    </ndxf>
  </rcc>
  <rcc rId="469" sId="1" xfDxf="1" dxf="1">
    <nc r="I278" t="inlineStr">
      <is>
        <t>rba_NET_Global_variable.c</t>
      </is>
    </nc>
    <ndxf>
      <alignment horizontal="left" vertical="top" readingOrder="0"/>
      <border outline="0">
        <left style="thin">
          <color indexed="64"/>
        </left>
        <right style="thin">
          <color indexed="64"/>
        </right>
        <top style="thin">
          <color indexed="64"/>
        </top>
        <bottom style="thin">
          <color indexed="64"/>
        </bottom>
      </border>
    </ndxf>
  </rcc>
  <rcc rId="470" sId="1" xfDxf="1" dxf="1">
    <nc r="I279" t="inlineStr">
      <is>
        <t>DemCSMosar_StoreEvtImm_Cfg.c</t>
      </is>
    </nc>
    <ndxf>
      <alignment horizontal="left" vertical="top" readingOrder="0"/>
      <border outline="0">
        <left style="thin">
          <color indexed="64"/>
        </left>
        <right style="thin">
          <color indexed="64"/>
        </right>
        <top style="thin">
          <color indexed="64"/>
        </top>
        <bottom style="thin">
          <color indexed="64"/>
        </bottom>
      </border>
    </ndxf>
  </rcc>
  <rcc rId="471" sId="1" xfDxf="1" dxf="1">
    <nc r="I280" t="inlineStr">
      <is>
        <t>Net_Stubs.c</t>
      </is>
    </nc>
    <ndxf>
      <alignment horizontal="left" vertical="top" readingOrder="0"/>
      <border outline="0">
        <left style="thin">
          <color indexed="64"/>
        </left>
        <right style="thin">
          <color indexed="64"/>
        </right>
        <top style="thin">
          <color indexed="64"/>
        </top>
        <bottom style="thin">
          <color indexed="64"/>
        </bottom>
      </border>
    </ndxf>
  </rcc>
  <rcc rId="472" sId="1" xfDxf="1" dxf="1">
    <nc r="I281" t="inlineStr">
      <is>
        <t>rba_STM_SSC_Cfg.c</t>
      </is>
    </nc>
    <ndxf>
      <alignment horizontal="left" vertical="top" readingOrder="0"/>
      <border outline="0">
        <left style="thin">
          <color indexed="64"/>
        </left>
        <right style="thin">
          <color indexed="64"/>
        </right>
        <top style="thin">
          <color indexed="64"/>
        </top>
        <bottom style="thin">
          <color indexed="64"/>
        </bottom>
      </border>
    </ndxf>
  </rcc>
  <rcc rId="473" sId="1" xfDxf="1" dxf="1">
    <nc r="I282" t="inlineStr">
      <is>
        <t>RBSUPPLYVLV_UBVRVoltage.c</t>
      </is>
    </nc>
    <ndxf>
      <alignment horizontal="left" vertical="top" readingOrder="0"/>
      <border outline="0">
        <left style="thin">
          <color indexed="64"/>
        </left>
        <right style="thin">
          <color indexed="64"/>
        </right>
        <top style="thin">
          <color indexed="64"/>
        </top>
        <bottom style="thin">
          <color indexed="64"/>
        </bottom>
      </border>
    </ndxf>
  </rcc>
  <rcc rId="474" sId="1" xfDxf="1" dxf="1">
    <nc r="I283" t="inlineStr">
      <is>
        <t>RBEMM_Project.c</t>
      </is>
    </nc>
    <ndxf>
      <alignment horizontal="left" vertical="top" readingOrder="0"/>
      <border outline="0">
        <left style="thin">
          <color indexed="64"/>
        </left>
        <right style="thin">
          <color indexed="64"/>
        </right>
        <top style="thin">
          <color indexed="64"/>
        </top>
        <bottom style="thin">
          <color indexed="64"/>
        </bottom>
      </border>
    </ndxf>
  </rcc>
  <rcc rId="475" sId="1" xfDxf="1" dxf="1">
    <nc r="I284" t="inlineStr">
      <is>
        <t>RBDSM_SWT_ComponentSwitch.c</t>
      </is>
    </nc>
    <ndxf>
      <alignment horizontal="left" vertical="top" readingOrder="0"/>
      <border outline="0">
        <left style="thin">
          <color indexed="64"/>
        </left>
        <right style="thin">
          <color indexed="64"/>
        </right>
        <top style="thin">
          <color indexed="64"/>
        </top>
        <bottom style="thin">
          <color indexed="64"/>
        </bottom>
      </border>
    </ndxf>
  </rcc>
  <rcc rId="476" sId="1" xfDxf="1" dxf="1">
    <nc r="I285" t="inlineStr">
      <is>
        <t>HwModel_CNMS_HEVX.c</t>
      </is>
    </nc>
    <ndxf>
      <alignment horizontal="left" vertical="top" readingOrder="0"/>
      <border outline="0">
        <left style="thin">
          <color indexed="64"/>
        </left>
        <right style="thin">
          <color indexed="64"/>
        </right>
        <top style="thin">
          <color indexed="64"/>
        </top>
        <bottom style="thin">
          <color indexed="64"/>
        </bottom>
      </border>
    </ndxf>
  </rcc>
  <rcc rId="477" sId="1" xfDxf="1" dxf="1">
    <nc r="I286" t="inlineStr">
      <is>
        <t>RBDfaEmf_SignalOutput_BMWG01.c</t>
      </is>
    </nc>
    <ndxf>
      <alignment horizontal="left" vertical="top" readingOrder="0"/>
      <border outline="0">
        <left style="thin">
          <color indexed="64"/>
        </left>
        <right style="thin">
          <color indexed="64"/>
        </right>
        <top style="thin">
          <color indexed="64"/>
        </top>
        <bottom style="thin">
          <color indexed="64"/>
        </bottom>
      </border>
    </ndxf>
  </rcc>
  <rcc rId="478" sId="1" xfDxf="1" dxf="1">
    <nc r="I287" t="inlineStr">
      <is>
        <t>RBVlvFreewheelingIssue.c</t>
      </is>
    </nc>
    <ndxf>
      <alignment horizontal="left" vertical="top" readingOrder="0"/>
      <border outline="0">
        <left style="thin">
          <color indexed="64"/>
        </left>
        <right style="thin">
          <color indexed="64"/>
        </right>
        <top style="thin">
          <color indexed="64"/>
        </top>
        <bottom style="thin">
          <color indexed="64"/>
        </bottom>
      </border>
    </ndxf>
  </rcc>
  <rcc rId="479" sId="1" xfDxf="1" dxf="1">
    <nc r="I288" t="inlineStr">
      <is>
        <t>TestEnvironment_Fee_EV711101.c</t>
      </is>
    </nc>
    <ndxf>
      <alignment horizontal="left" vertical="top" readingOrder="0"/>
      <border outline="0">
        <left style="thin">
          <color indexed="64"/>
        </left>
        <right style="thin">
          <color indexed="64"/>
        </right>
        <top style="thin">
          <color indexed="64"/>
        </top>
        <bottom style="thin">
          <color indexed="64"/>
        </bottom>
      </border>
    </ndxf>
  </rcc>
  <rcc rId="480" sId="1" xfDxf="1" dxf="1">
    <nc r="I289" t="inlineStr">
      <is>
        <t>TestEnvironment_Fee_EV711106.c</t>
      </is>
    </nc>
    <ndxf>
      <alignment horizontal="left" vertical="top" readingOrder="0"/>
      <border outline="0">
        <left style="thin">
          <color indexed="64"/>
        </left>
        <right style="thin">
          <color indexed="64"/>
        </right>
        <top style="thin">
          <color indexed="64"/>
        </top>
        <bottom style="thin">
          <color indexed="64"/>
        </bottom>
      </border>
    </ndxf>
  </rcc>
  <rcc rId="481" sId="1" xfDxf="1" dxf="1">
    <nc r="I290" t="inlineStr">
      <is>
        <t>RBCooLS_Main_Volvo.c</t>
      </is>
    </nc>
    <ndxf>
      <alignment horizontal="left" vertical="top" readingOrder="0"/>
      <border outline="0">
        <left style="thin">
          <color indexed="64"/>
        </left>
        <right style="thin">
          <color indexed="64"/>
        </right>
        <top style="thin">
          <color indexed="64"/>
        </top>
        <bottom style="thin">
          <color indexed="64"/>
        </bottom>
      </border>
    </ndxf>
  </rcc>
  <rcc rId="482" sId="1" xfDxf="1" dxf="1">
    <nc r="I291" t="inlineStr">
      <is>
        <t>RBDfaEmf_SignalOutput_BMWG01.c</t>
      </is>
    </nc>
    <ndxf>
      <alignment horizontal="left" vertical="top" readingOrder="0"/>
      <border outline="0">
        <left style="thin">
          <color indexed="64"/>
        </left>
        <right style="thin">
          <color indexed="64"/>
        </right>
        <top style="thin">
          <color indexed="64"/>
        </top>
        <bottom style="thin">
          <color indexed="64"/>
        </bottom>
      </border>
    </ndxf>
  </rcc>
  <rcc rId="483" sId="1" xfDxf="1" dxf="1">
    <nc r="I292" t="inlineStr">
      <is>
        <t>RBPduHandler_Callouts.c</t>
      </is>
    </nc>
    <ndxf>
      <alignment horizontal="left" vertical="top" readingOrder="0"/>
      <border outline="0">
        <left style="thin">
          <color indexed="64"/>
        </left>
        <right style="thin">
          <color indexed="64"/>
        </right>
        <top style="thin">
          <color indexed="64"/>
        </top>
        <bottom style="thin">
          <color indexed="64"/>
        </bottom>
      </border>
    </ndxf>
  </rcc>
  <rcc rId="484" sId="1" xfDxf="1" dxf="1">
    <nc r="I293" t="inlineStr">
      <is>
        <t>NET_SystemInfo_Callout_GWM.c</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5" sId="1" quotePrefix="1">
    <nc r="O243" t="inlineStr">
      <is>
        <t>-</t>
      </is>
    </nc>
  </rcc>
  <rcc rId="486" sId="1" quotePrefix="1">
    <nc r="O244" t="inlineStr">
      <is>
        <t>-</t>
      </is>
    </nc>
  </rcc>
  <rcc rId="487" sId="1" quotePrefix="1">
    <nc r="O245" t="inlineStr">
      <is>
        <t>-</t>
      </is>
    </nc>
  </rcc>
  <rcc rId="488" sId="1" quotePrefix="1">
    <nc r="O246" t="inlineStr">
      <is>
        <t>-</t>
      </is>
    </nc>
  </rcc>
  <rcc rId="489" sId="1" quotePrefix="1">
    <nc r="O247" t="inlineStr">
      <is>
        <t>-</t>
      </is>
    </nc>
  </rcc>
  <rcc rId="490" sId="1" quotePrefix="1">
    <nc r="O248" t="inlineStr">
      <is>
        <t>-</t>
      </is>
    </nc>
  </rcc>
  <rcc rId="491" sId="1" quotePrefix="1">
    <nc r="O249" t="inlineStr">
      <is>
        <t>-</t>
      </is>
    </nc>
  </rcc>
  <rcc rId="492" sId="1" quotePrefix="1">
    <nc r="O250" t="inlineStr">
      <is>
        <t>-</t>
      </is>
    </nc>
  </rcc>
  <rcc rId="493" sId="1" quotePrefix="1">
    <nc r="O251" t="inlineStr">
      <is>
        <t>-</t>
      </is>
    </nc>
  </rcc>
  <rcc rId="494" sId="1" quotePrefix="1">
    <nc r="O252" t="inlineStr">
      <is>
        <t>-</t>
      </is>
    </nc>
  </rcc>
  <rcc rId="495" sId="1" quotePrefix="1">
    <nc r="O253" t="inlineStr">
      <is>
        <t>-</t>
      </is>
    </nc>
  </rcc>
  <rcc rId="496" sId="1" quotePrefix="1">
    <nc r="O254" t="inlineStr">
      <is>
        <t>-</t>
      </is>
    </nc>
  </rcc>
  <rcc rId="497" sId="1" quotePrefix="1">
    <nc r="O255" t="inlineStr">
      <is>
        <t>-</t>
      </is>
    </nc>
  </rcc>
  <rcc rId="498" sId="1" quotePrefix="1">
    <nc r="O256" t="inlineStr">
      <is>
        <t>-</t>
      </is>
    </nc>
  </rcc>
  <rcc rId="499" sId="1" quotePrefix="1">
    <nc r="O257" t="inlineStr">
      <is>
        <t>-</t>
      </is>
    </nc>
  </rcc>
  <rcc rId="500" sId="1" quotePrefix="1">
    <nc r="O258" t="inlineStr">
      <is>
        <t>-</t>
      </is>
    </nc>
  </rcc>
  <rcc rId="501" sId="1" quotePrefix="1">
    <nc r="O259" t="inlineStr">
      <is>
        <t>-</t>
      </is>
    </nc>
  </rcc>
  <rcc rId="502" sId="1" quotePrefix="1">
    <nc r="O260" t="inlineStr">
      <is>
        <t>-</t>
      </is>
    </nc>
  </rcc>
  <rcc rId="503" sId="1" quotePrefix="1">
    <nc r="O261" t="inlineStr">
      <is>
        <t>-</t>
      </is>
    </nc>
  </rcc>
  <rcc rId="504" sId="1" quotePrefix="1">
    <nc r="O262" t="inlineStr">
      <is>
        <t>-</t>
      </is>
    </nc>
  </rcc>
  <rcc rId="505" sId="1" quotePrefix="1">
    <nc r="O263" t="inlineStr">
      <is>
        <t>-</t>
      </is>
    </nc>
  </rcc>
  <rcc rId="506" sId="1" quotePrefix="1">
    <nc r="O264" t="inlineStr">
      <is>
        <t>-</t>
      </is>
    </nc>
  </rcc>
  <rcc rId="507" sId="1" quotePrefix="1">
    <nc r="O265" t="inlineStr">
      <is>
        <t>-</t>
      </is>
    </nc>
  </rcc>
  <rcc rId="508" sId="1" quotePrefix="1">
    <nc r="O266" t="inlineStr">
      <is>
        <t>-</t>
      </is>
    </nc>
  </rcc>
  <rcc rId="509" sId="1" quotePrefix="1">
    <nc r="O267" t="inlineStr">
      <is>
        <t>-</t>
      </is>
    </nc>
  </rcc>
  <rcc rId="510" sId="1" quotePrefix="1">
    <nc r="O268" t="inlineStr">
      <is>
        <t>-</t>
      </is>
    </nc>
  </rcc>
  <rcc rId="511" sId="1" quotePrefix="1">
    <nc r="O269" t="inlineStr">
      <is>
        <t>-</t>
      </is>
    </nc>
  </rcc>
  <rcc rId="512" sId="1" quotePrefix="1">
    <nc r="O270" t="inlineStr">
      <is>
        <t>-</t>
      </is>
    </nc>
  </rcc>
  <rcc rId="513" sId="1" quotePrefix="1">
    <nc r="O271" t="inlineStr">
      <is>
        <t>-</t>
      </is>
    </nc>
  </rcc>
  <rcc rId="514" sId="1" quotePrefix="1">
    <nc r="O272" t="inlineStr">
      <is>
        <t>-</t>
      </is>
    </nc>
  </rcc>
  <rcc rId="515" sId="1" quotePrefix="1">
    <nc r="O273" t="inlineStr">
      <is>
        <t>-</t>
      </is>
    </nc>
  </rcc>
  <rcc rId="516" sId="1" quotePrefix="1">
    <nc r="O274" t="inlineStr">
      <is>
        <t>-</t>
      </is>
    </nc>
  </rcc>
  <rcc rId="517" sId="1" quotePrefix="1">
    <nc r="O275" t="inlineStr">
      <is>
        <t>-</t>
      </is>
    </nc>
  </rcc>
  <rcc rId="518" sId="1" quotePrefix="1">
    <nc r="O276" t="inlineStr">
      <is>
        <t>-</t>
      </is>
    </nc>
  </rcc>
  <rcc rId="519" sId="1" quotePrefix="1">
    <nc r="O277" t="inlineStr">
      <is>
        <t>-</t>
      </is>
    </nc>
  </rcc>
  <rcc rId="520" sId="1" quotePrefix="1">
    <nc r="O278" t="inlineStr">
      <is>
        <t>-</t>
      </is>
    </nc>
  </rcc>
  <rcc rId="521" sId="1" quotePrefix="1">
    <nc r="O279" t="inlineStr">
      <is>
        <t>-</t>
      </is>
    </nc>
  </rcc>
  <rcc rId="522" sId="1" quotePrefix="1">
    <nc r="O280" t="inlineStr">
      <is>
        <t>-</t>
      </is>
    </nc>
  </rcc>
  <rcc rId="523" sId="1" quotePrefix="1">
    <nc r="O281" t="inlineStr">
      <is>
        <t>-</t>
      </is>
    </nc>
  </rcc>
  <rcc rId="524" sId="1" quotePrefix="1">
    <nc r="O282" t="inlineStr">
      <is>
        <t>-</t>
      </is>
    </nc>
  </rcc>
  <rcc rId="525" sId="1" quotePrefix="1">
    <nc r="O283" t="inlineStr">
      <is>
        <t>-</t>
      </is>
    </nc>
  </rcc>
  <rcc rId="526" sId="1" quotePrefix="1">
    <nc r="O284" t="inlineStr">
      <is>
        <t>-</t>
      </is>
    </nc>
  </rcc>
  <rcc rId="527" sId="1" quotePrefix="1">
    <nc r="O285" t="inlineStr">
      <is>
        <t>-</t>
      </is>
    </nc>
  </rcc>
  <rcc rId="528" sId="1" quotePrefix="1">
    <nc r="O286" t="inlineStr">
      <is>
        <t>-</t>
      </is>
    </nc>
  </rcc>
  <rcc rId="529" sId="1" quotePrefix="1">
    <nc r="O287" t="inlineStr">
      <is>
        <t>-</t>
      </is>
    </nc>
  </rcc>
  <rcc rId="530" sId="1" quotePrefix="1">
    <nc r="O288" t="inlineStr">
      <is>
        <t>-</t>
      </is>
    </nc>
  </rcc>
  <rcc rId="531" sId="1" quotePrefix="1">
    <nc r="O289" t="inlineStr">
      <is>
        <t>-</t>
      </is>
    </nc>
  </rcc>
  <rcc rId="532" sId="1" quotePrefix="1">
    <nc r="O290" t="inlineStr">
      <is>
        <t>-</t>
      </is>
    </nc>
  </rcc>
  <rcc rId="533" sId="1" quotePrefix="1">
    <nc r="O291" t="inlineStr">
      <is>
        <t>-</t>
      </is>
    </nc>
  </rcc>
  <rcc rId="534" sId="1" quotePrefix="1">
    <nc r="O292" t="inlineStr">
      <is>
        <t>-</t>
      </is>
    </nc>
  </rcc>
  <rcc rId="535" sId="1" quotePrefix="1">
    <nc r="O293" t="inlineStr">
      <is>
        <t>-</t>
      </is>
    </nc>
  </rcc>
  <rcc rId="536" sId="1" quotePrefix="1">
    <nc r="O294" t="inlineStr">
      <is>
        <t>-</t>
      </is>
    </nc>
  </rcc>
  <rcc rId="537" sId="1" quotePrefix="1">
    <nc r="O295" t="inlineStr">
      <is>
        <t>-</t>
      </is>
    </nc>
  </rcc>
  <rcc rId="538" sId="1" quotePrefix="1">
    <nc r="O296" t="inlineStr">
      <is>
        <t>-</t>
      </is>
    </nc>
  </rcc>
  <rcc rId="539" sId="1" quotePrefix="1">
    <nc r="O297" t="inlineStr">
      <is>
        <t>-</t>
      </is>
    </nc>
  </rcc>
  <rcc rId="540" sId="1" quotePrefix="1">
    <nc r="O298" t="inlineStr">
      <is>
        <t>-</t>
      </is>
    </nc>
  </rcc>
  <rcc rId="541" sId="1" quotePrefix="1">
    <nc r="O299" t="inlineStr">
      <is>
        <t>-</t>
      </is>
    </nc>
  </rcc>
  <rcc rId="542" sId="1" quotePrefix="1">
    <nc r="O300" t="inlineStr">
      <is>
        <t>-</t>
      </is>
    </nc>
  </rcc>
  <rcc rId="543" sId="1" quotePrefix="1">
    <nc r="O301" t="inlineStr">
      <is>
        <t>-</t>
      </is>
    </nc>
  </rcc>
  <rcc rId="544" sId="1" quotePrefix="1">
    <nc r="O302" t="inlineStr">
      <is>
        <t>-</t>
      </is>
    </nc>
  </rcc>
  <rcc rId="545" sId="1" quotePrefix="1">
    <nc r="O303" t="inlineStr">
      <is>
        <t>-</t>
      </is>
    </nc>
  </rcc>
  <rcc rId="546" sId="1" quotePrefix="1">
    <nc r="O304" t="inlineStr">
      <is>
        <t>-</t>
      </is>
    </nc>
  </rcc>
  <rcc rId="547" sId="1" quotePrefix="1">
    <nc r="O305" t="inlineStr">
      <is>
        <t>-</t>
      </is>
    </nc>
  </rcc>
  <rcc rId="548" sId="1" quotePrefix="1">
    <nc r="O306" t="inlineStr">
      <is>
        <t>-</t>
      </is>
    </nc>
  </rcc>
  <rcc rId="549" sId="1" quotePrefix="1">
    <nc r="O307" t="inlineStr">
      <is>
        <t>-</t>
      </is>
    </nc>
  </rcc>
  <rcc rId="550" sId="1" quotePrefix="1">
    <nc r="O308" t="inlineStr">
      <is>
        <t>-</t>
      </is>
    </nc>
  </rcc>
  <rcc rId="551" sId="1" quotePrefix="1">
    <nc r="O309" t="inlineStr">
      <is>
        <t>-</t>
      </is>
    </nc>
  </rcc>
  <rcc rId="552" sId="1" quotePrefix="1">
    <nc r="O310" t="inlineStr">
      <is>
        <t>-</t>
      </is>
    </nc>
  </rcc>
  <rcc rId="553" sId="1" quotePrefix="1">
    <nc r="O311" t="inlineStr">
      <is>
        <t>-</t>
      </is>
    </nc>
  </rcc>
  <rcc rId="554" sId="1" quotePrefix="1">
    <nc r="O312" t="inlineStr">
      <is>
        <t>-</t>
      </is>
    </nc>
  </rcc>
  <rcc rId="555" sId="1" quotePrefix="1">
    <nc r="O313" t="inlineStr">
      <is>
        <t>-</t>
      </is>
    </nc>
  </rcc>
  <rcc rId="556" sId="1" quotePrefix="1">
    <nc r="O314" t="inlineStr">
      <is>
        <t>-</t>
      </is>
    </nc>
  </rcc>
  <rcc rId="557" sId="1" quotePrefix="1">
    <nc r="O315" t="inlineStr">
      <is>
        <t>-</t>
      </is>
    </nc>
  </rcc>
  <rcc rId="558" sId="1" quotePrefix="1">
    <nc r="O316" t="inlineStr">
      <is>
        <t>-</t>
      </is>
    </nc>
  </rcc>
  <rcc rId="559" sId="1" quotePrefix="1">
    <nc r="O317" t="inlineStr">
      <is>
        <t>-</t>
      </is>
    </nc>
  </rcc>
  <rcc rId="560" sId="1" quotePrefix="1">
    <nc r="O318" t="inlineStr">
      <is>
        <t>-</t>
      </is>
    </nc>
  </rcc>
  <rcc rId="561" sId="1" quotePrefix="1">
    <nc r="O319" t="inlineStr">
      <is>
        <t>-</t>
      </is>
    </nc>
  </rcc>
  <rcc rId="562" sId="1" quotePrefix="1">
    <nc r="O320" t="inlineStr">
      <is>
        <t>-</t>
      </is>
    </nc>
  </rcc>
  <rcc rId="563" sId="1" quotePrefix="1">
    <nc r="O321" t="inlineStr">
      <is>
        <t>-</t>
      </is>
    </nc>
  </rcc>
  <rcc rId="564" sId="1" quotePrefix="1">
    <nc r="O322" t="inlineStr">
      <is>
        <t>-</t>
      </is>
    </nc>
  </rcc>
  <rcc rId="565" sId="1" quotePrefix="1">
    <nc r="O323" t="inlineStr">
      <is>
        <t>-</t>
      </is>
    </nc>
  </rcc>
  <rcc rId="566" sId="1" quotePrefix="1">
    <nc r="O324" t="inlineStr">
      <is>
        <t>-</t>
      </is>
    </nc>
  </rcc>
  <rcc rId="567" sId="1" quotePrefix="1">
    <nc r="O325" t="inlineStr">
      <is>
        <t>-</t>
      </is>
    </nc>
  </rcc>
  <rcc rId="568" sId="1" quotePrefix="1">
    <nc r="O326" t="inlineStr">
      <is>
        <t>-</t>
      </is>
    </nc>
  </rcc>
  <rcc rId="569" sId="1" quotePrefix="1">
    <nc r="R243" t="inlineStr">
      <is>
        <t>-</t>
      </is>
    </nc>
  </rcc>
  <rcc rId="570" sId="1" quotePrefix="1">
    <nc r="R244" t="inlineStr">
      <is>
        <t>-</t>
      </is>
    </nc>
  </rcc>
  <rcc rId="571" sId="1" quotePrefix="1">
    <nc r="R245" t="inlineStr">
      <is>
        <t>-</t>
      </is>
    </nc>
  </rcc>
  <rcc rId="572" sId="1" quotePrefix="1">
    <nc r="R246" t="inlineStr">
      <is>
        <t>-</t>
      </is>
    </nc>
  </rcc>
  <rcc rId="573" sId="1" quotePrefix="1">
    <nc r="R247" t="inlineStr">
      <is>
        <t>-</t>
      </is>
    </nc>
  </rcc>
  <rcc rId="574" sId="1" quotePrefix="1">
    <nc r="R248" t="inlineStr">
      <is>
        <t>-</t>
      </is>
    </nc>
  </rcc>
  <rcc rId="575" sId="1" quotePrefix="1">
    <nc r="R249" t="inlineStr">
      <is>
        <t>-</t>
      </is>
    </nc>
  </rcc>
  <rcc rId="576" sId="1" quotePrefix="1">
    <nc r="R250" t="inlineStr">
      <is>
        <t>-</t>
      </is>
    </nc>
  </rcc>
  <rcc rId="577" sId="1" quotePrefix="1">
    <nc r="R251" t="inlineStr">
      <is>
        <t>-</t>
      </is>
    </nc>
  </rcc>
  <rcc rId="578" sId="1" quotePrefix="1">
    <nc r="R252" t="inlineStr">
      <is>
        <t>-</t>
      </is>
    </nc>
  </rcc>
  <rcc rId="579" sId="1" quotePrefix="1">
    <nc r="R253" t="inlineStr">
      <is>
        <t>-</t>
      </is>
    </nc>
  </rcc>
  <rcc rId="580" sId="1" quotePrefix="1">
    <nc r="R254" t="inlineStr">
      <is>
        <t>-</t>
      </is>
    </nc>
  </rcc>
  <rcc rId="581" sId="1" quotePrefix="1">
    <nc r="R255" t="inlineStr">
      <is>
        <t>-</t>
      </is>
    </nc>
  </rcc>
  <rcc rId="582" sId="1" quotePrefix="1">
    <nc r="R256" t="inlineStr">
      <is>
        <t>-</t>
      </is>
    </nc>
  </rcc>
  <rcc rId="583" sId="1" quotePrefix="1">
    <nc r="R257" t="inlineStr">
      <is>
        <t>-</t>
      </is>
    </nc>
  </rcc>
  <rcc rId="584" sId="1" quotePrefix="1">
    <nc r="R258" t="inlineStr">
      <is>
        <t>-</t>
      </is>
    </nc>
  </rcc>
  <rcc rId="585" sId="1" quotePrefix="1">
    <nc r="R259" t="inlineStr">
      <is>
        <t>-</t>
      </is>
    </nc>
  </rcc>
  <rcc rId="586" sId="1" quotePrefix="1">
    <nc r="R260" t="inlineStr">
      <is>
        <t>-</t>
      </is>
    </nc>
  </rcc>
  <rcc rId="587" sId="1" quotePrefix="1">
    <nc r="R261" t="inlineStr">
      <is>
        <t>-</t>
      </is>
    </nc>
  </rcc>
  <rcc rId="588" sId="1" quotePrefix="1">
    <nc r="R262" t="inlineStr">
      <is>
        <t>-</t>
      </is>
    </nc>
  </rcc>
  <rcc rId="589" sId="1" quotePrefix="1">
    <nc r="R263" t="inlineStr">
      <is>
        <t>-</t>
      </is>
    </nc>
  </rcc>
  <rcc rId="590" sId="1" quotePrefix="1">
    <nc r="R264" t="inlineStr">
      <is>
        <t>-</t>
      </is>
    </nc>
  </rcc>
  <rcc rId="591" sId="1" quotePrefix="1">
    <nc r="R265" t="inlineStr">
      <is>
        <t>-</t>
      </is>
    </nc>
  </rcc>
  <rcc rId="592" sId="1" quotePrefix="1">
    <nc r="R266" t="inlineStr">
      <is>
        <t>-</t>
      </is>
    </nc>
  </rcc>
  <rcc rId="593" sId="1" quotePrefix="1">
    <nc r="R267" t="inlineStr">
      <is>
        <t>-</t>
      </is>
    </nc>
  </rcc>
  <rcc rId="594" sId="1" quotePrefix="1">
    <nc r="R268" t="inlineStr">
      <is>
        <t>-</t>
      </is>
    </nc>
  </rcc>
  <rcc rId="595" sId="1" quotePrefix="1">
    <nc r="R269" t="inlineStr">
      <is>
        <t>-</t>
      </is>
    </nc>
  </rcc>
  <rcc rId="596" sId="1" quotePrefix="1">
    <nc r="R270" t="inlineStr">
      <is>
        <t>-</t>
      </is>
    </nc>
  </rcc>
  <rcc rId="597" sId="1" quotePrefix="1">
    <nc r="R271" t="inlineStr">
      <is>
        <t>-</t>
      </is>
    </nc>
  </rcc>
  <rcc rId="598" sId="1" quotePrefix="1">
    <nc r="R272" t="inlineStr">
      <is>
        <t>-</t>
      </is>
    </nc>
  </rcc>
  <rcc rId="599" sId="1" quotePrefix="1">
    <nc r="R273" t="inlineStr">
      <is>
        <t>-</t>
      </is>
    </nc>
  </rcc>
  <rcc rId="600" sId="1" quotePrefix="1">
    <nc r="R274" t="inlineStr">
      <is>
        <t>-</t>
      </is>
    </nc>
  </rcc>
  <rcc rId="601" sId="1" quotePrefix="1">
    <nc r="R275" t="inlineStr">
      <is>
        <t>-</t>
      </is>
    </nc>
  </rcc>
  <rcc rId="602" sId="1" quotePrefix="1">
    <nc r="R276" t="inlineStr">
      <is>
        <t>-</t>
      </is>
    </nc>
  </rcc>
  <rcc rId="603" sId="1" quotePrefix="1">
    <nc r="R277" t="inlineStr">
      <is>
        <t>-</t>
      </is>
    </nc>
  </rcc>
  <rcc rId="604" sId="1" quotePrefix="1">
    <nc r="R278" t="inlineStr">
      <is>
        <t>-</t>
      </is>
    </nc>
  </rcc>
  <rcc rId="605" sId="1" quotePrefix="1">
    <nc r="R279" t="inlineStr">
      <is>
        <t>-</t>
      </is>
    </nc>
  </rcc>
  <rcc rId="606" sId="1" quotePrefix="1">
    <nc r="R280" t="inlineStr">
      <is>
        <t>-</t>
      </is>
    </nc>
  </rcc>
  <rcc rId="607" sId="1" quotePrefix="1">
    <nc r="R281" t="inlineStr">
      <is>
        <t>-</t>
      </is>
    </nc>
  </rcc>
  <rcc rId="608" sId="1" quotePrefix="1">
    <nc r="R282" t="inlineStr">
      <is>
        <t>-</t>
      </is>
    </nc>
  </rcc>
  <rcc rId="609" sId="1" quotePrefix="1">
    <nc r="R283" t="inlineStr">
      <is>
        <t>-</t>
      </is>
    </nc>
  </rcc>
  <rcc rId="610" sId="1" quotePrefix="1">
    <nc r="R284" t="inlineStr">
      <is>
        <t>-</t>
      </is>
    </nc>
  </rcc>
  <rcc rId="611" sId="1" quotePrefix="1">
    <nc r="R285" t="inlineStr">
      <is>
        <t>-</t>
      </is>
    </nc>
  </rcc>
  <rcc rId="612" sId="1" quotePrefix="1">
    <nc r="R286" t="inlineStr">
      <is>
        <t>-</t>
      </is>
    </nc>
  </rcc>
  <rcc rId="613" sId="1" quotePrefix="1">
    <nc r="R287" t="inlineStr">
      <is>
        <t>-</t>
      </is>
    </nc>
  </rcc>
  <rcc rId="614" sId="1" quotePrefix="1">
    <nc r="R288" t="inlineStr">
      <is>
        <t>-</t>
      </is>
    </nc>
  </rcc>
  <rcc rId="615" sId="1" quotePrefix="1">
    <nc r="R289" t="inlineStr">
      <is>
        <t>-</t>
      </is>
    </nc>
  </rcc>
  <rcc rId="616" sId="1" quotePrefix="1">
    <nc r="R290" t="inlineStr">
      <is>
        <t>-</t>
      </is>
    </nc>
  </rcc>
  <rcc rId="617" sId="1" quotePrefix="1">
    <nc r="R291" t="inlineStr">
      <is>
        <t>-</t>
      </is>
    </nc>
  </rcc>
  <rcc rId="618" sId="1" quotePrefix="1">
    <nc r="R292" t="inlineStr">
      <is>
        <t>-</t>
      </is>
    </nc>
  </rcc>
  <rcc rId="619" sId="1" quotePrefix="1">
    <nc r="R293" t="inlineStr">
      <is>
        <t>-</t>
      </is>
    </nc>
  </rcc>
  <rcc rId="620" sId="1" quotePrefix="1">
    <nc r="R294" t="inlineStr">
      <is>
        <t>-</t>
      </is>
    </nc>
  </rcc>
  <rcc rId="621" sId="1" quotePrefix="1">
    <nc r="R295" t="inlineStr">
      <is>
        <t>-</t>
      </is>
    </nc>
  </rcc>
  <rcc rId="622" sId="1" quotePrefix="1">
    <nc r="R296" t="inlineStr">
      <is>
        <t>-</t>
      </is>
    </nc>
  </rcc>
  <rcc rId="623" sId="1" quotePrefix="1">
    <nc r="R297" t="inlineStr">
      <is>
        <t>-</t>
      </is>
    </nc>
  </rcc>
  <rcc rId="624" sId="1" quotePrefix="1">
    <nc r="R298" t="inlineStr">
      <is>
        <t>-</t>
      </is>
    </nc>
  </rcc>
  <rcc rId="625" sId="1" quotePrefix="1">
    <nc r="R299" t="inlineStr">
      <is>
        <t>-</t>
      </is>
    </nc>
  </rcc>
  <rcc rId="626" sId="1" quotePrefix="1">
    <nc r="R300" t="inlineStr">
      <is>
        <t>-</t>
      </is>
    </nc>
  </rcc>
  <rcc rId="627" sId="1" quotePrefix="1">
    <nc r="R301" t="inlineStr">
      <is>
        <t>-</t>
      </is>
    </nc>
  </rcc>
  <rcc rId="628" sId="1" quotePrefix="1">
    <nc r="R302" t="inlineStr">
      <is>
        <t>-</t>
      </is>
    </nc>
  </rcc>
  <rcc rId="629" sId="1" quotePrefix="1">
    <nc r="R303" t="inlineStr">
      <is>
        <t>-</t>
      </is>
    </nc>
  </rcc>
  <rcc rId="630" sId="1" quotePrefix="1">
    <nc r="R304" t="inlineStr">
      <is>
        <t>-</t>
      </is>
    </nc>
  </rcc>
  <rcc rId="631" sId="1" quotePrefix="1">
    <nc r="R305" t="inlineStr">
      <is>
        <t>-</t>
      </is>
    </nc>
  </rcc>
  <rcc rId="632" sId="1" quotePrefix="1">
    <nc r="R306" t="inlineStr">
      <is>
        <t>-</t>
      </is>
    </nc>
  </rcc>
  <rcc rId="633" sId="1" quotePrefix="1">
    <nc r="R307" t="inlineStr">
      <is>
        <t>-</t>
      </is>
    </nc>
  </rcc>
  <rcc rId="634" sId="1" quotePrefix="1">
    <nc r="R308" t="inlineStr">
      <is>
        <t>-</t>
      </is>
    </nc>
  </rcc>
  <rcc rId="635" sId="1" quotePrefix="1">
    <nc r="R309" t="inlineStr">
      <is>
        <t>-</t>
      </is>
    </nc>
  </rcc>
  <rcc rId="636" sId="1" quotePrefix="1">
    <nc r="R310" t="inlineStr">
      <is>
        <t>-</t>
      </is>
    </nc>
  </rcc>
  <rcc rId="637" sId="1" quotePrefix="1">
    <nc r="R311" t="inlineStr">
      <is>
        <t>-</t>
      </is>
    </nc>
  </rcc>
  <rcc rId="638" sId="1" quotePrefix="1">
    <nc r="R312" t="inlineStr">
      <is>
        <t>-</t>
      </is>
    </nc>
  </rcc>
  <rcc rId="639" sId="1" quotePrefix="1">
    <nc r="R313" t="inlineStr">
      <is>
        <t>-</t>
      </is>
    </nc>
  </rcc>
  <rcc rId="640" sId="1" quotePrefix="1">
    <nc r="R314" t="inlineStr">
      <is>
        <t>-</t>
      </is>
    </nc>
  </rcc>
  <rcc rId="641" sId="1" quotePrefix="1">
    <nc r="R315" t="inlineStr">
      <is>
        <t>-</t>
      </is>
    </nc>
  </rcc>
  <rcc rId="642" sId="1" quotePrefix="1">
    <nc r="R316" t="inlineStr">
      <is>
        <t>-</t>
      </is>
    </nc>
  </rcc>
  <rcc rId="643" sId="1" quotePrefix="1">
    <nc r="R317" t="inlineStr">
      <is>
        <t>-</t>
      </is>
    </nc>
  </rcc>
  <rcc rId="644" sId="1" quotePrefix="1">
    <nc r="R318" t="inlineStr">
      <is>
        <t>-</t>
      </is>
    </nc>
  </rcc>
  <rcc rId="645" sId="1" quotePrefix="1">
    <nc r="R319" t="inlineStr">
      <is>
        <t>-</t>
      </is>
    </nc>
  </rcc>
  <rcc rId="646" sId="1" quotePrefix="1">
    <nc r="R320" t="inlineStr">
      <is>
        <t>-</t>
      </is>
    </nc>
  </rcc>
  <rcc rId="647" sId="1" quotePrefix="1">
    <nc r="R321" t="inlineStr">
      <is>
        <t>-</t>
      </is>
    </nc>
  </rcc>
  <rcc rId="648" sId="1" quotePrefix="1">
    <nc r="R322" t="inlineStr">
      <is>
        <t>-</t>
      </is>
    </nc>
  </rcc>
  <rcc rId="649" sId="1" quotePrefix="1">
    <nc r="R323" t="inlineStr">
      <is>
        <t>-</t>
      </is>
    </nc>
  </rcc>
  <rcc rId="650" sId="1" quotePrefix="1">
    <nc r="R324" t="inlineStr">
      <is>
        <t>-</t>
      </is>
    </nc>
  </rcc>
  <rcc rId="651" sId="1" quotePrefix="1">
    <nc r="R325" t="inlineStr">
      <is>
        <t>-</t>
      </is>
    </nc>
  </rcc>
  <rcc rId="652" sId="1" quotePrefix="1">
    <nc r="R326" t="inlineStr">
      <is>
        <t>-</t>
      </is>
    </nc>
  </rcc>
  <rcv guid="{7E0EA425-A420-4443-B9E0-CDF0AA9E5D09}" action="delete"/>
  <rdn rId="0" localSheetId="1" customView="1" name="Z_7E0EA425_A420_4443_B9E0_CDF0AA9E5D09_.wvu.FilterData" hidden="1" oldHidden="1">
    <formula>Merged_COEM!$B$59:$AN$328</formula>
    <oldFormula>Merged_COEM!$B$59:$AN$328</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5" sId="1">
    <nc r="C243">
      <v>20200908</v>
    </nc>
  </rcc>
  <rcc rId="656" sId="1">
    <nc r="C244">
      <v>20200908</v>
    </nc>
  </rcc>
  <rcc rId="657" sId="1">
    <nc r="C245">
      <v>20200908</v>
    </nc>
  </rcc>
  <rcc rId="658" sId="1">
    <nc r="C246">
      <v>20200908</v>
    </nc>
  </rcc>
  <rcc rId="659" sId="1">
    <nc r="C247">
      <v>20200908</v>
    </nc>
  </rcc>
  <rcc rId="660" sId="1">
    <nc r="C248">
      <v>20200908</v>
    </nc>
  </rcc>
  <rcc rId="661" sId="1">
    <nc r="C249">
      <v>20200908</v>
    </nc>
  </rcc>
  <rcc rId="662" sId="1">
    <nc r="C250">
      <v>20200908</v>
    </nc>
  </rcc>
  <rcc rId="663" sId="1">
    <nc r="C251">
      <v>20200908</v>
    </nc>
  </rcc>
  <rcc rId="664" sId="1">
    <nc r="C252">
      <v>20200908</v>
    </nc>
  </rcc>
  <rcc rId="665" sId="1">
    <nc r="C253">
      <v>20200908</v>
    </nc>
  </rcc>
  <rcc rId="666" sId="1">
    <nc r="C254">
      <v>20200908</v>
    </nc>
  </rcc>
  <rcc rId="667" sId="1">
    <nc r="C255">
      <v>20200908</v>
    </nc>
  </rcc>
  <rcc rId="668" sId="1">
    <nc r="C256">
      <v>20200908</v>
    </nc>
  </rcc>
  <rcc rId="669" sId="1">
    <nc r="C257">
      <v>20200908</v>
    </nc>
  </rcc>
  <rcc rId="670" sId="1">
    <nc r="C258">
      <v>20200908</v>
    </nc>
  </rcc>
  <rcc rId="671" sId="1">
    <nc r="C259">
      <v>20200908</v>
    </nc>
  </rcc>
  <rcc rId="672" sId="1">
    <nc r="C260">
      <v>20200908</v>
    </nc>
  </rcc>
  <rcc rId="673" sId="1">
    <nc r="C261">
      <v>20200908</v>
    </nc>
  </rcc>
  <rcc rId="674" sId="1">
    <nc r="C262">
      <v>20200908</v>
    </nc>
  </rcc>
  <rcc rId="675" sId="1">
    <nc r="C263">
      <v>20200908</v>
    </nc>
  </rcc>
  <rcc rId="676" sId="1">
    <nc r="C264">
      <v>20200908</v>
    </nc>
  </rcc>
  <rcc rId="677" sId="1">
    <nc r="C265">
      <v>20200908</v>
    </nc>
  </rcc>
  <rcc rId="678" sId="1">
    <nc r="C266">
      <v>20200908</v>
    </nc>
  </rcc>
  <rcc rId="679" sId="1">
    <nc r="C267">
      <v>20200908</v>
    </nc>
  </rcc>
  <rcc rId="680" sId="1">
    <nc r="C268">
      <v>20200908</v>
    </nc>
  </rcc>
  <rcc rId="681" sId="1">
    <nc r="C269">
      <v>20200908</v>
    </nc>
  </rcc>
  <rcc rId="682" sId="1">
    <nc r="C270">
      <v>20200908</v>
    </nc>
  </rcc>
  <rcc rId="683" sId="1">
    <nc r="C271">
      <v>20200908</v>
    </nc>
  </rcc>
  <rcc rId="684" sId="1">
    <nc r="C272">
      <v>20200908</v>
    </nc>
  </rcc>
  <rcc rId="685" sId="1">
    <nc r="C273">
      <v>20200908</v>
    </nc>
  </rcc>
  <rcc rId="686" sId="1">
    <nc r="C274">
      <v>20200908</v>
    </nc>
  </rcc>
  <rcc rId="687" sId="1">
    <nc r="C275">
      <v>20200908</v>
    </nc>
  </rcc>
  <rcc rId="688" sId="1">
    <nc r="C276">
      <v>20200908</v>
    </nc>
  </rcc>
  <rcc rId="689" sId="1">
    <nc r="C277">
      <v>20200908</v>
    </nc>
  </rcc>
  <rcc rId="690" sId="1">
    <nc r="C278">
      <v>20200908</v>
    </nc>
  </rcc>
  <rcc rId="691" sId="1">
    <nc r="C279">
      <v>20200908</v>
    </nc>
  </rcc>
  <rcc rId="692" sId="1">
    <nc r="C280">
      <v>20200908</v>
    </nc>
  </rcc>
  <rcc rId="693" sId="1">
    <nc r="C281">
      <v>20200908</v>
    </nc>
  </rcc>
  <rcc rId="694" sId="1">
    <nc r="C282">
      <v>20200908</v>
    </nc>
  </rcc>
  <rcc rId="695" sId="1">
    <nc r="C283">
      <v>20200908</v>
    </nc>
  </rcc>
  <rcc rId="696" sId="1">
    <nc r="C284">
      <v>20200908</v>
    </nc>
  </rcc>
  <rcc rId="697" sId="1">
    <nc r="C285">
      <v>20200908</v>
    </nc>
  </rcc>
  <rcc rId="698" sId="1">
    <nc r="C286">
      <v>20200908</v>
    </nc>
  </rcc>
  <rcc rId="699" sId="1">
    <nc r="C287">
      <v>20200908</v>
    </nc>
  </rcc>
  <rcc rId="700" sId="1">
    <nc r="C288">
      <v>20200908</v>
    </nc>
  </rcc>
  <rcc rId="701" sId="1">
    <nc r="C289">
      <v>20200908</v>
    </nc>
  </rcc>
  <rcc rId="702" sId="1">
    <nc r="C290">
      <v>20200908</v>
    </nc>
  </rcc>
  <rcc rId="703" sId="1">
    <nc r="C291">
      <v>20200908</v>
    </nc>
  </rcc>
  <rcc rId="704" sId="1">
    <nc r="C292">
      <v>20200908</v>
    </nc>
  </rcc>
  <rcc rId="705" sId="1">
    <nc r="C293">
      <v>20200908</v>
    </nc>
  </rcc>
  <rcc rId="706" sId="1">
    <nc r="B242">
      <f>B241+1</f>
    </nc>
  </rcc>
  <rcc rId="707" sId="1">
    <nc r="B243">
      <f>B242+1</f>
    </nc>
  </rcc>
  <rcc rId="708" sId="1">
    <nc r="B244">
      <f>B243+1</f>
    </nc>
  </rcc>
  <rcc rId="709" sId="1">
    <nc r="B245">
      <f>B244+1</f>
    </nc>
  </rcc>
  <rcc rId="710" sId="1">
    <nc r="B246">
      <f>B245+1</f>
    </nc>
  </rcc>
  <rcc rId="711" sId="1">
    <nc r="B247">
      <f>B246+1</f>
    </nc>
  </rcc>
  <rcc rId="712" sId="1">
    <nc r="B248">
      <f>B247+1</f>
    </nc>
  </rcc>
  <rcc rId="713" sId="1">
    <nc r="B249">
      <f>B248+1</f>
    </nc>
  </rcc>
  <rcc rId="714" sId="1">
    <nc r="B250">
      <f>B249+1</f>
    </nc>
  </rcc>
  <rcc rId="715" sId="1">
    <nc r="B251">
      <f>B250+1</f>
    </nc>
  </rcc>
  <rcc rId="716" sId="1">
    <nc r="B252">
      <f>B251+1</f>
    </nc>
  </rcc>
  <rcc rId="717" sId="1">
    <nc r="B253">
      <f>B252+1</f>
    </nc>
  </rcc>
  <rcc rId="718" sId="1">
    <nc r="B254">
      <f>B253+1</f>
    </nc>
  </rcc>
  <rcc rId="719" sId="1">
    <nc r="B255">
      <f>B254+1</f>
    </nc>
  </rcc>
  <rcc rId="720" sId="1">
    <nc r="B256">
      <f>B255+1</f>
    </nc>
  </rcc>
  <rcc rId="721" sId="1">
    <nc r="B257">
      <f>B256+1</f>
    </nc>
  </rcc>
  <rcc rId="722" sId="1">
    <nc r="B258">
      <f>B257+1</f>
    </nc>
  </rcc>
  <rcc rId="723" sId="1">
    <nc r="B259">
      <f>B258+1</f>
    </nc>
  </rcc>
  <rcc rId="724" sId="1">
    <nc r="B260">
      <f>B259+1</f>
    </nc>
  </rcc>
  <rcc rId="725" sId="1">
    <nc r="B261">
      <f>B260+1</f>
    </nc>
  </rcc>
  <rcc rId="726" sId="1">
    <nc r="B262">
      <f>B261+1</f>
    </nc>
  </rcc>
  <rcc rId="727" sId="1">
    <nc r="B263">
      <f>B262+1</f>
    </nc>
  </rcc>
  <rcc rId="728" sId="1">
    <nc r="B264">
      <f>B263+1</f>
    </nc>
  </rcc>
  <rcc rId="729" sId="1">
    <nc r="B265">
      <f>B264+1</f>
    </nc>
  </rcc>
  <rcc rId="730" sId="1">
    <nc r="B266">
      <f>B265+1</f>
    </nc>
  </rcc>
  <rcc rId="731" sId="1">
    <nc r="B267">
      <f>B266+1</f>
    </nc>
  </rcc>
  <rcc rId="732" sId="1">
    <nc r="B268">
      <f>B267+1</f>
    </nc>
  </rcc>
  <rcc rId="733" sId="1">
    <nc r="B269">
      <f>B268+1</f>
    </nc>
  </rcc>
  <rcc rId="734" sId="1">
    <nc r="B270">
      <f>B269+1</f>
    </nc>
  </rcc>
  <rcc rId="735" sId="1">
    <nc r="B271">
      <f>B270+1</f>
    </nc>
  </rcc>
  <rcc rId="736" sId="1">
    <nc r="B272">
      <f>B271+1</f>
    </nc>
  </rcc>
  <rcc rId="737" sId="1">
    <nc r="B273">
      <f>B272+1</f>
    </nc>
  </rcc>
  <rcc rId="738" sId="1">
    <nc r="B274">
      <f>B273+1</f>
    </nc>
  </rcc>
  <rcc rId="739" sId="1">
    <nc r="B275">
      <f>B274+1</f>
    </nc>
  </rcc>
  <rcc rId="740" sId="1">
    <nc r="B276">
      <f>B275+1</f>
    </nc>
  </rcc>
  <rcc rId="741" sId="1">
    <nc r="B277">
      <f>B276+1</f>
    </nc>
  </rcc>
  <rcc rId="742" sId="1">
    <nc r="B278">
      <f>B277+1</f>
    </nc>
  </rcc>
  <rcc rId="743" sId="1">
    <nc r="B279">
      <f>B278+1</f>
    </nc>
  </rcc>
  <rcc rId="744" sId="1">
    <nc r="B280">
      <f>B279+1</f>
    </nc>
  </rcc>
  <rcc rId="745" sId="1">
    <nc r="B281">
      <f>B280+1</f>
    </nc>
  </rcc>
  <rcc rId="746" sId="1">
    <nc r="B282">
      <f>B281+1</f>
    </nc>
  </rcc>
  <rcc rId="747" sId="1">
    <nc r="B283">
      <f>B282+1</f>
    </nc>
  </rcc>
  <rcc rId="748" sId="1">
    <nc r="B284">
      <f>B283+1</f>
    </nc>
  </rcc>
  <rcc rId="749" sId="1">
    <nc r="B285">
      <f>B284+1</f>
    </nc>
  </rcc>
  <rcc rId="750" sId="1">
    <nc r="B286">
      <f>B285+1</f>
    </nc>
  </rcc>
  <rcc rId="751" sId="1">
    <nc r="B287">
      <f>B286+1</f>
    </nc>
  </rcc>
  <rcc rId="752" sId="1">
    <nc r="B288">
      <f>B287+1</f>
    </nc>
  </rcc>
  <rcc rId="753" sId="1">
    <nc r="B289">
      <f>B288+1</f>
    </nc>
  </rcc>
  <rcc rId="754" sId="1">
    <nc r="B290">
      <f>B289+1</f>
    </nc>
  </rcc>
  <rcc rId="755" sId="1">
    <nc r="B291">
      <f>B290+1</f>
    </nc>
  </rcc>
  <rcc rId="756" sId="1">
    <nc r="B292">
      <f>B291+1</f>
    </nc>
  </rcc>
  <rcc rId="757" sId="1">
    <nc r="B293">
      <f>B292+1</f>
    </nc>
  </rcc>
  <rfmt sheetId="1" sqref="B242:B293">
    <dxf>
      <fill>
        <patternFill patternType="solid">
          <bgColor rgb="FFC6EFCE"/>
        </patternFill>
      </fill>
    </dxf>
  </rfmt>
  <rcv guid="{7E0EA425-A420-4443-B9E0-CDF0AA9E5D09}" action="delete"/>
  <rdn rId="0" localSheetId="1" customView="1" name="Z_7E0EA425_A420_4443_B9E0_CDF0AA9E5D09_.wvu.FilterData" hidden="1" oldHidden="1">
    <formula>Merged_COEM!$B$59:$AN$328</formula>
    <oldFormula>Merged_COEM!$B$59:$AN$328</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0" sId="1" xfDxf="1" dxf="1">
    <nc r="V242">
      <v>200</v>
    </nc>
    <ndxf>
      <alignment horizontal="left" vertical="top" readingOrder="0"/>
      <border outline="0">
        <left style="thin">
          <color indexed="64"/>
        </left>
        <right style="thin">
          <color indexed="64"/>
        </right>
        <top style="thin">
          <color indexed="64"/>
        </top>
        <bottom style="thin">
          <color indexed="64"/>
        </bottom>
      </border>
    </ndxf>
  </rcc>
  <rcc rId="761" sId="1" xfDxf="1" dxf="1">
    <nc r="V243">
      <v>343</v>
    </nc>
    <ndxf>
      <alignment horizontal="left" vertical="top" readingOrder="0"/>
      <border outline="0">
        <left style="thin">
          <color indexed="64"/>
        </left>
        <right style="thin">
          <color indexed="64"/>
        </right>
        <top style="thin">
          <color indexed="64"/>
        </top>
        <bottom style="thin">
          <color indexed="64"/>
        </bottom>
      </border>
    </ndxf>
  </rcc>
  <rcc rId="762" sId="1" xfDxf="1" dxf="1">
    <nc r="V244">
      <v>349</v>
    </nc>
    <ndxf>
      <alignment horizontal="left" vertical="top" readingOrder="0"/>
      <border outline="0">
        <left style="thin">
          <color indexed="64"/>
        </left>
        <right style="thin">
          <color indexed="64"/>
        </right>
        <top style="thin">
          <color indexed="64"/>
        </top>
        <bottom style="thin">
          <color indexed="64"/>
        </bottom>
      </border>
    </ndxf>
  </rcc>
  <rcc rId="763" sId="1" xfDxf="1" dxf="1">
    <nc r="V245">
      <v>194</v>
    </nc>
    <ndxf>
      <alignment horizontal="left" vertical="top" readingOrder="0"/>
      <border outline="0">
        <left style="thin">
          <color indexed="64"/>
        </left>
        <right style="thin">
          <color indexed="64"/>
        </right>
        <top style="thin">
          <color indexed="64"/>
        </top>
        <bottom style="thin">
          <color indexed="64"/>
        </bottom>
      </border>
    </ndxf>
  </rcc>
  <rcc rId="764" sId="1" xfDxf="1" dxf="1">
    <nc r="V246">
      <v>227</v>
    </nc>
    <ndxf>
      <alignment horizontal="left" vertical="top" readingOrder="0"/>
      <border outline="0">
        <left style="thin">
          <color indexed="64"/>
        </left>
        <right style="thin">
          <color indexed="64"/>
        </right>
        <top style="thin">
          <color indexed="64"/>
        </top>
        <bottom style="thin">
          <color indexed="64"/>
        </bottom>
      </border>
    </ndxf>
  </rcc>
  <rcc rId="765" sId="1" xfDxf="1" dxf="1">
    <nc r="V247">
      <v>110</v>
    </nc>
    <ndxf>
      <alignment horizontal="left" vertical="top" readingOrder="0"/>
      <border outline="0">
        <left style="thin">
          <color indexed="64"/>
        </left>
        <right style="thin">
          <color indexed="64"/>
        </right>
        <top style="thin">
          <color indexed="64"/>
        </top>
        <bottom style="thin">
          <color indexed="64"/>
        </bottom>
      </border>
    </ndxf>
  </rcc>
  <rcc rId="766" sId="1" xfDxf="1" dxf="1">
    <nc r="V248">
      <v>66</v>
    </nc>
    <ndxf>
      <alignment horizontal="left" vertical="top" readingOrder="0"/>
      <border outline="0">
        <left style="thin">
          <color indexed="64"/>
        </left>
        <right style="thin">
          <color indexed="64"/>
        </right>
        <top style="thin">
          <color indexed="64"/>
        </top>
        <bottom style="thin">
          <color indexed="64"/>
        </bottom>
      </border>
    </ndxf>
  </rcc>
  <rcc rId="767" sId="1" xfDxf="1" dxf="1">
    <nc r="V249">
      <v>145</v>
    </nc>
    <ndxf>
      <alignment horizontal="left" vertical="top" readingOrder="0"/>
      <border outline="0">
        <left style="thin">
          <color indexed="64"/>
        </left>
        <right style="thin">
          <color indexed="64"/>
        </right>
        <top style="thin">
          <color indexed="64"/>
        </top>
        <bottom style="thin">
          <color indexed="64"/>
        </bottom>
      </border>
    </ndxf>
  </rcc>
  <rcc rId="768" sId="1" xfDxf="1" dxf="1">
    <nc r="V250">
      <v>101</v>
    </nc>
    <ndxf>
      <alignment horizontal="left" vertical="top" readingOrder="0"/>
      <border outline="0">
        <left style="thin">
          <color indexed="64"/>
        </left>
        <right style="thin">
          <color indexed="64"/>
        </right>
        <top style="thin">
          <color indexed="64"/>
        </top>
        <bottom style="thin">
          <color indexed="64"/>
        </bottom>
      </border>
    </ndxf>
  </rcc>
  <rcc rId="769" sId="1" xfDxf="1" dxf="1">
    <nc r="V251">
      <v>154</v>
    </nc>
    <ndxf>
      <alignment horizontal="left" vertical="top" readingOrder="0"/>
      <border outline="0">
        <left style="thin">
          <color indexed="64"/>
        </left>
        <right style="thin">
          <color indexed="64"/>
        </right>
        <top style="thin">
          <color indexed="64"/>
        </top>
        <bottom style="thin">
          <color indexed="64"/>
        </bottom>
      </border>
    </ndxf>
  </rcc>
  <rcc rId="770" sId="1" xfDxf="1" dxf="1">
    <nc r="V252">
      <v>120</v>
    </nc>
    <ndxf>
      <alignment horizontal="left" vertical="top" readingOrder="0"/>
      <border outline="0">
        <left style="thin">
          <color indexed="64"/>
        </left>
        <right style="thin">
          <color indexed="64"/>
        </right>
        <top style="thin">
          <color indexed="64"/>
        </top>
        <bottom style="thin">
          <color indexed="64"/>
        </bottom>
      </border>
    </ndxf>
  </rcc>
  <rcc rId="771" sId="1" xfDxf="1" dxf="1">
    <nc r="V253">
      <v>178</v>
    </nc>
    <ndxf>
      <alignment horizontal="left" vertical="top" readingOrder="0"/>
      <border outline="0">
        <left style="thin">
          <color indexed="64"/>
        </left>
        <right style="thin">
          <color indexed="64"/>
        </right>
        <top style="thin">
          <color indexed="64"/>
        </top>
        <bottom style="thin">
          <color indexed="64"/>
        </bottom>
      </border>
    </ndxf>
  </rcc>
  <rcc rId="772" sId="1" xfDxf="1" dxf="1">
    <nc r="V254">
      <v>45</v>
    </nc>
    <ndxf>
      <alignment horizontal="left" vertical="top" readingOrder="0"/>
      <border outline="0">
        <left style="thin">
          <color indexed="64"/>
        </left>
        <right style="thin">
          <color indexed="64"/>
        </right>
        <top style="thin">
          <color indexed="64"/>
        </top>
        <bottom style="thin">
          <color indexed="64"/>
        </bottom>
      </border>
    </ndxf>
  </rcc>
  <rcc rId="773" sId="1" xfDxf="1" dxf="1">
    <nc r="V255">
      <v>124</v>
    </nc>
    <ndxf>
      <alignment horizontal="left" vertical="top" readingOrder="0"/>
      <border outline="0">
        <left style="thin">
          <color indexed="64"/>
        </left>
        <right style="thin">
          <color indexed="64"/>
        </right>
        <top style="thin">
          <color indexed="64"/>
        </top>
        <bottom style="thin">
          <color indexed="64"/>
        </bottom>
      </border>
    </ndxf>
  </rcc>
  <rcc rId="774" sId="1" xfDxf="1" dxf="1">
    <nc r="V256">
      <v>39</v>
    </nc>
    <ndxf>
      <alignment horizontal="left" vertical="top" readingOrder="0"/>
      <border outline="0">
        <left style="thin">
          <color indexed="64"/>
        </left>
        <right style="thin">
          <color indexed="64"/>
        </right>
        <top style="thin">
          <color indexed="64"/>
        </top>
        <bottom style="thin">
          <color indexed="64"/>
        </bottom>
      </border>
    </ndxf>
  </rcc>
  <rcc rId="775" sId="1" xfDxf="1" dxf="1">
    <nc r="V257">
      <v>8</v>
    </nc>
    <ndxf>
      <alignment horizontal="left" vertical="top" readingOrder="0"/>
      <border outline="0">
        <left style="thin">
          <color indexed="64"/>
        </left>
        <right style="thin">
          <color indexed="64"/>
        </right>
        <top style="thin">
          <color indexed="64"/>
        </top>
        <bottom style="thin">
          <color indexed="64"/>
        </bottom>
      </border>
    </ndxf>
  </rcc>
  <rcc rId="776" sId="1" xfDxf="1" dxf="1">
    <nc r="V258">
      <v>210</v>
    </nc>
    <ndxf>
      <alignment horizontal="left" vertical="top" readingOrder="0"/>
      <border outline="0">
        <left style="thin">
          <color indexed="64"/>
        </left>
        <right style="thin">
          <color indexed="64"/>
        </right>
        <top style="thin">
          <color indexed="64"/>
        </top>
        <bottom style="thin">
          <color indexed="64"/>
        </bottom>
      </border>
    </ndxf>
  </rcc>
  <rcc rId="777" sId="1" xfDxf="1" dxf="1">
    <nc r="V259">
      <v>6</v>
    </nc>
    <ndxf>
      <alignment horizontal="left" vertical="top" readingOrder="0"/>
      <border outline="0">
        <left style="thin">
          <color indexed="64"/>
        </left>
        <right style="thin">
          <color indexed="64"/>
        </right>
        <top style="thin">
          <color indexed="64"/>
        </top>
        <bottom style="thin">
          <color indexed="64"/>
        </bottom>
      </border>
    </ndxf>
  </rcc>
  <rcc rId="778" sId="1" xfDxf="1" dxf="1">
    <nc r="V260">
      <v>165</v>
    </nc>
    <ndxf>
      <alignment horizontal="left" vertical="top" readingOrder="0"/>
      <border outline="0">
        <left style="thin">
          <color indexed="64"/>
        </left>
        <right style="thin">
          <color indexed="64"/>
        </right>
        <top style="thin">
          <color indexed="64"/>
        </top>
        <bottom style="thin">
          <color indexed="64"/>
        </bottom>
      </border>
    </ndxf>
  </rcc>
  <rcc rId="779" sId="1" xfDxf="1" dxf="1">
    <nc r="V261">
      <v>12</v>
    </nc>
    <ndxf>
      <alignment horizontal="left" vertical="top" readingOrder="0"/>
      <border outline="0">
        <left style="thin">
          <color indexed="64"/>
        </left>
        <right style="thin">
          <color indexed="64"/>
        </right>
        <top style="thin">
          <color indexed="64"/>
        </top>
        <bottom style="thin">
          <color indexed="64"/>
        </bottom>
      </border>
    </ndxf>
  </rcc>
  <rcc rId="780" sId="1" xfDxf="1" dxf="1">
    <nc r="V262">
      <v>36</v>
    </nc>
    <ndxf>
      <alignment horizontal="left" vertical="top" readingOrder="0"/>
      <border outline="0">
        <left style="thin">
          <color indexed="64"/>
        </left>
        <right style="thin">
          <color indexed="64"/>
        </right>
        <top style="thin">
          <color indexed="64"/>
        </top>
        <bottom style="thin">
          <color indexed="64"/>
        </bottom>
      </border>
    </ndxf>
  </rcc>
  <rcc rId="781" sId="1" xfDxf="1" dxf="1">
    <nc r="V263">
      <v>280</v>
    </nc>
    <ndxf>
      <alignment horizontal="left" vertical="top" readingOrder="0"/>
      <border outline="0">
        <left style="thin">
          <color indexed="64"/>
        </left>
        <right style="thin">
          <color indexed="64"/>
        </right>
        <top style="thin">
          <color indexed="64"/>
        </top>
        <bottom style="thin">
          <color indexed="64"/>
        </bottom>
      </border>
    </ndxf>
  </rcc>
  <rcc rId="782" sId="1" xfDxf="1" dxf="1">
    <nc r="V264">
      <v>280</v>
    </nc>
    <ndxf>
      <alignment horizontal="left" vertical="top" readingOrder="0"/>
      <border outline="0">
        <left style="thin">
          <color indexed="64"/>
        </left>
        <right style="thin">
          <color indexed="64"/>
        </right>
        <top style="thin">
          <color indexed="64"/>
        </top>
        <bottom style="thin">
          <color indexed="64"/>
        </bottom>
      </border>
    </ndxf>
  </rcc>
  <rcc rId="783" sId="1" xfDxf="1" dxf="1">
    <nc r="V265">
      <v>65</v>
    </nc>
    <ndxf>
      <alignment horizontal="left" vertical="top" readingOrder="0"/>
      <border outline="0">
        <left style="thin">
          <color indexed="64"/>
        </left>
        <right style="thin">
          <color indexed="64"/>
        </right>
        <top style="thin">
          <color indexed="64"/>
        </top>
        <bottom style="thin">
          <color indexed="64"/>
        </bottom>
      </border>
    </ndxf>
  </rcc>
  <rcc rId="784" sId="1" xfDxf="1" dxf="1">
    <nc r="V266">
      <v>175</v>
    </nc>
    <ndxf>
      <alignment horizontal="left" vertical="top" readingOrder="0"/>
      <border outline="0">
        <left style="thin">
          <color indexed="64"/>
        </left>
        <right style="thin">
          <color indexed="64"/>
        </right>
        <top style="thin">
          <color indexed="64"/>
        </top>
        <bottom style="thin">
          <color indexed="64"/>
        </bottom>
      </border>
    </ndxf>
  </rcc>
  <rcc rId="785" sId="1" xfDxf="1" dxf="1">
    <nc r="V267">
      <v>240</v>
    </nc>
    <ndxf>
      <alignment horizontal="left" vertical="top" readingOrder="0"/>
      <border outline="0">
        <left style="thin">
          <color indexed="64"/>
        </left>
        <right style="thin">
          <color indexed="64"/>
        </right>
        <top style="thin">
          <color indexed="64"/>
        </top>
        <bottom style="thin">
          <color indexed="64"/>
        </bottom>
      </border>
    </ndxf>
  </rcc>
  <rcc rId="786" sId="1" xfDxf="1" dxf="1">
    <nc r="V268">
      <v>4</v>
    </nc>
    <ndxf>
      <alignment horizontal="left" vertical="top" readingOrder="0"/>
      <border outline="0">
        <left style="thin">
          <color indexed="64"/>
        </left>
        <right style="thin">
          <color indexed="64"/>
        </right>
        <top style="thin">
          <color indexed="64"/>
        </top>
        <bottom style="thin">
          <color indexed="64"/>
        </bottom>
      </border>
    </ndxf>
  </rcc>
  <rcc rId="787" sId="1" xfDxf="1" dxf="1">
    <nc r="V269">
      <v>4</v>
    </nc>
    <ndxf>
      <alignment horizontal="left" vertical="top" readingOrder="0"/>
      <border outline="0">
        <left style="thin">
          <color indexed="64"/>
        </left>
        <right style="thin">
          <color indexed="64"/>
        </right>
        <top style="thin">
          <color indexed="64"/>
        </top>
        <bottom style="thin">
          <color indexed="64"/>
        </bottom>
      </border>
    </ndxf>
  </rcc>
  <rcc rId="788" sId="1" xfDxf="1" dxf="1">
    <nc r="V270">
      <v>78</v>
    </nc>
    <ndxf>
      <alignment horizontal="left" vertical="top" readingOrder="0"/>
      <border outline="0">
        <left style="thin">
          <color indexed="64"/>
        </left>
        <right style="thin">
          <color indexed="64"/>
        </right>
        <top style="thin">
          <color indexed="64"/>
        </top>
        <bottom style="thin">
          <color indexed="64"/>
        </bottom>
      </border>
    </ndxf>
  </rcc>
  <rcc rId="789" sId="1" xfDxf="1" dxf="1">
    <nc r="V271">
      <v>11</v>
    </nc>
    <ndxf>
      <alignment horizontal="left" vertical="top" readingOrder="0"/>
      <border outline="0">
        <left style="thin">
          <color indexed="64"/>
        </left>
        <right style="thin">
          <color indexed="64"/>
        </right>
        <top style="thin">
          <color indexed="64"/>
        </top>
        <bottom style="thin">
          <color indexed="64"/>
        </bottom>
      </border>
    </ndxf>
  </rcc>
  <rcc rId="790" sId="1" xfDxf="1" dxf="1">
    <nc r="V272">
      <v>274</v>
    </nc>
    <ndxf>
      <alignment horizontal="left" vertical="top" readingOrder="0"/>
      <border outline="0">
        <left style="thin">
          <color indexed="64"/>
        </left>
        <right style="thin">
          <color indexed="64"/>
        </right>
        <top style="thin">
          <color indexed="64"/>
        </top>
        <bottom style="thin">
          <color indexed="64"/>
        </bottom>
      </border>
    </ndxf>
  </rcc>
  <rcc rId="791" sId="1" xfDxf="1" dxf="1">
    <nc r="V273">
      <v>280</v>
    </nc>
    <ndxf>
      <alignment horizontal="left" vertical="top" readingOrder="0"/>
      <border outline="0">
        <left style="thin">
          <color indexed="64"/>
        </left>
        <right style="thin">
          <color indexed="64"/>
        </right>
        <top style="thin">
          <color indexed="64"/>
        </top>
        <bottom style="thin">
          <color indexed="64"/>
        </bottom>
      </border>
    </ndxf>
  </rcc>
  <rcc rId="792" sId="1" xfDxf="1" dxf="1">
    <nc r="V274">
      <v>165</v>
    </nc>
    <ndxf>
      <alignment horizontal="left" vertical="top" readingOrder="0"/>
      <border outline="0">
        <left style="thin">
          <color indexed="64"/>
        </left>
        <right style="thin">
          <color indexed="64"/>
        </right>
        <top style="thin">
          <color indexed="64"/>
        </top>
        <bottom style="thin">
          <color indexed="64"/>
        </bottom>
      </border>
    </ndxf>
  </rcc>
  <rcc rId="793" sId="1" xfDxf="1" dxf="1">
    <nc r="V275">
      <v>12</v>
    </nc>
    <ndxf>
      <alignment horizontal="left" vertical="top" readingOrder="0"/>
      <border outline="0">
        <left style="thin">
          <color indexed="64"/>
        </left>
        <right style="thin">
          <color indexed="64"/>
        </right>
        <top style="thin">
          <color indexed="64"/>
        </top>
        <bottom style="thin">
          <color indexed="64"/>
        </bottom>
      </border>
    </ndxf>
  </rcc>
  <rcc rId="794" sId="1" xfDxf="1" dxf="1">
    <nc r="V276">
      <v>144</v>
    </nc>
    <ndxf>
      <alignment horizontal="left" vertical="top" readingOrder="0"/>
      <border outline="0">
        <left style="thin">
          <color indexed="64"/>
        </left>
        <right style="thin">
          <color indexed="64"/>
        </right>
        <top style="thin">
          <color indexed="64"/>
        </top>
        <bottom style="thin">
          <color indexed="64"/>
        </bottom>
      </border>
    </ndxf>
  </rcc>
  <rcc rId="795" sId="1" xfDxf="1" dxf="1">
    <nc r="V277">
      <v>109</v>
    </nc>
    <ndxf>
      <alignment horizontal="left" vertical="top" readingOrder="0"/>
      <border outline="0">
        <left style="thin">
          <color indexed="64"/>
        </left>
        <right style="thin">
          <color indexed="64"/>
        </right>
        <top style="thin">
          <color indexed="64"/>
        </top>
        <bottom style="thin">
          <color indexed="64"/>
        </bottom>
      </border>
    </ndxf>
  </rcc>
  <rcc rId="796" sId="1" xfDxf="1" dxf="1">
    <nc r="V278">
      <v>6</v>
    </nc>
    <ndxf>
      <alignment horizontal="left" vertical="top" readingOrder="0"/>
      <border outline="0">
        <left style="thin">
          <color indexed="64"/>
        </left>
        <right style="thin">
          <color indexed="64"/>
        </right>
        <top style="thin">
          <color indexed="64"/>
        </top>
        <bottom style="thin">
          <color indexed="64"/>
        </bottom>
      </border>
    </ndxf>
  </rcc>
  <rcc rId="797" sId="1" xfDxf="1" dxf="1">
    <nc r="V279">
      <v>691</v>
    </nc>
    <ndxf>
      <alignment horizontal="left" vertical="top" readingOrder="0"/>
      <border outline="0">
        <left style="thin">
          <color indexed="64"/>
        </left>
        <right style="thin">
          <color indexed="64"/>
        </right>
        <top style="thin">
          <color indexed="64"/>
        </top>
        <bottom style="thin">
          <color indexed="64"/>
        </bottom>
      </border>
    </ndxf>
  </rcc>
  <rcc rId="798" sId="1" xfDxf="1" dxf="1">
    <nc r="V280">
      <v>13</v>
    </nc>
    <ndxf>
      <alignment horizontal="left" vertical="top" readingOrder="0"/>
      <border outline="0">
        <left style="thin">
          <color indexed="64"/>
        </left>
        <right style="thin">
          <color indexed="64"/>
        </right>
        <top style="thin">
          <color indexed="64"/>
        </top>
        <bottom style="thin">
          <color indexed="64"/>
        </bottom>
      </border>
    </ndxf>
  </rcc>
  <rcc rId="799" sId="1" xfDxf="1" dxf="1">
    <nc r="V281">
      <v>41</v>
    </nc>
    <ndxf>
      <alignment horizontal="left" vertical="top" readingOrder="0"/>
      <border outline="0">
        <left style="thin">
          <color indexed="64"/>
        </left>
        <right style="thin">
          <color indexed="64"/>
        </right>
        <top style="thin">
          <color indexed="64"/>
        </top>
        <bottom style="thin">
          <color indexed="64"/>
        </bottom>
      </border>
    </ndxf>
  </rcc>
  <rcc rId="800" sId="1" xfDxf="1" dxf="1">
    <nc r="V282">
      <v>2</v>
    </nc>
    <ndxf>
      <alignment horizontal="left" vertical="top" readingOrder="0"/>
      <border outline="0">
        <left style="thin">
          <color indexed="64"/>
        </left>
        <right style="thin">
          <color indexed="64"/>
        </right>
        <top style="thin">
          <color indexed="64"/>
        </top>
        <bottom style="thin">
          <color indexed="64"/>
        </bottom>
      </border>
    </ndxf>
  </rcc>
  <rcc rId="801" sId="1" xfDxf="1" dxf="1">
    <nc r="V283">
      <v>34</v>
    </nc>
    <ndxf>
      <alignment horizontal="left" vertical="top" readingOrder="0"/>
      <border outline="0">
        <left style="thin">
          <color indexed="64"/>
        </left>
        <right style="thin">
          <color indexed="64"/>
        </right>
        <top style="thin">
          <color indexed="64"/>
        </top>
        <bottom style="thin">
          <color indexed="64"/>
        </bottom>
      </border>
    </ndxf>
  </rcc>
  <rcc rId="802" sId="1" xfDxf="1" dxf="1">
    <nc r="V284">
      <v>84</v>
    </nc>
    <ndxf>
      <alignment horizontal="left" vertical="top" readingOrder="0"/>
      <border outline="0">
        <left style="thin">
          <color indexed="64"/>
        </left>
        <right style="thin">
          <color indexed="64"/>
        </right>
        <top style="thin">
          <color indexed="64"/>
        </top>
        <bottom style="thin">
          <color indexed="64"/>
        </bottom>
      </border>
    </ndxf>
  </rcc>
  <rcc rId="803" sId="1" xfDxf="1" dxf="1">
    <nc r="V285">
      <v>16</v>
    </nc>
    <ndxf>
      <alignment horizontal="left" vertical="top" readingOrder="0"/>
      <border outline="0">
        <left style="thin">
          <color indexed="64"/>
        </left>
        <right style="thin">
          <color indexed="64"/>
        </right>
        <top style="thin">
          <color indexed="64"/>
        </top>
        <bottom style="thin">
          <color indexed="64"/>
        </bottom>
      </border>
    </ndxf>
  </rcc>
  <rcc rId="804" sId="1" xfDxf="1" dxf="1">
    <nc r="V286">
      <v>104</v>
    </nc>
    <ndxf>
      <alignment horizontal="left" vertical="top" readingOrder="0"/>
      <border outline="0">
        <left style="thin">
          <color indexed="64"/>
        </left>
        <right style="thin">
          <color indexed="64"/>
        </right>
        <top style="thin">
          <color indexed="64"/>
        </top>
        <bottom style="thin">
          <color indexed="64"/>
        </bottom>
      </border>
    </ndxf>
  </rcc>
  <rcc rId="805" sId="1" xfDxf="1" dxf="1">
    <nc r="V287">
      <v>21</v>
    </nc>
    <ndxf>
      <alignment horizontal="left" vertical="top" readingOrder="0"/>
      <border outline="0">
        <left style="thin">
          <color indexed="64"/>
        </left>
        <right style="thin">
          <color indexed="64"/>
        </right>
        <top style="thin">
          <color indexed="64"/>
        </top>
        <bottom style="thin">
          <color indexed="64"/>
        </bottom>
      </border>
    </ndxf>
  </rcc>
  <rcc rId="806" sId="1" xfDxf="1" dxf="1">
    <nc r="V288">
      <v>6</v>
    </nc>
    <ndxf>
      <alignment horizontal="left" vertical="top" readingOrder="0"/>
      <border outline="0">
        <left style="thin">
          <color indexed="64"/>
        </left>
        <right style="thin">
          <color indexed="64"/>
        </right>
        <top style="thin">
          <color indexed="64"/>
        </top>
        <bottom style="thin">
          <color indexed="64"/>
        </bottom>
      </border>
    </ndxf>
  </rcc>
  <rcc rId="807" sId="1" xfDxf="1" dxf="1">
    <nc r="V289">
      <v>6</v>
    </nc>
    <ndxf>
      <alignment horizontal="left" vertical="top" readingOrder="0"/>
      <border outline="0">
        <left style="thin">
          <color indexed="64"/>
        </left>
        <right style="thin">
          <color indexed="64"/>
        </right>
        <top style="thin">
          <color indexed="64"/>
        </top>
        <bottom style="thin">
          <color indexed="64"/>
        </bottom>
      </border>
    </ndxf>
  </rcc>
  <rcc rId="808" sId="1" xfDxf="1" dxf="1">
    <nc r="V290">
      <v>51</v>
    </nc>
    <ndxf>
      <alignment horizontal="left" vertical="top" readingOrder="0"/>
      <border outline="0">
        <left style="thin">
          <color indexed="64"/>
        </left>
        <right style="thin">
          <color indexed="64"/>
        </right>
        <top style="thin">
          <color indexed="64"/>
        </top>
        <bottom style="thin">
          <color indexed="64"/>
        </bottom>
      </border>
    </ndxf>
  </rcc>
  <rcc rId="809" sId="1" xfDxf="1" dxf="1">
    <nc r="V291">
      <v>104</v>
    </nc>
    <ndxf>
      <alignment horizontal="left" vertical="top" readingOrder="0"/>
      <border outline="0">
        <left style="thin">
          <color indexed="64"/>
        </left>
        <right style="thin">
          <color indexed="64"/>
        </right>
        <top style="thin">
          <color indexed="64"/>
        </top>
        <bottom style="thin">
          <color indexed="64"/>
        </bottom>
      </border>
    </ndxf>
  </rcc>
  <rcc rId="810" sId="1" xfDxf="1" dxf="1">
    <nc r="V292">
      <v>220</v>
    </nc>
    <ndxf>
      <alignment horizontal="left" vertical="top" readingOrder="0"/>
      <border outline="0">
        <left style="thin">
          <color indexed="64"/>
        </left>
        <right style="thin">
          <color indexed="64"/>
        </right>
        <top style="thin">
          <color indexed="64"/>
        </top>
        <bottom style="thin">
          <color indexed="64"/>
        </bottom>
      </border>
    </ndxf>
  </rcc>
  <rcc rId="811" sId="1" xfDxf="1" dxf="1">
    <nc r="V293">
      <v>493</v>
    </nc>
    <ndxf>
      <alignment horizontal="left" vertical="top" readingOrder="0"/>
      <border outline="0">
        <left style="thin">
          <color indexed="64"/>
        </left>
        <right style="thin">
          <color indexed="64"/>
        </right>
        <top style="thin">
          <color indexed="64"/>
        </top>
        <bottom style="thin">
          <color indexed="64"/>
        </bottom>
      </border>
    </ndxf>
  </rcc>
  <rcc rId="812" sId="1">
    <nc r="W242">
      <f>V242</f>
    </nc>
  </rcc>
  <rcc rId="813" sId="1">
    <nc r="W243">
      <f>V243</f>
    </nc>
  </rcc>
  <rcc rId="814" sId="1">
    <nc r="W244">
      <f>V244</f>
    </nc>
  </rcc>
  <rcc rId="815" sId="1">
    <nc r="W245">
      <f>V245</f>
    </nc>
  </rcc>
  <rcc rId="816" sId="1">
    <nc r="W246">
      <f>V246</f>
    </nc>
  </rcc>
  <rcc rId="817" sId="1">
    <nc r="W247">
      <f>V247</f>
    </nc>
  </rcc>
  <rcc rId="818" sId="1">
    <nc r="W248">
      <f>V248</f>
    </nc>
  </rcc>
  <rcc rId="819" sId="1">
    <nc r="W249">
      <f>V249</f>
    </nc>
  </rcc>
  <rcc rId="820" sId="1">
    <nc r="W250">
      <f>V250</f>
    </nc>
  </rcc>
  <rcc rId="821" sId="1">
    <nc r="W251">
      <f>V251</f>
    </nc>
  </rcc>
  <rcc rId="822" sId="1">
    <nc r="W252">
      <f>V252</f>
    </nc>
  </rcc>
  <rcc rId="823" sId="1">
    <nc r="W253">
      <f>V253</f>
    </nc>
  </rcc>
  <rcc rId="824" sId="1">
    <nc r="W254">
      <f>V254</f>
    </nc>
  </rcc>
  <rcc rId="825" sId="1">
    <nc r="W255">
      <f>V255</f>
    </nc>
  </rcc>
  <rcc rId="826" sId="1">
    <nc r="W256">
      <f>V256</f>
    </nc>
  </rcc>
  <rcc rId="827" sId="1">
    <nc r="W257">
      <f>V257</f>
    </nc>
  </rcc>
  <rcc rId="828" sId="1">
    <nc r="W258">
      <f>V258</f>
    </nc>
  </rcc>
  <rcc rId="829" sId="1">
    <nc r="W259">
      <f>V259</f>
    </nc>
  </rcc>
  <rcc rId="830" sId="1">
    <nc r="W260">
      <f>V260</f>
    </nc>
  </rcc>
  <rcc rId="831" sId="1">
    <nc r="W261">
      <f>V261</f>
    </nc>
  </rcc>
  <rcc rId="832" sId="1">
    <nc r="W262">
      <f>V262</f>
    </nc>
  </rcc>
  <rcc rId="833" sId="1">
    <nc r="W263">
      <f>V263</f>
    </nc>
  </rcc>
  <rcc rId="834" sId="1">
    <nc r="W264">
      <f>V264</f>
    </nc>
  </rcc>
  <rcc rId="835" sId="1">
    <nc r="W265">
      <f>V265</f>
    </nc>
  </rcc>
  <rcc rId="836" sId="1">
    <nc r="W266">
      <f>V266</f>
    </nc>
  </rcc>
  <rcc rId="837" sId="1">
    <nc r="W267">
      <f>V267</f>
    </nc>
  </rcc>
  <rcc rId="838" sId="1">
    <nc r="W268">
      <f>V268</f>
    </nc>
  </rcc>
  <rcc rId="839" sId="1">
    <nc r="W269">
      <f>V269</f>
    </nc>
  </rcc>
  <rcc rId="840" sId="1">
    <nc r="W270">
      <f>V270</f>
    </nc>
  </rcc>
  <rcc rId="841" sId="1">
    <nc r="W271">
      <f>V271</f>
    </nc>
  </rcc>
  <rcc rId="842" sId="1">
    <nc r="W272">
      <f>V272</f>
    </nc>
  </rcc>
  <rcc rId="843" sId="1">
    <nc r="W273">
      <f>V273</f>
    </nc>
  </rcc>
  <rcc rId="844" sId="1">
    <nc r="W274">
      <f>V274</f>
    </nc>
  </rcc>
  <rcc rId="845" sId="1">
    <nc r="W275">
      <f>V275</f>
    </nc>
  </rcc>
  <rcc rId="846" sId="1">
    <nc r="W276">
      <f>V276</f>
    </nc>
  </rcc>
  <rcc rId="847" sId="1">
    <nc r="W277">
      <f>V277</f>
    </nc>
  </rcc>
  <rcc rId="848" sId="1">
    <nc r="W278">
      <f>V278</f>
    </nc>
  </rcc>
  <rcc rId="849" sId="1">
    <nc r="W279">
      <f>V279</f>
    </nc>
  </rcc>
  <rcc rId="850" sId="1">
    <nc r="W280">
      <f>V280</f>
    </nc>
  </rcc>
  <rcc rId="851" sId="1">
    <nc r="W281">
      <f>V281</f>
    </nc>
  </rcc>
  <rcc rId="852" sId="1">
    <nc r="W282">
      <f>V282</f>
    </nc>
  </rcc>
  <rcc rId="853" sId="1">
    <nc r="W283">
      <f>V283</f>
    </nc>
  </rcc>
  <rcc rId="854" sId="1">
    <nc r="W284">
      <f>V284</f>
    </nc>
  </rcc>
  <rcc rId="855" sId="1">
    <nc r="W285">
      <f>V285</f>
    </nc>
  </rcc>
  <rcc rId="856" sId="1">
    <nc r="W286">
      <f>V286</f>
    </nc>
  </rcc>
  <rcc rId="857" sId="1">
    <nc r="W287">
      <f>V287</f>
    </nc>
  </rcc>
  <rcc rId="858" sId="1">
    <nc r="W288">
      <f>V288</f>
    </nc>
  </rcc>
  <rcc rId="859" sId="1">
    <nc r="W289">
      <f>V289</f>
    </nc>
  </rcc>
  <rcc rId="860" sId="1">
    <nc r="W290">
      <f>V290</f>
    </nc>
  </rcc>
  <rcc rId="861" sId="1">
    <nc r="W291">
      <f>V291</f>
    </nc>
  </rcc>
  <rcc rId="862" sId="1">
    <nc r="W292">
      <f>V292</f>
    </nc>
  </rcc>
  <rcc rId="863" sId="1">
    <nc r="W293">
      <f>V293</f>
    </nc>
  </rcc>
  <rrc rId="864"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65"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66"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67"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68"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69"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70"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71"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72"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73"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74"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75"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76"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77"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78"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79"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80"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81"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82"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83"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84"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85"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86"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87"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88"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02" start="0" length="0">
      <dxf>
        <alignment horizontal="left" vertical="top" readingOrder="0"/>
        <border outline="0">
          <left style="thin">
            <color indexed="64"/>
          </left>
          <right style="thin">
            <color indexed="64"/>
          </right>
          <top style="thin">
            <color indexed="64"/>
          </top>
          <bottom style="thin">
            <color indexed="64"/>
          </bottom>
        </border>
      </dxf>
    </rfmt>
    <rfmt sheetId="1" sqref="AM302" start="0" length="0">
      <dxf>
        <alignment horizontal="left" vertical="top" readingOrder="0"/>
        <border outline="0">
          <left style="thin">
            <color indexed="64"/>
          </left>
          <right style="thin">
            <color indexed="64"/>
          </right>
          <top style="thin">
            <color indexed="64"/>
          </top>
          <bottom style="thin">
            <color indexed="64"/>
          </bottom>
        </border>
      </dxf>
    </rfmt>
    <rfmt sheetId="1" sqref="AN302" start="0" length="0">
      <dxf>
        <alignment horizontal="left" vertical="top" readingOrder="0"/>
        <border outline="0">
          <left style="thin">
            <color indexed="64"/>
          </left>
          <right style="thin">
            <color indexed="64"/>
          </right>
          <top style="thin">
            <color indexed="64"/>
          </top>
          <bottom style="thin">
            <color indexed="64"/>
          </bottom>
        </border>
      </dxf>
    </rfmt>
  </rrc>
  <rrc rId="889" sId="1" ref="A302:XFD302" action="deleteRow">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quotePrefix="1">
      <nc r="AL302"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302"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302" t="inlineStr">
        <is>
          <t>-</t>
        </is>
      </nc>
      <ndxf>
        <alignment horizontal="left" vertical="top" readingOrder="0"/>
        <border outline="0">
          <left style="thin">
            <color indexed="64"/>
          </left>
          <right style="thin">
            <color indexed="64"/>
          </right>
          <top style="thin">
            <color indexed="64"/>
          </top>
          <bottom style="thin">
            <color indexed="64"/>
          </bottom>
        </border>
      </ndxf>
    </rcc>
  </rrc>
  <rrc rId="890" sId="1" ref="A302:XFD302" action="deleteRow">
    <undo index="4" exp="area" ref3D="1" dr="$C$60:$C$302" r="K205" sId="4"/>
    <undo index="2" exp="area" ref3D="1" dr="$D$60:$D$302" r="K205" sId="4"/>
    <undo index="0" exp="area" ref3D="1" dr="$AK$60:$AK$302" r="K205" sId="4"/>
    <undo index="4" exp="area" ref3D="1" dr="$C$60:$C$302" r="J205" sId="4"/>
    <undo index="2" exp="area" ref3D="1" dr="$D$60:$D$302" r="J205" sId="4"/>
    <undo index="0" exp="area" ref3D="1" dr="$AK$60:$AK$302" r="J205" sId="4"/>
    <undo index="15" exp="area" ref3D="1" dr="$C$60:$C$302" r="H205" sId="4"/>
    <undo index="13" exp="area" ref3D="1" dr="$AA$60:$AA$302" r="H205" sId="4"/>
    <undo index="11" exp="area" ref3D="1" dr="$D$60:$D$302" r="H205" sId="4"/>
    <undo index="10" exp="area" ref3D="1" dr="$Z$60:$Z$302" r="H205" sId="4"/>
    <undo index="7" exp="area" ref3D="1" dr="$C$60:$C$302" r="H205" sId="4"/>
    <undo index="4" exp="area" ref3D="1" dr="$D$60:$D$302" r="H205" sId="4"/>
    <undo index="3" exp="area" ref3D="1" dr="$Z$60:$Z$302" r="H205" sId="4"/>
    <undo index="7" exp="area" ref3D="1" dr="$C$60:$C$302" r="G205" sId="4"/>
    <undo index="4" exp="area" ref3D="1" dr="$D$60:$D$302" r="G205" sId="4"/>
    <undo index="3" exp="area" ref3D="1" dr="$Y$60:$Y$302" r="G205" sId="4"/>
    <undo index="12" exp="area" ref3D="1" dr="$C$60:$C$302" r="F205" sId="4"/>
    <undo index="10" exp="area" ref3D="1" dr="$AA$60:$AA$302" r="F205" sId="4"/>
    <undo index="8" exp="area" ref3D="1" dr="$D$60:$D$302" r="F205" sId="4"/>
    <undo index="7" exp="area" ref3D="1" dr="$X$60:$X$302" r="F205" sId="4"/>
    <undo index="4" exp="area" ref3D="1" dr="$C$60:$C$302" r="F205" sId="4"/>
    <undo index="1" exp="area" ref3D="1" dr="$D$60:$D$302" r="F205" sId="4"/>
    <undo index="0" exp="area" ref3D="1" dr="$X$60:$X$302" r="F205" sId="4"/>
    <undo index="4" exp="area" ref3D="1" dr="$C$60:$C$302" r="E205" sId="4"/>
    <undo index="1" exp="area" ref3D="1" dr="$D$60:$D$302" r="E205" sId="4"/>
    <undo index="0" exp="area" ref3D="1" dr="$W$60:$W$302" r="E205" sId="4"/>
    <undo index="4" exp="area" ref3D="1" dr="$C$60:$C$302" r="K204" sId="4"/>
    <undo index="2" exp="area" ref3D="1" dr="$D$60:$D$302" r="K204" sId="4"/>
    <undo index="0" exp="area" ref3D="1" dr="$AK$60:$AK$302" r="K204" sId="4"/>
    <undo index="4" exp="area" ref3D="1" dr="$C$60:$C$302" r="J204" sId="4"/>
    <undo index="2" exp="area" ref3D="1" dr="$D$60:$D$302" r="J204" sId="4"/>
    <undo index="0" exp="area" ref3D="1" dr="$AK$60:$AK$302" r="J204" sId="4"/>
    <undo index="15" exp="area" ref3D="1" dr="$C$60:$C$302" r="H204" sId="4"/>
    <undo index="13" exp="area" ref3D="1" dr="$AA$60:$AA$302" r="H204" sId="4"/>
    <undo index="11" exp="area" ref3D="1" dr="$D$60:$D$302" r="H204" sId="4"/>
    <undo index="10" exp="area" ref3D="1" dr="$Z$60:$Z$302" r="H204" sId="4"/>
    <undo index="7" exp="area" ref3D="1" dr="$C$60:$C$302" r="H204" sId="4"/>
    <undo index="4" exp="area" ref3D="1" dr="$D$60:$D$302" r="H204" sId="4"/>
    <undo index="3" exp="area" ref3D="1" dr="$Z$60:$Z$302" r="H204" sId="4"/>
    <undo index="7" exp="area" ref3D="1" dr="$C$60:$C$302" r="G204" sId="4"/>
    <undo index="4" exp="area" ref3D="1" dr="$D$60:$D$302" r="G204" sId="4"/>
    <undo index="3" exp="area" ref3D="1" dr="$Y$60:$Y$302" r="G204" sId="4"/>
    <undo index="12" exp="area" ref3D="1" dr="$C$60:$C$302" r="F204" sId="4"/>
    <undo index="10" exp="area" ref3D="1" dr="$AA$60:$AA$302" r="F204" sId="4"/>
    <undo index="8" exp="area" ref3D="1" dr="$D$60:$D$302" r="F204" sId="4"/>
    <undo index="7" exp="area" ref3D="1" dr="$X$60:$X$302" r="F204" sId="4"/>
    <undo index="4" exp="area" ref3D="1" dr="$C$60:$C$302" r="F204" sId="4"/>
    <undo index="1" exp="area" ref3D="1" dr="$D$60:$D$302" r="F204" sId="4"/>
    <undo index="0" exp="area" ref3D="1" dr="$X$60:$X$302" r="F204" sId="4"/>
    <undo index="4" exp="area" ref3D="1" dr="$C$60:$C$302" r="E204" sId="4"/>
    <undo index="1" exp="area" ref3D="1" dr="$D$60:$D$302" r="E204" sId="4"/>
    <undo index="0" exp="area" ref3D="1" dr="$W$60:$W$302" r="E204" sId="4"/>
    <undo index="4" exp="area" ref3D="1" dr="$C$60:$C$302" r="K192" sId="4"/>
    <undo index="2" exp="area" ref3D="1" dr="$D$60:$D$302" r="K192" sId="4"/>
    <undo index="0" exp="area" ref3D="1" dr="$AK$60:$AK$302" r="K192" sId="4"/>
    <undo index="4" exp="area" ref3D="1" dr="$C$60:$C$302" r="J192" sId="4"/>
    <undo index="2" exp="area" ref3D="1" dr="$D$60:$D$302" r="J192" sId="4"/>
    <undo index="0" exp="area" ref3D="1" dr="$AK$60:$AK$302" r="J192" sId="4"/>
    <undo index="15" exp="area" ref3D="1" dr="$C$60:$C$302" r="H192" sId="4"/>
    <undo index="13" exp="area" ref3D="1" dr="$AA$60:$AA$302" r="H192" sId="4"/>
    <undo index="11" exp="area" ref3D="1" dr="$D$60:$D$302" r="H192" sId="4"/>
    <undo index="10" exp="area" ref3D="1" dr="$Z$60:$Z$302" r="H192" sId="4"/>
    <undo index="7" exp="area" ref3D="1" dr="$C$60:$C$302" r="H192" sId="4"/>
    <undo index="4" exp="area" ref3D="1" dr="$D$60:$D$302" r="H192" sId="4"/>
    <undo index="3" exp="area" ref3D="1" dr="$Z$60:$Z$302" r="H192" sId="4"/>
    <undo index="7" exp="area" ref3D="1" dr="$C$60:$C$302" r="G192" sId="4"/>
    <undo index="4" exp="area" ref3D="1" dr="$D$60:$D$302" r="G192" sId="4"/>
    <undo index="3" exp="area" ref3D="1" dr="$Y$60:$Y$302" r="G192" sId="4"/>
    <undo index="12" exp="area" ref3D="1" dr="$C$60:$C$302" r="F192" sId="4"/>
    <undo index="10" exp="area" ref3D="1" dr="$AA$60:$AA$302" r="F192" sId="4"/>
    <undo index="8" exp="area" ref3D="1" dr="$D$60:$D$302" r="F192" sId="4"/>
    <undo index="7" exp="area" ref3D="1" dr="$X$60:$X$302" r="F192" sId="4"/>
    <undo index="4" exp="area" ref3D="1" dr="$C$60:$C$302" r="F192" sId="4"/>
    <undo index="1" exp="area" ref3D="1" dr="$D$60:$D$302" r="F192" sId="4"/>
    <undo index="0" exp="area" ref3D="1" dr="$X$60:$X$302" r="F192" sId="4"/>
    <undo index="4" exp="area" ref3D="1" dr="$C$60:$C$302" r="E192" sId="4"/>
    <undo index="1" exp="area" ref3D="1" dr="$D$60:$D$302" r="E192" sId="4"/>
    <undo index="0" exp="area" ref3D="1" dr="$W$60:$W$302" r="E192" sId="4"/>
    <undo index="4" exp="area" ref3D="1" dr="$C$60:$C$302" r="K191" sId="4"/>
    <undo index="2" exp="area" ref3D="1" dr="$D$60:$D$302" r="K191" sId="4"/>
    <undo index="0" exp="area" ref3D="1" dr="$AK$60:$AK$302" r="K191" sId="4"/>
    <undo index="4" exp="area" ref3D="1" dr="$C$60:$C$302" r="J191" sId="4"/>
    <undo index="2" exp="area" ref3D="1" dr="$D$60:$D$302" r="J191" sId="4"/>
    <undo index="0" exp="area" ref3D="1" dr="$AK$60:$AK$302" r="J191" sId="4"/>
    <undo index="15" exp="area" ref3D="1" dr="$C$60:$C$302" r="H191" sId="4"/>
    <undo index="13" exp="area" ref3D="1" dr="$AA$60:$AA$302" r="H191" sId="4"/>
    <undo index="11" exp="area" ref3D="1" dr="$D$60:$D$302" r="H191" sId="4"/>
    <undo index="10" exp="area" ref3D="1" dr="$Z$60:$Z$302" r="H191" sId="4"/>
    <undo index="7" exp="area" ref3D="1" dr="$C$60:$C$302" r="H191" sId="4"/>
    <undo index="4" exp="area" ref3D="1" dr="$D$60:$D$302" r="H191" sId="4"/>
    <undo index="3" exp="area" ref3D="1" dr="$Z$60:$Z$302" r="H191" sId="4"/>
    <undo index="7" exp="area" ref3D="1" dr="$C$60:$C$302" r="G191" sId="4"/>
    <undo index="4" exp="area" ref3D="1" dr="$D$60:$D$302" r="G191" sId="4"/>
    <undo index="3" exp="area" ref3D="1" dr="$Y$60:$Y$302" r="G191" sId="4"/>
    <undo index="12" exp="area" ref3D="1" dr="$C$60:$C$302" r="F191" sId="4"/>
    <undo index="10" exp="area" ref3D="1" dr="$AA$60:$AA$302" r="F191" sId="4"/>
    <undo index="8" exp="area" ref3D="1" dr="$D$60:$D$302" r="F191" sId="4"/>
    <undo index="7" exp="area" ref3D="1" dr="$X$60:$X$302" r="F191" sId="4"/>
    <undo index="4" exp="area" ref3D="1" dr="$C$60:$C$302" r="F191" sId="4"/>
    <undo index="1" exp="area" ref3D="1" dr="$D$60:$D$302" r="F191" sId="4"/>
    <undo index="0" exp="area" ref3D="1" dr="$X$60:$X$302" r="F191" sId="4"/>
    <undo index="4" exp="area" ref3D="1" dr="$C$60:$C$302" r="E191" sId="4"/>
    <undo index="1" exp="area" ref3D="1" dr="$D$60:$D$302" r="E191" sId="4"/>
    <undo index="0" exp="area" ref3D="1" dr="$W$60:$W$302" r="E191" sId="4"/>
    <undo index="4" exp="area" ref3D="1" dr="$C$60:$C$302" r="K179" sId="4"/>
    <undo index="2" exp="area" ref3D="1" dr="$D$60:$D$302" r="K179" sId="4"/>
    <undo index="0" exp="area" ref3D="1" dr="$AK$60:$AK$302" r="K179" sId="4"/>
    <undo index="4" exp="area" ref3D="1" dr="$C$60:$C$302" r="J179" sId="4"/>
    <undo index="2" exp="area" ref3D="1" dr="$D$60:$D$302" r="J179" sId="4"/>
    <undo index="0" exp="area" ref3D="1" dr="$AK$60:$AK$302" r="J179" sId="4"/>
    <undo index="15" exp="area" ref3D="1" dr="$C$60:$C$302" r="H179" sId="4"/>
    <undo index="13" exp="area" ref3D="1" dr="$AA$60:$AA$302" r="H179" sId="4"/>
    <undo index="11" exp="area" ref3D="1" dr="$D$60:$D$302" r="H179" sId="4"/>
    <undo index="10" exp="area" ref3D="1" dr="$Z$60:$Z$302" r="H179" sId="4"/>
    <undo index="7" exp="area" ref3D="1" dr="$C$60:$C$302" r="H179" sId="4"/>
    <undo index="4" exp="area" ref3D="1" dr="$D$60:$D$302" r="H179" sId="4"/>
    <undo index="3" exp="area" ref3D="1" dr="$Z$60:$Z$302" r="H179" sId="4"/>
    <undo index="7" exp="area" ref3D="1" dr="$C$60:$C$302" r="G179" sId="4"/>
    <undo index="4" exp="area" ref3D="1" dr="$D$60:$D$302" r="G179" sId="4"/>
    <undo index="3" exp="area" ref3D="1" dr="$Y$60:$Y$302" r="G179" sId="4"/>
    <undo index="12" exp="area" ref3D="1" dr="$C$60:$C$302" r="F179" sId="4"/>
    <undo index="10" exp="area" ref3D="1" dr="$AA$60:$AA$302" r="F179" sId="4"/>
    <undo index="8" exp="area" ref3D="1" dr="$D$60:$D$302" r="F179" sId="4"/>
    <undo index="7" exp="area" ref3D="1" dr="$X$60:$X$302" r="F179" sId="4"/>
    <undo index="4" exp="area" ref3D="1" dr="$C$60:$C$302" r="F179" sId="4"/>
    <undo index="1" exp="area" ref3D="1" dr="$D$60:$D$302" r="F179" sId="4"/>
    <undo index="0" exp="area" ref3D="1" dr="$X$60:$X$302" r="F179" sId="4"/>
    <undo index="4" exp="area" ref3D="1" dr="$C$60:$C$302" r="E179" sId="4"/>
    <undo index="1" exp="area" ref3D="1" dr="$D$60:$D$302" r="E179" sId="4"/>
    <undo index="0" exp="area" ref3D="1" dr="$W$60:$W$302" r="E179" sId="4"/>
    <undo index="4" exp="area" ref3D="1" dr="$C$60:$C$302" r="K178" sId="4"/>
    <undo index="2" exp="area" ref3D="1" dr="$D$60:$D$302" r="K178" sId="4"/>
    <undo index="0" exp="area" ref3D="1" dr="$AK$60:$AK$302" r="K178" sId="4"/>
    <undo index="4" exp="area" ref3D="1" dr="$C$60:$C$302" r="J178" sId="4"/>
    <undo index="2" exp="area" ref3D="1" dr="$D$60:$D$302" r="J178" sId="4"/>
    <undo index="0" exp="area" ref3D="1" dr="$AK$60:$AK$302" r="J178" sId="4"/>
    <undo index="15" exp="area" ref3D="1" dr="$C$60:$C$302" r="H178" sId="4"/>
    <undo index="13" exp="area" ref3D="1" dr="$AA$60:$AA$302" r="H178" sId="4"/>
    <undo index="11" exp="area" ref3D="1" dr="$D$60:$D$302" r="H178" sId="4"/>
    <undo index="10" exp="area" ref3D="1" dr="$Z$60:$Z$302" r="H178" sId="4"/>
    <undo index="7" exp="area" ref3D="1" dr="$C$60:$C$302" r="H178" sId="4"/>
    <undo index="4" exp="area" ref3D="1" dr="$D$60:$D$302" r="H178" sId="4"/>
    <undo index="3" exp="area" ref3D="1" dr="$Z$60:$Z$302" r="H178" sId="4"/>
    <undo index="7" exp="area" ref3D="1" dr="$C$60:$C$302" r="G178" sId="4"/>
    <undo index="4" exp="area" ref3D="1" dr="$D$60:$D$302" r="G178" sId="4"/>
    <undo index="3" exp="area" ref3D="1" dr="$Y$60:$Y$302" r="G178" sId="4"/>
    <undo index="12" exp="area" ref3D="1" dr="$C$60:$C$302" r="F178" sId="4"/>
    <undo index="10" exp="area" ref3D="1" dr="$AA$60:$AA$302" r="F178" sId="4"/>
    <undo index="8" exp="area" ref3D="1" dr="$D$60:$D$302" r="F178" sId="4"/>
    <undo index="7" exp="area" ref3D="1" dr="$X$60:$X$302" r="F178" sId="4"/>
    <undo index="4" exp="area" ref3D="1" dr="$C$60:$C$302" r="F178" sId="4"/>
    <undo index="1" exp="area" ref3D="1" dr="$D$60:$D$302" r="F178" sId="4"/>
    <undo index="0" exp="area" ref3D="1" dr="$X$60:$X$302" r="F178" sId="4"/>
    <undo index="4" exp="area" ref3D="1" dr="$C$60:$C$302" r="E178" sId="4"/>
    <undo index="1" exp="area" ref3D="1" dr="$D$60:$D$302" r="E178" sId="4"/>
    <undo index="0" exp="area" ref3D="1" dr="$W$60:$W$302" r="E178" sId="4"/>
    <undo index="4" exp="area" ref3D="1" dr="$C$60:$C$302" r="K166" sId="4"/>
    <undo index="2" exp="area" ref3D="1" dr="$D$60:$D$302" r="K166" sId="4"/>
    <undo index="0" exp="area" ref3D="1" dr="$AK$60:$AK$302" r="K166" sId="4"/>
    <undo index="4" exp="area" ref3D="1" dr="$C$60:$C$302" r="J166" sId="4"/>
    <undo index="2" exp="area" ref3D="1" dr="$D$60:$D$302" r="J166" sId="4"/>
    <undo index="0" exp="area" ref3D="1" dr="$AK$60:$AK$302" r="J166" sId="4"/>
    <undo index="15" exp="area" ref3D="1" dr="$C$60:$C$302" r="H166" sId="4"/>
    <undo index="13" exp="area" ref3D="1" dr="$AA$60:$AA$302" r="H166" sId="4"/>
    <undo index="11" exp="area" ref3D="1" dr="$D$60:$D$302" r="H166" sId="4"/>
    <undo index="10" exp="area" ref3D="1" dr="$Z$60:$Z$302" r="H166" sId="4"/>
    <undo index="7" exp="area" ref3D="1" dr="$C$60:$C$302" r="H166" sId="4"/>
    <undo index="4" exp="area" ref3D="1" dr="$D$60:$D$302" r="H166" sId="4"/>
    <undo index="3" exp="area" ref3D="1" dr="$Z$60:$Z$302" r="H166" sId="4"/>
    <undo index="7" exp="area" ref3D="1" dr="$C$60:$C$302" r="G166" sId="4"/>
    <undo index="4" exp="area" ref3D="1" dr="$D$60:$D$302" r="G166" sId="4"/>
    <undo index="3" exp="area" ref3D="1" dr="$Y$60:$Y$302" r="G166" sId="4"/>
    <undo index="12" exp="area" ref3D="1" dr="$C$60:$C$302" r="F166" sId="4"/>
    <undo index="10" exp="area" ref3D="1" dr="$AA$60:$AA$302" r="F166" sId="4"/>
    <undo index="8" exp="area" ref3D="1" dr="$D$60:$D$302" r="F166" sId="4"/>
    <undo index="7" exp="area" ref3D="1" dr="$X$60:$X$302" r="F166" sId="4"/>
    <undo index="4" exp="area" ref3D="1" dr="$C$60:$C$302" r="F166" sId="4"/>
    <undo index="1" exp="area" ref3D="1" dr="$D$60:$D$302" r="F166" sId="4"/>
    <undo index="0" exp="area" ref3D="1" dr="$X$60:$X$302" r="F166" sId="4"/>
    <undo index="4" exp="area" ref3D="1" dr="$C$60:$C$302" r="E166" sId="4"/>
    <undo index="1" exp="area" ref3D="1" dr="$D$60:$D$302" r="E166" sId="4"/>
    <undo index="0" exp="area" ref3D="1" dr="$W$60:$W$302" r="E166" sId="4"/>
    <undo index="4" exp="area" ref3D="1" dr="$C$60:$C$302" r="K165" sId="4"/>
    <undo index="2" exp="area" ref3D="1" dr="$D$60:$D$302" r="K165" sId="4"/>
    <undo index="0" exp="area" ref3D="1" dr="$AK$60:$AK$302" r="K165" sId="4"/>
    <undo index="4" exp="area" ref3D="1" dr="$C$60:$C$302" r="J165" sId="4"/>
    <undo index="2" exp="area" ref3D="1" dr="$D$60:$D$302" r="J165" sId="4"/>
    <undo index="0" exp="area" ref3D="1" dr="$AK$60:$AK$302" r="J165" sId="4"/>
    <undo index="15" exp="area" ref3D="1" dr="$C$60:$C$302" r="H165" sId="4"/>
    <undo index="13" exp="area" ref3D="1" dr="$AA$60:$AA$302" r="H165" sId="4"/>
    <undo index="11" exp="area" ref3D="1" dr="$D$60:$D$302" r="H165" sId="4"/>
    <undo index="10" exp="area" ref3D="1" dr="$Z$60:$Z$302" r="H165" sId="4"/>
    <undo index="7" exp="area" ref3D="1" dr="$C$60:$C$302" r="H165" sId="4"/>
    <undo index="4" exp="area" ref3D="1" dr="$D$60:$D$302" r="H165" sId="4"/>
    <undo index="3" exp="area" ref3D="1" dr="$Z$60:$Z$302" r="H165" sId="4"/>
    <undo index="7" exp="area" ref3D="1" dr="$C$60:$C$302" r="G165" sId="4"/>
    <undo index="4" exp="area" ref3D="1" dr="$D$60:$D$302" r="G165" sId="4"/>
    <undo index="3" exp="area" ref3D="1" dr="$Y$60:$Y$302" r="G165" sId="4"/>
    <undo index="12" exp="area" ref3D="1" dr="$C$60:$C$302" r="F165" sId="4"/>
    <undo index="10" exp="area" ref3D="1" dr="$AA$60:$AA$302" r="F165" sId="4"/>
    <undo index="8" exp="area" ref3D="1" dr="$D$60:$D$302" r="F165" sId="4"/>
    <undo index="7" exp="area" ref3D="1" dr="$X$60:$X$302" r="F165" sId="4"/>
    <undo index="4" exp="area" ref3D="1" dr="$C$60:$C$302" r="F165" sId="4"/>
    <undo index="1" exp="area" ref3D="1" dr="$D$60:$D$302" r="F165" sId="4"/>
    <undo index="0" exp="area" ref3D="1" dr="$X$60:$X$302" r="F165" sId="4"/>
    <undo index="4" exp="area" ref3D="1" dr="$C$60:$C$302" r="E165" sId="4"/>
    <undo index="1" exp="area" ref3D="1" dr="$D$60:$D$302" r="E165" sId="4"/>
    <undo index="0" exp="area" ref3D="1" dr="$W$60:$W$302" r="E165" sId="4"/>
    <undo index="4" exp="area" ref3D="1" dr="$C$60:$C$302" r="K153" sId="4"/>
    <undo index="2" exp="area" ref3D="1" dr="$D$60:$D$302" r="K153" sId="4"/>
    <undo index="0" exp="area" ref3D="1" dr="$AK$60:$AK$302" r="K153" sId="4"/>
    <undo index="4" exp="area" ref3D="1" dr="$C$60:$C$302" r="J153" sId="4"/>
    <undo index="2" exp="area" ref3D="1" dr="$D$60:$D$302" r="J153" sId="4"/>
    <undo index="0" exp="area" ref3D="1" dr="$AK$60:$AK$302" r="J153" sId="4"/>
    <undo index="15" exp="area" ref3D="1" dr="$C$60:$C$302" r="H153" sId="4"/>
    <undo index="13" exp="area" ref3D="1" dr="$AA$60:$AA$302" r="H153" sId="4"/>
    <undo index="11" exp="area" ref3D="1" dr="$D$60:$D$302" r="H153" sId="4"/>
    <undo index="10" exp="area" ref3D="1" dr="$Z$60:$Z$302" r="H153" sId="4"/>
    <undo index="7" exp="area" ref3D="1" dr="$C$60:$C$302" r="H153" sId="4"/>
    <undo index="4" exp="area" ref3D="1" dr="$D$60:$D$302" r="H153" sId="4"/>
    <undo index="3" exp="area" ref3D="1" dr="$Z$60:$Z$302" r="H153" sId="4"/>
    <undo index="7" exp="area" ref3D="1" dr="$C$60:$C$302" r="G153" sId="4"/>
    <undo index="4" exp="area" ref3D="1" dr="$D$60:$D$302" r="G153" sId="4"/>
    <undo index="3" exp="area" ref3D="1" dr="$Y$60:$Y$302" r="G153" sId="4"/>
    <undo index="12" exp="area" ref3D="1" dr="$C$60:$C$302" r="F153" sId="4"/>
    <undo index="10" exp="area" ref3D="1" dr="$AA$60:$AA$302" r="F153" sId="4"/>
    <undo index="8" exp="area" ref3D="1" dr="$D$60:$D$302" r="F153" sId="4"/>
    <undo index="7" exp="area" ref3D="1" dr="$X$60:$X$302" r="F153" sId="4"/>
    <undo index="4" exp="area" ref3D="1" dr="$C$60:$C$302" r="F153" sId="4"/>
    <undo index="1" exp="area" ref3D="1" dr="$D$60:$D$302" r="F153" sId="4"/>
    <undo index="0" exp="area" ref3D="1" dr="$X$60:$X$302" r="F153" sId="4"/>
    <undo index="4" exp="area" ref3D="1" dr="$C$60:$C$302" r="E153" sId="4"/>
    <undo index="1" exp="area" ref3D="1" dr="$D$60:$D$302" r="E153" sId="4"/>
    <undo index="0" exp="area" ref3D="1" dr="$W$60:$W$302" r="E153" sId="4"/>
    <undo index="4" exp="area" ref3D="1" dr="$C$60:$C$302" r="K152" sId="4"/>
    <undo index="2" exp="area" ref3D="1" dr="$D$60:$D$302" r="K152" sId="4"/>
    <undo index="0" exp="area" ref3D="1" dr="$AK$60:$AK$302" r="K152" sId="4"/>
    <undo index="4" exp="area" ref3D="1" dr="$C$60:$C$302" r="J152" sId="4"/>
    <undo index="2" exp="area" ref3D="1" dr="$D$60:$D$302" r="J152" sId="4"/>
    <undo index="0" exp="area" ref3D="1" dr="$AK$60:$AK$302" r="J152" sId="4"/>
    <undo index="15" exp="area" ref3D="1" dr="$C$60:$C$302" r="H152" sId="4"/>
    <undo index="13" exp="area" ref3D="1" dr="$AA$60:$AA$302" r="H152" sId="4"/>
    <undo index="11" exp="area" ref3D="1" dr="$D$60:$D$302" r="H152" sId="4"/>
    <undo index="10" exp="area" ref3D="1" dr="$Z$60:$Z$302" r="H152" sId="4"/>
    <undo index="7" exp="area" ref3D="1" dr="$C$60:$C$302" r="H152" sId="4"/>
    <undo index="4" exp="area" ref3D="1" dr="$D$60:$D$302" r="H152" sId="4"/>
    <undo index="3" exp="area" ref3D="1" dr="$Z$60:$Z$302" r="H152" sId="4"/>
    <undo index="7" exp="area" ref3D="1" dr="$C$60:$C$302" r="G152" sId="4"/>
    <undo index="4" exp="area" ref3D="1" dr="$D$60:$D$302" r="G152" sId="4"/>
    <undo index="3" exp="area" ref3D="1" dr="$Y$60:$Y$302" r="G152" sId="4"/>
    <undo index="12" exp="area" ref3D="1" dr="$C$60:$C$302" r="F152" sId="4"/>
    <undo index="10" exp="area" ref3D="1" dr="$AA$60:$AA$302" r="F152" sId="4"/>
    <undo index="8" exp="area" ref3D="1" dr="$D$60:$D$302" r="F152" sId="4"/>
    <undo index="7" exp="area" ref3D="1" dr="$X$60:$X$302" r="F152" sId="4"/>
    <undo index="4" exp="area" ref3D="1" dr="$C$60:$C$302" r="F152" sId="4"/>
    <undo index="1" exp="area" ref3D="1" dr="$D$60:$D$302" r="F152" sId="4"/>
    <undo index="0" exp="area" ref3D="1" dr="$X$60:$X$302" r="F152" sId="4"/>
    <undo index="4" exp="area" ref3D="1" dr="$C$60:$C$302" r="E152" sId="4"/>
    <undo index="1" exp="area" ref3D="1" dr="$D$60:$D$302" r="E152" sId="4"/>
    <undo index="0" exp="area" ref3D="1" dr="$W$60:$W$302" r="E152" sId="4"/>
    <undo index="4" exp="area" ref3D="1" dr="$C$60:$C$302" r="K140" sId="4"/>
    <undo index="2" exp="area" ref3D="1" dr="$D$60:$D$302" r="K140" sId="4"/>
    <undo index="0" exp="area" ref3D="1" dr="$AK$60:$AK$302" r="K140" sId="4"/>
    <undo index="4" exp="area" ref3D="1" dr="$C$60:$C$302" r="J140" sId="4"/>
    <undo index="2" exp="area" ref3D="1" dr="$D$60:$D$302" r="J140" sId="4"/>
    <undo index="0" exp="area" ref3D="1" dr="$AK$60:$AK$302" r="J140" sId="4"/>
    <undo index="15" exp="area" ref3D="1" dr="$C$60:$C$302" r="H140" sId="4"/>
    <undo index="13" exp="area" ref3D="1" dr="$AA$60:$AA$302" r="H140" sId="4"/>
    <undo index="11" exp="area" ref3D="1" dr="$D$60:$D$302" r="H140" sId="4"/>
    <undo index="10" exp="area" ref3D="1" dr="$Z$60:$Z$302" r="H140" sId="4"/>
    <undo index="7" exp="area" ref3D="1" dr="$C$60:$C$302" r="H140" sId="4"/>
    <undo index="4" exp="area" ref3D="1" dr="$D$60:$D$302" r="H140" sId="4"/>
    <undo index="3" exp="area" ref3D="1" dr="$Z$60:$Z$302" r="H140" sId="4"/>
    <undo index="7" exp="area" ref3D="1" dr="$C$60:$C$302" r="G140" sId="4"/>
    <undo index="4" exp="area" ref3D="1" dr="$D$60:$D$302" r="G140" sId="4"/>
    <undo index="3" exp="area" ref3D="1" dr="$Y$60:$Y$302" r="G140" sId="4"/>
    <undo index="12" exp="area" ref3D="1" dr="$C$60:$C$302" r="F140" sId="4"/>
    <undo index="10" exp="area" ref3D="1" dr="$AA$60:$AA$302" r="F140" sId="4"/>
    <undo index="8" exp="area" ref3D="1" dr="$D$60:$D$302" r="F140" sId="4"/>
    <undo index="7" exp="area" ref3D="1" dr="$X$60:$X$302" r="F140" sId="4"/>
    <undo index="4" exp="area" ref3D="1" dr="$C$60:$C$302" r="F140" sId="4"/>
    <undo index="1" exp="area" ref3D="1" dr="$D$60:$D$302" r="F140" sId="4"/>
    <undo index="0" exp="area" ref3D="1" dr="$X$60:$X$302" r="F140" sId="4"/>
    <undo index="4" exp="area" ref3D="1" dr="$C$60:$C$302" r="E140" sId="4"/>
    <undo index="1" exp="area" ref3D="1" dr="$D$60:$D$302" r="E140" sId="4"/>
    <undo index="0" exp="area" ref3D="1" dr="$W$60:$W$302" r="E140" sId="4"/>
    <undo index="4" exp="area" ref3D="1" dr="$C$60:$C$302" r="K139" sId="4"/>
    <undo index="2" exp="area" ref3D="1" dr="$D$60:$D$302" r="K139" sId="4"/>
    <undo index="0" exp="area" ref3D="1" dr="$AK$60:$AK$302" r="K139" sId="4"/>
    <undo index="4" exp="area" ref3D="1" dr="$C$60:$C$302" r="J139" sId="4"/>
    <undo index="2" exp="area" ref3D="1" dr="$D$60:$D$302" r="J139" sId="4"/>
    <undo index="0" exp="area" ref3D="1" dr="$AK$60:$AK$302" r="J139" sId="4"/>
    <undo index="15" exp="area" ref3D="1" dr="$C$60:$C$302" r="H139" sId="4"/>
    <undo index="13" exp="area" ref3D="1" dr="$AA$60:$AA$302" r="H139" sId="4"/>
    <undo index="11" exp="area" ref3D="1" dr="$D$60:$D$302" r="H139" sId="4"/>
    <undo index="10" exp="area" ref3D="1" dr="$Z$60:$Z$302" r="H139" sId="4"/>
    <undo index="7" exp="area" ref3D="1" dr="$C$60:$C$302" r="H139" sId="4"/>
    <undo index="4" exp="area" ref3D="1" dr="$D$60:$D$302" r="H139" sId="4"/>
    <undo index="3" exp="area" ref3D="1" dr="$Z$60:$Z$302" r="H139" sId="4"/>
    <undo index="7" exp="area" ref3D="1" dr="$C$60:$C$302" r="G139" sId="4"/>
    <undo index="4" exp="area" ref3D="1" dr="$D$60:$D$302" r="G139" sId="4"/>
    <undo index="3" exp="area" ref3D="1" dr="$Y$60:$Y$302" r="G139" sId="4"/>
    <undo index="12" exp="area" ref3D="1" dr="$C$60:$C$302" r="F139" sId="4"/>
    <undo index="10" exp="area" ref3D="1" dr="$AA$60:$AA$302" r="F139" sId="4"/>
    <undo index="8" exp="area" ref3D="1" dr="$D$60:$D$302" r="F139" sId="4"/>
    <undo index="7" exp="area" ref3D="1" dr="$X$60:$X$302" r="F139" sId="4"/>
    <undo index="4" exp="area" ref3D="1" dr="$C$60:$C$302" r="F139" sId="4"/>
    <undo index="1" exp="area" ref3D="1" dr="$D$60:$D$302" r="F139" sId="4"/>
    <undo index="0" exp="area" ref3D="1" dr="$X$60:$X$302" r="F139" sId="4"/>
    <undo index="4" exp="area" ref3D="1" dr="$C$60:$C$302" r="E139" sId="4"/>
    <undo index="1" exp="area" ref3D="1" dr="$D$60:$D$302" r="E139" sId="4"/>
    <undo index="0" exp="area" ref3D="1" dr="$W$60:$W$302" r="E139" sId="4"/>
    <undo index="4" exp="area" ref3D="1" dr="$C$60:$C$302" r="K127" sId="4"/>
    <undo index="2" exp="area" ref3D="1" dr="$D$60:$D$302" r="K127" sId="4"/>
    <undo index="0" exp="area" ref3D="1" dr="$AK$60:$AK$302" r="K127" sId="4"/>
    <undo index="4" exp="area" ref3D="1" dr="$C$60:$C$302" r="J127" sId="4"/>
    <undo index="2" exp="area" ref3D="1" dr="$D$60:$D$302" r="J127" sId="4"/>
    <undo index="0" exp="area" ref3D="1" dr="$AK$60:$AK$302" r="J127" sId="4"/>
    <undo index="15" exp="area" ref3D="1" dr="$C$60:$C$302" r="H127" sId="4"/>
    <undo index="13" exp="area" ref3D="1" dr="$AA$60:$AA$302" r="H127" sId="4"/>
    <undo index="11" exp="area" ref3D="1" dr="$D$60:$D$302" r="H127" sId="4"/>
    <undo index="10" exp="area" ref3D="1" dr="$Z$60:$Z$302" r="H127" sId="4"/>
    <undo index="7" exp="area" ref3D="1" dr="$C$60:$C$302" r="H127" sId="4"/>
    <undo index="4" exp="area" ref3D="1" dr="$D$60:$D$302" r="H127" sId="4"/>
    <undo index="3" exp="area" ref3D="1" dr="$Z$60:$Z$302" r="H127" sId="4"/>
    <undo index="7" exp="area" ref3D="1" dr="$C$60:$C$302" r="G127" sId="4"/>
    <undo index="4" exp="area" ref3D="1" dr="$D$60:$D$302" r="G127" sId="4"/>
    <undo index="3" exp="area" ref3D="1" dr="$Y$60:$Y$302" r="G127" sId="4"/>
    <undo index="12" exp="area" ref3D="1" dr="$C$60:$C$302" r="F127" sId="4"/>
    <undo index="10" exp="area" ref3D="1" dr="$AA$60:$AA$302" r="F127" sId="4"/>
    <undo index="8" exp="area" ref3D="1" dr="$D$60:$D$302" r="F127" sId="4"/>
    <undo index="7" exp="area" ref3D="1" dr="$X$60:$X$302" r="F127" sId="4"/>
    <undo index="4" exp="area" ref3D="1" dr="$C$60:$C$302" r="F127" sId="4"/>
    <undo index="1" exp="area" ref3D="1" dr="$D$60:$D$302" r="F127" sId="4"/>
    <undo index="0" exp="area" ref3D="1" dr="$X$60:$X$302" r="F127" sId="4"/>
    <undo index="4" exp="area" ref3D="1" dr="$C$60:$C$302" r="E127" sId="4"/>
    <undo index="1" exp="area" ref3D="1" dr="$D$60:$D$302" r="E127" sId="4"/>
    <undo index="0" exp="area" ref3D="1" dr="$W$60:$W$302" r="E127" sId="4"/>
    <undo index="4" exp="area" ref3D="1" dr="$C$60:$C$302" r="K126" sId="4"/>
    <undo index="2" exp="area" ref3D="1" dr="$D$60:$D$302" r="K126" sId="4"/>
    <undo index="0" exp="area" ref3D="1" dr="$AK$60:$AK$302" r="K126" sId="4"/>
    <undo index="4" exp="area" ref3D="1" dr="$C$60:$C$302" r="J126" sId="4"/>
    <undo index="2" exp="area" ref3D="1" dr="$D$60:$D$302" r="J126" sId="4"/>
    <undo index="0" exp="area" ref3D="1" dr="$AK$60:$AK$302" r="J126" sId="4"/>
    <undo index="15" exp="area" ref3D="1" dr="$C$60:$C$302" r="H126" sId="4"/>
    <undo index="13" exp="area" ref3D="1" dr="$AA$60:$AA$302" r="H126" sId="4"/>
    <undo index="11" exp="area" ref3D="1" dr="$D$60:$D$302" r="H126" sId="4"/>
    <undo index="10" exp="area" ref3D="1" dr="$Z$60:$Z$302" r="H126" sId="4"/>
    <undo index="7" exp="area" ref3D="1" dr="$C$60:$C$302" r="H126" sId="4"/>
    <undo index="4" exp="area" ref3D="1" dr="$D$60:$D$302" r="H126" sId="4"/>
    <undo index="3" exp="area" ref3D="1" dr="$Z$60:$Z$302" r="H126" sId="4"/>
    <undo index="7" exp="area" ref3D="1" dr="$C$60:$C$302" r="G126" sId="4"/>
    <undo index="4" exp="area" ref3D="1" dr="$D$60:$D$302" r="G126" sId="4"/>
    <undo index="3" exp="area" ref3D="1" dr="$Y$60:$Y$302" r="G126" sId="4"/>
    <undo index="12" exp="area" ref3D="1" dr="$C$60:$C$302" r="F126" sId="4"/>
    <undo index="10" exp="area" ref3D="1" dr="$AA$60:$AA$302" r="F126" sId="4"/>
    <undo index="8" exp="area" ref3D="1" dr="$D$60:$D$302" r="F126" sId="4"/>
    <undo index="7" exp="area" ref3D="1" dr="$X$60:$X$302" r="F126" sId="4"/>
    <undo index="4" exp="area" ref3D="1" dr="$C$60:$C$302" r="F126" sId="4"/>
    <undo index="1" exp="area" ref3D="1" dr="$D$60:$D$302" r="F126" sId="4"/>
    <undo index="0" exp="area" ref3D="1" dr="$X$60:$X$302" r="F126" sId="4"/>
    <undo index="4" exp="area" ref3D="1" dr="$C$60:$C$302" r="E126" sId="4"/>
    <undo index="1" exp="area" ref3D="1" dr="$D$60:$D$302" r="E126" sId="4"/>
    <undo index="0" exp="area" ref3D="1" dr="$W$60:$W$302" r="E126" sId="4"/>
    <undo index="4" exp="area" ref3D="1" dr="$C$60:$C$302" r="K114" sId="4"/>
    <undo index="2" exp="area" ref3D="1" dr="$D$60:$D$302" r="K114" sId="4"/>
    <undo index="0" exp="area" ref3D="1" dr="$AK$60:$AK$302" r="K114" sId="4"/>
    <undo index="4" exp="area" ref3D="1" dr="$C$60:$C$302" r="J114" sId="4"/>
    <undo index="2" exp="area" ref3D="1" dr="$D$60:$D$302" r="J114" sId="4"/>
    <undo index="0" exp="area" ref3D="1" dr="$AK$60:$AK$302" r="J114" sId="4"/>
    <undo index="15" exp="area" ref3D="1" dr="$C$60:$C$302" r="H114" sId="4"/>
    <undo index="13" exp="area" ref3D="1" dr="$AA$60:$AA$302" r="H114" sId="4"/>
    <undo index="11" exp="area" ref3D="1" dr="$D$60:$D$302" r="H114" sId="4"/>
    <undo index="10" exp="area" ref3D="1" dr="$Z$60:$Z$302" r="H114" sId="4"/>
    <undo index="7" exp="area" ref3D="1" dr="$C$60:$C$302" r="H114" sId="4"/>
    <undo index="4" exp="area" ref3D="1" dr="$D$60:$D$302" r="H114" sId="4"/>
    <undo index="3" exp="area" ref3D="1" dr="$Z$60:$Z$302" r="H114" sId="4"/>
    <undo index="7" exp="area" ref3D="1" dr="$C$60:$C$302" r="G114" sId="4"/>
    <undo index="4" exp="area" ref3D="1" dr="$D$60:$D$302" r="G114" sId="4"/>
    <undo index="3" exp="area" ref3D="1" dr="$Y$60:$Y$302" r="G114" sId="4"/>
    <undo index="12" exp="area" ref3D="1" dr="$C$60:$C$302" r="F114" sId="4"/>
    <undo index="10" exp="area" ref3D="1" dr="$AA$60:$AA$302" r="F114" sId="4"/>
    <undo index="8" exp="area" ref3D="1" dr="$D$60:$D$302" r="F114" sId="4"/>
    <undo index="7" exp="area" ref3D="1" dr="$X$60:$X$302" r="F114" sId="4"/>
    <undo index="4" exp="area" ref3D="1" dr="$C$60:$C$302" r="F114" sId="4"/>
    <undo index="1" exp="area" ref3D="1" dr="$D$60:$D$302" r="F114" sId="4"/>
    <undo index="0" exp="area" ref3D="1" dr="$X$60:$X$302" r="F114" sId="4"/>
    <undo index="4" exp="area" ref3D="1" dr="$C$60:$C$302" r="E114" sId="4"/>
    <undo index="1" exp="area" ref3D="1" dr="$D$60:$D$302" r="E114" sId="4"/>
    <undo index="0" exp="area" ref3D="1" dr="$W$60:$W$302" r="E114" sId="4"/>
    <undo index="4" exp="area" ref3D="1" dr="$C$60:$C$302" r="K113" sId="4"/>
    <undo index="2" exp="area" ref3D="1" dr="$D$60:$D$302" r="K113" sId="4"/>
    <undo index="0" exp="area" ref3D="1" dr="$AK$60:$AK$302" r="K113" sId="4"/>
    <undo index="4" exp="area" ref3D="1" dr="$C$60:$C$302" r="J113" sId="4"/>
    <undo index="2" exp="area" ref3D="1" dr="$D$60:$D$302" r="J113" sId="4"/>
    <undo index="0" exp="area" ref3D="1" dr="$AK$60:$AK$302" r="J113" sId="4"/>
    <undo index="15" exp="area" ref3D="1" dr="$C$60:$C$302" r="H113" sId="4"/>
    <undo index="13" exp="area" ref3D="1" dr="$AA$60:$AA$302" r="H113" sId="4"/>
    <undo index="11" exp="area" ref3D="1" dr="$D$60:$D$302" r="H113" sId="4"/>
    <undo index="10" exp="area" ref3D="1" dr="$Z$60:$Z$302" r="H113" sId="4"/>
    <undo index="7" exp="area" ref3D="1" dr="$C$60:$C$302" r="H113" sId="4"/>
    <undo index="4" exp="area" ref3D="1" dr="$D$60:$D$302" r="H113" sId="4"/>
    <undo index="3" exp="area" ref3D="1" dr="$Z$60:$Z$302" r="H113" sId="4"/>
    <undo index="7" exp="area" ref3D="1" dr="$C$60:$C$302" r="G113" sId="4"/>
    <undo index="4" exp="area" ref3D="1" dr="$D$60:$D$302" r="G113" sId="4"/>
    <undo index="3" exp="area" ref3D="1" dr="$Y$60:$Y$302" r="G113" sId="4"/>
    <undo index="12" exp="area" ref3D="1" dr="$C$60:$C$302" r="F113" sId="4"/>
    <undo index="10" exp="area" ref3D="1" dr="$AA$60:$AA$302" r="F113" sId="4"/>
    <undo index="8" exp="area" ref3D="1" dr="$D$60:$D$302" r="F113" sId="4"/>
    <undo index="7" exp="area" ref3D="1" dr="$X$60:$X$302" r="F113" sId="4"/>
    <undo index="4" exp="area" ref3D="1" dr="$C$60:$C$302" r="F113" sId="4"/>
    <undo index="1" exp="area" ref3D="1" dr="$D$60:$D$302" r="F113" sId="4"/>
    <undo index="0" exp="area" ref3D="1" dr="$X$60:$X$302" r="F113" sId="4"/>
    <undo index="4" exp="area" ref3D="1" dr="$C$60:$C$302" r="E113" sId="4"/>
    <undo index="1" exp="area" ref3D="1" dr="$D$60:$D$302" r="E113" sId="4"/>
    <undo index="0" exp="area" ref3D="1" dr="$W$60:$W$302" r="E113" sId="4"/>
    <undo index="4" exp="area" ref3D="1" dr="$C$60:$C$302" r="K101" sId="4"/>
    <undo index="2" exp="area" ref3D="1" dr="$D$60:$D$302" r="K101" sId="4"/>
    <undo index="0" exp="area" ref3D="1" dr="$AK$60:$AK$302" r="K101" sId="4"/>
    <undo index="4" exp="area" ref3D="1" dr="$C$60:$C$302" r="J101" sId="4"/>
    <undo index="2" exp="area" ref3D="1" dr="$D$60:$D$302" r="J101" sId="4"/>
    <undo index="0" exp="area" ref3D="1" dr="$AK$60:$AK$302" r="J101" sId="4"/>
    <undo index="15" exp="area" ref3D="1" dr="$C$60:$C$302" r="H101" sId="4"/>
    <undo index="13" exp="area" ref3D="1" dr="$AA$60:$AA$302" r="H101" sId="4"/>
    <undo index="11" exp="area" ref3D="1" dr="$D$60:$D$302" r="H101" sId="4"/>
    <undo index="10" exp="area" ref3D="1" dr="$Z$60:$Z$302" r="H101" sId="4"/>
    <undo index="7" exp="area" ref3D="1" dr="$C$60:$C$302" r="H101" sId="4"/>
    <undo index="4" exp="area" ref3D="1" dr="$D$60:$D$302" r="H101" sId="4"/>
    <undo index="3" exp="area" ref3D="1" dr="$Z$60:$Z$302" r="H101" sId="4"/>
    <undo index="7" exp="area" ref3D="1" dr="$C$60:$C$302" r="G101" sId="4"/>
    <undo index="4" exp="area" ref3D="1" dr="$D$60:$D$302" r="G101" sId="4"/>
    <undo index="3" exp="area" ref3D="1" dr="$Y$60:$Y$302" r="G101" sId="4"/>
    <undo index="12" exp="area" ref3D="1" dr="$C$60:$C$302" r="F101" sId="4"/>
    <undo index="10" exp="area" ref3D="1" dr="$AA$60:$AA$302" r="F101" sId="4"/>
    <undo index="8" exp="area" ref3D="1" dr="$D$60:$D$302" r="F101" sId="4"/>
    <undo index="7" exp="area" ref3D="1" dr="$X$60:$X$302" r="F101" sId="4"/>
    <undo index="4" exp="area" ref3D="1" dr="$C$60:$C$302" r="F101" sId="4"/>
    <undo index="1" exp="area" ref3D="1" dr="$D$60:$D$302" r="F101" sId="4"/>
    <undo index="0" exp="area" ref3D="1" dr="$X$60:$X$302" r="F101" sId="4"/>
    <undo index="4" exp="area" ref3D="1" dr="$C$60:$C$302" r="E101" sId="4"/>
    <undo index="1" exp="area" ref3D="1" dr="$D$60:$D$302" r="E101" sId="4"/>
    <undo index="0" exp="area" ref3D="1" dr="$W$60:$W$302" r="E101" sId="4"/>
    <undo index="4" exp="area" ref3D="1" dr="$C$60:$C$302" r="K100" sId="4"/>
    <undo index="2" exp="area" ref3D="1" dr="$D$60:$D$302" r="K100" sId="4"/>
    <undo index="0" exp="area" ref3D="1" dr="$AK$60:$AK$302" r="K100" sId="4"/>
    <undo index="4" exp="area" ref3D="1" dr="$C$60:$C$302" r="J100" sId="4"/>
    <undo index="2" exp="area" ref3D="1" dr="$D$60:$D$302" r="J100" sId="4"/>
    <undo index="0" exp="area" ref3D="1" dr="$AK$60:$AK$302" r="J100" sId="4"/>
    <undo index="15" exp="area" ref3D="1" dr="$C$60:$C$302" r="H100" sId="4"/>
    <undo index="13" exp="area" ref3D="1" dr="$AA$60:$AA$302" r="H100" sId="4"/>
    <undo index="11" exp="area" ref3D="1" dr="$D$60:$D$302" r="H100" sId="4"/>
    <undo index="10" exp="area" ref3D="1" dr="$Z$60:$Z$302" r="H100" sId="4"/>
    <undo index="7" exp="area" ref3D="1" dr="$C$60:$C$302" r="H100" sId="4"/>
    <undo index="4" exp="area" ref3D="1" dr="$D$60:$D$302" r="H100" sId="4"/>
    <undo index="3" exp="area" ref3D="1" dr="$Z$60:$Z$302" r="H100" sId="4"/>
    <undo index="7" exp="area" ref3D="1" dr="$C$60:$C$302" r="G100" sId="4"/>
    <undo index="4" exp="area" ref3D="1" dr="$D$60:$D$302" r="G100" sId="4"/>
    <undo index="3" exp="area" ref3D="1" dr="$Y$60:$Y$302" r="G100" sId="4"/>
    <undo index="12" exp="area" ref3D="1" dr="$C$60:$C$302" r="F100" sId="4"/>
    <undo index="10" exp="area" ref3D="1" dr="$AA$60:$AA$302" r="F100" sId="4"/>
    <undo index="8" exp="area" ref3D="1" dr="$D$60:$D$302" r="F100" sId="4"/>
    <undo index="7" exp="area" ref3D="1" dr="$X$60:$X$302" r="F100" sId="4"/>
    <undo index="4" exp="area" ref3D="1" dr="$C$60:$C$302" r="F100" sId="4"/>
    <undo index="1" exp="area" ref3D="1" dr="$D$60:$D$302" r="F100" sId="4"/>
    <undo index="0" exp="area" ref3D="1" dr="$X$60:$X$302" r="F100" sId="4"/>
    <undo index="4" exp="area" ref3D="1" dr="$C$60:$C$302" r="E100" sId="4"/>
    <undo index="1" exp="area" ref3D="1" dr="$D$60:$D$302" r="E100" sId="4"/>
    <undo index="0" exp="area" ref3D="1" dr="$W$60:$W$302" r="E100" sId="4"/>
    <undo index="4" exp="area" ref3D="1" dr="$C$60:$C$302" r="K88" sId="4"/>
    <undo index="2" exp="area" ref3D="1" dr="$D$60:$D$302" r="K88" sId="4"/>
    <undo index="0" exp="area" ref3D="1" dr="$AK$60:$AK$302" r="K88" sId="4"/>
    <undo index="4" exp="area" ref3D="1" dr="$C$60:$C$302" r="J88" sId="4"/>
    <undo index="2" exp="area" ref3D="1" dr="$D$60:$D$302" r="J88" sId="4"/>
    <undo index="0" exp="area" ref3D="1" dr="$AK$60:$AK$302" r="J88" sId="4"/>
    <undo index="15" exp="area" ref3D="1" dr="$C$60:$C$302" r="H88" sId="4"/>
    <undo index="13" exp="area" ref3D="1" dr="$AA$60:$AA$302" r="H88" sId="4"/>
    <undo index="11" exp="area" ref3D="1" dr="$D$60:$D$302" r="H88" sId="4"/>
    <undo index="10" exp="area" ref3D="1" dr="$Z$60:$Z$302" r="H88" sId="4"/>
    <undo index="7" exp="area" ref3D="1" dr="$C$60:$C$302" r="H88" sId="4"/>
    <undo index="4" exp="area" ref3D="1" dr="$D$60:$D$302" r="H88" sId="4"/>
    <undo index="3" exp="area" ref3D="1" dr="$Z$60:$Z$302" r="H88" sId="4"/>
    <undo index="7" exp="area" ref3D="1" dr="$C$60:$C$302" r="G88" sId="4"/>
    <undo index="4" exp="area" ref3D="1" dr="$D$60:$D$302" r="G88" sId="4"/>
    <undo index="3" exp="area" ref3D="1" dr="$Y$60:$Y$302" r="G88" sId="4"/>
    <undo index="12" exp="area" ref3D="1" dr="$C$60:$C$302" r="F88" sId="4"/>
    <undo index="10" exp="area" ref3D="1" dr="$AA$60:$AA$302" r="F88" sId="4"/>
    <undo index="8" exp="area" ref3D="1" dr="$D$60:$D$302" r="F88" sId="4"/>
    <undo index="7" exp="area" ref3D="1" dr="$X$60:$X$302" r="F88" sId="4"/>
    <undo index="4" exp="area" ref3D="1" dr="$C$60:$C$302" r="F88" sId="4"/>
    <undo index="1" exp="area" ref3D="1" dr="$D$60:$D$302" r="F88" sId="4"/>
    <undo index="0" exp="area" ref3D="1" dr="$X$60:$X$302" r="F88" sId="4"/>
    <undo index="4" exp="area" ref3D="1" dr="$C$60:$C$302" r="E88" sId="4"/>
    <undo index="1" exp="area" ref3D="1" dr="$D$60:$D$302" r="E88" sId="4"/>
    <undo index="0" exp="area" ref3D="1" dr="$W$60:$W$302" r="E88" sId="4"/>
    <undo index="4" exp="area" ref3D="1" dr="$C$60:$C$302" r="K87" sId="4"/>
    <undo index="2" exp="area" ref3D="1" dr="$D$60:$D$302" r="K87" sId="4"/>
    <undo index="0" exp="area" ref3D="1" dr="$AK$60:$AK$302" r="K87" sId="4"/>
    <undo index="4" exp="area" ref3D="1" dr="$C$60:$C$302" r="J87" sId="4"/>
    <undo index="2" exp="area" ref3D="1" dr="$D$60:$D$302" r="J87" sId="4"/>
    <undo index="0" exp="area" ref3D="1" dr="$AK$60:$AK$302" r="J87" sId="4"/>
    <undo index="15" exp="area" ref3D="1" dr="$C$60:$C$302" r="H87" sId="4"/>
    <undo index="13" exp="area" ref3D="1" dr="$AA$60:$AA$302" r="H87" sId="4"/>
    <undo index="11" exp="area" ref3D="1" dr="$D$60:$D$302" r="H87" sId="4"/>
    <undo index="10" exp="area" ref3D="1" dr="$Z$60:$Z$302" r="H87" sId="4"/>
    <undo index="7" exp="area" ref3D="1" dr="$C$60:$C$302" r="H87" sId="4"/>
    <undo index="4" exp="area" ref3D="1" dr="$D$60:$D$302" r="H87" sId="4"/>
    <undo index="3" exp="area" ref3D="1" dr="$Z$60:$Z$302" r="H87" sId="4"/>
    <undo index="7" exp="area" ref3D="1" dr="$C$60:$C$302" r="G87" sId="4"/>
    <undo index="4" exp="area" ref3D="1" dr="$D$60:$D$302" r="G87" sId="4"/>
    <undo index="3" exp="area" ref3D="1" dr="$Y$60:$Y$302" r="G87" sId="4"/>
    <undo index="12" exp="area" ref3D="1" dr="$C$60:$C$302" r="F87" sId="4"/>
    <undo index="10" exp="area" ref3D="1" dr="$AA$60:$AA$302" r="F87" sId="4"/>
    <undo index="8" exp="area" ref3D="1" dr="$D$60:$D$302" r="F87" sId="4"/>
    <undo index="7" exp="area" ref3D="1" dr="$X$60:$X$302" r="F87" sId="4"/>
    <undo index="4" exp="area" ref3D="1" dr="$C$60:$C$302" r="F87" sId="4"/>
    <undo index="1" exp="area" ref3D="1" dr="$D$60:$D$302" r="F87" sId="4"/>
    <undo index="0" exp="area" ref3D="1" dr="$X$60:$X$302" r="F87" sId="4"/>
    <undo index="4" exp="area" ref3D="1" dr="$C$60:$C$302" r="E87" sId="4"/>
    <undo index="1" exp="area" ref3D="1" dr="$D$60:$D$302" r="E87" sId="4"/>
    <undo index="0" exp="area" ref3D="1" dr="$W$60:$W$302" r="E87" sId="4"/>
    <undo index="4" exp="area" ref3D="1" dr="$C$60:$C$302" r="K75" sId="4"/>
    <undo index="2" exp="area" ref3D="1" dr="$D$60:$D$302" r="K75" sId="4"/>
    <undo index="0" exp="area" ref3D="1" dr="$AK$60:$AK$302" r="K75" sId="4"/>
    <undo index="4" exp="area" ref3D="1" dr="$C$60:$C$302" r="J75" sId="4"/>
    <undo index="2" exp="area" ref3D="1" dr="$D$60:$D$302" r="J75" sId="4"/>
    <undo index="0" exp="area" ref3D="1" dr="$AK$60:$AK$302" r="J75" sId="4"/>
    <undo index="15" exp="area" ref3D="1" dr="$C$60:$C$302" r="H75" sId="4"/>
    <undo index="13" exp="area" ref3D="1" dr="$AA$60:$AA$302" r="H75" sId="4"/>
    <undo index="11" exp="area" ref3D="1" dr="$D$60:$D$302" r="H75" sId="4"/>
    <undo index="10" exp="area" ref3D="1" dr="$Z$60:$Z$302" r="H75" sId="4"/>
    <undo index="7" exp="area" ref3D="1" dr="$C$60:$C$302" r="H75" sId="4"/>
    <undo index="4" exp="area" ref3D="1" dr="$D$60:$D$302" r="H75" sId="4"/>
    <undo index="3" exp="area" ref3D="1" dr="$Z$60:$Z$302" r="H75" sId="4"/>
    <undo index="7" exp="area" ref3D="1" dr="$C$60:$C$302" r="G75" sId="4"/>
    <undo index="4" exp="area" ref3D="1" dr="$D$60:$D$302" r="G75" sId="4"/>
    <undo index="3" exp="area" ref3D="1" dr="$Y$60:$Y$302" r="G75" sId="4"/>
    <undo index="12" exp="area" ref3D="1" dr="$C$60:$C$302" r="F75" sId="4"/>
    <undo index="10" exp="area" ref3D="1" dr="$AA$60:$AA$302" r="F75" sId="4"/>
    <undo index="8" exp="area" ref3D="1" dr="$D$60:$D$302" r="F75" sId="4"/>
    <undo index="7" exp="area" ref3D="1" dr="$X$60:$X$302" r="F75" sId="4"/>
    <undo index="4" exp="area" ref3D="1" dr="$C$60:$C$302" r="F75" sId="4"/>
    <undo index="1" exp="area" ref3D="1" dr="$D$60:$D$302" r="F75" sId="4"/>
    <undo index="0" exp="area" ref3D="1" dr="$X$60:$X$302" r="F75" sId="4"/>
    <undo index="4" exp="area" ref3D="1" dr="$C$60:$C$302" r="E75" sId="4"/>
    <undo index="1" exp="area" ref3D="1" dr="$D$60:$D$302" r="E75" sId="4"/>
    <undo index="0" exp="area" ref3D="1" dr="$W$60:$W$302" r="E75" sId="4"/>
    <undo index="4" exp="area" ref3D="1" dr="$C$60:$C$302" r="K74" sId="4"/>
    <undo index="2" exp="area" ref3D="1" dr="$D$60:$D$302" r="K74" sId="4"/>
    <undo index="0" exp="area" ref3D="1" dr="$AK$60:$AK$302" r="K74" sId="4"/>
    <undo index="4" exp="area" ref3D="1" dr="$C$60:$C$302" r="J74" sId="4"/>
    <undo index="2" exp="area" ref3D="1" dr="$D$60:$D$302" r="J74" sId="4"/>
    <undo index="0" exp="area" ref3D="1" dr="$AK$60:$AK$302" r="J74" sId="4"/>
    <undo index="15" exp="area" ref3D="1" dr="$C$60:$C$302" r="H74" sId="4"/>
    <undo index="13" exp="area" ref3D="1" dr="$AA$60:$AA$302" r="H74" sId="4"/>
    <undo index="11" exp="area" ref3D="1" dr="$D$60:$D$302" r="H74" sId="4"/>
    <undo index="10" exp="area" ref3D="1" dr="$Z$60:$Z$302" r="H74" sId="4"/>
    <undo index="7" exp="area" ref3D="1" dr="$C$60:$C$302" r="H74" sId="4"/>
    <undo index="4" exp="area" ref3D="1" dr="$D$60:$D$302" r="H74" sId="4"/>
    <undo index="3" exp="area" ref3D="1" dr="$Z$60:$Z$302" r="H74" sId="4"/>
    <undo index="7" exp="area" ref3D="1" dr="$C$60:$C$302" r="G74" sId="4"/>
    <undo index="4" exp="area" ref3D="1" dr="$D$60:$D$302" r="G74" sId="4"/>
    <undo index="3" exp="area" ref3D="1" dr="$Y$60:$Y$302" r="G74" sId="4"/>
    <undo index="12" exp="area" ref3D="1" dr="$C$60:$C$302" r="F74" sId="4"/>
    <undo index="10" exp="area" ref3D="1" dr="$AA$60:$AA$302" r="F74" sId="4"/>
    <undo index="8" exp="area" ref3D="1" dr="$D$60:$D$302" r="F74" sId="4"/>
    <undo index="7" exp="area" ref3D="1" dr="$X$60:$X$302" r="F74" sId="4"/>
    <undo index="4" exp="area" ref3D="1" dr="$C$60:$C$302" r="F74" sId="4"/>
    <undo index="1" exp="area" ref3D="1" dr="$D$60:$D$302" r="F74" sId="4"/>
    <undo index="0" exp="area" ref3D="1" dr="$X$60:$X$302" r="F74" sId="4"/>
    <undo index="4" exp="area" ref3D="1" dr="$C$60:$C$302" r="E74" sId="4"/>
    <undo index="1" exp="area" ref3D="1" dr="$D$60:$D$302" r="E74" sId="4"/>
    <undo index="0" exp="area" ref3D="1" dr="$W$60:$W$302" r="E74" sId="4"/>
    <undo index="4" exp="area" ref3D="1" dr="$C$60:$C$302" r="K62" sId="4"/>
    <undo index="2" exp="area" ref3D="1" dr="$D$60:$D$302" r="K62" sId="4"/>
    <undo index="0" exp="area" ref3D="1" dr="$AK$60:$AK$302" r="K62" sId="4"/>
    <undo index="4" exp="area" ref3D="1" dr="$C$60:$C$302" r="J62" sId="4"/>
    <undo index="2" exp="area" ref3D="1" dr="$D$60:$D$302" r="J62" sId="4"/>
    <undo index="0" exp="area" ref3D="1" dr="$AK$60:$AK$302" r="J62" sId="4"/>
    <undo index="15" exp="area" ref3D="1" dr="$C$60:$C$302" r="H62" sId="4"/>
    <undo index="13" exp="area" ref3D="1" dr="$AA$60:$AA$302" r="H62" sId="4"/>
    <undo index="11" exp="area" ref3D="1" dr="$D$60:$D$302" r="H62" sId="4"/>
    <undo index="10" exp="area" ref3D="1" dr="$Z$60:$Z$302" r="H62" sId="4"/>
    <undo index="7" exp="area" ref3D="1" dr="$C$60:$C$302" r="H62" sId="4"/>
    <undo index="4" exp="area" ref3D="1" dr="$D$60:$D$302" r="H62" sId="4"/>
    <undo index="3" exp="area" ref3D="1" dr="$Z$60:$Z$302" r="H62" sId="4"/>
    <undo index="7" exp="area" ref3D="1" dr="$C$60:$C$302" r="G62" sId="4"/>
    <undo index="4" exp="area" ref3D="1" dr="$D$60:$D$302" r="G62" sId="4"/>
    <undo index="3" exp="area" ref3D="1" dr="$Y$60:$Y$302" r="G62" sId="4"/>
    <undo index="12" exp="area" ref3D="1" dr="$C$60:$C$302" r="F62" sId="4"/>
    <undo index="10" exp="area" ref3D="1" dr="$AA$60:$AA$302" r="F62" sId="4"/>
    <undo index="8" exp="area" ref3D="1" dr="$D$60:$D$302" r="F62" sId="4"/>
    <undo index="7" exp="area" ref3D="1" dr="$X$60:$X$302" r="F62" sId="4"/>
    <undo index="4" exp="area" ref3D="1" dr="$C$60:$C$302" r="F62" sId="4"/>
    <undo index="1" exp="area" ref3D="1" dr="$D$60:$D$302" r="F62" sId="4"/>
    <undo index="0" exp="area" ref3D="1" dr="$X$60:$X$302" r="F62" sId="4"/>
    <undo index="4" exp="area" ref3D="1" dr="$C$60:$C$302" r="E62" sId="4"/>
    <undo index="1" exp="area" ref3D="1" dr="$D$60:$D$302" r="E62" sId="4"/>
    <undo index="0" exp="area" ref3D="1" dr="$W$60:$W$302" r="E62" sId="4"/>
    <undo index="4" exp="area" ref3D="1" dr="$C$60:$C$302" r="K61" sId="4"/>
    <undo index="2" exp="area" ref3D="1" dr="$D$60:$D$302" r="K61" sId="4"/>
    <undo index="0" exp="area" ref3D="1" dr="$AK$60:$AK$302" r="K61" sId="4"/>
    <undo index="4" exp="area" ref3D="1" dr="$C$60:$C$302" r="J61" sId="4"/>
    <undo index="2" exp="area" ref3D="1" dr="$D$60:$D$302" r="J61" sId="4"/>
    <undo index="0" exp="area" ref3D="1" dr="$AK$60:$AK$302" r="J61" sId="4"/>
    <undo index="15" exp="area" ref3D="1" dr="$C$60:$C$302" r="H61" sId="4"/>
    <undo index="13" exp="area" ref3D="1" dr="$AA$60:$AA$302" r="H61" sId="4"/>
    <undo index="11" exp="area" ref3D="1" dr="$D$60:$D$302" r="H61" sId="4"/>
    <undo index="10" exp="area" ref3D="1" dr="$Z$60:$Z$302" r="H61" sId="4"/>
    <undo index="7" exp="area" ref3D="1" dr="$C$60:$C$302" r="H61" sId="4"/>
    <undo index="4" exp="area" ref3D="1" dr="$D$60:$D$302" r="H61" sId="4"/>
    <undo index="3" exp="area" ref3D="1" dr="$Z$60:$Z$302" r="H61" sId="4"/>
    <undo index="7" exp="area" ref3D="1" dr="$C$60:$C$302" r="G61" sId="4"/>
    <undo index="4" exp="area" ref3D="1" dr="$D$60:$D$302" r="G61" sId="4"/>
    <undo index="3" exp="area" ref3D="1" dr="$Y$60:$Y$302" r="G61" sId="4"/>
    <undo index="12" exp="area" ref3D="1" dr="$C$60:$C$302" r="F61" sId="4"/>
    <undo index="10" exp="area" ref3D="1" dr="$AA$60:$AA$302" r="F61" sId="4"/>
    <undo index="8" exp="area" ref3D="1" dr="$D$60:$D$302" r="F61" sId="4"/>
    <undo index="7" exp="area" ref3D="1" dr="$X$60:$X$302" r="F61" sId="4"/>
    <undo index="4" exp="area" ref3D="1" dr="$C$60:$C$302" r="F61" sId="4"/>
    <undo index="1" exp="area" ref3D="1" dr="$D$60:$D$302" r="F61" sId="4"/>
    <undo index="0" exp="area" ref3D="1" dr="$X$60:$X$302" r="F61" sId="4"/>
    <undo index="4" exp="area" ref3D="1" dr="$C$60:$C$302" r="E61" sId="4"/>
    <undo index="1" exp="area" ref3D="1" dr="$D$60:$D$302" r="E61" sId="4"/>
    <undo index="0" exp="area" ref3D="1" dr="$W$60:$W$302" r="E61" sId="4"/>
    <undo index="4" exp="area" ref3D="1" dr="$C$60:$C$302" r="K49" sId="4"/>
    <undo index="2" exp="area" ref3D="1" dr="$D$60:$D$302" r="K49" sId="4"/>
    <undo index="0" exp="area" ref3D="1" dr="$AK$60:$AK$302" r="K49" sId="4"/>
    <undo index="4" exp="area" ref3D="1" dr="$C$60:$C$302" r="J49" sId="4"/>
    <undo index="2" exp="area" ref3D="1" dr="$D$60:$D$302" r="J49" sId="4"/>
    <undo index="0" exp="area" ref3D="1" dr="$AK$60:$AK$302" r="J49" sId="4"/>
    <undo index="15" exp="area" ref3D="1" dr="$C$60:$C$302" r="H49" sId="4"/>
    <undo index="13" exp="area" ref3D="1" dr="$AA$60:$AA$302" r="H49" sId="4"/>
    <undo index="11" exp="area" ref3D="1" dr="$D$60:$D$302" r="H49" sId="4"/>
    <undo index="10" exp="area" ref3D="1" dr="$Z$60:$Z$302" r="H49" sId="4"/>
    <undo index="7" exp="area" ref3D="1" dr="$C$60:$C$302" r="H49" sId="4"/>
    <undo index="4" exp="area" ref3D="1" dr="$D$60:$D$302" r="H49" sId="4"/>
    <undo index="3" exp="area" ref3D="1" dr="$Z$60:$Z$302" r="H49" sId="4"/>
    <undo index="7" exp="area" ref3D="1" dr="$C$60:$C$302" r="G49" sId="4"/>
    <undo index="4" exp="area" ref3D="1" dr="$D$60:$D$302" r="G49" sId="4"/>
    <undo index="3" exp="area" ref3D="1" dr="$Y$60:$Y$302" r="G49" sId="4"/>
    <undo index="12" exp="area" ref3D="1" dr="$C$60:$C$302" r="F49" sId="4"/>
    <undo index="10" exp="area" ref3D="1" dr="$AA$60:$AA$302" r="F49" sId="4"/>
    <undo index="8" exp="area" ref3D="1" dr="$D$60:$D$302" r="F49" sId="4"/>
    <undo index="7" exp="area" ref3D="1" dr="$X$60:$X$302" r="F49" sId="4"/>
    <undo index="4" exp="area" ref3D="1" dr="$C$60:$C$302" r="F49" sId="4"/>
    <undo index="1" exp="area" ref3D="1" dr="$D$60:$D$302" r="F49" sId="4"/>
    <undo index="0" exp="area" ref3D="1" dr="$X$60:$X$302" r="F49" sId="4"/>
    <undo index="4" exp="area" ref3D="1" dr="$C$60:$C$302" r="E49" sId="4"/>
    <undo index="1" exp="area" ref3D="1" dr="$D$60:$D$302" r="E49" sId="4"/>
    <undo index="0" exp="area" ref3D="1" dr="$W$60:$W$302" r="E49" sId="4"/>
    <undo index="4" exp="area" ref3D="1" dr="$C$60:$C$302" r="K48" sId="4"/>
    <undo index="2" exp="area" ref3D="1" dr="$D$60:$D$302" r="K48" sId="4"/>
    <undo index="0" exp="area" ref3D="1" dr="$AK$60:$AK$302" r="K48" sId="4"/>
    <undo index="4" exp="area" ref3D="1" dr="$C$60:$C$302" r="J48" sId="4"/>
    <undo index="2" exp="area" ref3D="1" dr="$D$60:$D$302" r="J48" sId="4"/>
    <undo index="0" exp="area" ref3D="1" dr="$AK$60:$AK$302" r="J48" sId="4"/>
    <undo index="15" exp="area" ref3D="1" dr="$C$60:$C$302" r="H48" sId="4"/>
    <undo index="13" exp="area" ref3D="1" dr="$AA$60:$AA$302" r="H48" sId="4"/>
    <undo index="11" exp="area" ref3D="1" dr="$D$60:$D$302" r="H48" sId="4"/>
    <undo index="10" exp="area" ref3D="1" dr="$Z$60:$Z$302" r="H48" sId="4"/>
    <undo index="7" exp="area" ref3D="1" dr="$C$60:$C$302" r="H48" sId="4"/>
    <undo index="4" exp="area" ref3D="1" dr="$D$60:$D$302" r="H48" sId="4"/>
    <undo index="3" exp="area" ref3D="1" dr="$Z$60:$Z$302" r="H48" sId="4"/>
    <undo index="7" exp="area" ref3D="1" dr="$C$60:$C$302" r="G48" sId="4"/>
    <undo index="4" exp="area" ref3D="1" dr="$D$60:$D$302" r="G48" sId="4"/>
    <undo index="3" exp="area" ref3D="1" dr="$Y$60:$Y$302" r="G48" sId="4"/>
    <undo index="12" exp="area" ref3D="1" dr="$C$60:$C$302" r="F48" sId="4"/>
    <undo index="10" exp="area" ref3D="1" dr="$AA$60:$AA$302" r="F48" sId="4"/>
    <undo index="8" exp="area" ref3D="1" dr="$D$60:$D$302" r="F48" sId="4"/>
    <undo index="7" exp="area" ref3D="1" dr="$X$60:$X$302" r="F48" sId="4"/>
    <undo index="4" exp="area" ref3D="1" dr="$C$60:$C$302" r="F48" sId="4"/>
    <undo index="1" exp="area" ref3D="1" dr="$D$60:$D$302" r="F48" sId="4"/>
    <undo index="0" exp="area" ref3D="1" dr="$X$60:$X$302" r="F48" sId="4"/>
    <undo index="4" exp="area" ref3D="1" dr="$C$60:$C$302" r="E48" sId="4"/>
    <undo index="1" exp="area" ref3D="1" dr="$D$60:$D$302" r="E48" sId="4"/>
    <undo index="0" exp="area" ref3D="1" dr="$W$60:$W$302" r="E48" sId="4"/>
    <undo index="4" exp="area" ref3D="1" dr="$C$60:$C$302" r="K36" sId="4"/>
    <undo index="2" exp="area" ref3D="1" dr="$D$60:$D$302" r="K36" sId="4"/>
    <undo index="0" exp="area" ref3D="1" dr="$AK$60:$AK$302" r="K36" sId="4"/>
    <undo index="4" exp="area" ref3D="1" dr="$C$60:$C$302" r="J36" sId="4"/>
    <undo index="2" exp="area" ref3D="1" dr="$D$60:$D$302" r="J36" sId="4"/>
    <undo index="0" exp="area" ref3D="1" dr="$AK$60:$AK$302" r="J36" sId="4"/>
    <undo index="15" exp="area" ref3D="1" dr="$C$60:$C$302" r="H36" sId="4"/>
    <undo index="13" exp="area" ref3D="1" dr="$AA$60:$AA$302" r="H36" sId="4"/>
    <undo index="11" exp="area" ref3D="1" dr="$D$60:$D$302" r="H36" sId="4"/>
    <undo index="10" exp="area" ref3D="1" dr="$Z$60:$Z$302" r="H36" sId="4"/>
    <undo index="7" exp="area" ref3D="1" dr="$C$60:$C$302" r="H36" sId="4"/>
    <undo index="4" exp="area" ref3D="1" dr="$D$60:$D$302" r="H36" sId="4"/>
    <undo index="3" exp="area" ref3D="1" dr="$Z$60:$Z$302" r="H36" sId="4"/>
    <undo index="7" exp="area" ref3D="1" dr="$C$60:$C$302" r="G36" sId="4"/>
    <undo index="4" exp="area" ref3D="1" dr="$D$60:$D$302" r="G36" sId="4"/>
    <undo index="3" exp="area" ref3D="1" dr="$Y$60:$Y$302" r="G36" sId="4"/>
    <undo index="12" exp="area" ref3D="1" dr="$C$60:$C$302" r="F36" sId="4"/>
    <undo index="10" exp="area" ref3D="1" dr="$AA$60:$AA$302" r="F36" sId="4"/>
    <undo index="8" exp="area" ref3D="1" dr="$D$60:$D$302" r="F36" sId="4"/>
    <undo index="7" exp="area" ref3D="1" dr="$X$60:$X$302" r="F36" sId="4"/>
    <undo index="4" exp="area" ref3D="1" dr="$C$60:$C$302" r="F36" sId="4"/>
    <undo index="1" exp="area" ref3D="1" dr="$D$60:$D$302" r="F36" sId="4"/>
    <undo index="0" exp="area" ref3D="1" dr="$X$60:$X$302" r="F36" sId="4"/>
    <undo index="4" exp="area" ref3D="1" dr="$C$60:$C$302" r="E36" sId="4"/>
    <undo index="1" exp="area" ref3D="1" dr="$D$60:$D$302" r="E36" sId="4"/>
    <undo index="0" exp="area" ref3D="1" dr="$W$60:$W$302" r="E36" sId="4"/>
    <undo index="4" exp="area" ref3D="1" dr="$C$60:$C$302" r="K35" sId="4"/>
    <undo index="2" exp="area" ref3D="1" dr="$D$60:$D$302" r="K35" sId="4"/>
    <undo index="0" exp="area" ref3D="1" dr="$AK$60:$AK$302" r="K35" sId="4"/>
    <undo index="4" exp="area" ref3D="1" dr="$C$60:$C$302" r="J35" sId="4"/>
    <undo index="2" exp="area" ref3D="1" dr="$D$60:$D$302" r="J35" sId="4"/>
    <undo index="0" exp="area" ref3D="1" dr="$AK$60:$AK$302" r="J35" sId="4"/>
    <undo index="15" exp="area" ref3D="1" dr="$C$60:$C$302" r="H35" sId="4"/>
    <undo index="13" exp="area" ref3D="1" dr="$AA$60:$AA$302" r="H35" sId="4"/>
    <undo index="11" exp="area" ref3D="1" dr="$D$60:$D$302" r="H35" sId="4"/>
    <undo index="10" exp="area" ref3D="1" dr="$Z$60:$Z$302" r="H35" sId="4"/>
    <undo index="7" exp="area" ref3D="1" dr="$C$60:$C$302" r="H35" sId="4"/>
    <undo index="4" exp="area" ref3D="1" dr="$D$60:$D$302" r="H35" sId="4"/>
    <undo index="3" exp="area" ref3D="1" dr="$Z$60:$Z$302" r="H35" sId="4"/>
    <undo index="7" exp="area" ref3D="1" dr="$C$60:$C$302" r="G35" sId="4"/>
    <undo index="4" exp="area" ref3D="1" dr="$D$60:$D$302" r="G35" sId="4"/>
    <undo index="3" exp="area" ref3D="1" dr="$Y$60:$Y$302" r="G35" sId="4"/>
    <undo index="12" exp="area" ref3D="1" dr="$C$60:$C$302" r="F35" sId="4"/>
    <undo index="10" exp="area" ref3D="1" dr="$AA$60:$AA$302" r="F35" sId="4"/>
    <undo index="8" exp="area" ref3D="1" dr="$D$60:$D$302" r="F35" sId="4"/>
    <undo index="7" exp="area" ref3D="1" dr="$X$60:$X$302" r="F35" sId="4"/>
    <undo index="4" exp="area" ref3D="1" dr="$C$60:$C$302" r="F35" sId="4"/>
    <undo index="1" exp="area" ref3D="1" dr="$D$60:$D$302" r="F35" sId="4"/>
    <undo index="0" exp="area" ref3D="1" dr="$X$60:$X$302" r="F35" sId="4"/>
    <undo index="4" exp="area" ref3D="1" dr="$C$60:$C$302" r="E35" sId="4"/>
    <undo index="1" exp="area" ref3D="1" dr="$D$60:$D$302" r="E35" sId="4"/>
    <undo index="0" exp="area" ref3D="1" dr="$W$60:$W$302" r="E35" sId="4"/>
    <undo index="4" exp="area" ref3D="1" dr="$C$60:$C$302" r="K23" sId="4"/>
    <undo index="2" exp="area" ref3D="1" dr="$D$60:$D$302" r="K23" sId="4"/>
    <undo index="0" exp="area" ref3D="1" dr="$AK$60:$AK$302" r="K23" sId="4"/>
    <undo index="4" exp="area" ref3D="1" dr="$C$60:$C$302" r="J23" sId="4"/>
    <undo index="2" exp="area" ref3D="1" dr="$D$60:$D$302" r="J23" sId="4"/>
    <undo index="0" exp="area" ref3D="1" dr="$AK$60:$AK$302" r="J23" sId="4"/>
    <undo index="15" exp="area" ref3D="1" dr="$C$60:$C$302" r="H23" sId="4"/>
    <undo index="13" exp="area" ref3D="1" dr="$AA$60:$AA$302" r="H23" sId="4"/>
    <undo index="11" exp="area" ref3D="1" dr="$D$60:$D$302" r="H23" sId="4"/>
    <undo index="10" exp="area" ref3D="1" dr="$Z$60:$Z$302" r="H23" sId="4"/>
    <undo index="7" exp="area" ref3D="1" dr="$C$60:$C$302" r="H23" sId="4"/>
    <undo index="4" exp="area" ref3D="1" dr="$D$60:$D$302" r="H23" sId="4"/>
    <undo index="3" exp="area" ref3D="1" dr="$Z$60:$Z$302" r="H23" sId="4"/>
    <undo index="7" exp="area" ref3D="1" dr="$C$60:$C$302" r="G23" sId="4"/>
    <undo index="4" exp="area" ref3D="1" dr="$D$60:$D$302" r="G23" sId="4"/>
    <undo index="3" exp="area" ref3D="1" dr="$Y$60:$Y$302" r="G23" sId="4"/>
    <undo index="12" exp="area" ref3D="1" dr="$C$60:$C$302" r="F23" sId="4"/>
    <undo index="10" exp="area" ref3D="1" dr="$AA$60:$AA$302" r="F23" sId="4"/>
    <undo index="8" exp="area" ref3D="1" dr="$D$60:$D$302" r="F23" sId="4"/>
    <undo index="7" exp="area" ref3D="1" dr="$X$60:$X$302" r="F23" sId="4"/>
    <undo index="4" exp="area" ref3D="1" dr="$C$60:$C$302" r="F23" sId="4"/>
    <undo index="1" exp="area" ref3D="1" dr="$D$60:$D$302" r="F23" sId="4"/>
    <undo index="0" exp="area" ref3D="1" dr="$X$60:$X$302" r="F23" sId="4"/>
    <undo index="4" exp="area" ref3D="1" dr="$C$60:$C$302" r="E23" sId="4"/>
    <undo index="1" exp="area" ref3D="1" dr="$D$60:$D$302" r="E23" sId="4"/>
    <undo index="0" exp="area" ref3D="1" dr="$W$60:$W$302" r="E23" sId="4"/>
    <undo index="4" exp="area" ref3D="1" dr="$C$60:$C$302" r="K22" sId="4"/>
    <undo index="2" exp="area" ref3D="1" dr="$D$60:$D$302" r="K22" sId="4"/>
    <undo index="0" exp="area" ref3D="1" dr="$AK$60:$AK$302" r="K22" sId="4"/>
    <undo index="4" exp="area" ref3D="1" dr="$C$60:$C$302" r="J22" sId="4"/>
    <undo index="2" exp="area" ref3D="1" dr="$D$60:$D$302" r="J22" sId="4"/>
    <undo index="0" exp="area" ref3D="1" dr="$AK$60:$AK$302" r="J22" sId="4"/>
    <undo index="15" exp="area" ref3D="1" dr="$C$60:$C$302" r="H22" sId="4"/>
    <undo index="13" exp="area" ref3D="1" dr="$AA$60:$AA$302" r="H22" sId="4"/>
    <undo index="11" exp="area" ref3D="1" dr="$D$60:$D$302" r="H22" sId="4"/>
    <undo index="10" exp="area" ref3D="1" dr="$Z$60:$Z$302" r="H22" sId="4"/>
    <undo index="7" exp="area" ref3D="1" dr="$C$60:$C$302" r="H22" sId="4"/>
    <undo index="4" exp="area" ref3D="1" dr="$D$60:$D$302" r="H22" sId="4"/>
    <undo index="3" exp="area" ref3D="1" dr="$Z$60:$Z$302" r="H22" sId="4"/>
    <undo index="7" exp="area" ref3D="1" dr="$C$60:$C$302" r="G22" sId="4"/>
    <undo index="4" exp="area" ref3D="1" dr="$D$60:$D$302" r="G22" sId="4"/>
    <undo index="3" exp="area" ref3D="1" dr="$Y$60:$Y$302" r="G22" sId="4"/>
    <undo index="12" exp="area" ref3D="1" dr="$C$60:$C$302" r="F22" sId="4"/>
    <undo index="10" exp="area" ref3D="1" dr="$AA$60:$AA$302" r="F22" sId="4"/>
    <undo index="8" exp="area" ref3D="1" dr="$D$60:$D$302" r="F22" sId="4"/>
    <undo index="7" exp="area" ref3D="1" dr="$X$60:$X$302" r="F22" sId="4"/>
    <undo index="4" exp="area" ref3D="1" dr="$C$60:$C$302" r="F22" sId="4"/>
    <undo index="1" exp="area" ref3D="1" dr="$D$60:$D$302" r="F22" sId="4"/>
    <undo index="0" exp="area" ref3D="1" dr="$X$60:$X$302" r="F22" sId="4"/>
    <undo index="4" exp="area" ref3D="1" dr="$C$60:$C$302" r="E22" sId="4"/>
    <undo index="1" exp="area" ref3D="1" dr="$D$60:$D$302" r="E22" sId="4"/>
    <undo index="0" exp="area" ref3D="1" dr="$W$60:$W$302" r="E22" sId="4"/>
    <undo index="4" exp="area" ref3D="1" dr="$C$60:$C$302" r="K10" sId="4"/>
    <undo index="2" exp="area" ref3D="1" dr="$D$60:$D$302" r="K10" sId="4"/>
    <undo index="0" exp="area" ref3D="1" dr="$AK$60:$AK$302" r="K10" sId="4"/>
    <undo index="4" exp="area" ref3D="1" dr="$C$60:$C$302" r="J10" sId="4"/>
    <undo index="2" exp="area" ref3D="1" dr="$D$60:$D$302" r="J10" sId="4"/>
    <undo index="0" exp="area" ref3D="1" dr="$AK$60:$AK$302" r="J10" sId="4"/>
    <undo index="15" exp="area" ref3D="1" dr="$C$60:$C$302" r="H10" sId="4"/>
    <undo index="13" exp="area" ref3D="1" dr="$AA$60:$AA$302" r="H10" sId="4"/>
    <undo index="11" exp="area" ref3D="1" dr="$D$60:$D$302" r="H10" sId="4"/>
    <undo index="10" exp="area" ref3D="1" dr="$Z$60:$Z$302" r="H10" sId="4"/>
    <undo index="7" exp="area" ref3D="1" dr="$C$60:$C$302" r="H10" sId="4"/>
    <undo index="4" exp="area" ref3D="1" dr="$D$60:$D$302" r="H10" sId="4"/>
    <undo index="3" exp="area" ref3D="1" dr="$Z$60:$Z$302" r="H10" sId="4"/>
    <undo index="7" exp="area" ref3D="1" dr="$C$60:$C$302" r="G10" sId="4"/>
    <undo index="4" exp="area" ref3D="1" dr="$D$60:$D$302" r="G10" sId="4"/>
    <undo index="3" exp="area" ref3D="1" dr="$Y$60:$Y$302" r="G10" sId="4"/>
    <undo index="12" exp="area" ref3D="1" dr="$C$60:$C$302" r="F10" sId="4"/>
    <undo index="10" exp="area" ref3D="1" dr="$AA$60:$AA$302" r="F10" sId="4"/>
    <undo index="8" exp="area" ref3D="1" dr="$D$60:$D$302" r="F10" sId="4"/>
    <undo index="7" exp="area" ref3D="1" dr="$X$60:$X$302" r="F10" sId="4"/>
    <undo index="4" exp="area" ref3D="1" dr="$C$60:$C$302" r="F10" sId="4"/>
    <undo index="1" exp="area" ref3D="1" dr="$D$60:$D$302" r="F10" sId="4"/>
    <undo index="0" exp="area" ref3D="1" dr="$X$60:$X$302" r="F10" sId="4"/>
    <undo index="4" exp="area" ref3D="1" dr="$C$60:$C$302" r="E10" sId="4"/>
    <undo index="1" exp="area" ref3D="1" dr="$D$60:$D$302" r="E10" sId="4"/>
    <undo index="0" exp="area" ref3D="1" dr="$W$60:$W$302" r="E10" sId="4"/>
    <undo index="4" exp="area" ref3D="1" dr="$C$60:$C$302" r="K9" sId="4"/>
    <undo index="2" exp="area" ref3D="1" dr="$D$60:$D$302" r="K9" sId="4"/>
    <undo index="0" exp="area" ref3D="1" dr="$AK$60:$AK$302" r="K9" sId="4"/>
    <undo index="4" exp="area" ref3D="1" dr="$C$60:$C$302" r="J9" sId="4"/>
    <undo index="2" exp="area" ref3D="1" dr="$D$60:$D$302" r="J9" sId="4"/>
    <undo index="0" exp="area" ref3D="1" dr="$AK$60:$AK$302" r="J9" sId="4"/>
    <undo index="15" exp="area" ref3D="1" dr="$C$60:$C$302" r="H9" sId="4"/>
    <undo index="13" exp="area" ref3D="1" dr="$AA$60:$AA$302" r="H9" sId="4"/>
    <undo index="11" exp="area" ref3D="1" dr="$D$60:$D$302" r="H9" sId="4"/>
    <undo index="10" exp="area" ref3D="1" dr="$Z$60:$Z$302" r="H9" sId="4"/>
    <undo index="7" exp="area" ref3D="1" dr="$C$60:$C$302" r="H9" sId="4"/>
    <undo index="4" exp="area" ref3D="1" dr="$D$60:$D$302" r="H9" sId="4"/>
    <undo index="3" exp="area" ref3D="1" dr="$Z$60:$Z$302" r="H9" sId="4"/>
    <undo index="7" exp="area" ref3D="1" dr="$C$60:$C$302" r="G9" sId="4"/>
    <undo index="4" exp="area" ref3D="1" dr="$D$60:$D$302" r="G9" sId="4"/>
    <undo index="3" exp="area" ref3D="1" dr="$Y$60:$Y$302" r="G9" sId="4"/>
    <undo index="12" exp="area" ref3D="1" dr="$C$60:$C$302" r="F9" sId="4"/>
    <undo index="10" exp="area" ref3D="1" dr="$AA$60:$AA$302" r="F9" sId="4"/>
    <undo index="8" exp="area" ref3D="1" dr="$D$60:$D$302" r="F9" sId="4"/>
    <undo index="7" exp="area" ref3D="1" dr="$X$60:$X$302" r="F9" sId="4"/>
    <undo index="4" exp="area" ref3D="1" dr="$C$60:$C$302" r="F9" sId="4"/>
    <undo index="1" exp="area" ref3D="1" dr="$D$60:$D$302" r="F9" sId="4"/>
    <undo index="0" exp="area" ref3D="1" dr="$X$60:$X$302" r="F9" sId="4"/>
    <undo index="4" exp="area" ref3D="1" dr="$C$60:$C$302" r="E9" sId="4"/>
    <undo index="1" exp="area" ref3D="1" dr="$D$60:$D$302" r="E9" sId="4"/>
    <undo index="0" exp="area" ref3D="1" dr="$W$60:$W$302" r="E9" sId="4"/>
    <undo index="2" exp="area" dr="$AK$60:$AK$302" r="M55" sId="1"/>
    <undo index="0" exp="area" dr="$S$60:$S$302" r="M55" sId="1"/>
    <undo index="2" exp="area" dr="$AK$60:$AK$302" r="L55" sId="1"/>
    <undo index="0" exp="area" dr="$S$60:$S$302" r="L55" sId="1"/>
    <undo index="2" exp="area" dr="$AK$60:$AK$302" r="M54" sId="1"/>
    <undo index="0" exp="area" dr="$S$60:$S$302" r="M54" sId="1"/>
    <undo index="2" exp="area" dr="$AK$60:$AK$302" r="L54" sId="1"/>
    <undo index="0" exp="area" dr="$S$60:$S$302" r="L54" sId="1"/>
    <undo index="2" exp="area" dr="$AK$60:$AK$302" r="M53" sId="1"/>
    <undo index="0" exp="area" dr="$S$60:$S$302" r="M53" sId="1"/>
    <undo index="2" exp="area" dr="$AK$60:$AK$302" r="L53" sId="1"/>
    <undo index="0" exp="area" dr="$S$60:$S$302" r="L53" sId="1"/>
    <undo index="2" exp="area" dr="$AK$60:$AK$302" r="M52" sId="1"/>
    <undo index="0" exp="area" dr="$S$60:$S$302" r="M52" sId="1"/>
    <undo index="2" exp="area" dr="$AK$60:$AK$302" r="L52" sId="1"/>
    <undo index="0" exp="area" dr="$S$60:$S$302" r="L52" sId="1"/>
    <undo index="2" exp="area" dr="$AK$60:$AK$302" r="M51" sId="1"/>
    <undo index="0" exp="area" dr="$S$60:$S$302" r="M51" sId="1"/>
    <undo index="2" exp="area" dr="$AK$60:$AK$302" r="L51" sId="1"/>
    <undo index="0" exp="area" dr="$S$60:$S$302" r="L51" sId="1"/>
    <undo index="2" exp="area" dr="$AK$60:$AK$302" r="M50" sId="1"/>
    <undo index="0" exp="area" dr="$S$60:$S$302" r="M50" sId="1"/>
    <undo index="2" exp="area" dr="$AK$60:$AK$302" r="L50" sId="1"/>
    <undo index="0" exp="area" dr="$S$60:$S$302" r="L50" sId="1"/>
    <undo index="2" exp="area" dr="$AK$60:$AK$302" r="M49" sId="1"/>
    <undo index="0" exp="area" dr="$S$60:$S$302" r="M49" sId="1"/>
    <undo index="2" exp="area" dr="$AK$60:$AK$302" r="L49" sId="1"/>
    <undo index="0" exp="area" dr="$S$60:$S$302" r="L49" sId="1"/>
    <undo index="2" exp="area" dr="$AK$60:$AK$302" r="M48" sId="1"/>
    <undo index="0" exp="area" dr="$S$60:$S$302" r="M48" sId="1"/>
    <undo index="2" exp="area" dr="$AK$60:$AK$302" r="L48" sId="1"/>
    <undo index="0" exp="area" dr="$S$60:$S$302" r="L48" sId="1"/>
    <undo index="2" exp="area" dr="$AK$60:$AK$302" r="M47" sId="1"/>
    <undo index="0" exp="area" dr="$S$60:$S$302" r="M47" sId="1"/>
    <undo index="2" exp="area" dr="$AK$60:$AK$302" r="L47" sId="1"/>
    <undo index="0" exp="area" dr="$S$60:$S$302" r="L47" sId="1"/>
    <undo index="2" exp="area" dr="$AK$60:$AK$302" r="M46" sId="1"/>
    <undo index="0" exp="area" dr="$S$60:$S$302" r="M46" sId="1"/>
    <undo index="2" exp="area" dr="$AK$60:$AK$302" r="L46" sId="1"/>
    <undo index="0" exp="area" dr="$S$60:$S$302" r="L46" sId="1"/>
    <undo index="2" exp="area" dr="$AK$60:$AK$302" r="M45" sId="1"/>
    <undo index="0" exp="area" dr="$S$60:$S$302" r="M45" sId="1"/>
    <undo index="2" exp="area" dr="$AK$60:$AK$302" r="L45" sId="1"/>
    <undo index="0" exp="area" dr="$S$60:$S$302" r="L45" sId="1"/>
    <undo index="2" exp="area" dr="$AK$60:$AK$302" r="M44" sId="1"/>
    <undo index="0" exp="area" dr="$S$60:$S$302" r="M44" sId="1"/>
    <undo index="2" exp="area" dr="$AK$60:$AK$302" r="L44" sId="1"/>
    <undo index="0" exp="area" dr="$S$60:$S$302" r="L44" sId="1"/>
    <undo index="2" exp="area" dr="$AK$60:$AK$302" r="M43" sId="1"/>
    <undo index="0" exp="area" dr="$S$60:$S$302" r="M43" sId="1"/>
    <undo index="2" exp="area" dr="$AK$60:$AK$302" r="L43" sId="1"/>
    <undo index="0" exp="area" dr="$S$60:$S$302" r="L43" sId="1"/>
    <undo index="2" exp="area" dr="$AK$60:$AK$302" r="M42" sId="1"/>
    <undo index="0" exp="area" dr="$S$60:$S$302" r="M42" sId="1"/>
    <undo index="2" exp="area" dr="$AK$60:$AK$302" r="L42" sId="1"/>
    <undo index="0" exp="area" dr="$S$60:$S$302" r="L42" sId="1"/>
    <undo index="10" exp="area" dr="$AA$60:$AA$302" r="F37" sId="1"/>
    <undo index="8" exp="area" dr="$D$60:$D$302" r="F37" sId="1"/>
    <undo index="7" exp="area" dr="$Z$60:$Z$302" r="F37" sId="1"/>
    <undo index="4" exp="area" dr="$D$60:$D$302" r="F37" sId="1"/>
    <undo index="3" exp="area" dr="$Z$60:$Z$302" r="F37" sId="1"/>
    <undo index="7" exp="area" dr="$AA$60:$AA$302" r="E37" sId="1"/>
    <undo index="5" exp="area" dr="$D$60:$D$302" r="E37" sId="1"/>
    <undo index="4" exp="area" dr="$W$60:$W$302" r="E37" sId="1"/>
    <undo index="1" exp="area" dr="$D$60:$D$302" r="E37" sId="1"/>
    <undo index="0" exp="area" dr="$W$60:$W$302" r="E37" sId="1"/>
    <undo index="1" exp="area" dr="$D$60:$D$302" r="D37" sId="1"/>
    <undo index="0" exp="area" dr="$W$60:$W$302" r="D37" sId="1"/>
    <undo index="14" exp="area" dr="$AA$60:$AA$302" r="F36" sId="1"/>
    <undo index="12" exp="area" dr="$S$60:$S$302" r="F36" sId="1"/>
    <undo index="10" exp="area" dr="$D$60:$D$302" r="F36" sId="1"/>
    <undo index="9" exp="area" dr="$Z$60:$Z$302" r="F36" sId="1"/>
    <undo index="6" exp="area" dr="$S$60:$S$302" r="F36" sId="1"/>
    <undo index="4" exp="area" dr="$D$60:$D$302" r="F36" sId="1"/>
    <undo index="3" exp="area" dr="$Z$60:$Z$302" r="F36" sId="1"/>
    <undo index="11" exp="area" dr="$AA$60:$AA$302" r="E36" sId="1"/>
    <undo index="9" exp="area" dr="$S$60:$S$302" r="E36" sId="1"/>
    <undo index="7" exp="area" dr="$D$60:$D$302" r="E36" sId="1"/>
    <undo index="6" exp="area" dr="$X$60:$X$302" r="E36" sId="1"/>
    <undo index="3" exp="area" dr="$S$60:$S$302" r="E36" sId="1"/>
    <undo index="1" exp="area" dr="$D$60:$D$302" r="E36" sId="1"/>
    <undo index="0" exp="area" dr="$X$60:$X$302" r="E36" sId="1"/>
    <undo index="3" exp="area" dr="$S$60:$S$302" r="D36" sId="1"/>
    <undo index="1" exp="area" dr="$D$60:$D$302" r="D36" sId="1"/>
    <undo index="0" exp="area" dr="$W$60:$W$302" r="D36" sId="1"/>
    <undo index="14" exp="area" dr="$AA$60:$AA$302" r="F35" sId="1"/>
    <undo index="12" exp="area" dr="$S$60:$S$302" r="F35" sId="1"/>
    <undo index="10" exp="area" dr="$D$60:$D$302" r="F35" sId="1"/>
    <undo index="9" exp="area" dr="$Z$60:$Z$302" r="F35" sId="1"/>
    <undo index="6" exp="area" dr="$S$60:$S$302" r="F35" sId="1"/>
    <undo index="4" exp="area" dr="$D$60:$D$302" r="F35" sId="1"/>
    <undo index="3" exp="area" dr="$Z$60:$Z$302" r="F35" sId="1"/>
    <undo index="11" exp="area" dr="$AA$60:$AA$302" r="E35" sId="1"/>
    <undo index="9" exp="area" dr="$S$60:$S$302" r="E35" sId="1"/>
    <undo index="7" exp="area" dr="$D$60:$D$302" r="E35" sId="1"/>
    <undo index="6" exp="area" dr="$X$60:$X$302" r="E35" sId="1"/>
    <undo index="3" exp="area" dr="$S$60:$S$302" r="E35" sId="1"/>
    <undo index="1" exp="area" dr="$D$60:$D$302" r="E35" sId="1"/>
    <undo index="0" exp="area" dr="$X$60:$X$302" r="E35" sId="1"/>
    <undo index="3" exp="area" dr="$S$60:$S$302" r="D35" sId="1"/>
    <undo index="1" exp="area" dr="$D$60:$D$302" r="D35" sId="1"/>
    <undo index="0" exp="area" dr="$W$60:$W$302" r="D35" sId="1"/>
    <undo index="14" exp="area" dr="$AA$60:$AA$302" r="F34" sId="1"/>
    <undo index="12" exp="area" dr="$S$60:$S$302" r="F34" sId="1"/>
    <undo index="10" exp="area" dr="$D$60:$D$302" r="F34" sId="1"/>
    <undo index="9" exp="area" dr="$Z$60:$Z$302" r="F34" sId="1"/>
    <undo index="6" exp="area" dr="$S$60:$S$302" r="F34" sId="1"/>
    <undo index="4" exp="area" dr="$D$60:$D$302" r="F34" sId="1"/>
    <undo index="3" exp="area" dr="$Z$60:$Z$302" r="F34" sId="1"/>
    <undo index="11" exp="area" dr="$AA$60:$AA$302" r="E34" sId="1"/>
    <undo index="9" exp="area" dr="$S$60:$S$302" r="E34" sId="1"/>
    <undo index="7" exp="area" dr="$D$60:$D$302" r="E34" sId="1"/>
    <undo index="6" exp="area" dr="$X$60:$X$302" r="E34" sId="1"/>
    <undo index="3" exp="area" dr="$S$60:$S$302" r="E34" sId="1"/>
    <undo index="1" exp="area" dr="$D$60:$D$302" r="E34" sId="1"/>
    <undo index="0" exp="area" dr="$X$60:$X$302" r="E34" sId="1"/>
    <undo index="3" exp="area" dr="$S$60:$S$302" r="D34" sId="1"/>
    <undo index="1" exp="area" dr="$D$60:$D$302" r="D34" sId="1"/>
    <undo index="0" exp="area" dr="$W$60:$W$302" r="D34" sId="1"/>
    <undo index="14" exp="area" dr="$AA$60:$AA$302" r="F33" sId="1"/>
    <undo index="12" exp="area" dr="$S$60:$S$302" r="F33" sId="1"/>
    <undo index="10" exp="area" dr="$D$60:$D$302" r="F33" sId="1"/>
    <undo index="9" exp="area" dr="$Z$60:$Z$302" r="F33" sId="1"/>
    <undo index="6" exp="area" dr="$S$60:$S$302" r="F33" sId="1"/>
    <undo index="4" exp="area" dr="$D$60:$D$302" r="F33" sId="1"/>
    <undo index="3" exp="area" dr="$Z$60:$Z$302" r="F33" sId="1"/>
    <undo index="11" exp="area" dr="$AA$60:$AA$302" r="E33" sId="1"/>
    <undo index="9" exp="area" dr="$S$60:$S$302" r="E33" sId="1"/>
    <undo index="7" exp="area" dr="$D$60:$D$302" r="E33" sId="1"/>
    <undo index="6" exp="area" dr="$X$60:$X$302" r="E33" sId="1"/>
    <undo index="3" exp="area" dr="$S$60:$S$302" r="E33" sId="1"/>
    <undo index="1" exp="area" dr="$D$60:$D$302" r="E33" sId="1"/>
    <undo index="0" exp="area" dr="$X$60:$X$302" r="E33" sId="1"/>
    <undo index="3" exp="area" dr="$S$60:$S$302" r="D33" sId="1"/>
    <undo index="1" exp="area" dr="$D$60:$D$302" r="D33" sId="1"/>
    <undo index="0" exp="area" dr="$W$60:$W$302" r="D33" sId="1"/>
    <undo index="14" exp="area" dr="$AA$60:$AA$302" r="F32" sId="1"/>
    <undo index="12" exp="area" dr="$S$60:$S$302" r="F32" sId="1"/>
    <undo index="10" exp="area" dr="$D$60:$D$302" r="F32" sId="1"/>
    <undo index="9" exp="area" dr="$Z$60:$Z$302" r="F32" sId="1"/>
    <undo index="6" exp="area" dr="$S$60:$S$302" r="F32" sId="1"/>
    <undo index="4" exp="area" dr="$D$60:$D$302" r="F32" sId="1"/>
    <undo index="3" exp="area" dr="$Z$60:$Z$302" r="F32" sId="1"/>
    <undo index="11" exp="area" dr="$AA$60:$AA$302" r="E32" sId="1"/>
    <undo index="9" exp="area" dr="$S$60:$S$302" r="E32" sId="1"/>
    <undo index="7" exp="area" dr="$D$60:$D$302" r="E32" sId="1"/>
    <undo index="6" exp="area" dr="$X$60:$X$302" r="E32" sId="1"/>
    <undo index="3" exp="area" dr="$S$60:$S$302" r="E32" sId="1"/>
    <undo index="1" exp="area" dr="$D$60:$D$302" r="E32" sId="1"/>
    <undo index="0" exp="area" dr="$X$60:$X$302" r="E32" sId="1"/>
    <undo index="3" exp="area" dr="$S$60:$S$302" r="D32" sId="1"/>
    <undo index="1" exp="area" dr="$D$60:$D$302" r="D32" sId="1"/>
    <undo index="0" exp="area" dr="$W$60:$W$302" r="D32" sId="1"/>
    <undo index="14" exp="area" dr="$AA$60:$AA$302" r="F31" sId="1"/>
    <undo index="12" exp="area" dr="$S$60:$S$302" r="F31" sId="1"/>
    <undo index="10" exp="area" dr="$D$60:$D$302" r="F31" sId="1"/>
    <undo index="9" exp="area" dr="$Z$60:$Z$302" r="F31" sId="1"/>
    <undo index="6" exp="area" dr="$S$60:$S$302" r="F31" sId="1"/>
    <undo index="4" exp="area" dr="$D$60:$D$302" r="F31" sId="1"/>
    <undo index="3" exp="area" dr="$Z$60:$Z$302" r="F31" sId="1"/>
    <undo index="11" exp="area" dr="$AA$60:$AA$302" r="E31" sId="1"/>
    <undo index="9" exp="area" dr="$S$60:$S$302" r="E31" sId="1"/>
    <undo index="7" exp="area" dr="$D$60:$D$302" r="E31" sId="1"/>
    <undo index="6" exp="area" dr="$X$60:$X$302" r="E31" sId="1"/>
    <undo index="3" exp="area" dr="$S$60:$S$302" r="E31" sId="1"/>
    <undo index="1" exp="area" dr="$D$60:$D$302" r="E31" sId="1"/>
    <undo index="0" exp="area" dr="$X$60:$X$302" r="E31" sId="1"/>
    <undo index="3" exp="area" dr="$S$60:$S$302" r="D31" sId="1"/>
    <undo index="1" exp="area" dr="$D$60:$D$302" r="D31" sId="1"/>
    <undo index="0" exp="area" dr="$W$60:$W$302" r="D31" sId="1"/>
    <undo index="14" exp="area" dr="$AA$60:$AA$302" r="F30" sId="1"/>
    <undo index="12" exp="area" dr="$S$60:$S$302" r="F30" sId="1"/>
    <undo index="10" exp="area" dr="$D$60:$D$302" r="F30" sId="1"/>
    <undo index="9" exp="area" dr="$Z$60:$Z$302" r="F30" sId="1"/>
    <undo index="6" exp="area" dr="$S$60:$S$302" r="F30" sId="1"/>
    <undo index="4" exp="area" dr="$D$60:$D$302" r="F30" sId="1"/>
    <undo index="3" exp="area" dr="$Z$60:$Z$302" r="F30" sId="1"/>
    <undo index="11" exp="area" dr="$AA$60:$AA$302" r="E30" sId="1"/>
    <undo index="9" exp="area" dr="$S$60:$S$302" r="E30" sId="1"/>
    <undo index="7" exp="area" dr="$D$60:$D$302" r="E30" sId="1"/>
    <undo index="6" exp="area" dr="$X$60:$X$302" r="E30" sId="1"/>
    <undo index="3" exp="area" dr="$S$60:$S$302" r="E30" sId="1"/>
    <undo index="1" exp="area" dr="$D$60:$D$302" r="E30" sId="1"/>
    <undo index="0" exp="area" dr="$X$60:$X$302" r="E30" sId="1"/>
    <undo index="3" exp="area" dr="$S$60:$S$302" r="D30" sId="1"/>
    <undo index="1" exp="area" dr="$D$60:$D$302" r="D30" sId="1"/>
    <undo index="0" exp="area" dr="$W$60:$W$302" r="D30" sId="1"/>
    <undo index="14" exp="area" dr="$AA$60:$AA$302" r="F29" sId="1"/>
    <undo index="12" exp="area" dr="$S$60:$S$302" r="F29" sId="1"/>
    <undo index="10" exp="area" dr="$D$60:$D$302" r="F29" sId="1"/>
    <undo index="9" exp="area" dr="$Z$60:$Z$302" r="F29" sId="1"/>
    <undo index="6" exp="area" dr="$S$60:$S$302" r="F29" sId="1"/>
    <undo index="4" exp="area" dr="$D$60:$D$302" r="F29" sId="1"/>
    <undo index="3" exp="area" dr="$Z$60:$Z$302" r="F29" sId="1"/>
    <undo index="11" exp="area" dr="$AA$60:$AA$302" r="E29" sId="1"/>
    <undo index="9" exp="area" dr="$S$60:$S$302" r="E29" sId="1"/>
    <undo index="7" exp="area" dr="$D$60:$D$302" r="E29" sId="1"/>
    <undo index="6" exp="area" dr="$X$60:$X$302" r="E29" sId="1"/>
    <undo index="3" exp="area" dr="$S$60:$S$302" r="E29" sId="1"/>
    <undo index="1" exp="area" dr="$D$60:$D$302" r="E29" sId="1"/>
    <undo index="0" exp="area" dr="$X$60:$X$302" r="E29" sId="1"/>
    <undo index="3" exp="area" dr="$S$60:$S$302" r="D29" sId="1"/>
    <undo index="1" exp="area" dr="$D$60:$D$302" r="D29" sId="1"/>
    <undo index="0" exp="area" dr="$W$60:$W$302" r="D29" sId="1"/>
    <undo index="14" exp="area" dr="$AA$60:$AA$302" r="F28" sId="1"/>
    <undo index="12" exp="area" dr="$S$60:$S$302" r="F28" sId="1"/>
    <undo index="10" exp="area" dr="$D$60:$D$302" r="F28" sId="1"/>
    <undo index="9" exp="area" dr="$Z$60:$Z$302" r="F28" sId="1"/>
    <undo index="6" exp="area" dr="$S$60:$S$302" r="F28" sId="1"/>
    <undo index="4" exp="area" dr="$D$60:$D$302" r="F28" sId="1"/>
    <undo index="3" exp="area" dr="$Z$60:$Z$302" r="F28" sId="1"/>
    <undo index="11" exp="area" dr="$AA$60:$AA$302" r="E28" sId="1"/>
    <undo index="9" exp="area" dr="$S$60:$S$302" r="E28" sId="1"/>
    <undo index="7" exp="area" dr="$D$60:$D$302" r="E28" sId="1"/>
    <undo index="6" exp="area" dr="$X$60:$X$302" r="E28" sId="1"/>
    <undo index="3" exp="area" dr="$S$60:$S$302" r="E28" sId="1"/>
    <undo index="1" exp="area" dr="$D$60:$D$302" r="E28" sId="1"/>
    <undo index="0" exp="area" dr="$X$60:$X$302" r="E28" sId="1"/>
    <undo index="3" exp="area" dr="$S$60:$S$302" r="D28" sId="1"/>
    <undo index="1" exp="area" dr="$D$60:$D$302" r="D28" sId="1"/>
    <undo index="0" exp="area" dr="$W$60:$W$302" r="D28" sId="1"/>
    <undo index="14" exp="area" dr="$AA$60:$AA$302" r="F27" sId="1"/>
    <undo index="12" exp="area" dr="$S$60:$S$302" r="F27" sId="1"/>
    <undo index="10" exp="area" dr="$D$60:$D$302" r="F27" sId="1"/>
    <undo index="9" exp="area" dr="$Z$60:$Z$302" r="F27" sId="1"/>
    <undo index="6" exp="area" dr="$S$60:$S$302" r="F27" sId="1"/>
    <undo index="4" exp="area" dr="$D$60:$D$302" r="F27" sId="1"/>
    <undo index="3" exp="area" dr="$Z$60:$Z$302" r="F27" sId="1"/>
    <undo index="11" exp="area" dr="$AA$60:$AA$302" r="E27" sId="1"/>
    <undo index="9" exp="area" dr="$S$60:$S$302" r="E27" sId="1"/>
    <undo index="7" exp="area" dr="$D$60:$D$302" r="E27" sId="1"/>
    <undo index="6" exp="area" dr="$X$60:$X$302" r="E27" sId="1"/>
    <undo index="3" exp="area" dr="$S$60:$S$302" r="E27" sId="1"/>
    <undo index="1" exp="area" dr="$D$60:$D$302" r="E27" sId="1"/>
    <undo index="0" exp="area" dr="$X$60:$X$302" r="E27" sId="1"/>
    <undo index="3" exp="area" dr="$S$60:$S$302" r="D27" sId="1"/>
    <undo index="1" exp="area" dr="$D$60:$D$302" r="D27" sId="1"/>
    <undo index="0" exp="area" dr="$W$60:$W$302" r="D27" sId="1"/>
    <undo index="14" exp="area" dr="$AA$60:$AA$302" r="F26" sId="1"/>
    <undo index="12" exp="area" dr="$S$60:$S$302" r="F26" sId="1"/>
    <undo index="10" exp="area" dr="$D$60:$D$302" r="F26" sId="1"/>
    <undo index="9" exp="area" dr="$Z$60:$Z$302" r="F26" sId="1"/>
    <undo index="6" exp="area" dr="$S$60:$S$302" r="F26" sId="1"/>
    <undo index="4" exp="area" dr="$D$60:$D$302" r="F26" sId="1"/>
    <undo index="3" exp="area" dr="$Z$60:$Z$302" r="F26" sId="1"/>
    <undo index="11" exp="area" dr="$AA$60:$AA$302" r="E26" sId="1"/>
    <undo index="9" exp="area" dr="$S$60:$S$302" r="E26" sId="1"/>
    <undo index="7" exp="area" dr="$D$60:$D$302" r="E26" sId="1"/>
    <undo index="6" exp="area" dr="$X$60:$X$302" r="E26" sId="1"/>
    <undo index="3" exp="area" dr="$S$60:$S$302" r="E26" sId="1"/>
    <undo index="1" exp="area" dr="$D$60:$D$302" r="E26" sId="1"/>
    <undo index="0" exp="area" dr="$X$60:$X$302" r="E26" sId="1"/>
    <undo index="3" exp="area" dr="$S$60:$S$302" r="D26" sId="1"/>
    <undo index="1" exp="area" dr="$D$60:$D$302" r="D26" sId="1"/>
    <undo index="0" exp="area" dr="$W$60:$W$302" r="D26" sId="1"/>
    <undo index="14" exp="area" dr="$AA$60:$AA$302" r="F25" sId="1"/>
    <undo index="12" exp="area" dr="$S$60:$S$302" r="F25" sId="1"/>
    <undo index="10" exp="area" dr="$D$60:$D$302" r="F25" sId="1"/>
    <undo index="9" exp="area" dr="$Z$60:$Z$302" r="F25" sId="1"/>
    <undo index="6" exp="area" dr="$S$60:$S$302" r="F25" sId="1"/>
    <undo index="4" exp="area" dr="$D$60:$D$302" r="F25" sId="1"/>
    <undo index="3" exp="area" dr="$Z$60:$Z$302" r="F25" sId="1"/>
    <undo index="11" exp="area" dr="$AA$60:$AA$302" r="E25" sId="1"/>
    <undo index="9" exp="area" dr="$S$60:$S$302" r="E25" sId="1"/>
    <undo index="7" exp="area" dr="$D$60:$D$302" r="E25" sId="1"/>
    <undo index="6" exp="area" dr="$X$60:$X$302" r="E25" sId="1"/>
    <undo index="3" exp="area" dr="$S$60:$S$302" r="E25" sId="1"/>
    <undo index="1" exp="area" dr="$D$60:$D$302" r="E25" sId="1"/>
    <undo index="0" exp="area" dr="$X$60:$X$302" r="E25" sId="1"/>
    <undo index="3" exp="area" dr="$S$60:$S$302" r="D25" sId="1"/>
    <undo index="1" exp="area" dr="$D$60:$D$302" r="D25" sId="1"/>
    <undo index="0" exp="area" dr="$W$60:$W$302" r="D25" sId="1"/>
    <undo index="14" exp="area" dr="$AA$60:$AA$302" r="F24" sId="1"/>
    <undo index="12" exp="area" dr="$S$60:$S$302" r="F24" sId="1"/>
    <undo index="10" exp="area" dr="$D$60:$D$302" r="F24" sId="1"/>
    <undo index="9" exp="area" dr="$Z$60:$Z$302" r="F24" sId="1"/>
    <undo index="6" exp="area" dr="$S$60:$S$302" r="F24" sId="1"/>
    <undo index="4" exp="area" dr="$D$60:$D$302" r="F24" sId="1"/>
    <undo index="3" exp="area" dr="$Z$60:$Z$302" r="F24" sId="1"/>
    <undo index="11" exp="area" dr="$AA$60:$AA$302" r="E24" sId="1"/>
    <undo index="9" exp="area" dr="$S$60:$S$302" r="E24" sId="1"/>
    <undo index="7" exp="area" dr="$D$60:$D$302" r="E24" sId="1"/>
    <undo index="6" exp="area" dr="$X$60:$X$302" r="E24" sId="1"/>
    <undo index="3" exp="area" dr="$S$60:$S$302" r="E24" sId="1"/>
    <undo index="1" exp="area" dr="$D$60:$D$302" r="E24" sId="1"/>
    <undo index="0" exp="area" dr="$X$60:$X$302" r="E24" sId="1"/>
    <undo index="3" exp="area" dr="$S$60:$S$302" r="D24" sId="1"/>
    <undo index="1" exp="area" dr="$D$60:$D$302" r="D24" sId="1"/>
    <undo index="0" exp="area" dr="$W$60:$W$302" r="D24" sId="1"/>
    <undo index="14" exp="area" dr="$AA$60:$AA$302" r="F23" sId="1"/>
    <undo index="12" exp="area" dr="$S$60:$S$302" r="F23" sId="1"/>
    <undo index="10" exp="area" dr="$D$60:$D$302" r="F23" sId="1"/>
    <undo index="9" exp="area" dr="$Z$60:$Z$302" r="F23" sId="1"/>
    <undo index="6" exp="area" dr="$S$60:$S$302" r="F23" sId="1"/>
    <undo index="4" exp="area" dr="$D$60:$D$302" r="F23" sId="1"/>
    <undo index="3" exp="area" dr="$Z$60:$Z$302" r="F23" sId="1"/>
    <undo index="11" exp="area" dr="$AA$60:$AA$302" r="E23" sId="1"/>
    <undo index="9" exp="area" dr="$S$60:$S$302" r="E23" sId="1"/>
    <undo index="7" exp="area" dr="$D$60:$D$302" r="E23" sId="1"/>
    <undo index="6" exp="area" dr="$X$60:$X$302" r="E23" sId="1"/>
    <undo index="3" exp="area" dr="$S$60:$S$302" r="E23" sId="1"/>
    <undo index="1" exp="area" dr="$D$60:$D$302" r="E23" sId="1"/>
    <undo index="0" exp="area" dr="$X$60:$X$302" r="E23" sId="1"/>
    <undo index="3" exp="area" dr="$S$60:$S$302" r="D23" sId="1"/>
    <undo index="1" exp="area" dr="$D$60:$D$302" r="D23" sId="1"/>
    <undo index="0" exp="area" dr="$W$60:$W$302" r="D23" sId="1"/>
    <undo index="10" exp="area" dr="$AA$60:$AA$302" r="F18" sId="1"/>
    <undo index="8" exp="area" dr="$D$60:$D$302" r="F18" sId="1"/>
    <undo index="7" exp="area" dr="$Z$60:$Z$302" r="F18" sId="1"/>
    <undo index="4" exp="area" dr="$D$60:$D$302" r="F18" sId="1"/>
    <undo index="3" exp="area" dr="$Z$60:$Z$302" r="F18" sId="1"/>
    <undo index="7" exp="area" dr="$AA$60:$AA$302" r="E18" sId="1"/>
    <undo index="5" exp="area" dr="$D$60:$D$302" r="E18" sId="1"/>
    <undo index="4" exp="area" dr="$W$60:$W$302" r="E18" sId="1"/>
    <undo index="1" exp="area" dr="$D$60:$D$302" r="E18" sId="1"/>
    <undo index="0" exp="area" dr="$W$60:$W$302" r="E18" sId="1"/>
    <undo index="1" exp="area" dr="$D$60:$D$302" r="D18" sId="1"/>
    <undo index="0" exp="area" dr="$W$60:$W$302" r="D18" sId="1"/>
    <undo index="14" exp="area" dr="$AA$60:$AA$302" r="F17" sId="1"/>
    <undo index="12" exp="area" dr="$S$60:$S$302" r="F17" sId="1"/>
    <undo index="10" exp="area" dr="$D$60:$D$302" r="F17" sId="1"/>
    <undo index="9" exp="area" dr="$Z$60:$Z$302" r="F17" sId="1"/>
    <undo index="6" exp="area" dr="$S$60:$S$302" r="F17" sId="1"/>
    <undo index="4" exp="area" dr="$D$60:$D$302" r="F17" sId="1"/>
    <undo index="3" exp="area" dr="$Z$60:$Z$302" r="F17" sId="1"/>
    <undo index="11" exp="area" dr="$AA$60:$AA$302" r="E17" sId="1"/>
    <undo index="9" exp="area" dr="$S$60:$S$302" r="E17" sId="1"/>
    <undo index="7" exp="area" dr="$D$60:$D$302" r="E17" sId="1"/>
    <undo index="6" exp="area" dr="$X$60:$X$302" r="E17" sId="1"/>
    <undo index="3" exp="area" dr="$S$60:$S$302" r="E17" sId="1"/>
    <undo index="1" exp="area" dr="$D$60:$D$302" r="E17" sId="1"/>
    <undo index="0" exp="area" dr="$X$60:$X$302" r="E17" sId="1"/>
    <undo index="3" exp="area" dr="$S$60:$S$302" r="D17" sId="1"/>
    <undo index="1" exp="area" dr="$D$60:$D$302" r="D17" sId="1"/>
    <undo index="0" exp="area" dr="$W$60:$W$302" r="D17" sId="1"/>
    <undo index="14" exp="area" dr="$AA$60:$AA$302" r="F16" sId="1"/>
    <undo index="12" exp="area" dr="$S$60:$S$302" r="F16" sId="1"/>
    <undo index="10" exp="area" dr="$D$60:$D$302" r="F16" sId="1"/>
    <undo index="9" exp="area" dr="$Z$60:$Z$302" r="F16" sId="1"/>
    <undo index="6" exp="area" dr="$S$60:$S$302" r="F16" sId="1"/>
    <undo index="4" exp="area" dr="$D$60:$D$302" r="F16" sId="1"/>
    <undo index="3" exp="area" dr="$Z$60:$Z$302" r="F16" sId="1"/>
    <undo index="11" exp="area" dr="$AA$60:$AA$302" r="E16" sId="1"/>
    <undo index="9" exp="area" dr="$S$60:$S$302" r="E16" sId="1"/>
    <undo index="7" exp="area" dr="$D$60:$D$302" r="E16" sId="1"/>
    <undo index="6" exp="area" dr="$X$60:$X$302" r="E16" sId="1"/>
    <undo index="3" exp="area" dr="$S$60:$S$302" r="E16" sId="1"/>
    <undo index="1" exp="area" dr="$D$60:$D$302" r="E16" sId="1"/>
    <undo index="0" exp="area" dr="$X$60:$X$302" r="E16" sId="1"/>
    <undo index="3" exp="area" dr="$S$60:$S$302" r="D16" sId="1"/>
    <undo index="1" exp="area" dr="$D$60:$D$302" r="D16" sId="1"/>
    <undo index="0" exp="area" dr="$W$60:$W$302" r="D16" sId="1"/>
    <undo index="14" exp="area" dr="$AA$60:$AA$302" r="F15" sId="1"/>
    <undo index="12" exp="area" dr="$S$60:$S$302" r="F15" sId="1"/>
    <undo index="10" exp="area" dr="$D$60:$D$302" r="F15" sId="1"/>
    <undo index="9" exp="area" dr="$Z$60:$Z$302" r="F15" sId="1"/>
    <undo index="6" exp="area" dr="$S$60:$S$302" r="F15" sId="1"/>
    <undo index="4" exp="area" dr="$D$60:$D$302" r="F15" sId="1"/>
    <undo index="3" exp="area" dr="$Z$60:$Z$302" r="F15" sId="1"/>
    <undo index="11" exp="area" dr="$AA$60:$AA$302" r="E15" sId="1"/>
    <undo index="9" exp="area" dr="$S$60:$S$302" r="E15" sId="1"/>
    <undo index="7" exp="area" dr="$D$60:$D$302" r="E15" sId="1"/>
    <undo index="6" exp="area" dr="$X$60:$X$302" r="E15" sId="1"/>
    <undo index="3" exp="area" dr="$S$60:$S$302" r="E15" sId="1"/>
    <undo index="1" exp="area" dr="$D$60:$D$302" r="E15" sId="1"/>
    <undo index="0" exp="area" dr="$X$60:$X$302" r="E15" sId="1"/>
    <undo index="3" exp="area" dr="$S$60:$S$302" r="D15" sId="1"/>
    <undo index="1" exp="area" dr="$D$60:$D$302" r="D15" sId="1"/>
    <undo index="0" exp="area" dr="$W$60:$W$302" r="D15" sId="1"/>
    <undo index="14" exp="area" dr="$AA$60:$AA$302" r="F14" sId="1"/>
    <undo index="12" exp="area" dr="$S$60:$S$302" r="F14" sId="1"/>
    <undo index="10" exp="area" dr="$D$60:$D$302" r="F14" sId="1"/>
    <undo index="9" exp="area" dr="$Z$60:$Z$302" r="F14" sId="1"/>
    <undo index="6" exp="area" dr="$S$60:$S$302" r="F14" sId="1"/>
    <undo index="4" exp="area" dr="$D$60:$D$302" r="F14" sId="1"/>
    <undo index="3" exp="area" dr="$Z$60:$Z$302" r="F14" sId="1"/>
    <undo index="11" exp="area" dr="$AA$60:$AA$302" r="E14" sId="1"/>
    <undo index="9" exp="area" dr="$S$60:$S$302" r="E14" sId="1"/>
    <undo index="7" exp="area" dr="$D$60:$D$302" r="E14" sId="1"/>
    <undo index="6" exp="area" dr="$X$60:$X$302" r="E14" sId="1"/>
    <undo index="3" exp="area" dr="$S$60:$S$302" r="E14" sId="1"/>
    <undo index="1" exp="area" dr="$D$60:$D$302" r="E14" sId="1"/>
    <undo index="0" exp="area" dr="$X$60:$X$302" r="E14" sId="1"/>
    <undo index="3" exp="area" dr="$S$60:$S$302" r="D14" sId="1"/>
    <undo index="1" exp="area" dr="$D$60:$D$302" r="D14" sId="1"/>
    <undo index="0" exp="area" dr="$W$60:$W$302" r="D14" sId="1"/>
    <undo index="14" exp="area" dr="$AA$60:$AA$302" r="F13" sId="1"/>
    <undo index="12" exp="area" dr="$S$60:$S$302" r="F13" sId="1"/>
    <undo index="10" exp="area" dr="$D$60:$D$302" r="F13" sId="1"/>
    <undo index="9" exp="area" dr="$Z$60:$Z$302" r="F13" sId="1"/>
    <undo index="6" exp="area" dr="$S$60:$S$302" r="F13" sId="1"/>
    <undo index="4" exp="area" dr="$D$60:$D$302" r="F13" sId="1"/>
    <undo index="3" exp="area" dr="$Z$60:$Z$302" r="F13" sId="1"/>
    <undo index="11" exp="area" dr="$AA$60:$AA$302" r="E13" sId="1"/>
    <undo index="9" exp="area" dr="$S$60:$S$302" r="E13" sId="1"/>
    <undo index="7" exp="area" dr="$D$60:$D$302" r="E13" sId="1"/>
    <undo index="6" exp="area" dr="$X$60:$X$302" r="E13" sId="1"/>
    <undo index="3" exp="area" dr="$S$60:$S$302" r="E13" sId="1"/>
    <undo index="1" exp="area" dr="$D$60:$D$302" r="E13" sId="1"/>
    <undo index="0" exp="area" dr="$X$60:$X$302" r="E13" sId="1"/>
    <undo index="3" exp="area" dr="$S$60:$S$302" r="D13" sId="1"/>
    <undo index="1" exp="area" dr="$D$60:$D$302" r="D13" sId="1"/>
    <undo index="0" exp="area" dr="$W$60:$W$302" r="D13" sId="1"/>
    <undo index="14" exp="area" dr="$AA$60:$AA$302" r="F12" sId="1"/>
    <undo index="12" exp="area" dr="$S$60:$S$302" r="F12" sId="1"/>
    <undo index="10" exp="area" dr="$D$60:$D$302" r="F12" sId="1"/>
    <undo index="9" exp="area" dr="$Z$60:$Z$302" r="F12" sId="1"/>
    <undo index="6" exp="area" dr="$S$60:$S$302" r="F12" sId="1"/>
    <undo index="4" exp="area" dr="$D$60:$D$302" r="F12" sId="1"/>
    <undo index="3" exp="area" dr="$Z$60:$Z$302" r="F12" sId="1"/>
    <undo index="11" exp="area" dr="$AA$60:$AA$302" r="E12" sId="1"/>
    <undo index="9" exp="area" dr="$S$60:$S$302" r="E12" sId="1"/>
    <undo index="7" exp="area" dr="$D$60:$D$302" r="E12" sId="1"/>
    <undo index="6" exp="area" dr="$X$60:$X$302" r="E12" sId="1"/>
    <undo index="3" exp="area" dr="$S$60:$S$302" r="E12" sId="1"/>
    <undo index="1" exp="area" dr="$D$60:$D$302" r="E12" sId="1"/>
    <undo index="0" exp="area" dr="$X$60:$X$302" r="E12" sId="1"/>
    <undo index="3" exp="area" dr="$S$60:$S$302" r="D12" sId="1"/>
    <undo index="1" exp="area" dr="$D$60:$D$302" r="D12" sId="1"/>
    <undo index="0" exp="area" dr="$W$60:$W$302" r="D12" sId="1"/>
    <undo index="14" exp="area" dr="$AA$60:$AA$302" r="F11" sId="1"/>
    <undo index="12" exp="area" dr="$S$60:$S$302" r="F11" sId="1"/>
    <undo index="10" exp="area" dr="$D$60:$D$302" r="F11" sId="1"/>
    <undo index="9" exp="area" dr="$Z$60:$Z$302" r="F11" sId="1"/>
    <undo index="6" exp="area" dr="$S$60:$S$302" r="F11" sId="1"/>
    <undo index="4" exp="area" dr="$D$60:$D$302" r="F11" sId="1"/>
    <undo index="3" exp="area" dr="$Z$60:$Z$302" r="F11" sId="1"/>
    <undo index="11" exp="area" dr="$AA$60:$AA$302" r="E11" sId="1"/>
    <undo index="9" exp="area" dr="$S$60:$S$302" r="E11" sId="1"/>
    <undo index="7" exp="area" dr="$D$60:$D$302" r="E11" sId="1"/>
    <undo index="6" exp="area" dr="$X$60:$X$302" r="E11" sId="1"/>
    <undo index="3" exp="area" dr="$S$60:$S$302" r="E11" sId="1"/>
    <undo index="1" exp="area" dr="$D$60:$D$302" r="E11" sId="1"/>
    <undo index="0" exp="area" dr="$X$60:$X$302" r="E11" sId="1"/>
    <undo index="3" exp="area" dr="$S$60:$S$302" r="D11" sId="1"/>
    <undo index="1" exp="area" dr="$D$60:$D$302" r="D11" sId="1"/>
    <undo index="0" exp="area" dr="$W$60:$W$302" r="D11" sId="1"/>
    <undo index="14" exp="area" dr="$AA$60:$AA$302" r="F10" sId="1"/>
    <undo index="12" exp="area" dr="$S$60:$S$302" r="F10" sId="1"/>
    <undo index="10" exp="area" dr="$D$60:$D$302" r="F10" sId="1"/>
    <undo index="9" exp="area" dr="$Z$60:$Z$302" r="F10" sId="1"/>
    <undo index="6" exp="area" dr="$S$60:$S$302" r="F10" sId="1"/>
    <undo index="4" exp="area" dr="$D$60:$D$302" r="F10" sId="1"/>
    <undo index="3" exp="area" dr="$Z$60:$Z$302" r="F10" sId="1"/>
    <undo index="11" exp="area" dr="$AA$60:$AA$302" r="E10" sId="1"/>
    <undo index="9" exp="area" dr="$S$60:$S$302" r="E10" sId="1"/>
    <undo index="7" exp="area" dr="$D$60:$D$302" r="E10" sId="1"/>
    <undo index="6" exp="area" dr="$X$60:$X$302" r="E10" sId="1"/>
    <undo index="3" exp="area" dr="$S$60:$S$302" r="E10" sId="1"/>
    <undo index="1" exp="area" dr="$D$60:$D$302" r="E10" sId="1"/>
    <undo index="0" exp="area" dr="$X$60:$X$302" r="E10" sId="1"/>
    <undo index="3" exp="area" dr="$S$60:$S$302" r="D10" sId="1"/>
    <undo index="1" exp="area" dr="$D$60:$D$302" r="D10" sId="1"/>
    <undo index="0" exp="area" dr="$W$60:$W$302" r="D10" sId="1"/>
    <undo index="14" exp="area" dr="$AA$60:$AA$302" r="F9" sId="1"/>
    <undo index="12" exp="area" dr="$S$60:$S$302" r="F9" sId="1"/>
    <undo index="10" exp="area" dr="$D$60:$D$302" r="F9" sId="1"/>
    <undo index="9" exp="area" dr="$Z$60:$Z$302" r="F9" sId="1"/>
    <undo index="6" exp="area" dr="$S$60:$S$302" r="F9" sId="1"/>
    <undo index="4" exp="area" dr="$D$60:$D$302" r="F9" sId="1"/>
    <undo index="3" exp="area" dr="$Z$60:$Z$302" r="F9" sId="1"/>
    <undo index="11" exp="area" dr="$AA$60:$AA$302" r="E9" sId="1"/>
    <undo index="9" exp="area" dr="$S$60:$S$302" r="E9" sId="1"/>
    <undo index="7" exp="area" dr="$D$60:$D$302" r="E9" sId="1"/>
    <undo index="6" exp="area" dr="$X$60:$X$302" r="E9" sId="1"/>
    <undo index="3" exp="area" dr="$S$60:$S$302" r="E9" sId="1"/>
    <undo index="1" exp="area" dr="$D$60:$D$302" r="E9" sId="1"/>
    <undo index="0" exp="area" dr="$X$60:$X$302" r="E9" sId="1"/>
    <undo index="3" exp="area" dr="$S$60:$S$302" r="D9" sId="1"/>
    <undo index="1" exp="area" dr="$D$60:$D$302" r="D9" sId="1"/>
    <undo index="0" exp="area" dr="$W$60:$W$302" r="D9" sId="1"/>
    <undo index="14" exp="area" dr="$AA$60:$AA$302" r="F8" sId="1"/>
    <undo index="12" exp="area" dr="$S$60:$S$302" r="F8" sId="1"/>
    <undo index="10" exp="area" dr="$D$60:$D$302" r="F8" sId="1"/>
    <undo index="9" exp="area" dr="$Z$60:$Z$302" r="F8" sId="1"/>
    <undo index="6" exp="area" dr="$S$60:$S$302" r="F8" sId="1"/>
    <undo index="4" exp="area" dr="$D$60:$D$302" r="F8" sId="1"/>
    <undo index="3" exp="area" dr="$Z$60:$Z$302" r="F8" sId="1"/>
    <undo index="11" exp="area" dr="$AA$60:$AA$302" r="E8" sId="1"/>
    <undo index="9" exp="area" dr="$S$60:$S$302" r="E8" sId="1"/>
    <undo index="7" exp="area" dr="$D$60:$D$302" r="E8" sId="1"/>
    <undo index="6" exp="area" dr="$X$60:$X$302" r="E8" sId="1"/>
    <undo index="3" exp="area" dr="$S$60:$S$302" r="E8" sId="1"/>
    <undo index="1" exp="area" dr="$D$60:$D$302" r="E8" sId="1"/>
    <undo index="0" exp="area" dr="$X$60:$X$302" r="E8" sId="1"/>
    <undo index="3" exp="area" dr="$S$60:$S$302" r="D8" sId="1"/>
    <undo index="1" exp="area" dr="$D$60:$D$302" r="D8" sId="1"/>
    <undo index="0" exp="area" dr="$W$60:$W$302" r="D8" sId="1"/>
    <undo index="14" exp="area" dr="$AA$60:$AA$302" r="F7" sId="1"/>
    <undo index="12" exp="area" dr="$S$60:$S$302" r="F7" sId="1"/>
    <undo index="10" exp="area" dr="$D$60:$D$302" r="F7" sId="1"/>
    <undo index="9" exp="area" dr="$Z$60:$Z$302" r="F7" sId="1"/>
    <undo index="6" exp="area" dr="$S$60:$S$302" r="F7" sId="1"/>
    <undo index="4" exp="area" dr="$D$60:$D$302" r="F7" sId="1"/>
    <undo index="3" exp="area" dr="$Z$60:$Z$302" r="F7" sId="1"/>
    <undo index="11" exp="area" dr="$AA$60:$AA$302" r="E7" sId="1"/>
    <undo index="9" exp="area" dr="$S$60:$S$302" r="E7" sId="1"/>
    <undo index="7" exp="area" dr="$D$60:$D$302" r="E7" sId="1"/>
    <undo index="6" exp="area" dr="$X$60:$X$302" r="E7" sId="1"/>
    <undo index="3" exp="area" dr="$S$60:$S$302" r="E7" sId="1"/>
    <undo index="1" exp="area" dr="$D$60:$D$302" r="E7" sId="1"/>
    <undo index="0" exp="area" dr="$X$60:$X$302" r="E7" sId="1"/>
    <undo index="3" exp="area" dr="$S$60:$S$302" r="D7" sId="1"/>
    <undo index="1" exp="area" dr="$D$60:$D$302" r="D7" sId="1"/>
    <undo index="0" exp="area" dr="$W$60:$W$302" r="D7" sId="1"/>
    <undo index="14" exp="area" dr="$AA$60:$AA$302" r="F6" sId="1"/>
    <undo index="12" exp="area" dr="$S$60:$S$302" r="F6" sId="1"/>
    <undo index="10" exp="area" dr="$D$60:$D$302" r="F6" sId="1"/>
    <undo index="9" exp="area" dr="$Z$60:$Z$302" r="F6" sId="1"/>
    <undo index="6" exp="area" dr="$S$60:$S$302" r="F6" sId="1"/>
    <undo index="4" exp="area" dr="$D$60:$D$302" r="F6" sId="1"/>
    <undo index="3" exp="area" dr="$Z$60:$Z$302" r="F6" sId="1"/>
    <undo index="11" exp="area" dr="$AA$60:$AA$302" r="E6" sId="1"/>
    <undo index="9" exp="area" dr="$S$60:$S$302" r="E6" sId="1"/>
    <undo index="7" exp="area" dr="$D$60:$D$302" r="E6" sId="1"/>
    <undo index="6" exp="area" dr="$X$60:$X$302" r="E6" sId="1"/>
    <undo index="3" exp="area" dr="$S$60:$S$302" r="E6" sId="1"/>
    <undo index="1" exp="area" dr="$D$60:$D$302" r="E6" sId="1"/>
    <undo index="0" exp="area" dr="$X$60:$X$302" r="E6" sId="1"/>
    <undo index="3" exp="area" dr="$S$60:$S$302" r="D6" sId="1"/>
    <undo index="1" exp="area" dr="$D$60:$D$302" r="D6" sId="1"/>
    <undo index="0" exp="area" dr="$W$60:$W$302" r="D6" sId="1"/>
    <undo index="14" exp="area" dr="$AA$60:$AA$302" r="F5" sId="1"/>
    <undo index="12" exp="area" dr="$S$60:$S$302" r="F5" sId="1"/>
    <undo index="10" exp="area" dr="$D$60:$D$302" r="F5" sId="1"/>
    <undo index="9" exp="area" dr="$Z$60:$Z$302" r="F5" sId="1"/>
    <undo index="6" exp="area" dr="$S$60:$S$302" r="F5" sId="1"/>
    <undo index="4" exp="area" dr="$D$60:$D$302" r="F5" sId="1"/>
    <undo index="3" exp="area" dr="$Z$60:$Z$302" r="F5" sId="1"/>
    <undo index="11" exp="area" dr="$AA$60:$AA$302" r="E5" sId="1"/>
    <undo index="9" exp="area" dr="$S$60:$S$302" r="E5" sId="1"/>
    <undo index="7" exp="area" dr="$D$60:$D$302" r="E5" sId="1"/>
    <undo index="6" exp="area" dr="$X$60:$X$302" r="E5" sId="1"/>
    <undo index="3" exp="area" dr="$S$60:$S$302" r="E5" sId="1"/>
    <undo index="1" exp="area" dr="$D$60:$D$302" r="E5" sId="1"/>
    <undo index="0" exp="area" dr="$X$60:$X$302" r="E5" sId="1"/>
    <undo index="3" exp="area" dr="$S$60:$S$302" r="D5" sId="1"/>
    <undo index="1" exp="area" dr="$D$60:$D$302" r="D5" sId="1"/>
    <undo index="0" exp="area" dr="$W$60:$W$302" r="D5" sId="1"/>
    <undo index="14" exp="area" dr="$AA$60:$AA$302" r="F4" sId="1"/>
    <undo index="12" exp="area" dr="$S$60:$S$302" r="F4" sId="1"/>
    <undo index="10" exp="area" dr="$D$60:$D$302" r="F4" sId="1"/>
    <undo index="9" exp="area" dr="$Z$60:$Z$302" r="F4" sId="1"/>
    <undo index="6" exp="area" dr="$S$60:$S$302" r="F4" sId="1"/>
    <undo index="4" exp="area" dr="$D$60:$D$302" r="F4" sId="1"/>
    <undo index="3" exp="area" dr="$Z$60:$Z$302" r="F4" sId="1"/>
    <undo index="11" exp="area" dr="$AA$60:$AA$302" r="E4" sId="1"/>
    <undo index="9" exp="area" dr="$S$60:$S$302" r="E4" sId="1"/>
    <undo index="7" exp="area" dr="$D$60:$D$302" r="E4" sId="1"/>
    <undo index="6" exp="area" dr="$X$60:$X$302" r="E4" sId="1"/>
    <undo index="3" exp="area" dr="$S$60:$S$302" r="E4" sId="1"/>
    <undo index="1" exp="area" dr="$D$60:$D$302" r="E4" sId="1"/>
    <undo index="0" exp="area" dr="$X$60:$X$302" r="E4" sId="1"/>
    <undo index="3" exp="area" dr="$S$60:$S$302" r="D4" sId="1"/>
    <undo index="1" exp="area" dr="$D$60:$D$302" r="D4" sId="1"/>
    <undo index="0" exp="area" dr="$W$60:$W$302" r="D4" sId="1"/>
    <undo index="0" exp="area" ref3D="1" dr="$B$59:$AN$302" dn="Z_529BE7BC_5C54_4BE6_8F7A_FAB0CA2C2AA8_.wvu.FilterData" sId="1"/>
    <undo index="0" exp="area" ref3D="1" dr="$A$59:$AN$302" dn="Z_95924D04_DEAC_4AC9_B742_E78D23F2DA9C_.wvu.FilterData" sId="1"/>
    <undo index="0" exp="area" ref3D="1" dr="$B$59:$AN$302" dn="Z_9562D2D0_0C41_4023_A1EA_BD1C74059448_.wvu.FilterData" sId="1"/>
    <undo index="0" exp="area" ref3D="1" dr="$A$59:$AN$302" dn="Z_941EC5C4_AFCD_4317_A8EF_E30831CE28E0_.wvu.FilterData" sId="1"/>
    <undo index="0" exp="area" ref3D="1" dr="$B$59:$AN$302" dn="Z_92C3B6E0_E822_4BCF_8785_C7C14B2ADD22_.wvu.FilterData" sId="1"/>
    <undo index="0" exp="area" ref3D="1" dr="$B$59:$AN$302" dn="Z_92142F03_965D_4EC5_9147_0A5F19A88128_.wvu.FilterData" sId="1"/>
    <undo index="0" exp="area" ref3D="1" dr="$B$59:$AN$302" dn="Z_9172FC8D_E851_4BB8_9BB1_CD04A2EC2118_.wvu.FilterData" sId="1"/>
    <undo index="0" exp="area" ref3D="1" dr="$A$59:$AN$302" dn="Z_90718E1C_4543_4EB8_A035_B9486B98BB64_.wvu.FilterData" sId="1"/>
    <undo index="0" exp="area" ref3D="1" dr="$A$59:$AN$302" dn="Z_90494C03_06F7_4356_89CC_B3784BF69957_.wvu.FilterData" sId="1"/>
    <undo index="0" exp="area" ref3D="1" dr="$A$59:$AN$302" dn="Z_8FCF9FED_56C4_4D1B_95E3_283C65014199_.wvu.FilterData" sId="1"/>
    <undo index="0" exp="area" ref3D="1" dr="$A$59:$AN$302" dn="Z_8EE6330F_7335_462A_9FAF_1E7423CBB72C_.wvu.FilterData" sId="1"/>
    <undo index="0" exp="area" ref3D="1" dr="$B$59:$AN$302" dn="Z_8DDDD18D_E14B_46EA_A1C5_9CA812456655_.wvu.FilterData" sId="1"/>
    <undo index="0" exp="area" ref3D="1" dr="$B$59:$AN$302" dn="Z_8CF9B453_4899_464D_85BD_71E4DD56D47A_.wvu.FilterData" sId="1"/>
    <undo index="0" exp="area" ref3D="1" dr="$B$59:$AN$302" dn="Z_8C93A640_930B_411B_8D78_081C9283D060_.wvu.FilterData" sId="1"/>
    <undo index="0" exp="area" ref3D="1" dr="$A$59:$AN$302" dn="Z_8C375C63_D467_4856_867E_0D376340DFF8_.wvu.FilterData" sId="1"/>
    <undo index="0" exp="area" ref3D="1" dr="$B$59:$AN$302" dn="Z_8CE8B7C2_A72F_4E17_8707_E89EA28FE14C_.wvu.FilterData" sId="1"/>
    <undo index="0" exp="area" ref3D="1" dr="$A$59:$AN$302" dn="Z_8CB29A5E_F3E2_44D5_BE30_104BB26C7D9C_.wvu.FilterData" sId="1"/>
    <undo index="0" exp="area" ref3D="1" dr="$A$59:$AN$302" dn="Z_90815266_CBB3_4FCC_8625_ACA5F166A734_.wvu.FilterData" sId="1"/>
    <undo index="0" exp="area" ref3D="1" dr="$A$59:$AN$302" dn="Z_8FEAAFE6_8C67_486F_AC34_94D895687376_.wvu.FilterData" sId="1"/>
    <undo index="0" exp="area" ref3D="1" dr="$B$59:$AN$302" dn="Z_951F84BC_6E0F_48A5_9328_00C512BF8879_.wvu.FilterData" sId="1"/>
    <undo index="0" exp="area" ref3D="1" dr="$A$59:$AN$302" dn="Z_94E26A26_506C_4689_88B6_25E21271D599_.wvu.FilterData" sId="1"/>
    <undo index="0" exp="area" ref3D="1" dr="$A$59:$AN$302" dn="Z_948AAA3E_FDC6_47E8_9FD0_C830D95AC493_.wvu.FilterData" sId="1"/>
    <undo index="0" exp="area" ref3D="1" dr="$A$59:$AN$302" dn="Z_920C0394_B43C_4B62_8011_4E163017BD41_.wvu.FilterData" sId="1"/>
    <undo index="0" exp="area" ref3D="1" dr="$A$59:$AN$302" dn="Z_85DF30EA_73FF_4BF2_92F2_FCC9BE054F50_.wvu.FilterData" sId="1"/>
    <undo index="0" exp="area" ref3D="1" dr="$A$59:$AN$302" dn="Z_8A29A023_DD0C_4369_8B7A_60DF7E6E2F5F_.wvu.FilterData" sId="1"/>
    <undo index="0" exp="area" ref3D="1" dr="$A$59:$AN$302" dn="Z_86DAF2A7_1716_40A4_A48C_C8E7EF2E3819_.wvu.FilterData" sId="1"/>
    <undo index="0" exp="area" ref3D="1" dr="$B$59:$AN$302" dn="Z_85A0930F_259C_45E1_BAE2_0EEDD0B3722A_.wvu.FilterData" sId="1"/>
    <undo index="0" exp="area" ref3D="1" dr="$A$59:$AN$302" dn="Z_88CE456E_359B_447D_B7A0_CC4E1465B4B3_.wvu.FilterData" sId="1"/>
    <undo index="0" exp="area" ref3D="1" dr="$B$59:$AN$302" dn="Z_8AF3B40C_4A62_4CCD_B7A0_B85E971B5DE3_.wvu.FilterData" sId="1"/>
    <undo index="0" exp="area" ref3D="1" dr="$B$59:$AN$302" dn="Z_87B9B6D0_FCFD_415C_BDD0_A69B81D9BDE2_.wvu.FilterData" sId="1"/>
    <undo index="0" exp="area" ref3D="1" dr="$B$59:$AN$302" dn="Z_89C03E1E_B6A8_49A1_B29C_5DC4FAB2FBC6_.wvu.FilterData" sId="1"/>
    <undo index="0" exp="area" ref3D="1" dr="$A$59:$AN$302" dn="Z_8766447F_1722_4AC0_B084_82BED859C4BC_.wvu.FilterData" sId="1"/>
    <undo index="0" exp="area" ref3D="1" dr="$A$59:$AN$302" dn="Z_893CD852_24B0_46B7_AEB7_74E4BB8E0F04_.wvu.FilterData" sId="1"/>
    <undo index="0" exp="area" ref3D="1" dr="$A$59:$AN$302" dn="Z_88EC7E9E_4CA5_4115_8116_60A420A5CA1D_.wvu.FilterData" sId="1"/>
    <undo index="0" exp="area" ref3D="1" dr="$A$59:$AN$302" dn="Z_898B4F00_6DC3_4313_8F93_016808D06DF4_.wvu.FilterData" sId="1"/>
    <undo index="0" exp="area" ref3D="1" dr="$A$59:$AN$302" dn="Z_890925D0_B636_4D3A_B874_B6C1F5A51B55_.wvu.FilterData" sId="1"/>
    <undo index="0" exp="area" ref3D="1" dr="$A$59:$AN$302" dn="Z_8B172390_B31C_4527_B9E9_212E62C70A74_.wvu.FilterData" sId="1"/>
    <undo index="0" exp="area" ref3D="1" dr="$A$59:$AN$302" dn="Z_8A9E848C_2F92_4247_A828_CFD46DB0543C_.wvu.FilterData" sId="1"/>
    <undo index="0" exp="area" ref3D="1" dr="$B$59:$AN$302" dn="Z_88E33156_B4B4_46C5_9DEC_A8C1A71097F0_.wvu.FilterData" sId="1"/>
    <undo index="0" exp="area" ref3D="1" dr="$B$59:$AN$302" dn="Z_884B0F10_5A34_444B_B198_846ACF3EE5A6_.wvu.FilterData" sId="1"/>
    <undo index="0" exp="area" ref3D="1" dr="$A$59:$AN$302" dn="Z_8C1DFF45_60A9_4BE5_8753_4CD2C65F4B45_.wvu.FilterData" sId="1"/>
    <undo index="0" exp="area" ref3D="1" dr="$A$59:$AN$302" dn="Z_86DC6F30_C367_4A3B_8A06_DA397A8B8A9A_.wvu.FilterData" sId="1"/>
    <undo index="0" exp="area" ref3D="1" dr="$B$59:$AN$302" dn="Z_7FEB5690_7B38_49CE_A727_CCA7747AA9AE_.wvu.FilterData" sId="1"/>
    <undo index="0" exp="area" ref3D="1" dr="$A$59:$AN$302" dn="Z_829A4E16_046C_44CF_A5AA_B2E034E6EB70_.wvu.FilterData" sId="1"/>
    <undo index="0" exp="area" ref3D="1" dr="$B$59:$AN$302" dn="Z_7E9E86EE_4E86_464D_A02D_88BA33E6F7E1_.wvu.FilterData" sId="1"/>
    <undo index="0" exp="area" ref3D="1" dr="$A$59:$AN$302" dn="Z_83DCD566_267F_4C53_8236_CFDD1B3CAECE_.wvu.FilterData" sId="1"/>
    <undo index="0" exp="area" ref3D="1" dr="$B$59:$AN$302" dn="Z_8196DF26_FED6_4AD5_81BB_407D7FD9D469_.wvu.FilterData" sId="1"/>
    <undo index="0" exp="area" ref3D="1" dr="$B$59:$AN$302" dn="Z_8272A3A2_9E6D_45E6_9C0F_2BEE73EF2A02_.wvu.FilterData" sId="1"/>
    <undo index="0" exp="area" ref3D="1" dr="$A$59:$AN$302" dn="Z_813A7912_0731_46B9_B4CC_33DA5DAC5D0E_.wvu.FilterData" sId="1"/>
    <undo index="0" exp="area" ref3D="1" dr="$A$59:$AN$302" dn="Z_7F67A8AD_9567_4C1F_9FE0_3A1B039478FD_.wvu.FilterData" sId="1"/>
    <undo index="0" exp="area" ref3D="1" dr="$A$59:$AN$302" dn="Z_7E28528F_E20C_4D62_AACF_5045EC0851EC_.wvu.FilterData" sId="1"/>
    <undo index="0" exp="area" ref3D="1" dr="$A$59:$AN$302" dn="Z_8467614B_AC17_44BB_8A84_30F28E73CEFC_.wvu.FilterData" sId="1"/>
    <undo index="0" exp="area" ref3D="1" dr="$A$59:$AN$302" dn="Z_7FB20ABB_D8A4_4965_8E88_80AC614DF5A9_.wvu.FilterData" sId="1"/>
    <undo index="0" exp="area" ref3D="1" dr="$A$59:$AN$302" dn="Z_8411BEB1_2171_43CE_A328_22A286B02862_.wvu.FilterData" sId="1"/>
    <undo index="0" exp="area" ref3D="1" dr="$A$59:$AN$302" dn="Z_7ECC2B8E_6A82_42F5_8AB0_4A51C54EA5EC_.wvu.FilterData" sId="1"/>
    <undo index="0" exp="area" ref3D="1" dr="$B$59:$AN$302" dn="Z_803CD872_D993_4AEC_ABDC_098E41A41D56_.wvu.FilterData" sId="1"/>
    <undo index="0" exp="area" ref3D="1" dr="$B$59:$AN$302" dn="Z_7ECA1D62_ABBC_43E6_9937_2E03B35496B2_.wvu.FilterData" sId="1"/>
    <undo index="0" exp="area" ref3D="1" dr="$A$59:$AN$302" dn="Z_7E60AD22_29CE_4DD6_AAAE_4421B58B02C1_.wvu.FilterData" sId="1"/>
    <undo index="0" exp="area" ref3D="1" dr="$A$59:$AN$302" dn="Z_808E2667_81A3_4C6A_BBA2_19DD06DD6803_.wvu.FilterData" sId="1"/>
    <undo index="0" exp="area" ref3D="1" dr="$B$59:$AN$302" dn="Z_7BCF790B_B0C0_4842_8AD7_5E2098ABB76A_.wvu.FilterData" sId="1"/>
    <undo index="0" exp="area" ref3D="1" dr="$A$59:$AN$302" dn="Z_7747FA4E_759E_44F6_BA3F_BCA6126954F3_.wvu.FilterData" sId="1"/>
    <undo index="0" exp="area" ref3D="1" dr="$A$59:$AN$302" dn="Z_7766F98E_4A78_4ADA_937E_526F26631568_.wvu.FilterData" sId="1"/>
    <undo index="0" exp="area" ref3D="1" dr="$A$59:$AN$302" dn="Z_7B73230E_69E0_43F5_B0B0_DBE5465075A3_.wvu.FilterData" sId="1"/>
    <undo index="0" exp="area" ref3D="1" dr="$A$59:$AN$302" dn="Z_775F6381_EE6B_4BE5_9118_9ACDCBEBC90F_.wvu.FilterData" sId="1"/>
    <undo index="0" exp="area" ref3D="1" dr="$A$59:$AN$302" dn="Z_783349D3_16E7_48CE_AED8_C9DC07B646DB_.wvu.FilterData" sId="1"/>
    <undo index="0" exp="area" ref3D="1" dr="$A$59:$AN$302" dn="Z_7A71BEF5_1E4A_4C73_B92F_2B1E3389560A_.wvu.FilterData" sId="1"/>
    <undo index="0" exp="area" ref3D="1" dr="$A$59:$AN$302" dn="Z_7C4AC733_71DF_4C4D_85AA_F169CF3BF8D0_.wvu.FilterData" sId="1"/>
    <undo index="0" exp="area" ref3D="1" dr="$B$59:$AN$302" dn="Z_7E0EA425_A420_4443_B9E0_CDF0AA9E5D09_.wvu.FilterData" sId="1"/>
    <undo index="0" exp="area" ref3D="1" dr="$A$59:$AN$302" dn="Z_7CFE9172_C0BA_4835_AC09_77680F071012_.wvu.FilterData" sId="1"/>
    <undo index="0" exp="area" ref3D="1" dr="$A$59:$AN$302" dn="Z_79C11DCF_1E87_4D92_9874_E8CDE749621A_.wvu.FilterData" sId="1"/>
    <undo index="0" exp="area" ref3D="1" dr="$B$59:$AN$302" dn="Z_7A8CB8A9_61C4_4CF1_BA54_B291C6A5550F_.wvu.FilterData" sId="1"/>
    <undo index="0" exp="area" ref3D="1" dr="$A$59:$AN$302" dn="Z_7C54DD60_2343_494A_9B25_2EE5F2700F94_.wvu.FilterData" sId="1"/>
    <undo index="0" exp="area" ref3D="1" dr="$B$59:$AN$302" dn="Z_7777A75B_07B0_495F_A799_12C6A93E0748_.wvu.FilterData" sId="1"/>
    <undo index="0" exp="area" ref3D="1" dr="$A$59:$AN$302" dn="Z_7B889AAC_31FF_4187_BC9A_97347D0C1404_.wvu.FilterData" sId="1"/>
    <undo index="0" exp="area" ref3D="1" dr="$A$59:$AN$302" dn="Z_7631F57F_2776_4521_B9A4_E50DF3C50E08_.wvu.FilterData" sId="1"/>
    <undo index="0" exp="area" ref3D="1" dr="$B$59:$AN$302" dn="Z_72A6EB0A_84D5_4B8A_AC51_54CCD061630B_.wvu.FilterData" sId="1"/>
    <undo index="0" exp="area" ref3D="1" dr="$B$59:$AN$302" dn="Z_73375288_6B6E_4B64_B8CA_8A2D17E4EE8E_.wvu.FilterData" sId="1"/>
    <undo index="0" exp="area" ref3D="1" dr="$B$59:$AN$302" dn="Z_76551960_825E_460F_979A_E5C4C2C41114_.wvu.FilterData" sId="1"/>
    <undo index="0" exp="area" ref3D="1" dr="$B$59:$AN$302" dn="Z_725BEA76_0B85_4A75_A741_5CDDEA2ADA81_.wvu.FilterData" sId="1"/>
    <undo index="0" exp="area" ref3D="1" dr="$A$59:$AN$302" dn="Z_7261821D_1D33_4FAC_B604_2D03A21B59EC_.wvu.FilterData" sId="1"/>
    <undo index="0" exp="area" ref3D="1" dr="$A$59:$AN$302" dn="Z_7339CFDD_5D7C_41FE_8AD1_208FBEAD7A1C_.wvu.FilterData" sId="1"/>
    <undo index="0" exp="area" ref3D="1" dr="$A$59:$AN$302" dn="Z_7670F964_2211_41BB_B261_6E87AFB6DF09_.wvu.FilterData" sId="1"/>
    <undo index="0" exp="area" ref3D="1" dr="$A$59:$AN$302" dn="Z_741C657B_5761_48ED_8FB8_A62E920FA431_.wvu.FilterData" sId="1"/>
    <undo index="0" exp="area" ref3D="1" dr="$A$59:$AN$302" dn="Z_7559AD3C_156F_45C7_936A_55D8B4CF8FD3_.wvu.FilterData" sId="1"/>
    <undo index="0" exp="area" ref3D="1" dr="$A$59:$AN$302" dn="Z_76769627_11CE_4A9C_8027_8CA0878DEAC5_.wvu.FilterData" sId="1"/>
    <undo index="0" exp="area" ref3D="1" dr="$B$59:$AN$302" dn="Z_74F104B0_C4E5_41FD_9F43_0DFCE277A292_.wvu.FilterData" sId="1"/>
    <undo index="0" exp="area" ref3D="1" dr="$A$59:$AN$302" dn="Z_7353763A_A80D_4A0D_ABFA_E5EDD6EA4E4E_.wvu.FilterData" sId="1"/>
    <undo index="0" exp="area" ref3D="1" dr="$A$59:$AN$302" dn="Z_72B3F568_6EC5_48A5_9A41_473348E2FBC6_.wvu.FilterData" sId="1"/>
    <undo index="0" exp="area" ref3D="1" dr="$A$59:$AN$302" dn="Z_730E331C_10E7_4E98_BC37_6021A4A49A07_.wvu.FilterData" sId="1"/>
    <undo index="0" exp="area" ref3D="1" dr="$A$59:$AN$302" dn="Z_72D648CE_924C_46FA_A890_E31171A4436D_.wvu.FilterData" sId="1"/>
    <undo index="0" exp="area" ref3D="1" dr="$B$59:$AN$302" dn="Z_9FCD0F21_6588_4820_B156_FD9CAB29A8E1_.wvu.FilterData" sId="1"/>
    <undo index="0" exp="area" ref3D="1" dr="$B$59:$AN$302" dn="Z_A250327B_29D1_494C_9436_0B51910F3323_.wvu.FilterData" sId="1"/>
    <undo index="0" exp="area" ref3D="1" dr="$A$59:$AN$302" dn="Z_9DA22320_E202_4AF4_A4F8_412387725E48_.wvu.FilterData" sId="1"/>
    <undo index="0" exp="area" ref3D="1" dr="$B$59:$AN$302" dn="Z_A2A917F4_F661_4683_88C9_57D64E10A4C2_.wvu.FilterData" sId="1"/>
    <undo index="0" exp="area" ref3D="1" dr="$A$59:$AN$302" dn="Z_9E58552E_A9C9_4FDD_9351_27222DB502AD_.wvu.FilterData" sId="1"/>
    <undo index="0" exp="area" ref3D="1" dr="$B$59:$AN$302" dn="Z_A15A9366_E30F_41B7_BA75_6474B00ABCD6_.wvu.FilterData" sId="1"/>
    <undo index="0" exp="area" ref3D="1" dr="$A$59:$AN$302" dn="Z_A2C66332_A809_458E_971B_FDB6D62C74C3_.wvu.FilterData" sId="1"/>
    <undo index="0" exp="area" ref3D="1" dr="$A$59:$AN$302" dn="Z_9BFBDFBB_2B19_4AA7_AE31_6ACFC5F32A4D_.wvu.FilterData" sId="1"/>
    <undo index="0" exp="area" ref3D="1" dr="$A$59:$AN$302" dn="Z_9B908383_707F_47D3_9642_C5167E466EE6_.wvu.FilterData" sId="1"/>
    <undo index="0" exp="area" ref3D="1" dr="$A$59:$AN$302" dn="Z_9DE5D1E3_34D1_41A1_AF9A_7D2454A346C3_.wvu.FilterData" sId="1"/>
    <undo index="0" exp="area" ref3D="1" dr="$A$59:$AN$302" dn="Z_A01D47D5_089B_449D_8A98_708E8387C72E_.wvu.FilterData" sId="1"/>
    <undo index="0" exp="area" ref3D="1" dr="$A$59:$AN$302" dn="Z_9BC0BD38_C2C1_49B2_9120_CD2B9E68C14D_.wvu.FilterData" sId="1"/>
    <undo index="0" exp="area" ref3D="1" dr="$A$59:$AN$302" dn="Z_9D714EDB_35D2_4BA7_9AE2_8FA7614FCB4C_.wvu.FilterData" sId="1"/>
    <undo index="0" exp="area" ref3D="1" dr="$A$59:$AN$302" dn="Z_A3F6F405_A8BB_41EE_B64B_0C0A5F47BBB9_.wvu.FilterData" sId="1"/>
    <undo index="0" exp="area" ref3D="1" dr="$A$59:$AN$302" dn="Z_9D8AFE7E_9E2B_4CC2_8DD9_1F54F32F36DE_.wvu.FilterData" sId="1"/>
    <undo index="0" exp="area" ref3D="1" dr="$B$59:$AN$302" dn="Z_A2ED90D5_0AE2_4182_9A3F_E75804CB6440_.wvu.FilterData" sId="1"/>
    <undo index="0" exp="area" ref3D="1" dr="$B$59:$AN$302" dn="Z_97A9DF88_B70E_4292_BE2C_86AD0A2D47DE_.wvu.FilterData" sId="1"/>
    <undo index="0" exp="area" ref3D="1" dr="$B$59:$AN$302" dn="Z_97218D6F_FBE0_4BB8_82A5_9A2B9CDAE672_.wvu.FilterData" sId="1"/>
    <undo index="0" exp="area" ref3D="1" dr="$A$59:$AN$302" dn="Z_965F36C5_93F9_4A82_9F85_D6B45F35669B_.wvu.FilterData" sId="1"/>
    <undo index="0" exp="area" ref3D="1" dr="$A$59:$AN$302" dn="Z_9750A76A_9AC2_4661_A077_1F37F1CA2D63_.wvu.FilterData" sId="1"/>
    <undo index="0" exp="area" ref3D="1" dr="$A$59:$AN$302" dn="Z_99D8ACC7_6571_46A2_80A8_E3B7AB2D8AA6_.wvu.FilterData" sId="1"/>
    <undo index="0" exp="area" ref3D="1" dr="$A$59:$AN$302" dn="Z_98A00DCA_BF5A_4F56_82AD_F0FA90642632_.wvu.FilterData" sId="1"/>
    <undo index="0" exp="area" ref3D="1" dr="$A$59:$AN$302" dn="Z_99193316_C55A_4185_B53F_2ACB69CFB515_.wvu.FilterData" sId="1"/>
    <undo index="0" exp="area" ref3D="1" dr="$A$59:$AN$302" dn="Z_96F5AD9E_A448_4455_911A_A97097FE4C59_.wvu.FilterData" sId="1"/>
    <undo index="0" exp="area" ref3D="1" dr="$A$59:$AN$302" dn="Z_970EE037_F5E5_47AF_896A_0F6222879EBC_.wvu.FilterData" sId="1"/>
    <undo index="0" exp="area" ref3D="1" dr="$A$59:$AN$302" dn="Z_984B2F44_EE13_4F2D_BD1D_5920AACED939_.wvu.FilterData" sId="1"/>
    <undo index="0" exp="area" ref3D="1" dr="$B$59:$AN$302" dn="Z_9B284A23_0F1B_4C7D_B2C2_B10F6E505930_.wvu.FilterData" sId="1"/>
    <undo index="0" exp="area" ref3D="1" dr="$A$59:$AN$302" dn="Z_99BC1C51_34DC_4BF2_906C_1E31B6171D71_.wvu.FilterData" sId="1"/>
    <undo index="0" exp="area" ref3D="1" dr="$A$59:$AN$302" dn="Z_4E3C0829_ED1C_4CAD_8FC1_6F6B5266F4E1_.wvu.FilterData" sId="1"/>
    <undo index="0" exp="area" ref3D="1" dr="$B$59:$AN$302" dn="Z_4DC21B34_0602_481E_94FE_0BD7F968F358_.wvu.FilterData" sId="1"/>
    <undo index="0" exp="area" ref3D="1" dr="$A$59:$AN$302" dn="Z_4DDFB3D2_CD93_416E_9EB7_7228A4AF2504_.wvu.FilterData" sId="1"/>
    <undo index="0" exp="area" ref3D="1" dr="$A$59:$AN$302" dn="Z_4DC27000_A69C_4DC6_9CFF_103008543473_.wvu.FilterData" sId="1"/>
    <undo index="0" exp="area" ref3D="1" dr="$B$59:$AN$302" dn="Z_4E40C96A_1DEC_426A_8589_DE34E4915A35_.wvu.FilterData" sId="1"/>
    <undo index="0" exp="area" ref3D="1" dr="$B$59:$AN$302" dn="Z_4FED5175_DCDA_44CD_A82D_FF4D7FE13304_.wvu.FilterData" sId="1"/>
    <undo index="0" exp="area" ref3D="1" dr="$A$59:$AN$302" dn="Z_4E06BDBF_2CED_473B_850B_2A6C7311FF41_.wvu.FilterData" sId="1"/>
    <undo index="0" exp="area" ref3D="1" dr="$A$59:$AN$302" dn="Z_48A1C157_EB42_4B01_A611_12202E451DA5_.wvu.FilterData" sId="1"/>
    <undo index="0" exp="area" ref3D="1" dr="$B$59:$AN$302" dn="Z_49C41633_B7C8_4854_8F3B_012C131B8151_.wvu.FilterData" sId="1"/>
    <undo index="0" exp="area" ref3D="1" dr="$A$59:$AN$302" dn="Z_4DB9989C_4464_43E8_8078_E808BE505BAA_.wvu.FilterData" sId="1"/>
    <undo index="0" exp="area" ref3D="1" dr="$A$59:$AN$302" dn="Z_4D74C45C_721C_468D_B7CA_077CBC33B37C_.wvu.FilterData" sId="1"/>
    <undo index="0" exp="area" ref3D="1" dr="$A$59:$AN$302" dn="Z_4C7058D9_79D5_4933_B9FF_70E893F9B385_.wvu.FilterData" sId="1"/>
    <undo index="0" exp="area" ref3D="1" dr="$A$59:$AN$302" dn="Z_49D2DFC2_E45E_4ACF_943D_E49E761F553F_.wvu.FilterData" sId="1"/>
    <undo index="0" exp="area" ref3D="1" dr="$A$59:$AN$302" dn="Z_4D79686D_D785_4C50_A86D_E4842F383245_.wvu.FilterData" sId="1"/>
    <undo index="0" exp="area" ref3D="1" dr="$A$59:$AN$302" dn="Z_4B3AD98F_FC31_4192_812D_58B676113428_.wvu.FilterData" sId="1"/>
    <undo index="0" exp="area" ref3D="1" dr="$A$59:$AN$302" dn="Z_4AD25AEE_EA55_4BCE_BBD5_EAAA3C478C5C_.wvu.FilterData" sId="1"/>
    <undo index="0" exp="area" ref3D="1" dr="$A$59:$AN$302" dn="Z_4B0EF13B_3811_45B4_8ADD_DBF7FB5B90B4_.wvu.FilterData" sId="1"/>
    <undo index="0" exp="area" ref3D="1" dr="$B$59:$AN$302" dn="Z_4D18CEA0_D888_4F4D_AE86_1305F839E5A9_.wvu.FilterData" sId="1"/>
    <undo index="0" exp="area" ref3D="1" dr="$B$59:$AN$302" dn="Z_48EBC9BD_BBD3_4C6E_B628_D0EABB67588C_.wvu.FilterData" sId="1"/>
    <undo index="0" exp="area" ref3D="1" dr="$A$59:$AN$302" dn="Z_4AD92DE0_78C5_42B7_8A4F_CCEDC4E9C3B1_.wvu.FilterData" sId="1"/>
    <undo index="0" exp="area" ref3D="1" dr="$A$59:$AN$302" dn="Z_4AC7CF20_9D78_47F0_AF1F_29F122739E1A_.wvu.FilterData" sId="1"/>
    <undo index="0" exp="area" ref3D="1" dr="$A$59:$AN$302" dn="Z_49D02DDA_0D46_45A3_9B78_079EE3DF44A6_.wvu.FilterData" sId="1"/>
    <undo index="0" exp="area" ref3D="1" dr="$A$59:$AN$302" dn="Z_4970BA83_E618_4BB7_83E7_4E7F87DEC79C_.wvu.FilterData" sId="1"/>
    <undo index="0" exp="area" ref3D="1" dr="$A$59:$AN$302" dn="Z_4B15AE1E_61F1_4DFF_8DFB_922F992A1C65_.wvu.FilterData" sId="1"/>
    <undo index="0" exp="area" ref3D="1" dr="$B$59:$AN$302" dn="Z_42AD34C9_C124_4891_A108_88C3C0237529_.wvu.FilterData" sId="1"/>
    <undo index="0" exp="area" ref3D="1" dr="$A$59:$AN$302" dn="Z_44F07CD8_75F8_4EF5_81A0_4E20874952AF_.wvu.FilterData" sId="1"/>
    <undo index="0" exp="area" ref3D="1" dr="$B$59:$AN$302" dn="Z_45376FFC_9D48_4BF3_8A6A_30CD587F744C_.wvu.FilterData" sId="1"/>
    <undo index="0" exp="area" ref3D="1" dr="$A$59:$AN$302" dn="Z_4416DC42_C500_4E08_B795_23B2AC6564A1_.wvu.FilterData" sId="1"/>
    <undo index="0" exp="area" ref3D="1" dr="$A$59:$AN$302" dn="Z_4392F3EF_F9F6_4504_ACF1_4C5CCB12EF49_.wvu.FilterData" sId="1"/>
    <undo index="0" exp="area" ref3D="1" dr="$A$59:$AN$302" dn="Z_41E7CAB0_2A4B_4958_880B_BCC01CA8D9B0_.wvu.FilterData" sId="1"/>
    <undo index="0" exp="area" ref3D="1" dr="$B$59:$AN$302" dn="Z_43349B58_238D_424F_9B38_B9A02D36598B_.wvu.FilterData" sId="1"/>
    <undo index="0" exp="area" ref3D="1" dr="$A$59:$AN$302" dn="Z_43337ABF_C1F2_4A60_B522_79A00E6352AF_.wvu.FilterData" sId="1"/>
    <undo index="0" exp="area" ref3D="1" dr="$B$59:$AN$302" dn="Z_41E605F5_B28F_4BC6_9DF2_D2AF66B5F685_.wvu.FilterData" sId="1"/>
    <undo index="0" exp="area" ref3D="1" dr="$B$59:$AN$302" dn="Z_42AC1B0D_F791_4C63_92EF_E01CFF03908D_.wvu.FilterData" sId="1"/>
    <undo index="0" exp="area" ref3D="1" dr="$A$59:$AN$302" dn="Z_430E0251_170F_469C_9C43_B836F1B76A84_.wvu.FilterData" sId="1"/>
    <undo index="0" exp="area" ref3D="1" dr="$A$59:$AN$302" dn="Z_42B4B22B_3661_4B4F_B6F8_C22BE5CABCC0_.wvu.FilterData" sId="1"/>
    <undo index="0" exp="area" ref3D="1" dr="$A$59:$AN$302" dn="Z_44BEF170_9AEA_4F90_9A56_B8F048D8ECC7_.wvu.FilterData" sId="1"/>
    <undo index="0" exp="area" ref3D="1" dr="$A$59:$AN$302" dn="Z_4363CAFB_03FC_4F1F_A0DE_EC53309C77B7_.wvu.FilterData" sId="1"/>
    <undo index="0" exp="area" ref3D="1" dr="$A$59:$AN$302" dn="Z_45C8166A_6143_4988_8C13_277BC5450552_.wvu.FilterData" sId="1"/>
    <undo index="0" exp="area" ref3D="1" dr="$B$59:$AN$302" dn="Z_43B967EC_0D7C_46DF_9BEA_C0266BCF49B2_.wvu.FilterData" sId="1"/>
    <undo index="0" exp="area" ref3D="1" dr="$B$59:$AN$302" dn="Z_4631CDC9_3CB0_46A0_A411_DA030B1C25C6_.wvu.FilterData" sId="1"/>
    <undo index="0" exp="area" ref3D="1" dr="$A$59:$AN$302" dn="Z_45979D4F_AD59_474D_8932_09AE1A11767A_.wvu.FilterData" sId="1"/>
    <undo index="0" exp="area" ref3D="1" dr="$B$59:$AN$302" dn="Z_5498894E_BF4D_431D_84F2_F519DD548AE5_.wvu.FilterData" sId="1"/>
    <undo index="0" exp="area" ref3D="1" dr="$B$59:$AN$302" dn="Z_5449D300_34C1_4154_9209_BD3BED708BF5_.wvu.FilterData" sId="1"/>
    <undo index="0" exp="area" ref3D="1" dr="$A$59:$AN$302" dn="Z_540ED67E_48A4_42C9_8933_01DBB70F9FC6_.wvu.FilterData" sId="1"/>
    <undo index="0" exp="area" ref3D="1" dr="$A$59:$AN$302" dn="Z_53933DC9_8D3E_405A_98A9_80740AC0B9CF_.wvu.FilterData" sId="1"/>
    <undo index="0" exp="area" ref3D="1" dr="$A$59:$AN$302" dn="Z_52E5463D_8C23_4C5E_9563_8FAC384914C2_.wvu.FilterData" sId="1"/>
    <undo index="0" exp="area" ref3D="1" dr="$A$59:$AN$302" dn="Z_55A9D4C0_8482_4959_B827_6AC69AD7F2F0_.wvu.FilterData" sId="1"/>
    <undo index="0" exp="area" ref3D="1" dr="$A$59:$AN$302" dn="Z_52A57B55_91F1_44CE_A92C_27384918E1DD_.wvu.FilterData" sId="1"/>
    <undo index="0" exp="area" ref3D="1" dr="$B$59:$AN$302" dn="Z_52019DA7_9246_4B08_9F51_34B8F5416A98_.wvu.FilterData" sId="1"/>
    <undo index="0" exp="area" ref3D="1" dr="$A$59:$AN$302" dn="Z_531A60D9_F723_438A_88CF_A7EC35AE5C5D_.wvu.FilterData" sId="1"/>
    <undo index="0" exp="area" ref3D="1" dr="$B$59:$AN$302" dn="Z_542EBC9D_64B9_4ABA_A324_302A387E309D_.wvu.FilterData" sId="1"/>
    <undo index="0" exp="area" ref3D="1" dr="$A$59:$AN$302" dn="Z_50DCF7A5_2981_4D29_A1B0_FCC718EF1C57_.wvu.FilterData" sId="1"/>
    <undo index="0" exp="area" ref3D="1" dr="$A$59:$AN$302" dn="Z_556962E9_62D3_4D2A_A89A_15CA2D7496E9_.wvu.FilterData" sId="1"/>
    <undo index="0" exp="area" ref3D="1" dr="$B$59:$AN$302" dn="Z_514F237C_375F_464E_B009_1C9457CCD9C9_.wvu.FilterData" sId="1"/>
    <undo index="0" exp="area" ref3D="1" dr="$A$59:$AN$302" dn="Z_54DB054C_01F1_461C_86D7_4B8791E643D6_.wvu.FilterData" sId="1"/>
    <undo index="0" exp="area" ref3D="1" dr="$A$59:$AN$302" dn="Z_55B30DB6_8312_48D0_8EBC_C09666C0024F_.wvu.FilterData" sId="1"/>
    <undo index="0" exp="area" ref3D="1" dr="$A$59:$AN$302" dn="Z_552FCC10_8D10_416D_A078_293D8F62BD42_.wvu.FilterData" sId="1"/>
    <undo index="0" exp="area" ref3D="1" dr="$A$59:$AN$302" dn="Z_541E82AB_44C9_481A_AEBC_2B2BB3B58A09_.wvu.FilterData" sId="1"/>
    <undo index="0" exp="area" ref3D="1" dr="$B$59:$AN$302" dn="Z_61B8E132_3892_4F93_B401_96B2CE19D429_.wvu.FilterData" sId="1"/>
    <undo index="0" exp="area" ref3D="1" dr="$A$59:$AN$302" dn="Z_6064FCA4_1299_45BD_A7FB_A6A1EA1CED0D_.wvu.FilterData" sId="1"/>
    <undo index="0" exp="area" ref3D="1" dr="$A$59:$AN$302" dn="Z_5FB124BF_7101_4D12_899A_5D83D3002B21_.wvu.FilterData" sId="1"/>
    <undo index="0" exp="area" ref3D="1" dr="$A$59:$AN$302" dn="Z_61CDA96D_05D5_4048_BE36_A749ACF0BF16_.wvu.FilterData" sId="1"/>
    <undo index="0" exp="area" ref3D="1" dr="$A$59:$AN$302" dn="Z_60D2C030_4E31_4E07_8E1C_44D2EE84B177_.wvu.FilterData" sId="1"/>
    <undo index="0" exp="area" ref3D="1" dr="$A$59:$AN$302" dn="Z_5F4C5D0B_AAFB_45D3_9977_5762875B45D9_.wvu.FilterData" sId="1"/>
    <undo index="0" exp="area" ref3D="1" dr="$B$59:$AN$302" dn="Z_60AC2527_814D_446F_96A2_688DF4B3FB31_.wvu.FilterData" sId="1"/>
    <undo index="0" exp="area" ref3D="1" dr="$A$59:$AN$302" dn="Z_64A2AB02_D456_417B_891E_F6D0030057BB_.wvu.FilterData" sId="1"/>
    <undo index="0" exp="area" ref3D="1" dr="$B$59:$AN$302" dn="Z_636AF546_865A_4746_B0C4_E25D46F459D4_.wvu.FilterData" sId="1"/>
    <undo index="0" exp="area" ref3D="1" dr="$A$59:$AN$302" dn="Z_5726533A_9898_44CF_98FC_C69A068BE61C_.wvu.FilterData" sId="1"/>
    <undo index="0" exp="area" ref3D="1" dr="$A$59:$AN$302" dn="Z_5987616E_1448_448E_9F5B_7BE6DE6A8035_.wvu.FilterData" sId="1"/>
    <undo index="0" exp="area" ref3D="1" dr="$B$59:$AN$302" dn="Z_563F0E48_4880_4BA0_8B51_589CD49BC542_.wvu.FilterData" sId="1"/>
    <undo index="0" exp="area" ref3D="1" dr="$A$59:$AN$302" dn="Z_58850641_8130_4339_8D8C_DDA9502A83CD_.wvu.FilterData" sId="1"/>
    <undo index="0" exp="area" ref3D="1" dr="$A$59:$AN$302" dn="Z_5F293130_E18A_40E4_98F9_B70CE78B7503_.wvu.FilterData" sId="1"/>
    <undo index="0" exp="area" ref3D="1" dr="$B$59:$AN$302" dn="Z_5EDC2EFF_5E79_4466_BF9D_79C6A5B40ED9_.wvu.FilterData" sId="1"/>
    <undo index="0" exp="area" ref3D="1" dr="$A$59:$AN$302" dn="Z_5BB3BEFD_1A62_45A9_98B1_873AA0E36F1C_.wvu.FilterData" sId="1"/>
    <undo index="0" exp="area" ref3D="1" dr="$B$59:$AN$302" dn="Z_5DA88502_EE01_4790_8D73_BA293A53CF17_.wvu.FilterData" sId="1"/>
    <undo index="0" exp="area" ref3D="1" dr="$A$59:$AN$302" dn="Z_5D3F990D_A922_4ED1_95AE_64CAB3AF267D_.wvu.FilterData" sId="1"/>
    <undo index="0" exp="area" ref3D="1" dr="$B$59:$AN$302" dn="Z_590C7751_D2AD_44DD_9E2C_6A20FF74A475_.wvu.FilterData" sId="1"/>
    <undo index="0" exp="area" ref3D="1" dr="$A$59:$AN$302" dn="Z_5B6DC8B2_B67A_40E4_8DD7_7813D2ABA00A_.wvu.FilterData" sId="1"/>
    <undo index="0" exp="area" ref3D="1" dr="$A$59:$AN$302" dn="Z_587E78D9_8F50_4AC3_9E1F_581BE3551E64_.wvu.FilterData" sId="1"/>
    <undo index="0" exp="area" ref3D="1" dr="$A$59:$AN$302" dn="Z_6FDA3908_33D8_4257_8E81_8918028CEF1C_.wvu.FilterData" sId="1"/>
    <undo index="0" exp="area" ref3D="1" dr="$A$59:$AN$302" dn="Z_6E1799E6_49A9_4A8E_AC1B_E18712DD61BF_.wvu.FilterData" sId="1"/>
    <undo index="0" exp="area" ref3D="1" dr="$A$59:$AN$302" dn="Z_6D9B17D1_971C_4073_86BB_ED56854123E5_.wvu.FilterData" sId="1"/>
    <undo index="0" exp="area" ref3D="1" dr="$A$59:$AN$302" dn="Z_6BE441EC_C2B3_484F_8D66_B1F935DB9228_.wvu.FilterData" sId="1"/>
    <undo index="0" exp="area" ref3D="1" dr="$B$59:$AN$302" dn="Z_6D5437E7_0F6A_474A_A969_679C02E613D2_.wvu.FilterData" sId="1"/>
    <undo index="0" exp="area" ref3D="1" dr="$A$59:$AN$302" dn="Z_6DE17C78_E65F_476D_9F32_90CC12C01E83_.wvu.FilterData" sId="1"/>
    <undo index="0" exp="area" ref3D="1" dr="$A$59:$AN$302" dn="Z_6CDC68E0_8BBA_4F62_B4E1_F840303D63ED_.wvu.FilterData" sId="1"/>
    <undo index="0" exp="area" ref3D="1" dr="$A$59:$AN$302" dn="Z_6BAEB746_6A64_4AC5_8303_BAD8776C6375_.wvu.FilterData" sId="1"/>
    <undo index="0" exp="area" ref3D="1" dr="$A$59:$AN$302" dn="Z_6F144052_1690_4609_B145_94EAC52CA5F6_.wvu.FilterData" sId="1"/>
    <undo index="0" exp="area" ref3D="1" dr="$B$59:$AN$302" dn="Z_6F138582_DA2E_48FF_8C71_FD324AC976C1_.wvu.FilterData" sId="1"/>
    <undo index="0" exp="area" ref3D="1" dr="$A$59:$AN$302" dn="Z_715BFEE4_32CD_4B7E_A647_03CCF4A790F0_.wvu.FilterData" sId="1"/>
    <undo index="0" exp="area" ref3D="1" dr="$A$59:$AN$302" dn="Z_705DC135_428A_4950_A2C7_342AB4CA334B_.wvu.FilterData" sId="1"/>
    <undo index="0" exp="area" ref3D="1" dr="$B$59:$AN$302" dn="Z_70DDEEC0_45AF_4451_8DAA_CB6E764E900C_.wvu.FilterData" sId="1"/>
    <undo index="0" exp="area" ref3D="1" dr="$A$59:$AN$302" dn="Z_663D92E1_2F0A_4236_AFC6_1C6DF6871513_.wvu.FilterData" sId="1"/>
    <undo index="0" exp="area" ref3D="1" dr="$A$59:$AN$302" dn="Z_6B1C0053_0046_4D67_BA8B_616B43777C0C_.wvu.FilterData" sId="1"/>
    <undo index="0" exp="area" ref3D="1" dr="$B$59:$AN$302" dn="Z_6607199E_6F59_49CF_9E27_CD16D2C15F5A_.wvu.FilterData" sId="1"/>
    <undo index="0" exp="area" ref3D="1" dr="$A$59:$AN$302" dn="Z_676ED31B_26A9_422B_B32B_D771CE6CFCB7_.wvu.FilterData" sId="1"/>
    <undo index="0" exp="area" ref3D="1" dr="$B$59:$AN$302" dn="Z_668FC5B4_A974_4B0C_A190_6FBF948C282E_.wvu.FilterData" sId="1"/>
    <undo index="0" exp="area" ref3D="1" dr="$A$59:$AN$302" dn="Z_692EEB33_DCD1_458F_9C5E_4B229B986D68_.wvu.FilterData" sId="1"/>
    <undo index="0" exp="area" ref3D="1" dr="$B$59:$AN$302" dn="Z_654DEE07_DF95_4D03_A781_4519E9F80CCE_.wvu.FilterData" sId="1"/>
    <undo index="0" exp="area" ref3D="1" dr="$A$59:$AN$302" dn="Z_67ABB675_2C62_49AF_8540_021B914E058D_.wvu.FilterData" sId="1"/>
    <undo index="0" exp="area" ref3D="1" dr="$A$59:$AN$302" dn="Z_6AC12BBF_4FCF_454B_8B71_C95696419151_.wvu.FilterData" sId="1"/>
    <undo index="0" exp="area" ref3D="1" dr="$B$59:$AN$302" dn="Z_6A5804B2_391C_4C29_93A5_DA8848A9C0A9_.wvu.FilterData" sId="1"/>
    <undo index="0" exp="area" ref3D="1" dr="$B$59:$AN$302" dn="Z_6B374A4D_249C_4C23_AA17_86959F27F346_.wvu.FilterData" sId="1"/>
    <undo index="0" exp="area" ref3D="1" dr="$A$59:$AN$302" dn="Z_69A90271_D13B_4CCF_8FCA_9323261EF376_.wvu.FilterData" sId="1"/>
    <undo index="0" exp="area" ref3D="1" dr="$B$59:$AN$302" dn="Z_68A8DFB2_121C_4691_9D2A_B69DC01BC1C7_.wvu.FilterData" sId="1"/>
    <undo index="0" exp="area" ref3D="1" dr="$B$59:$AN$302" dn="Z_A0C8FF3D_B76B_442F_975B_965579239FA1_.wvu.FilterData" sId="1"/>
    <undo index="0" exp="area" ref3D="1" dr="$B$59:$AN$302" dn="Z_E2480007_FB45_4613_9F8A_26BBBEB60716_.wvu.FilterData" sId="1"/>
    <undo index="0" exp="area" ref3D="1" dr="$B$59:$AN$302" dn="Z_668D2601_6D28_4914_B978_99DC33EE7E47_.wvu.FilterData" sId="1"/>
    <undo index="0" exp="area" ref3D="1" dr="$A$59:$AN$302" dn="Z_B91F8F80_1E41_4E6C_9709_D19696E1443D_.wvu.FilterData" sId="1"/>
    <undo index="0" exp="area" ref3D="1" dr="$A$59:$AN$302" dn="Z_B72E275A_6F24_41A1_9C6B_D2DDECD287BC_.wvu.FilterData" sId="1"/>
    <undo index="0" exp="area" ref3D="1" dr="$A$59:$AN$302" dn="Z_B79C9779_79E7_4967_9F57_FA2282BD4D08_.wvu.FilterData" sId="1"/>
    <undo index="0" exp="area" ref3D="1" dr="$A$59:$AN$302" dn="Z_B8A226AA_4E0E_4D2F_B0B1_CAC5B7F3C8A1_.wvu.FilterData" sId="1"/>
    <undo index="0" exp="area" ref3D="1" dr="$A$59:$AN$302" dn="Z_B2C38213_55F0_472A_9AC5_17E55E58FE85_.wvu.FilterData" sId="1"/>
    <undo index="0" exp="area" ref3D="1" dr="$A$59:$AN$302" dn="Z_B28487AD_1FF3_420C_9816_908EA83E5D3C_.wvu.FilterData" sId="1"/>
    <undo index="0" exp="area" ref3D="1" dr="$A$59:$AN$302" dn="Z_B11A962E_2A67_42C2_BEEE_79C17A6F4042_.wvu.FilterData" sId="1"/>
    <undo index="0" exp="area" ref3D="1" dr="$B$59:$AN$302" dn="Z_B499B82B_96ED_4CBF_BFE1_5CA7DAD3BC0F_.wvu.FilterData" sId="1"/>
    <undo index="0" exp="area" ref3D="1" dr="$B$59:$AN$302" dn="Z_B28746A6_3784_4E4C_9E3E_05917653FE5F_.wvu.FilterData" sId="1"/>
    <undo index="0" exp="area" ref3D="1" dr="$B$59:$AN$302" dn="Z_B3CBA697_396C_49AA_95DB_637C81CB8DF9_.wvu.FilterData" sId="1"/>
    <undo index="0" exp="area" ref3D="1" dr="$A$59:$AN$302" dn="Z_B21B93A4_DB8C_447E_A2B3_6FDA5FBC137D_.wvu.FilterData" sId="1"/>
    <undo index="0" exp="area" ref3D="1" dr="$A$59:$AN$302" dn="Z_B3C63703_90C0_415A_9B74_0BAEBA645E35_.wvu.FilterData" sId="1"/>
    <undo index="0" exp="area" ref3D="1" dr="$B$59:$AN$302" dn="Z_B1BAE94B_9F00_4EF3_A8CE_FFF8D917D97C_.wvu.FilterData" sId="1"/>
    <undo index="0" exp="area" ref3D="1" dr="$A$59:$AN$302" dn="Z_B5BFFC65_D8AA_4F24_A457_30C4D3425FDB_.wvu.FilterData" sId="1"/>
    <undo index="0" exp="area" ref3D="1" dr="$A$59:$AN$302" dn="Z_B2EC619E_F51B_483E_9AAF_517D4B41291A_.wvu.FilterData" sId="1"/>
    <undo index="0" exp="area" ref3D="1" dr="$A$59:$AN$302" dn="Z_B54D8A4B_BE39_481D_84D7_4F280C2EA516_.wvu.FilterData" sId="1"/>
    <undo index="0" exp="area" ref3D="1" dr="$B$59:$AN$302" dn="Z_B532AA05_9EB4_46DE_A45A_E34C29A069AA_.wvu.FilterData" sId="1"/>
    <undo index="0" exp="area" ref3D="1" dr="$A$59:$AN$302" dn="Z_B4A86492_91CA_4B88_905A_7180E7C62EB2_.wvu.FilterData" sId="1"/>
    <undo index="0" exp="area" ref3D="1" dr="$B$59:$AN$302" dn="Z_B2C470A8_EA38_4E8A_AFC7_3088AC1C6257_.wvu.FilterData" sId="1"/>
    <undo index="0" exp="area" ref3D="1" dr="$A$59:$AN$302" dn="Z_B386F4D0_99CB_473C_A930_D441BD49F02F_.wvu.FilterData" sId="1"/>
    <undo index="0" exp="area" ref3D="1" dr="$A$59:$AN$302" dn="Z_AEE31DEF_6354_4D0B_A102_CB9D77D60F31_.wvu.FilterData" sId="1"/>
    <undo index="0" exp="area" ref3D="1" dr="$B$59:$AN$302" dn="Z_AB8A5668_D9AB_4435_929C_EC5CD32EE891_.wvu.FilterData" sId="1"/>
    <undo index="0" exp="area" ref3D="1" dr="$A$59:$AN$302" dn="Z_B1055908_6224_4011_925E_7C2E1172AE70_.wvu.FilterData" sId="1"/>
    <undo index="0" exp="area" ref3D="1" dr="$B$59:$AN$302" dn="Z_B0D4B0A9_441A_40CA_8004_F6D98B3003DF_.wvu.FilterData" sId="1"/>
    <undo index="0" exp="area" ref3D="1" dr="$A$59:$AN$302" dn="Z_ADD81405_E6B7_41C3_A379_D812EDE6C6DE_.wvu.FilterData" sId="1"/>
    <undo index="0" exp="area" ref3D="1" dr="$A$59:$AN$302" dn="Z_B06D242B_D21C_41E5_82AB_BA350B34DB54_.wvu.FilterData" sId="1"/>
    <undo index="0" exp="area" ref3D="1" dr="$A$59:$AN$302" dn="Z_AD0FF98A_2F3B_40F7_861D_434AA89A29DD_.wvu.FilterData" sId="1"/>
    <undo index="0" exp="area" ref3D="1" dr="$A$59:$AN$302" dn="Z_AFC1A459_0CFD_449E_852E_780E257CA969_.wvu.FilterData" sId="1"/>
    <undo index="0" exp="area" ref3D="1" dr="$B$59:$AN$302" dn="Z_ADD46B79_F7F7_46DE_9772_2E93369E66DE_.wvu.FilterData" sId="1"/>
    <undo index="0" exp="area" ref3D="1" dr="$A$59:$AN$302" dn="Z_AD8B49E8_87DC_4177_B177_5FFC62AFABB7_.wvu.FilterData" sId="1"/>
    <undo index="0" exp="area" ref3D="1" dr="$B$59:$AN$302" dn="Z_AD31D473_ABF1_4543_84A5_D817CF174F0C_.wvu.FilterData" sId="1"/>
    <undo index="0" exp="area" ref3D="1" dr="$A$59:$AN$302" dn="Z_B047BE5B_FE60_48F0_9260_C39693686782_.wvu.FilterData" sId="1"/>
    <undo index="0" exp="area" ref3D="1" dr="$A$59:$AN$302" dn="Z_AF2C09E3_1A45_4560_8BFB_57F00F3CF600_.wvu.FilterData" sId="1"/>
    <undo index="0" exp="area" ref3D="1" dr="$A$59:$AN$302" dn="Z_AF189699_1222_40FF_ACE8_2099FF14FAC9_.wvu.FilterData" sId="1"/>
    <undo index="0" exp="area" ref3D="1" dr="$A$59:$AN$302" dn="Z_AD27B5B3_C4F2_4AB4_889A_203E2C0A7B22_.wvu.FilterData" sId="1"/>
    <undo index="0" exp="area" ref3D="1" dr="$B$59:$AN$302" dn="Z_ABE1B979_D75D_42A3_AB3C_1BC48A1ABE90_.wvu.FilterData" sId="1"/>
    <undo index="0" exp="area" ref3D="1" dr="$B$59:$AN$302" dn="Z_AC999F38_EF0E_452F_99C6_511671044A11_.wvu.FilterData" sId="1"/>
    <undo index="0" exp="area" ref3D="1" dr="$B$59:$AN$302" dn="Z_A663A7DA_D86D_4DEF_9BFD_5DB8AD74E021_.wvu.FilterData" sId="1"/>
    <undo index="0" exp="area" ref3D="1" dr="$A$59:$AN$302" dn="Z_A4C099B1_5E5F_4C56_A24C_DD6003681108_.wvu.FilterData" sId="1"/>
    <undo index="0" exp="area" ref3D="1" dr="$A$59:$AN$302" dn="Z_A546423F_1F1A_4C80_A6E5_B1F632CC0E97_.wvu.FilterData" sId="1"/>
    <undo index="0" exp="area" ref3D="1" dr="$B$59:$AN$302" dn="Z_AA08188C_4214_4528_ACD9_C2614CA84F28_.wvu.FilterData" sId="1"/>
    <undo index="0" exp="area" ref3D="1" dr="$B$59:$AN$302" dn="Z_A530D591_A56D_49B0_89DC_9DC0A415D13A_.wvu.FilterData" sId="1"/>
    <undo index="0" exp="area" ref3D="1" dr="$A$59:$AN$302" dn="Z_A52B4186_3590_4AD1_9624_DC2A103B03AD_.wvu.FilterData" sId="1"/>
    <undo index="0" exp="area" ref3D="1" dr="$A$59:$AN$302" dn="Z_A50E4143_AF12_4C63_895C_11E0B566FC9F_.wvu.FilterData" sId="1"/>
    <undo index="0" exp="area" ref3D="1" dr="$A$59:$AN$302" dn="Z_A69D5879_F20E_424D_BE9A_D2AC0F4120BC_.wvu.FilterData" sId="1"/>
    <undo index="0" exp="area" ref3D="1" dr="$A$59:$AN$302" dn="Z_A87FFE3F_77FF_433C_8CA8_6171BAB76800_.wvu.FilterData" sId="1"/>
    <undo index="0" exp="area" ref3D="1" dr="$A$59:$AN$302" dn="Z_A836B445_4F59_4535_9297_85C0D2ED9ECD_.wvu.FilterData" sId="1"/>
    <undo index="0" exp="area" ref3D="1" dr="$A$59:$AN$302" dn="Z_A7D380F0_390E_41B2_8D7C_8A5C5BADE80E_.wvu.FilterData" sId="1"/>
    <undo index="0" exp="area" ref3D="1" dr="$B$59:$AN$302" dn="Z_A97F1F0F_D4DA_4DCF_90A4_C17A9941DAFC_.wvu.FilterData" sId="1"/>
    <undo index="0" exp="area" ref3D="1" dr="$A$59:$AN$302" dn="Z_A872A925_F97A_4BCF_ADA0_5A890430B25E_.wvu.FilterData" sId="1"/>
    <undo index="0" exp="area" ref3D="1" dr="$A$59:$AN$302" dn="Z_41B7224C_354F_4B88_9B98_43627917A540_.wvu.FilterData" sId="1"/>
    <undo index="0" exp="area" ref3D="1" dr="$A$59:$AN$302" dn="Z_41B3B5E7_01C8_41FF_922A_4593EFAB73DD_.wvu.FilterData" sId="1"/>
    <undo index="0" exp="area" ref3D="1" dr="$B$59:$AN$302" dn="Z_418FE5D8_ED33_487E_935B_D5A73A0239F7_.wvu.FilterData" sId="1"/>
    <undo index="0" exp="area" ref3D="1" dr="$A$59:$AN$302" dn="Z_3FE10495_1B6C_4959_94D5_3F24189E452B_.wvu.FilterData" sId="1"/>
    <undo index="0" exp="area" ref3D="1" dr="$B$59:$AN$302" dn="Z_40A964FB_C92A_49B8_9AA3_FE8F219A42A3_.wvu.FilterData" sId="1"/>
    <undo index="0" exp="area" ref3D="1" dr="$B$59:$AN$302" dn="Z_410A5739_65A6_4083_AD75_810DFD50385D_.wvu.FilterData" sId="1"/>
    <undo index="0" exp="area" ref3D="1" dr="$A$59:$AN$302" dn="Z_4113A7E6_6C3F_4D64_B0E0_3D21B9E2D7FB_.wvu.FilterData" sId="1"/>
    <undo index="0" exp="area" ref3D="1" dr="$B$59:$AN$302" dn="Z_41E28B46_16FD_473E_AED2_27DFD35D1D37_.wvu.FilterData" sId="1"/>
    <undo index="0" exp="area" ref3D="1" dr="$A$59:$AN$302" dn="Z_418BE608_8E05_425D_ADF5_C98828D3118E_.wvu.FilterData" sId="1"/>
    <undo index="0" exp="area" ref3D="1" dr="$A$59:$AN$302" dn="Z_3DF09920_EE81_4793_85ED_952B91BC0FF9_.wvu.FilterData" sId="1"/>
    <undo index="0" exp="area" ref3D="1" dr="$A$59:$AN$302" dn="Z_39E4AC89_7841_4E5A_8620_536EED1E7344_.wvu.FilterData" sId="1"/>
    <undo index="0" exp="area" ref3D="1" dr="$A$59:$AN$302" dn="Z_3E8FBB19_A64D_448B_81AB_04038F2F5450_.wvu.FilterData" sId="1"/>
    <undo index="0" exp="area" ref3D="1" dr="$B$59:$AN$302" dn="Z_3DA6A480_37AA_4361_B359_67BDC8170173_.wvu.FilterData" sId="1"/>
    <undo index="0" exp="area" ref3D="1" dr="$A$59:$AN$302" dn="Z_399A2B8F_620D_4119_8345_C1BC98E6FDED_.wvu.FilterData" sId="1"/>
    <undo index="0" exp="area" ref3D="1" dr="$B$59:$AN$302" dn="Z_3D91D09F_6D0C_4255_BA2B_6BD947E2FF0E_.wvu.FilterData" sId="1"/>
    <undo index="0" exp="area" ref3D="1" dr="$A$59:$AN$302" dn="Z_3D4CD47C_226B_4FF1_88AF_593F8969A0FD_.wvu.FilterData" sId="1"/>
    <undo index="0" exp="area" ref3D="1" dr="$A$59:$AN$302" dn="Z_3B954526_77A2_415B_8A44_A388EFC846B3_.wvu.FilterData" sId="1"/>
    <undo index="0" exp="area" ref3D="1" dr="$A$59:$AN$302" dn="Z_3B3E6719_EACB_4D2C_89C1_05FFAB6020FD_.wvu.FilterData" sId="1"/>
    <undo index="0" exp="area" ref3D="1" dr="$A$59:$AN$302" dn="Z_3F2D718E_A8F5_4195_B9AD_DD90158865D0_.wvu.FilterData" sId="1"/>
    <undo index="0" exp="area" ref3D="1" dr="$A$59:$AN$302" dn="Z_3E3F0822_A017_450A_AAE1_67E212084D3A_.wvu.FilterData" sId="1"/>
    <undo index="0" exp="area" ref3D="1" dr="$A$59:$AN$302" dn="Z_3E3EE777_FBC3_4BBA_B1D6_0E928DBEDF6C_.wvu.FilterData" sId="1"/>
    <undo index="0" exp="area" ref3D="1" dr="$A$59:$AN$302" dn="Z_3A3DB99F_F462_44E1_B1E7_E76CEAEEA419_.wvu.FilterData" sId="1"/>
    <undo index="0" exp="area" ref3D="1" dr="$A$59:$AN$302" dn="Z_3F3C2FF1_7DE3_44CF_ADEA_69A591BC0518_.wvu.FilterData" sId="1"/>
    <undo index="0" exp="area" ref3D="1" dr="$A$59:$AN$302" dn="Z_3EA4C9FF_8C78_4D45_BDC9_FDE42D0A7F9D_.wvu.FilterData" sId="1"/>
    <undo index="0" exp="area" ref3D="1" dr="$A$59:$AN$302" dn="Z_3DE9B179_E2E6_467A_9DD7_0F3E3A90D04B_.wvu.FilterData" sId="1"/>
    <undo index="0" exp="area" ref3D="1" dr="$A$59:$AN$302" dn="Z_307AA98B_D1DC_46DD_8986_F774A0EA6252_.wvu.FilterData" sId="1"/>
    <undo index="0" exp="area" ref3D="1" dr="$A$59:$AN$302" dn="Z_389C76C2_C502_4EAE_BD4B_6D7DAF4A1938_.wvu.FilterData" sId="1"/>
    <undo index="0" exp="area" ref3D="1" dr="$A$59:$AN$302" dn="Z_36540C60_265F_4498_B23A_15E0886B2552_.wvu.FilterData" sId="1"/>
    <undo index="0" exp="area" ref3D="1" dr="$A$59:$AN$302" dn="Z_3379F5D4_5E76_428C_9353_FFA4709A8F67_.wvu.FilterData" sId="1"/>
    <undo index="0" exp="area" ref3D="1" dr="$A$59:$AN$302" dn="Z_352F7979_7891_4C3B_A1C2_F092716CECF2_.wvu.FilterData" sId="1"/>
    <undo index="0" exp="area" ref3D="1" dr="$B$59:$AN$302" dn="Z_36B89FCF_06F8_420B_B5B7_D30030E7DBE9_.wvu.FilterData" sId="1"/>
    <undo index="0" exp="area" ref3D="1" dr="$A$59:$AN$302" dn="Z_340679E5_EE95_46DD_AAED_AB4132625FC4_.wvu.FilterData" sId="1"/>
    <undo index="0" exp="area" ref3D="1" dr="$A$59:$AN$302" dn="Z_30F91928_68DC_482E_AABC_DF89AB048D73_.wvu.FilterData" sId="1"/>
    <undo index="0" exp="area" ref3D="1" dr="$A$59:$AN$302" dn="Z_308F0676_A9B9_4C93_A293_C6BBBCA54ABC_.wvu.FilterData" sId="1"/>
    <undo index="0" exp="area" ref3D="1" dr="$A$59:$AN$302" dn="Z_30F8A201_E4CA_4B8D_9C8A_6BF5BBDF1856_.wvu.FilterData" sId="1"/>
    <undo index="0" exp="area" ref3D="1" dr="$A$59:$AN$302" dn="Z_30448A52_705D_4B87_AE53_EC31210B9026_.wvu.FilterData" sId="1"/>
    <undo index="0" exp="area" ref3D="1" dr="$A$59:$AN$302" dn="Z_31148D3F_D233_4B5E_92DE_30A4208F1672_.wvu.FilterData" sId="1"/>
    <undo index="0" exp="area" ref3D="1" dr="$A$59:$AN$302" dn="Z_36623BD2_CACF_4A31_9FDE_180BE1FBD22D_.wvu.FilterData" sId="1"/>
    <undo index="0" exp="area" ref3D="1" dr="$A$59:$AN$302" dn="Z_31A40E8B_548E_40B3_85D0_F053A5085308_.wvu.FilterData" sId="1"/>
    <undo index="0" exp="area" ref3D="1" dr="$A$59:$AN$302" dn="Z_36599628_2389_4803_851A_D6E5004D8A4F_.wvu.FilterData" sId="1"/>
    <undo index="0" exp="area" ref3D="1" dr="$A$59:$AN$302" dn="Z_3130D014_973F_4DF5_B95F_39633D93F2F2_.wvu.FilterData" sId="1"/>
    <undo index="0" exp="area" ref3D="1" dr="$A$59:$AN$302" dn="Z_2C75BAC8_7BA6_496F_8982_76E32EA3035D_.wvu.FilterData" sId="1"/>
    <undo index="0" exp="area" ref3D="1" dr="$A$59:$AN$302" dn="Z_2AB2D19C_A4BA_4574_8CD8_E01DB9CEF44C_.wvu.FilterData" sId="1"/>
    <undo index="0" exp="area" ref3D="1" dr="$A$59:$AN$302" dn="Z_2ECACE1E_D2E3_430C_8EF5_F1F6D824E42A_.wvu.FilterData" sId="1"/>
    <undo index="0" exp="area" ref3D="1" dr="$A$59:$AN$302" dn="Z_2BB144EC_5E5F_4D44_AD8D_03EF7D4BC90D_.wvu.FilterData" sId="1"/>
    <undo index="0" exp="area" ref3D="1" dr="$A$59:$AN$302" dn="Z_2D9C8AE5_DCBC_444F_972E_A405F428F9A1_.wvu.FilterData" sId="1"/>
    <undo index="0" exp="area" ref3D="1" dr="$A$59:$AN$302" dn="Z_2BB7C7F9_75AA_4B3F_AF2D_E10396E569D3_.wvu.FilterData" sId="1"/>
    <undo index="0" exp="area" ref3D="1" dr="$A$59:$AN$302" dn="Z_2E32B38E_8332_4B76_9525_4C9E4A492B76_.wvu.FilterData" sId="1"/>
    <undo index="0" exp="area" ref3D="1" dr="$A$59:$AN$302" dn="Z_2F601AC7_90C0_4B91_8424_FA87F0904645_.wvu.FilterData" sId="1"/>
    <undo index="0" exp="area" ref3D="1" dr="$B$59:$AN$302" dn="Z_2E090A56_2888_4935_9988_615F66B95039_.wvu.FilterData" sId="1"/>
    <undo index="0" exp="area" ref3D="1" dr="$A$59:$AN$302" dn="Z_2D809D6B_2E51_47F1_9DCB_0CD6A0D443DD_.wvu.FilterData" sId="1"/>
    <undo index="0" exp="area" ref3D="1" dr="$B$59:$AN$302" dn="Z_2A9975D9_7C20_4632_A4AA_EE470CC19EE0_.wvu.FilterData" sId="1"/>
    <undo index="0" exp="area" ref3D="1" dr="$A$59:$AN$302" dn="Z_2EE4D9DF_B5D6_4F80_B201_455C7DF6B90A_.wvu.FilterData" sId="1"/>
    <undo index="0" exp="area" ref3D="1" dr="$A$59:$AN$302" dn="Z_2BC2A590_9684_4447_B38C_65C6FB0CEC4B_.wvu.FilterData" sId="1"/>
    <undo index="0" exp="area" ref3D="1" dr="$A$59:$AN$302" dn="Z_2C1EB19B_B948_4109_9D26_12E6653E5E5A_.wvu.FilterData" sId="1"/>
    <undo index="0" exp="area" ref3D="1" dr="$B$59:$AN$302" dn="Z_FAE8A80C_C4BC_48D8_BD9C_49CF101A2744_.wvu.FilterData" sId="1"/>
    <undo index="0" exp="area" ref3D="1" dr="$B$59:$AN$302" dn="Z_481381C8_936B_4AC6_87F5_3AC9921D1BE8_.wvu.FilterData" sId="1"/>
    <undo index="0" exp="area" ref3D="1" dr="$B$59:$AN$302" dn="Z_0C6B4140_26C8_4A85_B5AF_F9A10600F366_.wvu.FilterData" sId="1"/>
    <undo index="0" exp="area" ref3D="1" dr="$B$59:$AN$302" dn="Z_7E197F63_9137_49A9_B42F_FE0233AD596E_.wvu.FilterData" sId="1"/>
    <undo index="0" exp="area" ref3D="1" dr="$A$59:$AN$302" dn="Z_283D4045_5188_4FA2_AA4A_D83AF43FEE1E_.wvu.FilterData" sId="1"/>
    <undo index="0" exp="area" ref3D="1" dr="$A$59:$AN$302" dn="Z_2A7AD122_F9C8_4A2C_A59F_C6EA38D19623_.wvu.FilterData" sId="1"/>
    <undo index="0" exp="area" ref3D="1" dr="$B$59:$AN$302" dn="Z_21BB3E48_D422_446E_8AB6_8B38771A9F18_.wvu.FilterData" sId="1"/>
    <undo index="0" exp="area" ref3D="1" dr="$A$59:$AN$302" dn="Z_21DAA9F9_C215_428C_BF04_E405FED15D7B_.wvu.FilterData" sId="1"/>
    <undo index="0" exp="area" ref3D="1" dr="$A$59:$AN$302" dn="Z_1E307FCD_934B_4070_BDAA_8F2B33379F52_.wvu.FilterData" sId="1"/>
    <undo index="0" exp="area" ref3D="1" dr="$B$59:$AN$302" dn="Z_200B8BBC_3261_4338_B3CF_1D7E97745833_.wvu.FilterData" sId="1"/>
    <undo index="0" exp="area" ref3D="1" dr="$A$59:$AN$302" dn="Z_20D828CF_D8F7_480A_A8C6_95288479E98C_.wvu.FilterData" sId="1"/>
    <undo index="0" exp="area" ref3D="1" dr="$A$59:$AN$302" dn="Z_1FE7120D_DB13_41F0_9DE6_703B2A3D70B8_.wvu.FilterData" sId="1"/>
    <undo index="0" exp="area" ref3D="1" dr="$A$59:$AN$302" dn="Z_20E2792A_EB36_4E05_99BF_3FFC9CA25990_.wvu.FilterData" sId="1"/>
    <undo index="0" exp="area" ref3D="1" dr="$A$59:$AN$302" dn="Z_21DFCA27_D299_4221_887B_C75003D16FAE_.wvu.FilterData" sId="1"/>
    <undo index="0" exp="area" ref3D="1" dr="$B$59:$AN$302" dn="Z_1F96DBC8_93B4_4D2A_9E79_36D8B29E1FEF_.wvu.FilterData" sId="1"/>
    <undo index="0" exp="area" ref3D="1" dr="$A$59:$AN$302" dn="Z_230AE275_002A_4985_92AF_B9C07BA0C56D_.wvu.FilterData" sId="1"/>
    <undo index="0" exp="area" ref3D="1" dr="$B$59:$AN$302" dn="Z_66371693_7808_439E_B063_70A4978B65CE_.wvu.FilterData" sId="1"/>
    <undo index="0" exp="area" ref3D="1" dr="$B$59:$AN$302" dn="Z_FE2E7FF7_4365_4B97_A1BB_BFF7237A3CA9_.wvu.FilterData" sId="1"/>
    <undo index="0" exp="area" ref3D="1" dr="$A$59:$AN$302" dn="Z_FE47AD71_8CD2_4893_9C49_6254ECC2E440_.wvu.FilterData" sId="1"/>
    <undo index="0" exp="area" ref3D="1" dr="$A$59:$AN$302" dn="Z_FF4D0A88_8E58_4B2D_ADD4_8B798800E789_.wvu.FilterData" sId="1"/>
    <undo index="0" exp="area" ref3D="1" dr="$A$59:$AN$302" dn="Z_FD253E6C_9D84_41B1_8B73_4FFC0A94179A_.wvu.FilterData" sId="1"/>
    <undo index="0" exp="area" ref3D="1" dr="$B$59:$AN$302" dn="Z_FDF8FFD6_749D_4772_99C1_B3E079EA1F04_.wvu.FilterData" sId="1"/>
    <undo index="0" exp="area" ref3D="1" dr="$B$59:$AN$302" dn="Z_FECB4C41_27E8_4A22_AFB3_4F54CDD4960E_.wvu.FilterData" sId="1"/>
    <undo index="0" exp="area" ref3D="1" dr="$A$59:$AN$302" dn="Z_FE2C839D_CFC1_49B1_AC2C_8A6402AB94F3_.wvu.FilterData" sId="1"/>
    <undo index="0" exp="area" ref3D="1" dr="$A$59:$AN$302" dn="Z_FF1BF787_1CF3_4849_AB6B_6847F0D0B44C_.wvu.FilterData" sId="1"/>
    <undo index="0" exp="area" ref3D="1" dr="$A$59:$AN$302" dn="Z_F696EBBA_65A4_4CDB_858C_218687A8E6FE_.wvu.FilterData" sId="1"/>
    <undo index="0" exp="area" ref3D="1" dr="$B$59:$AN$302" dn="Z_F7E33AA4_20B3_43EB_9BA5_36014C40D96F_.wvu.FilterData" sId="1"/>
    <undo index="0" exp="area" ref3D="1" dr="$A$59:$AN$302" dn="Z_F7D0EF95_307E_4948_ACC2_0B81F27172C1_.wvu.FilterData" sId="1"/>
    <undo index="0" exp="area" ref3D="1" dr="$A$59:$AN$302" dn="Z_F8DEA099_8757_4B5F_BBB9_98FA1CFA0073_.wvu.FilterData" sId="1"/>
    <undo index="0" exp="area" ref3D="1" dr="$B$59:$AN$302" dn="Z_FD1D0D7B_7524_4858_9DDA_ED871B923AF9_.wvu.FilterData" sId="1"/>
    <undo index="0" exp="area" ref3D="1" dr="$A$59:$AN$302" dn="Z_FCE21000_0736_466E_98A9_00BE42E52D8B_.wvu.FilterData" sId="1"/>
    <undo index="0" exp="area" ref3D="1" dr="$A$59:$AN$302" dn="Z_F8CE8691_220F_445B_B47A_FBA80FD44D07_.wvu.FilterData" sId="1"/>
    <undo index="0" exp="area" ref3D="1" dr="$A$59:$AN$302" dn="Z_F9C9B13C_720B_4A04_B3A2_069AB8597591_.wvu.FilterData" sId="1"/>
    <undo index="0" exp="area" ref3D="1" dr="$A$59:$AN$302" dn="Z_FCBA969A_5620_43C9_8851_24D48C83982B_.wvu.FilterData" sId="1"/>
    <undo index="0" exp="area" ref3D="1" dr="$A$59:$AN$302" dn="Z_F5189931_E130_4E42_B4D4_9E1B4FBEE9C3_.wvu.FilterData" sId="1"/>
    <undo index="0" exp="area" ref3D="1" dr="$A$59:$AN$302" dn="Z_F8123D76_55B1_4B53_A000_EE110DA11BDA_.wvu.FilterData" sId="1"/>
    <undo index="0" exp="area" ref3D="1" dr="$A$59:$AN$302" dn="Z_F96FC7D9_4F89_4FE0_8D00_C0083DEB0472_.wvu.FilterData" sId="1"/>
    <undo index="0" exp="area" ref3D="1" dr="$A$59:$AN$302" dn="Z_F6C70AF2_E9CC_4AB8_AEDF_BD6B4340BBF0_.wvu.FilterData" sId="1"/>
    <undo index="0" exp="area" ref3D="1" dr="$A$59:$AN$302" dn="Z_FAB023CB_E0CF_40FE_B81B_D8D0A8C66F4A_.wvu.FilterData" sId="1"/>
    <undo index="0" exp="area" ref3D="1" dr="$A$59:$AN$302" dn="Z_F81FA1AD_6EE0_4370_AEBF_E6F8CADAEBF0_.wvu.FilterData" sId="1"/>
    <undo index="0" exp="area" ref3D="1" dr="$A$59:$AN$302" dn="Z_F93D09B4_E318_4FDA_8C28_995A74531ED9_.wvu.FilterData" sId="1"/>
    <undo index="0" exp="area" ref3D="1" dr="$B$59:$AN$302" dn="Z_F3576CD0_5355_439B_B618_26A976A8AD4D_.wvu.FilterData" sId="1"/>
    <undo index="0" exp="area" ref3D="1" dr="$A$59:$AN$302" dn="Z_F4009E2D_0500_444F_9349_FCACAEB553D5_.wvu.FilterData" sId="1"/>
    <undo index="0" exp="area" ref3D="1" dr="$A$59:$AN$302" dn="Z_F156840B_A87F_4F21_ACF9_03F56312743A_.wvu.FilterData" sId="1"/>
    <undo index="0" exp="area" ref3D="1" dr="$B$59:$AN$302" dn="Z_F3C62E6E_7BB8_439B_825E_263944F8EEFB_.wvu.FilterData" sId="1"/>
    <undo index="0" exp="area" ref3D="1" dr="$A$59:$AN$302" dn="Z_F379E926_A7D0_4173_BEC7_BDD92726F12F_.wvu.FilterData" sId="1"/>
    <undo index="0" exp="area" ref3D="1" dr="$A$59:$AN$302" dn="Z_EE73AC1D_D830_44B7_9DC4_1CCC2AC80F1D_.wvu.FilterData" sId="1"/>
    <undo index="0" exp="area" ref3D="1" dr="$A$59:$AN$302" dn="Z_F162DB86_5C1E_4516_A70C_427D9A3C0E58_.wvu.FilterData" sId="1"/>
    <undo index="0" exp="area" ref3D="1" dr="$A$59:$AN$302" dn="Z_F050E9E1_F25B_4095_9E95_D7089EDC2226_.wvu.FilterData" sId="1"/>
    <undo index="0" exp="area" ref3D="1" dr="$B$59:$AN$302" dn="Z_F2F80064_51A8_4D52_A123_C0058F84AA1A_.wvu.FilterData" sId="1"/>
    <undo index="0" exp="area" ref3D="1" dr="$A$59:$AN$302" dn="Z_F1F37EDD_6A2B_4E56_B1F4_D71DAD8C88B9_.wvu.FilterData" sId="1"/>
    <undo index="0" exp="area" ref3D="1" dr="$A$59:$AN$302" dn="Z_F3532C7A_7113_46B3_ADCA_11F1836BD68A_.wvu.FilterData" sId="1"/>
    <undo index="0" exp="area" ref3D="1" dr="$A$59:$AN$302" dn="Z_EF66253A_CDE3_48E2_949D_1C6BA70286CF_.wvu.FilterData" sId="1"/>
    <undo index="0" exp="area" ref3D="1" dr="$A$59:$AN$302" dn="Z_EC49E9F2_8B73_419A_8639_1D12E499590C_.wvu.FilterData" sId="1"/>
    <undo index="0" exp="area" ref3D="1" dr="$A$59:$AN$302" dn="Z_ED74FC3D_A36C_4FBD_AAB4_A4D80F730ECF_.wvu.FilterData" sId="1"/>
    <undo index="0" exp="area" ref3D="1" dr="$A$59:$AN$302" dn="Z_F4392C89_FF1A_483A_847A_11EFDD89C2F6_.wvu.FilterData" sId="1"/>
    <undo index="0" exp="area" ref3D="1" dr="$A$59:$AN$302" dn="Z_EF90BF9B_5BE8_4CFE_9F81_7A870501C042_.wvu.FilterData" sId="1"/>
    <undo index="0" exp="area" ref3D="1" dr="$A$59:$AN$302" dn="Z_17183E33_A213_4F3F_9870_F1D7F2A6838A_.wvu.FilterData" sId="1"/>
    <undo index="0" exp="area" ref3D="1" dr="$A$59:$AN$302" dn="Z_17925642_6879_487D_ADC0_372D49287D2A_.wvu.FilterData" sId="1"/>
    <undo index="0" exp="area" ref3D="1" dr="$A$59:$AN$302" dn="Z_1423035C_B8AF_4653_8B0C_9092ECDBF18B_.wvu.FilterData" sId="1"/>
    <undo index="0" exp="area" ref3D="1" dr="$B$59:$AN$302" dn="Z_17A5DA2D_485D_40DC_A1E4_8633668BB65B_.wvu.FilterData" sId="1"/>
    <undo index="0" exp="area" ref3D="1" dr="$B$59:$AN$302" dn="Z_16F63D1D_5D08_4984_94E5_2BF0D97B7171_.wvu.FilterData" sId="1"/>
    <undo index="0" exp="area" ref3D="1" dr="$B$59:$AN$302" dn="Z_16B45F7C_0861_42E7_9410_12BF8F37DCD7_.wvu.FilterData" sId="1"/>
    <undo index="0" exp="area" ref3D="1" dr="$B$59:$AN$302" dn="Z_1838E38E_0617_4284_B70D_EE93F3730ED0_.wvu.FilterData" sId="1"/>
    <undo index="0" exp="area" ref3D="1" dr="$A$59:$AN$302" dn="Z_16059B22_ECA7_4CF0_A34D_CD415168CA09_.wvu.FilterData" sId="1"/>
    <undo index="0" exp="area" ref3D="1" dr="$A$59:$AN$302" dn="Z_13421632_55CA_4586_B03E_1FC519AC043B_.wvu.FilterData" sId="1"/>
    <undo index="0" exp="area" ref3D="1" dr="$A$59:$AN$302" dn="Z_18167987_96B8_43EA_AF4B_66ABD6146BE9_.wvu.FilterData" sId="1"/>
    <undo index="0" exp="area" ref3D="1" dr="$A$59:$AN$302" dn="Z_177E9F46_91FD_4B8A_A333_529CDC2DA674_.wvu.FilterData" sId="1"/>
    <undo index="0" exp="area" ref3D="1" dr="$A$59:$AN$302" dn="Z_176FC70B_AC0D_4734_B7F2_807063B27563_.wvu.FilterData" sId="1"/>
    <undo index="0" exp="area" ref3D="1" dr="$B$59:$AN$302" dn="Z_174A6792_5EF5_42CE_9B3B_86F53BE71447_.wvu.FilterData" sId="1"/>
    <undo index="0" exp="area" ref3D="1" dr="$A$59:$AN$302" dn="Z_1594703F_52BA_4A64_97E2_52459A1FCA6A_.wvu.FilterData" sId="1"/>
    <undo index="0" exp="area" ref3D="1" dr="$B$59:$AN$302" dn="Z_56811EEF_FE6B_419A_9D63_F8571928A5FA_.wvu.FilterData" sId="1"/>
    <undo index="0" exp="area" ref3D="1" dr="$A$59:$AN$302" dn="Z_23D245D9_7B35_44A2_94B6_4223E1EC05C6_.wvu.FilterData" sId="1"/>
    <undo index="0" exp="area" ref3D="1" dr="$B$59:$AN$302" dn="Z_243D98C0_AF41_4E98_98EA_8605BD375B77_.wvu.FilterData" sId="1"/>
    <undo index="0" exp="area" ref3D="1" dr="$B$59:$AN$302" dn="Z_248003BD_EA5C_44B1_A093_224389DDBE20_.wvu.FilterData" sId="1"/>
    <undo index="0" exp="area" ref3D="1" dr="$A$59:$AN$302" dn="Z_237F83C6_2F54_4671_B72D_439DC986FA43_.wvu.FilterData" sId="1"/>
    <undo index="0" exp="area" ref3D="1" dr="$A$59:$AN$302" dn="Z_23D7C543_4321_4BD5_A266_51B179CE94C1_.wvu.FilterData" sId="1"/>
    <undo index="0" exp="area" ref3D="1" dr="$B$59:$AN$302" dn="Z_2524EDF4_CFD1_4CF6_8C84_E557B12D463E_.wvu.FilterData" sId="1"/>
    <undo index="0" exp="area" ref3D="1" dr="$B$59:$AN$302" dn="Z_250915DF_0B97_45D7_B29D_7EED4C89C1C1_.wvu.FilterData" sId="1"/>
    <undo index="0" exp="area" ref3D="1" dr="$B$59:$AN$302" dn="Z_2501AD2B_A07A_49BF_BF9A_AD98671EC307_.wvu.FilterData" sId="1"/>
    <undo index="0" exp="area" ref3D="1" dr="$B$59:$AN$302" dn="Z_24F938AF_0FF7_4211_AC75_7C89293FE5CE_.wvu.FilterData" sId="1"/>
    <undo index="0" exp="area" ref3D="1" dr="$A$59:$AN$302" dn="Z_EBFFEBE0_546B_462A_9BC2_2449B908527C_.wvu.FilterData" sId="1"/>
    <undo index="0" exp="area" ref3D="1" dr="$A$59:$AN$302" dn="Z_E5B6C117_544A_4A15_9506_72CFAF8D0D1D_.wvu.FilterData" sId="1"/>
    <undo index="0" exp="area" ref3D="1" dr="$A$59:$AN$302" dn="Z_E8A82E4B_5EC1_4EEF_95D3_AAA319FE965B_.wvu.FilterData" sId="1"/>
    <undo index="0" exp="area" ref3D="1" dr="$A$59:$AN$302" dn="Z_EA615293_38E7_4916_A5E8_C227C7F1B733_.wvu.FilterData" sId="1"/>
    <undo index="0" exp="area" ref3D="1" dr="$A$59:$AN$302" dn="Z_E95678FD_7412_485F_BAEB_BBDA8CD69D5C_.wvu.FilterData" sId="1"/>
    <undo index="0" exp="area" ref3D="1" dr="$A$59:$AN$302" dn="Z_E92DE111_DF59_4BAC_923C_88C7BF153DF1_.wvu.FilterData" sId="1"/>
    <undo index="0" exp="area" ref3D="1" dr="$B$59:$AN$302" dn="Z_E88DC3CB_0C36_4621_A78A_EADE25323E65_.wvu.FilterData" sId="1"/>
    <undo index="0" exp="area" ref3D="1" dr="$B$59:$AN$302" dn="Z_E6FDFB7C_A7B9_48D5_BBD6_68140ADA35BB_.wvu.FilterData" sId="1"/>
    <undo index="0" exp="area" ref3D="1" dr="$A$59:$AN$302" dn="Z_EBFE2CA4_AFB4_45DF_B165_8BD4F8BC19DB_.wvu.FilterData" sId="1"/>
    <undo index="0" exp="area" ref3D="1" dr="$B$59:$AN$302" dn="Z_E72CA2CF_6FE7_4387_B8FB_A8EC0BD159B1_.wvu.FilterData" sId="1"/>
    <undo index="0" exp="area" ref3D="1" dr="$A$59:$AN$302" dn="Z_E42CC2D7_E706_469E_8006_588FEEFCA5C0_.wvu.FilterData" sId="1"/>
    <undo index="0" exp="area" ref3D="1" dr="$A$59:$AN$302" dn="Z_EAF7C7AB_B9C1_40BD_B2F4_11BC8B7E9DD4_.wvu.FilterData" sId="1"/>
    <undo index="0" exp="area" ref3D="1" dr="$B$59:$AN$302" dn="Z_E73B0B7F_6007_4682_BC1D_F46CD41654E9_.wvu.FilterData" sId="1"/>
    <undo index="0" exp="area" ref3D="1" dr="$A$59:$AN$302" dn="Z_E2F01DF1_5235_4931_B0AA_790594455BB6_.wvu.FilterData" sId="1"/>
    <undo index="0" exp="area" ref3D="1" dr="$B$59:$AN$302" dn="Z_E6637879_26CD_45BB_85B9_AB81FCEF6B80_.wvu.FilterData" sId="1"/>
    <undo index="0" exp="area" ref3D="1" dr="$A$59:$AN$302" dn="Z_E673B4DF_81B7_434A_93DB_BA0164F62BE9_.wvu.FilterData" sId="1"/>
    <undo index="0" exp="area" ref3D="1" dr="$A$59:$AN$302" dn="Z_E6141633_D7E6_4C6C_8705_4DA7F2940436_.wvu.FilterData" sId="1"/>
    <undo index="0" exp="area" ref3D="1" dr="$A$59:$AN$302" dn="Z_DDDADFC2_892F_4575_9FB5_7FE71276432C_.wvu.FilterData" sId="1"/>
    <undo index="0" exp="area" ref3D="1" dr="$B$59:$AN$302" dn="Z_E0F05845_7B3E_4BDE_9641_919043CF8853_.wvu.FilterData" sId="1"/>
    <undo index="0" exp="area" ref3D="1" dr="$A$59:$AN$302" dn="Z_E2CCE2BB_55E8_477A_B457_5F732212A481_.wvu.FilterData" sId="1"/>
    <undo index="0" exp="area" ref3D="1" dr="$A$59:$AN$302" dn="Z_E21F497B_C8B3_425D_9564_DAB73C9822BB_.wvu.FilterData" sId="1"/>
    <undo index="0" exp="area" ref3D="1" dr="$A$59:$AN$302" dn="Z_E06730C8_417E_4BF4_B51A_53DDC930E9E9_.wvu.FilterData" sId="1"/>
    <undo index="0" exp="area" ref3D="1" dr="$A$59:$AN$302" dn="Z_DFD986E7_AAC3_43E9_B4BE_C5FE92B23FBE_.wvu.FilterData" sId="1"/>
    <undo index="0" exp="area" ref3D="1" dr="$B$59:$AN$302" dn="Z_DE7792AA_5050_4583_A5BB_E5DDC52489C5_.wvu.FilterData" sId="1"/>
    <undo index="0" exp="area" ref3D="1" dr="$A$59:$AN$302" dn="Z_E1E1CED1_D24D_4201_B5A3_BFA1AB2FD0D5_.wvu.FilterData" sId="1"/>
    <undo index="0" exp="area" ref3D="1" dr="$A$59:$AN$302" dn="Z_E169ACCC_5904_447E_A318_1E8EC1939B18_.wvu.FilterData" sId="1"/>
    <undo index="0" exp="area" ref3D="1" dr="$A$59:$AN$302" dn="Z_E05C2F43_CE08_45DC_B1B4_839ACC60C017_.wvu.FilterData" sId="1"/>
    <undo index="0" exp="area" ref3D="1" dr="$A$59:$AN$302" dn="Z_E11D25D0_2BF3_48B3_9FBC_3B6D0D0AF949_.wvu.FilterData" sId="1"/>
    <undo index="0" exp="area" ref3D="1" dr="$A$59:$AN$302" dn="Z_E12EC836_80E0_45EE_A6D0_34069B8708A0_.wvu.FilterData" sId="1"/>
    <undo index="0" exp="area" ref3D="1" dr="$A$59:$AN$302" dn="Z_E11762FF_53FC_47CD_8FED_E01CCAF12BA9_.wvu.FilterData" sId="1"/>
    <undo index="0" exp="area" ref3D="1" dr="$A$59:$AN$302" dn="Z_E058DDBE_ED0A_4CA8_8C04_26D1B7AA285A_.wvu.FilterData" sId="1"/>
    <undo index="0" exp="area" ref3D="1" dr="$A$59:$AN$302" dn="Z_E00A38E8_FC2F_43F8_AE31_79E0D2D16894_.wvu.FilterData" sId="1"/>
    <undo index="0" exp="area" ref3D="1" dr="$A$59:$AN$302" dn="Z_DF988CF1_FD31_448D_A2C9_E8188E54B2EB_.wvu.FilterData" sId="1"/>
    <undo index="0" exp="area" ref3D="1" dr="$B$59:$AN$302" dn="Z_DDB52F07_9CA6_4C4D_B256_178082EC8245_.wvu.FilterData" sId="1"/>
    <undo index="0" exp="area" ref3D="1" dr="$A$59:$AN$302" dn="Z_D5495B41_8856_434C_AE51_6C7F28A4892B_.wvu.FilterData" sId="1"/>
    <undo index="0" exp="area" ref3D="1" dr="$A$59:$AN$302" dn="Z_D77CCEF1_8D3A_4E1F_984B_678440D6A2B2_.wvu.FilterData" sId="1"/>
    <undo index="0" exp="area" ref3D="1" dr="$A$59:$AN$302" dn="Z_DD788658_D329_4BC9_A4CF_42A7BA14B6A8_.wvu.FilterData" sId="1"/>
    <undo index="0" exp="area" ref3D="1" dr="$A$59:$AN$302" dn="Z_DCB49D15_4EC2_40E2_99C4_E04CD61EACEB_.wvu.FilterData" sId="1"/>
    <undo index="0" exp="area" ref3D="1" dr="$A$59:$AN$302" dn="Z_D6B6CCCC_9FFF_4FFF_98B0_4EA5B228ED4B_.wvu.FilterData" sId="1"/>
    <undo index="0" exp="area" ref3D="1" dr="$A$59:$AN$302" dn="Z_D5DA6DDF_3700_45A0_A688_A8C6200B4E00_.wvu.FilterData" sId="1"/>
    <undo index="0" exp="area" ref3D="1" dr="$A$59:$AN$302" dn="Z_D38342FB_44F2_4C40_B39A_DFD93C1F7369_.wvu.FilterData" sId="1"/>
    <undo index="0" exp="area" ref3D="1" dr="$A$59:$AN$302" dn="Z_D9FBC216_2016_4058_8B49_FABCA0D9F73F_.wvu.FilterData" sId="1"/>
    <undo index="0" exp="area" ref3D="1" dr="$B$59:$AN$302" dn="Z_D48A7008_0664_41CA_847E_E3D860D8CAB6_.wvu.FilterData" sId="1"/>
    <undo index="0" exp="area" ref3D="1" dr="$B$59:$AN$302" dn="Z_D41295E5_0507_4FFC_9DE6_9C52285F0275_.wvu.FilterData" sId="1"/>
    <undo index="0" exp="area" ref3D="1" dr="$A$59:$AN$302" dn="Z_D96D1389_4C8F_47A3_9E16_746F53899CC4_.wvu.FilterData" sId="1"/>
    <undo index="0" exp="area" ref3D="1" dr="$B$59:$AN$302" dn="Z_D4D31799_D309_49FE_A753_935575949FDF_.wvu.FilterData" sId="1"/>
    <undo index="0" exp="area" ref3D="1" dr="$A$59:$AN$302" dn="Z_DA7942D6_CB98_4540_885F_D4B3DDB4C3BC_.wvu.FilterData" sId="1"/>
    <undo index="0" exp="area" ref3D="1" dr="$B$59:$AN$302" dn="Z_D77D42D4_806B_4CB1_A5B6_310D2AD130D5_.wvu.FilterData" sId="1"/>
    <undo index="0" exp="area" ref3D="1" dr="$B$59:$AN$302" dn="Z_DB3D53BC_032F_471F_94FC_E9876370C211_.wvu.FilterData" sId="1"/>
    <undo index="0" exp="area" ref3D="1" dr="$A$59:$AN$302" dn="Z_D51A5667_5F84_4600_90D6_6E29813D4C84_.wvu.FilterData" sId="1"/>
    <undo index="0" exp="area" ref3D="1" dr="$B$59:$AN$302" dn="Z_DA60DB17_D662_44C5_A44E_0215B156F1CB_.wvu.FilterData" sId="1"/>
    <undo index="0" exp="area" ref3D="1" dr="$B$59:$AN$302" dn="Z_D872AF61_C529_4DF8_A0AD_23C1DBB7ABFF_.wvu.FilterData" sId="1"/>
    <undo index="0" exp="area" ref3D="1" dr="$A$59:$AN$302" dn="Z_D68AA120_23E6_4E33_B593_B08CB8C9A9E2_.wvu.FilterData" sId="1"/>
    <undo index="0" exp="area" ref3D="1" dr="$A$59:$AN$302" dn="Z_D15FC6DE_9D87_4831_81DE_4BABFC901C15_.wvu.FilterData" sId="1"/>
    <undo index="0" exp="area" ref3D="1" dr="$A$59:$AN$302" dn="Z_D118D28E_7F46_4D74_8DB6_77DA9E1E650B_.wvu.FilterData" sId="1"/>
    <undo index="0" exp="area" ref3D="1" dr="$A$59:$AN$302" dn="Z_CE2EDACD_AA27_49A1_A4CC_4160D8E5B192_.wvu.FilterData" sId="1"/>
    <undo index="0" exp="area" ref3D="1" dr="$A$59:$AN$302" dn="Z_CE1AD879_4E3E_419F_98AE_AEB21B971F2A_.wvu.FilterData" sId="1"/>
    <undo index="0" exp="area" ref3D="1" dr="$B$59:$AN$302" dn="Z_D086E2C8_DBDB_447C_AEAF_4D570D675B0D_.wvu.FilterData" sId="1"/>
    <undo index="0" exp="area" ref3D="1" dr="$A$59:$AN$302" dn="Z_CF789F89_E944_4123_99BC_A68BDCD5854E_.wvu.FilterData" sId="1"/>
    <undo index="0" exp="area" ref3D="1" dr="$B$59:$AN$302" dn="Z_D02104D3_51B8_4533_A2F3_8DEEA8EA85DE_.wvu.FilterData" sId="1"/>
    <undo index="0" exp="area" ref3D="1" dr="$B$59:$AN$302" dn="Z_CFDF51A4_31D6_4E09_9872_4D69918FBCA4_.wvu.FilterData" sId="1"/>
    <undo index="0" exp="area" ref3D="1" dr="$A$59:$AN$302" dn="Z_CEF5B96F_2009_4B95_B046_8EF92D34D1B5_.wvu.FilterData" sId="1"/>
    <undo index="0" exp="area" ref3D="1" dr="$A$59:$AN$302" dn="Z_CEA010CE_4499_4072_B3D6_4AE9AD81ECB0_.wvu.FilterData" sId="1"/>
    <undo index="0" exp="area" ref3D="1" dr="$A$59:$AN$302" dn="Z_CE6E4FDD_C5AA_420F_AF49_516E16308BAD_.wvu.FilterData" sId="1"/>
    <undo index="0" exp="area" ref3D="1" dr="$A$59:$AN$302" dn="Z_CDDB73FF_BA79_4055_9DF2_59D856F9CE75_.wvu.FilterData" sId="1"/>
    <undo index="0" exp="area" ref3D="1" dr="$A$59:$AN$302" dn="Z_CE53B601_5089_4DCD_884E_E31984E57AA7_.wvu.FilterData" sId="1"/>
    <undo index="0" exp="area" ref3D="1" dr="$A$59:$AN$302" dn="Z_D33AC7AF_C8AB_4CE9_94C7_9237011A5FC3_.wvu.FilterData" sId="1"/>
    <undo index="0" exp="area" ref3D="1" dr="$A$59:$AN$302" dn="Z_CF1D8F03_CC7A_41AC_BA77_166210383B5E_.wvu.FilterData" sId="1"/>
    <undo index="0" exp="area" ref3D="1" dr="$A$59:$AN$302" dn="Z_CFABF19D_46C3_4F13_A4CA_B725B7531F6C_.wvu.FilterData" sId="1"/>
    <undo index="0" exp="area" ref3D="1" dr="$A$59:$AN$302" dn="Z_CDF410FC_A9B8_4825_8C51_CB863DAD9EB0_.wvu.FilterData" sId="1"/>
    <undo index="0" exp="area" ref3D="1" dr="$A$59:$AN$302" dn="Z_CA610046_2946_4C6D_A575_B33B2261CDA0_.wvu.FilterData" sId="1"/>
    <undo index="0" exp="area" ref3D="1" dr="$B$59:$AN$302" dn="Z_CD235416_A5FA_481B_8E55_C60A832823B9_.wvu.FilterData" sId="1"/>
    <undo index="0" exp="area" ref3D="1" dr="$A$59:$AN$302" dn="Z_CCF61B3D_8C0C_49D1_86D5_25AF34E23F89_.wvu.FilterData" sId="1"/>
    <undo index="0" exp="area" ref3D="1" dr="$A$59:$AN$302" dn="Z_CCDFBF79_6FDD_4C1F_AB4A_4290ECEF9616_.wvu.FilterData" sId="1"/>
    <undo index="0" exp="area" ref3D="1" dr="$A$59:$AN$302" dn="Z_CC3F580C_15C7_4259_B4F0_2E2F4C5CDBDE_.wvu.FilterData" sId="1"/>
    <undo index="0" exp="area" ref3D="1" dr="$A$59:$AN$302" dn="Z_CDC7ACBF_254D_4A76_93CF_497958E2EE6E_.wvu.FilterData" sId="1"/>
    <undo index="0" exp="area" ref3D="1" dr="$A$59:$AN$302" dn="Z_C994653C_BDA0_4559_9402_FC0E5CB19FE6_.wvu.FilterData" sId="1"/>
    <undo index="0" exp="area" ref3D="1" dr="$A$59:$AN$302" dn="Z_CDBB1A2A_231D_4FFC_9270_4805D06A351E_.wvu.FilterData" sId="1"/>
    <undo index="0" exp="area" ref3D="1" dr="$B$59:$AN$302" dn="Z_C94451EF_7A3E_4D72_B5A4_3D1B193192CC_.wvu.FilterData" sId="1"/>
    <undo index="0" exp="area" ref3D="1" dr="$A$59:$AN$302" dn="Z_CD8071F6_CC78_4F59_9D6B_4643D9AFD4AA_.wvu.FilterData" sId="1"/>
    <undo index="0" exp="area" ref3D="1" dr="$A$59:$AN$302" dn="Z_CB2D8F44_72B6_4784_85C6_8C82D3B41596_.wvu.FilterData" sId="1"/>
    <undo index="0" exp="area" ref3D="1" dr="$A$59:$AN$302" dn="Z_CC487568_3956_4F08_A6E4_B2BC54D2ECDB_.wvu.FilterData" sId="1"/>
    <undo index="0" exp="area" ref3D="1" dr="$A$59:$AN$302" dn="Z_CB878EEF_D456_4AC2_A47A_33FB11DA205A_.wvu.FilterData" sId="1"/>
    <undo index="0" exp="area" ref3D="1" dr="$A$59:$AN$302" dn="Z_C23B4670_A03E_4935_A5AE_6ADF7F3ACA1F_.wvu.FilterData" sId="1"/>
    <undo index="0" exp="area" ref3D="1" dr="$B$59:$AN$302" dn="Z_C36428D0_4662_4A3F_8269_04B9F62FB882_.wvu.FilterData" sId="1"/>
    <undo index="0" exp="area" ref3D="1" dr="$A$59:$AN$302" dn="Z_C3B4C962_046C_447F_94C1_3E742479F259_.wvu.FilterData" sId="1"/>
    <undo index="0" exp="area" ref3D="1" dr="$A$59:$AN$302" dn="Z_C040E5A8_52D5_4EAD_AE14_E299EEBFA450_.wvu.FilterData" sId="1"/>
    <undo index="0" exp="area" ref3D="1" dr="$A$59:$AN$302" dn="Z_C2E07036_503C_47A6_8849_1E5951B99899_.wvu.FilterData" sId="1"/>
    <undo index="0" exp="area" ref3D="1" dr="$A$59:$AN$302" dn="Z_BFA91855_D249_42DF_9643_A4925F317283_.wvu.FilterData" sId="1"/>
    <undo index="0" exp="area" ref3D="1" dr="$B$59:$AN$302" dn="Z_C2BC807A_4231_4D9F_A0E3_91083B1E2121_.wvu.FilterData" sId="1"/>
    <undo index="0" exp="area" ref3D="1" dr="$A$59:$AN$302" dn="Z_C3AF598E_C6CA_49E7_949E_5CFC6B5DAC8E_.wvu.FilterData" sId="1"/>
    <undo index="0" exp="area" ref3D="1" dr="$A$59:$AN$302" dn="Z_C2CCA076_8851_43CC_9A1E_2FD22C7E2390_.wvu.FilterData" sId="1"/>
    <undo index="0" exp="area" ref3D="1" dr="$A$59:$AN$302" dn="Z_C6889E15_1A62_4F54_A8B7_B3679CC028D9_.wvu.FilterData" sId="1"/>
    <undo index="0" exp="area" ref3D="1" dr="$A$59:$AN$302" dn="Z_C477A7B9_FAF8_4542_B07F_F4099E2D59B5_.wvu.FilterData" sId="1"/>
    <undo index="0" exp="area" ref3D="1" dr="$A$59:$AN$302" dn="Z_BE2C4139_45FB_4F61_B94D_DB5662A7B828_.wvu.FilterData" sId="1"/>
    <undo index="0" exp="area" ref3D="1" dr="$A$59:$AN$302" dn="Z_BE7BA0FA_2892_4827_BA29_74B6E16E353B_.wvu.FilterData" sId="1"/>
    <undo index="0" exp="area" ref3D="1" dr="$A$59:$AN$302" dn="Z_BEDDEF76_28AB_4A0B_BC4B_8B6473A05FB8_.wvu.FilterData" sId="1"/>
    <undo index="0" exp="area" ref3D="1" dr="$A$59:$AN$302" dn="Z_BC0ABD15_012F_43E9_B656_1AF96E1EC960_.wvu.FilterData" sId="1"/>
    <undo index="0" exp="area" ref3D="1" dr="$B$59:$AN$302" dn="Z_BF1F7491_F461_4810_B06E_8AF629E4946B_.wvu.FilterData" sId="1"/>
    <undo index="0" exp="area" ref3D="1" dr="$B$59:$AN$302" dn="Z_BCE99E97_CE8F_4575_BF43_E13B513D810F_.wvu.FilterData" sId="1"/>
    <undo index="0" exp="area" ref3D="1" dr="$B$59:$AN$302" dn="Z_BC9E3217_B55A_4318_BC37_B4A44F3EFD84_.wvu.FilterData" sId="1"/>
    <undo index="0" exp="area" ref3D="1" dr="$A$59:$AN$302" dn="Z_BEE26344_5F89_46BE_ADCC_85D6BF33A053_.wvu.FilterData" sId="1"/>
    <undo index="0" exp="area" ref3D="1" dr="$A$59:$AN$302" dn="Z_BD8FF058_B31E_4C72_A923_312AF439B99F_.wvu.FilterData" sId="1"/>
    <undo index="0" exp="area" ref3D="1" dr="$A$59:$AN$302" dn="Z_BDB7F577_AD1D_4527_B4B3_1BDA43ED5ABB_.wvu.FilterData" sId="1"/>
    <undo index="0" exp="area" ref3D="1" dr="$B$59:$AN$302" dn="Z_BBF1917C_086C_4375_B9C9_44D06983F7F5_.wvu.FilterData" sId="1"/>
    <undo index="0" exp="area" ref3D="1" dr="$A$59:$AN$302" dn="Z_BEEF2F45_0C55_4CE8_9EFB_543C69F3213D_.wvu.FilterData" sId="1"/>
    <undo index="0" exp="area" ref3D="1" dr="$B$59:$AN$302" dn="Z_BAA03A74_DBB5_4360_8A5A_7F67B14FB70B_.wvu.FilterData" sId="1"/>
    <undo index="0" exp="area" ref3D="1" dr="$A$59:$AN$302" dn="Z_11367D4E_C5EB_41D2_9AC8_81DB66FC75D0_.wvu.FilterData" sId="1"/>
    <undo index="0" exp="area" ref3D="1" dr="$B$59:$AN$302" dn="Z_106E01A2_3463_4675_BE98_7276F6DD7ABE_.wvu.FilterData" sId="1"/>
    <undo index="0" exp="area" ref3D="1" dr="$B$59:$AN$302" dn="Z_100C8711_49F0_420E_8575_3C1810AF7CC3_.wvu.FilterData" sId="1"/>
    <undo index="0" exp="area" ref3D="1" dr="$A$59:$AN$302" dn="Z_109D4996_9949_4FB4_B04D_C5C7F29005EB_.wvu.FilterData" sId="1"/>
    <undo index="0" exp="area" ref3D="1" dr="$A$59:$AN$302" dn="Z_10AEEA8C_92E9_4868_801E_16751B8F1C9F_.wvu.FilterData" sId="1"/>
    <undo index="0" exp="area" ref3D="1" dr="$B$59:$AN$302" dn="Z_1041A54E_BA3B_4139_9F70_A0421929FFA9_.wvu.FilterData" sId="1"/>
    <undo index="0" exp="area" ref3D="1" dr="$A$59:$AN$302" dn="Z_10B5054A_878E_4E14_88A5_58B709AC46BE_.wvu.FilterData" sId="1"/>
    <undo index="0" exp="area" ref3D="1" dr="$B$59:$AN$302" dn="Z_0F6BA88F_F1C4_4C06_A527_0FB545F1DFFA_.wvu.FilterData" sId="1"/>
    <undo index="0" exp="area" ref3D="1" dr="$A$59:$AN$302" dn="Z_0D9E03C2_A32F_450C_B672_A32B6AB5F4CB_.wvu.FilterData" sId="1"/>
    <undo index="0" exp="area" ref3D="1" dr="$B$59:$AN$302" dn="Z_0E0A1A84_274E_4C87_84D6_9771A179FB59_.wvu.FilterData" sId="1"/>
    <undo index="0" exp="area" ref3D="1" dr="$A$59:$AN$302" dn="Z_0FE0C546_D282_4F4F_9A5D_4EC84C00DA49_.wvu.FilterData" sId="1"/>
    <undo index="0" exp="area" ref3D="1" dr="$A$59:$AN$302" dn="Z_0B629CCC_DCFA_448F_AD35_5F0586401E6F_.wvu.FilterData" sId="1"/>
    <undo index="0" exp="area" ref3D="1" dr="$A$59:$AN$302" dn="Z_0AB06E68_8BB9_4144_A84E_3331A1A4681E_.wvu.FilterData" sId="1"/>
    <undo index="0" exp="area" ref3D="1" dr="$A$59:$AN$302" dn="Z_0A72C20A_78E4_45AF_8BCF_DC5B59043341_.wvu.FilterData" sId="1"/>
    <undo index="0" exp="area" ref3D="1" dr="$B$59:$AN$302" dn="Z_09D9796A_BBD2_4AF7_BA95_A36C481CA4B7_.wvu.FilterData" sId="1"/>
    <undo index="0" exp="area" ref3D="1" dr="$A$59:$AN$302" dn="Z_0A33C66A_D017_4D2E_A979_2C584E7DC975_.wvu.FilterData" sId="1"/>
    <undo index="0" exp="area" ref3D="1" dr="$B$59:$AN$302" dn="Z_08D9EC9E_19A1_44EF_88CC_A93BDAE68A62_.wvu.FilterData" sId="1"/>
    <undo index="0" exp="area" ref3D="1" dr="$A$59:$AN$302" dn="Z_087D3374_38FA_4B40_971D_F10F6EEAF440_.wvu.FilterData" sId="1"/>
    <undo index="0" exp="area" ref3D="1" dr="$A$59:$AN$302" dn="Z_095FDA14_CE3D_493D_8683_BACDCCE62C0A_.wvu.FilterData" sId="1"/>
    <undo index="0" exp="area" ref3D="1" dr="$A$59:$AN$302" dn="Z_0A6D8CFE_6EB2_43B1_B145_8F368E64B301_.wvu.FilterData" sId="1"/>
    <undo index="0" exp="area" ref3D="1" dr="$A$59:$AN$302" dn="Z_0D0A6154_7CBF_4A37_BEA2_AB537B4B2A67_.wvu.FilterData" sId="1"/>
    <undo index="0" exp="area" ref3D="1" dr="$A$59:$AN$302" dn="Z_0B484F93_8218_48C7_A465_CFF3723D2DDF_.wvu.FilterData" sId="1"/>
    <undo index="0" exp="area" ref3D="1" dr="$A$59:$AN$302" dn="Z_0921E775_DF47_46F9_BB77_A370BDC966C7_.wvu.FilterData" sId="1"/>
    <undo index="0" exp="area" ref3D="1" dr="$A$59:$AN$302" dn="Z_0C6BE164_6BA3_446D_942F_966AE5EA2F00_.wvu.FilterData" sId="1"/>
    <undo index="0" exp="area" ref3D="1" dr="$A$59:$AN$302" dn="Z_07B34DA0_7292_4B42_8B28_B27A13F43E3A_.wvu.FilterData" sId="1"/>
    <undo index="0" exp="area" ref3D="1" dr="$A$59:$AN$302" dn="Z_0A69D571_3018_4FA4_8C32_E2DFB0614496_.wvu.FilterData" sId="1"/>
    <undo index="0" exp="area" ref3D="1" dr="$A$59:$AN$302" dn="Z_06E2F1FE_B942_412C_AA23_B5BA85E9E0CA_.wvu.FilterData" sId="1"/>
    <undo index="0" exp="area" ref3D="1" dr="$A$59:$AN$302" dn="Z_1316A344_8526_4A5A_91CB_0B6860CD7B09_.wvu.FilterData" sId="1"/>
    <undo index="0" exp="area" ref3D="1" dr="$A$59:$AN$302" dn="Z_126B9B84_8631_45A2_A779_A57C4FD4919E_.wvu.FilterData" sId="1"/>
    <undo index="0" exp="area" ref3D="1" dr="$A$59:$AN$302" dn="Z_125E42F3_18DE_4272_A548_D075330F5284_.wvu.FilterData" sId="1"/>
    <undo index="0" exp="area" ref3D="1" dr="$A$59:$AN$302" dn="Z_11B267B4_CCB5_4FD4_A4ED_6557FC3F3694_.wvu.FilterData" sId="1"/>
    <undo index="0" exp="area" ref3D="1" dr="$B$59:$AN$302" dn="Z_132C6898_7BD8_4053_9284_49B13D9C8D59_.wvu.FilterData" sId="1"/>
    <undo index="0" exp="area" ref3D="1" dr="$A$59:$AN$302" dn="Z_119BB688_51FD_4E28_B976_424CDF204D2F_.wvu.FilterData" sId="1"/>
    <undo index="0" exp="area" ref3D="1" dr="$A$59:$AN$302" dn="Z_120A6944_24D5_4B4D_A680_95B4E8DC27D1_.wvu.FilterData" sId="1"/>
    <undo index="0" exp="area" ref3D="1" dr="$B$59:$AN$302" dn="Z_7FC062FF_43CE_406D_9670_5D1AA49208CC_.wvu.FilterData" sId="1"/>
    <undo index="0" exp="area" ref3D="1" dr="$B$59:$AN$302" dn="Z_F2EDCD89_57F9_44FE_9CDE_762B73C7B7F3_.wvu.FilterData" sId="1"/>
    <undo index="0" exp="area" ref3D="1" dr="$B$59:$AN$302" dn="Z_AF60E8FC_E99A_4BA9_AE63_B01E44AC58AC_.wvu.FilterData" sId="1"/>
    <undo index="0" exp="area" ref3D="1" dr="$B$59:$AN$302" dn="Z_8653925C_A99B_4048_B5B5_D7E2559BEF9D_.wvu.FilterData" sId="1"/>
    <undo index="0" exp="area" ref3D="1" dr="$B$59:$AN$302" dn="Z_57E56D14_1944_4903_97E4_26AB37944736_.wvu.FilterData" sId="1"/>
    <undo index="0" exp="area" ref3D="1" dr="$B$59:$AN$302" dn="Z_055B52FC_2B7B_42BC_9AD2_87565E082A86_.wvu.FilterData" sId="1"/>
    <undo index="0" exp="area" ref3D="1" dr="$A$59:$AN$302" dn="Z_05B18CA3_DA68_4944_AD63_857EF7223B76_.wvu.FilterData" sId="1"/>
    <undo index="0" exp="area" ref3D="1" dr="$A$59:$AN$302" dn="Z_02FB7E96_2799_4990_A37E_4BD93CFC5923_.wvu.FilterData" sId="1"/>
    <undo index="0" exp="area" ref3D="1" dr="$A$59:$AN$302" dn="Z_0261509A_A639_49AE_AA4A_769861E1FB47_.wvu.FilterData" sId="1"/>
    <undo index="0" exp="area" ref3D="1" dr="$B$59:$AN$302" dn="Z_040E8B46_CA61_4A56_9419_C22F6B3F774B_.wvu.FilterData" sId="1"/>
    <undo index="0" exp="area" ref3D="1" dr="$B$59:$AN$302" dn="_FilterDatabase" sId="1"/>
    <undo index="0" exp="area" ref3D="1" dr="$A$59:$AN$302" dn="Z_0115AFB4_4C4E_4468_B6CC_4FCA3D2F432C_.wvu.FilterData" sId="1"/>
    <undo index="0" exp="area" ref3D="1" dr="$A$59:$AN$302" dn="Z_006FEADE_C1C8_4623_94EF_0C71C28F2B02_.wvu.FilterData" sId="1"/>
    <undo index="0" exp="area" ref3D="1" dr="$A$59:$AN$302" dn="Z_02F42AF6_AEB8_4115_B8EB_CDA5FF7AFB22_.wvu.FilterData" sId="1"/>
    <undo index="0" exp="area" ref3D="1" dr="$A$59:$AN$302" dn="Z_027DC486_5FD8_4F20_9789_42783C7EA75D_.wvu.FilterData" sId="1"/>
    <undo index="0" exp="area" ref3D="1" dr="$A$59:$AN$302" dn="Z_02D2CB07_3C0A_4EA9_BB2C_BDA10CEE189C_.wvu.FilterData" sId="1"/>
    <undo index="0" exp="area" ref3D="1" dr="$B$59:$AN$302" dn="Z_01F48ED4_6F4C_49BB_A369_E61277689C61_.wvu.FilterData" sId="1"/>
    <undo index="0" exp="area" ref3D="1" dr="$B$59:$AN$302" dn="Z_05361591_7A29_421F_B4E3_2E109EC18103_.wvu.FilterData" sId="1"/>
    <undo index="0" exp="area" ref3D="1" dr="$A$59:$AN$302" dn="Z_04E2D24B_601F_4F5B_AF88_4D71CC02064C_.wvu.FilterData" sId="1"/>
    <undo index="0" exp="area" ref3D="1" dr="$A$59:$AN$302" dn="Z_01E511D8_96F0_4FC8_9F7C_EFD3A637D0BF_.wvu.FilterData" sId="1"/>
    <undo index="0" exp="area" ref3D="1" dr="$B$59:$AN$302" dn="Z_0600F77B_03E6_457E_8094_42AB3F458D08_.wvu.FilterData" sId="1"/>
    <undo index="0" exp="area" ref3D="1" dr="$B$59:$AN$302" dn="Z_D3768440_23CD_4BDD_84C8_BCAA56955537_.wvu.FilterData" sId="1"/>
    <undo index="0" exp="area" ref3D="1" dr="$B$59:$AN$302" dn="Z_30D9789E_A4FF_40E9_BF67_29ADA8CB1212_.wvu.FilterData" sId="1"/>
    <undo index="0" exp="area" ref3D="1" dr="$A$59:$AN$302" dn="Z_1CD1B0AD_724D_4F54_AF9A_84E1CFD23A6B_.wvu.FilterData" sId="1"/>
    <undo index="0" exp="area" ref3D="1" dr="$B$59:$AN$302" dn="Z_1B4D24DE_B85A_4A3A_8CD0_1A40E6C2EC53_.wvu.FilterData" sId="1"/>
    <undo index="0" exp="area" ref3D="1" dr="$A$59:$AN$302" dn="Z_1A235C55_4FC8_4A85_B5B2_85253D71C4D6_.wvu.FilterData" sId="1"/>
    <undo index="0" exp="area" ref3D="1" dr="$A$59:$AN$302" dn="Z_18D6C49E_A264_40A0_9D3C_E160CA9C6985_.wvu.FilterData" sId="1"/>
    <undo index="0" exp="area" ref3D="1" dr="$A$59:$AN$302" dn="Z_1C772275_C5B7_4D48_A14A_229344678FAE_.wvu.FilterData" sId="1"/>
    <undo index="0" exp="area" ref3D="1" dr="$A$59:$AN$302" dn="Z_1B5A17C9_3A39_47DF_8140_88DA3B3AFAA5_.wvu.FilterData" sId="1"/>
    <undo index="0" exp="area" ref3D="1" dr="$B$59:$AN$302" dn="Z_1CB84568_0C36_49EF_BD1E_29708DF91946_.wvu.FilterData" sId="1"/>
    <undo index="0" exp="area" ref3D="1" dr="$A$59:$AN$302" dn="Z_19402149_6114_4022_B33D_3C375B841BD8_.wvu.FilterData" sId="1"/>
    <undo index="0" exp="area" ref3D="1" dr="$A$59:$AN$302" dn="Z_19CD5048_EBFC_47E8_9FD0_E73DC58D3596_.wvu.FilterData" sId="1"/>
    <undo index="0" exp="area" ref3D="1" dr="$B$59:$AN$302" dn="Z_1B258722_B399_4C25_91A3_86BCFCE1DDB0_.wvu.FilterData" sId="1"/>
    <undo index="0" exp="area" ref3D="1" dr="$A$59:$AN$302" dn="Z_1B7B88DD_0F8D_4BC2_AA4B_D8D802FE1AA4_.wvu.FilterData" sId="1"/>
    <undo index="0" exp="area" ref3D="1" dr="$B$59:$AN$302" dn="Z_3874996D_2C2B_4338_B6B4_F3173CC1B067_.wvu.FilterData" sId="1"/>
    <undo index="0" exp="area" ref3D="1" dr="$B$59:$AN$302" dn="Z_0AA08EE5_3EA4_4BCE_AE2C_842AA3D7A4F6_.wvu.FilterData" sId="1"/>
    <undo index="0" exp="area" ref3D="1" dr="$A$59:$AN$302" dn="Z_29D3FF7C_BAD6_452E_A054_D8327450372D_.wvu.FilterData" sId="1"/>
    <undo index="0" exp="area" ref3D="1" dr="$B$59:$AN$302" dn="Z_278C5F8A_6BC0_4A01_A343_CB5ED23E686C_.wvu.FilterData" sId="1"/>
    <undo index="0" exp="area" ref3D="1" dr="$A$59:$AN$302" dn="Z_2707BC00_D1A8_4E5B_87AC_7CA121E79D65_.wvu.FilterData" sId="1"/>
    <undo index="0" exp="area" ref3D="1" dr="$B$59:$AN$302" dn="Z_26D1F5A5_96D6_4E71_B7C1_A23D5D0DBEB6_.wvu.FilterData" sId="1"/>
    <undo index="0" exp="area" ref3D="1" dr="$B$59:$AN$302" dn="Z_25FBC392_575A_46D5_8F77_708EBF5D79D6_.wvu.FilterData" sId="1"/>
    <undo index="0" exp="area" ref3D="1" dr="$A$59:$AN$302" dn="Z_25B933AF_E355_4338_8073_05504304F531_.wvu.FilterData" sId="1"/>
    <undo index="0" exp="area" ref3D="1" dr="$A$59:$AN$302" dn="Z_259D5BFF_B9A1_490C_AB12_1421827E23D6_.wvu.FilterData" sId="1"/>
    <rfmt sheetId="1" xfDxf="1" sqref="A302:XFD302" start="0" length="0"/>
    <rfmt sheetId="1" sqref="B302"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02" start="0" length="0">
      <dxf>
        <alignment horizontal="left" vertical="top" readingOrder="0"/>
        <border outline="0">
          <left style="thin">
            <color indexed="64"/>
          </left>
          <right style="thin">
            <color indexed="64"/>
          </right>
          <top style="thin">
            <color indexed="64"/>
          </top>
          <bottom style="thin">
            <color indexed="64"/>
          </bottom>
        </border>
      </dxf>
    </rfmt>
    <rfmt sheetId="1" sqref="D302" start="0" length="0">
      <dxf>
        <alignment horizontal="left" vertical="top" readingOrder="0"/>
        <border outline="0">
          <left style="thin">
            <color indexed="64"/>
          </left>
          <right style="thin">
            <color indexed="64"/>
          </right>
          <top style="thin">
            <color indexed="64"/>
          </top>
          <bottom style="thin">
            <color indexed="64"/>
          </bottom>
        </border>
      </dxf>
    </rfmt>
    <rfmt sheetId="1" sqref="E302" start="0" length="0">
      <dxf>
        <alignment horizontal="left" vertical="top" readingOrder="0"/>
        <border outline="0">
          <left style="thin">
            <color indexed="64"/>
          </left>
          <right style="thin">
            <color indexed="64"/>
          </right>
          <top style="thin">
            <color indexed="64"/>
          </top>
          <bottom style="thin">
            <color indexed="64"/>
          </bottom>
        </border>
      </dxf>
    </rfmt>
    <rfmt sheetId="1" sqref="F302" start="0" length="0">
      <dxf>
        <alignment horizontal="left" vertical="top" readingOrder="0"/>
        <border outline="0">
          <left style="thin">
            <color indexed="64"/>
          </left>
          <right style="thin">
            <color indexed="64"/>
          </right>
          <top style="thin">
            <color indexed="64"/>
          </top>
          <bottom style="thin">
            <color indexed="64"/>
          </bottom>
        </border>
      </dxf>
    </rfmt>
    <rfmt sheetId="1" sqref="G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02" start="0" length="0">
      <dxf>
        <alignment horizontal="left" vertical="top" readingOrder="0"/>
        <border outline="0">
          <left style="thin">
            <color indexed="64"/>
          </left>
          <right style="thin">
            <color indexed="64"/>
          </right>
          <top style="thin">
            <color indexed="64"/>
          </top>
          <bottom style="thin">
            <color indexed="64"/>
          </bottom>
        </border>
      </dxf>
    </rfmt>
    <rfmt sheetId="1" sqref="L302" start="0" length="0">
      <dxf>
        <alignment horizontal="left" vertical="top" readingOrder="0"/>
        <border outline="0">
          <left style="thin">
            <color indexed="64"/>
          </left>
          <right style="thin">
            <color indexed="64"/>
          </right>
          <top style="thin">
            <color indexed="64"/>
          </top>
          <bottom style="thin">
            <color indexed="64"/>
          </bottom>
        </border>
      </dxf>
    </rfmt>
    <rfmt sheetId="1" sqref="M302" start="0" length="0">
      <dxf>
        <alignment horizontal="left" vertical="top" readingOrder="0"/>
        <border outline="0">
          <left style="thin">
            <color indexed="64"/>
          </left>
          <right style="thin">
            <color indexed="64"/>
          </right>
          <top style="thin">
            <color indexed="64"/>
          </top>
          <bottom style="thin">
            <color indexed="64"/>
          </bottom>
        </border>
      </dxf>
    </rfmt>
    <rfmt sheetId="1" sqref="N302"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02"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02" start="0" length="0">
      <dxf>
        <alignment horizontal="left" vertical="top" readingOrder="0"/>
        <border outline="0">
          <left style="thin">
            <color indexed="64"/>
          </left>
          <right style="thin">
            <color indexed="64"/>
          </right>
          <top style="thin">
            <color indexed="64"/>
          </top>
          <bottom style="thin">
            <color indexed="64"/>
          </bottom>
        </border>
      </dxf>
    </rfmt>
    <rfmt sheetId="1" sqref="Q30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02"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02" start="0" length="0">
      <dxf>
        <alignment horizontal="left" vertical="top" readingOrder="0"/>
        <border outline="0">
          <left style="thin">
            <color indexed="64"/>
          </left>
          <right style="thin">
            <color indexed="64"/>
          </right>
          <top style="thin">
            <color indexed="64"/>
          </top>
          <bottom style="thin">
            <color indexed="64"/>
          </bottom>
        </border>
      </dxf>
    </rfmt>
    <rfmt sheetId="1" sqref="T302" start="0" length="0">
      <dxf>
        <alignment horizontal="left" vertical="top" readingOrder="0"/>
        <border outline="0">
          <left style="thin">
            <color indexed="64"/>
          </left>
          <right style="thin">
            <color indexed="64"/>
          </right>
          <top style="thin">
            <color indexed="64"/>
          </top>
          <bottom style="thin">
            <color indexed="64"/>
          </bottom>
        </border>
      </dxf>
    </rfmt>
    <rfmt sheetId="1" sqref="U302" start="0" length="0">
      <dxf>
        <alignment horizontal="left" vertical="top" readingOrder="0"/>
        <border outline="0">
          <left style="thin">
            <color indexed="64"/>
          </left>
          <right style="thin">
            <color indexed="64"/>
          </right>
          <top style="thin">
            <color indexed="64"/>
          </top>
          <bottom style="thin">
            <color indexed="64"/>
          </bottom>
        </border>
      </dxf>
    </rfmt>
    <rfmt sheetId="1" sqref="V302" start="0" length="0">
      <dxf>
        <alignment horizontal="left" vertical="top" readingOrder="0"/>
        <border outline="0">
          <left style="thin">
            <color indexed="64"/>
          </left>
          <right style="thin">
            <color indexed="64"/>
          </right>
          <top style="thin">
            <color indexed="64"/>
          </top>
          <bottom style="thin">
            <color indexed="64"/>
          </bottom>
        </border>
      </dxf>
    </rfmt>
    <rfmt sheetId="1" sqref="W302" start="0" length="0">
      <dxf>
        <alignment horizontal="left" vertical="top" readingOrder="0"/>
        <border outline="0">
          <left style="thin">
            <color indexed="64"/>
          </left>
          <right style="thin">
            <color indexed="64"/>
          </right>
          <top style="thin">
            <color indexed="64"/>
          </top>
          <bottom style="thin">
            <color indexed="64"/>
          </bottom>
        </border>
      </dxf>
    </rfmt>
    <rfmt sheetId="1" sqref="X302" start="0" length="0">
      <dxf>
        <alignment horizontal="left" vertical="top" readingOrder="0"/>
        <border outline="0">
          <left style="thin">
            <color indexed="64"/>
          </left>
          <right style="thin">
            <color indexed="64"/>
          </right>
          <top style="thin">
            <color indexed="64"/>
          </top>
          <bottom style="thin">
            <color indexed="64"/>
          </bottom>
        </border>
      </dxf>
    </rfmt>
    <rfmt sheetId="1" sqref="Y302" start="0" length="0">
      <dxf>
        <alignment horizontal="left" vertical="top" readingOrder="0"/>
        <border outline="0">
          <left style="thin">
            <color indexed="64"/>
          </left>
          <right style="thin">
            <color indexed="64"/>
          </right>
          <top style="thin">
            <color indexed="64"/>
          </top>
          <bottom style="thin">
            <color indexed="64"/>
          </bottom>
        </border>
      </dxf>
    </rfmt>
    <rfmt sheetId="1" sqref="Z302" start="0" length="0">
      <dxf>
        <alignment horizontal="left" vertical="top" readingOrder="0"/>
        <border outline="0">
          <left style="thin">
            <color indexed="64"/>
          </left>
          <right style="thin">
            <color indexed="64"/>
          </right>
          <top style="thin">
            <color indexed="64"/>
          </top>
          <bottom style="thin">
            <color indexed="64"/>
          </bottom>
        </border>
      </dxf>
    </rfmt>
    <rfmt sheetId="1" sqref="AA302" start="0" length="0">
      <dxf>
        <alignment horizontal="left" vertical="top" readingOrder="0"/>
        <border outline="0">
          <left style="thin">
            <color indexed="64"/>
          </left>
          <right style="thin">
            <color indexed="64"/>
          </right>
          <top style="thin">
            <color indexed="64"/>
          </top>
          <bottom style="thin">
            <color indexed="64"/>
          </bottom>
        </border>
      </dxf>
    </rfmt>
    <rfmt sheetId="1" sqref="AB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02"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02"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quotePrefix="1">
      <nc r="AL302"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302"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302" t="inlineStr">
        <is>
          <t>-</t>
        </is>
      </nc>
      <ndxf>
        <alignment horizontal="left" vertical="top" readingOrder="0"/>
        <border outline="0">
          <left style="thin">
            <color indexed="64"/>
          </left>
          <right style="thin">
            <color indexed="64"/>
          </right>
          <top style="thin">
            <color indexed="64"/>
          </top>
          <bottom style="thin">
            <color indexed="64"/>
          </bottom>
        </border>
      </ndxf>
    </rcc>
  </rrc>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91" sId="1">
    <nc r="Y242">
      <f>ROUNDDOWN(W242/HLOOKUP(D242,Table!$C$3:$D$4,2,0)*8,2)</f>
    </nc>
  </rcc>
  <rcc rId="892" sId="1">
    <nc r="Y243">
      <f>ROUNDDOWN(W243/HLOOKUP(D243,Table!$C$3:$D$4,2,0)*8,2)</f>
    </nc>
  </rcc>
  <rcc rId="893" sId="1">
    <nc r="Y244">
      <f>ROUNDDOWN(W244/HLOOKUP(D244,Table!$C$3:$D$4,2,0)*8,2)</f>
    </nc>
  </rcc>
  <rcc rId="894" sId="1">
    <nc r="Y245">
      <f>ROUNDDOWN(W245/HLOOKUP(D245,Table!$C$3:$D$4,2,0)*8,2)</f>
    </nc>
  </rcc>
  <rcc rId="895" sId="1">
    <nc r="Y246">
      <f>ROUNDDOWN(W246/HLOOKUP(D246,Table!$C$3:$D$4,2,0)*8,2)</f>
    </nc>
  </rcc>
  <rcc rId="896" sId="1">
    <nc r="Y247">
      <f>ROUNDDOWN(W247/HLOOKUP(D247,Table!$C$3:$D$4,2,0)*8,2)</f>
    </nc>
  </rcc>
  <rcc rId="897" sId="1">
    <nc r="Y248">
      <f>ROUNDDOWN(W248/HLOOKUP(D248,Table!$C$3:$D$4,2,0)*8,2)</f>
    </nc>
  </rcc>
  <rcc rId="898" sId="1">
    <nc r="Y249">
      <f>ROUNDDOWN(W249/HLOOKUP(D249,Table!$C$3:$D$4,2,0)*8,2)</f>
    </nc>
  </rcc>
  <rcc rId="899" sId="1">
    <nc r="Y250">
      <f>ROUNDDOWN(W250/HLOOKUP(D250,Table!$C$3:$D$4,2,0)*8,2)</f>
    </nc>
  </rcc>
  <rcc rId="900" sId="1">
    <nc r="Y251">
      <f>ROUNDDOWN(W251/HLOOKUP(D251,Table!$C$3:$D$4,2,0)*8,2)</f>
    </nc>
  </rcc>
  <rcc rId="901" sId="1">
    <nc r="Y252">
      <f>ROUNDDOWN(W252/HLOOKUP(D252,Table!$C$3:$D$4,2,0)*8,2)</f>
    </nc>
  </rcc>
  <rcc rId="902" sId="1">
    <nc r="Y253">
      <f>ROUNDDOWN(W253/HLOOKUP(D253,Table!$C$3:$D$4,2,0)*8,2)</f>
    </nc>
  </rcc>
  <rcc rId="903" sId="1">
    <nc r="Y254">
      <f>ROUNDDOWN(W254/HLOOKUP(D254,Table!$C$3:$D$4,2,0)*8,2)</f>
    </nc>
  </rcc>
  <rcc rId="904" sId="1">
    <nc r="Y255">
      <f>ROUNDDOWN(W255/HLOOKUP(D255,Table!$C$3:$D$4,2,0)*8,2)</f>
    </nc>
  </rcc>
  <rcc rId="905" sId="1">
    <nc r="Y256">
      <f>ROUNDDOWN(W256/HLOOKUP(D256,Table!$C$3:$D$4,2,0)*8,2)</f>
    </nc>
  </rcc>
  <rcc rId="906" sId="1">
    <nc r="Y257">
      <f>ROUNDDOWN(W257/HLOOKUP(D257,Table!$C$3:$D$4,2,0)*8,2)</f>
    </nc>
  </rcc>
  <rcc rId="907" sId="1">
    <nc r="Y258">
      <f>ROUNDDOWN(W258/HLOOKUP(D258,Table!$C$3:$D$4,2,0)*8,2)</f>
    </nc>
  </rcc>
  <rcc rId="908" sId="1">
    <nc r="Y259">
      <f>ROUNDDOWN(W259/HLOOKUP(D259,Table!$C$3:$D$4,2,0)*8,2)</f>
    </nc>
  </rcc>
  <rcc rId="909" sId="1">
    <nc r="Y260">
      <f>ROUNDDOWN(W260/HLOOKUP(D260,Table!$C$3:$D$4,2,0)*8,2)</f>
    </nc>
  </rcc>
  <rcc rId="910" sId="1">
    <nc r="Y261">
      <f>ROUNDDOWN(W261/HLOOKUP(D261,Table!$C$3:$D$4,2,0)*8,2)</f>
    </nc>
  </rcc>
  <rcc rId="911" sId="1">
    <nc r="Y262">
      <f>ROUNDDOWN(W262/HLOOKUP(D262,Table!$C$3:$D$4,2,0)*8,2)</f>
    </nc>
  </rcc>
  <rcc rId="912" sId="1">
    <nc r="Y263">
      <f>ROUNDDOWN(W263/HLOOKUP(D263,Table!$C$3:$D$4,2,0)*8,2)</f>
    </nc>
  </rcc>
  <rcc rId="913" sId="1">
    <nc r="Y264">
      <f>ROUNDDOWN(W264/HLOOKUP(D264,Table!$C$3:$D$4,2,0)*8,2)</f>
    </nc>
  </rcc>
  <rcc rId="914" sId="1">
    <nc r="Y265">
      <f>ROUNDDOWN(W265/HLOOKUP(D265,Table!$C$3:$D$4,2,0)*8,2)</f>
    </nc>
  </rcc>
  <rcc rId="915" sId="1">
    <nc r="Y266">
      <f>ROUNDDOWN(W266/HLOOKUP(D266,Table!$C$3:$D$4,2,0)*8,2)</f>
    </nc>
  </rcc>
  <rcc rId="916" sId="1">
    <nc r="Y267">
      <f>ROUNDDOWN(W267/HLOOKUP(D267,Table!$C$3:$D$4,2,0)*8,2)</f>
    </nc>
  </rcc>
  <rcc rId="917" sId="1">
    <nc r="Y268">
      <f>ROUNDDOWN(W268/HLOOKUP(D268,Table!$C$3:$D$4,2,0)*8,2)</f>
    </nc>
  </rcc>
  <rcc rId="918" sId="1">
    <nc r="Y269">
      <f>ROUNDDOWN(W269/HLOOKUP(D269,Table!$C$3:$D$4,2,0)*8,2)</f>
    </nc>
  </rcc>
  <rcc rId="919" sId="1">
    <nc r="Y270">
      <f>ROUNDDOWN(W270/HLOOKUP(D270,Table!$C$3:$D$4,2,0)*8,2)</f>
    </nc>
  </rcc>
  <rcc rId="920" sId="1">
    <nc r="Y271">
      <f>ROUNDDOWN(W271/HLOOKUP(D271,Table!$C$3:$D$4,2,0)*8,2)</f>
    </nc>
  </rcc>
  <rcc rId="921" sId="1">
    <nc r="Y272">
      <f>ROUNDDOWN(W272/HLOOKUP(D272,Table!$C$3:$D$4,2,0)*8,2)</f>
    </nc>
  </rcc>
  <rcc rId="922" sId="1">
    <nc r="Y273">
      <f>ROUNDDOWN(W273/HLOOKUP(D273,Table!$C$3:$D$4,2,0)*8,2)</f>
    </nc>
  </rcc>
  <rcc rId="923" sId="1">
    <nc r="Y274">
      <f>ROUNDDOWN(W274/HLOOKUP(D274,Table!$C$3:$D$4,2,0)*8,2)</f>
    </nc>
  </rcc>
  <rcc rId="924" sId="1">
    <nc r="Y275">
      <f>ROUNDDOWN(W275/HLOOKUP(D275,Table!$C$3:$D$4,2,0)*8,2)</f>
    </nc>
  </rcc>
  <rcc rId="925" sId="1">
    <nc r="Y276">
      <f>ROUNDDOWN(W276/HLOOKUP(D276,Table!$C$3:$D$4,2,0)*8,2)</f>
    </nc>
  </rcc>
  <rcc rId="926" sId="1">
    <nc r="Y277">
      <f>ROUNDDOWN(W277/HLOOKUP(D277,Table!$C$3:$D$4,2,0)*8,2)</f>
    </nc>
  </rcc>
  <rcc rId="927" sId="1">
    <nc r="Y278">
      <f>ROUNDDOWN(W278/HLOOKUP(D278,Table!$C$3:$D$4,2,0)*8,2)</f>
    </nc>
  </rcc>
  <rcc rId="928" sId="1">
    <nc r="Y279">
      <f>ROUNDDOWN(W279/HLOOKUP(D279,Table!$C$3:$D$4,2,0)*8,2)</f>
    </nc>
  </rcc>
  <rcc rId="929" sId="1">
    <nc r="Y280">
      <f>ROUNDDOWN(W280/HLOOKUP(D280,Table!$C$3:$D$4,2,0)*8,2)</f>
    </nc>
  </rcc>
  <rcc rId="930" sId="1">
    <nc r="Y281">
      <f>ROUNDDOWN(W281/HLOOKUP(D281,Table!$C$3:$D$4,2,0)*8,2)</f>
    </nc>
  </rcc>
  <rcc rId="931" sId="1">
    <nc r="Y282">
      <f>ROUNDDOWN(W282/HLOOKUP(D282,Table!$C$3:$D$4,2,0)*8,2)</f>
    </nc>
  </rcc>
  <rcc rId="932" sId="1">
    <nc r="Y283">
      <f>ROUNDDOWN(W283/HLOOKUP(D283,Table!$C$3:$D$4,2,0)*8,2)</f>
    </nc>
  </rcc>
  <rcc rId="933" sId="1">
    <nc r="Y284">
      <f>ROUNDDOWN(W284/HLOOKUP(D284,Table!$C$3:$D$4,2,0)*8,2)</f>
    </nc>
  </rcc>
  <rcc rId="934" sId="1">
    <nc r="Y285">
      <f>ROUNDDOWN(W285/HLOOKUP(D285,Table!$C$3:$D$4,2,0)*8,2)</f>
    </nc>
  </rcc>
  <rcc rId="935" sId="1">
    <nc r="Y286">
      <f>ROUNDDOWN(W286/HLOOKUP(D286,Table!$C$3:$D$4,2,0)*8,2)</f>
    </nc>
  </rcc>
  <rcc rId="936" sId="1">
    <nc r="Y287">
      <f>ROUNDDOWN(W287/HLOOKUP(D287,Table!$C$3:$D$4,2,0)*8,2)</f>
    </nc>
  </rcc>
  <rcc rId="937" sId="1">
    <nc r="Y288">
      <f>ROUNDDOWN(W288/HLOOKUP(D288,Table!$C$3:$D$4,2,0)*8,2)</f>
    </nc>
  </rcc>
  <rcc rId="938" sId="1">
    <nc r="Y289">
      <f>ROUNDDOWN(W289/HLOOKUP(D289,Table!$C$3:$D$4,2,0)*8,2)</f>
    </nc>
  </rcc>
  <rcc rId="939" sId="1">
    <nc r="Y290">
      <f>ROUNDDOWN(W290/HLOOKUP(D290,Table!$C$3:$D$4,2,0)*8,2)</f>
    </nc>
  </rcc>
  <rcc rId="940" sId="1">
    <nc r="Y291">
      <f>ROUNDDOWN(W291/HLOOKUP(D291,Table!$C$3:$D$4,2,0)*8,2)</f>
    </nc>
  </rcc>
  <rcc rId="941" sId="1">
    <nc r="Y292">
      <f>ROUNDDOWN(W292/HLOOKUP(D292,Table!$C$3:$D$4,2,0)*8,2)</f>
    </nc>
  </rcc>
  <rcc rId="942" sId="1">
    <nc r="Y293">
      <f>ROUNDDOWN(W293/HLOOKUP(D293,Table!$C$3:$D$4,2,0)*8,2)</f>
    </nc>
  </rcc>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3" sId="1" numFmtId="19">
    <nc r="AC242">
      <v>44083</v>
    </nc>
  </rcc>
  <rcc rId="944" sId="1" numFmtId="19">
    <nc r="AC243">
      <v>44083</v>
    </nc>
  </rcc>
  <rcc rId="945" sId="1" numFmtId="19">
    <nc r="AC244">
      <v>44083</v>
    </nc>
  </rcc>
  <rcc rId="946" sId="1" numFmtId="19">
    <nc r="AC245">
      <v>44083</v>
    </nc>
  </rcc>
  <rcc rId="947" sId="1" numFmtId="19">
    <nc r="AC246">
      <v>44083</v>
    </nc>
  </rcc>
  <rcc rId="948" sId="1" numFmtId="19">
    <nc r="AC247">
      <v>44083</v>
    </nc>
  </rcc>
  <rcc rId="949" sId="1" numFmtId="19">
    <nc r="AC248">
      <v>44083</v>
    </nc>
  </rcc>
  <rcc rId="950" sId="1" numFmtId="19">
    <nc r="AC249">
      <v>44083</v>
    </nc>
  </rcc>
  <rcc rId="951" sId="1" numFmtId="19">
    <nc r="AC250">
      <v>44083</v>
    </nc>
  </rcc>
  <rcc rId="952" sId="1" numFmtId="19">
    <nc r="AC251">
      <v>44083</v>
    </nc>
  </rcc>
  <rcc rId="953" sId="1" numFmtId="19">
    <nc r="AC252">
      <v>44083</v>
    </nc>
  </rcc>
  <rcc rId="954" sId="1" numFmtId="19">
    <nc r="AC253">
      <v>44083</v>
    </nc>
  </rcc>
  <rcc rId="955" sId="1" numFmtId="19">
    <nc r="AC254">
      <v>44083</v>
    </nc>
  </rcc>
  <rcc rId="956" sId="1" numFmtId="19">
    <nc r="AC255">
      <v>44083</v>
    </nc>
  </rcc>
  <rcc rId="957" sId="1" numFmtId="19">
    <nc r="AC256">
      <v>44083</v>
    </nc>
  </rcc>
  <rcc rId="958" sId="1" numFmtId="19">
    <nc r="AC257">
      <v>44083</v>
    </nc>
  </rcc>
  <rcc rId="959" sId="1" numFmtId="19">
    <nc r="AC258">
      <v>44083</v>
    </nc>
  </rcc>
  <rcc rId="960" sId="1" numFmtId="19">
    <nc r="AC259">
      <v>44083</v>
    </nc>
  </rcc>
  <rcc rId="961" sId="1" numFmtId="19">
    <nc r="AC260">
      <v>44083</v>
    </nc>
  </rcc>
  <rcc rId="962" sId="1" numFmtId="19">
    <nc r="AC261">
      <v>44083</v>
    </nc>
  </rcc>
  <rcc rId="963" sId="1" numFmtId="19">
    <nc r="AC262">
      <v>44083</v>
    </nc>
  </rcc>
  <rcc rId="964" sId="1" numFmtId="19">
    <nc r="AC263">
      <v>44083</v>
    </nc>
  </rcc>
  <rcc rId="965" sId="1" numFmtId="19">
    <nc r="AC264">
      <v>44083</v>
    </nc>
  </rcc>
  <rcc rId="966" sId="1" numFmtId="19">
    <nc r="AC265">
      <v>44083</v>
    </nc>
  </rcc>
  <rcc rId="967" sId="1" numFmtId="19">
    <nc r="AC266">
      <v>44083</v>
    </nc>
  </rcc>
  <rcc rId="968" sId="1" numFmtId="19">
    <nc r="AC267">
      <v>44083</v>
    </nc>
  </rcc>
  <rcc rId="969" sId="1" numFmtId="19">
    <nc r="AC268">
      <v>44083</v>
    </nc>
  </rcc>
  <rcc rId="970" sId="1" numFmtId="19">
    <nc r="AC269">
      <v>44083</v>
    </nc>
  </rcc>
  <rcc rId="971" sId="1" numFmtId="19">
    <nc r="AC270">
      <v>44083</v>
    </nc>
  </rcc>
  <rcc rId="972" sId="1" numFmtId="19">
    <nc r="AC271">
      <v>44083</v>
    </nc>
  </rcc>
  <rcc rId="973" sId="1" numFmtId="19">
    <nc r="AC272">
      <v>44083</v>
    </nc>
  </rcc>
  <rcc rId="974" sId="1" numFmtId="19">
    <nc r="AC273">
      <v>44083</v>
    </nc>
  </rcc>
  <rcc rId="975" sId="1" numFmtId="19">
    <nc r="AC274">
      <v>44083</v>
    </nc>
  </rcc>
  <rcc rId="976" sId="1" numFmtId="19">
    <nc r="AC275">
      <v>44083</v>
    </nc>
  </rcc>
  <rcc rId="977" sId="1" numFmtId="19">
    <nc r="AC276">
      <v>44083</v>
    </nc>
  </rcc>
  <rcc rId="978" sId="1" numFmtId="19">
    <nc r="AC277">
      <v>44083</v>
    </nc>
  </rcc>
  <rcc rId="979" sId="1" numFmtId="19">
    <nc r="AC278">
      <v>44083</v>
    </nc>
  </rcc>
  <rcc rId="980" sId="1" numFmtId="19">
    <nc r="AC279">
      <v>44083</v>
    </nc>
  </rcc>
  <rcc rId="981" sId="1" numFmtId="19">
    <nc r="AC280">
      <v>44083</v>
    </nc>
  </rcc>
  <rcc rId="982" sId="1" numFmtId="19">
    <nc r="AC281">
      <v>44083</v>
    </nc>
  </rcc>
  <rcc rId="983" sId="1" numFmtId="19">
    <nc r="AC282">
      <v>44083</v>
    </nc>
  </rcc>
  <rcc rId="984" sId="1" numFmtId="19">
    <nc r="AC283">
      <v>44083</v>
    </nc>
  </rcc>
  <rcc rId="985" sId="1" numFmtId="19">
    <nc r="AC284">
      <v>44083</v>
    </nc>
  </rcc>
  <rcc rId="986" sId="1" numFmtId="19">
    <nc r="AC285">
      <v>44083</v>
    </nc>
  </rcc>
  <rcc rId="987" sId="1" numFmtId="19">
    <nc r="AC286">
      <v>44083</v>
    </nc>
  </rcc>
  <rcc rId="988" sId="1" numFmtId="19">
    <nc r="AC287">
      <v>44083</v>
    </nc>
  </rcc>
  <rcc rId="989" sId="1" numFmtId="19">
    <nc r="AC288">
      <v>44083</v>
    </nc>
  </rcc>
  <rcc rId="990" sId="1" numFmtId="19">
    <nc r="AC289">
      <v>44083</v>
    </nc>
  </rcc>
  <rcc rId="991" sId="1" numFmtId="19">
    <nc r="AC290">
      <v>44083</v>
    </nc>
  </rcc>
  <rcc rId="992" sId="1" numFmtId="19">
    <nc r="AC291">
      <v>44083</v>
    </nc>
  </rcc>
  <rcc rId="993" sId="1" numFmtId="19">
    <nc r="AC292">
      <v>44083</v>
    </nc>
  </rcc>
  <rcc rId="994" sId="1" numFmtId="19">
    <nc r="AC293">
      <v>44083</v>
    </nc>
  </rcc>
  <rcc rId="995" sId="1" xfDxf="1" dxf="1" numFmtId="19">
    <nc r="AD242">
      <v>44092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996" sId="1" xfDxf="1" dxf="1" numFmtId="19">
    <nc r="AD243">
      <v>44092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997" sId="1" xfDxf="1" dxf="1" numFmtId="19">
    <nc r="AD244">
      <v>44092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998" sId="1" xfDxf="1" dxf="1" numFmtId="19">
    <nc r="AD245">
      <v>44092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999" sId="1" xfDxf="1" dxf="1" numFmtId="19">
    <nc r="AD246">
      <v>44092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00" sId="1" xfDxf="1" dxf="1" numFmtId="19">
    <nc r="AD247">
      <v>44092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01" sId="1" xfDxf="1" dxf="1" numFmtId="19">
    <nc r="AD248">
      <v>44092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02" sId="1" xfDxf="1" dxf="1" numFmtId="19">
    <nc r="AD249">
      <v>44092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03" sId="1" xfDxf="1" dxf="1" numFmtId="19">
    <nc r="AD250">
      <v>44092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04" sId="1" xfDxf="1" dxf="1" numFmtId="19">
    <nc r="AD251">
      <v>44092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05" sId="1" xfDxf="1" dxf="1" numFmtId="19">
    <nc r="AD252">
      <v>44092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06" sId="1" xfDxf="1" dxf="1" numFmtId="19">
    <nc r="AD253">
      <v>44092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07" sId="1" xfDxf="1" dxf="1" numFmtId="19">
    <nc r="AD254">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08" sId="1" xfDxf="1" dxf="1" numFmtId="19">
    <nc r="AD255">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09" sId="1" xfDxf="1" dxf="1" numFmtId="19">
    <nc r="AD256">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10" sId="1" xfDxf="1" dxf="1" numFmtId="19">
    <nc r="AD257">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11" sId="1" xfDxf="1" dxf="1" numFmtId="19">
    <nc r="AD258">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12" sId="1" xfDxf="1" dxf="1" numFmtId="19">
    <nc r="AD259">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13" sId="1" xfDxf="1" dxf="1" numFmtId="19">
    <nc r="AD260">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14" sId="1" xfDxf="1" dxf="1" numFmtId="19">
    <nc r="AD261">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15" sId="1" xfDxf="1" dxf="1" numFmtId="19">
    <nc r="AD262">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16" sId="1" xfDxf="1" dxf="1" numFmtId="19">
    <nc r="AD263">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17" sId="1" xfDxf="1" dxf="1" numFmtId="19">
    <nc r="AD264">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18" sId="1" xfDxf="1" dxf="1" numFmtId="19">
    <nc r="AD265">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19" sId="1" xfDxf="1" dxf="1" numFmtId="19">
    <nc r="AD266">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20" sId="1" xfDxf="1" dxf="1" numFmtId="19">
    <nc r="AD267">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21" sId="1" xfDxf="1" dxf="1" numFmtId="19">
    <nc r="AD268">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22" sId="1" xfDxf="1" dxf="1" numFmtId="19">
    <nc r="AD269">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23" sId="1" xfDxf="1" dxf="1" numFmtId="19">
    <nc r="AD270">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24" sId="1" xfDxf="1" dxf="1" numFmtId="19">
    <nc r="AD271">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25" sId="1" xfDxf="1" dxf="1" numFmtId="19">
    <nc r="AD272">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26" sId="1" xfDxf="1" dxf="1" numFmtId="19">
    <nc r="AD273">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27" sId="1" xfDxf="1" dxf="1" numFmtId="19">
    <nc r="AD274">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28" sId="1" xfDxf="1" dxf="1" numFmtId="19">
    <nc r="AD275">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29" sId="1" xfDxf="1" dxf="1" numFmtId="19">
    <nc r="AD276">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30" sId="1" xfDxf="1" dxf="1" numFmtId="19">
    <nc r="AD277">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31" sId="1" xfDxf="1" dxf="1" numFmtId="19">
    <nc r="AD278">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32" sId="1" xfDxf="1" dxf="1" numFmtId="19">
    <nc r="AD279">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33" sId="1" xfDxf="1" dxf="1" numFmtId="19">
    <nc r="AD280">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34" sId="1" xfDxf="1" dxf="1" numFmtId="19">
    <nc r="AD281">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35" sId="1" xfDxf="1" dxf="1" numFmtId="19">
    <nc r="AD282">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36" sId="1" xfDxf="1" dxf="1" numFmtId="19">
    <nc r="AD283">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37" sId="1" xfDxf="1" dxf="1" numFmtId="19">
    <nc r="AD284">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38" sId="1" xfDxf="1" dxf="1" numFmtId="19">
    <nc r="AD285">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39" sId="1" xfDxf="1" dxf="1" numFmtId="19">
    <nc r="AD286">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40" sId="1" xfDxf="1" dxf="1" numFmtId="19">
    <nc r="AD287">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41" sId="1" xfDxf="1" dxf="1" numFmtId="19">
    <nc r="AD288">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42" sId="1" xfDxf="1" dxf="1" numFmtId="19">
    <nc r="AD289">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43" sId="1" xfDxf="1" dxf="1" numFmtId="19">
    <nc r="AD290">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44" sId="1" xfDxf="1" dxf="1" numFmtId="19">
    <nc r="AD291">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45" sId="1" xfDxf="1" dxf="1" numFmtId="19">
    <nc r="AD292">
      <v>44094</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46" sId="1" xfDxf="1" dxf="1" numFmtId="19">
    <nc r="AD293">
      <v>44088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047" sId="1" quotePrefix="1">
    <nc r="AL243" t="inlineStr">
      <is>
        <t>-</t>
      </is>
    </nc>
  </rcc>
  <rcc rId="1048" sId="1" quotePrefix="1">
    <nc r="AM243" t="inlineStr">
      <is>
        <t>-</t>
      </is>
    </nc>
  </rcc>
  <rcc rId="1049" sId="1" quotePrefix="1">
    <nc r="AN243" t="inlineStr">
      <is>
        <t>-</t>
      </is>
    </nc>
  </rcc>
  <rcc rId="1050" sId="1" quotePrefix="1">
    <nc r="AL244" t="inlineStr">
      <is>
        <t>-</t>
      </is>
    </nc>
  </rcc>
  <rcc rId="1051" sId="1" quotePrefix="1">
    <nc r="AM244" t="inlineStr">
      <is>
        <t>-</t>
      </is>
    </nc>
  </rcc>
  <rcc rId="1052" sId="1" quotePrefix="1">
    <nc r="AN244" t="inlineStr">
      <is>
        <t>-</t>
      </is>
    </nc>
  </rcc>
  <rcc rId="1053" sId="1" quotePrefix="1">
    <nc r="AL245" t="inlineStr">
      <is>
        <t>-</t>
      </is>
    </nc>
  </rcc>
  <rcc rId="1054" sId="1" quotePrefix="1">
    <nc r="AM245" t="inlineStr">
      <is>
        <t>-</t>
      </is>
    </nc>
  </rcc>
  <rcc rId="1055" sId="1" quotePrefix="1">
    <nc r="AN245" t="inlineStr">
      <is>
        <t>-</t>
      </is>
    </nc>
  </rcc>
  <rcc rId="1056" sId="1" quotePrefix="1">
    <nc r="AL246" t="inlineStr">
      <is>
        <t>-</t>
      </is>
    </nc>
  </rcc>
  <rcc rId="1057" sId="1" quotePrefix="1">
    <nc r="AM246" t="inlineStr">
      <is>
        <t>-</t>
      </is>
    </nc>
  </rcc>
  <rcc rId="1058" sId="1" quotePrefix="1">
    <nc r="AN246" t="inlineStr">
      <is>
        <t>-</t>
      </is>
    </nc>
  </rcc>
  <rcc rId="1059" sId="1" quotePrefix="1">
    <nc r="AL247" t="inlineStr">
      <is>
        <t>-</t>
      </is>
    </nc>
  </rcc>
  <rcc rId="1060" sId="1" quotePrefix="1">
    <nc r="AM247" t="inlineStr">
      <is>
        <t>-</t>
      </is>
    </nc>
  </rcc>
  <rcc rId="1061" sId="1" quotePrefix="1">
    <nc r="AN247" t="inlineStr">
      <is>
        <t>-</t>
      </is>
    </nc>
  </rcc>
  <rcc rId="1062" sId="1" quotePrefix="1">
    <nc r="AL248" t="inlineStr">
      <is>
        <t>-</t>
      </is>
    </nc>
  </rcc>
  <rcc rId="1063" sId="1" quotePrefix="1">
    <nc r="AM248" t="inlineStr">
      <is>
        <t>-</t>
      </is>
    </nc>
  </rcc>
  <rcc rId="1064" sId="1" quotePrefix="1">
    <nc r="AN248" t="inlineStr">
      <is>
        <t>-</t>
      </is>
    </nc>
  </rcc>
  <rcc rId="1065" sId="1" quotePrefix="1">
    <nc r="AL249" t="inlineStr">
      <is>
        <t>-</t>
      </is>
    </nc>
  </rcc>
  <rcc rId="1066" sId="1" quotePrefix="1">
    <nc r="AM249" t="inlineStr">
      <is>
        <t>-</t>
      </is>
    </nc>
  </rcc>
  <rcc rId="1067" sId="1" quotePrefix="1">
    <nc r="AN249" t="inlineStr">
      <is>
        <t>-</t>
      </is>
    </nc>
  </rcc>
  <rcc rId="1068" sId="1" quotePrefix="1">
    <nc r="AL250" t="inlineStr">
      <is>
        <t>-</t>
      </is>
    </nc>
  </rcc>
  <rcc rId="1069" sId="1" quotePrefix="1">
    <nc r="AM250" t="inlineStr">
      <is>
        <t>-</t>
      </is>
    </nc>
  </rcc>
  <rcc rId="1070" sId="1" quotePrefix="1">
    <nc r="AN250" t="inlineStr">
      <is>
        <t>-</t>
      </is>
    </nc>
  </rcc>
  <rcc rId="1071" sId="1" quotePrefix="1">
    <nc r="AL251" t="inlineStr">
      <is>
        <t>-</t>
      </is>
    </nc>
  </rcc>
  <rcc rId="1072" sId="1" quotePrefix="1">
    <nc r="AM251" t="inlineStr">
      <is>
        <t>-</t>
      </is>
    </nc>
  </rcc>
  <rcc rId="1073" sId="1" quotePrefix="1">
    <nc r="AN251" t="inlineStr">
      <is>
        <t>-</t>
      </is>
    </nc>
  </rcc>
  <rcc rId="1074" sId="1" quotePrefix="1">
    <nc r="AL252" t="inlineStr">
      <is>
        <t>-</t>
      </is>
    </nc>
  </rcc>
  <rcc rId="1075" sId="1" quotePrefix="1">
    <nc r="AM252" t="inlineStr">
      <is>
        <t>-</t>
      </is>
    </nc>
  </rcc>
  <rcc rId="1076" sId="1" quotePrefix="1">
    <nc r="AN252" t="inlineStr">
      <is>
        <t>-</t>
      </is>
    </nc>
  </rcc>
  <rcc rId="1077" sId="1" quotePrefix="1">
    <nc r="AL253" t="inlineStr">
      <is>
        <t>-</t>
      </is>
    </nc>
  </rcc>
  <rcc rId="1078" sId="1" quotePrefix="1">
    <nc r="AM253" t="inlineStr">
      <is>
        <t>-</t>
      </is>
    </nc>
  </rcc>
  <rcc rId="1079" sId="1" quotePrefix="1">
    <nc r="AN253" t="inlineStr">
      <is>
        <t>-</t>
      </is>
    </nc>
  </rcc>
  <rcc rId="1080" sId="1" quotePrefix="1">
    <nc r="AL254" t="inlineStr">
      <is>
        <t>-</t>
      </is>
    </nc>
  </rcc>
  <rcc rId="1081" sId="1" quotePrefix="1">
    <nc r="AM254" t="inlineStr">
      <is>
        <t>-</t>
      </is>
    </nc>
  </rcc>
  <rcc rId="1082" sId="1" quotePrefix="1">
    <nc r="AN254" t="inlineStr">
      <is>
        <t>-</t>
      </is>
    </nc>
  </rcc>
  <rcc rId="1083" sId="1" quotePrefix="1">
    <nc r="AL255" t="inlineStr">
      <is>
        <t>-</t>
      </is>
    </nc>
  </rcc>
  <rcc rId="1084" sId="1" quotePrefix="1">
    <nc r="AM255" t="inlineStr">
      <is>
        <t>-</t>
      </is>
    </nc>
  </rcc>
  <rcc rId="1085" sId="1" quotePrefix="1">
    <nc r="AN255" t="inlineStr">
      <is>
        <t>-</t>
      </is>
    </nc>
  </rcc>
  <rcc rId="1086" sId="1" quotePrefix="1">
    <nc r="AL256" t="inlineStr">
      <is>
        <t>-</t>
      </is>
    </nc>
  </rcc>
  <rcc rId="1087" sId="1" quotePrefix="1">
    <nc r="AM256" t="inlineStr">
      <is>
        <t>-</t>
      </is>
    </nc>
  </rcc>
  <rcc rId="1088" sId="1" quotePrefix="1">
    <nc r="AN256" t="inlineStr">
      <is>
        <t>-</t>
      </is>
    </nc>
  </rcc>
  <rcc rId="1089" sId="1" quotePrefix="1">
    <nc r="AL257" t="inlineStr">
      <is>
        <t>-</t>
      </is>
    </nc>
  </rcc>
  <rcc rId="1090" sId="1" quotePrefix="1">
    <nc r="AM257" t="inlineStr">
      <is>
        <t>-</t>
      </is>
    </nc>
  </rcc>
  <rcc rId="1091" sId="1" quotePrefix="1">
    <nc r="AN257" t="inlineStr">
      <is>
        <t>-</t>
      </is>
    </nc>
  </rcc>
  <rcc rId="1092" sId="1" quotePrefix="1">
    <nc r="AL258" t="inlineStr">
      <is>
        <t>-</t>
      </is>
    </nc>
  </rcc>
  <rcc rId="1093" sId="1" quotePrefix="1">
    <nc r="AM258" t="inlineStr">
      <is>
        <t>-</t>
      </is>
    </nc>
  </rcc>
  <rcc rId="1094" sId="1" quotePrefix="1">
    <nc r="AN258" t="inlineStr">
      <is>
        <t>-</t>
      </is>
    </nc>
  </rcc>
  <rcc rId="1095" sId="1" quotePrefix="1">
    <nc r="AL259" t="inlineStr">
      <is>
        <t>-</t>
      </is>
    </nc>
  </rcc>
  <rcc rId="1096" sId="1" quotePrefix="1">
    <nc r="AM259" t="inlineStr">
      <is>
        <t>-</t>
      </is>
    </nc>
  </rcc>
  <rcc rId="1097" sId="1" quotePrefix="1">
    <nc r="AN259" t="inlineStr">
      <is>
        <t>-</t>
      </is>
    </nc>
  </rcc>
  <rcc rId="1098" sId="1" quotePrefix="1">
    <nc r="AL260" t="inlineStr">
      <is>
        <t>-</t>
      </is>
    </nc>
  </rcc>
  <rcc rId="1099" sId="1" quotePrefix="1">
    <nc r="AM260" t="inlineStr">
      <is>
        <t>-</t>
      </is>
    </nc>
  </rcc>
  <rcc rId="1100" sId="1" quotePrefix="1">
    <nc r="AN260" t="inlineStr">
      <is>
        <t>-</t>
      </is>
    </nc>
  </rcc>
  <rcc rId="1101" sId="1" quotePrefix="1">
    <nc r="AL261" t="inlineStr">
      <is>
        <t>-</t>
      </is>
    </nc>
  </rcc>
  <rcc rId="1102" sId="1" quotePrefix="1">
    <nc r="AM261" t="inlineStr">
      <is>
        <t>-</t>
      </is>
    </nc>
  </rcc>
  <rcc rId="1103" sId="1" quotePrefix="1">
    <nc r="AN261" t="inlineStr">
      <is>
        <t>-</t>
      </is>
    </nc>
  </rcc>
  <rcc rId="1104" sId="1" quotePrefix="1">
    <nc r="AL262" t="inlineStr">
      <is>
        <t>-</t>
      </is>
    </nc>
  </rcc>
  <rcc rId="1105" sId="1" quotePrefix="1">
    <nc r="AM262" t="inlineStr">
      <is>
        <t>-</t>
      </is>
    </nc>
  </rcc>
  <rcc rId="1106" sId="1" quotePrefix="1">
    <nc r="AN262" t="inlineStr">
      <is>
        <t>-</t>
      </is>
    </nc>
  </rcc>
  <rcc rId="1107" sId="1" quotePrefix="1">
    <nc r="AL263" t="inlineStr">
      <is>
        <t>-</t>
      </is>
    </nc>
  </rcc>
  <rcc rId="1108" sId="1" quotePrefix="1">
    <nc r="AM263" t="inlineStr">
      <is>
        <t>-</t>
      </is>
    </nc>
  </rcc>
  <rcc rId="1109" sId="1" quotePrefix="1">
    <nc r="AN263" t="inlineStr">
      <is>
        <t>-</t>
      </is>
    </nc>
  </rcc>
  <rcc rId="1110" sId="1" quotePrefix="1">
    <nc r="AL264" t="inlineStr">
      <is>
        <t>-</t>
      </is>
    </nc>
  </rcc>
  <rcc rId="1111" sId="1" quotePrefix="1">
    <nc r="AM264" t="inlineStr">
      <is>
        <t>-</t>
      </is>
    </nc>
  </rcc>
  <rcc rId="1112" sId="1" quotePrefix="1">
    <nc r="AN264" t="inlineStr">
      <is>
        <t>-</t>
      </is>
    </nc>
  </rcc>
  <rcc rId="1113" sId="1" quotePrefix="1">
    <nc r="AL265" t="inlineStr">
      <is>
        <t>-</t>
      </is>
    </nc>
  </rcc>
  <rcc rId="1114" sId="1" quotePrefix="1">
    <nc r="AM265" t="inlineStr">
      <is>
        <t>-</t>
      </is>
    </nc>
  </rcc>
  <rcc rId="1115" sId="1" quotePrefix="1">
    <nc r="AN265" t="inlineStr">
      <is>
        <t>-</t>
      </is>
    </nc>
  </rcc>
  <rcc rId="1116" sId="1" quotePrefix="1">
    <nc r="AL266" t="inlineStr">
      <is>
        <t>-</t>
      </is>
    </nc>
  </rcc>
  <rcc rId="1117" sId="1" quotePrefix="1">
    <nc r="AM266" t="inlineStr">
      <is>
        <t>-</t>
      </is>
    </nc>
  </rcc>
  <rcc rId="1118" sId="1" quotePrefix="1">
    <nc r="AN266" t="inlineStr">
      <is>
        <t>-</t>
      </is>
    </nc>
  </rcc>
  <rcc rId="1119" sId="1" quotePrefix="1">
    <nc r="AL267" t="inlineStr">
      <is>
        <t>-</t>
      </is>
    </nc>
  </rcc>
  <rcc rId="1120" sId="1" quotePrefix="1">
    <nc r="AM267" t="inlineStr">
      <is>
        <t>-</t>
      </is>
    </nc>
  </rcc>
  <rcc rId="1121" sId="1" quotePrefix="1">
    <nc r="AN267" t="inlineStr">
      <is>
        <t>-</t>
      </is>
    </nc>
  </rcc>
  <rcc rId="1122" sId="1" quotePrefix="1">
    <nc r="AL268" t="inlineStr">
      <is>
        <t>-</t>
      </is>
    </nc>
  </rcc>
  <rcc rId="1123" sId="1" quotePrefix="1">
    <nc r="AM268" t="inlineStr">
      <is>
        <t>-</t>
      </is>
    </nc>
  </rcc>
  <rcc rId="1124" sId="1" quotePrefix="1">
    <nc r="AN268" t="inlineStr">
      <is>
        <t>-</t>
      </is>
    </nc>
  </rcc>
  <rcc rId="1125" sId="1" quotePrefix="1">
    <nc r="AL269" t="inlineStr">
      <is>
        <t>-</t>
      </is>
    </nc>
  </rcc>
  <rcc rId="1126" sId="1" quotePrefix="1">
    <nc r="AM269" t="inlineStr">
      <is>
        <t>-</t>
      </is>
    </nc>
  </rcc>
  <rcc rId="1127" sId="1" quotePrefix="1">
    <nc r="AN269" t="inlineStr">
      <is>
        <t>-</t>
      </is>
    </nc>
  </rcc>
  <rcc rId="1128" sId="1" quotePrefix="1">
    <nc r="AL270" t="inlineStr">
      <is>
        <t>-</t>
      </is>
    </nc>
  </rcc>
  <rcc rId="1129" sId="1" quotePrefix="1">
    <nc r="AM270" t="inlineStr">
      <is>
        <t>-</t>
      </is>
    </nc>
  </rcc>
  <rcc rId="1130" sId="1" quotePrefix="1">
    <nc r="AN270" t="inlineStr">
      <is>
        <t>-</t>
      </is>
    </nc>
  </rcc>
  <rcc rId="1131" sId="1" quotePrefix="1">
    <nc r="AL271" t="inlineStr">
      <is>
        <t>-</t>
      </is>
    </nc>
  </rcc>
  <rcc rId="1132" sId="1" quotePrefix="1">
    <nc r="AM271" t="inlineStr">
      <is>
        <t>-</t>
      </is>
    </nc>
  </rcc>
  <rcc rId="1133" sId="1" quotePrefix="1">
    <nc r="AN271" t="inlineStr">
      <is>
        <t>-</t>
      </is>
    </nc>
  </rcc>
  <rcc rId="1134" sId="1" quotePrefix="1">
    <nc r="AL272" t="inlineStr">
      <is>
        <t>-</t>
      </is>
    </nc>
  </rcc>
  <rcc rId="1135" sId="1" quotePrefix="1">
    <nc r="AM272" t="inlineStr">
      <is>
        <t>-</t>
      </is>
    </nc>
  </rcc>
  <rcc rId="1136" sId="1" quotePrefix="1">
    <nc r="AN272" t="inlineStr">
      <is>
        <t>-</t>
      </is>
    </nc>
  </rcc>
  <rcc rId="1137" sId="1" quotePrefix="1">
    <nc r="AL273" t="inlineStr">
      <is>
        <t>-</t>
      </is>
    </nc>
  </rcc>
  <rcc rId="1138" sId="1" quotePrefix="1">
    <nc r="AM273" t="inlineStr">
      <is>
        <t>-</t>
      </is>
    </nc>
  </rcc>
  <rcc rId="1139" sId="1" quotePrefix="1">
    <nc r="AN273" t="inlineStr">
      <is>
        <t>-</t>
      </is>
    </nc>
  </rcc>
  <rcc rId="1140" sId="1" quotePrefix="1">
    <nc r="AL274" t="inlineStr">
      <is>
        <t>-</t>
      </is>
    </nc>
  </rcc>
  <rcc rId="1141" sId="1" quotePrefix="1">
    <nc r="AM274" t="inlineStr">
      <is>
        <t>-</t>
      </is>
    </nc>
  </rcc>
  <rcc rId="1142" sId="1" quotePrefix="1">
    <nc r="AN274" t="inlineStr">
      <is>
        <t>-</t>
      </is>
    </nc>
  </rcc>
  <rcc rId="1143" sId="1" quotePrefix="1">
    <nc r="AL275" t="inlineStr">
      <is>
        <t>-</t>
      </is>
    </nc>
  </rcc>
  <rcc rId="1144" sId="1" quotePrefix="1">
    <nc r="AM275" t="inlineStr">
      <is>
        <t>-</t>
      </is>
    </nc>
  </rcc>
  <rcc rId="1145" sId="1" quotePrefix="1">
    <nc r="AN275" t="inlineStr">
      <is>
        <t>-</t>
      </is>
    </nc>
  </rcc>
  <rcc rId="1146" sId="1" quotePrefix="1">
    <nc r="AL276" t="inlineStr">
      <is>
        <t>-</t>
      </is>
    </nc>
  </rcc>
  <rcc rId="1147" sId="1" quotePrefix="1">
    <nc r="AM276" t="inlineStr">
      <is>
        <t>-</t>
      </is>
    </nc>
  </rcc>
  <rcc rId="1148" sId="1" quotePrefix="1">
    <nc r="AN276" t="inlineStr">
      <is>
        <t>-</t>
      </is>
    </nc>
  </rcc>
  <rcc rId="1149" sId="1" quotePrefix="1">
    <nc r="AL277" t="inlineStr">
      <is>
        <t>-</t>
      </is>
    </nc>
  </rcc>
  <rcc rId="1150" sId="1" quotePrefix="1">
    <nc r="AM277" t="inlineStr">
      <is>
        <t>-</t>
      </is>
    </nc>
  </rcc>
  <rcc rId="1151" sId="1" quotePrefix="1">
    <nc r="AN277" t="inlineStr">
      <is>
        <t>-</t>
      </is>
    </nc>
  </rcc>
  <rcc rId="1152" sId="1" quotePrefix="1">
    <nc r="AL278" t="inlineStr">
      <is>
        <t>-</t>
      </is>
    </nc>
  </rcc>
  <rcc rId="1153" sId="1" quotePrefix="1">
    <nc r="AM278" t="inlineStr">
      <is>
        <t>-</t>
      </is>
    </nc>
  </rcc>
  <rcc rId="1154" sId="1" quotePrefix="1">
    <nc r="AN278" t="inlineStr">
      <is>
        <t>-</t>
      </is>
    </nc>
  </rcc>
  <rcc rId="1155" sId="1" quotePrefix="1">
    <nc r="AL279" t="inlineStr">
      <is>
        <t>-</t>
      </is>
    </nc>
  </rcc>
  <rcc rId="1156" sId="1" quotePrefix="1">
    <nc r="AM279" t="inlineStr">
      <is>
        <t>-</t>
      </is>
    </nc>
  </rcc>
  <rcc rId="1157" sId="1" quotePrefix="1">
    <nc r="AN279" t="inlineStr">
      <is>
        <t>-</t>
      </is>
    </nc>
  </rcc>
  <rcc rId="1158" sId="1" quotePrefix="1">
    <nc r="AL280" t="inlineStr">
      <is>
        <t>-</t>
      </is>
    </nc>
  </rcc>
  <rcc rId="1159" sId="1" quotePrefix="1">
    <nc r="AM280" t="inlineStr">
      <is>
        <t>-</t>
      </is>
    </nc>
  </rcc>
  <rcc rId="1160" sId="1" quotePrefix="1">
    <nc r="AN280" t="inlineStr">
      <is>
        <t>-</t>
      </is>
    </nc>
  </rcc>
  <rcc rId="1161" sId="1" quotePrefix="1">
    <nc r="AL281" t="inlineStr">
      <is>
        <t>-</t>
      </is>
    </nc>
  </rcc>
  <rcc rId="1162" sId="1" quotePrefix="1">
    <nc r="AM281" t="inlineStr">
      <is>
        <t>-</t>
      </is>
    </nc>
  </rcc>
  <rcc rId="1163" sId="1" quotePrefix="1">
    <nc r="AN281" t="inlineStr">
      <is>
        <t>-</t>
      </is>
    </nc>
  </rcc>
  <rcc rId="1164" sId="1" quotePrefix="1">
    <nc r="AL282" t="inlineStr">
      <is>
        <t>-</t>
      </is>
    </nc>
  </rcc>
  <rcc rId="1165" sId="1" quotePrefix="1">
    <nc r="AM282" t="inlineStr">
      <is>
        <t>-</t>
      </is>
    </nc>
  </rcc>
  <rcc rId="1166" sId="1" quotePrefix="1">
    <nc r="AN282" t="inlineStr">
      <is>
        <t>-</t>
      </is>
    </nc>
  </rcc>
  <rcc rId="1167" sId="1" quotePrefix="1">
    <nc r="AL283" t="inlineStr">
      <is>
        <t>-</t>
      </is>
    </nc>
  </rcc>
  <rcc rId="1168" sId="1" quotePrefix="1">
    <nc r="AM283" t="inlineStr">
      <is>
        <t>-</t>
      </is>
    </nc>
  </rcc>
  <rcc rId="1169" sId="1" quotePrefix="1">
    <nc r="AN283" t="inlineStr">
      <is>
        <t>-</t>
      </is>
    </nc>
  </rcc>
  <rcc rId="1170" sId="1" quotePrefix="1">
    <nc r="AL284" t="inlineStr">
      <is>
        <t>-</t>
      </is>
    </nc>
  </rcc>
  <rcc rId="1171" sId="1" quotePrefix="1">
    <nc r="AM284" t="inlineStr">
      <is>
        <t>-</t>
      </is>
    </nc>
  </rcc>
  <rcc rId="1172" sId="1" quotePrefix="1">
    <nc r="AN284" t="inlineStr">
      <is>
        <t>-</t>
      </is>
    </nc>
  </rcc>
  <rcc rId="1173" sId="1" quotePrefix="1">
    <nc r="AL285" t="inlineStr">
      <is>
        <t>-</t>
      </is>
    </nc>
  </rcc>
  <rcc rId="1174" sId="1" quotePrefix="1">
    <nc r="AM285" t="inlineStr">
      <is>
        <t>-</t>
      </is>
    </nc>
  </rcc>
  <rcc rId="1175" sId="1" quotePrefix="1">
    <nc r="AN285" t="inlineStr">
      <is>
        <t>-</t>
      </is>
    </nc>
  </rcc>
  <rcc rId="1176" sId="1" quotePrefix="1">
    <nc r="AL286" t="inlineStr">
      <is>
        <t>-</t>
      </is>
    </nc>
  </rcc>
  <rcc rId="1177" sId="1" quotePrefix="1">
    <nc r="AM286" t="inlineStr">
      <is>
        <t>-</t>
      </is>
    </nc>
  </rcc>
  <rcc rId="1178" sId="1" quotePrefix="1">
    <nc r="AN286" t="inlineStr">
      <is>
        <t>-</t>
      </is>
    </nc>
  </rcc>
  <rcc rId="1179" sId="1" quotePrefix="1">
    <nc r="AL287" t="inlineStr">
      <is>
        <t>-</t>
      </is>
    </nc>
  </rcc>
  <rcc rId="1180" sId="1" quotePrefix="1">
    <nc r="AM287" t="inlineStr">
      <is>
        <t>-</t>
      </is>
    </nc>
  </rcc>
  <rcc rId="1181" sId="1" quotePrefix="1">
    <nc r="AN287" t="inlineStr">
      <is>
        <t>-</t>
      </is>
    </nc>
  </rcc>
  <rcc rId="1182" sId="1" quotePrefix="1">
    <nc r="AL288" t="inlineStr">
      <is>
        <t>-</t>
      </is>
    </nc>
  </rcc>
  <rcc rId="1183" sId="1" quotePrefix="1">
    <nc r="AM288" t="inlineStr">
      <is>
        <t>-</t>
      </is>
    </nc>
  </rcc>
  <rcc rId="1184" sId="1" quotePrefix="1">
    <nc r="AN288" t="inlineStr">
      <is>
        <t>-</t>
      </is>
    </nc>
  </rcc>
  <rcc rId="1185" sId="1" quotePrefix="1">
    <nc r="AL289" t="inlineStr">
      <is>
        <t>-</t>
      </is>
    </nc>
  </rcc>
  <rcc rId="1186" sId="1" quotePrefix="1">
    <nc r="AM289" t="inlineStr">
      <is>
        <t>-</t>
      </is>
    </nc>
  </rcc>
  <rcc rId="1187" sId="1" quotePrefix="1">
    <nc r="AN289" t="inlineStr">
      <is>
        <t>-</t>
      </is>
    </nc>
  </rcc>
  <rcc rId="1188" sId="1" quotePrefix="1">
    <nc r="AL290" t="inlineStr">
      <is>
        <t>-</t>
      </is>
    </nc>
  </rcc>
  <rcc rId="1189" sId="1" quotePrefix="1">
    <nc r="AM290" t="inlineStr">
      <is>
        <t>-</t>
      </is>
    </nc>
  </rcc>
  <rcc rId="1190" sId="1" quotePrefix="1">
    <nc r="AN290" t="inlineStr">
      <is>
        <t>-</t>
      </is>
    </nc>
  </rcc>
  <rcc rId="1191" sId="1" quotePrefix="1">
    <nc r="AL291" t="inlineStr">
      <is>
        <t>-</t>
      </is>
    </nc>
  </rcc>
  <rcc rId="1192" sId="1" quotePrefix="1">
    <nc r="AM291" t="inlineStr">
      <is>
        <t>-</t>
      </is>
    </nc>
  </rcc>
  <rcc rId="1193" sId="1" quotePrefix="1">
    <nc r="AN291" t="inlineStr">
      <is>
        <t>-</t>
      </is>
    </nc>
  </rcc>
  <rcc rId="1194" sId="1" quotePrefix="1">
    <nc r="AL292" t="inlineStr">
      <is>
        <t>-</t>
      </is>
    </nc>
  </rcc>
  <rcc rId="1195" sId="1" quotePrefix="1">
    <nc r="AM292" t="inlineStr">
      <is>
        <t>-</t>
      </is>
    </nc>
  </rcc>
  <rcc rId="1196" sId="1" quotePrefix="1">
    <nc r="AN292" t="inlineStr">
      <is>
        <t>-</t>
      </is>
    </nc>
  </rcc>
  <rcc rId="1197" sId="1" quotePrefix="1">
    <nc r="AL293" t="inlineStr">
      <is>
        <t>-</t>
      </is>
    </nc>
  </rcc>
  <rcc rId="1198" sId="1" quotePrefix="1">
    <nc r="AM293" t="inlineStr">
      <is>
        <t>-</t>
      </is>
    </nc>
  </rcc>
  <rcc rId="1199" sId="1" quotePrefix="1">
    <nc r="AN293" t="inlineStr">
      <is>
        <t>-</t>
      </is>
    </nc>
  </rcc>
  <rcc rId="1200" sId="1" quotePrefix="1">
    <nc r="AL294" t="inlineStr">
      <is>
        <t>-</t>
      </is>
    </nc>
  </rcc>
  <rcc rId="1201" sId="1" quotePrefix="1">
    <nc r="AM294" t="inlineStr">
      <is>
        <t>-</t>
      </is>
    </nc>
  </rcc>
  <rcc rId="1202" sId="1" quotePrefix="1">
    <nc r="AN294" t="inlineStr">
      <is>
        <t>-</t>
      </is>
    </nc>
  </rcc>
  <rcc rId="1203" sId="1" quotePrefix="1">
    <nc r="AL295" t="inlineStr">
      <is>
        <t>-</t>
      </is>
    </nc>
  </rcc>
  <rcc rId="1204" sId="1" quotePrefix="1">
    <nc r="AM295" t="inlineStr">
      <is>
        <t>-</t>
      </is>
    </nc>
  </rcc>
  <rcc rId="1205" sId="1" quotePrefix="1">
    <nc r="AN295" t="inlineStr">
      <is>
        <t>-</t>
      </is>
    </nc>
  </rcc>
  <rcc rId="1206" sId="1" quotePrefix="1">
    <nc r="AL296" t="inlineStr">
      <is>
        <t>-</t>
      </is>
    </nc>
  </rcc>
  <rcc rId="1207" sId="1" quotePrefix="1">
    <nc r="AM296" t="inlineStr">
      <is>
        <t>-</t>
      </is>
    </nc>
  </rcc>
  <rcc rId="1208" sId="1" quotePrefix="1">
    <nc r="AN296" t="inlineStr">
      <is>
        <t>-</t>
      </is>
    </nc>
  </rcc>
  <rcc rId="1209" sId="1" quotePrefix="1">
    <nc r="AL297" t="inlineStr">
      <is>
        <t>-</t>
      </is>
    </nc>
  </rcc>
  <rcc rId="1210" sId="1" quotePrefix="1">
    <nc r="AM297" t="inlineStr">
      <is>
        <t>-</t>
      </is>
    </nc>
  </rcc>
  <rcc rId="1211" sId="1" quotePrefix="1">
    <nc r="AN297" t="inlineStr">
      <is>
        <t>-</t>
      </is>
    </nc>
  </rcc>
  <rcc rId="1212" sId="1" quotePrefix="1">
    <nc r="AL298" t="inlineStr">
      <is>
        <t>-</t>
      </is>
    </nc>
  </rcc>
  <rcc rId="1213" sId="1" quotePrefix="1">
    <nc r="AM298" t="inlineStr">
      <is>
        <t>-</t>
      </is>
    </nc>
  </rcc>
  <rcc rId="1214" sId="1" quotePrefix="1">
    <nc r="AN298" t="inlineStr">
      <is>
        <t>-</t>
      </is>
    </nc>
  </rcc>
  <rcc rId="1215" sId="1" quotePrefix="1">
    <nc r="AL299" t="inlineStr">
      <is>
        <t>-</t>
      </is>
    </nc>
  </rcc>
  <rcc rId="1216" sId="1" quotePrefix="1">
    <nc r="AM299" t="inlineStr">
      <is>
        <t>-</t>
      </is>
    </nc>
  </rcc>
  <rcc rId="1217" sId="1" quotePrefix="1">
    <nc r="AN299" t="inlineStr">
      <is>
        <t>-</t>
      </is>
    </nc>
  </rcc>
  <rcc rId="1218" sId="1" quotePrefix="1">
    <nc r="AL300" t="inlineStr">
      <is>
        <t>-</t>
      </is>
    </nc>
  </rcc>
  <rcc rId="1219" sId="1" quotePrefix="1">
    <nc r="AM300" t="inlineStr">
      <is>
        <t>-</t>
      </is>
    </nc>
  </rcc>
  <rcc rId="1220" sId="1" quotePrefix="1">
    <nc r="AN300" t="inlineStr">
      <is>
        <t>-</t>
      </is>
    </nc>
  </rcc>
  <rcc rId="1221" sId="1" quotePrefix="1">
    <nc r="AL301" t="inlineStr">
      <is>
        <t>-</t>
      </is>
    </nc>
  </rcc>
  <rcc rId="1222" sId="1" quotePrefix="1">
    <nc r="AM301" t="inlineStr">
      <is>
        <t>-</t>
      </is>
    </nc>
  </rcc>
  <rcc rId="1223" sId="1" quotePrefix="1">
    <nc r="AN301" t="inlineStr">
      <is>
        <t>-</t>
      </is>
    </nc>
  </rcc>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26" sId="1" xfDxf="1" dxf="1">
    <nc r="N242" t="inlineStr">
      <is>
        <t>JMC_Ford_V348_ESP9.3CP_Int</t>
      </is>
    </nc>
    <ndxf>
      <alignment horizontal="left" vertical="top" readingOrder="0"/>
      <border outline="0">
        <left style="thin">
          <color indexed="64"/>
        </left>
        <right style="thin">
          <color indexed="64"/>
        </right>
        <top style="thin">
          <color indexed="64"/>
        </top>
        <bottom style="thin">
          <color indexed="64"/>
        </bottom>
      </border>
    </ndxf>
  </rcc>
  <rcc rId="1227" sId="1" xfDxf="1" dxf="1">
    <nc r="N243" t="inlineStr">
      <is>
        <t>JMC_Ford_V348_ESP9.3CP_Int</t>
      </is>
    </nc>
    <ndxf>
      <alignment horizontal="left" vertical="top" readingOrder="0"/>
      <border outline="0">
        <left style="thin">
          <color indexed="64"/>
        </left>
        <right style="thin">
          <color indexed="64"/>
        </right>
        <top style="thin">
          <color indexed="64"/>
        </top>
        <bottom style="thin">
          <color indexed="64"/>
        </bottom>
      </border>
    </ndxf>
  </rcc>
  <rcc rId="1228" sId="1" xfDxf="1" dxf="1">
    <nc r="N244" t="inlineStr">
      <is>
        <t>JMC_Ford_V348_ESP9.3CP_Int</t>
      </is>
    </nc>
    <ndxf>
      <alignment horizontal="left" vertical="top" readingOrder="0"/>
      <border outline="0">
        <left style="thin">
          <color indexed="64"/>
        </left>
        <right style="thin">
          <color indexed="64"/>
        </right>
        <top style="thin">
          <color indexed="64"/>
        </top>
        <bottom style="thin">
          <color indexed="64"/>
        </bottom>
      </border>
    </ndxf>
  </rcc>
  <rcc rId="1229" sId="1" xfDxf="1" dxf="1">
    <nc r="N245" t="inlineStr">
      <is>
        <t>JMC_Ford_V348_ESP9.3CP_Int</t>
      </is>
    </nc>
    <ndxf>
      <alignment horizontal="left" vertical="top" readingOrder="0"/>
      <border outline="0">
        <left style="thin">
          <color indexed="64"/>
        </left>
        <right style="thin">
          <color indexed="64"/>
        </right>
        <top style="thin">
          <color indexed="64"/>
        </top>
        <bottom style="thin">
          <color indexed="64"/>
        </bottom>
      </border>
    </ndxf>
  </rcc>
  <rcc rId="1230" sId="1" xfDxf="1" dxf="1">
    <nc r="N246" t="inlineStr">
      <is>
        <t>JMC_Ford_V348_ESP9.3CP_Int</t>
      </is>
    </nc>
    <ndxf>
      <alignment horizontal="left" vertical="top" readingOrder="0"/>
      <border outline="0">
        <left style="thin">
          <color indexed="64"/>
        </left>
        <right style="thin">
          <color indexed="64"/>
        </right>
        <top style="thin">
          <color indexed="64"/>
        </top>
        <bottom style="thin">
          <color indexed="64"/>
        </bottom>
      </border>
    </ndxf>
  </rcc>
  <rcc rId="1231" sId="1" xfDxf="1" dxf="1">
    <nc r="N247" t="inlineStr">
      <is>
        <t>JMC_Ford_V348_ESP9.3CP_Int</t>
      </is>
    </nc>
    <ndxf>
      <alignment horizontal="left" vertical="top" readingOrder="0"/>
      <border outline="0">
        <left style="thin">
          <color indexed="64"/>
        </left>
        <right style="thin">
          <color indexed="64"/>
        </right>
        <top style="thin">
          <color indexed="64"/>
        </top>
        <bottom style="thin">
          <color indexed="64"/>
        </bottom>
      </border>
    </ndxf>
  </rcc>
  <rcc rId="1232" sId="1" xfDxf="1" dxf="1">
    <nc r="N248" t="inlineStr">
      <is>
        <t>JMC_Ford_V348_ESP9.3CP_Int</t>
      </is>
    </nc>
    <ndxf>
      <alignment horizontal="left" vertical="top" readingOrder="0"/>
      <border outline="0">
        <left style="thin">
          <color indexed="64"/>
        </left>
        <right style="thin">
          <color indexed="64"/>
        </right>
        <top style="thin">
          <color indexed="64"/>
        </top>
        <bottom style="thin">
          <color indexed="64"/>
        </bottom>
      </border>
    </ndxf>
  </rcc>
  <rcc rId="1233" sId="1" xfDxf="1" dxf="1">
    <nc r="N249" t="inlineStr">
      <is>
        <t>JMC_Ford_V348_ESP9.3CP_Int</t>
      </is>
    </nc>
    <ndxf>
      <alignment horizontal="left" vertical="top" readingOrder="0"/>
      <border outline="0">
        <left style="thin">
          <color indexed="64"/>
        </left>
        <right style="thin">
          <color indexed="64"/>
        </right>
        <top style="thin">
          <color indexed="64"/>
        </top>
        <bottom style="thin">
          <color indexed="64"/>
        </bottom>
      </border>
    </ndxf>
  </rcc>
  <rcc rId="1234" sId="1" xfDxf="1" dxf="1">
    <nc r="N250" t="inlineStr">
      <is>
        <t>JMC_Ford_V348_ESP9.3CP_Int</t>
      </is>
    </nc>
    <ndxf>
      <alignment horizontal="left" vertical="top" readingOrder="0"/>
      <border outline="0">
        <left style="thin">
          <color indexed="64"/>
        </left>
        <right style="thin">
          <color indexed="64"/>
        </right>
        <top style="thin">
          <color indexed="64"/>
        </top>
        <bottom style="thin">
          <color indexed="64"/>
        </bottom>
      </border>
    </ndxf>
  </rcc>
  <rcc rId="1235" sId="1" xfDxf="1" dxf="1">
    <nc r="N251" t="inlineStr">
      <is>
        <t>JMC_Ford_V348_ESP9.3CP_Int</t>
      </is>
    </nc>
    <ndxf>
      <alignment horizontal="left" vertical="top" readingOrder="0"/>
      <border outline="0">
        <left style="thin">
          <color indexed="64"/>
        </left>
        <right style="thin">
          <color indexed="64"/>
        </right>
        <top style="thin">
          <color indexed="64"/>
        </top>
        <bottom style="thin">
          <color indexed="64"/>
        </bottom>
      </border>
    </ndxf>
  </rcc>
  <rcc rId="1236" sId="1" xfDxf="1" dxf="1">
    <nc r="N252" t="inlineStr">
      <is>
        <t>JMC_Ford_V348_ESP9.3CP_Int</t>
      </is>
    </nc>
    <ndxf>
      <alignment horizontal="left" vertical="top" readingOrder="0"/>
      <border outline="0">
        <left style="thin">
          <color indexed="64"/>
        </left>
        <right style="thin">
          <color indexed="64"/>
        </right>
        <top style="thin">
          <color indexed="64"/>
        </top>
        <bottom style="thin">
          <color indexed="64"/>
        </bottom>
      </border>
    </ndxf>
  </rcc>
  <rcc rId="1237" sId="1" xfDxf="1" dxf="1">
    <nc r="N253" t="inlineStr">
      <is>
        <t>JMC_Ford_V348_ESP9.3CP_Int</t>
      </is>
    </nc>
    <ndxf>
      <alignment horizontal="left" vertical="top" readingOrder="0"/>
      <border outline="0">
        <left style="thin">
          <color indexed="64"/>
        </left>
        <right style="thin">
          <color indexed="64"/>
        </right>
        <top style="thin">
          <color indexed="64"/>
        </top>
        <bottom style="thin">
          <color indexed="64"/>
        </bottom>
      </border>
    </ndxf>
  </rcc>
  <rcc rId="1238" sId="1" xfDxf="1" dxf="1">
    <nc r="N254"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39" sId="1" xfDxf="1" dxf="1">
    <nc r="N255"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40" sId="1" xfDxf="1" dxf="1">
    <nc r="N256"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41" sId="1" xfDxf="1" dxf="1">
    <nc r="N257"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42" sId="1" xfDxf="1" dxf="1">
    <nc r="N258"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43" sId="1" xfDxf="1" dxf="1">
    <nc r="N259"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44" sId="1" xfDxf="1" dxf="1">
    <nc r="N260"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45" sId="1" xfDxf="1" dxf="1">
    <nc r="N261"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46" sId="1" xfDxf="1" dxf="1">
    <nc r="N262"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47" sId="1" xfDxf="1" dxf="1">
    <nc r="N263"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48" sId="1" xfDxf="1" dxf="1">
    <nc r="N264"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49" sId="1" xfDxf="1" dxf="1">
    <nc r="N265"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50" sId="1" xfDxf="1" dxf="1">
    <nc r="N266"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51" sId="1" xfDxf="1" dxf="1">
    <nc r="N267"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52" sId="1" xfDxf="1" dxf="1">
    <nc r="N268"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53" sId="1" xfDxf="1" dxf="1">
    <nc r="N269"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54" sId="1" xfDxf="1" dxf="1">
    <nc r="N270"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55" sId="1" xfDxf="1" dxf="1">
    <nc r="N271"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56" sId="1" xfDxf="1" dxf="1">
    <nc r="N272"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57" sId="1" xfDxf="1" dxf="1">
    <nc r="N273"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58" sId="1" xfDxf="1" dxf="1">
    <nc r="N274"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59" sId="1" xfDxf="1" dxf="1">
    <nc r="N275"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60" sId="1" xfDxf="1" dxf="1">
    <nc r="N276"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61" sId="1" xfDxf="1" dxf="1">
    <nc r="N277"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62" sId="1" xfDxf="1" dxf="1">
    <nc r="N278"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63" sId="1" xfDxf="1" dxf="1">
    <nc r="N279"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64" sId="1" xfDxf="1" dxf="1">
    <nc r="N280"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65" sId="1" xfDxf="1" dxf="1">
    <nc r="N281"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66" sId="1" xfDxf="1" dxf="1">
    <nc r="N282"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67" sId="1" xfDxf="1" dxf="1">
    <nc r="N283"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68" sId="1" xfDxf="1" dxf="1">
    <nc r="N284"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69" sId="1" xfDxf="1" dxf="1">
    <nc r="N285"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70" sId="1" xfDxf="1" dxf="1">
    <nc r="N286"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71" sId="1" xfDxf="1" dxf="1">
    <nc r="N287"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72" sId="1" xfDxf="1" dxf="1">
    <nc r="N288"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73" sId="1" xfDxf="1" dxf="1">
    <nc r="N289"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74" sId="1" xfDxf="1" dxf="1">
    <nc r="N290"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75" sId="1" xfDxf="1" dxf="1">
    <nc r="N291"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76" sId="1" xfDxf="1" dxf="1">
    <nc r="N292" t="inlineStr">
      <is>
        <t>FAW_IPB1.1_Int_ESP</t>
      </is>
    </nc>
    <ndxf>
      <alignment horizontal="left" vertical="top" readingOrder="0"/>
      <border outline="0">
        <left style="thin">
          <color indexed="64"/>
        </left>
        <right style="thin">
          <color indexed="64"/>
        </right>
        <top style="thin">
          <color indexed="64"/>
        </top>
        <bottom style="thin">
          <color indexed="64"/>
        </bottom>
      </border>
    </ndxf>
  </rcc>
  <rcc rId="1277" sId="1" xfDxf="1" dxf="1">
    <nc r="N293" t="inlineStr">
      <is>
        <t>GWM_AB30_CP_Int</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80" sId="1" xfDxf="1" dxf="1">
    <nc r="M253" t="inlineStr">
      <is>
        <t>BSS05_SP02</t>
      </is>
    </nc>
    <ndxf>
      <alignment horizontal="left" vertical="top" readingOrder="0"/>
      <border outline="0">
        <left style="thin">
          <color indexed="64"/>
        </left>
        <right style="thin">
          <color indexed="64"/>
        </right>
        <top style="thin">
          <color indexed="64"/>
        </top>
        <bottom style="thin">
          <color indexed="64"/>
        </bottom>
      </border>
    </ndxf>
  </rcc>
  <rcc rId="1281" sId="1">
    <nc r="M242" t="inlineStr">
      <is>
        <t>BSS05_SP02</t>
      </is>
    </nc>
  </rcc>
  <rcc rId="1282" sId="1">
    <nc r="M243" t="inlineStr">
      <is>
        <t>BSS05_SP02</t>
      </is>
    </nc>
  </rcc>
  <rcc rId="1283" sId="1">
    <nc r="M244" t="inlineStr">
      <is>
        <t>BSS05_SP02</t>
      </is>
    </nc>
  </rcc>
  <rcc rId="1284" sId="1">
    <nc r="M245" t="inlineStr">
      <is>
        <t>BSS05_SP02</t>
      </is>
    </nc>
  </rcc>
  <rcc rId="1285" sId="1">
    <nc r="M246" t="inlineStr">
      <is>
        <t>BSS05_SP02</t>
      </is>
    </nc>
  </rcc>
  <rcc rId="1286" sId="1">
    <nc r="M247" t="inlineStr">
      <is>
        <t>BSS05_SP02</t>
      </is>
    </nc>
  </rcc>
  <rcc rId="1287" sId="1">
    <nc r="M248" t="inlineStr">
      <is>
        <t>BSS05_SP02</t>
      </is>
    </nc>
  </rcc>
  <rcc rId="1288" sId="1">
    <nc r="M249" t="inlineStr">
      <is>
        <t>BSS05_SP02</t>
      </is>
    </nc>
  </rcc>
  <rcc rId="1289" sId="1">
    <nc r="M250" t="inlineStr">
      <is>
        <t>BSS05_SP02</t>
      </is>
    </nc>
  </rcc>
  <rcc rId="1290" sId="1">
    <nc r="M251" t="inlineStr">
      <is>
        <t>BSS05_SP02</t>
      </is>
    </nc>
  </rcc>
  <rcc rId="1291" sId="1">
    <nc r="M252" t="inlineStr">
      <is>
        <t>BSS05_SP02</t>
      </is>
    </nc>
  </rcc>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92" sId="1" xfDxf="1" dxf="1">
    <nc r="M254" t="inlineStr">
      <is>
        <t>BSS02</t>
      </is>
    </nc>
    <ndxf>
      <alignment horizontal="left" vertical="top" readingOrder="0"/>
      <border outline="0">
        <left style="thin">
          <color indexed="64"/>
        </left>
        <right style="thin">
          <color indexed="64"/>
        </right>
        <top style="thin">
          <color indexed="64"/>
        </top>
        <bottom style="thin">
          <color indexed="64"/>
        </bottom>
      </border>
    </ndxf>
  </rcc>
  <rcc rId="1293" sId="1" xfDxf="1" dxf="1">
    <nc r="M292" t="inlineStr">
      <is>
        <t>BSS02</t>
      </is>
    </nc>
    <ndxf>
      <alignment horizontal="left" vertical="top" readingOrder="0"/>
      <border outline="0">
        <left style="thin">
          <color indexed="64"/>
        </left>
        <right style="thin">
          <color indexed="64"/>
        </right>
        <top style="thin">
          <color indexed="64"/>
        </top>
        <bottom style="thin">
          <color indexed="64"/>
        </bottom>
      </border>
    </ndxf>
  </rcc>
  <rcc rId="1294" sId="1">
    <nc r="M255" t="inlineStr">
      <is>
        <t>BSS02</t>
      </is>
    </nc>
  </rcc>
  <rcc rId="1295" sId="1">
    <nc r="M256" t="inlineStr">
      <is>
        <t>BSS02</t>
      </is>
    </nc>
  </rcc>
  <rcc rId="1296" sId="1">
    <nc r="M257" t="inlineStr">
      <is>
        <t>BSS02</t>
      </is>
    </nc>
  </rcc>
  <rcc rId="1297" sId="1">
    <nc r="M258" t="inlineStr">
      <is>
        <t>BSS02</t>
      </is>
    </nc>
  </rcc>
  <rcc rId="1298" sId="1">
    <nc r="M259" t="inlineStr">
      <is>
        <t>BSS02</t>
      </is>
    </nc>
  </rcc>
  <rcc rId="1299" sId="1">
    <nc r="M260" t="inlineStr">
      <is>
        <t>BSS02</t>
      </is>
    </nc>
  </rcc>
  <rcc rId="1300" sId="1">
    <nc r="M261" t="inlineStr">
      <is>
        <t>BSS02</t>
      </is>
    </nc>
  </rcc>
  <rcc rId="1301" sId="1">
    <nc r="M262" t="inlineStr">
      <is>
        <t>BSS02</t>
      </is>
    </nc>
  </rcc>
  <rcc rId="1302" sId="1">
    <nc r="M263" t="inlineStr">
      <is>
        <t>BSS02</t>
      </is>
    </nc>
  </rcc>
  <rcc rId="1303" sId="1">
    <nc r="M264" t="inlineStr">
      <is>
        <t>BSS02</t>
      </is>
    </nc>
  </rcc>
  <rcc rId="1304" sId="1">
    <nc r="M265" t="inlineStr">
      <is>
        <t>BSS02</t>
      </is>
    </nc>
  </rcc>
  <rcc rId="1305" sId="1">
    <nc r="M266" t="inlineStr">
      <is>
        <t>BSS02</t>
      </is>
    </nc>
  </rcc>
  <rcc rId="1306" sId="1">
    <nc r="M267" t="inlineStr">
      <is>
        <t>BSS02</t>
      </is>
    </nc>
  </rcc>
  <rcc rId="1307" sId="1">
    <nc r="M268" t="inlineStr">
      <is>
        <t>BSS02</t>
      </is>
    </nc>
  </rcc>
  <rcc rId="1308" sId="1">
    <nc r="M269" t="inlineStr">
      <is>
        <t>BSS02</t>
      </is>
    </nc>
  </rcc>
  <rcc rId="1309" sId="1">
    <nc r="M270" t="inlineStr">
      <is>
        <t>BSS02</t>
      </is>
    </nc>
  </rcc>
  <rcc rId="1310" sId="1">
    <nc r="M271" t="inlineStr">
      <is>
        <t>BSS02</t>
      </is>
    </nc>
  </rcc>
  <rcc rId="1311" sId="1">
    <nc r="M272" t="inlineStr">
      <is>
        <t>BSS02</t>
      </is>
    </nc>
  </rcc>
  <rcc rId="1312" sId="1">
    <nc r="M273" t="inlineStr">
      <is>
        <t>BSS02</t>
      </is>
    </nc>
  </rcc>
  <rcc rId="1313" sId="1">
    <nc r="M274" t="inlineStr">
      <is>
        <t>BSS02</t>
      </is>
    </nc>
  </rcc>
  <rcc rId="1314" sId="1">
    <nc r="M275" t="inlineStr">
      <is>
        <t>BSS02</t>
      </is>
    </nc>
  </rcc>
  <rcc rId="1315" sId="1">
    <nc r="M276" t="inlineStr">
      <is>
        <t>BSS02</t>
      </is>
    </nc>
  </rcc>
  <rcc rId="1316" sId="1">
    <nc r="M277" t="inlineStr">
      <is>
        <t>BSS02</t>
      </is>
    </nc>
  </rcc>
  <rcc rId="1317" sId="1">
    <nc r="M278" t="inlineStr">
      <is>
        <t>BSS02</t>
      </is>
    </nc>
  </rcc>
  <rcc rId="1318" sId="1">
    <nc r="M279" t="inlineStr">
      <is>
        <t>BSS02</t>
      </is>
    </nc>
  </rcc>
  <rcc rId="1319" sId="1">
    <nc r="M280" t="inlineStr">
      <is>
        <t>BSS02</t>
      </is>
    </nc>
  </rcc>
  <rcc rId="1320" sId="1">
    <nc r="M281" t="inlineStr">
      <is>
        <t>BSS02</t>
      </is>
    </nc>
  </rcc>
  <rcc rId="1321" sId="1">
    <nc r="M282" t="inlineStr">
      <is>
        <t>BSS02</t>
      </is>
    </nc>
  </rcc>
  <rcc rId="1322" sId="1">
    <nc r="M283" t="inlineStr">
      <is>
        <t>BSS02</t>
      </is>
    </nc>
  </rcc>
  <rcc rId="1323" sId="1">
    <nc r="M284" t="inlineStr">
      <is>
        <t>BSS02</t>
      </is>
    </nc>
  </rcc>
  <rcc rId="1324" sId="1">
    <nc r="M285" t="inlineStr">
      <is>
        <t>BSS02</t>
      </is>
    </nc>
  </rcc>
  <rcc rId="1325" sId="1">
    <nc r="M286" t="inlineStr">
      <is>
        <t>BSS02</t>
      </is>
    </nc>
  </rcc>
  <rcc rId="1326" sId="1">
    <nc r="M287" t="inlineStr">
      <is>
        <t>BSS02</t>
      </is>
    </nc>
  </rcc>
  <rcc rId="1327" sId="1">
    <nc r="M288" t="inlineStr">
      <is>
        <t>BSS02</t>
      </is>
    </nc>
  </rcc>
  <rcc rId="1328" sId="1">
    <nc r="M289" t="inlineStr">
      <is>
        <t>BSS02</t>
      </is>
    </nc>
  </rcc>
  <rcc rId="1329" sId="1">
    <nc r="M290" t="inlineStr">
      <is>
        <t>BSS02</t>
      </is>
    </nc>
  </rcc>
  <rcc rId="1330" sId="1">
    <nc r="M291" t="inlineStr">
      <is>
        <t>BSS02</t>
      </is>
    </nc>
  </rcc>
  <rcc rId="1331" sId="1" xfDxf="1" dxf="1">
    <nc r="M293" t="inlineStr">
      <is>
        <t>BSS09_Sprint2</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2" sId="1" quotePrefix="1">
    <nc r="P242" t="inlineStr">
      <is>
        <t>Luu Quoc Tho (RBVH/ETA22)</t>
      </is>
    </nc>
  </rcc>
  <rcc rId="1333" sId="1" quotePrefix="1">
    <nc r="P243" t="inlineStr">
      <is>
        <t>Luu Quoc Tho (RBVH/ETA22)</t>
      </is>
    </nc>
  </rcc>
  <rcc rId="1334" sId="1" quotePrefix="1">
    <nc r="P244" t="inlineStr">
      <is>
        <t>Luu Quoc Tho (RBVH/ETA22)</t>
      </is>
    </nc>
  </rcc>
  <rcc rId="1335" sId="1" quotePrefix="1">
    <nc r="P245" t="inlineStr">
      <is>
        <t>Luu Quoc Tho (RBVH/ETA22)</t>
      </is>
    </nc>
  </rcc>
  <rcc rId="1336" sId="1" quotePrefix="1">
    <nc r="P246" t="inlineStr">
      <is>
        <t>Luu Quoc Tho (RBVH/ETA22)</t>
      </is>
    </nc>
  </rcc>
  <rcc rId="1337" sId="1" quotePrefix="1">
    <nc r="P247" t="inlineStr">
      <is>
        <t>Luu Quoc Tho (RBVH/ETA22)</t>
      </is>
    </nc>
  </rcc>
  <rcc rId="1338" sId="1" quotePrefix="1">
    <nc r="P248" t="inlineStr">
      <is>
        <t>Luu Quoc Tho (RBVH/ETA22)</t>
      </is>
    </nc>
  </rcc>
  <rcc rId="1339" sId="1" quotePrefix="1">
    <nc r="P249" t="inlineStr">
      <is>
        <t>Luu Quoc Tho (RBVH/ETA22)</t>
      </is>
    </nc>
  </rcc>
  <rcc rId="1340" sId="1" quotePrefix="1">
    <nc r="P250" t="inlineStr">
      <is>
        <t>Luu Quoc Tho (RBVH/ETA22)</t>
      </is>
    </nc>
  </rcc>
  <rcc rId="1341" sId="1" quotePrefix="1">
    <nc r="P251" t="inlineStr">
      <is>
        <t>Luu Quoc Tho (RBVH/ETA22)</t>
      </is>
    </nc>
  </rcc>
  <rcc rId="1342" sId="1" quotePrefix="1">
    <nc r="P252" t="inlineStr">
      <is>
        <t>Luu Quoc Tho (RBVH/ETA22)</t>
      </is>
    </nc>
  </rcc>
  <rcc rId="1343" sId="1" quotePrefix="1">
    <nc r="P253" t="inlineStr">
      <is>
        <t>Luu Quoc Tho (RBVH/ETA22)</t>
      </is>
    </nc>
  </rcc>
  <rcc rId="1344" sId="1" quotePrefix="1">
    <nc r="P254" t="inlineStr">
      <is>
        <t>TAO Frank (CC-AS/EVA-SW31-CN)</t>
      </is>
    </nc>
  </rcc>
  <rcc rId="1345" sId="1" quotePrefix="1">
    <nc r="P255" t="inlineStr">
      <is>
        <t>TAO Frank (CC-AS/EVA-SW31-CN)</t>
      </is>
    </nc>
  </rcc>
  <rcc rId="1346" sId="1" quotePrefix="1">
    <nc r="P256" t="inlineStr">
      <is>
        <t>TAO Frank (CC-AS/EVA-SW31-CN)</t>
      </is>
    </nc>
  </rcc>
  <rcc rId="1347" sId="1" quotePrefix="1">
    <nc r="P257" t="inlineStr">
      <is>
        <t>TAO Frank (CC-AS/EVA-SW31-CN)</t>
      </is>
    </nc>
  </rcc>
  <rcc rId="1348" sId="1" quotePrefix="1">
    <nc r="P258" t="inlineStr">
      <is>
        <t>TAO Frank (CC-AS/EVA-SW31-CN)</t>
      </is>
    </nc>
  </rcc>
  <rcc rId="1349" sId="1" quotePrefix="1">
    <nc r="P259" t="inlineStr">
      <is>
        <t>TAO Frank (CC-AS/EVA-SW31-CN)</t>
      </is>
    </nc>
  </rcc>
  <rcc rId="1350" sId="1" quotePrefix="1">
    <nc r="P260" t="inlineStr">
      <is>
        <t>TAO Frank (CC-AS/EVA-SW31-CN)</t>
      </is>
    </nc>
  </rcc>
  <rcc rId="1351" sId="1" quotePrefix="1">
    <nc r="P261" t="inlineStr">
      <is>
        <t>TAO Frank (CC-AS/EVA-SW31-CN)</t>
      </is>
    </nc>
  </rcc>
  <rcc rId="1352" sId="1" quotePrefix="1">
    <nc r="P262" t="inlineStr">
      <is>
        <t>TAO Frank (CC-AS/EVA-SW31-CN)</t>
      </is>
    </nc>
  </rcc>
  <rcc rId="1353" sId="1" quotePrefix="1">
    <nc r="P263" t="inlineStr">
      <is>
        <t>TAO Frank (CC-AS/EVA-SW31-CN)</t>
      </is>
    </nc>
  </rcc>
  <rcc rId="1354" sId="1" quotePrefix="1">
    <nc r="P264" t="inlineStr">
      <is>
        <t>TAO Frank (CC-AS/EVA-SW31-CN)</t>
      </is>
    </nc>
  </rcc>
  <rcc rId="1355" sId="1" quotePrefix="1">
    <nc r="P265" t="inlineStr">
      <is>
        <t>TAO Frank (CC-AS/EVA-SW31-CN)</t>
      </is>
    </nc>
  </rcc>
  <rcc rId="1356" sId="1" quotePrefix="1">
    <nc r="P266" t="inlineStr">
      <is>
        <t>TAO Frank (CC-AS/EVA-SW31-CN)</t>
      </is>
    </nc>
  </rcc>
  <rcc rId="1357" sId="1" quotePrefix="1">
    <nc r="P267" t="inlineStr">
      <is>
        <t>TAO Frank (CC-AS/EVA-SW31-CN)</t>
      </is>
    </nc>
  </rcc>
  <rcc rId="1358" sId="1" quotePrefix="1">
    <nc r="P268" t="inlineStr">
      <is>
        <t>TAO Frank (CC-AS/EVA-SW31-CN)</t>
      </is>
    </nc>
  </rcc>
  <rcc rId="1359" sId="1" quotePrefix="1">
    <nc r="P269" t="inlineStr">
      <is>
        <t>TAO Frank (CC-AS/EVA-SW31-CN)</t>
      </is>
    </nc>
  </rcc>
  <rcc rId="1360" sId="1" quotePrefix="1">
    <nc r="P270" t="inlineStr">
      <is>
        <t>TAO Frank (CC-AS/EVA-SW31-CN)</t>
      </is>
    </nc>
  </rcc>
  <rcc rId="1361" sId="1" quotePrefix="1">
    <nc r="P271" t="inlineStr">
      <is>
        <t>TAO Frank (CC-AS/EVA-SW31-CN)</t>
      </is>
    </nc>
  </rcc>
  <rcc rId="1362" sId="1" quotePrefix="1">
    <nc r="P272" t="inlineStr">
      <is>
        <t>TAO Frank (CC-AS/EVA-SW31-CN)</t>
      </is>
    </nc>
  </rcc>
  <rcc rId="1363" sId="1" quotePrefix="1">
    <nc r="P273" t="inlineStr">
      <is>
        <t>TAO Frank (CC-AS/EVA-SW31-CN)</t>
      </is>
    </nc>
  </rcc>
  <rcc rId="1364" sId="1" quotePrefix="1">
    <nc r="P274" t="inlineStr">
      <is>
        <t>TAO Frank (CC-AS/EVA-SW31-CN)</t>
      </is>
    </nc>
  </rcc>
  <rcc rId="1365" sId="1" quotePrefix="1">
    <nc r="P275" t="inlineStr">
      <is>
        <t>TAO Frank (CC-AS/EVA-SW31-CN)</t>
      </is>
    </nc>
  </rcc>
  <rcc rId="1366" sId="1" quotePrefix="1">
    <nc r="P276" t="inlineStr">
      <is>
        <t>TAO Frank (CC-AS/EVA-SW31-CN)</t>
      </is>
    </nc>
  </rcc>
  <rcc rId="1367" sId="1" quotePrefix="1">
    <nc r="P277" t="inlineStr">
      <is>
        <t>TAO Frank (CC-AS/EVA-SW31-CN)</t>
      </is>
    </nc>
  </rcc>
  <rcc rId="1368" sId="1" quotePrefix="1">
    <nc r="P278" t="inlineStr">
      <is>
        <t>TAO Frank (CC-AS/EVA-SW31-CN)</t>
      </is>
    </nc>
  </rcc>
  <rcc rId="1369" sId="1" quotePrefix="1">
    <nc r="P279" t="inlineStr">
      <is>
        <t>TAO Frank (CC-AS/EVA-SW31-CN)</t>
      </is>
    </nc>
  </rcc>
  <rcc rId="1370" sId="1" quotePrefix="1">
    <nc r="P280" t="inlineStr">
      <is>
        <t>TAO Frank (CC-AS/EVA-SW31-CN)</t>
      </is>
    </nc>
  </rcc>
  <rcc rId="1371" sId="1" quotePrefix="1">
    <nc r="P281" t="inlineStr">
      <is>
        <t>TAO Frank (CC-AS/EVA-SW31-CN)</t>
      </is>
    </nc>
  </rcc>
  <rcc rId="1372" sId="1" quotePrefix="1">
    <nc r="P282" t="inlineStr">
      <is>
        <t>TAO Frank (CC-AS/EVA-SW31-CN)</t>
      </is>
    </nc>
  </rcc>
  <rcc rId="1373" sId="1" quotePrefix="1">
    <nc r="P283" t="inlineStr">
      <is>
        <t>TAO Frank (CC-AS/EVA-SW31-CN)</t>
      </is>
    </nc>
  </rcc>
  <rcc rId="1374" sId="1" quotePrefix="1">
    <nc r="P284" t="inlineStr">
      <is>
        <t>TAO Frank (CC-AS/EVA-SW31-CN)</t>
      </is>
    </nc>
  </rcc>
  <rcc rId="1375" sId="1" quotePrefix="1">
    <nc r="P285" t="inlineStr">
      <is>
        <t>TAO Frank (CC-AS/EVA-SW31-CN)</t>
      </is>
    </nc>
  </rcc>
  <rcc rId="1376" sId="1" quotePrefix="1">
    <nc r="P286" t="inlineStr">
      <is>
        <t>TAO Frank (CC-AS/EVA-SW31-CN)</t>
      </is>
    </nc>
  </rcc>
  <rcc rId="1377" sId="1" quotePrefix="1">
    <nc r="P287" t="inlineStr">
      <is>
        <t>TAO Frank (CC-AS/EVA-SW31-CN)</t>
      </is>
    </nc>
  </rcc>
  <rcc rId="1378" sId="1" quotePrefix="1">
    <nc r="P288" t="inlineStr">
      <is>
        <t>TAO Frank (CC-AS/EVA-SW31-CN)</t>
      </is>
    </nc>
  </rcc>
  <rcc rId="1379" sId="1" quotePrefix="1">
    <nc r="P289" t="inlineStr">
      <is>
        <t>TAO Frank (CC-AS/EVA-SW31-CN)</t>
      </is>
    </nc>
  </rcc>
  <rcc rId="1380" sId="1" quotePrefix="1">
    <nc r="P290" t="inlineStr">
      <is>
        <t>TAO Frank (CC-AS/EVA-SW31-CN)</t>
      </is>
    </nc>
  </rcc>
  <rcc rId="1381" sId="1" quotePrefix="1">
    <nc r="P291" t="inlineStr">
      <is>
        <t>TAO Frank (CC-AS/EVA-SW31-CN)</t>
      </is>
    </nc>
  </rcc>
  <rcc rId="1382" sId="1" quotePrefix="1">
    <nc r="P292" t="inlineStr">
      <is>
        <t>TAO Frank (CC-AS/EVA-SW31-CN)</t>
      </is>
    </nc>
  </rcc>
  <rcc rId="1383" sId="1" quotePrefix="1">
    <nc r="P293" t="inlineStr">
      <is>
        <t>LI Chengcheng (CC-AS/EVA-SW33-CN)</t>
      </is>
    </nc>
  </rcc>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84" sId="1" xfDxf="1" dxf="1">
    <nc r="L242" t="inlineStr">
      <is>
        <t>BB80049</t>
      </is>
    </nc>
    <ndxf>
      <alignment horizontal="left" vertical="top" readingOrder="0"/>
      <border outline="0">
        <left style="thin">
          <color indexed="64"/>
        </left>
        <right style="thin">
          <color indexed="64"/>
        </right>
        <top style="thin">
          <color indexed="64"/>
        </top>
        <bottom style="thin">
          <color indexed="64"/>
        </bottom>
      </border>
    </ndxf>
  </rcc>
  <rcc rId="1385" sId="1" xfDxf="1" dxf="1">
    <nc r="L243" t="inlineStr">
      <is>
        <t>BB80049</t>
      </is>
    </nc>
    <ndxf>
      <alignment horizontal="left" vertical="top" readingOrder="0"/>
      <border outline="0">
        <left style="thin">
          <color indexed="64"/>
        </left>
        <right style="thin">
          <color indexed="64"/>
        </right>
        <top style="thin">
          <color indexed="64"/>
        </top>
        <bottom style="thin">
          <color indexed="64"/>
        </bottom>
      </border>
    </ndxf>
  </rcc>
  <rcc rId="1386" sId="1" xfDxf="1" dxf="1">
    <nc r="L244" t="inlineStr">
      <is>
        <t>BB80049</t>
      </is>
    </nc>
    <ndxf>
      <alignment horizontal="left" vertical="top" readingOrder="0"/>
      <border outline="0">
        <left style="thin">
          <color indexed="64"/>
        </left>
        <right style="thin">
          <color indexed="64"/>
        </right>
        <top style="thin">
          <color indexed="64"/>
        </top>
        <bottom style="thin">
          <color indexed="64"/>
        </bottom>
      </border>
    </ndxf>
  </rcc>
  <rcc rId="1387" sId="1" xfDxf="1" dxf="1">
    <nc r="L245" t="inlineStr">
      <is>
        <t>BB80049</t>
      </is>
    </nc>
    <ndxf>
      <alignment horizontal="left" vertical="top" readingOrder="0"/>
      <border outline="0">
        <left style="thin">
          <color indexed="64"/>
        </left>
        <right style="thin">
          <color indexed="64"/>
        </right>
        <top style="thin">
          <color indexed="64"/>
        </top>
        <bottom style="thin">
          <color indexed="64"/>
        </bottom>
      </border>
    </ndxf>
  </rcc>
  <rcc rId="1388" sId="1" xfDxf="1" dxf="1">
    <nc r="L246" t="inlineStr">
      <is>
        <t>BB80049</t>
      </is>
    </nc>
    <ndxf>
      <alignment horizontal="left" vertical="top" readingOrder="0"/>
      <border outline="0">
        <left style="thin">
          <color indexed="64"/>
        </left>
        <right style="thin">
          <color indexed="64"/>
        </right>
        <top style="thin">
          <color indexed="64"/>
        </top>
        <bottom style="thin">
          <color indexed="64"/>
        </bottom>
      </border>
    </ndxf>
  </rcc>
  <rcc rId="1389" sId="1" xfDxf="1" dxf="1">
    <nc r="L247" t="inlineStr">
      <is>
        <t>BB80049</t>
      </is>
    </nc>
    <ndxf>
      <alignment horizontal="left" vertical="top" readingOrder="0"/>
      <border outline="0">
        <left style="thin">
          <color indexed="64"/>
        </left>
        <right style="thin">
          <color indexed="64"/>
        </right>
        <top style="thin">
          <color indexed="64"/>
        </top>
        <bottom style="thin">
          <color indexed="64"/>
        </bottom>
      </border>
    </ndxf>
  </rcc>
  <rcc rId="1390" sId="1" xfDxf="1" dxf="1">
    <nc r="L248" t="inlineStr">
      <is>
        <t>BB80049</t>
      </is>
    </nc>
    <ndxf>
      <alignment horizontal="left" vertical="top" readingOrder="0"/>
      <border outline="0">
        <left style="thin">
          <color indexed="64"/>
        </left>
        <right style="thin">
          <color indexed="64"/>
        </right>
        <top style="thin">
          <color indexed="64"/>
        </top>
        <bottom style="thin">
          <color indexed="64"/>
        </bottom>
      </border>
    </ndxf>
  </rcc>
  <rcc rId="1391" sId="1" xfDxf="1" dxf="1">
    <nc r="L249" t="inlineStr">
      <is>
        <t>BB80049</t>
      </is>
    </nc>
    <ndxf>
      <alignment horizontal="left" vertical="top" readingOrder="0"/>
      <border outline="0">
        <left style="thin">
          <color indexed="64"/>
        </left>
        <right style="thin">
          <color indexed="64"/>
        </right>
        <top style="thin">
          <color indexed="64"/>
        </top>
        <bottom style="thin">
          <color indexed="64"/>
        </bottom>
      </border>
    </ndxf>
  </rcc>
  <rcc rId="1392" sId="1" xfDxf="1" dxf="1">
    <nc r="L250" t="inlineStr">
      <is>
        <t>BB80049</t>
      </is>
    </nc>
    <ndxf>
      <alignment horizontal="left" vertical="top" readingOrder="0"/>
      <border outline="0">
        <left style="thin">
          <color indexed="64"/>
        </left>
        <right style="thin">
          <color indexed="64"/>
        </right>
        <top style="thin">
          <color indexed="64"/>
        </top>
        <bottom style="thin">
          <color indexed="64"/>
        </bottom>
      </border>
    </ndxf>
  </rcc>
  <rcc rId="1393" sId="1" xfDxf="1" dxf="1">
    <nc r="L251" t="inlineStr">
      <is>
        <t>BB80049</t>
      </is>
    </nc>
    <ndxf>
      <alignment horizontal="left" vertical="top" readingOrder="0"/>
      <border outline="0">
        <left style="thin">
          <color indexed="64"/>
        </left>
        <right style="thin">
          <color indexed="64"/>
        </right>
        <top style="thin">
          <color indexed="64"/>
        </top>
        <bottom style="thin">
          <color indexed="64"/>
        </bottom>
      </border>
    </ndxf>
  </rcc>
  <rcc rId="1394" sId="1" xfDxf="1" dxf="1">
    <nc r="L252" t="inlineStr">
      <is>
        <t>BB80049</t>
      </is>
    </nc>
    <ndxf>
      <alignment horizontal="left" vertical="top" readingOrder="0"/>
      <border outline="0">
        <left style="thin">
          <color indexed="64"/>
        </left>
        <right style="thin">
          <color indexed="64"/>
        </right>
        <top style="thin">
          <color indexed="64"/>
        </top>
        <bottom style="thin">
          <color indexed="64"/>
        </bottom>
      </border>
    </ndxf>
  </rcc>
  <rcc rId="1395" sId="1" xfDxf="1" dxf="1">
    <nc r="L253" t="inlineStr">
      <is>
        <t>BB80049</t>
      </is>
    </nc>
    <ndxf>
      <alignment horizontal="left" vertical="top" readingOrder="0"/>
      <border outline="0">
        <left style="thin">
          <color indexed="64"/>
        </left>
        <right style="thin">
          <color indexed="64"/>
        </right>
        <top style="thin">
          <color indexed="64"/>
        </top>
        <bottom style="thin">
          <color indexed="64"/>
        </bottom>
      </border>
    </ndxf>
  </rcc>
  <rfmt sheetId="1" xfDxf="1" sqref="L254" start="0" length="0">
    <dxf>
      <alignment horizontal="left" vertical="top" readingOrder="0"/>
      <border outline="0">
        <left style="thin">
          <color indexed="64"/>
        </left>
        <right style="thin">
          <color indexed="64"/>
        </right>
        <top style="thin">
          <color indexed="64"/>
        </top>
        <bottom style="thin">
          <color indexed="64"/>
        </bottom>
      </border>
    </dxf>
  </rfmt>
  <rfmt sheetId="1" xfDxf="1" sqref="L255" start="0" length="0">
    <dxf>
      <alignment horizontal="left" vertical="top" readingOrder="0"/>
      <border outline="0">
        <left style="thin">
          <color indexed="64"/>
        </left>
        <right style="thin">
          <color indexed="64"/>
        </right>
        <top style="thin">
          <color indexed="64"/>
        </top>
        <bottom style="thin">
          <color indexed="64"/>
        </bottom>
      </border>
    </dxf>
  </rfmt>
  <rfmt sheetId="1" xfDxf="1" sqref="L256" start="0" length="0">
    <dxf>
      <alignment horizontal="left" vertical="top" readingOrder="0"/>
      <border outline="0">
        <left style="thin">
          <color indexed="64"/>
        </left>
        <right style="thin">
          <color indexed="64"/>
        </right>
        <top style="thin">
          <color indexed="64"/>
        </top>
        <bottom style="thin">
          <color indexed="64"/>
        </bottom>
      </border>
    </dxf>
  </rfmt>
  <rfmt sheetId="1" xfDxf="1" sqref="L257" start="0" length="0">
    <dxf>
      <alignment horizontal="left" vertical="top" readingOrder="0"/>
      <border outline="0">
        <left style="thin">
          <color indexed="64"/>
        </left>
        <right style="thin">
          <color indexed="64"/>
        </right>
        <top style="thin">
          <color indexed="64"/>
        </top>
        <bottom style="thin">
          <color indexed="64"/>
        </bottom>
      </border>
    </dxf>
  </rfmt>
  <rfmt sheetId="1" xfDxf="1" sqref="L258" start="0" length="0">
    <dxf>
      <alignment horizontal="left" vertical="top" readingOrder="0"/>
      <border outline="0">
        <left style="thin">
          <color indexed="64"/>
        </left>
        <right style="thin">
          <color indexed="64"/>
        </right>
        <top style="thin">
          <color indexed="64"/>
        </top>
        <bottom style="thin">
          <color indexed="64"/>
        </bottom>
      </border>
    </dxf>
  </rfmt>
  <rfmt sheetId="1" xfDxf="1" sqref="L259" start="0" length="0">
    <dxf>
      <alignment horizontal="left" vertical="top" readingOrder="0"/>
      <border outline="0">
        <left style="thin">
          <color indexed="64"/>
        </left>
        <right style="thin">
          <color indexed="64"/>
        </right>
        <top style="thin">
          <color indexed="64"/>
        </top>
        <bottom style="thin">
          <color indexed="64"/>
        </bottom>
      </border>
    </dxf>
  </rfmt>
  <rfmt sheetId="1" xfDxf="1" sqref="L260" start="0" length="0">
    <dxf>
      <alignment horizontal="left" vertical="top" readingOrder="0"/>
      <border outline="0">
        <left style="thin">
          <color indexed="64"/>
        </left>
        <right style="thin">
          <color indexed="64"/>
        </right>
        <top style="thin">
          <color indexed="64"/>
        </top>
        <bottom style="thin">
          <color indexed="64"/>
        </bottom>
      </border>
    </dxf>
  </rfmt>
  <rfmt sheetId="1" xfDxf="1" sqref="L261" start="0" length="0">
    <dxf>
      <alignment horizontal="left" vertical="top" readingOrder="0"/>
      <border outline="0">
        <left style="thin">
          <color indexed="64"/>
        </left>
        <right style="thin">
          <color indexed="64"/>
        </right>
        <top style="thin">
          <color indexed="64"/>
        </top>
        <bottom style="thin">
          <color indexed="64"/>
        </bottom>
      </border>
    </dxf>
  </rfmt>
  <rfmt sheetId="1" xfDxf="1" sqref="L262" start="0" length="0">
    <dxf>
      <alignment horizontal="left" vertical="top" readingOrder="0"/>
      <border outline="0">
        <left style="thin">
          <color indexed="64"/>
        </left>
        <right style="thin">
          <color indexed="64"/>
        </right>
        <top style="thin">
          <color indexed="64"/>
        </top>
        <bottom style="thin">
          <color indexed="64"/>
        </bottom>
      </border>
    </dxf>
  </rfmt>
  <rfmt sheetId="1" xfDxf="1" sqref="L263" start="0" length="0">
    <dxf>
      <alignment horizontal="left" vertical="top" readingOrder="0"/>
      <border outline="0">
        <left style="thin">
          <color indexed="64"/>
        </left>
        <right style="thin">
          <color indexed="64"/>
        </right>
        <top style="thin">
          <color indexed="64"/>
        </top>
        <bottom style="thin">
          <color indexed="64"/>
        </bottom>
      </border>
    </dxf>
  </rfmt>
  <rfmt sheetId="1" xfDxf="1" sqref="L264" start="0" length="0">
    <dxf>
      <alignment horizontal="left" vertical="top" readingOrder="0"/>
      <border outline="0">
        <left style="thin">
          <color indexed="64"/>
        </left>
        <right style="thin">
          <color indexed="64"/>
        </right>
        <top style="thin">
          <color indexed="64"/>
        </top>
        <bottom style="thin">
          <color indexed="64"/>
        </bottom>
      </border>
    </dxf>
  </rfmt>
  <rfmt sheetId="1" xfDxf="1" sqref="L265" start="0" length="0">
    <dxf>
      <alignment horizontal="left" vertical="top" readingOrder="0"/>
      <border outline="0">
        <left style="thin">
          <color indexed="64"/>
        </left>
        <right style="thin">
          <color indexed="64"/>
        </right>
        <top style="thin">
          <color indexed="64"/>
        </top>
        <bottom style="thin">
          <color indexed="64"/>
        </bottom>
      </border>
    </dxf>
  </rfmt>
  <rfmt sheetId="1" xfDxf="1" sqref="L266" start="0" length="0">
    <dxf>
      <alignment horizontal="left" vertical="top" readingOrder="0"/>
      <border outline="0">
        <left style="thin">
          <color indexed="64"/>
        </left>
        <right style="thin">
          <color indexed="64"/>
        </right>
        <top style="thin">
          <color indexed="64"/>
        </top>
        <bottom style="thin">
          <color indexed="64"/>
        </bottom>
      </border>
    </dxf>
  </rfmt>
  <rfmt sheetId="1" xfDxf="1" sqref="L267" start="0" length="0">
    <dxf>
      <alignment horizontal="left" vertical="top" readingOrder="0"/>
      <border outline="0">
        <left style="thin">
          <color indexed="64"/>
        </left>
        <right style="thin">
          <color indexed="64"/>
        </right>
        <top style="thin">
          <color indexed="64"/>
        </top>
        <bottom style="thin">
          <color indexed="64"/>
        </bottom>
      </border>
    </dxf>
  </rfmt>
  <rfmt sheetId="1" xfDxf="1" sqref="L268" start="0" length="0">
    <dxf>
      <alignment horizontal="left" vertical="top" readingOrder="0"/>
      <border outline="0">
        <left style="thin">
          <color indexed="64"/>
        </left>
        <right style="thin">
          <color indexed="64"/>
        </right>
        <top style="thin">
          <color indexed="64"/>
        </top>
        <bottom style="thin">
          <color indexed="64"/>
        </bottom>
      </border>
    </dxf>
  </rfmt>
  <rfmt sheetId="1" xfDxf="1" sqref="L269" start="0" length="0">
    <dxf>
      <alignment horizontal="left" vertical="top" readingOrder="0"/>
      <border outline="0">
        <left style="thin">
          <color indexed="64"/>
        </left>
        <right style="thin">
          <color indexed="64"/>
        </right>
        <top style="thin">
          <color indexed="64"/>
        </top>
        <bottom style="thin">
          <color indexed="64"/>
        </bottom>
      </border>
    </dxf>
  </rfmt>
  <rfmt sheetId="1" xfDxf="1" sqref="L270" start="0" length="0">
    <dxf>
      <alignment horizontal="left" vertical="top" readingOrder="0"/>
      <border outline="0">
        <left style="thin">
          <color indexed="64"/>
        </left>
        <right style="thin">
          <color indexed="64"/>
        </right>
        <top style="thin">
          <color indexed="64"/>
        </top>
        <bottom style="thin">
          <color indexed="64"/>
        </bottom>
      </border>
    </dxf>
  </rfmt>
  <rfmt sheetId="1" xfDxf="1" sqref="L271" start="0" length="0">
    <dxf>
      <alignment horizontal="left" vertical="top" readingOrder="0"/>
      <border outline="0">
        <left style="thin">
          <color indexed="64"/>
        </left>
        <right style="thin">
          <color indexed="64"/>
        </right>
        <top style="thin">
          <color indexed="64"/>
        </top>
        <bottom style="thin">
          <color indexed="64"/>
        </bottom>
      </border>
    </dxf>
  </rfmt>
  <rfmt sheetId="1" xfDxf="1" sqref="L272" start="0" length="0">
    <dxf>
      <alignment horizontal="left" vertical="top" readingOrder="0"/>
      <border outline="0">
        <left style="thin">
          <color indexed="64"/>
        </left>
        <right style="thin">
          <color indexed="64"/>
        </right>
        <top style="thin">
          <color indexed="64"/>
        </top>
        <bottom style="thin">
          <color indexed="64"/>
        </bottom>
      </border>
    </dxf>
  </rfmt>
  <rfmt sheetId="1" xfDxf="1" sqref="L273" start="0" length="0">
    <dxf>
      <alignment horizontal="left" vertical="top" readingOrder="0"/>
      <border outline="0">
        <left style="thin">
          <color indexed="64"/>
        </left>
        <right style="thin">
          <color indexed="64"/>
        </right>
        <top style="thin">
          <color indexed="64"/>
        </top>
        <bottom style="thin">
          <color indexed="64"/>
        </bottom>
      </border>
    </dxf>
  </rfmt>
  <rfmt sheetId="1" xfDxf="1" sqref="L274" start="0" length="0">
    <dxf>
      <alignment horizontal="left" vertical="top" readingOrder="0"/>
      <border outline="0">
        <left style="thin">
          <color indexed="64"/>
        </left>
        <right style="thin">
          <color indexed="64"/>
        </right>
        <top style="thin">
          <color indexed="64"/>
        </top>
        <bottom style="thin">
          <color indexed="64"/>
        </bottom>
      </border>
    </dxf>
  </rfmt>
  <rfmt sheetId="1" xfDxf="1" sqref="L275" start="0" length="0">
    <dxf>
      <alignment horizontal="left" vertical="top" readingOrder="0"/>
      <border outline="0">
        <left style="thin">
          <color indexed="64"/>
        </left>
        <right style="thin">
          <color indexed="64"/>
        </right>
        <top style="thin">
          <color indexed="64"/>
        </top>
        <bottom style="thin">
          <color indexed="64"/>
        </bottom>
      </border>
    </dxf>
  </rfmt>
  <rfmt sheetId="1" xfDxf="1" sqref="L276" start="0" length="0">
    <dxf>
      <alignment horizontal="left" vertical="top" readingOrder="0"/>
      <border outline="0">
        <left style="thin">
          <color indexed="64"/>
        </left>
        <right style="thin">
          <color indexed="64"/>
        </right>
        <top style="thin">
          <color indexed="64"/>
        </top>
        <bottom style="thin">
          <color indexed="64"/>
        </bottom>
      </border>
    </dxf>
  </rfmt>
  <rfmt sheetId="1" xfDxf="1" sqref="L277" start="0" length="0">
    <dxf>
      <alignment horizontal="left" vertical="top" readingOrder="0"/>
      <border outline="0">
        <left style="thin">
          <color indexed="64"/>
        </left>
        <right style="thin">
          <color indexed="64"/>
        </right>
        <top style="thin">
          <color indexed="64"/>
        </top>
        <bottom style="thin">
          <color indexed="64"/>
        </bottom>
      </border>
    </dxf>
  </rfmt>
  <rfmt sheetId="1" xfDxf="1" sqref="L278" start="0" length="0">
    <dxf>
      <alignment horizontal="left" vertical="top" readingOrder="0"/>
      <border outline="0">
        <left style="thin">
          <color indexed="64"/>
        </left>
        <right style="thin">
          <color indexed="64"/>
        </right>
        <top style="thin">
          <color indexed="64"/>
        </top>
        <bottom style="thin">
          <color indexed="64"/>
        </bottom>
      </border>
    </dxf>
  </rfmt>
  <rfmt sheetId="1" xfDxf="1" sqref="L279" start="0" length="0">
    <dxf>
      <alignment horizontal="left" vertical="top" readingOrder="0"/>
      <border outline="0">
        <left style="thin">
          <color indexed="64"/>
        </left>
        <right style="thin">
          <color indexed="64"/>
        </right>
        <top style="thin">
          <color indexed="64"/>
        </top>
        <bottom style="thin">
          <color indexed="64"/>
        </bottom>
      </border>
    </dxf>
  </rfmt>
  <rfmt sheetId="1" xfDxf="1" sqref="L280" start="0" length="0">
    <dxf>
      <alignment horizontal="left" vertical="top" readingOrder="0"/>
      <border outline="0">
        <left style="thin">
          <color indexed="64"/>
        </left>
        <right style="thin">
          <color indexed="64"/>
        </right>
        <top style="thin">
          <color indexed="64"/>
        </top>
        <bottom style="thin">
          <color indexed="64"/>
        </bottom>
      </border>
    </dxf>
  </rfmt>
  <rfmt sheetId="1" xfDxf="1" sqref="L281" start="0" length="0">
    <dxf>
      <alignment horizontal="left" vertical="top" readingOrder="0"/>
      <border outline="0">
        <left style="thin">
          <color indexed="64"/>
        </left>
        <right style="thin">
          <color indexed="64"/>
        </right>
        <top style="thin">
          <color indexed="64"/>
        </top>
        <bottom style="thin">
          <color indexed="64"/>
        </bottom>
      </border>
    </dxf>
  </rfmt>
  <rfmt sheetId="1" xfDxf="1" sqref="L282" start="0" length="0">
    <dxf>
      <alignment horizontal="left" vertical="top" readingOrder="0"/>
      <border outline="0">
        <left style="thin">
          <color indexed="64"/>
        </left>
        <right style="thin">
          <color indexed="64"/>
        </right>
        <top style="thin">
          <color indexed="64"/>
        </top>
        <bottom style="thin">
          <color indexed="64"/>
        </bottom>
      </border>
    </dxf>
  </rfmt>
  <rfmt sheetId="1" xfDxf="1" sqref="L283" start="0" length="0">
    <dxf>
      <alignment horizontal="left" vertical="top" readingOrder="0"/>
      <border outline="0">
        <left style="thin">
          <color indexed="64"/>
        </left>
        <right style="thin">
          <color indexed="64"/>
        </right>
        <top style="thin">
          <color indexed="64"/>
        </top>
        <bottom style="thin">
          <color indexed="64"/>
        </bottom>
      </border>
    </dxf>
  </rfmt>
  <rfmt sheetId="1" xfDxf="1" sqref="L284" start="0" length="0">
    <dxf>
      <alignment horizontal="left" vertical="top" readingOrder="0"/>
      <border outline="0">
        <left style="thin">
          <color indexed="64"/>
        </left>
        <right style="thin">
          <color indexed="64"/>
        </right>
        <top style="thin">
          <color indexed="64"/>
        </top>
        <bottom style="thin">
          <color indexed="64"/>
        </bottom>
      </border>
    </dxf>
  </rfmt>
  <rfmt sheetId="1" xfDxf="1" sqref="L285" start="0" length="0">
    <dxf>
      <alignment horizontal="left" vertical="top" readingOrder="0"/>
      <border outline="0">
        <left style="thin">
          <color indexed="64"/>
        </left>
        <right style="thin">
          <color indexed="64"/>
        </right>
        <top style="thin">
          <color indexed="64"/>
        </top>
        <bottom style="thin">
          <color indexed="64"/>
        </bottom>
      </border>
    </dxf>
  </rfmt>
  <rfmt sheetId="1" xfDxf="1" sqref="L286" start="0" length="0">
    <dxf>
      <alignment horizontal="left" vertical="top" readingOrder="0"/>
      <border outline="0">
        <left style="thin">
          <color indexed="64"/>
        </left>
        <right style="thin">
          <color indexed="64"/>
        </right>
        <top style="thin">
          <color indexed="64"/>
        </top>
        <bottom style="thin">
          <color indexed="64"/>
        </bottom>
      </border>
    </dxf>
  </rfmt>
  <rfmt sheetId="1" xfDxf="1" sqref="L287" start="0" length="0">
    <dxf>
      <alignment horizontal="left" vertical="top" readingOrder="0"/>
      <border outline="0">
        <left style="thin">
          <color indexed="64"/>
        </left>
        <right style="thin">
          <color indexed="64"/>
        </right>
        <top style="thin">
          <color indexed="64"/>
        </top>
        <bottom style="thin">
          <color indexed="64"/>
        </bottom>
      </border>
    </dxf>
  </rfmt>
  <rfmt sheetId="1" xfDxf="1" sqref="L288" start="0" length="0">
    <dxf>
      <alignment horizontal="left" vertical="top" readingOrder="0"/>
      <border outline="0">
        <left style="thin">
          <color indexed="64"/>
        </left>
        <right style="thin">
          <color indexed="64"/>
        </right>
        <top style="thin">
          <color indexed="64"/>
        </top>
        <bottom style="thin">
          <color indexed="64"/>
        </bottom>
      </border>
    </dxf>
  </rfmt>
  <rfmt sheetId="1" xfDxf="1" sqref="L289" start="0" length="0">
    <dxf>
      <alignment horizontal="left" vertical="top" readingOrder="0"/>
      <border outline="0">
        <left style="thin">
          <color indexed="64"/>
        </left>
        <right style="thin">
          <color indexed="64"/>
        </right>
        <top style="thin">
          <color indexed="64"/>
        </top>
        <bottom style="thin">
          <color indexed="64"/>
        </bottom>
      </border>
    </dxf>
  </rfmt>
  <rfmt sheetId="1" xfDxf="1" sqref="L290" start="0" length="0">
    <dxf>
      <alignment horizontal="left" vertical="top" readingOrder="0"/>
      <border outline="0">
        <left style="thin">
          <color indexed="64"/>
        </left>
        <right style="thin">
          <color indexed="64"/>
        </right>
        <top style="thin">
          <color indexed="64"/>
        </top>
        <bottom style="thin">
          <color indexed="64"/>
        </bottom>
      </border>
    </dxf>
  </rfmt>
  <rfmt sheetId="1" xfDxf="1" sqref="L291" start="0" length="0">
    <dxf>
      <alignment horizontal="left" vertical="top" readingOrder="0"/>
      <border outline="0">
        <left style="thin">
          <color indexed="64"/>
        </left>
        <right style="thin">
          <color indexed="64"/>
        </right>
        <top style="thin">
          <color indexed="64"/>
        </top>
        <bottom style="thin">
          <color indexed="64"/>
        </bottom>
      </border>
    </dxf>
  </rfmt>
  <rfmt sheetId="1" xfDxf="1" sqref="L292" start="0" length="0">
    <dxf>
      <alignment horizontal="left" vertical="top" readingOrder="0"/>
      <border outline="0">
        <left style="thin">
          <color indexed="64"/>
        </left>
        <right style="thin">
          <color indexed="64"/>
        </right>
        <top style="thin">
          <color indexed="64"/>
        </top>
        <bottom style="thin">
          <color indexed="64"/>
        </bottom>
      </border>
    </dxf>
  </rfmt>
  <rcc rId="1396" sId="1" xfDxf="1" dxf="1">
    <nc r="L293" t="inlineStr">
      <is>
        <t>BB82313</t>
      </is>
    </nc>
    <ndxf>
      <alignment horizontal="left" vertical="top" readingOrder="0"/>
      <border outline="0">
        <left style="thin">
          <color indexed="64"/>
        </left>
        <right style="thin">
          <color indexed="64"/>
        </right>
        <top style="thin">
          <color indexed="64"/>
        </top>
        <bottom style="thin">
          <color indexed="64"/>
        </bottom>
      </border>
    </ndxf>
  </rcc>
  <rcc rId="1397" sId="1">
    <nc r="L254" t="inlineStr">
      <is>
        <t>None</t>
      </is>
    </nc>
  </rcc>
  <rcc rId="1398" sId="1">
    <nc r="L255" t="inlineStr">
      <is>
        <t>None</t>
      </is>
    </nc>
  </rcc>
  <rcc rId="1399" sId="1">
    <nc r="L256" t="inlineStr">
      <is>
        <t>None</t>
      </is>
    </nc>
  </rcc>
  <rcc rId="1400" sId="1">
    <nc r="L257" t="inlineStr">
      <is>
        <t>None</t>
      </is>
    </nc>
  </rcc>
  <rcc rId="1401" sId="1">
    <nc r="L258" t="inlineStr">
      <is>
        <t>None</t>
      </is>
    </nc>
  </rcc>
  <rcc rId="1402" sId="1">
    <nc r="L259" t="inlineStr">
      <is>
        <t>None</t>
      </is>
    </nc>
  </rcc>
  <rcc rId="1403" sId="1">
    <nc r="L260" t="inlineStr">
      <is>
        <t>None</t>
      </is>
    </nc>
  </rcc>
  <rcc rId="1404" sId="1">
    <nc r="L261" t="inlineStr">
      <is>
        <t>None</t>
      </is>
    </nc>
  </rcc>
  <rcc rId="1405" sId="1">
    <nc r="L262" t="inlineStr">
      <is>
        <t>None</t>
      </is>
    </nc>
  </rcc>
  <rcc rId="1406" sId="1">
    <nc r="L263" t="inlineStr">
      <is>
        <t>None</t>
      </is>
    </nc>
  </rcc>
  <rcc rId="1407" sId="1">
    <nc r="L264" t="inlineStr">
      <is>
        <t>None</t>
      </is>
    </nc>
  </rcc>
  <rcc rId="1408" sId="1">
    <nc r="L265" t="inlineStr">
      <is>
        <t>None</t>
      </is>
    </nc>
  </rcc>
  <rcc rId="1409" sId="1">
    <nc r="L266" t="inlineStr">
      <is>
        <t>None</t>
      </is>
    </nc>
  </rcc>
  <rcc rId="1410" sId="1">
    <nc r="L267" t="inlineStr">
      <is>
        <t>None</t>
      </is>
    </nc>
  </rcc>
  <rcc rId="1411" sId="1">
    <nc r="L268" t="inlineStr">
      <is>
        <t>None</t>
      </is>
    </nc>
  </rcc>
  <rcc rId="1412" sId="1">
    <nc r="L269" t="inlineStr">
      <is>
        <t>None</t>
      </is>
    </nc>
  </rcc>
  <rcc rId="1413" sId="1">
    <nc r="L270" t="inlineStr">
      <is>
        <t>None</t>
      </is>
    </nc>
  </rcc>
  <rcc rId="1414" sId="1">
    <nc r="L271" t="inlineStr">
      <is>
        <t>None</t>
      </is>
    </nc>
  </rcc>
  <rcc rId="1415" sId="1">
    <nc r="L272" t="inlineStr">
      <is>
        <t>None</t>
      </is>
    </nc>
  </rcc>
  <rcc rId="1416" sId="1">
    <nc r="L273" t="inlineStr">
      <is>
        <t>None</t>
      </is>
    </nc>
  </rcc>
  <rcc rId="1417" sId="1">
    <nc r="L274" t="inlineStr">
      <is>
        <t>None</t>
      </is>
    </nc>
  </rcc>
  <rcc rId="1418" sId="1">
    <nc r="L275" t="inlineStr">
      <is>
        <t>None</t>
      </is>
    </nc>
  </rcc>
  <rcc rId="1419" sId="1">
    <nc r="L276" t="inlineStr">
      <is>
        <t>None</t>
      </is>
    </nc>
  </rcc>
  <rcc rId="1420" sId="1">
    <nc r="L277" t="inlineStr">
      <is>
        <t>None</t>
      </is>
    </nc>
  </rcc>
  <rcc rId="1421" sId="1">
    <nc r="L278" t="inlineStr">
      <is>
        <t>None</t>
      </is>
    </nc>
  </rcc>
  <rcc rId="1422" sId="1">
    <nc r="L279" t="inlineStr">
      <is>
        <t>None</t>
      </is>
    </nc>
  </rcc>
  <rcc rId="1423" sId="1">
    <nc r="L280" t="inlineStr">
      <is>
        <t>None</t>
      </is>
    </nc>
  </rcc>
  <rcc rId="1424" sId="1">
    <nc r="L281" t="inlineStr">
      <is>
        <t>None</t>
      </is>
    </nc>
  </rcc>
  <rcc rId="1425" sId="1">
    <nc r="L282" t="inlineStr">
      <is>
        <t>None</t>
      </is>
    </nc>
  </rcc>
  <rcc rId="1426" sId="1">
    <nc r="L283" t="inlineStr">
      <is>
        <t>None</t>
      </is>
    </nc>
  </rcc>
  <rcc rId="1427" sId="1">
    <nc r="L284" t="inlineStr">
      <is>
        <t>None</t>
      </is>
    </nc>
  </rcc>
  <rcc rId="1428" sId="1">
    <nc r="L285" t="inlineStr">
      <is>
        <t>None</t>
      </is>
    </nc>
  </rcc>
  <rcc rId="1429" sId="1">
    <nc r="L286" t="inlineStr">
      <is>
        <t>None</t>
      </is>
    </nc>
  </rcc>
  <rcc rId="1430" sId="1">
    <nc r="L287" t="inlineStr">
      <is>
        <t>None</t>
      </is>
    </nc>
  </rcc>
  <rcc rId="1431" sId="1">
    <nc r="L288" t="inlineStr">
      <is>
        <t>None</t>
      </is>
    </nc>
  </rcc>
  <rcc rId="1432" sId="1">
    <nc r="L289" t="inlineStr">
      <is>
        <t>None</t>
      </is>
    </nc>
  </rcc>
  <rcc rId="1433" sId="1">
    <nc r="L290" t="inlineStr">
      <is>
        <t>None</t>
      </is>
    </nc>
  </rcc>
  <rcc rId="1434" sId="1">
    <nc r="L291" t="inlineStr">
      <is>
        <t>None</t>
      </is>
    </nc>
  </rcc>
  <rcc rId="1435" sId="1">
    <nc r="L292" t="inlineStr">
      <is>
        <t>None</t>
      </is>
    </nc>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48" sId="1" xfDxf="1" dxf="1" quotePrefix="1">
    <nc r="F242" t="inlineStr">
      <is>
        <t>rba\FBL\SW\ApplicationLayer\rba_BldrCmp\src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1449" sId="1" xfDxf="1" dxf="1" quotePrefix="1">
    <nc r="F243" t="inlineStr">
      <is>
        <t>rba\FBL\SW\ApplicationLayer\rba_BldrCmp\src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1450" sId="1" xfDxf="1" dxf="1" quotePrefix="1">
    <nc r="F244" t="inlineStr">
      <is>
        <t>rba\FBL\SW\ApplicationLayer\rba_BldrCmp\src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1451" sId="1" xfDxf="1" dxf="1" quotePrefix="1">
    <nc r="F245" t="inlineStr">
      <is>
        <t>rba\FBL\SW\ApplicationLayer\rba_BldrCmp\src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1452" sId="1" xfDxf="1" dxf="1" quotePrefix="1">
    <nc r="F246" t="inlineStr">
      <is>
        <t>rba\FBL\SW\ApplicationLayer\rba_BldrCmp\src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1453" sId="1" xfDxf="1" dxf="1" quotePrefix="1">
    <nc r="F247" t="inlineStr">
      <is>
        <t>rba\FBL\SW\ApplicationLayer\rba_BldrCmp\src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1454" sId="1" xfDxf="1" dxf="1" quotePrefix="1">
    <nc r="F248" t="inlineStr">
      <is>
        <t>rba\jmc\Bldr\config\Infrastruct\rba_AS_HWProtrba\FBL\SW\ApplicationLayer\rba_BldrCmp\src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1455" sId="1" xfDxf="1" dxf="1" quotePrefix="1">
    <nc r="F249" t="inlineStr">
      <is>
        <t>rba\jmc\Bldr\config\ApplicationLayer\rba_BldrCmprba\FBL\SW\ApplicationLayer\rba_BldrCmp\src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1456" sId="1" xfDxf="1" dxf="1" quotePrefix="1">
    <nc r="F250" t="inlineStr">
      <is>
        <t>rba\jmc\Bldr\config\ApplicationLayer\rba_BldrCmprba\FBL\SW\ApplicationLayer\rba_BldrCmp\src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1457" sId="1" xfDxf="1" dxf="1" quotePrefix="1">
    <nc r="F251" t="inlineStr">
      <is>
        <t>rba\jmc\Bldr\config\ApplicationLayer\rba_BldrCmprba\FBL\SW\ApplicationLayer\rba_BldrCmp\src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1458" sId="1" xfDxf="1" dxf="1" quotePrefix="1">
    <nc r="F252" t="inlineStr">
      <is>
        <t>rba\jmc\Bldr\config\ApplicationLayer\rba_BldrCmprba\FBL\SW\ApplicationLayer\rba_BldrCmp\src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1459" sId="1" xfDxf="1" dxf="1" quotePrefix="1">
    <nc r="F253" t="inlineStr">
      <is>
        <t>rba\jmc\Bldr\config\ApplicationLayer\rba_BldrCmprba\FBL\SW\ApplicationLayer\rba_BldrCmp\src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1460" sId="1" xfDxf="1" dxf="1" quotePrefix="1">
    <nc r="F254" t="inlineStr">
      <is>
        <t>rb\as\fawESP\core\app\dcom\rbaplcust\src\common\RBAPLCUST_DcmManufacturerNotification.c</t>
      </is>
    </nc>
    <ndxf>
      <alignment horizontal="left" vertical="top" readingOrder="0"/>
      <border outline="0">
        <left style="thin">
          <color indexed="64"/>
        </left>
        <right style="thin">
          <color indexed="64"/>
        </right>
        <top style="thin">
          <color indexed="64"/>
        </top>
        <bottom style="thin">
          <color indexed="64"/>
        </bottom>
      </border>
    </ndxf>
  </rcc>
  <rcc rId="1461" sId="1" xfDxf="1" dxf="1" quotePrefix="1">
    <nc r="F255" t="inlineStr">
      <is>
        <t>rb\as\fawESP\core\app\dcom\rbaplcust\src\common\RBAPLCUST_ExpectedOBDType.c</t>
      </is>
    </nc>
    <ndxf>
      <alignment horizontal="left" vertical="top" readingOrder="0"/>
      <border outline="0">
        <left style="thin">
          <color indexed="64"/>
        </left>
        <right style="thin">
          <color indexed="64"/>
        </right>
        <top style="thin">
          <color indexed="64"/>
        </top>
        <bottom style="thin">
          <color indexed="64"/>
        </bottom>
      </border>
    </ndxf>
  </rcc>
  <rcc rId="1462" sId="1" xfDxf="1" dxf="1" quotePrefix="1">
    <nc r="F256" t="inlineStr">
      <is>
        <t>rb\as\fawESP\core\app\dcom\rbaplcust\src\common\RBAPLCUST_RDBI_BLS.c</t>
      </is>
    </nc>
    <ndxf>
      <alignment horizontal="left" vertical="top" readingOrder="0"/>
      <border outline="0">
        <left style="thin">
          <color indexed="64"/>
        </left>
        <right style="thin">
          <color indexed="64"/>
        </right>
        <top style="thin">
          <color indexed="64"/>
        </top>
        <bottom style="thin">
          <color indexed="64"/>
        </bottom>
      </border>
    </ndxf>
  </rcc>
  <rcc rId="1463" sId="1" xfDxf="1" dxf="1" quotePrefix="1">
    <nc r="F257" t="inlineStr">
      <is>
        <t>rb\as\fawESP\core\app\dcom\rbaplcust\src\IPB\RBAPLCUST_RDBI_CBDS.c</t>
      </is>
    </nc>
    <ndxf>
      <alignment horizontal="left" vertical="top" readingOrder="0"/>
      <border outline="0">
        <left style="thin">
          <color indexed="64"/>
        </left>
        <right style="thin">
          <color indexed="64"/>
        </right>
        <top style="thin">
          <color indexed="64"/>
        </top>
        <bottom style="thin">
          <color indexed="64"/>
        </bottom>
      </border>
    </ndxf>
  </rcc>
  <rcc rId="1464" sId="1" xfDxf="1" dxf="1" quotePrefix="1">
    <nc r="F258" t="inlineStr">
      <is>
        <t>rb\as\fawESP\core\app\dcom\rbaplcust\src\iBooster\RBAPLCUST_RoutineControl_iBoosterActuatorTest.c</t>
      </is>
    </nc>
    <ndxf>
      <alignment horizontal="left" vertical="top" readingOrder="0"/>
      <border outline="0">
        <left style="thin">
          <color indexed="64"/>
        </left>
        <right style="thin">
          <color indexed="64"/>
        </right>
        <top style="thin">
          <color indexed="64"/>
        </top>
        <bottom style="thin">
          <color indexed="64"/>
        </bottom>
      </border>
    </ndxf>
  </rcc>
  <rcc rId="1465" sId="1" xfDxf="1" dxf="1" quotePrefix="1">
    <nc r="F259" t="inlineStr">
      <is>
        <t>rb\as\fawESP\core\app\dcom\rbaplobd\src\RBAPLOBD_Global.c</t>
      </is>
    </nc>
    <ndxf>
      <alignment horizontal="left" vertical="top" readingOrder="0"/>
      <border outline="0">
        <left style="thin">
          <color indexed="64"/>
        </left>
        <right style="thin">
          <color indexed="64"/>
        </right>
        <top style="thin">
          <color indexed="64"/>
        </top>
        <bottom style="thin">
          <color indexed="64"/>
        </bottom>
      </border>
    </ndxf>
  </rcc>
  <rcc rId="1466" sId="1" xfDxf="1" dxf="1" quotePrefix="1">
    <nc r="F260" t="inlineStr">
      <is>
        <t>rb\as\fawESP\core\app\dsm\RBWarningIndicator\src\Dem_PrjSpecificIndiHandling.c</t>
      </is>
    </nc>
    <ndxf>
      <alignment horizontal="left" vertical="top" readingOrder="0"/>
      <border outline="0">
        <left style="thin">
          <color indexed="64"/>
        </left>
        <right style="thin">
          <color indexed="64"/>
        </right>
        <top style="thin">
          <color indexed="64"/>
        </top>
        <bottom style="thin">
          <color indexed="64"/>
        </bottom>
      </border>
    </ndxf>
  </rcc>
  <rcc rId="1467" sId="1" xfDxf="1" dxf="1" quotePrefix="1">
    <nc r="F261" t="inlineStr">
      <is>
        <t>rb\as\fawESP\core\app\dsm\RBDsmSim\RB_SimDsmCfg\PRJ_Specific\src\DSMSim_PRJ_Specific.c</t>
      </is>
    </nc>
    <ndxf>
      <alignment horizontal="left" vertical="top" readingOrder="0"/>
      <border outline="0">
        <left style="thin">
          <color indexed="64"/>
        </left>
        <right style="thin">
          <color indexed="64"/>
        </right>
        <top style="thin">
          <color indexed="64"/>
        </top>
        <bottom style="thin">
          <color indexed="64"/>
        </bottom>
      </border>
    </ndxf>
  </rcc>
  <rcc rId="1468" sId="1" xfDxf="1" dxf="1" quotePrefix="1">
    <nc r="F262" t="inlineStr">
      <is>
        <t>rb\as\fawESP\core\app\dsm\RBOBD\OBDGeneric\src\rba_DemObdBasic_ProjectExtension.c</t>
      </is>
    </nc>
    <ndxf>
      <alignment horizontal="left" vertical="top" readingOrder="0"/>
      <border outline="0">
        <left style="thin">
          <color indexed="64"/>
        </left>
        <right style="thin">
          <color indexed="64"/>
        </right>
        <top style="thin">
          <color indexed="64"/>
        </top>
        <bottom style="thin">
          <color indexed="64"/>
        </bottom>
      </border>
    </ndxf>
  </rcc>
  <rcc rId="1469" sId="1" xfDxf="1" dxf="1" quotePrefix="1">
    <nc r="F263" t="inlineStr">
      <is>
        <t>rb\as\fawESP\core\app\dsm\RBHMI_IB2\src\RBHMI_ConfigOutputDriver_PRJ.c</t>
      </is>
    </nc>
    <ndxf>
      <alignment horizontal="left" vertical="top" readingOrder="0"/>
      <border outline="0">
        <left style="thin">
          <color indexed="64"/>
        </left>
        <right style="thin">
          <color indexed="64"/>
        </right>
        <top style="thin">
          <color indexed="64"/>
        </top>
        <bottom style="thin">
          <color indexed="64"/>
        </bottom>
      </border>
    </ndxf>
  </rcc>
  <rcc rId="1470" sId="1" xfDxf="1" dxf="1" quotePrefix="1">
    <nc r="F264" t="inlineStr">
      <is>
        <t>rb\as\fawESP\core\app\dsm\RBHMI\src\RBHMI_ConfigOutputDriver_PRJ.c</t>
      </is>
    </nc>
    <ndxf>
      <alignment horizontal="left" vertical="top" readingOrder="0"/>
      <border outline="0">
        <left style="thin">
          <color indexed="64"/>
        </left>
        <right style="thin">
          <color indexed="64"/>
        </right>
        <top style="thin">
          <color indexed="64"/>
        </top>
        <bottom style="thin">
          <color indexed="64"/>
        </bottom>
      </border>
    </ndxf>
  </rcc>
  <rcc rId="1471" sId="1" xfDxf="1" dxf="1" quotePrefix="1">
    <nc r="F265" t="inlineStr">
      <is>
        <t>rb\as\fawESP\core\app\dsm\RBVAR\src\RBVAR_OutputDriver_PROJECT.c</t>
      </is>
    </nc>
    <ndxf>
      <alignment horizontal="left" vertical="top" readingOrder="0"/>
      <border outline="0">
        <left style="thin">
          <color indexed="64"/>
        </left>
        <right style="thin">
          <color indexed="64"/>
        </right>
        <top style="thin">
          <color indexed="64"/>
        </top>
        <bottom style="thin">
          <color indexed="64"/>
        </bottom>
      </border>
    </ndxf>
  </rcc>
  <rcc rId="1472" sId="1" xfDxf="1" dxf="1" quotePrefix="1">
    <nc r="F266" t="inlineStr">
      <is>
        <t>rb\as\fawESP\core\app\dsm\RBVAR\src\RBVAR_VarCode_PROJECT.c</t>
      </is>
    </nc>
    <ndxf>
      <alignment horizontal="left" vertical="top" readingOrder="0"/>
      <border outline="0">
        <left style="thin">
          <color indexed="64"/>
        </left>
        <right style="thin">
          <color indexed="64"/>
        </right>
        <top style="thin">
          <color indexed="64"/>
        </top>
        <bottom style="thin">
          <color indexed="64"/>
        </bottom>
      </border>
    </ndxf>
  </rcc>
  <rcc rId="1473" sId="1" xfDxf="1" dxf="1" quotePrefix="1">
    <nc r="F267" t="inlineStr">
      <is>
        <t>rb\as\fawESP\core\app\dsm\RBOBD\OBDSwitch\src\VAR_OBDSWitch_COMMON.c</t>
      </is>
    </nc>
    <ndxf>
      <alignment horizontal="left" vertical="top" readingOrder="0"/>
      <border outline="0">
        <left style="thin">
          <color indexed="64"/>
        </left>
        <right style="thin">
          <color indexed="64"/>
        </right>
        <top style="thin">
          <color indexed="64"/>
        </top>
        <bottom style="thin">
          <color indexed="64"/>
        </bottom>
      </border>
    </ndxf>
  </rcc>
  <rcc rId="1474" sId="1" xfDxf="1" dxf="1" quotePrefix="1">
    <nc r="F268" t="inlineStr">
      <is>
        <t>rb\as\fawESP\core\app\dsm\RBOBD\OBDSwitch\src\VAR_OBDSWitch_IF.c</t>
      </is>
    </nc>
    <ndxf>
      <alignment horizontal="left" vertical="top" readingOrder="0"/>
      <border outline="0">
        <left style="thin">
          <color indexed="64"/>
        </left>
        <right style="thin">
          <color indexed="64"/>
        </right>
        <top style="thin">
          <color indexed="64"/>
        </top>
        <bottom style="thin">
          <color indexed="64"/>
        </bottom>
      </border>
    </ndxf>
  </rcc>
  <rcc rId="1475" sId="1" xfDxf="1" dxf="1" quotePrefix="1">
    <nc r="F269" t="inlineStr">
      <is>
        <t>rb\as\fawESP\core\app\net\Cubas\src\rba_InternalIF.c</t>
      </is>
    </nc>
    <ndxf>
      <alignment horizontal="left" vertical="top" readingOrder="0"/>
      <border outline="0">
        <left style="thin">
          <color indexed="64"/>
        </left>
        <right style="thin">
          <color indexed="64"/>
        </right>
        <top style="thin">
          <color indexed="64"/>
        </top>
        <bottom style="thin">
          <color indexed="64"/>
        </bottom>
      </border>
    </ndxf>
  </rcc>
  <rcc rId="1476" sId="1" xfDxf="1" dxf="1" quotePrefix="1">
    <nc r="F270" t="inlineStr">
      <is>
        <t>rb\as\fawESP\core\app\net\RBNm\src\rbnm.c</t>
      </is>
    </nc>
    <ndxf>
      <alignment horizontal="left" vertical="top" readingOrder="0"/>
      <border outline="0">
        <left style="thin">
          <color indexed="64"/>
        </left>
        <right style="thin">
          <color indexed="64"/>
        </right>
        <top style="thin">
          <color indexed="64"/>
        </top>
        <bottom style="thin">
          <color indexed="64"/>
        </bottom>
      </border>
    </ndxf>
  </rcc>
  <rcc rId="1477" sId="1" xfDxf="1" dxf="1" quotePrefix="1">
    <nc r="F271" t="inlineStr">
      <is>
        <t>rb\as\fawESP\esp\app\asw\aswif\src\DNCIF_Stubs_PQ26.c</t>
      </is>
    </nc>
    <ndxf>
      <alignment horizontal="left" vertical="top" readingOrder="0"/>
      <border outline="0">
        <left style="thin">
          <color indexed="64"/>
        </left>
        <right style="thin">
          <color indexed="64"/>
        </right>
        <top style="thin">
          <color indexed="64"/>
        </top>
        <bottom style="thin">
          <color indexed="64"/>
        </bottom>
      </border>
    </ndxf>
  </rcc>
  <rcc rId="1478" sId="1" xfDxf="1" dxf="1" quotePrefix="1">
    <nc r="F272" t="inlineStr">
      <is>
        <t>rb\as\fawESP\esp\app\asw.WrapperSWC\src\PCT_AswWrapper.c</t>
      </is>
    </nc>
    <ndxf>
      <alignment horizontal="left" vertical="top" readingOrder="0"/>
      <border outline="0">
        <left style="thin">
          <color indexed="64"/>
        </left>
        <right style="thin">
          <color indexed="64"/>
        </right>
        <top style="thin">
          <color indexed="64"/>
        </top>
        <bottom style="thin">
          <color indexed="64"/>
        </bottom>
      </border>
    </ndxf>
  </rcc>
  <rcc rId="1479" sId="1" xfDxf="1" dxf="1" quotePrefix="1">
    <nc r="F273" t="inlineStr">
      <is>
        <t>rb\as\fawESP\esp\app\dsm.rbhmi\src\RBHMI_ConfigOutputDriver_PRJ.c</t>
      </is>
    </nc>
    <ndxf>
      <alignment horizontal="left" vertical="top" readingOrder="0"/>
      <border outline="0">
        <left style="thin">
          <color indexed="64"/>
        </left>
        <right style="thin">
          <color indexed="64"/>
        </right>
        <top style="thin">
          <color indexed="64"/>
        </top>
        <bottom style="thin">
          <color indexed="64"/>
        </bottom>
      </border>
    </ndxf>
  </rcc>
  <rcc rId="1480" sId="1" xfDxf="1" dxf="1" quotePrefix="1">
    <nc r="F274" t="inlineStr">
      <is>
        <t>rb\as\fawESP\esp\app\dsm\RBWarningIndicator\src\Dem_PrjSpecificIndiHandling.c</t>
      </is>
    </nc>
    <ndxf>
      <alignment horizontal="left" vertical="top" readingOrder="0"/>
      <border outline="0">
        <left style="thin">
          <color indexed="64"/>
        </left>
        <right style="thin">
          <color indexed="64"/>
        </right>
        <top style="thin">
          <color indexed="64"/>
        </top>
        <bottom style="thin">
          <color indexed="64"/>
        </bottom>
      </border>
    </ndxf>
  </rcc>
  <rcc rId="1481" sId="1" xfDxf="1" dxf="1" quotePrefix="1">
    <nc r="F275" t="inlineStr">
      <is>
        <t>rb\as\fawESP\esp\app\dsm\RBDsmSim\RB_SimDsmCfg\PRJ_Specific\src\DSMSim_PRJ_Specific.c</t>
      </is>
    </nc>
    <ndxf>
      <alignment horizontal="left" vertical="top" readingOrder="0"/>
      <border outline="0">
        <left style="thin">
          <color indexed="64"/>
        </left>
        <right style="thin">
          <color indexed="64"/>
        </right>
        <top style="thin">
          <color indexed="64"/>
        </top>
        <bottom style="thin">
          <color indexed="64"/>
        </bottom>
      </border>
    </ndxf>
  </rcc>
  <rcc rId="1482" sId="1" xfDxf="1" dxf="1" quotePrefix="1">
    <nc r="F276" t="inlineStr">
      <is>
        <t>rb\as\fawESP\esp\app\dsm\DemVar\src\RBDemVar_VariantHandling.c</t>
      </is>
    </nc>
    <ndxf>
      <alignment horizontal="left" vertical="top" readingOrder="0"/>
      <border outline="0">
        <left style="thin">
          <color indexed="64"/>
        </left>
        <right style="thin">
          <color indexed="64"/>
        </right>
        <top style="thin">
          <color indexed="64"/>
        </top>
        <bottom style="thin">
          <color indexed="64"/>
        </bottom>
      </border>
    </ndxf>
  </rcc>
  <rcc rId="1483" sId="1" xfDxf="1" dxf="1" quotePrefix="1">
    <nc r="F277" t="inlineStr">
      <is>
        <t>rb\as\fawESP\esp\app\net\RBScl\src\ComScl_Scl_Complex_proc.c</t>
      </is>
    </nc>
    <ndxf>
      <alignment horizontal="left" vertical="top" readingOrder="0"/>
      <border outline="0">
        <left style="thin">
          <color indexed="64"/>
        </left>
        <right style="thin">
          <color indexed="64"/>
        </right>
        <top style="thin">
          <color indexed="64"/>
        </top>
        <bottom style="thin">
          <color indexed="64"/>
        </bottom>
      </border>
    </ndxf>
  </rcc>
  <rcc rId="1484" sId="1" xfDxf="1" dxf="1" quotePrefix="1">
    <nc r="F278" t="inlineStr">
      <is>
        <t>rb\as\fawESP\esp\app\net\RBScl\src\rba_NET_Global_variable.c</t>
      </is>
    </nc>
    <ndxf>
      <alignment horizontal="left" vertical="top" readingOrder="0"/>
      <border outline="0">
        <left style="thin">
          <color indexed="64"/>
        </left>
        <right style="thin">
          <color indexed="64"/>
        </right>
        <top style="thin">
          <color indexed="64"/>
        </top>
        <bottom style="thin">
          <color indexed="64"/>
        </bottom>
      </border>
    </ndxf>
  </rcc>
  <rcc rId="1485" sId="1" xfDxf="1" dxf="1" quotePrefix="1">
    <nc r="F279" t="inlineStr">
      <is>
        <t>rb\as\fawESP\esp\dcompr\tst\Stubs\CUBAS\src\DemCSMosar_StoreEvtImm_Cfg.c</t>
      </is>
    </nc>
    <ndxf>
      <alignment horizontal="left" vertical="top" readingOrder="0"/>
      <border outline="0">
        <left style="thin">
          <color indexed="64"/>
        </left>
        <right style="thin">
          <color indexed="64"/>
        </right>
        <top style="thin">
          <color indexed="64"/>
        </top>
        <bottom style="thin">
          <color indexed="64"/>
        </bottom>
      </border>
    </ndxf>
  </rcc>
  <rcc rId="1486" sId="1" xfDxf="1" dxf="1" quotePrefix="1">
    <nc r="F280" t="inlineStr">
      <is>
        <t>rb\as\fawESP\esp\dcompr\tst\Stubs\CUBAS\src\Net_Stubs.c</t>
      </is>
    </nc>
    <ndxf>
      <alignment horizontal="left" vertical="top" readingOrder="0"/>
      <border outline="0">
        <left style="thin">
          <color indexed="64"/>
        </left>
        <right style="thin">
          <color indexed="64"/>
        </right>
        <top style="thin">
          <color indexed="64"/>
        </top>
        <bottom style="thin">
          <color indexed="64"/>
        </bottom>
      </border>
    </ndxf>
  </rcc>
  <rcc rId="1487" sId="1" xfDxf="1" dxf="1" quotePrefix="1">
    <nc r="F281" t="inlineStr">
      <is>
        <t>rb\as\fawESP\esp\dcompr\tst\Stubs\CUBAS\src\rba_STM_SSC_Cfg.c</t>
      </is>
    </nc>
    <ndxf>
      <alignment horizontal="left" vertical="top" readingOrder="0"/>
      <border outline="0">
        <left style="thin">
          <color indexed="64"/>
        </left>
        <right style="thin">
          <color indexed="64"/>
        </right>
        <top style="thin">
          <color indexed="64"/>
        </top>
        <bottom style="thin">
          <color indexed="64"/>
        </bottom>
      </border>
    </ndxf>
  </rcc>
  <rcc rId="1488" sId="1" xfDxf="1" dxf="1" quotePrefix="1">
    <nc r="F282" t="inlineStr">
      <is>
        <t>rb\as\fawESP\esp\dcompr\tst\Stubs\HSW\src\RBSUPPLYVLV_UBVRVoltage.c</t>
      </is>
    </nc>
    <ndxf>
      <alignment horizontal="left" vertical="top" readingOrder="0"/>
      <border outline="0">
        <left style="thin">
          <color indexed="64"/>
        </left>
        <right style="thin">
          <color indexed="64"/>
        </right>
        <top style="thin">
          <color indexed="64"/>
        </top>
        <bottom style="thin">
          <color indexed="64"/>
        </bottom>
      </border>
    </ndxf>
  </rcc>
  <rcc rId="1489" sId="1" xfDxf="1" dxf="1" quotePrefix="1">
    <nc r="F283" t="inlineStr">
      <is>
        <t>rb\as\fawESP\esp\dsmpr\rbemm\src\RBEMM_Project.c</t>
      </is>
    </nc>
    <ndxf>
      <alignment horizontal="left" vertical="top" readingOrder="0"/>
      <border outline="0">
        <left style="thin">
          <color indexed="64"/>
        </left>
        <right style="thin">
          <color indexed="64"/>
        </right>
        <top style="thin">
          <color indexed="64"/>
        </top>
        <bottom style="thin">
          <color indexed="64"/>
        </bottom>
      </border>
    </ndxf>
  </rcc>
  <rcc rId="1490" sId="1" xfDxf="1" dxf="1" quotePrefix="1">
    <nc r="F284" t="inlineStr">
      <is>
        <t>rb\as\fawESP\esp\dsmpr\tst\ct\Src\RBDSM_SWT_ComponentSwitch.c</t>
      </is>
    </nc>
    <ndxf>
      <alignment horizontal="left" vertical="top" readingOrder="0"/>
      <border outline="0">
        <left style="thin">
          <color indexed="64"/>
        </left>
        <right style="thin">
          <color indexed="64"/>
        </right>
        <top style="thin">
          <color indexed="64"/>
        </top>
        <bottom style="thin">
          <color indexed="64"/>
        </bottom>
      </border>
    </ndxf>
  </rcc>
  <rcc rId="1491" sId="1" xfDxf="1" dxf="1" quotePrefix="1">
    <nc r="F285" t="inlineStr">
      <is>
        <t>rb\as\fawESP\esp\hswpr\tst\hswsim\src\HwModel_CNMS_HEVX.c</t>
      </is>
    </nc>
    <ndxf>
      <alignment horizontal="left" vertical="top" readingOrder="0"/>
      <border outline="0">
        <left style="thin">
          <color indexed="64"/>
        </left>
        <right style="thin">
          <color indexed="64"/>
        </right>
        <top style="thin">
          <color indexed="64"/>
        </top>
        <bottom style="thin">
          <color indexed="64"/>
        </bottom>
      </border>
    </ndxf>
  </rcc>
  <rcc rId="1492" sId="1" xfDxf="1" dxf="1" quotePrefix="1">
    <nc r="F286" t="inlineStr">
      <is>
        <t>rb\as\fawESP\esp\hswpr\src\DfaEmf\src\RBDfaEmf_SignalOutput_BMWG01.c</t>
      </is>
    </nc>
    <ndxf>
      <alignment horizontal="left" vertical="top" readingOrder="0"/>
      <border outline="0">
        <left style="thin">
          <color indexed="64"/>
        </left>
        <right style="thin">
          <color indexed="64"/>
        </right>
        <top style="thin">
          <color indexed="64"/>
        </top>
        <bottom style="thin">
          <color indexed="64"/>
        </bottom>
      </border>
    </ndxf>
  </rcc>
  <rcc rId="1493" sId="1" xfDxf="1" dxf="1" quotePrefix="1">
    <nc r="F287" t="inlineStr">
      <is>
        <t>rb\as\fawESP\esp\hswpr\src\RBVlvFreewheelingIssue\src\RBVlvFreewheelingIssue.c</t>
      </is>
    </nc>
    <ndxf>
      <alignment horizontal="left" vertical="top" readingOrder="0"/>
      <border outline="0">
        <left style="thin">
          <color indexed="64"/>
        </left>
        <right style="thin">
          <color indexed="64"/>
        </right>
        <top style="thin">
          <color indexed="64"/>
        </top>
        <bottom style="thin">
          <color indexed="64"/>
        </bottom>
      </border>
    </ndxf>
  </rcc>
  <rcc rId="1494" sId="1" xfDxf="1" dxf="1" quotePrefix="1">
    <nc r="F288" t="inlineStr">
      <is>
        <t>rb\as\fawESP\esp\hswpr\tst\hswsim\src\TestEnvironment_Fee_EV711101.c</t>
      </is>
    </nc>
    <ndxf>
      <alignment horizontal="left" vertical="top" readingOrder="0"/>
      <border outline="0">
        <left style="thin">
          <color indexed="64"/>
        </left>
        <right style="thin">
          <color indexed="64"/>
        </right>
        <top style="thin">
          <color indexed="64"/>
        </top>
        <bottom style="thin">
          <color indexed="64"/>
        </bottom>
      </border>
    </ndxf>
  </rcc>
  <rcc rId="1495" sId="1" xfDxf="1" dxf="1" quotePrefix="1">
    <nc r="F289" t="inlineStr">
      <is>
        <t>rb\as\fawESP\esp\hswpr\tst\hswsim\src\TestEnvironment_Fee_EV711106.c</t>
      </is>
    </nc>
    <ndxf>
      <alignment horizontal="left" vertical="top" readingOrder="0"/>
      <border outline="0">
        <left style="thin">
          <color indexed="64"/>
        </left>
        <right style="thin">
          <color indexed="64"/>
        </right>
        <top style="thin">
          <color indexed="64"/>
        </top>
        <bottom style="thin">
          <color indexed="64"/>
        </bottom>
      </border>
    </ndxf>
  </rcc>
  <rcc rId="1496" sId="1" xfDxf="1" dxf="1" quotePrefix="1">
    <nc r="F290" t="inlineStr">
      <is>
        <t>rb\as\fawESP\esp\hwp\src\RBCooLS\src\RBCooLS_Main_Volvo.c</t>
      </is>
    </nc>
    <ndxf>
      <alignment horizontal="left" vertical="top" readingOrder="0"/>
      <border outline="0">
        <left style="thin">
          <color indexed="64"/>
        </left>
        <right style="thin">
          <color indexed="64"/>
        </right>
        <top style="thin">
          <color indexed="64"/>
        </top>
        <bottom style="thin">
          <color indexed="64"/>
        </bottom>
      </border>
    </ndxf>
  </rcc>
  <rcc rId="1497" sId="1" xfDxf="1" dxf="1" quotePrefix="1">
    <nc r="F291" t="inlineStr">
      <is>
        <t>rb\as\fawESP\esp\hwp\src\DfaEmf\src\RBDfaEmf_SignalOutput_BMWG01.c</t>
      </is>
    </nc>
    <ndxf>
      <alignment horizontal="left" vertical="top" readingOrder="0"/>
      <border outline="0">
        <left style="thin">
          <color indexed="64"/>
        </left>
        <right style="thin">
          <color indexed="64"/>
        </right>
        <top style="thin">
          <color indexed="64"/>
        </top>
        <bottom style="thin">
          <color indexed="64"/>
        </bottom>
      </border>
    </ndxf>
  </rcc>
  <rcc rId="1498" sId="1" xfDxf="1" dxf="1" quotePrefix="1">
    <nc r="F292" t="inlineStr">
      <is>
        <t>rb\as\fawESP\esp\netpr\src\RBPduHandler_Callouts.c</t>
      </is>
    </nc>
    <ndxf>
      <alignment horizontal="left" vertical="top" readingOrder="0"/>
      <border outline="0">
        <left style="thin">
          <color indexed="64"/>
        </left>
        <right style="thin">
          <color indexed="64"/>
        </right>
        <top style="thin">
          <color indexed="64"/>
        </top>
        <bottom style="thin">
          <color indexed="64"/>
        </bottom>
      </border>
    </ndxf>
  </rcc>
  <rcc rId="1499" sId="1" xfDxf="1" dxf="1" quotePrefix="1">
    <nc r="F293" t="inlineStr">
      <is>
        <t>rb\as\gwm\cp\app\net\SclCallout\src</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4" sId="1">
    <nc r="S293" t="inlineStr">
      <is>
        <t>duong.nguyen-tuan</t>
      </is>
    </nc>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7" sId="1">
    <nc r="S242" t="inlineStr">
      <is>
        <t>chuong.nguyen-minh</t>
      </is>
    </nc>
  </rcc>
  <rcc rId="1508" sId="1">
    <nc r="S245" t="inlineStr">
      <is>
        <t>chuong.nguyen-minh</t>
      </is>
    </nc>
  </rcc>
  <rcc rId="1509" sId="1">
    <nc r="S246" t="inlineStr">
      <is>
        <t>chuong.nguyen-minh</t>
      </is>
    </nc>
  </rcc>
  <rcc rId="1510" sId="1">
    <nc r="S248" t="inlineStr">
      <is>
        <t>chuong.nguyen-minh</t>
      </is>
    </nc>
  </rcc>
  <rcc rId="1511" sId="1">
    <nc r="S252" t="inlineStr">
      <is>
        <t>chuong.nguyen-minh</t>
      </is>
    </nc>
  </rcc>
  <rcc rId="1512" sId="1">
    <nc r="S253" t="inlineStr">
      <is>
        <t>chuong.nguyen-minh</t>
      </is>
    </nc>
  </rcc>
  <rcc rId="1513" sId="1">
    <nc r="S243" t="inlineStr">
      <is>
        <t>huy.nguyen-hoang</t>
      </is>
    </nc>
  </rcc>
  <rcc rId="1514" sId="1">
    <nc r="S244" t="inlineStr">
      <is>
        <t>huy.nguyen-hoang</t>
      </is>
    </nc>
  </rcc>
  <rcc rId="1515" sId="1">
    <nc r="S247" t="inlineStr">
      <is>
        <t>huy.nguyen-hoang</t>
      </is>
    </nc>
  </rcc>
  <rcc rId="1516" sId="1">
    <nc r="S249" t="inlineStr">
      <is>
        <t>huy.nguyen-hoang</t>
      </is>
    </nc>
  </rcc>
  <rcc rId="1517" sId="1">
    <nc r="S250" t="inlineStr">
      <is>
        <t>huy.nguyen-hoang</t>
      </is>
    </nc>
  </rcc>
  <rcc rId="1518" sId="1">
    <nc r="S251" t="inlineStr">
      <is>
        <t>huy.nguyen-hoang</t>
      </is>
    </nc>
  </rcc>
  <rcv guid="{7E0EA425-A420-4443-B9E0-CDF0AA9E5D09}" action="delete"/>
  <rdn rId="0" localSheetId="1" customView="1" name="Z_7E0EA425_A420_4443_B9E0_CDF0AA9E5D09_.wvu.Rows" hidden="1" oldHidden="1">
    <formula>Merged_COEM!$60:$241</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22" sId="2" numFmtId="19">
    <nc r="AE417">
      <v>44083</v>
    </nc>
  </rcc>
  <rcc rId="1523" sId="2" numFmtId="19">
    <nc r="AF417">
      <v>44083</v>
    </nc>
  </rcc>
  <rcc rId="1524" sId="2">
    <nc r="AG417" t="inlineStr">
      <is>
        <t>OK</t>
      </is>
    </nc>
  </rcc>
  <rcc rId="1525" sId="2" numFmtId="14">
    <nc r="AH417">
      <v>1</v>
    </nc>
  </rcc>
  <rcc rId="1526" sId="2" numFmtId="14">
    <nc r="AI417">
      <v>1</v>
    </nc>
  </rcc>
  <rcc rId="1527" sId="2" numFmtId="14">
    <nc r="AJ417">
      <v>1</v>
    </nc>
  </rcc>
  <rcc rId="1528" sId="2" odxf="1" dxf="1" quotePrefix="1">
    <nc r="AK417" t="inlineStr">
      <is>
        <t>None</t>
      </is>
    </nc>
    <odxf/>
    <ndxf/>
  </rcc>
  <rcv guid="{D33AC7AF-C8AB-4CE9-94C7-9237011A5FC3}" action="delete"/>
  <rdn rId="0" localSheetId="1" customView="1" name="Z_D33AC7AF_C8AB_4CE9_94C7_9237011A5FC3_.wvu.FilterData" hidden="1" oldHidden="1">
    <formula>Merged_COEM!$B$59:$AN$301</formula>
    <oldFormula>Merged_COEM!$A$59:$AN$301</oldFormula>
  </rdn>
  <rdn rId="0" localSheetId="2" customView="1" name="Z_D33AC7AF_C8AB_4CE9_94C7_9237011A5FC3_.wvu.FilterData" hidden="1" oldHidden="1">
    <formula>Merged_JOEM!$B$59:$AN$512</formula>
    <oldFormula>Merged_JOEM!$B$59:$AN$506</oldFormula>
  </rdn>
  <rcv guid="{D33AC7AF-C8AB-4CE9-94C7-9237011A5FC3}" action="add"/>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31" sId="1">
    <oc r="S250" t="inlineStr">
      <is>
        <t>huy.nguyen-hoang</t>
      </is>
    </oc>
    <nc r="S250" t="inlineStr">
      <is>
        <t>chuong.nguyen-minh</t>
      </is>
    </nc>
  </rcc>
  <rcc rId="1532" sId="1">
    <nc r="S254" t="inlineStr">
      <is>
        <t>nam.phan-the</t>
      </is>
    </nc>
  </rcc>
  <rcc rId="1533" sId="1">
    <nc r="S255" t="inlineStr">
      <is>
        <t>nam.phan-the</t>
      </is>
    </nc>
  </rcc>
  <rcc rId="1534" sId="1">
    <nc r="S256" t="inlineStr">
      <is>
        <t>nam.phan-the</t>
      </is>
    </nc>
  </rcc>
  <rcc rId="1535" sId="1">
    <nc r="S257" t="inlineStr">
      <is>
        <t>nam.phan-the</t>
      </is>
    </nc>
  </rcc>
  <rcc rId="1536" sId="1">
    <nc r="S258" t="inlineStr">
      <is>
        <t>nam.phan-the</t>
      </is>
    </nc>
  </rcc>
  <rcc rId="1537" sId="1">
    <nc r="S259" t="inlineStr">
      <is>
        <t>nam.phan-the</t>
      </is>
    </nc>
  </rcc>
  <rcc rId="1538" sId="1">
    <nc r="S260" t="inlineStr">
      <is>
        <t>nam.phan-the</t>
      </is>
    </nc>
  </rcc>
  <rcc rId="1539" sId="1">
    <nc r="S261" t="inlineStr">
      <is>
        <t>nam.phan-the</t>
      </is>
    </nc>
  </rcc>
  <rcc rId="1540" sId="1">
    <nc r="S262" t="inlineStr">
      <is>
        <t>nam.phan-the</t>
      </is>
    </nc>
  </rcc>
  <rcc rId="1541" sId="1">
    <nc r="S263" t="inlineStr">
      <is>
        <t>nam.phan-the</t>
      </is>
    </nc>
  </rcc>
  <rcc rId="1542" sId="1">
    <nc r="S264" t="inlineStr">
      <is>
        <t>nam.phan-the</t>
      </is>
    </nc>
  </rcc>
  <rcc rId="1543" sId="1">
    <nc r="S265" t="inlineStr">
      <is>
        <t>nam.phan-the</t>
      </is>
    </nc>
  </rc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47" sId="1">
    <nc r="S266" t="inlineStr">
      <is>
        <t>loc.do-phu</t>
      </is>
    </nc>
  </rcc>
  <rcc rId="1548" sId="1">
    <nc r="S267" t="inlineStr">
      <is>
        <t>loc.do-phu</t>
      </is>
    </nc>
  </rcc>
  <rcc rId="1549" sId="1">
    <nc r="S268" t="inlineStr">
      <is>
        <t>loc.do-phu</t>
      </is>
    </nc>
  </rcc>
  <rcc rId="1550" sId="1">
    <nc r="S270" t="inlineStr">
      <is>
        <t>loc.do-phu</t>
      </is>
    </nc>
  </rcc>
  <rcc rId="1551" sId="1">
    <nc r="S271" t="inlineStr">
      <is>
        <t>loc.do-phu</t>
      </is>
    </nc>
  </rcc>
  <rcc rId="1552" sId="1">
    <nc r="S274" t="inlineStr">
      <is>
        <t>loc.do-phu</t>
      </is>
    </nc>
  </rcc>
  <rcc rId="1553" sId="1">
    <nc r="S281" t="inlineStr">
      <is>
        <t>loc.do-phu</t>
      </is>
    </nc>
  </rcc>
  <rcc rId="1554" sId="1">
    <nc r="S269" t="inlineStr">
      <is>
        <t>loc.do-phu</t>
      </is>
    </nc>
  </rcc>
  <rcc rId="1555" sId="1">
    <nc r="S276" t="inlineStr">
      <is>
        <t>chuong.nguyen-minh</t>
      </is>
    </nc>
  </rcc>
  <rcc rId="1556" sId="1">
    <nc r="S277" t="inlineStr">
      <is>
        <t>chuong.nguyen-minh</t>
      </is>
    </nc>
  </rcc>
  <rcc rId="1557" sId="1">
    <nc r="S272" t="inlineStr">
      <is>
        <t>duong.nguyen-tuan</t>
      </is>
    </nc>
  </rcc>
  <rcc rId="1558" sId="1">
    <nc r="S273" t="inlineStr">
      <is>
        <t>duong.nguyen-tuan</t>
      </is>
    </nc>
  </rcc>
  <rcc rId="1559" sId="1">
    <nc r="S275" t="inlineStr">
      <is>
        <t>duong.nguyen-tuan</t>
      </is>
    </nc>
  </rcc>
  <rcc rId="1560" sId="1">
    <nc r="S278" t="inlineStr">
      <is>
        <t>duong.nguyen-tuan</t>
      </is>
    </nc>
  </rcc>
  <rcc rId="1561" sId="1">
    <nc r="S280" t="inlineStr">
      <is>
        <t>duong.nguyen-tuan</t>
      </is>
    </nc>
  </rcc>
  <rcc rId="1562" sId="1">
    <nc r="S283" t="inlineStr">
      <is>
        <t>duong.nguyen-tuan</t>
      </is>
    </nc>
  </rcc>
  <rcc rId="1563" sId="1">
    <nc r="S284" t="inlineStr">
      <is>
        <t>duong.nguyen-tuan</t>
      </is>
    </nc>
  </rcc>
  <rcc rId="1564" sId="1">
    <nc r="S285" t="inlineStr">
      <is>
        <t>duong.nguyen-tuan</t>
      </is>
    </nc>
  </rcc>
  <rcc rId="1565" sId="1">
    <nc r="S287" t="inlineStr">
      <is>
        <t>duong.nguyen-tuan</t>
      </is>
    </nc>
  </rcc>
  <rcc rId="1566" sId="1">
    <nc r="S279" t="inlineStr">
      <is>
        <t>huy.nguyen-hoang</t>
      </is>
    </nc>
  </rcc>
  <rcc rId="1567" sId="1">
    <nc r="S282" t="inlineStr">
      <is>
        <t>huy.nguyen-hoang</t>
      </is>
    </nc>
  </rcc>
  <rcc rId="1568" sId="1">
    <nc r="S286" t="inlineStr">
      <is>
        <t>nam.phan-the</t>
      </is>
    </nc>
  </rcc>
  <rcc rId="1569" sId="1">
    <nc r="S288" t="inlineStr">
      <is>
        <t>nam.phan-the</t>
      </is>
    </nc>
  </rcc>
  <rcc rId="1570" sId="1">
    <nc r="S289" t="inlineStr">
      <is>
        <t>nam.phan-the</t>
      </is>
    </nc>
  </rcc>
  <rcc rId="1571" sId="1">
    <nc r="S290" t="inlineStr">
      <is>
        <t>nam.phan-the</t>
      </is>
    </nc>
  </rcc>
  <rcc rId="1572" sId="1">
    <nc r="S291" t="inlineStr">
      <is>
        <t>nam.phan-the</t>
      </is>
    </nc>
  </rcc>
  <rcc rId="1573" sId="1">
    <nc r="S292" t="inlineStr">
      <is>
        <t>chuong.nguyen-minh</t>
      </is>
    </nc>
  </rc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77" sId="1">
    <oc r="S243" t="inlineStr">
      <is>
        <t>huy.nguyen-hoang</t>
      </is>
    </oc>
    <nc r="S243" t="inlineStr">
      <is>
        <t>chuong.nguyen-minh</t>
      </is>
    </nc>
  </rc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Merged_COEM!$60:$241</formula>
    <oldFormula>Merged_COEM!$60:$241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dn rId="0" localSheetId="1" customView="1" name="Z_7E0EA425_A420_4443_B9E0_CDF0AA9E5D09_.wvu.Rows" hidden="1" oldHidden="1">
    <oldFormula>Merged_COEM!$60:$241</oldFormula>
  </rdn>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Merged_COEM!$57:$241</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Merged_COEM!$57:$241</formula>
    <oldFormula>Merged_COEM!$57:$241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Merged_COEM!$57:$241</formula>
    <oldFormula>Merged_COEM!$57:$241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Merged_COEM!$57:$241</formula>
    <oldFormula>Merged_COEM!$57:$241</oldFormula>
  </rdn>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dn rId="0" localSheetId="1" customView="1" name="Z_7E0EA425_A420_4443_B9E0_CDF0AA9E5D09_.wvu.Rows" hidden="1" oldHidden="1">
    <oldFormula>Merged_COEM!$57:$241</oldFormula>
  </rdn>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80:F86">
    <dxf>
      <fill>
        <patternFill patternType="none">
          <bgColor auto="1"/>
        </patternFill>
      </fill>
    </dxf>
  </rfmt>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83" sId="1" odxf="1" dxf="1" quotePrefix="1">
    <oc r="AN202" t="inlineStr">
      <is>
        <t>-Have 1 sub class</t>
      </is>
    </oc>
    <nc r="AN202" t="inlineStr">
      <is>
        <t>-Have 1 sub class
- Owner confirm is no impact.</t>
      </is>
    </nc>
    <odxf>
      <alignment wrapText="0" readingOrder="0"/>
    </odxf>
    <ndxf>
      <alignment wrapText="1" readingOrder="0"/>
    </ndxf>
  </rcc>
  <rfmt sheetId="1" sqref="AD202">
    <dxf>
      <fill>
        <patternFill patternType="none">
          <bgColor auto="1"/>
        </patternFill>
      </fill>
    </dxf>
  </rfmt>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217:AD220 AD224">
    <dxf>
      <fill>
        <patternFill patternType="solid">
          <bgColor rgb="FFFF0000"/>
        </patternFill>
      </fill>
    </dxf>
  </rfmt>
  <rfmt sheetId="1" sqref="AD233:AD236">
    <dxf>
      <fill>
        <patternFill patternType="solid">
          <bgColor rgb="FFFF0000"/>
        </patternFill>
      </fill>
    </dxf>
  </rfmt>
  <rfmt sheetId="1" sqref="AD241">
    <dxf>
      <fill>
        <patternFill patternType="solid">
          <bgColor rgb="FFFF0000"/>
        </patternFill>
      </fill>
    </dxf>
  </rfmt>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10" sId="2" numFmtId="19">
    <nc r="AE418">
      <v>44083</v>
    </nc>
  </rcc>
  <rcc rId="1711" sId="2" numFmtId="19">
    <nc r="AF418">
      <v>44083</v>
    </nc>
  </rcc>
  <rcc rId="1712" sId="2">
    <nc r="AG418" t="inlineStr">
      <is>
        <t>OK</t>
      </is>
    </nc>
  </rcc>
  <rcc rId="1713" sId="2" numFmtId="14">
    <nc r="AH418">
      <v>1</v>
    </nc>
  </rcc>
  <rcc rId="1714" sId="2" odxf="1" dxf="1" quotePrefix="1">
    <nc r="AK418" t="inlineStr">
      <is>
        <t>None</t>
      </is>
    </nc>
    <odxf/>
    <ndxf/>
  </rcc>
  <rcc rId="1715" sId="2" numFmtId="14">
    <nc r="AI418">
      <v>0.88900000000000001</v>
    </nc>
  </rcc>
  <rcc rId="1716" sId="2" numFmtId="14">
    <nc r="AJ418">
      <v>0.5</v>
    </nc>
  </rcc>
  <rcv guid="{D33AC7AF-C8AB-4CE9-94C7-9237011A5FC3}" action="delete"/>
  <rdn rId="0" localSheetId="1" customView="1" name="Z_D33AC7AF_C8AB_4CE9_94C7_9237011A5FC3_.wvu.FilterData" hidden="1" oldHidden="1">
    <formula>Merged_COEM!$B$59:$AN$301</formula>
    <oldFormula>Merged_COEM!$B$59:$AN$301</oldFormula>
  </rdn>
  <rdn rId="0" localSheetId="2" customView="1" name="Z_D33AC7AF_C8AB_4CE9_94C7_9237011A5FC3_.wvu.FilterData" hidden="1" oldHidden="1">
    <formula>Merged_JOEM!$B$59:$AN$512</formula>
    <oldFormula>Merged_JOEM!$B$59:$AN$512</oldFormula>
  </rdn>
  <rcv guid="{D33AC7AF-C8AB-4CE9-94C7-9237011A5FC3}" action="add"/>
</revisions>
</file>

<file path=xl/revisions/revisionLog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19" sId="2">
    <nc r="AL418" t="inlineStr">
      <is>
        <t>Line #8: Cannot cover false case (MCDC FFF) because if HDCCurrentPhase != Hdc_Active and != Hdc_FadeOut and GRC_Id != LDMSelectedController_HDC -&gt; HDCCurrentPhase == Hdc_Off OR HDCCurrentPhase == Hdc_Standby (HDCCurrentPhase had only 4 value) and GRC_Id != LDMSelectedController_HDC -&gt; Condition at line #4 TRUE -&gt; This line never reach</t>
      </is>
    </nc>
  </rcc>
  <rcv guid="{D33AC7AF-C8AB-4CE9-94C7-9237011A5FC3}" action="delete"/>
  <rdn rId="0" localSheetId="1" customView="1" name="Z_D33AC7AF_C8AB_4CE9_94C7_9237011A5FC3_.wvu.FilterData" hidden="1" oldHidden="1">
    <formula>Merged_COEM!$B$59:$AN$301</formula>
    <oldFormula>Merged_COEM!$B$59:$AN$301</oldFormula>
  </rdn>
  <rdn rId="0" localSheetId="2" customView="1" name="Z_D33AC7AF_C8AB_4CE9_94C7_9237011A5FC3_.wvu.FilterData" hidden="1" oldHidden="1">
    <formula>Merged_JOEM!$B$59:$AN$512</formula>
    <oldFormula>Merged_JOEM!$B$59:$AN$512</oldFormula>
  </rdn>
  <rcv guid="{D33AC7AF-C8AB-4CE9-94C7-9237011A5FC3}" action="add"/>
</revisions>
</file>

<file path=xl/revisions/revisionLog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22" sId="2" odxf="1" dxf="1" quotePrefix="1">
    <nc r="AL423" t="inlineStr">
      <is>
        <t>Param 1D cannot cover full C0/C1</t>
      </is>
    </nc>
    <odxf>
      <numFmt numFmtId="164" formatCode="[$-409]d\-mmm\-yyyy;@"/>
      <alignment horizontal="left" readingOrder="0"/>
    </odxf>
    <ndxf>
      <numFmt numFmtId="0" formatCode="General"/>
      <alignment horizontal="general" readingOrder="0"/>
    </ndxf>
  </rcc>
  <rcc rId="1723" sId="2" numFmtId="19">
    <nc r="AE423">
      <v>44083</v>
    </nc>
  </rcc>
  <rcc rId="1724" sId="2" numFmtId="19">
    <nc r="AF423">
      <v>44083</v>
    </nc>
  </rcc>
  <rcc rId="1725" sId="2">
    <nc r="AG423" t="inlineStr">
      <is>
        <t>OK</t>
      </is>
    </nc>
  </rcc>
  <rcc rId="1726" sId="2" numFmtId="14">
    <nc r="AH423">
      <v>0.71399999999999997</v>
    </nc>
  </rcc>
  <rcc rId="1727" sId="2" numFmtId="14">
    <nc r="AJ423">
      <v>0.99</v>
    </nc>
  </rcc>
  <rcc rId="1728" sId="2" numFmtId="14">
    <nc r="AI423">
      <v>0.71399999999999997</v>
    </nc>
  </rcc>
  <rcc rId="1729" sId="2">
    <nc r="Z423">
      <v>2.08</v>
    </nc>
  </rcc>
  <rcc rId="1730" sId="2">
    <nc r="AA423" t="inlineStr">
      <is>
        <t>Ready for review</t>
      </is>
    </nc>
  </rcc>
  <rcv guid="{60D2C030-4E31-4E07-8E1C-44D2EE84B177}" action="delete"/>
  <rdn rId="0" localSheetId="1" customView="1" name="Z_60D2C030_4E31_4E07_8E1C_44D2EE84B177_.wvu.FilterData" hidden="1" oldHidden="1">
    <formula>Merged_COEM!$A$59:$AN$301</formula>
    <oldFormula>Merged_COEM!$A$59:$AN$301</oldFormula>
  </rdn>
  <rdn rId="0" localSheetId="2" customView="1" name="Z_60D2C030_4E31_4E07_8E1C_44D2EE84B177_.wvu.FilterData" hidden="1" oldHidden="1">
    <formula>Merged_JOEM!$B$59:$AN$512</formula>
    <oldFormula>Merged_JOEM!$B$59:$AN$512</oldFormula>
  </rdn>
  <rcv guid="{60D2C030-4E31-4E07-8E1C-44D2EE84B177}" action="add"/>
</revisions>
</file>

<file path=xl/revisions/revisionLog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33" sId="2" odxf="1" dxf="1" quotePrefix="1">
    <nc r="AK423" t="inlineStr">
      <is>
        <t>None</t>
      </is>
    </nc>
    <odxf/>
    <ndxf/>
  </rcc>
  <rcv guid="{60D2C030-4E31-4E07-8E1C-44D2EE84B177}" action="delete"/>
  <rdn rId="0" localSheetId="1" customView="1" name="Z_60D2C030_4E31_4E07_8E1C_44D2EE84B177_.wvu.FilterData" hidden="1" oldHidden="1">
    <formula>Merged_COEM!$A$59:$AN$301</formula>
    <oldFormula>Merged_COEM!$A$59:$AN$301</oldFormula>
  </rdn>
  <rdn rId="0" localSheetId="2" customView="1" name="Z_60D2C030_4E31_4E07_8E1C_44D2EE84B177_.wvu.FilterData" hidden="1" oldHidden="1">
    <formula>Merged_JOEM!$B$59:$AN$512</formula>
    <oldFormula>Merged_JOEM!$B$59:$AN$512</oldFormula>
  </rdn>
  <rcv guid="{60D2C030-4E31-4E07-8E1C-44D2EE84B177}" action="add"/>
</revisions>
</file>

<file path=xl/revisions/revisionLog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Merged_JOEM!$B$59:$AN$512</formula>
    <oldFormula>Merged_JOEM!$B$59:$AN$512</oldFormula>
  </rdn>
  <rcv guid="{3B3E6719-EACB-4D2C-89C1-05FFAB6020FD}" action="add"/>
</revisions>
</file>

<file path=xl/revisions/revisionLog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W242:W243 W245:W246 W248 W250 W252:W253 W276:W277 W292">
    <dxf>
      <fill>
        <patternFill patternType="solid">
          <bgColor rgb="FFFFFF00"/>
        </patternFill>
      </fill>
    </dxf>
  </rfmt>
  <rcv guid="{FECB4C41-27E8-4A22-AFB3-4F54CDD4960E}" action="delete"/>
  <rdn rId="0" localSheetId="1" customView="1" name="Z_FECB4C41_27E8_4A22_AFB3_4F54CDD4960E_.wvu.FilterData" hidden="1" oldHidden="1">
    <formula>Merged_COEM!$B$59:$AN$301</formula>
    <oldFormula>Merged_COEM!$B$59:$AN$301</oldFormula>
  </rdn>
  <rdn rId="0" localSheetId="2" customView="1" name="Z_FECB4C41_27E8_4A22_AFB3_4F54CDD4960E_.wvu.FilterData" hidden="1" oldHidden="1">
    <formula>Merged_JOEM!$B$59:$AN$512</formula>
    <oldFormula>Merged_JOEM!$B$59:$AN$512</oldFormula>
  </rdn>
  <rcv guid="{FECB4C41-27E8-4A22-AFB3-4F54CDD4960E}" action="add"/>
</revisions>
</file>

<file path=xl/revisions/revisionLog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Merged_JOEM!$B$59:$AN$512</formula>
    <oldFormula>Merged_JOEM!$B$59:$AN$512</oldFormula>
  </rdn>
  <rcv guid="{3B3E6719-EACB-4D2C-89C1-05FFAB6020FD}" action="add"/>
</revisions>
</file>

<file path=xl/revisions/revisionLog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42" sId="1">
    <nc r="U228" t="inlineStr">
      <is>
        <t>No</t>
      </is>
    </nc>
  </rcc>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Merged_JOEM!$B$59:$AN$512</formula>
    <oldFormula>Merged_JOEM!$B$59:$AN$512</oldFormula>
  </rdn>
  <rcv guid="{89C03E1E-B6A8-49A1-B29C-5DC4FAB2FBC6}" action="add"/>
</revisions>
</file>

<file path=xl/revisions/revisionLog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45" sId="2" numFmtId="19">
    <nc r="AE419">
      <v>44083</v>
    </nc>
  </rcc>
  <rcc rId="1746" sId="2" numFmtId="19">
    <nc r="AF419">
      <v>44083</v>
    </nc>
  </rcc>
  <rcc rId="1747" sId="2">
    <nc r="AG419" t="inlineStr">
      <is>
        <t>OK</t>
      </is>
    </nc>
  </rcc>
  <rcc rId="1748" sId="2" numFmtId="14">
    <nc r="AH419">
      <v>1</v>
    </nc>
  </rcc>
  <rcc rId="1749" sId="2" numFmtId="14">
    <nc r="AI419">
      <v>1</v>
    </nc>
  </rcc>
  <rcc rId="1750" sId="2" numFmtId="14">
    <nc r="AJ419">
      <v>1</v>
    </nc>
  </rcc>
  <rcc rId="1751" sId="2" odxf="1" dxf="1" quotePrefix="1">
    <nc r="AK419" t="inlineStr">
      <is>
        <t>None</t>
      </is>
    </nc>
    <odxf/>
    <ndxf/>
  </rcc>
  <rcv guid="{D33AC7AF-C8AB-4CE9-94C7-9237011A5FC3}" action="delete"/>
  <rdn rId="0" localSheetId="1" customView="1" name="Z_D33AC7AF_C8AB_4CE9_94C7_9237011A5FC3_.wvu.FilterData" hidden="1" oldHidden="1">
    <formula>Merged_COEM!$B$59:$AN$301</formula>
    <oldFormula>Merged_COEM!$B$59:$AN$301</oldFormula>
  </rdn>
  <rdn rId="0" localSheetId="2" customView="1" name="Z_D33AC7AF_C8AB_4CE9_94C7_9237011A5FC3_.wvu.FilterData" hidden="1" oldHidden="1">
    <formula>Merged_JOEM!$B$59:$AN$512</formula>
    <oldFormula>Merged_JOEM!$B$59:$AN$512</oldFormula>
  </rdn>
  <rcv guid="{D33AC7AF-C8AB-4CE9-94C7-9237011A5FC3}" action="add"/>
</revisions>
</file>

<file path=xl/revisions/revisionLog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Merged_COEM!$A$59:$AN$301</formula>
    <oldFormula>Merged_COEM!$A$59:$AN$301</oldFormula>
  </rdn>
  <rdn rId="0" localSheetId="2" customView="1" name="Z_60D2C030_4E31_4E07_8E1C_44D2EE84B177_.wvu.FilterData" hidden="1" oldHidden="1">
    <formula>Merged_JOEM!$B$59:$AN$512</formula>
    <oldFormula>Merged_JOEM!$B$59:$AN$512</oldFormula>
  </rdn>
  <rcv guid="{60D2C030-4E31-4E07-8E1C-44D2EE84B177}" action="add"/>
</revisions>
</file>

<file path=xl/revisions/revisionLog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33AC7AF-C8AB-4CE9-94C7-9237011A5FC3}" action="delete"/>
  <rdn rId="0" localSheetId="1" customView="1" name="Z_D33AC7AF_C8AB_4CE9_94C7_9237011A5FC3_.wvu.FilterData" hidden="1" oldHidden="1">
    <formula>Merged_COEM!$B$59:$AN$301</formula>
    <oldFormula>Merged_COEM!$B$59:$AN$301</oldFormula>
  </rdn>
  <rdn rId="0" localSheetId="2" customView="1" name="Z_D33AC7AF_C8AB_4CE9_94C7_9237011A5FC3_.wvu.FilterData" hidden="1" oldHidden="1">
    <formula>Merged_JOEM!$B$59:$AN$512</formula>
    <oldFormula>Merged_JOEM!$B$59:$AN$512</oldFormula>
  </rdn>
  <rcv guid="{D33AC7AF-C8AB-4CE9-94C7-9237011A5FC3}" action="add"/>
</revisions>
</file>

<file path=xl/revisions/revisionLog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58" sId="2">
    <nc r="X446">
      <v>33.799999999999997</v>
    </nc>
  </rcc>
  <rcc rId="1759" sId="2">
    <nc r="X447">
      <v>33.799999999999997</v>
    </nc>
  </rcc>
  <rcc rId="1760" sId="2">
    <nc r="Z446">
      <v>1</v>
    </nc>
  </rcc>
  <rcc rId="1761" sId="2">
    <nc r="AA446" t="inlineStr">
      <is>
        <t>Ready for review</t>
      </is>
    </nc>
  </rcc>
  <rcc rId="1762" sId="2">
    <nc r="Z447">
      <v>1</v>
    </nc>
  </rcc>
  <rcc rId="1763" sId="2">
    <nc r="AA447" t="inlineStr">
      <is>
        <t>Ready for review</t>
      </is>
    </nc>
  </rcc>
  <rcc rId="1764" sId="2" numFmtId="19">
    <nc r="AE446">
      <v>44083</v>
    </nc>
  </rcc>
  <rcc rId="1765" sId="2" numFmtId="19">
    <nc r="AF446">
      <v>44083</v>
    </nc>
  </rcc>
  <rcc rId="1766" sId="2">
    <nc r="AG446" t="inlineStr">
      <is>
        <t>OK</t>
      </is>
    </nc>
  </rcc>
  <rcc rId="1767" sId="2" numFmtId="19">
    <nc r="AE447">
      <v>44083</v>
    </nc>
  </rcc>
  <rcc rId="1768" sId="2" numFmtId="19">
    <nc r="AF447">
      <v>44083</v>
    </nc>
  </rcc>
  <rcc rId="1769" sId="2">
    <nc r="AG447" t="inlineStr">
      <is>
        <t>OK</t>
      </is>
    </nc>
  </rcc>
  <rcc rId="1770" sId="2" numFmtId="14">
    <nc r="AH446">
      <v>0.89500000000000002</v>
    </nc>
  </rcc>
  <rcc rId="1771" sId="2" numFmtId="14">
    <nc r="AI446">
      <v>0.89500000000000002</v>
    </nc>
  </rcc>
  <rcc rId="1772" sId="2" odxf="1" dxf="1" quotePrefix="1">
    <nc r="AJ446" t="inlineStr">
      <is>
        <t>NA</t>
      </is>
    </nc>
    <odxf>
      <font/>
    </odxf>
    <ndxf>
      <font>
        <sz val="11"/>
        <color theme="1"/>
        <name val="Calibri"/>
        <scheme val="minor"/>
      </font>
    </ndxf>
  </rcc>
  <rcc rId="1773" sId="2" quotePrefix="1">
    <nc r="AK446" t="inlineStr">
      <is>
        <t>None</t>
      </is>
    </nc>
  </rcc>
  <rcc rId="1774" sId="2" numFmtId="14">
    <nc r="AH447">
      <v>0.89500000000000002</v>
    </nc>
  </rcc>
  <rcc rId="1775" sId="2" numFmtId="14">
    <nc r="AI447">
      <v>0.89500000000000002</v>
    </nc>
  </rcc>
  <rcc rId="1776" sId="2" odxf="1" dxf="1" quotePrefix="1">
    <nc r="AJ447" t="inlineStr">
      <is>
        <t>NA</t>
      </is>
    </nc>
    <odxf>
      <font/>
    </odxf>
    <ndxf>
      <font>
        <sz val="11"/>
        <color theme="1"/>
        <name val="Calibri"/>
        <scheme val="minor"/>
      </font>
    </ndxf>
  </rcc>
  <rcc rId="1777" sId="2" quotePrefix="1">
    <nc r="AK447" t="inlineStr">
      <is>
        <t>None</t>
      </is>
    </nc>
  </rcc>
  <rcv guid="{60D2C030-4E31-4E07-8E1C-44D2EE84B177}" action="delete"/>
  <rdn rId="0" localSheetId="1" customView="1" name="Z_60D2C030_4E31_4E07_8E1C_44D2EE84B177_.wvu.FilterData" hidden="1" oldHidden="1">
    <formula>Merged_COEM!$A$59:$AN$301</formula>
    <oldFormula>Merged_COEM!$A$59:$AN$301</oldFormula>
  </rdn>
  <rdn rId="0" localSheetId="2" customView="1" name="Z_60D2C030_4E31_4E07_8E1C_44D2EE84B177_.wvu.FilterData" hidden="1" oldHidden="1">
    <formula>Merged_JOEM!$B$59:$AN$512</formula>
    <oldFormula>Merged_JOEM!$B$59:$AN$512</oldFormula>
  </rdn>
  <rcv guid="{60D2C030-4E31-4E07-8E1C-44D2EE84B177}" action="add"/>
</revisions>
</file>

<file path=xl/revisions/revisionLog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80" sId="2" quotePrefix="1">
    <nc r="AL446" t="inlineStr">
      <is>
        <t>Param 1D cannot cover full C0/C1</t>
      </is>
    </nc>
  </rcc>
  <rcc rId="1781" sId="2" quotePrefix="1">
    <nc r="AL447" t="inlineStr">
      <is>
        <t>Param 1D cannot cover full C0/C1</t>
      </is>
    </nc>
  </rcc>
</revisions>
</file>

<file path=xl/revisions/revisionLog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9BC1C51-34DC-4BF2-906C-1E31B6171D71}" action="delete"/>
  <rdn rId="0" localSheetId="1" customView="1" name="Z_99BC1C51_34DC_4BF2_906C_1E31B6171D71_.wvu.FilterData" hidden="1" oldHidden="1">
    <formula>Merged_COEM!$A$59:$AN$301</formula>
    <oldFormula>Merged_COEM!$A$59:$AN$301</oldFormula>
  </rdn>
  <rdn rId="0" localSheetId="2" customView="1" name="Z_99BC1C51_34DC_4BF2_906C_1E31B6171D71_.wvu.FilterData" hidden="1" oldHidden="1">
    <formula>Merged_JOEM!$B$59:$AN$512</formula>
    <oldFormula>Merged_JOEM!$B$59:$AN$512</oldFormula>
  </rdn>
  <rcv guid="{99BC1C51-34DC-4BF2-906C-1E31B6171D71}" action="add"/>
</revisions>
</file>

<file path=xl/revisions/revisionLog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84" sId="1" quotePrefix="1">
    <oc r="AN257" t="inlineStr">
      <is>
        <t>-</t>
      </is>
    </oc>
    <nc r="AN257" t="inlineStr">
      <is>
        <t>-No function to test</t>
      </is>
    </nc>
  </rcc>
  <rfmt sheetId="1" sqref="AN257">
    <dxf>
      <fill>
        <patternFill patternType="solid">
          <bgColor rgb="FFFFFF00"/>
        </patternFill>
      </fill>
    </dxf>
  </rfmt>
  <rfmt sheetId="1" sqref="I257">
    <dxf>
      <fill>
        <patternFill patternType="solid">
          <bgColor rgb="FFFFFF00"/>
        </patternFill>
      </fill>
    </dxf>
  </rfmt>
  <rfmt sheetId="1" sqref="I259">
    <dxf>
      <fill>
        <patternFill patternType="solid">
          <bgColor rgb="FFFFFF00"/>
        </patternFill>
      </fill>
    </dxf>
  </rfmt>
  <rcc rId="1785" sId="1" xfDxf="1" dxf="1" quotePrefix="1">
    <oc r="F260" t="inlineStr">
      <is>
        <t>rb\as\fawESP\core\app\dsm\RBWarningIndicator\src\Dem_PrjSpecificIndiHandling.c</t>
      </is>
    </oc>
    <nc r="F260" t="inlineStr">
      <is>
        <t>/FAW_IPB1.1_Int_ESP/FAW_ESP/rb/as/fawESP/core/app/dsm/RBWarningIndicator/src/Dem_PrjSpecificIndiHandling.c</t>
      </is>
    </nc>
    <ndxf>
      <alignment horizontal="left" vertical="top" readingOrder="0"/>
      <border outline="0">
        <left style="thin">
          <color indexed="64"/>
        </left>
        <right style="thin">
          <color indexed="64"/>
        </right>
        <top style="thin">
          <color indexed="64"/>
        </top>
        <bottom style="thin">
          <color indexed="64"/>
        </bottom>
      </border>
    </ndxf>
  </rcc>
  <rfmt sheetId="1" sqref="F260" start="0" length="2147483647">
    <dxf>
      <font>
        <b/>
      </font>
    </dxf>
  </rfmt>
  <rcc rId="1786" sId="1" xfDxf="1" dxf="1" quotePrefix="1">
    <oc r="F261" t="inlineStr">
      <is>
        <t>rb\as\fawESP\core\app\dsm\RBDsmSim\RB_SimDsmCfg\PRJ_Specific\src\DSMSim_PRJ_Specific.c</t>
      </is>
    </oc>
    <nc r="F261" t="inlineStr">
      <is>
        <t>/FAW_IPB1.1_Int_ESP/FAW_ESP/rb/as/fawESP/core/app/dsm/RBDsmSim/RB_SimDsmCfg/PRJ_Specific/src/DSMSim_PRJ_Specific.c</t>
      </is>
    </nc>
    <ndxf>
      <alignment horizontal="left" vertical="top" readingOrder="0"/>
      <border outline="0">
        <left style="thin">
          <color indexed="64"/>
        </left>
        <right style="thin">
          <color indexed="64"/>
        </right>
        <top style="thin">
          <color indexed="64"/>
        </top>
        <bottom style="thin">
          <color indexed="64"/>
        </bottom>
      </border>
    </ndxf>
  </rcc>
  <rfmt sheetId="1" sqref="F261" start="0" length="2147483647">
    <dxf>
      <font>
        <b/>
      </font>
    </dxf>
  </rfmt>
  <rcc rId="1787" sId="1" xfDxf="1" dxf="1" quotePrefix="1">
    <oc r="F254" t="inlineStr">
      <is>
        <t>rb\as\fawESP\core\app\dcom\rbaplcust\src\common\RBAPLCUST_DcmManufacturerNotification.c</t>
      </is>
    </oc>
    <nc r="F254" t="inlineStr">
      <is>
        <t>/FAW_IPB1.1_Int_ESP/FAW_ESP/rb/as/fawESP/core/app/dcom/RBAPLCust/src/common/RBAPLCUST_DcmManufacturerNotification.c</t>
      </is>
    </nc>
    <ndxf>
      <alignment horizontal="left" vertical="top" readingOrder="0"/>
      <border outline="0">
        <left style="thin">
          <color indexed="64"/>
        </left>
        <right style="thin">
          <color indexed="64"/>
        </right>
        <top style="thin">
          <color indexed="64"/>
        </top>
        <bottom style="thin">
          <color indexed="64"/>
        </bottom>
      </border>
    </ndxf>
  </rcc>
  <rfmt sheetId="1" sqref="F254" start="0" length="2147483647">
    <dxf>
      <font>
        <b/>
      </font>
    </dxf>
  </rfmt>
  <rcc rId="1788" sId="1" xfDxf="1" dxf="1" quotePrefix="1">
    <oc r="F255" t="inlineStr">
      <is>
        <t>rb\as\fawESP\core\app\dcom\rbaplcust\src\common\RBAPLCUST_ExpectedOBDType.c</t>
      </is>
    </oc>
    <nc r="F255" t="inlineStr">
      <is>
        <t>/FAW_IPB1.1_Int_ESP/FAW_ESP/rb/as/fawESP/core/app/dcom/RBAPLCust/src/common/RBAPLCUST_ExpectedOBDType.c</t>
      </is>
    </nc>
    <ndxf>
      <alignment horizontal="left" vertical="top" readingOrder="0"/>
      <border outline="0">
        <left style="thin">
          <color indexed="64"/>
        </left>
        <right style="thin">
          <color indexed="64"/>
        </right>
        <top style="thin">
          <color indexed="64"/>
        </top>
        <bottom style="thin">
          <color indexed="64"/>
        </bottom>
      </border>
    </ndxf>
  </rcc>
  <rfmt sheetId="1" sqref="F255" start="0" length="2147483647">
    <dxf>
      <font>
        <b/>
      </font>
    </dxf>
  </rfmt>
  <rcc rId="1789" sId="1" xfDxf="1" dxf="1" quotePrefix="1">
    <oc r="F256" t="inlineStr">
      <is>
        <t>rb\as\fawESP\core\app\dcom\rbaplcust\src\common\RBAPLCUST_RDBI_BLS.c</t>
      </is>
    </oc>
    <nc r="F256" t="inlineStr">
      <is>
        <t>/FAW_IPB1.1_Int_ESP/FAW_ESP/rb/as/fawESP/core/app/dcom/RBAPLCust/src/common/RBAPLCUST_RDBI_BLS.c</t>
      </is>
    </nc>
    <ndxf>
      <alignment horizontal="left" vertical="top" readingOrder="0"/>
      <border outline="0">
        <left style="thin">
          <color indexed="64"/>
        </left>
        <right style="thin">
          <color indexed="64"/>
        </right>
        <top style="thin">
          <color indexed="64"/>
        </top>
        <bottom style="thin">
          <color indexed="64"/>
        </bottom>
      </border>
    </ndxf>
  </rcc>
  <rfmt sheetId="1" sqref="F256" start="0" length="2147483647">
    <dxf>
      <font>
        <b/>
      </font>
    </dxf>
  </rfmt>
  <rcc rId="1790" sId="1" xfDxf="1" dxf="1" quotePrefix="1">
    <oc r="F258" t="inlineStr">
      <is>
        <t>rb\as\fawESP\core\app\dcom\rbaplcust\src\iBooster\RBAPLCUST_RoutineControl_iBoosterActuatorTest.c</t>
      </is>
    </oc>
    <nc r="F258" t="inlineStr">
      <is>
        <t>/FAW_IPB1.1_Int_ESP/FAW_ESP/rb/as/fawESP/core/app/dcom/RBAPLCust/src/iBooster/RBAPLCUST_RoutineControl_iBoosterActuatorTest.c</t>
      </is>
    </nc>
    <ndxf>
      <alignment horizontal="left" vertical="top" readingOrder="0"/>
      <border outline="0">
        <left style="thin">
          <color indexed="64"/>
        </left>
        <right style="thin">
          <color indexed="64"/>
        </right>
        <top style="thin">
          <color indexed="64"/>
        </top>
        <bottom style="thin">
          <color indexed="64"/>
        </bottom>
      </border>
    </ndxf>
  </rcc>
  <rfmt sheetId="1" sqref="F258" start="0" length="2147483647">
    <dxf>
      <font>
        <b/>
      </font>
    </dxf>
  </rfmt>
  <rcc rId="1791" sId="1" xfDxf="1" dxf="1" quotePrefix="1">
    <oc r="F262" t="inlineStr">
      <is>
        <t>rb\as\fawESP\core\app\dsm\RBOBD\OBDGeneric\src\rba_DemObdBasic_ProjectExtension.c</t>
      </is>
    </oc>
    <nc r="F262" t="inlineStr">
      <is>
        <t>/FAW_IPB1.1_Int_ESP/FAW_ESP/rb/as/fawESP/core/app/dsm/RBOBD/OBDGeneric/src/rba_DemObdBasic_ProjectExtension.c</t>
      </is>
    </nc>
    <ndxf>
      <alignment horizontal="left" vertical="top" readingOrder="0"/>
      <border outline="0">
        <left style="thin">
          <color indexed="64"/>
        </left>
        <right style="thin">
          <color indexed="64"/>
        </right>
        <top style="thin">
          <color indexed="64"/>
        </top>
        <bottom style="thin">
          <color indexed="64"/>
        </bottom>
      </border>
    </ndxf>
  </rcc>
  <rfmt sheetId="1" sqref="F262" start="0" length="2147483647">
    <dxf>
      <font>
        <b/>
      </font>
    </dxf>
  </rfmt>
  <rcc rId="1792" sId="1" xfDxf="1" dxf="1" quotePrefix="1">
    <oc r="F263" t="inlineStr">
      <is>
        <t>rb\as\fawESP\core\app\dsm\RBHMI_IB2\src\RBHMI_ConfigOutputDriver_PRJ.c</t>
      </is>
    </oc>
    <nc r="F263" t="inlineStr">
      <is>
        <t>/FAW_IPB1.1_Int_ESP/FAW_ESP/rb/as/fawESP/core/app/dsm/RBHMI_IB2/src/RBHMI_ConfigOutputDriver_PRJ.c</t>
      </is>
    </nc>
    <ndxf>
      <alignment horizontal="left" vertical="top" readingOrder="0"/>
      <border outline="0">
        <left style="thin">
          <color indexed="64"/>
        </left>
        <right style="thin">
          <color indexed="64"/>
        </right>
        <top style="thin">
          <color indexed="64"/>
        </top>
        <bottom style="thin">
          <color indexed="64"/>
        </bottom>
      </border>
    </ndxf>
  </rcc>
  <rfmt sheetId="1" sqref="F263" start="0" length="2147483647">
    <dxf>
      <font>
        <b/>
      </font>
    </dxf>
  </rfmt>
  <rcc rId="1793" sId="1" xfDxf="1" dxf="1" quotePrefix="1">
    <oc r="F264" t="inlineStr">
      <is>
        <t>rb\as\fawESP\core\app\dsm\RBHMI\src\RBHMI_ConfigOutputDriver_PRJ.c</t>
      </is>
    </oc>
    <nc r="F264" t="inlineStr">
      <is>
        <t>/FAW_IPB1.1_Int_ESP/FAW_ESP/rb/as/fawESP/core/app/dsm/RBHMI/src/RBHMI_ConfigOutputDriver_PRJ.c</t>
      </is>
    </nc>
    <ndxf>
      <alignment horizontal="left" vertical="top" readingOrder="0"/>
      <border outline="0">
        <left style="thin">
          <color indexed="64"/>
        </left>
        <right style="thin">
          <color indexed="64"/>
        </right>
        <top style="thin">
          <color indexed="64"/>
        </top>
        <bottom style="thin">
          <color indexed="64"/>
        </bottom>
      </border>
    </ndxf>
  </rcc>
  <rfmt sheetId="1" sqref="F264" start="0" length="2147483647">
    <dxf>
      <font>
        <b/>
      </font>
    </dxf>
  </rfmt>
  <rcc rId="1794" sId="1" xfDxf="1" dxf="1" quotePrefix="1">
    <oc r="F265" t="inlineStr">
      <is>
        <t>rb\as\fawESP\core\app\dsm\RBVAR\src\RBVAR_OutputDriver_PROJECT.c</t>
      </is>
    </oc>
    <nc r="F265" t="inlineStr">
      <is>
        <t>/FAW_IPB1.1_Int_ESP/FAW_ESP/rb/as/fawESP/core/app/dsm/RBVAR/src/RBVAR_OutputDriver_PROJECT.c</t>
      </is>
    </nc>
    <ndxf>
      <alignment horizontal="left" vertical="top" readingOrder="0"/>
      <border outline="0">
        <left style="thin">
          <color indexed="64"/>
        </left>
        <right style="thin">
          <color indexed="64"/>
        </right>
        <top style="thin">
          <color indexed="64"/>
        </top>
        <bottom style="thin">
          <color indexed="64"/>
        </bottom>
      </border>
    </ndxf>
  </rcc>
  <rfmt sheetId="1" sqref="F265" start="0" length="2147483647">
    <dxf>
      <font>
        <b/>
      </font>
    </dxf>
  </rfmt>
  <rcc rId="1795" sId="1" xfDxf="1" dxf="1" quotePrefix="1">
    <oc r="F286" t="inlineStr">
      <is>
        <t>rb\as\fawESP\esp\hswpr\src\DfaEmf\src\RBDfaEmf_SignalOutput_BMWG01.c</t>
      </is>
    </oc>
    <nc r="F286" t="inlineStr">
      <is>
        <t>/FAW_IPB1.1_Int_ESP/FAW_ESP/rb/as/fawESP/esp/hswpr/src/DfaEmf/src/RBDfaEmf_SignalOutput_BMWG01.c</t>
      </is>
    </nc>
    <ndxf>
      <alignment horizontal="left" vertical="top" readingOrder="0"/>
      <border outline="0">
        <left style="thin">
          <color indexed="64"/>
        </left>
        <right style="thin">
          <color indexed="64"/>
        </right>
        <top style="thin">
          <color indexed="64"/>
        </top>
        <bottom style="thin">
          <color indexed="64"/>
        </bottom>
      </border>
    </ndxf>
  </rcc>
  <rfmt sheetId="1" sqref="F286" start="0" length="2147483647">
    <dxf>
      <font>
        <b/>
      </font>
    </dxf>
  </rfmt>
  <rcc rId="1796" sId="1" xfDxf="1" dxf="1" quotePrefix="1">
    <oc r="F288" t="inlineStr">
      <is>
        <t>rb\as\fawESP\esp\hswpr\tst\hswsim\src\TestEnvironment_Fee_EV711101.c</t>
      </is>
    </oc>
    <nc r="F288" t="inlineStr">
      <is>
        <t>/FAW_IPB1.1_Int_ESP/FAW_ESP/rb/as/fawESP/esp/hswpr/tst/hswsim/src/TestEnvironment_Fee_EV711101.c</t>
      </is>
    </nc>
    <ndxf>
      <alignment horizontal="left" vertical="top" readingOrder="0"/>
      <border outline="0">
        <left style="thin">
          <color indexed="64"/>
        </left>
        <right style="thin">
          <color indexed="64"/>
        </right>
        <top style="thin">
          <color indexed="64"/>
        </top>
        <bottom style="thin">
          <color indexed="64"/>
        </bottom>
      </border>
    </ndxf>
  </rcc>
  <rfmt sheetId="1" sqref="F288" start="0" length="2147483647">
    <dxf>
      <font>
        <b/>
      </font>
    </dxf>
  </rfmt>
  <rcc rId="1797" sId="1" xfDxf="1" dxf="1" quotePrefix="1">
    <oc r="F289" t="inlineStr">
      <is>
        <t>rb\as\fawESP\esp\hswpr\tst\hswsim\src\TestEnvironment_Fee_EV711106.c</t>
      </is>
    </oc>
    <nc r="F289" t="inlineStr">
      <is>
        <t>/FAW_IPB1.1_Int_ESP/FAW_ESP/rb/as/fawESP/esp/hswpr/tst/hswsim/src/TestEnvironment_Fee_EV711106.c</t>
      </is>
    </nc>
    <ndxf>
      <alignment horizontal="left" vertical="top" readingOrder="0"/>
      <border outline="0">
        <left style="thin">
          <color indexed="64"/>
        </left>
        <right style="thin">
          <color indexed="64"/>
        </right>
        <top style="thin">
          <color indexed="64"/>
        </top>
        <bottom style="thin">
          <color indexed="64"/>
        </bottom>
      </border>
    </ndxf>
  </rcc>
  <rfmt sheetId="1" sqref="F289" start="0" length="2147483647">
    <dxf>
      <font>
        <b/>
      </font>
    </dxf>
  </rfmt>
  <rcc rId="1798" sId="1" xfDxf="1" dxf="1" quotePrefix="1">
    <oc r="F290" t="inlineStr">
      <is>
        <t>rb\as\fawESP\esp\hwp\src\RBCooLS\src\RBCooLS_Main_Volvo.c</t>
      </is>
    </oc>
    <nc r="F290" t="inlineStr">
      <is>
        <t>/FAW_IPB1.1_Int_ESP/FAW_ESP/rb/as/fawESP/esp/hwp/src/RBCooLS/src/RBCooLS_Main_Volvo.c</t>
      </is>
    </nc>
    <ndxf>
      <alignment horizontal="left" vertical="top" readingOrder="0"/>
      <border outline="0">
        <left style="thin">
          <color indexed="64"/>
        </left>
        <right style="thin">
          <color indexed="64"/>
        </right>
        <top style="thin">
          <color indexed="64"/>
        </top>
        <bottom style="thin">
          <color indexed="64"/>
        </bottom>
      </border>
    </ndxf>
  </rcc>
  <rfmt sheetId="1" sqref="F290" start="0" length="2147483647">
    <dxf>
      <font>
        <b/>
      </font>
    </dxf>
  </rfmt>
  <rcc rId="1799" sId="1" xfDxf="1" dxf="1" quotePrefix="1">
    <oc r="F291" t="inlineStr">
      <is>
        <t>rb\as\fawESP\esp\hwp\src\DfaEmf\src\RBDfaEmf_SignalOutput_BMWG01.c</t>
      </is>
    </oc>
    <nc r="F291" t="inlineStr">
      <is>
        <t>/FAW_IPB1.1_Int_ESP/FAW_ESP/rb/as/fawESP/esp/hwp/src/DfaEmf/src/RBDfaEmf_SignalOutput_BMWG01.c</t>
      </is>
    </nc>
    <ndxf>
      <alignment horizontal="left" vertical="top" readingOrder="0"/>
      <border outline="0">
        <left style="thin">
          <color indexed="64"/>
        </left>
        <right style="thin">
          <color indexed="64"/>
        </right>
        <top style="thin">
          <color indexed="64"/>
        </top>
        <bottom style="thin">
          <color indexed="64"/>
        </bottom>
      </border>
    </ndxf>
  </rcc>
  <rfmt sheetId="1" sqref="F291" start="0" length="2147483647">
    <dxf>
      <font>
        <b/>
      </font>
    </dxf>
  </rfmt>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Merged_JOEM!$B$59:$AN$512</formula>
    <oldFormula>Merged_JOEM!$B$59:$AN$512</oldFormula>
  </rdn>
  <rcv guid="{89C03E1E-B6A8-49A1-B29C-5DC4FAB2FBC6}" action="add"/>
</revisions>
</file>

<file path=xl/revisions/revisionLog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02" sId="1">
    <nc r="K266" t="inlineStr">
      <is>
        <t>Test: Manual; Cmt: Auto</t>
      </is>
    </nc>
  </rcc>
  <rcc rId="1803" sId="1">
    <nc r="K267" t="inlineStr">
      <is>
        <t>Test: Manual; Cmt: Auto</t>
      </is>
    </nc>
  </rcc>
  <rcc rId="1804" sId="1">
    <nc r="K268" t="inlineStr">
      <is>
        <t>Test: Manual; Cmt: Auto</t>
      </is>
    </nc>
  </rcc>
  <rcc rId="1805" sId="1">
    <nc r="K269" t="inlineStr">
      <is>
        <t>Test: Manual; Cmt: Auto</t>
      </is>
    </nc>
  </rcc>
  <rcc rId="1806" sId="1">
    <nc r="K270" t="inlineStr">
      <is>
        <t>Test: Manual; Cmt: Auto</t>
      </is>
    </nc>
  </rcc>
  <rcc rId="1807" sId="1">
    <nc r="K271" t="inlineStr">
      <is>
        <t>Test: Manual; Cmt: Auto</t>
      </is>
    </nc>
  </rcc>
  <rcc rId="1808" sId="1">
    <nc r="K274" t="inlineStr">
      <is>
        <t>Test: Manual; Cmt: Auto</t>
      </is>
    </nc>
  </rcc>
  <rcc rId="1809" sId="1">
    <nc r="K281" t="inlineStr">
      <is>
        <t>Test: Manual; Cmt: Auto</t>
      </is>
    </nc>
  </rcc>
  <rcv guid="{C94451EF-7A3E-4D72-B5A4-3D1B193192CC}" action="delete"/>
  <rdn rId="0" localSheetId="1" customView="1" name="Z_C94451EF_7A3E_4D72_B5A4_3D1B193192CC_.wvu.FilterData" hidden="1" oldHidden="1">
    <formula>Merged_COEM!$B$59:$AN$301</formula>
    <oldFormula>Merged_COEM!$B$59:$AN$301</oldFormula>
  </rdn>
  <rdn rId="0" localSheetId="2" customView="1" name="Z_C94451EF_7A3E_4D72_B5A4_3D1B193192CC_.wvu.FilterData" hidden="1" oldHidden="1">
    <formula>Merged_JOEM!$B$59:$AN$512</formula>
    <oldFormula>Merged_JOEM!$B$59:$AN$512</oldFormula>
  </rdn>
  <rcv guid="{C94451EF-7A3E-4D72-B5A4-3D1B193192CC}" action="add"/>
</revisions>
</file>

<file path=xl/revisions/revisionLog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C94451EF-7A3E-4D72-B5A4-3D1B193192CC}" action="delete"/>
  <rdn rId="0" localSheetId="1" customView="1" name="Z_C94451EF_7A3E_4D72_B5A4_3D1B193192CC_.wvu.FilterData" hidden="1" oldHidden="1">
    <formula>Merged_COEM!$B$59:$AN$301</formula>
    <oldFormula>Merged_COEM!$B$59:$AN$301</oldFormula>
  </rdn>
  <rdn rId="0" localSheetId="2" customView="1" name="Z_C94451EF_7A3E_4D72_B5A4_3D1B193192CC_.wvu.FilterData" hidden="1" oldHidden="1">
    <formula>Merged_JOEM!$B$59:$AN$512</formula>
    <oldFormula>Merged_JOEM!$B$59:$AN$512</oldFormula>
  </rdn>
  <rcv guid="{C94451EF-7A3E-4D72-B5A4-3D1B193192CC}" action="add"/>
</revisions>
</file>

<file path=xl/revisions/revisionLog1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264:I265">
    <dxf>
      <fill>
        <patternFill patternType="solid">
          <bgColor rgb="FFFFFF00"/>
        </patternFill>
      </fill>
    </dxf>
  </rfmt>
  <rfmt sheetId="1" sqref="I286 I291">
    <dxf>
      <fill>
        <patternFill patternType="solid">
          <bgColor rgb="FFFF0000"/>
        </patternFill>
      </fill>
    </dxf>
  </rfmt>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Merged_JOEM!$B$59:$AN$512</formula>
    <oldFormula>Merged_JOEM!$B$59:$AN$512</oldFormula>
  </rdn>
  <rcv guid="{89C03E1E-B6A8-49A1-B29C-5DC4FAB2FBC6}" action="add"/>
</revisions>
</file>

<file path=xl/revisions/revisionLog1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265" start="0" length="0">
    <dxf>
      <fill>
        <patternFill patternType="none">
          <bgColor indexed="65"/>
        </patternFill>
      </fill>
    </dxf>
  </rfmt>
  <rfmt sheetId="1" sqref="I263" start="0" length="0">
    <dxf>
      <fill>
        <patternFill patternType="solid">
          <bgColor rgb="FFFFFF00"/>
        </patternFill>
      </fill>
    </dxf>
  </rfmt>
</revisions>
</file>

<file path=xl/revisions/revisionLog1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16" sId="1">
    <oc r="W66">
      <f>V66 + 5*2 + 10</f>
    </oc>
    <nc r="W66">
      <f>V67</f>
    </nc>
  </rcc>
  <rcv guid="{C94451EF-7A3E-4D72-B5A4-3D1B193192CC}" action="delete"/>
  <rdn rId="0" localSheetId="1" customView="1" name="Z_C94451EF_7A3E_4D72_B5A4_3D1B193192CC_.wvu.FilterData" hidden="1" oldHidden="1">
    <formula>Merged_COEM!$B$59:$AN$301</formula>
    <oldFormula>Merged_COEM!$B$59:$AN$301</oldFormula>
  </rdn>
  <rdn rId="0" localSheetId="2" customView="1" name="Z_C94451EF_7A3E_4D72_B5A4_3D1B193192CC_.wvu.FilterData" hidden="1" oldHidden="1">
    <formula>Merged_JOEM!$B$59:$AN$512</formula>
    <oldFormula>Merged_JOEM!$B$59:$AN$512</oldFormula>
  </rdn>
  <rcv guid="{C94451EF-7A3E-4D72-B5A4-3D1B193192CC}" action="add"/>
</revisions>
</file>

<file path=xl/revisions/revisionLog1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Merged_COEM!$A$59:$AN$301</formula>
    <oldFormula>Merged_COEM!$A$59:$AN$301</oldFormula>
  </rdn>
  <rdn rId="0" localSheetId="2" customView="1" name="Z_60D2C030_4E31_4E07_8E1C_44D2EE84B177_.wvu.FilterData" hidden="1" oldHidden="1">
    <formula>Merged_JOEM!$B$59:$AN$512</formula>
    <oldFormula>Merged_JOEM!$B$59:$AN$512</oldFormula>
  </rdn>
  <rcv guid="{60D2C030-4E31-4E07-8E1C-44D2EE84B177}" action="add"/>
</revisions>
</file>

<file path=xl/revisions/revisionLog1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B449:B510">
    <dxf>
      <fill>
        <patternFill>
          <bgColor theme="9" tint="-0.249977111117893"/>
        </patternFill>
      </fill>
    </dxf>
  </rfmt>
  <rcc rId="1821" sId="2">
    <nc r="C449">
      <v>20200908</v>
    </nc>
  </rcc>
  <rcc rId="1822" sId="2">
    <nc r="I449" t="inlineStr">
      <is>
        <t>CTRL_DSBAHandler</t>
      </is>
    </nc>
  </rcc>
  <rcc rId="1823" sId="2">
    <nc r="I450" t="inlineStr">
      <is>
        <t>AEB_AutomaticBraking_SM</t>
      </is>
    </nc>
  </rcc>
  <rcc rId="1824" sId="2">
    <nc r="I451" t="inlineStr">
      <is>
        <t>Toy_AEB_SSMDegradation</t>
      </is>
    </nc>
  </rcc>
  <rcc rId="1825" sId="2">
    <nc r="I452" t="inlineStr">
      <is>
        <t>Toyota_AEB_BH_DAMODE</t>
      </is>
    </nc>
  </rcc>
  <rcc rId="1826" sId="2">
    <nc r="I453" t="inlineStr">
      <is>
        <t>AEB_vhcRollout</t>
      </is>
    </nc>
  </rcc>
  <rcc rId="1827" sId="2">
    <nc r="I454" t="inlineStr">
      <is>
        <t>CDD_SsmStrategy</t>
      </is>
    </nc>
  </rcc>
  <rcc rId="1828" sId="2">
    <nc r="I455" t="inlineStr">
      <is>
        <t>Toyota_VMC_CDD_FB_CalcLimitation</t>
      </is>
    </nc>
  </rcc>
  <rcc rId="1829" sId="2">
    <nc r="I456" t="inlineStr">
      <is>
        <t>VLC_AxTar</t>
      </is>
    </nc>
  </rcc>
  <rcc rId="1830" sId="2">
    <nc r="I457" t="inlineStr">
      <is>
        <t>VLC_FxTarPTStatProp</t>
      </is>
    </nc>
  </rcc>
  <rcc rId="1831" sId="2">
    <nc r="I458" t="inlineStr">
      <is>
        <t>VLC_PreventFuelCutOff</t>
      </is>
    </nc>
  </rcc>
  <rcc rId="1832" sId="2">
    <nc r="I459" t="inlineStr">
      <is>
        <t>Controller_Gain_evGi</t>
      </is>
    </nc>
  </rcc>
  <rcc rId="1833" sId="2">
    <nc r="I460" t="inlineStr">
      <is>
        <t>RBSEC_Sec</t>
      </is>
    </nc>
  </rcc>
  <rcc rId="1834" sId="2">
    <nc r="I461" t="inlineStr">
      <is>
        <t>RBWSS_RotDir</t>
      </is>
    </nc>
  </rcc>
  <rcc rId="1835" sId="2">
    <nc r="I462" t="inlineStr">
      <is>
        <t>Toyota_APP_EPB_Driver_presence</t>
      </is>
    </nc>
  </rcc>
  <rcc rId="1836" sId="2">
    <nc r="I463" t="inlineStr">
      <is>
        <t>ApbTargetStateHandler</t>
      </is>
    </nc>
  </rcc>
  <rcc rId="1837" sId="2">
    <nc r="I464" t="inlineStr">
      <is>
        <t>APP_ID_Mapping</t>
      </is>
    </nc>
  </rcc>
  <rcc rId="1838" sId="2">
    <nc r="I465" t="inlineStr">
      <is>
        <t>Toyota_ACCBKLE</t>
      </is>
    </nc>
  </rcc>
  <rcc rId="1839" sId="2">
    <nc r="I466" t="inlineStr">
      <is>
        <t>Toyota_BLA_request</t>
      </is>
    </nc>
  </rcc>
  <rcc rId="1840" sId="2">
    <nc r="I467" t="inlineStr">
      <is>
        <t>Toyota_CSP_Prefill_Enable</t>
      </is>
    </nc>
  </rcc>
  <rcc rId="1841" sId="2">
    <nc r="I468" t="inlineStr">
      <is>
        <t>Toyota_CSRDRV_ProhibitDecision</t>
      </is>
    </nc>
  </rcc>
  <rcc rId="1842" sId="2">
    <nc r="I469" t="inlineStr">
      <is>
        <t>Toyota_CSREndProcessLower</t>
      </is>
    </nc>
  </rcc>
  <rcc rId="1843" sId="2">
    <nc r="I470" t="inlineStr">
      <is>
        <t>Toyota_DRA_IGP_Status</t>
      </is>
    </nc>
  </rcc>
  <rcc rId="1844" sId="2">
    <nc r="I471" t="inlineStr">
      <is>
        <t>Toyota_DRA_Pre</t>
      </is>
    </nc>
  </rcc>
  <rcc rId="1845" sId="2">
    <nc r="I472" t="inlineStr">
      <is>
        <t>Toyota_DrvBrkInputFailClass</t>
      </is>
    </nc>
  </rcc>
  <rcc rId="1846" sId="2">
    <nc r="I473" t="inlineStr">
      <is>
        <t>Toyota_EndProcessUpper</t>
      </is>
    </nc>
  </rcc>
  <rcc rId="1847" sId="2">
    <nc r="I474" t="inlineStr">
      <is>
        <t>Toyota_FPB_PB_Enable</t>
      </is>
    </nc>
  </rcc>
  <rcc rId="1848" sId="2">
    <nc r="I475" t="inlineStr">
      <is>
        <t>Toyota_Override_Decision</t>
      </is>
    </nc>
  </rcc>
  <rcc rId="1849" sId="2">
    <nc r="I476" t="inlineStr">
      <is>
        <t>Toyota_PBH_Enable</t>
      </is>
    </nc>
  </rcc>
  <rcc rId="1850" sId="2">
    <nc r="I477" t="inlineStr">
      <is>
        <t>Toyota_PCS_FVSCSFT</t>
      </is>
    </nc>
  </rcc>
  <rcc rId="1851" sId="2">
    <nc r="I478" t="inlineStr">
      <is>
        <t>Toyota_PCS_FVSCSFT_Deceleration_lim</t>
      </is>
    </nc>
  </rcc>
  <rcc rId="1852" sId="2">
    <nc r="I479" t="inlineStr">
      <is>
        <t>Toyota_Post_DistributionValueLimitation</t>
      </is>
    </nc>
  </rcc>
  <rcc rId="1853" sId="2">
    <nc r="I481" t="inlineStr">
      <is>
        <t>Toyota_TSS_Lower_ProhibitDecision</t>
      </is>
    </nc>
  </rcc>
  <rcc rId="1854" sId="2">
    <nc r="I482" t="inlineStr">
      <is>
        <t>Toyota_TSS_ProhibitDecision</t>
      </is>
    </nc>
  </rcc>
  <rcc rId="1855" sId="2">
    <nc r="I483" t="inlineStr">
      <is>
        <t>Toyota_VLC_FxTarManipulation</t>
      </is>
    </nc>
  </rcc>
  <rcc rId="1856" sId="2">
    <nc r="I484" t="inlineStr">
      <is>
        <t>Toyota_VMC_Deceleration_Arbitration</t>
      </is>
    </nc>
  </rcc>
  <rcc rId="1857" sId="2">
    <nc r="I485" t="inlineStr">
      <is>
        <t>Toyota_VMC_ForceTerminationBH</t>
      </is>
    </nc>
  </rcc>
  <rcc rId="1858" sId="2">
    <nc r="I486" t="inlineStr">
      <is>
        <t>Toyota_VMC_Timer_FalseDebounced</t>
      </is>
    </nc>
  </rcc>
  <rcc rId="1859" sId="2">
    <nc r="I487" t="inlineStr">
      <is>
        <t>TSH_GetApbDriveOffDisable</t>
      </is>
    </nc>
  </rcc>
  <rcc rId="1860" sId="2">
    <nc r="I488" t="inlineStr">
      <is>
        <t>NET_CommunicationInvalidConfig</t>
      </is>
    </nc>
  </rcc>
  <rcc rId="1861" sId="2">
    <nc r="I489" t="inlineStr">
      <is>
        <t>SecOC_PduRIF</t>
      </is>
    </nc>
  </rcc>
  <rcc rId="1862" sId="2">
    <nc r="I490" t="inlineStr">
      <is>
        <t>SecOC_Prv</t>
      </is>
    </nc>
  </rcc>
  <rcc rId="1863" sId="2">
    <nc r="I491" t="inlineStr">
      <is>
        <t>SecOC_Prv_CryptIF</t>
      </is>
    </nc>
  </rcc>
  <rcc rId="1864" sId="2">
    <nc r="I492" t="inlineStr">
      <is>
        <t>RBAPLCUST_RoutineControl_RIDSupport</t>
      </is>
    </nc>
  </rcc>
  <rcc rId="1865" sId="2">
    <nc r="I493" t="inlineStr">
      <is>
        <t>NET_CommunicationInvalid_TOYOTA</t>
      </is>
    </nc>
  </rcc>
  <rcc rId="1866" sId="2">
    <nc r="I494" t="inlineStr">
      <is>
        <t>NET_SCL_XmtVSC1G05_TOY</t>
      </is>
    </nc>
  </rcc>
  <rcc rId="1867" sId="2">
    <nc r="I495" t="inlineStr">
      <is>
        <t>NET_SCL_XmtVSC1G12_TOY</t>
      </is>
    </nc>
  </rcc>
  <rcc rId="1868" sId="2">
    <nc r="I496" t="inlineStr">
      <is>
        <t>NET_SCL_XmtVSC1G14_TOY</t>
      </is>
    </nc>
  </rcc>
  <rcc rId="1869" sId="2">
    <nc r="I497" t="inlineStr">
      <is>
        <t>NET_SCL_XmtVSC1S96_TOY</t>
      </is>
    </nc>
  </rcc>
  <rcc rId="1870" sId="2" quotePrefix="1">
    <nc r="O449" t="inlineStr">
      <is>
        <t>2.2.1.0</t>
      </is>
    </nc>
  </rcc>
  <rcc rId="1871" sId="2" quotePrefix="1">
    <nc r="O450" t="inlineStr">
      <is>
        <t>4.5.118.8</t>
      </is>
    </nc>
  </rcc>
  <rcc rId="1872" sId="2" quotePrefix="1">
    <nc r="O451" t="inlineStr">
      <is>
        <t>1.6</t>
      </is>
    </nc>
  </rcc>
  <rcc rId="1873" sId="2" quotePrefix="1">
    <nc r="O452" t="inlineStr">
      <is>
        <t>1.6</t>
      </is>
    </nc>
  </rcc>
  <rcc rId="1874" sId="2" quotePrefix="1">
    <nc r="O453" t="inlineStr">
      <is>
        <t>3.7.118.1</t>
      </is>
    </nc>
  </rcc>
  <rcc rId="1875" sId="2" quotePrefix="1">
    <nc r="O454" t="inlineStr">
      <is>
        <t>4.3.118.5</t>
      </is>
    </nc>
  </rcc>
  <rcc rId="1876" sId="2" quotePrefix="1">
    <nc r="O455" t="inlineStr">
      <is>
        <t>1.2</t>
      </is>
    </nc>
  </rcc>
  <rcc rId="1877" sId="2" quotePrefix="1">
    <nc r="O456" t="inlineStr">
      <is>
        <t>4.7.118.1</t>
      </is>
    </nc>
  </rcc>
  <rcc rId="1878" sId="2" quotePrefix="1">
    <nc r="O457" t="inlineStr">
      <is>
        <t>1.4.118.1</t>
      </is>
    </nc>
  </rcc>
  <rcc rId="1879" sId="2" quotePrefix="1">
    <nc r="O458" t="inlineStr">
      <is>
        <t>1.0.118.0</t>
      </is>
    </nc>
  </rcc>
  <rcc rId="1880" sId="2" quotePrefix="1">
    <nc r="O459" t="inlineStr">
      <is>
        <t>4.8.118.0</t>
      </is>
    </nc>
  </rcc>
  <rcc rId="1881" sId="2" quotePrefix="1">
    <nc r="O460" t="inlineStr">
      <is>
        <t>_tfitwXbTEee5I9RvZWO0-w</t>
      </is>
    </nc>
  </rcc>
  <rcc rId="1882" sId="2" quotePrefix="1">
    <nc r="O461" t="inlineStr">
      <is>
        <t>_uWG_gEHCEeW2wrBJvKWoPA</t>
      </is>
    </nc>
  </rcc>
  <rcc rId="1883" sId="2" quotePrefix="1">
    <nc r="O462" t="inlineStr">
      <is>
        <t>1.3</t>
      </is>
    </nc>
  </rcc>
  <rcc rId="1884" sId="2" quotePrefix="1">
    <nc r="O463" t="inlineStr">
      <is>
        <t>1.14</t>
      </is>
    </nc>
  </rcc>
  <rcc rId="1885" sId="2" quotePrefix="1">
    <nc r="O464" t="inlineStr">
      <is>
        <t>1.4</t>
      </is>
    </nc>
  </rcc>
  <rcc rId="1886" sId="2" quotePrefix="1">
    <nc r="O465" t="inlineStr">
      <is>
        <t>1.4</t>
      </is>
    </nc>
  </rcc>
  <rcc rId="1887" sId="2" quotePrefix="1">
    <nc r="O466" t="inlineStr">
      <is>
        <t>6.14.93.1</t>
      </is>
    </nc>
  </rcc>
  <rcc rId="1888" sId="2" quotePrefix="1">
    <nc r="O467" t="inlineStr">
      <is>
        <t>2.4.93.2</t>
      </is>
    </nc>
  </rcc>
  <rcc rId="1889" sId="2" quotePrefix="1">
    <nc r="O468" t="inlineStr">
      <is>
        <t>1.15</t>
      </is>
    </nc>
  </rcc>
  <rcc rId="1890" sId="2" quotePrefix="1">
    <nc r="O469" t="inlineStr">
      <is>
        <t>1.2</t>
      </is>
    </nc>
  </rcc>
  <rcc rId="1891" sId="2" quotePrefix="1">
    <nc r="O470" t="inlineStr">
      <is>
        <t>1.1</t>
      </is>
    </nc>
  </rcc>
  <rcc rId="1892" sId="2" quotePrefix="1">
    <nc r="O471" t="inlineStr">
      <is>
        <t>1.6</t>
      </is>
    </nc>
  </rcc>
  <rcc rId="1893" sId="2" quotePrefix="1">
    <nc r="O472" t="inlineStr">
      <is>
        <t>1.1</t>
      </is>
    </nc>
  </rcc>
  <rcc rId="1894" sId="2" quotePrefix="1">
    <nc r="O473" t="inlineStr">
      <is>
        <t>1.4</t>
      </is>
    </nc>
  </rcc>
  <rcc rId="1895" sId="2" quotePrefix="1">
    <nc r="O474" t="inlineStr">
      <is>
        <t>2.2.93.2</t>
      </is>
    </nc>
  </rcc>
  <rcc rId="1896" sId="2" quotePrefix="1">
    <nc r="O475" t="inlineStr">
      <is>
        <t>1.6</t>
      </is>
    </nc>
  </rcc>
  <rcc rId="1897" sId="2" quotePrefix="1">
    <nc r="O476" t="inlineStr">
      <is>
        <t>2.3.93.9</t>
      </is>
    </nc>
  </rcc>
  <rcc rId="1898" sId="2" quotePrefix="1">
    <nc r="O477" t="inlineStr">
      <is>
        <t>2.0.93.4</t>
      </is>
    </nc>
  </rcc>
  <rcc rId="1899" sId="2" quotePrefix="1">
    <nc r="O478" t="inlineStr">
      <is>
        <t>1.1</t>
      </is>
    </nc>
  </rcc>
  <rcc rId="1900" sId="2" quotePrefix="1">
    <nc r="O479" t="inlineStr">
      <is>
        <t>1.7</t>
      </is>
    </nc>
  </rcc>
  <rcc rId="1901" sId="2" quotePrefix="1">
    <nc r="O481" t="inlineStr">
      <is>
        <t>1.10</t>
      </is>
    </nc>
  </rcc>
  <rcc rId="1902" sId="2" quotePrefix="1">
    <nc r="O482" t="inlineStr">
      <is>
        <t>1.18</t>
      </is>
    </nc>
  </rcc>
  <rcc rId="1903" sId="2" quotePrefix="1">
    <nc r="O483" t="inlineStr">
      <is>
        <t>1.12</t>
      </is>
    </nc>
  </rcc>
  <rcc rId="1904" sId="2" quotePrefix="1">
    <nc r="O484" t="inlineStr">
      <is>
        <t>1.8</t>
      </is>
    </nc>
  </rcc>
  <rcc rId="1905" sId="2" quotePrefix="1">
    <nc r="O485" t="inlineStr">
      <is>
        <t>1.3</t>
      </is>
    </nc>
  </rcc>
  <rcc rId="1906" sId="2" quotePrefix="1">
    <nc r="O486" t="inlineStr">
      <is>
        <t>1.0</t>
      </is>
    </nc>
  </rcc>
  <rcc rId="1907" sId="2" quotePrefix="1">
    <nc r="O487" t="inlineStr">
      <is>
        <t>1.0.118.10</t>
      </is>
    </nc>
  </rcc>
  <rcc rId="1908" sId="2" quotePrefix="1">
    <nc r="O488" t="inlineStr">
      <is>
        <t>_jKcY4Iq7EeqI1IdvoKOkKw</t>
      </is>
    </nc>
  </rcc>
  <rcc rId="1909" sId="2" quotePrefix="1">
    <nc r="O489" t="inlineStr">
      <is>
        <t>_Yh90zoqvEeqI1IdvoKOkKw</t>
      </is>
    </nc>
  </rcc>
  <rcc rId="1910" sId="2" quotePrefix="1">
    <nc r="O490" t="inlineStr">
      <is>
        <t>_Yh900IqvEeqI1IdvoKOkKw</t>
      </is>
    </nc>
  </rcc>
  <rcc rId="1911" sId="2" quotePrefix="1">
    <nc r="O491" t="inlineStr">
      <is>
        <t>_Yh900oqvEeqI1IdvoKOkKw</t>
      </is>
    </nc>
  </rcc>
  <rcc rId="1912" sId="2" quotePrefix="1">
    <nc r="O492" t="inlineStr">
      <is>
        <t>_fPru8ES4Eea5Ka2iz1LZvg</t>
      </is>
    </nc>
  </rcc>
  <rcc rId="1913" sId="2" quotePrefix="1">
    <nc r="O493" t="inlineStr">
      <is>
        <t>_MWebUDNOEem3jZk4sk4BjQ</t>
      </is>
    </nc>
  </rcc>
  <rcc rId="1914" sId="2" quotePrefix="1">
    <nc r="O494" t="inlineStr">
      <is>
        <t>_MXZoYDNOEem3jZk4sk4BjQ</t>
      </is>
    </nc>
  </rcc>
  <rcc rId="1915" sId="2" quotePrefix="1">
    <nc r="O495" t="inlineStr">
      <is>
        <t>_MXl1oDNOEem3jZk4sk4BjQ</t>
      </is>
    </nc>
  </rcc>
  <rcc rId="1916" sId="2" quotePrefix="1">
    <nc r="O496" t="inlineStr">
      <is>
        <t>_MXUI0DNOEem3jZk4sk4BjQ</t>
      </is>
    </nc>
  </rcc>
  <rcc rId="1917" sId="2" quotePrefix="1">
    <nc r="O497" t="inlineStr">
      <is>
        <t>_MXSToDNOEem3jZk4sk4BjQ</t>
      </is>
    </nc>
  </rcc>
  <rcc rId="1918" sId="2" quotePrefix="1">
    <nc r="F449" t="inlineStr">
      <is>
        <t>rb.as.core.app.asw.apbmi.host</t>
      </is>
    </nc>
  </rcc>
  <rcc rId="1919" sId="2" quotePrefix="1">
    <nc r="F450" t="inlineStr">
      <is>
        <t>rb.as.core.app.asw.ldm.aeb</t>
      </is>
    </nc>
  </rcc>
  <rcc rId="1920" sId="2" quotePrefix="1">
    <nc r="F451" t="inlineStr">
      <is>
        <t>rb.as.core.app.asw.ldm.aeb</t>
      </is>
    </nc>
  </rcc>
  <rcc rId="1921" sId="2" quotePrefix="1">
    <nc r="F452" t="inlineStr">
      <is>
        <t>rb.as.core.app.asw.ldm.aeb</t>
      </is>
    </nc>
  </rcc>
  <rcc rId="1922" sId="2" quotePrefix="1">
    <nc r="F453" t="inlineStr">
      <is>
        <t>rb.as.core.app.asw.ldm.aeb</t>
      </is>
    </nc>
  </rcc>
  <rcc rId="1923" sId="2" quotePrefix="1">
    <nc r="F454" t="inlineStr">
      <is>
        <t>rb.as.core.app.asw.ldm.cdd</t>
      </is>
    </nc>
  </rcc>
  <rcc rId="1924" sId="2" quotePrefix="1">
    <nc r="F455" t="inlineStr">
      <is>
        <t>rb.as.core.app.asw.ldm.cdd</t>
      </is>
    </nc>
  </rcc>
  <rcc rId="1925" sId="2" quotePrefix="1">
    <nc r="F456" t="inlineStr">
      <is>
        <t>rb.as.core.app.asw.ldm.vlc</t>
      </is>
    </nc>
  </rcc>
  <rcc rId="1926" sId="2" quotePrefix="1">
    <nc r="F457" t="inlineStr">
      <is>
        <t>rb.as.core.app.asw.ldm.vlc</t>
      </is>
    </nc>
  </rcc>
  <rcc rId="1927" sId="2" quotePrefix="1">
    <nc r="F458" t="inlineStr">
      <is>
        <t>rb.as.core.app.asw.ldm.vlc</t>
      </is>
    </nc>
  </rcc>
  <rcc rId="1928" sId="2" quotePrefix="1">
    <nc r="F459" t="inlineStr">
      <is>
        <t>rb.as.core.app.asw.vdc.vdcwaddons</t>
      </is>
    </nc>
  </rcc>
  <rcc rId="1929" sId="2" quotePrefix="1">
    <nc r="F460" t="inlineStr">
      <is>
        <t>rb.as.core.app.sec.security</t>
      </is>
    </nc>
  </rcc>
  <rcc rId="1930" sId="2" quotePrefix="1">
    <nc r="F461" t="inlineStr">
      <is>
        <t>rb.as.core.hwp.hsw.rbwss</t>
      </is>
    </nc>
  </rcc>
  <rcc rId="1931" sId="2" quotePrefix="1">
    <nc r="F462" t="inlineStr">
      <is>
        <t>rb.as.toy.cmpuhd.app.asw.app</t>
      </is>
    </nc>
  </rcc>
  <rcc rId="1932" sId="2" quotePrefix="1">
    <nc r="F463" t="inlineStr">
      <is>
        <t>rb.as.toy.cmpuhd.app.asw.custtarball</t>
      </is>
    </nc>
  </rcc>
  <rcc rId="1933" sId="2" quotePrefix="1">
    <nc r="F464" t="inlineStr">
      <is>
        <t>rb.as.toy.cmpuhd.app.asw.custtarball</t>
      </is>
    </nc>
  </rcc>
  <rcc rId="1934" sId="2" quotePrefix="1">
    <nc r="F465" t="inlineStr">
      <is>
        <t>rb.as.toy.cmpuhd.app.asw.custtarball</t>
      </is>
    </nc>
  </rcc>
  <rcc rId="1935" sId="2" quotePrefix="1">
    <nc r="F466" t="inlineStr">
      <is>
        <t>rb.as.toy.cmpuhd.app.asw.custtarball</t>
      </is>
    </nc>
  </rcc>
  <rcc rId="1936" sId="2" quotePrefix="1">
    <nc r="F467" t="inlineStr">
      <is>
        <t>rb.as.toy.cmpuhd.app.asw.custtarball</t>
      </is>
    </nc>
  </rcc>
  <rcc rId="1937" sId="2" quotePrefix="1">
    <nc r="F468" t="inlineStr">
      <is>
        <t>rb.as.toy.cmpuhd.app.asw.custtarball</t>
      </is>
    </nc>
  </rcc>
  <rcc rId="1938" sId="2" quotePrefix="1">
    <nc r="F469" t="inlineStr">
      <is>
        <t>rb.as.toy.cmpuhd.app.asw.custtarball</t>
      </is>
    </nc>
  </rcc>
  <rcc rId="1939" sId="2" quotePrefix="1">
    <nc r="F470" t="inlineStr">
      <is>
        <t>rb.as.toy.cmpuhd.app.asw.custtarball</t>
      </is>
    </nc>
  </rcc>
  <rcc rId="1940" sId="2" quotePrefix="1">
    <nc r="F471" t="inlineStr">
      <is>
        <t>rb.as.toy.cmpuhd.app.asw.custtarball</t>
      </is>
    </nc>
  </rcc>
  <rcc rId="1941" sId="2" quotePrefix="1">
    <nc r="F472" t="inlineStr">
      <is>
        <t>rb.as.toy.cmpuhd.app.asw.custtarball</t>
      </is>
    </nc>
  </rcc>
  <rcc rId="1942" sId="2" quotePrefix="1">
    <nc r="F473" t="inlineStr">
      <is>
        <t>rb.as.toy.cmpuhd.app.asw.custtarball</t>
      </is>
    </nc>
  </rcc>
  <rcc rId="1943" sId="2" quotePrefix="1">
    <nc r="F474" t="inlineStr">
      <is>
        <t>rb.as.toy.cmpuhd.app.asw.custtarball</t>
      </is>
    </nc>
  </rcc>
  <rcc rId="1944" sId="2" quotePrefix="1">
    <nc r="F475" t="inlineStr">
      <is>
        <t>rb.as.toy.cmpuhd.app.asw.custtarball</t>
      </is>
    </nc>
  </rcc>
  <rcc rId="1945" sId="2" quotePrefix="1">
    <nc r="F476" t="inlineStr">
      <is>
        <t>rb.as.toy.cmpuhd.app.asw.custtarball</t>
      </is>
    </nc>
  </rcc>
  <rcc rId="1946" sId="2" quotePrefix="1">
    <nc r="F477" t="inlineStr">
      <is>
        <t>rb.as.toy.cmpuhd.app.asw.custtarball</t>
      </is>
    </nc>
  </rcc>
  <rcc rId="1947" sId="2" quotePrefix="1">
    <nc r="F478" t="inlineStr">
      <is>
        <t>rb.as.toy.cmpuhd.app.asw.custtarball</t>
      </is>
    </nc>
  </rcc>
  <rcc rId="1948" sId="2" quotePrefix="1">
    <nc r="F479" t="inlineStr">
      <is>
        <t>rb.as.toy.cmpuhd.app.asw.custtarball</t>
      </is>
    </nc>
  </rcc>
  <rcc rId="1949" sId="2" quotePrefix="1">
    <nc r="F481" t="inlineStr">
      <is>
        <t>rb.as.toy.cmpuhd.app.asw.custtarball</t>
      </is>
    </nc>
  </rcc>
  <rcc rId="1950" sId="2" quotePrefix="1">
    <nc r="F482" t="inlineStr">
      <is>
        <t>rb.as.toy.cmpuhd.app.asw.custtarball</t>
      </is>
    </nc>
  </rcc>
  <rcc rId="1951" sId="2" quotePrefix="1">
    <nc r="F483" t="inlineStr">
      <is>
        <t>rb.as.toy.cmpuhd.app.asw.custtarball</t>
      </is>
    </nc>
  </rcc>
  <rcc rId="1952" sId="2" quotePrefix="1">
    <nc r="F484" t="inlineStr">
      <is>
        <t>rb.as.toy.cmpuhd.app.asw.custtarball</t>
      </is>
    </nc>
  </rcc>
  <rcc rId="1953" sId="2" quotePrefix="1">
    <nc r="F485" t="inlineStr">
      <is>
        <t>rb.as.toy.cmpuhd.app.asw.custtarball</t>
      </is>
    </nc>
  </rcc>
  <rcc rId="1954" sId="2" quotePrefix="1">
    <nc r="F486" t="inlineStr">
      <is>
        <t>rb.as.toy.cmpuhd.app.asw.custtarball</t>
      </is>
    </nc>
  </rcc>
  <rcc rId="1955" sId="2" quotePrefix="1">
    <nc r="F487" t="inlineStr">
      <is>
        <t>rb.as.toy.cmpuhd.app.asw.custtarball</t>
      </is>
    </nc>
  </rcc>
  <rcc rId="1956" sId="2" quotePrefix="1">
    <nc r="F488" t="inlineStr">
      <is>
        <t>rb.as.toy.cmpuhd.app.net</t>
      </is>
    </nc>
  </rcc>
  <rcc rId="1957" sId="2" quotePrefix="1">
    <nc r="F489" t="inlineStr">
      <is>
        <t>rb.as.toy.cmpuhd.app.net</t>
      </is>
    </nc>
  </rcc>
  <rcc rId="1958" sId="2" quotePrefix="1">
    <nc r="F490" t="inlineStr">
      <is>
        <t>rb.as.toy.cmpuhd.app.net</t>
      </is>
    </nc>
  </rcc>
  <rcc rId="1959" sId="2" quotePrefix="1">
    <nc r="F491" t="inlineStr">
      <is>
        <t>rb.as.toy.cmpuhd.app.net</t>
      </is>
    </nc>
  </rcc>
  <rcc rId="1960" sId="2" quotePrefix="1">
    <nc r="F492" t="inlineStr">
      <is>
        <t>rb.as.toy.core.app.dcom</t>
      </is>
    </nc>
  </rcc>
  <rcc rId="1961" sId="2" quotePrefix="1">
    <nc r="F493" t="inlineStr">
      <is>
        <t>rb.as.toy.core.app.uhdpf19</t>
      </is>
    </nc>
  </rcc>
  <rcc rId="1962" sId="2" quotePrefix="1">
    <nc r="F494" t="inlineStr">
      <is>
        <t>rb.as.toy.core.app.uhdpf19</t>
      </is>
    </nc>
  </rcc>
  <rcc rId="1963" sId="2" quotePrefix="1">
    <nc r="F495" t="inlineStr">
      <is>
        <t>rb.as.toy.core.app.uhdpf19</t>
      </is>
    </nc>
  </rcc>
  <rcc rId="1964" sId="2" quotePrefix="1">
    <nc r="F496" t="inlineStr">
      <is>
        <t>rb.as.toy.core.app.uhdpf19</t>
      </is>
    </nc>
  </rcc>
  <rcc rId="1965" sId="2" quotePrefix="1">
    <nc r="F497" t="inlineStr">
      <is>
        <t>rb.as.toy.core.app.uhdpf19</t>
      </is>
    </nc>
  </rcc>
  <rcc rId="1966" sId="2" quotePrefix="1">
    <nc r="P448" t="inlineStr">
      <is>
        <t>Hemanath, Venkatesh</t>
      </is>
    </nc>
  </rcc>
  <rcc rId="1967" sId="2" quotePrefix="1">
    <nc r="P449" t="inlineStr">
      <is>
        <t>Bade, Kishore</t>
      </is>
    </nc>
  </rcc>
  <rcc rId="1968" sId="2" quotePrefix="1">
    <nc r="P450" t="inlineStr">
      <is>
        <t>Bade, Kishore</t>
      </is>
    </nc>
  </rcc>
  <rcc rId="1969" sId="2" quotePrefix="1">
    <nc r="P451" t="inlineStr">
      <is>
        <t>Bade, Kishore</t>
      </is>
    </nc>
  </rcc>
  <rcc rId="1970" sId="2" quotePrefix="1">
    <nc r="P452" t="inlineStr">
      <is>
        <t>Bade, Kishore</t>
      </is>
    </nc>
  </rcc>
  <rcc rId="1971" sId="2" quotePrefix="1">
    <nc r="P453" t="inlineStr">
      <is>
        <t>Liu, Yiqing</t>
      </is>
    </nc>
  </rcc>
  <rcc rId="1972" sId="2" quotePrefix="1">
    <nc r="P454" t="inlineStr">
      <is>
        <t>Liu, Yiqing</t>
      </is>
    </nc>
  </rcc>
  <rcc rId="1973" sId="2" quotePrefix="1">
    <nc r="P455" t="inlineStr">
      <is>
        <t>Mounika, Thalluri</t>
      </is>
    </nc>
  </rcc>
  <rcc rId="1974" sId="2" quotePrefix="1">
    <nc r="P456" t="inlineStr">
      <is>
        <t>Mounika, Thalluri</t>
      </is>
    </nc>
  </rcc>
  <rcc rId="1975" sId="2" quotePrefix="1">
    <nc r="P457" t="inlineStr">
      <is>
        <t>Mounika, Thalluri</t>
      </is>
    </nc>
  </rcc>
  <rcc rId="1976" sId="2" quotePrefix="1">
    <nc r="P458" t="inlineStr">
      <is>
        <t>Sahu, Ashish Kumar</t>
      </is>
    </nc>
  </rcc>
  <rcc rId="1977" sId="2" quotePrefix="1">
    <nc r="P459" t="inlineStr">
      <is>
        <t>Chaitanya Kumar Kollu (RBEI/ESD-PP2)</t>
      </is>
    </nc>
  </rcc>
  <rcc rId="1978" sId="2" quotePrefix="1">
    <nc r="P460" t="inlineStr">
      <is>
        <t>Vivek Parashar (RBEI/ESJ6)</t>
      </is>
    </nc>
  </rcc>
  <rcc rId="1979" sId="2" quotePrefix="1">
    <nc r="P461" t="inlineStr">
      <is>
        <t>Pati, Rakesh Kumar</t>
      </is>
    </nc>
  </rcc>
  <rcc rId="1980" sId="2" quotePrefix="1">
    <nc r="P462" t="inlineStr">
      <is>
        <t>Hemanath, Venkatesh</t>
      </is>
    </nc>
  </rcc>
  <rcc rId="1981" sId="2" quotePrefix="1">
    <nc r="P463" t="inlineStr">
      <is>
        <t>Pati, Rakesh Kumar</t>
      </is>
    </nc>
  </rcc>
  <rcc rId="1982" sId="2" quotePrefix="1">
    <nc r="P464" t="inlineStr">
      <is>
        <t>Mounika, Thalluri</t>
      </is>
    </nc>
  </rcc>
  <rcc rId="1983" sId="2" quotePrefix="1">
    <nc r="P465" t="inlineStr">
      <is>
        <t>Bade, Kishore</t>
      </is>
    </nc>
  </rcc>
  <rcc rId="1984" sId="2" quotePrefix="1">
    <nc r="P466" t="inlineStr">
      <is>
        <t>Bade, Kishore</t>
      </is>
    </nc>
  </rcc>
  <rcc rId="1985" sId="2" quotePrefix="1">
    <nc r="P467" t="inlineStr">
      <is>
        <t>Mounika, Thalluri</t>
      </is>
    </nc>
  </rcc>
  <rcc rId="1986" sId="2" quotePrefix="1">
    <nc r="P468" t="inlineStr">
      <is>
        <t>Mounika, Thalluri</t>
      </is>
    </nc>
  </rcc>
  <rcc rId="1987" sId="2" quotePrefix="1">
    <nc r="P469" t="inlineStr">
      <is>
        <t>Bade, Kishore</t>
      </is>
    </nc>
  </rcc>
  <rcc rId="1988" sId="2" quotePrefix="1">
    <nc r="P470" t="inlineStr">
      <is>
        <t>Bade, Kishore</t>
      </is>
    </nc>
  </rcc>
  <rcc rId="1989" sId="2" quotePrefix="1">
    <nc r="P471" t="inlineStr">
      <is>
        <t>Mounika, Thalluri</t>
      </is>
    </nc>
  </rcc>
  <rcc rId="1990" sId="2" quotePrefix="1">
    <nc r="P472" t="inlineStr">
      <is>
        <t>Mounika, Thalluri</t>
      </is>
    </nc>
  </rcc>
  <rcc rId="1991" sId="2" quotePrefix="1">
    <nc r="P473" t="inlineStr">
      <is>
        <t>Bade, Kishore</t>
      </is>
    </nc>
  </rcc>
  <rcc rId="1992" sId="2" quotePrefix="1">
    <nc r="P474" t="inlineStr">
      <is>
        <t>Mounika, Thalluri</t>
      </is>
    </nc>
  </rcc>
  <rcc rId="1993" sId="2" quotePrefix="1">
    <nc r="P475" t="inlineStr">
      <is>
        <t>Bade, Kishore</t>
      </is>
    </nc>
  </rcc>
  <rcc rId="1994" sId="2" quotePrefix="1">
    <nc r="P476" t="inlineStr">
      <is>
        <t>Bade, Kishore</t>
      </is>
    </nc>
  </rcc>
  <rcc rId="1995" sId="2" quotePrefix="1">
    <nc r="P477" t="inlineStr">
      <is>
        <t>Bade, Kishore</t>
      </is>
    </nc>
  </rcc>
  <rcc rId="1996" sId="2" quotePrefix="1">
    <nc r="P478" t="inlineStr">
      <is>
        <t>Mounika, Thalluri</t>
      </is>
    </nc>
  </rcc>
  <rcc rId="1997" sId="2" quotePrefix="1">
    <nc r="P479" t="inlineStr">
      <is>
        <t>Bade, Kishore</t>
      </is>
    </nc>
  </rcc>
  <rcc rId="1998" sId="2" quotePrefix="1">
    <nc r="P481" t="inlineStr">
      <is>
        <t>Mounika, Thalluri</t>
      </is>
    </nc>
  </rcc>
  <rcc rId="1999" sId="2" quotePrefix="1">
    <nc r="P482" t="inlineStr">
      <is>
        <t>Mounika, Thalluri</t>
      </is>
    </nc>
  </rcc>
  <rcc rId="2000" sId="2" quotePrefix="1">
    <nc r="P483" t="inlineStr">
      <is>
        <t>Mounika, Thalluri</t>
      </is>
    </nc>
  </rcc>
  <rcc rId="2001" sId="2" quotePrefix="1">
    <nc r="P484" t="inlineStr">
      <is>
        <t>Koizumi, Tafu</t>
      </is>
    </nc>
  </rcc>
  <rcc rId="2002" sId="2" quotePrefix="1">
    <nc r="P485" t="inlineStr">
      <is>
        <t>Mounika, Thalluri</t>
      </is>
    </nc>
  </rcc>
  <rcc rId="2003" sId="2" quotePrefix="1">
    <nc r="P486" t="inlineStr">
      <is>
        <t>Hemanath, Venkatesh</t>
      </is>
    </nc>
  </rcc>
  <rcc rId="2004" sId="2" quotePrefix="1">
    <nc r="P487" t="inlineStr">
      <is>
        <t>Kavya K M (RBEI/ESJ33)</t>
      </is>
    </nc>
  </rcc>
  <rcc rId="2005" sId="2" quotePrefix="1">
    <nc r="P488" t="inlineStr">
      <is>
        <t>Sowmiya S (RBEI/ESJ31)</t>
      </is>
    </nc>
  </rcc>
  <rcc rId="2006" sId="2" quotePrefix="1">
    <nc r="P489" t="inlineStr">
      <is>
        <t>Sowmiya S (RBEI/ESJ31)</t>
      </is>
    </nc>
  </rcc>
  <rcc rId="2007" sId="2" quotePrefix="1">
    <nc r="P490" t="inlineStr">
      <is>
        <t>Sowmiya S (RBEI/ESJ31)</t>
      </is>
    </nc>
  </rcc>
  <rcc rId="2008" sId="2" quotePrefix="1">
    <nc r="P491" t="inlineStr">
      <is>
        <t>Nithin N E (RBEI/ESJ32)</t>
      </is>
    </nc>
  </rcc>
  <rcc rId="2009" sId="2" quotePrefix="1">
    <nc r="P492" t="inlineStr">
      <is>
        <t>Kavya K M (RBEI/ESJ33)</t>
      </is>
    </nc>
  </rcc>
  <rcc rId="2010" sId="2" quotePrefix="1">
    <nc r="P493" t="inlineStr">
      <is>
        <t>Kavya K M (RBEI/ESJ33)</t>
      </is>
    </nc>
  </rcc>
  <rcc rId="2011" sId="2" quotePrefix="1">
    <nc r="P494" t="inlineStr">
      <is>
        <t>Kavya K M (RBEI/ESJ33)</t>
      </is>
    </nc>
  </rcc>
  <rcc rId="2012" sId="2" quotePrefix="1">
    <nc r="P495" t="inlineStr">
      <is>
        <t>Kavya K M (RBEI/ESJ33)</t>
      </is>
    </nc>
  </rcc>
  <rcc rId="2013" sId="2" quotePrefix="1">
    <nc r="P496" t="inlineStr">
      <is>
        <t>Sowmiya S (RBEI/ESJ31)</t>
      </is>
    </nc>
  </rcc>
  <rcc rId="2014" sId="2">
    <nc r="J449" t="inlineStr">
      <is>
        <t>Delta</t>
      </is>
    </nc>
  </rcc>
  <rcc rId="2015" sId="2">
    <nc r="J450" t="inlineStr">
      <is>
        <t>Delta</t>
      </is>
    </nc>
  </rcc>
  <rcc rId="2016" sId="2">
    <nc r="J451" t="inlineStr">
      <is>
        <t>Delta</t>
      </is>
    </nc>
  </rcc>
  <rcc rId="2017" sId="2">
    <nc r="J452" t="inlineStr">
      <is>
        <t>Delta</t>
      </is>
    </nc>
  </rcc>
  <rcc rId="2018" sId="2">
    <nc r="J453" t="inlineStr">
      <is>
        <t>Delta</t>
      </is>
    </nc>
  </rcc>
  <rcc rId="2019" sId="2">
    <nc r="J454" t="inlineStr">
      <is>
        <t>Delta</t>
      </is>
    </nc>
  </rcc>
  <rcc rId="2020" sId="2">
    <nc r="J455" t="inlineStr">
      <is>
        <t>Delta</t>
      </is>
    </nc>
  </rcc>
  <rcc rId="2021" sId="2">
    <nc r="J456" t="inlineStr">
      <is>
        <t>Delta</t>
      </is>
    </nc>
  </rcc>
  <rcc rId="2022" sId="2">
    <nc r="J457" t="inlineStr">
      <is>
        <t>Delta</t>
      </is>
    </nc>
  </rcc>
  <rcc rId="2023" sId="2">
    <nc r="J458" t="inlineStr">
      <is>
        <t>New</t>
      </is>
    </nc>
  </rcc>
  <rcc rId="2024" sId="2">
    <nc r="J459" t="inlineStr">
      <is>
        <t>New</t>
      </is>
    </nc>
  </rcc>
  <rcc rId="2025" sId="2">
    <nc r="J460" t="inlineStr">
      <is>
        <t>Delta</t>
      </is>
    </nc>
  </rcc>
  <rcc rId="2026" sId="2">
    <nc r="J461" t="inlineStr">
      <is>
        <t>Delta</t>
      </is>
    </nc>
  </rcc>
  <rcc rId="2027" sId="2">
    <nc r="J462" t="inlineStr">
      <is>
        <t>Delta</t>
      </is>
    </nc>
  </rcc>
  <rcc rId="2028" sId="2">
    <nc r="J463" t="inlineStr">
      <is>
        <t>Delta</t>
      </is>
    </nc>
  </rcc>
  <rcc rId="2029" sId="2">
    <nc r="J464" t="inlineStr">
      <is>
        <t>Delta</t>
      </is>
    </nc>
  </rcc>
  <rcc rId="2030" sId="2">
    <nc r="J465" t="inlineStr">
      <is>
        <t>Delta</t>
      </is>
    </nc>
  </rcc>
  <rcc rId="2031" sId="2">
    <nc r="J466" t="inlineStr">
      <is>
        <t>Delta</t>
      </is>
    </nc>
  </rcc>
  <rcc rId="2032" sId="2">
    <nc r="J467" t="inlineStr">
      <is>
        <t>Delta</t>
      </is>
    </nc>
  </rcc>
  <rcc rId="2033" sId="2">
    <nc r="J468" t="inlineStr">
      <is>
        <t>Delta</t>
      </is>
    </nc>
  </rcc>
  <rcc rId="2034" sId="2">
    <nc r="J469" t="inlineStr">
      <is>
        <t>Delta</t>
      </is>
    </nc>
  </rcc>
  <rcc rId="2035" sId="2">
    <nc r="J470" t="inlineStr">
      <is>
        <t>New</t>
      </is>
    </nc>
  </rcc>
  <rcc rId="2036" sId="2">
    <nc r="J471" t="inlineStr">
      <is>
        <t>New</t>
      </is>
    </nc>
  </rcc>
  <rcc rId="2037" sId="2">
    <nc r="J472" t="inlineStr">
      <is>
        <t>Delta</t>
      </is>
    </nc>
  </rcc>
  <rcc rId="2038" sId="2">
    <nc r="J473" t="inlineStr">
      <is>
        <t>Delta</t>
      </is>
    </nc>
  </rcc>
  <rcc rId="2039" sId="2">
    <nc r="J474" t="inlineStr">
      <is>
        <t>Delta</t>
      </is>
    </nc>
  </rcc>
  <rcc rId="2040" sId="2">
    <nc r="J475" t="inlineStr">
      <is>
        <t>Delta</t>
      </is>
    </nc>
  </rcc>
  <rcc rId="2041" sId="2">
    <nc r="J476" t="inlineStr">
      <is>
        <t>Delta</t>
      </is>
    </nc>
  </rcc>
  <rcc rId="2042" sId="2">
    <nc r="J477" t="inlineStr">
      <is>
        <t>Delta</t>
      </is>
    </nc>
  </rcc>
  <rcc rId="2043" sId="2">
    <nc r="J478" t="inlineStr">
      <is>
        <t>Delta</t>
      </is>
    </nc>
  </rcc>
  <rcc rId="2044" sId="2">
    <nc r="J479" t="inlineStr">
      <is>
        <t>Delta</t>
      </is>
    </nc>
  </rcc>
  <rcc rId="2045" sId="2">
    <nc r="J481" t="inlineStr">
      <is>
        <t>Delta</t>
      </is>
    </nc>
  </rcc>
  <rcc rId="2046" sId="2">
    <nc r="J482" t="inlineStr">
      <is>
        <t>Delta</t>
      </is>
    </nc>
  </rcc>
  <rcc rId="2047" sId="2">
    <nc r="J483" t="inlineStr">
      <is>
        <t>Delta</t>
      </is>
    </nc>
  </rcc>
  <rcc rId="2048" sId="2">
    <nc r="J484" t="inlineStr">
      <is>
        <t>Delta</t>
      </is>
    </nc>
  </rcc>
  <rcc rId="2049" sId="2">
    <nc r="J485" t="inlineStr">
      <is>
        <t>Delta</t>
      </is>
    </nc>
  </rcc>
  <rcc rId="2050" sId="2">
    <nc r="J486" t="inlineStr">
      <is>
        <t>New</t>
      </is>
    </nc>
  </rcc>
  <rcc rId="2051" sId="2">
    <nc r="J487" t="inlineStr">
      <is>
        <t>Delta</t>
      </is>
    </nc>
  </rcc>
  <rcc rId="2052" sId="2">
    <nc r="J488" t="inlineStr">
      <is>
        <t>Delta</t>
      </is>
    </nc>
  </rcc>
  <rcc rId="2053" sId="2">
    <nc r="J489" t="inlineStr">
      <is>
        <t>Delta</t>
      </is>
    </nc>
  </rcc>
  <rcc rId="2054" sId="2">
    <nc r="J490" t="inlineStr">
      <is>
        <t>Delta</t>
      </is>
    </nc>
  </rcc>
  <rcc rId="2055" sId="2">
    <nc r="J491" t="inlineStr">
      <is>
        <t>Delta</t>
      </is>
    </nc>
  </rcc>
  <rcc rId="2056" sId="2">
    <nc r="J492" t="inlineStr">
      <is>
        <t>Delta</t>
      </is>
    </nc>
  </rcc>
  <rcc rId="2057" sId="2">
    <nc r="J493" t="inlineStr">
      <is>
        <t>Delta</t>
      </is>
    </nc>
  </rcc>
  <rcc rId="2058" sId="2">
    <nc r="J494" t="inlineStr">
      <is>
        <t>Delta</t>
      </is>
    </nc>
  </rcc>
  <rcc rId="2059" sId="2">
    <nc r="J495" t="inlineStr">
      <is>
        <t>Delta</t>
      </is>
    </nc>
  </rcc>
  <rcc rId="2060" sId="2">
    <nc r="J496" t="inlineStr">
      <is>
        <t>Delta</t>
      </is>
    </nc>
  </rcc>
  <rcc rId="2061" sId="2">
    <nc r="J497" t="inlineStr">
      <is>
        <t>Delta</t>
      </is>
    </nc>
  </rcc>
  <rcc rId="2062" sId="2">
    <nc r="Y449">
      <f>Z449*8</f>
    </nc>
  </rcc>
  <rcc rId="2063" sId="2">
    <nc r="Y450">
      <f>Z450*8</f>
    </nc>
  </rcc>
  <rcc rId="2064" sId="2">
    <nc r="Y451">
      <f>Z451*8</f>
    </nc>
  </rcc>
  <rcc rId="2065" sId="2">
    <nc r="Y452">
      <f>Z452*8</f>
    </nc>
  </rcc>
  <rcc rId="2066" sId="2">
    <nc r="Y453">
      <f>Z453*8</f>
    </nc>
  </rcc>
  <rcc rId="2067" sId="2">
    <nc r="Y454">
      <f>Z454*8</f>
    </nc>
  </rcc>
  <rcc rId="2068" sId="2">
    <nc r="Y455">
      <f>Z455*8</f>
    </nc>
  </rcc>
  <rcc rId="2069" sId="2">
    <nc r="Y456">
      <f>Z456*8</f>
    </nc>
  </rcc>
  <rcc rId="2070" sId="2">
    <nc r="Y457">
      <f>Z457*8</f>
    </nc>
  </rcc>
  <rcc rId="2071" sId="2">
    <nc r="Y458">
      <f>Z458*8</f>
    </nc>
  </rcc>
  <rcc rId="2072" sId="2">
    <nc r="Y459">
      <f>Z459*8</f>
    </nc>
  </rcc>
  <rcc rId="2073" sId="2">
    <nc r="Y460">
      <f>Z460*8</f>
    </nc>
  </rcc>
  <rcc rId="2074" sId="2">
    <nc r="Y461">
      <f>Z461*8</f>
    </nc>
  </rcc>
  <rcc rId="2075" sId="2">
    <nc r="Y462">
      <f>Z462*8</f>
    </nc>
  </rcc>
  <rcc rId="2076" sId="2" odxf="1" dxf="1">
    <nc r="Y463">
      <f>Z463*8</f>
    </nc>
    <odxf>
      <fill>
        <patternFill patternType="solid">
          <bgColor theme="9" tint="0.39997558519241921"/>
        </patternFill>
      </fill>
    </odxf>
    <ndxf>
      <fill>
        <patternFill patternType="none">
          <bgColor indexed="65"/>
        </patternFill>
      </fill>
    </ndxf>
  </rcc>
  <rcc rId="2077" sId="2">
    <nc r="Y464">
      <f>Z464*8</f>
    </nc>
  </rcc>
  <rcc rId="2078" sId="2">
    <nc r="Y465">
      <f>Z465*8</f>
    </nc>
  </rcc>
  <rcc rId="2079" sId="2">
    <nc r="Y466">
      <f>Z466*8</f>
    </nc>
  </rcc>
  <rcc rId="2080" sId="2">
    <nc r="Y467">
      <f>Z467*8</f>
    </nc>
  </rcc>
  <rcc rId="2081" sId="2">
    <nc r="Y468">
      <f>Z468*8</f>
    </nc>
  </rcc>
  <rcc rId="2082" sId="2">
    <nc r="Y469">
      <f>Z469*8</f>
    </nc>
  </rcc>
  <rcc rId="2083" sId="2">
    <nc r="Y470">
      <f>Z470*8</f>
    </nc>
  </rcc>
  <rcc rId="2084" sId="2">
    <nc r="Y471">
      <f>Z471*8</f>
    </nc>
  </rcc>
  <rcc rId="2085" sId="2">
    <nc r="Y472">
      <f>Z472*8</f>
    </nc>
  </rcc>
  <rcc rId="2086" sId="2">
    <nc r="Y473">
      <f>Z473*8</f>
    </nc>
  </rcc>
  <rcc rId="2087" sId="2">
    <nc r="Y474">
      <f>Z474*8</f>
    </nc>
  </rcc>
  <rcc rId="2088" sId="2" odxf="1" dxf="1">
    <nc r="Y475">
      <f>Z475*8</f>
    </nc>
    <odxf>
      <fill>
        <patternFill patternType="solid">
          <bgColor theme="5" tint="0.39997558519241921"/>
        </patternFill>
      </fill>
    </odxf>
    <ndxf>
      <fill>
        <patternFill patternType="none">
          <bgColor indexed="65"/>
        </patternFill>
      </fill>
    </ndxf>
  </rcc>
  <rcc rId="2089" sId="2">
    <nc r="Y476">
      <f>Z476*8</f>
    </nc>
  </rcc>
  <rcc rId="2090" sId="2">
    <nc r="Y477">
      <f>Z477*8</f>
    </nc>
  </rcc>
  <rcc rId="2091" sId="2" odxf="1" dxf="1">
    <nc r="Y478">
      <f>Z478*8</f>
    </nc>
    <odxf>
      <fill>
        <patternFill patternType="solid">
          <bgColor theme="5" tint="0.39997558519241921"/>
        </patternFill>
      </fill>
    </odxf>
    <ndxf>
      <fill>
        <patternFill patternType="none">
          <bgColor indexed="65"/>
        </patternFill>
      </fill>
    </ndxf>
  </rcc>
  <rcc rId="2092" sId="2">
    <nc r="Y479">
      <f>Z479*8</f>
    </nc>
  </rcc>
  <rcc rId="2093" sId="2" odxf="1" dxf="1">
    <nc r="Y480">
      <f>Z480*8</f>
    </nc>
    <odxf>
      <fill>
        <patternFill patternType="solid">
          <bgColor theme="5" tint="0.39997558519241921"/>
        </patternFill>
      </fill>
    </odxf>
    <ndxf>
      <fill>
        <patternFill patternType="none">
          <bgColor indexed="65"/>
        </patternFill>
      </fill>
    </ndxf>
  </rcc>
  <rcc rId="2094" sId="2">
    <nc r="Y481">
      <f>Z481*8</f>
    </nc>
  </rcc>
  <rcc rId="2095" sId="2">
    <nc r="Y482">
      <f>Z482*8</f>
    </nc>
  </rcc>
  <rcc rId="2096" sId="2">
    <nc r="Y483">
      <f>Z483*8</f>
    </nc>
  </rcc>
  <rcc rId="2097" sId="2">
    <nc r="Y484">
      <f>Z484*8</f>
    </nc>
  </rcc>
  <rcc rId="2098" sId="2">
    <nc r="Y485">
      <f>Z485*8</f>
    </nc>
  </rcc>
  <rcc rId="2099" sId="2">
    <nc r="Y486">
      <f>Z486*8</f>
    </nc>
  </rcc>
  <rcc rId="2100" sId="2">
    <nc r="Y487">
      <f>Z487*8</f>
    </nc>
  </rcc>
  <rcc rId="2101" sId="2">
    <nc r="Y488">
      <f>Z488*8</f>
    </nc>
  </rcc>
  <rcc rId="2102" sId="2">
    <nc r="Y489">
      <f>Z489*8</f>
    </nc>
  </rcc>
  <rcc rId="2103" sId="2">
    <nc r="Y490">
      <f>Z490*8</f>
    </nc>
  </rcc>
  <rcc rId="2104" sId="2">
    <nc r="Y491">
      <f>Z491*8</f>
    </nc>
  </rcc>
  <rcc rId="2105" sId="2">
    <nc r="Y492">
      <f>Z492*8</f>
    </nc>
  </rcc>
  <rcc rId="2106" sId="2">
    <nc r="Y493">
      <f>Z493*8</f>
    </nc>
  </rcc>
  <rcc rId="2107" sId="2">
    <nc r="Y494">
      <f>Z494*8</f>
    </nc>
  </rcc>
  <rcc rId="2108" sId="2">
    <nc r="Y495">
      <f>Z495*8</f>
    </nc>
  </rcc>
  <rcc rId="2109" sId="2">
    <nc r="Y496">
      <f>Z496*8</f>
    </nc>
  </rcc>
  <rcc rId="2110" sId="2">
    <nc r="Y497">
      <f>Z497*8</f>
    </nc>
  </rcc>
  <rcc rId="2111" sId="2">
    <oc r="Y449">
      <f>Z449*8</f>
    </oc>
    <nc r="Y449">
      <v>2.4</v>
    </nc>
  </rcc>
  <rcc rId="2112" sId="2">
    <oc r="Y450">
      <f>Z450*8</f>
    </oc>
    <nc r="Y450">
      <v>4.8</v>
    </nc>
  </rcc>
  <rcc rId="2113" sId="2">
    <oc r="Y451">
      <f>Z451*8</f>
    </oc>
    <nc r="Y451">
      <v>1.6</v>
    </nc>
  </rcc>
  <rcc rId="2114" sId="2">
    <oc r="Y452">
      <f>Z452*8</f>
    </oc>
    <nc r="Y452">
      <v>2.2400000000000002</v>
    </nc>
  </rcc>
  <rcc rId="2115" sId="2">
    <oc r="Y453">
      <f>Z453*8</f>
    </oc>
    <nc r="Y453">
      <v>2.64</v>
    </nc>
  </rcc>
  <rcc rId="2116" sId="2">
    <oc r="Y454">
      <f>Z454*8</f>
    </oc>
    <nc r="Y454">
      <v>3.2</v>
    </nc>
  </rcc>
  <rcc rId="2117" sId="2">
    <oc r="Y455">
      <f>Z455*8</f>
    </oc>
    <nc r="Y455">
      <v>1.6</v>
    </nc>
  </rcc>
  <rcc rId="2118" sId="2">
    <oc r="Y456">
      <f>Z456*8</f>
    </oc>
    <nc r="Y456">
      <v>3.2</v>
    </nc>
  </rcc>
  <rcc rId="2119" sId="2">
    <oc r="Y457">
      <f>Z457*8</f>
    </oc>
    <nc r="Y457">
      <v>3.6</v>
    </nc>
  </rcc>
  <rcc rId="2120" sId="2">
    <oc r="Y458">
      <f>Z458*8</f>
    </oc>
    <nc r="Y458">
      <v>2.2400000000000002</v>
    </nc>
  </rcc>
  <rcc rId="2121" sId="2">
    <oc r="Y459">
      <f>Z459*8</f>
    </oc>
    <nc r="Y459">
      <v>2.08</v>
    </nc>
  </rcc>
  <rcc rId="2122" sId="2">
    <oc r="Y460">
      <f>Z460*8</f>
    </oc>
    <nc r="Y460">
      <v>1.2</v>
    </nc>
  </rcc>
  <rcc rId="2123" sId="2">
    <oc r="Y461">
      <f>Z461*8</f>
    </oc>
    <nc r="Y461">
      <v>4</v>
    </nc>
  </rcc>
  <rcc rId="2124" sId="2">
    <oc r="Y462">
      <f>Z462*8</f>
    </oc>
    <nc r="Y462">
      <v>1.6</v>
    </nc>
  </rcc>
  <rcc rId="2125" sId="2">
    <oc r="Y463">
      <f>Z463*8</f>
    </oc>
    <nc r="Y463">
      <v>3.2</v>
    </nc>
  </rcc>
  <rcc rId="2126" sId="2">
    <oc r="Y464">
      <f>Z464*8</f>
    </oc>
    <nc r="Y464">
      <v>1.6</v>
    </nc>
  </rcc>
  <rcc rId="2127" sId="2">
    <oc r="Y465">
      <f>Z465*8</f>
    </oc>
    <nc r="Y465">
      <v>2.4</v>
    </nc>
  </rcc>
  <rcc rId="2128" sId="2">
    <oc r="Y466">
      <f>Z466*8</f>
    </oc>
    <nc r="Y466">
      <v>2.2400000000000002</v>
    </nc>
  </rcc>
  <rcc rId="2129" sId="2">
    <oc r="Y467">
      <f>Z467*8</f>
    </oc>
    <nc r="Y467">
      <v>1.84</v>
    </nc>
  </rcc>
  <rcc rId="2130" sId="2">
    <oc r="Y468">
      <f>Z468*8</f>
    </oc>
    <nc r="Y468">
      <v>5.6</v>
    </nc>
  </rcc>
  <rcc rId="2131" sId="2">
    <oc r="Y469">
      <f>Z469*8</f>
    </oc>
    <nc r="Y469">
      <v>2.4</v>
    </nc>
  </rcc>
  <rcc rId="2132" sId="2">
    <oc r="Y470">
      <f>Z470*8</f>
    </oc>
    <nc r="Y470">
      <v>1.6</v>
    </nc>
  </rcc>
  <rcc rId="2133" sId="2">
    <oc r="Y471">
      <f>Z471*8</f>
    </oc>
    <nc r="Y471">
      <v>1.6</v>
    </nc>
  </rcc>
  <rcc rId="2134" sId="2">
    <oc r="Y472">
      <f>Z472*8</f>
    </oc>
    <nc r="Y472">
      <v>1.6</v>
    </nc>
  </rcc>
  <rcc rId="2135" sId="2">
    <oc r="Y473">
      <f>Z473*8</f>
    </oc>
    <nc r="Y473">
      <v>4</v>
    </nc>
  </rcc>
  <rcc rId="2136" sId="2">
    <oc r="Y474">
      <f>Z474*8</f>
    </oc>
    <nc r="Y474">
      <v>2.2400000000000002</v>
    </nc>
  </rcc>
  <rcc rId="2137" sId="2">
    <oc r="Y475">
      <f>Z475*8</f>
    </oc>
    <nc r="Y475">
      <v>1.6</v>
    </nc>
  </rcc>
  <rcc rId="2138" sId="2">
    <oc r="Y476">
      <f>Z476*8</f>
    </oc>
    <nc r="Y476">
      <v>2.64</v>
    </nc>
  </rcc>
  <rcc rId="2139" sId="2">
    <oc r="Y477">
      <f>Z477*8</f>
    </oc>
    <nc r="Y477">
      <v>2.64</v>
    </nc>
  </rcc>
  <rcc rId="2140" sId="2">
    <oc r="Y478">
      <f>Z478*8</f>
    </oc>
    <nc r="Y478">
      <v>1.6</v>
    </nc>
  </rcc>
  <rcc rId="2141" sId="2">
    <oc r="Y479">
      <f>Z479*8</f>
    </oc>
    <nc r="Y479">
      <v>4.8</v>
    </nc>
  </rcc>
  <rcc rId="2142" sId="2">
    <oc r="Y481">
      <f>Z481*8</f>
    </oc>
    <nc r="Y481">
      <v>8</v>
    </nc>
  </rcc>
  <rcc rId="2143" sId="2">
    <oc r="Y482">
      <f>Z482*8</f>
    </oc>
    <nc r="Y482">
      <v>10.4</v>
    </nc>
  </rcc>
  <rcc rId="2144" sId="2">
    <oc r="Y483">
      <f>Z483*8</f>
    </oc>
    <nc r="Y483">
      <v>5.2</v>
    </nc>
  </rcc>
  <rcc rId="2145" sId="2">
    <oc r="Y484">
      <f>Z484*8</f>
    </oc>
    <nc r="Y484">
      <v>3.2</v>
    </nc>
  </rcc>
  <rcc rId="2146" sId="2">
    <oc r="Y485">
      <f>Z485*8</f>
    </oc>
    <nc r="Y485">
      <v>1.6</v>
    </nc>
  </rcc>
  <rcc rId="2147" sId="2">
    <oc r="Y486">
      <f>Z486*8</f>
    </oc>
    <nc r="Y486">
      <v>1.6</v>
    </nc>
  </rcc>
  <rcc rId="2148" sId="2">
    <oc r="Y487">
      <f>Z487*8</f>
    </oc>
    <nc r="Y487">
      <v>1.6</v>
    </nc>
  </rcc>
  <rcc rId="2149" sId="2">
    <oc r="Y488">
      <f>Z488*8</f>
    </oc>
    <nc r="Y488">
      <v>2</v>
    </nc>
  </rcc>
  <rcc rId="2150" sId="2">
    <oc r="Y489">
      <f>Z489*8</f>
    </oc>
    <nc r="Y489">
      <v>0.96</v>
    </nc>
  </rcc>
  <rcc rId="2151" sId="2">
    <oc r="Y490">
      <f>Z490*8</f>
    </oc>
    <nc r="Y490">
      <v>1.2</v>
    </nc>
  </rcc>
  <rcc rId="2152" sId="2">
    <oc r="Y491">
      <f>Z491*8</f>
    </oc>
    <nc r="Y491">
      <v>0.96</v>
    </nc>
  </rcc>
  <rcc rId="2153" sId="2">
    <oc r="Y492">
      <f>Z492*8</f>
    </oc>
    <nc r="Y492">
      <v>0.96</v>
    </nc>
  </rcc>
  <rcc rId="2154" sId="2">
    <oc r="Y493">
      <f>Z493*8</f>
    </oc>
    <nc r="Y493">
      <v>0.96</v>
    </nc>
  </rcc>
  <rcc rId="2155" sId="2">
    <oc r="Y494">
      <f>Z494*8</f>
    </oc>
    <nc r="Y494">
      <v>0.96</v>
    </nc>
  </rcc>
  <rcc rId="2156" sId="2">
    <oc r="Y495">
      <f>Z495*8</f>
    </oc>
    <nc r="Y495">
      <v>2.8</v>
    </nc>
  </rcc>
  <rcc rId="2157" sId="2">
    <oc r="Y496">
      <f>Z496*8</f>
    </oc>
    <nc r="Y496">
      <v>2.8</v>
    </nc>
  </rcc>
  <rcc rId="2158" sId="2">
    <oc r="Y497">
      <f>Z497*8</f>
    </oc>
    <nc r="Y497">
      <v>1.6</v>
    </nc>
  </rcc>
  <rcc rId="2159" sId="2">
    <nc r="W449">
      <f>ROUND(IF(D449=Table!$C$3,Y449*Table!$C$4/8,Y449*Table!$D$4/8),3)</f>
    </nc>
  </rcc>
  <rcc rId="2160" sId="2">
    <nc r="W450">
      <f>ROUND(IF(D450=Table!$C$3,Y450*Table!$C$4/8,Y450*Table!$D$4/8),3)</f>
    </nc>
  </rcc>
  <rcc rId="2161" sId="2">
    <nc r="W451">
      <f>ROUND(IF(D451=Table!$C$3,Y451*Table!$C$4/8,Y451*Table!$D$4/8),3)</f>
    </nc>
  </rcc>
  <rcc rId="2162" sId="2">
    <nc r="W452">
      <f>ROUND(IF(D452=Table!$C$3,Y452*Table!$C$4/8,Y452*Table!$D$4/8),3)</f>
    </nc>
  </rcc>
  <rcc rId="2163" sId="2">
    <nc r="W453">
      <f>ROUND(IF(D453=Table!$C$3,Y453*Table!$C$4/8,Y453*Table!$D$4/8),3)</f>
    </nc>
  </rcc>
  <rcc rId="2164" sId="2">
    <nc r="W454">
      <f>ROUND(IF(D454=Table!$C$3,Y454*Table!$C$4/8,Y454*Table!$D$4/8),3)</f>
    </nc>
  </rcc>
  <rcc rId="2165" sId="2">
    <nc r="W455">
      <f>ROUND(IF(D455=Table!$C$3,Y455*Table!$C$4/8,Y455*Table!$D$4/8),3)</f>
    </nc>
  </rcc>
  <rcc rId="2166" sId="2">
    <nc r="W456">
      <f>ROUND(IF(D456=Table!$C$3,Y456*Table!$C$4/8,Y456*Table!$D$4/8),3)</f>
    </nc>
  </rcc>
  <rcc rId="2167" sId="2">
    <nc r="W457">
      <f>ROUND(IF(D457=Table!$C$3,Y457*Table!$C$4/8,Y457*Table!$D$4/8),3)</f>
    </nc>
  </rcc>
  <rcc rId="2168" sId="2">
    <nc r="W458">
      <f>ROUND(IF(D458=Table!$C$3,Y458*Table!$C$4/8,Y458*Table!$D$4/8),3)</f>
    </nc>
  </rcc>
  <rcc rId="2169" sId="2">
    <nc r="W459">
      <f>ROUND(IF(D459=Table!$C$3,Y459*Table!$C$4/8,Y459*Table!$D$4/8),3)</f>
    </nc>
  </rcc>
  <rcc rId="2170" sId="2">
    <nc r="W460">
      <f>ROUND(IF(D460=Table!$C$3,Y460*Table!$C$4/8,Y460*Table!$D$4/8),3)</f>
    </nc>
  </rcc>
  <rcc rId="2171" sId="2">
    <nc r="W461">
      <f>ROUND(IF(D461=Table!$C$3,Y461*Table!$C$4/8,Y461*Table!$D$4/8),3)</f>
    </nc>
  </rcc>
  <rcc rId="2172" sId="2">
    <nc r="W462">
      <f>ROUND(IF(D462=Table!$C$3,Y462*Table!$C$4/8,Y462*Table!$D$4/8),3)</f>
    </nc>
  </rcc>
  <rcc rId="2173" sId="2" odxf="1" dxf="1">
    <nc r="W463">
      <f>ROUND(IF(D463=Table!$C$3,Y463*Table!$C$4/8,Y463*Table!$D$4/8),3)</f>
    </nc>
    <odxf>
      <fill>
        <patternFill patternType="solid">
          <bgColor theme="9" tint="0.39997558519241921"/>
        </patternFill>
      </fill>
    </odxf>
    <ndxf>
      <fill>
        <patternFill patternType="none">
          <bgColor indexed="65"/>
        </patternFill>
      </fill>
    </ndxf>
  </rcc>
  <rcc rId="2174" sId="2">
    <nc r="W464">
      <f>ROUND(IF(D464=Table!$C$3,Y464*Table!$C$4/8,Y464*Table!$D$4/8),3)</f>
    </nc>
  </rcc>
  <rcc rId="2175" sId="2">
    <nc r="W465">
      <f>ROUND(IF(D465=Table!$C$3,Y465*Table!$C$4/8,Y465*Table!$D$4/8),3)</f>
    </nc>
  </rcc>
  <rcc rId="2176" sId="2">
    <nc r="W466">
      <f>ROUND(IF(D466=Table!$C$3,Y466*Table!$C$4/8,Y466*Table!$D$4/8),3)</f>
    </nc>
  </rcc>
  <rcc rId="2177" sId="2">
    <nc r="W467">
      <f>ROUND(IF(D467=Table!$C$3,Y467*Table!$C$4/8,Y467*Table!$D$4/8),3)</f>
    </nc>
  </rcc>
  <rcc rId="2178" sId="2">
    <nc r="W468">
      <f>ROUND(IF(D468=Table!$C$3,Y468*Table!$C$4/8,Y468*Table!$D$4/8),3)</f>
    </nc>
  </rcc>
  <rcc rId="2179" sId="2">
    <nc r="W469">
      <f>ROUND(IF(D469=Table!$C$3,Y469*Table!$C$4/8,Y469*Table!$D$4/8),3)</f>
    </nc>
  </rcc>
  <rcc rId="2180" sId="2">
    <nc r="W470">
      <f>ROUND(IF(D470=Table!$C$3,Y470*Table!$C$4/8,Y470*Table!$D$4/8),3)</f>
    </nc>
  </rcc>
  <rcc rId="2181" sId="2">
    <nc r="W471">
      <f>ROUND(IF(D471=Table!$C$3,Y471*Table!$C$4/8,Y471*Table!$D$4/8),3)</f>
    </nc>
  </rcc>
  <rcc rId="2182" sId="2">
    <nc r="W472">
      <f>ROUND(IF(D472=Table!$C$3,Y472*Table!$C$4/8,Y472*Table!$D$4/8),3)</f>
    </nc>
  </rcc>
  <rcc rId="2183" sId="2">
    <nc r="W473">
      <f>ROUND(IF(D473=Table!$C$3,Y473*Table!$C$4/8,Y473*Table!$D$4/8),3)</f>
    </nc>
  </rcc>
  <rcc rId="2184" sId="2">
    <nc r="W474">
      <f>ROUND(IF(D474=Table!$C$3,Y474*Table!$C$4/8,Y474*Table!$D$4/8),3)</f>
    </nc>
  </rcc>
  <rcc rId="2185" sId="2">
    <nc r="W475">
      <f>ROUND(IF(D475=Table!$C$3,Y475*Table!$C$4/8,Y475*Table!$D$4/8),3)</f>
    </nc>
  </rcc>
  <rcc rId="2186" sId="2">
    <nc r="W476">
      <f>ROUND(IF(D476=Table!$C$3,Y476*Table!$C$4/8,Y476*Table!$D$4/8),3)</f>
    </nc>
  </rcc>
  <rcc rId="2187" sId="2">
    <nc r="W477">
      <f>ROUND(IF(D477=Table!$C$3,Y477*Table!$C$4/8,Y477*Table!$D$4/8),3)</f>
    </nc>
  </rcc>
  <rcc rId="2188" sId="2">
    <nc r="W478">
      <f>ROUND(IF(D478=Table!$C$3,Y478*Table!$C$4/8,Y478*Table!$D$4/8),3)</f>
    </nc>
  </rcc>
  <rcc rId="2189" sId="2">
    <nc r="W479">
      <f>ROUND(IF(D479=Table!$C$3,Y479*Table!$C$4/8,Y479*Table!$D$4/8),3)</f>
    </nc>
  </rcc>
  <rfmt sheetId="2" sqref="W480" start="0" length="0">
    <dxf>
      <fill>
        <patternFill patternType="none">
          <bgColor indexed="65"/>
        </patternFill>
      </fill>
    </dxf>
  </rfmt>
  <rcc rId="2190" sId="2">
    <nc r="W481">
      <f>ROUND(IF(D481=Table!$C$3,Y481*Table!$C$4/8,Y481*Table!$D$4/8),3)</f>
    </nc>
  </rcc>
  <rcc rId="2191" sId="2">
    <nc r="W482">
      <f>ROUND(IF(D482=Table!$C$3,Y482*Table!$C$4/8,Y482*Table!$D$4/8),3)</f>
    </nc>
  </rcc>
  <rcc rId="2192" sId="2">
    <nc r="W483">
      <f>ROUND(IF(D483=Table!$C$3,Y483*Table!$C$4/8,Y483*Table!$D$4/8),3)</f>
    </nc>
  </rcc>
  <rcc rId="2193" sId="2">
    <nc r="W484">
      <f>ROUND(IF(D484=Table!$C$3,Y484*Table!$C$4/8,Y484*Table!$D$4/8),3)</f>
    </nc>
  </rcc>
  <rcc rId="2194" sId="2">
    <nc r="W485">
      <f>ROUND(IF(D485=Table!$C$3,Y485*Table!$C$4/8,Y485*Table!$D$4/8),3)</f>
    </nc>
  </rcc>
  <rcc rId="2195" sId="2">
    <nc r="W486">
      <f>ROUND(IF(D486=Table!$C$3,Y486*Table!$C$4/8,Y486*Table!$D$4/8),3)</f>
    </nc>
  </rcc>
  <rcc rId="2196" sId="2">
    <nc r="W487">
      <f>ROUND(IF(D487=Table!$C$3,Y487*Table!$C$4/8,Y487*Table!$D$4/8),3)</f>
    </nc>
  </rcc>
  <rcc rId="2197" sId="2">
    <nc r="W488">
      <f>ROUND(IF(D488=Table!$C$3,Y488*Table!$C$4/8,Y488*Table!$D$4/8),3)</f>
    </nc>
  </rcc>
  <rcc rId="2198" sId="2">
    <nc r="W489">
      <f>ROUND(IF(D489=Table!$C$3,Y489*Table!$C$4/8,Y489*Table!$D$4/8),3)</f>
    </nc>
  </rcc>
  <rcc rId="2199" sId="2">
    <nc r="W490">
      <f>ROUND(IF(D490=Table!$C$3,Y490*Table!$C$4/8,Y490*Table!$D$4/8),3)</f>
    </nc>
  </rcc>
  <rcc rId="2200" sId="2">
    <nc r="W491">
      <f>ROUND(IF(D491=Table!$C$3,Y491*Table!$C$4/8,Y491*Table!$D$4/8),3)</f>
    </nc>
  </rcc>
  <rcc rId="2201" sId="2">
    <nc r="W492">
      <f>ROUND(IF(D492=Table!$C$3,Y492*Table!$C$4/8,Y492*Table!$D$4/8),3)</f>
    </nc>
  </rcc>
  <rcc rId="2202" sId="2">
    <nc r="W493">
      <f>ROUND(IF(D493=Table!$C$3,Y493*Table!$C$4/8,Y493*Table!$D$4/8),3)</f>
    </nc>
  </rcc>
  <rcc rId="2203" sId="2">
    <nc r="W494">
      <f>ROUND(IF(D494=Table!$C$3,Y494*Table!$C$4/8,Y494*Table!$D$4/8),3)</f>
    </nc>
  </rcc>
  <rcc rId="2204" sId="2">
    <nc r="W495">
      <f>ROUND(IF(D495=Table!$C$3,Y495*Table!$C$4/8,Y495*Table!$D$4/8),3)</f>
    </nc>
  </rcc>
  <rcc rId="2205" sId="2">
    <nc r="W496">
      <f>ROUND(IF(D496=Table!$C$3,Y496*Table!$C$4/8,Y496*Table!$D$4/8),3)</f>
    </nc>
  </rcc>
  <rcc rId="2206" sId="2">
    <nc r="W497">
      <f>ROUND(IF(D497=Table!$C$3,Y497*Table!$C$4/8,Y497*Table!$D$4/8),3)</f>
    </nc>
  </rcc>
  <rcc rId="2207" sId="2">
    <nc r="R449" t="inlineStr">
      <is>
        <t>T&gt;=200</t>
      </is>
    </nc>
  </rcc>
  <rcc rId="2208" sId="2">
    <nc r="R450" t="inlineStr">
      <is>
        <t>T&gt;=200</t>
      </is>
    </nc>
  </rcc>
  <rcc rId="2209" sId="2">
    <nc r="R451" t="inlineStr">
      <is>
        <t>T&gt;=200</t>
      </is>
    </nc>
  </rcc>
  <rcc rId="2210" sId="2">
    <nc r="R452" t="inlineStr">
      <is>
        <t>T&gt;=200</t>
      </is>
    </nc>
  </rcc>
  <rcc rId="2211" sId="2">
    <nc r="R453" t="inlineStr">
      <is>
        <t>T&gt;=200</t>
      </is>
    </nc>
  </rcc>
  <rcc rId="2212" sId="2">
    <nc r="R454" t="inlineStr">
      <is>
        <t>T&gt;=200</t>
      </is>
    </nc>
  </rcc>
  <rcc rId="2213" sId="2">
    <nc r="R455" t="inlineStr">
      <is>
        <t>T&gt;=200</t>
      </is>
    </nc>
  </rcc>
  <rcc rId="2214" sId="2">
    <nc r="R456" t="inlineStr">
      <is>
        <t>T&gt;=200</t>
      </is>
    </nc>
  </rcc>
  <rcc rId="2215" sId="2">
    <nc r="R457" t="inlineStr">
      <is>
        <t>T&gt;=200</t>
      </is>
    </nc>
  </rcc>
  <rcc rId="2216" sId="2">
    <nc r="R458" t="inlineStr">
      <is>
        <t>T&gt;=200</t>
      </is>
    </nc>
  </rcc>
  <rcc rId="2217" sId="2">
    <nc r="R459" t="inlineStr">
      <is>
        <t>T&gt;=200</t>
      </is>
    </nc>
  </rcc>
  <rcc rId="2218" sId="2">
    <nc r="R460" t="inlineStr">
      <is>
        <t>T&gt;=200</t>
      </is>
    </nc>
  </rcc>
  <rcc rId="2219" sId="2">
    <nc r="R461" t="inlineStr">
      <is>
        <t>T&gt;=200</t>
      </is>
    </nc>
  </rcc>
  <rcc rId="2220" sId="2">
    <nc r="R462" t="inlineStr">
      <is>
        <t>T&gt;=200</t>
      </is>
    </nc>
  </rcc>
  <rcc rId="2221" sId="2">
    <nc r="R463" t="inlineStr">
      <is>
        <t>T&gt;=200</t>
      </is>
    </nc>
  </rcc>
  <rcc rId="2222" sId="2">
    <nc r="R464" t="inlineStr">
      <is>
        <t>T&gt;=200</t>
      </is>
    </nc>
  </rcc>
  <rcc rId="2223" sId="2">
    <nc r="R465" t="inlineStr">
      <is>
        <t>T&gt;=200</t>
      </is>
    </nc>
  </rcc>
  <rcc rId="2224" sId="2">
    <nc r="R466" t="inlineStr">
      <is>
        <t>T&gt;=200</t>
      </is>
    </nc>
  </rcc>
  <rcc rId="2225" sId="2">
    <nc r="R467" t="inlineStr">
      <is>
        <t>T&gt;=200</t>
      </is>
    </nc>
  </rcc>
  <rcc rId="2226" sId="2">
    <nc r="R468" t="inlineStr">
      <is>
        <t>T&gt;=200</t>
      </is>
    </nc>
  </rcc>
  <rcc rId="2227" sId="2">
    <nc r="R469" t="inlineStr">
      <is>
        <t>T&gt;=200</t>
      </is>
    </nc>
  </rcc>
  <rcc rId="2228" sId="2">
    <nc r="R470" t="inlineStr">
      <is>
        <t>T&gt;=200</t>
      </is>
    </nc>
  </rcc>
  <rcc rId="2229" sId="2">
    <nc r="R471" t="inlineStr">
      <is>
        <t>T&gt;=200</t>
      </is>
    </nc>
  </rcc>
  <rcc rId="2230" sId="2">
    <nc r="R472" t="inlineStr">
      <is>
        <t>T&gt;=200</t>
      </is>
    </nc>
  </rcc>
  <rcc rId="2231" sId="2">
    <nc r="R473" t="inlineStr">
      <is>
        <t>T&gt;=200</t>
      </is>
    </nc>
  </rcc>
  <rcc rId="2232" sId="2">
    <nc r="R474" t="inlineStr">
      <is>
        <t>T&gt;=200</t>
      </is>
    </nc>
  </rcc>
  <rcc rId="2233" sId="2">
    <nc r="R475" t="inlineStr">
      <is>
        <t>T&gt;=200</t>
      </is>
    </nc>
  </rcc>
  <rcc rId="2234" sId="2">
    <nc r="R476" t="inlineStr">
      <is>
        <t>T&gt;=200</t>
      </is>
    </nc>
  </rcc>
  <rcc rId="2235" sId="2">
    <nc r="R477" t="inlineStr">
      <is>
        <t>T&gt;=200</t>
      </is>
    </nc>
  </rcc>
  <rcc rId="2236" sId="2">
    <nc r="R478" t="inlineStr">
      <is>
        <t>T&gt;=200</t>
      </is>
    </nc>
  </rcc>
  <rcc rId="2237" sId="2">
    <nc r="R479" t="inlineStr">
      <is>
        <t>T&gt;=200</t>
      </is>
    </nc>
  </rcc>
  <rcc rId="2238" sId="2">
    <nc r="R481" t="inlineStr">
      <is>
        <t>T&gt;=200</t>
      </is>
    </nc>
  </rcc>
  <rcc rId="2239" sId="2">
    <nc r="R482" t="inlineStr">
      <is>
        <t>T&gt;=200</t>
      </is>
    </nc>
  </rcc>
  <rcc rId="2240" sId="2">
    <nc r="R483" t="inlineStr">
      <is>
        <t>T&gt;=200</t>
      </is>
    </nc>
  </rcc>
  <rcc rId="2241" sId="2">
    <nc r="R484" t="inlineStr">
      <is>
        <t>T&gt;=200</t>
      </is>
    </nc>
  </rcc>
  <rcc rId="2242" sId="2">
    <nc r="R485" t="inlineStr">
      <is>
        <t>T&gt;=200</t>
      </is>
    </nc>
  </rcc>
  <rcc rId="2243" sId="2">
    <nc r="R486" t="inlineStr">
      <is>
        <t>T&gt;=200</t>
      </is>
    </nc>
  </rcc>
  <rcc rId="2244" sId="2">
    <nc r="R487" t="inlineStr">
      <is>
        <t>T&gt;=200</t>
      </is>
    </nc>
  </rcc>
  <rcc rId="2245" sId="2">
    <nc r="R488" t="inlineStr">
      <is>
        <t>T&gt;=200</t>
      </is>
    </nc>
  </rcc>
  <rcc rId="2246" sId="2">
    <nc r="R489" t="inlineStr">
      <is>
        <t>T&gt;=200</t>
      </is>
    </nc>
  </rcc>
  <rcc rId="2247" sId="2">
    <nc r="R490" t="inlineStr">
      <is>
        <t>T&gt;=200</t>
      </is>
    </nc>
  </rcc>
  <rcc rId="2248" sId="2">
    <nc r="R491" t="inlineStr">
      <is>
        <t>T&gt;=200</t>
      </is>
    </nc>
  </rcc>
  <rcc rId="2249" sId="2">
    <nc r="R492" t="inlineStr">
      <is>
        <t>T&gt;=200</t>
      </is>
    </nc>
  </rcc>
  <rcc rId="2250" sId="2">
    <nc r="R493" t="inlineStr">
      <is>
        <t>T&gt;=200</t>
      </is>
    </nc>
  </rcc>
  <rcc rId="2251" sId="2">
    <nc r="R494" t="inlineStr">
      <is>
        <t>T&gt;=200</t>
      </is>
    </nc>
  </rcc>
  <rcc rId="2252" sId="2">
    <nc r="R495" t="inlineStr">
      <is>
        <t>T&gt;=200</t>
      </is>
    </nc>
  </rcc>
  <rcc rId="2253" sId="2">
    <nc r="R496" t="inlineStr">
      <is>
        <t>T&gt;=200</t>
      </is>
    </nc>
  </rcc>
  <rcc rId="2254" sId="2">
    <nc r="R497" t="inlineStr">
      <is>
        <t>T&gt;=200</t>
      </is>
    </nc>
  </rcc>
  <rcc rId="2255" sId="2">
    <nc r="H449" t="inlineStr">
      <is>
        <t>MT_050</t>
      </is>
    </nc>
  </rcc>
  <rcc rId="2256" sId="2">
    <nc r="H450" t="inlineStr">
      <is>
        <t>MT_051</t>
      </is>
    </nc>
  </rcc>
  <rcc rId="2257" sId="2">
    <nc r="H451" t="inlineStr">
      <is>
        <t>MT_052</t>
      </is>
    </nc>
  </rcc>
  <rcc rId="2258" sId="2">
    <nc r="H452" t="inlineStr">
      <is>
        <t>MT_053</t>
      </is>
    </nc>
  </rcc>
  <rcc rId="2259" sId="2">
    <nc r="H453" t="inlineStr">
      <is>
        <t>MT_054</t>
      </is>
    </nc>
  </rcc>
  <rcc rId="2260" sId="2">
    <nc r="H454" t="inlineStr">
      <is>
        <t>MT_055</t>
      </is>
    </nc>
  </rcc>
  <rcc rId="2261" sId="2">
    <nc r="H455" t="inlineStr">
      <is>
        <t>MT_056</t>
      </is>
    </nc>
  </rcc>
  <rcc rId="2262" sId="2">
    <nc r="H456" t="inlineStr">
      <is>
        <t>MT_057</t>
      </is>
    </nc>
  </rcc>
  <rcc rId="2263" sId="2">
    <nc r="H457" t="inlineStr">
      <is>
        <t>MT_058</t>
      </is>
    </nc>
  </rcc>
  <rcc rId="2264" sId="2">
    <nc r="H458" t="inlineStr">
      <is>
        <t>MT_059</t>
      </is>
    </nc>
  </rcc>
  <rcc rId="2265" sId="2">
    <nc r="H459" t="inlineStr">
      <is>
        <t>MT_060</t>
      </is>
    </nc>
  </rcc>
  <rcc rId="2266" sId="2">
    <nc r="H460" t="inlineStr">
      <is>
        <t>MT_001</t>
      </is>
    </nc>
  </rcc>
  <rcc rId="2267" sId="2">
    <nc r="H461" t="inlineStr">
      <is>
        <t>MT_007</t>
      </is>
    </nc>
  </rcc>
  <rcc rId="2268" sId="2">
    <nc r="H462" t="inlineStr">
      <is>
        <t>MT_061</t>
      </is>
    </nc>
  </rcc>
  <rcc rId="2269" sId="2">
    <nc r="H463" t="inlineStr">
      <is>
        <t>MT_062</t>
      </is>
    </nc>
  </rcc>
  <rcc rId="2270" sId="2">
    <nc r="H464" t="inlineStr">
      <is>
        <t>MT_063</t>
      </is>
    </nc>
  </rcc>
  <rcc rId="2271" sId="2">
    <nc r="H465" t="inlineStr">
      <is>
        <t>MT_064</t>
      </is>
    </nc>
  </rcc>
  <rcc rId="2272" sId="2">
    <nc r="H466" t="inlineStr">
      <is>
        <t>MT_065</t>
      </is>
    </nc>
  </rcc>
  <rcc rId="2273" sId="2">
    <nc r="H467" t="inlineStr">
      <is>
        <t>MT_066</t>
      </is>
    </nc>
  </rcc>
  <rcc rId="2274" sId="2">
    <nc r="H468" t="inlineStr">
      <is>
        <t>MT_067</t>
      </is>
    </nc>
  </rcc>
  <rcc rId="2275" sId="2">
    <nc r="H469" t="inlineStr">
      <is>
        <t>MT_068</t>
      </is>
    </nc>
  </rcc>
  <rcc rId="2276" sId="2">
    <nc r="H470" t="inlineStr">
      <is>
        <t>MT_069</t>
      </is>
    </nc>
  </rcc>
  <rcc rId="2277" sId="2">
    <nc r="H471" t="inlineStr">
      <is>
        <t>MT_070</t>
      </is>
    </nc>
  </rcc>
  <rcc rId="2278" sId="2">
    <nc r="H472" t="inlineStr">
      <is>
        <t>MT_071</t>
      </is>
    </nc>
  </rcc>
  <rcc rId="2279" sId="2">
    <nc r="H473" t="inlineStr">
      <is>
        <t>MT_072</t>
      </is>
    </nc>
  </rcc>
  <rcc rId="2280" sId="2">
    <nc r="H474" t="inlineStr">
      <is>
        <t>MT_073</t>
      </is>
    </nc>
  </rcc>
  <rcc rId="2281" sId="2">
    <nc r="H475" t="inlineStr">
      <is>
        <t>MT_074</t>
      </is>
    </nc>
  </rcc>
  <rcc rId="2282" sId="2">
    <nc r="H476" t="inlineStr">
      <is>
        <t>MT_075</t>
      </is>
    </nc>
  </rcc>
  <rcc rId="2283" sId="2">
    <nc r="H477" t="inlineStr">
      <is>
        <t>MT_076</t>
      </is>
    </nc>
  </rcc>
  <rcc rId="2284" sId="2">
    <nc r="H478" t="inlineStr">
      <is>
        <t>MT_077</t>
      </is>
    </nc>
  </rcc>
  <rcc rId="2285" sId="2">
    <nc r="H479" t="inlineStr">
      <is>
        <t>MT_078</t>
      </is>
    </nc>
  </rcc>
  <rcc rId="2286" sId="2">
    <nc r="H481" t="inlineStr">
      <is>
        <t>MT_080</t>
      </is>
    </nc>
  </rcc>
  <rcc rId="2287" sId="2">
    <nc r="H482" t="inlineStr">
      <is>
        <t>MT_081</t>
      </is>
    </nc>
  </rcc>
  <rcc rId="2288" sId="2">
    <nc r="H483" t="inlineStr">
      <is>
        <t>MT_082</t>
      </is>
    </nc>
  </rcc>
  <rcc rId="2289" sId="2">
    <nc r="H484" t="inlineStr">
      <is>
        <t>MT_083</t>
      </is>
    </nc>
  </rcc>
  <rcc rId="2290" sId="2">
    <nc r="H485" t="inlineStr">
      <is>
        <t>MT_084</t>
      </is>
    </nc>
  </rcc>
  <rcc rId="2291" sId="2">
    <nc r="H486" t="inlineStr">
      <is>
        <t>MT_085</t>
      </is>
    </nc>
  </rcc>
  <rcc rId="2292" sId="2">
    <nc r="H487" t="inlineStr">
      <is>
        <t>MT_086</t>
      </is>
    </nc>
  </rcc>
  <rcc rId="2293" sId="2">
    <nc r="H488" t="inlineStr">
      <is>
        <t>MT_009</t>
      </is>
    </nc>
  </rcc>
  <rcc rId="2294" sId="2">
    <nc r="H489" t="inlineStr">
      <is>
        <t>MT_022</t>
      </is>
    </nc>
  </rcc>
  <rcc rId="2295" sId="2">
    <nc r="H490" t="inlineStr">
      <is>
        <t>MT_023</t>
      </is>
    </nc>
  </rcc>
  <rcc rId="2296" sId="2">
    <nc r="H491" t="inlineStr">
      <is>
        <t>MT_024</t>
      </is>
    </nc>
  </rcc>
  <rcc rId="2297" sId="2">
    <nc r="H492" t="inlineStr">
      <is>
        <t>MT_036</t>
      </is>
    </nc>
  </rcc>
  <rcc rId="2298" sId="2">
    <nc r="H493" t="inlineStr">
      <is>
        <t>MT_038</t>
      </is>
    </nc>
  </rcc>
  <rcc rId="2299" sId="2">
    <nc r="H494" t="inlineStr">
      <is>
        <t>MT_040</t>
      </is>
    </nc>
  </rcc>
  <rcc rId="2300" sId="2">
    <nc r="H495" t="inlineStr">
      <is>
        <t>MT_042</t>
      </is>
    </nc>
  </rcc>
  <rcc rId="2301" sId="2">
    <nc r="H496" t="inlineStr">
      <is>
        <t>MT_043</t>
      </is>
    </nc>
  </rcc>
  <rcc rId="2302" sId="2">
    <nc r="H497" t="inlineStr">
      <is>
        <t>MT_045</t>
      </is>
    </nc>
  </rcc>
  <rfmt sheetId="2" sqref="A463:XFD463">
    <dxf>
      <fill>
        <patternFill patternType="none">
          <bgColor auto="1"/>
        </patternFill>
      </fill>
    </dxf>
  </rfmt>
  <rcc rId="2303" sId="2" odxf="1" dxf="1">
    <oc r="B463">
      <f>B462+1</f>
    </oc>
    <nc r="B463">
      <f>B462+1</f>
    </nc>
    <odxf>
      <fill>
        <patternFill patternType="none">
          <bgColor indexed="65"/>
        </patternFill>
      </fill>
    </odxf>
    <ndxf>
      <fill>
        <patternFill patternType="solid">
          <bgColor theme="9" tint="-0.249977111117893"/>
        </patternFill>
      </fill>
    </ndxf>
  </rcc>
  <rfmt sheetId="2" sqref="G463" start="0" length="0">
    <dxf>
      <fill>
        <patternFill patternType="solid">
          <bgColor theme="0" tint="-0.499984740745262"/>
        </patternFill>
      </fill>
    </dxf>
  </rfmt>
  <rfmt sheetId="2" sqref="K463" start="0" length="0">
    <dxf>
      <fill>
        <patternFill patternType="solid">
          <bgColor theme="0" tint="-0.499984740745262"/>
        </patternFill>
      </fill>
    </dxf>
  </rfmt>
  <rfmt sheetId="2" sqref="M463" start="0" length="0">
    <dxf>
      <fill>
        <patternFill patternType="solid">
          <bgColor theme="0" tint="-0.499984740745262"/>
        </patternFill>
      </fill>
    </dxf>
  </rfmt>
  <rfmt sheetId="2" sqref="A480" start="0" length="0">
    <dxf>
      <fill>
        <patternFill patternType="none">
          <bgColor indexed="65"/>
        </patternFill>
      </fill>
    </dxf>
  </rfmt>
  <rcc rId="2304" sId="2">
    <oc r="B480">
      <f>B479+1</f>
    </oc>
    <nc r="B480">
      <f>B479+1</f>
    </nc>
  </rcc>
  <rfmt sheetId="2" sqref="C480" start="0" length="0">
    <dxf>
      <fill>
        <patternFill patternType="none">
          <bgColor indexed="65"/>
        </patternFill>
      </fill>
    </dxf>
  </rfmt>
  <rfmt sheetId="2" sqref="D480" start="0" length="0">
    <dxf>
      <fill>
        <patternFill patternType="none">
          <bgColor indexed="65"/>
        </patternFill>
      </fill>
    </dxf>
  </rfmt>
  <rfmt sheetId="2" sqref="E480" start="0" length="0">
    <dxf>
      <fill>
        <patternFill patternType="none">
          <bgColor indexed="65"/>
        </patternFill>
      </fill>
    </dxf>
  </rfmt>
  <rcc rId="2305" sId="2" odxf="1" dxf="1" quotePrefix="1">
    <nc r="F480" t="inlineStr">
      <is>
        <t>rb.as.toy.cmpuhd.app.asw.custtarball</t>
      </is>
    </nc>
    <ndxf>
      <fill>
        <patternFill patternType="none">
          <bgColor indexed="65"/>
        </patternFill>
      </fill>
    </ndxf>
  </rcc>
  <rfmt sheetId="2" sqref="G480" start="0" length="0">
    <dxf>
      <fill>
        <patternFill>
          <bgColor theme="0" tint="-0.499984740745262"/>
        </patternFill>
      </fill>
    </dxf>
  </rfmt>
  <rcc rId="2306" sId="2" odxf="1" dxf="1">
    <nc r="H480" t="inlineStr">
      <is>
        <t>MT_079</t>
      </is>
    </nc>
    <ndxf>
      <fill>
        <patternFill patternType="none">
          <bgColor indexed="65"/>
        </patternFill>
      </fill>
    </ndxf>
  </rcc>
  <rcc rId="2307" sId="2" odxf="1" dxf="1">
    <nc r="I480" t="inlineStr">
      <is>
        <t>Toyota_TaskInterpol</t>
      </is>
    </nc>
    <ndxf>
      <fill>
        <patternFill patternType="none">
          <bgColor indexed="65"/>
        </patternFill>
      </fill>
    </ndxf>
  </rcc>
  <rcc rId="2308" sId="2" odxf="1" dxf="1">
    <nc r="J480" t="inlineStr">
      <is>
        <t>Delta</t>
      </is>
    </nc>
    <ndxf>
      <fill>
        <patternFill patternType="none">
          <bgColor indexed="65"/>
        </patternFill>
      </fill>
    </ndxf>
  </rcc>
  <rfmt sheetId="2" sqref="K480" start="0" length="0">
    <dxf>
      <fill>
        <patternFill>
          <bgColor theme="0" tint="-0.499984740745262"/>
        </patternFill>
      </fill>
    </dxf>
  </rfmt>
  <rfmt sheetId="2" sqref="L480" start="0" length="0">
    <dxf>
      <fill>
        <patternFill patternType="none">
          <bgColor indexed="65"/>
        </patternFill>
      </fill>
    </dxf>
  </rfmt>
  <rfmt sheetId="2" sqref="M480" start="0" length="0">
    <dxf>
      <fill>
        <patternFill>
          <bgColor theme="0" tint="-0.499984740745262"/>
        </patternFill>
      </fill>
    </dxf>
  </rfmt>
  <rfmt sheetId="2" sqref="N480" start="0" length="0">
    <dxf>
      <fill>
        <patternFill patternType="none">
          <bgColor indexed="65"/>
        </patternFill>
      </fill>
    </dxf>
  </rfmt>
  <rcc rId="2309" sId="2" odxf="1" dxf="1" quotePrefix="1">
    <nc r="O480" t="inlineStr">
      <is>
        <t>1.0</t>
      </is>
    </nc>
    <ndxf>
      <fill>
        <patternFill patternType="none">
          <bgColor indexed="65"/>
        </patternFill>
      </fill>
    </ndxf>
  </rcc>
  <rcc rId="2310" sId="2" odxf="1" dxf="1" quotePrefix="1">
    <nc r="P480" t="inlineStr">
      <is>
        <t>Mounika, Thalluri</t>
      </is>
    </nc>
    <ndxf>
      <fill>
        <patternFill patternType="none">
          <bgColor indexed="65"/>
        </patternFill>
      </fill>
    </ndxf>
  </rcc>
  <rfmt sheetId="2" sqref="Q480" start="0" length="0">
    <dxf>
      <fill>
        <patternFill>
          <bgColor rgb="FFFFFF00"/>
        </patternFill>
      </fill>
    </dxf>
  </rfmt>
  <rcc rId="2311" sId="2" odxf="1" dxf="1">
    <nc r="R480" t="inlineStr">
      <is>
        <t>T&gt;=200</t>
      </is>
    </nc>
    <ndxf>
      <fill>
        <patternFill patternType="none">
          <bgColor indexed="65"/>
        </patternFill>
      </fill>
    </ndxf>
  </rcc>
  <rfmt sheetId="2" sqref="T480" start="0" length="0">
    <dxf>
      <fill>
        <patternFill patternType="none">
          <bgColor indexed="65"/>
        </patternFill>
      </fill>
    </dxf>
  </rfmt>
  <rfmt sheetId="2" sqref="U480" start="0" length="0">
    <dxf>
      <fill>
        <patternFill patternType="none">
          <bgColor indexed="65"/>
        </patternFill>
      </fill>
    </dxf>
  </rfmt>
  <rfmt sheetId="2" sqref="V480" start="0" length="0">
    <dxf>
      <fill>
        <patternFill patternType="none">
          <bgColor indexed="65"/>
        </patternFill>
      </fill>
    </dxf>
  </rfmt>
  <rcc rId="2312" sId="2">
    <nc r="W480">
      <f>ROUND(IF(D480=Table!$C$3,Y480*Table!$C$4/8,Y480*Table!$D$4/8),3)</f>
    </nc>
  </rcc>
  <rfmt sheetId="2" sqref="X480" start="0" length="0">
    <dxf>
      <fill>
        <patternFill patternType="none">
          <bgColor indexed="65"/>
        </patternFill>
      </fill>
    </dxf>
  </rfmt>
  <rcc rId="2313" sId="2">
    <oc r="Y480">
      <f>Z480*8</f>
    </oc>
    <nc r="Y480">
      <v>4.4000000000000004</v>
    </nc>
  </rcc>
  <rfmt sheetId="2" sqref="Z480" start="0" length="0">
    <dxf>
      <fill>
        <patternFill patternType="none">
          <bgColor indexed="65"/>
        </patternFill>
      </fill>
    </dxf>
  </rfmt>
  <rfmt sheetId="2" sqref="AA480" start="0" length="0">
    <dxf>
      <fill>
        <patternFill patternType="none">
          <bgColor indexed="65"/>
        </patternFill>
      </fill>
    </dxf>
  </rfmt>
  <rfmt sheetId="2" sqref="AB480" start="0" length="0">
    <dxf>
      <fill>
        <patternFill patternType="none">
          <bgColor indexed="65"/>
        </patternFill>
      </fill>
    </dxf>
  </rfmt>
  <rfmt sheetId="2" sqref="AC480" start="0" length="0">
    <dxf>
      <fill>
        <patternFill patternType="none">
          <bgColor indexed="65"/>
        </patternFill>
      </fill>
    </dxf>
  </rfmt>
  <rfmt sheetId="2" sqref="AD480" start="0" length="0">
    <dxf>
      <fill>
        <patternFill patternType="none">
          <bgColor indexed="65"/>
        </patternFill>
      </fill>
    </dxf>
  </rfmt>
  <rfmt sheetId="2" sqref="AE480" start="0" length="0">
    <dxf>
      <fill>
        <patternFill patternType="none">
          <bgColor indexed="65"/>
        </patternFill>
      </fill>
    </dxf>
  </rfmt>
  <rfmt sheetId="2" sqref="AF480" start="0" length="0">
    <dxf>
      <fill>
        <patternFill patternType="none">
          <bgColor indexed="65"/>
        </patternFill>
      </fill>
    </dxf>
  </rfmt>
  <rfmt sheetId="2" sqref="AJ480" start="0" length="0">
    <dxf>
      <fill>
        <patternFill patternType="none">
          <bgColor indexed="65"/>
        </patternFill>
      </fill>
    </dxf>
  </rfmt>
  <rfmt sheetId="2" sqref="AL480" start="0" length="0">
    <dxf>
      <fill>
        <patternFill patternType="none">
          <bgColor indexed="65"/>
        </patternFill>
      </fill>
    </dxf>
  </rfmt>
  <rfmt sheetId="2" sqref="AM480" start="0" length="0">
    <dxf>
      <fill>
        <patternFill patternType="none">
          <bgColor indexed="65"/>
        </patternFill>
      </fill>
    </dxf>
  </rfmt>
  <rfmt sheetId="2" sqref="AN480" start="0" length="0">
    <dxf>
      <fill>
        <patternFill patternType="none">
          <bgColor indexed="65"/>
        </patternFill>
      </fill>
    </dxf>
  </rfmt>
  <rfmt sheetId="2" sqref="AR480" start="0" length="0">
    <dxf>
      <fill>
        <patternFill patternType="none">
          <bgColor indexed="65"/>
        </patternFill>
      </fill>
    </dxf>
  </rfmt>
  <rfmt sheetId="2" sqref="AS480" start="0" length="0">
    <dxf>
      <fill>
        <patternFill patternType="none">
          <bgColor indexed="65"/>
        </patternFill>
      </fill>
    </dxf>
  </rfmt>
  <rfmt sheetId="2" sqref="AT480" start="0" length="0">
    <dxf>
      <fill>
        <patternFill patternType="none">
          <bgColor indexed="65"/>
        </patternFill>
      </fill>
    </dxf>
  </rfmt>
  <rfmt sheetId="2" sqref="AU480" start="0" length="0">
    <dxf>
      <fill>
        <patternFill patternType="none">
          <bgColor indexed="65"/>
        </patternFill>
      </fill>
    </dxf>
  </rfmt>
  <rfmt sheetId="2" sqref="AV480" start="0" length="0">
    <dxf>
      <fill>
        <patternFill patternType="none">
          <bgColor indexed="65"/>
        </patternFill>
      </fill>
    </dxf>
  </rfmt>
  <rfmt sheetId="2" sqref="AW480" start="0" length="0">
    <dxf>
      <fill>
        <patternFill patternType="none">
          <bgColor indexed="65"/>
        </patternFill>
      </fill>
    </dxf>
  </rfmt>
  <rfmt sheetId="2" sqref="AX480" start="0" length="0">
    <dxf>
      <fill>
        <patternFill patternType="none">
          <bgColor indexed="65"/>
        </patternFill>
      </fill>
    </dxf>
  </rfmt>
  <rfmt sheetId="2" sqref="AY480" start="0" length="0">
    <dxf>
      <fill>
        <patternFill patternType="none">
          <bgColor indexed="65"/>
        </patternFill>
      </fill>
    </dxf>
  </rfmt>
  <rfmt sheetId="2" sqref="AZ480" start="0" length="0">
    <dxf>
      <fill>
        <patternFill patternType="none">
          <bgColor indexed="65"/>
        </patternFill>
      </fill>
    </dxf>
  </rfmt>
  <rfmt sheetId="2" sqref="BA480" start="0" length="0">
    <dxf>
      <fill>
        <patternFill patternType="none">
          <bgColor indexed="65"/>
        </patternFill>
      </fill>
    </dxf>
  </rfmt>
  <rfmt sheetId="2" sqref="BB480" start="0" length="0">
    <dxf>
      <fill>
        <patternFill patternType="none">
          <bgColor indexed="65"/>
        </patternFill>
      </fill>
    </dxf>
  </rfmt>
  <rfmt sheetId="2" sqref="BC480" start="0" length="0">
    <dxf>
      <fill>
        <patternFill patternType="none">
          <bgColor indexed="65"/>
        </patternFill>
      </fill>
    </dxf>
  </rfmt>
  <rfmt sheetId="2" sqref="BD480" start="0" length="0">
    <dxf>
      <fill>
        <patternFill patternType="none">
          <bgColor indexed="65"/>
        </patternFill>
      </fill>
    </dxf>
  </rfmt>
  <rfmt sheetId="2" sqref="BE480" start="0" length="0">
    <dxf>
      <fill>
        <patternFill patternType="none">
          <bgColor indexed="65"/>
        </patternFill>
      </fill>
    </dxf>
  </rfmt>
  <rfmt sheetId="2" sqref="BF480" start="0" length="0">
    <dxf>
      <fill>
        <patternFill patternType="none">
          <bgColor indexed="65"/>
        </patternFill>
      </fill>
    </dxf>
  </rfmt>
  <rfmt sheetId="2" sqref="BG480" start="0" length="0">
    <dxf>
      <fill>
        <patternFill patternType="none">
          <bgColor indexed="65"/>
        </patternFill>
      </fill>
    </dxf>
  </rfmt>
  <rfmt sheetId="2" sqref="BH480" start="0" length="0">
    <dxf>
      <fill>
        <patternFill patternType="none">
          <bgColor indexed="65"/>
        </patternFill>
      </fill>
    </dxf>
  </rfmt>
  <rfmt sheetId="2" sqref="BI480" start="0" length="0">
    <dxf>
      <fill>
        <patternFill patternType="none">
          <bgColor indexed="65"/>
        </patternFill>
      </fill>
    </dxf>
  </rfmt>
  <rfmt sheetId="2" sqref="BJ480" start="0" length="0">
    <dxf>
      <fill>
        <patternFill patternType="none">
          <bgColor indexed="65"/>
        </patternFill>
      </fill>
    </dxf>
  </rfmt>
  <rfmt sheetId="2" sqref="BK480" start="0" length="0">
    <dxf>
      <fill>
        <patternFill patternType="none">
          <bgColor indexed="65"/>
        </patternFill>
      </fill>
    </dxf>
  </rfmt>
  <rfmt sheetId="2" sqref="BL480" start="0" length="0">
    <dxf>
      <fill>
        <patternFill patternType="none">
          <bgColor indexed="65"/>
        </patternFill>
      </fill>
    </dxf>
  </rfmt>
  <rfmt sheetId="2" sqref="BM480" start="0" length="0">
    <dxf>
      <fill>
        <patternFill patternType="none">
          <bgColor indexed="65"/>
        </patternFill>
      </fill>
    </dxf>
  </rfmt>
  <rfmt sheetId="2" sqref="BN480" start="0" length="0">
    <dxf>
      <fill>
        <patternFill patternType="none">
          <bgColor indexed="65"/>
        </patternFill>
      </fill>
    </dxf>
  </rfmt>
  <rfmt sheetId="2" sqref="BO480" start="0" length="0">
    <dxf>
      <fill>
        <patternFill patternType="none">
          <bgColor indexed="65"/>
        </patternFill>
      </fill>
    </dxf>
  </rfmt>
  <rfmt sheetId="2" sqref="BP480" start="0" length="0">
    <dxf>
      <fill>
        <patternFill patternType="none">
          <bgColor indexed="65"/>
        </patternFill>
      </fill>
    </dxf>
  </rfmt>
  <rfmt sheetId="2" sqref="BQ480" start="0" length="0">
    <dxf>
      <fill>
        <patternFill patternType="none">
          <bgColor indexed="65"/>
        </patternFill>
      </fill>
    </dxf>
  </rfmt>
  <rfmt sheetId="2" sqref="BR480" start="0" length="0">
    <dxf>
      <fill>
        <patternFill patternType="none">
          <bgColor indexed="65"/>
        </patternFill>
      </fill>
    </dxf>
  </rfmt>
  <rfmt sheetId="2" sqref="BS480" start="0" length="0">
    <dxf>
      <fill>
        <patternFill patternType="none">
          <bgColor indexed="65"/>
        </patternFill>
      </fill>
    </dxf>
  </rfmt>
  <rfmt sheetId="2" sqref="BT480" start="0" length="0">
    <dxf>
      <fill>
        <patternFill patternType="none">
          <bgColor indexed="65"/>
        </patternFill>
      </fill>
    </dxf>
  </rfmt>
  <rfmt sheetId="2" sqref="BU480" start="0" length="0">
    <dxf>
      <fill>
        <patternFill patternType="none">
          <bgColor indexed="65"/>
        </patternFill>
      </fill>
    </dxf>
  </rfmt>
  <rfmt sheetId="2" sqref="BV480" start="0" length="0">
    <dxf>
      <fill>
        <patternFill patternType="none">
          <bgColor indexed="65"/>
        </patternFill>
      </fill>
    </dxf>
  </rfmt>
  <rfmt sheetId="2" sqref="BW480" start="0" length="0">
    <dxf>
      <fill>
        <patternFill patternType="none">
          <bgColor indexed="65"/>
        </patternFill>
      </fill>
    </dxf>
  </rfmt>
  <rfmt sheetId="2" sqref="BX480" start="0" length="0">
    <dxf>
      <fill>
        <patternFill patternType="none">
          <bgColor indexed="65"/>
        </patternFill>
      </fill>
    </dxf>
  </rfmt>
  <rfmt sheetId="2" sqref="BY480" start="0" length="0">
    <dxf>
      <fill>
        <patternFill patternType="none">
          <bgColor indexed="65"/>
        </patternFill>
      </fill>
    </dxf>
  </rfmt>
  <rfmt sheetId="2" sqref="BZ480" start="0" length="0">
    <dxf>
      <fill>
        <patternFill patternType="none">
          <bgColor indexed="65"/>
        </patternFill>
      </fill>
    </dxf>
  </rfmt>
  <rfmt sheetId="2" sqref="CA480" start="0" length="0">
    <dxf>
      <fill>
        <patternFill patternType="none">
          <bgColor indexed="65"/>
        </patternFill>
      </fill>
    </dxf>
  </rfmt>
  <rfmt sheetId="2" sqref="CB480" start="0" length="0">
    <dxf>
      <fill>
        <patternFill patternType="none">
          <bgColor indexed="65"/>
        </patternFill>
      </fill>
    </dxf>
  </rfmt>
  <rfmt sheetId="2" sqref="CC480" start="0" length="0">
    <dxf>
      <fill>
        <patternFill patternType="none">
          <bgColor indexed="65"/>
        </patternFill>
      </fill>
    </dxf>
  </rfmt>
  <rfmt sheetId="2" sqref="CD480" start="0" length="0">
    <dxf>
      <fill>
        <patternFill patternType="none">
          <bgColor indexed="65"/>
        </patternFill>
      </fill>
    </dxf>
  </rfmt>
  <rfmt sheetId="2" sqref="CE480" start="0" length="0">
    <dxf>
      <fill>
        <patternFill patternType="none">
          <bgColor indexed="65"/>
        </patternFill>
      </fill>
    </dxf>
  </rfmt>
  <rfmt sheetId="2" sqref="CF480" start="0" length="0">
    <dxf>
      <fill>
        <patternFill patternType="none">
          <bgColor indexed="65"/>
        </patternFill>
      </fill>
    </dxf>
  </rfmt>
  <rfmt sheetId="2" sqref="CG480" start="0" length="0">
    <dxf>
      <fill>
        <patternFill patternType="none">
          <bgColor indexed="65"/>
        </patternFill>
      </fill>
    </dxf>
  </rfmt>
  <rfmt sheetId="2" sqref="CH480" start="0" length="0">
    <dxf>
      <fill>
        <patternFill patternType="none">
          <bgColor indexed="65"/>
        </patternFill>
      </fill>
    </dxf>
  </rfmt>
  <rfmt sheetId="2" sqref="CI480" start="0" length="0">
    <dxf>
      <fill>
        <patternFill patternType="none">
          <bgColor indexed="65"/>
        </patternFill>
      </fill>
    </dxf>
  </rfmt>
  <rfmt sheetId="2" sqref="CJ480" start="0" length="0">
    <dxf>
      <fill>
        <patternFill patternType="none">
          <bgColor indexed="65"/>
        </patternFill>
      </fill>
    </dxf>
  </rfmt>
  <rfmt sheetId="2" sqref="CK480" start="0" length="0">
    <dxf>
      <fill>
        <patternFill patternType="none">
          <bgColor indexed="65"/>
        </patternFill>
      </fill>
    </dxf>
  </rfmt>
  <rfmt sheetId="2" sqref="CL480" start="0" length="0">
    <dxf>
      <fill>
        <patternFill patternType="none">
          <bgColor indexed="65"/>
        </patternFill>
      </fill>
    </dxf>
  </rfmt>
  <rfmt sheetId="2" sqref="CM480" start="0" length="0">
    <dxf>
      <fill>
        <patternFill patternType="none">
          <bgColor indexed="65"/>
        </patternFill>
      </fill>
    </dxf>
  </rfmt>
  <rfmt sheetId="2" sqref="CN480" start="0" length="0">
    <dxf>
      <fill>
        <patternFill patternType="none">
          <bgColor indexed="65"/>
        </patternFill>
      </fill>
    </dxf>
  </rfmt>
  <rfmt sheetId="2" sqref="CO480" start="0" length="0">
    <dxf>
      <fill>
        <patternFill patternType="none">
          <bgColor indexed="65"/>
        </patternFill>
      </fill>
    </dxf>
  </rfmt>
  <rfmt sheetId="2" sqref="CP480" start="0" length="0">
    <dxf>
      <fill>
        <patternFill patternType="none">
          <bgColor indexed="65"/>
        </patternFill>
      </fill>
    </dxf>
  </rfmt>
  <rfmt sheetId="2" sqref="CQ480" start="0" length="0">
    <dxf>
      <fill>
        <patternFill patternType="none">
          <bgColor indexed="65"/>
        </patternFill>
      </fill>
    </dxf>
  </rfmt>
  <rfmt sheetId="2" sqref="CR480" start="0" length="0">
    <dxf>
      <fill>
        <patternFill patternType="none">
          <bgColor indexed="65"/>
        </patternFill>
      </fill>
    </dxf>
  </rfmt>
  <rfmt sheetId="2" sqref="CS480" start="0" length="0">
    <dxf>
      <fill>
        <patternFill patternType="none">
          <bgColor indexed="65"/>
        </patternFill>
      </fill>
    </dxf>
  </rfmt>
  <rfmt sheetId="2" sqref="CT480" start="0" length="0">
    <dxf>
      <fill>
        <patternFill patternType="none">
          <bgColor indexed="65"/>
        </patternFill>
      </fill>
    </dxf>
  </rfmt>
  <rfmt sheetId="2" sqref="CU480" start="0" length="0">
    <dxf>
      <fill>
        <patternFill patternType="none">
          <bgColor indexed="65"/>
        </patternFill>
      </fill>
    </dxf>
  </rfmt>
  <rfmt sheetId="2" sqref="CV480" start="0" length="0">
    <dxf>
      <fill>
        <patternFill patternType="none">
          <bgColor indexed="65"/>
        </patternFill>
      </fill>
    </dxf>
  </rfmt>
  <rfmt sheetId="2" sqref="CW480" start="0" length="0">
    <dxf>
      <fill>
        <patternFill patternType="none">
          <bgColor indexed="65"/>
        </patternFill>
      </fill>
    </dxf>
  </rfmt>
  <rfmt sheetId="2" sqref="CX480" start="0" length="0">
    <dxf>
      <fill>
        <patternFill patternType="none">
          <bgColor indexed="65"/>
        </patternFill>
      </fill>
    </dxf>
  </rfmt>
  <rfmt sheetId="2" sqref="CY480" start="0" length="0">
    <dxf>
      <fill>
        <patternFill patternType="none">
          <bgColor indexed="65"/>
        </patternFill>
      </fill>
    </dxf>
  </rfmt>
  <rfmt sheetId="2" sqref="CZ480" start="0" length="0">
    <dxf>
      <fill>
        <patternFill patternType="none">
          <bgColor indexed="65"/>
        </patternFill>
      </fill>
    </dxf>
  </rfmt>
  <rfmt sheetId="2" sqref="DA480" start="0" length="0">
    <dxf>
      <fill>
        <patternFill patternType="none">
          <bgColor indexed="65"/>
        </patternFill>
      </fill>
    </dxf>
  </rfmt>
  <rfmt sheetId="2" sqref="DB480" start="0" length="0">
    <dxf>
      <fill>
        <patternFill patternType="none">
          <bgColor indexed="65"/>
        </patternFill>
      </fill>
    </dxf>
  </rfmt>
  <rfmt sheetId="2" sqref="DC480" start="0" length="0">
    <dxf>
      <fill>
        <patternFill patternType="none">
          <bgColor indexed="65"/>
        </patternFill>
      </fill>
    </dxf>
  </rfmt>
  <rfmt sheetId="2" sqref="DD480" start="0" length="0">
    <dxf>
      <fill>
        <patternFill patternType="none">
          <bgColor indexed="65"/>
        </patternFill>
      </fill>
    </dxf>
  </rfmt>
  <rfmt sheetId="2" sqref="DE480" start="0" length="0">
    <dxf>
      <fill>
        <patternFill patternType="none">
          <bgColor indexed="65"/>
        </patternFill>
      </fill>
    </dxf>
  </rfmt>
  <rfmt sheetId="2" sqref="DF480" start="0" length="0">
    <dxf>
      <fill>
        <patternFill patternType="none">
          <bgColor indexed="65"/>
        </patternFill>
      </fill>
    </dxf>
  </rfmt>
  <rfmt sheetId="2" sqref="DG480" start="0" length="0">
    <dxf>
      <fill>
        <patternFill patternType="none">
          <bgColor indexed="65"/>
        </patternFill>
      </fill>
    </dxf>
  </rfmt>
  <rfmt sheetId="2" sqref="DH480" start="0" length="0">
    <dxf>
      <fill>
        <patternFill patternType="none">
          <bgColor indexed="65"/>
        </patternFill>
      </fill>
    </dxf>
  </rfmt>
  <rfmt sheetId="2" sqref="DI480" start="0" length="0">
    <dxf>
      <fill>
        <patternFill patternType="none">
          <bgColor indexed="65"/>
        </patternFill>
      </fill>
    </dxf>
  </rfmt>
  <rfmt sheetId="2" sqref="DJ480" start="0" length="0">
    <dxf>
      <fill>
        <patternFill patternType="none">
          <bgColor indexed="65"/>
        </patternFill>
      </fill>
    </dxf>
  </rfmt>
  <rfmt sheetId="2" sqref="DK480" start="0" length="0">
    <dxf>
      <fill>
        <patternFill patternType="none">
          <bgColor indexed="65"/>
        </patternFill>
      </fill>
    </dxf>
  </rfmt>
  <rfmt sheetId="2" sqref="DL480" start="0" length="0">
    <dxf>
      <fill>
        <patternFill patternType="none">
          <bgColor indexed="65"/>
        </patternFill>
      </fill>
    </dxf>
  </rfmt>
  <rfmt sheetId="2" sqref="DM480" start="0" length="0">
    <dxf>
      <fill>
        <patternFill patternType="none">
          <bgColor indexed="65"/>
        </patternFill>
      </fill>
    </dxf>
  </rfmt>
  <rfmt sheetId="2" sqref="DN480" start="0" length="0">
    <dxf>
      <fill>
        <patternFill patternType="none">
          <bgColor indexed="65"/>
        </patternFill>
      </fill>
    </dxf>
  </rfmt>
  <rfmt sheetId="2" sqref="DO480" start="0" length="0">
    <dxf>
      <fill>
        <patternFill patternType="none">
          <bgColor indexed="65"/>
        </patternFill>
      </fill>
    </dxf>
  </rfmt>
  <rfmt sheetId="2" sqref="DP480" start="0" length="0">
    <dxf>
      <fill>
        <patternFill patternType="none">
          <bgColor indexed="65"/>
        </patternFill>
      </fill>
    </dxf>
  </rfmt>
  <rfmt sheetId="2" sqref="DQ480" start="0" length="0">
    <dxf>
      <fill>
        <patternFill patternType="none">
          <bgColor indexed="65"/>
        </patternFill>
      </fill>
    </dxf>
  </rfmt>
  <rfmt sheetId="2" sqref="DR480" start="0" length="0">
    <dxf>
      <fill>
        <patternFill patternType="none">
          <bgColor indexed="65"/>
        </patternFill>
      </fill>
    </dxf>
  </rfmt>
  <rfmt sheetId="2" sqref="DS480" start="0" length="0">
    <dxf>
      <fill>
        <patternFill patternType="none">
          <bgColor indexed="65"/>
        </patternFill>
      </fill>
    </dxf>
  </rfmt>
  <rfmt sheetId="2" sqref="DT480" start="0" length="0">
    <dxf>
      <fill>
        <patternFill patternType="none">
          <bgColor indexed="65"/>
        </patternFill>
      </fill>
    </dxf>
  </rfmt>
  <rfmt sheetId="2" sqref="DU480" start="0" length="0">
    <dxf>
      <fill>
        <patternFill patternType="none">
          <bgColor indexed="65"/>
        </patternFill>
      </fill>
    </dxf>
  </rfmt>
  <rfmt sheetId="2" sqref="DV480" start="0" length="0">
    <dxf>
      <fill>
        <patternFill patternType="none">
          <bgColor indexed="65"/>
        </patternFill>
      </fill>
    </dxf>
  </rfmt>
  <rfmt sheetId="2" sqref="DW480" start="0" length="0">
    <dxf>
      <fill>
        <patternFill patternType="none">
          <bgColor indexed="65"/>
        </patternFill>
      </fill>
    </dxf>
  </rfmt>
  <rfmt sheetId="2" sqref="DX480" start="0" length="0">
    <dxf>
      <fill>
        <patternFill patternType="none">
          <bgColor indexed="65"/>
        </patternFill>
      </fill>
    </dxf>
  </rfmt>
  <rfmt sheetId="2" sqref="DY480" start="0" length="0">
    <dxf>
      <fill>
        <patternFill patternType="none">
          <bgColor indexed="65"/>
        </patternFill>
      </fill>
    </dxf>
  </rfmt>
  <rfmt sheetId="2" sqref="DZ480" start="0" length="0">
    <dxf>
      <fill>
        <patternFill patternType="none">
          <bgColor indexed="65"/>
        </patternFill>
      </fill>
    </dxf>
  </rfmt>
  <rfmt sheetId="2" sqref="EA480" start="0" length="0">
    <dxf>
      <fill>
        <patternFill patternType="none">
          <bgColor indexed="65"/>
        </patternFill>
      </fill>
    </dxf>
  </rfmt>
  <rfmt sheetId="2" sqref="EB480" start="0" length="0">
    <dxf>
      <fill>
        <patternFill patternType="none">
          <bgColor indexed="65"/>
        </patternFill>
      </fill>
    </dxf>
  </rfmt>
  <rfmt sheetId="2" sqref="EC480" start="0" length="0">
    <dxf>
      <fill>
        <patternFill patternType="none">
          <bgColor indexed="65"/>
        </patternFill>
      </fill>
    </dxf>
  </rfmt>
  <rfmt sheetId="2" sqref="ED480" start="0" length="0">
    <dxf>
      <fill>
        <patternFill patternType="none">
          <bgColor indexed="65"/>
        </patternFill>
      </fill>
    </dxf>
  </rfmt>
  <rfmt sheetId="2" sqref="EE480" start="0" length="0">
    <dxf>
      <fill>
        <patternFill patternType="none">
          <bgColor indexed="65"/>
        </patternFill>
      </fill>
    </dxf>
  </rfmt>
  <rfmt sheetId="2" sqref="EF480" start="0" length="0">
    <dxf>
      <fill>
        <patternFill patternType="none">
          <bgColor indexed="65"/>
        </patternFill>
      </fill>
    </dxf>
  </rfmt>
  <rfmt sheetId="2" sqref="EG480" start="0" length="0">
    <dxf>
      <fill>
        <patternFill patternType="none">
          <bgColor indexed="65"/>
        </patternFill>
      </fill>
    </dxf>
  </rfmt>
  <rfmt sheetId="2" sqref="EH480" start="0" length="0">
    <dxf>
      <fill>
        <patternFill patternType="none">
          <bgColor indexed="65"/>
        </patternFill>
      </fill>
    </dxf>
  </rfmt>
  <rfmt sheetId="2" sqref="EI480" start="0" length="0">
    <dxf>
      <fill>
        <patternFill patternType="none">
          <bgColor indexed="65"/>
        </patternFill>
      </fill>
    </dxf>
  </rfmt>
  <rfmt sheetId="2" sqref="EJ480" start="0" length="0">
    <dxf>
      <fill>
        <patternFill patternType="none">
          <bgColor indexed="65"/>
        </patternFill>
      </fill>
    </dxf>
  </rfmt>
  <rfmt sheetId="2" sqref="EK480" start="0" length="0">
    <dxf>
      <fill>
        <patternFill patternType="none">
          <bgColor indexed="65"/>
        </patternFill>
      </fill>
    </dxf>
  </rfmt>
  <rfmt sheetId="2" sqref="EL480" start="0" length="0">
    <dxf>
      <fill>
        <patternFill patternType="none">
          <bgColor indexed="65"/>
        </patternFill>
      </fill>
    </dxf>
  </rfmt>
  <rfmt sheetId="2" sqref="EM480" start="0" length="0">
    <dxf>
      <fill>
        <patternFill patternType="none">
          <bgColor indexed="65"/>
        </patternFill>
      </fill>
    </dxf>
  </rfmt>
  <rfmt sheetId="2" sqref="EN480" start="0" length="0">
    <dxf>
      <fill>
        <patternFill patternType="none">
          <bgColor indexed="65"/>
        </patternFill>
      </fill>
    </dxf>
  </rfmt>
  <rfmt sheetId="2" sqref="EO480" start="0" length="0">
    <dxf>
      <fill>
        <patternFill patternType="none">
          <bgColor indexed="65"/>
        </patternFill>
      </fill>
    </dxf>
  </rfmt>
  <rfmt sheetId="2" sqref="EP480" start="0" length="0">
    <dxf>
      <fill>
        <patternFill patternType="none">
          <bgColor indexed="65"/>
        </patternFill>
      </fill>
    </dxf>
  </rfmt>
  <rfmt sheetId="2" sqref="EQ480" start="0" length="0">
    <dxf>
      <fill>
        <patternFill patternType="none">
          <bgColor indexed="65"/>
        </patternFill>
      </fill>
    </dxf>
  </rfmt>
  <rfmt sheetId="2" sqref="ER480" start="0" length="0">
    <dxf>
      <fill>
        <patternFill patternType="none">
          <bgColor indexed="65"/>
        </patternFill>
      </fill>
    </dxf>
  </rfmt>
  <rfmt sheetId="2" sqref="ES480" start="0" length="0">
    <dxf>
      <fill>
        <patternFill patternType="none">
          <bgColor indexed="65"/>
        </patternFill>
      </fill>
    </dxf>
  </rfmt>
  <rfmt sheetId="2" sqref="ET480" start="0" length="0">
    <dxf>
      <fill>
        <patternFill patternType="none">
          <bgColor indexed="65"/>
        </patternFill>
      </fill>
    </dxf>
  </rfmt>
  <rfmt sheetId="2" sqref="EU480" start="0" length="0">
    <dxf>
      <fill>
        <patternFill patternType="none">
          <bgColor indexed="65"/>
        </patternFill>
      </fill>
    </dxf>
  </rfmt>
  <rfmt sheetId="2" sqref="EV480" start="0" length="0">
    <dxf>
      <fill>
        <patternFill patternType="none">
          <bgColor indexed="65"/>
        </patternFill>
      </fill>
    </dxf>
  </rfmt>
  <rfmt sheetId="2" sqref="EW480" start="0" length="0">
    <dxf>
      <fill>
        <patternFill patternType="none">
          <bgColor indexed="65"/>
        </patternFill>
      </fill>
    </dxf>
  </rfmt>
  <rfmt sheetId="2" sqref="EX480" start="0" length="0">
    <dxf>
      <fill>
        <patternFill patternType="none">
          <bgColor indexed="65"/>
        </patternFill>
      </fill>
    </dxf>
  </rfmt>
  <rfmt sheetId="2" sqref="EY480" start="0" length="0">
    <dxf>
      <fill>
        <patternFill patternType="none">
          <bgColor indexed="65"/>
        </patternFill>
      </fill>
    </dxf>
  </rfmt>
  <rfmt sheetId="2" sqref="EZ480" start="0" length="0">
    <dxf>
      <fill>
        <patternFill patternType="none">
          <bgColor indexed="65"/>
        </patternFill>
      </fill>
    </dxf>
  </rfmt>
  <rfmt sheetId="2" sqref="FA480" start="0" length="0">
    <dxf>
      <fill>
        <patternFill patternType="none">
          <bgColor indexed="65"/>
        </patternFill>
      </fill>
    </dxf>
  </rfmt>
  <rfmt sheetId="2" sqref="FB480" start="0" length="0">
    <dxf>
      <fill>
        <patternFill patternType="none">
          <bgColor indexed="65"/>
        </patternFill>
      </fill>
    </dxf>
  </rfmt>
  <rfmt sheetId="2" sqref="FC480" start="0" length="0">
    <dxf>
      <fill>
        <patternFill patternType="none">
          <bgColor indexed="65"/>
        </patternFill>
      </fill>
    </dxf>
  </rfmt>
  <rfmt sheetId="2" sqref="FD480" start="0" length="0">
    <dxf>
      <fill>
        <patternFill patternType="none">
          <bgColor indexed="65"/>
        </patternFill>
      </fill>
    </dxf>
  </rfmt>
  <rfmt sheetId="2" sqref="FE480" start="0" length="0">
    <dxf>
      <fill>
        <patternFill patternType="none">
          <bgColor indexed="65"/>
        </patternFill>
      </fill>
    </dxf>
  </rfmt>
  <rfmt sheetId="2" sqref="FF480" start="0" length="0">
    <dxf>
      <fill>
        <patternFill patternType="none">
          <bgColor indexed="65"/>
        </patternFill>
      </fill>
    </dxf>
  </rfmt>
  <rfmt sheetId="2" sqref="FG480" start="0" length="0">
    <dxf>
      <fill>
        <patternFill patternType="none">
          <bgColor indexed="65"/>
        </patternFill>
      </fill>
    </dxf>
  </rfmt>
  <rfmt sheetId="2" sqref="FH480" start="0" length="0">
    <dxf>
      <fill>
        <patternFill patternType="none">
          <bgColor indexed="65"/>
        </patternFill>
      </fill>
    </dxf>
  </rfmt>
  <rfmt sheetId="2" sqref="FI480" start="0" length="0">
    <dxf>
      <fill>
        <patternFill patternType="none">
          <bgColor indexed="65"/>
        </patternFill>
      </fill>
    </dxf>
  </rfmt>
  <rfmt sheetId="2" sqref="FJ480" start="0" length="0">
    <dxf>
      <fill>
        <patternFill patternType="none">
          <bgColor indexed="65"/>
        </patternFill>
      </fill>
    </dxf>
  </rfmt>
  <rfmt sheetId="2" sqref="FK480" start="0" length="0">
    <dxf>
      <fill>
        <patternFill patternType="none">
          <bgColor indexed="65"/>
        </patternFill>
      </fill>
    </dxf>
  </rfmt>
  <rfmt sheetId="2" sqref="FL480" start="0" length="0">
    <dxf>
      <fill>
        <patternFill patternType="none">
          <bgColor indexed="65"/>
        </patternFill>
      </fill>
    </dxf>
  </rfmt>
  <rfmt sheetId="2" sqref="FM480" start="0" length="0">
    <dxf>
      <fill>
        <patternFill patternType="none">
          <bgColor indexed="65"/>
        </patternFill>
      </fill>
    </dxf>
  </rfmt>
  <rfmt sheetId="2" sqref="FN480" start="0" length="0">
    <dxf>
      <fill>
        <patternFill patternType="none">
          <bgColor indexed="65"/>
        </patternFill>
      </fill>
    </dxf>
  </rfmt>
  <rfmt sheetId="2" sqref="FO480" start="0" length="0">
    <dxf>
      <fill>
        <patternFill patternType="none">
          <bgColor indexed="65"/>
        </patternFill>
      </fill>
    </dxf>
  </rfmt>
  <rfmt sheetId="2" sqref="FP480" start="0" length="0">
    <dxf>
      <fill>
        <patternFill patternType="none">
          <bgColor indexed="65"/>
        </patternFill>
      </fill>
    </dxf>
  </rfmt>
  <rfmt sheetId="2" sqref="FQ480" start="0" length="0">
    <dxf>
      <fill>
        <patternFill patternType="none">
          <bgColor indexed="65"/>
        </patternFill>
      </fill>
    </dxf>
  </rfmt>
  <rfmt sheetId="2" sqref="FR480" start="0" length="0">
    <dxf>
      <fill>
        <patternFill patternType="none">
          <bgColor indexed="65"/>
        </patternFill>
      </fill>
    </dxf>
  </rfmt>
  <rfmt sheetId="2" sqref="FS480" start="0" length="0">
    <dxf>
      <fill>
        <patternFill patternType="none">
          <bgColor indexed="65"/>
        </patternFill>
      </fill>
    </dxf>
  </rfmt>
  <rfmt sheetId="2" sqref="FT480" start="0" length="0">
    <dxf>
      <fill>
        <patternFill patternType="none">
          <bgColor indexed="65"/>
        </patternFill>
      </fill>
    </dxf>
  </rfmt>
  <rfmt sheetId="2" sqref="FU480" start="0" length="0">
    <dxf>
      <fill>
        <patternFill patternType="none">
          <bgColor indexed="65"/>
        </patternFill>
      </fill>
    </dxf>
  </rfmt>
  <rfmt sheetId="2" sqref="FV480" start="0" length="0">
    <dxf>
      <fill>
        <patternFill patternType="none">
          <bgColor indexed="65"/>
        </patternFill>
      </fill>
    </dxf>
  </rfmt>
  <rfmt sheetId="2" sqref="FW480" start="0" length="0">
    <dxf>
      <fill>
        <patternFill patternType="none">
          <bgColor indexed="65"/>
        </patternFill>
      </fill>
    </dxf>
  </rfmt>
  <rfmt sheetId="2" sqref="FX480" start="0" length="0">
    <dxf>
      <fill>
        <patternFill patternType="none">
          <bgColor indexed="65"/>
        </patternFill>
      </fill>
    </dxf>
  </rfmt>
  <rfmt sheetId="2" sqref="FY480" start="0" length="0">
    <dxf>
      <fill>
        <patternFill patternType="none">
          <bgColor indexed="65"/>
        </patternFill>
      </fill>
    </dxf>
  </rfmt>
  <rfmt sheetId="2" sqref="FZ480" start="0" length="0">
    <dxf>
      <fill>
        <patternFill patternType="none">
          <bgColor indexed="65"/>
        </patternFill>
      </fill>
    </dxf>
  </rfmt>
  <rfmt sheetId="2" sqref="GA480" start="0" length="0">
    <dxf>
      <fill>
        <patternFill patternType="none">
          <bgColor indexed="65"/>
        </patternFill>
      </fill>
    </dxf>
  </rfmt>
  <rfmt sheetId="2" sqref="GB480" start="0" length="0">
    <dxf>
      <fill>
        <patternFill patternType="none">
          <bgColor indexed="65"/>
        </patternFill>
      </fill>
    </dxf>
  </rfmt>
  <rfmt sheetId="2" sqref="GC480" start="0" length="0">
    <dxf>
      <fill>
        <patternFill patternType="none">
          <bgColor indexed="65"/>
        </patternFill>
      </fill>
    </dxf>
  </rfmt>
  <rfmt sheetId="2" sqref="GD480" start="0" length="0">
    <dxf>
      <fill>
        <patternFill patternType="none">
          <bgColor indexed="65"/>
        </patternFill>
      </fill>
    </dxf>
  </rfmt>
  <rfmt sheetId="2" sqref="GE480" start="0" length="0">
    <dxf>
      <fill>
        <patternFill patternType="none">
          <bgColor indexed="65"/>
        </patternFill>
      </fill>
    </dxf>
  </rfmt>
  <rfmt sheetId="2" sqref="GF480" start="0" length="0">
    <dxf>
      <fill>
        <patternFill patternType="none">
          <bgColor indexed="65"/>
        </patternFill>
      </fill>
    </dxf>
  </rfmt>
  <rfmt sheetId="2" sqref="GG480" start="0" length="0">
    <dxf>
      <fill>
        <patternFill patternType="none">
          <bgColor indexed="65"/>
        </patternFill>
      </fill>
    </dxf>
  </rfmt>
  <rfmt sheetId="2" sqref="GH480" start="0" length="0">
    <dxf>
      <fill>
        <patternFill patternType="none">
          <bgColor indexed="65"/>
        </patternFill>
      </fill>
    </dxf>
  </rfmt>
  <rfmt sheetId="2" sqref="GI480" start="0" length="0">
    <dxf>
      <fill>
        <patternFill patternType="none">
          <bgColor indexed="65"/>
        </patternFill>
      </fill>
    </dxf>
  </rfmt>
  <rfmt sheetId="2" sqref="GJ480" start="0" length="0">
    <dxf>
      <fill>
        <patternFill patternType="none">
          <bgColor indexed="65"/>
        </patternFill>
      </fill>
    </dxf>
  </rfmt>
  <rfmt sheetId="2" sqref="GK480" start="0" length="0">
    <dxf>
      <fill>
        <patternFill patternType="none">
          <bgColor indexed="65"/>
        </patternFill>
      </fill>
    </dxf>
  </rfmt>
  <rfmt sheetId="2" sqref="GL480" start="0" length="0">
    <dxf>
      <fill>
        <patternFill patternType="none">
          <bgColor indexed="65"/>
        </patternFill>
      </fill>
    </dxf>
  </rfmt>
  <rfmt sheetId="2" sqref="GM480" start="0" length="0">
    <dxf>
      <fill>
        <patternFill patternType="none">
          <bgColor indexed="65"/>
        </patternFill>
      </fill>
    </dxf>
  </rfmt>
  <rfmt sheetId="2" sqref="GN480" start="0" length="0">
    <dxf>
      <fill>
        <patternFill patternType="none">
          <bgColor indexed="65"/>
        </patternFill>
      </fill>
    </dxf>
  </rfmt>
  <rfmt sheetId="2" sqref="GO480" start="0" length="0">
    <dxf>
      <fill>
        <patternFill patternType="none">
          <bgColor indexed="65"/>
        </patternFill>
      </fill>
    </dxf>
  </rfmt>
  <rfmt sheetId="2" sqref="GP480" start="0" length="0">
    <dxf>
      <fill>
        <patternFill patternType="none">
          <bgColor indexed="65"/>
        </patternFill>
      </fill>
    </dxf>
  </rfmt>
  <rfmt sheetId="2" sqref="GQ480" start="0" length="0">
    <dxf>
      <fill>
        <patternFill patternType="none">
          <bgColor indexed="65"/>
        </patternFill>
      </fill>
    </dxf>
  </rfmt>
  <rfmt sheetId="2" sqref="GR480" start="0" length="0">
    <dxf>
      <fill>
        <patternFill patternType="none">
          <bgColor indexed="65"/>
        </patternFill>
      </fill>
    </dxf>
  </rfmt>
  <rfmt sheetId="2" sqref="GS480" start="0" length="0">
    <dxf>
      <fill>
        <patternFill patternType="none">
          <bgColor indexed="65"/>
        </patternFill>
      </fill>
    </dxf>
  </rfmt>
  <rfmt sheetId="2" sqref="GT480" start="0" length="0">
    <dxf>
      <fill>
        <patternFill patternType="none">
          <bgColor indexed="65"/>
        </patternFill>
      </fill>
    </dxf>
  </rfmt>
  <rfmt sheetId="2" sqref="GU480" start="0" length="0">
    <dxf>
      <fill>
        <patternFill patternType="none">
          <bgColor indexed="65"/>
        </patternFill>
      </fill>
    </dxf>
  </rfmt>
  <rfmt sheetId="2" sqref="GV480" start="0" length="0">
    <dxf>
      <fill>
        <patternFill patternType="none">
          <bgColor indexed="65"/>
        </patternFill>
      </fill>
    </dxf>
  </rfmt>
  <rfmt sheetId="2" sqref="GW480" start="0" length="0">
    <dxf>
      <fill>
        <patternFill patternType="none">
          <bgColor indexed="65"/>
        </patternFill>
      </fill>
    </dxf>
  </rfmt>
  <rfmt sheetId="2" sqref="GX480" start="0" length="0">
    <dxf>
      <fill>
        <patternFill patternType="none">
          <bgColor indexed="65"/>
        </patternFill>
      </fill>
    </dxf>
  </rfmt>
  <rfmt sheetId="2" sqref="GY480" start="0" length="0">
    <dxf>
      <fill>
        <patternFill patternType="none">
          <bgColor indexed="65"/>
        </patternFill>
      </fill>
    </dxf>
  </rfmt>
  <rfmt sheetId="2" sqref="GZ480" start="0" length="0">
    <dxf>
      <fill>
        <patternFill patternType="none">
          <bgColor indexed="65"/>
        </patternFill>
      </fill>
    </dxf>
  </rfmt>
  <rfmt sheetId="2" sqref="HA480" start="0" length="0">
    <dxf>
      <fill>
        <patternFill patternType="none">
          <bgColor indexed="65"/>
        </patternFill>
      </fill>
    </dxf>
  </rfmt>
  <rfmt sheetId="2" sqref="HB480" start="0" length="0">
    <dxf>
      <fill>
        <patternFill patternType="none">
          <bgColor indexed="65"/>
        </patternFill>
      </fill>
    </dxf>
  </rfmt>
  <rfmt sheetId="2" sqref="HC480" start="0" length="0">
    <dxf>
      <fill>
        <patternFill patternType="none">
          <bgColor indexed="65"/>
        </patternFill>
      </fill>
    </dxf>
  </rfmt>
  <rfmt sheetId="2" sqref="HD480" start="0" length="0">
    <dxf>
      <fill>
        <patternFill patternType="none">
          <bgColor indexed="65"/>
        </patternFill>
      </fill>
    </dxf>
  </rfmt>
  <rfmt sheetId="2" sqref="HE480" start="0" length="0">
    <dxf>
      <fill>
        <patternFill patternType="none">
          <bgColor indexed="65"/>
        </patternFill>
      </fill>
    </dxf>
  </rfmt>
  <rfmt sheetId="2" sqref="HF480" start="0" length="0">
    <dxf>
      <fill>
        <patternFill patternType="none">
          <bgColor indexed="65"/>
        </patternFill>
      </fill>
    </dxf>
  </rfmt>
  <rfmt sheetId="2" sqref="HG480" start="0" length="0">
    <dxf>
      <fill>
        <patternFill patternType="none">
          <bgColor indexed="65"/>
        </patternFill>
      </fill>
    </dxf>
  </rfmt>
  <rfmt sheetId="2" sqref="HH480" start="0" length="0">
    <dxf>
      <fill>
        <patternFill patternType="none">
          <bgColor indexed="65"/>
        </patternFill>
      </fill>
    </dxf>
  </rfmt>
  <rfmt sheetId="2" sqref="HI480" start="0" length="0">
    <dxf>
      <fill>
        <patternFill patternType="none">
          <bgColor indexed="65"/>
        </patternFill>
      </fill>
    </dxf>
  </rfmt>
  <rfmt sheetId="2" sqref="HJ480" start="0" length="0">
    <dxf>
      <fill>
        <patternFill patternType="none">
          <bgColor indexed="65"/>
        </patternFill>
      </fill>
    </dxf>
  </rfmt>
  <rfmt sheetId="2" sqref="HK480" start="0" length="0">
    <dxf>
      <fill>
        <patternFill patternType="none">
          <bgColor indexed="65"/>
        </patternFill>
      </fill>
    </dxf>
  </rfmt>
  <rfmt sheetId="2" sqref="HL480" start="0" length="0">
    <dxf>
      <fill>
        <patternFill patternType="none">
          <bgColor indexed="65"/>
        </patternFill>
      </fill>
    </dxf>
  </rfmt>
  <rfmt sheetId="2" sqref="HM480" start="0" length="0">
    <dxf>
      <fill>
        <patternFill patternType="none">
          <bgColor indexed="65"/>
        </patternFill>
      </fill>
    </dxf>
  </rfmt>
  <rfmt sheetId="2" sqref="HN480" start="0" length="0">
    <dxf>
      <fill>
        <patternFill patternType="none">
          <bgColor indexed="65"/>
        </patternFill>
      </fill>
    </dxf>
  </rfmt>
  <rfmt sheetId="2" sqref="HO480" start="0" length="0">
    <dxf>
      <fill>
        <patternFill patternType="none">
          <bgColor indexed="65"/>
        </patternFill>
      </fill>
    </dxf>
  </rfmt>
  <rfmt sheetId="2" sqref="HP480" start="0" length="0">
    <dxf>
      <fill>
        <patternFill patternType="none">
          <bgColor indexed="65"/>
        </patternFill>
      </fill>
    </dxf>
  </rfmt>
  <rfmt sheetId="2" sqref="HQ480" start="0" length="0">
    <dxf>
      <fill>
        <patternFill patternType="none">
          <bgColor indexed="65"/>
        </patternFill>
      </fill>
    </dxf>
  </rfmt>
  <rfmt sheetId="2" sqref="HR480" start="0" length="0">
    <dxf>
      <fill>
        <patternFill patternType="none">
          <bgColor indexed="65"/>
        </patternFill>
      </fill>
    </dxf>
  </rfmt>
  <rfmt sheetId="2" sqref="HS480" start="0" length="0">
    <dxf>
      <fill>
        <patternFill patternType="none">
          <bgColor indexed="65"/>
        </patternFill>
      </fill>
    </dxf>
  </rfmt>
  <rfmt sheetId="2" sqref="HT480" start="0" length="0">
    <dxf>
      <fill>
        <patternFill patternType="none">
          <bgColor indexed="65"/>
        </patternFill>
      </fill>
    </dxf>
  </rfmt>
  <rfmt sheetId="2" sqref="HU480" start="0" length="0">
    <dxf>
      <fill>
        <patternFill patternType="none">
          <bgColor indexed="65"/>
        </patternFill>
      </fill>
    </dxf>
  </rfmt>
  <rfmt sheetId="2" sqref="A480:XFD480" start="0" length="0">
    <dxf>
      <fill>
        <patternFill patternType="none">
          <bgColor indexed="65"/>
        </patternFill>
      </fill>
    </dxf>
  </rfmt>
  <rcc rId="2314" sId="2" quotePrefix="1">
    <nc r="L449" t="inlineStr">
      <is>
        <t>BB82421</t>
      </is>
    </nc>
  </rcc>
  <rcc rId="2315" sId="2" quotePrefix="1">
    <nc r="L450" t="inlineStr">
      <is>
        <t>BB82421</t>
      </is>
    </nc>
  </rcc>
  <rcc rId="2316" sId="2" quotePrefix="1">
    <nc r="L451" t="inlineStr">
      <is>
        <t>BB82421</t>
      </is>
    </nc>
  </rcc>
  <rcc rId="2317" sId="2" quotePrefix="1">
    <nc r="L452" t="inlineStr">
      <is>
        <t>BB82421</t>
      </is>
    </nc>
  </rcc>
  <rcc rId="2318" sId="2" quotePrefix="1">
    <nc r="L453" t="inlineStr">
      <is>
        <t>BB82421</t>
      </is>
    </nc>
  </rcc>
  <rcc rId="2319" sId="2" quotePrefix="1">
    <nc r="L454" t="inlineStr">
      <is>
        <t>BB82421</t>
      </is>
    </nc>
  </rcc>
  <rcc rId="2320" sId="2" quotePrefix="1">
    <nc r="L455" t="inlineStr">
      <is>
        <t>BB82421</t>
      </is>
    </nc>
  </rcc>
  <rcc rId="2321" sId="2" quotePrefix="1">
    <nc r="L456" t="inlineStr">
      <is>
        <t>BB82421</t>
      </is>
    </nc>
  </rcc>
  <rcc rId="2322" sId="2" quotePrefix="1">
    <nc r="L457" t="inlineStr">
      <is>
        <t>BB82421</t>
      </is>
    </nc>
  </rcc>
  <rcc rId="2323" sId="2" quotePrefix="1">
    <nc r="L458" t="inlineStr">
      <is>
        <t>BB82421</t>
      </is>
    </nc>
  </rcc>
  <rcc rId="2324" sId="2" quotePrefix="1">
    <nc r="L459" t="inlineStr">
      <is>
        <t>BB82421</t>
      </is>
    </nc>
  </rcc>
  <rcc rId="2325" sId="2" quotePrefix="1">
    <nc r="L460" t="inlineStr">
      <is>
        <t>BB82421</t>
      </is>
    </nc>
  </rcc>
  <rcc rId="2326" sId="2" quotePrefix="1">
    <nc r="L461" t="inlineStr">
      <is>
        <t>BB82421</t>
      </is>
    </nc>
  </rcc>
  <rcc rId="2327" sId="2" quotePrefix="1">
    <nc r="L462" t="inlineStr">
      <is>
        <t>BB82421</t>
      </is>
    </nc>
  </rcc>
  <rcc rId="2328" sId="2" quotePrefix="1">
    <nc r="L463" t="inlineStr">
      <is>
        <t>BB82421</t>
      </is>
    </nc>
  </rcc>
  <rcc rId="2329" sId="2" quotePrefix="1">
    <nc r="L464" t="inlineStr">
      <is>
        <t>BB82421</t>
      </is>
    </nc>
  </rcc>
  <rcc rId="2330" sId="2" quotePrefix="1">
    <nc r="L465" t="inlineStr">
      <is>
        <t>BB82421</t>
      </is>
    </nc>
  </rcc>
  <rcc rId="2331" sId="2" quotePrefix="1">
    <nc r="L466" t="inlineStr">
      <is>
        <t>BB82421</t>
      </is>
    </nc>
  </rcc>
  <rcc rId="2332" sId="2" quotePrefix="1">
    <nc r="L467" t="inlineStr">
      <is>
        <t>BB82421</t>
      </is>
    </nc>
  </rcc>
  <rcc rId="2333" sId="2" quotePrefix="1">
    <nc r="L468" t="inlineStr">
      <is>
        <t>BB82421</t>
      </is>
    </nc>
  </rcc>
  <rcc rId="2334" sId="2" quotePrefix="1">
    <nc r="L469" t="inlineStr">
      <is>
        <t>BB82421</t>
      </is>
    </nc>
  </rcc>
  <rcc rId="2335" sId="2" quotePrefix="1">
    <nc r="L470" t="inlineStr">
      <is>
        <t>BB82421</t>
      </is>
    </nc>
  </rcc>
  <rcc rId="2336" sId="2" quotePrefix="1">
    <nc r="L471" t="inlineStr">
      <is>
        <t>BB82421</t>
      </is>
    </nc>
  </rcc>
  <rcc rId="2337" sId="2" quotePrefix="1">
    <nc r="L472" t="inlineStr">
      <is>
        <t>BB82421</t>
      </is>
    </nc>
  </rcc>
  <rcc rId="2338" sId="2" quotePrefix="1">
    <nc r="L473" t="inlineStr">
      <is>
        <t>BB82421</t>
      </is>
    </nc>
  </rcc>
  <rcc rId="2339" sId="2" quotePrefix="1">
    <nc r="L474" t="inlineStr">
      <is>
        <t>BB82421</t>
      </is>
    </nc>
  </rcc>
  <rcc rId="2340" sId="2" quotePrefix="1">
    <nc r="L475" t="inlineStr">
      <is>
        <t>BB82421</t>
      </is>
    </nc>
  </rcc>
  <rcc rId="2341" sId="2" quotePrefix="1">
    <nc r="L476" t="inlineStr">
      <is>
        <t>BB82421</t>
      </is>
    </nc>
  </rcc>
  <rcc rId="2342" sId="2" quotePrefix="1">
    <nc r="L477" t="inlineStr">
      <is>
        <t>BB82421</t>
      </is>
    </nc>
  </rcc>
  <rcc rId="2343" sId="2" quotePrefix="1">
    <nc r="L478" t="inlineStr">
      <is>
        <t>BB82421</t>
      </is>
    </nc>
  </rcc>
  <rcc rId="2344" sId="2" quotePrefix="1">
    <nc r="L479" t="inlineStr">
      <is>
        <t>BB82421</t>
      </is>
    </nc>
  </rcc>
  <rcc rId="2345" sId="2" quotePrefix="1">
    <nc r="L480" t="inlineStr">
      <is>
        <t>BB82421</t>
      </is>
    </nc>
  </rcc>
  <rcc rId="2346" sId="2" quotePrefix="1">
    <nc r="L481" t="inlineStr">
      <is>
        <t>BB82421</t>
      </is>
    </nc>
  </rcc>
  <rcc rId="2347" sId="2" quotePrefix="1">
    <nc r="L482" t="inlineStr">
      <is>
        <t>BB82421</t>
      </is>
    </nc>
  </rcc>
  <rcc rId="2348" sId="2" quotePrefix="1">
    <nc r="L483" t="inlineStr">
      <is>
        <t>BB82421</t>
      </is>
    </nc>
  </rcc>
  <rcc rId="2349" sId="2" quotePrefix="1">
    <nc r="L484" t="inlineStr">
      <is>
        <t>BB82421</t>
      </is>
    </nc>
  </rcc>
  <rcc rId="2350" sId="2" quotePrefix="1">
    <nc r="L485" t="inlineStr">
      <is>
        <t>BB82421</t>
      </is>
    </nc>
  </rcc>
  <rcc rId="2351" sId="2" quotePrefix="1">
    <nc r="L486" t="inlineStr">
      <is>
        <t>BB82421</t>
      </is>
    </nc>
  </rcc>
  <rcc rId="2352" sId="2" quotePrefix="1">
    <nc r="L487" t="inlineStr">
      <is>
        <t>BB82421</t>
      </is>
    </nc>
  </rcc>
  <rcc rId="2353" sId="2" quotePrefix="1">
    <nc r="L488" t="inlineStr">
      <is>
        <t>BB82421</t>
      </is>
    </nc>
  </rcc>
  <rcc rId="2354" sId="2" quotePrefix="1">
    <nc r="L489" t="inlineStr">
      <is>
        <t>BB82421</t>
      </is>
    </nc>
  </rcc>
  <rcc rId="2355" sId="2" quotePrefix="1">
    <nc r="L490" t="inlineStr">
      <is>
        <t>BB82421</t>
      </is>
    </nc>
  </rcc>
  <rcc rId="2356" sId="2" quotePrefix="1">
    <nc r="L491" t="inlineStr">
      <is>
        <t>BB82421</t>
      </is>
    </nc>
  </rcc>
  <rcc rId="2357" sId="2" quotePrefix="1">
    <nc r="L492" t="inlineStr">
      <is>
        <t>BB82421</t>
      </is>
    </nc>
  </rcc>
  <rcc rId="2358" sId="2" quotePrefix="1">
    <nc r="L493" t="inlineStr">
      <is>
        <t>BB82421</t>
      </is>
    </nc>
  </rcc>
  <rcc rId="2359" sId="2" quotePrefix="1">
    <nc r="L494" t="inlineStr">
      <is>
        <t>BB82421</t>
      </is>
    </nc>
  </rcc>
  <rcc rId="2360" sId="2" quotePrefix="1">
    <nc r="L495" t="inlineStr">
      <is>
        <t>BB82421</t>
      </is>
    </nc>
  </rcc>
  <rcc rId="2361" sId="2" quotePrefix="1">
    <nc r="L496" t="inlineStr">
      <is>
        <t>BB82421</t>
      </is>
    </nc>
  </rcc>
  <rcc rId="2362" sId="2" quotePrefix="1">
    <nc r="L497" t="inlineStr">
      <is>
        <t>BB82421</t>
      </is>
    </nc>
  </rcc>
  <rcc rId="2363" sId="2">
    <nc r="D460" t="inlineStr">
      <is>
        <t>PSW</t>
      </is>
    </nc>
  </rcc>
  <rcc rId="2364" sId="2">
    <nc r="D461" t="inlineStr">
      <is>
        <t>PSW</t>
      </is>
    </nc>
  </rcc>
  <rcc rId="2365" sId="2">
    <nc r="D488" t="inlineStr">
      <is>
        <t>PSW</t>
      </is>
    </nc>
  </rcc>
  <rcc rId="2366" sId="2">
    <nc r="D489" t="inlineStr">
      <is>
        <t>PSW</t>
      </is>
    </nc>
  </rcc>
  <rcc rId="2367" sId="2">
    <nc r="D490" t="inlineStr">
      <is>
        <t>PSW</t>
      </is>
    </nc>
  </rcc>
  <rcc rId="2368" sId="2">
    <nc r="D491" t="inlineStr">
      <is>
        <t>PSW</t>
      </is>
    </nc>
  </rcc>
  <rcc rId="2369" sId="2">
    <nc r="D492" t="inlineStr">
      <is>
        <t>PSW</t>
      </is>
    </nc>
  </rcc>
  <rcc rId="2370" sId="2">
    <nc r="D493" t="inlineStr">
      <is>
        <t>PSW</t>
      </is>
    </nc>
  </rcc>
  <rcc rId="2371" sId="2">
    <nc r="D494" t="inlineStr">
      <is>
        <t>PSW</t>
      </is>
    </nc>
  </rcc>
  <rcc rId="2372" sId="2">
    <nc r="D495" t="inlineStr">
      <is>
        <t>PSW</t>
      </is>
    </nc>
  </rcc>
  <rcc rId="2373" sId="2">
    <nc r="D496" t="inlineStr">
      <is>
        <t>PSW</t>
      </is>
    </nc>
  </rcc>
  <rcc rId="2374" sId="2">
    <nc r="D497" t="inlineStr">
      <is>
        <t>PSW</t>
      </is>
    </nc>
  </rcc>
  <rcc rId="2375" sId="2">
    <nc r="D449" t="inlineStr">
      <is>
        <t>ASW</t>
      </is>
    </nc>
  </rcc>
  <rcc rId="2376" sId="2">
    <nc r="D450" t="inlineStr">
      <is>
        <t>ASW</t>
      </is>
    </nc>
  </rcc>
  <rcc rId="2377" sId="2">
    <nc r="D451" t="inlineStr">
      <is>
        <t>ASW</t>
      </is>
    </nc>
  </rcc>
  <rcc rId="2378" sId="2">
    <nc r="D452" t="inlineStr">
      <is>
        <t>ASW</t>
      </is>
    </nc>
  </rcc>
  <rcc rId="2379" sId="2">
    <nc r="D453" t="inlineStr">
      <is>
        <t>ASW</t>
      </is>
    </nc>
  </rcc>
  <rcc rId="2380" sId="2">
    <nc r="D454" t="inlineStr">
      <is>
        <t>ASW</t>
      </is>
    </nc>
  </rcc>
  <rcc rId="2381" sId="2">
    <nc r="D455" t="inlineStr">
      <is>
        <t>ASW</t>
      </is>
    </nc>
  </rcc>
  <rcc rId="2382" sId="2">
    <nc r="D456" t="inlineStr">
      <is>
        <t>ASW</t>
      </is>
    </nc>
  </rcc>
  <rcc rId="2383" sId="2">
    <nc r="D457" t="inlineStr">
      <is>
        <t>ASW</t>
      </is>
    </nc>
  </rcc>
  <rcc rId="2384" sId="2">
    <nc r="D458" t="inlineStr">
      <is>
        <t>ASW</t>
      </is>
    </nc>
  </rcc>
  <rcc rId="2385" sId="2">
    <nc r="D459" t="inlineStr">
      <is>
        <t>ASW</t>
      </is>
    </nc>
  </rcc>
  <rcc rId="2386" sId="2">
    <nc r="C450">
      <v>20200908</v>
    </nc>
  </rcc>
  <rcc rId="2387" sId="2">
    <nc r="C451">
      <v>20200908</v>
    </nc>
  </rcc>
  <rcc rId="2388" sId="2">
    <nc r="C452">
      <v>20200908</v>
    </nc>
  </rcc>
  <rcc rId="2389" sId="2">
    <nc r="C453">
      <v>20200908</v>
    </nc>
  </rcc>
  <rcc rId="2390" sId="2">
    <nc r="C454">
      <v>20200908</v>
    </nc>
  </rcc>
  <rcc rId="2391" sId="2">
    <nc r="C455">
      <v>20200908</v>
    </nc>
  </rcc>
  <rcc rId="2392" sId="2">
    <nc r="C456">
      <v>20200908</v>
    </nc>
  </rcc>
  <rcc rId="2393" sId="2">
    <nc r="C457">
      <v>20200908</v>
    </nc>
  </rcc>
  <rcc rId="2394" sId="2">
    <nc r="C458">
      <v>20200908</v>
    </nc>
  </rcc>
  <rcc rId="2395" sId="2">
    <nc r="C459">
      <v>20200908</v>
    </nc>
  </rcc>
  <rcc rId="2396" sId="2">
    <nc r="C460">
      <v>20200908</v>
    </nc>
  </rcc>
  <rcc rId="2397" sId="2">
    <nc r="C461">
      <v>20200908</v>
    </nc>
  </rcc>
  <rcc rId="2398" sId="2">
    <nc r="C462">
      <v>20200908</v>
    </nc>
  </rcc>
  <rcc rId="2399" sId="2">
    <nc r="C463">
      <v>20200908</v>
    </nc>
  </rcc>
  <rcc rId="2400" sId="2">
    <nc r="C464">
      <v>20200908</v>
    </nc>
  </rcc>
  <rcc rId="2401" sId="2">
    <nc r="C465">
      <v>20200908</v>
    </nc>
  </rcc>
  <rcc rId="2402" sId="2">
    <nc r="C466">
      <v>20200908</v>
    </nc>
  </rcc>
  <rcc rId="2403" sId="2">
    <nc r="C467">
      <v>20200908</v>
    </nc>
  </rcc>
  <rcc rId="2404" sId="2">
    <nc r="C468">
      <v>20200908</v>
    </nc>
  </rcc>
  <rcc rId="2405" sId="2">
    <nc r="C469">
      <v>20200908</v>
    </nc>
  </rcc>
  <rcc rId="2406" sId="2">
    <nc r="C470">
      <v>20200908</v>
    </nc>
  </rcc>
  <rcc rId="2407" sId="2">
    <nc r="C471">
      <v>20200908</v>
    </nc>
  </rcc>
  <rcc rId="2408" sId="2">
    <nc r="C472">
      <v>20200908</v>
    </nc>
  </rcc>
  <rcc rId="2409" sId="2">
    <nc r="C473">
      <v>20200908</v>
    </nc>
  </rcc>
  <rcc rId="2410" sId="2">
    <nc r="C474">
      <v>20200908</v>
    </nc>
  </rcc>
  <rcc rId="2411" sId="2">
    <nc r="C475">
      <v>20200908</v>
    </nc>
  </rcc>
  <rcc rId="2412" sId="2">
    <nc r="C476">
      <v>20200908</v>
    </nc>
  </rcc>
  <rcc rId="2413" sId="2">
    <nc r="C477">
      <v>20200908</v>
    </nc>
  </rcc>
  <rcc rId="2414" sId="2">
    <nc r="C478">
      <v>20200908</v>
    </nc>
  </rcc>
  <rcc rId="2415" sId="2">
    <nc r="C479">
      <v>20200908</v>
    </nc>
  </rcc>
  <rcc rId="2416" sId="2">
    <nc r="C480">
      <v>20200908</v>
    </nc>
  </rcc>
  <rcc rId="2417" sId="2">
    <nc r="C481">
      <v>20200908</v>
    </nc>
  </rcc>
  <rcc rId="2418" sId="2">
    <nc r="C482">
      <v>20200908</v>
    </nc>
  </rcc>
  <rcc rId="2419" sId="2">
    <nc r="C483">
      <v>20200908</v>
    </nc>
  </rcc>
  <rcc rId="2420" sId="2">
    <nc r="C484">
      <v>20200908</v>
    </nc>
  </rcc>
  <rcc rId="2421" sId="2">
    <nc r="C485">
      <v>20200908</v>
    </nc>
  </rcc>
  <rcc rId="2422" sId="2">
    <nc r="C486">
      <v>20200908</v>
    </nc>
  </rcc>
  <rcc rId="2423" sId="2">
    <nc r="C487">
      <v>20200908</v>
    </nc>
  </rcc>
  <rcc rId="2424" sId="2">
    <nc r="C488">
      <v>20200908</v>
    </nc>
  </rcc>
  <rcc rId="2425" sId="2">
    <nc r="C489">
      <v>20200908</v>
    </nc>
  </rcc>
  <rcc rId="2426" sId="2">
    <nc r="C490">
      <v>20200908</v>
    </nc>
  </rcc>
  <rcc rId="2427" sId="2">
    <nc r="C491">
      <v>20200908</v>
    </nc>
  </rcc>
  <rcc rId="2428" sId="2">
    <nc r="C492">
      <v>20200908</v>
    </nc>
  </rcc>
  <rcc rId="2429" sId="2">
    <nc r="C493">
      <v>20200908</v>
    </nc>
  </rcc>
  <rcc rId="2430" sId="2">
    <nc r="C494">
      <v>20200908</v>
    </nc>
  </rcc>
  <rcc rId="2431" sId="2">
    <nc r="C495">
      <v>20200908</v>
    </nc>
  </rcc>
  <rcc rId="2432" sId="2">
    <nc r="C496">
      <v>20200908</v>
    </nc>
  </rcc>
  <rcc rId="2433" sId="2">
    <nc r="C497">
      <v>20200908</v>
    </nc>
  </rcc>
  <rcc rId="2434" sId="2">
    <nc r="D462" t="inlineStr">
      <is>
        <t>ASW</t>
      </is>
    </nc>
  </rcc>
  <rcc rId="2435" sId="2">
    <nc r="D463" t="inlineStr">
      <is>
        <t>ASW</t>
      </is>
    </nc>
  </rcc>
  <rcc rId="2436" sId="2">
    <nc r="D464" t="inlineStr">
      <is>
        <t>ASW</t>
      </is>
    </nc>
  </rcc>
  <rcc rId="2437" sId="2">
    <nc r="D465" t="inlineStr">
      <is>
        <t>ASW</t>
      </is>
    </nc>
  </rcc>
  <rcc rId="2438" sId="2">
    <nc r="D466" t="inlineStr">
      <is>
        <t>ASW</t>
      </is>
    </nc>
  </rcc>
  <rcc rId="2439" sId="2">
    <nc r="D467" t="inlineStr">
      <is>
        <t>ASW</t>
      </is>
    </nc>
  </rcc>
  <rcc rId="2440" sId="2">
    <nc r="D468" t="inlineStr">
      <is>
        <t>ASW</t>
      </is>
    </nc>
  </rcc>
  <rcc rId="2441" sId="2">
    <nc r="D469" t="inlineStr">
      <is>
        <t>ASW</t>
      </is>
    </nc>
  </rcc>
  <rcc rId="2442" sId="2">
    <nc r="D470" t="inlineStr">
      <is>
        <t>ASW</t>
      </is>
    </nc>
  </rcc>
  <rcc rId="2443" sId="2">
    <nc r="D471" t="inlineStr">
      <is>
        <t>ASW</t>
      </is>
    </nc>
  </rcc>
  <rcc rId="2444" sId="2">
    <nc r="D472" t="inlineStr">
      <is>
        <t>ASW</t>
      </is>
    </nc>
  </rcc>
  <rcc rId="2445" sId="2">
    <nc r="D473" t="inlineStr">
      <is>
        <t>ASW</t>
      </is>
    </nc>
  </rcc>
  <rcc rId="2446" sId="2">
    <nc r="D474" t="inlineStr">
      <is>
        <t>ASW</t>
      </is>
    </nc>
  </rcc>
  <rcc rId="2447" sId="2">
    <nc r="D475" t="inlineStr">
      <is>
        <t>ASW</t>
      </is>
    </nc>
  </rcc>
  <rcc rId="2448" sId="2">
    <nc r="D476" t="inlineStr">
      <is>
        <t>ASW</t>
      </is>
    </nc>
  </rcc>
  <rcc rId="2449" sId="2">
    <nc r="D477" t="inlineStr">
      <is>
        <t>ASW</t>
      </is>
    </nc>
  </rcc>
  <rcc rId="2450" sId="2">
    <nc r="D478" t="inlineStr">
      <is>
        <t>ASW</t>
      </is>
    </nc>
  </rcc>
  <rcc rId="2451" sId="2">
    <nc r="D479" t="inlineStr">
      <is>
        <t>ASW</t>
      </is>
    </nc>
  </rcc>
  <rcc rId="2452" sId="2">
    <nc r="D480" t="inlineStr">
      <is>
        <t>ASW</t>
      </is>
    </nc>
  </rcc>
  <rcc rId="2453" sId="2">
    <nc r="D481" t="inlineStr">
      <is>
        <t>ASW</t>
      </is>
    </nc>
  </rcc>
  <rcc rId="2454" sId="2">
    <nc r="D482" t="inlineStr">
      <is>
        <t>ASW</t>
      </is>
    </nc>
  </rcc>
  <rcc rId="2455" sId="2">
    <nc r="D483" t="inlineStr">
      <is>
        <t>ASW</t>
      </is>
    </nc>
  </rcc>
  <rcc rId="2456" sId="2">
    <nc r="D484" t="inlineStr">
      <is>
        <t>ASW</t>
      </is>
    </nc>
  </rcc>
  <rcc rId="2457" sId="2">
    <nc r="D485" t="inlineStr">
      <is>
        <t>ASW</t>
      </is>
    </nc>
  </rcc>
  <rcc rId="2458" sId="2">
    <nc r="D486" t="inlineStr">
      <is>
        <t>ASW</t>
      </is>
    </nc>
  </rcc>
  <rcc rId="2459" sId="2">
    <nc r="D487" t="inlineStr">
      <is>
        <t>ASW</t>
      </is>
    </nc>
  </rcc>
  <rcc rId="2460" sId="2">
    <nc r="E449" t="inlineStr">
      <is>
        <t>TOY_800BCV2_670BCV_893BSysken_227DSysken_Integration9</t>
      </is>
    </nc>
  </rcc>
  <rcc rId="2461" sId="2">
    <nc r="E450" t="inlineStr">
      <is>
        <t>TOY_800BCV2_670BCV_893BSysken_227DSysken_Integration9</t>
      </is>
    </nc>
  </rcc>
  <rcc rId="2462" sId="2">
    <nc r="E451" t="inlineStr">
      <is>
        <t>TOY_800BCV2_670BCV_893BSysken_227DSysken_Integration9</t>
      </is>
    </nc>
  </rcc>
  <rcc rId="2463" sId="2">
    <nc r="E452" t="inlineStr">
      <is>
        <t>TOY_800BCV2_670BCV_893BSysken_227DSysken_Integration9</t>
      </is>
    </nc>
  </rcc>
  <rcc rId="2464" sId="2">
    <nc r="E453" t="inlineStr">
      <is>
        <t>TOY_800BCV2_670BCV_893BSysken_227DSysken_Integration9</t>
      </is>
    </nc>
  </rcc>
  <rcc rId="2465" sId="2">
    <nc r="E454" t="inlineStr">
      <is>
        <t>TOY_800BCV2_670BCV_893BSysken_227DSysken_Integration9</t>
      </is>
    </nc>
  </rcc>
  <rcc rId="2466" sId="2">
    <nc r="E455" t="inlineStr">
      <is>
        <t>TOY_800BCV2_670BCV_893BSysken_227DSysken_Integration9</t>
      </is>
    </nc>
  </rcc>
  <rcc rId="2467" sId="2">
    <nc r="E456" t="inlineStr">
      <is>
        <t>TOY_800BCV2_670BCV_893BSysken_227DSysken_Integration9</t>
      </is>
    </nc>
  </rcc>
  <rcc rId="2468" sId="2">
    <nc r="E457" t="inlineStr">
      <is>
        <t>TOY_800BCV2_670BCV_893BSysken_227DSysken_Integration9</t>
      </is>
    </nc>
  </rcc>
  <rcc rId="2469" sId="2">
    <nc r="E458" t="inlineStr">
      <is>
        <t>TOY_800BCV2_670BCV_893BSysken_227DSysken_Integration9</t>
      </is>
    </nc>
  </rcc>
  <rcc rId="2470" sId="2">
    <nc r="E459" t="inlineStr">
      <is>
        <t>TOY_800BCV2_670BCV_893BSysken_227DSysken_Integration9</t>
      </is>
    </nc>
  </rcc>
  <rcc rId="2471" sId="2">
    <nc r="E460" t="inlineStr">
      <is>
        <t>TOY_800BCV2_670BCV_893BSysken_227DSysken_Integration9</t>
      </is>
    </nc>
  </rcc>
  <rcc rId="2472" sId="2">
    <nc r="E461" t="inlineStr">
      <is>
        <t>TOY_800BCV2_670BCV_893BSysken_227DSysken_Integration9</t>
      </is>
    </nc>
  </rcc>
  <rcc rId="2473" sId="2">
    <nc r="E462" t="inlineStr">
      <is>
        <t>TOY_800BCV2_670BCV_893BSysken_227DSysken_Integration9</t>
      </is>
    </nc>
  </rcc>
  <rcc rId="2474" sId="2">
    <nc r="E463" t="inlineStr">
      <is>
        <t>TOY_800BCV2_670BCV_893BSysken_227DSysken_Integration9</t>
      </is>
    </nc>
  </rcc>
  <rcc rId="2475" sId="2">
    <nc r="E464" t="inlineStr">
      <is>
        <t>TOY_800BCV2_670BCV_893BSysken_227DSysken_Integration9</t>
      </is>
    </nc>
  </rcc>
  <rcc rId="2476" sId="2">
    <nc r="E465" t="inlineStr">
      <is>
        <t>TOY_800BCV2_670BCV_893BSysken_227DSysken_Integration9</t>
      </is>
    </nc>
  </rcc>
  <rcc rId="2477" sId="2">
    <nc r="E466" t="inlineStr">
      <is>
        <t>TOY_800BCV2_670BCV_893BSysken_227DSysken_Integration9</t>
      </is>
    </nc>
  </rcc>
  <rcc rId="2478" sId="2">
    <nc r="E467" t="inlineStr">
      <is>
        <t>TOY_800BCV2_670BCV_893BSysken_227DSysken_Integration9</t>
      </is>
    </nc>
  </rcc>
  <rcc rId="2479" sId="2">
    <nc r="E468" t="inlineStr">
      <is>
        <t>TOY_800BCV2_670BCV_893BSysken_227DSysken_Integration9</t>
      </is>
    </nc>
  </rcc>
  <rcc rId="2480" sId="2">
    <nc r="E469" t="inlineStr">
      <is>
        <t>TOY_800BCV2_670BCV_893BSysken_227DSysken_Integration9</t>
      </is>
    </nc>
  </rcc>
  <rcc rId="2481" sId="2">
    <nc r="E470" t="inlineStr">
      <is>
        <t>TOY_800BCV2_670BCV_893BSysken_227DSysken_Integration9</t>
      </is>
    </nc>
  </rcc>
  <rcc rId="2482" sId="2">
    <nc r="E471" t="inlineStr">
      <is>
        <t>TOY_800BCV2_670BCV_893BSysken_227DSysken_Integration9</t>
      </is>
    </nc>
  </rcc>
  <rcc rId="2483" sId="2">
    <nc r="E472" t="inlineStr">
      <is>
        <t>TOY_800BCV2_670BCV_893BSysken_227DSysken_Integration9</t>
      </is>
    </nc>
  </rcc>
  <rcc rId="2484" sId="2">
    <nc r="E473" t="inlineStr">
      <is>
        <t>TOY_800BCV2_670BCV_893BSysken_227DSysken_Integration9</t>
      </is>
    </nc>
  </rcc>
  <rcc rId="2485" sId="2">
    <nc r="E474" t="inlineStr">
      <is>
        <t>TOY_800BCV2_670BCV_893BSysken_227DSysken_Integration9</t>
      </is>
    </nc>
  </rcc>
  <rcc rId="2486" sId="2">
    <nc r="E475" t="inlineStr">
      <is>
        <t>TOY_800BCV2_670BCV_893BSysken_227DSysken_Integration9</t>
      </is>
    </nc>
  </rcc>
  <rcc rId="2487" sId="2">
    <nc r="E476" t="inlineStr">
      <is>
        <t>TOY_800BCV2_670BCV_893BSysken_227DSysken_Integration9</t>
      </is>
    </nc>
  </rcc>
  <rcc rId="2488" sId="2">
    <nc r="E477" t="inlineStr">
      <is>
        <t>TOY_800BCV2_670BCV_893BSysken_227DSysken_Integration9</t>
      </is>
    </nc>
  </rcc>
  <rcc rId="2489" sId="2">
    <nc r="E478" t="inlineStr">
      <is>
        <t>TOY_800BCV2_670BCV_893BSysken_227DSysken_Integration9</t>
      </is>
    </nc>
  </rcc>
  <rcc rId="2490" sId="2">
    <nc r="E479" t="inlineStr">
      <is>
        <t>TOY_800BCV2_670BCV_893BSysken_227DSysken_Integration9</t>
      </is>
    </nc>
  </rcc>
  <rcc rId="2491" sId="2">
    <nc r="E480" t="inlineStr">
      <is>
        <t>TOY_800BCV2_670BCV_893BSysken_227DSysken_Integration9</t>
      </is>
    </nc>
  </rcc>
  <rcc rId="2492" sId="2">
    <nc r="E481" t="inlineStr">
      <is>
        <t>TOY_800BCV2_670BCV_893BSysken_227DSysken_Integration9</t>
      </is>
    </nc>
  </rcc>
  <rcc rId="2493" sId="2">
    <nc r="E482" t="inlineStr">
      <is>
        <t>TOY_800BCV2_670BCV_893BSysken_227DSysken_Integration9</t>
      </is>
    </nc>
  </rcc>
  <rcc rId="2494" sId="2">
    <nc r="E483" t="inlineStr">
      <is>
        <t>TOY_800BCV2_670BCV_893BSysken_227DSysken_Integration9</t>
      </is>
    </nc>
  </rcc>
  <rcc rId="2495" sId="2">
    <nc r="E484" t="inlineStr">
      <is>
        <t>TOY_800BCV2_670BCV_893BSysken_227DSysken_Integration9</t>
      </is>
    </nc>
  </rcc>
  <rcc rId="2496" sId="2">
    <nc r="E485" t="inlineStr">
      <is>
        <t>TOY_800BCV2_670BCV_893BSysken_227DSysken_Integration9</t>
      </is>
    </nc>
  </rcc>
  <rcc rId="2497" sId="2">
    <nc r="E486" t="inlineStr">
      <is>
        <t>TOY_800BCV2_670BCV_893BSysken_227DSysken_Integration9</t>
      </is>
    </nc>
  </rcc>
  <rcc rId="2498" sId="2">
    <nc r="E487" t="inlineStr">
      <is>
        <t>TOY_800BCV2_670BCV_893BSysken_227DSysken_Integration9</t>
      </is>
    </nc>
  </rcc>
  <rcc rId="2499" sId="2">
    <nc r="E488" t="inlineStr">
      <is>
        <t>TOY_800BCV2_670BCV_893BSysken_227DSysken_Integration9</t>
      </is>
    </nc>
  </rcc>
  <rcc rId="2500" sId="2">
    <nc r="E489" t="inlineStr">
      <is>
        <t>TOY_800BCV2_670BCV_893BSysken_227DSysken_Integration9</t>
      </is>
    </nc>
  </rcc>
  <rcc rId="2501" sId="2">
    <nc r="E490" t="inlineStr">
      <is>
        <t>TOY_800BCV2_670BCV_893BSysken_227DSysken_Integration9</t>
      </is>
    </nc>
  </rcc>
  <rcc rId="2502" sId="2">
    <nc r="E491" t="inlineStr">
      <is>
        <t>TOY_800BCV2_670BCV_893BSysken_227DSysken_Integration9</t>
      </is>
    </nc>
  </rcc>
  <rcc rId="2503" sId="2">
    <nc r="E492" t="inlineStr">
      <is>
        <t>TOY_800BCV2_670BCV_893BSysken_227DSysken_Integration9</t>
      </is>
    </nc>
  </rcc>
  <rcc rId="2504" sId="2">
    <nc r="E493" t="inlineStr">
      <is>
        <t>TOY_800BCV2_670BCV_893BSysken_227DSysken_Integration9</t>
      </is>
    </nc>
  </rcc>
  <rcc rId="2505" sId="2">
    <nc r="E494" t="inlineStr">
      <is>
        <t>TOY_800BCV2_670BCV_893BSysken_227DSysken_Integration9</t>
      </is>
    </nc>
  </rcc>
  <rcc rId="2506" sId="2">
    <nc r="E495" t="inlineStr">
      <is>
        <t>TOY_800BCV2_670BCV_893BSysken_227DSysken_Integration9</t>
      </is>
    </nc>
  </rcc>
  <rcc rId="2507" sId="2">
    <nc r="E496" t="inlineStr">
      <is>
        <t>TOY_800BCV2_670BCV_893BSysken_227DSysken_Integration9</t>
      </is>
    </nc>
  </rcc>
  <rcc rId="2508" sId="2">
    <nc r="E497" t="inlineStr">
      <is>
        <t>TOY_800BCV2_670BCV_893BSysken_227DSysken_Integration9</t>
      </is>
    </nc>
  </rcc>
  <rfmt sheetId="2" sqref="X481" start="0" length="0">
    <dxf>
      <fill>
        <patternFill patternType="none">
          <bgColor indexed="65"/>
        </patternFill>
      </fill>
    </dxf>
  </rfmt>
  <rfmt sheetId="2" sqref="X482" start="0" length="0">
    <dxf>
      <fill>
        <patternFill patternType="none">
          <bgColor indexed="65"/>
        </patternFill>
      </fill>
    </dxf>
  </rfmt>
  <rfmt sheetId="2" sqref="X483" start="0" length="0">
    <dxf>
      <fill>
        <patternFill patternType="none">
          <bgColor indexed="65"/>
        </patternFill>
      </fill>
    </dxf>
  </rfmt>
  <rfmt sheetId="2" sqref="X484" start="0" length="0">
    <dxf>
      <fill>
        <patternFill patternType="none">
          <bgColor indexed="65"/>
        </patternFill>
      </fill>
    </dxf>
  </rfmt>
  <rfmt sheetId="2" sqref="X485" start="0" length="0">
    <dxf>
      <fill>
        <patternFill patternType="none">
          <bgColor indexed="65"/>
        </patternFill>
      </fill>
    </dxf>
  </rfmt>
  <rfmt sheetId="2" sqref="X486" start="0" length="0">
    <dxf>
      <fill>
        <patternFill patternType="none">
          <bgColor indexed="65"/>
        </patternFill>
      </fill>
    </dxf>
  </rfmt>
  <rfmt sheetId="2" sqref="AA481" start="0" length="0">
    <dxf>
      <fill>
        <patternFill patternType="none">
          <bgColor indexed="65"/>
        </patternFill>
      </fill>
    </dxf>
  </rfmt>
  <rfmt sheetId="2" sqref="AB481" start="0" length="0">
    <dxf>
      <fill>
        <patternFill patternType="none">
          <bgColor indexed="65"/>
        </patternFill>
      </fill>
    </dxf>
  </rfmt>
  <rfmt sheetId="2" sqref="AC481" start="0" length="0">
    <dxf>
      <fill>
        <patternFill patternType="none">
          <bgColor indexed="65"/>
        </patternFill>
      </fill>
    </dxf>
  </rfmt>
  <rfmt sheetId="2" sqref="AD481" start="0" length="0">
    <dxf>
      <fill>
        <patternFill patternType="none">
          <bgColor indexed="65"/>
        </patternFill>
      </fill>
    </dxf>
  </rfmt>
  <rfmt sheetId="2" sqref="AE481" start="0" length="0">
    <dxf>
      <fill>
        <patternFill patternType="none">
          <bgColor indexed="65"/>
        </patternFill>
      </fill>
    </dxf>
  </rfmt>
  <rfmt sheetId="2" sqref="AF481" start="0" length="0">
    <dxf>
      <fill>
        <patternFill patternType="none">
          <bgColor indexed="65"/>
        </patternFill>
      </fill>
    </dxf>
  </rfmt>
  <rfmt sheetId="2" sqref="AJ481" start="0" length="0">
    <dxf>
      <fill>
        <patternFill patternType="none">
          <bgColor indexed="65"/>
        </patternFill>
      </fill>
    </dxf>
  </rfmt>
  <rfmt sheetId="2" sqref="AA482" start="0" length="0">
    <dxf>
      <fill>
        <patternFill patternType="none">
          <bgColor indexed="65"/>
        </patternFill>
      </fill>
    </dxf>
  </rfmt>
  <rfmt sheetId="2" sqref="AB482" start="0" length="0">
    <dxf>
      <fill>
        <patternFill patternType="none">
          <bgColor indexed="65"/>
        </patternFill>
      </fill>
    </dxf>
  </rfmt>
  <rfmt sheetId="2" sqref="AC482" start="0" length="0">
    <dxf>
      <fill>
        <patternFill patternType="none">
          <bgColor indexed="65"/>
        </patternFill>
      </fill>
    </dxf>
  </rfmt>
  <rfmt sheetId="2" sqref="AD482" start="0" length="0">
    <dxf>
      <fill>
        <patternFill patternType="none">
          <bgColor indexed="65"/>
        </patternFill>
      </fill>
    </dxf>
  </rfmt>
  <rfmt sheetId="2" sqref="AE482" start="0" length="0">
    <dxf>
      <fill>
        <patternFill patternType="none">
          <bgColor indexed="65"/>
        </patternFill>
      </fill>
    </dxf>
  </rfmt>
  <rfmt sheetId="2" sqref="AF482" start="0" length="0">
    <dxf>
      <fill>
        <patternFill patternType="none">
          <bgColor indexed="65"/>
        </patternFill>
      </fill>
    </dxf>
  </rfmt>
  <rfmt sheetId="2" sqref="AJ482" start="0" length="0">
    <dxf>
      <fill>
        <patternFill patternType="none">
          <bgColor indexed="65"/>
        </patternFill>
      </fill>
    </dxf>
  </rfmt>
  <rfmt sheetId="2" sqref="AA483" start="0" length="0">
    <dxf>
      <fill>
        <patternFill patternType="none">
          <bgColor indexed="65"/>
        </patternFill>
      </fill>
    </dxf>
  </rfmt>
  <rfmt sheetId="2" sqref="AB483" start="0" length="0">
    <dxf>
      <fill>
        <patternFill patternType="none">
          <bgColor indexed="65"/>
        </patternFill>
      </fill>
    </dxf>
  </rfmt>
  <rfmt sheetId="2" sqref="AC483" start="0" length="0">
    <dxf>
      <fill>
        <patternFill patternType="none">
          <bgColor indexed="65"/>
        </patternFill>
      </fill>
    </dxf>
  </rfmt>
  <rfmt sheetId="2" sqref="AD483" start="0" length="0">
    <dxf>
      <fill>
        <patternFill patternType="none">
          <bgColor indexed="65"/>
        </patternFill>
      </fill>
    </dxf>
  </rfmt>
  <rfmt sheetId="2" sqref="AE483" start="0" length="0">
    <dxf>
      <fill>
        <patternFill patternType="none">
          <bgColor indexed="65"/>
        </patternFill>
      </fill>
    </dxf>
  </rfmt>
  <rfmt sheetId="2" sqref="AF483" start="0" length="0">
    <dxf>
      <fill>
        <patternFill patternType="none">
          <bgColor indexed="65"/>
        </patternFill>
      </fill>
    </dxf>
  </rfmt>
  <rfmt sheetId="2" sqref="AJ483" start="0" length="0">
    <dxf>
      <fill>
        <patternFill patternType="none">
          <bgColor indexed="65"/>
        </patternFill>
      </fill>
    </dxf>
  </rfmt>
  <rfmt sheetId="2" sqref="AA484" start="0" length="0">
    <dxf>
      <fill>
        <patternFill patternType="none">
          <bgColor indexed="65"/>
        </patternFill>
      </fill>
    </dxf>
  </rfmt>
  <rfmt sheetId="2" sqref="AB484" start="0" length="0">
    <dxf>
      <fill>
        <patternFill patternType="none">
          <bgColor indexed="65"/>
        </patternFill>
      </fill>
    </dxf>
  </rfmt>
  <rfmt sheetId="2" sqref="AC484" start="0" length="0">
    <dxf>
      <fill>
        <patternFill patternType="none">
          <bgColor indexed="65"/>
        </patternFill>
      </fill>
    </dxf>
  </rfmt>
  <rfmt sheetId="2" sqref="AD484" start="0" length="0">
    <dxf>
      <fill>
        <patternFill patternType="none">
          <bgColor indexed="65"/>
        </patternFill>
      </fill>
    </dxf>
  </rfmt>
  <rfmt sheetId="2" sqref="AE484" start="0" length="0">
    <dxf>
      <fill>
        <patternFill patternType="none">
          <bgColor indexed="65"/>
        </patternFill>
      </fill>
    </dxf>
  </rfmt>
  <rfmt sheetId="2" sqref="AF484" start="0" length="0">
    <dxf>
      <fill>
        <patternFill patternType="none">
          <bgColor indexed="65"/>
        </patternFill>
      </fill>
    </dxf>
  </rfmt>
  <rfmt sheetId="2" sqref="AJ484" start="0" length="0">
    <dxf>
      <fill>
        <patternFill patternType="none">
          <bgColor indexed="65"/>
        </patternFill>
      </fill>
    </dxf>
  </rfmt>
  <rfmt sheetId="2" sqref="AA485" start="0" length="0">
    <dxf>
      <fill>
        <patternFill patternType="none">
          <bgColor indexed="65"/>
        </patternFill>
      </fill>
    </dxf>
  </rfmt>
  <rfmt sheetId="2" sqref="AB485" start="0" length="0">
    <dxf>
      <fill>
        <patternFill patternType="none">
          <bgColor indexed="65"/>
        </patternFill>
      </fill>
    </dxf>
  </rfmt>
  <rfmt sheetId="2" sqref="AC485" start="0" length="0">
    <dxf>
      <fill>
        <patternFill patternType="none">
          <bgColor indexed="65"/>
        </patternFill>
      </fill>
    </dxf>
  </rfmt>
  <rfmt sheetId="2" sqref="AD485" start="0" length="0">
    <dxf>
      <fill>
        <patternFill patternType="none">
          <bgColor indexed="65"/>
        </patternFill>
      </fill>
    </dxf>
  </rfmt>
  <rfmt sheetId="2" sqref="AE485" start="0" length="0">
    <dxf>
      <fill>
        <patternFill patternType="none">
          <bgColor indexed="65"/>
        </patternFill>
      </fill>
    </dxf>
  </rfmt>
  <rfmt sheetId="2" sqref="AF485" start="0" length="0">
    <dxf>
      <fill>
        <patternFill patternType="none">
          <bgColor indexed="65"/>
        </patternFill>
      </fill>
    </dxf>
  </rfmt>
  <rfmt sheetId="2" sqref="AJ485" start="0" length="0">
    <dxf>
      <fill>
        <patternFill patternType="none">
          <bgColor indexed="65"/>
        </patternFill>
      </fill>
    </dxf>
  </rfmt>
  <rfmt sheetId="2" sqref="AA486" start="0" length="0">
    <dxf>
      <fill>
        <patternFill patternType="none">
          <bgColor indexed="65"/>
        </patternFill>
      </fill>
    </dxf>
  </rfmt>
  <rfmt sheetId="2" sqref="AB486" start="0" length="0">
    <dxf>
      <fill>
        <patternFill patternType="none">
          <bgColor indexed="65"/>
        </patternFill>
      </fill>
    </dxf>
  </rfmt>
  <rfmt sheetId="2" sqref="AC486" start="0" length="0">
    <dxf>
      <fill>
        <patternFill patternType="none">
          <bgColor indexed="65"/>
        </patternFill>
      </fill>
    </dxf>
  </rfmt>
  <rfmt sheetId="2" sqref="AD486" start="0" length="0">
    <dxf>
      <fill>
        <patternFill patternType="none">
          <bgColor indexed="65"/>
        </patternFill>
      </fill>
    </dxf>
  </rfmt>
  <rfmt sheetId="2" sqref="AE486" start="0" length="0">
    <dxf>
      <fill>
        <patternFill patternType="none">
          <bgColor indexed="65"/>
        </patternFill>
      </fill>
    </dxf>
  </rfmt>
  <rfmt sheetId="2" sqref="AF486" start="0" length="0">
    <dxf>
      <fill>
        <patternFill patternType="none">
          <bgColor indexed="65"/>
        </patternFill>
      </fill>
    </dxf>
  </rfmt>
  <rfmt sheetId="2" sqref="AJ486" start="0" length="0">
    <dxf>
      <fill>
        <patternFill patternType="none">
          <bgColor indexed="65"/>
        </patternFill>
      </fill>
    </dxf>
  </rfmt>
  <rfmt sheetId="2" sqref="AA488" start="0" length="0">
    <dxf>
      <font>
        <sz val="11"/>
        <color theme="1"/>
        <name val="Calibri"/>
        <scheme val="minor"/>
      </font>
    </dxf>
  </rfmt>
  <rcc rId="2509" sId="2" numFmtId="19">
    <nc r="AC449">
      <v>44084</v>
    </nc>
  </rcc>
  <rcc rId="2510" sId="2" numFmtId="19">
    <nc r="AD449">
      <v>44090</v>
    </nc>
  </rcc>
  <rcc rId="2511" sId="2" numFmtId="19">
    <nc r="AC450">
      <v>44084</v>
    </nc>
  </rcc>
  <rcc rId="2512" sId="2" numFmtId="19">
    <nc r="AD450">
      <v>44090</v>
    </nc>
  </rcc>
  <rcc rId="2513" sId="2" numFmtId="19">
    <nc r="AC451">
      <v>44084</v>
    </nc>
  </rcc>
  <rcc rId="2514" sId="2" numFmtId="19">
    <nc r="AD451">
      <v>44090</v>
    </nc>
  </rcc>
  <rcc rId="2515" sId="2" numFmtId="19">
    <nc r="AC452">
      <v>44084</v>
    </nc>
  </rcc>
  <rcc rId="2516" sId="2" numFmtId="19">
    <nc r="AD452">
      <v>44090</v>
    </nc>
  </rcc>
  <rcc rId="2517" sId="2" numFmtId="19">
    <nc r="AC453">
      <v>44084</v>
    </nc>
  </rcc>
  <rcc rId="2518" sId="2" numFmtId="19">
    <nc r="AD453">
      <v>44090</v>
    </nc>
  </rcc>
  <rcc rId="2519" sId="2" numFmtId="19">
    <nc r="AC454">
      <v>44084</v>
    </nc>
  </rcc>
  <rcc rId="2520" sId="2" numFmtId="19">
    <nc r="AD454">
      <v>44090</v>
    </nc>
  </rcc>
  <rcc rId="2521" sId="2" numFmtId="19">
    <nc r="AC455">
      <v>44084</v>
    </nc>
  </rcc>
  <rcc rId="2522" sId="2" numFmtId="19">
    <nc r="AD455">
      <v>44090</v>
    </nc>
  </rcc>
  <rcc rId="2523" sId="2" numFmtId="19">
    <nc r="AC456">
      <v>44084</v>
    </nc>
  </rcc>
  <rcc rId="2524" sId="2" numFmtId="19">
    <nc r="AD456">
      <v>44090</v>
    </nc>
  </rcc>
  <rcc rId="2525" sId="2" numFmtId="19">
    <nc r="AC457">
      <v>44084</v>
    </nc>
  </rcc>
  <rcc rId="2526" sId="2" numFmtId="19">
    <nc r="AD457">
      <v>44090</v>
    </nc>
  </rcc>
  <rcc rId="2527" sId="2" numFmtId="19">
    <nc r="AC458">
      <v>44084</v>
    </nc>
  </rcc>
  <rcc rId="2528" sId="2" numFmtId="19">
    <nc r="AD458">
      <v>44090</v>
    </nc>
  </rcc>
  <rcc rId="2529" sId="2" numFmtId="19">
    <nc r="AC459">
      <v>44084</v>
    </nc>
  </rcc>
  <rcc rId="2530" sId="2" numFmtId="19">
    <nc r="AD459">
      <v>44090</v>
    </nc>
  </rcc>
  <rcc rId="2531" sId="2" numFmtId="19">
    <nc r="AC460">
      <v>44084</v>
    </nc>
  </rcc>
  <rcc rId="2532" sId="2" numFmtId="19">
    <nc r="AD460">
      <v>44090</v>
    </nc>
  </rcc>
  <rcc rId="2533" sId="2" numFmtId="19">
    <nc r="AC461">
      <v>44084</v>
    </nc>
  </rcc>
  <rcc rId="2534" sId="2" numFmtId="19">
    <nc r="AD461">
      <v>44090</v>
    </nc>
  </rcc>
  <rcc rId="2535" sId="2" numFmtId="19">
    <nc r="AC462">
      <v>44084</v>
    </nc>
  </rcc>
  <rcc rId="2536" sId="2" numFmtId="19">
    <nc r="AD462">
      <v>44090</v>
    </nc>
  </rcc>
  <rcc rId="2537" sId="2" numFmtId="19">
    <nc r="AC463">
      <v>44084</v>
    </nc>
  </rcc>
  <rcc rId="2538" sId="2" numFmtId="19">
    <nc r="AD463">
      <v>44090</v>
    </nc>
  </rcc>
  <rcc rId="2539" sId="2" numFmtId="19">
    <nc r="AC464">
      <v>44084</v>
    </nc>
  </rcc>
  <rcc rId="2540" sId="2" numFmtId="19">
    <nc r="AD464">
      <v>44090</v>
    </nc>
  </rcc>
  <rcc rId="2541" sId="2" numFmtId="19">
    <nc r="AC465">
      <v>44084</v>
    </nc>
  </rcc>
  <rcc rId="2542" sId="2" numFmtId="19">
    <nc r="AD465">
      <v>44090</v>
    </nc>
  </rcc>
  <rcc rId="2543" sId="2" numFmtId="19">
    <nc r="AC466">
      <v>44084</v>
    </nc>
  </rcc>
  <rcc rId="2544" sId="2" numFmtId="19">
    <nc r="AD466">
      <v>44090</v>
    </nc>
  </rcc>
  <rcc rId="2545" sId="2" numFmtId="19">
    <nc r="AC467">
      <v>44084</v>
    </nc>
  </rcc>
  <rcc rId="2546" sId="2" numFmtId="19">
    <nc r="AD467">
      <v>44090</v>
    </nc>
  </rcc>
  <rcc rId="2547" sId="2" numFmtId="19">
    <nc r="AC468">
      <v>44084</v>
    </nc>
  </rcc>
  <rcc rId="2548" sId="2" numFmtId="19">
    <nc r="AD468">
      <v>44090</v>
    </nc>
  </rcc>
  <rcc rId="2549" sId="2" numFmtId="19">
    <nc r="AC469">
      <v>44084</v>
    </nc>
  </rcc>
  <rcc rId="2550" sId="2" numFmtId="19">
    <nc r="AD469">
      <v>44090</v>
    </nc>
  </rcc>
  <rcc rId="2551" sId="2" numFmtId="19">
    <nc r="AC470">
      <v>44084</v>
    </nc>
  </rcc>
  <rcc rId="2552" sId="2" numFmtId="19">
    <nc r="AD470">
      <v>44090</v>
    </nc>
  </rcc>
  <rcc rId="2553" sId="2" numFmtId="19">
    <nc r="AC471">
      <v>44084</v>
    </nc>
  </rcc>
  <rcc rId="2554" sId="2" numFmtId="19">
    <nc r="AD471">
      <v>44090</v>
    </nc>
  </rcc>
  <rcc rId="2555" sId="2" numFmtId="19">
    <nc r="AC472">
      <v>44084</v>
    </nc>
  </rcc>
  <rcc rId="2556" sId="2" numFmtId="19">
    <nc r="AD472">
      <v>44090</v>
    </nc>
  </rcc>
  <rcc rId="2557" sId="2" numFmtId="19">
    <nc r="AC473">
      <v>44084</v>
    </nc>
  </rcc>
  <rcc rId="2558" sId="2" numFmtId="19">
    <nc r="AD473">
      <v>44090</v>
    </nc>
  </rcc>
  <rcc rId="2559" sId="2" numFmtId="19">
    <nc r="AC474">
      <v>44084</v>
    </nc>
  </rcc>
  <rcc rId="2560" sId="2" numFmtId="19">
    <nc r="AD474">
      <v>44090</v>
    </nc>
  </rcc>
  <rcc rId="2561" sId="2" numFmtId="19">
    <nc r="AC475">
      <v>44084</v>
    </nc>
  </rcc>
  <rcc rId="2562" sId="2" numFmtId="19">
    <nc r="AD475">
      <v>44090</v>
    </nc>
  </rcc>
  <rcc rId="2563" sId="2" numFmtId="19">
    <nc r="AC476">
      <v>44084</v>
    </nc>
  </rcc>
  <rcc rId="2564" sId="2" numFmtId="19">
    <nc r="AD476">
      <v>44090</v>
    </nc>
  </rcc>
  <rcc rId="2565" sId="2" numFmtId="19">
    <nc r="AC477">
      <v>44084</v>
    </nc>
  </rcc>
  <rcc rId="2566" sId="2" numFmtId="19">
    <nc r="AD477">
      <v>44090</v>
    </nc>
  </rcc>
  <rcc rId="2567" sId="2" numFmtId="19">
    <nc r="AC478">
      <v>44084</v>
    </nc>
  </rcc>
  <rcc rId="2568" sId="2" numFmtId="19">
    <nc r="AD478">
      <v>44090</v>
    </nc>
  </rcc>
  <rcc rId="2569" sId="2" numFmtId="19">
    <nc r="AC479">
      <v>44084</v>
    </nc>
  </rcc>
  <rcc rId="2570" sId="2" numFmtId="19">
    <nc r="AD479">
      <v>44090</v>
    </nc>
  </rcc>
  <rcc rId="2571" sId="2" numFmtId="19">
    <nc r="AC480">
      <v>44084</v>
    </nc>
  </rcc>
  <rcc rId="2572" sId="2" numFmtId="19">
    <nc r="AD480">
      <v>44090</v>
    </nc>
  </rcc>
  <rcc rId="2573" sId="2" numFmtId="19">
    <nc r="AC481">
      <v>44084</v>
    </nc>
  </rcc>
  <rcc rId="2574" sId="2" numFmtId="19">
    <nc r="AD481">
      <v>44090</v>
    </nc>
  </rcc>
  <rcc rId="2575" sId="2" numFmtId="19">
    <nc r="AC482">
      <v>44084</v>
    </nc>
  </rcc>
  <rcc rId="2576" sId="2" numFmtId="19">
    <nc r="AD482">
      <v>44090</v>
    </nc>
  </rcc>
  <rcc rId="2577" sId="2" numFmtId="19">
    <nc r="AC483">
      <v>44084</v>
    </nc>
  </rcc>
  <rcc rId="2578" sId="2" numFmtId="19">
    <nc r="AD483">
      <v>44090</v>
    </nc>
  </rcc>
  <rcc rId="2579" sId="2" numFmtId="19">
    <nc r="AC484">
      <v>44084</v>
    </nc>
  </rcc>
  <rcc rId="2580" sId="2" numFmtId="19">
    <nc r="AD484">
      <v>44090</v>
    </nc>
  </rcc>
  <rcc rId="2581" sId="2" numFmtId="19">
    <nc r="AC485">
      <v>44084</v>
    </nc>
  </rcc>
  <rcc rId="2582" sId="2" numFmtId="19">
    <nc r="AD485">
      <v>44090</v>
    </nc>
  </rcc>
  <rcc rId="2583" sId="2" numFmtId="19">
    <nc r="AC486">
      <v>44084</v>
    </nc>
  </rcc>
  <rcc rId="2584" sId="2" numFmtId="19">
    <nc r="AD486">
      <v>44090</v>
    </nc>
  </rcc>
  <rcc rId="2585" sId="2" numFmtId="19">
    <nc r="AC487">
      <v>44084</v>
    </nc>
  </rcc>
  <rcc rId="2586" sId="2" numFmtId="19">
    <nc r="AD487">
      <v>44090</v>
    </nc>
  </rcc>
  <rcc rId="2587" sId="2" numFmtId="19">
    <nc r="AC488">
      <v>44084</v>
    </nc>
  </rcc>
  <rcc rId="2588" sId="2" numFmtId="19">
    <nc r="AD488">
      <v>44090</v>
    </nc>
  </rcc>
  <rcc rId="2589" sId="2" numFmtId="19">
    <nc r="AC489">
      <v>44084</v>
    </nc>
  </rcc>
  <rcc rId="2590" sId="2" numFmtId="19">
    <nc r="AD489">
      <v>44090</v>
    </nc>
  </rcc>
  <rcc rId="2591" sId="2" numFmtId="19">
    <nc r="AC490">
      <v>44084</v>
    </nc>
  </rcc>
  <rcc rId="2592" sId="2" numFmtId="19">
    <nc r="AD490">
      <v>44090</v>
    </nc>
  </rcc>
  <rcc rId="2593" sId="2" numFmtId="19">
    <nc r="AC491">
      <v>44084</v>
    </nc>
  </rcc>
  <rcc rId="2594" sId="2" numFmtId="19">
    <nc r="AD491">
      <v>44090</v>
    </nc>
  </rcc>
  <rcc rId="2595" sId="2" numFmtId="19">
    <nc r="AC492">
      <v>44084</v>
    </nc>
  </rcc>
  <rcc rId="2596" sId="2" numFmtId="19">
    <nc r="AD492">
      <v>44090</v>
    </nc>
  </rcc>
  <rcc rId="2597" sId="2" numFmtId="19">
    <nc r="AC493">
      <v>44084</v>
    </nc>
  </rcc>
  <rcc rId="2598" sId="2" numFmtId="19">
    <nc r="AD493">
      <v>44090</v>
    </nc>
  </rcc>
  <rcc rId="2599" sId="2" numFmtId="19">
    <nc r="AC494">
      <v>44084</v>
    </nc>
  </rcc>
  <rcc rId="2600" sId="2" numFmtId="19">
    <nc r="AD494">
      <v>44090</v>
    </nc>
  </rcc>
  <rcc rId="2601" sId="2" numFmtId="19">
    <nc r="AC495">
      <v>44084</v>
    </nc>
  </rcc>
  <rcc rId="2602" sId="2" numFmtId="19">
    <nc r="AD495">
      <v>44090</v>
    </nc>
  </rcc>
  <rcc rId="2603" sId="2" numFmtId="19">
    <nc r="AC496">
      <v>44084</v>
    </nc>
  </rcc>
  <rcc rId="2604" sId="2" numFmtId="19">
    <nc r="AD496">
      <v>44090</v>
    </nc>
  </rcc>
  <rcc rId="2605" sId="2" numFmtId="19">
    <nc r="AC497">
      <v>44084</v>
    </nc>
  </rcc>
  <rcc rId="2606" sId="2" numFmtId="19">
    <nc r="AD497">
      <v>44090</v>
    </nc>
  </rcc>
  <rcc rId="2607" sId="2">
    <nc r="X501">
      <f>131/6*0.8</f>
    </nc>
  </rcc>
  <rcc rId="2608" sId="2">
    <nc r="X503">
      <f>X502/5</f>
    </nc>
  </rcc>
  <rcc rId="2609" sId="2">
    <nc r="S488" t="inlineStr">
      <is>
        <t>hau.nguyen-tai</t>
      </is>
    </nc>
  </rcc>
  <rcc rId="2610" sId="2">
    <nc r="S489" t="inlineStr">
      <is>
        <t>hau.nguyen-tai</t>
      </is>
    </nc>
  </rcc>
  <rcc rId="2611" sId="2">
    <nc r="S490" t="inlineStr">
      <is>
        <t>hau.nguyen-tai</t>
      </is>
    </nc>
  </rcc>
  <rcc rId="2612" sId="2">
    <nc r="S491" t="inlineStr">
      <is>
        <t>hau.nguyen-tai</t>
      </is>
    </nc>
  </rcc>
  <rcc rId="2613" sId="2">
    <nc r="S492" t="inlineStr">
      <is>
        <t>hau.nguyen-tai</t>
      </is>
    </nc>
  </rcc>
  <rcc rId="2614" sId="2">
    <nc r="S493" t="inlineStr">
      <is>
        <t>hau.nguyen-tai</t>
      </is>
    </nc>
  </rcc>
  <rcc rId="2615" sId="2">
    <nc r="S494" t="inlineStr">
      <is>
        <t>hau.nguyen-tai</t>
      </is>
    </nc>
  </rcc>
  <rcc rId="2616" sId="2">
    <nc r="S495" t="inlineStr">
      <is>
        <t>hau.nguyen-tai</t>
      </is>
    </nc>
  </rcc>
  <rcc rId="2617" sId="2">
    <nc r="S496" t="inlineStr">
      <is>
        <t>hau.nguyen-tai</t>
      </is>
    </nc>
  </rcc>
  <rcc rId="2618" sId="2">
    <nc r="S497" t="inlineStr">
      <is>
        <t>hau.nguyen-tai</t>
      </is>
    </nc>
  </rcc>
  <rcc rId="2619" sId="2">
    <nc r="X499">
      <f>131/6</f>
    </nc>
  </rcc>
  <rcc rId="2620" sId="2">
    <nc r="X502">
      <f>131-20</f>
    </nc>
  </rcc>
  <rcc rId="2621" sId="2">
    <nc r="S482" t="inlineStr">
      <is>
        <t>dac.luu-cong</t>
      </is>
    </nc>
  </rcc>
  <rcc rId="2622" sId="2">
    <nc r="S483" t="inlineStr">
      <is>
        <t>dac.luu-cong</t>
      </is>
    </nc>
  </rcc>
  <rcc rId="2623" sId="2">
    <nc r="S484" t="inlineStr">
      <is>
        <t>dac.luu-cong</t>
      </is>
    </nc>
  </rcc>
  <rcc rId="2624" sId="2">
    <nc r="S485" t="inlineStr">
      <is>
        <t>dac.luu-cong</t>
      </is>
    </nc>
  </rcc>
  <rcc rId="2625" sId="2">
    <nc r="S486" t="inlineStr">
      <is>
        <t>dac.luu-cong</t>
      </is>
    </nc>
  </rcc>
  <rcc rId="2626" sId="2">
    <nc r="S487" t="inlineStr">
      <is>
        <t>dac.luu-cong</t>
      </is>
    </nc>
  </rcc>
  <rcc rId="2627" sId="2">
    <nc r="S477" t="inlineStr">
      <is>
        <t>huy.do-anh</t>
      </is>
    </nc>
  </rcc>
  <rcc rId="2628" sId="2">
    <nc r="S478" t="inlineStr">
      <is>
        <t>huy.do-anh</t>
      </is>
    </nc>
  </rcc>
  <rcc rId="2629" sId="2">
    <nc r="S479" t="inlineStr">
      <is>
        <t>huy.do-anh</t>
      </is>
    </nc>
  </rcc>
  <rcc rId="2630" sId="2">
    <nc r="S480" t="inlineStr">
      <is>
        <t>huy.do-anh</t>
      </is>
    </nc>
  </rcc>
  <rcc rId="2631" sId="2">
    <nc r="S481" t="inlineStr">
      <is>
        <t>huy.do-anh</t>
      </is>
    </nc>
  </rcc>
  <rcc rId="2632" sId="2">
    <nc r="S468" t="inlineStr">
      <is>
        <t>phuong.nguyen-thanh</t>
      </is>
    </nc>
  </rcc>
  <rcc rId="2633" sId="2">
    <nc r="S469" t="inlineStr">
      <is>
        <t>phuong.nguyen-thanh</t>
      </is>
    </nc>
  </rcc>
  <rcc rId="2634" sId="2">
    <nc r="S470" t="inlineStr">
      <is>
        <t>phuong.nguyen-thanh</t>
      </is>
    </nc>
  </rcc>
  <rcc rId="2635" sId="2">
    <nc r="S471" t="inlineStr">
      <is>
        <t>phuong.nguyen-thanh</t>
      </is>
    </nc>
  </rcc>
  <rcc rId="2636" sId="2">
    <nc r="S472" t="inlineStr">
      <is>
        <t>phuong.nguyen-thanh</t>
      </is>
    </nc>
  </rcc>
  <rcc rId="2637" sId="2">
    <nc r="S473" t="inlineStr">
      <is>
        <t>phuong.nguyen-thanh</t>
      </is>
    </nc>
  </rcc>
  <rcc rId="2638" sId="2">
    <nc r="S474" t="inlineStr">
      <is>
        <t>phuong.nguyen-thanh</t>
      </is>
    </nc>
  </rcc>
  <rcc rId="2639" sId="2">
    <nc r="S475" t="inlineStr">
      <is>
        <t>phuong.nguyen-thanh</t>
      </is>
    </nc>
  </rcc>
  <rcc rId="2640" sId="2">
    <nc r="S476" t="inlineStr">
      <is>
        <t>phuong.nguyen-thanh</t>
      </is>
    </nc>
  </rcc>
  <rcc rId="2641" sId="2">
    <nc r="S462" t="inlineStr">
      <is>
        <t>chung.ly</t>
      </is>
    </nc>
  </rcc>
  <rcc rId="2642" sId="2">
    <nc r="S463" t="inlineStr">
      <is>
        <t>chung.ly</t>
      </is>
    </nc>
  </rcc>
  <rcc rId="2643" sId="2">
    <nc r="S464" t="inlineStr">
      <is>
        <t>chung.ly</t>
      </is>
    </nc>
  </rcc>
  <rcc rId="2644" sId="2">
    <nc r="S465" t="inlineStr">
      <is>
        <t>chung.ly</t>
      </is>
    </nc>
  </rcc>
  <rcc rId="2645" sId="2">
    <nc r="S466" t="inlineStr">
      <is>
        <t>chung.ly</t>
      </is>
    </nc>
  </rcc>
  <rcc rId="2646" sId="2">
    <nc r="S467" t="inlineStr">
      <is>
        <t>chung.ly</t>
      </is>
    </nc>
  </rcc>
  <rcc rId="2647" sId="2">
    <nc r="S456" t="inlineStr">
      <is>
        <t>chung.ly</t>
      </is>
    </nc>
  </rcc>
  <rcc rId="2648" sId="2">
    <nc r="S457" t="inlineStr">
      <is>
        <t>chung.ly</t>
      </is>
    </nc>
  </rcc>
  <rcc rId="2649" sId="2">
    <nc r="S458" t="inlineStr">
      <is>
        <t>chung.ly</t>
      </is>
    </nc>
  </rcc>
  <rcc rId="2650" sId="2">
    <nc r="S459" t="inlineStr">
      <is>
        <t>chung.ly</t>
      </is>
    </nc>
  </rcc>
  <rcc rId="2651" sId="2">
    <nc r="S455" t="inlineStr">
      <is>
        <t>khang.duong-chi</t>
      </is>
    </nc>
  </rcc>
  <rcc rId="2652" sId="2">
    <nc r="S449" t="inlineStr">
      <is>
        <t>khang.duong-chi</t>
      </is>
    </nc>
  </rcc>
  <rcc rId="2653" sId="2">
    <nc r="S450" t="inlineStr">
      <is>
        <t>khang.duong-chi</t>
      </is>
    </nc>
  </rcc>
  <rcc rId="2654" sId="2">
    <nc r="S451" t="inlineStr">
      <is>
        <t>khang.duong-chi</t>
      </is>
    </nc>
  </rcc>
  <rcc rId="2655" sId="2">
    <nc r="S452" t="inlineStr">
      <is>
        <t>khang.duong-chi</t>
      </is>
    </nc>
  </rcc>
  <rcc rId="2656" sId="2">
    <nc r="S453" t="inlineStr">
      <is>
        <t>khang.duong-chi</t>
      </is>
    </nc>
  </rcc>
  <rcc rId="2657" sId="2">
    <nc r="S454" t="inlineStr">
      <is>
        <t>khang.duong-chi</t>
      </is>
    </nc>
  </rcc>
  <rcc rId="2658" sId="2">
    <nc r="S460" t="inlineStr">
      <is>
        <t>dac.luu-cong</t>
      </is>
    </nc>
  </rcc>
  <rcc rId="2659" sId="2">
    <nc r="S461" t="inlineStr">
      <is>
        <t>dac.luu-cong</t>
      </is>
    </nc>
  </rcc>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Merged_JOEM!$B$59:$AN$512</formula>
    <oldFormula>Merged_JOEM!$B$59:$AN$506</oldFormula>
  </rdn>
  <rcv guid="{7ECC2B8E-6A82-42F5-8AB0-4A51C54EA5EC}" action="add"/>
</revisions>
</file>

<file path=xl/revisions/revisionLog1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2" sId="1" xfDxf="1" dxf="1" quotePrefix="1">
    <oc r="F254" t="inlineStr">
      <is>
        <t>/FAW_IPB1.1_Int_ESP/FAW_ESP/rb/as/fawESP/core/app/dcom/RBAPLCust/src/common/RBAPLCUST_DcmManufacturerNotification.c</t>
      </is>
    </oc>
    <nc r="F254" t="inlineStr">
      <is>
        <t>\FAW_IPB1.1_Int_ESP\FAW_ESP\rb\as\fawESP\core\app\dcom\RBAPLCust\src\common\RBAPLCUST_DcmManufacturerNotification.c</t>
      </is>
    </nc>
    <ndxf>
      <font>
        <b/>
      </font>
      <alignment horizontal="left" vertical="top" readingOrder="0"/>
      <border outline="0">
        <left style="thin">
          <color indexed="64"/>
        </left>
        <right style="thin">
          <color indexed="64"/>
        </right>
        <top style="thin">
          <color indexed="64"/>
        </top>
        <bottom style="thin">
          <color indexed="64"/>
        </bottom>
      </border>
    </ndxf>
  </rcc>
  <rcc rId="2663" sId="1" xfDxf="1" dxf="1" quotePrefix="1">
    <oc r="F255" t="inlineStr">
      <is>
        <t>/FAW_IPB1.1_Int_ESP/FAW_ESP/rb/as/fawESP/core/app/dcom/RBAPLCust/src/common/RBAPLCUST_ExpectedOBDType.c</t>
      </is>
    </oc>
    <nc r="F255" t="inlineStr">
      <is>
        <t>\FAW_IPB1.1_Int_ESP\FAW_ESP\rb\as\fawESP\core\app\dcom\RBAPLCust\src\common\RBAPLCUST_ExpectedOBDType.c</t>
      </is>
    </nc>
    <ndxf>
      <font>
        <b/>
      </font>
      <alignment horizontal="left" vertical="top" readingOrder="0"/>
      <border outline="0">
        <left style="thin">
          <color indexed="64"/>
        </left>
        <right style="thin">
          <color indexed="64"/>
        </right>
        <top style="thin">
          <color indexed="64"/>
        </top>
        <bottom style="thin">
          <color indexed="64"/>
        </bottom>
      </border>
    </ndxf>
  </rcc>
  <rcc rId="2664" sId="1" xfDxf="1" dxf="1" quotePrefix="1">
    <oc r="F256" t="inlineStr">
      <is>
        <t>/FAW_IPB1.1_Int_ESP/FAW_ESP/rb/as/fawESP/core/app/dcom/RBAPLCust/src/common/RBAPLCUST_RDBI_BLS.c</t>
      </is>
    </oc>
    <nc r="F256" t="inlineStr">
      <is>
        <t>\FAW_IPB1.1_Int_ESP\FAW_ESP\rb\as\fawESP\core\app\dcom\RBAPLCust\src\common\RBAPLCUST_RDBI_BLS.c</t>
      </is>
    </nc>
    <ndxf>
      <font>
        <b/>
      </font>
      <alignment horizontal="left" vertical="top" readingOrder="0"/>
      <border outline="0">
        <left style="thin">
          <color indexed="64"/>
        </left>
        <right style="thin">
          <color indexed="64"/>
        </right>
        <top style="thin">
          <color indexed="64"/>
        </top>
        <bottom style="thin">
          <color indexed="64"/>
        </bottom>
      </border>
    </ndxf>
  </rcc>
  <rcc rId="2665" sId="1" xfDxf="1" dxf="1" quotePrefix="1">
    <oc r="F257" t="inlineStr">
      <is>
        <t>rb\as\fawESP\core\app\dcom\rbaplcust\src\IPB\RBAPLCUST_RDBI_CBDS.c</t>
      </is>
    </oc>
    <nc r="F257" t="inlineStr">
      <is>
        <t>\FAW_IPB1.1_Int_ESP\FAW_ESP\rb\as\fawESP\core\app\dcom\rbaplcust\src\IPB\RBAPLCUST_RDBI_CBDS.c</t>
      </is>
    </nc>
    <ndxf>
      <alignment horizontal="left" vertical="top" readingOrder="0"/>
      <border outline="0">
        <left style="thin">
          <color indexed="64"/>
        </left>
        <right style="thin">
          <color indexed="64"/>
        </right>
        <top style="thin">
          <color indexed="64"/>
        </top>
        <bottom style="thin">
          <color indexed="64"/>
        </bottom>
      </border>
    </ndxf>
  </rcc>
  <rcc rId="2666" sId="1" xfDxf="1" dxf="1" quotePrefix="1">
    <oc r="F258" t="inlineStr">
      <is>
        <t>/FAW_IPB1.1_Int_ESP/FAW_ESP/rb/as/fawESP/core/app/dcom/RBAPLCust/src/iBooster/RBAPLCUST_RoutineControl_iBoosterActuatorTest.c</t>
      </is>
    </oc>
    <nc r="F258" t="inlineStr">
      <is>
        <t>\FAW_IPB1.1_Int_ESP\FAW_ESP\rb\as\fawESP\core\app\dcom\RBAPLCust\src\iBooster\RBAPLCUST_RoutineControl_iBoosterActuatorTest.c</t>
      </is>
    </nc>
    <ndxf>
      <font>
        <b/>
      </font>
      <alignment horizontal="left" vertical="top" readingOrder="0"/>
      <border outline="0">
        <left style="thin">
          <color indexed="64"/>
        </left>
        <right style="thin">
          <color indexed="64"/>
        </right>
        <top style="thin">
          <color indexed="64"/>
        </top>
        <bottom style="thin">
          <color indexed="64"/>
        </bottom>
      </border>
    </ndxf>
  </rcc>
  <rcc rId="2667" sId="1" xfDxf="1" dxf="1" quotePrefix="1">
    <oc r="F259" t="inlineStr">
      <is>
        <t>rb\as\fawESP\core\app\dcom\rbaplobd\src\RBAPLOBD_Global.c</t>
      </is>
    </oc>
    <nc r="F259" t="inlineStr">
      <is>
        <t>\FAW_IPB1.1_Int_ESP\FAW_ESP\rb\as\fawESP\core\app\dcom\rbaplobd\src\RBAPLOBD_Global.c</t>
      </is>
    </nc>
    <ndxf>
      <alignment horizontal="left" vertical="top" readingOrder="0"/>
      <border outline="0">
        <left style="thin">
          <color indexed="64"/>
        </left>
        <right style="thin">
          <color indexed="64"/>
        </right>
        <top style="thin">
          <color indexed="64"/>
        </top>
        <bottom style="thin">
          <color indexed="64"/>
        </bottom>
      </border>
    </ndxf>
  </rcc>
  <rcc rId="2668" sId="1" xfDxf="1" dxf="1" quotePrefix="1">
    <oc r="F260" t="inlineStr">
      <is>
        <t>/FAW_IPB1.1_Int_ESP/FAW_ESP/rb/as/fawESP/core/app/dsm/RBWarningIndicator/src/Dem_PrjSpecificIndiHandling.c</t>
      </is>
    </oc>
    <nc r="F260" t="inlineStr">
      <is>
        <t>\FAW_IPB1.1_Int_ESP\FAW_ESP\rb\as\fawESP\core\app\dsm\RBWarningIndicator\src\Dem_PrjSpecificIndiHandling.c</t>
      </is>
    </nc>
    <ndxf>
      <font>
        <b/>
      </font>
      <alignment horizontal="left" vertical="top" readingOrder="0"/>
      <border outline="0">
        <left style="thin">
          <color indexed="64"/>
        </left>
        <right style="thin">
          <color indexed="64"/>
        </right>
        <top style="thin">
          <color indexed="64"/>
        </top>
        <bottom style="thin">
          <color indexed="64"/>
        </bottom>
      </border>
    </ndxf>
  </rcc>
  <rcc rId="2669" sId="1" xfDxf="1" dxf="1" quotePrefix="1">
    <oc r="F261" t="inlineStr">
      <is>
        <t>/FAW_IPB1.1_Int_ESP/FAW_ESP/rb/as/fawESP/core/app/dsm/RBDsmSim/RB_SimDsmCfg/PRJ_Specific/src/DSMSim_PRJ_Specific.c</t>
      </is>
    </oc>
    <nc r="F261" t="inlineStr">
      <is>
        <t>\FAW_IPB1.1_Int_ESP\FAW_ESP\rb\as\fawESP\core\app\dsm\RBDsmSim\RB_SimDsmCfg\PRJ_Specific\src\DSMSim_PRJ_Specific.c</t>
      </is>
    </nc>
    <ndxf>
      <font>
        <b/>
      </font>
      <alignment horizontal="left" vertical="top" readingOrder="0"/>
      <border outline="0">
        <left style="thin">
          <color indexed="64"/>
        </left>
        <right style="thin">
          <color indexed="64"/>
        </right>
        <top style="thin">
          <color indexed="64"/>
        </top>
        <bottom style="thin">
          <color indexed="64"/>
        </bottom>
      </border>
    </ndxf>
  </rcc>
  <rcc rId="2670" sId="1" xfDxf="1" dxf="1" quotePrefix="1">
    <oc r="F262" t="inlineStr">
      <is>
        <t>/FAW_IPB1.1_Int_ESP/FAW_ESP/rb/as/fawESP/core/app/dsm/RBOBD/OBDGeneric/src/rba_DemObdBasic_ProjectExtension.c</t>
      </is>
    </oc>
    <nc r="F262" t="inlineStr">
      <is>
        <t>\FAW_IPB1.1_Int_ESP\FAW_ESP\rb\as\fawESP\core\app\dsm\RBOBD\OBDGeneric\src\rba_DemObdBasic_ProjectExtension.c</t>
      </is>
    </nc>
    <ndxf>
      <font>
        <b/>
      </font>
      <alignment horizontal="left" vertical="top" readingOrder="0"/>
      <border outline="0">
        <left style="thin">
          <color indexed="64"/>
        </left>
        <right style="thin">
          <color indexed="64"/>
        </right>
        <top style="thin">
          <color indexed="64"/>
        </top>
        <bottom style="thin">
          <color indexed="64"/>
        </bottom>
      </border>
    </ndxf>
  </rcc>
  <rcc rId="2671" sId="1" xfDxf="1" dxf="1" quotePrefix="1">
    <oc r="F263" t="inlineStr">
      <is>
        <t>/FAW_IPB1.1_Int_ESP/FAW_ESP/rb/as/fawESP/core/app/dsm/RBHMI_IB2/src/RBHMI_ConfigOutputDriver_PRJ.c</t>
      </is>
    </oc>
    <nc r="F263" t="inlineStr">
      <is>
        <t>\FAW_IPB1.1_Int_ESP\FAW_ESP\rb\as\fawESP\core\app\dsm\RBHMI_IB2\src\RBHMI_ConfigOutputDriver_PRJ.c</t>
      </is>
    </nc>
    <ndxf>
      <font>
        <b/>
      </font>
      <alignment horizontal="left" vertical="top" readingOrder="0"/>
      <border outline="0">
        <left style="thin">
          <color indexed="64"/>
        </left>
        <right style="thin">
          <color indexed="64"/>
        </right>
        <top style="thin">
          <color indexed="64"/>
        </top>
        <bottom style="thin">
          <color indexed="64"/>
        </bottom>
      </border>
    </ndxf>
  </rcc>
  <rcc rId="2672" sId="1" xfDxf="1" dxf="1" quotePrefix="1">
    <oc r="F264" t="inlineStr">
      <is>
        <t>/FAW_IPB1.1_Int_ESP/FAW_ESP/rb/as/fawESP/core/app/dsm/RBHMI/src/RBHMI_ConfigOutputDriver_PRJ.c</t>
      </is>
    </oc>
    <nc r="F264" t="inlineStr">
      <is>
        <t>\FAW_IPB1.1_Int_ESP\FAW_ESP\rb\as\fawESP\core\app\dsm\RBHMI\src\RBHMI_ConfigOutputDriver_PRJ.c</t>
      </is>
    </nc>
    <ndxf>
      <font>
        <b/>
      </font>
      <alignment horizontal="left" vertical="top" readingOrder="0"/>
      <border outline="0">
        <left style="thin">
          <color indexed="64"/>
        </left>
        <right style="thin">
          <color indexed="64"/>
        </right>
        <top style="thin">
          <color indexed="64"/>
        </top>
        <bottom style="thin">
          <color indexed="64"/>
        </bottom>
      </border>
    </ndxf>
  </rcc>
  <rcc rId="2673" sId="1" xfDxf="1" dxf="1" quotePrefix="1">
    <oc r="F265" t="inlineStr">
      <is>
        <t>/FAW_IPB1.1_Int_ESP/FAW_ESP/rb/as/fawESP/core/app/dsm/RBVAR/src/RBVAR_OutputDriver_PROJECT.c</t>
      </is>
    </oc>
    <nc r="F265" t="inlineStr">
      <is>
        <t>\FAW_IPB1.1_Int_ESP\FAW_ESP\rb\as\fawESP\core\app\dsm\RBVAR\src\RBVAR_OutputDriver_PROJECT.c</t>
      </is>
    </nc>
    <ndxf>
      <font>
        <b/>
      </font>
      <alignment horizontal="left" vertical="top" readingOrder="0"/>
      <border outline="0">
        <left style="thin">
          <color indexed="64"/>
        </left>
        <right style="thin">
          <color indexed="64"/>
        </right>
        <top style="thin">
          <color indexed="64"/>
        </top>
        <bottom style="thin">
          <color indexed="64"/>
        </bottom>
      </border>
    </ndxf>
  </rcc>
  <rcc rId="2674" sId="1" xfDxf="1" dxf="1" quotePrefix="1">
    <oc r="F266" t="inlineStr">
      <is>
        <t>rb\as\fawESP\core\app\dsm\RBVAR\src\RBVAR_VarCode_PROJECT.c</t>
      </is>
    </oc>
    <nc r="F266" t="inlineStr">
      <is>
        <t>\FAW_IPB1.1_Int_ESP\FAW_ESP\rb\as\fawESP\esp\hswpr\src\DfaEmf\src\RBDfaEmf_SignalOutput_BMWG01.c</t>
      </is>
    </nc>
    <ndxf>
      <alignment horizontal="left" vertical="top" readingOrder="0"/>
      <border outline="0">
        <left style="thin">
          <color indexed="64"/>
        </left>
        <right style="thin">
          <color indexed="64"/>
        </right>
        <top style="thin">
          <color indexed="64"/>
        </top>
        <bottom style="thin">
          <color indexed="64"/>
        </bottom>
      </border>
    </ndxf>
  </rcc>
  <rcc rId="2675" sId="1" xfDxf="1" dxf="1" quotePrefix="1">
    <oc r="F267" t="inlineStr">
      <is>
        <t>rb\as\fawESP\core\app\dsm\RBOBD\OBDSwitch\src\VAR_OBDSWitch_COMMON.c</t>
      </is>
    </oc>
    <nc r="F267" t="inlineStr">
      <is>
        <t>\FAW_IPB1.1_Int_ESP\FAW_ESP\rb\as\fawESP\esp\hswpr\tst\hswsim\src\TestEnvironment_Fee_EV711101.c</t>
      </is>
    </nc>
    <ndxf>
      <alignment horizontal="left" vertical="top" readingOrder="0"/>
      <border outline="0">
        <left style="thin">
          <color indexed="64"/>
        </left>
        <right style="thin">
          <color indexed="64"/>
        </right>
        <top style="thin">
          <color indexed="64"/>
        </top>
        <bottom style="thin">
          <color indexed="64"/>
        </bottom>
      </border>
    </ndxf>
  </rcc>
  <rcc rId="2676" sId="1" xfDxf="1" dxf="1" quotePrefix="1">
    <oc r="F268" t="inlineStr">
      <is>
        <t>rb\as\fawESP\core\app\dsm\RBOBD\OBDSwitch\src\VAR_OBDSWitch_IF.c</t>
      </is>
    </oc>
    <nc r="F268" t="inlineStr">
      <is>
        <t>\FAW_IPB1.1_Int_ESP\FAW_ESP\rb\as\fawESP\esp\hswpr\tst\hswsim\src\TestEnvironment_Fee_EV711106.c</t>
      </is>
    </nc>
    <ndxf>
      <alignment horizontal="left" vertical="top" readingOrder="0"/>
      <border outline="0">
        <left style="thin">
          <color indexed="64"/>
        </left>
        <right style="thin">
          <color indexed="64"/>
        </right>
        <top style="thin">
          <color indexed="64"/>
        </top>
        <bottom style="thin">
          <color indexed="64"/>
        </bottom>
      </border>
    </ndxf>
  </rcc>
  <rcc rId="2677" sId="1" xfDxf="1" dxf="1" quotePrefix="1">
    <oc r="F269" t="inlineStr">
      <is>
        <t>rb\as\fawESP\core\app\net\Cubas\src\rba_InternalIF.c</t>
      </is>
    </oc>
    <nc r="F269" t="inlineStr">
      <is>
        <t>\FAW_IPB1.1_Int_ESP\FAW_ESP\rb\as\fawESP\esp\hwp\src\RBCooLS\src\RBCooLS_Main_Volvo.c</t>
      </is>
    </nc>
    <ndxf>
      <alignment horizontal="left" vertical="top" readingOrder="0"/>
      <border outline="0">
        <left style="thin">
          <color indexed="64"/>
        </left>
        <right style="thin">
          <color indexed="64"/>
        </right>
        <top style="thin">
          <color indexed="64"/>
        </top>
        <bottom style="thin">
          <color indexed="64"/>
        </bottom>
      </border>
    </ndxf>
  </rcc>
  <rcc rId="2678" sId="1" xfDxf="1" dxf="1" quotePrefix="1">
    <oc r="F270" t="inlineStr">
      <is>
        <t>rb\as\fawESP\core\app\net\RBNm\src\rbnm.c</t>
      </is>
    </oc>
    <nc r="F270" t="inlineStr">
      <is>
        <t>\FAW_IPB1.1_Int_ESP\FAW_ESP\rb\as\fawESP\esp\hwp\src\DfaEmf\src\RBDfaEmf_SignalOutput_BMWG01.c</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1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81" sId="1" xfDxf="1" dxf="1" quotePrefix="1">
    <oc r="F286" t="inlineStr">
      <is>
        <t>/FAW_IPB1.1_Int_ESP/FAW_ESP/rb/as/fawESP/esp/hswpr/src/DfaEmf/src/RBDfaEmf_SignalOutput_BMWG01.c</t>
      </is>
    </oc>
    <nc r="F286" t="inlineStr">
      <is>
        <t>\FAW_IPB1.1_Int_ESP\FAW_ESP\rb\as\fawESP\esp\hswpr\src\DfaEmf\src\RBDfaEmf_SignalOutput_BMWG01.c</t>
      </is>
    </nc>
    <ndxf>
      <font>
        <b/>
      </font>
      <alignment horizontal="left" vertical="top" readingOrder="0"/>
      <border outline="0">
        <left style="thin">
          <color indexed="64"/>
        </left>
        <right style="thin">
          <color indexed="64"/>
        </right>
        <top style="thin">
          <color indexed="64"/>
        </top>
        <bottom style="thin">
          <color indexed="64"/>
        </bottom>
      </border>
    </ndxf>
  </rcc>
  <rcc rId="2682" sId="1" xfDxf="1" dxf="1" quotePrefix="1">
    <oc r="F288" t="inlineStr">
      <is>
        <t>/FAW_IPB1.1_Int_ESP/FAW_ESP/rb/as/fawESP/esp/hswpr/tst/hswsim/src/TestEnvironment_Fee_EV711101.c</t>
      </is>
    </oc>
    <nc r="F288" t="inlineStr">
      <is>
        <t>\FAW_IPB1.1_Int_ESP\FAW_ESP\rb\as\fawESP\esp\hswpr\tst\hswsim\src\TestEnvironment_Fee_EV711101.c</t>
      </is>
    </nc>
    <ndxf>
      <font>
        <b/>
      </font>
      <alignment horizontal="left" vertical="top" readingOrder="0"/>
      <border outline="0">
        <left style="thin">
          <color indexed="64"/>
        </left>
        <right style="thin">
          <color indexed="64"/>
        </right>
        <top style="thin">
          <color indexed="64"/>
        </top>
        <bottom style="thin">
          <color indexed="64"/>
        </bottom>
      </border>
    </ndxf>
  </rcc>
  <rcc rId="2683" sId="1" xfDxf="1" dxf="1" quotePrefix="1">
    <oc r="F289" t="inlineStr">
      <is>
        <t>/FAW_IPB1.1_Int_ESP/FAW_ESP/rb/as/fawESP/esp/hswpr/tst/hswsim/src/TestEnvironment_Fee_EV711106.c</t>
      </is>
    </oc>
    <nc r="F289" t="inlineStr">
      <is>
        <t>\FAW_IPB1.1_Int_ESP\FAW_ESP\rb\as\fawESP\esp\hswpr\tst\hswsim\src\TestEnvironment_Fee_EV711106.c</t>
      </is>
    </nc>
    <ndxf>
      <font>
        <b/>
      </font>
      <alignment horizontal="left" vertical="top" readingOrder="0"/>
      <border outline="0">
        <left style="thin">
          <color indexed="64"/>
        </left>
        <right style="thin">
          <color indexed="64"/>
        </right>
        <top style="thin">
          <color indexed="64"/>
        </top>
        <bottom style="thin">
          <color indexed="64"/>
        </bottom>
      </border>
    </ndxf>
  </rcc>
  <rcc rId="2684" sId="1" xfDxf="1" dxf="1" quotePrefix="1">
    <oc r="F290" t="inlineStr">
      <is>
        <t>/FAW_IPB1.1_Int_ESP/FAW_ESP/rb/as/fawESP/esp/hwp/src/RBCooLS/src/RBCooLS_Main_Volvo.c</t>
      </is>
    </oc>
    <nc r="F290" t="inlineStr">
      <is>
        <t>\FAW_IPB1.1_Int_ESP\FAW_ESP\rb\as\fawESP\esp\hwp\src\RBCooLS\src\RBCooLS_Main_Volvo.c</t>
      </is>
    </nc>
    <ndxf>
      <font>
        <b/>
      </font>
      <alignment horizontal="left" vertical="top" readingOrder="0"/>
      <border outline="0">
        <left style="thin">
          <color indexed="64"/>
        </left>
        <right style="thin">
          <color indexed="64"/>
        </right>
        <top style="thin">
          <color indexed="64"/>
        </top>
        <bottom style="thin">
          <color indexed="64"/>
        </bottom>
      </border>
    </ndxf>
  </rcc>
  <rcc rId="2685" sId="1" xfDxf="1" dxf="1" quotePrefix="1">
    <oc r="F291" t="inlineStr">
      <is>
        <t>/FAW_IPB1.1_Int_ESP/FAW_ESP/rb/as/fawESP/esp/hwp/src/DfaEmf/src/RBDfaEmf_SignalOutput_BMWG01.c</t>
      </is>
    </oc>
    <nc r="F291" t="inlineStr">
      <is>
        <t>\FAW_IPB1.1_Int_ESP\FAW_ESP\rb\as\fawESP\esp\hwp\src\DfaEmf\src\RBDfaEmf_SignalOutput_BMWG01.c</t>
      </is>
    </nc>
    <ndxf>
      <font>
        <b/>
      </font>
      <alignment horizontal="left" vertical="top" readingOrder="0"/>
      <border outline="0">
        <left style="thin">
          <color indexed="64"/>
        </left>
        <right style="thin">
          <color indexed="64"/>
        </right>
        <top style="thin">
          <color indexed="64"/>
        </top>
        <bottom style="thin">
          <color indexed="64"/>
        </bottom>
      </border>
    </ndxf>
  </rcc>
</revisions>
</file>

<file path=xl/revisions/revisionLog1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86" sId="2">
    <oc r="R449" t="inlineStr">
      <is>
        <t>T&gt;=200</t>
      </is>
    </oc>
    <nc r="R449" t="inlineStr">
      <is>
        <t>T200</t>
      </is>
    </nc>
  </rcc>
  <rcc rId="2687" sId="2">
    <oc r="R450" t="inlineStr">
      <is>
        <t>T&gt;=200</t>
      </is>
    </oc>
    <nc r="R450" t="inlineStr">
      <is>
        <t>T200</t>
      </is>
    </nc>
  </rcc>
  <rcc rId="2688" sId="2">
    <oc r="R451" t="inlineStr">
      <is>
        <t>T&gt;=200</t>
      </is>
    </oc>
    <nc r="R451" t="inlineStr">
      <is>
        <t>T200</t>
      </is>
    </nc>
  </rcc>
  <rcc rId="2689" sId="2">
    <oc r="R452" t="inlineStr">
      <is>
        <t>T&gt;=200</t>
      </is>
    </oc>
    <nc r="R452" t="inlineStr">
      <is>
        <t>T200</t>
      </is>
    </nc>
  </rcc>
  <rcc rId="2690" sId="2">
    <oc r="R453" t="inlineStr">
      <is>
        <t>T&gt;=200</t>
      </is>
    </oc>
    <nc r="R453" t="inlineStr">
      <is>
        <t>T200</t>
      </is>
    </nc>
  </rcc>
  <rcc rId="2691" sId="2">
    <oc r="R454" t="inlineStr">
      <is>
        <t>T&gt;=200</t>
      </is>
    </oc>
    <nc r="R454" t="inlineStr">
      <is>
        <t>T200</t>
      </is>
    </nc>
  </rcc>
  <rcc rId="2692" sId="2">
    <oc r="R455" t="inlineStr">
      <is>
        <t>T&gt;=200</t>
      </is>
    </oc>
    <nc r="R455" t="inlineStr">
      <is>
        <t>T200</t>
      </is>
    </nc>
  </rcc>
  <rcc rId="2693" sId="2">
    <oc r="R456" t="inlineStr">
      <is>
        <t>T&gt;=200</t>
      </is>
    </oc>
    <nc r="R456" t="inlineStr">
      <is>
        <t>T201</t>
      </is>
    </nc>
  </rcc>
  <rcc rId="2694" sId="2">
    <oc r="R457" t="inlineStr">
      <is>
        <t>T&gt;=200</t>
      </is>
    </oc>
    <nc r="R457" t="inlineStr">
      <is>
        <t>T201</t>
      </is>
    </nc>
  </rcc>
  <rcc rId="2695" sId="2">
    <oc r="R458" t="inlineStr">
      <is>
        <t>T&gt;=200</t>
      </is>
    </oc>
    <nc r="R458" t="inlineStr">
      <is>
        <t>T201</t>
      </is>
    </nc>
  </rcc>
  <rcc rId="2696" sId="2">
    <oc r="R459" t="inlineStr">
      <is>
        <t>T&gt;=200</t>
      </is>
    </oc>
    <nc r="R459" t="inlineStr">
      <is>
        <t>T201</t>
      </is>
    </nc>
  </rcc>
  <rcc rId="2697" sId="2">
    <oc r="R460" t="inlineStr">
      <is>
        <t>T&gt;=200</t>
      </is>
    </oc>
    <nc r="R460" t="inlineStr">
      <is>
        <t>T202</t>
      </is>
    </nc>
  </rcc>
  <rcc rId="2698" sId="2">
    <oc r="R461" t="inlineStr">
      <is>
        <t>T&gt;=200</t>
      </is>
    </oc>
    <nc r="R461" t="inlineStr">
      <is>
        <t>T202</t>
      </is>
    </nc>
  </rcc>
  <rcc rId="2699" sId="2">
    <oc r="R462" t="inlineStr">
      <is>
        <t>T&gt;=200</t>
      </is>
    </oc>
    <nc r="R462" t="inlineStr">
      <is>
        <t>T201</t>
      </is>
    </nc>
  </rcc>
  <rcc rId="2700" sId="2">
    <oc r="R463" t="inlineStr">
      <is>
        <t>T&gt;=200</t>
      </is>
    </oc>
    <nc r="R463" t="inlineStr">
      <is>
        <t>T201</t>
      </is>
    </nc>
  </rcc>
  <rcc rId="2701" sId="2">
    <oc r="R464" t="inlineStr">
      <is>
        <t>T&gt;=200</t>
      </is>
    </oc>
    <nc r="R464" t="inlineStr">
      <is>
        <t>T201</t>
      </is>
    </nc>
  </rcc>
  <rcc rId="2702" sId="2">
    <oc r="R465" t="inlineStr">
      <is>
        <t>T&gt;=200</t>
      </is>
    </oc>
    <nc r="R465" t="inlineStr">
      <is>
        <t>T201</t>
      </is>
    </nc>
  </rcc>
  <rcc rId="2703" sId="2">
    <oc r="R466" t="inlineStr">
      <is>
        <t>T&gt;=200</t>
      </is>
    </oc>
    <nc r="R466" t="inlineStr">
      <is>
        <t>T201</t>
      </is>
    </nc>
  </rcc>
  <rcc rId="2704" sId="2">
    <oc r="R467" t="inlineStr">
      <is>
        <t>T&gt;=200</t>
      </is>
    </oc>
    <nc r="R467" t="inlineStr">
      <is>
        <t>T201</t>
      </is>
    </nc>
  </rcc>
  <rcc rId="2705" sId="2">
    <oc r="R468" t="inlineStr">
      <is>
        <t>T&gt;=200</t>
      </is>
    </oc>
    <nc r="R468" t="inlineStr">
      <is>
        <t>T203</t>
      </is>
    </nc>
  </rcc>
  <rcc rId="2706" sId="2">
    <oc r="R469" t="inlineStr">
      <is>
        <t>T&gt;=200</t>
      </is>
    </oc>
    <nc r="R469" t="inlineStr">
      <is>
        <t>T203</t>
      </is>
    </nc>
  </rcc>
  <rcc rId="2707" sId="2">
    <oc r="R470" t="inlineStr">
      <is>
        <t>T&gt;=200</t>
      </is>
    </oc>
    <nc r="R470" t="inlineStr">
      <is>
        <t>T203</t>
      </is>
    </nc>
  </rcc>
  <rcc rId="2708" sId="2">
    <oc r="R471" t="inlineStr">
      <is>
        <t>T&gt;=200</t>
      </is>
    </oc>
    <nc r="R471" t="inlineStr">
      <is>
        <t>T203</t>
      </is>
    </nc>
  </rcc>
  <rcc rId="2709" sId="2">
    <oc r="R472" t="inlineStr">
      <is>
        <t>T&gt;=200</t>
      </is>
    </oc>
    <nc r="R472" t="inlineStr">
      <is>
        <t>T203</t>
      </is>
    </nc>
  </rcc>
  <rcc rId="2710" sId="2">
    <oc r="R473" t="inlineStr">
      <is>
        <t>T&gt;=200</t>
      </is>
    </oc>
    <nc r="R473" t="inlineStr">
      <is>
        <t>T203</t>
      </is>
    </nc>
  </rcc>
  <rcc rId="2711" sId="2">
    <oc r="R474" t="inlineStr">
      <is>
        <t>T&gt;=200</t>
      </is>
    </oc>
    <nc r="R474" t="inlineStr">
      <is>
        <t>T203</t>
      </is>
    </nc>
  </rcc>
  <rcc rId="2712" sId="2">
    <oc r="R475" t="inlineStr">
      <is>
        <t>T&gt;=200</t>
      </is>
    </oc>
    <nc r="R475" t="inlineStr">
      <is>
        <t>T203</t>
      </is>
    </nc>
  </rcc>
  <rcc rId="2713" sId="2">
    <oc r="R476" t="inlineStr">
      <is>
        <t>T&gt;=200</t>
      </is>
    </oc>
    <nc r="R476" t="inlineStr">
      <is>
        <t>T203</t>
      </is>
    </nc>
  </rcc>
  <rcc rId="2714" sId="2">
    <oc r="R477" t="inlineStr">
      <is>
        <t>T&gt;=200</t>
      </is>
    </oc>
    <nc r="R477" t="inlineStr">
      <is>
        <t>T204</t>
      </is>
    </nc>
  </rcc>
  <rcc rId="2715" sId="2">
    <oc r="R478" t="inlineStr">
      <is>
        <t>T&gt;=200</t>
      </is>
    </oc>
    <nc r="R478" t="inlineStr">
      <is>
        <t>T204</t>
      </is>
    </nc>
  </rcc>
  <rcc rId="2716" sId="2">
    <oc r="R479" t="inlineStr">
      <is>
        <t>T&gt;=200</t>
      </is>
    </oc>
    <nc r="R479" t="inlineStr">
      <is>
        <t>T204</t>
      </is>
    </nc>
  </rcc>
  <rcc rId="2717" sId="2">
    <oc r="R480" t="inlineStr">
      <is>
        <t>T&gt;=200</t>
      </is>
    </oc>
    <nc r="R480" t="inlineStr">
      <is>
        <t>T204</t>
      </is>
    </nc>
  </rcc>
  <rcc rId="2718" sId="2">
    <oc r="R481" t="inlineStr">
      <is>
        <t>T&gt;=200</t>
      </is>
    </oc>
    <nc r="R481" t="inlineStr">
      <is>
        <t>T204</t>
      </is>
    </nc>
  </rcc>
  <rcc rId="2719" sId="2">
    <oc r="R482" t="inlineStr">
      <is>
        <t>T&gt;=200</t>
      </is>
    </oc>
    <nc r="R482" t="inlineStr">
      <is>
        <t>T202</t>
      </is>
    </nc>
  </rcc>
  <rcc rId="2720" sId="2">
    <oc r="R483" t="inlineStr">
      <is>
        <t>T&gt;=200</t>
      </is>
    </oc>
    <nc r="R483" t="inlineStr">
      <is>
        <t>T202</t>
      </is>
    </nc>
  </rcc>
  <rcc rId="2721" sId="2">
    <oc r="R484" t="inlineStr">
      <is>
        <t>T&gt;=200</t>
      </is>
    </oc>
    <nc r="R484" t="inlineStr">
      <is>
        <t>T202</t>
      </is>
    </nc>
  </rcc>
  <rcc rId="2722" sId="2">
    <oc r="R485" t="inlineStr">
      <is>
        <t>T&gt;=200</t>
      </is>
    </oc>
    <nc r="R485" t="inlineStr">
      <is>
        <t>T202</t>
      </is>
    </nc>
  </rcc>
  <rcc rId="2723" sId="2">
    <oc r="R486" t="inlineStr">
      <is>
        <t>T&gt;=200</t>
      </is>
    </oc>
    <nc r="R486" t="inlineStr">
      <is>
        <t>T202</t>
      </is>
    </nc>
  </rcc>
  <rcc rId="2724" sId="2">
    <oc r="R487" t="inlineStr">
      <is>
        <t>T&gt;=200</t>
      </is>
    </oc>
    <nc r="R487" t="inlineStr">
      <is>
        <t>T202</t>
      </is>
    </nc>
  </rcc>
  <rcc rId="2725" sId="2">
    <oc r="R489" t="inlineStr">
      <is>
        <t>T&gt;=200</t>
      </is>
    </oc>
    <nc r="R489" t="inlineStr">
      <is>
        <t>T205</t>
      </is>
    </nc>
  </rcc>
  <rcc rId="2726" sId="2">
    <oc r="R490" t="inlineStr">
      <is>
        <t>T&gt;=200</t>
      </is>
    </oc>
    <nc r="R490" t="inlineStr">
      <is>
        <t>T205</t>
      </is>
    </nc>
  </rcc>
  <rcc rId="2727" sId="2">
    <oc r="R491" t="inlineStr">
      <is>
        <t>T&gt;=200</t>
      </is>
    </oc>
    <nc r="R491" t="inlineStr">
      <is>
        <t>T205</t>
      </is>
    </nc>
  </rcc>
  <rcc rId="2728" sId="2">
    <oc r="R492" t="inlineStr">
      <is>
        <t>T&gt;=200</t>
      </is>
    </oc>
    <nc r="R492" t="inlineStr">
      <is>
        <t>T205</t>
      </is>
    </nc>
  </rcc>
  <rcc rId="2729" sId="2">
    <oc r="R493" t="inlineStr">
      <is>
        <t>T&gt;=200</t>
      </is>
    </oc>
    <nc r="R493" t="inlineStr">
      <is>
        <t>T205</t>
      </is>
    </nc>
  </rcc>
  <rcc rId="2730" sId="2">
    <oc r="R494" t="inlineStr">
      <is>
        <t>T&gt;=200</t>
      </is>
    </oc>
    <nc r="R494" t="inlineStr">
      <is>
        <t>T205</t>
      </is>
    </nc>
  </rcc>
  <rcc rId="2731" sId="2">
    <oc r="R495" t="inlineStr">
      <is>
        <t>T&gt;=200</t>
      </is>
    </oc>
    <nc r="R495" t="inlineStr">
      <is>
        <t>T205</t>
      </is>
    </nc>
  </rcc>
  <rcc rId="2732" sId="2">
    <oc r="R496" t="inlineStr">
      <is>
        <t>T&gt;=200</t>
      </is>
    </oc>
    <nc r="R496" t="inlineStr">
      <is>
        <t>T205</t>
      </is>
    </nc>
  </rcc>
  <rcc rId="2733" sId="2">
    <oc r="R497" t="inlineStr">
      <is>
        <t>T&gt;=200</t>
      </is>
    </oc>
    <nc r="R497" t="inlineStr">
      <is>
        <t>T205</t>
      </is>
    </nc>
  </rcc>
  <rcc rId="2734" sId="2">
    <oc r="X499">
      <f>131/6</f>
    </oc>
    <nc r="X499"/>
  </rcc>
  <rcc rId="2735" sId="2">
    <oc r="X501">
      <f>131/6*0.8</f>
    </oc>
    <nc r="X501"/>
  </rcc>
  <rcc rId="2736" sId="2">
    <oc r="X502">
      <f>131-20</f>
    </oc>
    <nc r="X502"/>
  </rcc>
  <rcc rId="2737" sId="2">
    <oc r="X503">
      <f>X502/5</f>
    </oc>
    <nc r="X503"/>
  </rcc>
  <rcc rId="2738" sId="2">
    <oc r="S488" t="inlineStr">
      <is>
        <t>hau.nguyen-tai</t>
      </is>
    </oc>
    <nc r="S488" t="inlineStr">
      <is>
        <t>dac.luu-cong</t>
      </is>
    </nc>
  </rcc>
  <rcc rId="2739" sId="2">
    <oc r="R488" t="inlineStr">
      <is>
        <t>T&gt;=200</t>
      </is>
    </oc>
    <nc r="R488" t="inlineStr">
      <is>
        <t>T202</t>
      </is>
    </nc>
  </rcc>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Merged_JOEM!$B$59:$AN$512</formula>
    <oldFormula>Merged_JOEM!$B$59:$AN$512</oldFormula>
  </rdn>
  <rcv guid="{7ECC2B8E-6A82-42F5-8AB0-4A51C54EA5EC}" action="add"/>
</revisions>
</file>

<file path=xl/revisions/revisionLog1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33AC7AF-C8AB-4CE9-94C7-9237011A5FC3}" action="delete"/>
  <rdn rId="0" localSheetId="1" customView="1" name="Z_D33AC7AF_C8AB_4CE9_94C7_9237011A5FC3_.wvu.FilterData" hidden="1" oldHidden="1">
    <formula>Merged_COEM!$B$59:$AN$301</formula>
    <oldFormula>Merged_COEM!$B$59:$AN$301</oldFormula>
  </rdn>
  <rdn rId="0" localSheetId="2" customView="1" name="Z_D33AC7AF_C8AB_4CE9_94C7_9237011A5FC3_.wvu.FilterData" hidden="1" oldHidden="1">
    <formula>Merged_JOEM!$B$59:$AN$512</formula>
    <oldFormula>Merged_JOEM!$B$59:$AN$512</oldFormula>
  </rdn>
  <rcv guid="{D33AC7AF-C8AB-4CE9-94C7-9237011A5FC3}" action="add"/>
</revisions>
</file>

<file path=xl/revisions/revisionLog1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44" sId="2">
    <nc r="F443">
      <v>12</v>
    </nc>
  </rcc>
  <rcc rId="2745" sId="2">
    <nc r="F442">
      <v>19</v>
    </nc>
  </rcc>
  <rcc rId="2746" sId="2">
    <nc r="F427">
      <v>11</v>
    </nc>
  </rcc>
  <rcv guid="{336B6883-2145-4B58-921E-CEC7185A847E}" action="delete"/>
  <rdn rId="0" localSheetId="1" customView="1" name="Z_336B6883_2145_4B58_921E_CEC7185A847E_.wvu.FilterData" hidden="1" oldHidden="1">
    <formula>Merged_COEM!$P$59:$P$302</formula>
    <oldFormula>Merged_COEM!$P$59:$P$302</oldFormula>
  </rdn>
  <rdn rId="0" localSheetId="2" customView="1" name="Z_336B6883_2145_4B58_921E_CEC7185A847E_.wvu.FilterData" hidden="1" oldHidden="1">
    <formula>Merged_JOEM!$B$59:$AN$512</formula>
    <oldFormula>Merged_JOEM!$B$59:$AN$512</oldFormula>
  </rdn>
  <rcv guid="{336B6883-2145-4B58-921E-CEC7185A847E}" action="add"/>
</revisions>
</file>

<file path=xl/revisions/revisionLog1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A2E8CE38-D15E-4374-89B2-69D9421C4465}" action="delete"/>
  <rdn rId="0" localSheetId="1" customView="1" name="Z_A2E8CE38_D15E_4374_89B2_69D9421C4465_.wvu.FilterData" hidden="1" oldHidden="1">
    <formula>Merged_COEM!$A$59:$AN$301</formula>
    <oldFormula>Merged_COEM!$P$59:$P$302</oldFormula>
  </rdn>
  <rdn rId="0" localSheetId="2" customView="1" name="Z_A2E8CE38_D15E_4374_89B2_69D9421C4465_.wvu.FilterData" hidden="1" oldHidden="1">
    <formula>Merged_JOEM!$B$59:$AN$512</formula>
    <oldFormula>Merged_JOEM!$B$59:$AN$506</oldFormula>
  </rdn>
  <rcv guid="{A2E8CE38-D15E-4374-89B2-69D9421C4465}" action="add"/>
</revisions>
</file>

<file path=xl/revisions/revisionLog1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FECB4C41-27E8-4A22-AFB3-4F54CDD4960E}" action="delete"/>
  <rdn rId="0" localSheetId="1" customView="1" name="Z_FECB4C41_27E8_4A22_AFB3_4F54CDD4960E_.wvu.FilterData" hidden="1" oldHidden="1">
    <formula>Merged_COEM!$B$59:$AN$301</formula>
    <oldFormula>Merged_COEM!$B$59:$AN$301</oldFormula>
  </rdn>
  <rdn rId="0" localSheetId="2" customView="1" name="Z_FECB4C41_27E8_4A22_AFB3_4F54CDD4960E_.wvu.FilterData" hidden="1" oldHidden="1">
    <formula>Merged_JOEM!$B$59:$AN$512</formula>
    <oldFormula>Merged_JOEM!$B$59:$AN$512</oldFormula>
  </rdn>
  <rcv guid="{FECB4C41-27E8-4A22-AFB3-4F54CDD4960E}" action="add"/>
</revisions>
</file>

<file path=xl/revisions/revisionLog1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263" start="0" length="0">
    <dxf>
      <fill>
        <patternFill patternType="none">
          <bgColor indexed="65"/>
        </patternFill>
      </fill>
    </dxf>
  </rfmt>
  <rfmt sheetId="1" sqref="I286" start="0" length="0">
    <dxf>
      <fill>
        <patternFill patternType="none">
          <bgColor indexed="65"/>
        </patternFill>
      </fill>
    </dxf>
  </rfmt>
  <rfmt sheetId="1" sqref="I291" start="0" length="0">
    <dxf>
      <fill>
        <patternFill>
          <bgColor rgb="FFFFFF00"/>
        </patternFill>
      </fill>
    </dxf>
  </rfmt>
</revisions>
</file>

<file path=xl/revisions/revisionLog1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53" sId="1" odxf="1" dxf="1" quotePrefix="1">
    <oc r="AN259" t="inlineStr">
      <is>
        <t>-</t>
      </is>
    </oc>
    <nc r="AN259" t="inlineStr">
      <is>
        <t>-No function to test</t>
      </is>
    </nc>
    <odxf>
      <fill>
        <patternFill patternType="none">
          <bgColor indexed="65"/>
        </patternFill>
      </fill>
    </odxf>
    <ndxf>
      <fill>
        <patternFill patternType="solid">
          <bgColor rgb="FFFFFF00"/>
        </patternFill>
      </fill>
    </ndxf>
  </rcc>
</revisions>
</file>

<file path=xl/revisions/revisionLog1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257 F259" start="0" length="2147483647">
    <dxf>
      <font>
        <b/>
      </font>
    </dxf>
  </rfmt>
</revisions>
</file>

<file path=xl/revisions/revisionLog1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54" sId="1" odxf="1" dxf="1" quotePrefix="1">
    <oc r="F235" t="inlineStr">
      <is>
        <t>rb\as\fawESP\core\app\dcom\RBAPLCust\src\ESP\</t>
      </is>
    </oc>
    <nc r="F235" t="inlineStr">
      <is>
        <t>FAW_IPB1.1_Int\FAW_IPB\rb\as\fawIPB\core\app\dcom\RBAPLCust\src\IPB</t>
      </is>
    </nc>
    <odxf>
      <font>
        <b val="0"/>
        <sz val="11"/>
        <color theme="1"/>
        <name val="Calibri"/>
        <scheme val="minor"/>
      </font>
    </odxf>
    <ndxf>
      <font>
        <b/>
        <sz val="11"/>
        <color theme="1"/>
        <name val="Calibri"/>
        <scheme val="minor"/>
      </font>
    </ndxf>
  </rcc>
  <rcc rId="2755" sId="1">
    <nc r="X233">
      <f>W233</f>
    </nc>
  </rcc>
  <rcc rId="2756" sId="1">
    <nc r="Z233">
      <v>4</v>
    </nc>
  </rcc>
  <rcc rId="2757" sId="1" numFmtId="19">
    <nc r="AE233">
      <v>44082</v>
    </nc>
  </rcc>
  <rcc rId="2758" sId="1" numFmtId="19">
    <nc r="AF233">
      <v>44082</v>
    </nc>
  </rcc>
  <rcc rId="2759" sId="1">
    <nc r="AG233" t="inlineStr">
      <is>
        <t>OK</t>
      </is>
    </nc>
  </rcc>
  <rcc rId="2760" sId="1" numFmtId="14">
    <nc r="AH233">
      <v>1</v>
    </nc>
  </rcc>
  <rcc rId="2761" sId="1" numFmtId="14">
    <nc r="AI233">
      <v>1</v>
    </nc>
  </rcc>
  <rcc rId="2762" sId="1" numFmtId="14">
    <nc r="AJ233">
      <v>1</v>
    </nc>
  </rcc>
  <rcc rId="2763" sId="1">
    <nc r="AK233" t="inlineStr">
      <is>
        <t>None</t>
      </is>
    </nc>
  </rcc>
  <rcv guid="{99BC1C51-34DC-4BF2-906C-1E31B6171D71}" action="delete"/>
  <rdn rId="0" localSheetId="1" customView="1" name="Z_99BC1C51_34DC_4BF2_906C_1E31B6171D71_.wvu.FilterData" hidden="1" oldHidden="1">
    <formula>Merged_COEM!$A$59:$AN$301</formula>
    <oldFormula>Merged_COEM!$A$59:$AN$301</oldFormula>
  </rdn>
  <rdn rId="0" localSheetId="2" customView="1" name="Z_99BC1C51_34DC_4BF2_906C_1E31B6171D71_.wvu.FilterData" hidden="1" oldHidden="1">
    <formula>Merged_JOEM!$B$59:$AN$512</formula>
    <oldFormula>Merged_JOEM!$B$59:$AN$512</oldFormula>
  </rdn>
  <rcv guid="{99BC1C51-34DC-4BF2-906C-1E31B6171D71}" action="add"/>
</revisions>
</file>

<file path=xl/revisions/revisionLog1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I460:I461" start="0" length="2147483647">
    <dxf>
      <font>
        <color rgb="FFFF0000"/>
      </font>
    </dxf>
  </rfmt>
  <rfmt sheetId="2" sqref="I488" start="0" length="2147483647">
    <dxf>
      <font>
        <color rgb="FFFF0000"/>
      </font>
    </dxf>
  </rfmt>
  <rcc rId="2766" sId="2">
    <nc r="X460">
      <f>W460</f>
    </nc>
  </rcc>
  <rcc rId="2767" sId="2">
    <nc r="X461">
      <f>W461</f>
    </nc>
  </rcc>
  <rcc rId="2768" sId="2">
    <nc r="X482">
      <f>W482</f>
    </nc>
  </rcc>
  <rcc rId="2769" sId="2">
    <nc r="X483">
      <f>W483</f>
    </nc>
  </rcc>
  <rcc rId="2770" sId="2">
    <nc r="X484">
      <f>W484</f>
    </nc>
  </rcc>
  <rcc rId="2771" sId="2">
    <nc r="X485">
      <f>W485</f>
    </nc>
  </rcc>
  <rcc rId="2772" sId="2">
    <nc r="X486">
      <f>W486</f>
    </nc>
  </rcc>
  <rcc rId="2773" sId="2">
    <nc r="X487">
      <f>W487</f>
    </nc>
  </rcc>
  <rcc rId="2774" sId="2">
    <nc r="X488">
      <f>W488</f>
    </nc>
  </rcc>
  <rcv guid="{336B6883-2145-4B58-921E-CEC7185A847E}" action="delete"/>
  <rdn rId="0" localSheetId="1" customView="1" name="Z_336B6883_2145_4B58_921E_CEC7185A847E_.wvu.FilterData" hidden="1" oldHidden="1">
    <formula>Merged_COEM!$P$59:$P$302</formula>
    <oldFormula>Merged_COEM!$P$59:$P$302</oldFormula>
  </rdn>
  <rdn rId="0" localSheetId="2" customView="1" name="Z_336B6883_2145_4B58_921E_CEC7185A847E_.wvu.Cols" hidden="1" oldHidden="1">
    <formula>Merged_JOEM!$A:$G,Merged_JOEM!$K:$K,Merged_JOEM!$M:$N,Merged_JOEM!$P:$Q,Merged_JOEM!$S:$X,Merged_JOEM!$AB:$AD</formula>
  </rdn>
  <rdn rId="0" localSheetId="2" customView="1" name="Z_336B6883_2145_4B58_921E_CEC7185A847E_.wvu.FilterData" hidden="1" oldHidden="1">
    <formula>Merged_JOEM!$B$59:$AN$512</formula>
    <oldFormula>Merged_JOEM!$B$59:$AN$512</oldFormula>
  </rdn>
  <rcv guid="{336B6883-2145-4B58-921E-CEC7185A847E}" action="add"/>
</revisions>
</file>

<file path=xl/revisions/revisionLog1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78" sId="1">
    <nc r="X234">
      <f>W234</f>
    </nc>
  </rcc>
  <rcc rId="2779" sId="1">
    <nc r="Z234">
      <v>0.5</v>
    </nc>
  </rcc>
  <rcc rId="2780" sId="1">
    <nc r="X235">
      <f>W235</f>
    </nc>
  </rcc>
  <rcc rId="2781" sId="1">
    <nc r="Z235">
      <v>0.5</v>
    </nc>
  </rcc>
  <rcc rId="2782" sId="1" numFmtId="19">
    <nc r="AE234">
      <v>44082</v>
    </nc>
  </rcc>
  <rcc rId="2783" sId="1" numFmtId="19">
    <nc r="AF234">
      <v>44082</v>
    </nc>
  </rcc>
  <rcc rId="2784" sId="1">
    <nc r="AG234" t="inlineStr">
      <is>
        <t>OK</t>
      </is>
    </nc>
  </rcc>
  <rcc rId="2785" sId="1" numFmtId="14">
    <nc r="AH234">
      <v>1</v>
    </nc>
  </rcc>
  <rcc rId="2786" sId="1" numFmtId="14">
    <nc r="AI234">
      <v>1</v>
    </nc>
  </rcc>
  <rcc rId="2787" sId="1" numFmtId="14">
    <nc r="AJ234">
      <v>1</v>
    </nc>
  </rcc>
  <rcc rId="2788" sId="1">
    <nc r="AK234" t="inlineStr">
      <is>
        <t>None</t>
      </is>
    </nc>
  </rcc>
  <rcc rId="2789" sId="1" numFmtId="19">
    <nc r="AE235">
      <v>44082</v>
    </nc>
  </rcc>
  <rcc rId="2790" sId="1" numFmtId="19">
    <nc r="AF235">
      <v>44082</v>
    </nc>
  </rcc>
  <rcc rId="2791" sId="1">
    <nc r="AG235" t="inlineStr">
      <is>
        <t>OK</t>
      </is>
    </nc>
  </rcc>
  <rcc rId="2792" sId="1" numFmtId="14">
    <nc r="AH235">
      <v>1</v>
    </nc>
  </rcc>
  <rcc rId="2793" sId="1" numFmtId="14">
    <nc r="AI235">
      <v>1</v>
    </nc>
  </rcc>
  <rcc rId="2794" sId="1" numFmtId="14">
    <nc r="AJ235">
      <v>1</v>
    </nc>
  </rcc>
  <rcc rId="2795" sId="1">
    <nc r="AK235" t="inlineStr">
      <is>
        <t>None</t>
      </is>
    </nc>
  </rcc>
  <rcv guid="{99BC1C51-34DC-4BF2-906C-1E31B6171D71}" action="delete"/>
  <rdn rId="0" localSheetId="1" customView="1" name="Z_99BC1C51_34DC_4BF2_906C_1E31B6171D71_.wvu.FilterData" hidden="1" oldHidden="1">
    <formula>Merged_COEM!$A$59:$AN$301</formula>
    <oldFormula>Merged_COEM!$A$59:$AN$301</oldFormula>
  </rdn>
  <rdn rId="0" localSheetId="2" customView="1" name="Z_99BC1C51_34DC_4BF2_906C_1E31B6171D71_.wvu.FilterData" hidden="1" oldHidden="1">
    <formula>Merged_JOEM!$B$59:$AN$512</formula>
    <oldFormula>Merged_JOEM!$B$59:$AN$512</oldFormula>
  </rdn>
  <rcv guid="{99BC1C51-34DC-4BF2-906C-1E31B6171D71}" action="add"/>
</revisions>
</file>

<file path=xl/revisions/revisionLog1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98" sId="1" odxf="1" dxf="1" quotePrefix="1">
    <oc r="F236" t="inlineStr">
      <is>
        <t>rb\as\fawESP\core\app\dcom\RBAPLCust\src\ESP\</t>
      </is>
    </oc>
    <nc r="F236" t="inlineStr">
      <is>
        <t>FAW_IPB1.1_Int\FAW_IPB\rb\as\fawIPB\core\app\dcom\RBAPLCust\src\IPB</t>
      </is>
    </nc>
    <odxf>
      <font>
        <b val="0"/>
        <sz val="11"/>
        <color theme="1"/>
        <name val="Calibri"/>
        <scheme val="minor"/>
      </font>
    </odxf>
    <ndxf>
      <font>
        <b/>
        <sz val="11"/>
        <color theme="1"/>
        <name val="Calibri"/>
        <scheme val="minor"/>
      </font>
    </ndxf>
  </rcc>
</revisions>
</file>

<file path=xl/revisions/revisionLog1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99" sId="1">
    <nc r="X236">
      <f>W236</f>
    </nc>
  </rcc>
  <rcc rId="2800" sId="1">
    <nc r="Z236">
      <v>0.5</v>
    </nc>
  </rcc>
  <rcc rId="2801" sId="1" numFmtId="19">
    <nc r="AE236">
      <v>44083</v>
    </nc>
  </rcc>
  <rcc rId="2802" sId="1" numFmtId="19">
    <nc r="AF236">
      <v>44083</v>
    </nc>
  </rcc>
  <rcc rId="2803" sId="1">
    <nc r="AG236" t="inlineStr">
      <is>
        <t>OK</t>
      </is>
    </nc>
  </rcc>
  <rcc rId="2804" sId="1" numFmtId="14">
    <nc r="AH236">
      <v>1</v>
    </nc>
  </rcc>
  <rcc rId="2805" sId="1" numFmtId="14">
    <nc r="AI236">
      <v>1</v>
    </nc>
  </rcc>
  <rcc rId="2806" sId="1" numFmtId="14">
    <nc r="AJ236">
      <v>1</v>
    </nc>
  </rcc>
  <rcc rId="2807" sId="1">
    <nc r="AK236" t="inlineStr">
      <is>
        <t>None</t>
      </is>
    </nc>
  </rcc>
  <rcv guid="{99BC1C51-34DC-4BF2-906C-1E31B6171D71}" action="delete"/>
  <rdn rId="0" localSheetId="1" customView="1" name="Z_99BC1C51_34DC_4BF2_906C_1E31B6171D71_.wvu.FilterData" hidden="1" oldHidden="1">
    <formula>Merged_COEM!$A$59:$AN$301</formula>
    <oldFormula>Merged_COEM!$A$59:$AN$301</oldFormula>
  </rdn>
  <rdn rId="0" localSheetId="2" customView="1" name="Z_99BC1C51_34DC_4BF2_906C_1E31B6171D71_.wvu.FilterData" hidden="1" oldHidden="1">
    <formula>Merged_JOEM!$B$59:$AN$512</formula>
    <oldFormula>Merged_JOEM!$B$59:$AN$512</oldFormula>
  </rdn>
  <rcv guid="{99BC1C51-34DC-4BF2-906C-1E31B6171D71}" action="add"/>
</revisions>
</file>

<file path=xl/revisions/revisionLog1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10" sId="1">
    <nc r="AA233" t="inlineStr">
      <is>
        <t>Ready for review</t>
      </is>
    </nc>
  </rcc>
  <rcc rId="2811" sId="1">
    <nc r="AA234" t="inlineStr">
      <is>
        <t>Ready for review</t>
      </is>
    </nc>
  </rcc>
  <rcc rId="2812" sId="1">
    <nc r="AA235" t="inlineStr">
      <is>
        <t>Ready for review</t>
      </is>
    </nc>
  </rcc>
  <rcc rId="2813" sId="1">
    <nc r="AA236" t="inlineStr">
      <is>
        <t>Ready for review</t>
      </is>
    </nc>
  </rcc>
  <rcv guid="{99BC1C51-34DC-4BF2-906C-1E31B6171D71}" action="delete"/>
  <rdn rId="0" localSheetId="1" customView="1" name="Z_99BC1C51_34DC_4BF2_906C_1E31B6171D71_.wvu.FilterData" hidden="1" oldHidden="1">
    <formula>Merged_COEM!$A$59:$AN$301</formula>
    <oldFormula>Merged_COEM!$A$59:$AN$301</oldFormula>
  </rdn>
  <rdn rId="0" localSheetId="2" customView="1" name="Z_99BC1C51_34DC_4BF2_906C_1E31B6171D71_.wvu.FilterData" hidden="1" oldHidden="1">
    <formula>Merged_JOEM!$B$59:$AN$512</formula>
    <oldFormula>Merged_JOEM!$B$59:$AN$512</oldFormula>
  </rdn>
  <rcv guid="{99BC1C51-34DC-4BF2-906C-1E31B6171D71}" action="add"/>
</revisions>
</file>

<file path=xl/revisions/revisionLog1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I166:I167">
    <dxf>
      <fill>
        <patternFill patternType="solid">
          <bgColor rgb="FFC6EFCE"/>
        </patternFill>
      </fill>
    </dxf>
  </rfmt>
  <rfmt sheetId="5" sqref="I192:I193">
    <dxf>
      <fill>
        <patternFill patternType="solid">
          <bgColor rgb="FFC6EFCE"/>
        </patternFill>
      </fill>
    </dxf>
  </rfmt>
  <rcc rId="2816" sId="5" odxf="1" dxf="1">
    <nc r="B198" t="inlineStr">
      <is>
        <t>Project</t>
      </is>
    </nc>
    <odxf>
      <font>
        <b val="0"/>
        <sz val="11"/>
        <color theme="1"/>
        <name val="Calibri"/>
        <scheme val="minor"/>
      </font>
    </odxf>
    <ndxf>
      <font>
        <b/>
        <sz val="11"/>
        <color theme="1"/>
        <name val="Calibri"/>
        <scheme val="minor"/>
      </font>
    </ndxf>
  </rcc>
  <rfmt sheetId="5" sqref="C198" start="0" length="0">
    <dxf>
      <font>
        <b/>
        <sz val="11"/>
        <color theme="1"/>
        <name val="Calibri"/>
        <scheme val="minor"/>
      </font>
    </dxf>
  </rfmt>
  <rcc rId="2817" sId="5" odxf="1" dxf="1">
    <nc r="B199" t="inlineStr">
      <is>
        <t>Time</t>
      </is>
    </nc>
    <odxf>
      <font>
        <b val="0"/>
        <sz val="11"/>
        <color theme="1"/>
        <name val="Calibri"/>
        <scheme val="minor"/>
      </font>
    </odxf>
    <ndxf>
      <font>
        <b/>
        <sz val="11"/>
        <color theme="1"/>
        <name val="Calibri"/>
        <scheme val="minor"/>
      </font>
    </ndxf>
  </rcc>
  <rcc rId="2818" sId="5">
    <nc r="C199">
      <f>SUM(G205:G206)</f>
    </nc>
  </rcc>
  <rcc rId="2819" sId="5">
    <nc r="D199" t="inlineStr">
      <is>
        <t>days</t>
      </is>
    </nc>
  </rcc>
  <rcc rId="2820" sId="5" odxf="1" dxf="1">
    <nc r="B200" t="inlineStr">
      <is>
        <t>Duration (Plan)</t>
      </is>
    </nc>
    <odxf>
      <font>
        <b val="0"/>
        <sz val="11"/>
        <color theme="1"/>
        <name val="Calibri"/>
        <scheme val="minor"/>
      </font>
    </odxf>
    <ndxf>
      <font>
        <b/>
        <sz val="11"/>
        <color theme="1"/>
        <name val="Calibri"/>
        <scheme val="minor"/>
      </font>
    </ndxf>
  </rcc>
  <rcc rId="2821" sId="5">
    <nc r="C200">
      <f>SUM(INT((WEEKDAY(F200-{2,3,4,5,6})+H200-F200)/7))</f>
    </nc>
  </rcc>
  <rcc rId="2822" sId="5">
    <nc r="D200" t="inlineStr">
      <is>
        <t>days</t>
      </is>
    </nc>
  </rcc>
  <rcc rId="2823" sId="5">
    <nc r="E200" t="inlineStr">
      <is>
        <t>10h00</t>
      </is>
    </nc>
  </rcc>
  <rfmt sheetId="5" sqref="F200" start="0" length="0">
    <dxf>
      <numFmt numFmtId="19" formatCode="m/d/yyyy"/>
    </dxf>
  </rfmt>
  <rcc rId="2824" sId="5" odxf="1" dxf="1">
    <nc r="G200" t="inlineStr">
      <is>
        <t>17h00</t>
      </is>
    </nc>
    <odxf>
      <numFmt numFmtId="0" formatCode="General"/>
    </odxf>
    <ndxf>
      <numFmt numFmtId="19" formatCode="m/d/yyyy"/>
    </ndxf>
  </rcc>
  <rfmt sheetId="5" sqref="H200" start="0" length="0">
    <dxf>
      <numFmt numFmtId="19" formatCode="m/d/yyyy"/>
    </dxf>
  </rfmt>
  <rcc rId="2825" sId="5" odxf="1" dxf="1">
    <nc r="B201" t="inlineStr">
      <is>
        <t>Duration (Actual)</t>
      </is>
    </nc>
    <odxf>
      <font>
        <b val="0"/>
        <sz val="11"/>
        <color theme="1"/>
        <name val="Calibri"/>
        <scheme val="minor"/>
      </font>
    </odxf>
    <ndxf>
      <font>
        <b/>
        <sz val="11"/>
        <color theme="1"/>
        <name val="Calibri"/>
        <scheme val="minor"/>
      </font>
    </ndxf>
  </rcc>
  <rcc rId="2826" sId="5">
    <nc r="C201">
      <f>SUM(INT((WEEKDAY(F201-{2,3,4,5,6})+H201-F201)/7))</f>
    </nc>
  </rcc>
  <rcc rId="2827" sId="5">
    <nc r="D201" t="inlineStr">
      <is>
        <t>days</t>
      </is>
    </nc>
  </rcc>
  <rcc rId="2828" sId="5">
    <nc r="E201" t="inlineStr">
      <is>
        <t>11h00</t>
      </is>
    </nc>
  </rcc>
  <rfmt sheetId="5" sqref="F201" start="0" length="0">
    <dxf>
      <numFmt numFmtId="19" formatCode="m/d/yyyy"/>
    </dxf>
  </rfmt>
  <rcc rId="2829" sId="5" odxf="1" dxf="1">
    <nc r="G201" t="inlineStr">
      <is>
        <t>17h00</t>
      </is>
    </nc>
    <odxf>
      <numFmt numFmtId="0" formatCode="General"/>
    </odxf>
    <ndxf>
      <numFmt numFmtId="19" formatCode="m/d/yyyy"/>
    </ndxf>
  </rcc>
  <rfmt sheetId="5" sqref="H201" start="0" length="0">
    <dxf>
      <numFmt numFmtId="19" formatCode="m/d/yyyy"/>
    </dxf>
  </rfmt>
  <rcc rId="2830" sId="5" odxf="1" dxf="1">
    <nc r="B202" t="inlineStr">
      <is>
        <t>Status</t>
      </is>
    </nc>
    <odxf>
      <font>
        <b val="0"/>
        <sz val="11"/>
        <color theme="1"/>
        <name val="Calibri"/>
        <scheme val="minor"/>
      </font>
    </odxf>
    <ndxf>
      <font>
        <b/>
        <sz val="11"/>
        <color theme="1"/>
        <name val="Calibri"/>
        <scheme val="minor"/>
      </font>
    </ndxf>
  </rcc>
  <rcc rId="2831" sId="5">
    <nc r="C202">
      <f>IF(AND(F205=E205,F206=E206),IF(SUM(H205:H206)&gt;SUM(G205:G206),"Delayed",IF(SUM(H205:H206)&lt;SUM(G205:G206),"InAdvanced","Ontime")),"N/A")</f>
    </nc>
  </rcc>
  <rfmt sheetId="5" sqref="F202" start="0" length="0">
    <dxf>
      <numFmt numFmtId="19" formatCode="m/d/yyyy"/>
    </dxf>
  </rfmt>
  <rfmt sheetId="5" sqref="G202" start="0" length="0">
    <dxf>
      <numFmt numFmtId="19" formatCode="m/d/yyyy"/>
    </dxf>
  </rfmt>
  <rfmt sheetId="5" sqref="H202" start="0" length="0">
    <dxf>
      <numFmt numFmtId="19" formatCode="m/d/yyyy"/>
    </dxf>
  </rfmt>
  <rcc rId="2832" sId="5" odxf="1" dxf="1">
    <nc r="C204"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833" sId="5" odxf="1" dxf="1">
    <nc r="D204"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834" sId="5" odxf="1" dxf="1">
    <nc r="E204"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835" sId="5" odxf="1" dxf="1">
    <nc r="F204"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836" sId="5" odxf="1" dxf="1">
    <nc r="G204"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837" sId="5" odxf="1" dxf="1">
    <nc r="H204"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838" sId="5" odxf="1" dxf="1">
    <nc r="I204"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839" sId="5" odxf="1" dxf="1">
    <nc r="J204">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840" sId="5" odxf="1" dxf="1">
    <nc r="K204">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841" sId="5" odxf="1" dxf="1">
    <nc r="C205">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842" sId="5" odxf="1" dxf="1">
    <nc r="D205">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43" sId="5" odxf="1" dxf="1">
    <nc r="E205">
      <f>SUMIFS(Merged_JOEM!$W$60:$W$538,Merged_JOEM!$D$60:$D$538,D205, Merged_JOEM!$E$60:$E$538,C198)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44" sId="5" odxf="1" dxf="1">
    <nc r="F205">
      <f>SUMIFS(Merged_JOEM!$X$60:$X$538,Merged_JOEM!$D$60:$D$538,D205, Merged_JOEM!$E$60:$E$538,C198)-SUM(SUMIFS(Merged_JOEM!$X$60:$X$538,Merged_JOEM!$D$60:$D$538,D205,Merged_JOEM!$AA$60:$AA$538,{"Ongoing","N/A",""},Merged_JOEM!$E$60:$E$538,C198))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45" sId="5" odxf="1" dxf="1">
    <nc r="G205">
      <f>1/8*(SUMIFS(Merged_JOEM!$Y$60:$Y$538,Merged_JOEM!$D$60:$D$538,D205, Merged_JOEM!$E$60:$E$538,C198))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46" sId="5" odxf="1" dxf="1">
    <nc r="H205">
      <f>1/8*(SUMIFS(Merged_JOEM!$Z$60:$Z$538,Merged_JOEM!$D$60:$D$538,D205, Merged_JOEM!$E$60:$E$538,C198)-SUM(SUMIFS(Merged_JOEM!$Z$60:$Z$538,Merged_JOEM!$D$60:$D$538,D205,Merged_JOEM!$AA$60:$AA$538,{"Ongoing","N/A",""},Merged_JOEM!$E$60:$E$538,C198)))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47" sId="5" odxf="1" dxf="1">
    <nc r="I205">
      <f>IFERROR(F205/E205,"N/A")</f>
    </nc>
    <odxf>
      <numFmt numFmtId="0" formatCode="General"/>
      <fill>
        <patternFill patternType="none">
          <bgColor indexed="65"/>
        </patternFill>
      </fill>
      <alignment horizontal="general" vertical="bottom" readingOrder="0"/>
      <border outline="0">
        <left/>
        <right/>
        <top/>
        <bottom/>
      </border>
    </odxf>
    <ndxf>
      <numFmt numFmtId="14" formatCode="0.00%"/>
      <fill>
        <patternFill patternType="solid">
          <bgColor rgb="FFC6EFCE"/>
        </patternFill>
      </fill>
      <alignment horizontal="center" vertical="top" readingOrder="0"/>
      <border outline="0">
        <left style="thin">
          <color indexed="64"/>
        </left>
        <right style="thin">
          <color indexed="64"/>
        </right>
        <top style="thin">
          <color indexed="64"/>
        </top>
        <bottom style="thin">
          <color indexed="64"/>
        </bottom>
      </border>
    </ndxf>
  </rcc>
  <rcc rId="2848" sId="5" odxf="1" dxf="1">
    <nc r="J205">
      <f>COUNTIFS(Merged_JOEM!$AK$60:$AK$538,J204,Merged_JOEM!$D$60:$D$538,D205,Merged_JOEM!$E$60:$E$538,C198)</f>
    </nc>
    <odxf>
      <border outline="0">
        <left/>
        <right/>
        <top/>
        <bottom/>
      </border>
    </odxf>
    <ndxf>
      <border outline="0">
        <left style="thin">
          <color indexed="64"/>
        </left>
        <right style="thin">
          <color indexed="64"/>
        </right>
        <top style="thin">
          <color indexed="64"/>
        </top>
        <bottom style="thin">
          <color indexed="64"/>
        </bottom>
      </border>
    </ndxf>
  </rcc>
  <rcc rId="2849" sId="5" odxf="1" dxf="1">
    <nc r="K205">
      <f>COUNTIFS(Merged_JOEM!$AK$60:$AK$538,K204,Merged_JOEM!$D$60:$D$538,D205,Merged_JOEM!$E$60:$E$538,C198)</f>
    </nc>
    <odxf>
      <border outline="0">
        <left/>
        <right/>
        <top/>
        <bottom/>
      </border>
    </odxf>
    <ndxf>
      <border outline="0">
        <left style="thin">
          <color indexed="64"/>
        </left>
        <right style="thin">
          <color indexed="64"/>
        </right>
        <top style="thin">
          <color indexed="64"/>
        </top>
        <bottom style="thin">
          <color indexed="64"/>
        </bottom>
      </border>
    </ndxf>
  </rcc>
  <rcc rId="2850" sId="5" odxf="1" dxf="1">
    <nc r="C206">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851" sId="5" odxf="1" dxf="1">
    <nc r="D206">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52" sId="5" odxf="1" dxf="1">
    <nc r="E206">
      <f>SUMIFS(Merged_JOEM!$W$60:$W$538,Merged_JOEM!$D$60:$D$538,D206, Merged_JOEM!$E$60:$E$538,C198)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53" sId="5" odxf="1" dxf="1">
    <nc r="F206">
      <f>SUMIFS(Merged_JOEM!$X$60:$X$538,Merged_JOEM!$D$60:$D$538,D206, Merged_JOEM!$E$60:$E$538,C198)-SUM(SUMIFS(Merged_JOEM!$X$60:$X$538,Merged_JOEM!$D$60:$D$538,D206,Merged_JOEM!$AA$60:$AA$538,{"Ongoing","N/A",""},Merged_JOEM!$E$60:$E$538,C198))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54" sId="5" odxf="1" dxf="1">
    <nc r="G206">
      <f>1/8*(SUMIFS(Merged_JOEM!$Y$60:$Y$538,Merged_JOEM!$D$60:$D$538,D206,Merged_JOEM!$E$60:$E$538,C198))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55" sId="5" odxf="1" dxf="1">
    <nc r="H206">
      <f>1/8*(SUMIFS(Merged_JOEM!$Z$60:$Z$538,Merged_JOEM!$D$60:$D$538,D206,Merged_JOEM!$E$60:$E$538,C198)-SUM(SUMIFS(Merged_JOEM!$Z$60:$Z$538,Merged_JOEM!$D$60:$D$538,D206,Merged_JOEM!$AA$60:$AA$538,{"Ongoing","N/A",""},Merged_JOEM!$E$60:$E$538,C198)))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56" sId="5" odxf="1" dxf="1">
    <nc r="I206">
      <f>IFERROR(F206/E206,"N/A")</f>
    </nc>
    <odxf>
      <numFmt numFmtId="0" formatCode="General"/>
      <fill>
        <patternFill patternType="none">
          <bgColor indexed="65"/>
        </patternFill>
      </fill>
      <alignment horizontal="general" vertical="bottom" readingOrder="0"/>
      <border outline="0">
        <left/>
        <right/>
        <top/>
        <bottom/>
      </border>
    </odxf>
    <ndxf>
      <numFmt numFmtId="14" formatCode="0.00%"/>
      <fill>
        <patternFill patternType="solid">
          <bgColor rgb="FFC6EFCE"/>
        </patternFill>
      </fill>
      <alignment horizontal="center" vertical="top" readingOrder="0"/>
      <border outline="0">
        <left style="thin">
          <color indexed="64"/>
        </left>
        <right style="thin">
          <color indexed="64"/>
        </right>
        <top style="thin">
          <color indexed="64"/>
        </top>
        <bottom style="thin">
          <color indexed="64"/>
        </bottom>
      </border>
    </ndxf>
  </rcc>
  <rcc rId="2857" sId="5" odxf="1" dxf="1">
    <nc r="J206">
      <f>COUNTIFS(Merged_JOEM!$AK$60:$AK$538,J204,Merged_JOEM!$D$60:$D$538,D206,Merged_JOEM!$E$60:$E$538,C198)</f>
    </nc>
    <odxf>
      <border outline="0">
        <left/>
        <right/>
        <top/>
        <bottom/>
      </border>
    </odxf>
    <ndxf>
      <border outline="0">
        <left style="thin">
          <color indexed="64"/>
        </left>
        <right style="thin">
          <color indexed="64"/>
        </right>
        <top style="thin">
          <color indexed="64"/>
        </top>
        <bottom style="thin">
          <color indexed="64"/>
        </bottom>
      </border>
    </ndxf>
  </rcc>
  <rcc rId="2858" sId="5" odxf="1" dxf="1">
    <nc r="K206">
      <f>COUNTIFS(Merged_JOEM!$AK$60:$AK$538,K204,Merged_JOEM!$D$60:$D$538,D206,Merged_JOEM!$E$60:$E$538,C198)</f>
    </nc>
    <odxf>
      <border outline="0">
        <left/>
        <right/>
        <top/>
        <bottom/>
      </border>
    </odxf>
    <ndxf>
      <border outline="0">
        <left style="thin">
          <color indexed="64"/>
        </left>
        <right style="thin">
          <color indexed="64"/>
        </right>
        <top style="thin">
          <color indexed="64"/>
        </top>
        <bottom style="thin">
          <color indexed="64"/>
        </bottom>
      </border>
    </ndxf>
  </rcc>
  <rcc rId="2859" sId="5">
    <nc r="C208" t="inlineStr">
      <is>
        <t>Brief Description:</t>
      </is>
    </nc>
  </rcc>
  <rcc rId="2860" sId="5">
    <nc r="A198">
      <v>16</v>
    </nc>
  </rcc>
  <rcc rId="2861" sId="5">
    <nc r="C198" t="inlineStr">
      <is>
        <t>TOY_800BCV2_670BCV_893BSysken_227DSysken_Integration9</t>
      </is>
    </nc>
  </rcc>
  <rfmt sheetId="5" sqref="I205:I206">
    <dxf>
      <fill>
        <patternFill patternType="none">
          <bgColor auto="1"/>
        </patternFill>
      </fill>
    </dxf>
  </rfmt>
  <rcc rId="2862" sId="5" numFmtId="19">
    <nc r="F200">
      <v>44083</v>
    </nc>
  </rcc>
  <rcc rId="2863" sId="5" numFmtId="19">
    <nc r="F201">
      <v>44083</v>
    </nc>
  </rcc>
  <rcc rId="2864" sId="5" numFmtId="19">
    <nc r="H200">
      <v>44090</v>
    </nc>
  </rcc>
  <rcc rId="2865" sId="5" numFmtId="19">
    <nc r="H201">
      <v>44090</v>
    </nc>
  </rcc>
</revisions>
</file>

<file path=xl/revisions/revisionLog1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66" sId="2" numFmtId="19">
    <nc r="AE428">
      <v>44083</v>
    </nc>
  </rcc>
  <rcc rId="2867" sId="2" numFmtId="19">
    <nc r="AF428">
      <v>44083</v>
    </nc>
  </rcc>
  <rcc rId="2868" sId="2">
    <nc r="AG428" t="inlineStr">
      <is>
        <t>OK</t>
      </is>
    </nc>
  </rcc>
  <rcc rId="2869" sId="2" odxf="1" dxf="1" quotePrefix="1">
    <nc r="AK428" t="inlineStr">
      <is>
        <t>None</t>
      </is>
    </nc>
    <odxf/>
    <ndxf/>
  </rcc>
  <rcc rId="2870" sId="2" numFmtId="14">
    <nc r="AJ428" t="inlineStr">
      <is>
        <t>NA</t>
      </is>
    </nc>
  </rcc>
  <rcc rId="2871" sId="2" quotePrefix="1">
    <nc r="AL428" t="inlineStr">
      <is>
        <t>Param 1D cannot cover full C0/C1</t>
      </is>
    </nc>
  </rcc>
  <rcc rId="2872" sId="2" numFmtId="14">
    <nc r="AH428">
      <v>0.89500000000000002</v>
    </nc>
  </rcc>
  <rcc rId="2873" sId="2" numFmtId="14">
    <nc r="AI428">
      <v>0.89500000000000002</v>
    </nc>
  </rcc>
  <rcv guid="{D33AC7AF-C8AB-4CE9-94C7-9237011A5FC3}" action="delete"/>
  <rdn rId="0" localSheetId="1" customView="1" name="Z_D33AC7AF_C8AB_4CE9_94C7_9237011A5FC3_.wvu.FilterData" hidden="1" oldHidden="1">
    <formula>Merged_COEM!$B$59:$AN$301</formula>
    <oldFormula>Merged_COEM!$B$59:$AN$301</oldFormula>
  </rdn>
  <rdn rId="0" localSheetId="2" customView="1" name="Z_D33AC7AF_C8AB_4CE9_94C7_9237011A5FC3_.wvu.FilterData" hidden="1" oldHidden="1">
    <formula>Merged_JOEM!$B$59:$AN$512</formula>
    <oldFormula>Merged_JOEM!$B$59:$AN$512</oldFormula>
  </rdn>
  <rcv guid="{D33AC7AF-C8AB-4CE9-94C7-9237011A5FC3}" action="add"/>
</revisions>
</file>

<file path=xl/revisions/revisionLog1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76" sId="1" quotePrefix="1">
    <oc r="F276" t="inlineStr">
      <is>
        <t>rb\as\fawESP\esp\app\dsm\DemVar\src\RBDemVar_VariantHandling.c</t>
      </is>
    </oc>
    <nc r="F276" t="inlineStr">
      <is>
        <t>FAW_IPB1.1_Int_ESP\FAW_ESP\rb\as\fawESP\esp\app\dsm\DemVar\src\RBDemVar_VariantHandling.c</t>
      </is>
    </nc>
  </rcc>
  <rcc rId="2877" sId="1" quotePrefix="1">
    <oc r="F277" t="inlineStr">
      <is>
        <t>rb\as\fawESP\esp\app\net\RBScl\src\ComScl_Scl_Complex_proc.c</t>
      </is>
    </oc>
    <nc r="F277" t="inlineStr">
      <is>
        <t>FAW_IPB1.1_Int_ESP\FAW_ESP\rb\as\fawESP\esp\app\net\RBScl\src\ComScl_Scl_Complex_proc.c</t>
      </is>
    </nc>
  </rcc>
  <rcc rId="2878" sId="1" quotePrefix="1">
    <oc r="F292" t="inlineStr">
      <is>
        <t>rb\as\fawESP\esp\netpr\src\RBPduHandler_Callouts.c</t>
      </is>
    </oc>
    <nc r="F292" t="inlineStr">
      <is>
        <t>FAW_IPB1.1_Int_ESP\FAW_ESP\rb\as\fawESP\esp\netpr\src\RBPduHandler_Callouts.c</t>
      </is>
    </nc>
  </rcc>
  <rfmt sheetId="1" sqref="F276:F277 F292" start="0" length="2147483647">
    <dxf>
      <font>
        <b/>
      </font>
    </dxf>
  </rfmt>
</revisions>
</file>

<file path=xl/revisions/revisionLog1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79" sId="2" numFmtId="14">
    <oc r="AH447">
      <v>0.89500000000000002</v>
    </oc>
    <nc r="AH447">
      <v>1</v>
    </nc>
  </rcc>
  <rcc rId="2880" sId="2" numFmtId="14">
    <oc r="AI447">
      <v>0.89500000000000002</v>
    </oc>
    <nc r="AI447">
      <v>1</v>
    </nc>
  </rcc>
  <rcc rId="2881" sId="2" numFmtId="14">
    <oc r="AJ447" t="inlineStr">
      <is>
        <t>NA</t>
      </is>
    </oc>
    <nc r="AJ447">
      <v>0.5</v>
    </nc>
  </rcc>
  <rcc rId="2882" sId="2">
    <oc r="AL447" t="inlineStr">
      <is>
        <t>Param 1D cannot cover full C0/C1</t>
      </is>
    </oc>
    <nc r="AL447"/>
  </rcc>
  <rcv guid="{60D2C030-4E31-4E07-8E1C-44D2EE84B177}" action="delete"/>
  <rdn rId="0" localSheetId="1" customView="1" name="Z_60D2C030_4E31_4E07_8E1C_44D2EE84B177_.wvu.FilterData" hidden="1" oldHidden="1">
    <formula>Merged_COEM!$A$59:$AN$301</formula>
    <oldFormula>Merged_COEM!$A$59:$AN$301</oldFormula>
  </rdn>
  <rdn rId="0" localSheetId="2" customView="1" name="Z_60D2C030_4E31_4E07_8E1C_44D2EE84B177_.wvu.FilterData" hidden="1" oldHidden="1">
    <formula>Merged_JOEM!$B$59:$AN$512</formula>
    <oldFormula>Merged_JOEM!$B$59:$AN$512</oldFormula>
  </rdn>
  <rcv guid="{60D2C030-4E31-4E07-8E1C-44D2EE84B177}" action="add"/>
</revisions>
</file>

<file path=xl/revisions/revisionLog1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85" sId="2" xfDxf="1" dxf="1">
    <nc r="AL373" t="inlineStr">
      <is>
        <t>Line #49 can not cover case true, because condition in While loop always FALSE (transferData_Producer = rba_ComScl_TransferData_Producer_au8[rba_ComScl_RxPduFlagsId_ACC_30C_CH1] in #49). Same reason with lines: #49; #97; #145; #192; #241; #294; #347; #406; #465; #515; #565; #615; #665; #714; #763; #818; #873; #924; #975; #1029; #1083; #1130; #1178; #1242; #1306; #1354; #1402; #1459; #1516; #1566; #1616; #1664; #1712; #1766; #1820; #1866; #1922; #1978; #2036; #2094; #2146; #2198; #2246; #2294; #2347; #2400; #2450; #2500; #2549; #2598; #2650; #2702; #2750; #2798; #2846; #2894; #2942; #2990; #3042; #3106; #3170; #3219; #3268; #3320; #3371; #3431</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2886" sId="2" numFmtId="14">
    <nc r="AH373">
      <v>1</v>
    </nc>
  </rcc>
  <rcc rId="2887" sId="2" numFmtId="14">
    <nc r="AI373">
      <v>0.83</v>
    </nc>
  </rcc>
  <rcc rId="2888" sId="2">
    <nc r="AJ373" t="inlineStr">
      <is>
        <t>NA</t>
      </is>
    </nc>
  </rcc>
  <rcc rId="2889" sId="2">
    <nc r="AK373" t="inlineStr">
      <is>
        <t>None</t>
      </is>
    </nc>
  </rcc>
  <rcc rId="2890" sId="2">
    <nc r="AG373" t="inlineStr">
      <is>
        <t>OK</t>
      </is>
    </nc>
  </rcc>
  <rcc rId="2891" sId="2" numFmtId="19">
    <nc r="AE373">
      <v>44083</v>
    </nc>
  </rcc>
  <rcc rId="2892" sId="2" numFmtId="19">
    <nc r="AF373">
      <v>44083</v>
    </nc>
  </rcc>
  <rcc rId="2893" sId="2">
    <nc r="AA373" t="inlineStr">
      <is>
        <t>Ready for review</t>
      </is>
    </nc>
  </rcc>
  <rcc rId="2894" sId="2">
    <nc r="Z373">
      <f>Y373</f>
    </nc>
  </rcc>
  <rcc rId="2895" sId="2">
    <nc r="X373">
      <f>W373</f>
    </nc>
  </rcc>
  <rcv guid="{A2E8CE38-D15E-4374-89B2-69D9421C4465}" action="delete"/>
  <rdn rId="0" localSheetId="1" customView="1" name="Z_A2E8CE38_D15E_4374_89B2_69D9421C4465_.wvu.FilterData" hidden="1" oldHidden="1">
    <formula>Merged_COEM!$A$59:$AN$301</formula>
    <oldFormula>Merged_COEM!$A$59:$AN$301</oldFormula>
  </rdn>
  <rdn rId="0" localSheetId="2" customView="1" name="Z_A2E8CE38_D15E_4374_89B2_69D9421C4465_.wvu.FilterData" hidden="1" oldHidden="1">
    <formula>Merged_JOEM!$B$59:$AN$512</formula>
    <oldFormula>Merged_JOEM!$B$59:$AN$512</oldFormula>
  </rdn>
  <rcv guid="{A2E8CE38-D15E-4374-89B2-69D9421C4465}" action="add"/>
</revisions>
</file>

<file path=xl/revisions/revisionLog1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98" sId="1">
    <nc r="T254" t="inlineStr">
      <is>
        <t>duong.nguyen-tuan</t>
      </is>
    </nc>
  </rcc>
  <rcc rId="2899" sId="1">
    <nc r="T255" t="inlineStr">
      <is>
        <t>duong.nguyen-tuan</t>
      </is>
    </nc>
  </rcc>
  <rcc rId="2900" sId="1">
    <nc r="T256" t="inlineStr">
      <is>
        <t>duong.nguyen-tuan</t>
      </is>
    </nc>
  </rcc>
  <rcc rId="2901" sId="1">
    <nc r="T257" t="inlineStr">
      <is>
        <t>duong.nguyen-tuan</t>
      </is>
    </nc>
  </rcc>
  <rcc rId="2902" sId="1">
    <nc r="T258" t="inlineStr">
      <is>
        <t>duong.nguyen-tuan</t>
      </is>
    </nc>
  </rcc>
  <rcc rId="2903" sId="1">
    <nc r="T259" t="inlineStr">
      <is>
        <t>duong.nguyen-tuan</t>
      </is>
    </nc>
  </rcc>
  <rcc rId="2904" sId="1">
    <nc r="T260" t="inlineStr">
      <is>
        <t>duong.nguyen-tuan</t>
      </is>
    </nc>
  </rcc>
  <rcc rId="2905" sId="1">
    <nc r="T261" t="inlineStr">
      <is>
        <t>duong.nguyen-tuan</t>
      </is>
    </nc>
  </rcc>
  <rcc rId="2906" sId="1">
    <nc r="T262" t="inlineStr">
      <is>
        <t>duong.nguyen-tuan</t>
      </is>
    </nc>
  </rcc>
  <rcc rId="2907" sId="1">
    <nc r="T263" t="inlineStr">
      <is>
        <t>duong.nguyen-tuan</t>
      </is>
    </nc>
  </rcc>
  <rcc rId="2908" sId="1">
    <nc r="T264" t="inlineStr">
      <is>
        <t>duong.nguyen-tuan</t>
      </is>
    </nc>
  </rcc>
  <rcc rId="2909" sId="1">
    <nc r="T265" t="inlineStr">
      <is>
        <t>duong.nguyen-tuan</t>
      </is>
    </nc>
  </rcc>
  <rcc rId="2910" sId="1">
    <nc r="T286" t="inlineStr">
      <is>
        <t>duong.nguyen-tuan</t>
      </is>
    </nc>
  </rcc>
  <rcc rId="2911" sId="1">
    <nc r="T288" t="inlineStr">
      <is>
        <t>duong.nguyen-tuan</t>
      </is>
    </nc>
  </rcc>
  <rcc rId="2912" sId="1">
    <nc r="T289" t="inlineStr">
      <is>
        <t>duong.nguyen-tuan</t>
      </is>
    </nc>
  </rcc>
  <rcc rId="2913" sId="1">
    <nc r="T290" t="inlineStr">
      <is>
        <t>duong.nguyen-tuan</t>
      </is>
    </nc>
  </rcc>
  <rcc rId="2914" sId="1">
    <nc r="T291" t="inlineStr">
      <is>
        <t>duong.nguyen-tuan</t>
      </is>
    </nc>
  </rcc>
  <rcc rId="2915" sId="1">
    <nc r="X254">
      <f>W254</f>
    </nc>
  </rcc>
  <rcc rId="2916" sId="1">
    <nc r="Z254">
      <v>1</v>
    </nc>
  </rcc>
  <rcc rId="2917" sId="1">
    <nc r="AA254" t="inlineStr">
      <is>
        <t>Ready for review</t>
      </is>
    </nc>
  </rcc>
  <rcc rId="2918" sId="1" numFmtId="19">
    <nc r="AE254">
      <v>44083</v>
    </nc>
  </rcc>
  <rcc rId="2919" sId="1" numFmtId="19">
    <nc r="AF254">
      <v>44083</v>
    </nc>
  </rcc>
  <rcc rId="2920" sId="1">
    <nc r="AG254" t="inlineStr">
      <is>
        <t>OK</t>
      </is>
    </nc>
  </rcc>
  <rcc rId="2921" sId="1" numFmtId="14">
    <nc r="AH254">
      <v>1</v>
    </nc>
  </rcc>
  <rcc rId="2922" sId="1" numFmtId="14">
    <nc r="AI254">
      <v>1</v>
    </nc>
  </rcc>
  <rcc rId="2923" sId="1" numFmtId="14">
    <nc r="AJ254">
      <v>1</v>
    </nc>
  </rcc>
  <rcc rId="2924" sId="1">
    <nc r="AK254" t="inlineStr">
      <is>
        <t>None</t>
      </is>
    </nc>
  </rcc>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Merged_JOEM!$B$59:$AN$512</formula>
    <oldFormula>Merged_JOEM!$B$59:$AN$512</oldFormula>
  </rdn>
  <rcv guid="{89C03E1E-B6A8-49A1-B29C-5DC4FAB2FBC6}" action="add"/>
</revisions>
</file>

<file path=xl/revisions/revisionLog1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169" start="0" length="0">
    <dxf>
      <font/>
    </dxf>
  </rfmt>
  <rcc rId="2927" sId="1" quotePrefix="1">
    <oc r="AN277" t="inlineStr">
      <is>
        <t>-</t>
      </is>
    </oc>
    <nc r="AN277" t="inlineStr">
      <is>
        <t>-comment line#7 #include "../../RBScl/api/ComScl_Scl_Complex_proc.h"</t>
      </is>
    </nc>
  </rcc>
</revisions>
</file>

<file path=xl/revisions/revisionLog1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28" sId="2">
    <oc r="F427">
      <v>11</v>
    </oc>
    <nc r="F427"/>
  </rcc>
  <rcc rId="2929" sId="2">
    <oc r="F442">
      <v>19</v>
    </oc>
    <nc r="F442"/>
  </rcc>
  <rcc rId="2930" sId="2">
    <oc r="F443">
      <v>12</v>
    </oc>
    <nc r="F443"/>
  </rcc>
  <rcc rId="2931" sId="2" numFmtId="14">
    <nc r="AH390">
      <v>0.97</v>
    </nc>
  </rcc>
  <rcc rId="2932" sId="2" numFmtId="14">
    <nc r="AI390">
      <v>0.87</v>
    </nc>
  </rcc>
  <rcc rId="2933" sId="2" numFmtId="14">
    <nc r="AJ390">
      <v>0.31</v>
    </nc>
  </rcc>
  <rcc rId="2934" sId="2" odxf="1" dxf="1">
    <nc r="AL390" t="inlineStr">
      <is>
        <t># Line 2438: Cannot cover false case due to g_ND4Torque0Valid_B = TRUE at line 2436
# Line 2456: Cannot cover false case due to g_ND4EngineRPMValid_B = TRUE at line 2454
# Line 2474: Cannot cover false case due to g_ND4DrsValid_B = TRUE at line 2472
# Line 2490: Cannot cover false case due to g_ND4AlValid_B = TRUE at line 2488
# Line 2506: Cannot cover false case due to g_ND4AqValid_B = TRUE at line 2504
# Line 2522: Cannot cover false case due to g_ND4AmbientTempValid_B = TRUE at line 2520
# Line 2538: Cannot cover false case due to g_ND4MileageValid_B = TRUE at line 2536
# Line 2554: Cannot cover false case due to g_ND4SasValid_B = TRUE at line 2552</t>
      </is>
    </nc>
    <ndxf>
      <alignment wrapText="1" readingOrder="0"/>
    </ndxf>
  </rcc>
  <rfmt sheetId="2" sqref="AL390">
    <dxf>
      <alignment wrapText="0" readingOrder="0"/>
    </dxf>
  </rfmt>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Merged_JOEM!$B$59:$AN$512</formula>
    <oldFormula>Merged_JOEM!$B$59:$AN$512</oldFormula>
  </rdn>
  <rcv guid="{7ECC2B8E-6A82-42F5-8AB0-4A51C54EA5EC}" action="add"/>
</revisions>
</file>

<file path=xl/revisions/revisionLog1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37" sId="2" odxf="1" s="1" dxf="1">
    <oc r="AM425" t="inlineStr">
      <is>
        <t>-</t>
      </is>
    </oc>
    <nc r="AM425" t="inlineStr">
      <is>
        <t>Line #4 Can’t cover outrange max of timer_Track_MID because when timer_Track_MID &lt; C_timer_Track_MID ===&gt; timer_Track_MID++ &lt;= C_timer_Track_MID, thus timer_Track_MID can't reach outrange value
Line #14 Can’t cover outrange max of timer_Track_MID because when timer_Track_MID &lt; C_timer_Track_MID ===&gt; timer_Track_MID++ &lt;= C_timer_Track_MID, thus timer_Track_MID can't reach outrange value</t>
      </is>
    </nc>
    <odxf>
      <font>
        <b val="0"/>
        <i val="0"/>
        <strike val="0"/>
        <condense val="0"/>
        <extend val="0"/>
        <outline val="0"/>
        <shadow val="0"/>
        <u val="none"/>
        <vertAlign val="baseline"/>
        <sz val="11"/>
        <color theme="1"/>
        <name val="Calibri"/>
        <scheme val="minor"/>
      </font>
      <numFmt numFmtId="164" formatCode="[$-409]d\-mmm\-yy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auto="1"/>
        <name val="Arial"/>
        <scheme val="none"/>
      </font>
      <numFmt numFmtId="0" formatCode="General"/>
      <alignment horizontal="general" vertical="bottom" wrapText="1" readingOrder="0"/>
    </ndxf>
  </rcc>
  <rfmt sheetId="2" sqref="AM425">
    <dxf>
      <alignment wrapText="0" readingOrder="0"/>
    </dxf>
  </rfmt>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Merged_JOEM!$B$59:$AN$512</formula>
    <oldFormula>Merged_JOEM!$B$59:$AN$512</oldFormula>
  </rdn>
  <rcv guid="{3B3E6719-EACB-4D2C-89C1-05FFAB6020FD}" action="add"/>
</revisions>
</file>

<file path=xl/revisions/revisionLog1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40" sId="2" odxf="1" s="1" dxf="1">
    <nc r="AL424" t="inlineStr">
      <is>
        <t>Line #4 Can’t cover outrange max of timer_Track_MID because when timer_Track_MID &lt; C_timer_Track_MID ===&gt; timer_Track_MID++ &lt;= C_timer_Track_MID, thus timer_Track_MID can't reach outrange value
Line #14 Can’t cover outrange max of timer_Track_MID because when timer_Track_MID &lt; C_timer_Track_MID ===&gt; timer_Track_MID++ &lt;= C_timer_Track_MID, thus timer_Track_MID can't reach outrange value</t>
      </is>
    </nc>
    <odxf>
      <font>
        <b val="0"/>
        <i val="0"/>
        <strike val="0"/>
        <condense val="0"/>
        <extend val="0"/>
        <outline val="0"/>
        <shadow val="0"/>
        <u val="none"/>
        <vertAlign val="baseline"/>
        <sz val="11"/>
        <color theme="1"/>
        <name val="Calibri"/>
        <scheme val="minor"/>
      </font>
      <numFmt numFmtId="164" formatCode="[$-409]d\-mmm\-yy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auto="1"/>
        <name val="Arial"/>
        <scheme val="none"/>
      </font>
      <numFmt numFmtId="0" formatCode="General"/>
      <alignment horizontal="general" vertical="bottom" readingOrder="0"/>
    </ndxf>
  </rcc>
  <rcc rId="2941" sId="2" odxf="1" s="1" dxf="1">
    <oc r="AM425" t="inlineStr">
      <is>
        <t>Line #4 Can’t cover outrange max of timer_Track_MID because when timer_Track_MID &lt; C_timer_Track_MID ===&gt; timer_Track_MID++ &lt;= C_timer_Track_MID, thus timer_Track_MID can't reach outrange value
Line #14 Can’t cover outrange max of timer_Track_MID because when timer_Track_MID &lt; C_timer_Track_MID ===&gt; timer_Track_MID++ &lt;= C_timer_Track_MID, thus timer_Track_MID can't reach outrange value</t>
      </is>
    </oc>
    <nc r="AM425" t="inlineStr">
      <is>
        <t>-</t>
      </is>
    </nc>
    <o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1"/>
        <color theme="1"/>
        <name val="Calibri"/>
        <scheme val="minor"/>
      </font>
      <numFmt numFmtId="164" formatCode="[$-409]d\-mmm\-yyyy;@"/>
      <alignment horizontal="left" vertical="top" readingOrder="0"/>
    </ndxf>
  </rc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Merged_JOEM!$B$59:$AN$512</formula>
    <oldFormula>Merged_JOEM!$B$59:$AN$512</oldFormula>
  </rdn>
  <rcv guid="{3B3E6719-EACB-4D2C-89C1-05FFAB6020FD}" action="add"/>
</revisions>
</file>

<file path=xl/revisions/revisionLog1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44" sId="2" numFmtId="14">
    <nc r="AH424">
      <v>0.93899999999999995</v>
    </nc>
  </rcc>
  <rcc rId="2945" sId="2" numFmtId="14">
    <nc r="AI424">
      <v>0.94599999999999995</v>
    </nc>
  </rcc>
  <rcc rId="2946" sId="2" numFmtId="14">
    <nc r="AJ424">
      <v>0.57099999999999995</v>
    </nc>
  </rcc>
</revisions>
</file>

<file path=xl/revisions/revisionLog1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47" sId="2">
    <nc r="AK424" t="inlineStr">
      <is>
        <t>None</t>
      </is>
    </nc>
  </rcc>
  <rcc rId="2948" sId="2">
    <nc r="AG424" t="inlineStr">
      <is>
        <t>OK</t>
      </is>
    </nc>
  </rc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Merged_JOEM!$B$59:$AN$512</formula>
    <oldFormula>Merged_JOEM!$B$59:$AN$512</oldFormula>
  </rdn>
  <rcv guid="{3B3E6719-EACB-4D2C-89C1-05FFAB6020FD}" action="add"/>
</revisions>
</file>

<file path=xl/revisions/revisionLog1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51" sId="2" numFmtId="19">
    <nc r="AE424">
      <v>44083</v>
    </nc>
  </rcc>
  <rcc rId="2952" sId="2" numFmtId="19">
    <nc r="AF424">
      <v>44083</v>
    </nc>
  </rcc>
</revisions>
</file>

<file path=xl/revisions/revisionLog1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53" sId="2">
    <nc r="Z424">
      <v>3</v>
    </nc>
  </rcc>
</revisions>
</file>

<file path=xl/revisions/revisionLog1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54" sId="2">
    <nc r="AA424" t="inlineStr">
      <is>
        <t>Ready for review</t>
      </is>
    </nc>
  </rc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Merged_JOEM!$B$59:$AN$512</formula>
    <oldFormula>Merged_JOEM!$B$59:$AN$512</oldFormula>
  </rdn>
  <rcv guid="{3B3E6719-EACB-4D2C-89C1-05FFAB6020FD}" action="add"/>
</revisions>
</file>

<file path=xl/revisions/revisionLog1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Merged_COEM!$A$59:$AN$301</formula>
    <oldFormula>Merged_COEM!$A$59:$AN$301</oldFormula>
  </rdn>
  <rdn rId="0" localSheetId="2" customView="1" name="Z_60D2C030_4E31_4E07_8E1C_44D2EE84B177_.wvu.FilterData" hidden="1" oldHidden="1">
    <formula>Merged_JOEM!$B$59:$AN$512</formula>
    <oldFormula>Merged_JOEM!$B$59:$AN$512</oldFormula>
  </rdn>
  <rcv guid="{60D2C030-4E31-4E07-8E1C-44D2EE84B177}" action="add"/>
</revisions>
</file>

<file path=xl/revisions/revisionLog1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59" sId="1" numFmtId="19">
    <nc r="AE277">
      <v>44083</v>
    </nc>
  </rcc>
  <rcc rId="2960" sId="1" numFmtId="19">
    <nc r="AF277">
      <v>44083</v>
    </nc>
  </rcc>
  <rcc rId="2961" sId="1">
    <nc r="AG277" t="inlineStr">
      <is>
        <t>OK</t>
      </is>
    </nc>
  </rcc>
  <rcc rId="2962" sId="1" numFmtId="14">
    <nc r="AH277">
      <v>1</v>
    </nc>
  </rcc>
  <rcc rId="2963" sId="1" numFmtId="14">
    <nc r="AI277">
      <v>1</v>
    </nc>
  </rcc>
  <rcc rId="2964" sId="1" numFmtId="14">
    <nc r="AJ277">
      <v>1</v>
    </nc>
  </rcc>
  <rcc rId="2965" sId="1">
    <nc r="AK277" t="inlineStr">
      <is>
        <t>None</t>
      </is>
    </nc>
  </rcc>
  <rcv guid="{FECB4C41-27E8-4A22-AFB3-4F54CDD4960E}" action="delete"/>
  <rdn rId="0" localSheetId="1" customView="1" name="Z_FECB4C41_27E8_4A22_AFB3_4F54CDD4960E_.wvu.FilterData" hidden="1" oldHidden="1">
    <formula>Merged_COEM!$B$59:$AN$301</formula>
    <oldFormula>Merged_COEM!$B$59:$AN$301</oldFormula>
  </rdn>
  <rdn rId="0" localSheetId="2" customView="1" name="Z_FECB4C41_27E8_4A22_AFB3_4F54CDD4960E_.wvu.FilterData" hidden="1" oldHidden="1">
    <formula>Merged_JOEM!$B$59:$AN$512</formula>
    <oldFormula>Merged_JOEM!$B$59:$AN$512</oldFormula>
  </rdn>
  <rcv guid="{FECB4C41-27E8-4A22-AFB3-4F54CDD4960E}" action="add"/>
</revisions>
</file>

<file path=xl/revisions/revisionLog1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68" sId="1">
    <nc r="T277" t="inlineStr">
      <is>
        <t>loc.do-phu</t>
      </is>
    </nc>
  </rcc>
  <rcc rId="2969" sId="1">
    <nc r="X277">
      <f>W277</f>
    </nc>
  </rcc>
  <rcc rId="2970" sId="1">
    <nc r="Z277">
      <f>Y277</f>
    </nc>
  </rcc>
  <rcc rId="2971" sId="1">
    <nc r="AA277" t="inlineStr">
      <is>
        <t>Ready for review</t>
      </is>
    </nc>
  </rcc>
  <rcv guid="{FECB4C41-27E8-4A22-AFB3-4F54CDD4960E}" action="delete"/>
  <rdn rId="0" localSheetId="1" customView="1" name="Z_FECB4C41_27E8_4A22_AFB3_4F54CDD4960E_.wvu.FilterData" hidden="1" oldHidden="1">
    <formula>Merged_COEM!$B$59:$AN$301</formula>
    <oldFormula>Merged_COEM!$B$59:$AN$301</oldFormula>
  </rdn>
  <rdn rId="0" localSheetId="2" customView="1" name="Z_FECB4C41_27E8_4A22_AFB3_4F54CDD4960E_.wvu.FilterData" hidden="1" oldHidden="1">
    <formula>Merged_JOEM!$B$59:$AN$512</formula>
    <oldFormula>Merged_JOEM!$B$59:$AN$512</oldFormula>
  </rdn>
  <rcv guid="{FECB4C41-27E8-4A22-AFB3-4F54CDD4960E}" action="add"/>
</revisions>
</file>

<file path=xl/revisions/revisionLog1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74" sId="1">
    <nc r="K276" t="inlineStr">
      <is>
        <t>Test: Manual; Cmt: Auto</t>
      </is>
    </nc>
  </rcc>
  <rcc rId="2975" sId="1">
    <nc r="K277" t="inlineStr">
      <is>
        <t>Test: Manual; Cmt: Auto</t>
      </is>
    </nc>
  </rcc>
  <rcc rId="2976" sId="1">
    <nc r="K292" t="inlineStr">
      <is>
        <t>Test: Manual; Cmt: Auto</t>
      </is>
    </nc>
  </rcc>
  <rcv guid="{FECB4C41-27E8-4A22-AFB3-4F54CDD4960E}" action="delete"/>
  <rdn rId="0" localSheetId="1" customView="1" name="Z_FECB4C41_27E8_4A22_AFB3_4F54CDD4960E_.wvu.FilterData" hidden="1" oldHidden="1">
    <formula>Merged_COEM!$B$59:$AN$301</formula>
    <oldFormula>Merged_COEM!$B$59:$AN$301</oldFormula>
  </rdn>
  <rdn rId="0" localSheetId="2" customView="1" name="Z_FECB4C41_27E8_4A22_AFB3_4F54CDD4960E_.wvu.FilterData" hidden="1" oldHidden="1">
    <formula>Merged_JOEM!$B$59:$AN$512</formula>
    <oldFormula>Merged_JOEM!$B$59:$AN$512</oldFormula>
  </rdn>
  <rcv guid="{FECB4C41-27E8-4A22-AFB3-4F54CDD4960E}" action="add"/>
</revisions>
</file>

<file path=xl/revisions/revisionLog1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79" sId="2" numFmtId="19">
    <nc r="AE429">
      <v>44083</v>
    </nc>
  </rcc>
  <rcc rId="2980" sId="2" numFmtId="19">
    <nc r="AF429">
      <v>44083</v>
    </nc>
  </rcc>
  <rcc rId="2981" sId="2">
    <nc r="AG429" t="inlineStr">
      <is>
        <t>OK</t>
      </is>
    </nc>
  </rcc>
  <rcc rId="2982" sId="2" numFmtId="14">
    <nc r="AH429">
      <v>0.89500000000000002</v>
    </nc>
  </rcc>
  <rcc rId="2983" sId="2" numFmtId="14">
    <nc r="AI429">
      <v>0.89500000000000002</v>
    </nc>
  </rcc>
  <rcc rId="2984" sId="2">
    <nc r="AJ429" t="inlineStr">
      <is>
        <t>NA</t>
      </is>
    </nc>
  </rcc>
  <rcc rId="2985" sId="2" odxf="1" dxf="1" quotePrefix="1">
    <nc r="AK429" t="inlineStr">
      <is>
        <t>None</t>
      </is>
    </nc>
    <odxf/>
    <ndxf/>
  </rcc>
  <rcc rId="2986" sId="2" odxf="1" dxf="1" quotePrefix="1">
    <nc r="AL429" t="inlineStr">
      <is>
        <t>Param 1D cannot cover full C0/C1</t>
      </is>
    </nc>
    <odxf/>
    <ndxf/>
  </rcc>
</revisions>
</file>

<file path=xl/revisions/revisionLog1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87" sId="1">
    <nc r="X255">
      <f>W255</f>
    </nc>
  </rcc>
  <rcc rId="2988" sId="1">
    <nc r="Z255">
      <v>1</v>
    </nc>
  </rcc>
  <rcc rId="2989" sId="1">
    <nc r="AA255" t="inlineStr">
      <is>
        <t>Ready for review</t>
      </is>
    </nc>
  </rcc>
  <rcc rId="2990" sId="1" numFmtId="19">
    <nc r="AE255">
      <v>44083</v>
    </nc>
  </rcc>
  <rcc rId="2991" sId="1" numFmtId="19">
    <nc r="AF255">
      <v>44083</v>
    </nc>
  </rcc>
  <rcc rId="2992" sId="1">
    <nc r="AG255" t="inlineStr">
      <is>
        <t>OK</t>
      </is>
    </nc>
  </rcc>
  <rcc rId="2993" sId="1" numFmtId="14">
    <nc r="AH255">
      <v>1</v>
    </nc>
  </rcc>
  <rcc rId="2994" sId="1" numFmtId="14">
    <nc r="AI255">
      <v>1</v>
    </nc>
  </rcc>
  <rcc rId="2995" sId="1" numFmtId="14">
    <nc r="AJ255">
      <v>1</v>
    </nc>
  </rcc>
  <rcc rId="2996" sId="1">
    <nc r="AK255" t="inlineStr">
      <is>
        <t>None</t>
      </is>
    </nc>
  </rcc>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Merged_JOEM!$B$59:$AN$512</formula>
    <oldFormula>Merged_JOEM!$B$59:$AN$512</oldFormula>
  </rdn>
  <rcv guid="{89C03E1E-B6A8-49A1-B29C-5DC4FAB2FBC6}" action="add"/>
</revisions>
</file>

<file path=xl/revisions/revisionLog1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99" sId="1">
    <oc r="AG236" t="inlineStr">
      <is>
        <t>OK</t>
      </is>
    </oc>
    <nc r="AG236" t="inlineStr">
      <is>
        <t>NG</t>
      </is>
    </nc>
  </rcc>
  <rcc rId="3000" sId="1" numFmtId="14">
    <oc r="AJ236">
      <v>1</v>
    </oc>
    <nc r="AJ236">
      <v>0.5</v>
    </nc>
  </rcc>
  <rcv guid="{99BC1C51-34DC-4BF2-906C-1E31B6171D71}" action="delete"/>
  <rdn rId="0" localSheetId="1" customView="1" name="Z_99BC1C51_34DC_4BF2_906C_1E31B6171D71_.wvu.FilterData" hidden="1" oldHidden="1">
    <formula>Merged_COEM!$A$59:$AN$301</formula>
    <oldFormula>Merged_COEM!$A$59:$AN$301</oldFormula>
  </rdn>
  <rdn rId="0" localSheetId="2" customView="1" name="Z_99BC1C51_34DC_4BF2_906C_1E31B6171D71_.wvu.FilterData" hidden="1" oldHidden="1">
    <formula>Merged_JOEM!$B$59:$AN$512</formula>
    <oldFormula>Merged_JOEM!$B$59:$AN$512</oldFormula>
  </rdn>
  <rcv guid="{99BC1C51-34DC-4BF2-906C-1E31B6171D71}" action="add"/>
</revisions>
</file>

<file path=xl/revisions/revisionLog1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03" sId="1">
    <oc r="AK236" t="inlineStr">
      <is>
        <t>None</t>
      </is>
    </oc>
    <nc r="AK236" t="inlineStr">
      <is>
        <t>OPL</t>
      </is>
    </nc>
  </rcc>
  <rcv guid="{99BC1C51-34DC-4BF2-906C-1E31B6171D71}" action="delete"/>
  <rdn rId="0" localSheetId="1" customView="1" name="Z_99BC1C51_34DC_4BF2_906C_1E31B6171D71_.wvu.FilterData" hidden="1" oldHidden="1">
    <formula>Merged_COEM!$A$59:$AN$301</formula>
    <oldFormula>Merged_COEM!$A$59:$AN$301</oldFormula>
  </rdn>
  <rdn rId="0" localSheetId="2" customView="1" name="Z_99BC1C51_34DC_4BF2_906C_1E31B6171D71_.wvu.FilterData" hidden="1" oldHidden="1">
    <formula>Merged_JOEM!$B$59:$AN$512</formula>
    <oldFormula>Merged_JOEM!$B$59:$AN$512</oldFormula>
  </rdn>
  <rcv guid="{99BC1C51-34DC-4BF2-906C-1E31B6171D71}" action="add"/>
</revisions>
</file>

<file path=xl/revisions/revisionLog1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06" sId="2" numFmtId="14">
    <nc r="AH430">
      <v>0.89500000000000002</v>
    </nc>
  </rcc>
  <rcc rId="3007" sId="2" numFmtId="14">
    <nc r="AI430">
      <v>0.89500000000000002</v>
    </nc>
  </rcc>
  <rcc rId="3008" sId="2">
    <nc r="AJ430" t="inlineStr">
      <is>
        <t>NA</t>
      </is>
    </nc>
  </rcc>
  <rcc rId="3009" sId="2">
    <nc r="AK430" t="inlineStr">
      <is>
        <t>None</t>
      </is>
    </nc>
  </rcc>
  <rcc rId="3010" sId="2" odxf="1" dxf="1" quotePrefix="1">
    <nc r="AL430" t="inlineStr">
      <is>
        <t>Param 1D can't cover full C0/C1</t>
      </is>
    </nc>
    <odxf/>
    <ndxf/>
  </rcc>
  <rcc rId="3011" sId="2">
    <nc r="AG430" t="inlineStr">
      <is>
        <t>OK</t>
      </is>
    </nc>
  </rcc>
  <rcc rId="3012" sId="2" numFmtId="19">
    <nc r="AF430">
      <v>44083</v>
    </nc>
  </rcc>
  <rcc rId="3013" sId="2" numFmtId="19">
    <nc r="AE430">
      <v>44083</v>
    </nc>
  </rcc>
  <rcc rId="3014" sId="2">
    <nc r="AA430" t="inlineStr">
      <is>
        <t>Ready for review</t>
      </is>
    </nc>
  </rcc>
  <rcv guid="{A2E8CE38-D15E-4374-89B2-69D9421C4465}" action="delete"/>
  <rdn rId="0" localSheetId="1" customView="1" name="Z_A2E8CE38_D15E_4374_89B2_69D9421C4465_.wvu.FilterData" hidden="1" oldHidden="1">
    <formula>Merged_COEM!$A$59:$AN$301</formula>
    <oldFormula>Merged_COEM!$A$59:$AN$301</oldFormula>
  </rdn>
  <rdn rId="0" localSheetId="2" customView="1" name="Z_A2E8CE38_D15E_4374_89B2_69D9421C4465_.wvu.FilterData" hidden="1" oldHidden="1">
    <formula>Merged_JOEM!$B$59:$AN$512</formula>
    <oldFormula>Merged_JOEM!$B$59:$AN$512</oldFormula>
  </rdn>
  <rcv guid="{A2E8CE38-D15E-4374-89B2-69D9421C4465}" action="add"/>
</revisions>
</file>

<file path=xl/revisions/revisionLog1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17" sId="2">
    <oc r="X446">
      <v>33.799999999999997</v>
    </oc>
    <nc r="X446">
      <f>W446</f>
    </nc>
  </rcc>
  <rcc rId="3018" sId="2">
    <oc r="X447">
      <v>33.799999999999997</v>
    </oc>
    <nc r="X447">
      <f>W447</f>
    </nc>
  </rcc>
  <rcc rId="3019" sId="2">
    <oc r="Z423">
      <v>2.08</v>
    </oc>
    <nc r="Z423">
      <f>Y423</f>
    </nc>
  </rcc>
  <rcc rId="3020" sId="2">
    <oc r="Z446">
      <v>1</v>
    </oc>
    <nc r="Z446">
      <f>Y446</f>
    </nc>
  </rcc>
  <rcc rId="3021" sId="2">
    <oc r="Z447">
      <v>1</v>
    </oc>
    <nc r="Z447">
      <f>Y447</f>
    </nc>
  </rcc>
  <rcc rId="3022" sId="2">
    <nc r="X456">
      <f>W456</f>
    </nc>
  </rcc>
  <rcc rId="3023" sId="2">
    <nc r="X457">
      <f>W457</f>
    </nc>
  </rcc>
  <rcc rId="3024" sId="2">
    <nc r="X458">
      <f>W458</f>
    </nc>
  </rcc>
  <rcc rId="3025" sId="2">
    <nc r="X459">
      <f>W459</f>
    </nc>
  </rcc>
  <rcc rId="3026" sId="2">
    <nc r="X462">
      <f>W462</f>
    </nc>
  </rcc>
  <rcc rId="3027" sId="2">
    <nc r="X463">
      <f>W463</f>
    </nc>
  </rcc>
  <rcc rId="3028" sId="2">
    <nc r="X464">
      <f>W464</f>
    </nc>
  </rcc>
  <rcc rId="3029" sId="2">
    <nc r="X465">
      <f>W465</f>
    </nc>
  </rcc>
  <rcc rId="3030" sId="2">
    <nc r="X466">
      <f>W466</f>
    </nc>
  </rcc>
  <rcc rId="3031" sId="2">
    <nc r="X467">
      <f>W467</f>
    </nc>
  </rcc>
  <rcc rId="3032" sId="2">
    <nc r="AG456" t="inlineStr">
      <is>
        <t>OK</t>
      </is>
    </nc>
  </rcc>
  <rcc rId="3033" sId="2" numFmtId="14">
    <nc r="AH456">
      <v>0.88900000000000001</v>
    </nc>
  </rcc>
  <rcc rId="3034" sId="2" numFmtId="14">
    <nc r="AI456">
      <v>0.89200000000000002</v>
    </nc>
  </rcc>
  <rcc rId="3035" sId="2" numFmtId="14">
    <nc r="AJ456">
      <v>1</v>
    </nc>
  </rcc>
  <rcc rId="3036" sId="2" quotePrefix="1">
    <nc r="AK456" t="inlineStr">
      <is>
        <t>None</t>
      </is>
    </nc>
  </rcc>
  <rcc rId="3037" sId="2" quotePrefix="1">
    <nc r="AL456" t="inlineStr">
      <is>
        <t>Line #28, Can not cover for under min for VlcAxTar at line #28 because minimum for C_VlcAxTarRampSuspendDC is 0.01953125 and VlcAxBaseMin is -14 so total of them cannot under -14
Line #54, Can not cover for over max for VlcAxTar at line #54 because maximun for C_VlcAxTarRampECToStandBy is -0.01953125 and VlcAxBaseMin is 14 so total of them cannot over 14</t>
      </is>
    </nc>
  </rcc>
  <rcc rId="3038" sId="2" numFmtId="19">
    <nc r="AE456">
      <v>44083</v>
    </nc>
  </rcc>
  <rcc rId="3039" sId="2" numFmtId="19">
    <nc r="AF456">
      <v>44083</v>
    </nc>
  </rcc>
  <rcc rId="3040" sId="2">
    <nc r="Z456">
      <f>Y456</f>
    </nc>
  </rcc>
  <rcc rId="3041" sId="2">
    <nc r="AA456" t="inlineStr">
      <is>
        <t>Ready for review</t>
      </is>
    </nc>
  </rcc>
  <rcv guid="{60D2C030-4E31-4E07-8E1C-44D2EE84B177}" action="delete"/>
  <rdn rId="0" localSheetId="1" customView="1" name="Z_60D2C030_4E31_4E07_8E1C_44D2EE84B177_.wvu.FilterData" hidden="1" oldHidden="1">
    <formula>Merged_COEM!$A$59:$AN$301</formula>
    <oldFormula>Merged_COEM!$A$59:$AN$301</oldFormula>
  </rdn>
  <rdn rId="0" localSheetId="2" customView="1" name="Z_60D2C030_4E31_4E07_8E1C_44D2EE84B177_.wvu.FilterData" hidden="1" oldHidden="1">
    <formula>Merged_JOEM!$B$59:$AN$512</formula>
    <oldFormula>Merged_JOEM!$B$59:$AN$512</oldFormula>
  </rdn>
  <rcv guid="{60D2C030-4E31-4E07-8E1C-44D2EE84B177}" action="add"/>
</revisions>
</file>

<file path=xl/revisions/revisionLog1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33AC7AF-C8AB-4CE9-94C7-9237011A5FC3}" action="delete"/>
  <rdn rId="0" localSheetId="1" customView="1" name="Z_D33AC7AF_C8AB_4CE9_94C7_9237011A5FC3_.wvu.FilterData" hidden="1" oldHidden="1">
    <formula>Merged_COEM!$B$59:$AN$301</formula>
    <oldFormula>Merged_COEM!$B$59:$AN$301</oldFormula>
  </rdn>
  <rdn rId="0" localSheetId="2" customView="1" name="Z_D33AC7AF_C8AB_4CE9_94C7_9237011A5FC3_.wvu.FilterData" hidden="1" oldHidden="1">
    <formula>Merged_JOEM!$B$59:$AN$512</formula>
    <oldFormula>Merged_JOEM!$B$59:$AN$512</oldFormula>
  </rdn>
  <rcv guid="{D33AC7AF-C8AB-4CE9-94C7-9237011A5FC3}" action="add"/>
</revisions>
</file>

<file path=xl/revisions/revisionLog1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46" sId="1" quotePrefix="1">
    <oc r="F239" t="inlineStr">
      <is>
        <t>rb\as\cnms_core\app\net\scl\LDMFunctions\ACC\src</t>
      </is>
    </oc>
    <nc r="F239" t="inlineStr">
      <is>
        <t>Haima_CMP_ESP93_Int\MainstreamF30\rb\as\cnms_core\app\net\scl\LDMFunctions\ACC\src</t>
      </is>
    </nc>
  </rcc>
  <rfmt sheetId="1" sqref="F239" start="0" length="2147483647">
    <dxf>
      <font>
        <b/>
      </font>
    </dxf>
  </rfmt>
  <rcv guid="{99BC1C51-34DC-4BF2-906C-1E31B6171D71}" action="delete"/>
  <rdn rId="0" localSheetId="1" customView="1" name="Z_99BC1C51_34DC_4BF2_906C_1E31B6171D71_.wvu.FilterData" hidden="1" oldHidden="1">
    <formula>Merged_COEM!$A$59:$AN$301</formula>
    <oldFormula>Merged_COEM!$A$59:$AN$301</oldFormula>
  </rdn>
  <rdn rId="0" localSheetId="2" customView="1" name="Z_99BC1C51_34DC_4BF2_906C_1E31B6171D71_.wvu.FilterData" hidden="1" oldHidden="1">
    <formula>Merged_JOEM!$B$59:$AN$512</formula>
    <oldFormula>Merged_JOEM!$B$59:$AN$512</oldFormula>
  </rdn>
  <rcv guid="{99BC1C51-34DC-4BF2-906C-1E31B6171D71}" action="add"/>
</revisions>
</file>

<file path=xl/revisions/revisionLog1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Merged_JOEM!$B$59:$AN$512</formula>
    <oldFormula>Merged_JOEM!$B$59:$AN$512</oldFormula>
  </rdn>
  <rcv guid="{3B3E6719-EACB-4D2C-89C1-05FFAB6020FD}" action="add"/>
</revisions>
</file>

<file path=xl/revisions/revisionLog1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FECB4C41-27E8-4A22-AFB3-4F54CDD4960E}" action="delete"/>
  <rdn rId="0" localSheetId="1" customView="1" name="Z_FECB4C41_27E8_4A22_AFB3_4F54CDD4960E_.wvu.FilterData" hidden="1" oldHidden="1">
    <formula>Merged_COEM!$B$59:$AN$301</formula>
    <oldFormula>Merged_COEM!$B$59:$AN$301</oldFormula>
  </rdn>
  <rdn rId="0" localSheetId="2" customView="1" name="Z_FECB4C41_27E8_4A22_AFB3_4F54CDD4960E_.wvu.FilterData" hidden="1" oldHidden="1">
    <formula>Merged_JOEM!$B$59:$AN$512</formula>
    <oldFormula>Merged_JOEM!$B$59:$AN$512</oldFormula>
  </rdn>
  <rcv guid="{FECB4C41-27E8-4A22-AFB3-4F54CDD4960E}" action="add"/>
</revisions>
</file>

<file path=xl/revisions/revisionLog1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53" sId="1">
    <nc r="X276">
      <f>W276</f>
    </nc>
  </rcc>
  <rcc rId="3054" sId="1">
    <nc r="Z276">
      <f>Y276</f>
    </nc>
  </rcc>
  <rcc rId="3055" sId="1">
    <nc r="AA276" t="inlineStr">
      <is>
        <t>Ready for review</t>
      </is>
    </nc>
  </rcc>
  <rcc rId="3056" sId="1" numFmtId="19">
    <nc r="AE276">
      <v>44083</v>
    </nc>
  </rcc>
  <rcc rId="3057" sId="1" numFmtId="19">
    <nc r="AF276">
      <v>44083</v>
    </nc>
  </rcc>
  <rcc rId="3058" sId="1">
    <nc r="AG276" t="inlineStr">
      <is>
        <t>OK</t>
      </is>
    </nc>
  </rcc>
  <rcc rId="3059" sId="1" numFmtId="14">
    <nc r="AH276">
      <v>1</v>
    </nc>
  </rcc>
  <rcc rId="3060" sId="1" numFmtId="14">
    <nc r="AI276">
      <v>1</v>
    </nc>
  </rcc>
  <rcc rId="3061" sId="1" numFmtId="14">
    <nc r="AJ276">
      <v>1</v>
    </nc>
  </rcc>
  <rcc rId="3062" sId="1">
    <nc r="AK276" t="inlineStr">
      <is>
        <t>None</t>
      </is>
    </nc>
  </rcc>
  <rcv guid="{FECB4C41-27E8-4A22-AFB3-4F54CDD4960E}" action="delete"/>
  <rdn rId="0" localSheetId="1" customView="1" name="Z_FECB4C41_27E8_4A22_AFB3_4F54CDD4960E_.wvu.FilterData" hidden="1" oldHidden="1">
    <formula>Merged_COEM!$B$59:$AN$301</formula>
    <oldFormula>Merged_COEM!$B$59:$AN$301</oldFormula>
  </rdn>
  <rdn rId="0" localSheetId="2" customView="1" name="Z_FECB4C41_27E8_4A22_AFB3_4F54CDD4960E_.wvu.FilterData" hidden="1" oldHidden="1">
    <formula>Merged_JOEM!$B$59:$AN$512</formula>
    <oldFormula>Merged_JOEM!$B$59:$AN$512</oldFormula>
  </rdn>
  <rcv guid="{FECB4C41-27E8-4A22-AFB3-4F54CDD4960E}" action="add"/>
</revisions>
</file>

<file path=xl/revisions/revisionLog1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65" sId="1" quotePrefix="1">
    <oc r="F225" t="inlineStr">
      <is>
        <t>rba\Bldr\config\Infrastruct\rba_AS_HWProt\src\</t>
      </is>
    </oc>
    <nc r="F225" t="inlineStr">
      <is>
        <t>ChangAn_ESP93CP_Mainstream_Int\MainstreamF30\rba\Bldr\config\Infrastruct\rba_AS_HWProt\src</t>
      </is>
    </nc>
  </rcc>
  <rfmt sheetId="1" sqref="F225" start="0" length="2147483647">
    <dxf>
      <font>
        <b/>
      </font>
    </dxf>
  </rfmt>
  <rcc rId="3066" sId="1">
    <oc r="W226">
      <f>V226</f>
    </oc>
    <nc r="W226">
      <f>190</f>
    </nc>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W226">
    <dxf>
      <fill>
        <patternFill patternType="solid">
          <bgColor rgb="FFFF0000"/>
        </patternFill>
      </fill>
    </dxf>
  </rfmt>
</revisions>
</file>

<file path=xl/revisions/revisionLog1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69" sId="1">
    <nc r="X225">
      <f>W225</f>
    </nc>
  </rcc>
  <rcc rId="3070" sId="1">
    <nc r="Z225">
      <v>1</v>
    </nc>
  </rcc>
  <rcc rId="3071" sId="1">
    <nc r="AA225" t="inlineStr">
      <is>
        <t>Ready for review</t>
      </is>
    </nc>
  </rcc>
  <rcc rId="3072" sId="1" numFmtId="19">
    <nc r="AE225">
      <v>44083</v>
    </nc>
  </rcc>
  <rcc rId="3073" sId="1" numFmtId="19">
    <nc r="AF225">
      <v>44083</v>
    </nc>
  </rcc>
  <rcc rId="3074" sId="1">
    <nc r="AG225" t="inlineStr">
      <is>
        <t>OK</t>
      </is>
    </nc>
  </rcc>
  <rcc rId="3075" sId="1" numFmtId="14">
    <nc r="AH225">
      <v>1</v>
    </nc>
  </rcc>
  <rcc rId="3076" sId="1" numFmtId="14">
    <nc r="AI225">
      <v>1</v>
    </nc>
  </rcc>
  <rcc rId="3077" sId="1" numFmtId="14">
    <nc r="AJ225">
      <v>1</v>
    </nc>
  </rcc>
  <rcc rId="3078" sId="1">
    <nc r="AK225" t="inlineStr">
      <is>
        <t>None</t>
      </is>
    </nc>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83" sId="1" quotePrefix="1">
    <oc r="F226" t="inlineStr">
      <is>
        <t>rba\Bldr\config\ApplicationLayer\rba_BldrCmp\src\</t>
      </is>
    </oc>
    <nc r="F226" t="inlineStr">
      <is>
        <t>ChangAn_ESP93CP_Mainstream_Int\MainstreamF30\rba\Bldr\config\ApplicationLayer\rba_BldrCmp\src</t>
      </is>
    </nc>
  </rcc>
  <rfmt sheetId="1" sqref="F226" start="0" length="2147483647">
    <dxf>
      <font>
        <b/>
      </font>
    </dxf>
  </rfmt>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86" sId="1">
    <oc r="X254">
      <f>W254</f>
    </oc>
    <nc r="X254"/>
  </rcc>
  <rcc rId="3087" sId="1">
    <oc r="X255">
      <f>W255</f>
    </oc>
    <nc r="X255"/>
  </rcc>
  <rcc rId="3088" sId="1">
    <nc r="Z256">
      <v>0.5</v>
    </nc>
  </rcc>
  <rcc rId="3089" sId="1">
    <nc r="AA256" t="inlineStr">
      <is>
        <t>Ready for review</t>
      </is>
    </nc>
  </rcc>
  <rcc rId="3090" sId="1" numFmtId="19">
    <nc r="AE256">
      <v>44083</v>
    </nc>
  </rcc>
  <rcc rId="3091" sId="1" numFmtId="19">
    <nc r="AF256">
      <v>44083</v>
    </nc>
  </rcc>
  <rcc rId="3092" sId="1">
    <nc r="AG256" t="inlineStr">
      <is>
        <t>OK</t>
      </is>
    </nc>
  </rcc>
  <rcc rId="3093" sId="1" numFmtId="14">
    <nc r="AH256">
      <v>1</v>
    </nc>
  </rcc>
  <rcc rId="3094" sId="1" numFmtId="14">
    <nc r="AI256">
      <v>1</v>
    </nc>
  </rcc>
  <rcc rId="3095" sId="1" numFmtId="14">
    <nc r="AJ256">
      <v>1</v>
    </nc>
  </rcc>
  <rcc rId="3096" sId="1">
    <nc r="AK256" t="inlineStr">
      <is>
        <t>None</t>
      </is>
    </nc>
  </rcc>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Merged_JOEM!$B$59:$AN$512</formula>
    <oldFormula>Merged_JOEM!$B$59:$AN$512</oldFormula>
  </rdn>
  <rcv guid="{89C03E1E-B6A8-49A1-B29C-5DC4FAB2FBC6}" action="add"/>
</revisions>
</file>

<file path=xl/revisions/revisionLog1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99" sId="1" odxf="1" dxf="1" quotePrefix="1">
    <oc r="AL224" t="inlineStr">
      <is>
        <t>At line #113 can’t cover full MCDC. Because case for full MCDC is a true case for below condition (at line #119).</t>
      </is>
    </oc>
    <nc r="AL224" t="inlineStr">
      <is>
        <t>Condition (RBAPLCUST_RollerBenchSessionState != RBAPLCUST_RollerBenchSessionState_NOT_ACTIVE) could not show it's influence to decision
if(((RBAPLCUST_RollerBenchSessionState == RBAPLCUST_RollerBenchSessionState_NOT_ACTIVE) &amp;&amp; (l_Active == FALSE))
|| ((RBAPLCUST_RollerBenchSessionState != RBAPLCUST_RollerBenchSessionState_NOT_ACTIVE) &amp;&amp; (l_Active == TRUE)))</t>
      </is>
    </nc>
    <odxf>
      <alignment wrapText="0" readingOrder="0"/>
    </odxf>
    <ndxf>
      <alignment wrapText="1" readingOrder="0"/>
    </ndxf>
  </rcc>
  <rcv guid="{C94451EF-7A3E-4D72-B5A4-3D1B193192CC}" action="delete"/>
  <rdn rId="0" localSheetId="1" customView="1" name="Z_C94451EF_7A3E_4D72_B5A4_3D1B193192CC_.wvu.FilterData" hidden="1" oldHidden="1">
    <formula>Merged_COEM!$B$59:$AN$301</formula>
    <oldFormula>Merged_COEM!$B$59:$AN$301</oldFormula>
  </rdn>
  <rdn rId="0" localSheetId="2" customView="1" name="Z_C94451EF_7A3E_4D72_B5A4_3D1B193192CC_.wvu.FilterData" hidden="1" oldHidden="1">
    <formula>Merged_JOEM!$B$59:$AN$512</formula>
    <oldFormula>Merged_JOEM!$B$59:$AN$512</oldFormula>
  </rdn>
  <rcv guid="{C94451EF-7A3E-4D72-B5A4-3D1B193192CC}" action="add"/>
</revisions>
</file>

<file path=xl/revisions/revisionLog1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02" sId="2" numFmtId="14">
    <nc r="AH471">
      <v>1</v>
    </nc>
  </rcc>
  <rcc rId="3103" sId="2" numFmtId="14">
    <nc r="AI471">
      <v>1</v>
    </nc>
  </rcc>
  <rcc rId="3104" sId="2" numFmtId="14">
    <nc r="AJ471">
      <v>0.78600000000000003</v>
    </nc>
  </rcc>
  <rcc rId="3105" sId="2" quotePrefix="1">
    <nc r="AK471" t="inlineStr">
      <is>
        <t>None</t>
      </is>
    </nc>
  </rcc>
  <rcc rId="3106" sId="2" quotePrefix="1">
    <nc r="AL471" t="inlineStr">
      <is>
        <t>-</t>
      </is>
    </nc>
  </rcc>
  <rcc rId="3107" sId="2" quotePrefix="1">
    <nc r="AM471" t="inlineStr">
      <is>
        <t>-</t>
      </is>
    </nc>
  </rcc>
  <rcc rId="3108" sId="2" quotePrefix="1">
    <nc r="AN471" t="inlineStr">
      <is>
        <t>-</t>
      </is>
    </nc>
  </rcc>
  <rcc rId="3109" sId="2" numFmtId="19">
    <nc r="AE471">
      <v>44082</v>
    </nc>
  </rcc>
  <rcc rId="3110" sId="2" numFmtId="19">
    <nc r="AF471">
      <v>44082</v>
    </nc>
  </rcc>
  <rcc rId="3111" sId="2">
    <nc r="AG471" t="inlineStr">
      <is>
        <t>OK</t>
      </is>
    </nc>
  </rc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Merged_JOEM!$B$59:$AN$512</formula>
    <oldFormula>Merged_JOEM!$B$59:$AN$512</oldFormula>
  </rdn>
  <rcv guid="{3B3E6719-EACB-4D2C-89C1-05FFAB6020FD}" action="add"/>
</revisions>
</file>

<file path=xl/revisions/revisionLog1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14" sId="2" numFmtId="19">
    <oc r="AE471">
      <v>44082</v>
    </oc>
    <nc r="AE471">
      <v>44083</v>
    </nc>
  </rcc>
  <rcc rId="3115" sId="2" numFmtId="19">
    <oc r="AF471">
      <v>44082</v>
    </oc>
    <nc r="AF471">
      <v>44083</v>
    </nc>
  </rcc>
</revisions>
</file>

<file path=xl/revisions/revisionLog1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16" sId="2">
    <nc r="X471">
      <v>26</v>
    </nc>
  </rcc>
  <rcc rId="3117" sId="2">
    <nc r="Z471">
      <v>0.5</v>
    </nc>
  </rcc>
  <rcc rId="3118" sId="2">
    <nc r="AA471" t="inlineStr">
      <is>
        <t>Ready for review</t>
      </is>
    </nc>
  </rc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Merged_JOEM!$B$59:$AN$512</formula>
    <oldFormula>Merged_JOEM!$B$59:$AN$512</oldFormula>
  </rdn>
  <rcv guid="{3B3E6719-EACB-4D2C-89C1-05FFAB6020FD}" action="add"/>
</revisions>
</file>

<file path=xl/revisions/revisionLog1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21" sId="2" quotePrefix="1">
    <nc r="AL461" t="inlineStr">
      <is>
        <t>Line#1993 cannot cover false case because RBWSS_TaskCntChangeDir_PUB and RBWSS_EdgeCntChangeDir_PUB always &gt;= 0</t>
      </is>
    </nc>
  </rcc>
  <rcc rId="3122" sId="2" numFmtId="14">
    <nc r="AH461">
      <v>0.97</v>
    </nc>
  </rcc>
  <rcc rId="3123" sId="2" numFmtId="14">
    <nc r="AI461">
      <v>0.95</v>
    </nc>
  </rcc>
  <rcc rId="3124" sId="2" numFmtId="14">
    <nc r="AJ461">
      <v>0.9</v>
    </nc>
  </rcc>
  <rcc rId="3125" sId="2" quotePrefix="1">
    <nc r="AK461" t="inlineStr">
      <is>
        <t>None</t>
      </is>
    </nc>
  </rcc>
  <rcc rId="3126" sId="2" numFmtId="19">
    <nc r="AE461">
      <v>44083</v>
    </nc>
  </rcc>
  <rcc rId="3127" sId="2" numFmtId="19">
    <nc r="AF461">
      <v>44083</v>
    </nc>
  </rcc>
  <rcc rId="3128" sId="2">
    <nc r="AG461" t="inlineStr">
      <is>
        <t>OK</t>
      </is>
    </nc>
  </rcc>
  <rcc rId="3129" sId="2">
    <nc r="Z461">
      <f>Y461</f>
    </nc>
  </rcc>
  <rcc rId="3130" sId="2">
    <nc r="AA461" t="inlineStr">
      <is>
        <t>Ready for review</t>
      </is>
    </nc>
  </rcc>
  <rcv guid="{336B6883-2145-4B58-921E-CEC7185A847E}" action="delete"/>
  <rdn rId="0" localSheetId="1" customView="1" name="Z_336B6883_2145_4B58_921E_CEC7185A847E_.wvu.FilterData" hidden="1" oldHidden="1">
    <formula>Merged_COEM!$P$59:$P$302</formula>
    <oldFormula>Merged_COEM!$P$59:$P$302</oldFormula>
  </rdn>
  <rdn rId="0" localSheetId="2" customView="1" name="Z_336B6883_2145_4B58_921E_CEC7185A847E_.wvu.Cols" hidden="1" oldHidden="1">
    <formula>Merged_JOEM!$A:$G,Merged_JOEM!$K:$K,Merged_JOEM!$M:$N,Merged_JOEM!$P:$Q,Merged_JOEM!$S:$X,Merged_JOEM!$AB:$AD</formula>
    <oldFormula>Merged_JOEM!$A:$G,Merged_JOEM!$K:$K,Merged_JOEM!$M:$N,Merged_JOEM!$P:$Q,Merged_JOEM!$S:$X,Merged_JOEM!$AB:$AD</oldFormula>
  </rdn>
  <rdn rId="0" localSheetId="2" customView="1" name="Z_336B6883_2145_4B58_921E_CEC7185A847E_.wvu.FilterData" hidden="1" oldHidden="1">
    <formula>Merged_JOEM!$B$59:$AN$512</formula>
    <oldFormula>Merged_JOEM!$B$59:$AN$512</oldFormula>
  </rdn>
  <rcv guid="{336B6883-2145-4B58-921E-CEC7185A847E}" action="add"/>
</revisions>
</file>

<file path=xl/revisions/revisionLog1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34" sId="1">
    <nc r="AA257" t="inlineStr">
      <is>
        <t>Ready for review</t>
      </is>
    </nc>
  </rcc>
  <rcc rId="3135" sId="1">
    <nc r="AA258" t="inlineStr">
      <is>
        <t>Ready for review</t>
      </is>
    </nc>
  </rcc>
  <rcc rId="3136" sId="1">
    <nc r="AA259" t="inlineStr">
      <is>
        <t>Ready for review</t>
      </is>
    </nc>
  </rcc>
  <rcc rId="3137" sId="1" numFmtId="19">
    <nc r="AE258">
      <v>44083</v>
    </nc>
  </rcc>
  <rcc rId="3138" sId="1" numFmtId="19">
    <nc r="AF258">
      <v>44083</v>
    </nc>
  </rcc>
  <rcc rId="3139" sId="1">
    <nc r="AG258" t="inlineStr">
      <is>
        <t>OK</t>
      </is>
    </nc>
  </rcc>
  <rcc rId="3140" sId="1" numFmtId="14">
    <nc r="AH258">
      <v>1</v>
    </nc>
  </rcc>
  <rcc rId="3141" sId="1" numFmtId="14">
    <nc r="AI258">
      <v>1</v>
    </nc>
  </rcc>
  <rcc rId="3142" sId="1" numFmtId="14">
    <nc r="AJ258">
      <v>1</v>
    </nc>
  </rcc>
  <rcc rId="3143" sId="1">
    <nc r="AK258" t="inlineStr">
      <is>
        <t>None</t>
      </is>
    </nc>
  </rcc>
  <rcc rId="3144" sId="1" numFmtId="19">
    <nc r="AE257">
      <v>44083</v>
    </nc>
  </rcc>
  <rcc rId="3145" sId="1" numFmtId="19">
    <nc r="AF257">
      <v>44083</v>
    </nc>
  </rcc>
  <rcc rId="3146" sId="1" numFmtId="19">
    <nc r="AE259">
      <v>44083</v>
    </nc>
  </rcc>
  <rcc rId="3147" sId="1" numFmtId="19">
    <nc r="AF259">
      <v>44083</v>
    </nc>
  </rcc>
  <rcc rId="3148" sId="1" odxf="1" dxf="1" quotePrefix="1">
    <nc r="AH257" t="inlineStr">
      <is>
        <t>-</t>
      </is>
    </nc>
    <odxf/>
    <ndxf/>
  </rcc>
  <rcc rId="3149" sId="1" odxf="1" dxf="1" quotePrefix="1">
    <nc r="AI257" t="inlineStr">
      <is>
        <t>-</t>
      </is>
    </nc>
    <odxf/>
    <ndxf/>
  </rcc>
  <rcc rId="3150" sId="1" odxf="1" dxf="1" quotePrefix="1">
    <nc r="AJ257" t="inlineStr">
      <is>
        <t>-</t>
      </is>
    </nc>
    <odxf/>
    <ndxf/>
  </rcc>
  <rcc rId="3151" sId="1" odxf="1" dxf="1" quotePrefix="1">
    <nc r="AH259" t="inlineStr">
      <is>
        <t>-</t>
      </is>
    </nc>
    <odxf/>
    <ndxf/>
  </rcc>
  <rcc rId="3152" sId="1" odxf="1" dxf="1" quotePrefix="1">
    <nc r="AI259" t="inlineStr">
      <is>
        <t>-</t>
      </is>
    </nc>
    <odxf/>
    <ndxf/>
  </rcc>
  <rcc rId="3153" sId="1" odxf="1" dxf="1" quotePrefix="1">
    <nc r="AJ259" t="inlineStr">
      <is>
        <t>-</t>
      </is>
    </nc>
    <odxf/>
    <ndxf/>
  </rcc>
  <rcc rId="3154" sId="1">
    <nc r="AG257" t="inlineStr">
      <is>
        <t>OK</t>
      </is>
    </nc>
  </rcc>
  <rcc rId="3155" sId="1">
    <nc r="AG259" t="inlineStr">
      <is>
        <t>OK</t>
      </is>
    </nc>
  </rcc>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Merged_JOEM!$B$59:$AN$512</formula>
    <oldFormula>Merged_JOEM!$B$59:$AN$512</oldFormula>
  </rdn>
  <rcv guid="{89C03E1E-B6A8-49A1-B29C-5DC4FAB2FBC6}" action="add"/>
</revisions>
</file>

<file path=xl/revisions/revisionLog1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Merged_JOEM!$B$59:$AN$512</formula>
    <oldFormula>Merged_JOEM!$B$59:$AN$512</oldFormula>
  </rdn>
  <rcv guid="{3B3E6719-EACB-4D2C-89C1-05FFAB6020FD}" action="add"/>
</revisions>
</file>

<file path=xl/revisions/revisionLog1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66" sId="1">
    <oc r="U208" t="inlineStr">
      <is>
        <t>No</t>
      </is>
    </oc>
    <nc r="U208"/>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FECB4C41-27E8-4A22-AFB3-4F54CDD4960E}" action="delete"/>
  <rdn rId="0" localSheetId="1" customView="1" name="Z_FECB4C41_27E8_4A22_AFB3_4F54CDD4960E_.wvu.FilterData" hidden="1" oldHidden="1">
    <formula>Merged_COEM!$B$59:$AN$301</formula>
    <oldFormula>Merged_COEM!$B$59:$AN$301</oldFormula>
  </rdn>
  <rdn rId="0" localSheetId="2" customView="1" name="Z_FECB4C41_27E8_4A22_AFB3_4F54CDD4960E_.wvu.FilterData" hidden="1" oldHidden="1">
    <formula>Merged_JOEM!$B$59:$AN$512</formula>
    <oldFormula>Merged_JOEM!$B$59:$AN$512</oldFormula>
  </rdn>
  <rcv guid="{FECB4C41-27E8-4A22-AFB3-4F54CDD4960E}" action="add"/>
</revisions>
</file>

<file path=xl/revisions/revisionLog1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85" sId="2">
    <nc r="X470">
      <v>26</v>
    </nc>
  </rcc>
  <rcc rId="3186" sId="2">
    <nc r="Z470">
      <v>0.7</v>
    </nc>
  </rcc>
  <rcc rId="3187" sId="2">
    <nc r="AA470" t="inlineStr">
      <is>
        <t>Ready for review</t>
      </is>
    </nc>
  </rcc>
  <rcc rId="3188" sId="2" numFmtId="19">
    <nc r="AE470">
      <v>44083</v>
    </nc>
  </rcc>
  <rcc rId="3189" sId="2" numFmtId="19">
    <nc r="AF470">
      <v>44083</v>
    </nc>
  </rcc>
  <rcc rId="3190" sId="2">
    <nc r="AG470" t="inlineStr">
      <is>
        <t>OK</t>
      </is>
    </nc>
  </rcc>
  <rcc rId="3191" sId="2" numFmtId="14">
    <nc r="AH470">
      <v>1</v>
    </nc>
  </rcc>
  <rcc rId="3192" sId="2" numFmtId="14">
    <nc r="AI470">
      <v>1</v>
    </nc>
  </rcc>
  <rcc rId="3193" sId="2" quotePrefix="1">
    <nc r="AK470" t="inlineStr">
      <is>
        <t>None</t>
      </is>
    </nc>
  </rcc>
  <rcc rId="3194" sId="2" quotePrefix="1">
    <nc r="AL470" t="inlineStr">
      <is>
        <t>-</t>
      </is>
    </nc>
  </rcc>
  <rcc rId="3195" sId="2" quotePrefix="1">
    <nc r="AM470" t="inlineStr">
      <is>
        <t>-</t>
      </is>
    </nc>
  </rcc>
  <rcc rId="3196" sId="2" quotePrefix="1">
    <nc r="AN470" t="inlineStr">
      <is>
        <t>-</t>
      </is>
    </nc>
  </rcc>
  <rcc rId="3197" sId="2" numFmtId="14" quotePrefix="1">
    <nc r="AJ470" t="inlineStr">
      <is>
        <t>NA</t>
      </is>
    </nc>
  </rc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Merged_JOEM!$B$59:$AN$512</formula>
    <oldFormula>Merged_JOEM!$B$59:$AN$512</oldFormula>
  </rdn>
  <rcv guid="{3B3E6719-EACB-4D2C-89C1-05FFAB6020FD}" action="add"/>
</revisions>
</file>

<file path=xl/revisions/revisionLog1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00" sId="1">
    <nc r="AA260" t="inlineStr">
      <is>
        <t>Ready for review</t>
      </is>
    </nc>
  </rcc>
  <rcc rId="3201" sId="1">
    <nc r="Z260">
      <v>2</v>
    </nc>
  </rcc>
  <rcc rId="3202" sId="1" numFmtId="19">
    <nc r="AE260">
      <v>44083</v>
    </nc>
  </rcc>
  <rcc rId="3203" sId="1" numFmtId="19">
    <nc r="AF260">
      <v>44083</v>
    </nc>
  </rcc>
  <rcc rId="3204" sId="1">
    <nc r="AG260" t="inlineStr">
      <is>
        <t>OK</t>
      </is>
    </nc>
  </rcc>
  <rcc rId="3205" sId="1" numFmtId="14">
    <nc r="AH260">
      <v>1</v>
    </nc>
  </rcc>
  <rcc rId="3206" sId="1" numFmtId="14">
    <nc r="AI260">
      <v>1</v>
    </nc>
  </rcc>
  <rcc rId="3207" sId="1" numFmtId="14">
    <nc r="AJ260">
      <v>1</v>
    </nc>
  </rcc>
  <rcc rId="3208" sId="1">
    <nc r="AK260" t="inlineStr">
      <is>
        <t>None</t>
      </is>
    </nc>
  </rcc>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Merged_JOEM!$B$59:$AN$512</formula>
    <oldFormula>Merged_JOEM!$B$59:$AN$512</oldFormula>
  </rdn>
  <rcv guid="{89C03E1E-B6A8-49A1-B29C-5DC4FAB2FBC6}" action="add"/>
</revisions>
</file>

<file path=xl/revisions/revisionLog1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11" sId="1">
    <nc r="Z257">
      <v>6</v>
    </nc>
  </rcc>
  <rcc rId="3212" sId="1">
    <nc r="Z259">
      <v>6</v>
    </nc>
  </rcc>
  <rcc rId="3213" sId="1">
    <nc r="Z258">
      <v>2</v>
    </nc>
  </rcc>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Merged_JOEM!$B$59:$AN$512</formula>
    <oldFormula>Merged_JOEM!$B$59:$AN$512</oldFormula>
  </rdn>
  <rcv guid="{89C03E1E-B6A8-49A1-B29C-5DC4FAB2FBC6}" action="add"/>
</revisions>
</file>

<file path=xl/revisions/revisionLog1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16" sId="1">
    <nc r="AA261" t="inlineStr">
      <is>
        <t>Ready for review</t>
      </is>
    </nc>
  </rcc>
  <rcc rId="3217" sId="1">
    <nc r="AA262" t="inlineStr">
      <is>
        <t>Ready for review</t>
      </is>
    </nc>
  </rcc>
  <rcc rId="3218" sId="1">
    <nc r="AA263" t="inlineStr">
      <is>
        <t>Ready for review</t>
      </is>
    </nc>
  </rcc>
  <rcc rId="3219" sId="1">
    <nc r="AA264" t="inlineStr">
      <is>
        <t>Ready for review</t>
      </is>
    </nc>
  </rcc>
  <rcc rId="3220" sId="1">
    <nc r="AA265" t="inlineStr">
      <is>
        <t>Ready for review</t>
      </is>
    </nc>
  </rcc>
  <rcc rId="3221" sId="1">
    <nc r="AA286" t="inlineStr">
      <is>
        <t>Ready for review</t>
      </is>
    </nc>
  </rcc>
  <rcc rId="3222" sId="1">
    <nc r="AA288" t="inlineStr">
      <is>
        <t>Ready for review</t>
      </is>
    </nc>
  </rcc>
  <rcc rId="3223" sId="1">
    <nc r="AA289" t="inlineStr">
      <is>
        <t>Ready for review</t>
      </is>
    </nc>
  </rcc>
  <rcc rId="3224" sId="1">
    <nc r="AA290" t="inlineStr">
      <is>
        <t>Ready for review</t>
      </is>
    </nc>
  </rcc>
  <rcc rId="3225" sId="1">
    <nc r="AA291" t="inlineStr">
      <is>
        <t>Ready for review</t>
      </is>
    </nc>
  </rcc>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Merged_JOEM!$B$59:$AN$512</formula>
    <oldFormula>Merged_JOEM!$B$59:$AN$512</oldFormula>
  </rdn>
  <rcv guid="{89C03E1E-B6A8-49A1-B29C-5DC4FAB2FBC6}" action="add"/>
</revisions>
</file>

<file path=xl/revisions/revisionLog1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28" sId="1">
    <oc r="AA262" t="inlineStr">
      <is>
        <t>Ready for review</t>
      </is>
    </oc>
    <nc r="AA262"/>
  </rcc>
  <rcc rId="3229" sId="1">
    <oc r="AA263" t="inlineStr">
      <is>
        <t>Ready for review</t>
      </is>
    </oc>
    <nc r="AA263"/>
  </rcc>
  <rcc rId="3230" sId="1">
    <oc r="AA264" t="inlineStr">
      <is>
        <t>Ready for review</t>
      </is>
    </oc>
    <nc r="AA264"/>
  </rcc>
  <rcc rId="3231" sId="1">
    <oc r="AA265" t="inlineStr">
      <is>
        <t>Ready for review</t>
      </is>
    </oc>
    <nc r="AA265"/>
  </rcc>
  <rcc rId="3232" sId="1">
    <oc r="AA286" t="inlineStr">
      <is>
        <t>Ready for review</t>
      </is>
    </oc>
    <nc r="AA286"/>
  </rcc>
  <rcc rId="3233" sId="1">
    <oc r="AA288" t="inlineStr">
      <is>
        <t>Ready for review</t>
      </is>
    </oc>
    <nc r="AA288"/>
  </rcc>
  <rcc rId="3234" sId="1">
    <oc r="AA289" t="inlineStr">
      <is>
        <t>Ready for review</t>
      </is>
    </oc>
    <nc r="AA289"/>
  </rcc>
  <rcc rId="3235" sId="1">
    <oc r="AA290" t="inlineStr">
      <is>
        <t>Ready for review</t>
      </is>
    </oc>
    <nc r="AA290"/>
  </rcc>
  <rcc rId="3236" sId="1">
    <oc r="AA291" t="inlineStr">
      <is>
        <t>Ready for review</t>
      </is>
    </oc>
    <nc r="AA291"/>
  </rcc>
  <rcc rId="3237" sId="1">
    <oc r="AA261" t="inlineStr">
      <is>
        <t>Ready for review</t>
      </is>
    </oc>
    <nc r="AA261"/>
  </rcc>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Merged_JOEM!$B$59:$AN$512</formula>
    <oldFormula>Merged_JOEM!$B$59:$AN$512</oldFormula>
  </rdn>
  <rcv guid="{89C03E1E-B6A8-49A1-B29C-5DC4FAB2FBC6}" action="add"/>
</revisions>
</file>

<file path=xl/revisions/revisionLog1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40" sId="1">
    <nc r="T276" t="inlineStr">
      <is>
        <t>loc.do-phu</t>
      </is>
    </nc>
  </rcc>
  <rcv guid="{FECB4C41-27E8-4A22-AFB3-4F54CDD4960E}" action="delete"/>
  <rdn rId="0" localSheetId="1" customView="1" name="Z_FECB4C41_27E8_4A22_AFB3_4F54CDD4960E_.wvu.FilterData" hidden="1" oldHidden="1">
    <formula>Merged_COEM!$B$59:$AN$301</formula>
    <oldFormula>Merged_COEM!$B$59:$AN$301</oldFormula>
  </rdn>
  <rdn rId="0" localSheetId="2" customView="1" name="Z_FECB4C41_27E8_4A22_AFB3_4F54CDD4960E_.wvu.FilterData" hidden="1" oldHidden="1">
    <formula>Merged_JOEM!$B$59:$AN$512</formula>
    <oldFormula>Merged_JOEM!$B$59:$AN$512</oldFormula>
  </rdn>
  <rcv guid="{FECB4C41-27E8-4A22-AFB3-4F54CDD4960E}" action="add"/>
</revisions>
</file>

<file path=xl/revisions/revisionLog1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43" sId="1">
    <nc r="AA292" t="inlineStr">
      <is>
        <t>Ready for review</t>
      </is>
    </nc>
  </rcc>
  <rcc rId="3244" sId="1">
    <nc r="X292">
      <f>W292</f>
    </nc>
  </rcc>
  <rcc rId="3245" sId="1">
    <nc r="Z292">
      <f>Y292</f>
    </nc>
  </rcc>
  <rcv guid="{FECB4C41-27E8-4A22-AFB3-4F54CDD4960E}" action="delete"/>
  <rdn rId="0" localSheetId="1" customView="1" name="Z_FECB4C41_27E8_4A22_AFB3_4F54CDD4960E_.wvu.FilterData" hidden="1" oldHidden="1">
    <formula>Merged_COEM!$B$59:$AN$301</formula>
    <oldFormula>Merged_COEM!$B$59:$AN$301</oldFormula>
  </rdn>
  <rdn rId="0" localSheetId="2" customView="1" name="Z_FECB4C41_27E8_4A22_AFB3_4F54CDD4960E_.wvu.FilterData" hidden="1" oldHidden="1">
    <formula>Merged_JOEM!$B$59:$AN$512</formula>
    <oldFormula>Merged_JOEM!$B$59:$AN$512</oldFormula>
  </rdn>
  <rcv guid="{FECB4C41-27E8-4A22-AFB3-4F54CDD4960E}" action="add"/>
</revisions>
</file>

<file path=xl/revisions/revisionLog1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60" sId="1">
    <nc r="U230" t="inlineStr">
      <is>
        <t>No</t>
      </is>
    </nc>
  </rcc>
  <rcc rId="3261" sId="1">
    <nc r="U231" t="inlineStr">
      <is>
        <t>No</t>
      </is>
    </nc>
  </rcc>
  <rcv guid="{FECB4C41-27E8-4A22-AFB3-4F54CDD4960E}" action="delete"/>
  <rdn rId="0" localSheetId="1" customView="1" name="Z_FECB4C41_27E8_4A22_AFB3_4F54CDD4960E_.wvu.FilterData" hidden="1" oldHidden="1">
    <formula>Merged_COEM!$B$59:$AN$301</formula>
    <oldFormula>Merged_COEM!$B$59:$AN$301</oldFormula>
  </rdn>
  <rdn rId="0" localSheetId="2" customView="1" name="Z_FECB4C41_27E8_4A22_AFB3_4F54CDD4960E_.wvu.FilterData" hidden="1" oldHidden="1">
    <formula>Merged_JOEM!$B$59:$AN$512</formula>
    <oldFormula>Merged_JOEM!$B$59:$AN$512</oldFormula>
  </rdn>
  <rcv guid="{FECB4C41-27E8-4A22-AFB3-4F54CDD4960E}" action="add"/>
</revisions>
</file>

<file path=xl/revisions/revisionLog1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64" sId="1">
    <nc r="K254" t="inlineStr">
      <is>
        <t>Test: Manual; Cmt: Auto</t>
      </is>
    </nc>
  </rcc>
  <rcc rId="3265" sId="1">
    <nc r="K255" t="inlineStr">
      <is>
        <t>Test: Manual; Cmt: Auto</t>
      </is>
    </nc>
  </rcc>
  <rcc rId="3266" sId="1">
    <nc r="K256" t="inlineStr">
      <is>
        <t>Test: Manual; Cmt: Auto</t>
      </is>
    </nc>
  </rcc>
  <rcc rId="3267" sId="1">
    <nc r="K257" t="inlineStr">
      <is>
        <t>Test: Manual; Cmt: Auto</t>
      </is>
    </nc>
  </rcc>
  <rcc rId="3268" sId="1">
    <nc r="K258" t="inlineStr">
      <is>
        <t>Test: Manual; Cmt: Auto</t>
      </is>
    </nc>
  </rcc>
  <rcc rId="3269" sId="1">
    <nc r="K259" t="inlineStr">
      <is>
        <t>Test: Manual; Cmt: Auto</t>
      </is>
    </nc>
  </rcc>
  <rcc rId="3270" sId="1">
    <nc r="K260" t="inlineStr">
      <is>
        <t>Test: Manual; Cmt: Auto</t>
      </is>
    </nc>
  </rcc>
  <rcc rId="3271" sId="1">
    <nc r="K261" t="inlineStr">
      <is>
        <t>Test: Manual; Cmt: Auto</t>
      </is>
    </nc>
  </rcc>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Merged_JOEM!$B$59:$AN$512</formula>
    <oldFormula>Merged_JOEM!$B$59:$AN$512</oldFormula>
  </rdn>
  <rcv guid="{89C03E1E-B6A8-49A1-B29C-5DC4FAB2FBC6}" action="add"/>
</revisions>
</file>

<file path=xl/revisions/revisionLog1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84" sId="1">
    <oc r="U228" t="inlineStr">
      <is>
        <t>No</t>
      </is>
    </oc>
    <nc r="U228" t="inlineStr">
      <is>
        <t>Yes</t>
      </is>
    </nc>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1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95" sId="1">
    <nc r="AA261" t="inlineStr">
      <is>
        <t>Ready for review</t>
      </is>
    </nc>
  </rcc>
  <rcc rId="3296" sId="1">
    <nc r="Z261">
      <f>Y261</f>
    </nc>
  </rcc>
  <rcc rId="3297" sId="1" numFmtId="19">
    <nc r="AE261">
      <v>44083</v>
    </nc>
  </rcc>
  <rcc rId="3298" sId="1" numFmtId="19">
    <nc r="AF261">
      <v>44083</v>
    </nc>
  </rcc>
  <rcc rId="3299" sId="1">
    <nc r="AG261" t="inlineStr">
      <is>
        <t>OK</t>
      </is>
    </nc>
  </rcc>
  <rcc rId="3300" sId="1" numFmtId="14">
    <nc r="AH261">
      <v>1</v>
    </nc>
  </rcc>
  <rcc rId="3301" sId="1" numFmtId="14">
    <nc r="AI261">
      <v>1</v>
    </nc>
  </rcc>
  <rcc rId="3302" sId="1" numFmtId="14">
    <nc r="AJ261">
      <v>1</v>
    </nc>
  </rcc>
  <rcc rId="3303" sId="1">
    <nc r="AK261" t="inlineStr">
      <is>
        <t>None</t>
      </is>
    </nc>
  </rcc>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Merged_JOEM!$B$59:$AN$512</formula>
    <oldFormula>Merged_JOEM!$B$59:$AN$512</oldFormula>
  </rdn>
  <rcv guid="{89C03E1E-B6A8-49A1-B29C-5DC4FAB2FBC6}" action="add"/>
</revisions>
</file>

<file path=xl/revisions/revisionLog2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Merged_JOEM!$B$59:$AN$512</formula>
    <oldFormula>Merged_JOEM!$B$59:$AN$512</oldFormula>
  </rdn>
  <rcv guid="{3B3E6719-EACB-4D2C-89C1-05FFAB6020FD}" action="add"/>
</revisions>
</file>

<file path=xl/revisions/revisionLog2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08" sId="1" quotePrefix="1">
    <oc r="F243" t="inlineStr">
      <is>
        <t>rba\FBL\SW\ApplicationLayer\rba_BldrCmp\src</t>
      </is>
    </oc>
    <nc r="F243" t="inlineStr">
      <is>
        <t>JMC_Ford_V348_ESP9.3CP_Int\JMC\rba\Bldr\BldrCmp\src\</t>
      </is>
    </nc>
  </rcc>
  <rcc rId="3309" sId="1" quotePrefix="1">
    <oc r="F242" t="inlineStr">
      <is>
        <t>rba\FBL\SW\ApplicationLayer\rba_BldrCmp\src</t>
      </is>
    </oc>
    <nc r="F242" t="inlineStr">
      <is>
        <t>JMC_Ford_V348_ESP9.3CP_Int\JMC\rba\Bldr\BldrCmp\src\</t>
      </is>
    </nc>
  </rcc>
  <rfmt sheetId="1" sqref="F242" start="0" length="2147483647">
    <dxf>
      <font>
        <b/>
      </font>
    </dxf>
  </rfmt>
  <rfmt sheetId="1" sqref="F243" start="0" length="2147483647">
    <dxf>
      <font>
        <b/>
      </font>
    </dxf>
  </rfmt>
  <rcc rId="3310" sId="1" odxf="1" dxf="1" quotePrefix="1">
    <oc r="F245" t="inlineStr">
      <is>
        <t>rba\FBL\SW\ApplicationLayer\rba_BldrCmp\src</t>
      </is>
    </oc>
    <nc r="F245" t="inlineStr">
      <is>
        <t>JMC_Ford_V348_ESP9.3CP_Int\JMC\rba\Bldr\BldrCmp\src\</t>
      </is>
    </nc>
    <odxf>
      <font>
        <b val="0"/>
        <sz val="11"/>
        <color theme="1"/>
        <name val="Calibri"/>
        <scheme val="minor"/>
      </font>
    </odxf>
    <ndxf>
      <font>
        <b/>
        <sz val="11"/>
        <color theme="1"/>
        <name val="Calibri"/>
        <scheme val="minor"/>
      </font>
    </ndxf>
  </rcc>
  <rcc rId="3311" sId="1" odxf="1" dxf="1" quotePrefix="1">
    <oc r="F246" t="inlineStr">
      <is>
        <t>rba\FBL\SW\ApplicationLayer\rba_BldrCmp\src</t>
      </is>
    </oc>
    <nc r="F246" t="inlineStr">
      <is>
        <t>JMC_Ford_V348_ESP9.3CP_Int\JMC\rba\Bldr\BldrCmp\src\</t>
      </is>
    </nc>
    <odxf>
      <font>
        <b val="0"/>
        <sz val="11"/>
        <color theme="1"/>
        <name val="Calibri"/>
        <scheme val="minor"/>
      </font>
    </odxf>
    <ndxf>
      <font>
        <b/>
        <sz val="11"/>
        <color theme="1"/>
        <name val="Calibri"/>
        <scheme val="minor"/>
      </font>
    </ndxf>
  </rcc>
  <rcc rId="3312" sId="1" quotePrefix="1">
    <oc r="F248" t="inlineStr">
      <is>
        <t>rba\jmc\Bldr\config\Infrastruct\rba_AS_HWProtrba\FBL\SW\ApplicationLayer\rba_BldrCmp\src</t>
      </is>
    </oc>
    <nc r="F248" t="inlineStr">
      <is>
        <t>JMC_Ford_V348_ESP9.3CP_Int\JMC\rba\Bldr\config\Infrastruct\rba_AS_HWProt\src\</t>
      </is>
    </nc>
  </rcc>
  <rfmt sheetId="1" sqref="F248" start="0" length="2147483647">
    <dxf>
      <font>
        <b/>
      </font>
    </dxf>
  </rfmt>
  <rcc rId="3313" sId="1" quotePrefix="1">
    <oc r="F250" t="inlineStr">
      <is>
        <t>rba\jmc\Bldr\config\ApplicationLayer\rba_BldrCmprba\FBL\SW\ApplicationLayer\rba_BldrCmp\src</t>
      </is>
    </oc>
    <nc r="F250" t="inlineStr">
      <is>
        <t>JMC_Ford_V348_ESP9.3CP_Int\JMC\rba\Bldr\config\ApplicationLayer\rba_BldrCmp\src\</t>
      </is>
    </nc>
  </rcc>
  <rcc rId="3314" sId="1" quotePrefix="1">
    <oc r="F252" t="inlineStr">
      <is>
        <t>rba\jmc\Bldr\config\ApplicationLayer\rba_BldrCmprba\FBL\SW\ApplicationLayer\rba_BldrCmp\src</t>
      </is>
    </oc>
    <nc r="F252" t="inlineStr">
      <is>
        <t>JMC_Ford_V348_ESP9.3CP_Int\JMC\rba\Bldr\config\ApplicationLayer\rba_BldrCmp\src\</t>
      </is>
    </nc>
  </rcc>
  <rcc rId="3315" sId="1" quotePrefix="1">
    <oc r="F253" t="inlineStr">
      <is>
        <t>rba\jmc\Bldr\config\ApplicationLayer\rba_BldrCmprba\FBL\SW\ApplicationLayer\rba_BldrCmp\src</t>
      </is>
    </oc>
    <nc r="F253" t="inlineStr">
      <is>
        <t>JMC_Ford_V348_ESP9.3CP_Int\JMC\rba\Bldr\config\ApplicationLayer\rba_BldrCmp\src\</t>
      </is>
    </nc>
  </rcc>
  <rfmt sheetId="1" sqref="F250 F252:F253" start="0" length="2147483647">
    <dxf>
      <font>
        <b/>
      </font>
    </dxf>
  </rfmt>
  <rcv guid="{FECB4C41-27E8-4A22-AFB3-4F54CDD4960E}" action="delete"/>
  <rdn rId="0" localSheetId="1" customView="1" name="Z_FECB4C41_27E8_4A22_AFB3_4F54CDD4960E_.wvu.FilterData" hidden="1" oldHidden="1">
    <formula>Merged_COEM!$B$59:$AN$301</formula>
    <oldFormula>Merged_COEM!$B$59:$AN$301</oldFormula>
  </rdn>
  <rdn rId="0" localSheetId="2" customView="1" name="Z_FECB4C41_27E8_4A22_AFB3_4F54CDD4960E_.wvu.FilterData" hidden="1" oldHidden="1">
    <formula>Merged_JOEM!$B$59:$AN$512</formula>
    <oldFormula>Merged_JOEM!$B$59:$AN$512</oldFormula>
  </rdn>
  <rcv guid="{FECB4C41-27E8-4A22-AFB3-4F54CDD4960E}" action="add"/>
</revisions>
</file>

<file path=xl/revisions/revisionLog2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18" sId="1" quotePrefix="1">
    <oc r="AN236" t="inlineStr">
      <is>
        <t>-</t>
      </is>
    </oc>
    <nc r="AN236" t="inlineStr">
      <is>
        <t>-Owner confirm it's no impact</t>
      </is>
    </nc>
  </rcc>
  <rfmt sheetId="1" sqref="AN236">
    <dxf>
      <fill>
        <patternFill patternType="solid">
          <bgColor rgb="FFFF0000"/>
        </patternFill>
      </fill>
    </dxf>
  </rfmt>
</revisions>
</file>

<file path=xl/revisions/revisionLog2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19" sId="1">
    <oc r="AA232" t="inlineStr">
      <is>
        <t>Ready for review</t>
      </is>
    </oc>
    <nc r="AA232" t="inlineStr">
      <is>
        <t>Ready for PLC</t>
      </is>
    </nc>
  </rcc>
  <rcc rId="3320" sId="1">
    <oc r="AA227" t="inlineStr">
      <is>
        <t>Ready for review</t>
      </is>
    </oc>
    <nc r="AA227" t="inlineStr">
      <is>
        <t>Ready for PLC</t>
      </is>
    </nc>
  </rcc>
  <rcc rId="3321" sId="1">
    <oc r="AA228" t="inlineStr">
      <is>
        <t>Ready for review</t>
      </is>
    </oc>
    <nc r="AA228" t="inlineStr">
      <is>
        <t>Ready for PLC</t>
      </is>
    </nc>
  </rcc>
  <rcc rId="3322" sId="1">
    <oc r="AA229" t="inlineStr">
      <is>
        <t>Ready for review</t>
      </is>
    </oc>
    <nc r="AA229" t="inlineStr">
      <is>
        <t>Ready for PLC</t>
      </is>
    </nc>
  </rcc>
  <rcc rId="3323" sId="1">
    <oc r="AA230" t="inlineStr">
      <is>
        <t>Ready for review</t>
      </is>
    </oc>
    <nc r="AA230" t="inlineStr">
      <is>
        <t>Ready for PLC</t>
      </is>
    </nc>
  </rcc>
  <rcc rId="3324" sId="1">
    <oc r="AA231" t="inlineStr">
      <is>
        <t>Ready for review</t>
      </is>
    </oc>
    <nc r="AA231" t="inlineStr">
      <is>
        <t>Ready for PLC</t>
      </is>
    </nc>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31" sId="1" numFmtId="19">
    <nc r="AB227">
      <v>44083</v>
    </nc>
  </rcc>
  <rcc rId="3332" sId="1" numFmtId="19">
    <nc r="AB228">
      <v>44083</v>
    </nc>
  </rcc>
  <rcc rId="3333" sId="1" numFmtId="19">
    <nc r="AB229">
      <v>44083</v>
    </nc>
  </rcc>
  <rcc rId="3334" sId="1" numFmtId="19">
    <nc r="AB230">
      <v>44083</v>
    </nc>
  </rcc>
  <rcc rId="3335" sId="1" numFmtId="19">
    <nc r="AB231">
      <v>44083</v>
    </nc>
  </rcc>
  <rcc rId="3336" sId="1" numFmtId="19">
    <nc r="AB232">
      <v>44083</v>
    </nc>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W242">
    <dxf>
      <fill>
        <patternFill>
          <bgColor rgb="FFFF0000"/>
        </patternFill>
      </fill>
    </dxf>
  </rfmt>
  <rfmt sheetId="1" sqref="W245">
    <dxf>
      <fill>
        <patternFill>
          <bgColor rgb="FFFF0000"/>
        </patternFill>
      </fill>
    </dxf>
  </rfmt>
  <rfmt sheetId="1" sqref="W246">
    <dxf>
      <fill>
        <patternFill>
          <bgColor rgb="FFFF0000"/>
        </patternFill>
      </fill>
    </dxf>
  </rfmt>
  <rfmt sheetId="1" sqref="W250">
    <dxf>
      <fill>
        <patternFill>
          <bgColor rgb="FFFF0000"/>
        </patternFill>
      </fill>
    </dxf>
  </rfmt>
  <rfmt sheetId="1" sqref="W252">
    <dxf>
      <fill>
        <patternFill>
          <bgColor rgb="FFFF0000"/>
        </patternFill>
      </fill>
    </dxf>
  </rfmt>
</revisions>
</file>

<file path=xl/revisions/revisionLog2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43" sId="1" numFmtId="19">
    <nc r="AE292">
      <v>44083</v>
    </nc>
  </rcc>
  <rcc rId="3344" sId="1" numFmtId="19">
    <nc r="AF292">
      <v>44083</v>
    </nc>
  </rcc>
  <rcc rId="3345" sId="1">
    <nc r="AG292" t="inlineStr">
      <is>
        <t>OK</t>
      </is>
    </nc>
  </rcc>
  <rcc rId="3346" sId="1" numFmtId="14">
    <nc r="AH292">
      <v>1</v>
    </nc>
  </rcc>
  <rcc rId="3347" sId="1" numFmtId="14">
    <nc r="AI292">
      <v>1</v>
    </nc>
  </rcc>
  <rcc rId="3348" sId="1" numFmtId="14">
    <nc r="AJ292">
      <v>1</v>
    </nc>
  </rcc>
  <rcc rId="3349" sId="1">
    <nc r="AK292" t="inlineStr">
      <is>
        <t>None</t>
      </is>
    </nc>
  </rcc>
</revisions>
</file>

<file path=xl/revisions/revisionLog2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52" sId="1">
    <nc r="K262" t="inlineStr">
      <is>
        <t>Test: Manual; Cmt: Auto</t>
      </is>
    </nc>
  </rcc>
  <rcc rId="3353" sId="1">
    <nc r="K263" t="inlineStr">
      <is>
        <t>Test: Manual; Cmt: Auto</t>
      </is>
    </nc>
  </rcc>
  <rcc rId="3354" sId="1">
    <nc r="Z262">
      <f>Y262</f>
    </nc>
  </rcc>
  <rcc rId="3355" sId="1">
    <nc r="Z263">
      <v>2</v>
    </nc>
  </rcc>
  <rcc rId="3356" sId="1">
    <nc r="AA262" t="inlineStr">
      <is>
        <t>Ready for review</t>
      </is>
    </nc>
  </rcc>
  <rcc rId="3357" sId="1">
    <nc r="AA263" t="inlineStr">
      <is>
        <t>Ready for review</t>
      </is>
    </nc>
  </rcc>
  <rcc rId="3358" sId="1" numFmtId="19">
    <nc r="AE262">
      <v>44083</v>
    </nc>
  </rcc>
  <rcc rId="3359" sId="1" numFmtId="19">
    <nc r="AF262">
      <v>44083</v>
    </nc>
  </rcc>
  <rcc rId="3360" sId="1">
    <nc r="AG262" t="inlineStr">
      <is>
        <t>OK</t>
      </is>
    </nc>
  </rcc>
  <rcc rId="3361" sId="1" numFmtId="14">
    <nc r="AH262">
      <v>1</v>
    </nc>
  </rcc>
  <rcc rId="3362" sId="1" numFmtId="14">
    <nc r="AI262">
      <v>1</v>
    </nc>
  </rcc>
  <rcc rId="3363" sId="1" numFmtId="14">
    <nc r="AJ262">
      <v>1</v>
    </nc>
  </rcc>
  <rcc rId="3364" sId="1">
    <nc r="AK262" t="inlineStr">
      <is>
        <t>None</t>
      </is>
    </nc>
  </rcc>
  <rcc rId="3365" sId="1" numFmtId="19">
    <nc r="AE263">
      <v>44083</v>
    </nc>
  </rcc>
  <rcc rId="3366" sId="1" numFmtId="19">
    <nc r="AF263">
      <v>44083</v>
    </nc>
  </rcc>
  <rcc rId="3367" sId="1">
    <nc r="AG263" t="inlineStr">
      <is>
        <t>OK</t>
      </is>
    </nc>
  </rcc>
  <rcc rId="3368" sId="1" numFmtId="14">
    <nc r="AH263">
      <v>1</v>
    </nc>
  </rcc>
  <rcc rId="3369" sId="1" numFmtId="14">
    <nc r="AI263">
      <v>1</v>
    </nc>
  </rcc>
  <rcc rId="3370" sId="1" numFmtId="14">
    <nc r="AJ263">
      <v>1</v>
    </nc>
  </rcc>
  <rcc rId="3371" sId="1">
    <nc r="AK263" t="inlineStr">
      <is>
        <t>None</t>
      </is>
    </nc>
  </rcc>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Merged_JOEM!$B$59:$AN$512</formula>
    <oldFormula>Merged_JOEM!$B$59:$AN$512</oldFormula>
  </rdn>
  <rcv guid="{89C03E1E-B6A8-49A1-B29C-5DC4FAB2FBC6}" action="add"/>
</revisions>
</file>

<file path=xl/revisions/revisionLog2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76" sId="1">
    <nc r="U207" t="inlineStr">
      <is>
        <t>Yes</t>
      </is>
    </nc>
  </rcc>
  <rcc rId="3377" sId="1">
    <nc r="U208" t="inlineStr">
      <is>
        <t>Yes</t>
      </is>
    </nc>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Merged_JOEM!$B$59:$AN$512</formula>
    <oldFormula>Merged_JOEM!$B$59:$AN$512</oldFormula>
  </rdn>
  <rcv guid="{3B3E6719-EACB-4D2C-89C1-05FFAB6020FD}" action="add"/>
</revisions>
</file>

<file path=xl/revisions/revisionLog2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90" sId="2" numFmtId="19">
    <nc r="AE460">
      <v>44083</v>
    </nc>
  </rcc>
  <rcc rId="3391" sId="2" numFmtId="19">
    <nc r="AF460">
      <v>44083</v>
    </nc>
  </rcc>
  <rcc rId="3392" sId="2">
    <nc r="AG460" t="inlineStr">
      <is>
        <t>OK</t>
      </is>
    </nc>
  </rcc>
  <rcc rId="3393" sId="2">
    <nc r="AA460" t="inlineStr">
      <is>
        <t>Ready for review</t>
      </is>
    </nc>
  </rcc>
  <rcc rId="3394" sId="2">
    <nc r="Z460">
      <f>Y460</f>
    </nc>
  </rcc>
  <rcc rId="3395" sId="2" numFmtId="14">
    <nc r="AH460">
      <v>1</v>
    </nc>
  </rcc>
  <rcc rId="3396" sId="2" numFmtId="14">
    <nc r="AI460">
      <v>1</v>
    </nc>
  </rcc>
  <rcc rId="3397" sId="2" numFmtId="14">
    <nc r="AJ460">
      <v>1</v>
    </nc>
  </rcc>
  <rcc rId="3398" sId="2" quotePrefix="1">
    <nc r="AK460" t="inlineStr">
      <is>
        <t>None</t>
      </is>
    </nc>
  </rcc>
  <rcv guid="{336B6883-2145-4B58-921E-CEC7185A847E}" action="delete"/>
  <rdn rId="0" localSheetId="1" customView="1" name="Z_336B6883_2145_4B58_921E_CEC7185A847E_.wvu.FilterData" hidden="1" oldHidden="1">
    <formula>Merged_COEM!$P$59:$P$302</formula>
    <oldFormula>Merged_COEM!$P$59:$P$302</oldFormula>
  </rdn>
  <rdn rId="0" localSheetId="2" customView="1" name="Z_336B6883_2145_4B58_921E_CEC7185A847E_.wvu.Cols" hidden="1" oldHidden="1">
    <formula>Merged_JOEM!$A:$G,Merged_JOEM!$K:$K,Merged_JOEM!$M:$N,Merged_JOEM!$P:$Q,Merged_JOEM!$S:$X,Merged_JOEM!$AB:$AD</formula>
    <oldFormula>Merged_JOEM!$A:$G,Merged_JOEM!$K:$K,Merged_JOEM!$M:$N,Merged_JOEM!$P:$Q,Merged_JOEM!$S:$X,Merged_JOEM!$AB:$AD</oldFormula>
  </rdn>
  <rdn rId="0" localSheetId="2" customView="1" name="Z_336B6883_2145_4B58_921E_CEC7185A847E_.wvu.FilterData" hidden="1" oldHidden="1">
    <formula>Merged_JOEM!$B$59:$AN$512</formula>
    <oldFormula>Merged_JOEM!$B$59:$AN$512</oldFormula>
  </rdn>
  <rcv guid="{336B6883-2145-4B58-921E-CEC7185A847E}" action="add"/>
</revisions>
</file>

<file path=xl/revisions/revisionLog2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H460:J460 L460 O460 R460 Y460:AA460 AE460:XFD460" start="0" length="2147483647">
    <dxf>
      <font>
        <color rgb="FFFF0000"/>
      </font>
    </dxf>
  </rfmt>
  <rcv guid="{336B6883-2145-4B58-921E-CEC7185A847E}" action="delete"/>
  <rdn rId="0" localSheetId="1" customView="1" name="Z_336B6883_2145_4B58_921E_CEC7185A847E_.wvu.FilterData" hidden="1" oldHidden="1">
    <formula>Merged_COEM!$P$59:$P$302</formula>
    <oldFormula>Merged_COEM!$P$59:$P$302</oldFormula>
  </rdn>
  <rdn rId="0" localSheetId="2" customView="1" name="Z_336B6883_2145_4B58_921E_CEC7185A847E_.wvu.Cols" hidden="1" oldHidden="1">
    <formula>Merged_JOEM!$A:$G,Merged_JOEM!$K:$K,Merged_JOEM!$M:$N,Merged_JOEM!$P:$Q,Merged_JOEM!$S:$X,Merged_JOEM!$AB:$AD</formula>
    <oldFormula>Merged_JOEM!$A:$G,Merged_JOEM!$K:$K,Merged_JOEM!$M:$N,Merged_JOEM!$P:$Q,Merged_JOEM!$S:$X,Merged_JOEM!$AB:$AD</oldFormula>
  </rdn>
  <rdn rId="0" localSheetId="2" customView="1" name="Z_336B6883_2145_4B58_921E_CEC7185A847E_.wvu.FilterData" hidden="1" oldHidden="1">
    <formula>Merged_JOEM!$B$59:$AN$512</formula>
    <oldFormula>Merged_JOEM!$B$59:$AN$512</oldFormula>
  </rdn>
  <rcv guid="{336B6883-2145-4B58-921E-CEC7185A847E}" action="add"/>
</revisions>
</file>

<file path=xl/revisions/revisionLog2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05" sId="2" numFmtId="19">
    <nc r="AE390">
      <v>44083</v>
    </nc>
  </rcc>
  <rcc rId="3406" sId="2" numFmtId="19">
    <nc r="AF390">
      <v>44083</v>
    </nc>
  </rcc>
  <rcc rId="3407" sId="2">
    <nc r="AG390" t="inlineStr">
      <is>
        <t>NG</t>
      </is>
    </nc>
  </rcc>
  <rcc rId="3408" sId="2" quotePrefix="1">
    <nc r="F362" t="inlineStr">
      <is>
        <t>rb.as.core.app.asw.apbmi.host</t>
      </is>
    </nc>
  </rcc>
  <rcc rId="3409" sId="2" quotePrefix="1">
    <nc r="F363" t="inlineStr">
      <is>
        <t>rb.as.core.app.dcom.rbaplhelp</t>
      </is>
    </nc>
  </rcc>
  <rcc rId="3410" sId="2" quotePrefix="1">
    <nc r="F364" t="inlineStr">
      <is>
        <t>rb.as.core.app.dsm</t>
      </is>
    </nc>
  </rcc>
  <rcc rId="3411" sId="2" quotePrefix="1">
    <nc r="F365" t="inlineStr">
      <is>
        <t>rb.as.core.hwp.hsw.ecubase.safety.rbsupplybase</t>
      </is>
    </nc>
  </rcc>
  <rcc rId="3412" sId="2" quotePrefix="1">
    <nc r="F366" t="inlineStr">
      <is>
        <t>rb.as.honda.cmp.app.dsm</t>
      </is>
    </nc>
  </rcc>
  <rcc rId="3413" sId="2" quotePrefix="1">
    <nc r="F367" t="inlineStr">
      <is>
        <t>rb.as.honda.cmp.app.dsm</t>
      </is>
    </nc>
  </rcc>
  <rcc rId="3414" sId="2" quotePrefix="1">
    <nc r="F368" t="inlineStr">
      <is>
        <t>rb.as.honda.cmp.app.dsm</t>
      </is>
    </nc>
  </rcc>
  <rcc rId="3415" sId="2" quotePrefix="1">
    <nc r="F369" t="inlineStr">
      <is>
        <t>rb.as.honda.cmp.app.dsm</t>
      </is>
    </nc>
  </rcc>
  <rcc rId="3416" sId="2" quotePrefix="1">
    <nc r="F370" t="inlineStr">
      <is>
        <t>rb.as.honda.cmp.app.net</t>
      </is>
    </nc>
  </rcc>
  <rcc rId="3417" sId="2" quotePrefix="1">
    <nc r="F371" t="inlineStr">
      <is>
        <t>rb.as.honda.cmp.app.net</t>
      </is>
    </nc>
  </rcc>
  <rcc rId="3418" sId="2" quotePrefix="1">
    <nc r="F372" t="inlineStr">
      <is>
        <t>rb.as.honda.cmp.app.net</t>
      </is>
    </nc>
  </rcc>
  <rcc rId="3419" sId="2" quotePrefix="1">
    <nc r="F373" t="inlineStr">
      <is>
        <t>rb.as.honda.cmp.app.net</t>
      </is>
    </nc>
  </rcc>
  <rcc rId="3420" sId="2" quotePrefix="1">
    <nc r="F374" t="inlineStr">
      <is>
        <t>rb.as.honda.cmp.app.net</t>
      </is>
    </nc>
  </rcc>
  <rcc rId="3421" sId="2" quotePrefix="1">
    <nc r="F375" t="inlineStr">
      <is>
        <t>rb.as.honda.cmp.app.net</t>
      </is>
    </nc>
  </rcc>
  <rcc rId="3422" sId="2" quotePrefix="1">
    <nc r="F376" t="inlineStr">
      <is>
        <t>rb.as.honda.cmp.app.net</t>
      </is>
    </nc>
  </rcc>
  <rcc rId="3423" sId="2" quotePrefix="1">
    <nc r="F377" t="inlineStr">
      <is>
        <t>rb.as.honda.cmp.app.net</t>
      </is>
    </nc>
  </rcc>
  <rcc rId="3424" sId="2" quotePrefix="1">
    <nc r="F378" t="inlineStr">
      <is>
        <t>rb.as.honda.cmp.app.net</t>
      </is>
    </nc>
  </rcc>
  <rcc rId="3425" sId="2" quotePrefix="1">
    <nc r="F379" t="inlineStr">
      <is>
        <t>rb.as.honda.cmp.app.net</t>
      </is>
    </nc>
  </rcc>
  <rcc rId="3426" sId="2" quotePrefix="1">
    <nc r="F380" t="inlineStr">
      <is>
        <t>rb.as.honda.cmp.app.net</t>
      </is>
    </nc>
  </rcc>
  <rcc rId="3427" sId="2" quotePrefix="1">
    <nc r="F381" t="inlineStr">
      <is>
        <t>rb.as.honda.cmp.app.net</t>
      </is>
    </nc>
  </rcc>
  <rcc rId="3428" sId="2" quotePrefix="1">
    <nc r="F382" t="inlineStr">
      <is>
        <t>rb.as.honda.cmp.app.net</t>
      </is>
    </nc>
  </rcc>
  <rcc rId="3429" sId="2" quotePrefix="1">
    <nc r="F383" t="inlineStr">
      <is>
        <t>rb.as.honda.core.app.dsm</t>
      </is>
    </nc>
  </rcc>
  <rcc rId="3430" sId="2" quotePrefix="1">
    <nc r="F384" t="inlineStr">
      <is>
        <t>rb.as.honda.core.app.net</t>
      </is>
    </nc>
  </rcc>
  <rcc rId="3431" sId="2" quotePrefix="1">
    <nc r="F385" t="inlineStr">
      <is>
        <t>rb.as.honda.core.app.net</t>
      </is>
    </nc>
  </rcc>
  <rcc rId="3432" sId="2" quotePrefix="1">
    <nc r="F386" t="inlineStr">
      <is>
        <t>rb.as.honda.core.app.net</t>
      </is>
    </nc>
  </rcc>
  <rcc rId="3433" sId="2" quotePrefix="1">
    <nc r="F387" t="inlineStr">
      <is>
        <t>rb.as.honda.core.app.net</t>
      </is>
    </nc>
  </rcc>
  <rcc rId="3434" sId="2" quotePrefix="1">
    <nc r="F388" t="inlineStr">
      <is>
        <t>rb.as.honda.core.app.net</t>
      </is>
    </nc>
  </rcc>
  <rcc rId="3435" sId="2" quotePrefix="1">
    <nc r="F389" t="inlineStr">
      <is>
        <t>rb.as.honda.core.app.net</t>
      </is>
    </nc>
  </rcc>
  <rcc rId="3436" sId="2" quotePrefix="1">
    <nc r="F390" t="inlineStr">
      <is>
        <t>rb.as.honda.core.app.tpsw</t>
      </is>
    </nc>
  </rcc>
  <rcc rId="3437" sId="2" quotePrefix="1">
    <nc r="F391" t="inlineStr">
      <is>
        <t>rb.as.honda.esp.tgva.app.dcom</t>
      </is>
    </nc>
  </rcc>
  <rcc rId="3438" sId="2" quotePrefix="1">
    <nc r="F392" t="inlineStr">
      <is>
        <t>rb.as.honda.esp.tgva.app.dcom</t>
      </is>
    </nc>
  </rcc>
  <rcc rId="3439" sId="2" quotePrefix="1">
    <nc r="F393" t="inlineStr">
      <is>
        <t>rb.as.honda.esp.tgva.app.dcom</t>
      </is>
    </nc>
  </rcc>
  <rcc rId="3440" sId="2" quotePrefix="1">
    <nc r="F394" t="inlineStr">
      <is>
        <t>rb.as.honda.esp.tgva.app.dcom</t>
      </is>
    </nc>
  </rcc>
  <rcc rId="3441" sId="2" quotePrefix="1">
    <nc r="F395" t="inlineStr">
      <is>
        <t>rb.as.honda.esp.tgva.app.dcom</t>
      </is>
    </nc>
  </rcc>
  <rcc rId="3442" sId="2" quotePrefix="1">
    <nc r="F396" t="inlineStr">
      <is>
        <t>rb.as.honda.esp.tgva.app.dcom</t>
      </is>
    </nc>
  </rcc>
  <rcc rId="3443" sId="2" quotePrefix="1">
    <nc r="F397" t="inlineStr">
      <is>
        <t>rb.as.honda.esp.tgva.app.dcom</t>
      </is>
    </nc>
  </rcc>
  <rcc rId="3444" sId="2" quotePrefix="1">
    <nc r="F398" t="inlineStr">
      <is>
        <t>rb.as.honda.esp.tgva.app.dcom</t>
      </is>
    </nc>
  </rcc>
  <rcc rId="3445" sId="2" quotePrefix="1">
    <nc r="F399" t="inlineStr">
      <is>
        <t>rb.as.honda.esp.tgva.app.dcom</t>
      </is>
    </nc>
  </rcc>
  <rcc rId="3446" sId="2" quotePrefix="1">
    <nc r="F400" t="inlineStr">
      <is>
        <t>rb.as.honda.esp.tgva.app.dcom</t>
      </is>
    </nc>
  </rcc>
  <rcc rId="3447" sId="2" quotePrefix="1">
    <nc r="F401" t="inlineStr">
      <is>
        <t>rb.as.honda.esp.tgva.app.dcom</t>
      </is>
    </nc>
  </rcc>
  <rcc rId="3448" sId="2" quotePrefix="1">
    <nc r="F402" t="inlineStr">
      <is>
        <t>rb.as.honda.esp.tgva.app.dcom</t>
      </is>
    </nc>
  </rcc>
  <rcc rId="3449" sId="2" quotePrefix="1">
    <nc r="F403" t="inlineStr">
      <is>
        <t>rb.as.honda.esp.tgva.app.dcom</t>
      </is>
    </nc>
  </rcc>
  <rcc rId="3450" sId="2" quotePrefix="1">
    <nc r="F404" t="inlineStr">
      <is>
        <t>rb.as.honda.esp.tgva.app.dcom</t>
      </is>
    </nc>
  </rcc>
  <rcc rId="3451" sId="2" quotePrefix="1">
    <nc r="F405" t="inlineStr">
      <is>
        <t>rb.as.honda.esp.tgva.app.dcom</t>
      </is>
    </nc>
  </rcc>
  <rcc rId="3452" sId="2" quotePrefix="1">
    <nc r="F406" t="inlineStr">
      <is>
        <t>rb.as.honda.esp.tgva.app.dcom</t>
      </is>
    </nc>
  </rcc>
  <rcc rId="3453" sId="2" quotePrefix="1">
    <nc r="F407" t="inlineStr">
      <is>
        <t>rb.as.honda.esp.tgva.app.dcom</t>
      </is>
    </nc>
  </rcc>
  <rcc rId="3454" sId="2" quotePrefix="1">
    <nc r="F408" t="inlineStr">
      <is>
        <t>rb.as.honda.esp.tgva.app.dcom</t>
      </is>
    </nc>
  </rcc>
  <rcc rId="3455" sId="2" quotePrefix="1">
    <nc r="F409" t="inlineStr">
      <is>
        <t>rb.as.honda.esp.tgva.app.dcom</t>
      </is>
    </nc>
  </rcc>
  <rcc rId="3456" sId="2" quotePrefix="1">
    <nc r="F410" t="inlineStr">
      <is>
        <t>rb.as.honda.esp.tgva.app.dcom</t>
      </is>
    </nc>
  </rcc>
  <rcc rId="3457" sId="2" quotePrefix="1">
    <nc r="F411" t="inlineStr">
      <is>
        <t>rb.as.honda.esp.tgva.app.dcom</t>
      </is>
    </nc>
  </rcc>
  <rcc rId="3458" sId="2" quotePrefix="1">
    <nc r="F412" t="inlineStr">
      <is>
        <t>rb.as.honda.esp.tgva.app.dcom</t>
      </is>
    </nc>
  </rcc>
  <rcc rId="3459" sId="2" quotePrefix="1">
    <nc r="F413" t="inlineStr">
      <is>
        <t>rb.as.honda.esp.tgva.app.dcom</t>
      </is>
    </nc>
  </rcc>
  <rcc rId="3460" sId="2" quotePrefix="1">
    <nc r="F414" t="inlineStr">
      <is>
        <t>rb.as.honda.esp.tgva.app.dcom</t>
      </is>
    </nc>
  </rcc>
  <rcc rId="3461" sId="2" quotePrefix="1">
    <nc r="F415" t="inlineStr">
      <is>
        <t>rb.as.honda.esp.tgva.app.dcom_core</t>
      </is>
    </nc>
  </rcc>
  <rcc rId="3462" sId="2" quotePrefix="1">
    <nc r="F416" t="inlineStr">
      <is>
        <t>rb.as.honda.esp.tgva.app.dcom_core</t>
      </is>
    </nc>
  </rcc>
  <rcc rId="3463" sId="2" quotePrefix="1">
    <nc r="F417" t="inlineStr">
      <is>
        <t>rb.as.honda.cmp.app.asw.custtarball</t>
      </is>
    </nc>
  </rcc>
  <rcc rId="3464" sId="2" quotePrefix="1">
    <nc r="F418" t="inlineStr">
      <is>
        <t>rb.as.honda.cmp.app.asw.custtarball</t>
      </is>
    </nc>
  </rcc>
  <rcc rId="3465" sId="2" quotePrefix="1">
    <nc r="F419" t="inlineStr">
      <is>
        <t>rb.as.honda.cmp.app.asw.custtarball</t>
      </is>
    </nc>
  </rcc>
  <rcc rId="3466" sId="2" quotePrefix="1">
    <nc r="F420" t="inlineStr">
      <is>
        <t>rb.as.honda.cmp.app.asw.custtarball</t>
      </is>
    </nc>
  </rcc>
  <rcc rId="3467" sId="2" quotePrefix="1">
    <nc r="F421" t="inlineStr">
      <is>
        <t>rb.as.honda.core.app.asw.AcmESPiB_DS10</t>
      </is>
    </nc>
  </rcc>
  <rcc rId="3468" sId="2" quotePrefix="1">
    <nc r="F422" t="inlineStr">
      <is>
        <t>rb.as.honda.core.app.asw.apbmi</t>
      </is>
    </nc>
  </rcc>
  <rcc rId="3469" sId="2" quotePrefix="1">
    <nc r="F423" t="inlineStr">
      <is>
        <t>rb.as.honda.core.app.asw.apbmi</t>
      </is>
    </nc>
  </rcc>
  <rcc rId="3470" sId="2" quotePrefix="1">
    <nc r="F424" t="inlineStr">
      <is>
        <t>rb.as.honda.core.app.asw.pata</t>
      </is>
    </nc>
  </rcc>
  <rcc rId="3471" sId="2" quotePrefix="1">
    <nc r="F425" t="inlineStr">
      <is>
        <t>rb.as.honda.core.app.asw.pata</t>
      </is>
    </nc>
  </rcc>
  <rcc rId="3472" sId="2" quotePrefix="1">
    <nc r="F426" t="inlineStr">
      <is>
        <t>rb.as.honda.core.app.asw.pata</t>
      </is>
    </nc>
  </rcc>
  <rcc rId="3473" sId="2" quotePrefix="1">
    <nc r="F427" t="inlineStr">
      <is>
        <t>rb.as.honda.core.app.asw.pata</t>
      </is>
    </nc>
  </rcc>
  <rcc rId="3474" sId="2" quotePrefix="1">
    <nc r="F428" t="inlineStr">
      <is>
        <t>rb.as.honda.core.app.asw.pata</t>
      </is>
    </nc>
  </rcc>
  <rcc rId="3475" sId="2" quotePrefix="1">
    <nc r="F429" t="inlineStr">
      <is>
        <t>rb.as.honda.core.app.asw.pata</t>
      </is>
    </nc>
  </rcc>
  <rcc rId="3476" sId="2" quotePrefix="1">
    <nc r="F430" t="inlineStr">
      <is>
        <t>rb.as.honda.core.app.asw.pata</t>
      </is>
    </nc>
  </rcc>
  <rcc rId="3477" sId="2" quotePrefix="1">
    <nc r="F431" t="inlineStr">
      <is>
        <t>rb.as.honda.core.app.asw.pata</t>
      </is>
    </nc>
  </rcc>
  <rcc rId="3478" sId="2" quotePrefix="1">
    <nc r="F432" t="inlineStr">
      <is>
        <t>rb.as.honda.core.app.asw.pata</t>
      </is>
    </nc>
  </rcc>
  <rcc rId="3479" sId="2" quotePrefix="1">
    <nc r="F433" t="inlineStr">
      <is>
        <t>rb.as.honda.core.app.asw.pata</t>
      </is>
    </nc>
  </rcc>
  <rcc rId="3480" sId="2" quotePrefix="1">
    <nc r="F434" t="inlineStr">
      <is>
        <t>rb.as.honda.core.app.asw.pata</t>
      </is>
    </nc>
  </rcc>
  <rcc rId="3481" sId="2" quotePrefix="1">
    <nc r="F435" t="inlineStr">
      <is>
        <t>rb.as.honda.core.app.asw.pata</t>
      </is>
    </nc>
  </rcc>
  <rcc rId="3482" sId="2" quotePrefix="1">
    <nc r="F436" t="inlineStr">
      <is>
        <t>rb.as.honda.core.app.asw.pata</t>
      </is>
    </nc>
  </rcc>
  <rcc rId="3483" sId="2" quotePrefix="1">
    <nc r="F437" t="inlineStr">
      <is>
        <t>rb.as.honda.core.app.asw.pata</t>
      </is>
    </nc>
  </rcc>
  <rcc rId="3484" sId="2" quotePrefix="1">
    <nc r="F438" t="inlineStr">
      <is>
        <t>rb.as.honda.core.app.asw.pata</t>
      </is>
    </nc>
  </rcc>
  <rcc rId="3485" sId="2" quotePrefix="1">
    <nc r="F439" t="inlineStr">
      <is>
        <t>rb.as.honda.core.app.asw.pata</t>
      </is>
    </nc>
  </rcc>
  <rcc rId="3486" sId="2" quotePrefix="1">
    <nc r="F440" t="inlineStr">
      <is>
        <t>rb.as.honda.core.app.asw.pata</t>
      </is>
    </nc>
  </rcc>
  <rcc rId="3487" sId="2" quotePrefix="1">
    <nc r="F441" t="inlineStr">
      <is>
        <t>rb.as.honda.core.app.asw.pata</t>
      </is>
    </nc>
  </rcc>
  <rcc rId="3488" sId="2" quotePrefix="1">
    <nc r="F442" t="inlineStr">
      <is>
        <t>rb.as.honda.core.app.asw.pata</t>
      </is>
    </nc>
  </rcc>
  <rcc rId="3489" sId="2" quotePrefix="1">
    <nc r="F443" t="inlineStr">
      <is>
        <t>rb.as.honda.core.app.asw.pata</t>
      </is>
    </nc>
  </rcc>
  <rcc rId="3490" sId="2" quotePrefix="1">
    <nc r="F444" t="inlineStr">
      <is>
        <t>rb.as.honda.core.app.asw.pata</t>
      </is>
    </nc>
  </rcc>
  <rcc rId="3491" sId="2" quotePrefix="1">
    <nc r="F445" t="inlineStr">
      <is>
        <t>rb.as.honda.core.app.asw.pata</t>
      </is>
    </nc>
  </rcc>
  <rcc rId="3492" sId="2" quotePrefix="1">
    <nc r="F446" t="inlineStr">
      <is>
        <t>rb.as.honda.core.app.asw.pata</t>
      </is>
    </nc>
  </rcc>
  <rcc rId="3493" sId="2" quotePrefix="1">
    <nc r="F447" t="inlineStr">
      <is>
        <t>rb.as.honda.core.app.asw.pata</t>
      </is>
    </nc>
  </rcc>
  <rcc rId="3494" sId="2" numFmtId="14">
    <nc r="AH433">
      <v>0.89500000000000002</v>
    </nc>
  </rcc>
  <rcc rId="3495" sId="2" numFmtId="14">
    <nc r="AI433">
      <v>0.89500000000000002</v>
    </nc>
  </rcc>
  <rcc rId="3496" sId="2">
    <nc r="AJ433" t="inlineStr">
      <is>
        <t>NA</t>
      </is>
    </nc>
  </rcc>
  <rcc rId="3497" sId="2" odxf="1" dxf="1" quotePrefix="1">
    <nc r="AL433" t="inlineStr">
      <is>
        <t xml:space="preserve">In ASCET6, Unable to cover all interpolation types for 1D/2D parameters  </t>
      </is>
    </nc>
    <odxf>
      <font>
        <sz val="11"/>
        <color theme="1"/>
        <name val="Calibri"/>
        <scheme val="minor"/>
      </font>
    </odxf>
    <ndxf>
      <font>
        <sz val="10"/>
        <color auto="1"/>
        <name val="Arial"/>
        <scheme val="none"/>
      </font>
    </ndxf>
  </rcc>
  <rfmt sheetId="2" sqref="AL390" start="0" length="0">
    <dxf>
      <alignment wrapText="1" readingOrder="0"/>
    </dxf>
  </rfmt>
  <rfmt sheetId="2" sqref="AL390">
    <dxf>
      <alignment wrapText="0" readingOrder="0"/>
    </dxf>
  </rfmt>
  <rcc rId="3498" sId="2" numFmtId="14">
    <nc r="AH434">
      <v>0.89500000000000002</v>
    </nc>
  </rcc>
  <rcc rId="3499" sId="2" numFmtId="14">
    <nc r="AI434">
      <v>0.89500000000000002</v>
    </nc>
  </rcc>
  <rcc rId="3500" sId="2">
    <nc r="AJ434" t="inlineStr">
      <is>
        <t>NA</t>
      </is>
    </nc>
  </rcc>
  <rcc rId="3501" sId="2" odxf="1" s="1" dxf="1" quotePrefix="1">
    <nc r="AL434" t="inlineStr">
      <is>
        <t xml:space="preserve">In ASCET6, Unable to cover all interpolation types for 1D/2D parameters  </t>
      </is>
    </nc>
    <o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auto="1"/>
        <name val="Arial"/>
        <scheme val="none"/>
      </font>
    </ndxf>
  </rcc>
  <rfmt sheetId="2" sqref="AL390" start="0" length="0">
    <dxf>
      <alignment wrapText="1" readingOrder="0"/>
    </dxf>
  </rfmt>
  <rfmt sheetId="2" sqref="AL390">
    <dxf>
      <alignment wrapText="0" readingOrder="0"/>
    </dxf>
  </rfmt>
  <rcc rId="3502" sId="2" numFmtId="14">
    <nc r="AH435">
      <v>0.89500000000000002</v>
    </nc>
  </rcc>
  <rcc rId="3503" sId="2" numFmtId="14">
    <nc r="AI435">
      <v>0.89500000000000002</v>
    </nc>
  </rcc>
  <rcc rId="3504" sId="2">
    <nc r="AJ435" t="inlineStr">
      <is>
        <t>NA</t>
      </is>
    </nc>
  </rcc>
  <rcc rId="3505" sId="2" odxf="1" dxf="1" quotePrefix="1">
    <nc r="AL435" t="inlineStr">
      <is>
        <t xml:space="preserve">In ASCET6, Unable to cover all interpolation types for 1D/2D parameters  </t>
      </is>
    </nc>
    <odxf>
      <font>
        <sz val="11"/>
        <color theme="1"/>
        <name val="Calibri"/>
        <scheme val="minor"/>
      </font>
    </odxf>
    <ndxf>
      <font>
        <sz val="10"/>
        <color auto="1"/>
        <name val="Arial"/>
        <scheme val="none"/>
      </font>
    </ndxf>
  </rcc>
  <rcc rId="3506" sId="2">
    <nc r="AA406" t="inlineStr">
      <is>
        <t>Ready for review</t>
      </is>
    </nc>
  </rcc>
  <rcc rId="3507" sId="2" odxf="1" dxf="1">
    <nc r="AA407" t="inlineStr">
      <is>
        <t>Ready for review</t>
      </is>
    </nc>
    <odxf/>
    <ndxf/>
  </rcc>
  <rcc rId="3508" sId="2" odxf="1" dxf="1">
    <nc r="AA408" t="inlineStr">
      <is>
        <t>Ready for review</t>
      </is>
    </nc>
    <odxf/>
    <ndxf/>
  </rcc>
  <rcc rId="3509" sId="2" odxf="1" dxf="1">
    <nc r="AA409" t="inlineStr">
      <is>
        <t>Ready for review</t>
      </is>
    </nc>
    <odxf/>
    <ndxf/>
  </rcc>
  <rcc rId="3510" sId="2" odxf="1" dxf="1">
    <nc r="AA410" t="inlineStr">
      <is>
        <t>Ready for review</t>
      </is>
    </nc>
    <odxf/>
    <ndxf/>
  </rcc>
  <rcc rId="3511" sId="2" odxf="1" dxf="1">
    <nc r="AA411" t="inlineStr">
      <is>
        <t>Ready for review</t>
      </is>
    </nc>
    <odxf/>
    <ndxf/>
  </rcc>
  <rcc rId="3512" sId="2" odxf="1" dxf="1">
    <nc r="AA412" t="inlineStr">
      <is>
        <t>Ready for review</t>
      </is>
    </nc>
    <odxf/>
    <ndxf/>
  </rcc>
  <rcc rId="3513" sId="2" odxf="1" dxf="1">
    <nc r="AA413" t="inlineStr">
      <is>
        <t>Ready for review</t>
      </is>
    </nc>
    <odxf/>
    <ndxf/>
  </rcc>
  <rcc rId="3514" sId="2" odxf="1" dxf="1">
    <nc r="AA414" t="inlineStr">
      <is>
        <t>Ready for review</t>
      </is>
    </nc>
    <odxf/>
    <ndxf/>
  </rcc>
  <rcc rId="3515" sId="2">
    <nc r="AA417" t="inlineStr">
      <is>
        <t>Ready for review</t>
      </is>
    </nc>
  </rcc>
  <rcc rId="3516" sId="2">
    <nc r="AA418" t="inlineStr">
      <is>
        <t>Ready for review</t>
      </is>
    </nc>
  </rcc>
  <rcc rId="3517" sId="2">
    <nc r="AA419" t="inlineStr">
      <is>
        <t>Ready for review</t>
      </is>
    </nc>
  </rcc>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Merged_JOEM!$B$59:$AN$512</formula>
    <oldFormula>Merged_JOEM!$B$59:$AN$512</oldFormula>
  </rdn>
  <rcv guid="{7ECC2B8E-6A82-42F5-8AB0-4A51C54EA5EC}" action="add"/>
</revisions>
</file>

<file path=xl/revisions/revisionLog2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520" sId="1">
    <oc r="U213" t="inlineStr">
      <is>
        <t>No</t>
      </is>
    </oc>
    <nc r="U213" t="inlineStr">
      <is>
        <t>Yes</t>
      </is>
    </nc>
  </rcc>
  <rcc rId="3521" sId="1">
    <oc r="U209" t="inlineStr">
      <is>
        <t>No</t>
      </is>
    </oc>
    <nc r="U209" t="inlineStr">
      <is>
        <t>Yes</t>
      </is>
    </nc>
  </rcc>
  <rcc rId="3522" sId="1">
    <oc r="AA207" t="inlineStr">
      <is>
        <t>Ready for review</t>
      </is>
    </oc>
    <nc r="AA207" t="inlineStr">
      <is>
        <t>Ready for PLC</t>
      </is>
    </nc>
  </rcc>
  <rcc rId="3523" sId="1">
    <oc r="AA208" t="inlineStr">
      <is>
        <t>Ready for review</t>
      </is>
    </oc>
    <nc r="AA208" t="inlineStr">
      <is>
        <t>Ready for PLC</t>
      </is>
    </nc>
  </rcc>
  <rcc rId="3524" sId="1">
    <oc r="AA209" t="inlineStr">
      <is>
        <t>Ready for review</t>
      </is>
    </oc>
    <nc r="AA209" t="inlineStr">
      <is>
        <t>Ready for PLC</t>
      </is>
    </nc>
  </rcc>
  <rcc rId="3525" sId="1">
    <oc r="AA210" t="inlineStr">
      <is>
        <t>Ready for review</t>
      </is>
    </oc>
    <nc r="AA210" t="inlineStr">
      <is>
        <t>Ready for PLC</t>
      </is>
    </nc>
  </rcc>
  <rcc rId="3526" sId="1">
    <oc r="AA213" t="inlineStr">
      <is>
        <t>Ready for review</t>
      </is>
    </oc>
    <nc r="AA213" t="inlineStr">
      <is>
        <t>Ready for PLC</t>
      </is>
    </nc>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529" sId="1">
    <oc r="U210" t="inlineStr">
      <is>
        <t>No</t>
      </is>
    </oc>
    <nc r="U210" t="inlineStr">
      <is>
        <t>Yes</t>
      </is>
    </nc>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Merged_JOEM!$B$59:$AN$512</formula>
    <oldFormula>Merged_JOEM!$B$59:$AN$512</oldFormula>
  </rdn>
  <rcv guid="{7E0EA425-A420-4443-B9E0-CDF0AA9E5D09}" action="add"/>
</revisions>
</file>

<file path=xl/revisions/revisionLog2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538" sId="2" numFmtId="14">
    <nc r="AH436">
      <v>0.89500000000000002</v>
    </nc>
  </rcc>
  <rcc rId="3539" sId="2" numFmtId="14">
    <nc r="AI436">
      <v>0.89500000000000002</v>
    </nc>
  </rcc>
  <rcc rId="3540" sId="2">
    <nc r="AJ436" t="inlineStr">
      <is>
        <t>NA</t>
      </is>
    </nc>
  </rcc>
  <rcc rId="3541" sId="2" odxf="1" dxf="1" quotePrefix="1">
    <nc r="AL436" t="inlineStr">
      <is>
        <t xml:space="preserve">In ASCET6, Unable to cover all interpolation types for 1D/2D parameters  </t>
      </is>
    </nc>
    <odxf>
      <font>
        <sz val="11"/>
        <color theme="1"/>
        <name val="Calibri"/>
        <scheme val="minor"/>
      </font>
    </odxf>
    <ndxf>
      <font>
        <sz val="10"/>
        <color auto="1"/>
        <name val="Arial"/>
        <scheme val="none"/>
      </font>
    </ndxf>
  </rcc>
  <rcc rId="3542" sId="2" numFmtId="19">
    <nc r="AE431">
      <v>44083</v>
    </nc>
  </rcc>
  <rcc rId="3543" sId="2" numFmtId="19">
    <nc r="AF431">
      <v>44083</v>
    </nc>
  </rcc>
  <rcc rId="3544" sId="2">
    <nc r="AG431" t="inlineStr">
      <is>
        <t>OK</t>
      </is>
    </nc>
  </rcc>
  <rcc rId="3545" sId="2" numFmtId="19">
    <nc r="AE432">
      <v>44083</v>
    </nc>
  </rcc>
  <rcc rId="3546" sId="2" numFmtId="19">
    <nc r="AF432">
      <v>44083</v>
    </nc>
  </rcc>
  <rcc rId="3547" sId="2">
    <nc r="AG432" t="inlineStr">
      <is>
        <t>OK</t>
      </is>
    </nc>
  </rcc>
  <rcc rId="3548" sId="2" numFmtId="19">
    <nc r="AE433">
      <v>44083</v>
    </nc>
  </rcc>
  <rcc rId="3549" sId="2" numFmtId="19">
    <nc r="AF433">
      <v>44083</v>
    </nc>
  </rcc>
  <rcc rId="3550" sId="2">
    <nc r="AG433" t="inlineStr">
      <is>
        <t>OK</t>
      </is>
    </nc>
  </rcc>
  <rcc rId="3551" sId="2" numFmtId="19">
    <nc r="AE434">
      <v>44083</v>
    </nc>
  </rcc>
  <rcc rId="3552" sId="2" numFmtId="19">
    <nc r="AF434">
      <v>44083</v>
    </nc>
  </rcc>
  <rcc rId="3553" sId="2">
    <nc r="AG434" t="inlineStr">
      <is>
        <t>OK</t>
      </is>
    </nc>
  </rcc>
  <rcc rId="3554" sId="2" numFmtId="19">
    <nc r="AE435">
      <v>44083</v>
    </nc>
  </rcc>
  <rcc rId="3555" sId="2" numFmtId="19">
    <nc r="AF435">
      <v>44083</v>
    </nc>
  </rcc>
  <rcc rId="3556" sId="2">
    <nc r="AG435" t="inlineStr">
      <is>
        <t>OK</t>
      </is>
    </nc>
  </rcc>
  <rcc rId="3557" sId="2" numFmtId="19">
    <nc r="AE436">
      <v>44083</v>
    </nc>
  </rcc>
  <rcc rId="3558" sId="2" numFmtId="19">
    <nc r="AF436">
      <v>44083</v>
    </nc>
  </rcc>
  <rcc rId="3559" sId="2">
    <nc r="AG436" t="inlineStr">
      <is>
        <t>OK</t>
      </is>
    </nc>
  </rcc>
  <rcc rId="3560" sId="2">
    <nc r="AA368" t="inlineStr">
      <is>
        <t>Ready for review</t>
      </is>
    </nc>
  </rcc>
  <rcc rId="3561" sId="2">
    <nc r="AA369" t="inlineStr">
      <is>
        <t>Ready for review</t>
      </is>
    </nc>
  </rcc>
  <rcc rId="3562" sId="2">
    <nc r="AA388" t="inlineStr">
      <is>
        <t>Ready for review</t>
      </is>
    </nc>
  </rcc>
  <rcc rId="3563" sId="2">
    <nc r="AA389" t="inlineStr">
      <is>
        <t>Ready for review</t>
      </is>
    </nc>
  </rcc>
  <rcc rId="3564" sId="2">
    <nc r="AA390" t="inlineStr">
      <is>
        <t>Ready for review</t>
      </is>
    </nc>
  </rcc>
  <rcc rId="3565" sId="2" odxf="1" dxf="1">
    <nc r="AA431" t="inlineStr">
      <is>
        <t>Ready for review</t>
      </is>
    </nc>
    <odxf/>
    <ndxf/>
  </rcc>
  <rcc rId="3566" sId="2" odxf="1" dxf="1">
    <nc r="AA432" t="inlineStr">
      <is>
        <t>Ready for review</t>
      </is>
    </nc>
    <odxf/>
    <ndxf/>
  </rcc>
  <rcc rId="3567" sId="2" odxf="1" dxf="1">
    <nc r="AA433" t="inlineStr">
      <is>
        <t>Ready for review</t>
      </is>
    </nc>
    <odxf/>
    <ndxf/>
  </rcc>
  <rcc rId="3568" sId="2" odxf="1" dxf="1">
    <nc r="AA434" t="inlineStr">
      <is>
        <t>Ready for review</t>
      </is>
    </nc>
    <odxf/>
    <ndxf/>
  </rcc>
  <rcc rId="3569" sId="2" odxf="1" dxf="1">
    <nc r="AA435" t="inlineStr">
      <is>
        <t>Ready for review</t>
      </is>
    </nc>
    <odxf/>
    <ndxf/>
  </rcc>
  <rcc rId="3570" sId="2" odxf="1" dxf="1">
    <nc r="AA436" t="inlineStr">
      <is>
        <t>Ready for review</t>
      </is>
    </nc>
    <odxf/>
    <ndxf/>
  </rcc>
  <rcc rId="3571" sId="2">
    <nc r="AK367" t="inlineStr">
      <is>
        <t>None</t>
      </is>
    </nc>
  </rcc>
  <rcc rId="3572" sId="2">
    <nc r="AK368" t="inlineStr">
      <is>
        <t>None</t>
      </is>
    </nc>
  </rcc>
  <rcc rId="3573" sId="2">
    <nc r="AK369" t="inlineStr">
      <is>
        <t>None</t>
      </is>
    </nc>
  </rcc>
  <rcc rId="3574" sId="2">
    <nc r="AK388" t="inlineStr">
      <is>
        <t>None</t>
      </is>
    </nc>
  </rcc>
  <rcc rId="3575" sId="2">
    <nc r="AK389" t="inlineStr">
      <is>
        <t>None</t>
      </is>
    </nc>
  </rcc>
  <rcc rId="3576" sId="2">
    <nc r="AK431" t="inlineStr">
      <is>
        <t>None</t>
      </is>
    </nc>
  </rcc>
  <rcc rId="3577" sId="2">
    <nc r="AK432" t="inlineStr">
      <is>
        <t>None</t>
      </is>
    </nc>
  </rcc>
  <rcc rId="3578" sId="2">
    <nc r="AK433" t="inlineStr">
      <is>
        <t>None</t>
      </is>
    </nc>
  </rcc>
  <rcc rId="3579" sId="2">
    <nc r="AK434" t="inlineStr">
      <is>
        <t>None</t>
      </is>
    </nc>
  </rcc>
  <rcc rId="3580" sId="2">
    <nc r="AK435" t="inlineStr">
      <is>
        <t>None</t>
      </is>
    </nc>
  </rcc>
  <rcc rId="3581" sId="2">
    <nc r="AK436" t="inlineStr">
      <is>
        <t>None</t>
      </is>
    </nc>
  </rcc>
  <rcc rId="3582" sId="2">
    <oc r="AN389" t="inlineStr">
      <is>
        <t>Mail late</t>
      </is>
    </oc>
    <nc r="AN389"/>
  </rcc>
  <rcc rId="3583" sId="2">
    <nc r="AK390" t="inlineStr">
      <is>
        <t>OPL</t>
      </is>
    </nc>
  </rcc>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Merged_JOEM!$B$59:$AN$512</formula>
    <oldFormula>Merged_JOEM!$B$59:$AN$512</oldFormula>
  </rdn>
  <rcv guid="{7ECC2B8E-6A82-42F5-8AB0-4A51C54EA5EC}" action="add"/>
</revisions>
</file>

<file path=xl/revisions/revisionLog2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586" sId="2">
    <nc r="AA428" t="inlineStr">
      <is>
        <t>Ready for review</t>
      </is>
    </nc>
  </rcc>
  <rcc rId="3587" sId="2">
    <nc r="AA429" t="inlineStr">
      <is>
        <t>Ready for review</t>
      </is>
    </nc>
  </rcc>
  <rfmt sheetId="5" sqref="I179:I180">
    <dxf>
      <fill>
        <patternFill patternType="solid">
          <bgColor rgb="FFC6EFCE"/>
        </patternFill>
      </fill>
    </dxf>
  </rfmt>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Merged_JOEM!$B$59:$AN$512</formula>
    <oldFormula>Merged_JOEM!$B$59:$AN$512</oldFormula>
  </rdn>
  <rcv guid="{7ECC2B8E-6A82-42F5-8AB0-4A51C54EA5EC}" action="add"/>
</revisions>
</file>

<file path=xl/revisions/revisionLog2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M501" start="0" length="0">
    <dxf>
      <alignment horizontal="left" readingOrder="0"/>
    </dxf>
  </rfmt>
  <rfmt sheetId="2" sqref="AN501" start="0" length="0">
    <dxf>
      <alignment horizontal="left" readingOrder="0"/>
    </dxf>
  </rfmt>
  <rfmt sheetId="2" sqref="I504" start="0" length="0">
    <dxf>
      <fill>
        <patternFill patternType="none">
          <bgColor indexed="65"/>
        </patternFill>
      </fill>
    </dxf>
  </rfmt>
  <rfmt sheetId="2" sqref="I505" start="0" length="0">
    <dxf>
      <fill>
        <patternFill patternType="none">
          <bgColor indexed="65"/>
        </patternFill>
      </fill>
    </dxf>
  </rfmt>
  <rfmt sheetId="2" sqref="G507" start="0" length="0">
    <dxf>
      <fill>
        <patternFill patternType="solid">
          <bgColor theme="0" tint="-0.499984740745262"/>
        </patternFill>
      </fill>
    </dxf>
  </rfmt>
  <rfmt sheetId="2" sqref="K507" start="0" length="0">
    <dxf>
      <fill>
        <patternFill patternType="solid">
          <bgColor theme="0" tint="-0.499984740745262"/>
        </patternFill>
      </fill>
    </dxf>
  </rfmt>
  <rfmt sheetId="2" sqref="M507" start="0" length="0">
    <dxf>
      <fill>
        <patternFill patternType="solid">
          <bgColor theme="0" tint="-0.499984740745262"/>
        </patternFill>
      </fill>
    </dxf>
  </rfmt>
  <rfmt sheetId="2" sqref="Q507" start="0" length="0">
    <dxf>
      <fill>
        <patternFill patternType="solid">
          <bgColor rgb="FFFFFF00"/>
        </patternFill>
      </fill>
    </dxf>
  </rfmt>
  <rfmt sheetId="2" sqref="AL507" start="0" length="0">
    <dxf/>
  </rfmt>
  <rfmt sheetId="2" sqref="AM507" start="0" length="0">
    <dxf/>
  </rfmt>
  <rfmt sheetId="2" sqref="AN507" start="0" length="0">
    <dxf/>
  </rfmt>
  <rfmt sheetId="2" sqref="G508" start="0" length="0">
    <dxf>
      <fill>
        <patternFill patternType="solid">
          <bgColor theme="0" tint="-0.499984740745262"/>
        </patternFill>
      </fill>
    </dxf>
  </rfmt>
  <rfmt sheetId="2" sqref="K508" start="0" length="0">
    <dxf>
      <fill>
        <patternFill patternType="solid">
          <bgColor theme="0" tint="-0.499984740745262"/>
        </patternFill>
      </fill>
    </dxf>
  </rfmt>
  <rfmt sheetId="2" sqref="M508" start="0" length="0">
    <dxf>
      <fill>
        <patternFill patternType="solid">
          <bgColor theme="0" tint="-0.499984740745262"/>
        </patternFill>
      </fill>
    </dxf>
  </rfmt>
  <rfmt sheetId="2" sqref="Q508" start="0" length="0">
    <dxf>
      <fill>
        <patternFill patternType="solid">
          <bgColor rgb="FFFFFF00"/>
        </patternFill>
      </fill>
    </dxf>
  </rfmt>
  <rfmt sheetId="2" sqref="AL508" start="0" length="0">
    <dxf/>
  </rfmt>
  <rfmt sheetId="2" sqref="AM508" start="0" length="0">
    <dxf/>
  </rfmt>
  <rfmt sheetId="2" sqref="AN508" start="0" length="0">
    <dxf/>
  </rfmt>
  <rfmt sheetId="2" sqref="G509" start="0" length="0">
    <dxf>
      <fill>
        <patternFill patternType="solid">
          <bgColor theme="0" tint="-0.499984740745262"/>
        </patternFill>
      </fill>
    </dxf>
  </rfmt>
  <rfmt sheetId="2" sqref="K509" start="0" length="0">
    <dxf>
      <fill>
        <patternFill patternType="solid">
          <bgColor theme="0" tint="-0.499984740745262"/>
        </patternFill>
      </fill>
    </dxf>
  </rfmt>
  <rfmt sheetId="2" sqref="M509" start="0" length="0">
    <dxf>
      <fill>
        <patternFill patternType="solid">
          <bgColor theme="0" tint="-0.499984740745262"/>
        </patternFill>
      </fill>
    </dxf>
  </rfmt>
  <rfmt sheetId="2" sqref="Q509" start="0" length="0">
    <dxf>
      <fill>
        <patternFill patternType="solid">
          <bgColor rgb="FFFFFF00"/>
        </patternFill>
      </fill>
    </dxf>
  </rfmt>
  <rfmt sheetId="2" sqref="AL509" start="0" length="0">
    <dxf/>
  </rfmt>
  <rfmt sheetId="2" sqref="AM509" start="0" length="0">
    <dxf/>
  </rfmt>
  <rfmt sheetId="2" sqref="AN509" start="0" length="0">
    <dxf/>
  </rfmt>
  <rfmt sheetId="2" sqref="G510" start="0" length="0">
    <dxf>
      <fill>
        <patternFill patternType="solid">
          <bgColor theme="0" tint="-0.499984740745262"/>
        </patternFill>
      </fill>
    </dxf>
  </rfmt>
  <rfmt sheetId="2" sqref="K510" start="0" length="0">
    <dxf>
      <fill>
        <patternFill patternType="solid">
          <bgColor theme="0" tint="-0.499984740745262"/>
        </patternFill>
      </fill>
    </dxf>
  </rfmt>
  <rfmt sheetId="2" sqref="M510" start="0" length="0">
    <dxf>
      <fill>
        <patternFill patternType="solid">
          <bgColor theme="0" tint="-0.499984740745262"/>
        </patternFill>
      </fill>
    </dxf>
  </rfmt>
  <rfmt sheetId="2" sqref="Q510" start="0" length="0">
    <dxf>
      <fill>
        <patternFill patternType="solid">
          <bgColor rgb="FFFFFF00"/>
        </patternFill>
      </fill>
    </dxf>
  </rfmt>
  <rfmt sheetId="2" sqref="AL510" start="0" length="0">
    <dxf/>
  </rfmt>
  <rfmt sheetId="2" sqref="AM510" start="0" length="0">
    <dxf/>
  </rfmt>
  <rfmt sheetId="2" sqref="AN510" start="0" length="0">
    <dxf/>
  </rfmt>
  <rfmt sheetId="2" sqref="B511" start="0" length="0">
    <dxf>
      <fill>
        <patternFill patternType="solid">
          <bgColor theme="9" tint="-0.249977111117893"/>
        </patternFill>
      </fill>
    </dxf>
  </rfmt>
  <rfmt sheetId="2" sqref="G511" start="0" length="0">
    <dxf>
      <fill>
        <patternFill patternType="solid">
          <bgColor theme="0" tint="-0.499984740745262"/>
        </patternFill>
      </fill>
    </dxf>
  </rfmt>
  <rfmt sheetId="2" sqref="K511" start="0" length="0">
    <dxf>
      <fill>
        <patternFill patternType="solid">
          <bgColor theme="0" tint="-0.499984740745262"/>
        </patternFill>
      </fill>
    </dxf>
  </rfmt>
  <rfmt sheetId="2" sqref="M511" start="0" length="0">
    <dxf>
      <fill>
        <patternFill patternType="solid">
          <bgColor theme="0" tint="-0.499984740745262"/>
        </patternFill>
      </fill>
    </dxf>
  </rfmt>
  <rfmt sheetId="2" sqref="Q511" start="0" length="0">
    <dxf>
      <fill>
        <patternFill patternType="solid">
          <bgColor rgb="FFFFFF00"/>
        </patternFill>
      </fill>
    </dxf>
  </rfmt>
  <rfmt sheetId="2" sqref="X511" start="0" length="0">
    <dxf/>
  </rfmt>
  <rfmt sheetId="2" sqref="AL511" start="0" length="0">
    <dxf/>
  </rfmt>
  <rfmt sheetId="2" sqref="AM511" start="0" length="0">
    <dxf/>
  </rfmt>
  <rfmt sheetId="2" sqref="AN511" start="0" length="0">
    <dxf/>
  </rfmt>
  <rfmt sheetId="2" sqref="B512" start="0" length="0">
    <dxf>
      <fill>
        <patternFill patternType="solid">
          <bgColor theme="9" tint="-0.249977111117893"/>
        </patternFill>
      </fill>
    </dxf>
  </rfmt>
  <rfmt sheetId="2" sqref="G512" start="0" length="0">
    <dxf>
      <fill>
        <patternFill patternType="solid">
          <bgColor theme="0" tint="-0.499984740745262"/>
        </patternFill>
      </fill>
    </dxf>
  </rfmt>
  <rfmt sheetId="2" sqref="K512" start="0" length="0">
    <dxf>
      <fill>
        <patternFill patternType="solid">
          <bgColor theme="0" tint="-0.499984740745262"/>
        </patternFill>
      </fill>
    </dxf>
  </rfmt>
  <rfmt sheetId="2" sqref="M512" start="0" length="0">
    <dxf>
      <fill>
        <patternFill patternType="solid">
          <bgColor theme="0" tint="-0.499984740745262"/>
        </patternFill>
      </fill>
    </dxf>
  </rfmt>
  <rfmt sheetId="2" sqref="Q512" start="0" length="0">
    <dxf>
      <fill>
        <patternFill patternType="solid">
          <bgColor rgb="FFFFFF00"/>
        </patternFill>
      </fill>
    </dxf>
  </rfmt>
  <rfmt sheetId="2" sqref="AL512" start="0" length="0">
    <dxf/>
  </rfmt>
  <rfmt sheetId="2" sqref="AM512" start="0" length="0">
    <dxf/>
  </rfmt>
  <rfmt sheetId="2" sqref="AN512" start="0" length="0">
    <dxf/>
  </rfmt>
  <rfmt sheetId="2" sqref="B513" start="0" length="0">
    <dxf>
      <fill>
        <patternFill>
          <bgColor theme="9" tint="-0.249977111117893"/>
        </patternFill>
      </fill>
    </dxf>
  </rfmt>
  <rfmt sheetId="2" sqref="B514" start="0" length="0">
    <dxf>
      <fill>
        <patternFill>
          <bgColor theme="9" tint="-0.249977111117893"/>
        </patternFill>
      </fill>
    </dxf>
  </rfmt>
  <rfmt sheetId="2" sqref="E514" start="0" length="0">
    <dxf>
      <fill>
        <patternFill patternType="none">
          <bgColor indexed="65"/>
        </patternFill>
      </fill>
    </dxf>
  </rfmt>
  <rfmt sheetId="2" sqref="F514" start="0" length="0">
    <dxf/>
  </rfmt>
  <rfmt sheetId="2" sqref="G514" start="0" length="0">
    <dxf>
      <fill>
        <patternFill patternType="solid">
          <bgColor theme="0" tint="-0.499984740745262"/>
        </patternFill>
      </fill>
    </dxf>
  </rfmt>
  <rfmt sheetId="2" sqref="K514" start="0" length="0">
    <dxf>
      <fill>
        <patternFill patternType="solid">
          <bgColor theme="0" tint="-0.499984740745262"/>
        </patternFill>
      </fill>
    </dxf>
  </rfmt>
  <rfmt sheetId="2" sqref="L514" start="0" length="0">
    <dxf/>
  </rfmt>
  <rfmt sheetId="2" sqref="M514" start="0" length="0">
    <dxf>
      <fill>
        <patternFill patternType="solid">
          <bgColor theme="0" tint="-0.499984740745262"/>
        </patternFill>
      </fill>
    </dxf>
  </rfmt>
  <rfmt sheetId="2" sqref="N514" start="0" length="0">
    <dxf/>
  </rfmt>
  <rfmt sheetId="2" sqref="O514" start="0" length="0">
    <dxf/>
  </rfmt>
  <rfmt sheetId="2" sqref="P514" start="0" length="0">
    <dxf>
      <numFmt numFmtId="0" formatCode="General"/>
    </dxf>
  </rfmt>
  <rfmt sheetId="2" sqref="B515" start="0" length="0">
    <dxf>
      <fill>
        <patternFill>
          <bgColor theme="9" tint="-0.249977111117893"/>
        </patternFill>
      </fill>
    </dxf>
  </rfmt>
  <rfmt sheetId="2" sqref="B516" start="0" length="0">
    <dxf>
      <fill>
        <patternFill>
          <bgColor theme="9" tint="-0.249977111117893"/>
        </patternFill>
      </fill>
    </dxf>
  </rfmt>
  <rfmt sheetId="2" sqref="Q51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2" sqref="R516" start="0" length="0">
    <dxf>
      <alignment horizontal="left" vertical="top" readingOrder="0"/>
      <border outline="0">
        <left style="thin">
          <color indexed="64"/>
        </left>
        <right style="thin">
          <color indexed="64"/>
        </right>
        <top style="thin">
          <color indexed="64"/>
        </top>
        <bottom style="thin">
          <color indexed="64"/>
        </bottom>
      </border>
    </dxf>
  </rfmt>
  <rfmt sheetId="2" sqref="S516" start="0" length="0">
    <dxf>
      <alignment horizontal="left" vertical="top" readingOrder="0"/>
      <border outline="0">
        <left style="thin">
          <color indexed="64"/>
        </left>
        <right style="thin">
          <color indexed="64"/>
        </right>
        <top style="thin">
          <color indexed="64"/>
        </top>
        <bottom style="thin">
          <color indexed="64"/>
        </bottom>
      </border>
    </dxf>
  </rfmt>
  <rfmt sheetId="2" sqref="T516" start="0" length="0">
    <dxf>
      <alignment horizontal="left" vertical="top" readingOrder="0"/>
      <border outline="0">
        <left style="thin">
          <color indexed="64"/>
        </left>
        <right style="thin">
          <color indexed="64"/>
        </right>
        <top style="thin">
          <color indexed="64"/>
        </top>
        <bottom style="thin">
          <color indexed="64"/>
        </bottom>
      </border>
    </dxf>
  </rfmt>
  <rfmt sheetId="2" sqref="U516" start="0" length="0">
    <dxf>
      <alignment horizontal="left" vertical="top" readingOrder="0"/>
      <border outline="0">
        <left style="thin">
          <color indexed="64"/>
        </left>
        <right style="thin">
          <color indexed="64"/>
        </right>
        <top style="thin">
          <color indexed="64"/>
        </top>
        <bottom style="thin">
          <color indexed="64"/>
        </bottom>
      </border>
    </dxf>
  </rfmt>
  <rfmt sheetId="2" sqref="V516" start="0" length="0">
    <dxf>
      <alignment horizontal="left" vertical="top" readingOrder="0"/>
      <border outline="0">
        <left style="thin">
          <color indexed="64"/>
        </left>
        <right style="thin">
          <color indexed="64"/>
        </right>
        <top style="thin">
          <color indexed="64"/>
        </top>
        <bottom style="thin">
          <color indexed="64"/>
        </bottom>
      </border>
    </dxf>
  </rfmt>
  <rfmt sheetId="2" sqref="W516" start="0" length="0">
    <dxf>
      <alignment horizontal="left" vertical="top" readingOrder="0"/>
      <border outline="0">
        <left style="thin">
          <color indexed="64"/>
        </left>
        <right style="thin">
          <color indexed="64"/>
        </right>
        <top style="thin">
          <color indexed="64"/>
        </top>
        <bottom style="thin">
          <color indexed="64"/>
        </bottom>
      </border>
    </dxf>
  </rfmt>
  <rfmt sheetId="2" sqref="X516" start="0" length="0">
    <dxf>
      <alignment horizontal="left" vertical="top" readingOrder="0"/>
      <border outline="0">
        <left style="thin">
          <color indexed="64"/>
        </left>
        <right style="thin">
          <color indexed="64"/>
        </right>
        <top style="thin">
          <color indexed="64"/>
        </top>
        <bottom style="thin">
          <color indexed="64"/>
        </bottom>
      </border>
    </dxf>
  </rfmt>
  <rfmt sheetId="2" sqref="Y516" start="0" length="0">
    <dxf>
      <alignment horizontal="left" vertical="top" readingOrder="0"/>
      <border outline="0">
        <left style="thin">
          <color indexed="64"/>
        </left>
        <right style="thin">
          <color indexed="64"/>
        </right>
        <top style="thin">
          <color indexed="64"/>
        </top>
        <bottom style="thin">
          <color indexed="64"/>
        </bottom>
      </border>
    </dxf>
  </rfmt>
  <rfmt sheetId="2" sqref="Z516" start="0" length="0">
    <dxf>
      <alignment horizontal="left" vertical="top" readingOrder="0"/>
      <border outline="0">
        <left style="thin">
          <color indexed="64"/>
        </left>
        <right style="thin">
          <color indexed="64"/>
        </right>
        <top style="thin">
          <color indexed="64"/>
        </top>
        <bottom style="thin">
          <color indexed="64"/>
        </bottom>
      </border>
    </dxf>
  </rfmt>
  <rfmt sheetId="2" sqref="AA516" start="0" length="0">
    <dxf>
      <alignment horizontal="left" vertical="top" readingOrder="0"/>
      <border outline="0">
        <left style="thin">
          <color indexed="64"/>
        </left>
        <right style="thin">
          <color indexed="64"/>
        </right>
        <top style="thin">
          <color indexed="64"/>
        </top>
        <bottom style="thin">
          <color indexed="64"/>
        </bottom>
      </border>
    </dxf>
  </rfmt>
  <rfmt sheetId="2" sqref="AB516"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2" sqref="B517" start="0" length="0">
    <dxf>
      <fill>
        <patternFill>
          <bgColor theme="9" tint="-0.249977111117893"/>
        </patternFill>
      </fill>
    </dxf>
  </rfmt>
  <rfmt sheetId="2" sqref="B518" start="0" length="0">
    <dxf>
      <fill>
        <patternFill>
          <bgColor theme="9" tint="-0.249977111117893"/>
        </patternFill>
      </fill>
    </dxf>
  </rfmt>
  <rfmt sheetId="2" sqref="B519" start="0" length="0">
    <dxf>
      <fill>
        <patternFill>
          <bgColor theme="9" tint="-0.249977111117893"/>
        </patternFill>
      </fill>
    </dxf>
  </rfmt>
  <rfmt sheetId="2" sqref="B520" start="0" length="0">
    <dxf>
      <fill>
        <patternFill>
          <bgColor theme="9" tint="-0.249977111117893"/>
        </patternFill>
      </fill>
    </dxf>
  </rfmt>
  <rfmt sheetId="2" sqref="B521" start="0" length="0">
    <dxf>
      <fill>
        <patternFill>
          <bgColor theme="9" tint="-0.249977111117893"/>
        </patternFill>
      </fill>
    </dxf>
  </rfmt>
  <rfmt sheetId="2" sqref="B522" start="0" length="0">
    <dxf>
      <fill>
        <patternFill>
          <bgColor theme="9" tint="-0.249977111117893"/>
        </patternFill>
      </fill>
    </dxf>
  </rfmt>
  <rfmt sheetId="2" sqref="B523" start="0" length="0">
    <dxf>
      <fill>
        <patternFill>
          <bgColor theme="9" tint="-0.249977111117893"/>
        </patternFill>
      </fill>
    </dxf>
  </rfmt>
  <rfmt sheetId="2" sqref="J523" start="0" length="0">
    <dxf>
      <alignment horizontal="left" vertical="top" readingOrder="0"/>
      <border outline="0">
        <left style="thin">
          <color indexed="64"/>
        </left>
        <right style="thin">
          <color indexed="64"/>
        </right>
        <top style="thin">
          <color indexed="64"/>
        </top>
        <bottom style="thin">
          <color indexed="64"/>
        </bottom>
      </border>
    </dxf>
  </rfmt>
  <rfmt sheetId="2" sqref="B524" start="0" length="0">
    <dxf>
      <fill>
        <patternFill>
          <bgColor theme="9" tint="-0.249977111117893"/>
        </patternFill>
      </fill>
    </dxf>
  </rfmt>
  <rfmt sheetId="2" sqref="B525" start="0" length="0">
    <dxf>
      <fill>
        <patternFill>
          <bgColor theme="9" tint="-0.249977111117893"/>
        </patternFill>
      </fill>
    </dxf>
  </rfmt>
  <rfmt sheetId="2" sqref="B526" start="0" length="0">
    <dxf>
      <fill>
        <patternFill>
          <bgColor theme="9" tint="-0.249977111117893"/>
        </patternFill>
      </fill>
    </dxf>
  </rfmt>
  <rfmt sheetId="2" sqref="AB526" start="0" length="0">
    <dxf>
      <numFmt numFmtId="164" formatCode="[$-409]d\-mmm\-yyyy;@"/>
    </dxf>
  </rfmt>
  <rfmt sheetId="2" sqref="B527" start="0" length="0">
    <dxf>
      <fill>
        <patternFill>
          <bgColor theme="9" tint="-0.249977111117893"/>
        </patternFill>
      </fill>
    </dxf>
  </rfmt>
  <rfmt sheetId="2" sqref="AA527" start="0" length="0">
    <dxf/>
  </rfmt>
  <rfmt sheetId="2" sqref="AJ527" start="0" length="0">
    <dxf/>
  </rfmt>
  <rfmt sheetId="2" sqref="B528" start="0" length="0">
    <dxf>
      <fill>
        <patternFill>
          <bgColor theme="9" tint="-0.249977111117893"/>
        </patternFill>
      </fill>
    </dxf>
  </rfmt>
  <rfmt sheetId="2" sqref="B529" start="0" length="0">
    <dxf>
      <fill>
        <patternFill>
          <bgColor theme="9" tint="-0.249977111117893"/>
        </patternFill>
      </fill>
    </dxf>
  </rfmt>
  <rfmt sheetId="2" sqref="B530" start="0" length="0">
    <dxf>
      <fill>
        <patternFill>
          <bgColor theme="9" tint="-0.249977111117893"/>
        </patternFill>
      </fill>
    </dxf>
  </rfmt>
  <rfmt sheetId="2" sqref="AJ530" start="0" length="0">
    <dxf/>
  </rfmt>
  <rfmt sheetId="2" sqref="AM530" start="0" length="0">
    <dxf>
      <alignment horizontal="left" readingOrder="0"/>
    </dxf>
  </rfmt>
  <rfmt sheetId="2" sqref="AN530" start="0" length="0">
    <dxf>
      <alignment horizontal="left" readingOrder="0"/>
    </dxf>
  </rfmt>
  <rfmt sheetId="2" sqref="B531" start="0" length="0">
    <dxf>
      <fill>
        <patternFill>
          <bgColor theme="9" tint="-0.249977111117893"/>
        </patternFill>
      </fill>
    </dxf>
  </rfmt>
  <rfmt sheetId="2" sqref="AJ531" start="0" length="0">
    <dxf/>
  </rfmt>
  <rfmt sheetId="2" sqref="B532" start="0" length="0">
    <dxf>
      <fill>
        <patternFill>
          <bgColor theme="9" tint="-0.249977111117893"/>
        </patternFill>
      </fill>
    </dxf>
  </rfmt>
  <rfmt sheetId="2" sqref="AJ532" start="0" length="0">
    <dxf/>
  </rfmt>
  <rfmt sheetId="2" sqref="AM532" start="0" length="0">
    <dxf/>
  </rfmt>
  <rfmt sheetId="2" sqref="AN532" start="0" length="0">
    <dxf/>
  </rfmt>
  <rfmt sheetId="2" sqref="B533" start="0" length="0">
    <dxf>
      <fill>
        <patternFill>
          <bgColor theme="9" tint="-0.249977111117893"/>
        </patternFill>
      </fill>
    </dxf>
  </rfmt>
  <rfmt sheetId="2" sqref="AJ533" start="0" length="0">
    <dxf/>
  </rfmt>
  <rfmt sheetId="2" sqref="AM533" start="0" length="0">
    <dxf/>
  </rfmt>
  <rfmt sheetId="2" sqref="AN533" start="0" length="0">
    <dxf/>
  </rfmt>
  <rfmt sheetId="2" sqref="B534" start="0" length="0">
    <dxf>
      <fill>
        <patternFill>
          <bgColor theme="9" tint="-0.249977111117893"/>
        </patternFill>
      </fill>
    </dxf>
  </rfmt>
  <rfmt sheetId="2" sqref="I534" start="0" length="0">
    <dxf>
      <alignment horizontal="left" vertical="top" readingOrder="0"/>
      <border outline="0">
        <left style="thin">
          <color indexed="64"/>
        </left>
        <right style="thin">
          <color indexed="64"/>
        </right>
        <top style="thin">
          <color indexed="64"/>
        </top>
        <bottom style="thin">
          <color indexed="64"/>
        </bottom>
      </border>
    </dxf>
  </rfmt>
  <rfmt sheetId="2" sqref="O534" start="0" length="0">
    <dxf>
      <alignment horizontal="left" vertical="top" readingOrder="0"/>
      <border outline="0">
        <left style="thin">
          <color indexed="64"/>
        </left>
        <right style="thin">
          <color indexed="64"/>
        </right>
        <top style="thin">
          <color indexed="64"/>
        </top>
        <bottom style="thin">
          <color indexed="64"/>
        </bottom>
      </border>
    </dxf>
  </rfmt>
  <rfmt sheetId="2" sqref="AJ534" start="0" length="0">
    <dxf/>
  </rfmt>
  <rfmt sheetId="2" sqref="AM534" start="0" length="0">
    <dxf/>
  </rfmt>
  <rfmt sheetId="2" sqref="AN534" start="0" length="0">
    <dxf/>
  </rfmt>
  <rfmt sheetId="2" sqref="B535" start="0" length="0">
    <dxf>
      <fill>
        <patternFill>
          <bgColor theme="9" tint="-0.249977111117893"/>
        </patternFill>
      </fill>
    </dxf>
  </rfmt>
  <rfmt sheetId="2" sqref="AJ535" start="0" length="0">
    <dxf/>
  </rfmt>
  <rfmt sheetId="2" sqref="AM535" start="0" length="0">
    <dxf/>
  </rfmt>
  <rfmt sheetId="2" sqref="AN535" start="0" length="0">
    <dxf/>
  </rfmt>
  <rfmt sheetId="2" sqref="B536" start="0" length="0">
    <dxf>
      <fill>
        <patternFill>
          <bgColor theme="9" tint="-0.249977111117893"/>
        </patternFill>
      </fill>
    </dxf>
  </rfmt>
  <rfmt sheetId="2" sqref="AJ536" start="0" length="0">
    <dxf/>
  </rfmt>
  <rfmt sheetId="2" sqref="AM536" start="0" length="0">
    <dxf/>
  </rfmt>
  <rfmt sheetId="2" sqref="AN536" start="0" length="0">
    <dxf/>
  </rfmt>
  <rfmt sheetId="2" sqref="B537" start="0" length="0">
    <dxf>
      <fill>
        <patternFill>
          <bgColor theme="9" tint="-0.249977111117893"/>
        </patternFill>
      </fill>
    </dxf>
  </rfmt>
  <rfmt sheetId="2" sqref="AJ537" start="0" length="0">
    <dxf/>
  </rfmt>
  <rfmt sheetId="2" sqref="AM537" start="0" length="0">
    <dxf/>
  </rfmt>
  <rfmt sheetId="2" sqref="AN537" start="0" length="0">
    <dxf/>
  </rfmt>
  <rfmt sheetId="2" sqref="B538" start="0" length="0">
    <dxf>
      <fill>
        <patternFill>
          <bgColor theme="9" tint="-0.249977111117893"/>
        </patternFill>
      </fill>
    </dxf>
  </rfmt>
  <rfmt sheetId="2" sqref="AJ538" start="0" length="0">
    <dxf/>
  </rfmt>
  <rfmt sheetId="2" sqref="AM538" start="0" length="0">
    <dxf/>
  </rfmt>
  <rfmt sheetId="2" sqref="AN538" start="0" length="0">
    <dxf/>
  </rfmt>
  <rfmt sheetId="2" sqref="B498">
    <dxf>
      <fill>
        <patternFill>
          <bgColor rgb="FF00B050"/>
        </patternFill>
      </fill>
    </dxf>
  </rfmt>
  <rfmt sheetId="2" sqref="B499" start="0" length="0">
    <dxf>
      <fill>
        <patternFill>
          <bgColor rgb="FF00B050"/>
        </patternFill>
      </fill>
    </dxf>
  </rfmt>
  <rfmt sheetId="2" sqref="B500" start="0" length="0">
    <dxf>
      <fill>
        <patternFill>
          <bgColor rgb="FF00B050"/>
        </patternFill>
      </fill>
    </dxf>
  </rfmt>
  <rfmt sheetId="2" sqref="B501" start="0" length="0">
    <dxf>
      <fill>
        <patternFill>
          <bgColor rgb="FF00B050"/>
        </patternFill>
      </fill>
    </dxf>
  </rfmt>
  <rfmt sheetId="2" sqref="B502" start="0" length="0">
    <dxf>
      <fill>
        <patternFill>
          <bgColor rgb="FF00B050"/>
        </patternFill>
      </fill>
    </dxf>
  </rfmt>
  <rfmt sheetId="2" sqref="B503" start="0" length="0">
    <dxf>
      <fill>
        <patternFill>
          <bgColor rgb="FF00B050"/>
        </patternFill>
      </fill>
    </dxf>
  </rfmt>
  <rfmt sheetId="2" sqref="B504" start="0" length="0">
    <dxf>
      <fill>
        <patternFill>
          <bgColor rgb="FF00B050"/>
        </patternFill>
      </fill>
    </dxf>
  </rfmt>
  <rfmt sheetId="2" sqref="B505" start="0" length="0">
    <dxf>
      <fill>
        <patternFill>
          <bgColor rgb="FF00B050"/>
        </patternFill>
      </fill>
    </dxf>
  </rfmt>
  <rfmt sheetId="2" sqref="B506" start="0" length="0">
    <dxf>
      <fill>
        <patternFill>
          <bgColor rgb="FF00B050"/>
        </patternFill>
      </fill>
    </dxf>
  </rfmt>
  <rfmt sheetId="2" sqref="B507" start="0" length="0">
    <dxf>
      <fill>
        <patternFill>
          <bgColor rgb="FF00B050"/>
        </patternFill>
      </fill>
    </dxf>
  </rfmt>
  <rfmt sheetId="2" sqref="B508" start="0" length="0">
    <dxf>
      <fill>
        <patternFill>
          <bgColor rgb="FF00B050"/>
        </patternFill>
      </fill>
    </dxf>
  </rfmt>
  <rfmt sheetId="2" sqref="B509" start="0" length="0">
    <dxf>
      <fill>
        <patternFill>
          <bgColor rgb="FF00B050"/>
        </patternFill>
      </fill>
    </dxf>
  </rfmt>
  <rfmt sheetId="2" sqref="B510" start="0" length="0">
    <dxf>
      <fill>
        <patternFill>
          <bgColor rgb="FF00B050"/>
        </patternFill>
      </fill>
    </dxf>
  </rfmt>
  <rfmt sheetId="2" sqref="B511" start="0" length="0">
    <dxf>
      <fill>
        <patternFill>
          <bgColor rgb="FF00B050"/>
        </patternFill>
      </fill>
    </dxf>
  </rfmt>
  <rfmt sheetId="2" sqref="B512" start="0" length="0">
    <dxf>
      <fill>
        <patternFill>
          <bgColor rgb="FF00B050"/>
        </patternFill>
      </fill>
    </dxf>
  </rfmt>
  <rfmt sheetId="2" sqref="B513" start="0" length="0">
    <dxf>
      <fill>
        <patternFill>
          <bgColor rgb="FF00B050"/>
        </patternFill>
      </fill>
    </dxf>
  </rfmt>
  <rfmt sheetId="2" sqref="B514" start="0" length="0">
    <dxf>
      <fill>
        <patternFill>
          <bgColor rgb="FF00B050"/>
        </patternFill>
      </fill>
    </dxf>
  </rfmt>
  <rfmt sheetId="2" sqref="B515" start="0" length="0">
    <dxf>
      <fill>
        <patternFill>
          <bgColor rgb="FF00B050"/>
        </patternFill>
      </fill>
    </dxf>
  </rfmt>
  <rfmt sheetId="2" sqref="B516" start="0" length="0">
    <dxf>
      <fill>
        <patternFill>
          <bgColor rgb="FF00B050"/>
        </patternFill>
      </fill>
    </dxf>
  </rfmt>
  <rfmt sheetId="2" sqref="B517" start="0" length="0">
    <dxf>
      <fill>
        <patternFill>
          <bgColor rgb="FF00B050"/>
        </patternFill>
      </fill>
    </dxf>
  </rfmt>
  <rfmt sheetId="2" sqref="B518" start="0" length="0">
    <dxf>
      <fill>
        <patternFill>
          <bgColor rgb="FF00B050"/>
        </patternFill>
      </fill>
    </dxf>
  </rfmt>
  <rfmt sheetId="2" sqref="B519" start="0" length="0">
    <dxf>
      <fill>
        <patternFill>
          <bgColor rgb="FF00B050"/>
        </patternFill>
      </fill>
    </dxf>
  </rfmt>
  <rfmt sheetId="2" sqref="B520" start="0" length="0">
    <dxf>
      <fill>
        <patternFill>
          <bgColor rgb="FF00B050"/>
        </patternFill>
      </fill>
    </dxf>
  </rfmt>
  <rfmt sheetId="2" sqref="B521" start="0" length="0">
    <dxf>
      <fill>
        <patternFill>
          <bgColor rgb="FF00B050"/>
        </patternFill>
      </fill>
    </dxf>
  </rfmt>
  <rfmt sheetId="2" sqref="B522" start="0" length="0">
    <dxf>
      <fill>
        <patternFill>
          <bgColor rgb="FF00B050"/>
        </patternFill>
      </fill>
    </dxf>
  </rfmt>
  <rfmt sheetId="2" sqref="B523" start="0" length="0">
    <dxf>
      <fill>
        <patternFill>
          <bgColor rgb="FF00B050"/>
        </patternFill>
      </fill>
    </dxf>
  </rfmt>
  <rfmt sheetId="2" sqref="B524" start="0" length="0">
    <dxf>
      <fill>
        <patternFill>
          <bgColor rgb="FF00B050"/>
        </patternFill>
      </fill>
    </dxf>
  </rfmt>
  <rfmt sheetId="2" sqref="B525" start="0" length="0">
    <dxf>
      <fill>
        <patternFill>
          <bgColor rgb="FF00B050"/>
        </patternFill>
      </fill>
    </dxf>
  </rfmt>
  <rfmt sheetId="2" sqref="B526" start="0" length="0">
    <dxf>
      <fill>
        <patternFill>
          <bgColor rgb="FF00B050"/>
        </patternFill>
      </fill>
    </dxf>
  </rfmt>
  <rfmt sheetId="2" sqref="B527" start="0" length="0">
    <dxf>
      <fill>
        <patternFill>
          <bgColor rgb="FF00B050"/>
        </patternFill>
      </fill>
    </dxf>
  </rfmt>
  <rfmt sheetId="2" sqref="B528" start="0" length="0">
    <dxf>
      <fill>
        <patternFill>
          <bgColor rgb="FF00B050"/>
        </patternFill>
      </fill>
    </dxf>
  </rfmt>
  <rfmt sheetId="2" sqref="B529" start="0" length="0">
    <dxf>
      <fill>
        <patternFill>
          <bgColor rgb="FF00B050"/>
        </patternFill>
      </fill>
    </dxf>
  </rfmt>
  <rfmt sheetId="2" sqref="B530" start="0" length="0">
    <dxf>
      <fill>
        <patternFill>
          <bgColor rgb="FF00B050"/>
        </patternFill>
      </fill>
    </dxf>
  </rfmt>
  <rfmt sheetId="2" sqref="B531" start="0" length="0">
    <dxf>
      <fill>
        <patternFill>
          <bgColor rgb="FF00B050"/>
        </patternFill>
      </fill>
    </dxf>
  </rfmt>
  <rrc rId="3590" sId="2" ref="A499:XFD526" action="insertRow">
    <undo index="10" exp="area" ref3D="1" dr="$AB$1:$AD$1048576" dn="Z_336B6883_2145_4B58_921E_CEC7185A847E_.wvu.Cols" sId="2"/>
    <undo index="8" exp="area" ref3D="1" dr="$S$1:$X$1048576" dn="Z_336B6883_2145_4B58_921E_CEC7185A847E_.wvu.Cols" sId="2"/>
    <undo index="6" exp="area" ref3D="1" dr="$P$1:$Q$1048576" dn="Z_336B6883_2145_4B58_921E_CEC7185A847E_.wvu.Cols" sId="2"/>
    <undo index="4" exp="area" ref3D="1" dr="$M$1:$N$1048576" dn="Z_336B6883_2145_4B58_921E_CEC7185A847E_.wvu.Cols" sId="2"/>
    <undo index="2" exp="area" ref3D="1" dr="$K$1:$K$1048576" dn="Z_336B6883_2145_4B58_921E_CEC7185A847E_.wvu.Cols" sId="2"/>
    <undo index="1" exp="area" ref3D="1" dr="$A$1:$G$1048576" dn="Z_336B6883_2145_4B58_921E_CEC7185A847E_.wvu.Cols" sId="2"/>
  </rrc>
  <rcc rId="3591" sId="2">
    <nc r="B499">
      <f>B498+1</f>
    </nc>
  </rcc>
  <rcc rId="3592" sId="2">
    <nc r="B500">
      <f>B499+1</f>
    </nc>
  </rcc>
  <rcc rId="3593" sId="2">
    <nc r="B501">
      <f>B500+1</f>
    </nc>
  </rcc>
  <rcc rId="3594" sId="2">
    <nc r="B502">
      <f>B501+1</f>
    </nc>
  </rcc>
  <rcc rId="3595" sId="2">
    <nc r="B503">
      <f>B502+1</f>
    </nc>
  </rcc>
  <rcc rId="3596" sId="2">
    <nc r="B504">
      <f>B503+1</f>
    </nc>
  </rcc>
  <rcc rId="3597" sId="2">
    <nc r="B505">
      <f>B504+1</f>
    </nc>
  </rcc>
  <rcc rId="3598" sId="2">
    <nc r="B506">
      <f>B505+1</f>
    </nc>
  </rcc>
  <rcc rId="3599" sId="2">
    <nc r="B507">
      <f>B506+1</f>
    </nc>
  </rcc>
  <rcc rId="3600" sId="2">
    <nc r="B508">
      <f>B507+1</f>
    </nc>
  </rcc>
  <rcc rId="3601" sId="2">
    <nc r="B509">
      <f>B508+1</f>
    </nc>
  </rcc>
  <rcc rId="3602" sId="2">
    <nc r="B510">
      <f>B509+1</f>
    </nc>
  </rcc>
  <rcc rId="3603" sId="2">
    <nc r="B511">
      <f>B510+1</f>
    </nc>
  </rcc>
  <rcc rId="3604" sId="2">
    <nc r="B512">
      <f>B511+1</f>
    </nc>
  </rcc>
  <rcc rId="3605" sId="2">
    <nc r="B513">
      <f>B512+1</f>
    </nc>
  </rcc>
  <rcc rId="3606" sId="2">
    <nc r="B514">
      <f>B513+1</f>
    </nc>
  </rcc>
  <rcc rId="3607" sId="2">
    <nc r="B515">
      <f>B514+1</f>
    </nc>
  </rcc>
  <rcc rId="3608" sId="2">
    <nc r="B516">
      <f>B515+1</f>
    </nc>
  </rcc>
  <rcc rId="3609" sId="2">
    <nc r="B517">
      <f>B516+1</f>
    </nc>
  </rcc>
  <rcc rId="3610" sId="2">
    <nc r="B518">
      <f>B517+1</f>
    </nc>
  </rcc>
  <rcc rId="3611" sId="2">
    <nc r="B519">
      <f>B518+1</f>
    </nc>
  </rcc>
  <rcc rId="3612" sId="2">
    <nc r="B520">
      <f>B519+1</f>
    </nc>
  </rcc>
  <rcc rId="3613" sId="2">
    <nc r="B521">
      <f>B520+1</f>
    </nc>
  </rcc>
  <rcc rId="3614" sId="2">
    <nc r="B522">
      <f>B521+1</f>
    </nc>
  </rcc>
  <rcc rId="3615" sId="2">
    <nc r="B523">
      <f>B522+1</f>
    </nc>
  </rcc>
  <rcc rId="3616" sId="2">
    <nc r="B524">
      <f>B523+1</f>
    </nc>
  </rcc>
  <rcc rId="3617" sId="2">
    <nc r="B525">
      <f>B524+1</f>
    </nc>
  </rcc>
  <rcc rId="3618" sId="2">
    <nc r="B526">
      <f>B525+1</f>
    </nc>
  </rcc>
  <rcc rId="3619" sId="2">
    <oc r="B527">
      <f>B498+1</f>
    </oc>
    <nc r="B527">
      <f>B526+1</f>
    </nc>
  </rcc>
  <rcc rId="3620" sId="2">
    <oc r="B528">
      <f>B499+1</f>
    </oc>
    <nc r="B528">
      <f>B527+1</f>
    </nc>
  </rcc>
  <rcc rId="3621" sId="2">
    <oc r="B529">
      <f>B500+1</f>
    </oc>
    <nc r="B529">
      <f>B528+1</f>
    </nc>
  </rcc>
  <rcc rId="3622" sId="2">
    <oc r="B530">
      <f>B501+1</f>
    </oc>
    <nc r="B530">
      <f>B529+1</f>
    </nc>
  </rcc>
  <rcc rId="3623" sId="2">
    <oc r="B531">
      <f>B502+1</f>
    </oc>
    <nc r="B531">
      <f>B530+1</f>
    </nc>
  </rcc>
  <rcc rId="3624" sId="2">
    <oc r="B532">
      <f>B503+1</f>
    </oc>
    <nc r="B532">
      <f>B531+1</f>
    </nc>
  </rcc>
  <rcc rId="3625" sId="2">
    <oc r="B533">
      <f>B504+1</f>
    </oc>
    <nc r="B533">
      <f>B532+1</f>
    </nc>
  </rcc>
  <rcc rId="3626" sId="2">
    <oc r="B534">
      <f>B505+1</f>
    </oc>
    <nc r="B534">
      <f>B533+1</f>
    </nc>
  </rcc>
  <rcc rId="3627" sId="2">
    <nc r="B535">
      <f>B534+1</f>
    </nc>
  </rcc>
  <rcc rId="3628" sId="2">
    <nc r="B536">
      <f>B535+1</f>
    </nc>
  </rcc>
  <rcc rId="3629" sId="2">
    <nc r="B537">
      <f>B536+1</f>
    </nc>
  </rcc>
  <rcc rId="3630" sId="2">
    <nc r="B538">
      <f>B537+1</f>
    </nc>
  </rcc>
  <rcc rId="3631" sId="2">
    <nc r="B539">
      <f>B538+1</f>
    </nc>
  </rcc>
  <rcc rId="3632" sId="2">
    <nc r="B540">
      <f>B539+1</f>
    </nc>
  </rcc>
  <rcc rId="3633" sId="2">
    <nc r="B541">
      <f>B540+1</f>
    </nc>
  </rcc>
  <rcc rId="3634" sId="2">
    <nc r="B542">
      <f>B541+1</f>
    </nc>
  </rcc>
  <rcc rId="3635" sId="2">
    <nc r="B543">
      <f>B542+1</f>
    </nc>
  </rcc>
  <rcc rId="3636" sId="2">
    <nc r="B544">
      <f>B543+1</f>
    </nc>
  </rcc>
  <rcc rId="3637" sId="2">
    <nc r="B545">
      <f>B544+1</f>
    </nc>
  </rcc>
  <rcc rId="3638" sId="2">
    <nc r="B546">
      <f>B545+1</f>
    </nc>
  </rcc>
  <rcc rId="3639" sId="2">
    <nc r="B547">
      <f>B546+1</f>
    </nc>
  </rcc>
  <rcc rId="3640" sId="2">
    <nc r="B548">
      <f>B547+1</f>
    </nc>
  </rcc>
  <rcc rId="3641" sId="2">
    <nc r="B549">
      <f>B548+1</f>
    </nc>
  </rcc>
  <rcc rId="3642" sId="2">
    <nc r="B550">
      <f>B549+1</f>
    </nc>
  </rcc>
  <rcc rId="3643" sId="2">
    <nc r="B551">
      <f>B550+1</f>
    </nc>
  </rcc>
  <rcc rId="3644" sId="2">
    <nc r="B552">
      <f>B551+1</f>
    </nc>
  </rcc>
  <rcc rId="3645" sId="2">
    <nc r="B553">
      <f>B552+1</f>
    </nc>
  </rcc>
  <rcc rId="3646" sId="2">
    <nc r="B554">
      <f>B553+1</f>
    </nc>
  </rcc>
  <rcc rId="3647" sId="2">
    <nc r="B555">
      <f>B554+1</f>
    </nc>
  </rcc>
  <rcc rId="3648" sId="2">
    <nc r="B556">
      <f>B555+1</f>
    </nc>
  </rcc>
  <rcc rId="3649" sId="2">
    <nc r="B557">
      <f>B556+1</f>
    </nc>
  </rcc>
  <rcc rId="3650" sId="2">
    <nc r="B558">
      <f>B557+1</f>
    </nc>
  </rcc>
  <rcc rId="3651" sId="2">
    <nc r="B559">
      <f>B558+1</f>
    </nc>
  </rcc>
  <rcc rId="3652" sId="2">
    <nc r="C498">
      <v>20200909</v>
    </nc>
  </rcc>
  <rcc rId="3653" sId="2">
    <nc r="I498" t="inlineStr">
      <is>
        <t>CTRL_STM_DSBA</t>
      </is>
    </nc>
  </rcc>
  <rcc rId="3654" sId="2">
    <nc r="I499" t="inlineStr">
      <is>
        <t>PSBC_ControllerIncreaseRfp</t>
      </is>
    </nc>
  </rcc>
  <rcc rId="3655" sId="2">
    <nc r="I500" t="inlineStr">
      <is>
        <t>ReverseFlowPrevention</t>
      </is>
    </nc>
  </rcc>
  <rcc rId="3656" sId="2">
    <nc r="I501" t="inlineStr">
      <is>
        <t>ESPhybrid_VolFlowPt1Filter</t>
      </is>
    </nc>
  </rcc>
  <rcc rId="3657" sId="2">
    <nc r="I502" t="inlineStr">
      <is>
        <t>EV_Inv_Open2Close_ESPhybrid</t>
      </is>
    </nc>
  </rcc>
  <rcc rId="3658" sId="2">
    <nc r="I503" t="inlineStr">
      <is>
        <t>StrategyCase2Mode_ESPhybrid</t>
      </is>
    </nc>
  </rcc>
  <rcc rId="3659" sId="2">
    <nc r="I504" t="inlineStr">
      <is>
        <t>RBSEC_Sec</t>
      </is>
    </nc>
  </rcc>
  <rcc rId="3660" sId="2">
    <nc r="I505" t="inlineStr">
      <is>
        <t>RBAPLPLANT_RoutineControl</t>
      </is>
    </nc>
  </rcc>
  <rcc rId="3661" sId="2">
    <nc r="I506" t="inlineStr">
      <is>
        <t>RBRFP_LowendAct</t>
      </is>
    </nc>
  </rcc>
  <rcc rId="3662" sId="2">
    <nc r="I507" t="inlineStr">
      <is>
        <t>RBRFP_ShortActTest</t>
      </is>
    </nc>
  </rcc>
  <rcc rId="3663" sId="2">
    <nc r="I508" t="inlineStr">
      <is>
        <t>RBVLV_ValveDriverFeedback</t>
      </is>
    </nc>
  </rcc>
  <rcc rId="3664" sId="2">
    <nc r="I509" t="inlineStr">
      <is>
        <t>RBSYS_LocksImpl</t>
      </is>
    </nc>
  </rcc>
  <rcc rId="3665" sId="2">
    <nc r="I510" t="inlineStr">
      <is>
        <t>HBB_Adapter_iBooster_DBR</t>
      </is>
    </nc>
  </rcc>
  <rcc rId="3666" sId="2">
    <nc r="I511" t="inlineStr">
      <is>
        <t>HBB_ASILGuard_Strokebased</t>
      </is>
    </nc>
  </rcc>
  <rcc rId="3667" sId="2">
    <nc r="I512" t="inlineStr">
      <is>
        <t>HBB_Stroke2Decel</t>
      </is>
    </nc>
  </rcc>
  <rcc rId="3668" sId="2">
    <nc r="I513" t="inlineStr">
      <is>
        <t>BTC_OpModeSelector</t>
      </is>
    </nc>
  </rcc>
  <rcc rId="3669" sId="2">
    <nc r="I514" t="inlineStr">
      <is>
        <t>MTC_FaultHandling</t>
      </is>
    </nc>
  </rcc>
  <rcc rId="3670" sId="2">
    <nc r="I515" t="inlineStr">
      <is>
        <t>SecOC_PduRIF</t>
      </is>
    </nc>
  </rcc>
  <rcc rId="3671" sId="2">
    <nc r="I516" t="inlineStr">
      <is>
        <t>SecOC_Prv</t>
      </is>
    </nc>
  </rcc>
  <rcc rId="3672" sId="2">
    <nc r="I517" t="inlineStr">
      <is>
        <t>SecOC_Prv_CryptIF</t>
      </is>
    </nc>
  </rcc>
  <rcc rId="3673" sId="2">
    <nc r="I518" t="inlineStr">
      <is>
        <t>RBPduHandler_Callouts</t>
      </is>
    </nc>
  </rcc>
  <rcc rId="3674" sId="2">
    <nc r="I519" t="inlineStr">
      <is>
        <t>CBEST_InterfaceFunction_TOYOTA</t>
      </is>
    </nc>
  </rcc>
  <rcc rId="3675" sId="2">
    <nc r="I520" t="inlineStr">
      <is>
        <t>CBEST_Main_TOYOTA</t>
      </is>
    </nc>
  </rcc>
  <rcc rId="3676" sId="2">
    <nc r="I521" t="inlineStr">
      <is>
        <t>RBAPLCUST_22_RDBI</t>
      </is>
    </nc>
  </rcc>
  <rcc rId="3677" sId="2">
    <nc r="I522" t="inlineStr">
      <is>
        <t>NET_SCL_RcvYGS1G03_TOY</t>
      </is>
    </nc>
  </rcc>
  <rcc rId="3678" sId="2" quotePrefix="1">
    <nc r="O498" t="inlineStr">
      <is>
        <t>2.5</t>
      </is>
    </nc>
  </rcc>
  <rcc rId="3679" sId="2" quotePrefix="1">
    <nc r="O499" t="inlineStr">
      <is>
        <t>4.18.413.0</t>
      </is>
    </nc>
  </rcc>
  <rcc rId="3680" sId="2" quotePrefix="1">
    <nc r="O500" t="inlineStr">
      <is>
        <t>1.7.0.1.118.0</t>
      </is>
    </nc>
  </rcc>
  <rcc rId="3681" sId="2" quotePrefix="1">
    <nc r="O501" t="inlineStr">
      <is>
        <t>1.13.413.0</t>
      </is>
    </nc>
  </rcc>
  <rcc rId="3682" sId="2" quotePrefix="1">
    <nc r="O502" t="inlineStr">
      <is>
        <t>5.4.413.0</t>
      </is>
    </nc>
  </rcc>
  <rcc rId="3683" sId="2" quotePrefix="1">
    <nc r="O503" t="inlineStr">
      <is>
        <t>6.25.118.4.413.0</t>
      </is>
    </nc>
  </rcc>
  <rcc rId="3684" sId="2" quotePrefix="1">
    <nc r="O504" t="inlineStr">
      <is>
        <t>_tfitwXbTEee5I9RvZWO0-w</t>
      </is>
    </nc>
  </rcc>
  <rcc rId="3685" sId="2" quotePrefix="1">
    <nc r="O505" t="inlineStr">
      <is>
        <t>_jb6WMd7bEeWIg7A4mt86gQ</t>
      </is>
    </nc>
  </rcc>
  <rcc rId="3686" sId="2" quotePrefix="1">
    <nc r="O506" t="inlineStr">
      <is>
        <t>_NlaL0MTjEeWmw6F8Aw3cCg</t>
      </is>
    </nc>
  </rcc>
  <rcc rId="3687" sId="2" quotePrefix="1">
    <nc r="O507" t="inlineStr">
      <is>
        <t>_RR_yUMTjEeWmw6F8Aw3cCg</t>
      </is>
    </nc>
  </rcc>
  <rcc rId="3688" sId="2" quotePrefix="1">
    <nc r="O508" t="inlineStr">
      <is>
        <t>_BqyOEcT9EeWUj9noREh3Hg</t>
      </is>
    </nc>
  </rcc>
  <rcc rId="3689" sId="2" quotePrefix="1">
    <nc r="O509" t="inlineStr">
      <is>
        <t>_T8NYME12EeWx_bCQ_p-5GQ</t>
      </is>
    </nc>
  </rcc>
  <rcc rId="3690" sId="2" quotePrefix="1">
    <nc r="O510" t="inlineStr">
      <is>
        <t>1.0.118.8</t>
      </is>
    </nc>
  </rcc>
  <rcc rId="3691" sId="2" quotePrefix="1">
    <nc r="O511" t="inlineStr">
      <is>
        <t>1.0</t>
      </is>
    </nc>
  </rcc>
  <rcc rId="3692" sId="2" quotePrefix="1">
    <nc r="O512" t="inlineStr">
      <is>
        <t>1.0</t>
      </is>
    </nc>
  </rcc>
  <rcc rId="3693" sId="2" quotePrefix="1">
    <nc r="O513" t="inlineStr">
      <is>
        <t>1.31.118.1</t>
      </is>
    </nc>
  </rcc>
  <rcc rId="3694" sId="2" quotePrefix="1">
    <nc r="O514" t="inlineStr">
      <is>
        <t>1.12.118.1</t>
      </is>
    </nc>
  </rcc>
  <rcc rId="3695" sId="2" quotePrefix="1">
    <nc r="O515" t="inlineStr">
      <is>
        <t>_49g-FPofEeiNu__0fCuwiQ</t>
      </is>
    </nc>
  </rcc>
  <rcc rId="3696" sId="2" quotePrefix="1">
    <nc r="O516" t="inlineStr">
      <is>
        <t>_49g-FvofEeiNu__0fCuwiQ</t>
      </is>
    </nc>
  </rcc>
  <rcc rId="3697" sId="2" quotePrefix="1">
    <nc r="O517" t="inlineStr">
      <is>
        <t>_49g-F_ofEeiNu__0fCuwiQ</t>
      </is>
    </nc>
  </rcc>
  <rcc rId="3698" sId="2" quotePrefix="1">
    <nc r="O518" t="inlineStr">
      <is>
        <t>_BdcCIDMqEei1FdF65FacFQ</t>
      </is>
    </nc>
  </rcc>
  <rcc rId="3699" sId="2" quotePrefix="1">
    <nc r="O519" t="inlineStr">
      <is>
        <t>_0AUIoEJwEeaXn4fO7myAiw</t>
      </is>
    </nc>
  </rcc>
  <rcc rId="3700" sId="2" quotePrefix="1">
    <nc r="O520" t="inlineStr">
      <is>
        <t>_0AUvsEJwEeaXn4fO7myAiw</t>
      </is>
    </nc>
  </rcc>
  <rcc rId="3701" sId="2" quotePrefix="1">
    <nc r="O521" t="inlineStr">
      <is>
        <t>_jxIMcKJ7EeWgbrVUGix0mg</t>
      </is>
    </nc>
  </rcc>
  <rcc rId="3702" sId="2" quotePrefix="1">
    <nc r="O522" t="inlineStr">
      <is>
        <t>_lzwO8G01EeifyfhLxmbFOQ</t>
      </is>
    </nc>
  </rcc>
  <rcc rId="3703" sId="2">
    <nc r="E498" t="inlineStr">
      <is>
        <t>TOY_PF19_CMP_BL17_Integration_7</t>
      </is>
    </nc>
  </rcc>
  <rcc rId="3704" sId="2">
    <nc r="E499" t="inlineStr">
      <is>
        <t>TOY_PF19_CMP_BL17_Integration_7</t>
      </is>
    </nc>
  </rcc>
  <rcc rId="3705" sId="2">
    <nc r="E500" t="inlineStr">
      <is>
        <t>TOY_PF19_CMP_BL17_Integration_7</t>
      </is>
    </nc>
  </rcc>
  <rcc rId="3706" sId="2">
    <nc r="E501" t="inlineStr">
      <is>
        <t>TOY_PF19_CMP_BL17_Integration_7</t>
      </is>
    </nc>
  </rcc>
  <rcc rId="3707" sId="2">
    <nc r="E502" t="inlineStr">
      <is>
        <t>TOY_PF19_CMP_BL17_Integration_7</t>
      </is>
    </nc>
  </rcc>
  <rcc rId="3708" sId="2">
    <nc r="E503" t="inlineStr">
      <is>
        <t>TOY_PF19_CMP_BL17_Integration_7</t>
      </is>
    </nc>
  </rcc>
  <rcc rId="3709" sId="2">
    <nc r="E504" t="inlineStr">
      <is>
        <t>TOY_PF19_CMP_BL17_Integration_7</t>
      </is>
    </nc>
  </rcc>
  <rcc rId="3710" sId="2">
    <nc r="E505" t="inlineStr">
      <is>
        <t>TOY_PF19_CMP_BL17_Integration_7</t>
      </is>
    </nc>
  </rcc>
  <rcc rId="3711" sId="2">
    <nc r="E506" t="inlineStr">
      <is>
        <t>TOY_PF19_CMP_BL17_Integration_7</t>
      </is>
    </nc>
  </rcc>
  <rcc rId="3712" sId="2">
    <nc r="E507" t="inlineStr">
      <is>
        <t>TOY_PF19_CMP_BL17_Integration_7</t>
      </is>
    </nc>
  </rcc>
  <rcc rId="3713" sId="2">
    <nc r="E508" t="inlineStr">
      <is>
        <t>TOY_PF19_CMP_BL17_Integration_7</t>
      </is>
    </nc>
  </rcc>
  <rcc rId="3714" sId="2">
    <nc r="E509" t="inlineStr">
      <is>
        <t>TOY_PF19_CMP_BL17_Integration_7</t>
      </is>
    </nc>
  </rcc>
  <rcc rId="3715" sId="2">
    <nc r="E510" t="inlineStr">
      <is>
        <t>TOY_PF19_CMP_BL17_Integration_7</t>
      </is>
    </nc>
  </rcc>
  <rcc rId="3716" sId="2">
    <nc r="E511" t="inlineStr">
      <is>
        <t>TOY_PF19_CMP_BL17_Integration_7</t>
      </is>
    </nc>
  </rcc>
  <rcc rId="3717" sId="2">
    <nc r="E512" t="inlineStr">
      <is>
        <t>TOY_PF19_CMP_BL17_Integration_7</t>
      </is>
    </nc>
  </rcc>
  <rcc rId="3718" sId="2">
    <nc r="E513" t="inlineStr">
      <is>
        <t>TOY_PF19_CMP_BL17_Integration_7</t>
      </is>
    </nc>
  </rcc>
  <rcc rId="3719" sId="2">
    <nc r="E514" t="inlineStr">
      <is>
        <t>TOY_PF19_CMP_BL17_Integration_7</t>
      </is>
    </nc>
  </rcc>
  <rcc rId="3720" sId="2">
    <nc r="E515" t="inlineStr">
      <is>
        <t>TOY_PF19_CMP_BL17_Integration_7</t>
      </is>
    </nc>
  </rcc>
  <rcc rId="3721" sId="2">
    <nc r="E516" t="inlineStr">
      <is>
        <t>TOY_PF19_CMP_BL17_Integration_7</t>
      </is>
    </nc>
  </rcc>
  <rcc rId="3722" sId="2">
    <nc r="E517" t="inlineStr">
      <is>
        <t>TOY_PF19_CMP_BL17_Integration_7</t>
      </is>
    </nc>
  </rcc>
  <rcc rId="3723" sId="2">
    <nc r="E518" t="inlineStr">
      <is>
        <t>TOY_PF19_CMP_BL17_Integration_7</t>
      </is>
    </nc>
  </rcc>
  <rcc rId="3724" sId="2">
    <nc r="E519" t="inlineStr">
      <is>
        <t>TOY_PF19_CMP_BL17_Integration_7</t>
      </is>
    </nc>
  </rcc>
  <rcc rId="3725" sId="2">
    <nc r="E520" t="inlineStr">
      <is>
        <t>TOY_PF19_CMP_BL17_Integration_7</t>
      </is>
    </nc>
  </rcc>
  <rcc rId="3726" sId="2">
    <nc r="E521" t="inlineStr">
      <is>
        <t>TOY_PF19_CMP_BL17_Integration_7</t>
      </is>
    </nc>
  </rcc>
  <rcc rId="3727" sId="2">
    <nc r="E522" t="inlineStr">
      <is>
        <t>TOY_PF19_CMP_BL17_Integration_7</t>
      </is>
    </nc>
  </rcc>
  <rcc rId="3728" sId="2">
    <nc r="C499">
      <v>20200909</v>
    </nc>
  </rcc>
  <rcc rId="3729" sId="2">
    <nc r="C500">
      <v>20200909</v>
    </nc>
  </rcc>
  <rcc rId="3730" sId="2">
    <nc r="C501">
      <v>20200909</v>
    </nc>
  </rcc>
  <rcc rId="3731" sId="2">
    <nc r="C502">
      <v>20200909</v>
    </nc>
  </rcc>
  <rcc rId="3732" sId="2">
    <nc r="C503">
      <v>20200909</v>
    </nc>
  </rcc>
  <rcc rId="3733" sId="2">
    <nc r="C504">
      <v>20200909</v>
    </nc>
  </rcc>
  <rcc rId="3734" sId="2">
    <nc r="C505">
      <v>20200909</v>
    </nc>
  </rcc>
  <rcc rId="3735" sId="2">
    <nc r="C506">
      <v>20200909</v>
    </nc>
  </rcc>
  <rcc rId="3736" sId="2">
    <nc r="C507">
      <v>20200909</v>
    </nc>
  </rcc>
  <rcc rId="3737" sId="2">
    <nc r="C508">
      <v>20200909</v>
    </nc>
  </rcc>
  <rcc rId="3738" sId="2">
    <nc r="C509">
      <v>20200909</v>
    </nc>
  </rcc>
  <rcc rId="3739" sId="2">
    <nc r="C510">
      <v>20200909</v>
    </nc>
  </rcc>
  <rcc rId="3740" sId="2">
    <nc r="C511">
      <v>20200909</v>
    </nc>
  </rcc>
  <rcc rId="3741" sId="2">
    <nc r="C512">
      <v>20200909</v>
    </nc>
  </rcc>
  <rcc rId="3742" sId="2">
    <nc r="C513">
      <v>20200909</v>
    </nc>
  </rcc>
  <rcc rId="3743" sId="2">
    <nc r="C514">
      <v>20200909</v>
    </nc>
  </rcc>
  <rcc rId="3744" sId="2">
    <nc r="C515">
      <v>20200909</v>
    </nc>
  </rcc>
  <rcc rId="3745" sId="2">
    <nc r="C516">
      <v>20200909</v>
    </nc>
  </rcc>
  <rcc rId="3746" sId="2">
    <nc r="C517">
      <v>20200909</v>
    </nc>
  </rcc>
  <rcc rId="3747" sId="2">
    <nc r="C518">
      <v>20200909</v>
    </nc>
  </rcc>
  <rcc rId="3748" sId="2">
    <nc r="C519">
      <v>20200909</v>
    </nc>
  </rcc>
  <rcc rId="3749" sId="2">
    <nc r="C520">
      <v>20200909</v>
    </nc>
  </rcc>
  <rcc rId="3750" sId="2">
    <nc r="C521">
      <v>20200909</v>
    </nc>
  </rcc>
  <rcc rId="3751" sId="2">
    <nc r="C522">
      <v>20200909</v>
    </nc>
  </rcc>
  <rcc rId="3752" sId="2">
    <nc r="D504" t="inlineStr">
      <is>
        <t>PSW</t>
      </is>
    </nc>
  </rcc>
  <rcc rId="3753" sId="2">
    <nc r="D509" t="inlineStr">
      <is>
        <t>PSW</t>
      </is>
    </nc>
  </rcc>
  <rcc rId="3754" sId="2">
    <nc r="D505" t="inlineStr">
      <is>
        <t>PSW</t>
      </is>
    </nc>
  </rcc>
  <rcc rId="3755" sId="2">
    <nc r="D506" t="inlineStr">
      <is>
        <t>PSW</t>
      </is>
    </nc>
  </rcc>
  <rcc rId="3756" sId="2">
    <nc r="D507" t="inlineStr">
      <is>
        <t>PSW</t>
      </is>
    </nc>
  </rcc>
  <rcc rId="3757" sId="2">
    <nc r="D508" t="inlineStr">
      <is>
        <t>PSW</t>
      </is>
    </nc>
  </rcc>
  <rcc rId="3758" sId="2">
    <nc r="D515" t="inlineStr">
      <is>
        <t>PSW</t>
      </is>
    </nc>
  </rcc>
  <rcc rId="3759" sId="2">
    <nc r="D516" t="inlineStr">
      <is>
        <t>PSW</t>
      </is>
    </nc>
  </rcc>
  <rcc rId="3760" sId="2">
    <nc r="D517" t="inlineStr">
      <is>
        <t>PSW</t>
      </is>
    </nc>
  </rcc>
  <rcc rId="3761" sId="2">
    <nc r="D518" t="inlineStr">
      <is>
        <t>PSW</t>
      </is>
    </nc>
  </rcc>
  <rcc rId="3762" sId="2">
    <nc r="D519" t="inlineStr">
      <is>
        <t>PSW</t>
      </is>
    </nc>
  </rcc>
  <rcc rId="3763" sId="2">
    <nc r="D520" t="inlineStr">
      <is>
        <t>PSW</t>
      </is>
    </nc>
  </rcc>
  <rcc rId="3764" sId="2">
    <nc r="D521" t="inlineStr">
      <is>
        <t>PSW</t>
      </is>
    </nc>
  </rcc>
  <rcc rId="3765" sId="2">
    <nc r="D522" t="inlineStr">
      <is>
        <t>PSW</t>
      </is>
    </nc>
  </rcc>
  <rcc rId="3766" sId="2">
    <nc r="D498" t="inlineStr">
      <is>
        <t>ASW</t>
      </is>
    </nc>
  </rcc>
  <rcc rId="3767" sId="2">
    <nc r="D499" t="inlineStr">
      <is>
        <t>ASW</t>
      </is>
    </nc>
  </rcc>
  <rcc rId="3768" sId="2">
    <nc r="D500" t="inlineStr">
      <is>
        <t>ASW</t>
      </is>
    </nc>
  </rcc>
  <rcc rId="3769" sId="2">
    <nc r="D501" t="inlineStr">
      <is>
        <t>ASW</t>
      </is>
    </nc>
  </rcc>
  <rcc rId="3770" sId="2">
    <nc r="D502" t="inlineStr">
      <is>
        <t>ASW</t>
      </is>
    </nc>
  </rcc>
  <rcc rId="3771" sId="2">
    <nc r="D503" t="inlineStr">
      <is>
        <t>ASW</t>
      </is>
    </nc>
  </rcc>
  <rcc rId="3772" sId="2">
    <nc r="D510" t="inlineStr">
      <is>
        <t>ASW</t>
      </is>
    </nc>
  </rcc>
  <rcc rId="3773" sId="2">
    <nc r="D511" t="inlineStr">
      <is>
        <t>ASW</t>
      </is>
    </nc>
  </rcc>
  <rcc rId="3774" sId="2">
    <nc r="D512" t="inlineStr">
      <is>
        <t>ASW</t>
      </is>
    </nc>
  </rcc>
  <rcc rId="3775" sId="2">
    <nc r="D513" t="inlineStr">
      <is>
        <t>ASW</t>
      </is>
    </nc>
  </rcc>
  <rcc rId="3776" sId="2">
    <nc r="D514" t="inlineStr">
      <is>
        <t>ASW</t>
      </is>
    </nc>
  </rcc>
  <rcc rId="3777" sId="2" quotePrefix="1">
    <nc r="P498" t="inlineStr">
      <is>
        <t>Kaur, Jaspreet</t>
      </is>
    </nc>
  </rcc>
  <rcc rId="3778" sId="2" quotePrefix="1">
    <nc r="P499" t="inlineStr">
      <is>
        <t>Rekha, Kumari</t>
      </is>
    </nc>
  </rcc>
  <rcc rId="3779" sId="2" quotePrefix="1">
    <nc r="P500" t="inlineStr">
      <is>
        <t>Rekha, Kumari</t>
      </is>
    </nc>
  </rcc>
  <rcc rId="3780" sId="2" quotePrefix="1">
    <nc r="P501" t="inlineStr">
      <is>
        <t>Rekha, Kumari</t>
      </is>
    </nc>
  </rcc>
  <rcc rId="3781" sId="2" quotePrefix="1">
    <nc r="P502" t="inlineStr">
      <is>
        <t>Rekha, Kumari</t>
      </is>
    </nc>
  </rcc>
  <rcc rId="3782" sId="2" quotePrefix="1">
    <nc r="P503" t="inlineStr">
      <is>
        <t>Rekha, Kumari</t>
      </is>
    </nc>
  </rcc>
  <rcc rId="3783" sId="2" quotePrefix="1">
    <nc r="P504" t="inlineStr">
      <is>
        <t>Krapp Waldemar (CC-AS/ESB1)</t>
      </is>
    </nc>
  </rcc>
  <rcc rId="3784" sId="2" quotePrefix="1">
    <nc r="P505" t="inlineStr">
      <is>
        <t>Guist Hartmut (CC-AS/ECC6)</t>
      </is>
    </nc>
  </rcc>
  <rcc rId="3785" sId="2" quotePrefix="1">
    <nc r="P506" t="inlineStr">
      <is>
        <t>Bopp Rainer (CC-AS/ECC6)</t>
      </is>
    </nc>
  </rcc>
  <rcc rId="3786" sId="2" quotePrefix="1">
    <nc r="P507" t="inlineStr">
      <is>
        <t>Bopp Rainer (CC-AS/ECC6)</t>
      </is>
    </nc>
  </rcc>
  <rcc rId="3787" sId="2" quotePrefix="1">
    <nc r="P508" t="inlineStr">
      <is>
        <t>Weires Marcel (CC-AS/ECC6)</t>
      </is>
    </nc>
  </rcc>
  <rcc rId="3788" sId="2" quotePrefix="1">
    <nc r="P509" t="inlineStr">
      <is>
        <t>Straetz Richard (CC-AS/ECC6)</t>
      </is>
    </nc>
  </rcc>
  <rcc rId="3789" sId="2" quotePrefix="1">
    <nc r="P510" t="inlineStr">
      <is>
        <t>Behera, Sourav</t>
      </is>
    </nc>
  </rcc>
  <rcc rId="3790" sId="2" quotePrefix="1">
    <nc r="P511" t="inlineStr">
      <is>
        <t>Behera, Sourav</t>
      </is>
    </nc>
  </rcc>
  <rcc rId="3791" sId="2" quotePrefix="1">
    <nc r="P512" t="inlineStr">
      <is>
        <t>Behera, Sourav</t>
      </is>
    </nc>
  </rcc>
  <rcc rId="3792" sId="2" quotePrefix="1">
    <nc r="P513" t="inlineStr">
      <is>
        <t>Sugisawa, Toshifumi</t>
      </is>
    </nc>
  </rcc>
  <rcc rId="3793" sId="2" quotePrefix="1">
    <nc r="P514" t="inlineStr">
      <is>
        <t>Sugisawa, Toshifumi</t>
      </is>
    </nc>
  </rcc>
  <rcc rId="3794" sId="2" quotePrefix="1">
    <nc r="P515" t="inlineStr">
      <is>
        <t>Krithika Premkumar (RBEI/ESJ32)</t>
      </is>
    </nc>
  </rcc>
  <rcc rId="3795" sId="2" quotePrefix="1">
    <nc r="P516" t="inlineStr">
      <is>
        <t>Krithika Premkumar (RBEI/ESJ32)</t>
      </is>
    </nc>
  </rcc>
  <rcc rId="3796" sId="2" quotePrefix="1">
    <nc r="P517" t="inlineStr">
      <is>
        <t>Krithika Premkumar (RBEI/ESJ32)</t>
      </is>
    </nc>
  </rcc>
  <rcc rId="3797" sId="2" quotePrefix="1">
    <nc r="P518" t="inlineStr">
      <is>
        <t>Krithika Premkumar (RBEI/ESJ32)</t>
      </is>
    </nc>
  </rcc>
  <rcc rId="3798" sId="2" quotePrefix="1">
    <nc r="P519" t="inlineStr">
      <is>
        <t>Rayapudi Susmitha (RBEI/ESJ31)</t>
      </is>
    </nc>
  </rcc>
  <rcc rId="3799" sId="2" quotePrefix="1">
    <nc r="P520" t="inlineStr">
      <is>
        <t>Rayapudi Susmitha (RBEI/ESJ31)</t>
      </is>
    </nc>
  </rcc>
  <rcc rId="3800" sId="2" quotePrefix="1">
    <nc r="P521" t="inlineStr">
      <is>
        <t>Rayapudi Susmitha (RBEI/ESJ31)</t>
      </is>
    </nc>
  </rcc>
  <rcc rId="3801" sId="2" quotePrefix="1">
    <nc r="P522" t="inlineStr">
      <is>
        <t>Sowmiya S (RBEI/ESJ31)</t>
      </is>
    </nc>
  </rcc>
  <rcc rId="3802" sId="2">
    <nc r="J498" t="inlineStr">
      <is>
        <t>New</t>
      </is>
    </nc>
  </rcc>
  <rcc rId="3803" sId="2">
    <nc r="J499" t="inlineStr">
      <is>
        <t>New</t>
      </is>
    </nc>
  </rcc>
  <rcc rId="3804" sId="2">
    <nc r="J500" t="inlineStr">
      <is>
        <t>New</t>
      </is>
    </nc>
  </rcc>
  <rcc rId="3805" sId="2">
    <nc r="J501" t="inlineStr">
      <is>
        <t>New</t>
      </is>
    </nc>
  </rcc>
  <rcc rId="3806" sId="2">
    <nc r="J502" t="inlineStr">
      <is>
        <t>New</t>
      </is>
    </nc>
  </rcc>
  <rcc rId="3807" sId="2">
    <nc r="J503" t="inlineStr">
      <is>
        <t>New</t>
      </is>
    </nc>
  </rcc>
  <rcc rId="3808" sId="2">
    <nc r="J504" t="inlineStr">
      <is>
        <t>Delta/New</t>
      </is>
    </nc>
  </rcc>
  <rcc rId="3809" sId="2">
    <nc r="J505" t="inlineStr">
      <is>
        <t>Delta</t>
      </is>
    </nc>
  </rcc>
  <rcc rId="3810" sId="2">
    <nc r="J506" t="inlineStr">
      <is>
        <t>Delta/New</t>
      </is>
    </nc>
  </rcc>
  <rcc rId="3811" sId="2">
    <nc r="J507" t="inlineStr">
      <is>
        <t>Delta/New</t>
      </is>
    </nc>
  </rcc>
  <rcc rId="3812" sId="2">
    <nc r="J508" t="inlineStr">
      <is>
        <t>Delta/New</t>
      </is>
    </nc>
  </rcc>
  <rcc rId="3813" sId="2">
    <nc r="J509" t="inlineStr">
      <is>
        <t>New</t>
      </is>
    </nc>
  </rcc>
  <rcc rId="3814" sId="2">
    <nc r="J510" t="inlineStr">
      <is>
        <t>New</t>
      </is>
    </nc>
  </rcc>
  <rcc rId="3815" sId="2">
    <nc r="J511" t="inlineStr">
      <is>
        <t>New</t>
      </is>
    </nc>
  </rcc>
  <rcc rId="3816" sId="2">
    <nc r="J512" t="inlineStr">
      <is>
        <t>New</t>
      </is>
    </nc>
  </rcc>
  <rcc rId="3817" sId="2">
    <nc r="J513" t="inlineStr">
      <is>
        <t>New</t>
      </is>
    </nc>
  </rcc>
  <rcc rId="3818" sId="2">
    <nc r="J514" t="inlineStr">
      <is>
        <t>Delta/New</t>
      </is>
    </nc>
  </rcc>
  <rcc rId="3819" sId="2">
    <nc r="J515" t="inlineStr">
      <is>
        <t>Delta</t>
      </is>
    </nc>
  </rcc>
  <rcc rId="3820" sId="2">
    <nc r="J516" t="inlineStr">
      <is>
        <t>Delta</t>
      </is>
    </nc>
  </rcc>
  <rcc rId="3821" sId="2">
    <nc r="J517" t="inlineStr">
      <is>
        <t>Delta</t>
      </is>
    </nc>
  </rcc>
  <rcc rId="3822" sId="2">
    <nc r="J518" t="inlineStr">
      <is>
        <t>Delta</t>
      </is>
    </nc>
  </rcc>
  <rcc rId="3823" sId="2">
    <nc r="J519" t="inlineStr">
      <is>
        <t>Delta</t>
      </is>
    </nc>
  </rcc>
  <rcc rId="3824" sId="2">
    <nc r="J520" t="inlineStr">
      <is>
        <t>New</t>
      </is>
    </nc>
  </rcc>
  <rcc rId="3825" sId="2">
    <nc r="J521" t="inlineStr">
      <is>
        <t>Delta</t>
      </is>
    </nc>
  </rcc>
  <rcc rId="3826" sId="2">
    <nc r="J522" t="inlineStr">
      <is>
        <t>Delta/New</t>
      </is>
    </nc>
  </rcc>
  <rcc rId="3827" sId="2">
    <nc r="Y498">
      <f>Z498*8</f>
    </nc>
  </rcc>
  <rcc rId="3828" sId="2">
    <nc r="Y499">
      <f>Z499*8</f>
    </nc>
  </rcc>
  <rcc rId="3829" sId="2">
    <nc r="Y500">
      <f>Z500*8</f>
    </nc>
  </rcc>
  <rcc rId="3830" sId="2">
    <nc r="Y501">
      <f>Z501*8</f>
    </nc>
  </rcc>
  <rcc rId="3831" sId="2">
    <nc r="Y502">
      <f>Z502*8</f>
    </nc>
  </rcc>
  <rcc rId="3832" sId="2">
    <nc r="Y503">
      <f>Z503*8</f>
    </nc>
  </rcc>
  <rcc rId="3833" sId="2">
    <nc r="Y504">
      <f>Z504*8</f>
    </nc>
  </rcc>
  <rcc rId="3834" sId="2">
    <nc r="Y505">
      <f>Z505*8</f>
    </nc>
  </rcc>
  <rcc rId="3835" sId="2">
    <nc r="Y506">
      <f>Z506*8</f>
    </nc>
  </rcc>
  <rcc rId="3836" sId="2">
    <nc r="Y507">
      <f>Z507*8</f>
    </nc>
  </rcc>
  <rcc rId="3837" sId="2">
    <nc r="Y508">
      <f>Z508*8</f>
    </nc>
  </rcc>
  <rcc rId="3838" sId="2">
    <nc r="Y509">
      <f>Z509*8</f>
    </nc>
  </rcc>
  <rcc rId="3839" sId="2">
    <nc r="Y510">
      <f>Z510*8</f>
    </nc>
  </rcc>
  <rcc rId="3840" sId="2">
    <nc r="Y511">
      <f>Z511*8</f>
    </nc>
  </rcc>
  <rcc rId="3841" sId="2">
    <nc r="Y512">
      <f>Z512*8</f>
    </nc>
  </rcc>
  <rcc rId="3842" sId="2">
    <nc r="Y513">
      <f>Z513*8</f>
    </nc>
  </rcc>
  <rcc rId="3843" sId="2">
    <nc r="Y514">
      <f>Z514*8</f>
    </nc>
  </rcc>
  <rcc rId="3844" sId="2">
    <nc r="Y515">
      <f>Z515*8</f>
    </nc>
  </rcc>
  <rcc rId="3845" sId="2">
    <nc r="Y516">
      <f>Z516*8</f>
    </nc>
  </rcc>
  <rcc rId="3846" sId="2">
    <nc r="Y517">
      <f>Z517*8</f>
    </nc>
  </rcc>
  <rcc rId="3847" sId="2">
    <nc r="Y518">
      <f>Z518*8</f>
    </nc>
  </rcc>
  <rcc rId="3848" sId="2">
    <nc r="Y519">
      <f>Z519*8</f>
    </nc>
  </rcc>
  <rcc rId="3849" sId="2">
    <nc r="Y520">
      <f>Z520*8</f>
    </nc>
  </rcc>
  <rcc rId="3850" sId="2">
    <nc r="Y521">
      <f>Z521*8</f>
    </nc>
  </rcc>
  <rcc rId="3851" sId="2">
    <nc r="Y522">
      <f>Z522*8</f>
    </nc>
  </rcc>
  <rcc rId="3852" sId="2">
    <oc r="Y498">
      <f>Z498*8</f>
    </oc>
    <nc r="Y498">
      <v>1.6</v>
    </nc>
  </rcc>
  <rcc rId="3853" sId="2">
    <oc r="Y499">
      <f>Z499*8</f>
    </oc>
    <nc r="Y499">
      <v>5.04</v>
    </nc>
  </rcc>
  <rcc rId="3854" sId="2">
    <oc r="Y500">
      <f>Z500*8</f>
    </oc>
    <nc r="Y500">
      <v>4.32</v>
    </nc>
  </rcc>
  <rcc rId="3855" sId="2">
    <oc r="Y501">
      <f>Z501*8</f>
    </oc>
    <nc r="Y501">
      <v>1.6</v>
    </nc>
  </rcc>
  <rcc rId="3856" sId="2">
    <oc r="Y502">
      <f>Z502*8</f>
    </oc>
    <nc r="Y502">
      <v>1.6</v>
    </nc>
  </rcc>
  <rcc rId="3857" sId="2">
    <oc r="Y503">
      <f>Z503*8</f>
    </oc>
    <nc r="Y503">
      <v>4.32</v>
    </nc>
  </rcc>
  <rcc rId="3858" sId="2">
    <oc r="Y504">
      <f>Z504*8</f>
    </oc>
    <nc r="Y504">
      <v>2.16</v>
    </nc>
  </rcc>
  <rcc rId="3859" sId="2">
    <oc r="Y505">
      <f>Z505*8</f>
    </oc>
    <nc r="Y505">
      <v>1.52</v>
    </nc>
  </rcc>
  <rcc rId="3860" sId="2">
    <oc r="Y506">
      <f>Z506*8</f>
    </oc>
    <nc r="Y506">
      <v>2.8000000000000003</v>
    </nc>
  </rcc>
  <rcc rId="3861" sId="2">
    <oc r="Y507">
      <f>Z507*8</f>
    </oc>
    <nc r="Y507">
      <v>4.08</v>
    </nc>
  </rcc>
  <rcc rId="3862" sId="2">
    <oc r="Y508">
      <f>Z508*8</f>
    </oc>
    <nc r="Y508">
      <v>4.08</v>
    </nc>
  </rcc>
  <rcc rId="3863" sId="2">
    <oc r="Y509">
      <f>Z509*8</f>
    </oc>
    <nc r="Y509">
      <v>6</v>
    </nc>
  </rcc>
  <rcc rId="3864" sId="2">
    <oc r="Y510">
      <f>Z510*8</f>
    </oc>
    <nc r="Y510">
      <v>2.3199999999999998</v>
    </nc>
  </rcc>
  <rcc rId="3865" sId="2">
    <oc r="Y511">
      <f>Z511*8</f>
    </oc>
    <nc r="Y511">
      <v>1.6</v>
    </nc>
  </rcc>
  <rcc rId="3866" sId="2">
    <oc r="Y512">
      <f>Z512*8</f>
    </oc>
    <nc r="Y512">
      <v>1.6</v>
    </nc>
  </rcc>
  <rcc rId="3867" sId="2">
    <oc r="Y513">
      <f>Z513*8</f>
    </oc>
    <nc r="Y513">
      <v>2.3199999999999998</v>
    </nc>
  </rcc>
  <rcc rId="3868" sId="2">
    <oc r="Y514">
      <f>Z514*8</f>
    </oc>
    <nc r="Y514">
      <v>2</v>
    </nc>
  </rcc>
  <rcc rId="3869" sId="2">
    <oc r="Y515">
      <f>Z515*8</f>
    </oc>
    <nc r="Y515">
      <v>0.55999999999999994</v>
    </nc>
  </rcc>
  <rcc rId="3870" sId="2">
    <oc r="Y516">
      <f>Z516*8</f>
    </oc>
    <nc r="Y516">
      <v>0.55999999999999994</v>
    </nc>
  </rcc>
  <rcc rId="3871" sId="2">
    <oc r="Y517">
      <f>Z517*8</f>
    </oc>
    <nc r="Y517">
      <v>0.55999999999999994</v>
    </nc>
  </rcc>
  <rcc rId="3872" sId="2">
    <oc r="Y518">
      <f>Z518*8</f>
    </oc>
    <nc r="Y518">
      <v>0.55999999999999994</v>
    </nc>
  </rcc>
  <rcc rId="3873" sId="2">
    <oc r="Y519">
      <f>Z519*8</f>
    </oc>
    <nc r="Y519">
      <v>0.55999999999999994</v>
    </nc>
  </rcc>
  <rcc rId="3874" sId="2">
    <oc r="Y520">
      <f>Z520*8</f>
    </oc>
    <nc r="Y520">
      <v>0.88000000000000012</v>
    </nc>
  </rcc>
  <rcc rId="3875" sId="2">
    <oc r="Y521">
      <f>Z521*8</f>
    </oc>
    <nc r="Y521">
      <v>2.8000000000000003</v>
    </nc>
  </rcc>
  <rcc rId="3876" sId="2">
    <oc r="Y522">
      <f>Z522*8</f>
    </oc>
    <nc r="Y522">
      <v>2.8000000000000003</v>
    </nc>
  </rcc>
  <rcc rId="3877" sId="2">
    <nc r="H498" t="inlineStr">
      <is>
        <t>MT_102</t>
      </is>
    </nc>
  </rcc>
  <rcc rId="3878" sId="2">
    <nc r="H499" t="inlineStr">
      <is>
        <t>MT_103</t>
      </is>
    </nc>
  </rcc>
  <rcc rId="3879" sId="2">
    <nc r="H500" t="inlineStr">
      <is>
        <t>MT_104</t>
      </is>
    </nc>
  </rcc>
  <rcc rId="3880" sId="2">
    <nc r="H501" t="inlineStr">
      <is>
        <t>MT_105</t>
      </is>
    </nc>
  </rcc>
  <rcc rId="3881" sId="2">
    <nc r="H502" t="inlineStr">
      <is>
        <t>MT_106</t>
      </is>
    </nc>
  </rcc>
  <rcc rId="3882" sId="2">
    <nc r="H503" t="inlineStr">
      <is>
        <t>MT_107</t>
      </is>
    </nc>
  </rcc>
  <rcc rId="3883" sId="2">
    <nc r="H504" t="inlineStr">
      <is>
        <t>MT_002</t>
      </is>
    </nc>
  </rcc>
  <rcc rId="3884" sId="2">
    <nc r="H505" t="inlineStr">
      <is>
        <t>MT_006</t>
      </is>
    </nc>
  </rcc>
  <rcc rId="3885" sId="2">
    <nc r="H506" t="inlineStr">
      <is>
        <t>MT_007</t>
      </is>
    </nc>
  </rcc>
  <rcc rId="3886" sId="2">
    <nc r="H507" t="inlineStr">
      <is>
        <t>MT_008</t>
      </is>
    </nc>
  </rcc>
  <rcc rId="3887" sId="2">
    <nc r="H508" t="inlineStr">
      <is>
        <t>MT_009</t>
      </is>
    </nc>
  </rcc>
  <rcc rId="3888" sId="2">
    <nc r="H509" t="inlineStr">
      <is>
        <t>MT_010</t>
      </is>
    </nc>
  </rcc>
  <rcc rId="3889" sId="2">
    <nc r="H510" t="inlineStr">
      <is>
        <t>MT_114</t>
      </is>
    </nc>
  </rcc>
  <rcc rId="3890" sId="2">
    <nc r="H511" t="inlineStr">
      <is>
        <t>MT_115</t>
      </is>
    </nc>
  </rcc>
  <rcc rId="3891" sId="2">
    <nc r="H512" t="inlineStr">
      <is>
        <t>MT_117</t>
      </is>
    </nc>
  </rcc>
  <rcc rId="3892" sId="2">
    <nc r="H513" t="inlineStr">
      <is>
        <t>MT_121</t>
      </is>
    </nc>
  </rcc>
  <rcc rId="3893" sId="2">
    <nc r="H514" t="inlineStr">
      <is>
        <t>MT_122</t>
      </is>
    </nc>
  </rcc>
  <rcc rId="3894" sId="2">
    <nc r="H515" t="inlineStr">
      <is>
        <t>MT_026</t>
      </is>
    </nc>
  </rcc>
  <rcc rId="3895" sId="2">
    <nc r="H516" t="inlineStr">
      <is>
        <t>MT_027</t>
      </is>
    </nc>
  </rcc>
  <rcc rId="3896" sId="2">
    <nc r="H517" t="inlineStr">
      <is>
        <t>MT_028</t>
      </is>
    </nc>
  </rcc>
  <rcc rId="3897" sId="2">
    <nc r="H518" t="inlineStr">
      <is>
        <t>MT_032</t>
      </is>
    </nc>
  </rcc>
  <rcc rId="3898" sId="2">
    <nc r="H519" t="inlineStr">
      <is>
        <t>MT_033</t>
      </is>
    </nc>
  </rcc>
  <rcc rId="3899" sId="2">
    <nc r="H520" t="inlineStr">
      <is>
        <t>MT_034</t>
      </is>
    </nc>
  </rcc>
  <rcc rId="3900" sId="2">
    <nc r="H521" t="inlineStr">
      <is>
        <t>MT_035</t>
      </is>
    </nc>
  </rcc>
  <rcc rId="3901" sId="2">
    <nc r="H522" t="inlineStr">
      <is>
        <t>MT_040</t>
      </is>
    </nc>
  </rcc>
  <rcc rId="3902" sId="2">
    <nc r="W498">
      <f>ROUND(IF(D498=Table!$C$3,Y498*Table!$C$4/8,Y498*Table!$D$4/8),3)</f>
    </nc>
  </rcc>
  <rcc rId="3903" sId="2">
    <nc r="W499">
      <f>ROUND(IF(D499=Table!$C$3,Y499*Table!$C$4/8,Y499*Table!$D$4/8),3)</f>
    </nc>
  </rcc>
  <rcc rId="3904" sId="2">
    <nc r="W500">
      <f>ROUND(IF(D500=Table!$C$3,Y500*Table!$C$4/8,Y500*Table!$D$4/8),3)</f>
    </nc>
  </rcc>
  <rcc rId="3905" sId="2">
    <nc r="W501">
      <f>ROUND(IF(D501=Table!$C$3,Y501*Table!$C$4/8,Y501*Table!$D$4/8),3)</f>
    </nc>
  </rcc>
  <rcc rId="3906" sId="2">
    <nc r="W502">
      <f>ROUND(IF(D502=Table!$C$3,Y502*Table!$C$4/8,Y502*Table!$D$4/8),3)</f>
    </nc>
  </rcc>
  <rcc rId="3907" sId="2">
    <nc r="W503">
      <f>ROUND(IF(D503=Table!$C$3,Y503*Table!$C$4/8,Y503*Table!$D$4/8),3)</f>
    </nc>
  </rcc>
  <rcc rId="3908" sId="2">
    <nc r="W504">
      <f>ROUND(IF(D504=Table!$C$3,Y504*Table!$C$4/8,Y504*Table!$D$4/8),3)</f>
    </nc>
  </rcc>
  <rcc rId="3909" sId="2">
    <nc r="W505">
      <f>ROUND(IF(D505=Table!$C$3,Y505*Table!$C$4/8,Y505*Table!$D$4/8),3)</f>
    </nc>
  </rcc>
  <rcc rId="3910" sId="2">
    <nc r="W506">
      <f>ROUND(IF(D506=Table!$C$3,Y506*Table!$C$4/8,Y506*Table!$D$4/8),3)</f>
    </nc>
  </rcc>
  <rcc rId="3911" sId="2">
    <nc r="W507">
      <f>ROUND(IF(D507=Table!$C$3,Y507*Table!$C$4/8,Y507*Table!$D$4/8),3)</f>
    </nc>
  </rcc>
  <rcc rId="3912" sId="2">
    <nc r="W508">
      <f>ROUND(IF(D508=Table!$C$3,Y508*Table!$C$4/8,Y508*Table!$D$4/8),3)</f>
    </nc>
  </rcc>
  <rcc rId="3913" sId="2">
    <nc r="W509">
      <f>ROUND(IF(D509=Table!$C$3,Y509*Table!$C$4/8,Y509*Table!$D$4/8),3)</f>
    </nc>
  </rcc>
  <rcc rId="3914" sId="2">
    <nc r="W510">
      <f>ROUND(IF(D510=Table!$C$3,Y510*Table!$C$4/8,Y510*Table!$D$4/8),3)</f>
    </nc>
  </rcc>
  <rcc rId="3915" sId="2">
    <nc r="W511">
      <f>ROUND(IF(D511=Table!$C$3,Y511*Table!$C$4/8,Y511*Table!$D$4/8),3)</f>
    </nc>
  </rcc>
  <rcc rId="3916" sId="2">
    <nc r="W512">
      <f>ROUND(IF(D512=Table!$C$3,Y512*Table!$C$4/8,Y512*Table!$D$4/8),3)</f>
    </nc>
  </rcc>
  <rcc rId="3917" sId="2">
    <nc r="W513">
      <f>ROUND(IF(D513=Table!$C$3,Y513*Table!$C$4/8,Y513*Table!$D$4/8),3)</f>
    </nc>
  </rcc>
  <rcc rId="3918" sId="2">
    <nc r="W514">
      <f>ROUND(IF(D514=Table!$C$3,Y514*Table!$C$4/8,Y514*Table!$D$4/8),3)</f>
    </nc>
  </rcc>
  <rcc rId="3919" sId="2">
    <nc r="W515">
      <f>ROUND(IF(D515=Table!$C$3,Y515*Table!$C$4/8,Y515*Table!$D$4/8),3)</f>
    </nc>
  </rcc>
  <rcc rId="3920" sId="2">
    <nc r="W516">
      <f>ROUND(IF(D516=Table!$C$3,Y516*Table!$C$4/8,Y516*Table!$D$4/8),3)</f>
    </nc>
  </rcc>
  <rcc rId="3921" sId="2">
    <nc r="W517">
      <f>ROUND(IF(D517=Table!$C$3,Y517*Table!$C$4/8,Y517*Table!$D$4/8),3)</f>
    </nc>
  </rcc>
  <rcc rId="3922" sId="2">
    <nc r="W518">
      <f>ROUND(IF(D518=Table!$C$3,Y518*Table!$C$4/8,Y518*Table!$D$4/8),3)</f>
    </nc>
  </rcc>
  <rcc rId="3923" sId="2">
    <nc r="W519">
      <f>ROUND(IF(D519=Table!$C$3,Y519*Table!$C$4/8,Y519*Table!$D$4/8),3)</f>
    </nc>
  </rcc>
  <rcc rId="3924" sId="2">
    <nc r="W520">
      <f>ROUND(IF(D520=Table!$C$3,Y520*Table!$C$4/8,Y520*Table!$D$4/8),3)</f>
    </nc>
  </rcc>
  <rcc rId="3925" sId="2">
    <nc r="W521">
      <f>ROUND(IF(D521=Table!$C$3,Y521*Table!$C$4/8,Y521*Table!$D$4/8),3)</f>
    </nc>
  </rcc>
  <rcc rId="3926" sId="2">
    <nc r="W522">
      <f>ROUND(IF(D522=Table!$C$3,Y522*Table!$C$4/8,Y522*Table!$D$4/8),3)</f>
    </nc>
  </rcc>
  <rcc rId="3927" sId="2">
    <nc r="R498" t="inlineStr">
      <is>
        <t>T2xx</t>
      </is>
    </nc>
  </rcc>
  <rcc rId="3928" sId="2">
    <nc r="R499" t="inlineStr">
      <is>
        <t>T2xx</t>
      </is>
    </nc>
  </rcc>
  <rcc rId="3929" sId="2">
    <nc r="R500" t="inlineStr">
      <is>
        <t>T2xx</t>
      </is>
    </nc>
  </rcc>
  <rcc rId="3930" sId="2">
    <nc r="R501" t="inlineStr">
      <is>
        <t>T2xx</t>
      </is>
    </nc>
  </rcc>
  <rcc rId="3931" sId="2">
    <nc r="R502" t="inlineStr">
      <is>
        <t>T2xx</t>
      </is>
    </nc>
  </rcc>
  <rcc rId="3932" sId="2">
    <nc r="R503" t="inlineStr">
      <is>
        <t>T2xx</t>
      </is>
    </nc>
  </rcc>
  <rcc rId="3933" sId="2">
    <nc r="R504" t="inlineStr">
      <is>
        <t>T2xx</t>
      </is>
    </nc>
  </rcc>
  <rcc rId="3934" sId="2">
    <nc r="R505" t="inlineStr">
      <is>
        <t>T2xx</t>
      </is>
    </nc>
  </rcc>
  <rcc rId="3935" sId="2">
    <nc r="R506" t="inlineStr">
      <is>
        <t>T2xx</t>
      </is>
    </nc>
  </rcc>
  <rcc rId="3936" sId="2">
    <nc r="R507" t="inlineStr">
      <is>
        <t>T2xx</t>
      </is>
    </nc>
  </rcc>
  <rcc rId="3937" sId="2">
    <nc r="R508" t="inlineStr">
      <is>
        <t>T2xx</t>
      </is>
    </nc>
  </rcc>
  <rcc rId="3938" sId="2">
    <nc r="R509" t="inlineStr">
      <is>
        <t>T2xx</t>
      </is>
    </nc>
  </rcc>
  <rcc rId="3939" sId="2">
    <nc r="R510" t="inlineStr">
      <is>
        <t>T2xx</t>
      </is>
    </nc>
  </rcc>
  <rcc rId="3940" sId="2">
    <nc r="R511" t="inlineStr">
      <is>
        <t>T2xx</t>
      </is>
    </nc>
  </rcc>
  <rcc rId="3941" sId="2">
    <nc r="R512" t="inlineStr">
      <is>
        <t>T2xx</t>
      </is>
    </nc>
  </rcc>
  <rcc rId="3942" sId="2">
    <nc r="R513" t="inlineStr">
      <is>
        <t>T2xx</t>
      </is>
    </nc>
  </rcc>
  <rcc rId="3943" sId="2">
    <nc r="R514" t="inlineStr">
      <is>
        <t>T2xx</t>
      </is>
    </nc>
  </rcc>
  <rcc rId="3944" sId="2">
    <nc r="R515" t="inlineStr">
      <is>
        <t>T2xx</t>
      </is>
    </nc>
  </rcc>
  <rcc rId="3945" sId="2">
    <nc r="R516" t="inlineStr">
      <is>
        <t>T2xx</t>
      </is>
    </nc>
  </rcc>
  <rcc rId="3946" sId="2">
    <nc r="R517" t="inlineStr">
      <is>
        <t>T2xx</t>
      </is>
    </nc>
  </rcc>
  <rcc rId="3947" sId="2">
    <nc r="R518" t="inlineStr">
      <is>
        <t>T2xx</t>
      </is>
    </nc>
  </rcc>
  <rcc rId="3948" sId="2">
    <nc r="R519" t="inlineStr">
      <is>
        <t>T2xx</t>
      </is>
    </nc>
  </rcc>
  <rcc rId="3949" sId="2">
    <nc r="R520" t="inlineStr">
      <is>
        <t>T2xx</t>
      </is>
    </nc>
  </rcc>
  <rcc rId="3950" sId="2">
    <nc r="R521" t="inlineStr">
      <is>
        <t>T2xx</t>
      </is>
    </nc>
  </rcc>
  <rcc rId="3951" sId="2">
    <nc r="R522" t="inlineStr">
      <is>
        <t>T2xx</t>
      </is>
    </nc>
  </rcc>
  <rcc rId="3952" sId="2">
    <oc r="AA314" t="inlineStr">
      <is>
        <t>Ready for PLC</t>
      </is>
    </oc>
    <nc r="AA314" t="inlineStr">
      <is>
        <t>Complete &amp; Closed</t>
      </is>
    </nc>
  </rcc>
  <rcc rId="3953" sId="2">
    <oc r="AA315" t="inlineStr">
      <is>
        <t>Ready for PLC</t>
      </is>
    </oc>
    <nc r="AA315" t="inlineStr">
      <is>
        <t>Complete &amp; Closed</t>
      </is>
    </nc>
  </rcc>
  <rcc rId="3954" sId="2">
    <oc r="AA316" t="inlineStr">
      <is>
        <t>Ready for PLC</t>
      </is>
    </oc>
    <nc r="AA316" t="inlineStr">
      <is>
        <t>Complete &amp; Closed</t>
      </is>
    </nc>
  </rcc>
  <rcc rId="3955" sId="2">
    <oc r="AA317" t="inlineStr">
      <is>
        <t>Ready for PLC</t>
      </is>
    </oc>
    <nc r="AA317" t="inlineStr">
      <is>
        <t>Complete &amp; Closed</t>
      </is>
    </nc>
  </rcc>
  <rcc rId="3956" sId="2">
    <oc r="AA318" t="inlineStr">
      <is>
        <t>Ready for PLC</t>
      </is>
    </oc>
    <nc r="AA318" t="inlineStr">
      <is>
        <t>Complete &amp; Closed</t>
      </is>
    </nc>
  </rcc>
  <rcc rId="3957" sId="2">
    <oc r="AA319" t="inlineStr">
      <is>
        <t>Ready for PLC</t>
      </is>
    </oc>
    <nc r="AA319" t="inlineStr">
      <is>
        <t>Complete &amp; Closed</t>
      </is>
    </nc>
  </rcc>
  <rcc rId="3958" sId="2">
    <oc r="AA320" t="inlineStr">
      <is>
        <t>Ready for PLC</t>
      </is>
    </oc>
    <nc r="AA320" t="inlineStr">
      <is>
        <t>Complete &amp; Closed</t>
      </is>
    </nc>
  </rcc>
  <rcc rId="3959" sId="2">
    <oc r="AA321" t="inlineStr">
      <is>
        <t>Ready for PLC</t>
      </is>
    </oc>
    <nc r="AA321" t="inlineStr">
      <is>
        <t>Complete &amp; Closed</t>
      </is>
    </nc>
  </rcc>
  <rcc rId="3960" sId="2">
    <oc r="AA322" t="inlineStr">
      <is>
        <t>Ready for PLC</t>
      </is>
    </oc>
    <nc r="AA322" t="inlineStr">
      <is>
        <t>Complete &amp; Closed</t>
      </is>
    </nc>
  </rcc>
  <rcc rId="3961" sId="2">
    <oc r="AA323" t="inlineStr">
      <is>
        <t>Ready for PLC</t>
      </is>
    </oc>
    <nc r="AA323" t="inlineStr">
      <is>
        <t>Complete &amp; Closed</t>
      </is>
    </nc>
  </rcc>
  <rcc rId="3962" sId="2">
    <oc r="AA324" t="inlineStr">
      <is>
        <t>Ready for PLC</t>
      </is>
    </oc>
    <nc r="AA324" t="inlineStr">
      <is>
        <t>Complete &amp; Closed</t>
      </is>
    </nc>
  </rcc>
  <rcc rId="3963" sId="2">
    <oc r="AA325" t="inlineStr">
      <is>
        <t>Ready for PLC</t>
      </is>
    </oc>
    <nc r="AA325" t="inlineStr">
      <is>
        <t>Complete &amp; Closed</t>
      </is>
    </nc>
  </rcc>
  <rcc rId="3964" sId="2">
    <oc r="AA326" t="inlineStr">
      <is>
        <t>Ready for PLC</t>
      </is>
    </oc>
    <nc r="AA326" t="inlineStr">
      <is>
        <t>Complete &amp; Closed</t>
      </is>
    </nc>
  </rcc>
  <rcc rId="3965" sId="2">
    <oc r="AA327" t="inlineStr">
      <is>
        <t>Ready for PLC</t>
      </is>
    </oc>
    <nc r="AA327" t="inlineStr">
      <is>
        <t>Complete &amp; Closed</t>
      </is>
    </nc>
  </rcc>
  <rcc rId="3966" sId="2">
    <oc r="AA328" t="inlineStr">
      <is>
        <t>Ready for PLC</t>
      </is>
    </oc>
    <nc r="AA328" t="inlineStr">
      <is>
        <t>Complete &amp; Closed</t>
      </is>
    </nc>
  </rcc>
  <rcc rId="3967" sId="2">
    <oc r="AA329" t="inlineStr">
      <is>
        <t>Ready for PLC</t>
      </is>
    </oc>
    <nc r="AA329" t="inlineStr">
      <is>
        <t>Complete &amp; Closed</t>
      </is>
    </nc>
  </rcc>
  <rcc rId="3968" sId="2">
    <oc r="AA330" t="inlineStr">
      <is>
        <t>Ready for PLC</t>
      </is>
    </oc>
    <nc r="AA330" t="inlineStr">
      <is>
        <t>Complete &amp; Closed</t>
      </is>
    </nc>
  </rcc>
  <rcc rId="3969" sId="2">
    <oc r="AA331" t="inlineStr">
      <is>
        <t>Ready for PLC</t>
      </is>
    </oc>
    <nc r="AA331" t="inlineStr">
      <is>
        <t>Complete &amp; Closed</t>
      </is>
    </nc>
  </rcc>
  <rcc rId="3970" sId="2">
    <oc r="AA332" t="inlineStr">
      <is>
        <t>Ready for PLC</t>
      </is>
    </oc>
    <nc r="AA332" t="inlineStr">
      <is>
        <t>Complete &amp; Closed</t>
      </is>
    </nc>
  </rcc>
  <rcc rId="3971" sId="2">
    <oc r="AA333" t="inlineStr">
      <is>
        <t>Ready for PLC</t>
      </is>
    </oc>
    <nc r="AA333" t="inlineStr">
      <is>
        <t>Complete &amp; Closed</t>
      </is>
    </nc>
  </rcc>
  <rcc rId="3972" sId="2">
    <oc r="AA334" t="inlineStr">
      <is>
        <t>Ready for PLC</t>
      </is>
    </oc>
    <nc r="AA334" t="inlineStr">
      <is>
        <t>Complete &amp; Closed</t>
      </is>
    </nc>
  </rcc>
  <rcc rId="3973" sId="2">
    <oc r="AA335" t="inlineStr">
      <is>
        <t>Ready for PLC</t>
      </is>
    </oc>
    <nc r="AA335" t="inlineStr">
      <is>
        <t>Complete &amp; Closed</t>
      </is>
    </nc>
  </rcc>
  <rcc rId="3974" sId="2">
    <oc r="AA336" t="inlineStr">
      <is>
        <t>Ready for PLC</t>
      </is>
    </oc>
    <nc r="AA336" t="inlineStr">
      <is>
        <t>Complete &amp; Closed</t>
      </is>
    </nc>
  </rcc>
  <rcc rId="3975" sId="2">
    <oc r="AA337" t="inlineStr">
      <is>
        <t>Ready for PLC</t>
      </is>
    </oc>
    <nc r="AA337" t="inlineStr">
      <is>
        <t>Complete &amp; Closed</t>
      </is>
    </nc>
  </rcc>
  <rcc rId="3976" sId="2">
    <oc r="AA338" t="inlineStr">
      <is>
        <t>Ready for PLC</t>
      </is>
    </oc>
    <nc r="AA338" t="inlineStr">
      <is>
        <t>Complete &amp; Closed</t>
      </is>
    </nc>
  </rcc>
  <rcc rId="3977" sId="2">
    <oc r="AA339" t="inlineStr">
      <is>
        <t>Ready for PLC</t>
      </is>
    </oc>
    <nc r="AA339" t="inlineStr">
      <is>
        <t>Complete &amp; Closed</t>
      </is>
    </nc>
  </rcc>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Merged_JOEM!$B$59:$AN$559</formula>
    <oldFormula>Merged_JOEM!$B$59:$AN$540</oldFormula>
  </rdn>
  <rcv guid="{7ECC2B8E-6A82-42F5-8AB0-4A51C54EA5EC}" action="add"/>
</revisions>
</file>

<file path=xl/revisions/revisionLog2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80" sId="5" odxf="1" dxf="1">
    <nc r="B210" t="inlineStr">
      <is>
        <t>Project</t>
      </is>
    </nc>
    <odxf>
      <font>
        <b val="0"/>
        <sz val="11"/>
        <color theme="1"/>
        <name val="Calibri"/>
        <scheme val="minor"/>
      </font>
    </odxf>
    <ndxf>
      <font>
        <b/>
        <sz val="11"/>
        <color theme="1"/>
        <name val="Calibri"/>
        <scheme val="minor"/>
      </font>
    </ndxf>
  </rcc>
  <rfmt sheetId="5" sqref="C210" start="0" length="0">
    <dxf>
      <font>
        <b/>
        <sz val="11"/>
        <color theme="1"/>
        <name val="Calibri"/>
        <scheme val="minor"/>
      </font>
    </dxf>
  </rfmt>
  <rcc rId="3981" sId="5" odxf="1" dxf="1">
    <nc r="B211" t="inlineStr">
      <is>
        <t>Time</t>
      </is>
    </nc>
    <odxf>
      <font>
        <b val="0"/>
        <sz val="11"/>
        <color theme="1"/>
        <name val="Calibri"/>
        <scheme val="minor"/>
      </font>
    </odxf>
    <ndxf>
      <font>
        <b/>
        <sz val="11"/>
        <color theme="1"/>
        <name val="Calibri"/>
        <scheme val="minor"/>
      </font>
    </ndxf>
  </rcc>
  <rcc rId="3982" sId="5">
    <nc r="C211">
      <f>SUM(G217:G218)</f>
    </nc>
  </rcc>
  <rcc rId="3983" sId="5">
    <nc r="D211" t="inlineStr">
      <is>
        <t>days</t>
      </is>
    </nc>
  </rcc>
  <rcc rId="3984" sId="5" odxf="1" dxf="1">
    <nc r="B212" t="inlineStr">
      <is>
        <t>Duration (Plan)</t>
      </is>
    </nc>
    <odxf>
      <font>
        <b val="0"/>
        <sz val="11"/>
        <color theme="1"/>
        <name val="Calibri"/>
        <scheme val="minor"/>
      </font>
    </odxf>
    <ndxf>
      <font>
        <b/>
        <sz val="11"/>
        <color theme="1"/>
        <name val="Calibri"/>
        <scheme val="minor"/>
      </font>
    </ndxf>
  </rcc>
  <rcc rId="3985" sId="5">
    <nc r="C212">
      <f>SUM(INT((WEEKDAY(F212-{2,3,4,5,6})+H212-F212)/7))</f>
    </nc>
  </rcc>
  <rcc rId="3986" sId="5">
    <nc r="D212" t="inlineStr">
      <is>
        <t>days</t>
      </is>
    </nc>
  </rcc>
  <rcc rId="3987" sId="5">
    <nc r="E212" t="inlineStr">
      <is>
        <t>10h00</t>
      </is>
    </nc>
  </rcc>
  <rcc rId="3988" sId="5" odxf="1" dxf="1" numFmtId="19">
    <nc r="F212">
      <v>44083</v>
    </nc>
    <odxf>
      <numFmt numFmtId="0" formatCode="General"/>
    </odxf>
    <ndxf>
      <numFmt numFmtId="19" formatCode="m/d/yyyy"/>
    </ndxf>
  </rcc>
  <rcc rId="3989" sId="5" odxf="1" dxf="1">
    <nc r="G212" t="inlineStr">
      <is>
        <t>17h00</t>
      </is>
    </nc>
    <odxf>
      <numFmt numFmtId="0" formatCode="General"/>
    </odxf>
    <ndxf>
      <numFmt numFmtId="19" formatCode="m/d/yyyy"/>
    </ndxf>
  </rcc>
  <rcc rId="3990" sId="5" odxf="1" dxf="1" numFmtId="19">
    <nc r="H212">
      <v>44090</v>
    </nc>
    <odxf>
      <numFmt numFmtId="0" formatCode="General"/>
    </odxf>
    <ndxf>
      <numFmt numFmtId="19" formatCode="m/d/yyyy"/>
    </ndxf>
  </rcc>
  <rcc rId="3991" sId="5" odxf="1" dxf="1">
    <nc r="B213" t="inlineStr">
      <is>
        <t>Duration (Actual)</t>
      </is>
    </nc>
    <odxf>
      <font>
        <b val="0"/>
        <sz val="11"/>
        <color theme="1"/>
        <name val="Calibri"/>
        <scheme val="minor"/>
      </font>
    </odxf>
    <ndxf>
      <font>
        <b/>
        <sz val="11"/>
        <color theme="1"/>
        <name val="Calibri"/>
        <scheme val="minor"/>
      </font>
    </ndxf>
  </rcc>
  <rcc rId="3992" sId="5">
    <nc r="C213">
      <f>SUM(INT((WEEKDAY(F213-{2,3,4,5,6})+H213-F213)/7))</f>
    </nc>
  </rcc>
  <rcc rId="3993" sId="5">
    <nc r="D213" t="inlineStr">
      <is>
        <t>days</t>
      </is>
    </nc>
  </rcc>
  <rcc rId="3994" sId="5">
    <nc r="E213" t="inlineStr">
      <is>
        <t>11h00</t>
      </is>
    </nc>
  </rcc>
  <rcc rId="3995" sId="5" odxf="1" dxf="1" numFmtId="19">
    <nc r="F213">
      <v>44083</v>
    </nc>
    <odxf>
      <numFmt numFmtId="0" formatCode="General"/>
    </odxf>
    <ndxf>
      <numFmt numFmtId="19" formatCode="m/d/yyyy"/>
    </ndxf>
  </rcc>
  <rcc rId="3996" sId="5" odxf="1" dxf="1">
    <nc r="G213" t="inlineStr">
      <is>
        <t>17h00</t>
      </is>
    </nc>
    <odxf>
      <numFmt numFmtId="0" formatCode="General"/>
    </odxf>
    <ndxf>
      <numFmt numFmtId="19" formatCode="m/d/yyyy"/>
    </ndxf>
  </rcc>
  <rcc rId="3997" sId="5" odxf="1" dxf="1" numFmtId="19">
    <nc r="H213">
      <v>44090</v>
    </nc>
    <odxf>
      <numFmt numFmtId="0" formatCode="General"/>
    </odxf>
    <ndxf>
      <numFmt numFmtId="19" formatCode="m/d/yyyy"/>
    </ndxf>
  </rcc>
  <rcc rId="3998" sId="5" odxf="1" dxf="1">
    <nc r="B214" t="inlineStr">
      <is>
        <t>Status</t>
      </is>
    </nc>
    <odxf>
      <font>
        <b val="0"/>
        <sz val="11"/>
        <color theme="1"/>
        <name val="Calibri"/>
        <scheme val="minor"/>
      </font>
    </odxf>
    <ndxf>
      <font>
        <b/>
        <sz val="11"/>
        <color theme="1"/>
        <name val="Calibri"/>
        <scheme val="minor"/>
      </font>
    </ndxf>
  </rcc>
  <rcc rId="3999" sId="5">
    <nc r="C214">
      <f>IF(AND(F217=E217,F218=E218),IF(SUM(H217:H218)&gt;SUM(G217:G218),"Delayed",IF(SUM(H217:H218)&lt;SUM(G217:G218),"InAdvanced","Ontime")),"N/A")</f>
    </nc>
  </rcc>
  <rfmt sheetId="5" sqref="F214" start="0" length="0">
    <dxf>
      <numFmt numFmtId="19" formatCode="m/d/yyyy"/>
    </dxf>
  </rfmt>
  <rfmt sheetId="5" sqref="G214" start="0" length="0">
    <dxf>
      <numFmt numFmtId="19" formatCode="m/d/yyyy"/>
    </dxf>
  </rfmt>
  <rfmt sheetId="5" sqref="H214" start="0" length="0">
    <dxf>
      <numFmt numFmtId="19" formatCode="m/d/yyyy"/>
    </dxf>
  </rfmt>
  <rcc rId="4000" sId="5" odxf="1" dxf="1">
    <nc r="C216"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4001" sId="5" odxf="1" dxf="1">
    <nc r="D216"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4002" sId="5" odxf="1" dxf="1">
    <nc r="E216"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003" sId="5" odxf="1" dxf="1">
    <nc r="F216"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004" sId="5" odxf="1" dxf="1">
    <nc r="G216"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005" sId="5" odxf="1" dxf="1">
    <nc r="H216"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006" sId="5" odxf="1" dxf="1">
    <nc r="I216"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007" sId="5" odxf="1" dxf="1">
    <nc r="J216">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008" sId="5" odxf="1" dxf="1">
    <nc r="K216">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009" sId="5" odxf="1" dxf="1">
    <nc r="C217">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4010" sId="5" odxf="1" dxf="1">
    <nc r="D217">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011" sId="5" odxf="1" dxf="1">
    <nc r="E217">
      <f>SUMIFS(Merged_JOEM!$W$60:$W$566,Merged_JOEM!$D$60:$D$566,D217, Merged_JOEM!$E$60:$E$566,C210)</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012" sId="5" odxf="1" dxf="1">
    <nc r="F217">
      <f>SUMIFS(Merged_JOEM!$X$60:$X$566,Merged_JOEM!$D$60:$D$566,D217, Merged_JOEM!$E$60:$E$566,C210)-SUM(SUMIFS(Merged_JOEM!$X$60:$X$566,Merged_JOEM!$D$60:$D$566,D217,Merged_JOEM!$AA$60:$AA$566,{"Ongoing","N/A",""},Merged_JOEM!$E$60:$E$566,C210))</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013" sId="5" odxf="1" dxf="1">
    <nc r="G217">
      <f>1/8*(SUMIFS(Merged_JOEM!$Y$60:$Y$566,Merged_JOEM!$D$60:$D$566,D217, Merged_JOEM!$E$60:$E$566,C210))</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014" sId="5" odxf="1" dxf="1">
    <nc r="H217">
      <f>1/8*(SUMIFS(Merged_JOEM!$Z$60:$Z$566,Merged_JOEM!$D$60:$D$566,D217, Merged_JOEM!$E$60:$E$566,C210)-SUM(SUMIFS(Merged_JOEM!$Z$60:$Z$566,Merged_JOEM!$D$60:$D$566,D217,Merged_JOEM!$AA$60:$AA$566,{"Ongoing","N/A",""},Merged_JOEM!$E$60:$E$566,C210)))</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015" sId="5" odxf="1" dxf="1">
    <nc r="I217">
      <f>IFERROR(F217/E217,"N/A")</f>
    </nc>
    <odxf>
      <numFmt numFmtId="0" formatCode="General"/>
      <alignment horizontal="general" vertical="bottom" readingOrder="0"/>
      <border outline="0">
        <left/>
        <right/>
        <top/>
        <bottom/>
      </border>
    </odxf>
    <ndxf>
      <numFmt numFmtId="14" formatCode="0.00%"/>
      <alignment horizontal="center" vertical="top" readingOrder="0"/>
      <border outline="0">
        <left style="thin">
          <color indexed="64"/>
        </left>
        <right style="thin">
          <color indexed="64"/>
        </right>
        <top style="thin">
          <color indexed="64"/>
        </top>
        <bottom style="thin">
          <color indexed="64"/>
        </bottom>
      </border>
    </ndxf>
  </rcc>
  <rcc rId="4016" sId="5" odxf="1" dxf="1">
    <nc r="J217">
      <f>COUNTIFS(Merged_JOEM!$AK$60:$AK$566,J216,Merged_JOEM!$D$60:$D$566,D217,Merged_JOEM!$E$60:$E$566,C210)</f>
    </nc>
    <odxf>
      <border outline="0">
        <left/>
        <right/>
        <top/>
        <bottom/>
      </border>
    </odxf>
    <ndxf>
      <border outline="0">
        <left style="thin">
          <color indexed="64"/>
        </left>
        <right style="thin">
          <color indexed="64"/>
        </right>
        <top style="thin">
          <color indexed="64"/>
        </top>
        <bottom style="thin">
          <color indexed="64"/>
        </bottom>
      </border>
    </ndxf>
  </rcc>
  <rcc rId="4017" sId="5" odxf="1" dxf="1">
    <nc r="K217">
      <f>COUNTIFS(Merged_JOEM!$AK$60:$AK$566,K216,Merged_JOEM!$D$60:$D$566,D217,Merged_JOEM!$E$60:$E$566,C210)</f>
    </nc>
    <odxf>
      <border outline="0">
        <left/>
        <right/>
        <top/>
        <bottom/>
      </border>
    </odxf>
    <ndxf>
      <border outline="0">
        <left style="thin">
          <color indexed="64"/>
        </left>
        <right style="thin">
          <color indexed="64"/>
        </right>
        <top style="thin">
          <color indexed="64"/>
        </top>
        <bottom style="thin">
          <color indexed="64"/>
        </bottom>
      </border>
    </ndxf>
  </rcc>
  <rcc rId="4018" sId="5" odxf="1" dxf="1">
    <nc r="C218">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4019" sId="5" odxf="1" dxf="1">
    <nc r="D218">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020" sId="5" odxf="1" dxf="1">
    <nc r="E218">
      <f>SUMIFS(Merged_JOEM!$W$60:$W$566,Merged_JOEM!$D$60:$D$566,D218, Merged_JOEM!$E$60:$E$566,C210)</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021" sId="5" odxf="1" dxf="1">
    <nc r="F218">
      <f>SUMIFS(Merged_JOEM!$X$60:$X$566,Merged_JOEM!$D$60:$D$566,D218, Merged_JOEM!$E$60:$E$566,C210)-SUM(SUMIFS(Merged_JOEM!$X$60:$X$566,Merged_JOEM!$D$60:$D$566,D218,Merged_JOEM!$AA$60:$AA$566,{"Ongoing","N/A",""},Merged_JOEM!$E$60:$E$566,C210))</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022" sId="5" odxf="1" dxf="1">
    <nc r="G218">
      <f>1/8*(SUMIFS(Merged_JOEM!$Y$60:$Y$566,Merged_JOEM!$D$60:$D$566,D218,Merged_JOEM!$E$60:$E$566,C210))</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023" sId="5" odxf="1" dxf="1">
    <nc r="H218">
      <f>1/8*(SUMIFS(Merged_JOEM!$Z$60:$Z$566,Merged_JOEM!$D$60:$D$566,D218,Merged_JOEM!$E$60:$E$566,C210)-SUM(SUMIFS(Merged_JOEM!$Z$60:$Z$566,Merged_JOEM!$D$60:$D$566,D218,Merged_JOEM!$AA$60:$AA$566,{"Ongoing","N/A",""},Merged_JOEM!$E$60:$E$566,C210)))</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024" sId="5" odxf="1" dxf="1">
    <nc r="I218">
      <f>IFERROR(F218/E218,"N/A")</f>
    </nc>
    <odxf>
      <numFmt numFmtId="0" formatCode="General"/>
      <alignment horizontal="general" vertical="bottom" readingOrder="0"/>
      <border outline="0">
        <left/>
        <right/>
        <top/>
        <bottom/>
      </border>
    </odxf>
    <ndxf>
      <numFmt numFmtId="14" formatCode="0.00%"/>
      <alignment horizontal="center" vertical="top" readingOrder="0"/>
      <border outline="0">
        <left style="thin">
          <color indexed="64"/>
        </left>
        <right style="thin">
          <color indexed="64"/>
        </right>
        <top style="thin">
          <color indexed="64"/>
        </top>
        <bottom style="thin">
          <color indexed="64"/>
        </bottom>
      </border>
    </ndxf>
  </rcc>
  <rcc rId="4025" sId="5" odxf="1" dxf="1">
    <nc r="J218">
      <f>COUNTIFS(Merged_JOEM!$AK$60:$AK$566,J216,Merged_JOEM!$D$60:$D$566,D218,Merged_JOEM!$E$60:$E$566,C210)</f>
    </nc>
    <odxf>
      <border outline="0">
        <left/>
        <right/>
        <top/>
        <bottom/>
      </border>
    </odxf>
    <ndxf>
      <border outline="0">
        <left style="thin">
          <color indexed="64"/>
        </left>
        <right style="thin">
          <color indexed="64"/>
        </right>
        <top style="thin">
          <color indexed="64"/>
        </top>
        <bottom style="thin">
          <color indexed="64"/>
        </bottom>
      </border>
    </ndxf>
  </rcc>
  <rcc rId="4026" sId="5" odxf="1" dxf="1">
    <nc r="K218">
      <f>COUNTIFS(Merged_JOEM!$AK$60:$AK$566,K216,Merged_JOEM!$D$60:$D$566,D218,Merged_JOEM!$E$60:$E$566,C210)</f>
    </nc>
    <odxf>
      <border outline="0">
        <left/>
        <right/>
        <top/>
        <bottom/>
      </border>
    </odxf>
    <ndxf>
      <border outline="0">
        <left style="thin">
          <color indexed="64"/>
        </left>
        <right style="thin">
          <color indexed="64"/>
        </right>
        <top style="thin">
          <color indexed="64"/>
        </top>
        <bottom style="thin">
          <color indexed="64"/>
        </bottom>
      </border>
    </ndxf>
  </rcc>
  <rcc rId="4027" sId="5">
    <nc r="C220" t="inlineStr">
      <is>
        <t>Brief Description:</t>
      </is>
    </nc>
  </rcc>
  <rcc rId="4028" sId="5">
    <nc r="A210">
      <v>17</v>
    </nc>
  </rcc>
  <rcc rId="4029" sId="5">
    <nc r="C210" t="inlineStr">
      <is>
        <t>TOY_PF19_CMP_BL17_Integration_7</t>
      </is>
    </nc>
  </rcc>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2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32" sId="2" quotePrefix="1">
    <nc r="L498" t="inlineStr">
      <is>
        <t>BB98335,BB97973</t>
      </is>
    </nc>
  </rcc>
  <rcc rId="4033" sId="2" quotePrefix="1">
    <nc r="L499" t="inlineStr">
      <is>
        <t>BB98335,BB97973</t>
      </is>
    </nc>
  </rcc>
  <rcc rId="4034" sId="2" quotePrefix="1">
    <nc r="L500" t="inlineStr">
      <is>
        <t>BB98335,BB97973</t>
      </is>
    </nc>
  </rcc>
  <rcc rId="4035" sId="2" quotePrefix="1">
    <nc r="L501" t="inlineStr">
      <is>
        <t>BB98335,BB97973</t>
      </is>
    </nc>
  </rcc>
  <rcc rId="4036" sId="2" quotePrefix="1">
    <nc r="L502" t="inlineStr">
      <is>
        <t>BB98335,BB97973</t>
      </is>
    </nc>
  </rcc>
  <rcc rId="4037" sId="2" quotePrefix="1">
    <nc r="L503" t="inlineStr">
      <is>
        <t>BB98335,BB97973</t>
      </is>
    </nc>
  </rcc>
  <rcc rId="4038" sId="2" quotePrefix="1">
    <nc r="L504" t="inlineStr">
      <is>
        <t>BB98335,BB97973</t>
      </is>
    </nc>
  </rcc>
  <rcc rId="4039" sId="2" quotePrefix="1">
    <nc r="L505" t="inlineStr">
      <is>
        <t>BB98335,BB97973</t>
      </is>
    </nc>
  </rcc>
  <rcc rId="4040" sId="2" quotePrefix="1">
    <nc r="L506" t="inlineStr">
      <is>
        <t>BB98335,BB97973</t>
      </is>
    </nc>
  </rcc>
  <rcc rId="4041" sId="2" quotePrefix="1">
    <nc r="L507" t="inlineStr">
      <is>
        <t>BB98335,BB97973</t>
      </is>
    </nc>
  </rcc>
  <rcc rId="4042" sId="2" quotePrefix="1">
    <nc r="L508" t="inlineStr">
      <is>
        <t>BB98335,BB97973</t>
      </is>
    </nc>
  </rcc>
  <rcc rId="4043" sId="2" quotePrefix="1">
    <nc r="L509" t="inlineStr">
      <is>
        <t>BB98335,BB97973</t>
      </is>
    </nc>
  </rcc>
  <rcc rId="4044" sId="2" quotePrefix="1">
    <nc r="L510" t="inlineStr">
      <is>
        <t>BB98335,BB97973</t>
      </is>
    </nc>
  </rcc>
  <rcc rId="4045" sId="2" quotePrefix="1">
    <nc r="L511" t="inlineStr">
      <is>
        <t>BB98335,BB97973</t>
      </is>
    </nc>
  </rcc>
  <rcc rId="4046" sId="2" quotePrefix="1">
    <nc r="L512" t="inlineStr">
      <is>
        <t>BB98335,BB97973</t>
      </is>
    </nc>
  </rcc>
  <rcc rId="4047" sId="2" quotePrefix="1">
    <nc r="L513" t="inlineStr">
      <is>
        <t>BB98335,BB97973</t>
      </is>
    </nc>
  </rcc>
  <rcc rId="4048" sId="2" quotePrefix="1">
    <nc r="L514" t="inlineStr">
      <is>
        <t>BB98335,BB97973</t>
      </is>
    </nc>
  </rcc>
  <rcc rId="4049" sId="2" quotePrefix="1">
    <nc r="L515" t="inlineStr">
      <is>
        <t>BB98335,BB97973</t>
      </is>
    </nc>
  </rcc>
  <rcc rId="4050" sId="2" quotePrefix="1">
    <nc r="L516" t="inlineStr">
      <is>
        <t>BB98335,BB97973</t>
      </is>
    </nc>
  </rcc>
  <rcc rId="4051" sId="2" quotePrefix="1">
    <nc r="L517" t="inlineStr">
      <is>
        <t>BB98335,BB97973</t>
      </is>
    </nc>
  </rcc>
  <rcc rId="4052" sId="2" quotePrefix="1">
    <nc r="L518" t="inlineStr">
      <is>
        <t>BB98335,BB97973</t>
      </is>
    </nc>
  </rcc>
  <rcc rId="4053" sId="2" quotePrefix="1">
    <nc r="L521" t="inlineStr">
      <is>
        <t>BB98335,BB97973</t>
      </is>
    </nc>
  </rcc>
  <rcc rId="4054" sId="2" quotePrefix="1">
    <nc r="L522" t="inlineStr">
      <is>
        <t>BB98335,BB97973</t>
      </is>
    </nc>
  </rcc>
  <rcc rId="4055" sId="2" quotePrefix="1">
    <nc r="L519" t="inlineStr">
      <is>
        <t>BB98335</t>
      </is>
    </nc>
  </rcc>
  <rcc rId="4056" sId="2" quotePrefix="1">
    <nc r="L520" t="inlineStr">
      <is>
        <t>BB98335</t>
      </is>
    </nc>
  </rcc>
</revisions>
</file>

<file path=xl/revisions/revisionLog2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57" sId="2">
    <oc r="R522" t="inlineStr">
      <is>
        <t>T2xx</t>
      </is>
    </oc>
    <nc r="R522" t="inlineStr">
      <is>
        <t>T200</t>
      </is>
    </nc>
  </rcc>
  <rcc rId="4058" sId="2">
    <nc r="S522" t="inlineStr">
      <is>
        <t>hau.nguyen-tai</t>
      </is>
    </nc>
  </rcc>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2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H522:J522">
    <dxf>
      <fill>
        <patternFill patternType="solid">
          <bgColor rgb="FFFF0000"/>
        </patternFill>
      </fill>
    </dxf>
  </rfmt>
  <rcc rId="4061" sId="2">
    <oc r="R521" t="inlineStr">
      <is>
        <t>T2xx</t>
      </is>
    </oc>
    <nc r="R521" t="inlineStr">
      <is>
        <t>T200</t>
      </is>
    </nc>
  </rcc>
  <rcc rId="4062" sId="2">
    <nc r="S521" t="inlineStr">
      <is>
        <t>hau.nguyen-tai</t>
      </is>
    </nc>
  </rcc>
</revisions>
</file>

<file path=xl/revisions/revisionLog2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63" sId="2" odxf="1" dxf="1">
    <nc r="AA488" t="inlineStr">
      <is>
        <t>Ready for review</t>
      </is>
    </nc>
    <odxf>
      <font/>
    </odxf>
    <ndxf>
      <font>
        <sz val="11"/>
        <color theme="1"/>
        <name val="Calibri"/>
        <scheme val="minor"/>
      </font>
    </ndxf>
  </rcc>
  <rcc rId="4064" sId="2" numFmtId="19">
    <nc r="AB488">
      <v>44083</v>
    </nc>
  </rcc>
  <rcc rId="4065" sId="2" numFmtId="19">
    <oc r="AC488">
      <v>44084</v>
    </oc>
    <nc r="AC488">
      <v>44083</v>
    </nc>
  </rcc>
  <rcc rId="4066" sId="2">
    <oc r="AD488">
      <v>44090</v>
    </oc>
    <nc r="AD488" t="inlineStr">
      <is>
        <t>OK</t>
      </is>
    </nc>
  </rcc>
  <rcc rId="4067" sId="2" numFmtId="19">
    <nc r="AE488">
      <v>44083</v>
    </nc>
  </rcc>
  <rcc rId="4068" sId="2" numFmtId="19">
    <nc r="AF488">
      <v>44083</v>
    </nc>
  </rcc>
  <rcc rId="4069" sId="2">
    <nc r="AG488" t="inlineStr">
      <is>
        <t>OK</t>
      </is>
    </nc>
  </rcc>
  <rcc rId="4070" sId="2" quotePrefix="1">
    <nc r="AK488" t="inlineStr">
      <is>
        <t>None</t>
      </is>
    </nc>
  </rcc>
  <rcc rId="4071" sId="2" numFmtId="14">
    <nc r="AH488">
      <v>1</v>
    </nc>
  </rcc>
  <rcc rId="4072" sId="2" numFmtId="14">
    <nc r="AI488">
      <v>1</v>
    </nc>
  </rcc>
  <rcc rId="4073" sId="2" numFmtId="14">
    <nc r="AJ488">
      <v>0.6</v>
    </nc>
  </rcc>
  <rcv guid="{336B6883-2145-4B58-921E-CEC7185A847E}" action="delete"/>
  <rdn rId="0" localSheetId="1" customView="1" name="Z_336B6883_2145_4B58_921E_CEC7185A847E_.wvu.FilterData" hidden="1" oldHidden="1">
    <formula>Merged_COEM!$P$59:$P$302</formula>
    <oldFormula>Merged_COEM!$P$59:$P$302</oldFormula>
  </rdn>
  <rdn rId="0" localSheetId="2" customView="1" name="Z_336B6883_2145_4B58_921E_CEC7185A847E_.wvu.Cols" hidden="1" oldHidden="1">
    <formula>Merged_JOEM!$A:$G,Merged_JOEM!$K:$K,Merged_JOEM!$M:$N,Merged_JOEM!$P:$Q,Merged_JOEM!$S:$X,Merged_JOEM!$AB:$AD</formula>
    <oldFormula>Merged_JOEM!$A:$G,Merged_JOEM!$K:$K,Merged_JOEM!$M:$N,Merged_JOEM!$P:$Q,Merged_JOEM!$S:$X,Merged_JOEM!$AB:$AD</oldFormula>
  </rdn>
  <rdn rId="0" localSheetId="2" customView="1" name="Z_336B6883_2145_4B58_921E_CEC7185A847E_.wvu.FilterData" hidden="1" oldHidden="1">
    <formula>Merged_JOEM!$B$59:$AN$540</formula>
    <oldFormula>Merged_JOEM!$B$59:$AN$540</oldFormula>
  </rdn>
  <rcv guid="{336B6883-2145-4B58-921E-CEC7185A847E}" action="add"/>
</revisions>
</file>

<file path=xl/revisions/revisionLog2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H483:H484" start="0" length="2147483647">
    <dxf>
      <font>
        <color rgb="FFFF0000"/>
      </font>
    </dxf>
  </rfmt>
  <rcv guid="{336B6883-2145-4B58-921E-CEC7185A847E}" action="delete"/>
  <rdn rId="0" localSheetId="1" customView="1" name="Z_336B6883_2145_4B58_921E_CEC7185A847E_.wvu.FilterData" hidden="1" oldHidden="1">
    <formula>Merged_COEM!$P$59:$P$302</formula>
    <oldFormula>Merged_COEM!$P$59:$P$302</oldFormula>
  </rdn>
  <rdn rId="0" localSheetId="2" customView="1" name="Z_336B6883_2145_4B58_921E_CEC7185A847E_.wvu.Cols" hidden="1" oldHidden="1">
    <formula>Merged_JOEM!$A:$G,Merged_JOEM!$K:$K,Merged_JOEM!$M:$N,Merged_JOEM!$P:$Q,Merged_JOEM!$S:$X,Merged_JOEM!$AB:$AD</formula>
    <oldFormula>Merged_JOEM!$A:$G,Merged_JOEM!$K:$K,Merged_JOEM!$M:$N,Merged_JOEM!$P:$Q,Merged_JOEM!$S:$X,Merged_JOEM!$AB:$AD</oldFormula>
  </rdn>
  <rdn rId="0" localSheetId="2" customView="1" name="Z_336B6883_2145_4B58_921E_CEC7185A847E_.wvu.FilterData" hidden="1" oldHidden="1">
    <formula>Merged_JOEM!$B$59:$AN$559</formula>
    <oldFormula>Merged_JOEM!$B$59:$AN$540</oldFormula>
  </rdn>
  <rcv guid="{336B6883-2145-4B58-921E-CEC7185A847E}" action="add"/>
</revisions>
</file>

<file path=xl/revisions/revisionLog2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80" sId="2">
    <oc r="R520" t="inlineStr">
      <is>
        <t>T2xx</t>
      </is>
    </oc>
    <nc r="R520" t="inlineStr">
      <is>
        <t>T200</t>
      </is>
    </nc>
  </rcc>
  <rcc rId="4081" sId="2">
    <nc r="S520" t="inlineStr">
      <is>
        <t>hau.nguyen-tai</t>
      </is>
    </nc>
  </rcc>
</revisions>
</file>

<file path=xl/revisions/revisionLog2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82" sId="2">
    <oc r="R509" t="inlineStr">
      <is>
        <t>T2xx</t>
      </is>
    </oc>
    <nc r="R509" t="inlineStr">
      <is>
        <t>T200</t>
      </is>
    </nc>
  </rcc>
  <rcc rId="4083" sId="2">
    <nc r="S509" t="inlineStr">
      <is>
        <t>hau.nguyen-tai</t>
      </is>
    </nc>
  </rcc>
</revisions>
</file>

<file path=xl/revisions/revisionLog2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H521:I522">
    <dxf>
      <fill>
        <patternFill>
          <bgColor rgb="FFFF0000"/>
        </patternFill>
      </fill>
    </dxf>
  </rfmt>
  <rfmt sheetId="2" sqref="J522">
    <dxf>
      <fill>
        <patternFill patternType="none">
          <bgColor auto="1"/>
        </patternFill>
      </fill>
    </dxf>
  </rfmt>
  <rcc rId="4084" sId="2" quotePrefix="1">
    <oc r="F362" t="inlineStr">
      <is>
        <t>rb.as.core.app.asw.apbmi.host</t>
      </is>
    </oc>
    <nc r="F362" t="inlineStr">
      <is>
        <t>rb\as\core\app\asw\apbmi\host\PDM\APBPbcVariantItem_C\SRC\PbcVariantItem_PersistentData.c</t>
      </is>
    </nc>
  </rcc>
  <rcc rId="4085" sId="2" quotePrefix="1">
    <oc r="F363" t="inlineStr">
      <is>
        <t>rb.as.core.app.dcom.rbaplhelp</t>
      </is>
    </oc>
    <nc r="F363" t="inlineStr">
      <is>
        <t>rb\as\core\app\dcom\rbaplhelp\src\RBAPLHELP_SessionHandler.c</t>
      </is>
    </nc>
  </rcc>
  <rcc rId="4086" sId="2" quotePrefix="1">
    <oc r="F364" t="inlineStr">
      <is>
        <t>rb.as.core.app.dsm</t>
      </is>
    </oc>
    <nc r="F364" t="inlineStr">
      <is>
        <t>rb\as\core\app\dsm\RBVoltageHandler\src\RBVoltageHandler_HydraulicVoltageSupplyCommon.c</t>
      </is>
    </nc>
  </rcc>
  <rcc rId="4087" sId="2" quotePrefix="1">
    <oc r="F365" t="inlineStr">
      <is>
        <t>rb.as.core.hwp.hsw.ecubase.safety.rbsupplybase</t>
      </is>
    </oc>
    <nc r="F365" t="inlineStr">
      <is>
        <t>rb\as\core\hwp\hsw\ecubase\safety\rbsupplybase\src\ChargePump\RBSUPPLYBASE_CPPerformanceTest.c</t>
      </is>
    </nc>
  </rcc>
  <rcc rId="4088" sId="2" quotePrefix="1">
    <oc r="F366" t="inlineStr">
      <is>
        <t>rb.as.honda.cmp.app.dsm</t>
      </is>
    </oc>
    <nc r="F366" t="inlineStr">
      <is>
        <t>rb\as\honda\cmp\app\dsm\RBHMI\src\RBHMI_IndividualLamp_Handling\RBHMI_ConfigOutput_APBMi_Status.c</t>
      </is>
    </nc>
  </rcc>
  <rcc rId="4089" sId="2" quotePrefix="1">
    <oc r="F367" t="inlineStr">
      <is>
        <t>rb.as.honda.cmp.app.dsm</t>
      </is>
    </oc>
    <nc r="F367" t="inlineStr">
      <is>
        <t>rb\as\honda\cmp\app\dsm\RBHMI\src\RBHMI_IndividualLamp_Handling\RBHMI_ConfigOutput_ESP_Status.c</t>
      </is>
    </nc>
  </rcc>
  <rcc rId="4090" sId="2" quotePrefix="1">
    <oc r="F368" t="inlineStr">
      <is>
        <t>rb.as.honda.cmp.app.dsm</t>
      </is>
    </oc>
    <nc r="F368" t="inlineStr">
      <is>
        <t>rb\as\honda\cmp\app\dsm\RBHMI\src\RBHMI_IndividualLamp_Handling\RBHMI_ConfigOutput_HDC_Status.c</t>
      </is>
    </nc>
  </rcc>
  <rcc rId="4091" sId="2" quotePrefix="1">
    <oc r="F369" t="inlineStr">
      <is>
        <t>rb.as.honda.cmp.app.dsm</t>
      </is>
    </oc>
    <nc r="F369" t="inlineStr">
      <is>
        <t>rb\as\honda\cmp\app\dsm\RBHMI\src\RBHMI_CustomFunctions\RBHMI_HONDACustom_Functions.c</t>
      </is>
    </nc>
  </rcc>
  <rcc rId="4092" sId="2" quotePrefix="1">
    <oc r="F370" t="inlineStr">
      <is>
        <t>rb.as.honda.cmp.app.net</t>
      </is>
    </oc>
    <nc r="F370" t="inlineStr">
      <is>
        <t>rb\as\honda\cmp\app\net\Cubas\CANxCANxSecOC\PduR_dSecOC_Transmit.c</t>
      </is>
    </nc>
  </rcc>
  <rcc rId="4093" sId="2" quotePrefix="1">
    <oc r="F371" t="inlineStr">
      <is>
        <t>rb.as.honda.cmp.app.net</t>
      </is>
    </oc>
    <nc r="F371" t="inlineStr">
      <is>
        <t>rb\as\honda\cmp\app\net\Cubas\CANxCANxSecOC\PduR_Gateway_SecOC.c</t>
      </is>
    </nc>
  </rcc>
  <rcc rId="4094" sId="2" quotePrefix="1">
    <oc r="F372" t="inlineStr">
      <is>
        <t>rb.as.honda.cmp.app.net</t>
      </is>
    </oc>
    <nc r="F372" t="inlineStr">
      <is>
        <t>rb\as\honda\cmp\app\net\RBComScl\CANxCANxSecOC\src\rba_ComScl_DlcCbk.c</t>
      </is>
    </nc>
  </rcc>
  <rcc rId="4095" sId="2" quotePrefix="1">
    <oc r="F373" t="inlineStr">
      <is>
        <t>rb.as.honda.cmp.app.net</t>
      </is>
    </oc>
    <nc r="F373" t="inlineStr">
      <is>
        <t>rb\as\honda\cmp\app\net\RBComScl\CANxCANxSecOC\src\rba_ComScl_RxSignalCopy.c</t>
      </is>
    </nc>
  </rcc>
  <rcc rId="4096" sId="2" quotePrefix="1">
    <oc r="F374" t="inlineStr">
      <is>
        <t>rb.as.honda.cmp.app.net</t>
      </is>
    </oc>
    <nc r="F374" t="inlineStr">
      <is>
        <t>rb\as\honda\cmp\app\net\RBScl\src\tx\rba_ComScl_Scl_VSA_0E8_CH1_Tx.c</t>
      </is>
    </nc>
  </rcc>
  <rcc rId="4097" sId="2" quotePrefix="1">
    <oc r="F375" t="inlineStr">
      <is>
        <t>rb.as.honda.cmp.app.net</t>
      </is>
    </oc>
    <nc r="F375" t="inlineStr">
      <is>
        <t>rb\as\honda\cmp\app\net\RBScl\src\tx\rba_ComScl_Scl_VSA_0E8_CH2_Tx.c</t>
      </is>
    </nc>
  </rcc>
  <rcc rId="4098" sId="2" quotePrefix="1">
    <oc r="F376" t="inlineStr">
      <is>
        <t>rb.as.honda.cmp.app.net</t>
      </is>
    </oc>
    <nc r="F376" t="inlineStr">
      <is>
        <t>rb\as\honda\cmp\app\net\RBScl\src\tx\rba_ComScl_Scl_VSA_1A4_CH1_Tx.c</t>
      </is>
    </nc>
  </rcc>
  <rcc rId="4099" sId="2" quotePrefix="1">
    <oc r="F377" t="inlineStr">
      <is>
        <t>rb.as.honda.cmp.app.net</t>
      </is>
    </oc>
    <nc r="F377" t="inlineStr">
      <is>
        <t>rb\as\honda\cmp\app\net\RBScl\src\tx\rba_ComScl_Scl_VSA_1AC_CH1_Tx.c</t>
      </is>
    </nc>
  </rcc>
  <rcc rId="4100" sId="2" quotePrefix="1">
    <oc r="F378" t="inlineStr">
      <is>
        <t>rb.as.honda.cmp.app.net</t>
      </is>
    </oc>
    <nc r="F378" t="inlineStr">
      <is>
        <t>rb\as\honda\cmp\app\net\RBNetHonda\src\RBNETRemoteDiag\src\RBNET_RemoteDiag_HONDA.c</t>
      </is>
    </nc>
  </rcc>
  <rcc rId="4101" sId="2" quotePrefix="1">
    <oc r="F379" t="inlineStr">
      <is>
        <t>rb.as.honda.cmp.app.net</t>
      </is>
    </oc>
    <nc r="F379" t="inlineStr">
      <is>
        <t>rb\as\honda\cmp\app\net\RBNetHonda\src\RBNETVariant\src\RBNET_VariantTableInterface_HONDA.c</t>
      </is>
    </nc>
  </rcc>
  <rcc rId="4102" sId="2" quotePrefix="1">
    <oc r="F380" t="inlineStr">
      <is>
        <t>rb.as.honda.cmp.app.net</t>
      </is>
    </oc>
    <nc r="F380" t="inlineStr">
      <is>
        <t>rb\as\honda\cmp\app\net\RBNetHonda\src\RBNETSecOc\src\mon\RBSecOcFV_ComSclAdapters_Monitoring_PRJ.c</t>
      </is>
    </nc>
  </rcc>
  <rcc rId="4103" sId="2" quotePrefix="1">
    <oc r="F381" t="inlineStr">
      <is>
        <t>rb.as.honda.cmp.app.net</t>
      </is>
    </oc>
    <nc r="F381" t="inlineStr">
      <is>
        <t>rb\as\honda\cmp\app\net\RBNetHonda\src\RBNETSecOc\src\debug\RBSecOcFV_Debug_Scl_Debug_Tx.c</t>
      </is>
    </nc>
  </rcc>
  <rcc rId="4104" sId="2" quotePrefix="1">
    <oc r="F382" t="inlineStr">
      <is>
        <t>rb.as.honda.cmp.app.net</t>
      </is>
    </oc>
    <nc r="F382" t="inlineStr">
      <is>
        <t>rb\as\honda\cmp\app\net\Cubas\CANxCANxSecOC\SecOC_Prv.c</t>
      </is>
    </nc>
  </rcc>
  <rcc rId="4105" sId="2" quotePrefix="1">
    <oc r="F383" t="inlineStr">
      <is>
        <t>rb.as.honda.core.app.dsm</t>
      </is>
    </oc>
    <nc r="F383" t="inlineStr">
      <is>
        <t>rb\as\honda\core\app\dsm\DEM_Honda\src\STM_FeatureDeactivation_Honda.c</t>
      </is>
    </nc>
  </rcc>
  <rcc rId="4106" sId="2" quotePrefix="1">
    <oc r="F384" t="inlineStr">
      <is>
        <t>rb.as.honda.core.app.net</t>
      </is>
    </oc>
    <nc r="F384" t="inlineStr">
      <is>
        <t>rb\as\honda\core\app\net\netinterfaces\asw\vafs\apb\src\RBNET_APB_interface.c</t>
      </is>
    </nc>
  </rcc>
  <rcc rId="4107" sId="2" quotePrefix="1">
    <oc r="F385" t="inlineStr">
      <is>
        <t>rb.as.honda.core.app.net</t>
      </is>
    </oc>
    <nc r="F385" t="inlineStr">
      <is>
        <t>rb\as\honda\core\app\net\netinterfaces\asw\controllers\src\RBNET_ASW_ControllerInterface.c</t>
      </is>
    </nc>
  </rcc>
  <rcc rId="4108" sId="2" quotePrefix="1">
    <oc r="F386" t="inlineStr">
      <is>
        <t>rb.as.honda.core.app.net</t>
      </is>
    </oc>
    <nc r="F386" t="inlineStr">
      <is>
        <t>rb\as\honda\core\app\net\netservices\brakerelay\src\RBNET_BrakeRelay.c</t>
      </is>
    </nc>
  </rcc>
  <rcc rId="4109" sId="2" quotePrefix="1">
    <oc r="F387" t="inlineStr">
      <is>
        <t>rb.as.honda.core.app.net</t>
      </is>
    </oc>
    <nc r="F387" t="inlineStr">
      <is>
        <t>rb\as\honda\core\app\net\netinterfaces\asw\vafs\hbc\src\RBNET_HBC_Interface.c</t>
      </is>
    </nc>
  </rcc>
  <rcc rId="4110" sId="2" quotePrefix="1">
    <oc r="F388" t="inlineStr">
      <is>
        <t>rb.as.honda.core.app.net</t>
      </is>
    </oc>
    <nc r="F388" t="inlineStr">
      <is>
        <t>rb\as\honda\core\app\net\netinterfaces\dcom\src\RBNET_InterfaceToDCOM.c</t>
      </is>
    </nc>
  </rcc>
  <rcc rId="4111" sId="2" quotePrefix="1">
    <oc r="F389" t="inlineStr">
      <is>
        <t>rb.as.honda.core.app.net</t>
      </is>
    </oc>
    <nc r="F389" t="inlineStr">
      <is>
        <t>rb\as\honda\core\app\net\netservices\OBS\src\RBNET_Service_OnBoardSnapshot.c</t>
      </is>
    </nc>
  </rcc>
  <rcc rId="4112" sId="2" quotePrefix="1">
    <oc r="F390" t="inlineStr">
      <is>
        <t>rb.as.honda.core.app.tpsw</t>
      </is>
    </oc>
    <nc r="F390" t="inlineStr">
      <is>
        <t>rb\as\honda\core\app\tpsw\NIRA\src\RBND4_interface.c</t>
      </is>
    </nc>
  </rcc>
  <rcc rId="4113" sId="2" quotePrefix="1">
    <oc r="F391" t="inlineStr">
      <is>
        <t>rb.as.honda.esp.tgva.app.dcom</t>
      </is>
    </oc>
    <nc r="F391" t="inlineStr">
      <is>
        <t>rb\as\honda\esp\tgva\app\dcom\RBAPLCust\src\Dem_PrjSpecificDCOMFailureMemory.c</t>
      </is>
    </nc>
  </rcc>
  <rcc rId="4114" sId="2" quotePrefix="1">
    <oc r="F392" t="inlineStr">
      <is>
        <t>rb.as.honda.esp.tgva.app.dcom</t>
      </is>
    </oc>
    <nc r="F392" t="inlineStr">
      <is>
        <t>rb\as\honda\esp\tgva\app\dcom\RBAPLCust\src\RBAplCust_BrakePadExchangeModeNvmHandler_Project.c</t>
      </is>
    </nc>
  </rcc>
  <rcc rId="4115" sId="2" quotePrefix="1">
    <oc r="F393" t="inlineStr">
      <is>
        <t>rb.as.honda.esp.tgva.app.dcom</t>
      </is>
    </oc>
    <nc r="F393" t="inlineStr">
      <is>
        <t>rb\as\honda\esp\tgva\app\dcom\RBAPLCust\src\RBAplCust_DiagnosisHMIHandler_Project.c</t>
      </is>
    </nc>
  </rcc>
  <rcc rId="4116" sId="2" quotePrefix="1">
    <oc r="F394" t="inlineStr">
      <is>
        <t>rb.as.honda.esp.tgva.app.dcom</t>
      </is>
    </oc>
    <nc r="F394" t="inlineStr">
      <is>
        <t>rb\as\honda\esp\tgva\app\dcom\RBAPLCust\src\RBAplCust_EOLBegining_NVMHandler_Project.c</t>
      </is>
    </nc>
  </rcc>
  <rcc rId="4117" sId="2" quotePrefix="1">
    <oc r="F395" t="inlineStr">
      <is>
        <t>rb.as.honda.esp.tgva.app.dcom</t>
      </is>
    </oc>
    <nc r="F395" t="inlineStr">
      <is>
        <t>rb\as\honda\esp\tgva\app\dcom\RBAPLCust\src\RBAplCust_EOLStateTransitionHandler_Project.c</t>
      </is>
    </nc>
  </rcc>
  <rcc rId="4118" sId="2" quotePrefix="1">
    <oc r="F396" t="inlineStr">
      <is>
        <t>rb.as.honda.esp.tgva.app.dcom</t>
      </is>
    </oc>
    <nc r="F396" t="inlineStr">
      <is>
        <t>rb\as\honda\esp\tgva\app\dcom\RBAPLCust\src\RbAplCust_EPBEOLAssemblyTest_Project.c</t>
      </is>
    </nc>
  </rcc>
  <rcc rId="4119" sId="2" quotePrefix="1">
    <oc r="F397" t="inlineStr">
      <is>
        <t>rb.as.honda.esp.tgva.app.dcom</t>
      </is>
    </oc>
    <nc r="F397" t="inlineStr">
      <is>
        <t>rb\as\honda\esp\tgva\app\dcom\RBAPLCust\src\RBAplCust_MemoryErrasureService_Project.c</t>
      </is>
    </nc>
  </rcc>
  <rcc rId="4120" sId="2" quotePrefix="1">
    <oc r="F398" t="inlineStr">
      <is>
        <t>rb.as.honda.esp.tgva.app.dcom</t>
      </is>
    </oc>
    <nc r="F398" t="inlineStr">
      <is>
        <t>rb\as\honda\esp\tgva\app\dcom\TFT_Meter\src\RBAplCust_MultiDynamoTest_TFTMeter_Project.c</t>
      </is>
    </nc>
  </rcc>
  <rcc rId="4121" sId="2" quotePrefix="1">
    <oc r="F399" t="inlineStr">
      <is>
        <t>rb.as.honda.esp.tgva.app.dcom</t>
      </is>
    </oc>
    <nc r="F399" t="inlineStr">
      <is>
        <t>rb\as\honda\esp\tgva\app\dcom\TFT_Meter\src\RbAplCust_Rc_RID_40C2_SensorCalibration_TFTMeter_Project.c</t>
      </is>
    </nc>
  </rcc>
  <rcc rId="4122" sId="2" quotePrefix="1">
    <oc r="F400" t="inlineStr">
      <is>
        <t>rb.as.honda.esp.tgva.app.dcom</t>
      </is>
    </oc>
    <nc r="F400" t="inlineStr">
      <is>
        <t>rb\as\honda\esp\tgva\app\dcom\RBAPLCust\src\RBAplCust_Rc_RID_40C4_SFTABSPressureReliefOperation_Project.c</t>
      </is>
    </nc>
  </rcc>
  <rcc rId="4123" sId="2" quotePrefix="1">
    <oc r="F401" t="inlineStr">
      <is>
        <t>rb.as.honda.esp.tgva.app.dcom</t>
      </is>
    </oc>
    <nc r="F401" t="inlineStr">
      <is>
        <t>rb\as\honda\esp\tgva\app\dcom\RBAPLCust\src\RBAplCust_Rc_RID_40C5_SFTVSAPressureReliefOperation_Project.c</t>
      </is>
    </nc>
  </rcc>
  <rcc rId="4124" sId="2" quotePrefix="1">
    <oc r="F402" t="inlineStr">
      <is>
        <t>rb.as.honda.esp.tgva.app.dcom</t>
      </is>
    </oc>
    <nc r="F402" t="inlineStr">
      <is>
        <t>rb\as\honda\esp\tgva\app\dcom\TFT_Meter\src\RBAplCust_Rc_RID_40C9_StartupofEOLMode_TFTMeter_Project.c</t>
      </is>
    </nc>
  </rcc>
  <rcc rId="4125" sId="2" quotePrefix="1">
    <oc r="F403" t="inlineStr">
      <is>
        <t>rb.as.honda.esp.tgva.app.dcom</t>
      </is>
    </oc>
    <nc r="F403" t="inlineStr">
      <is>
        <t>rb\as\honda\esp\tgva\app\dcom\RBAPLCust\src\RBAplCust_Rc_RID_40CA_StartupofSEOLMode_Project.c</t>
      </is>
    </nc>
  </rcc>
  <rcc rId="4126" sId="2" quotePrefix="1">
    <oc r="F404" t="inlineStr">
      <is>
        <t>rb.as.honda.esp.tgva.app.dcom</t>
      </is>
    </oc>
    <nc r="F404" t="inlineStr">
      <is>
        <t>rb\as\honda\esp\tgva\app\dcom\RBAPLCust\src\RBAplCust_Rc_RID_40CF_EnterEPBBrakePadExchangeMode_Project.c</t>
      </is>
    </nc>
  </rcc>
  <rcc rId="4127" sId="2" quotePrefix="1">
    <oc r="F405" t="inlineStr">
      <is>
        <t>rb.as.honda.esp.tgva.app.dcom</t>
      </is>
    </oc>
    <nc r="F405" t="inlineStr">
      <is>
        <t>rb\as\honda\esp\tgva\app\dcom\RBAPLCust\src\RBAplCust_Rc_RID_40D0_ExitEPBBrakePadExchangeMode_Project.c</t>
      </is>
    </nc>
  </rcc>
  <rcc rId="4128" sId="2" quotePrefix="1">
    <oc r="F406" t="inlineStr">
      <is>
        <t>rb.as.honda.esp.tgva.app.dcom</t>
      </is>
    </oc>
    <nc r="F406" t="inlineStr">
      <is>
        <t>rb\as\honda\esp\tgva\app\dcom\RBAPLCust\src\RBAplCust_Rc_RID_40D1_ActivationofEPBactuator_Project.c</t>
      </is>
    </nc>
  </rcc>
  <rcc rId="4129" sId="2" quotePrefix="1">
    <oc r="F407" t="inlineStr">
      <is>
        <t>rb.as.honda.esp.tgva.app.dcom</t>
      </is>
    </oc>
    <nc r="F407" t="inlineStr">
      <is>
        <t>rb\as\honda\esp\tgva\app\dcom\RBAPLCust\src\RBAplCust_Rc_RID_40D2_EPBAssemblyCheck_Project.c</t>
      </is>
    </nc>
  </rcc>
  <rcc rId="4130" sId="2" quotePrefix="1">
    <oc r="F408" t="inlineStr">
      <is>
        <t>rb.as.honda.esp.tgva.app.dcom</t>
      </is>
    </oc>
    <nc r="F408" t="inlineStr">
      <is>
        <t>rb\as\honda\esp\tgva\app\dcom\RBAPLCust\src\RBAplCust_Rc_RID_6F18_SteeringAngleSensorLearning_Project.c</t>
      </is>
    </nc>
  </rcc>
  <rcc rId="4131" sId="2" quotePrefix="1">
    <oc r="F409" t="inlineStr">
      <is>
        <t>rb.as.honda.esp.tgva.app.dcom</t>
      </is>
    </oc>
    <nc r="F409" t="inlineStr">
      <is>
        <t>rb\as\honda\esp\tgva\app\dcom\RBAPLCust\src\RBAplCust_Rc_RID_D010_EnterEPBPlantSafetyMode_Project.c</t>
      </is>
    </nc>
  </rcc>
  <rcc rId="4132" sId="2" quotePrefix="1">
    <oc r="F410" t="inlineStr">
      <is>
        <t>rb.as.honda.esp.tgva.app.dcom</t>
      </is>
    </oc>
    <nc r="F410" t="inlineStr">
      <is>
        <t>rb\as\honda\esp\tgva\app\dcom\RBAPLCust\src\RBAplCust_RDBI_4001_ReadLETAndAirBleedingInTheLineData_Project.c</t>
      </is>
    </nc>
  </rcc>
  <rcc rId="4133" sId="2" quotePrefix="1">
    <oc r="F411" t="inlineStr">
      <is>
        <t>rb.as.honda.esp.tgva.app.dcom</t>
      </is>
    </oc>
    <nc r="F411" t="inlineStr">
      <is>
        <t>rb\as\honda\esp\tgva\app\dcom\RBAPLCust\src\RBAplCust_RDBI_4002_ReadLineEndTestParameters_Project.c</t>
      </is>
    </nc>
  </rcc>
  <rcc rId="4134" sId="2" quotePrefix="1">
    <oc r="F412" t="inlineStr">
      <is>
        <t>rb.as.honda.esp.tgva.app.dcom</t>
      </is>
    </oc>
    <nc r="F412" t="inlineStr">
      <is>
        <t>rb\as\honda\esp\tgva\app\dcom\RBAPLCust\src\RBAplCust_RDBI_4003_ReadSpecialLineEndTestParameters_Project.c</t>
      </is>
    </nc>
  </rcc>
  <rcc rId="4135" sId="2" quotePrefix="1">
    <oc r="F413" t="inlineStr">
      <is>
        <t>rb.as.honda.esp.tgva.app.dcom</t>
      </is>
    </oc>
    <nc r="F413" t="inlineStr">
      <is>
        <t>rb\as\honda\esp\tgva\app\dcom\RBAPLCust\src\RBAplCust_RDBI_4006_ReadVSACANCommunicationStatus_Project.c</t>
      </is>
    </nc>
  </rcc>
  <rcc rId="4136" sId="2" quotePrefix="1">
    <oc r="F414" t="inlineStr">
      <is>
        <t>rb.as.honda.esp.tgva.app.dcom</t>
      </is>
    </oc>
    <nc r="F414" t="inlineStr">
      <is>
        <t>rb\as\honda\esp\tgva\app\dcom\RBFMHC_EPB_FRZFRM\src\RBFMHC_FreezeFrameHandling_EPB.c</t>
      </is>
    </nc>
  </rcc>
  <rcc rId="4137" sId="2" quotePrefix="1">
    <oc r="F415" t="inlineStr">
      <is>
        <t>rb.as.honda.esp.tgva.app.dcom_core</t>
      </is>
    </oc>
    <nc r="F415" t="inlineStr">
      <is>
        <t>rb\as\honda\esp\tgva\app\dcom_core\RBAPLCust\src\RbAplCust_Processes_HDC.c</t>
      </is>
    </nc>
  </rcc>
  <rcc rId="4138" sId="2" quotePrefix="1">
    <oc r="F416" t="inlineStr">
      <is>
        <t>rb.as.honda.esp.tgva.app.dcom_core</t>
      </is>
    </oc>
    <nc r="F416" t="inlineStr">
      <is>
        <t>rb\as\honda\esp\tgva\app\dcom_core\RBAPLCust\src\RbAplCust_RoutineControl_HDC.c</t>
      </is>
    </nc>
  </rcc>
  <rcc rId="4139" sId="2">
    <oc r="F417" t="inlineStr">
      <is>
        <t>rb.as.honda.cmp.app.asw.custtarball</t>
      </is>
    </oc>
    <nc r="F417"/>
  </rcc>
  <rcc rId="4140" sId="2">
    <oc r="F418" t="inlineStr">
      <is>
        <t>rb.as.honda.cmp.app.asw.custtarball</t>
      </is>
    </oc>
    <nc r="F418"/>
  </rcc>
  <rcc rId="4141" sId="2">
    <oc r="F419" t="inlineStr">
      <is>
        <t>rb.as.honda.cmp.app.asw.custtarball</t>
      </is>
    </oc>
    <nc r="F419"/>
  </rcc>
  <rcc rId="4142" sId="2">
    <oc r="F420" t="inlineStr">
      <is>
        <t>rb.as.honda.cmp.app.asw.custtarball</t>
      </is>
    </oc>
    <nc r="F420"/>
  </rcc>
  <rcc rId="4143" sId="2">
    <oc r="F421" t="inlineStr">
      <is>
        <t>rb.as.honda.core.app.asw.AcmESPiB_DS10</t>
      </is>
    </oc>
    <nc r="F421"/>
  </rcc>
  <rcc rId="4144" sId="2">
    <oc r="F422" t="inlineStr">
      <is>
        <t>rb.as.honda.core.app.asw.apbmi</t>
      </is>
    </oc>
    <nc r="F422"/>
  </rcc>
  <rcc rId="4145" sId="2">
    <oc r="F423" t="inlineStr">
      <is>
        <t>rb.as.honda.core.app.asw.apbmi</t>
      </is>
    </oc>
    <nc r="F423"/>
  </rcc>
  <rcc rId="4146" sId="2">
    <oc r="F424" t="inlineStr">
      <is>
        <t>rb.as.honda.core.app.asw.pata</t>
      </is>
    </oc>
    <nc r="F424"/>
  </rcc>
  <rcc rId="4147" sId="2">
    <oc r="F425" t="inlineStr">
      <is>
        <t>rb.as.honda.core.app.asw.pata</t>
      </is>
    </oc>
    <nc r="F425"/>
  </rcc>
  <rcc rId="4148" sId="2">
    <oc r="F426" t="inlineStr">
      <is>
        <t>rb.as.honda.core.app.asw.pata</t>
      </is>
    </oc>
    <nc r="F426"/>
  </rcc>
  <rcc rId="4149" sId="2">
    <oc r="F427" t="inlineStr">
      <is>
        <t>rb.as.honda.core.app.asw.pata</t>
      </is>
    </oc>
    <nc r="F427"/>
  </rcc>
  <rcc rId="4150" sId="2">
    <oc r="F428" t="inlineStr">
      <is>
        <t>rb.as.honda.core.app.asw.pata</t>
      </is>
    </oc>
    <nc r="F428"/>
  </rcc>
  <rcc rId="4151" sId="2">
    <oc r="F429" t="inlineStr">
      <is>
        <t>rb.as.honda.core.app.asw.pata</t>
      </is>
    </oc>
    <nc r="F429"/>
  </rcc>
  <rcc rId="4152" sId="2">
    <oc r="F430" t="inlineStr">
      <is>
        <t>rb.as.honda.core.app.asw.pata</t>
      </is>
    </oc>
    <nc r="F430"/>
  </rcc>
  <rcc rId="4153" sId="2">
    <oc r="F431" t="inlineStr">
      <is>
        <t>rb.as.honda.core.app.asw.pata</t>
      </is>
    </oc>
    <nc r="F431"/>
  </rcc>
  <rcc rId="4154" sId="2">
    <oc r="F432" t="inlineStr">
      <is>
        <t>rb.as.honda.core.app.asw.pata</t>
      </is>
    </oc>
    <nc r="F432"/>
  </rcc>
  <rcc rId="4155" sId="2">
    <oc r="F433" t="inlineStr">
      <is>
        <t>rb.as.honda.core.app.asw.pata</t>
      </is>
    </oc>
    <nc r="F433"/>
  </rcc>
  <rcc rId="4156" sId="2">
    <oc r="F434" t="inlineStr">
      <is>
        <t>rb.as.honda.core.app.asw.pata</t>
      </is>
    </oc>
    <nc r="F434"/>
  </rcc>
  <rcc rId="4157" sId="2">
    <oc r="F435" t="inlineStr">
      <is>
        <t>rb.as.honda.core.app.asw.pata</t>
      </is>
    </oc>
    <nc r="F435"/>
  </rcc>
  <rcc rId="4158" sId="2">
    <oc r="F436" t="inlineStr">
      <is>
        <t>rb.as.honda.core.app.asw.pata</t>
      </is>
    </oc>
    <nc r="F436"/>
  </rcc>
  <rcc rId="4159" sId="2">
    <oc r="F437" t="inlineStr">
      <is>
        <t>rb.as.honda.core.app.asw.pata</t>
      </is>
    </oc>
    <nc r="F437"/>
  </rcc>
  <rcc rId="4160" sId="2">
    <oc r="F438" t="inlineStr">
      <is>
        <t>rb.as.honda.core.app.asw.pata</t>
      </is>
    </oc>
    <nc r="F438"/>
  </rcc>
  <rcc rId="4161" sId="2">
    <oc r="F439" t="inlineStr">
      <is>
        <t>rb.as.honda.core.app.asw.pata</t>
      </is>
    </oc>
    <nc r="F439"/>
  </rcc>
  <rcc rId="4162" sId="2">
    <oc r="F440" t="inlineStr">
      <is>
        <t>rb.as.honda.core.app.asw.pata</t>
      </is>
    </oc>
    <nc r="F440"/>
  </rcc>
  <rcc rId="4163" sId="2">
    <oc r="F441" t="inlineStr">
      <is>
        <t>rb.as.honda.core.app.asw.pata</t>
      </is>
    </oc>
    <nc r="F441"/>
  </rcc>
  <rcc rId="4164" sId="2">
    <oc r="F442" t="inlineStr">
      <is>
        <t>rb.as.honda.core.app.asw.pata</t>
      </is>
    </oc>
    <nc r="F442"/>
  </rcc>
  <rcc rId="4165" sId="2">
    <oc r="F443" t="inlineStr">
      <is>
        <t>rb.as.honda.core.app.asw.pata</t>
      </is>
    </oc>
    <nc r="F443"/>
  </rcc>
  <rcc rId="4166" sId="2">
    <oc r="F444" t="inlineStr">
      <is>
        <t>rb.as.honda.core.app.asw.pata</t>
      </is>
    </oc>
    <nc r="F444"/>
  </rcc>
  <rcc rId="4167" sId="2">
    <oc r="F445" t="inlineStr">
      <is>
        <t>rb.as.honda.core.app.asw.pata</t>
      </is>
    </oc>
    <nc r="F445"/>
  </rcc>
  <rcc rId="4168" sId="2">
    <oc r="F446" t="inlineStr">
      <is>
        <t>rb.as.honda.core.app.asw.pata</t>
      </is>
    </oc>
    <nc r="F446"/>
  </rcc>
</revisions>
</file>

<file path=xl/revisions/revisionLog2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69" sId="1">
    <nc r="X239">
      <f>W239</f>
    </nc>
  </rcc>
  <rcc rId="4170" sId="1">
    <nc r="Z239">
      <v>5</v>
    </nc>
  </rcc>
  <rcc rId="4171" sId="1">
    <nc r="AA239" t="inlineStr">
      <is>
        <t>Ready for review</t>
      </is>
    </nc>
  </rcc>
  <rcc rId="4172" sId="1">
    <nc r="AG239" t="inlineStr">
      <is>
        <t>OK</t>
      </is>
    </nc>
  </rcc>
  <rcc rId="4173" sId="1" numFmtId="14">
    <nc r="AH239">
      <v>1</v>
    </nc>
  </rcc>
  <rcc rId="4174" sId="1" numFmtId="14">
    <nc r="AI239">
      <v>1</v>
    </nc>
  </rcc>
  <rcc rId="4175" sId="1" numFmtId="14">
    <nc r="AJ239">
      <v>1</v>
    </nc>
  </rcc>
  <rcc rId="4176" sId="1">
    <nc r="AK239" t="inlineStr">
      <is>
        <t>None</t>
      </is>
    </nc>
  </rcc>
  <rcc rId="4177" sId="1" numFmtId="19">
    <nc r="AE239">
      <v>44083</v>
    </nc>
  </rcc>
  <rcc rId="4178" sId="1" numFmtId="19">
    <nc r="AF239">
      <v>44083</v>
    </nc>
  </rcc>
  <rcv guid="{99BC1C51-34DC-4BF2-906C-1E31B6171D71}" action="delete"/>
  <rdn rId="0" localSheetId="1" customView="1" name="Z_99BC1C51_34DC_4BF2_906C_1E31B6171D71_.wvu.FilterData" hidden="1" oldHidden="1">
    <formula>Merged_COEM!$A$59:$AN$301</formula>
    <oldFormula>Merged_COEM!$A$59:$AN$301</oldFormula>
  </rdn>
  <rdn rId="0" localSheetId="2" customView="1" name="Z_99BC1C51_34DC_4BF2_906C_1E31B6171D71_.wvu.FilterData" hidden="1" oldHidden="1">
    <formula>Merged_JOEM!$B$59:$AN$559</formula>
    <oldFormula>Merged_JOEM!$B$59:$AN$540</oldFormula>
  </rdn>
  <rcv guid="{99BC1C51-34DC-4BF2-906C-1E31B6171D71}" action="add"/>
</revisions>
</file>

<file path=xl/revisions/revisionLog2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81" sId="2">
    <oc r="S509" t="inlineStr">
      <is>
        <t>hau.nguyen-tai</t>
      </is>
    </oc>
    <nc r="S509"/>
  </rcc>
  <rcc rId="4182" sId="2">
    <oc r="S520" t="inlineStr">
      <is>
        <t>hau.nguyen-tai</t>
      </is>
    </oc>
    <nc r="S520"/>
  </rcc>
  <rcc rId="4183" sId="2">
    <oc r="S521" t="inlineStr">
      <is>
        <t>hau.nguyen-tai</t>
      </is>
    </oc>
    <nc r="S521"/>
  </rcc>
  <rcc rId="4184" sId="2">
    <oc r="S522" t="inlineStr">
      <is>
        <t>hau.nguyen-tai</t>
      </is>
    </oc>
    <nc r="S522"/>
  </rcc>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2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L388" start="0" length="0">
    <dxf>
      <alignment wrapText="1" readingOrder="0"/>
    </dxf>
  </rfmt>
  <rfmt sheetId="2" sqref="AL388">
    <dxf>
      <alignment wrapText="0" readingOrder="0"/>
    </dxf>
  </rfmt>
  <rfmt sheetId="2" sqref="AL390" start="0" length="0">
    <dxf>
      <alignment wrapText="1" readingOrder="0"/>
    </dxf>
  </rfmt>
  <rfmt sheetId="2" sqref="AL390">
    <dxf>
      <alignment wrapText="0" readingOrder="0"/>
    </dxf>
  </rfmt>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2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89" sId="2" odxf="1" dxf="1">
    <oc r="AL388" t="inlineStr">
      <is>
        <t># Line 2939: Cannot cover true case due to if( FALSE)
# Line 2884: Cannot cover true case due to if( FALSE)
# Line 3128: Cannot cover true case due to if( FALSE)
# Line 3063: Cannot cover true case due to if( FALSE)</t>
      </is>
    </oc>
    <nc r="AL388" t="inlineStr">
      <is>
        <t>Line #2939: Cannot cover true case due to if( FALSE)
Line #2884: Cannot cover true case due to if( FALSE)
Line #3128: Cannot cover true case due to if( FALSE)
Line #3063: Cannot cover true case due to if( FALSE)</t>
      </is>
    </nc>
    <odxf>
      <alignment wrapText="0" readingOrder="0"/>
    </odxf>
    <ndxf>
      <alignment wrapText="1" readingOrder="0"/>
    </ndxf>
  </rcc>
  <rcc rId="4190" sId="2">
    <oc r="AL389" t="inlineStr">
      <is>
        <t># Line 408: Cannot cover true case. Because the variable l_ISAB_Active_b is set FALSE at line #372</t>
      </is>
    </oc>
    <nc r="AL389" t="inlineStr">
      <is>
        <t>Line #408: Cannot cover true case. Because the variable l_ISAB_Active_b is set FALSE at line #372</t>
      </is>
    </nc>
  </rcc>
  <rcc rId="4191" sId="2" odxf="1" dxf="1">
    <oc r="AL390" t="inlineStr">
      <is>
        <t># Line 2438: Cannot cover false case due to g_ND4Torque0Valid_B = TRUE at line 2436
# Line 2456: Cannot cover false case due to g_ND4EngineRPMValid_B = TRUE at line 2454
# Line 2474: Cannot cover false case due to g_ND4DrsValid_B = TRUE at line 2472
# Line 2490: Cannot cover false case due to g_ND4AlValid_B = TRUE at line 2488
# Line 2506: Cannot cover false case due to g_ND4AqValid_B = TRUE at line 2504
# Line 2522: Cannot cover false case due to g_ND4AmbientTempValid_B = TRUE at line 2520
# Line 2538: Cannot cover false case due to g_ND4MileageValid_B = TRUE at line 2536
# Line 2554: Cannot cover false case due to g_ND4SasValid_B = TRUE at line 2552</t>
      </is>
    </oc>
    <nc r="AL390" t="inlineStr">
      <is>
        <t>Line #2438: Cannot cover false case due to g_ND4Torque0Valid_B = TRUE at line 2436
Line #2456: Cannot cover false case due to g_ND4EngineRPMValid_B = TRUE at line 2454
Line #2474: Cannot cover false case due to g_ND4DrsValid_B = TRUE at line 2472
Line #2490: Cannot cover false case due to g_ND4AlValid_B = TRUE at line 2488
Line #2506: Cannot cover false case due to g_ND4AqValid_B = TRUE at line 2504
Line #2522: Cannot cover false case due to g_ND4AmbientTempValid_B = TRUE at line 2520
Line #2538: Cannot cover false case due to g_ND4MileageValid_B = TRUE at line 2536
Line #2554: Cannot cover false case due to g_ND4SasValid_B = TRUE at line 2552</t>
      </is>
    </nc>
    <odxf>
      <alignment wrapText="0" readingOrder="0"/>
    </odxf>
    <ndxf>
      <alignment wrapText="1" readingOrder="0"/>
    </ndxf>
  </rcc>
  <rfmt sheetId="2" sqref="AL390">
    <dxf>
      <alignment wrapText="0" readingOrder="0"/>
    </dxf>
  </rfmt>
  <rfmt sheetId="2" sqref="AL388">
    <dxf>
      <alignment wrapText="0" readingOrder="0"/>
    </dxf>
  </rfmt>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2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L388" start="0" length="0">
    <dxf>
      <alignment wrapText="1" readingOrder="0"/>
    </dxf>
  </rfmt>
  <rfmt sheetId="2" sqref="AL388">
    <dxf>
      <alignment wrapText="0" readingOrder="0"/>
    </dxf>
  </rfmt>
  <rfmt sheetId="2" sqref="AL390" start="0" length="0">
    <dxf>
      <alignment wrapText="1" readingOrder="0"/>
    </dxf>
  </rfmt>
  <rfmt sheetId="2" sqref="AL390">
    <dxf>
      <alignment wrapText="0" readingOrder="0"/>
    </dxf>
  </rfmt>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2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2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98" sId="1">
    <oc r="W242">
      <f>V242</f>
    </oc>
    <nc r="W242">
      <v>226</v>
    </nc>
  </rcc>
  <rcc rId="4199" sId="1">
    <nc r="X242">
      <f>W242</f>
    </nc>
  </rcc>
  <rcc rId="4200" sId="1">
    <nc r="Z242">
      <f>Y242</f>
    </nc>
  </rcc>
  <rcc rId="4201" sId="1">
    <nc r="AA242" t="inlineStr">
      <is>
        <t>Ready for review</t>
      </is>
    </nc>
  </rcc>
  <rcc rId="4202" sId="1" numFmtId="19">
    <nc r="AE242">
      <v>44083</v>
    </nc>
  </rcc>
  <rcc rId="4203" sId="1" numFmtId="19">
    <nc r="AF242">
      <v>44083</v>
    </nc>
  </rcc>
  <rcc rId="4204" sId="1">
    <nc r="AG242" t="inlineStr">
      <is>
        <t>OK</t>
      </is>
    </nc>
  </rcc>
  <rcc rId="4205" sId="1" numFmtId="14">
    <nc r="AH242">
      <v>1</v>
    </nc>
  </rcc>
  <rcc rId="4206" sId="1" numFmtId="14">
    <nc r="AI242">
      <v>1</v>
    </nc>
  </rcc>
  <rcc rId="4207" sId="1" numFmtId="14">
    <nc r="AJ242">
      <v>1</v>
    </nc>
  </rcc>
  <rcc rId="4208" sId="1">
    <nc r="AK242" t="inlineStr">
      <is>
        <t>None</t>
      </is>
    </nc>
  </rcc>
  <rcv guid="{FECB4C41-27E8-4A22-AFB3-4F54CDD4960E}" action="delete"/>
  <rdn rId="0" localSheetId="1" customView="1" name="Z_FECB4C41_27E8_4A22_AFB3_4F54CDD4960E_.wvu.FilterData" hidden="1" oldHidden="1">
    <formula>Merged_COEM!$B$59:$AN$301</formula>
    <oldFormula>Merged_COEM!$B$59:$AN$301</oldFormula>
  </rdn>
  <rdn rId="0" localSheetId="2" customView="1" name="Z_FECB4C41_27E8_4A22_AFB3_4F54CDD4960E_.wvu.FilterData" hidden="1" oldHidden="1">
    <formula>Merged_JOEM!$B$59:$AN$559</formula>
    <oldFormula>Merged_JOEM!$B$59:$AN$540</oldFormula>
  </rdn>
  <rcv guid="{FECB4C41-27E8-4A22-AFB3-4F54CDD4960E}" action="add"/>
</revisions>
</file>

<file path=xl/revisions/revisionLog2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11" sId="1">
    <nc r="T242" t="inlineStr">
      <is>
        <t>loc.do-phu</t>
      </is>
    </nc>
  </rcc>
  <rcv guid="{FECB4C41-27E8-4A22-AFB3-4F54CDD4960E}" action="delete"/>
  <rdn rId="0" localSheetId="1" customView="1" name="Z_FECB4C41_27E8_4A22_AFB3_4F54CDD4960E_.wvu.FilterData" hidden="1" oldHidden="1">
    <formula>Merged_COEM!$B$59:$AN$301</formula>
    <oldFormula>Merged_COEM!$B$59:$AN$301</oldFormula>
  </rdn>
  <rdn rId="0" localSheetId="2" customView="1" name="Z_FECB4C41_27E8_4A22_AFB3_4F54CDD4960E_.wvu.FilterData" hidden="1" oldHidden="1">
    <formula>Merged_JOEM!$B$59:$AN$559</formula>
    <oldFormula>Merged_JOEM!$B$59:$AN$559</oldFormula>
  </rdn>
  <rcv guid="{FECB4C41-27E8-4A22-AFB3-4F54CDD4960E}" action="add"/>
</revisions>
</file>

<file path=xl/revisions/revisionLog2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14" sId="1">
    <nc r="T292" t="inlineStr">
      <is>
        <t>loc.do-phu</t>
      </is>
    </nc>
  </rcc>
  <rcv guid="{FECB4C41-27E8-4A22-AFB3-4F54CDD4960E}" action="delete"/>
  <rdn rId="0" localSheetId="1" customView="1" name="Z_FECB4C41_27E8_4A22_AFB3_4F54CDD4960E_.wvu.FilterData" hidden="1" oldHidden="1">
    <formula>Merged_COEM!$B$59:$AN$301</formula>
    <oldFormula>Merged_COEM!$B$59:$AN$301</oldFormula>
  </rdn>
  <rdn rId="0" localSheetId="2" customView="1" name="Z_FECB4C41_27E8_4A22_AFB3_4F54CDD4960E_.wvu.FilterData" hidden="1" oldHidden="1">
    <formula>Merged_JOEM!$B$59:$AN$559</formula>
    <oldFormula>Merged_JOEM!$B$59:$AN$559</oldFormula>
  </rdn>
  <rcv guid="{FECB4C41-27E8-4A22-AFB3-4F54CDD4960E}" action="add"/>
</revisions>
</file>

<file path=xl/revisions/revisionLog2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I450">
    <dxf>
      <fill>
        <patternFill patternType="solid">
          <bgColor rgb="FFFFFF00"/>
        </patternFill>
      </fill>
    </dxf>
  </rfmt>
</revisions>
</file>

<file path=xl/revisions/revisionLog2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17" sId="2">
    <nc r="X477">
      <v>42.9</v>
    </nc>
  </rcc>
  <rcc rId="4218" sId="2">
    <nc r="X478">
      <v>26</v>
    </nc>
  </rcc>
  <rcc rId="4219" sId="2">
    <nc r="X479">
      <v>78</v>
    </nc>
  </rcc>
  <rcc rId="4220" sId="2">
    <nc r="X480">
      <v>71.5</v>
    </nc>
  </rcc>
  <rcc rId="4221" sId="2">
    <nc r="X481">
      <v>130</v>
    </nc>
  </rcc>
  <rcc rId="4222" sId="2">
    <nc r="Z477">
      <v>2.64</v>
    </nc>
  </rcc>
  <rcc rId="4223" sId="2">
    <nc r="Z478">
      <v>1.6</v>
    </nc>
  </rcc>
  <rcc rId="4224" sId="2">
    <nc r="Z479">
      <v>4.8</v>
    </nc>
  </rcc>
  <rcc rId="4225" sId="2">
    <nc r="Z480">
      <v>4.4000000000000004</v>
    </nc>
  </rcc>
  <rcc rId="4226" sId="2">
    <nc r="Z481">
      <v>8</v>
    </nc>
  </rcc>
  <rcv guid="{D33AC7AF-C8AB-4CE9-94C7-9237011A5FC3}" action="delete"/>
  <rdn rId="0" localSheetId="1" customView="1" name="Z_D33AC7AF_C8AB_4CE9_94C7_9237011A5FC3_.wvu.FilterData" hidden="1" oldHidden="1">
    <formula>Merged_COEM!$B$59:$AN$301</formula>
    <oldFormula>Merged_COEM!$B$59:$AN$301</oldFormula>
  </rdn>
  <rdn rId="0" localSheetId="2" customView="1" name="Z_D33AC7AF_C8AB_4CE9_94C7_9237011A5FC3_.wvu.FilterData" hidden="1" oldHidden="1">
    <formula>Merged_JOEM!$B$59:$AN$540</formula>
    <oldFormula>Merged_JOEM!$B$59:$AN$540</oldFormula>
  </rdn>
  <rcv guid="{D33AC7AF-C8AB-4CE9-94C7-9237011A5FC3}" action="add"/>
</revisions>
</file>

<file path=xl/revisions/revisionLog2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Merged_JOEM!$B$59:$AN$540</formula>
    <oldFormula>Merged_JOEM!$B$59:$AN$540</oldFormula>
  </rdn>
  <rcv guid="{7E0EA425-A420-4443-B9E0-CDF0AA9E5D09}" action="add"/>
</revisions>
</file>

<file path=xl/revisions/revisionLog2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31" sId="1">
    <nc r="K225" t="inlineStr">
      <is>
        <t>Test: Manual; Cmt: Auto</t>
      </is>
    </nc>
  </rcc>
  <rcc rId="4232" sId="1">
    <nc r="K226" t="inlineStr">
      <is>
        <t>Test: Manual; Cmt: Auto</t>
      </is>
    </nc>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Merged_JOEM!$B$59:$AN$540</oldFormula>
  </rdn>
  <rcv guid="{7E0EA425-A420-4443-B9E0-CDF0AA9E5D09}" action="add"/>
</revisions>
</file>

<file path=xl/revisions/revisionLog2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37" sId="1">
    <oc r="I28">
      <v>321</v>
    </oc>
    <nc r="I28">
      <f>321-90</f>
    </nc>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40" sId="1">
    <oc r="I28">
      <f>321-90</f>
    </oc>
    <nc r="I28">
      <f>211</f>
    </nc>
  </rcc>
</revisions>
</file>

<file path=xl/revisions/revisionLog2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2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43" sId="6" numFmtId="19">
    <oc r="D23">
      <f>TODAY()</f>
    </oc>
    <nc r="D23">
      <f>TODAY()</f>
    </nc>
  </rcc>
</revisions>
</file>

<file path=xl/revisions/revisionLog2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44" sId="6">
    <nc r="V30">
      <v>23.68</v>
    </nc>
  </rcc>
  <rcc rId="4245" sId="6">
    <nc r="V31">
      <f>Q30+Q31</f>
    </nc>
  </rcc>
  <rcc rId="4246" sId="6">
    <nc r="V32">
      <f>V31-V30</f>
    </nc>
  </rcc>
  <rcc rId="4247" sId="6">
    <nc r="X32">
      <f>6*21+10</f>
    </nc>
  </rcc>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2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Merged_JOEM!$B$59:$AN$540</formula>
    <oldFormula>Merged_JOEM!$B$59:$AN$540</oldFormula>
  </rdn>
  <rcv guid="{3B3E6719-EACB-4D2C-89C1-05FFAB6020FD}" action="add"/>
</revisions>
</file>

<file path=xl/revisions/revisionLog2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52" sId="1">
    <nc r="X226">
      <f>W226</f>
    </nc>
  </rcc>
  <rcc rId="4253" sId="1">
    <nc r="Z226">
      <v>2</v>
    </nc>
  </rcc>
  <rcc rId="4254" sId="1">
    <nc r="AA226" t="inlineStr">
      <is>
        <t>Ready for review</t>
      </is>
    </nc>
  </rcc>
  <rcc rId="4255" sId="1" numFmtId="19">
    <nc r="AE226">
      <v>44084</v>
    </nc>
  </rcc>
  <rcc rId="4256" sId="1" numFmtId="19">
    <nc r="AF226">
      <v>44084</v>
    </nc>
  </rcc>
  <rcc rId="4257" sId="1">
    <nc r="AG226" t="inlineStr">
      <is>
        <t>NG</t>
      </is>
    </nc>
  </rcc>
  <rcc rId="4258" sId="1" numFmtId="14">
    <nc r="AH226">
      <v>1</v>
    </nc>
  </rcc>
  <rcc rId="4259" sId="1" numFmtId="14">
    <nc r="AI226">
      <v>0.96</v>
    </nc>
  </rcc>
  <rcc rId="4260" sId="1" numFmtId="14">
    <nc r="AJ226">
      <v>1</v>
    </nc>
  </rcc>
  <rcc rId="4261" sId="1">
    <nc r="AK226" t="inlineStr">
      <is>
        <t>OPL</t>
      </is>
    </nc>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64" sId="1" quotePrefix="1">
    <oc r="AL226" t="inlineStr">
      <is>
        <t>-</t>
      </is>
    </oc>
    <nc r="AL226" t="inlineStr">
      <is>
        <t>-Can't cover for FALSE case for condition if(1) at line #152.</t>
      </is>
    </nc>
  </rcc>
</revisions>
</file>

<file path=xl/revisions/revisionLog2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65" sId="1">
    <nc r="T226" t="inlineStr">
      <is>
        <t>nam.phan-the</t>
      </is>
    </nc>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68" sId="1">
    <nc r="T225" t="inlineStr">
      <is>
        <t>nam.phan-the</t>
      </is>
    </nc>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A457">
    <dxf>
      <fill>
        <patternFill patternType="solid">
          <bgColor rgb="FFFF0000"/>
        </patternFill>
      </fill>
    </dxf>
  </rfmt>
  <rcc rId="4285" sId="2">
    <nc r="Z462">
      <f>Y462</f>
    </nc>
  </rcc>
  <rcc rId="4286" sId="2">
    <nc r="AA462" t="inlineStr">
      <is>
        <t>Ready for review</t>
      </is>
    </nc>
  </rcc>
  <rcc rId="4287" sId="2" numFmtId="19">
    <nc r="AE462">
      <v>44084</v>
    </nc>
  </rcc>
  <rcc rId="4288" sId="2" numFmtId="19">
    <nc r="AF462">
      <v>44084</v>
    </nc>
  </rcc>
  <rcc rId="4289" sId="2">
    <nc r="AG462" t="inlineStr">
      <is>
        <t>OK</t>
      </is>
    </nc>
  </rcc>
  <rcc rId="4290" sId="2" numFmtId="14">
    <nc r="AH462">
      <v>1</v>
    </nc>
  </rcc>
  <rcc rId="4291" sId="2" numFmtId="14">
    <nc r="AI462">
      <v>1</v>
    </nc>
  </rcc>
  <rcc rId="4292" sId="2" numFmtId="14">
    <nc r="AJ462">
      <v>0.41699999999999998</v>
    </nc>
  </rcc>
  <rcc rId="4293" sId="2" quotePrefix="1">
    <nc r="AK462" t="inlineStr">
      <is>
        <t>None</t>
      </is>
    </nc>
  </rcc>
  <rcv guid="{60D2C030-4E31-4E07-8E1C-44D2EE84B177}" action="delete"/>
  <rdn rId="0" localSheetId="1" customView="1" name="Z_60D2C030_4E31_4E07_8E1C_44D2EE84B177_.wvu.FilterData" hidden="1" oldHidden="1">
    <formula>Merged_COEM!$A$59:$AN$301</formula>
    <oldFormula>Merged_COEM!$A$59:$AN$301</oldFormula>
  </rdn>
  <rdn rId="0" localSheetId="2" customView="1" name="Z_60D2C030_4E31_4E07_8E1C_44D2EE84B177_.wvu.FilterData" hidden="1" oldHidden="1">
    <formula>Merged_JOEM!$B$59:$AN$540</formula>
    <oldFormula>Merged_JOEM!$B$59:$AN$540</oldFormula>
  </rdn>
  <rcv guid="{60D2C030-4E31-4E07-8E1C-44D2EE84B177}" action="add"/>
</revisions>
</file>

<file path=xl/revisions/revisionLog2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96" sId="2" numFmtId="14">
    <nc r="AH449">
      <v>1</v>
    </nc>
  </rcc>
  <rcc rId="4297" sId="2" numFmtId="14">
    <nc r="AI449">
      <v>1</v>
    </nc>
  </rcc>
  <rcc rId="4298" sId="2" numFmtId="14">
    <nc r="AJ449">
      <v>0.23300000000000001</v>
    </nc>
  </rcc>
  <rcc rId="4299" sId="2" quotePrefix="1">
    <nc r="AK449" t="inlineStr">
      <is>
        <t>None</t>
      </is>
    </nc>
  </rcc>
  <rcc rId="4300" sId="2">
    <nc r="AG449" t="inlineStr">
      <is>
        <t>OK</t>
      </is>
    </nc>
  </rcc>
  <rcc rId="4301" sId="2" numFmtId="19">
    <nc r="AF449">
      <v>44084</v>
    </nc>
  </rcc>
  <rcc rId="4302" sId="2" numFmtId="19">
    <nc r="AE449">
      <v>44084</v>
    </nc>
  </rcc>
  <rcc rId="4303" sId="2">
    <nc r="AA449" t="inlineStr">
      <is>
        <t>Ready for review</t>
      </is>
    </nc>
  </rcc>
  <rcc rId="4304" sId="2">
    <nc r="Z449">
      <f>Y449</f>
    </nc>
  </rcc>
  <rcc rId="4305" sId="2">
    <nc r="X449">
      <f>W449</f>
    </nc>
  </rcc>
  <rcv guid="{A2E8CE38-D15E-4374-89B2-69D9421C4465}" action="delete"/>
  <rdn rId="0" localSheetId="1" customView="1" name="Z_A2E8CE38_D15E_4374_89B2_69D9421C4465_.wvu.FilterData" hidden="1" oldHidden="1">
    <formula>Merged_COEM!$A$59:$AN$301</formula>
    <oldFormula>Merged_COEM!$A$59:$AN$301</oldFormula>
  </rdn>
  <rdn rId="0" localSheetId="2" customView="1" name="Z_A2E8CE38_D15E_4374_89B2_69D9421C4465_.wvu.FilterData" hidden="1" oldHidden="1">
    <formula>Merged_JOEM!$B$59:$AN$559</formula>
    <oldFormula>Merged_JOEM!$B$59:$AN$540</oldFormula>
  </rdn>
  <rcv guid="{A2E8CE38-D15E-4374-89B2-69D9421C4465}" action="add"/>
</revisions>
</file>

<file path=xl/revisions/revisionLog2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10" sId="2" numFmtId="14">
    <nc r="AH451">
      <v>1</v>
    </nc>
  </rcc>
  <rcc rId="4311" sId="2" numFmtId="14">
    <nc r="AI451">
      <v>1</v>
    </nc>
  </rcc>
  <rcc rId="4312" sId="2" numFmtId="14">
    <nc r="AJ451">
      <v>0</v>
    </nc>
  </rcc>
  <rcc rId="4313" sId="2" quotePrefix="1">
    <nc r="AK451" t="inlineStr">
      <is>
        <t>None</t>
      </is>
    </nc>
  </rcc>
  <rcc rId="4314" sId="2">
    <nc r="AG451" t="inlineStr">
      <is>
        <t>OK</t>
      </is>
    </nc>
  </rcc>
  <rcc rId="4315" sId="2" numFmtId="19">
    <nc r="AF451">
      <v>44084</v>
    </nc>
  </rcc>
  <rcc rId="4316" sId="2" numFmtId="19">
    <nc r="AE451">
      <v>44084</v>
    </nc>
  </rcc>
  <rcc rId="4317" sId="2">
    <nc r="AA451" t="inlineStr">
      <is>
        <t>Ready for review</t>
      </is>
    </nc>
  </rcc>
  <rcc rId="4318" sId="2">
    <nc r="Z451">
      <f>Y451</f>
    </nc>
  </rcc>
  <rcc rId="4319" sId="2">
    <nc r="X451">
      <f>W451</f>
    </nc>
  </rcc>
  <rcv guid="{A2E8CE38-D15E-4374-89B2-69D9421C4465}" action="delete"/>
  <rdn rId="0" localSheetId="1" customView="1" name="Z_A2E8CE38_D15E_4374_89B2_69D9421C4465_.wvu.FilterData" hidden="1" oldHidden="1">
    <formula>Merged_COEM!$A$59:$AN$301</formula>
    <oldFormula>Merged_COEM!$A$59:$AN$301</oldFormula>
  </rdn>
  <rdn rId="0" localSheetId="2" customView="1" name="Z_A2E8CE38_D15E_4374_89B2_69D9421C4465_.wvu.FilterData" hidden="1" oldHidden="1">
    <formula>Merged_JOEM!$B$59:$AN$559</formula>
    <oldFormula>Merged_JOEM!$B$59:$AN$559</oldFormula>
  </rdn>
  <rcv guid="{A2E8CE38-D15E-4374-89B2-69D9421C4465}" action="add"/>
</revisions>
</file>

<file path=xl/revisions/revisionLog2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22" sId="2">
    <nc r="X469">
      <v>39</v>
    </nc>
  </rcc>
  <rcc rId="4323" sId="2">
    <nc r="Z469">
      <v>1.8</v>
    </nc>
  </rcc>
  <rcc rId="4324" sId="2">
    <nc r="AA469" t="inlineStr">
      <is>
        <t>Ready for review</t>
      </is>
    </nc>
  </rcc>
  <rcc rId="4325" sId="2" numFmtId="19">
    <nc r="AE469">
      <v>44084</v>
    </nc>
  </rcc>
  <rcc rId="4326" sId="2" numFmtId="19">
    <nc r="AF469">
      <v>44084</v>
    </nc>
  </rcc>
  <rcc rId="4327" sId="2">
    <nc r="AG469" t="inlineStr">
      <is>
        <t>OK</t>
      </is>
    </nc>
  </rcc>
  <rcc rId="4328" sId="2" numFmtId="14">
    <nc r="AH469">
      <v>1</v>
    </nc>
  </rcc>
  <rcc rId="4329" sId="2" numFmtId="14">
    <nc r="AI469">
      <v>1</v>
    </nc>
  </rcc>
  <rcc rId="4330" sId="2" quotePrefix="1">
    <nc r="AK469" t="inlineStr">
      <is>
        <t>None</t>
      </is>
    </nc>
  </rcc>
  <rcc rId="4331" sId="2" quotePrefix="1">
    <nc r="AL469" t="inlineStr">
      <is>
        <t>-</t>
      </is>
    </nc>
  </rcc>
  <rcc rId="4332" sId="2" quotePrefix="1">
    <nc r="AM469" t="inlineStr">
      <is>
        <t>-</t>
      </is>
    </nc>
  </rcc>
  <rcc rId="4333" sId="2" quotePrefix="1">
    <nc r="AN469" t="inlineStr">
      <is>
        <t>-</t>
      </is>
    </nc>
  </rcc>
  <rcc rId="4334" sId="2" numFmtId="14">
    <nc r="AJ469">
      <v>0.625</v>
    </nc>
  </rc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Merged_JOEM!$B$59:$AN$559</formula>
    <oldFormula>Merged_JOEM!$B$59:$AN$540</oldFormula>
  </rdn>
  <rcv guid="{3B3E6719-EACB-4D2C-89C1-05FFAB6020FD}" action="add"/>
</revisions>
</file>

<file path=xl/revisions/revisionLog2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2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53" sId="2" numFmtId="14">
    <nc r="AH452">
      <v>0.88900000000000001</v>
    </nc>
  </rcc>
  <rcc rId="4354" sId="2" numFmtId="14">
    <nc r="AI452">
      <v>0.88900000000000001</v>
    </nc>
  </rcc>
  <rcc rId="4355" sId="2" numFmtId="14">
    <nc r="AJ452">
      <v>0.4</v>
    </nc>
  </rcc>
  <rcc rId="4356" sId="2" quotePrefix="1">
    <nc r="AK452" t="inlineStr">
      <is>
        <t>None</t>
      </is>
    </nc>
  </rcc>
  <rcc rId="4357" sId="2" quotePrefix="1">
    <nc r="AL452" t="inlineStr">
      <is>
        <t>Can not cover default case of Switch because SsmState (enum: SSMState_Standby; SSMState_HydHold; SSMState_MechHold; SSMState_Release) had been used 4 element in this Switch.</t>
      </is>
    </nc>
  </rcc>
  <rcv guid="{A2E8CE38-D15E-4374-89B2-69D9421C4465}" action="delete"/>
  <rdn rId="0" localSheetId="1" customView="1" name="Z_A2E8CE38_D15E_4374_89B2_69D9421C4465_.wvu.FilterData" hidden="1" oldHidden="1">
    <formula>Merged_COEM!$A$59:$AN$301</formula>
    <oldFormula>Merged_COEM!$A$59:$AN$301</oldFormula>
  </rdn>
  <rdn rId="0" localSheetId="2" customView="1" name="Z_A2E8CE38_D15E_4374_89B2_69D9421C4465_.wvu.FilterData" hidden="1" oldHidden="1">
    <formula>Merged_JOEM!$B$59:$AN$559</formula>
    <oldFormula>Merged_JOEM!$B$59:$AN$559</oldFormula>
  </rdn>
  <rcv guid="{A2E8CE38-D15E-4374-89B2-69D9421C4465}" action="add"/>
</revisions>
</file>

<file path=xl/revisions/revisionLog2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60" sId="2">
    <nc r="AG452" t="inlineStr">
      <is>
        <t>OK</t>
      </is>
    </nc>
  </rcc>
  <rcc rId="4361" sId="2" numFmtId="19">
    <nc r="AF452">
      <v>44084</v>
    </nc>
  </rcc>
  <rcc rId="4362" sId="2" numFmtId="19">
    <nc r="AE452">
      <v>44084</v>
    </nc>
  </rcc>
  <rcc rId="4363" sId="2">
    <nc r="AA452" t="inlineStr">
      <is>
        <t>Ready for review</t>
      </is>
    </nc>
  </rcc>
  <rcc rId="4364" sId="2">
    <nc r="Z452">
      <f>Y452</f>
    </nc>
  </rcc>
  <rcc rId="4365" sId="2">
    <nc r="X452">
      <f>W452</f>
    </nc>
  </rcc>
  <rcv guid="{A2E8CE38-D15E-4374-89B2-69D9421C4465}" action="delete"/>
  <rdn rId="0" localSheetId="1" customView="1" name="Z_A2E8CE38_D15E_4374_89B2_69D9421C4465_.wvu.FilterData" hidden="1" oldHidden="1">
    <formula>Merged_COEM!$A$59:$AN$301</formula>
    <oldFormula>Merged_COEM!$A$59:$AN$301</oldFormula>
  </rdn>
  <rdn rId="0" localSheetId="2" customView="1" name="Z_A2E8CE38_D15E_4374_89B2_69D9421C4465_.wvu.FilterData" hidden="1" oldHidden="1">
    <formula>Merged_JOEM!$B$59:$AN$559</formula>
    <oldFormula>Merged_JOEM!$B$59:$AN$559</oldFormula>
  </rdn>
  <rcv guid="{A2E8CE38-D15E-4374-89B2-69D9421C4465}" action="add"/>
</revisions>
</file>

<file path=xl/revisions/revisionLog2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2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84" sId="1" quotePrefix="1">
    <oc r="F288" t="inlineStr">
      <is>
        <t>\FAW_IPB1.1_Int_ESP\FAW_ESP\rb\as\fawESP\esp\hswpr\tst\hswsim\src\TestEnvironment_Fee_EV711101.c</t>
      </is>
    </oc>
    <nc r="F288" t="inlineStr">
      <is>
        <t>FAW_IPB1.1_Int_ESP\FAW_ESP\rb\as\fawESP\esp\hswpr\tst\hswsim\src\TestEnvironment_Fee_EV711101.c</t>
      </is>
    </nc>
  </rcc>
  <rcc rId="4385" sId="1" quotePrefix="1">
    <oc r="F289" t="inlineStr">
      <is>
        <t>\FAW_IPB1.1_Int_ESP\FAW_ESP\rb\as\fawESP\esp\hswpr\tst\hswsim\src\TestEnvironment_Fee_EV711106.c</t>
      </is>
    </oc>
    <nc r="F289" t="inlineStr">
      <is>
        <t>FAW_IPB1.1_Int_ESP\FAW_ESP\rb\as\fawESP\esp\hswpr\tst\hswsim\src\TestEnvironment_Fee_EV711106.c</t>
      </is>
    </nc>
  </rcc>
  <rcc rId="4386" sId="1" quotePrefix="1">
    <oc r="F290" t="inlineStr">
      <is>
        <t>\FAW_IPB1.1_Int_ESP\FAW_ESP\rb\as\fawESP\esp\hwp\src\RBCooLS\src\RBCooLS_Main_Volvo.c</t>
      </is>
    </oc>
    <nc r="F290" t="inlineStr">
      <is>
        <t>FAW_IPB1.1_Int_ESP\FAW_ESP\rb\as\fawESP\esp\hwp\src\RBCooLS\src\RBCooLS_Main_Volvo.c</t>
      </is>
    </nc>
  </rcc>
  <rcc rId="4387" sId="1" quotePrefix="1">
    <oc r="F291" t="inlineStr">
      <is>
        <t>\FAW_IPB1.1_Int_ESP\FAW_ESP\rb\as\fawESP\esp\hwp\src\DfaEmf\src\RBDfaEmf_SignalOutput_BMWG01.c</t>
      </is>
    </oc>
    <nc r="F291" t="inlineStr">
      <is>
        <t>FAW_IPB1.1_Int_ESP\FAW_ESP\rb\as\fawESP\esp\hwp\src\DfaEmf\src\RBDfaEmf_SignalOutput_BMWG01.c</t>
      </is>
    </nc>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2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90" sId="1" quotePrefix="1">
    <oc r="F286" t="inlineStr">
      <is>
        <t>\FAW_IPB1.1_Int_ESP\FAW_ESP\rb\as\fawESP\esp\hswpr\src\DfaEmf\src\RBDfaEmf_SignalOutput_BMWG01.c</t>
      </is>
    </oc>
    <nc r="F286" t="inlineStr">
      <is>
        <t>FAW_IPB1.1_Int_ESP\FAW_ESP\rb\as\fawESP\esp\hswpr\src\DfaEmf\src\RBDfaEmf_SignalOutput_BMWG01.c</t>
      </is>
    </nc>
  </rcc>
</revisions>
</file>

<file path=xl/revisions/revisionLog2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91" sId="1" quotePrefix="1">
    <oc r="F254" t="inlineStr">
      <is>
        <t>\FAW_IPB1.1_Int_ESP\FAW_ESP\rb\as\fawESP\core\app\dcom\RBAPLCust\src\common\RBAPLCUST_DcmManufacturerNotification.c</t>
      </is>
    </oc>
    <nc r="F254" t="inlineStr">
      <is>
        <t>FAW_IPB1.1_Int_ESP\FAW_ESP\rb\as\fawESP\core\app\dcom\RBAPLCust\src\common\RBAPLCUST_DcmManufacturerNotification.c</t>
      </is>
    </nc>
  </rcc>
  <rcc rId="4392" sId="1" quotePrefix="1">
    <oc r="F255" t="inlineStr">
      <is>
        <t>\FAW_IPB1.1_Int_ESP\FAW_ESP\rb\as\fawESP\core\app\dcom\RBAPLCust\src\common\RBAPLCUST_ExpectedOBDType.c</t>
      </is>
    </oc>
    <nc r="F255" t="inlineStr">
      <is>
        <t>FAW_IPB1.1_Int_ESP\FAW_ESP\rb\as\fawESP\core\app\dcom\RBAPLCust\src\common\RBAPLCUST_ExpectedOBDType.c</t>
      </is>
    </nc>
  </rcc>
  <rcc rId="4393" sId="1" quotePrefix="1">
    <oc r="F256" t="inlineStr">
      <is>
        <t>\FAW_IPB1.1_Int_ESP\FAW_ESP\rb\as\fawESP\core\app\dcom\RBAPLCust\src\common\RBAPLCUST_RDBI_BLS.c</t>
      </is>
    </oc>
    <nc r="F256" t="inlineStr">
      <is>
        <t>FAW_IPB1.1_Int_ESP\FAW_ESP\rb\as\fawESP\core\app\dcom\RBAPLCust\src\common\RBAPLCUST_RDBI_BLS.c</t>
      </is>
    </nc>
  </rcc>
  <rcc rId="4394" sId="1" quotePrefix="1">
    <oc r="F257" t="inlineStr">
      <is>
        <t>\FAW_IPB1.1_Int_ESP\FAW_ESP\rb\as\fawESP\core\app\dcom\rbaplcust\src\IPB\RBAPLCUST_RDBI_CBDS.c</t>
      </is>
    </oc>
    <nc r="F257" t="inlineStr">
      <is>
        <t>FAW_IPB1.1_Int_ESP\FAW_ESP\rb\as\fawESP\core\app\dcom\rbaplcust\src\IPB\RBAPLCUST_RDBI_CBDS.c</t>
      </is>
    </nc>
  </rcc>
  <rcc rId="4395" sId="1" quotePrefix="1">
    <oc r="F258" t="inlineStr">
      <is>
        <t>\FAW_IPB1.1_Int_ESP\FAW_ESP\rb\as\fawESP\core\app\dcom\RBAPLCust\src\iBooster\RBAPLCUST_RoutineControl_iBoosterActuatorTest.c</t>
      </is>
    </oc>
    <nc r="F258" t="inlineStr">
      <is>
        <t>FAW_IPB1.1_Int_ESP\FAW_ESP\rb\as\fawESP\core\app\dcom\RBAPLCust\src\iBooster\RBAPLCUST_RoutineControl_iBoosterActuatorTest.c</t>
      </is>
    </nc>
  </rcc>
  <rcc rId="4396" sId="1" quotePrefix="1">
    <oc r="F259" t="inlineStr">
      <is>
        <t>\FAW_IPB1.1_Int_ESP\FAW_ESP\rb\as\fawESP\core\app\dcom\rbaplobd\src\RBAPLOBD_Global.c</t>
      </is>
    </oc>
    <nc r="F259" t="inlineStr">
      <is>
        <t>FAW_IPB1.1_Int_ESP\FAW_ESP\rb\as\fawESP\core\app\dcom\rbaplobd\src\RBAPLOBD_Global.c</t>
      </is>
    </nc>
  </rcc>
  <rcc rId="4397" sId="1" quotePrefix="1">
    <oc r="F260" t="inlineStr">
      <is>
        <t>\FAW_IPB1.1_Int_ESP\FAW_ESP\rb\as\fawESP\core\app\dsm\RBWarningIndicator\src\Dem_PrjSpecificIndiHandling.c</t>
      </is>
    </oc>
    <nc r="F260" t="inlineStr">
      <is>
        <t>FAW_IPB1.1_Int_ESP\FAW_ESP\rb\as\fawESP\core\app\dsm\RBWarningIndicator\src\Dem_PrjSpecificIndiHandling.c</t>
      </is>
    </nc>
  </rcc>
  <rcc rId="4398" sId="1" quotePrefix="1">
    <oc r="F261" t="inlineStr">
      <is>
        <t>\FAW_IPB1.1_Int_ESP\FAW_ESP\rb\as\fawESP\core\app\dsm\RBDsmSim\RB_SimDsmCfg\PRJ_Specific\src\DSMSim_PRJ_Specific.c</t>
      </is>
    </oc>
    <nc r="F261" t="inlineStr">
      <is>
        <t>FAW_IPB1.1_Int_ESP\FAW_ESP\rb\as\fawESP\core\app\dsm\RBDsmSim\RB_SimDsmCfg\PRJ_Specific\src\DSMSim_PRJ_Specific.c</t>
      </is>
    </nc>
  </rcc>
  <rcc rId="4399" sId="1" quotePrefix="1">
    <oc r="F262" t="inlineStr">
      <is>
        <t>\FAW_IPB1.1_Int_ESP\FAW_ESP\rb\as\fawESP\core\app\dsm\RBOBD\OBDGeneric\src\rba_DemObdBasic_ProjectExtension.c</t>
      </is>
    </oc>
    <nc r="F262" t="inlineStr">
      <is>
        <t>FAW_IPB1.1_Int_ESP\FAW_ESP\rb\as\fawESP\core\app\dsm\RBOBD\OBDGeneric\src\rba_DemObdBasic_ProjectExtension.c</t>
      </is>
    </nc>
  </rcc>
  <rcc rId="4400" sId="1" quotePrefix="1">
    <oc r="F263" t="inlineStr">
      <is>
        <t>\FAW_IPB1.1_Int_ESP\FAW_ESP\rb\as\fawESP\core\app\dsm\RBHMI_IB2\src\RBHMI_ConfigOutputDriver_PRJ.c</t>
      </is>
    </oc>
    <nc r="F263" t="inlineStr">
      <is>
        <t>FAW_IPB1.1_Int_ESP\FAW_ESP\rb\as\fawESP\core\app\dsm\RBHMI_IB2\src\RBHMI_ConfigOutputDriver_PRJ.c</t>
      </is>
    </nc>
  </rcc>
  <rcc rId="4401" sId="1" quotePrefix="1">
    <oc r="F264" t="inlineStr">
      <is>
        <t>\FAW_IPB1.1_Int_ESP\FAW_ESP\rb\as\fawESP\core\app\dsm\RBHMI\src\RBHMI_ConfigOutputDriver_PRJ.c</t>
      </is>
    </oc>
    <nc r="F264" t="inlineStr">
      <is>
        <t>FAW_IPB1.1_Int_ESP\FAW_ESP\rb\as\fawESP\core\app\dsm\RBHMI\src\RBHMI_ConfigOutputDriver_PRJ.c</t>
      </is>
    </nc>
  </rcc>
  <rcc rId="4402" sId="1" quotePrefix="1">
    <oc r="F265" t="inlineStr">
      <is>
        <t>\FAW_IPB1.1_Int_ESP\FAW_ESP\rb\as\fawESP\core\app\dsm\RBVAR\src\RBVAR_OutputDriver_PROJECT.c</t>
      </is>
    </oc>
    <nc r="F265" t="inlineStr">
      <is>
        <t>FAW_IPB1.1_Int_ESP\FAW_ESP\rb\as\fawESP\core\app\dsm\RBVAR\src\RBVAR_OutputDriver_PROJECT.c</t>
      </is>
    </nc>
  </rcc>
  <rcc rId="4403" sId="1" quotePrefix="1">
    <oc r="F266" t="inlineStr">
      <is>
        <t>\FAW_IPB1.1_Int_ESP\FAW_ESP\rb\as\fawESP\esp\hswpr\src\DfaEmf\src\RBDfaEmf_SignalOutput_BMWG01.c</t>
      </is>
    </oc>
    <nc r="F266" t="inlineStr">
      <is>
        <t>FAW_IPB1.1_Int_ESP\FAW_ESP\rb\as\fawESP\esp\hswpr\src\DfaEmf\src\RBDfaEmf_SignalOutput_BMWG01.c</t>
      </is>
    </nc>
  </rcc>
  <rcc rId="4404" sId="1" quotePrefix="1">
    <oc r="F267" t="inlineStr">
      <is>
        <t>\FAW_IPB1.1_Int_ESP\FAW_ESP\rb\as\fawESP\esp\hswpr\tst\hswsim\src\TestEnvironment_Fee_EV711101.c</t>
      </is>
    </oc>
    <nc r="F267" t="inlineStr">
      <is>
        <t>FAW_IPB1.1_Int_ESP\FAW_ESP\rb\as\fawESP\esp\hswpr\tst\hswsim\src\TestEnvironment_Fee_EV711101.c</t>
      </is>
    </nc>
  </rcc>
  <rcc rId="4405" sId="1" quotePrefix="1">
    <oc r="F268" t="inlineStr">
      <is>
        <t>\FAW_IPB1.1_Int_ESP\FAW_ESP\rb\as\fawESP\esp\hswpr\tst\hswsim\src\TestEnvironment_Fee_EV711106.c</t>
      </is>
    </oc>
    <nc r="F268" t="inlineStr">
      <is>
        <t>FAW_IPB1.1_Int_ESP\FAW_ESP\rb\as\fawESP\esp\hswpr\tst\hswsim\src\TestEnvironment_Fee_EV711106.c</t>
      </is>
    </nc>
  </rcc>
  <rcc rId="4406" sId="1" quotePrefix="1">
    <oc r="F269" t="inlineStr">
      <is>
        <t>\FAW_IPB1.1_Int_ESP\FAW_ESP\rb\as\fawESP\esp\hwp\src\RBCooLS\src\RBCooLS_Main_Volvo.c</t>
      </is>
    </oc>
    <nc r="F269" t="inlineStr">
      <is>
        <t>FAW_IPB1.1_Int_ESP\FAW_ESP\rb\as\fawESP\esp\hwp\src\RBCooLS\src\RBCooLS_Main_Volvo.c</t>
      </is>
    </nc>
  </rcc>
  <rcc rId="4407" sId="1" quotePrefix="1">
    <oc r="F270" t="inlineStr">
      <is>
        <t>\FAW_IPB1.1_Int_ESP\FAW_ESP\rb\as\fawESP\esp\hwp\src\DfaEmf\src\RBDfaEmf_SignalOutput_BMWG01.c</t>
      </is>
    </oc>
    <nc r="F270" t="inlineStr">
      <is>
        <t>FAW_IPB1.1_Int_ESP\FAW_ESP\rb\as\fawESP\esp\hwp\src\DfaEmf\src\RBDfaEmf_SignalOutput_BMWG01.c</t>
      </is>
    </nc>
  </rcc>
</revisions>
</file>

<file path=xl/revisions/revisionLog3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14" sId="1" quotePrefix="1">
    <oc r="F293" t="inlineStr">
      <is>
        <t>rb\as\gwm\cp\app\net\SclCallout\src</t>
      </is>
    </oc>
    <nc r="F293" t="inlineStr">
      <is>
        <t>GWM_AB30_CP_Int\MainstreamF30\rb\as\gwm\cp\app\net\SclCallout\src</t>
      </is>
    </nc>
  </rcc>
  <rfmt sheetId="1" sqref="F293" start="0" length="2147483647">
    <dxf>
      <font>
        <b/>
      </font>
    </dxf>
  </rfmt>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C94451EF-7A3E-4D72-B5A4-3D1B193192CC}" action="delete"/>
  <rdn rId="0" localSheetId="1" customView="1" name="Z_C94451EF_7A3E_4D72_B5A4_3D1B193192CC_.wvu.FilterData" hidden="1" oldHidden="1">
    <formula>Merged_COEM!$B$59:$AN$301</formula>
    <oldFormula>Merged_COEM!$B$59:$AN$301</oldFormula>
  </rdn>
  <rdn rId="0" localSheetId="2" customView="1" name="Z_C94451EF_7A3E_4D72_B5A4_3D1B193192CC_.wvu.FilterData" hidden="1" oldHidden="1">
    <formula>Merged_JOEM!$B$59:$AN$540</formula>
    <oldFormula>Merged_JOEM!$B$59:$AN$540</oldFormula>
  </rdn>
  <rcv guid="{C94451EF-7A3E-4D72-B5A4-3D1B193192CC}" action="add"/>
</revisions>
</file>

<file path=xl/revisions/revisionLog3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33AC7AF-C8AB-4CE9-94C7-9237011A5FC3}" action="delete"/>
  <rdn rId="0" localSheetId="1" customView="1" name="Z_D33AC7AF_C8AB_4CE9_94C7_9237011A5FC3_.wvu.FilterData" hidden="1" oldHidden="1">
    <formula>Merged_COEM!$B$59:$AN$301</formula>
    <oldFormula>Merged_COEM!$B$59:$AN$301</oldFormula>
  </rdn>
  <rdn rId="0" localSheetId="2" customView="1" name="Z_D33AC7AF_C8AB_4CE9_94C7_9237011A5FC3_.wvu.FilterData" hidden="1" oldHidden="1">
    <formula>Merged_JOEM!$B$59:$AN$559</formula>
    <oldFormula>Merged_JOEM!$B$59:$AN$540</oldFormula>
  </rdn>
  <rcv guid="{D33AC7AF-C8AB-4CE9-94C7-9237011A5FC3}" action="add"/>
</revisions>
</file>

<file path=xl/revisions/revisionLog3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21" sId="2" numFmtId="19">
    <nc r="AE477">
      <v>44084</v>
    </nc>
  </rcc>
  <rcc rId="4422" sId="2" numFmtId="19">
    <nc r="AF477">
      <v>44084</v>
    </nc>
  </rcc>
  <rcc rId="4423" sId="2">
    <nc r="AG477" t="inlineStr">
      <is>
        <t>OK</t>
      </is>
    </nc>
  </rcc>
  <rcc rId="4424" sId="2" numFmtId="14">
    <nc r="AH477">
      <v>1</v>
    </nc>
  </rcc>
  <rcc rId="4425" sId="2" numFmtId="14">
    <nc r="AI477">
      <v>1</v>
    </nc>
  </rcc>
  <rfmt sheetId="2" sqref="AJ477" start="0" length="0">
    <dxf/>
  </rfmt>
  <rcc rId="4426" sId="2" odxf="1" dxf="1" quotePrefix="1">
    <nc r="AK477" t="inlineStr">
      <is>
        <t>None</t>
      </is>
    </nc>
    <odxf>
      <numFmt numFmtId="0" formatCode="General"/>
      <alignment horizontal="general" readingOrder="0"/>
    </odxf>
    <ndxf>
      <numFmt numFmtId="164" formatCode="[$-409]d\-mmm\-yyyy;@"/>
      <alignment horizontal="left" readingOrder="0"/>
    </ndxf>
  </rcc>
  <rcc rId="4427" sId="2" numFmtId="14">
    <nc r="AJ477">
      <v>0.66700000000000004</v>
    </nc>
  </rcc>
  <rcv guid="{D33AC7AF-C8AB-4CE9-94C7-9237011A5FC3}" action="delete"/>
  <rdn rId="0" localSheetId="1" customView="1" name="Z_D33AC7AF_C8AB_4CE9_94C7_9237011A5FC3_.wvu.FilterData" hidden="1" oldHidden="1">
    <formula>Merged_COEM!$B$59:$AN$301</formula>
    <oldFormula>Merged_COEM!$B$59:$AN$301</oldFormula>
  </rdn>
  <rdn rId="0" localSheetId="2" customView="1" name="Z_D33AC7AF_C8AB_4CE9_94C7_9237011A5FC3_.wvu.FilterData" hidden="1" oldHidden="1">
    <formula>Merged_JOEM!$B$59:$AN$559</formula>
    <oldFormula>Merged_JOEM!$B$59:$AN$559</oldFormula>
  </rdn>
  <rcv guid="{D33AC7AF-C8AB-4CE9-94C7-9237011A5FC3}" action="add"/>
</revisions>
</file>

<file path=xl/revisions/revisionLog3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30" sId="2" numFmtId="19">
    <nc r="AE478">
      <v>44084</v>
    </nc>
  </rcc>
  <rcc rId="4431" sId="2" numFmtId="19">
    <nc r="AF478">
      <v>44084</v>
    </nc>
  </rcc>
  <rcc rId="4432" sId="2">
    <nc r="AG478" t="inlineStr">
      <is>
        <t>OK</t>
      </is>
    </nc>
  </rcc>
  <rcc rId="4433" sId="2" numFmtId="14">
    <nc r="AH478">
      <v>1</v>
    </nc>
  </rcc>
  <rcc rId="4434" sId="2" numFmtId="14">
    <nc r="AI478">
      <v>1</v>
    </nc>
  </rcc>
  <rfmt sheetId="2" sqref="AJ478" start="0" length="0">
    <dxf/>
  </rfmt>
  <rcc rId="4435" sId="2" odxf="1" dxf="1" quotePrefix="1">
    <nc r="AK478" t="inlineStr">
      <is>
        <t>None</t>
      </is>
    </nc>
    <odxf>
      <numFmt numFmtId="0" formatCode="General"/>
      <alignment horizontal="general" readingOrder="0"/>
    </odxf>
    <ndxf>
      <numFmt numFmtId="164" formatCode="[$-409]d\-mmm\-yyyy;@"/>
      <alignment horizontal="left" readingOrder="0"/>
    </ndxf>
  </rcc>
  <rcc rId="4436" sId="2" numFmtId="14">
    <nc r="AJ478" t="inlineStr">
      <is>
        <t>NA</t>
      </is>
    </nc>
  </rcc>
</revisions>
</file>

<file path=xl/revisions/revisionLog3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266" start="0" length="0">
    <dxf>
      <alignment horizontal="general" vertical="bottom" readingOrder="0"/>
    </dxf>
  </rfmt>
  <rfmt sheetId="1" sqref="F267" start="0" length="0">
    <dxf>
      <alignment horizontal="general" vertical="bottom" readingOrder="0"/>
    </dxf>
  </rfmt>
  <rfmt sheetId="1" sqref="F268" start="0" length="0">
    <dxf>
      <alignment horizontal="general" vertical="bottom" readingOrder="0"/>
    </dxf>
  </rfmt>
  <rfmt sheetId="1" sqref="F269" start="0" length="0">
    <dxf>
      <alignment horizontal="general" vertical="bottom" readingOrder="0"/>
    </dxf>
  </rfmt>
  <rfmt sheetId="1" sqref="F270" start="0" length="0">
    <dxf>
      <alignment horizontal="general" vertical="bottom" readingOrder="0"/>
    </dxf>
  </rfmt>
  <rcc rId="4437" sId="1" xfDxf="1" dxf="1">
    <oc r="F266" t="inlineStr">
      <is>
        <t>FAW_IPB1.1_Int_ESP\FAW_ESP\rb\as\fawESP\esp\hswpr\src\DfaEmf\src\RBDfaEmf_SignalOutput_BMWG01.c</t>
      </is>
    </oc>
    <nc r="F266" t="inlineStr">
      <is>
        <t>rb\as\fawESP\core\app\dsm\RBVAR\src\RBVAR_VarCode_PROJECT.c</t>
      </is>
    </nc>
    <ndxf>
      <border outline="0">
        <left style="thin">
          <color indexed="64"/>
        </left>
        <right style="thin">
          <color indexed="64"/>
        </right>
        <top style="thin">
          <color indexed="64"/>
        </top>
        <bottom style="thin">
          <color indexed="64"/>
        </bottom>
      </border>
    </ndxf>
  </rcc>
  <rcc rId="4438" sId="1" xfDxf="1" dxf="1">
    <oc r="F267" t="inlineStr">
      <is>
        <t>FAW_IPB1.1_Int_ESP\FAW_ESP\rb\as\fawESP\esp\hswpr\tst\hswsim\src\TestEnvironment_Fee_EV711101.c</t>
      </is>
    </oc>
    <nc r="F267" t="inlineStr">
      <is>
        <t>rb\as\fawESP\core\app\dsm\RBOBD\OBDSwitch\src\VAR_OBDSWitch_COMMON.c</t>
      </is>
    </nc>
    <ndxf>
      <border outline="0">
        <left style="thin">
          <color indexed="64"/>
        </left>
        <right style="thin">
          <color indexed="64"/>
        </right>
        <top style="thin">
          <color indexed="64"/>
        </top>
        <bottom style="thin">
          <color indexed="64"/>
        </bottom>
      </border>
    </ndxf>
  </rcc>
  <rcc rId="4439" sId="1" xfDxf="1" dxf="1">
    <oc r="F268" t="inlineStr">
      <is>
        <t>FAW_IPB1.1_Int_ESP\FAW_ESP\rb\as\fawESP\esp\hswpr\tst\hswsim\src\TestEnvironment_Fee_EV711106.c</t>
      </is>
    </oc>
    <nc r="F268" t="inlineStr">
      <is>
        <t>rb\as\fawESP\core\app\dsm\RBOBD\OBDSwitch\src\VAR_OBDSWitch_IF.c</t>
      </is>
    </nc>
    <ndxf>
      <border outline="0">
        <left style="thin">
          <color indexed="64"/>
        </left>
        <right style="thin">
          <color indexed="64"/>
        </right>
        <top style="thin">
          <color indexed="64"/>
        </top>
        <bottom style="thin">
          <color indexed="64"/>
        </bottom>
      </border>
    </ndxf>
  </rcc>
  <rcc rId="4440" sId="1" xfDxf="1" dxf="1">
    <oc r="F269" t="inlineStr">
      <is>
        <t>FAW_IPB1.1_Int_ESP\FAW_ESP\rb\as\fawESP\esp\hwp\src\RBCooLS\src\RBCooLS_Main_Volvo.c</t>
      </is>
    </oc>
    <nc r="F269" t="inlineStr">
      <is>
        <t>rb\as\fawESP\core\app\net\Cubas\src\rba_InternalIF.c</t>
      </is>
    </nc>
    <ndxf>
      <border outline="0">
        <left style="thin">
          <color indexed="64"/>
        </left>
        <right style="thin">
          <color indexed="64"/>
        </right>
        <top style="thin">
          <color indexed="64"/>
        </top>
        <bottom style="thin">
          <color indexed="64"/>
        </bottom>
      </border>
    </ndxf>
  </rcc>
  <rcc rId="4441" sId="1" xfDxf="1" dxf="1">
    <oc r="F270" t="inlineStr">
      <is>
        <t>FAW_IPB1.1_Int_ESP\FAW_ESP\rb\as\fawESP\esp\hwp\src\DfaEmf\src\RBDfaEmf_SignalOutput_BMWG01.c</t>
      </is>
    </oc>
    <nc r="F270" t="inlineStr">
      <is>
        <t>rb\as\fawESP\core\app\net\RBNm\src\rbnm.c</t>
      </is>
    </nc>
    <ndxf>
      <border outline="0">
        <left style="thin">
          <color indexed="64"/>
        </left>
        <right style="thin">
          <color indexed="64"/>
        </right>
        <top style="thin">
          <color indexed="64"/>
        </top>
        <bottom style="thin">
          <color indexed="64"/>
        </bottom>
      </border>
    </ndxf>
  </rcc>
  <rcv guid="{C94451EF-7A3E-4D72-B5A4-3D1B193192CC}" action="delete"/>
  <rdn rId="0" localSheetId="1" customView="1" name="Z_C94451EF_7A3E_4D72_B5A4_3D1B193192CC_.wvu.FilterData" hidden="1" oldHidden="1">
    <formula>Merged_COEM!$B$59:$AN$301</formula>
    <oldFormula>Merged_COEM!$B$59:$AN$301</oldFormula>
  </rdn>
  <rdn rId="0" localSheetId="2" customView="1" name="Z_C94451EF_7A3E_4D72_B5A4_3D1B193192CC_.wvu.FilterData" hidden="1" oldHidden="1">
    <formula>Merged_JOEM!$B$59:$AN$559</formula>
    <oldFormula>Merged_JOEM!$B$59:$AN$540</oldFormula>
  </rdn>
  <rcv guid="{C94451EF-7A3E-4D72-B5A4-3D1B193192CC}" action="add"/>
</revisions>
</file>

<file path=xl/revisions/revisionLog3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44" sId="2" numFmtId="14">
    <nc r="AH468">
      <v>1</v>
    </nc>
  </rcc>
  <rcc rId="4445" sId="2" numFmtId="14">
    <nc r="AI468">
      <v>1</v>
    </nc>
  </rcc>
  <rcc rId="4446" sId="2" quotePrefix="1">
    <nc r="AK468" t="inlineStr">
      <is>
        <t>None</t>
      </is>
    </nc>
  </rcc>
  <rcc rId="4447" sId="2" quotePrefix="1">
    <nc r="AL468" t="inlineStr">
      <is>
        <t>-</t>
      </is>
    </nc>
  </rcc>
  <rcc rId="4448" sId="2" quotePrefix="1">
    <nc r="AM468" t="inlineStr">
      <is>
        <t>-</t>
      </is>
    </nc>
  </rcc>
  <rcc rId="4449" sId="2" quotePrefix="1">
    <nc r="AN468" t="inlineStr">
      <is>
        <t>-</t>
      </is>
    </nc>
  </rcc>
  <rcc rId="4450" sId="2" quotePrefix="1">
    <nc r="AJ468" t="inlineStr">
      <is>
        <t>55%</t>
      </is>
    </nc>
  </rcc>
  <rcc rId="4451" sId="2" numFmtId="19">
    <nc r="AE468">
      <v>44084</v>
    </nc>
  </rcc>
  <rcc rId="4452" sId="2" numFmtId="19">
    <nc r="AF468">
      <v>44084</v>
    </nc>
  </rcc>
  <rcc rId="4453" sId="2">
    <nc r="AG468" t="inlineStr">
      <is>
        <t>OK</t>
      </is>
    </nc>
  </rcc>
  <rcc rId="4454" sId="2">
    <nc r="X468">
      <v>91</v>
    </nc>
  </rcc>
  <rcc rId="4455" sId="2">
    <nc r="Z468">
      <v>4</v>
    </nc>
  </rcc>
  <rcc rId="4456" sId="2">
    <nc r="AA468" t="inlineStr">
      <is>
        <t>Ready for review</t>
      </is>
    </nc>
  </rc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3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3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61" sId="2" odxf="1" s="1" dxf="1">
    <nc r="AL479" t="inlineStr">
      <is>
        <t>Line #35: Cannot cover outrange max and outrange min of y[-65536 - 65534] = y + b0[0-1] * (u[-65536 - 65534] - y); because:
 - If b0 = 0 -&gt; y = y + 0 * (u - y) = y
 - If b0 = 1 -&gt; y = y + 1 * (u - y) = u
 - If b0 = 0.6-&gt; y = y + 0.6 * (u - y) = 0.6*u + 0.4*y always &lt;= 65534 and &gt;= -65536</t>
      </is>
    </nc>
    <o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auto="1"/>
        <name val="Arial"/>
        <scheme val="none"/>
      </font>
      <alignment wrapText="1" readingOrder="0"/>
    </ndxf>
  </rcc>
  <rfmt sheetId="2" sqref="AL479">
    <dxf>
      <alignment wrapText="0" readingOrder="0"/>
    </dxf>
  </rfmt>
</revisions>
</file>

<file path=xl/revisions/revisionLog3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62" sId="2" numFmtId="19">
    <nc r="AE479">
      <v>44084</v>
    </nc>
  </rcc>
  <rcc rId="4463" sId="2" numFmtId="19">
    <nc r="AF479">
      <v>44084</v>
    </nc>
  </rcc>
  <rcc rId="4464" sId="2">
    <nc r="AG479" t="inlineStr">
      <is>
        <t>OK</t>
      </is>
    </nc>
  </rcc>
  <rfmt sheetId="2" sqref="AJ479" start="0" length="0">
    <dxf/>
  </rfmt>
  <rcc rId="4465" sId="2" odxf="1" dxf="1" quotePrefix="1">
    <nc r="AK479" t="inlineStr">
      <is>
        <t>None</t>
      </is>
    </nc>
    <odxf>
      <numFmt numFmtId="0" formatCode="General"/>
      <alignment horizontal="general" readingOrder="0"/>
    </odxf>
    <ndxf>
      <numFmt numFmtId="164" formatCode="[$-409]d\-mmm\-yyyy;@"/>
      <alignment horizontal="left" readingOrder="0"/>
    </ndxf>
  </rcc>
  <rcc rId="4466" sId="2" numFmtId="14">
    <nc r="AJ479">
      <v>1</v>
    </nc>
  </rcc>
  <rcc rId="4467" sId="2" numFmtId="14">
    <nc r="AH479">
      <v>0.96199999999999997</v>
    </nc>
  </rcc>
  <rcc rId="4468" sId="2" numFmtId="14">
    <nc r="AI479">
      <v>0.96299999999999997</v>
    </nc>
  </rcc>
  <rcv guid="{D33AC7AF-C8AB-4CE9-94C7-9237011A5FC3}" action="delete"/>
  <rdn rId="0" localSheetId="1" customView="1" name="Z_D33AC7AF_C8AB_4CE9_94C7_9237011A5FC3_.wvu.FilterData" hidden="1" oldHidden="1">
    <formula>Merged_COEM!$B$59:$AN$301</formula>
    <oldFormula>Merged_COEM!$B$59:$AN$301</oldFormula>
  </rdn>
  <rdn rId="0" localSheetId="2" customView="1" name="Z_D33AC7AF_C8AB_4CE9_94C7_9237011A5FC3_.wvu.FilterData" hidden="1" oldHidden="1">
    <formula>Merged_JOEM!$B$59:$AN$559</formula>
    <oldFormula>Merged_JOEM!$B$59:$AN$559</oldFormula>
  </rdn>
  <rcv guid="{D33AC7AF-C8AB-4CE9-94C7-9237011A5FC3}" action="add"/>
</revisions>
</file>

<file path=xl/revisions/revisionLog3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71" sId="2">
    <nc r="Z464">
      <f>Y464</f>
    </nc>
  </rcc>
  <rcc rId="4472" sId="2">
    <nc r="AA464" t="inlineStr">
      <is>
        <t>Ready for review</t>
      </is>
    </nc>
  </rcc>
  <rcc rId="4473" sId="2" numFmtId="19">
    <nc r="AE464">
      <v>44084</v>
    </nc>
  </rcc>
  <rcc rId="4474" sId="2" numFmtId="19">
    <nc r="AF464">
      <v>44084</v>
    </nc>
  </rcc>
  <rcc rId="4475" sId="2">
    <nc r="AG464" t="inlineStr">
      <is>
        <t>OK</t>
      </is>
    </nc>
  </rcc>
  <rcc rId="4476" sId="2" numFmtId="14">
    <nc r="AH464">
      <v>1</v>
    </nc>
  </rcc>
  <rcc rId="4477" sId="2" numFmtId="14">
    <nc r="AI464">
      <v>1</v>
    </nc>
  </rcc>
  <rcc rId="4478" sId="2" numFmtId="14">
    <nc r="AJ464">
      <v>0.5</v>
    </nc>
  </rcc>
  <rcc rId="4479" sId="2" quotePrefix="1">
    <nc r="AK464" t="inlineStr">
      <is>
        <t>None</t>
      </is>
    </nc>
  </rcc>
  <rcv guid="{60D2C030-4E31-4E07-8E1C-44D2EE84B177}" action="delete"/>
  <rdn rId="0" localSheetId="1" customView="1" name="Z_60D2C030_4E31_4E07_8E1C_44D2EE84B177_.wvu.FilterData" hidden="1" oldHidden="1">
    <formula>Merged_COEM!$A$59:$AN$301</formula>
    <oldFormula>Merged_COEM!$A$59:$AN$301</oldFormula>
  </rdn>
  <rdn rId="0" localSheetId="2" customView="1" name="Z_60D2C030_4E31_4E07_8E1C_44D2EE84B177_.wvu.FilterData" hidden="1" oldHidden="1">
    <formula>Merged_JOEM!$B$59:$AN$559</formula>
    <oldFormula>Merged_JOEM!$B$59:$AN$540</oldFormula>
  </rdn>
  <rcv guid="{60D2C030-4E31-4E07-8E1C-44D2EE84B177}" action="add"/>
</revisions>
</file>

<file path=xl/revisions/revisionLog3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82" sId="1">
    <nc r="X266">
      <f>W266</f>
    </nc>
  </rcc>
  <rcc rId="4483" sId="1">
    <nc r="Z266">
      <v>5</v>
    </nc>
  </rcc>
  <rcc rId="4484" sId="1">
    <nc r="AA266" t="inlineStr">
      <is>
        <t>Ready for review</t>
      </is>
    </nc>
  </rcc>
  <rcc rId="4485" sId="1" numFmtId="19">
    <nc r="AE266">
      <v>44084</v>
    </nc>
  </rcc>
  <rcc rId="4486" sId="1" numFmtId="19">
    <nc r="AF266">
      <v>44084</v>
    </nc>
  </rcc>
  <rcc rId="4487" sId="1">
    <nc r="AG266" t="inlineStr">
      <is>
        <t>OK</t>
      </is>
    </nc>
  </rcc>
  <rcc rId="4488" sId="1" numFmtId="14">
    <nc r="AH266">
      <v>1</v>
    </nc>
  </rcc>
  <rcc rId="4489" sId="1" numFmtId="14">
    <nc r="AI266">
      <v>1</v>
    </nc>
  </rcc>
  <rcc rId="4490" sId="1" numFmtId="14">
    <nc r="AJ266">
      <v>1</v>
    </nc>
  </rcc>
  <rcc rId="4491" sId="1">
    <nc r="AK266" t="inlineStr">
      <is>
        <t>None</t>
      </is>
    </nc>
  </rcc>
  <rcv guid="{C94451EF-7A3E-4D72-B5A4-3D1B193192CC}" action="delete"/>
  <rdn rId="0" localSheetId="1" customView="1" name="Z_C94451EF_7A3E_4D72_B5A4_3D1B193192CC_.wvu.FilterData" hidden="1" oldHidden="1">
    <formula>Merged_COEM!$B$59:$AN$301</formula>
    <oldFormula>Merged_COEM!$B$59:$AN$301</oldFormula>
  </rdn>
  <rdn rId="0" localSheetId="2" customView="1" name="Z_C94451EF_7A3E_4D72_B5A4_3D1B193192CC_.wvu.FilterData" hidden="1" oldHidden="1">
    <formula>Merged_JOEM!$B$59:$AN$559</formula>
    <oldFormula>Merged_JOEM!$B$59:$AN$559</oldFormula>
  </rdn>
  <rcv guid="{C94451EF-7A3E-4D72-B5A4-3D1B193192CC}" action="add"/>
</revisions>
</file>

<file path=xl/revisions/revisionLog3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94" sId="1">
    <oc r="U227" t="inlineStr">
      <is>
        <t>No</t>
      </is>
    </oc>
    <nc r="U227" t="inlineStr">
      <is>
        <t>Yes</t>
      </is>
    </nc>
  </rcc>
  <rcc rId="4495" sId="1">
    <oc r="U229" t="inlineStr">
      <is>
        <t>No</t>
      </is>
    </oc>
    <nc r="U229" t="inlineStr">
      <is>
        <t>Yes</t>
      </is>
    </nc>
  </rcc>
  <rcc rId="4496" sId="1">
    <oc r="U232" t="inlineStr">
      <is>
        <t>No</t>
      </is>
    </oc>
    <nc r="U232" t="inlineStr">
      <is>
        <t>Yes</t>
      </is>
    </nc>
  </rcc>
  <rcc rId="4497" sId="1">
    <oc r="U219" t="inlineStr">
      <is>
        <t>No</t>
      </is>
    </oc>
    <nc r="U219"/>
  </rcc>
  <rcc rId="4498" sId="1">
    <oc r="U220" t="inlineStr">
      <is>
        <t>No</t>
      </is>
    </oc>
    <nc r="U220"/>
  </rcc>
  <rcc rId="4499" sId="1">
    <oc r="U221" t="inlineStr">
      <is>
        <t>No</t>
      </is>
    </oc>
    <nc r="U221"/>
  </rcc>
  <rcc rId="4500" sId="1">
    <oc r="U222" t="inlineStr">
      <is>
        <t>No</t>
      </is>
    </oc>
    <nc r="U222"/>
  </rcc>
  <rcc rId="4501" sId="1">
    <oc r="U223" t="inlineStr">
      <is>
        <t>No</t>
      </is>
    </oc>
    <nc r="U223"/>
  </rcc>
  <rcv guid="{C94451EF-7A3E-4D72-B5A4-3D1B193192CC}" action="delete"/>
  <rdn rId="0" localSheetId="1" customView="1" name="Z_C94451EF_7A3E_4D72_B5A4_3D1B193192CC_.wvu.FilterData" hidden="1" oldHidden="1">
    <formula>Merged_COEM!$B$59:$AN$301</formula>
    <oldFormula>Merged_COEM!$B$59:$AN$301</oldFormula>
  </rdn>
  <rdn rId="0" localSheetId="2" customView="1" name="Z_C94451EF_7A3E_4D72_B5A4_3D1B193192CC_.wvu.FilterData" hidden="1" oldHidden="1">
    <formula>Merged_JOEM!$B$59:$AN$559</formula>
    <oldFormula>Merged_JOEM!$B$59:$AN$559</oldFormula>
  </rdn>
  <rcv guid="{C94451EF-7A3E-4D72-B5A4-3D1B193192CC}" action="add"/>
</revisions>
</file>

<file path=xl/revisions/revisionLog3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04" sId="1">
    <oc r="U224" t="inlineStr">
      <is>
        <t>No</t>
      </is>
    </oc>
    <nc r="U224"/>
  </rcc>
  <rcv guid="{C94451EF-7A3E-4D72-B5A4-3D1B193192CC}" action="delete"/>
  <rdn rId="0" localSheetId="1" customView="1" name="Z_C94451EF_7A3E_4D72_B5A4_3D1B193192CC_.wvu.FilterData" hidden="1" oldHidden="1">
    <formula>Merged_COEM!$B$59:$AN$301</formula>
    <oldFormula>Merged_COEM!$B$59:$AN$301</oldFormula>
  </rdn>
  <rdn rId="0" localSheetId="2" customView="1" name="Z_C94451EF_7A3E_4D72_B5A4_3D1B193192CC_.wvu.FilterData" hidden="1" oldHidden="1">
    <formula>Merged_JOEM!$B$59:$AN$559</formula>
    <oldFormula>Merged_JOEM!$B$59:$AN$559</oldFormula>
  </rdn>
  <rcv guid="{C94451EF-7A3E-4D72-B5A4-3D1B193192CC}" action="add"/>
</revisions>
</file>

<file path=xl/revisions/revisionLog3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C94451EF-7A3E-4D72-B5A4-3D1B193192CC}" action="delete"/>
  <rdn rId="0" localSheetId="1" customView="1" name="Z_C94451EF_7A3E_4D72_B5A4_3D1B193192CC_.wvu.FilterData" hidden="1" oldHidden="1">
    <formula>Merged_COEM!$B$59:$AN$301</formula>
    <oldFormula>Merged_COEM!$B$59:$AN$301</oldFormula>
  </rdn>
  <rdn rId="0" localSheetId="2" customView="1" name="Z_C94451EF_7A3E_4D72_B5A4_3D1B193192CC_.wvu.FilterData" hidden="1" oldHidden="1">
    <formula>Merged_JOEM!$B$59:$AN$559</formula>
    <oldFormula>Merged_JOEM!$B$59:$AN$559</oldFormula>
  </rdn>
  <rcv guid="{C94451EF-7A3E-4D72-B5A4-3D1B193192CC}" action="add"/>
</revisions>
</file>

<file path=xl/revisions/revisionLog3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3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3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13" sId="2" numFmtId="19">
    <nc r="AE472">
      <v>44083</v>
    </nc>
  </rcc>
  <rcc rId="4514" sId="2" numFmtId="19">
    <nc r="AF472">
      <v>44083</v>
    </nc>
  </rcc>
  <rcc rId="4515" sId="2">
    <nc r="AG472" t="inlineStr">
      <is>
        <t>OK</t>
      </is>
    </nc>
  </rcc>
  <rcc rId="4516" sId="2" numFmtId="14">
    <nc r="AH472">
      <v>1</v>
    </nc>
  </rcc>
  <rcc rId="4517" sId="2" numFmtId="14">
    <nc r="AI472">
      <v>1</v>
    </nc>
  </rcc>
  <rcc rId="4518" sId="2" numFmtId="14">
    <nc r="AJ472">
      <v>0.78600000000000003</v>
    </nc>
  </rcc>
  <rcc rId="4519" sId="2" quotePrefix="1">
    <nc r="AK472" t="inlineStr">
      <is>
        <t>None</t>
      </is>
    </nc>
  </rcc>
  <rcc rId="4520" sId="2" quotePrefix="1">
    <nc r="AL472" t="inlineStr">
      <is>
        <t>-</t>
      </is>
    </nc>
  </rcc>
  <rcc rId="4521" sId="2" quotePrefix="1">
    <nc r="AM472" t="inlineStr">
      <is>
        <t>-</t>
      </is>
    </nc>
  </rcc>
  <rcc rId="4522" sId="2" quotePrefix="1">
    <nc r="AN472" t="inlineStr">
      <is>
        <t>-</t>
      </is>
    </nc>
  </rc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3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25" sId="2" numFmtId="14">
    <oc r="AJ472">
      <v>0.78600000000000003</v>
    </oc>
    <nc r="AJ472">
      <v>0.25</v>
    </nc>
  </rcc>
</revisions>
</file>

<file path=xl/revisions/revisionLog3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26" sId="2">
    <nc r="X472">
      <v>26</v>
    </nc>
  </rcc>
</revisions>
</file>

<file path=xl/revisions/revisionLog3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27" sId="2">
    <nc r="Z472">
      <v>0.5</v>
    </nc>
  </rcc>
  <rcc rId="4528" sId="2">
    <nc r="AA472" t="inlineStr">
      <is>
        <t>Ready for review</t>
      </is>
    </nc>
  </rc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3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H485:H487" start="0" length="2147483647">
    <dxf>
      <font>
        <color rgb="FFFF0000"/>
      </font>
    </dxf>
  </rfmt>
  <rfmt sheetId="2" sqref="I483:I487" start="0" length="2147483647">
    <dxf>
      <font>
        <color rgb="FFFFC000"/>
      </font>
    </dxf>
  </rfmt>
  <rfmt sheetId="2" sqref="I483:I487" start="0" length="2147483647">
    <dxf>
      <font>
        <color theme="4"/>
      </font>
    </dxf>
  </rfmt>
  <rcv guid="{336B6883-2145-4B58-921E-CEC7185A847E}" action="delete"/>
  <rdn rId="0" localSheetId="1" customView="1" name="Z_336B6883_2145_4B58_921E_CEC7185A847E_.wvu.FilterData" hidden="1" oldHidden="1">
    <formula>Merged_COEM!$P$59:$P$302</formula>
    <oldFormula>Merged_COEM!$P$59:$P$302</oldFormula>
  </rdn>
  <rdn rId="0" localSheetId="2" customView="1" name="Z_336B6883_2145_4B58_921E_CEC7185A847E_.wvu.Cols" hidden="1" oldHidden="1">
    <formula>Merged_JOEM!$A:$G,Merged_JOEM!$K:$K,Merged_JOEM!$M:$N,Merged_JOEM!$P:$Q,Merged_JOEM!$S:$X,Merged_JOEM!$AB:$AD</formula>
    <oldFormula>Merged_JOEM!$A:$G,Merged_JOEM!$K:$K,Merged_JOEM!$M:$N,Merged_JOEM!$P:$Q,Merged_JOEM!$S:$X,Merged_JOEM!$AB:$AD</oldFormula>
  </rdn>
  <rdn rId="0" localSheetId="2" customView="1" name="Z_336B6883_2145_4B58_921E_CEC7185A847E_.wvu.FilterData" hidden="1" oldHidden="1">
    <formula>Merged_JOEM!$B$59:$AN$559</formula>
    <oldFormula>Merged_JOEM!$B$59:$AN$559</oldFormula>
  </rdn>
  <rcv guid="{336B6883-2145-4B58-921E-CEC7185A847E}" action="add"/>
</revisions>
</file>

<file path=xl/revisions/revisionLog3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34" sId="2" numFmtId="14">
    <nc r="AH453">
      <v>1</v>
    </nc>
  </rcc>
  <rcc rId="4535" sId="2" numFmtId="14">
    <nc r="AI453">
      <v>1</v>
    </nc>
  </rcc>
  <rcc rId="4536" sId="2" numFmtId="14">
    <nc r="AJ453">
      <v>1</v>
    </nc>
  </rcc>
  <rcc rId="4537" sId="2" quotePrefix="1">
    <nc r="AK453" t="inlineStr">
      <is>
        <t>None</t>
      </is>
    </nc>
  </rcc>
  <rcc rId="4538" sId="2">
    <nc r="AG453" t="inlineStr">
      <is>
        <t>OK</t>
      </is>
    </nc>
  </rcc>
  <rcc rId="4539" sId="2" numFmtId="19">
    <nc r="AE453">
      <v>44084</v>
    </nc>
  </rcc>
  <rcc rId="4540" sId="2" numFmtId="19">
    <nc r="AF453">
      <v>44084</v>
    </nc>
  </rcc>
  <rcc rId="4541" sId="2">
    <nc r="AA453" t="inlineStr">
      <is>
        <t>Ready for review</t>
      </is>
    </nc>
  </rcc>
  <rcc rId="4542" sId="2">
    <nc r="Z453">
      <f>Y453</f>
    </nc>
  </rcc>
  <rcc rId="4543" sId="2">
    <nc r="X453">
      <f>W453</f>
    </nc>
  </rcc>
  <rcv guid="{A2E8CE38-D15E-4374-89B2-69D9421C4465}" action="delete"/>
  <rdn rId="0" localSheetId="1" customView="1" name="Z_A2E8CE38_D15E_4374_89B2_69D9421C4465_.wvu.FilterData" hidden="1" oldHidden="1">
    <formula>Merged_COEM!$A$59:$AN$301</formula>
    <oldFormula>Merged_COEM!$A$59:$AN$301</oldFormula>
  </rdn>
  <rdn rId="0" localSheetId="2" customView="1" name="Z_A2E8CE38_D15E_4374_89B2_69D9421C4465_.wvu.FilterData" hidden="1" oldHidden="1">
    <formula>Merged_JOEM!$B$59:$AN$559</formula>
    <oldFormula>Merged_JOEM!$B$59:$AN$559</oldFormula>
  </rdn>
  <rcv guid="{A2E8CE38-D15E-4374-89B2-69D9421C4465}" action="add"/>
</revisions>
</file>

<file path=xl/revisions/revisionLog3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46" sId="1">
    <nc r="Z265">
      <v>2</v>
    </nc>
  </rcc>
  <rcc rId="4547" sId="1">
    <nc r="AA265" t="inlineStr">
      <is>
        <t>Ready for review</t>
      </is>
    </nc>
  </rcc>
  <rcc rId="4548" sId="1" numFmtId="19">
    <nc r="AE265">
      <v>44084</v>
    </nc>
  </rcc>
  <rcc rId="4549" sId="1" numFmtId="19">
    <nc r="AF265">
      <v>44084</v>
    </nc>
  </rcc>
  <rcc rId="4550" sId="1">
    <nc r="AG265" t="inlineStr">
      <is>
        <t>OK</t>
      </is>
    </nc>
  </rcc>
  <rcc rId="4551" sId="1" numFmtId="14">
    <nc r="AH265">
      <v>1</v>
    </nc>
  </rcc>
  <rcc rId="4552" sId="1" numFmtId="14">
    <nc r="AI265">
      <v>1</v>
    </nc>
  </rcc>
  <rcc rId="4553" sId="1" numFmtId="14">
    <nc r="AJ265">
      <v>1</v>
    </nc>
  </rcc>
  <rcc rId="4554" sId="1">
    <nc r="AK265" t="inlineStr">
      <is>
        <t>None</t>
      </is>
    </nc>
  </rcc>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Merged_JOEM!$B$59:$AN$540</formula>
    <oldFormula>Merged_JOEM!$B$59:$AN$540</oldFormula>
  </rdn>
  <rcv guid="{89C03E1E-B6A8-49A1-B29C-5DC4FAB2FBC6}" action="add"/>
</revisions>
</file>

<file path=xl/revisions/revisionLog3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C94451EF-7A3E-4D72-B5A4-3D1B193192CC}" action="delete"/>
  <rdn rId="0" localSheetId="1" customView="1" name="Z_C94451EF_7A3E_4D72_B5A4_3D1B193192CC_.wvu.FilterData" hidden="1" oldHidden="1">
    <formula>Merged_COEM!$B$59:$AN$301</formula>
    <oldFormula>Merged_COEM!$B$59:$AN$301</oldFormula>
  </rdn>
  <rdn rId="0" localSheetId="2" customView="1" name="Z_C94451EF_7A3E_4D72_B5A4_3D1B193192CC_.wvu.FilterData" hidden="1" oldHidden="1">
    <formula>Merged_JOEM!$B$59:$AN$559</formula>
    <oldFormula>Merged_JOEM!$B$59:$AN$559</oldFormula>
  </rdn>
  <rcv guid="{C94451EF-7A3E-4D72-B5A4-3D1B193192CC}" action="add"/>
</revisions>
</file>

<file path=xl/revisions/revisionLog3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61" sId="2" numFmtId="14">
    <nc r="AH489">
      <v>1</v>
    </nc>
  </rcc>
  <rcc rId="4562" sId="2" numFmtId="14">
    <nc r="AI489">
      <v>1</v>
    </nc>
  </rcc>
  <rcc rId="4563" sId="2" numFmtId="14">
    <nc r="AJ489">
      <v>0.83</v>
    </nc>
  </rcc>
  <rcc rId="4564" sId="2">
    <nc r="AG489" t="inlineStr">
      <is>
        <t>OK</t>
      </is>
    </nc>
  </rcc>
  <rcc rId="4565" sId="2" numFmtId="19">
    <nc r="AE489">
      <v>44084</v>
    </nc>
  </rcc>
  <rcc rId="4566" sId="2" numFmtId="19">
    <nc r="AF489">
      <v>44084</v>
    </nc>
  </rcc>
  <rcc rId="4567" sId="2" numFmtId="19">
    <nc r="AE490">
      <v>44084</v>
    </nc>
  </rcc>
  <rcc rId="4568" sId="2" numFmtId="19">
    <nc r="AF490">
      <v>44084</v>
    </nc>
  </rcc>
  <rcc rId="4569" sId="2">
    <nc r="AG490" t="inlineStr">
      <is>
        <t>OK</t>
      </is>
    </nc>
  </rcc>
  <rcc rId="4570" sId="2" numFmtId="14">
    <nc r="AH490">
      <v>1</v>
    </nc>
  </rcc>
  <rcc rId="4571" sId="2" numFmtId="14">
    <nc r="AI490">
      <v>1</v>
    </nc>
  </rcc>
  <rcc rId="4572" sId="2" numFmtId="14">
    <nc r="AJ490">
      <v>1</v>
    </nc>
  </rcc>
  <rcc rId="4573" sId="2" numFmtId="19">
    <nc r="AE491">
      <v>44084</v>
    </nc>
  </rcc>
  <rcc rId="4574" sId="2" numFmtId="19">
    <nc r="AF491">
      <v>44084</v>
    </nc>
  </rcc>
  <rcc rId="4575" sId="2">
    <nc r="AG491" t="inlineStr">
      <is>
        <t>OK</t>
      </is>
    </nc>
  </rcc>
  <rcc rId="4576" sId="2" numFmtId="14">
    <nc r="AH491">
      <v>1</v>
    </nc>
  </rcc>
  <rcc rId="4577" sId="2" numFmtId="14">
    <nc r="AI491">
      <v>1</v>
    </nc>
  </rcc>
  <rcc rId="4578" sId="2" numFmtId="14">
    <nc r="AJ491">
      <v>1</v>
    </nc>
  </rcc>
  <rcc rId="4579" sId="2" odxf="1" dxf="1" quotePrefix="1">
    <nc r="AL492" t="inlineStr">
      <is>
        <t xml:space="preserve">Line #592: Cannot cover C0 at this line. Because it has return at lines #578, #583, #589.
Line #623: Cannot cover C0 at this line. Because it has return at lines #615, #620.
Line #628: Cannot cover C0 at this line. Because it has return at line #627.
Line #637: Cannot cover C0 at this line. Because it has return at line #636.
Line #714: Cannot cover C0 at this line. Because it has return at lines #700, #705, #711.
Line #743: Cannot cover C0 at this line. Because it has return at lines #735, #740.
Line #748: Cannot cover C0 at this line. Because it has return at line #747.
Line #757: Cannot cover C0 at this line. Because it has return at line #756.
</t>
      </is>
    </nc>
    <odxf>
      <alignment wrapText="0" readingOrder="0"/>
    </odxf>
    <ndxf>
      <alignment wrapText="1" readingOrder="0"/>
    </ndxf>
  </rcc>
  <rfmt sheetId="2" sqref="AL492">
    <dxf>
      <alignment wrapText="0" readingOrder="0"/>
    </dxf>
  </rfmt>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3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Merged_COEM!$A$59:$AN$301</formula>
    <oldFormula>Merged_COEM!$A$59:$AN$301</oldFormula>
  </rdn>
  <rdn rId="0" localSheetId="2" customView="1" name="Z_60D2C030_4E31_4E07_8E1C_44D2EE84B177_.wvu.FilterData" hidden="1" oldHidden="1">
    <formula>Merged_JOEM!$B$59:$AN$559</formula>
    <oldFormula>Merged_JOEM!$B$59:$AN$559</oldFormula>
  </rdn>
  <rcv guid="{60D2C030-4E31-4E07-8E1C-44D2EE84B177}" action="add"/>
</revisions>
</file>

<file path=xl/revisions/revisionLog3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84" sId="1">
    <nc r="K293" t="inlineStr">
      <is>
        <t>Test: Manual; Cmt: Auto</t>
      </is>
    </nc>
  </rcc>
  <rcc rId="4585" sId="1">
    <nc r="T293" t="inlineStr">
      <is>
        <t>nam.phan-the</t>
      </is>
    </nc>
  </rcc>
  <rcc rId="4586" sId="1">
    <nc r="X293">
      <f>W293</f>
    </nc>
  </rcc>
  <rcc rId="4587" sId="1">
    <nc r="Z293">
      <v>4</v>
    </nc>
  </rcc>
  <rcc rId="4588" sId="1">
    <nc r="AA293" t="inlineStr">
      <is>
        <t>Ready for review</t>
      </is>
    </nc>
  </rcc>
  <rcc rId="4589" sId="1" numFmtId="19">
    <nc r="AE293">
      <v>44084</v>
    </nc>
  </rcc>
  <rcc rId="4590" sId="1" numFmtId="19">
    <nc r="AF293">
      <v>44084</v>
    </nc>
  </rcc>
  <rcc rId="4591" sId="1">
    <nc r="AG293" t="inlineStr">
      <is>
        <t>OK</t>
      </is>
    </nc>
  </rcc>
  <rcc rId="4592" sId="1" numFmtId="14">
    <nc r="AH293">
      <v>1</v>
    </nc>
  </rcc>
  <rcc rId="4593" sId="1" numFmtId="14">
    <nc r="AI293">
      <v>1</v>
    </nc>
  </rcc>
  <rcc rId="4594" sId="1" numFmtId="14">
    <nc r="AJ293">
      <v>1</v>
    </nc>
  </rcc>
  <rcc rId="4595" sId="1">
    <nc r="AK293" t="inlineStr">
      <is>
        <t>None</t>
      </is>
    </nc>
  </rc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00" sId="2">
    <nc r="X473">
      <v>65</v>
    </nc>
  </rcc>
  <rcc rId="4601" sId="2">
    <nc r="Z473">
      <v>3</v>
    </nc>
  </rcc>
  <rcc rId="4602" sId="2">
    <nc r="AA473" t="inlineStr">
      <is>
        <t>Ready for review</t>
      </is>
    </nc>
  </rcc>
  <rcc rId="4603" sId="2" numFmtId="19">
    <nc r="AE473">
      <v>44084</v>
    </nc>
  </rcc>
  <rcc rId="4604" sId="2" numFmtId="19">
    <nc r="AF473">
      <v>44084</v>
    </nc>
  </rcc>
  <rcc rId="4605" sId="2">
    <nc r="AG473" t="inlineStr">
      <is>
        <t>OK</t>
      </is>
    </nc>
  </rcc>
  <rcc rId="4606" sId="2" numFmtId="14">
    <nc r="AH473">
      <v>1</v>
    </nc>
  </rcc>
  <rcc rId="4607" sId="2" numFmtId="14">
    <nc r="AI473">
      <v>1</v>
    </nc>
  </rcc>
  <rcc rId="4608" sId="2" numFmtId="14">
    <nc r="AJ473">
      <v>0.45</v>
    </nc>
  </rcc>
  <rcc rId="4609" sId="2" quotePrefix="1">
    <nc r="AK473" t="inlineStr">
      <is>
        <t>None</t>
      </is>
    </nc>
  </rcc>
  <rcc rId="4610" sId="2" quotePrefix="1">
    <nc r="AL473" t="inlineStr">
      <is>
        <t>-</t>
      </is>
    </nc>
  </rcc>
  <rcc rId="4611" sId="2" quotePrefix="1">
    <nc r="AM473" t="inlineStr">
      <is>
        <t>-</t>
      </is>
    </nc>
  </rcc>
  <rcc rId="4612" sId="2" quotePrefix="1">
    <nc r="AN473" t="inlineStr">
      <is>
        <t>-</t>
      </is>
    </nc>
  </rc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3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3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I483" start="0" length="2147483647">
    <dxf>
      <font>
        <color rgb="FFFF0000"/>
      </font>
    </dxf>
  </rfmt>
  <rcc rId="4617" sId="2">
    <nc r="Z483">
      <f>Y483</f>
    </nc>
  </rcc>
  <rcc rId="4618" sId="2">
    <nc r="AA483" t="inlineStr">
      <is>
        <t>Ready for review</t>
      </is>
    </nc>
  </rcc>
  <rcc rId="4619" sId="2" numFmtId="19">
    <nc r="AE483">
      <v>44084</v>
    </nc>
  </rcc>
  <rcc rId="4620" sId="2" numFmtId="19">
    <nc r="AF483">
      <v>44084</v>
    </nc>
  </rcc>
  <rcc rId="4621" sId="2">
    <nc r="AG483" t="inlineStr">
      <is>
        <t>OK</t>
      </is>
    </nc>
  </rcc>
  <rcc rId="4622" sId="2" numFmtId="14">
    <nc r="AH483">
      <v>1</v>
    </nc>
  </rcc>
  <rcc rId="4623" sId="2" numFmtId="14">
    <nc r="AI483">
      <v>1</v>
    </nc>
  </rcc>
  <rcc rId="4624" sId="2" quotePrefix="1">
    <nc r="AK483" t="inlineStr">
      <is>
        <t>None</t>
      </is>
    </nc>
  </rcc>
  <rcv guid="{336B6883-2145-4B58-921E-CEC7185A847E}" action="delete"/>
  <rdn rId="0" localSheetId="1" customView="1" name="Z_336B6883_2145_4B58_921E_CEC7185A847E_.wvu.FilterData" hidden="1" oldHidden="1">
    <formula>Merged_COEM!$P$59:$P$302</formula>
    <oldFormula>Merged_COEM!$P$59:$P$302</oldFormula>
  </rdn>
  <rdn rId="0" localSheetId="2" customView="1" name="Z_336B6883_2145_4B58_921E_CEC7185A847E_.wvu.Cols" hidden="1" oldHidden="1">
    <formula>Merged_JOEM!$A:$G,Merged_JOEM!$K:$K,Merged_JOEM!$M:$N,Merged_JOEM!$P:$Q,Merged_JOEM!$S:$X,Merged_JOEM!$AB:$AD</formula>
    <oldFormula>Merged_JOEM!$A:$G,Merged_JOEM!$K:$K,Merged_JOEM!$M:$N,Merged_JOEM!$P:$Q,Merged_JOEM!$S:$X,Merged_JOEM!$AB:$AD</oldFormula>
  </rdn>
  <rdn rId="0" localSheetId="2" customView="1" name="Z_336B6883_2145_4B58_921E_CEC7185A847E_.wvu.FilterData" hidden="1" oldHidden="1">
    <formula>Merged_JOEM!$B$59:$AN$559</formula>
    <oldFormula>Merged_JOEM!$B$59:$AN$559</oldFormula>
  </rdn>
  <rcv guid="{336B6883-2145-4B58-921E-CEC7185A847E}" action="add"/>
</revisions>
</file>

<file path=xl/revisions/revisionLog3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28" sId="2" numFmtId="14">
    <nc r="AJ483">
      <v>0.30599999999999999</v>
    </nc>
  </rcc>
</revisions>
</file>

<file path=xl/revisions/revisionLog3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29" sId="1">
    <nc r="AA286" t="inlineStr">
      <is>
        <t>Ready for review</t>
      </is>
    </nc>
  </rcc>
  <rcc rId="4630" sId="1">
    <nc r="AA288" t="inlineStr">
      <is>
        <t>Ready for review</t>
      </is>
    </nc>
  </rcc>
  <rcc rId="4631" sId="1">
    <nc r="AA289" t="inlineStr">
      <is>
        <t>Ready for review</t>
      </is>
    </nc>
  </rcc>
  <rcc rId="4632" sId="1">
    <nc r="Z286">
      <v>1</v>
    </nc>
  </rcc>
  <rcc rId="4633" sId="1">
    <nc r="Z288">
      <v>0.1</v>
    </nc>
  </rcc>
  <rcc rId="4634" sId="1">
    <nc r="Z289">
      <v>0.1</v>
    </nc>
  </rcc>
  <rcc rId="4635" sId="1" numFmtId="19">
    <nc r="AE286">
      <v>44084</v>
    </nc>
  </rcc>
  <rcc rId="4636" sId="1" numFmtId="19">
    <nc r="AF286">
      <v>44084</v>
    </nc>
  </rcc>
  <rcc rId="4637" sId="1">
    <nc r="AG286" t="inlineStr">
      <is>
        <t>OK</t>
      </is>
    </nc>
  </rcc>
  <rcc rId="4638" sId="1" numFmtId="14">
    <nc r="AH286">
      <v>1</v>
    </nc>
  </rcc>
  <rcc rId="4639" sId="1" numFmtId="14">
    <nc r="AI286">
      <v>1</v>
    </nc>
  </rcc>
  <rcc rId="4640" sId="1" numFmtId="14">
    <nc r="AJ286">
      <v>1</v>
    </nc>
  </rcc>
  <rcc rId="4641" sId="1">
    <nc r="AK286" t="inlineStr">
      <is>
        <t>None</t>
      </is>
    </nc>
  </rcc>
  <rcc rId="4642" sId="1" numFmtId="19">
    <nc r="AE288">
      <v>44084</v>
    </nc>
  </rcc>
  <rcc rId="4643" sId="1" numFmtId="19">
    <nc r="AF288">
      <v>44084</v>
    </nc>
  </rcc>
  <rcc rId="4644" sId="1">
    <nc r="AG288" t="inlineStr">
      <is>
        <t>OK</t>
      </is>
    </nc>
  </rcc>
  <rcc rId="4645" sId="1" numFmtId="14">
    <nc r="AH288">
      <v>1</v>
    </nc>
  </rcc>
  <rcc rId="4646" sId="1" numFmtId="14">
    <nc r="AI288">
      <v>1</v>
    </nc>
  </rcc>
  <rcc rId="4647" sId="1" numFmtId="14">
    <nc r="AJ288">
      <v>1</v>
    </nc>
  </rcc>
  <rcc rId="4648" sId="1">
    <nc r="AK288" t="inlineStr">
      <is>
        <t>None</t>
      </is>
    </nc>
  </rcc>
  <rcc rId="4649" sId="1" numFmtId="19">
    <nc r="AE289">
      <v>44084</v>
    </nc>
  </rcc>
  <rcc rId="4650" sId="1" numFmtId="19">
    <nc r="AF289">
      <v>44084</v>
    </nc>
  </rcc>
  <rcc rId="4651" sId="1">
    <nc r="AG289" t="inlineStr">
      <is>
        <t>OK</t>
      </is>
    </nc>
  </rcc>
  <rcc rId="4652" sId="1" numFmtId="14">
    <nc r="AH289">
      <v>1</v>
    </nc>
  </rcc>
  <rcc rId="4653" sId="1" numFmtId="14">
    <nc r="AI289">
      <v>1</v>
    </nc>
  </rcc>
  <rcc rId="4654" sId="1" numFmtId="14">
    <nc r="AJ289">
      <v>1</v>
    </nc>
  </rcc>
  <rcc rId="4655" sId="1">
    <nc r="AK289" t="inlineStr">
      <is>
        <t>None</t>
      </is>
    </nc>
  </rcc>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Merged_JOEM!$B$59:$AN$559</formula>
    <oldFormula>Merged_JOEM!$B$59:$AN$540</oldFormula>
  </rdn>
  <rcv guid="{89C03E1E-B6A8-49A1-B29C-5DC4FAB2FBC6}" action="add"/>
</revisions>
</file>

<file path=xl/revisions/revisionLog3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58" sId="2">
    <nc r="AG454" t="inlineStr">
      <is>
        <t>OK</t>
      </is>
    </nc>
  </rcc>
  <rcc rId="4659" sId="2" numFmtId="14">
    <nc r="AH454">
      <v>1</v>
    </nc>
  </rcc>
  <rcc rId="4660" sId="2" numFmtId="14">
    <nc r="AI454">
      <v>1</v>
    </nc>
  </rcc>
  <rcc rId="4661" sId="2" numFmtId="14">
    <nc r="AJ454">
      <v>0.25900000000000001</v>
    </nc>
  </rcc>
  <rcc rId="4662" sId="2" quotePrefix="1">
    <nc r="AK454" t="inlineStr">
      <is>
        <t>None</t>
      </is>
    </nc>
  </rcc>
  <rcc rId="4663" sId="2" numFmtId="19">
    <nc r="AE454">
      <v>44084</v>
    </nc>
  </rcc>
  <rcc rId="4664" sId="2" numFmtId="19">
    <nc r="AF454">
      <v>44084</v>
    </nc>
  </rcc>
  <rcc rId="4665" sId="2">
    <nc r="AA454" t="inlineStr">
      <is>
        <t>Ready for review</t>
      </is>
    </nc>
  </rcc>
  <rcc rId="4666" sId="2">
    <nc r="Z454">
      <f>Y454</f>
    </nc>
  </rcc>
  <rcc rId="4667" sId="2">
    <nc r="X454">
      <f>W454</f>
    </nc>
  </rcc>
  <rcv guid="{A2E8CE38-D15E-4374-89B2-69D9421C4465}" action="delete"/>
  <rdn rId="0" localSheetId="1" customView="1" name="Z_A2E8CE38_D15E_4374_89B2_69D9421C4465_.wvu.FilterData" hidden="1" oldHidden="1">
    <formula>Merged_COEM!$A$59:$AN$301</formula>
    <oldFormula>Merged_COEM!$A$59:$AN$301</oldFormula>
  </rdn>
  <rdn rId="0" localSheetId="2" customView="1" name="Z_A2E8CE38_D15E_4374_89B2_69D9421C4465_.wvu.FilterData" hidden="1" oldHidden="1">
    <formula>Merged_JOEM!$B$59:$AN$559</formula>
    <oldFormula>Merged_JOEM!$B$59:$AN$559</oldFormula>
  </rdn>
  <rcv guid="{A2E8CE38-D15E-4374-89B2-69D9421C4465}" action="add"/>
</revisions>
</file>

<file path=xl/revisions/revisionLog3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70" sId="2" numFmtId="19">
    <nc r="AE480">
      <v>44084</v>
    </nc>
  </rcc>
  <rcc rId="4671" sId="2" numFmtId="19">
    <nc r="AF480">
      <v>44084</v>
    </nc>
  </rcc>
  <rcc rId="4672" sId="2">
    <nc r="AG480" t="inlineStr">
      <is>
        <t>OK</t>
      </is>
    </nc>
  </rcc>
  <rcc rId="4673" sId="2" odxf="1" dxf="1" numFmtId="14">
    <nc r="AJ480">
      <v>1</v>
    </nc>
    <odxf/>
    <ndxf/>
  </rcc>
  <rcc rId="4674" sId="2" odxf="1" dxf="1" quotePrefix="1">
    <nc r="AK480" t="inlineStr">
      <is>
        <t>None</t>
      </is>
    </nc>
    <odxf>
      <numFmt numFmtId="0" formatCode="General"/>
      <alignment horizontal="general" readingOrder="0"/>
    </odxf>
    <ndxf>
      <numFmt numFmtId="164" formatCode="[$-409]d\-mmm\-yyyy;@"/>
      <alignment horizontal="left" readingOrder="0"/>
    </ndxf>
  </rcc>
  <rcc rId="4675" sId="2" numFmtId="14">
    <nc r="AH480">
      <v>0.95899999999999996</v>
    </nc>
  </rcc>
  <rcc rId="4676" sId="2" numFmtId="14">
    <nc r="AI480">
      <v>0.96199999999999997</v>
    </nc>
  </rcc>
  <rcc rId="4677" sId="2" odxf="1" s="1" dxf="1">
    <nc r="AL480" t="inlineStr">
      <is>
        <t>Line #30: Cannot cover outrange min of incr because to reach this line : in_Slow &gt; out_Fast -&gt; in_Slow - out_Fast &gt; 0
Line #35: Cannot cover outrange min of incr because to reach this line : in_Slow &lt;= out_Fast -&gt; out_Fast - in_Slow &gt;= 0</t>
      </is>
    </nc>
    <o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auto="1"/>
        <name val="Arial"/>
        <scheme val="none"/>
      </font>
      <alignment wrapText="1" readingOrder="0"/>
    </ndxf>
  </rcc>
  <rfmt sheetId="2" sqref="AL480">
    <dxf>
      <alignment wrapText="0" readingOrder="0"/>
    </dxf>
  </rfmt>
  <rcv guid="{D33AC7AF-C8AB-4CE9-94C7-9237011A5FC3}" action="delete"/>
  <rdn rId="0" localSheetId="1" customView="1" name="Z_D33AC7AF_C8AB_4CE9_94C7_9237011A5FC3_.wvu.FilterData" hidden="1" oldHidden="1">
    <formula>Merged_COEM!$B$59:$AN$301</formula>
    <oldFormula>Merged_COEM!$B$59:$AN$301</oldFormula>
  </rdn>
  <rdn rId="0" localSheetId="2" customView="1" name="Z_D33AC7AF_C8AB_4CE9_94C7_9237011A5FC3_.wvu.FilterData" hidden="1" oldHidden="1">
    <formula>Merged_JOEM!$B$59:$AN$559</formula>
    <oldFormula>Merged_JOEM!$B$59:$AN$559</oldFormula>
  </rdn>
  <rcv guid="{D33AC7AF-C8AB-4CE9-94C7-9237011A5FC3}" action="add"/>
</revisions>
</file>

<file path=xl/revisions/revisionLog3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80" sId="2" numFmtId="19">
    <nc r="AE475">
      <v>44084</v>
    </nc>
  </rcc>
  <rcc rId="4681" sId="2" numFmtId="19">
    <nc r="AF475">
      <v>44084</v>
    </nc>
  </rcc>
  <rcc rId="4682" sId="2">
    <nc r="AG475" t="inlineStr">
      <is>
        <t>OK</t>
      </is>
    </nc>
  </rcc>
  <rcc rId="4683" sId="2" numFmtId="14">
    <nc r="AH475">
      <v>1</v>
    </nc>
  </rcc>
  <rcc rId="4684" sId="2" numFmtId="14">
    <nc r="AI475">
      <v>1</v>
    </nc>
  </rcc>
  <rcc rId="4685" sId="2" quotePrefix="1">
    <nc r="AJ475" t="inlineStr">
      <is>
        <t>55%</t>
      </is>
    </nc>
  </rcc>
  <rcc rId="4686" sId="2" quotePrefix="1">
    <nc r="AK475" t="inlineStr">
      <is>
        <t>None</t>
      </is>
    </nc>
  </rcc>
  <rcc rId="4687" sId="2" quotePrefix="1">
    <nc r="AL475" t="inlineStr">
      <is>
        <t>-</t>
      </is>
    </nc>
  </rcc>
  <rcc rId="4688" sId="2" quotePrefix="1">
    <nc r="AM475" t="inlineStr">
      <is>
        <t>-</t>
      </is>
    </nc>
  </rcc>
  <rcc rId="4689" sId="2" quotePrefix="1">
    <nc r="AN475" t="inlineStr">
      <is>
        <t>-</t>
      </is>
    </nc>
  </rcc>
  <rcc rId="4690" sId="2">
    <nc r="X475">
      <v>26</v>
    </nc>
  </rcc>
  <rcc rId="4691" sId="2">
    <nc r="Z475">
      <v>1</v>
    </nc>
  </rcc>
  <rcc rId="4692" sId="2">
    <nc r="AA475" t="inlineStr">
      <is>
        <t>Ready for review</t>
      </is>
    </nc>
  </rc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3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95" sId="2" numFmtId="14">
    <oc r="AJ475" t="inlineStr">
      <is>
        <t>55%</t>
      </is>
    </oc>
    <nc r="AJ475">
      <v>0.5</v>
    </nc>
  </rc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3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33AC7AF-C8AB-4CE9-94C7-9237011A5FC3}" action="delete"/>
  <rdn rId="0" localSheetId="1" customView="1" name="Z_D33AC7AF_C8AB_4CE9_94C7_9237011A5FC3_.wvu.FilterData" hidden="1" oldHidden="1">
    <formula>Merged_COEM!$B$59:$AN$301</formula>
    <oldFormula>Merged_COEM!$B$59:$AN$301</oldFormula>
  </rdn>
  <rdn rId="0" localSheetId="2" customView="1" name="Z_D33AC7AF_C8AB_4CE9_94C7_9237011A5FC3_.wvu.FilterData" hidden="1" oldHidden="1">
    <formula>Merged_JOEM!$B$59:$AN$559</formula>
    <oldFormula>Merged_JOEM!$B$59:$AN$559</oldFormula>
  </rdn>
  <rcv guid="{D33AC7AF-C8AB-4CE9-94C7-9237011A5FC3}" action="add"/>
</revisions>
</file>

<file path=xl/revisions/revisionLog3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00" sId="2" numFmtId="14">
    <nc r="AJ484">
      <v>0.24299999999999999</v>
    </nc>
  </rcc>
</revisions>
</file>

<file path=xl/revisions/revisionLog3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01" sId="2">
    <nc r="AG484" t="inlineStr">
      <is>
        <t>OK</t>
      </is>
    </nc>
  </rcc>
  <rcc rId="4702" sId="2" numFmtId="14">
    <nc r="AH484">
      <v>1</v>
    </nc>
  </rcc>
  <rcc rId="4703" sId="2" numFmtId="14">
    <nc r="AI484">
      <v>1</v>
    </nc>
  </rcc>
  <rcc rId="4704" sId="2" quotePrefix="1">
    <nc r="AK484" t="inlineStr">
      <is>
        <t>None</t>
      </is>
    </nc>
  </rcc>
  <rcc rId="4705" sId="2">
    <nc r="Z484">
      <v>5.2</v>
    </nc>
  </rcc>
  <rcc rId="4706" sId="2">
    <nc r="AA484" t="inlineStr">
      <is>
        <t>Ready for review</t>
      </is>
    </nc>
  </rcc>
  <rcc rId="4707" sId="2" numFmtId="19">
    <nc r="AB484">
      <v>44084</v>
    </nc>
  </rcc>
  <rcc rId="4708" sId="2" numFmtId="19">
    <nc r="AE484">
      <v>44084</v>
    </nc>
  </rcc>
  <rcc rId="4709" sId="2" numFmtId="19">
    <nc r="AF484">
      <v>44084</v>
    </nc>
  </rcc>
  <rcv guid="{336B6883-2145-4B58-921E-CEC7185A847E}" action="delete"/>
  <rdn rId="0" localSheetId="1" customView="1" name="Z_336B6883_2145_4B58_921E_CEC7185A847E_.wvu.FilterData" hidden="1" oldHidden="1">
    <formula>Merged_COEM!$P$59:$P$302</formula>
    <oldFormula>Merged_COEM!$P$59:$P$302</oldFormula>
  </rdn>
  <rdn rId="0" localSheetId="2" customView="1" name="Z_336B6883_2145_4B58_921E_CEC7185A847E_.wvu.Cols" hidden="1" oldHidden="1">
    <formula>Merged_JOEM!$A:$G,Merged_JOEM!$K:$K,Merged_JOEM!$M:$N,Merged_JOEM!$P:$Q,Merged_JOEM!$S:$X,Merged_JOEM!$AB:$AD</formula>
    <oldFormula>Merged_JOEM!$A:$G,Merged_JOEM!$K:$K,Merged_JOEM!$M:$N,Merged_JOEM!$P:$Q,Merged_JOEM!$S:$X,Merged_JOEM!$AB:$AD</oldFormula>
  </rdn>
  <rdn rId="0" localSheetId="2" customView="1" name="Z_336B6883_2145_4B58_921E_CEC7185A847E_.wvu.FilterData" hidden="1" oldHidden="1">
    <formula>Merged_JOEM!$B$59:$AN$559</formula>
    <oldFormula>Merged_JOEM!$B$59:$AN$559</oldFormula>
  </rdn>
  <rcv guid="{336B6883-2145-4B58-921E-CEC7185A847E}" action="add"/>
</revisions>
</file>

<file path=xl/revisions/revisionLog3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I484" start="0" length="2147483647">
    <dxf>
      <font>
        <color rgb="FFFF0000"/>
      </font>
    </dxf>
  </rfmt>
</revisions>
</file>

<file path=xl/revisions/revisionLog3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13" sId="2">
    <nc r="Z465">
      <f>Y465</f>
    </nc>
  </rcc>
  <rcc rId="4714" sId="2">
    <nc r="AA465" t="inlineStr">
      <is>
        <t>Ready for review</t>
      </is>
    </nc>
  </rcc>
  <rcc rId="4715" sId="2" numFmtId="19">
    <nc r="AE465">
      <v>44084</v>
    </nc>
  </rcc>
  <rcc rId="4716" sId="2" numFmtId="19">
    <nc r="AF465">
      <v>44084</v>
    </nc>
  </rcc>
  <rcc rId="4717" sId="2">
    <nc r="AG465" t="inlineStr">
      <is>
        <t>OK</t>
      </is>
    </nc>
  </rcc>
  <rcc rId="4718" sId="2" quotePrefix="1">
    <nc r="AK465" t="inlineStr">
      <is>
        <t>None</t>
      </is>
    </nc>
  </rcc>
  <rcc rId="4719" sId="2" numFmtId="14">
    <nc r="AH465">
      <v>0.91300000000000003</v>
    </nc>
  </rcc>
  <rcc rId="4720" sId="2" numFmtId="14">
    <nc r="AI465">
      <v>0.91300000000000003</v>
    </nc>
  </rcc>
  <rcc rId="4721" sId="2" numFmtId="14">
    <nc r="AJ465">
      <v>0.72199999999999998</v>
    </nc>
  </rcc>
  <rcv guid="{60D2C030-4E31-4E07-8E1C-44D2EE84B177}" action="delete"/>
  <rdn rId="0" localSheetId="1" customView="1" name="Z_60D2C030_4E31_4E07_8E1C_44D2EE84B177_.wvu.FilterData" hidden="1" oldHidden="1">
    <formula>Merged_COEM!$A$59:$AN$301</formula>
    <oldFormula>Merged_COEM!$A$59:$AN$301</oldFormula>
  </rdn>
  <rdn rId="0" localSheetId="2" customView="1" name="Z_60D2C030_4E31_4E07_8E1C_44D2EE84B177_.wvu.FilterData" hidden="1" oldHidden="1">
    <formula>Merged_JOEM!$B$59:$AN$559</formula>
    <oldFormula>Merged_JOEM!$B$59:$AN$559</oldFormula>
  </rdn>
  <rcv guid="{60D2C030-4E31-4E07-8E1C-44D2EE84B177}" action="add"/>
</revisions>
</file>

<file path=xl/revisions/revisionLog3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24" sId="2" quotePrefix="1">
    <nc r="AL465" t="inlineStr">
      <is>
        <t>Param 1D cannot cover full C0/C1</t>
      </is>
    </nc>
  </rcc>
  <rcv guid="{60D2C030-4E31-4E07-8E1C-44D2EE84B177}" action="delete"/>
  <rdn rId="0" localSheetId="1" customView="1" name="Z_60D2C030_4E31_4E07_8E1C_44D2EE84B177_.wvu.FilterData" hidden="1" oldHidden="1">
    <formula>Merged_COEM!$A$59:$AN$301</formula>
    <oldFormula>Merged_COEM!$A$59:$AN$301</oldFormula>
  </rdn>
  <rdn rId="0" localSheetId="2" customView="1" name="Z_60D2C030_4E31_4E07_8E1C_44D2EE84B177_.wvu.FilterData" hidden="1" oldHidden="1">
    <formula>Merged_JOEM!$B$59:$AN$559</formula>
    <oldFormula>Merged_JOEM!$B$59:$AN$559</oldFormula>
  </rdn>
  <rcv guid="{60D2C030-4E31-4E07-8E1C-44D2EE84B177}" action="add"/>
</revisions>
</file>

<file path=xl/revisions/revisionLog3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27" sId="2" numFmtId="14">
    <nc r="AH492">
      <v>0.94</v>
    </nc>
  </rcc>
  <rcc rId="4728" sId="2" numFmtId="14">
    <nc r="AI492">
      <v>1</v>
    </nc>
  </rcc>
  <rcc rId="4729" sId="2" numFmtId="14">
    <nc r="AJ492">
      <v>1</v>
    </nc>
  </rcc>
  <rcc rId="4730" sId="2" numFmtId="19">
    <nc r="AE492">
      <v>44084</v>
    </nc>
  </rcc>
  <rcc rId="4731" sId="2" numFmtId="19">
    <nc r="AF492">
      <v>44084</v>
    </nc>
  </rcc>
  <rcc rId="4732" sId="2">
    <nc r="AG492" t="inlineStr">
      <is>
        <t>OK</t>
      </is>
    </nc>
  </rcc>
  <rfmt sheetId="2" sqref="AL492" start="0" length="0">
    <dxf>
      <alignment wrapText="1" readingOrder="0"/>
    </dxf>
  </rfmt>
  <rfmt sheetId="2" sqref="AL492">
    <dxf>
      <alignment wrapText="0" readingOrder="0"/>
    </dxf>
  </rfmt>
  <rcc rId="4733" sId="2" numFmtId="19">
    <nc r="AE493">
      <v>44084</v>
    </nc>
  </rcc>
  <rcc rId="4734" sId="2" numFmtId="19">
    <nc r="AF493">
      <v>44084</v>
    </nc>
  </rcc>
  <rcc rId="4735" sId="2">
    <nc r="AG493" t="inlineStr">
      <is>
        <t>OK</t>
      </is>
    </nc>
  </rcc>
  <rcc rId="4736" sId="2" numFmtId="14">
    <nc r="AI493">
      <v>1</v>
    </nc>
  </rcc>
  <rcc rId="4737" sId="2" numFmtId="14">
    <nc r="AH493">
      <v>1</v>
    </nc>
  </rcc>
  <rcc rId="4738" sId="2" numFmtId="14">
    <nc r="AJ493">
      <v>0.8</v>
    </nc>
  </rcc>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3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3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43" sId="2">
    <nc r="AG455" t="inlineStr">
      <is>
        <t>OK</t>
      </is>
    </nc>
  </rcc>
  <rcc rId="4744" sId="2" numFmtId="14">
    <nc r="AH455">
      <v>1</v>
    </nc>
  </rcc>
  <rcc rId="4745" sId="2" numFmtId="14">
    <nc r="AI455">
      <v>1</v>
    </nc>
  </rcc>
  <rcc rId="4746" sId="2" numFmtId="14">
    <nc r="AJ455">
      <v>0.5</v>
    </nc>
  </rcc>
  <rcc rId="4747" sId="2" quotePrefix="1">
    <nc r="AK455" t="inlineStr">
      <is>
        <t>None</t>
      </is>
    </nc>
  </rcc>
  <rcc rId="4748" sId="2" numFmtId="19">
    <nc r="AF455">
      <v>44084</v>
    </nc>
  </rcc>
  <rcc rId="4749" sId="2" numFmtId="19">
    <nc r="AE455">
      <v>44084</v>
    </nc>
  </rcc>
  <rcc rId="4750" sId="2">
    <nc r="AA455" t="inlineStr">
      <is>
        <t>Ready for review</t>
      </is>
    </nc>
  </rcc>
  <rcc rId="4751" sId="2">
    <nc r="Z455">
      <f>Y455</f>
    </nc>
  </rcc>
  <rcc rId="4752" sId="2">
    <nc r="X455">
      <f>W455</f>
    </nc>
  </rcc>
  <rcv guid="{A2E8CE38-D15E-4374-89B2-69D9421C4465}" action="delete"/>
  <rdn rId="0" localSheetId="1" customView="1" name="Z_A2E8CE38_D15E_4374_89B2_69D9421C4465_.wvu.FilterData" hidden="1" oldHidden="1">
    <formula>Merged_COEM!$A$59:$AN$301</formula>
    <oldFormula>Merged_COEM!$A$59:$AN$301</oldFormula>
  </rdn>
  <rdn rId="0" localSheetId="2" customView="1" name="Z_A2E8CE38_D15E_4374_89B2_69D9421C4465_.wvu.FilterData" hidden="1" oldHidden="1">
    <formula>Merged_JOEM!$B$59:$AN$559</formula>
    <oldFormula>Merged_JOEM!$B$59:$AN$559</oldFormula>
  </rdn>
  <rcv guid="{A2E8CE38-D15E-4374-89B2-69D9421C4465}" action="add"/>
</revisions>
</file>

<file path=xl/revisions/revisionLog3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L409" start="0" length="0">
    <dxf>
      <alignment wrapText="1" readingOrder="0"/>
    </dxf>
  </rfmt>
  <rfmt sheetId="2" sqref="AL407" start="0" length="0">
    <dxf>
      <alignment wrapText="1" readingOrder="0"/>
    </dxf>
  </rfmt>
  <rfmt sheetId="2" sqref="AL407">
    <dxf>
      <alignment wrapText="0" readingOrder="0"/>
    </dxf>
  </rfmt>
  <rfmt sheetId="2" sqref="AL409">
    <dxf>
      <alignment wrapText="0" readingOrder="0"/>
    </dxf>
  </rfmt>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3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3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59" sId="2" numFmtId="14">
    <nc r="AJ485">
      <v>0.121</v>
    </nc>
  </rcc>
  <rcc rId="4760" sId="2">
    <nc r="AG485" t="inlineStr">
      <is>
        <t>OK</t>
      </is>
    </nc>
  </rcc>
  <rcc rId="4761" sId="2" numFmtId="14">
    <nc r="AH485">
      <v>1</v>
    </nc>
  </rcc>
  <rcc rId="4762" sId="2" numFmtId="14">
    <nc r="AI485">
      <v>1</v>
    </nc>
  </rcc>
  <rcc rId="4763" sId="2" quotePrefix="1">
    <nc r="AK485" t="inlineStr">
      <is>
        <t>None</t>
      </is>
    </nc>
  </rcc>
  <rcc rId="4764" sId="2">
    <nc r="Z485">
      <v>5.2</v>
    </nc>
  </rcc>
  <rcc rId="4765" sId="2">
    <nc r="AA485" t="inlineStr">
      <is>
        <t>Ready for review</t>
      </is>
    </nc>
  </rcc>
  <rcc rId="4766" sId="2" numFmtId="19">
    <nc r="AB485">
      <v>44084</v>
    </nc>
  </rcc>
  <rcc rId="4767" sId="2" numFmtId="19">
    <nc r="AE485">
      <v>44084</v>
    </nc>
  </rcc>
  <rcc rId="4768" sId="2" numFmtId="19">
    <nc r="AF485">
      <v>44084</v>
    </nc>
  </rcc>
  <rcv guid="{336B6883-2145-4B58-921E-CEC7185A847E}" action="delete"/>
  <rdn rId="0" localSheetId="1" customView="1" name="Z_336B6883_2145_4B58_921E_CEC7185A847E_.wvu.FilterData" hidden="1" oldHidden="1">
    <formula>Merged_COEM!$P$59:$P$302</formula>
    <oldFormula>Merged_COEM!$P$59:$P$302</oldFormula>
  </rdn>
  <rdn rId="0" localSheetId="2" customView="1" name="Z_336B6883_2145_4B58_921E_CEC7185A847E_.wvu.Cols" hidden="1" oldHidden="1">
    <formula>Merged_JOEM!$A:$G,Merged_JOEM!$K:$K,Merged_JOEM!$M:$N,Merged_JOEM!$P:$Q,Merged_JOEM!$S:$X,Merged_JOEM!$AB:$AD</formula>
    <oldFormula>Merged_JOEM!$A:$G,Merged_JOEM!$K:$K,Merged_JOEM!$M:$N,Merged_JOEM!$P:$Q,Merged_JOEM!$S:$X,Merged_JOEM!$AB:$AD</oldFormula>
  </rdn>
  <rdn rId="0" localSheetId="2" customView="1" name="Z_336B6883_2145_4B58_921E_CEC7185A847E_.wvu.FilterData" hidden="1" oldHidden="1">
    <formula>Merged_JOEM!$B$59:$AN$559</formula>
    <oldFormula>Merged_JOEM!$B$59:$AN$559</oldFormula>
  </rdn>
  <rcv guid="{336B6883-2145-4B58-921E-CEC7185A847E}" action="add"/>
</revisions>
</file>

<file path=xl/revisions/revisionLog3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I485" start="0" length="2147483647">
    <dxf>
      <font>
        <color rgb="FFFF0000"/>
      </font>
    </dxf>
  </rfmt>
</revisions>
</file>

<file path=xl/revisions/revisionLog3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04" sId="1">
    <oc r="W254">
      <f>V254</f>
    </oc>
    <nc r="W254">
      <v>88</v>
    </nc>
  </rcc>
  <rfmt sheetId="1" sqref="W254">
    <dxf>
      <fill>
        <patternFill patternType="solid">
          <bgColor rgb="FFFFFF00"/>
        </patternFill>
      </fill>
    </dxf>
  </rfmt>
  <rcc rId="4805" sId="1">
    <nc r="X254">
      <f>W254</f>
    </nc>
  </rcc>
  <rcc rId="4806" sId="1">
    <nc r="X255">
      <f>W255</f>
    </nc>
  </rcc>
  <rcc rId="4807" sId="1">
    <nc r="X256">
      <f>W256</f>
    </nc>
  </rcc>
  <rcc rId="4808" sId="1">
    <nc r="X257">
      <f>W257</f>
    </nc>
  </rcc>
  <rcc rId="4809" sId="1">
    <nc r="X258">
      <f>W258</f>
    </nc>
  </rcc>
  <rcc rId="4810" sId="1">
    <nc r="X259">
      <f>W259</f>
    </nc>
  </rcc>
  <rcc rId="4811" sId="1">
    <nc r="X260">
      <f>W260</f>
    </nc>
  </rcc>
  <rcc rId="4812" sId="1">
    <nc r="X261">
      <f>W261</f>
    </nc>
  </rcc>
  <rcc rId="4813" sId="1">
    <nc r="X262">
      <f>W262</f>
    </nc>
  </rcc>
  <rcc rId="4814" sId="1">
    <nc r="X263">
      <f>W263</f>
    </nc>
  </rcc>
  <rcc rId="4815" sId="1">
    <nc r="X265">
      <f>W265</f>
    </nc>
  </rcc>
  <rcc rId="4816" sId="1">
    <nc r="X286">
      <f>W286</f>
    </nc>
  </rcc>
  <rcc rId="4817" sId="1">
    <nc r="X288">
      <f>W288</f>
    </nc>
  </rcc>
  <rcc rId="4818" sId="1">
    <nc r="X289">
      <f>W289</f>
    </nc>
  </rcc>
  <rcc rId="4819" sId="1">
    <nc r="X290">
      <f>W290</f>
    </nc>
  </rcc>
  <rcc rId="4820" sId="1">
    <nc r="Z290">
      <v>0.1</v>
    </nc>
  </rcc>
  <rcc rId="4821" sId="1">
    <nc r="AA290" t="inlineStr">
      <is>
        <t>Ready for review</t>
      </is>
    </nc>
  </rcc>
  <rcc rId="4822" sId="1" numFmtId="19">
    <nc r="AE290">
      <v>44084</v>
    </nc>
  </rcc>
  <rcc rId="4823" sId="1" numFmtId="19">
    <nc r="AF290">
      <v>44084</v>
    </nc>
  </rcc>
  <rcc rId="4824" sId="1">
    <nc r="AG290" t="inlineStr">
      <is>
        <t>OK</t>
      </is>
    </nc>
  </rcc>
  <rcc rId="4825" sId="1" numFmtId="14">
    <nc r="AH290">
      <v>1</v>
    </nc>
  </rcc>
  <rcc rId="4826" sId="1" numFmtId="14">
    <nc r="AI290">
      <v>1</v>
    </nc>
  </rcc>
  <rcc rId="4827" sId="1" numFmtId="14">
    <nc r="AJ290">
      <v>1</v>
    </nc>
  </rcc>
  <rcc rId="4828" sId="1">
    <nc r="AK290" t="inlineStr">
      <is>
        <t>None</t>
      </is>
    </nc>
  </rcc>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Merged_JOEM!$B$59:$AN$559</formula>
    <oldFormula>Merged_JOEM!$B$59:$AN$559</oldFormula>
  </rdn>
  <rcv guid="{89C03E1E-B6A8-49A1-B29C-5DC4FAB2FBC6}" action="add"/>
</revisions>
</file>

<file path=xl/revisions/revisionLog3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31" sId="2">
    <oc r="AH371" t="inlineStr">
      <is>
        <t>NA</t>
      </is>
    </oc>
    <nc r="AH371" t="inlineStr">
      <is>
        <t>-</t>
      </is>
    </nc>
  </rcc>
  <rcc rId="4832" sId="2">
    <oc r="AI371" t="inlineStr">
      <is>
        <t>NA</t>
      </is>
    </oc>
    <nc r="AI371" t="inlineStr">
      <is>
        <t>-</t>
      </is>
    </nc>
  </rcc>
  <rcc rId="4833" sId="2">
    <oc r="AJ371" t="inlineStr">
      <is>
        <t>NA</t>
      </is>
    </oc>
    <nc r="AJ371" t="inlineStr">
      <is>
        <t>-</t>
      </is>
    </nc>
  </rcc>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3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36" sId="1">
    <nc r="K265" t="inlineStr">
      <is>
        <t>Test: Manual; Cmt: Auto</t>
      </is>
    </nc>
  </rcc>
  <rcc rId="4837" sId="1">
    <nc r="K286" t="inlineStr">
      <is>
        <t>Test: Manual; Cmt: Auto</t>
      </is>
    </nc>
  </rcc>
  <rcc rId="4838" sId="1">
    <nc r="K288" t="inlineStr">
      <is>
        <t>Test: Manual; Cmt: Auto</t>
      </is>
    </nc>
  </rcc>
  <rcc rId="4839" sId="1">
    <nc r="K289" t="inlineStr">
      <is>
        <t>Test: Manual; Cmt: Auto</t>
      </is>
    </nc>
  </rcc>
  <rcc rId="4840" sId="1">
    <nc r="K290" t="inlineStr">
      <is>
        <t>Test: Manual; Cmt: Auto</t>
      </is>
    </nc>
  </rcc>
  <rcc rId="4841" sId="1">
    <oc r="W261">
      <f>V261</f>
    </oc>
    <nc r="W261">
      <v>27</v>
    </nc>
  </rcc>
  <rfmt sheetId="1" sqref="W261">
    <dxf>
      <fill>
        <patternFill patternType="solid">
          <bgColor rgb="FFFFFF00"/>
        </patternFill>
      </fill>
    </dxf>
  </rfmt>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Merged_JOEM!$B$59:$AN$559</formula>
    <oldFormula>Merged_JOEM!$B$59:$AN$559</oldFormula>
  </rdn>
  <rcv guid="{89C03E1E-B6A8-49A1-B29C-5DC4FAB2FBC6}" action="add"/>
</revisions>
</file>

<file path=xl/revisions/revisionLog3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257" start="0" length="0">
    <dxf>
      <fill>
        <patternFill patternType="none">
          <bgColor indexed="65"/>
        </patternFill>
      </fill>
    </dxf>
  </rfmt>
  <rfmt sheetId="1" sqref="I259" start="0" length="0">
    <dxf>
      <fill>
        <patternFill patternType="none">
          <bgColor indexed="65"/>
        </patternFill>
      </fill>
    </dxf>
  </rfmt>
  <rcv guid="{89C03E1E-B6A8-49A1-B29C-5DC4FAB2FBC6}" action="delete"/>
  <rdn rId="0" localSheetId="1" customView="1" name="Z_89C03E1E_B6A8_49A1_B29C_5DC4FAB2FBC6_.wvu.FilterData" hidden="1" oldHidden="1">
    <formula>Merged_COEM!$B$59:$AN$301</formula>
    <oldFormula>Merged_COEM!$B$59:$AN$301</oldFormula>
  </rdn>
  <rdn rId="0" localSheetId="2" customView="1" name="Z_89C03E1E_B6A8_49A1_B29C_5DC4FAB2FBC6_.wvu.FilterData" hidden="1" oldHidden="1">
    <formula>Merged_JOEM!$B$59:$AN$559</formula>
    <oldFormula>Merged_JOEM!$B$59:$AN$559</oldFormula>
  </rdn>
  <rcv guid="{89C03E1E-B6A8-49A1-B29C-5DC4FAB2FBC6}" action="add"/>
</revisions>
</file>

<file path=xl/revisions/revisionLog3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H371" start="0" length="0">
    <dxf/>
  </rfmt>
  <rfmt sheetId="2" sqref="AI371" start="0" length="0">
    <dxf/>
  </rfmt>
  <rfmt sheetId="2" sqref="AJ371" start="0" length="0">
    <dxf/>
  </rfmt>
  <rcv guid="{7ECC2B8E-6A82-42F5-8AB0-4A51C54EA5EC}" action="delete"/>
  <rdn rId="0" localSheetId="1" customView="1" name="Z_7ECC2B8E_6A82_42F5_8AB0_4A51C54EA5EC_.wvu.FilterData" hidden="1" oldHidden="1">
    <formula>Merged_COEM!$A$59:$AN$301</formula>
    <oldFormula>Merged_COEM!$A$59:$AN$301</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3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48" sId="2">
    <nc r="AG476" t="inlineStr">
      <is>
        <t>OK</t>
      </is>
    </nc>
  </rcc>
  <rcc rId="4849" sId="2" numFmtId="19">
    <nc r="AE476">
      <v>44084</v>
    </nc>
  </rcc>
  <rcc rId="4850" sId="2" numFmtId="19">
    <nc r="AF476">
      <v>44084</v>
    </nc>
  </rcc>
  <rcc rId="4851" sId="2" numFmtId="14">
    <nc r="AH476">
      <v>0.93799999999999994</v>
    </nc>
  </rcc>
  <rcc rId="4852" sId="2" numFmtId="14">
    <nc r="AI476">
      <v>0.95199999999999996</v>
    </nc>
  </rcc>
  <rcc rId="4853" sId="2" numFmtId="14">
    <nc r="AJ476">
      <v>0.38</v>
    </nc>
  </rc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3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56" sId="2" quotePrefix="1">
    <nc r="AK476" t="inlineStr">
      <is>
        <t>None</t>
      </is>
    </nc>
  </rcc>
  <rcc rId="4857" sId="2" quotePrefix="1">
    <nc r="AL476" t="inlineStr">
      <is>
        <t>-</t>
      </is>
    </nc>
  </rcc>
  <rcc rId="4858" sId="2" quotePrefix="1">
    <nc r="AM476" t="inlineStr">
      <is>
        <t>-</t>
      </is>
    </nc>
  </rcc>
  <rcc rId="4859" sId="2" quotePrefix="1">
    <nc r="AN476" t="inlineStr">
      <is>
        <t>-</t>
      </is>
    </nc>
  </rc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3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62" sId="2">
    <nc r="AA476" t="inlineStr">
      <is>
        <t>Ready for review</t>
      </is>
    </nc>
  </rcc>
  <rcv guid="{3B3E6719-EACB-4D2C-89C1-05FFAB6020FD}" action="delete"/>
  <rdn rId="0" localSheetId="1" customView="1" name="Z_3B3E6719_EACB_4D2C_89C1_05FFAB6020FD_.wvu.FilterData" hidden="1" oldHidden="1">
    <formula>Merged_COEM!$A$59:$AN$301</formula>
    <oldFormula>Merged_COEM!$A$59:$AN$301</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3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65" sId="2">
    <nc r="Z476">
      <v>2</v>
    </nc>
  </rcc>
  <rcc rId="4866" sId="2">
    <nc r="X476">
      <v>42.9</v>
    </nc>
  </rcc>
</revisions>
</file>

<file path=xl/revisions/revisionLog3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Merged_COEM!$B$59:$AN$301</formula>
    <oldFormula>Merged_COEM!$B$59:$AN$301</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4873" sId="1" ref="A239:XFD239" action="insertRow"/>
  <rcc rId="4874" sId="1">
    <nc r="B239">
      <f>B238+1</f>
    </nc>
  </rcc>
  <rcc rId="4875" sId="1">
    <oc r="B240">
      <f>B238+1</f>
    </oc>
    <nc r="B240">
      <f>B239+1</f>
    </nc>
  </rcc>
  <rcc rId="4876" sId="1">
    <oc r="B241">
      <f>B240+1</f>
    </oc>
    <nc r="B241">
      <f>B240+1</f>
    </nc>
  </rcc>
  <rcc rId="4877" sId="1">
    <oc r="B242">
      <f>B241+1</f>
    </oc>
    <nc r="B242">
      <f>B241+1</f>
    </nc>
  </rcc>
  <rcc rId="4878" sId="1">
    <oc r="B243">
      <f>B242+1</f>
    </oc>
    <nc r="B243">
      <f>B242+1</f>
    </nc>
  </rcc>
  <rcc rId="4879" sId="1">
    <oc r="B244">
      <f>B243+1</f>
    </oc>
    <nc r="B244">
      <f>B243+1</f>
    </nc>
  </rcc>
  <rcc rId="4880" sId="1">
    <oc r="B245">
      <f>B244+1</f>
    </oc>
    <nc r="B245">
      <f>B244+1</f>
    </nc>
  </rcc>
  <rcc rId="4881" sId="1">
    <oc r="B246">
      <f>B245+1</f>
    </oc>
    <nc r="B246">
      <f>B245+1</f>
    </nc>
  </rcc>
  <rcc rId="4882" sId="1">
    <oc r="B247">
      <f>B246+1</f>
    </oc>
    <nc r="B247">
      <f>B246+1</f>
    </nc>
  </rcc>
  <rcc rId="4883" sId="1">
    <oc r="B248">
      <f>B247+1</f>
    </oc>
    <nc r="B248">
      <f>B247+1</f>
    </nc>
  </rcc>
  <rcc rId="4884" sId="1">
    <oc r="B249">
      <f>B248+1</f>
    </oc>
    <nc r="B249">
      <f>B248+1</f>
    </nc>
  </rcc>
  <rcc rId="4885" sId="1">
    <oc r="B250">
      <f>B249+1</f>
    </oc>
    <nc r="B250">
      <f>B249+1</f>
    </nc>
  </rcc>
  <rcc rId="4886" sId="1">
    <oc r="B251">
      <f>B250+1</f>
    </oc>
    <nc r="B251">
      <f>B250+1</f>
    </nc>
  </rcc>
  <rcc rId="4887" sId="1">
    <oc r="B252">
      <f>B251+1</f>
    </oc>
    <nc r="B252">
      <f>B251+1</f>
    </nc>
  </rcc>
  <rcc rId="4888" sId="1">
    <oc r="B253">
      <f>B252+1</f>
    </oc>
    <nc r="B253">
      <f>B252+1</f>
    </nc>
  </rcc>
  <rcc rId="4889" sId="1">
    <oc r="B254">
      <f>B253+1</f>
    </oc>
    <nc r="B254">
      <f>B253+1</f>
    </nc>
  </rcc>
  <rcc rId="4890" sId="1">
    <oc r="B255">
      <f>B254+1</f>
    </oc>
    <nc r="B255">
      <f>B254+1</f>
    </nc>
  </rcc>
  <rcc rId="4891" sId="1">
    <oc r="B256">
      <f>B255+1</f>
    </oc>
    <nc r="B256">
      <f>B255+1</f>
    </nc>
  </rcc>
  <rcc rId="4892" sId="1">
    <oc r="B257">
      <f>B256+1</f>
    </oc>
    <nc r="B257">
      <f>B256+1</f>
    </nc>
  </rcc>
  <rcc rId="4893" sId="1">
    <oc r="B258">
      <f>B257+1</f>
    </oc>
    <nc r="B258">
      <f>B257+1</f>
    </nc>
  </rcc>
  <rcc rId="4894" sId="1">
    <oc r="B259">
      <f>B258+1</f>
    </oc>
    <nc r="B259">
      <f>B258+1</f>
    </nc>
  </rcc>
  <rcc rId="4895" sId="1">
    <oc r="B260">
      <f>B259+1</f>
    </oc>
    <nc r="B260">
      <f>B259+1</f>
    </nc>
  </rcc>
  <rcc rId="4896" sId="1">
    <oc r="B261">
      <f>B260+1</f>
    </oc>
    <nc r="B261">
      <f>B260+1</f>
    </nc>
  </rcc>
  <rcc rId="4897" sId="1">
    <oc r="B262">
      <f>B261+1</f>
    </oc>
    <nc r="B262">
      <f>B261+1</f>
    </nc>
  </rcc>
  <rcc rId="4898" sId="1">
    <oc r="B263">
      <f>B262+1</f>
    </oc>
    <nc r="B263">
      <f>B262+1</f>
    </nc>
  </rcc>
  <rcc rId="4899" sId="1">
    <oc r="B264">
      <f>B263+1</f>
    </oc>
    <nc r="B264">
      <f>B263+1</f>
    </nc>
  </rcc>
  <rcc rId="4900" sId="1">
    <oc r="B265">
      <f>B264+1</f>
    </oc>
    <nc r="B265">
      <f>B264+1</f>
    </nc>
  </rcc>
  <rcc rId="4901" sId="1">
    <oc r="B266">
      <f>B265+1</f>
    </oc>
    <nc r="B266">
      <f>B265+1</f>
    </nc>
  </rcc>
  <rcc rId="4902" sId="1">
    <oc r="B267">
      <f>B266+1</f>
    </oc>
    <nc r="B267">
      <f>B266+1</f>
    </nc>
  </rcc>
  <rcc rId="4903" sId="1">
    <oc r="B268">
      <f>B267+1</f>
    </oc>
    <nc r="B268">
      <f>B267+1</f>
    </nc>
  </rcc>
  <rcc rId="4904" sId="1">
    <oc r="B269">
      <f>B268+1</f>
    </oc>
    <nc r="B269">
      <f>B268+1</f>
    </nc>
  </rcc>
  <rcc rId="4905" sId="1">
    <oc r="B270">
      <f>B269+1</f>
    </oc>
    <nc r="B270">
      <f>B269+1</f>
    </nc>
  </rcc>
  <rcc rId="4906" sId="1">
    <oc r="B271">
      <f>B270+1</f>
    </oc>
    <nc r="B271">
      <f>B270+1</f>
    </nc>
  </rcc>
  <rcc rId="4907" sId="1">
    <oc r="B272">
      <f>B271+1</f>
    </oc>
    <nc r="B272">
      <f>B271+1</f>
    </nc>
  </rcc>
  <rcc rId="4908" sId="1">
    <oc r="B273">
      <f>B272+1</f>
    </oc>
    <nc r="B273">
      <f>B272+1</f>
    </nc>
  </rcc>
  <rcc rId="4909" sId="1">
    <oc r="B274">
      <f>B273+1</f>
    </oc>
    <nc r="B274">
      <f>B273+1</f>
    </nc>
  </rcc>
  <rcc rId="4910" sId="1">
    <oc r="B275">
      <f>B274+1</f>
    </oc>
    <nc r="B275">
      <f>B274+1</f>
    </nc>
  </rcc>
  <rcc rId="4911" sId="1">
    <oc r="B276">
      <f>B275+1</f>
    </oc>
    <nc r="B276">
      <f>B275+1</f>
    </nc>
  </rcc>
  <rcc rId="4912" sId="1">
    <oc r="B277">
      <f>B276+1</f>
    </oc>
    <nc r="B277">
      <f>B276+1</f>
    </nc>
  </rcc>
  <rcc rId="4913" sId="1">
    <oc r="B278">
      <f>B277+1</f>
    </oc>
    <nc r="B278">
      <f>B277+1</f>
    </nc>
  </rcc>
  <rcc rId="4914" sId="1">
    <oc r="B279">
      <f>B278+1</f>
    </oc>
    <nc r="B279">
      <f>B278+1</f>
    </nc>
  </rcc>
  <rcc rId="4915" sId="1">
    <oc r="B280">
      <f>B279+1</f>
    </oc>
    <nc r="B280">
      <f>B279+1</f>
    </nc>
  </rcc>
  <rcc rId="4916" sId="1">
    <oc r="B281">
      <f>B280+1</f>
    </oc>
    <nc r="B281">
      <f>B280+1</f>
    </nc>
  </rcc>
  <rcc rId="4917" sId="1">
    <oc r="B282">
      <f>B281+1</f>
    </oc>
    <nc r="B282">
      <f>B281+1</f>
    </nc>
  </rcc>
  <rcc rId="4918" sId="1">
    <oc r="B283">
      <f>B282+1</f>
    </oc>
    <nc r="B283">
      <f>B282+1</f>
    </nc>
  </rcc>
  <rcc rId="4919" sId="1">
    <oc r="B284">
      <f>B283+1</f>
    </oc>
    <nc r="B284">
      <f>B283+1</f>
    </nc>
  </rcc>
  <rcc rId="4920" sId="1">
    <oc r="B285">
      <f>B284+1</f>
    </oc>
    <nc r="B285">
      <f>B284+1</f>
    </nc>
  </rcc>
  <rcc rId="4921" sId="1">
    <oc r="B286">
      <f>B285+1</f>
    </oc>
    <nc r="B286">
      <f>B285+1</f>
    </nc>
  </rcc>
  <rcc rId="4922" sId="1">
    <oc r="B287">
      <f>B286+1</f>
    </oc>
    <nc r="B287">
      <f>B286+1</f>
    </nc>
  </rcc>
  <rcc rId="4923" sId="1">
    <oc r="B288">
      <f>B287+1</f>
    </oc>
    <nc r="B288">
      <f>B287+1</f>
    </nc>
  </rcc>
  <rcc rId="4924" sId="1">
    <oc r="B289">
      <f>B288+1</f>
    </oc>
    <nc r="B289">
      <f>B288+1</f>
    </nc>
  </rcc>
  <rcc rId="4925" sId="1">
    <oc r="B290">
      <f>B289+1</f>
    </oc>
    <nc r="B290">
      <f>B289+1</f>
    </nc>
  </rcc>
  <rcc rId="4926" sId="1">
    <oc r="B291">
      <f>B290+1</f>
    </oc>
    <nc r="B291">
      <f>B290+1</f>
    </nc>
  </rcc>
  <rcc rId="4927" sId="1">
    <oc r="B292">
      <f>B291+1</f>
    </oc>
    <nc r="B292">
      <f>B291+1</f>
    </nc>
  </rcc>
  <rcc rId="4928" sId="1">
    <oc r="B293">
      <f>B292+1</f>
    </oc>
    <nc r="B293">
      <f>B292+1</f>
    </nc>
  </rcc>
  <rcc rId="4929" sId="1">
    <oc r="B294">
      <f>B293+1</f>
    </oc>
    <nc r="B294">
      <f>B293+1</f>
    </nc>
  </rcc>
</revisions>
</file>

<file path=xl/revisions/revisionLog3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30" sId="1">
    <nc r="C239">
      <v>20200907</v>
    </nc>
  </rcc>
  <rcc rId="4931" sId="1">
    <nc r="D239" t="inlineStr">
      <is>
        <t>PSW</t>
      </is>
    </nc>
  </rcc>
  <rcc rId="4932" sId="1">
    <nc r="E239" t="inlineStr">
      <is>
        <t>GEEA2.0_iBooster_CMP_BL08_B2H2_20R2_Sprint03</t>
      </is>
    </nc>
  </rcc>
  <rcc rId="4933" sId="1" quotePrefix="1">
    <nc r="F239" t="inlineStr">
      <is>
        <t>-</t>
      </is>
    </nc>
  </rcc>
  <rcc rId="4934" sId="1">
    <nc r="G239">
      <v>1625480</v>
    </nc>
  </rcc>
  <rcc rId="4935" sId="1" xfDxf="1" dxf="1">
    <nc r="I239" t="inlineStr">
      <is>
        <t>VAR09_OutputDriver_CEVT.c</t>
      </is>
    </nc>
    <ndxf>
      <alignment horizontal="left" vertical="top" readingOrder="0"/>
      <border outline="0">
        <left style="thin">
          <color indexed="64"/>
        </left>
        <right style="thin">
          <color indexed="64"/>
        </right>
        <top style="thin">
          <color indexed="64"/>
        </top>
        <bottom style="thin">
          <color indexed="64"/>
        </bottom>
      </border>
    </ndxf>
  </rcc>
  <rcc rId="4936" sId="1" quotePrefix="1">
    <nc r="H239" t="inlineStr">
      <is>
        <t>-</t>
      </is>
    </nc>
  </rcc>
  <rcc rId="4937" sId="1" quotePrefix="1">
    <nc r="J239" t="inlineStr">
      <is>
        <t>-</t>
      </is>
    </nc>
  </rcc>
  <rcc rId="4938" sId="1">
    <nc r="L239" t="inlineStr">
      <is>
        <t>BB81519</t>
      </is>
    </nc>
  </rcc>
  <rcc rId="4939" sId="1">
    <nc r="M239" t="inlineStr">
      <is>
        <t>BL08_B2H2_20R2_Sprint03</t>
      </is>
    </nc>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42" sId="1" xfDxf="1" dxf="1">
    <oc r="N237" t="inlineStr">
      <is>
        <t>GEEA2_0-IB2-CSW-Deuterium-Development___SDB_B2H2_BG4</t>
      </is>
    </oc>
    <nc r="N237" t="inlineStr">
      <is>
        <t>GEEA2_0-IB2-CSW-Deuterium-Development___SDB_B2H2_BG4.zip</t>
      </is>
    </nc>
    <ndxf>
      <alignment horizontal="left" vertical="top" readingOrder="0"/>
      <border outline="0">
        <left style="thin">
          <color indexed="64"/>
        </left>
        <right style="thin">
          <color indexed="64"/>
        </right>
        <top style="thin">
          <color indexed="64"/>
        </top>
        <bottom style="thin">
          <color indexed="64"/>
        </bottom>
      </border>
    </ndxf>
  </rcc>
  <rcc rId="4943" sId="1" xfDxf="1" dxf="1">
    <oc r="N238" t="inlineStr">
      <is>
        <t>GEEA2_0-IB2-CSW-Deuterium-Development___SDB_B2H2_BG4</t>
      </is>
    </oc>
    <nc r="N238" t="inlineStr">
      <is>
        <t>GEEA2_0-IB2-CSW-Deuterium-Development___SDB_B2H2_BG4.zip</t>
      </is>
    </nc>
    <ndxf>
      <alignment horizontal="left" vertical="top" readingOrder="0"/>
      <border outline="0">
        <left style="thin">
          <color indexed="64"/>
        </left>
        <right style="thin">
          <color indexed="64"/>
        </right>
        <top style="thin">
          <color indexed="64"/>
        </top>
        <bottom style="thin">
          <color indexed="64"/>
        </bottom>
      </border>
    </ndxf>
  </rcc>
  <rcc rId="4944" sId="1" xfDxf="1" dxf="1">
    <nc r="N239" t="inlineStr">
      <is>
        <t>GEEA2_0-IB2-CSW-Deuterium-Development___SDB_B2H2_BG4.zip</t>
      </is>
    </nc>
    <ndxf>
      <alignment horizontal="left" vertical="top" readingOrder="0"/>
      <border outline="0">
        <left style="thin">
          <color indexed="64"/>
        </left>
        <right style="thin">
          <color indexed="64"/>
        </right>
        <top style="thin">
          <color indexed="64"/>
        </top>
        <bottom style="thin">
          <color indexed="64"/>
        </bottom>
      </border>
    </ndxf>
  </rcc>
  <rcc rId="4945" sId="1" quotePrefix="1">
    <nc r="O239" t="inlineStr">
      <is>
        <t>-</t>
      </is>
    </nc>
  </rcc>
  <rcc rId="4946" sId="1" quotePrefix="1">
    <nc r="P239" t="inlineStr">
      <is>
        <t>Jogi Madivalappa (RBEI/ESH31)</t>
      </is>
    </nc>
  </rcc>
  <rcc rId="4947" sId="1" quotePrefix="1">
    <nc r="R239" t="inlineStr">
      <is>
        <t>-</t>
      </is>
    </nc>
  </rcc>
  <rcc rId="4948" sId="1">
    <nc r="S239" t="inlineStr">
      <is>
        <t>nam.phan-the</t>
      </is>
    </nc>
  </rcc>
  <rcc rId="4949" sId="1">
    <nc r="T239" t="inlineStr">
      <is>
        <t>duong.nguyen-tuan</t>
      </is>
    </nc>
  </rcc>
  <rcc rId="4950" sId="1">
    <oc r="AA237" t="inlineStr">
      <is>
        <t>Ready for review</t>
      </is>
    </oc>
    <nc r="AA237"/>
  </rcc>
  <rcc rId="4951" sId="1">
    <oc r="Z237">
      <v>6</v>
    </oc>
    <nc r="Z237"/>
  </rcc>
  <rcc rId="4952" sId="1">
    <oc r="X237">
      <f>W237</f>
    </oc>
    <nc r="X237"/>
  </rcc>
  <rcc rId="4953" sId="1" numFmtId="19">
    <oc r="AD237">
      <v>44084</v>
    </oc>
    <nc r="AD237">
      <v>44088</v>
    </nc>
  </rcc>
  <rcc rId="4954" sId="1" numFmtId="19">
    <oc r="AD238">
      <v>44084</v>
    </oc>
    <nc r="AD238">
      <v>44088</v>
    </nc>
  </rcc>
  <rcc rId="4955" sId="1" numFmtId="19">
    <nc r="AD239">
      <v>44088</v>
    </nc>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58" sId="1">
    <nc r="V239">
      <v>125</v>
    </nc>
  </rcc>
  <rcc rId="4959" sId="1">
    <nc r="W239">
      <f>V239</f>
    </nc>
  </rcc>
  <rcc rId="4960" sId="1">
    <nc r="Y239">
      <f>ROUNDDOWN(W239/HLOOKUP(D239,Table!$C$3:$D$4,2,0)*8,2)</f>
    </nc>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63" sId="1" quotePrefix="1">
    <nc r="AL239" t="inlineStr">
      <is>
        <t>-</t>
      </is>
    </nc>
  </rcc>
  <rcc rId="4964" sId="1" quotePrefix="1">
    <nc r="AM239" t="inlineStr">
      <is>
        <t>-</t>
      </is>
    </nc>
  </rcc>
  <rcc rId="4965" sId="1" quotePrefix="1">
    <nc r="AN239" t="inlineStr">
      <is>
        <t>-</t>
      </is>
    </nc>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70" sId="2" numFmtId="14">
    <oc r="AJ476">
      <v>0.38</v>
    </oc>
    <nc r="AJ476">
      <v>0.38500000000000001</v>
    </nc>
  </rcc>
  <rcv guid="{3B3E6719-EACB-4D2C-89C1-05FFAB6020FD}" action="delete"/>
  <rdn rId="0" localSheetId="1" customView="1" name="Z_3B3E6719_EACB_4D2C_89C1_05FFAB6020FD_.wvu.FilterData" hidden="1" oldHidden="1">
    <formula>Merged_COEM!$A$59:$AN$302</formula>
    <oldFormula>Merged_COEM!$A$59:$AN$302</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3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73" sId="2">
    <nc r="Z486">
      <v>5.2</v>
    </nc>
  </rcc>
  <rcc rId="4974" sId="2">
    <nc r="AA486" t="inlineStr">
      <is>
        <t>Ready for review</t>
      </is>
    </nc>
  </rcc>
  <rfmt sheetId="2" sqref="I486" start="0" length="2147483647">
    <dxf>
      <font>
        <color rgb="FFFF0000"/>
      </font>
    </dxf>
  </rfmt>
  <rcc rId="4975" sId="2" numFmtId="19">
    <nc r="AE486">
      <v>44084</v>
    </nc>
  </rcc>
  <rcc rId="4976" sId="2" numFmtId="19">
    <nc r="AF486">
      <v>44084</v>
    </nc>
  </rcc>
  <rcc rId="4977" sId="2">
    <nc r="AG486" t="inlineStr">
      <is>
        <t>OK</t>
      </is>
    </nc>
  </rcc>
  <rcc rId="4978" sId="2" numFmtId="14">
    <nc r="AH486">
      <v>1</v>
    </nc>
  </rcc>
  <rcc rId="4979" sId="2" numFmtId="14">
    <nc r="AI486">
      <v>1</v>
    </nc>
  </rcc>
  <rcc rId="4980" sId="2" quotePrefix="1">
    <nc r="AK486" t="inlineStr">
      <is>
        <t>None</t>
      </is>
    </nc>
  </rcc>
  <rcc rId="4981" sId="2" numFmtId="14">
    <nc r="AJ486">
      <v>0.5</v>
    </nc>
  </rcc>
</revisions>
</file>

<file path=xl/revisions/revisionLog3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82" sId="2" numFmtId="14">
    <oc r="AJ426">
      <v>0.313</v>
    </oc>
    <nc r="AJ426">
      <v>0.312</v>
    </nc>
  </rcc>
  <rcv guid="{3B3E6719-EACB-4D2C-89C1-05FFAB6020FD}" action="delete"/>
  <rdn rId="0" localSheetId="1" customView="1" name="Z_3B3E6719_EACB_4D2C_89C1_05FFAB6020FD_.wvu.FilterData" hidden="1" oldHidden="1">
    <formula>Merged_COEM!$A$59:$AN$302</formula>
    <oldFormula>Merged_COEM!$A$59:$AN$302</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3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3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1" sqref="AL476" start="0" length="0">
    <dxf>
      <font>
        <sz val="10"/>
        <color auto="1"/>
        <name val="Arial"/>
        <scheme val="none"/>
      </font>
      <alignment wrapText="1" readingOrder="0"/>
    </dxf>
  </rfmt>
  <rcc rId="4991" sId="2" quotePrefix="1">
    <oc r="AL476" t="inlineStr">
      <is>
        <t>-</t>
      </is>
    </oc>
    <nc r="AL476" t="inlineStr">
      <is>
        <t>Line #24 Cannot cover OOR max of t_PBH_Enable because: C_t_TSS3_PBH_max always less than t_PBH_Enable when accessing this case.</t>
      </is>
    </nc>
  </rcc>
  <rfmt sheetId="2" sqref="AL476">
    <dxf>
      <alignment wrapText="0" readingOrder="0"/>
    </dxf>
  </rfmt>
  <rcv guid="{3B3E6719-EACB-4D2C-89C1-05FFAB6020FD}" action="delete"/>
  <rdn rId="0" localSheetId="1" customView="1" name="Z_3B3E6719_EACB_4D2C_89C1_05FFAB6020FD_.wvu.FilterData" hidden="1" oldHidden="1">
    <formula>Merged_COEM!$A$59:$AN$302</formula>
    <oldFormula>Merged_COEM!$A$59:$AN$302</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3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94" sId="2" numFmtId="19">
    <nc r="AE474">
      <v>44084</v>
    </nc>
  </rcc>
  <rcc rId="4995" sId="2" numFmtId="19">
    <nc r="AF474">
      <v>44084</v>
    </nc>
  </rcc>
  <rcc rId="4996" sId="2">
    <nc r="AG474" t="inlineStr">
      <is>
        <t>OK</t>
      </is>
    </nc>
  </rcc>
  <rcc rId="4997" sId="2" numFmtId="14">
    <nc r="AH474">
      <v>1</v>
    </nc>
  </rcc>
  <rcc rId="4998" sId="2" numFmtId="14">
    <nc r="AI474">
      <v>1</v>
    </nc>
  </rcc>
  <rcc rId="4999" sId="2" quotePrefix="1">
    <nc r="AK474" t="inlineStr">
      <is>
        <t>None</t>
      </is>
    </nc>
  </rcc>
  <rcc rId="5000" sId="2" quotePrefix="1">
    <nc r="AL474" t="inlineStr">
      <is>
        <t>-</t>
      </is>
    </nc>
  </rcc>
  <rcc rId="5001" sId="2" quotePrefix="1">
    <nc r="AM474" t="inlineStr">
      <is>
        <t>-</t>
      </is>
    </nc>
  </rcc>
  <rcc rId="5002" sId="2" quotePrefix="1">
    <nc r="AN474" t="inlineStr">
      <is>
        <t>-</t>
      </is>
    </nc>
  </rcc>
  <rcc rId="5003" sId="2" numFmtId="14">
    <nc r="AJ474">
      <v>0.94699999999999995</v>
    </nc>
  </rcc>
</revisions>
</file>

<file path=xl/revisions/revisionLog3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04" sId="2" numFmtId="14">
    <oc r="AJ387">
      <v>0.1</v>
    </oc>
    <nc r="AJ387">
      <v>0.05</v>
    </nc>
  </rcc>
  <rcv guid="{7ECC2B8E-6A82-42F5-8AB0-4A51C54EA5EC}" action="delete"/>
  <rdn rId="0" localSheetId="1" customView="1" name="Z_7ECC2B8E_6A82_42F5_8AB0_4A51C54EA5EC_.wvu.FilterData" hidden="1" oldHidden="1">
    <formula>Merged_COEM!$A$59:$AN$302</formula>
    <oldFormula>Merged_COEM!$A$59:$AN$302</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3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07" sId="2">
    <nc r="AA474" t="inlineStr">
      <is>
        <t>Ready for review</t>
      </is>
    </nc>
  </rcc>
  <rcv guid="{3B3E6719-EACB-4D2C-89C1-05FFAB6020FD}" action="delete"/>
  <rdn rId="0" localSheetId="1" customView="1" name="Z_3B3E6719_EACB_4D2C_89C1_05FFAB6020FD_.wvu.FilterData" hidden="1" oldHidden="1">
    <formula>Merged_COEM!$A$59:$AN$302</formula>
    <oldFormula>Merged_COEM!$A$59:$AN$302</oldFormula>
  </rdn>
  <rdn rId="0" localSheetId="2" customView="1" name="Z_3B3E6719_EACB_4D2C_89C1_05FFAB6020FD_.wvu.FilterData" hidden="1" oldHidden="1">
    <formula>Merged_JOEM!$B$59:$AN$559</formula>
    <oldFormula>Merged_JOEM!$B$59:$AN$559</oldFormula>
  </rdn>
  <rcv guid="{3B3E6719-EACB-4D2C-89C1-05FFAB6020FD}" action="add"/>
</revisions>
</file>

<file path=xl/revisions/revisionLog3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10" sId="2" numFmtId="19">
    <oc r="AE421" t="inlineStr">
      <is>
        <t>-</t>
      </is>
    </oc>
    <nc r="AE421">
      <v>44083</v>
    </nc>
  </rcc>
  <rcc rId="5011" sId="2" numFmtId="19">
    <oc r="AF421" t="inlineStr">
      <is>
        <t>-</t>
      </is>
    </oc>
    <nc r="AF421">
      <v>44083</v>
    </nc>
  </rcc>
</revisions>
</file>

<file path=xl/revisions/revisionLog4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12" sId="2">
    <nc r="X474">
      <v>36.4</v>
    </nc>
  </rcc>
</revisions>
</file>

<file path=xl/revisions/revisionLog4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4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4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17" sId="1">
    <oc r="G25">
      <f>IF(ISERROR(E25/(F25)),"N/A",E25/F25)</f>
    </oc>
    <nc r="G25"/>
  </rcc>
  <rfmt sheetId="1" sqref="I205">
    <dxf>
      <fill>
        <patternFill patternType="solid">
          <bgColor rgb="FF92D050"/>
        </patternFill>
      </fill>
    </dxf>
  </rfmt>
  <rfmt sheetId="1" sqref="I219">
    <dxf>
      <fill>
        <patternFill patternType="solid">
          <bgColor rgb="FF92D050"/>
        </patternFill>
      </fill>
    </dxf>
  </rfmt>
  <rfmt sheetId="1" sqref="I220">
    <dxf>
      <fill>
        <patternFill patternType="solid">
          <bgColor rgb="FF92D050"/>
        </patternFill>
      </fill>
    </dxf>
  </rfmt>
</revisions>
</file>

<file path=xl/revisions/revisionLog4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FECB4C41-27E8-4A22-AFB3-4F54CDD4960E}" action="delete"/>
  <rdn rId="0" localSheetId="1" customView="1" name="Z_FECB4C41_27E8_4A22_AFB3_4F54CDD4960E_.wvu.FilterData" hidden="1" oldHidden="1">
    <formula>Merged_COEM!$B$59:$AN$302</formula>
    <oldFormula>Merged_COEM!$B$59:$AN$302</oldFormula>
  </rdn>
  <rdn rId="0" localSheetId="2" customView="1" name="Z_FECB4C41_27E8_4A22_AFB3_4F54CDD4960E_.wvu.FilterData" hidden="1" oldHidden="1">
    <formula>Merged_JOEM!$B$59:$AN$559</formula>
    <oldFormula>Merged_JOEM!$B$59:$AN$559</oldFormula>
  </rdn>
  <rcv guid="{FECB4C41-27E8-4A22-AFB3-4F54CDD4960E}" action="add"/>
</revisions>
</file>

<file path=xl/revisions/revisionLog4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224">
    <dxf>
      <fill>
        <patternFill patternType="solid">
          <bgColor rgb="FF92D050"/>
        </patternFill>
      </fill>
    </dxf>
  </rfmt>
  <rfmt sheetId="1" sqref="I221:I223">
    <dxf>
      <fill>
        <patternFill patternType="solid">
          <bgColor rgb="FF92D050"/>
        </patternFill>
      </fill>
    </dxf>
  </rfmt>
  <rfmt sheetId="1" sqref="I205 I219:I224">
    <dxf>
      <fill>
        <patternFill patternType="none">
          <bgColor auto="1"/>
        </patternFill>
      </fill>
    </dxf>
  </rfmt>
</revisions>
</file>

<file path=xl/revisions/revisionLog4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I487" start="0" length="2147483647">
    <dxf>
      <font>
        <color rgb="FFFF0000"/>
      </font>
    </dxf>
  </rfmt>
  <rcc rId="5020" sId="2">
    <nc r="Z487">
      <v>5.2</v>
    </nc>
  </rcc>
  <rcc rId="5021" sId="2">
    <nc r="AA487" t="inlineStr">
      <is>
        <t>Ready for review</t>
      </is>
    </nc>
  </rcc>
  <rcc rId="5022" sId="2" numFmtId="19">
    <nc r="AB487">
      <v>44084</v>
    </nc>
  </rcc>
  <rcc rId="5023" sId="2">
    <oc r="AD487">
      <v>44090</v>
    </oc>
    <nc r="AD487" t="inlineStr">
      <is>
        <t>OK</t>
      </is>
    </nc>
  </rcc>
  <rcc rId="5024" sId="2" numFmtId="19">
    <nc r="AE487">
      <v>44084</v>
    </nc>
  </rcc>
  <rcc rId="5025" sId="2" numFmtId="19">
    <nc r="AF487">
      <v>44084</v>
    </nc>
  </rcc>
  <rcc rId="5026" sId="2">
    <nc r="AG487" t="inlineStr">
      <is>
        <t>OK</t>
      </is>
    </nc>
  </rcc>
  <rcc rId="5027" sId="2" numFmtId="14">
    <nc r="AH487">
      <v>1</v>
    </nc>
  </rcc>
  <rcc rId="5028" sId="2" numFmtId="14">
    <nc r="AI487">
      <v>1</v>
    </nc>
  </rcc>
  <rcc rId="5029" sId="2" quotePrefix="1">
    <nc r="AK487" t="inlineStr">
      <is>
        <t>None</t>
      </is>
    </nc>
  </rcc>
  <rcc rId="5030" sId="2" numFmtId="14">
    <nc r="AJ487">
      <v>0</v>
    </nc>
  </rcc>
</revisions>
</file>

<file path=xl/revisions/revisionLog4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31" sId="2" numFmtId="19">
    <nc r="AE494">
      <v>44084</v>
    </nc>
  </rcc>
  <rcc rId="5032" sId="2" numFmtId="19">
    <nc r="AF494">
      <v>44084</v>
    </nc>
  </rcc>
  <rcc rId="5033" sId="2">
    <nc r="AG494" t="inlineStr">
      <is>
        <t>OK</t>
      </is>
    </nc>
  </rcc>
  <rcc rId="5034" sId="2" numFmtId="14">
    <nc r="AH494">
      <v>1</v>
    </nc>
  </rcc>
  <rcc rId="5035" sId="2" numFmtId="14">
    <nc r="AI494">
      <v>1</v>
    </nc>
  </rcc>
  <rcc rId="5036" sId="2" numFmtId="14">
    <nc r="AJ494">
      <v>1</v>
    </nc>
  </rcc>
  <rcv guid="{7ECC2B8E-6A82-42F5-8AB0-4A51C54EA5EC}" action="delete"/>
  <rdn rId="0" localSheetId="1" customView="1" name="Z_7ECC2B8E_6A82_42F5_8AB0_4A51C54EA5EC_.wvu.FilterData" hidden="1" oldHidden="1">
    <formula>Merged_COEM!$A$59:$AN$302</formula>
    <oldFormula>Merged_COEM!$A$59:$AN$302</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4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39" sId="1">
    <nc r="X268">
      <f>W268</f>
    </nc>
  </rcc>
  <rcc rId="5040" sId="1">
    <nc r="Z268">
      <v>5</v>
    </nc>
  </rcc>
  <rcc rId="5041" sId="1">
    <nc r="AA268" t="inlineStr">
      <is>
        <t>Ready for review</t>
      </is>
    </nc>
  </rcc>
  <rcc rId="5042" sId="1" numFmtId="19">
    <nc r="AE268">
      <v>44084</v>
    </nc>
  </rcc>
  <rcc rId="5043" sId="1" numFmtId="19">
    <nc r="AF268">
      <v>44084</v>
    </nc>
  </rcc>
  <rcc rId="5044" sId="1">
    <nc r="AG268" t="inlineStr">
      <is>
        <t>OK</t>
      </is>
    </nc>
  </rcc>
  <rcc rId="5045" sId="1" numFmtId="14">
    <nc r="AH268">
      <v>1</v>
    </nc>
  </rcc>
  <rcc rId="5046" sId="1" numFmtId="14">
    <nc r="AI268">
      <v>1</v>
    </nc>
  </rcc>
  <rcc rId="5047" sId="1" numFmtId="14">
    <nc r="AJ268">
      <v>1</v>
    </nc>
  </rcc>
  <rcc rId="5048" sId="1">
    <nc r="AK268" t="inlineStr">
      <is>
        <t>None</t>
      </is>
    </nc>
  </rcc>
  <rcv guid="{C94451EF-7A3E-4D72-B5A4-3D1B193192CC}" action="delete"/>
  <rdn rId="0" localSheetId="1" customView="1" name="Z_C94451EF_7A3E_4D72_B5A4_3D1B193192CC_.wvu.FilterData" hidden="1" oldHidden="1">
    <formula>Merged_COEM!$B$59:$AN$302</formula>
    <oldFormula>Merged_COEM!$B$59:$AN$302</oldFormula>
  </rdn>
  <rdn rId="0" localSheetId="2" customView="1" name="Z_C94451EF_7A3E_4D72_B5A4_3D1B193192CC_.wvu.FilterData" hidden="1" oldHidden="1">
    <formula>Merged_JOEM!$B$59:$AN$559</formula>
    <oldFormula>Merged_JOEM!$B$59:$AN$559</oldFormula>
  </rdn>
  <rcv guid="{C94451EF-7A3E-4D72-B5A4-3D1B193192CC}" action="add"/>
</revisions>
</file>

<file path=xl/revisions/revisionLog4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51" sId="1">
    <oc r="W269">
      <f>V269</f>
    </oc>
    <nc r="W269">
      <v>0</v>
    </nc>
  </rcc>
  <rfmt sheetId="1" sqref="W269">
    <dxf>
      <fill>
        <patternFill patternType="solid">
          <bgColor rgb="FFFF0000"/>
        </patternFill>
      </fill>
    </dxf>
  </rfmt>
  <rcc rId="5052" sId="1">
    <nc r="X269">
      <f>W269</f>
    </nc>
  </rcc>
  <rcc rId="5053" sId="1">
    <nc r="Z269">
      <v>0</v>
    </nc>
  </rcc>
  <rcc rId="5054" sId="1">
    <nc r="AA269" t="inlineStr">
      <is>
        <t>Ready for review</t>
      </is>
    </nc>
  </rcc>
  <rcc rId="5055" sId="1" numFmtId="19">
    <nc r="AE269">
      <v>44084</v>
    </nc>
  </rcc>
  <rcc rId="5056" sId="1" numFmtId="19">
    <nc r="AF269">
      <v>44084</v>
    </nc>
  </rcc>
  <rcc rId="5057" sId="1">
    <nc r="AG269" t="inlineStr">
      <is>
        <t>OK</t>
      </is>
    </nc>
  </rcc>
  <rcc rId="5058" sId="1" numFmtId="14">
    <nc r="AH269">
      <v>1</v>
    </nc>
  </rcc>
  <rcc rId="5059" sId="1" numFmtId="14">
    <nc r="AI269">
      <v>1</v>
    </nc>
  </rcc>
  <rcc rId="5060" sId="1" numFmtId="14">
    <nc r="AJ269">
      <v>1</v>
    </nc>
  </rcc>
  <rcc rId="5061" sId="1">
    <nc r="AK269" t="inlineStr">
      <is>
        <t>None</t>
      </is>
    </nc>
  </rcc>
  <rcc rId="5062" sId="1" quotePrefix="1">
    <oc r="AN269" t="inlineStr">
      <is>
        <t>-</t>
      </is>
    </oc>
    <nc r="AN269" t="inlineStr">
      <is>
        <t>-No function for testing</t>
      </is>
    </nc>
  </rcc>
  <rcc rId="5063" sId="1">
    <oc r="W270">
      <f>V270</f>
    </oc>
    <nc r="W270">
      <v>0</v>
    </nc>
  </rcc>
  <rcc rId="5064" sId="1">
    <nc r="X270">
      <v>0</v>
    </nc>
  </rcc>
  <rcc rId="5065" sId="1">
    <nc r="Z270">
      <v>0</v>
    </nc>
  </rcc>
  <rfmt sheetId="1" sqref="W270">
    <dxf>
      <fill>
        <patternFill patternType="solid">
          <bgColor rgb="FFFF0000"/>
        </patternFill>
      </fill>
    </dxf>
  </rfmt>
  <rcc rId="5066" sId="1">
    <nc r="AA270" t="inlineStr">
      <is>
        <t>Ready for review</t>
      </is>
    </nc>
  </rcc>
  <rcc rId="5067" sId="1" numFmtId="19">
    <nc r="AE270">
      <v>44084</v>
    </nc>
  </rcc>
  <rcc rId="5068" sId="1" numFmtId="19">
    <nc r="AF270">
      <v>44084</v>
    </nc>
  </rcc>
  <rcc rId="5069" sId="1">
    <nc r="AG270" t="inlineStr">
      <is>
        <t>OK</t>
      </is>
    </nc>
  </rcc>
  <rcc rId="5070" sId="1" numFmtId="14">
    <nc r="AH270">
      <v>1</v>
    </nc>
  </rcc>
  <rcc rId="5071" sId="1" numFmtId="14">
    <nc r="AI270">
      <v>1</v>
    </nc>
  </rcc>
  <rcc rId="5072" sId="1" numFmtId="14">
    <nc r="AJ270">
      <v>1</v>
    </nc>
  </rcc>
  <rcc rId="5073" sId="1">
    <nc r="AK270" t="inlineStr">
      <is>
        <t>None</t>
      </is>
    </nc>
  </rcc>
  <rcc rId="5074" sId="1" quotePrefix="1">
    <oc r="AN270" t="inlineStr">
      <is>
        <t>-</t>
      </is>
    </oc>
    <nc r="AN270" t="inlineStr">
      <is>
        <t>-No function for testing</t>
      </is>
    </nc>
  </rcc>
  <rcv guid="{C94451EF-7A3E-4D72-B5A4-3D1B193192CC}" action="delete"/>
  <rdn rId="0" localSheetId="1" customView="1" name="Z_C94451EF_7A3E_4D72_B5A4_3D1B193192CC_.wvu.FilterData" hidden="1" oldHidden="1">
    <formula>Merged_COEM!$B$59:$AN$302</formula>
    <oldFormula>Merged_COEM!$B$59:$AN$302</oldFormula>
  </rdn>
  <rdn rId="0" localSheetId="2" customView="1" name="Z_C94451EF_7A3E_4D72_B5A4_3D1B193192CC_.wvu.FilterData" hidden="1" oldHidden="1">
    <formula>Merged_JOEM!$B$59:$AN$559</formula>
    <oldFormula>Merged_JOEM!$B$59:$AN$559</oldFormula>
  </rdn>
  <rcv guid="{C94451EF-7A3E-4D72-B5A4-3D1B193192CC}" action="add"/>
</revisions>
</file>

<file path=xl/revisions/revisionLog4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9C03E1E-B6A8-49A1-B29C-5DC4FAB2FBC6}" action="delete"/>
  <rdn rId="0" localSheetId="1" customView="1" name="Z_89C03E1E_B6A8_49A1_B29C_5DC4FAB2FBC6_.wvu.FilterData" hidden="1" oldHidden="1">
    <formula>Merged_COEM!$B$59:$AN$302</formula>
    <oldFormula>Merged_COEM!$B$59:$AN$302</oldFormula>
  </rdn>
  <rdn rId="0" localSheetId="2" customView="1" name="Z_89C03E1E_B6A8_49A1_B29C_5DC4FAB2FBC6_.wvu.FilterData" hidden="1" oldHidden="1">
    <formula>Merged_JOEM!$B$59:$AN$559</formula>
    <oldFormula>Merged_JOEM!$B$59:$AN$559</oldFormula>
  </rdn>
  <rcv guid="{89C03E1E-B6A8-49A1-B29C-5DC4FAB2FBC6}" action="add"/>
</revisions>
</file>

<file path=xl/revisions/revisionLog4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79" sId="1">
    <oc r="U204" t="inlineStr">
      <is>
        <t>No</t>
      </is>
    </oc>
    <nc r="U204" t="inlineStr">
      <is>
        <t>Yes</t>
      </is>
    </nc>
  </rcc>
  <rcc rId="5080" sId="1">
    <nc r="U206" t="inlineStr">
      <is>
        <t>Yes</t>
      </is>
    </nc>
  </rcc>
  <rcc rId="5081" sId="1">
    <oc r="AA204" t="inlineStr">
      <is>
        <t>Ready for review</t>
      </is>
    </oc>
    <nc r="AA204" t="inlineStr">
      <is>
        <t>Ready for PLC</t>
      </is>
    </nc>
  </rcc>
  <rcc rId="5082" sId="1">
    <oc r="AA205" t="inlineStr">
      <is>
        <t>Ready for review</t>
      </is>
    </oc>
    <nc r="AA205" t="inlineStr">
      <is>
        <t>Ready for PLC</t>
      </is>
    </nc>
  </rcc>
  <rcc rId="5083" sId="1">
    <oc r="AA206" t="inlineStr">
      <is>
        <t>Ready for review</t>
      </is>
    </oc>
    <nc r="AA206" t="inlineStr">
      <is>
        <t>Ready for PLC</t>
      </is>
    </nc>
  </rcc>
  <rcc rId="5084" sId="1" numFmtId="19">
    <nc r="AB204">
      <v>44084</v>
    </nc>
  </rcc>
  <rcc rId="5085" sId="1" numFmtId="19">
    <nc r="AB205">
      <v>44084</v>
    </nc>
  </rcc>
  <rcc rId="5086" sId="1" numFmtId="19">
    <nc r="AB206">
      <v>44084</v>
    </nc>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4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89" sId="1" numFmtId="19">
    <nc r="AB207">
      <v>44083</v>
    </nc>
  </rcc>
  <rcc rId="5090" sId="1" numFmtId="19">
    <nc r="AB208">
      <v>44083</v>
    </nc>
  </rcc>
  <rcc rId="5091" sId="1" numFmtId="19">
    <nc r="AB209">
      <v>44083</v>
    </nc>
  </rcc>
  <rcc rId="5092" sId="1" numFmtId="19">
    <nc r="AB210">
      <v>44083</v>
    </nc>
  </rcc>
  <rcc rId="5093" sId="1" numFmtId="19">
    <nc r="AB213">
      <v>44083</v>
    </nc>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4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4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4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4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02" sId="2" numFmtId="14">
    <nc r="AH495">
      <v>1</v>
    </nc>
  </rcc>
  <rcc rId="5103" sId="2" numFmtId="14">
    <nc r="AI495">
      <v>1</v>
    </nc>
  </rcc>
  <rcc rId="5104" sId="2" numFmtId="14">
    <nc r="AJ495">
      <v>0.3</v>
    </nc>
  </rcc>
  <rcc rId="5105" sId="2" odxf="1" dxf="1" numFmtId="19">
    <nc r="AE495">
      <v>44084</v>
    </nc>
    <odxf/>
    <ndxf/>
  </rcc>
  <rcc rId="5106" sId="2" odxf="1" dxf="1" numFmtId="19">
    <nc r="AF495">
      <v>44084</v>
    </nc>
    <odxf/>
    <ndxf/>
  </rcc>
  <rfmt sheetId="2" sqref="AG495" start="0" length="0">
    <dxf/>
  </rfmt>
  <rcc rId="5107" sId="2">
    <nc r="AG495" t="inlineStr">
      <is>
        <t>OK</t>
      </is>
    </nc>
  </rcc>
  <rcv guid="{7ECC2B8E-6A82-42F5-8AB0-4A51C54EA5EC}" action="delete"/>
  <rdn rId="0" localSheetId="1" customView="1" name="Z_7ECC2B8E_6A82_42F5_8AB0_4A51C54EA5EC_.wvu.FilterData" hidden="1" oldHidden="1">
    <formula>Merged_COEM!$A$59:$AN$302</formula>
    <oldFormula>Merged_COEM!$A$59:$AN$302</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4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10" sId="1">
    <nc r="X271">
      <f>W271</f>
    </nc>
  </rcc>
  <rcc rId="5111" sId="1">
    <nc r="Z271">
      <v>2</v>
    </nc>
  </rcc>
  <rcc rId="5112" sId="1">
    <nc r="AA271" t="inlineStr">
      <is>
        <t>Ready for review</t>
      </is>
    </nc>
  </rcc>
  <rcc rId="5113" sId="1" numFmtId="19">
    <nc r="AE271">
      <v>44084</v>
    </nc>
  </rcc>
  <rcc rId="5114" sId="1" numFmtId="19">
    <nc r="AF271">
      <v>44084</v>
    </nc>
  </rcc>
  <rcc rId="5115" sId="1">
    <nc r="AG271" t="inlineStr">
      <is>
        <t>OK</t>
      </is>
    </nc>
  </rcc>
  <rcc rId="5116" sId="1" numFmtId="14">
    <nc r="AH271">
      <v>1</v>
    </nc>
  </rcc>
  <rcc rId="5117" sId="1" numFmtId="14">
    <nc r="AI271">
      <v>1</v>
    </nc>
  </rcc>
  <rcc rId="5118" sId="1" numFmtId="14">
    <nc r="AJ271">
      <v>1</v>
    </nc>
  </rcc>
  <rcc rId="5119" sId="1">
    <nc r="AK271" t="inlineStr">
      <is>
        <t>None</t>
      </is>
    </nc>
  </rcc>
  <rcv guid="{C94451EF-7A3E-4D72-B5A4-3D1B193192CC}" action="delete"/>
  <rdn rId="0" localSheetId="1" customView="1" name="Z_C94451EF_7A3E_4D72_B5A4_3D1B193192CC_.wvu.FilterData" hidden="1" oldHidden="1">
    <formula>Merged_COEM!$B$59:$AN$302</formula>
    <oldFormula>Merged_COEM!$B$59:$AN$302</oldFormula>
  </rdn>
  <rdn rId="0" localSheetId="2" customView="1" name="Z_C94451EF_7A3E_4D72_B5A4_3D1B193192CC_.wvu.FilterData" hidden="1" oldHidden="1">
    <formula>Merged_JOEM!$B$59:$AN$559</formula>
    <oldFormula>Merged_JOEM!$B$59:$AN$559</oldFormula>
  </rdn>
  <rcv guid="{C94451EF-7A3E-4D72-B5A4-3D1B193192CC}" action="add"/>
</revisions>
</file>

<file path=xl/revisions/revisionLog4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22" sId="1">
    <oc r="W272">
      <f>V272</f>
    </oc>
    <nc r="W272">
      <v>0</v>
    </nc>
  </rcc>
  <rfmt sheetId="1" sqref="W272">
    <dxf>
      <fill>
        <patternFill patternType="solid">
          <bgColor rgb="FFFF0000"/>
        </patternFill>
      </fill>
    </dxf>
  </rfmt>
  <rcc rId="5123" sId="1">
    <nc r="X272">
      <v>0</v>
    </nc>
  </rcc>
  <rcc rId="5124" sId="1">
    <nc r="Z272">
      <v>0</v>
    </nc>
  </rcc>
  <rcc rId="5125" sId="1">
    <nc r="AA272" t="inlineStr">
      <is>
        <t>Ready for review</t>
      </is>
    </nc>
  </rcc>
  <rcc rId="5126" sId="1" numFmtId="19">
    <nc r="AE272">
      <v>44084</v>
    </nc>
  </rcc>
  <rcc rId="5127" sId="1" numFmtId="19">
    <nc r="AF272">
      <v>44084</v>
    </nc>
  </rcc>
  <rcc rId="5128" sId="1">
    <nc r="AG272" t="inlineStr">
      <is>
        <t>OK</t>
      </is>
    </nc>
  </rcc>
  <rcc rId="5129" sId="1" numFmtId="14">
    <nc r="AH272">
      <v>1</v>
    </nc>
  </rcc>
  <rcc rId="5130" sId="1" numFmtId="14">
    <nc r="AI272">
      <v>1</v>
    </nc>
  </rcc>
  <rcc rId="5131" sId="1" numFmtId="14">
    <nc r="AJ272">
      <v>1</v>
    </nc>
  </rcc>
  <rcc rId="5132" sId="1">
    <nc r="AK272" t="inlineStr">
      <is>
        <t>None</t>
      </is>
    </nc>
  </rcc>
  <rcc rId="5133" sId="1" quotePrefix="1">
    <oc r="AN272" t="inlineStr">
      <is>
        <t>-</t>
      </is>
    </oc>
    <nc r="AN272" t="inlineStr">
      <is>
        <t>-No function for testing</t>
      </is>
    </nc>
  </rcc>
  <rcv guid="{C94451EF-7A3E-4D72-B5A4-3D1B193192CC}" action="delete"/>
  <rdn rId="0" localSheetId="1" customView="1" name="Z_C94451EF_7A3E_4D72_B5A4_3D1B193192CC_.wvu.FilterData" hidden="1" oldHidden="1">
    <formula>Merged_COEM!$B$59:$AN$302</formula>
    <oldFormula>Merged_COEM!$B$59:$AN$302</oldFormula>
  </rdn>
  <rdn rId="0" localSheetId="2" customView="1" name="Z_C94451EF_7A3E_4D72_B5A4_3D1B193192CC_.wvu.FilterData" hidden="1" oldHidden="1">
    <formula>Merged_JOEM!$B$59:$AN$559</formula>
    <oldFormula>Merged_JOEM!$B$59:$AN$559</oldFormula>
  </rdn>
  <rcv guid="{C94451EF-7A3E-4D72-B5A4-3D1B193192CC}" action="add"/>
</revisions>
</file>

<file path=xl/revisions/revisionLog4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36" sId="1">
    <oc r="W208">
      <f>V208</f>
    </oc>
    <nc r="W208">
      <f>V205</f>
    </nc>
  </rcc>
  <rcv guid="{C94451EF-7A3E-4D72-B5A4-3D1B193192CC}" action="delete"/>
  <rdn rId="0" localSheetId="1" customView="1" name="Z_C94451EF_7A3E_4D72_B5A4_3D1B193192CC_.wvu.FilterData" hidden="1" oldHidden="1">
    <formula>Merged_COEM!$B$59:$AN$302</formula>
    <oldFormula>Merged_COEM!$B$59:$AN$302</oldFormula>
  </rdn>
  <rdn rId="0" localSheetId="2" customView="1" name="Z_C94451EF_7A3E_4D72_B5A4_3D1B193192CC_.wvu.FilterData" hidden="1" oldHidden="1">
    <formula>Merged_JOEM!$B$59:$AN$559</formula>
    <oldFormula>Merged_JOEM!$B$59:$AN$559</oldFormula>
  </rdn>
  <rcv guid="{C94451EF-7A3E-4D72-B5A4-3D1B193192CC}" action="add"/>
</revisions>
</file>

<file path=xl/revisions/revisionLog4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39" sId="1">
    <nc r="X275">
      <f>W275</f>
    </nc>
  </rcc>
  <rcc rId="5140" sId="1">
    <nc r="X282">
      <f>W282</f>
    </nc>
  </rcc>
  <rcc rId="5141" sId="1">
    <nc r="Z275">
      <v>3</v>
    </nc>
  </rcc>
  <rcc rId="5142" sId="1">
    <nc r="Z282">
      <v>3</v>
    </nc>
  </rcc>
  <rcc rId="5143" sId="1">
    <nc r="AA275" t="inlineStr">
      <is>
        <t>Ready for review</t>
      </is>
    </nc>
  </rcc>
  <rcc rId="5144" sId="1">
    <nc r="AA282" t="inlineStr">
      <is>
        <t>Ready for review</t>
      </is>
    </nc>
  </rcc>
  <rcc rId="5145" sId="1" numFmtId="19">
    <nc r="AE275">
      <v>44084</v>
    </nc>
  </rcc>
  <rcc rId="5146" sId="1" numFmtId="19">
    <nc r="AE282">
      <v>44084</v>
    </nc>
  </rcc>
  <rcc rId="5147" sId="1">
    <nc r="AG275" t="inlineStr">
      <is>
        <t>OK</t>
      </is>
    </nc>
  </rcc>
  <rcc rId="5148" sId="1" numFmtId="14">
    <nc r="AH275">
      <v>1</v>
    </nc>
  </rcc>
  <rcc rId="5149" sId="1" numFmtId="14">
    <nc r="AI275">
      <v>1</v>
    </nc>
  </rcc>
  <rcc rId="5150" sId="1" numFmtId="14">
    <nc r="AJ275">
      <v>1</v>
    </nc>
  </rcc>
  <rcc rId="5151" sId="1">
    <nc r="AK275" t="inlineStr">
      <is>
        <t>None</t>
      </is>
    </nc>
  </rcc>
  <rcc rId="5152" sId="1">
    <nc r="AG282" t="inlineStr">
      <is>
        <t>OK</t>
      </is>
    </nc>
  </rcc>
  <rcc rId="5153" sId="1" numFmtId="14">
    <nc r="AH282">
      <v>1</v>
    </nc>
  </rcc>
  <rcc rId="5154" sId="1" numFmtId="14">
    <nc r="AI282">
      <v>1</v>
    </nc>
  </rcc>
  <rcc rId="5155" sId="1" numFmtId="14">
    <nc r="AJ282">
      <v>1</v>
    </nc>
  </rcc>
  <rcc rId="5156" sId="1">
    <nc r="AK282" t="inlineStr">
      <is>
        <t>None</t>
      </is>
    </nc>
  </rcc>
  <rcv guid="{C94451EF-7A3E-4D72-B5A4-3D1B193192CC}" action="delete"/>
  <rdn rId="0" localSheetId="1" customView="1" name="Z_C94451EF_7A3E_4D72_B5A4_3D1B193192CC_.wvu.FilterData" hidden="1" oldHidden="1">
    <formula>Merged_COEM!$B$59:$AN$302</formula>
    <oldFormula>Merged_COEM!$B$59:$AN$302</oldFormula>
  </rdn>
  <rdn rId="0" localSheetId="2" customView="1" name="Z_C94451EF_7A3E_4D72_B5A4_3D1B193192CC_.wvu.FilterData" hidden="1" oldHidden="1">
    <formula>Merged_JOEM!$B$59:$AN$559</formula>
    <oldFormula>Merged_JOEM!$B$59:$AN$559</oldFormula>
  </rdn>
  <rcv guid="{C94451EF-7A3E-4D72-B5A4-3D1B193192CC}" action="add"/>
</revisions>
</file>

<file path=xl/revisions/revisionLog4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4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4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4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228">
    <dxf>
      <fill>
        <patternFill patternType="none">
          <bgColor auto="1"/>
        </patternFill>
      </fill>
    </dxf>
  </rfmt>
  <rfmt sheetId="1" sqref="AD209">
    <dxf>
      <fill>
        <patternFill patternType="none">
          <bgColor auto="1"/>
        </patternFill>
      </fill>
    </dxf>
  </rfmt>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4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215:AD216 AD227:AD232">
    <dxf>
      <fill>
        <patternFill patternType="none">
          <bgColor auto="1"/>
        </patternFill>
      </fill>
    </dxf>
  </rfmt>
  <rfmt sheetId="1" sqref="AD204:AD210 AD213">
    <dxf>
      <fill>
        <patternFill patternType="none">
          <bgColor auto="1"/>
        </patternFill>
      </fill>
    </dxf>
  </rfmt>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4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Merged_JOEM!$B$59:$AN$559</formula>
    <oldFormula>Merged_JOEM!$B$59:$AN$559</oldFormula>
  </rdn>
  <rcv guid="{7E0EA425-A420-4443-B9E0-CDF0AA9E5D09}" action="add"/>
</revisions>
</file>

<file path=xl/revisions/revisionLog4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71" sId="2" numFmtId="19">
    <nc r="AE496">
      <v>44084</v>
    </nc>
  </rcc>
  <rcc rId="5172" sId="2" numFmtId="19">
    <nc r="AF496">
      <v>44084</v>
    </nc>
  </rcc>
  <rcc rId="5173" sId="2">
    <nc r="AG496" t="inlineStr">
      <is>
        <t>OK</t>
      </is>
    </nc>
  </rcc>
  <rcc rId="5174" sId="2" odxf="1" dxf="1" numFmtId="14">
    <nc r="AH496">
      <v>1</v>
    </nc>
    <odxf/>
    <ndxf/>
  </rcc>
  <rcc rId="5175" sId="2" odxf="1" dxf="1" numFmtId="14">
    <nc r="AI496">
      <v>1</v>
    </nc>
    <odxf/>
    <ndxf/>
  </rcc>
  <rfmt sheetId="2" sqref="AJ496" start="0" length="0">
    <dxf/>
  </rfmt>
  <rcc rId="5176" sId="2" numFmtId="14">
    <nc r="AJ496">
      <v>0.21</v>
    </nc>
  </rcc>
  <rcc rId="5177" sId="2">
    <nc r="AG497" t="inlineStr">
      <is>
        <t>OK</t>
      </is>
    </nc>
  </rcc>
  <rcc rId="5178" sId="2" odxf="1" dxf="1" numFmtId="14">
    <nc r="AH497">
      <v>1</v>
    </nc>
    <odxf/>
    <ndxf/>
  </rcc>
  <rcc rId="5179" sId="2" odxf="1" dxf="1" numFmtId="14">
    <nc r="AI497">
      <v>1</v>
    </nc>
    <odxf/>
    <ndxf/>
  </rcc>
  <rfmt sheetId="2" sqref="AJ497" start="0" length="0">
    <dxf/>
  </rfmt>
  <rcc rId="5180" sId="2" numFmtId="14">
    <nc r="AJ497">
      <v>0.5</v>
    </nc>
  </rcc>
  <rcc rId="5181" sId="2" numFmtId="19">
    <nc r="AE497">
      <v>44084</v>
    </nc>
  </rcc>
  <rcc rId="5182" sId="2" numFmtId="19">
    <nc r="AF497">
      <v>44084</v>
    </nc>
  </rcc>
  <rcc rId="5183" sId="2">
    <nc r="X489">
      <f>W489</f>
    </nc>
  </rcc>
  <rcc rId="5184" sId="2">
    <nc r="X490">
      <f>W490</f>
    </nc>
  </rcc>
  <rcc rId="5185" sId="2">
    <nc r="X491">
      <f>W491</f>
    </nc>
  </rcc>
  <rcc rId="5186" sId="2">
    <nc r="X492">
      <f>W492</f>
    </nc>
  </rcc>
  <rcc rId="5187" sId="2">
    <nc r="X493">
      <f>W493</f>
    </nc>
  </rcc>
  <rcc rId="5188" sId="2">
    <nc r="X494">
      <f>W494</f>
    </nc>
  </rcc>
  <rcc rId="5189" sId="2">
    <nc r="X495">
      <f>W495</f>
    </nc>
  </rcc>
  <rcc rId="5190" sId="2">
    <nc r="X496">
      <f>W496</f>
    </nc>
  </rcc>
  <rcc rId="5191" sId="2">
    <nc r="X497">
      <f>W497</f>
    </nc>
  </rcc>
  <rcc rId="5192" sId="2">
    <nc r="AA489" t="inlineStr">
      <is>
        <t>Ready for review</t>
      </is>
    </nc>
  </rcc>
  <rcc rId="5193" sId="2">
    <nc r="AA490" t="inlineStr">
      <is>
        <t>Ready for review</t>
      </is>
    </nc>
  </rcc>
  <rcc rId="5194" sId="2">
    <nc r="AA491" t="inlineStr">
      <is>
        <t>Ready for review</t>
      </is>
    </nc>
  </rcc>
  <rcc rId="5195" sId="2">
    <nc r="AA492" t="inlineStr">
      <is>
        <t>Ready for review</t>
      </is>
    </nc>
  </rcc>
  <rcc rId="5196" sId="2">
    <nc r="AA493" t="inlineStr">
      <is>
        <t>Ready for review</t>
      </is>
    </nc>
  </rcc>
  <rcc rId="5197" sId="2">
    <nc r="AA494" t="inlineStr">
      <is>
        <t>Ready for review</t>
      </is>
    </nc>
  </rcc>
  <rcc rId="5198" sId="2">
    <nc r="AA495" t="inlineStr">
      <is>
        <t>Ready for review</t>
      </is>
    </nc>
  </rcc>
  <rcc rId="5199" sId="2">
    <nc r="AA496" t="inlineStr">
      <is>
        <t>Ready for review</t>
      </is>
    </nc>
  </rcc>
  <rcc rId="5200" sId="2">
    <nc r="AA497" t="inlineStr">
      <is>
        <t>Ready for review</t>
      </is>
    </nc>
  </rcc>
  <rcv guid="{7ECC2B8E-6A82-42F5-8AB0-4A51C54EA5EC}" action="delete"/>
  <rdn rId="0" localSheetId="1" customView="1" name="Z_7ECC2B8E_6A82_42F5_8AB0_4A51C54EA5EC_.wvu.FilterData" hidden="1" oldHidden="1">
    <formula>Merged_COEM!$A$59:$AN$302</formula>
    <oldFormula>Merged_COEM!$A$59:$AN$302</oldFormula>
  </rdn>
  <rdn rId="0" localSheetId="2" customView="1" name="Z_7ECC2B8E_6A82_42F5_8AB0_4A51C54EA5EC_.wvu.FilterData" hidden="1" oldHidden="1">
    <formula>Merged_JOEM!$B$59:$AN$559</formula>
    <oldFormula>Merged_JOEM!$B$59:$AN$559</oldFormula>
  </rdn>
  <rcv guid="{7ECC2B8E-6A82-42F5-8AB0-4A51C54EA5EC}" action="add"/>
</revisions>
</file>

<file path=xl/revisions/revisionLog4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03" sId="2" quotePrefix="1">
    <nc r="AL466" t="inlineStr">
      <is>
        <t>Line#54, Can't cover for over max for tBlaOn at line#54 because depend condition at line#52 then tBlaOn need to less than C_tBlaOnMin meanwhile C_tBlaOnMin is set to P_tBlaOnMin (range from 0 to 5) so maximum for C_tBlaOnMin is 5. For true condition at line#52, tBlaOn less than 5 =&gt;  tBlaOn + C_LDMdT (is constant with value is 0.02) can't over max</t>
      </is>
    </nc>
  </rcc>
  <rcc rId="5204" sId="2">
    <nc r="Z466">
      <f>Y466</f>
    </nc>
  </rcc>
  <rcc rId="5205" sId="2">
    <nc r="AA466" t="inlineStr">
      <is>
        <t>Ready for review</t>
      </is>
    </nc>
  </rcc>
  <rcc rId="5206" sId="2" numFmtId="19">
    <nc r="AE466">
      <v>44084</v>
    </nc>
  </rcc>
  <rcc rId="5207" sId="2" numFmtId="19">
    <nc r="AF466">
      <v>44084</v>
    </nc>
  </rcc>
  <rcc rId="5208" sId="2">
    <nc r="AG466" t="inlineStr">
      <is>
        <t>OK</t>
      </is>
    </nc>
  </rcc>
  <rcc rId="5209" sId="2" numFmtId="14">
    <nc r="AH466">
      <v>0.90900000000000003</v>
    </nc>
  </rcc>
  <rcc rId="5210" sId="2" numFmtId="14">
    <nc r="AI466">
      <v>0.93300000000000005</v>
    </nc>
  </rcc>
  <rcc rId="5211" sId="2" numFmtId="14">
    <nc r="AJ466">
      <v>0.26400000000000001</v>
    </nc>
  </rcc>
  <rcc rId="5212" sId="2" quotePrefix="1">
    <nc r="AK466" t="inlineStr">
      <is>
        <t>None</t>
      </is>
    </nc>
  </rcc>
  <rcv guid="{60D2C030-4E31-4E07-8E1C-44D2EE84B177}" action="delete"/>
  <rdn rId="0" localSheetId="1" customView="1" name="Z_60D2C030_4E31_4E07_8E1C_44D2EE84B177_.wvu.FilterData" hidden="1" oldHidden="1">
    <formula>Merged_COEM!$A$59:$AN$302</formula>
    <oldFormula>Merged_COEM!$A$59:$AN$302</oldFormula>
  </rdn>
  <rdn rId="0" localSheetId="2" customView="1" name="Z_60D2C030_4E31_4E07_8E1C_44D2EE84B177_.wvu.FilterData" hidden="1" oldHidden="1">
    <formula>Merged_JOEM!$B$59:$AN$559</formula>
    <oldFormula>Merged_JOEM!$B$59:$AN$559</oldFormula>
  </rdn>
  <rcv guid="{60D2C030-4E31-4E07-8E1C-44D2EE84B177}" action="add"/>
</revisions>
</file>

<file path=xl/revisions/revisionLog4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15" sId="1">
    <nc r="X237">
      <f>W237</f>
    </nc>
  </rcc>
  <rcc rId="5216" sId="1">
    <nc r="Z237">
      <v>8</v>
    </nc>
  </rcc>
  <rcc rId="5217" sId="1">
    <nc r="AA237" t="inlineStr">
      <is>
        <t>Ready for review</t>
      </is>
    </nc>
  </rcc>
  <rcc rId="5218" sId="1" numFmtId="19">
    <oc r="AE237">
      <v>44082</v>
    </oc>
    <nc r="AE237">
      <v>44084</v>
    </nc>
  </rcc>
  <rcc rId="5219" sId="1" numFmtId="19">
    <oc r="AF237">
      <v>44082</v>
    </oc>
    <nc r="AF237">
      <v>44084</v>
    </nc>
  </rcc>
  <rcc rId="5220" sId="1" numFmtId="14">
    <oc r="AJ237">
      <v>0.94</v>
    </oc>
    <nc r="AJ237">
      <v>0.87</v>
    </nc>
  </rcc>
  <rcc rId="5221" sId="1" odxf="1" dxf="1" quotePrefix="1">
    <oc r="AL237" t="inlineStr">
      <is>
        <t>- Can’t cover case T&amp;&amp;F of decision if((GCCC_LocVars.Action_UW == (UW)0)&amp;&amp;(!GCCC_BLK_SET)) at line #3341
- Can’t cover case T&amp;&amp;F of decision else if((GCCC_LocVars.BlockID_UB != (UWORD)0)&amp;&amp;(!GCCC_BLK_SET)) at line #3352</t>
      </is>
    </oc>
    <nc r="AL237" t="inlineStr">
      <is>
        <t>- Can’t cover case F&amp;&amp;?&amp;&amp;? of decision if((!GCCC_INVALID_CHECK)&amp;&amp;(GCCC_BLK_SET) &amp;&amp; (!GCCC_WRITE_ONCE_B)) at line #2780
- Can’t cover case T&amp;&amp;F of decision else if((GCCC_LocVars.BlockID_UB != (UWORD)0)&amp;&amp;(!GCCC_BLK_SET)) at line #3084
- Bug cantata at decision if((GCCC_LocVars.Action_UW == (UW)0)&amp;&amp;(!GCCC_BLK_SET)) at line #3073</t>
      </is>
    </nc>
    <odxf>
      <alignment wrapText="0" readingOrder="0"/>
    </odxf>
    <ndxf>
      <alignment wrapText="1" readingOrder="0"/>
    </ndxf>
  </rcc>
  <rcv guid="{89C03E1E-B6A8-49A1-B29C-5DC4FAB2FBC6}" action="delete"/>
  <rdn rId="0" localSheetId="1" customView="1" name="Z_89C03E1E_B6A8_49A1_B29C_5DC4FAB2FBC6_.wvu.FilterData" hidden="1" oldHidden="1">
    <formula>Merged_COEM!$B$59:$AN$302</formula>
    <oldFormula>Merged_COEM!$B$59:$AN$302</oldFormula>
  </rdn>
  <rdn rId="0" localSheetId="2" customView="1" name="Z_89C03E1E_B6A8_49A1_B29C_5DC4FAB2FBC6_.wvu.FilterData" hidden="1" oldHidden="1">
    <formula>Merged_JOEM!$B$59:$AN$559</formula>
    <oldFormula>Merged_JOEM!$B$59:$AN$559</oldFormula>
  </rdn>
  <rcv guid="{89C03E1E-B6A8-49A1-B29C-5DC4FAB2FBC6}" action="add"/>
</revisions>
</file>

<file path=xl/revisions/revisionLog4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24" sId="1" quotePrefix="1">
    <oc r="AL237" t="inlineStr">
      <is>
        <t>- Can’t cover case F&amp;&amp;?&amp;&amp;? of decision if((!GCCC_INVALID_CHECK)&amp;&amp;(GCCC_BLK_SET) &amp;&amp; (!GCCC_WRITE_ONCE_B)) at line #2780
- Can’t cover case T&amp;&amp;F of decision else if((GCCC_LocVars.BlockID_UB != (UWORD)0)&amp;&amp;(!GCCC_BLK_SET)) at line #3084
- Bug cantata at decision if((GCCC_LocVars.Action_UW == (UW)0)&amp;&amp;(!GCCC_BLK_SET)) at line #3073</t>
      </is>
    </oc>
    <nc r="AL237" t="inlineStr">
      <is>
        <t>- Can’t cover case F&amp;&amp;?&amp;&amp;? of decision if((!GCCC_INVALID_CHECK)&amp;&amp;(GCCC_BLK_SET) &amp;&amp; (!GCCC_WRITE_ONCE_B)) at line #2780
- Can’t cover case T&amp;&amp;F of decision else if((GCCC_LocVars.BlockID_UB != (UWORD)0)&amp;&amp;(!GCCC_BLK_SET)) at line #3084
- Bug cantata at 2 decision upper</t>
      </is>
    </nc>
  </rcc>
  <rcc rId="5225" sId="1" numFmtId="19">
    <oc r="AF237">
      <v>44084</v>
    </oc>
    <nc r="AF237">
      <v>44085</v>
    </nc>
  </rcc>
</revisions>
</file>

<file path=xl/revisions/revisionLog4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26" sId="2">
    <oc r="R509" t="inlineStr">
      <is>
        <t>T200</t>
      </is>
    </oc>
    <nc r="R509" t="inlineStr">
      <is>
        <t>T2xx</t>
      </is>
    </nc>
  </rcc>
  <rcc rId="5227" sId="2">
    <oc r="L498" t="inlineStr">
      <is>
        <t>BB98335,BB97973</t>
      </is>
    </oc>
    <nc r="L498"/>
  </rcc>
  <rcc rId="5228" sId="2">
    <oc r="L499" t="inlineStr">
      <is>
        <t>BB98335,BB97973</t>
      </is>
    </oc>
    <nc r="L499"/>
  </rcc>
  <rcc rId="5229" sId="2">
    <oc r="L500" t="inlineStr">
      <is>
        <t>BB98335,BB97973</t>
      </is>
    </oc>
    <nc r="L500"/>
  </rcc>
  <rcc rId="5230" sId="2">
    <oc r="L501" t="inlineStr">
      <is>
        <t>BB98335,BB97973</t>
      </is>
    </oc>
    <nc r="L501"/>
  </rcc>
  <rcc rId="5231" sId="2">
    <oc r="L502" t="inlineStr">
      <is>
        <t>BB98335,BB97973</t>
      </is>
    </oc>
    <nc r="L502"/>
  </rcc>
  <rcc rId="5232" sId="2">
    <oc r="L503" t="inlineStr">
      <is>
        <t>BB98335,BB97973</t>
      </is>
    </oc>
    <nc r="L503"/>
  </rcc>
  <rcc rId="5233" sId="2">
    <oc r="L510" t="inlineStr">
      <is>
        <t>BB98335,BB97973</t>
      </is>
    </oc>
    <nc r="L510"/>
  </rcc>
  <rcc rId="5234" sId="2">
    <oc r="L511" t="inlineStr">
      <is>
        <t>BB98335,BB97973</t>
      </is>
    </oc>
    <nc r="L511"/>
  </rcc>
  <rcc rId="5235" sId="2">
    <oc r="L512" t="inlineStr">
      <is>
        <t>BB98335,BB97973</t>
      </is>
    </oc>
    <nc r="L512"/>
  </rcc>
  <rcc rId="5236" sId="2">
    <oc r="L513" t="inlineStr">
      <is>
        <t>BB98335,BB97973</t>
      </is>
    </oc>
    <nc r="L513"/>
  </rcc>
  <rcc rId="5237" sId="2">
    <oc r="L514" t="inlineStr">
      <is>
        <t>BB98335,BB97973</t>
      </is>
    </oc>
    <nc r="L514"/>
  </rcc>
  <rfmt sheetId="2" sqref="H521:I522">
    <dxf>
      <fill>
        <patternFill patternType="none">
          <bgColor auto="1"/>
        </patternFill>
      </fill>
    </dxf>
  </rfmt>
  <rcc rId="5238" sId="2">
    <oc r="B523">
      <f>B522+1</f>
    </oc>
    <nc r="B523">
      <f>B522+1</f>
    </nc>
  </rcc>
  <rcc rId="5239" sId="2">
    <nc r="C523">
      <v>20200909</v>
    </nc>
  </rcc>
  <rcc rId="5240" sId="2">
    <nc r="D523" t="inlineStr">
      <is>
        <t>PSW</t>
      </is>
    </nc>
  </rcc>
  <rcc rId="5241" sId="2">
    <nc r="E523" t="inlineStr">
      <is>
        <t>TOY_PF19_CMP_BL17_Integration_7</t>
      </is>
    </nc>
  </rcc>
  <rcc rId="5242" sId="2">
    <nc r="H523" t="inlineStr">
      <is>
        <t>MT_002</t>
      </is>
    </nc>
  </rcc>
  <rcc rId="5243" sId="2">
    <nc r="I523" t="inlineStr">
      <is>
        <t>RBSEC_Sec</t>
      </is>
    </nc>
  </rcc>
  <rcc rId="5244" sId="2">
    <nc r="J523" t="inlineStr">
      <is>
        <t>Delta/New</t>
      </is>
    </nc>
  </rcc>
  <rcc rId="5245" sId="2" quotePrefix="1">
    <nc r="O523" t="inlineStr">
      <is>
        <t>_tfitwXbTEee5I9RvZWO0-w</t>
      </is>
    </nc>
  </rcc>
  <rcc rId="5246" sId="2" quotePrefix="1">
    <nc r="P523" t="inlineStr">
      <is>
        <t>Krapp Waldemar (CC-AS/ESB1)</t>
      </is>
    </nc>
  </rcc>
  <rcc rId="5247" sId="2">
    <nc r="R523" t="inlineStr">
      <is>
        <t>T2xx</t>
      </is>
    </nc>
  </rcc>
  <rcc rId="5248" sId="2">
    <oc r="B524">
      <f>B523+1</f>
    </oc>
    <nc r="B524">
      <f>B523+1</f>
    </nc>
  </rcc>
  <rcc rId="5249" sId="2">
    <nc r="C524">
      <v>20200909</v>
    </nc>
  </rcc>
  <rcc rId="5250" sId="2">
    <nc r="D524" t="inlineStr">
      <is>
        <t>PSW</t>
      </is>
    </nc>
  </rcc>
  <rcc rId="5251" sId="2">
    <nc r="E524" t="inlineStr">
      <is>
        <t>TOY_PF19_CMP_BL17_Integration_7</t>
      </is>
    </nc>
  </rcc>
  <rcc rId="5252" sId="2">
    <nc r="H524" t="inlineStr">
      <is>
        <t>MT_006</t>
      </is>
    </nc>
  </rcc>
  <rcc rId="5253" sId="2">
    <nc r="I524" t="inlineStr">
      <is>
        <t>RBAPLPLANT_RoutineControl</t>
      </is>
    </nc>
  </rcc>
  <rcc rId="5254" sId="2">
    <nc r="J524" t="inlineStr">
      <is>
        <t>Delta</t>
      </is>
    </nc>
  </rcc>
  <rcc rId="5255" sId="2" quotePrefix="1">
    <nc r="O524" t="inlineStr">
      <is>
        <t>_jb6WMd7bEeWIg7A4mt86gQ</t>
      </is>
    </nc>
  </rcc>
  <rcc rId="5256" sId="2" quotePrefix="1">
    <nc r="P524" t="inlineStr">
      <is>
        <t>Guist Hartmut (CC-AS/ECC6)</t>
      </is>
    </nc>
  </rcc>
  <rcc rId="5257" sId="2">
    <nc r="R524" t="inlineStr">
      <is>
        <t>T2xx</t>
      </is>
    </nc>
  </rcc>
  <rcc rId="5258" sId="2">
    <oc r="B525">
      <f>B524+1</f>
    </oc>
    <nc r="B525">
      <f>B524+1</f>
    </nc>
  </rcc>
  <rcc rId="5259" sId="2">
    <nc r="C525">
      <v>20200909</v>
    </nc>
  </rcc>
  <rcc rId="5260" sId="2">
    <nc r="D525" t="inlineStr">
      <is>
        <t>PSW</t>
      </is>
    </nc>
  </rcc>
  <rcc rId="5261" sId="2">
    <nc r="E525" t="inlineStr">
      <is>
        <t>TOY_PF19_CMP_BL17_Integration_7</t>
      </is>
    </nc>
  </rcc>
  <rcc rId="5262" sId="2">
    <nc r="H525" t="inlineStr">
      <is>
        <t>MT_007</t>
      </is>
    </nc>
  </rcc>
  <rcc rId="5263" sId="2">
    <nc r="I525" t="inlineStr">
      <is>
        <t>RBRFP_LowendAct</t>
      </is>
    </nc>
  </rcc>
  <rcc rId="5264" sId="2">
    <nc r="J525" t="inlineStr">
      <is>
        <t>Delta/New</t>
      </is>
    </nc>
  </rcc>
  <rcc rId="5265" sId="2" quotePrefix="1">
    <nc r="O525" t="inlineStr">
      <is>
        <t>_NlaL0MTjEeWmw6F8Aw3cCg</t>
      </is>
    </nc>
  </rcc>
  <rcc rId="5266" sId="2" quotePrefix="1">
    <nc r="P525" t="inlineStr">
      <is>
        <t>Bopp Rainer (CC-AS/ECC6)</t>
      </is>
    </nc>
  </rcc>
  <rcc rId="5267" sId="2">
    <nc r="R525" t="inlineStr">
      <is>
        <t>T2xx</t>
      </is>
    </nc>
  </rcc>
  <rcc rId="5268" sId="2">
    <oc r="B526">
      <f>B525+1</f>
    </oc>
    <nc r="B526">
      <f>B525+1</f>
    </nc>
  </rcc>
  <rcc rId="5269" sId="2">
    <nc r="C526">
      <v>20200909</v>
    </nc>
  </rcc>
  <rcc rId="5270" sId="2">
    <nc r="D526" t="inlineStr">
      <is>
        <t>PSW</t>
      </is>
    </nc>
  </rcc>
  <rcc rId="5271" sId="2">
    <nc r="E526" t="inlineStr">
      <is>
        <t>TOY_PF19_CMP_BL17_Integration_7</t>
      </is>
    </nc>
  </rcc>
  <rcc rId="5272" sId="2">
    <nc r="H526" t="inlineStr">
      <is>
        <t>MT_008</t>
      </is>
    </nc>
  </rcc>
  <rcc rId="5273" sId="2">
    <nc r="I526" t="inlineStr">
      <is>
        <t>RBRFP_ShortActTest</t>
      </is>
    </nc>
  </rcc>
  <rcc rId="5274" sId="2">
    <nc r="J526" t="inlineStr">
      <is>
        <t>Delta/New</t>
      </is>
    </nc>
  </rcc>
  <rcc rId="5275" sId="2" quotePrefix="1">
    <nc r="O526" t="inlineStr">
      <is>
        <t>_RR_yUMTjEeWmw6F8Aw3cCg</t>
      </is>
    </nc>
  </rcc>
  <rcc rId="5276" sId="2" quotePrefix="1">
    <nc r="P526" t="inlineStr">
      <is>
        <t>Bopp Rainer (CC-AS/ECC6)</t>
      </is>
    </nc>
  </rcc>
  <rcc rId="5277" sId="2">
    <nc r="R526" t="inlineStr">
      <is>
        <t>T2xx</t>
      </is>
    </nc>
  </rcc>
  <rcc rId="5278" sId="2">
    <oc r="B527">
      <f>B526+1</f>
    </oc>
    <nc r="B527">
      <f>B526+1</f>
    </nc>
  </rcc>
  <rcc rId="5279" sId="2">
    <nc r="C527">
      <v>20200909</v>
    </nc>
  </rcc>
  <rcc rId="5280" sId="2">
    <nc r="D527" t="inlineStr">
      <is>
        <t>PSW</t>
      </is>
    </nc>
  </rcc>
  <rcc rId="5281" sId="2">
    <nc r="E527" t="inlineStr">
      <is>
        <t>TOY_PF19_CMP_BL17_Integration_7</t>
      </is>
    </nc>
  </rcc>
  <rcc rId="5282" sId="2">
    <nc r="H527" t="inlineStr">
      <is>
        <t>MT_009</t>
      </is>
    </nc>
  </rcc>
  <rcc rId="5283" sId="2">
    <nc r="I527" t="inlineStr">
      <is>
        <t>RBVLV_ValveDriverFeedback</t>
      </is>
    </nc>
  </rcc>
  <rcc rId="5284" sId="2">
    <nc r="J527" t="inlineStr">
      <is>
        <t>Delta/New</t>
      </is>
    </nc>
  </rcc>
  <rcc rId="5285" sId="2" quotePrefix="1">
    <nc r="O527" t="inlineStr">
      <is>
        <t>_BqyOEcT9EeWUj9noREh3Hg</t>
      </is>
    </nc>
  </rcc>
  <rcc rId="5286" sId="2" quotePrefix="1">
    <nc r="P527" t="inlineStr">
      <is>
        <t>Weires Marcel (CC-AS/ECC6)</t>
      </is>
    </nc>
  </rcc>
  <rcc rId="5287" sId="2">
    <nc r="R527" t="inlineStr">
      <is>
        <t>T2xx</t>
      </is>
    </nc>
  </rcc>
  <rcc rId="5288" sId="2">
    <oc r="B528">
      <f>B527+1</f>
    </oc>
    <nc r="B528">
      <f>B527+1</f>
    </nc>
  </rcc>
  <rcc rId="5289" sId="2">
    <nc r="C528">
      <v>20200909</v>
    </nc>
  </rcc>
  <rcc rId="5290" sId="2">
    <nc r="D528" t="inlineStr">
      <is>
        <t>PSW</t>
      </is>
    </nc>
  </rcc>
  <rcc rId="5291" sId="2">
    <nc r="E528" t="inlineStr">
      <is>
        <t>TOY_PF19_CMP_BL17_Integration_7</t>
      </is>
    </nc>
  </rcc>
  <rcc rId="5292" sId="2">
    <nc r="H528" t="inlineStr">
      <is>
        <t>MT_010</t>
      </is>
    </nc>
  </rcc>
  <rcc rId="5293" sId="2">
    <nc r="I528" t="inlineStr">
      <is>
        <t>RBSYS_LocksImpl</t>
      </is>
    </nc>
  </rcc>
  <rcc rId="5294" sId="2">
    <nc r="J528" t="inlineStr">
      <is>
        <t>New</t>
      </is>
    </nc>
  </rcc>
  <rcc rId="5295" sId="2" quotePrefix="1">
    <nc r="O528" t="inlineStr">
      <is>
        <t>_T8NYME12EeWx_bCQ_p-5GQ</t>
      </is>
    </nc>
  </rcc>
  <rcc rId="5296" sId="2" quotePrefix="1">
    <nc r="P528" t="inlineStr">
      <is>
        <t>Straetz Richard (CC-AS/ECC6)</t>
      </is>
    </nc>
  </rcc>
  <rcc rId="5297" sId="2">
    <nc r="R528" t="inlineStr">
      <is>
        <t>T2xx</t>
      </is>
    </nc>
  </rcc>
  <rfmt sheetId="2" sqref="B523:R528">
    <dxf>
      <fill>
        <patternFill>
          <bgColor theme="0" tint="-0.249977111117893"/>
        </patternFill>
      </fill>
    </dxf>
  </rfmt>
  <rfmt sheetId="2" sqref="B523:R528">
    <dxf>
      <fill>
        <patternFill>
          <bgColor theme="0" tint="-0.34998626667073579"/>
        </patternFill>
      </fill>
    </dxf>
  </rfmt>
  <rfmt sheetId="2" sqref="S523:AN528">
    <dxf>
      <fill>
        <patternFill patternType="solid">
          <bgColor theme="0" tint="-0.34998626667073579"/>
        </patternFill>
      </fill>
    </dxf>
  </rfmt>
  <rcc rId="5298" sId="2">
    <oc r="B529">
      <f>B528+1</f>
    </oc>
    <nc r="B529">
      <f>B528+1</f>
    </nc>
  </rcc>
  <rcc rId="5299" sId="2">
    <nc r="C529">
      <v>20200909</v>
    </nc>
  </rcc>
  <rcc rId="5300" sId="2">
    <nc r="D529" t="inlineStr">
      <is>
        <t>PSW</t>
      </is>
    </nc>
  </rcc>
  <rcc rId="5301" sId="2">
    <nc r="E529" t="inlineStr">
      <is>
        <t>TOY_PF19_CMP_BL17_Integration_7</t>
      </is>
    </nc>
  </rcc>
  <rcc rId="5302" sId="2">
    <nc r="H529" t="inlineStr">
      <is>
        <t>MT_026</t>
      </is>
    </nc>
  </rcc>
  <rcc rId="5303" sId="2">
    <nc r="I529" t="inlineStr">
      <is>
        <t>SecOC_PduRIF</t>
      </is>
    </nc>
  </rcc>
  <rcc rId="5304" sId="2">
    <nc r="J529" t="inlineStr">
      <is>
        <t>Delta</t>
      </is>
    </nc>
  </rcc>
  <rcc rId="5305" sId="2" quotePrefix="1">
    <nc r="O529" t="inlineStr">
      <is>
        <t>_49g-FPofEeiNu__0fCuwiQ</t>
      </is>
    </nc>
  </rcc>
  <rcc rId="5306" sId="2" quotePrefix="1">
    <nc r="P529" t="inlineStr">
      <is>
        <t>Krithika Premkumar (RBEI/ESJ32)</t>
      </is>
    </nc>
  </rcc>
  <rcc rId="5307" sId="2">
    <nc r="R529" t="inlineStr">
      <is>
        <t>T2xx</t>
      </is>
    </nc>
  </rcc>
  <rcc rId="5308" sId="2">
    <oc r="B530">
      <f>B529+1</f>
    </oc>
    <nc r="B530">
      <f>B529+1</f>
    </nc>
  </rcc>
  <rcc rId="5309" sId="2">
    <nc r="C530">
      <v>20200909</v>
    </nc>
  </rcc>
  <rcc rId="5310" sId="2">
    <nc r="D530" t="inlineStr">
      <is>
        <t>PSW</t>
      </is>
    </nc>
  </rcc>
  <rcc rId="5311" sId="2">
    <nc r="E530" t="inlineStr">
      <is>
        <t>TOY_PF19_CMP_BL17_Integration_7</t>
      </is>
    </nc>
  </rcc>
  <rcc rId="5312" sId="2">
    <nc r="H530" t="inlineStr">
      <is>
        <t>MT_027</t>
      </is>
    </nc>
  </rcc>
  <rcc rId="5313" sId="2">
    <nc r="I530" t="inlineStr">
      <is>
        <t>SecOC_Prv</t>
      </is>
    </nc>
  </rcc>
  <rcc rId="5314" sId="2">
    <nc r="J530" t="inlineStr">
      <is>
        <t>Delta</t>
      </is>
    </nc>
  </rcc>
  <rcc rId="5315" sId="2" quotePrefix="1">
    <nc r="O530" t="inlineStr">
      <is>
        <t>_49g-FvofEeiNu__0fCuwiQ</t>
      </is>
    </nc>
  </rcc>
  <rcc rId="5316" sId="2" quotePrefix="1">
    <nc r="P530" t="inlineStr">
      <is>
        <t>Krithika Premkumar (RBEI/ESJ32)</t>
      </is>
    </nc>
  </rcc>
  <rcc rId="5317" sId="2">
    <nc r="R530" t="inlineStr">
      <is>
        <t>T2xx</t>
      </is>
    </nc>
  </rcc>
  <rcc rId="5318" sId="2">
    <oc r="B531">
      <f>B530+1</f>
    </oc>
    <nc r="B531">
      <f>B530+1</f>
    </nc>
  </rcc>
  <rcc rId="5319" sId="2">
    <nc r="C531">
      <v>20200909</v>
    </nc>
  </rcc>
  <rcc rId="5320" sId="2">
    <nc r="D531" t="inlineStr">
      <is>
        <t>PSW</t>
      </is>
    </nc>
  </rcc>
  <rcc rId="5321" sId="2">
    <nc r="E531" t="inlineStr">
      <is>
        <t>TOY_PF19_CMP_BL17_Integration_7</t>
      </is>
    </nc>
  </rcc>
  <rcc rId="5322" sId="2">
    <nc r="H531" t="inlineStr">
      <is>
        <t>MT_028</t>
      </is>
    </nc>
  </rcc>
  <rcc rId="5323" sId="2">
    <nc r="I531" t="inlineStr">
      <is>
        <t>SecOC_Prv_CryptIF</t>
      </is>
    </nc>
  </rcc>
  <rcc rId="5324" sId="2">
    <nc r="J531" t="inlineStr">
      <is>
        <t>Delta</t>
      </is>
    </nc>
  </rcc>
  <rcc rId="5325" sId="2" quotePrefix="1">
    <nc r="O531" t="inlineStr">
      <is>
        <t>_49g-F_ofEeiNu__0fCuwiQ</t>
      </is>
    </nc>
  </rcc>
  <rcc rId="5326" sId="2" quotePrefix="1">
    <nc r="P531" t="inlineStr">
      <is>
        <t>Krithika Premkumar (RBEI/ESJ32)</t>
      </is>
    </nc>
  </rcc>
  <rcc rId="5327" sId="2">
    <nc r="R531" t="inlineStr">
      <is>
        <t>T2xx</t>
      </is>
    </nc>
  </rcc>
  <rcc rId="5328" sId="2">
    <oc r="B532">
      <f>B531+1</f>
    </oc>
    <nc r="B532">
      <f>B531+1</f>
    </nc>
  </rcc>
  <rcc rId="5329" sId="2">
    <nc r="C532">
      <v>20200909</v>
    </nc>
  </rcc>
  <rcc rId="5330" sId="2">
    <nc r="D532" t="inlineStr">
      <is>
        <t>PSW</t>
      </is>
    </nc>
  </rcc>
  <rcc rId="5331" sId="2">
    <nc r="E532" t="inlineStr">
      <is>
        <t>TOY_PF19_CMP_BL17_Integration_7</t>
      </is>
    </nc>
  </rcc>
  <rcc rId="5332" sId="2">
    <nc r="H532" t="inlineStr">
      <is>
        <t>MT_032</t>
      </is>
    </nc>
  </rcc>
  <rcc rId="5333" sId="2">
    <nc r="I532" t="inlineStr">
      <is>
        <t>RBPduHandler_Callouts</t>
      </is>
    </nc>
  </rcc>
  <rcc rId="5334" sId="2">
    <nc r="J532" t="inlineStr">
      <is>
        <t>Delta</t>
      </is>
    </nc>
  </rcc>
  <rcc rId="5335" sId="2" quotePrefix="1">
    <nc r="O532" t="inlineStr">
      <is>
        <t>_BdcCIDMqEei1FdF65FacFQ</t>
      </is>
    </nc>
  </rcc>
  <rcc rId="5336" sId="2" quotePrefix="1">
    <nc r="P532" t="inlineStr">
      <is>
        <t>Krithika Premkumar (RBEI/ESJ32)</t>
      </is>
    </nc>
  </rcc>
  <rcc rId="5337" sId="2">
    <nc r="R532" t="inlineStr">
      <is>
        <t>T2xx</t>
      </is>
    </nc>
  </rcc>
  <rcc rId="5338" sId="2">
    <oc r="B533">
      <f>B532+1</f>
    </oc>
    <nc r="B533">
      <f>B532+1</f>
    </nc>
  </rcc>
  <rcc rId="5339" sId="2">
    <nc r="C533">
      <v>20200909</v>
    </nc>
  </rcc>
  <rcc rId="5340" sId="2">
    <nc r="D533" t="inlineStr">
      <is>
        <t>PSW</t>
      </is>
    </nc>
  </rcc>
  <rcc rId="5341" sId="2">
    <nc r="E533" t="inlineStr">
      <is>
        <t>TOY_PF19_CMP_BL17_Integration_7</t>
      </is>
    </nc>
  </rcc>
  <rcc rId="5342" sId="2">
    <nc r="H533" t="inlineStr">
      <is>
        <t>MT_033</t>
      </is>
    </nc>
  </rcc>
  <rcc rId="5343" sId="2">
    <nc r="I533" t="inlineStr">
      <is>
        <t>CBEST_InterfaceFunction_TOYOTA</t>
      </is>
    </nc>
  </rcc>
  <rcc rId="5344" sId="2">
    <nc r="J533" t="inlineStr">
      <is>
        <t>Delta</t>
      </is>
    </nc>
  </rcc>
  <rcc rId="5345" sId="2" quotePrefix="1">
    <nc r="O533" t="inlineStr">
      <is>
        <t>_0AUIoEJwEeaXn4fO7myAiw</t>
      </is>
    </nc>
  </rcc>
  <rcc rId="5346" sId="2" quotePrefix="1">
    <nc r="P533" t="inlineStr">
      <is>
        <t>Rayapudi Susmitha (RBEI/ESJ31)</t>
      </is>
    </nc>
  </rcc>
  <rcc rId="5347" sId="2">
    <nc r="R533" t="inlineStr">
      <is>
        <t>T2xx</t>
      </is>
    </nc>
  </rcc>
  <rcc rId="5348" sId="2">
    <oc r="B534">
      <f>B533+1</f>
    </oc>
    <nc r="B534">
      <f>B533+1</f>
    </nc>
  </rcc>
  <rcc rId="5349" sId="2">
    <nc r="C534">
      <v>20200909</v>
    </nc>
  </rcc>
  <rcc rId="5350" sId="2">
    <nc r="D534" t="inlineStr">
      <is>
        <t>PSW</t>
      </is>
    </nc>
  </rcc>
  <rcc rId="5351" sId="2">
    <nc r="E534" t="inlineStr">
      <is>
        <t>TOY_PF19_CMP_BL17_Integration_7</t>
      </is>
    </nc>
  </rcc>
  <rcc rId="5352" sId="2">
    <nc r="H534" t="inlineStr">
      <is>
        <t>MT_034</t>
      </is>
    </nc>
  </rcc>
  <rcc rId="5353" sId="2">
    <nc r="I534" t="inlineStr">
      <is>
        <t>CBEST_Main_TOYOTA</t>
      </is>
    </nc>
  </rcc>
  <rcc rId="5354" sId="2">
    <nc r="J534" t="inlineStr">
      <is>
        <t>New</t>
      </is>
    </nc>
  </rcc>
  <rcc rId="5355" sId="2" quotePrefix="1">
    <nc r="O534" t="inlineStr">
      <is>
        <t>_0AUvsEJwEeaXn4fO7myAiw</t>
      </is>
    </nc>
  </rcc>
  <rcc rId="5356" sId="2" quotePrefix="1">
    <nc r="P534" t="inlineStr">
      <is>
        <t>Rayapudi Susmitha (RBEI/ESJ31)</t>
      </is>
    </nc>
  </rcc>
  <rcc rId="5357" sId="2">
    <nc r="R534" t="inlineStr">
      <is>
        <t>T200</t>
      </is>
    </nc>
  </rcc>
  <rcc rId="5358" sId="2">
    <nc r="C535">
      <v>20200909</v>
    </nc>
  </rcc>
  <rcc rId="5359" sId="2">
    <nc r="D535" t="inlineStr">
      <is>
        <t>PSW</t>
      </is>
    </nc>
  </rcc>
  <rcc rId="5360" sId="2">
    <nc r="E535" t="inlineStr">
      <is>
        <t>TOY_PF19_CMP_BL17_Integration_7</t>
      </is>
    </nc>
  </rcc>
  <rcc rId="5361" sId="2">
    <nc r="J535" t="inlineStr">
      <is>
        <t>Delta</t>
      </is>
    </nc>
  </rcc>
  <rcc rId="5362" sId="2" quotePrefix="1">
    <nc r="O535" t="inlineStr">
      <is>
        <t>_jxIMcKJ7EeWgbrVUGix0mg</t>
      </is>
    </nc>
  </rcc>
  <rcc rId="5363" sId="2" quotePrefix="1">
    <nc r="P535" t="inlineStr">
      <is>
        <t>Rayapudi Susmitha (RBEI/ESJ31)</t>
      </is>
    </nc>
  </rcc>
  <rcc rId="5364" sId="2">
    <nc r="R535" t="inlineStr">
      <is>
        <t>T200</t>
      </is>
    </nc>
  </rcc>
  <rcc rId="5365" sId="2">
    <nc r="C536">
      <v>20200909</v>
    </nc>
  </rcc>
  <rcc rId="5366" sId="2">
    <nc r="D536" t="inlineStr">
      <is>
        <t>PSW</t>
      </is>
    </nc>
  </rcc>
  <rcc rId="5367" sId="2">
    <nc r="E536" t="inlineStr">
      <is>
        <t>TOY_PF19_CMP_BL17_Integration_7</t>
      </is>
    </nc>
  </rcc>
  <rcc rId="5368" sId="2">
    <nc r="J536" t="inlineStr">
      <is>
        <t>Delta/New</t>
      </is>
    </nc>
  </rcc>
  <rcc rId="5369" sId="2" quotePrefix="1">
    <nc r="O536" t="inlineStr">
      <is>
        <t>_lzwO8G01EeifyfhLxmbFOQ</t>
      </is>
    </nc>
  </rcc>
  <rcc rId="5370" sId="2" quotePrefix="1">
    <nc r="P536" t="inlineStr">
      <is>
        <t>Sowmiya S (RBEI/ESJ31)</t>
      </is>
    </nc>
  </rcc>
  <rcc rId="5371" sId="2">
    <nc r="R536" t="inlineStr">
      <is>
        <t>T200</t>
      </is>
    </nc>
  </rcc>
  <rfmt sheetId="2" sqref="B529:R536">
    <dxf>
      <fill>
        <patternFill>
          <bgColor theme="0" tint="-0.34998626667073579"/>
        </patternFill>
      </fill>
    </dxf>
  </rfmt>
  <rfmt sheetId="2" sqref="S529:AN536">
    <dxf>
      <fill>
        <patternFill patternType="solid">
          <bgColor theme="0" tint="-0.34998626667073579"/>
        </patternFill>
      </fill>
    </dxf>
  </rfmt>
  <rcc rId="5372" sId="2" quotePrefix="1">
    <oc r="L504" t="inlineStr">
      <is>
        <t>BB98335,BB97973</t>
      </is>
    </oc>
    <nc r="L504" t="inlineStr">
      <is>
        <t>BB98335</t>
      </is>
    </nc>
  </rcc>
  <rcc rId="5373" sId="2" quotePrefix="1">
    <oc r="L505" t="inlineStr">
      <is>
        <t>BB98335,BB97973</t>
      </is>
    </oc>
    <nc r="L505" t="inlineStr">
      <is>
        <t>BB98335</t>
      </is>
    </nc>
  </rcc>
  <rcc rId="5374" sId="2" quotePrefix="1">
    <oc r="L506" t="inlineStr">
      <is>
        <t>BB98335,BB97973</t>
      </is>
    </oc>
    <nc r="L506" t="inlineStr">
      <is>
        <t>BB98335</t>
      </is>
    </nc>
  </rcc>
  <rcc rId="5375" sId="2" quotePrefix="1">
    <oc r="L507" t="inlineStr">
      <is>
        <t>BB98335,BB97973</t>
      </is>
    </oc>
    <nc r="L507" t="inlineStr">
      <is>
        <t>BB98335</t>
      </is>
    </nc>
  </rcc>
  <rcc rId="5376" sId="2" quotePrefix="1">
    <oc r="L508" t="inlineStr">
      <is>
        <t>BB98335,BB97973</t>
      </is>
    </oc>
    <nc r="L508" t="inlineStr">
      <is>
        <t>BB98335</t>
      </is>
    </nc>
  </rcc>
  <rcc rId="5377" sId="2" quotePrefix="1">
    <oc r="L509" t="inlineStr">
      <is>
        <t>BB98335,BB97973</t>
      </is>
    </oc>
    <nc r="L509" t="inlineStr">
      <is>
        <t>BB98335</t>
      </is>
    </nc>
  </rcc>
  <rcc rId="5378" sId="2" quotePrefix="1">
    <oc r="L515" t="inlineStr">
      <is>
        <t>BB98335,BB97973</t>
      </is>
    </oc>
    <nc r="L515" t="inlineStr">
      <is>
        <t>BB98335</t>
      </is>
    </nc>
  </rcc>
  <rcc rId="5379" sId="2" quotePrefix="1">
    <oc r="L516" t="inlineStr">
      <is>
        <t>BB98335,BB97973</t>
      </is>
    </oc>
    <nc r="L516" t="inlineStr">
      <is>
        <t>BB98335</t>
      </is>
    </nc>
  </rcc>
  <rcc rId="5380" sId="2" quotePrefix="1">
    <oc r="L517" t="inlineStr">
      <is>
        <t>BB98335,BB97973</t>
      </is>
    </oc>
    <nc r="L517" t="inlineStr">
      <is>
        <t>BB98335</t>
      </is>
    </nc>
  </rcc>
  <rcc rId="5381" sId="2" quotePrefix="1">
    <oc r="L518" t="inlineStr">
      <is>
        <t>BB98335,BB97973</t>
      </is>
    </oc>
    <nc r="L518" t="inlineStr">
      <is>
        <t>BB98335</t>
      </is>
    </nc>
  </rcc>
  <rcc rId="5382" sId="2" quotePrefix="1">
    <oc r="L521" t="inlineStr">
      <is>
        <t>BB98335,BB97973</t>
      </is>
    </oc>
    <nc r="L521" t="inlineStr">
      <is>
        <t>BB98335</t>
      </is>
    </nc>
  </rcc>
  <rcc rId="5383" sId="2" quotePrefix="1">
    <oc r="L522" t="inlineStr">
      <is>
        <t>BB98335,BB97973</t>
      </is>
    </oc>
    <nc r="L522" t="inlineStr">
      <is>
        <t>BB98335</t>
      </is>
    </nc>
  </rcc>
  <rcc rId="5384" sId="2" quotePrefix="1">
    <nc r="L523" t="inlineStr">
      <is>
        <t>BB97973</t>
      </is>
    </nc>
  </rcc>
  <rcc rId="5385" sId="2" quotePrefix="1">
    <nc r="L524" t="inlineStr">
      <is>
        <t>BB97973</t>
      </is>
    </nc>
  </rcc>
  <rcc rId="5386" sId="2" quotePrefix="1">
    <nc r="L525" t="inlineStr">
      <is>
        <t>BB97973</t>
      </is>
    </nc>
  </rcc>
  <rcc rId="5387" sId="2" quotePrefix="1">
    <nc r="L526" t="inlineStr">
      <is>
        <t>BB97973</t>
      </is>
    </nc>
  </rcc>
  <rcc rId="5388" sId="2" quotePrefix="1">
    <nc r="L527" t="inlineStr">
      <is>
        <t>BB97973</t>
      </is>
    </nc>
  </rcc>
  <rcc rId="5389" sId="2" quotePrefix="1">
    <nc r="L528" t="inlineStr">
      <is>
        <t>BB97973</t>
      </is>
    </nc>
  </rcc>
  <rcc rId="5390" sId="2" quotePrefix="1">
    <nc r="L529" t="inlineStr">
      <is>
        <t>BB97973</t>
      </is>
    </nc>
  </rcc>
  <rcc rId="5391" sId="2" quotePrefix="1">
    <nc r="L530" t="inlineStr">
      <is>
        <t>BB97973</t>
      </is>
    </nc>
  </rcc>
  <rcc rId="5392" sId="2" quotePrefix="1">
    <nc r="L531" t="inlineStr">
      <is>
        <t>BB97973</t>
      </is>
    </nc>
  </rcc>
  <rcc rId="5393" sId="2" quotePrefix="1">
    <nc r="L532" t="inlineStr">
      <is>
        <t>BB97973</t>
      </is>
    </nc>
  </rcc>
  <rcc rId="5394" sId="2" quotePrefix="1">
    <nc r="L533" t="inlineStr">
      <is>
        <t>BB97973</t>
      </is>
    </nc>
  </rcc>
  <rcc rId="5395" sId="2" quotePrefix="1">
    <nc r="L534" t="inlineStr">
      <is>
        <t>BB97973</t>
      </is>
    </nc>
  </rcc>
  <rcc rId="5396" sId="2" quotePrefix="1">
    <nc r="L535" t="inlineStr">
      <is>
        <t>BB97973</t>
      </is>
    </nc>
  </rcc>
  <rcc rId="5397" sId="2" quotePrefix="1">
    <nc r="L536" t="inlineStr">
      <is>
        <t>BB97973</t>
      </is>
    </nc>
  </rcc>
  <rrc rId="5398" sId="2" ref="A533:XFD533" action="deleteRow">
    <undo index="0" exp="ref" v="1" dr="B533" r="B534" sId="2"/>
    <undo index="10" exp="area" ref3D="1" dr="$AB$1:$AD$1048576" dn="Z_336B6883_2145_4B58_921E_CEC7185A847E_.wvu.Cols" sId="2"/>
    <undo index="8" exp="area" ref3D="1" dr="$S$1:$X$1048576" dn="Z_336B6883_2145_4B58_921E_CEC7185A847E_.wvu.Cols" sId="2"/>
    <undo index="6" exp="area" ref3D="1" dr="$P$1:$Q$1048576" dn="Z_336B6883_2145_4B58_921E_CEC7185A847E_.wvu.Cols" sId="2"/>
    <undo index="4" exp="area" ref3D="1" dr="$M$1:$N$1048576" dn="Z_336B6883_2145_4B58_921E_CEC7185A847E_.wvu.Cols" sId="2"/>
    <undo index="2" exp="area" ref3D="1" dr="$K$1:$K$1048576" dn="Z_336B6883_2145_4B58_921E_CEC7185A847E_.wvu.Cols" sId="2"/>
    <undo index="1" exp="area" ref3D="1" dr="$A$1:$G$1048576" dn="Z_336B6883_2145_4B58_921E_CEC7185A847E_.wvu.Cols" sId="2"/>
    <rfmt sheetId="2" xfDxf="1" sqref="A533:XFD533" start="0" length="0"/>
    <rcc rId="0" sId="2" dxf="1">
      <nc r="B533">
        <f>B532+1</f>
      </nc>
      <ndxf>
        <font>
          <sz val="11"/>
          <color auto="1"/>
          <name val="Calibri"/>
          <scheme val="minor"/>
        </font>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cc rId="0" sId="2" dxf="1">
      <nc r="C533">
        <v>20200909</v>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cc rId="0" sId="2" dxf="1">
      <nc r="D533" t="inlineStr">
        <is>
          <t>PSW</t>
        </is>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cc rId="0" sId="2" dxf="1">
      <nc r="E533" t="inlineStr">
        <is>
          <t>TOY_PF19_CMP_BL17_Integration_7</t>
        </is>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fmt sheetId="2" sqref="F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G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cc rId="0" sId="2" dxf="1">
      <nc r="H533" t="inlineStr">
        <is>
          <t>MT_033</t>
        </is>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cc rId="0" sId="2" dxf="1">
      <nc r="I533" t="inlineStr">
        <is>
          <t>CBEST_InterfaceFunction_TOYOTA</t>
        </is>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cc rId="0" sId="2" dxf="1">
      <nc r="J533" t="inlineStr">
        <is>
          <t>Delta</t>
        </is>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fmt sheetId="2" sqref="K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533" t="inlineStr">
        <is>
          <t>BB97973</t>
        </is>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fmt sheetId="2" sqref="M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N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O533" t="inlineStr">
        <is>
          <t>_0AUIoEJwEeaXn4fO7myAiw</t>
        </is>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533" t="inlineStr">
        <is>
          <t>Rayapudi Susmitha (RBEI/ESJ31)</t>
        </is>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fmt sheetId="2" sqref="Q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cc rId="0" sId="2" dxf="1">
      <nc r="R533" t="inlineStr">
        <is>
          <t>T2xx</t>
        </is>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fmt sheetId="2" sqref="S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T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U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V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W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X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Y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Z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A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B533" start="0" length="0">
      <dxf>
        <numFmt numFmtId="164" formatCode="[$-409]d\-mmm\-yyyy;@"/>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C533" start="0" length="0">
      <dxf>
        <numFmt numFmtId="164" formatCode="[$-409]d\-mmm\-yyyy;@"/>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D533" start="0" length="0">
      <dxf>
        <numFmt numFmtId="164" formatCode="[$-409]d\-mmm\-yyyy;@"/>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E533" start="0" length="0">
      <dxf>
        <numFmt numFmtId="164" formatCode="[$-409]d\-mmm\-yyyy;@"/>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F533" start="0" length="0">
      <dxf>
        <numFmt numFmtId="164" formatCode="[$-409]d\-mmm\-yyyy;@"/>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G533" start="0" length="0">
      <dxf>
        <numFmt numFmtId="164" formatCode="[$-409]d\-mmm\-yyyy;@"/>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H533" start="0" length="0">
      <dxf>
        <numFmt numFmtId="14" formatCode="0.00%"/>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I533" start="0" length="0">
      <dxf>
        <numFmt numFmtId="14" formatCode="0.00%"/>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J533" start="0" length="0">
      <dxf>
        <numFmt numFmtId="14" formatCode="0.00%"/>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K533" start="0" length="0">
      <dxf>
        <fill>
          <patternFill patternType="solid">
            <bgColor theme="0" tint="-0.34998626667073579"/>
          </patternFill>
        </fill>
        <border outline="0">
          <left style="thin">
            <color indexed="64"/>
          </left>
          <right style="thin">
            <color indexed="64"/>
          </right>
          <top style="thin">
            <color indexed="64"/>
          </top>
          <bottom style="thin">
            <color indexed="64"/>
          </bottom>
        </border>
      </dxf>
    </rfmt>
    <rfmt sheetId="2" sqref="AL533" start="0" length="0">
      <dxf>
        <fill>
          <patternFill patternType="solid">
            <bgColor theme="0" tint="-0.34998626667073579"/>
          </patternFill>
        </fill>
        <border outline="0">
          <left style="thin">
            <color indexed="64"/>
          </left>
          <right style="thin">
            <color indexed="64"/>
          </right>
          <top style="thin">
            <color indexed="64"/>
          </top>
          <bottom style="thin">
            <color indexed="64"/>
          </bottom>
        </border>
      </dxf>
    </rfmt>
    <rfmt sheetId="2" sqref="AM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N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rc>
  <rrc rId="5399" sId="2" ref="A533:XFD533" action="deleteRow">
    <undo index="0" exp="ref" v="1" dr="B533" r="B534" sId="2"/>
    <undo index="0" exp="area" ref3D="1" dr="$A$59:$AN$533" dn="Z_CF1D8F03_CC7A_41AC_BA77_166210383B5E_.wvu.FilterData" sId="2"/>
    <undo index="0" exp="area" ref3D="1" dr="$A$59:$AN$533" dn="Z_C3B4C962_046C_447F_94C1_3E742479F259_.wvu.FilterData" sId="2"/>
    <undo index="0" exp="area" ref3D="1" dr="$B$59:$AN$533" dn="Z_C39A1255_439D_4B5C_97C6_DEC6C0FDD34B_.wvu.FilterData" sId="2"/>
    <undo index="0" exp="area" ref3D="1" dr="$A$59:$AN$533" dn="Z_A6B4BABA_9A83_450F_9E9D_56563B528D17_.wvu.FilterData" sId="2"/>
    <undo index="0" exp="area" ref3D="1" dr="$A$59:$AN$533" dn="Z_983C141A_8D59_4E1D_97B7_B88EFFF46736_.wvu.FilterData" sId="2"/>
    <undo index="0" exp="area" ref3D="1" dr="$A$59:$AN$533" dn="Z_8766447F_1722_4AC0_B084_82BED859C4BC_.wvu.FilterData" sId="2"/>
    <undo index="10" exp="area" ref3D="1" dr="$AB$1:$AD$1048576" dn="Z_336B6883_2145_4B58_921E_CEC7185A847E_.wvu.Cols" sId="2"/>
    <undo index="8" exp="area" ref3D="1" dr="$S$1:$X$1048576" dn="Z_336B6883_2145_4B58_921E_CEC7185A847E_.wvu.Cols" sId="2"/>
    <undo index="6" exp="area" ref3D="1" dr="$P$1:$Q$1048576" dn="Z_336B6883_2145_4B58_921E_CEC7185A847E_.wvu.Cols" sId="2"/>
    <undo index="4" exp="area" ref3D="1" dr="$M$1:$N$1048576" dn="Z_336B6883_2145_4B58_921E_CEC7185A847E_.wvu.Cols" sId="2"/>
    <undo index="2" exp="area" ref3D="1" dr="$K$1:$K$1048576" dn="Z_336B6883_2145_4B58_921E_CEC7185A847E_.wvu.Cols" sId="2"/>
    <undo index="1" exp="area" ref3D="1" dr="$A$1:$G$1048576" dn="Z_336B6883_2145_4B58_921E_CEC7185A847E_.wvu.Cols" sId="2"/>
    <undo index="0" exp="area" ref3D="1" dr="$B$59:$AN$533" dn="Z_86DAF2A7_1716_40A4_A48C_C8E7EF2E3819_.wvu.FilterData" sId="2"/>
    <undo index="0" exp="area" ref3D="1" dr="$B$59:$AN$533" dn="Z_05B18CA3_DA68_4944_AD63_857EF7223B76_.wvu.FilterData" sId="2"/>
    <undo index="0" exp="area" ref3D="1" dr="$B$59:$AN$533" dn="Z_02FB7E96_2799_4990_A37E_4BD93CFC5923_.wvu.FilterData" sId="2"/>
    <undo index="0" exp="area" ref3D="1" dr="$B$59:$AN$533" dn="Z_23D7C543_4321_4BD5_A266_51B179CE94C1_.wvu.FilterData" sId="2"/>
    <undo index="0" exp="area" ref3D="1" dr="$A$59:$AN$533" dn="Z_11B27346_2E80_4400_8BF0_9F583CD5AE0C_.wvu.FilterData" sId="2"/>
    <rfmt sheetId="2" xfDxf="1" sqref="A533:XFD533" start="0" length="0"/>
    <rcc rId="0" sId="2" dxf="1">
      <nc r="B533">
        <f>#REF!+1</f>
      </nc>
      <ndxf>
        <font>
          <sz val="11"/>
          <color auto="1"/>
          <name val="Calibri"/>
          <scheme val="minor"/>
        </font>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cc rId="0" sId="2" dxf="1">
      <nc r="C533">
        <v>20200909</v>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cc rId="0" sId="2" dxf="1">
      <nc r="D533" t="inlineStr">
        <is>
          <t>PSW</t>
        </is>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cc rId="0" sId="2" dxf="1">
      <nc r="E533" t="inlineStr">
        <is>
          <t>TOY_PF19_CMP_BL17_Integration_7</t>
        </is>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fmt sheetId="2" sqref="F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G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cc rId="0" sId="2" dxf="1">
      <nc r="H533" t="inlineStr">
        <is>
          <t>MT_034</t>
        </is>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cc rId="0" sId="2" dxf="1">
      <nc r="I533" t="inlineStr">
        <is>
          <t>CBEST_Main_TOYOTA</t>
        </is>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cc rId="0" sId="2" dxf="1">
      <nc r="J533" t="inlineStr">
        <is>
          <t>New</t>
        </is>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fmt sheetId="2" sqref="K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533" t="inlineStr">
        <is>
          <t>BB97973</t>
        </is>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fmt sheetId="2" sqref="M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N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O533" t="inlineStr">
        <is>
          <t>_0AUvsEJwEeaXn4fO7myAiw</t>
        </is>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533" t="inlineStr">
        <is>
          <t>Rayapudi Susmitha (RBEI/ESJ31)</t>
        </is>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fmt sheetId="2" sqref="Q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cc rId="0" sId="2" dxf="1">
      <nc r="R533" t="inlineStr">
        <is>
          <t>T200</t>
        </is>
      </nc>
      <n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ndxf>
    </rcc>
    <rfmt sheetId="2" sqref="S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T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U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V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W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X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Y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Z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A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B533" start="0" length="0">
      <dxf>
        <numFmt numFmtId="164" formatCode="[$-409]d\-mmm\-yyyy;@"/>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C533" start="0" length="0">
      <dxf>
        <numFmt numFmtId="164" formatCode="[$-409]d\-mmm\-yyyy;@"/>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D533" start="0" length="0">
      <dxf>
        <numFmt numFmtId="164" formatCode="[$-409]d\-mmm\-yyyy;@"/>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E533" start="0" length="0">
      <dxf>
        <numFmt numFmtId="164" formatCode="[$-409]d\-mmm\-yyyy;@"/>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F533" start="0" length="0">
      <dxf>
        <numFmt numFmtId="164" formatCode="[$-409]d\-mmm\-yyyy;@"/>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G533" start="0" length="0">
      <dxf>
        <numFmt numFmtId="164" formatCode="[$-409]d\-mmm\-yyyy;@"/>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H533" start="0" length="0">
      <dxf>
        <numFmt numFmtId="14" formatCode="0.00%"/>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I533" start="0" length="0">
      <dxf>
        <numFmt numFmtId="14" formatCode="0.00%"/>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J533" start="0" length="0">
      <dxf>
        <numFmt numFmtId="14" formatCode="0.00%"/>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K533" start="0" length="0">
      <dxf>
        <fill>
          <patternFill patternType="solid">
            <bgColor theme="0" tint="-0.34998626667073579"/>
          </patternFill>
        </fill>
        <border outline="0">
          <left style="thin">
            <color indexed="64"/>
          </left>
          <right style="thin">
            <color indexed="64"/>
          </right>
          <top style="thin">
            <color indexed="64"/>
          </top>
          <bottom style="thin">
            <color indexed="64"/>
          </bottom>
        </border>
      </dxf>
    </rfmt>
    <rfmt sheetId="2" sqref="AL533" start="0" length="0">
      <dxf>
        <fill>
          <patternFill patternType="solid">
            <bgColor theme="0" tint="-0.34998626667073579"/>
          </patternFill>
        </fill>
        <border outline="0">
          <left style="thin">
            <color indexed="64"/>
          </left>
          <right style="thin">
            <color indexed="64"/>
          </right>
          <top style="thin">
            <color indexed="64"/>
          </top>
          <bottom style="thin">
            <color indexed="64"/>
          </bottom>
        </border>
      </dxf>
    </rfmt>
    <rfmt sheetId="2" sqref="AM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fmt sheetId="2" sqref="AN533" start="0" length="0">
      <dxf>
        <fill>
          <patternFill patternType="solid">
            <bgColor theme="0" tint="-0.34998626667073579"/>
          </patternFill>
        </fill>
        <alignment horizontal="left" vertical="top" readingOrder="0"/>
        <border outline="0">
          <left style="thin">
            <color indexed="64"/>
          </left>
          <right style="thin">
            <color indexed="64"/>
          </right>
          <top style="thin">
            <color indexed="64"/>
          </top>
          <bottom style="thin">
            <color indexed="64"/>
          </bottom>
        </border>
      </dxf>
    </rfmt>
  </rrc>
  <rcc rId="5400" sId="2">
    <oc r="B533">
      <f>B534+1</f>
    </oc>
    <nc r="B533">
      <f>B532+1</f>
    </nc>
  </rcc>
  <rcc rId="5401" sId="2">
    <oc r="B534">
      <f>B535+1</f>
    </oc>
    <nc r="B534">
      <f>B533+1</f>
    </nc>
  </rcc>
  <rcc rId="5402" sId="2">
    <nc r="H533" t="inlineStr">
      <is>
        <t>MT_033</t>
      </is>
    </nc>
  </rcc>
  <rcc rId="5403" sId="2">
    <nc r="H534" t="inlineStr">
      <is>
        <t>MT_037</t>
      </is>
    </nc>
  </rcc>
  <rcc rId="5404" sId="2">
    <nc r="I533" t="inlineStr">
      <is>
        <t>RBAPLCUST_22_RDBI</t>
      </is>
    </nc>
  </rcc>
  <rcc rId="5405" sId="2">
    <nc r="I534" t="inlineStr">
      <is>
        <t>NET_SCL_RcvYGS1G03_TOY</t>
      </is>
    </nc>
  </rcc>
  <rfmt sheetId="2" sqref="L523:L534" start="0" length="2147483647">
    <dxf>
      <font>
        <color rgb="FFFF0000"/>
      </font>
    </dxf>
  </rfmt>
  <rfmt sheetId="2" sqref="L523:L534">
    <dxf>
      <fill>
        <patternFill>
          <bgColor rgb="FFFFFF00"/>
        </patternFill>
      </fill>
    </dxf>
  </rfmt>
  <rfmt sheetId="2" sqref="L523:L534" start="0" length="2147483647">
    <dxf>
      <font>
        <b/>
      </font>
    </dxf>
  </rfmt>
  <rcc rId="5406" sId="2">
    <nc r="W523">
      <f>ROUND(IF(D523=Table!$C$3,Y523*Table!$C$4/8,Y523*Table!$D$4/8),3)</f>
    </nc>
  </rcc>
  <rcc rId="5407" sId="2">
    <nc r="W524">
      <f>ROUND(IF(D524=Table!$C$3,Y524*Table!$C$4/8,Y524*Table!$D$4/8),3)</f>
    </nc>
  </rcc>
  <rcc rId="5408" sId="2">
    <nc r="W525">
      <f>ROUND(IF(D525=Table!$C$3,Y525*Table!$C$4/8,Y525*Table!$D$4/8),3)</f>
    </nc>
  </rcc>
  <rcc rId="5409" sId="2">
    <nc r="W526">
      <f>ROUND(IF(D526=Table!$C$3,Y526*Table!$C$4/8,Y526*Table!$D$4/8),3)</f>
    </nc>
  </rcc>
  <rcc rId="5410" sId="2">
    <nc r="W527">
      <f>ROUND(IF(D527=Table!$C$3,Y527*Table!$C$4/8,Y527*Table!$D$4/8),3)</f>
    </nc>
  </rcc>
  <rcc rId="5411" sId="2">
    <nc r="W528">
      <f>ROUND(IF(D528=Table!$C$3,Y528*Table!$C$4/8,Y528*Table!$D$4/8),3)</f>
    </nc>
  </rcc>
  <rcc rId="5412" sId="2">
    <nc r="W529">
      <f>ROUND(IF(D529=Table!$C$3,Y529*Table!$C$4/8,Y529*Table!$D$4/8),3)</f>
    </nc>
  </rcc>
  <rcc rId="5413" sId="2">
    <nc r="W530">
      <f>ROUND(IF(D530=Table!$C$3,Y530*Table!$C$4/8,Y530*Table!$D$4/8),3)</f>
    </nc>
  </rcc>
  <rcc rId="5414" sId="2">
    <nc r="W531">
      <f>ROUND(IF(D531=Table!$C$3,Y531*Table!$C$4/8,Y531*Table!$D$4/8),3)</f>
    </nc>
  </rcc>
  <rcc rId="5415" sId="2">
    <nc r="W532">
      <f>ROUND(IF(D532=Table!$C$3,Y532*Table!$C$4/8,Y532*Table!$D$4/8),3)</f>
    </nc>
  </rcc>
  <rcc rId="5416" sId="2">
    <nc r="W533">
      <f>ROUND(IF(D533=Table!$C$3,Y533*Table!$C$4/8,Y533*Table!$D$4/8),3)</f>
    </nc>
  </rcc>
  <rcc rId="5417" sId="2">
    <nc r="W534">
      <f>ROUND(IF(D534=Table!$C$3,Y534*Table!$C$4/8,Y534*Table!$D$4/8),3)</f>
    </nc>
  </rcc>
  <rcc rId="5418" sId="2">
    <nc r="Y523">
      <v>0</v>
    </nc>
  </rcc>
  <rcc rId="5419" sId="2">
    <nc r="Y524">
      <v>0</v>
    </nc>
  </rcc>
  <rcc rId="5420" sId="2">
    <nc r="Y525">
      <v>0</v>
    </nc>
  </rcc>
  <rcc rId="5421" sId="2">
    <nc r="Y526">
      <v>0</v>
    </nc>
  </rcc>
  <rcc rId="5422" sId="2">
    <nc r="Y527">
      <v>0</v>
    </nc>
  </rcc>
  <rcc rId="5423" sId="2">
    <nc r="Y528">
      <v>0</v>
    </nc>
  </rcc>
  <rcc rId="5424" sId="2">
    <nc r="Y529">
      <v>0</v>
    </nc>
  </rcc>
  <rcc rId="5425" sId="2">
    <nc r="Y530">
      <v>0</v>
    </nc>
  </rcc>
  <rcc rId="5426" sId="2">
    <nc r="Y531">
      <v>0</v>
    </nc>
  </rcc>
  <rcc rId="5427" sId="2">
    <nc r="Y532">
      <v>0</v>
    </nc>
  </rcc>
  <rcc rId="5428" sId="2">
    <nc r="Y533">
      <v>0</v>
    </nc>
  </rcc>
  <rcc rId="5429" sId="2">
    <nc r="Y534">
      <v>0</v>
    </nc>
  </rcc>
  <rcv guid="{7ECC2B8E-6A82-42F5-8AB0-4A51C54EA5EC}" action="delete"/>
  <rdn rId="0" localSheetId="1" customView="1" name="Z_7ECC2B8E_6A82_42F5_8AB0_4A51C54EA5EC_.wvu.FilterData" hidden="1" oldHidden="1">
    <formula>Merged_COEM!$A$59:$AN$302</formula>
    <oldFormula>Merged_COEM!$A$59:$AN$302</oldFormula>
  </rdn>
  <rdn rId="0" localSheetId="2" customView="1" name="Z_7ECC2B8E_6A82_42F5_8AB0_4A51C54EA5EC_.wvu.FilterData" hidden="1" oldHidden="1">
    <formula>Merged_JOEM!$B$59:$AN$557</formula>
    <oldFormula>Merged_JOEM!$B$59:$AN$557</oldFormula>
  </rdn>
  <rcv guid="{7ECC2B8E-6A82-42F5-8AB0-4A51C54EA5EC}" action="add"/>
</revisions>
</file>

<file path=xl/revisions/revisionLog4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32" sId="2">
    <nc r="S515" t="inlineStr">
      <is>
        <t>huy.do-anh</t>
      </is>
    </nc>
  </rcc>
  <rcc rId="5433" sId="2">
    <nc r="S516" t="inlineStr">
      <is>
        <t>huy.do-anh</t>
      </is>
    </nc>
  </rcc>
  <rcc rId="5434" sId="2">
    <nc r="S517" t="inlineStr">
      <is>
        <t>huy.do-anh</t>
      </is>
    </nc>
  </rcc>
  <rcc rId="5435" sId="2">
    <nc r="S518" t="inlineStr">
      <is>
        <t>huy.do-anh</t>
      </is>
    </nc>
  </rcc>
  <rcc rId="5436" sId="2">
    <nc r="S519" t="inlineStr">
      <is>
        <t>huy.do-anh</t>
      </is>
    </nc>
  </rcc>
  <rcc rId="5437" sId="2">
    <nc r="S520" t="inlineStr">
      <is>
        <t>huy.do-anh</t>
      </is>
    </nc>
  </rcc>
  <rcc rId="5438" sId="2">
    <nc r="S521" t="inlineStr">
      <is>
        <t>huy.do-anh</t>
      </is>
    </nc>
  </rcc>
  <rcc rId="5439" sId="2">
    <nc r="S522" t="inlineStr">
      <is>
        <t>huy.do-anh</t>
      </is>
    </nc>
  </rcc>
  <rfmt sheetId="2" sqref="B523:AN528">
    <dxf>
      <fill>
        <patternFill>
          <bgColor theme="9" tint="0.59999389629810485"/>
        </patternFill>
      </fill>
    </dxf>
  </rfmt>
  <rcc rId="5440" sId="2">
    <nc r="S529" t="inlineStr">
      <is>
        <t>huy.do-anh</t>
      </is>
    </nc>
  </rcc>
  <rcc rId="5441" sId="2">
    <nc r="S530" t="inlineStr">
      <is>
        <t>huy.do-anh</t>
      </is>
    </nc>
  </rcc>
  <rcc rId="5442" sId="2">
    <nc r="S531" t="inlineStr">
      <is>
        <t>huy.do-anh</t>
      </is>
    </nc>
  </rcc>
  <rcc rId="5443" sId="2">
    <nc r="S532" t="inlineStr">
      <is>
        <t>huy.do-anh</t>
      </is>
    </nc>
  </rcc>
  <rcc rId="5444" sId="2">
    <nc r="S533" t="inlineStr">
      <is>
        <t>huy.do-anh</t>
      </is>
    </nc>
  </rcc>
  <rcc rId="5445" sId="2">
    <nc r="S534" t="inlineStr">
      <is>
        <t>huy.do-anh</t>
      </is>
    </nc>
  </rcc>
  <rcc rId="5446" sId="2">
    <nc r="X535">
      <f>58/6</f>
    </nc>
  </rcc>
  <rcc rId="5447" sId="2">
    <nc r="S504" t="inlineStr">
      <is>
        <t>chung.ly</t>
      </is>
    </nc>
  </rcc>
  <rcc rId="5448" sId="2">
    <nc r="S505" t="inlineStr">
      <is>
        <t>chung.ly</t>
      </is>
    </nc>
  </rcc>
  <rcc rId="5449" sId="2">
    <nc r="S506" t="inlineStr">
      <is>
        <t>chung.ly</t>
      </is>
    </nc>
  </rcc>
  <rcc rId="5450" sId="2">
    <nc r="S507" t="inlineStr">
      <is>
        <t>chung.ly</t>
      </is>
    </nc>
  </rcc>
  <rcc rId="5451" sId="2">
    <nc r="S508" t="inlineStr">
      <is>
        <t>phuong.nguyen-thanh</t>
      </is>
    </nc>
  </rcc>
  <rcc rId="5452" sId="2">
    <nc r="S509" t="inlineStr">
      <is>
        <t>phuong.nguyen-thanh</t>
      </is>
    </nc>
  </rcc>
  <rcc rId="5453" sId="2">
    <nc r="S523" t="inlineStr">
      <is>
        <t>chung.ly</t>
      </is>
    </nc>
  </rcc>
  <rcc rId="5454" sId="2">
    <nc r="S524" t="inlineStr">
      <is>
        <t>chung.ly</t>
      </is>
    </nc>
  </rcc>
  <rcc rId="5455" sId="2">
    <nc r="S525" t="inlineStr">
      <is>
        <t>chung.ly</t>
      </is>
    </nc>
  </rcc>
  <rcc rId="5456" sId="2">
    <nc r="S526" t="inlineStr">
      <is>
        <t>chung.ly</t>
      </is>
    </nc>
  </rcc>
  <rcc rId="5457" sId="2">
    <nc r="S527" t="inlineStr">
      <is>
        <t>phuong.nguyen-thanh</t>
      </is>
    </nc>
  </rcc>
  <rcc rId="5458" sId="2">
    <nc r="S528" t="inlineStr">
      <is>
        <t>phuong.nguyen-thanh</t>
      </is>
    </nc>
  </rcc>
  <rcc rId="5459" sId="2">
    <nc r="X537">
      <f>X535*2</f>
    </nc>
  </rcc>
  <rcc rId="5460" sId="2">
    <nc r="X538">
      <f>28-X537</f>
    </nc>
  </rcc>
  <rcc rId="5461" sId="2">
    <nc r="S510" t="inlineStr">
      <is>
        <t>dac.luu-cong</t>
      </is>
    </nc>
  </rcc>
  <rcc rId="5462" sId="2">
    <nc r="S511" t="inlineStr">
      <is>
        <t>dac.luu-cong</t>
      </is>
    </nc>
  </rcc>
  <rcc rId="5463" sId="2">
    <nc r="S512" t="inlineStr">
      <is>
        <t>dac.luu-cong</t>
      </is>
    </nc>
  </rcc>
  <rcc rId="5464" sId="2">
    <nc r="S513" t="inlineStr">
      <is>
        <t>dac.luu-cong</t>
      </is>
    </nc>
  </rcc>
  <rcc rId="5465" sId="2">
    <nc r="S514" t="inlineStr">
      <is>
        <t>dac.luu-cong</t>
      </is>
    </nc>
  </rcc>
  <rcc rId="5466" sId="2">
    <nc r="S498" t="inlineStr">
      <is>
        <t>hau.nguyen-tai</t>
      </is>
    </nc>
  </rcc>
  <rcc rId="5467" sId="2">
    <nc r="S499" t="inlineStr">
      <is>
        <t>hau.nguyen-tai</t>
      </is>
    </nc>
  </rcc>
  <rcc rId="5468" sId="2">
    <nc r="S500" t="inlineStr">
      <is>
        <t>khang.duong-chi</t>
      </is>
    </nc>
  </rcc>
  <rcc rId="5469" sId="2">
    <nc r="S502" t="inlineStr">
      <is>
        <t>khang.duong-chi</t>
      </is>
    </nc>
  </rcc>
  <rcc rId="5470" sId="2">
    <nc r="S503" t="inlineStr">
      <is>
        <t>khang.duong-chi</t>
      </is>
    </nc>
  </rcc>
  <rcc rId="5471" sId="2">
    <nc r="S501" t="inlineStr">
      <is>
        <t>hau.nguyen-tai</t>
      </is>
    </nc>
  </rcc>
  <rcc rId="5472" sId="2">
    <oc r="R498" t="inlineStr">
      <is>
        <t>T2xx</t>
      </is>
    </oc>
    <nc r="R498" t="inlineStr">
      <is>
        <t>T200</t>
      </is>
    </nc>
  </rcc>
  <rcc rId="5473" sId="2">
    <oc r="R499" t="inlineStr">
      <is>
        <t>T2xx</t>
      </is>
    </oc>
    <nc r="R499" t="inlineStr">
      <is>
        <t>T200</t>
      </is>
    </nc>
  </rcc>
  <rcc rId="5474" sId="2">
    <oc r="R501" t="inlineStr">
      <is>
        <t>T2xx</t>
      </is>
    </oc>
    <nc r="R501" t="inlineStr">
      <is>
        <t>T200</t>
      </is>
    </nc>
  </rcc>
  <rcc rId="5475" sId="2">
    <oc r="R500" t="inlineStr">
      <is>
        <t>T2xx</t>
      </is>
    </oc>
    <nc r="R500" t="inlineStr">
      <is>
        <t>T201</t>
      </is>
    </nc>
  </rcc>
  <rcc rId="5476" sId="2">
    <oc r="R502" t="inlineStr">
      <is>
        <t>T2xx</t>
      </is>
    </oc>
    <nc r="R502" t="inlineStr">
      <is>
        <t>T201</t>
      </is>
    </nc>
  </rcc>
  <rcc rId="5477" sId="2">
    <oc r="R503" t="inlineStr">
      <is>
        <t>T2xx</t>
      </is>
    </oc>
    <nc r="R503" t="inlineStr">
      <is>
        <t>T201</t>
      </is>
    </nc>
  </rcc>
  <rcc rId="5478" sId="2">
    <oc r="R504" t="inlineStr">
      <is>
        <t>T2xx</t>
      </is>
    </oc>
    <nc r="R504" t="inlineStr">
      <is>
        <t>T202</t>
      </is>
    </nc>
  </rcc>
  <rcc rId="5479" sId="2">
    <oc r="R505" t="inlineStr">
      <is>
        <t>T2xx</t>
      </is>
    </oc>
    <nc r="R505" t="inlineStr">
      <is>
        <t>T202</t>
      </is>
    </nc>
  </rcc>
  <rcc rId="5480" sId="2">
    <oc r="R506" t="inlineStr">
      <is>
        <t>T2xx</t>
      </is>
    </oc>
    <nc r="R506" t="inlineStr">
      <is>
        <t>T202</t>
      </is>
    </nc>
  </rcc>
  <rcc rId="5481" sId="2">
    <oc r="R507" t="inlineStr">
      <is>
        <t>T2xx</t>
      </is>
    </oc>
    <nc r="R507" t="inlineStr">
      <is>
        <t>T202</t>
      </is>
    </nc>
  </rcc>
  <rcc rId="5482" sId="2">
    <oc r="R508" t="inlineStr">
      <is>
        <t>T2xx</t>
      </is>
    </oc>
    <nc r="R508" t="inlineStr">
      <is>
        <t>T203</t>
      </is>
    </nc>
  </rcc>
  <rcc rId="5483" sId="2">
    <oc r="R509" t="inlineStr">
      <is>
        <t>T2xx</t>
      </is>
    </oc>
    <nc r="R509" t="inlineStr">
      <is>
        <t>T203</t>
      </is>
    </nc>
  </rcc>
  <rcc rId="5484" sId="2">
    <oc r="R510" t="inlineStr">
      <is>
        <t>T2xx</t>
      </is>
    </oc>
    <nc r="R510" t="inlineStr">
      <is>
        <t>T204</t>
      </is>
    </nc>
  </rcc>
  <rcc rId="5485" sId="2">
    <oc r="R511" t="inlineStr">
      <is>
        <t>T2xx</t>
      </is>
    </oc>
    <nc r="R511" t="inlineStr">
      <is>
        <t>T204</t>
      </is>
    </nc>
  </rcc>
  <rcc rId="5486" sId="2">
    <oc r="R512" t="inlineStr">
      <is>
        <t>T2xx</t>
      </is>
    </oc>
    <nc r="R512" t="inlineStr">
      <is>
        <t>T204</t>
      </is>
    </nc>
  </rcc>
  <rcc rId="5487" sId="2">
    <oc r="R513" t="inlineStr">
      <is>
        <t>T2xx</t>
      </is>
    </oc>
    <nc r="R513" t="inlineStr">
      <is>
        <t>T204</t>
      </is>
    </nc>
  </rcc>
  <rcc rId="5488" sId="2">
    <oc r="R514" t="inlineStr">
      <is>
        <t>T2xx</t>
      </is>
    </oc>
    <nc r="R514" t="inlineStr">
      <is>
        <t>T204</t>
      </is>
    </nc>
  </rcc>
  <rcc rId="5489" sId="2">
    <oc r="R515" t="inlineStr">
      <is>
        <t>T2xx</t>
      </is>
    </oc>
    <nc r="R515" t="inlineStr">
      <is>
        <t>T205</t>
      </is>
    </nc>
  </rcc>
  <rcc rId="5490" sId="2">
    <oc r="R516" t="inlineStr">
      <is>
        <t>T2xx</t>
      </is>
    </oc>
    <nc r="R516" t="inlineStr">
      <is>
        <t>T205</t>
      </is>
    </nc>
  </rcc>
  <rcc rId="5491" sId="2">
    <oc r="R517" t="inlineStr">
      <is>
        <t>T2xx</t>
      </is>
    </oc>
    <nc r="R517" t="inlineStr">
      <is>
        <t>T205</t>
      </is>
    </nc>
  </rcc>
  <rcc rId="5492" sId="2">
    <oc r="R518" t="inlineStr">
      <is>
        <t>T2xx</t>
      </is>
    </oc>
    <nc r="R518" t="inlineStr">
      <is>
        <t>T205</t>
      </is>
    </nc>
  </rcc>
  <rcc rId="5493" sId="2">
    <oc r="R519" t="inlineStr">
      <is>
        <t>T2xx</t>
      </is>
    </oc>
    <nc r="R519" t="inlineStr">
      <is>
        <t>T205</t>
      </is>
    </nc>
  </rcc>
  <rcc rId="5494" sId="2">
    <oc r="R520" t="inlineStr">
      <is>
        <t>T200</t>
      </is>
    </oc>
    <nc r="R520" t="inlineStr">
      <is>
        <t>T205</t>
      </is>
    </nc>
  </rcc>
  <rcc rId="5495" sId="2">
    <oc r="R521" t="inlineStr">
      <is>
        <t>T200</t>
      </is>
    </oc>
    <nc r="R521" t="inlineStr">
      <is>
        <t>T205</t>
      </is>
    </nc>
  </rcc>
  <rcc rId="5496" sId="2">
    <oc r="R522" t="inlineStr">
      <is>
        <t>T200</t>
      </is>
    </oc>
    <nc r="R522" t="inlineStr">
      <is>
        <t>T205</t>
      </is>
    </nc>
  </rcc>
  <rcc rId="5497" sId="2">
    <oc r="R523" t="inlineStr">
      <is>
        <t>T2xx</t>
      </is>
    </oc>
    <nc r="R523" t="inlineStr">
      <is>
        <t>T202</t>
      </is>
    </nc>
  </rcc>
  <rcc rId="5498" sId="2">
    <oc r="R524" t="inlineStr">
      <is>
        <t>T2xx</t>
      </is>
    </oc>
    <nc r="R524" t="inlineStr">
      <is>
        <t>T202</t>
      </is>
    </nc>
  </rcc>
  <rcc rId="5499" sId="2">
    <oc r="R525" t="inlineStr">
      <is>
        <t>T2xx</t>
      </is>
    </oc>
    <nc r="R525" t="inlineStr">
      <is>
        <t>T202</t>
      </is>
    </nc>
  </rcc>
  <rcc rId="5500" sId="2">
    <oc r="R526" t="inlineStr">
      <is>
        <t>T2xx</t>
      </is>
    </oc>
    <nc r="R526" t="inlineStr">
      <is>
        <t>T202</t>
      </is>
    </nc>
  </rcc>
  <rcc rId="5501" sId="2">
    <oc r="R527" t="inlineStr">
      <is>
        <t>T2xx</t>
      </is>
    </oc>
    <nc r="R527" t="inlineStr">
      <is>
        <t>T203</t>
      </is>
    </nc>
  </rcc>
  <rcc rId="5502" sId="2">
    <oc r="R528" t="inlineStr">
      <is>
        <t>T2xx</t>
      </is>
    </oc>
    <nc r="R528" t="inlineStr">
      <is>
        <t>T203</t>
      </is>
    </nc>
  </rcc>
  <rcc rId="5503" sId="2">
    <oc r="R529" t="inlineStr">
      <is>
        <t>T2xx</t>
      </is>
    </oc>
    <nc r="R529" t="inlineStr">
      <is>
        <t>T205</t>
      </is>
    </nc>
  </rcc>
  <rcc rId="5504" sId="2">
    <oc r="R530" t="inlineStr">
      <is>
        <t>T2xx</t>
      </is>
    </oc>
    <nc r="R530" t="inlineStr">
      <is>
        <t>T205</t>
      </is>
    </nc>
  </rcc>
  <rcc rId="5505" sId="2">
    <oc r="R531" t="inlineStr">
      <is>
        <t>T2xx</t>
      </is>
    </oc>
    <nc r="R531" t="inlineStr">
      <is>
        <t>T205</t>
      </is>
    </nc>
  </rcc>
  <rcc rId="5506" sId="2">
    <oc r="R532" t="inlineStr">
      <is>
        <t>T2xx</t>
      </is>
    </oc>
    <nc r="R532" t="inlineStr">
      <is>
        <t>T205</t>
      </is>
    </nc>
  </rcc>
  <rcc rId="5507" sId="2">
    <oc r="R533" t="inlineStr">
      <is>
        <t>T200</t>
      </is>
    </oc>
    <nc r="R533" t="inlineStr">
      <is>
        <t>T205</t>
      </is>
    </nc>
  </rcc>
  <rcc rId="5508" sId="2">
    <oc r="R534" t="inlineStr">
      <is>
        <t>T200</t>
      </is>
    </oc>
    <nc r="R534" t="inlineStr">
      <is>
        <t>T205</t>
      </is>
    </nc>
  </rcc>
  <rcv guid="{7ECC2B8E-6A82-42F5-8AB0-4A51C54EA5EC}" action="delete"/>
  <rdn rId="0" localSheetId="1" customView="1" name="Z_7ECC2B8E_6A82_42F5_8AB0_4A51C54EA5EC_.wvu.FilterData" hidden="1" oldHidden="1">
    <formula>Merged_COEM!$A$59:$AN$302</formula>
    <oldFormula>Merged_COEM!$A$59:$AN$302</oldFormula>
  </rdn>
  <rdn rId="0" localSheetId="2" customView="1" name="Z_7ECC2B8E_6A82_42F5_8AB0_4A51C54EA5EC_.wvu.FilterData" hidden="1" oldHidden="1">
    <formula>Merged_JOEM!$B$59:$AN$557</formula>
    <oldFormula>Merged_JOEM!$B$59:$AN$557</oldFormula>
  </rdn>
  <rcv guid="{7ECC2B8E-6A82-42F5-8AB0-4A51C54EA5EC}" action="add"/>
</revisions>
</file>

<file path=xl/revisions/revisionLog4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11" sId="2">
    <oc r="S501" t="inlineStr">
      <is>
        <t>hau.nguyen-tai</t>
      </is>
    </oc>
    <nc r="S501" t="inlineStr">
      <is>
        <t>khang.duong-chi</t>
      </is>
    </nc>
  </rcc>
  <rcc rId="5512" sId="2">
    <oc r="R501" t="inlineStr">
      <is>
        <t>T200</t>
      </is>
    </oc>
    <nc r="R501" t="inlineStr">
      <is>
        <t>T201</t>
      </is>
    </nc>
  </rcc>
  <rcv guid="{7ECC2B8E-6A82-42F5-8AB0-4A51C54EA5EC}" action="delete"/>
  <rdn rId="0" localSheetId="1" customView="1" name="Z_7ECC2B8E_6A82_42F5_8AB0_4A51C54EA5EC_.wvu.FilterData" hidden="1" oldHidden="1">
    <formula>Merged_COEM!$A$59:$AN$302</formula>
    <oldFormula>Merged_COEM!$A$59:$AN$302</oldFormula>
  </rdn>
  <rdn rId="0" localSheetId="2" customView="1" name="Z_7ECC2B8E_6A82_42F5_8AB0_4A51C54EA5EC_.wvu.FilterData" hidden="1" oldHidden="1">
    <formula>Merged_JOEM!$B$59:$AN$557</formula>
    <oldFormula>Merged_JOEM!$B$59:$AN$557</oldFormula>
  </rdn>
  <rcv guid="{7ECC2B8E-6A82-42F5-8AB0-4A51C54EA5EC}" action="add"/>
</revisions>
</file>

<file path=xl/revisions/revisionLog4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239" start="0" length="0">
    <dxf>
      <font>
        <b/>
      </font>
      <alignment horizontal="left" vertical="top" readingOrder="0"/>
      <border outline="0">
        <left style="thin">
          <color indexed="64"/>
        </left>
        <right style="thin">
          <color indexed="64"/>
        </right>
        <top style="thin">
          <color indexed="64"/>
        </top>
        <bottom style="thin">
          <color indexed="64"/>
        </bottom>
      </border>
    </dxf>
  </rfmt>
  <rcc rId="5515" sId="1" quotePrefix="1">
    <oc r="F239" t="inlineStr">
      <is>
        <t>-</t>
      </is>
    </oc>
    <nc r="F239" t="inlineStr">
      <is>
        <t>GEEA2_0-IB2-CSW-Deuterium-Development___SDB_B2H2_BG4\iBoosterGen2\rb\as\mb\ib2\app\dsm\RBVAR\src\VAR09_OutputDriver_CEVT.c</t>
      </is>
    </nc>
  </rcc>
  <rcc rId="5516" sId="1">
    <nc r="K239" t="inlineStr">
      <is>
        <t>Test: Manual; Cmt: Auto</t>
      </is>
    </nc>
  </rcc>
  <rcc rId="5517" sId="1">
    <nc r="X239">
      <f>W239</f>
    </nc>
  </rcc>
  <rcc rId="5518" sId="1">
    <nc r="AA239" t="inlineStr">
      <is>
        <t>Ready for review</t>
      </is>
    </nc>
  </rcc>
  <rcc rId="5519" sId="1" numFmtId="19">
    <nc r="AC239">
      <v>44082</v>
    </nc>
  </rcc>
  <rcc rId="5520" sId="1" numFmtId="19">
    <nc r="AE239">
      <v>44084</v>
    </nc>
  </rcc>
  <rcc rId="5521" sId="1">
    <nc r="Z239">
      <v>1</v>
    </nc>
  </rcc>
  <rcc rId="5522" sId="1" numFmtId="19">
    <nc r="AF239">
      <v>44084</v>
    </nc>
  </rcc>
  <rcc rId="5523" sId="1">
    <nc r="AG239" t="inlineStr">
      <is>
        <t>OK</t>
      </is>
    </nc>
  </rcc>
  <rcc rId="5524" sId="1" numFmtId="14">
    <nc r="AH239">
      <v>1</v>
    </nc>
  </rcc>
  <rcc rId="5525" sId="1" numFmtId="14">
    <nc r="AI239">
      <v>1</v>
    </nc>
  </rcc>
  <rcc rId="5526" sId="1" numFmtId="14">
    <nc r="AJ239">
      <v>1</v>
    </nc>
  </rcc>
  <rcc rId="5527" sId="1">
    <nc r="AK239" t="inlineStr">
      <is>
        <t>None</t>
      </is>
    </nc>
  </rcc>
  <rcv guid="{89C03E1E-B6A8-49A1-B29C-5DC4FAB2FBC6}" action="delete"/>
  <rdn rId="0" localSheetId="1" customView="1" name="Z_89C03E1E_B6A8_49A1_B29C_5DC4FAB2FBC6_.wvu.FilterData" hidden="1" oldHidden="1">
    <formula>Merged_COEM!$B$59:$AN$302</formula>
    <oldFormula>Merged_COEM!$B$59:$AN$302</oldFormula>
  </rdn>
  <rdn rId="0" localSheetId="2" customView="1" name="Z_89C03E1E_B6A8_49A1_B29C_5DC4FAB2FBC6_.wvu.FilterData" hidden="1" oldHidden="1">
    <formula>Merged_JOEM!$B$59:$AN$557</formula>
    <oldFormula>Merged_JOEM!$B$59:$AN$557</oldFormula>
  </rdn>
  <rcv guid="{89C03E1E-B6A8-49A1-B29C-5DC4FAB2FBC6}" action="add"/>
</revisions>
</file>

<file path=xl/revisions/revisionLog4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30" sId="1">
    <nc r="K243" t="inlineStr">
      <is>
        <t>Test: Manual; Cmt: Auto</t>
      </is>
    </nc>
  </rcc>
  <rcc rId="5531" sId="1">
    <nc r="K244" t="inlineStr">
      <is>
        <t>Test: Manual; Cmt: Auto</t>
      </is>
    </nc>
  </rcc>
  <rcv guid="{FECB4C41-27E8-4A22-AFB3-4F54CDD4960E}" action="delete"/>
  <rdn rId="0" localSheetId="1" customView="1" name="Z_FECB4C41_27E8_4A22_AFB3_4F54CDD4960E_.wvu.FilterData" hidden="1" oldHidden="1">
    <formula>Merged_COEM!$B$59:$AN$302</formula>
    <oldFormula>Merged_COEM!$B$59:$AN$302</oldFormula>
  </rdn>
  <rdn rId="0" localSheetId="2" customView="1" name="Z_FECB4C41_27E8_4A22_AFB3_4F54CDD4960E_.wvu.FilterData" hidden="1" oldHidden="1">
    <formula>Merged_JOEM!$B$59:$AN$557</formula>
    <oldFormula>Merged_JOEM!$B$59:$AN$557</oldFormula>
  </rdn>
  <rcv guid="{FECB4C41-27E8-4A22-AFB3-4F54CDD4960E}" action="add"/>
</revisions>
</file>

<file path=xl/revisions/revisionLog4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34" sId="1">
    <nc r="T244" t="inlineStr">
      <is>
        <t>loc.do-phu</t>
      </is>
    </nc>
  </rcc>
  <rcc rId="5535" sId="1">
    <nc r="X244">
      <f>W244</f>
    </nc>
  </rcc>
  <rcc rId="5536" sId="1">
    <nc r="Z244">
      <f>Y244</f>
    </nc>
  </rcc>
  <rcc rId="5537" sId="1" numFmtId="19">
    <nc r="AE244">
      <v>44084</v>
    </nc>
  </rcc>
  <rcc rId="5538" sId="1" numFmtId="19">
    <nc r="AF244">
      <v>44084</v>
    </nc>
  </rcc>
  <rcc rId="5539" sId="1">
    <nc r="AA244" t="inlineStr">
      <is>
        <t>Pending for OPL</t>
      </is>
    </nc>
  </rcc>
  <rcc rId="5540" sId="1">
    <nc r="AG244" t="inlineStr">
      <is>
        <t>NG</t>
      </is>
    </nc>
  </rcc>
  <rcc rId="5541" sId="1" numFmtId="14">
    <nc r="AH244">
      <v>0.99</v>
    </nc>
  </rcc>
  <rcc rId="5542" sId="1" numFmtId="14">
    <nc r="AI244">
      <v>0.98</v>
    </nc>
  </rcc>
  <rcc rId="5543" sId="1" numFmtId="14">
    <nc r="AJ244">
      <v>0.73</v>
    </nc>
  </rcc>
  <rcc rId="5544" sId="1">
    <nc r="AK244" t="inlineStr">
      <is>
        <t>OPL</t>
      </is>
    </nc>
  </rcc>
  <rcv guid="{FECB4C41-27E8-4A22-AFB3-4F54CDD4960E}" action="delete"/>
  <rdn rId="0" localSheetId="1" customView="1" name="Z_FECB4C41_27E8_4A22_AFB3_4F54CDD4960E_.wvu.FilterData" hidden="1" oldHidden="1">
    <formula>Merged_COEM!$B$59:$AN$302</formula>
    <oldFormula>Merged_COEM!$B$59:$AN$302</oldFormula>
  </rdn>
  <rdn rId="0" localSheetId="2" customView="1" name="Z_FECB4C41_27E8_4A22_AFB3_4F54CDD4960E_.wvu.FilterData" hidden="1" oldHidden="1">
    <formula>Merged_JOEM!$B$59:$AN$557</formula>
    <oldFormula>Merged_JOEM!$B$59:$AN$557</oldFormula>
  </rdn>
  <rcv guid="{FECB4C41-27E8-4A22-AFB3-4F54CDD4960E}" action="add"/>
</revisions>
</file>

<file path=xl/revisions/revisionLog4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47" sId="2">
    <nc r="Z482">
      <f>Y482</f>
    </nc>
  </rcc>
  <rcc rId="5548" sId="2">
    <nc r="AA482" t="inlineStr">
      <is>
        <t>Ready for review</t>
      </is>
    </nc>
  </rcc>
</revisions>
</file>

<file path=xl/revisions/revisionLog4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49" sId="1">
    <oc r="W246">
      <f>V246</f>
    </oc>
    <nc r="W246">
      <v>213</v>
    </nc>
  </rcc>
  <rcc rId="5550" sId="1">
    <nc r="X246">
      <f>W246</f>
    </nc>
  </rcc>
  <rcv guid="{FECB4C41-27E8-4A22-AFB3-4F54CDD4960E}" action="delete"/>
  <rdn rId="0" localSheetId="1" customView="1" name="Z_FECB4C41_27E8_4A22_AFB3_4F54CDD4960E_.wvu.FilterData" hidden="1" oldHidden="1">
    <formula>Merged_COEM!$B$59:$AN$302</formula>
    <oldFormula>Merged_COEM!$B$59:$AN$302</oldFormula>
  </rdn>
  <rdn rId="0" localSheetId="2" customView="1" name="Z_FECB4C41_27E8_4A22_AFB3_4F54CDD4960E_.wvu.FilterData" hidden="1" oldHidden="1">
    <formula>Merged_JOEM!$B$59:$AN$557</formula>
    <oldFormula>Merged_JOEM!$B$59:$AN$557</oldFormula>
  </rdn>
  <rcv guid="{FECB4C41-27E8-4A22-AFB3-4F54CDD4960E}" action="add"/>
</revisions>
</file>

<file path=xl/revisions/revisionLog4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61" sId="1">
    <oc r="W66">
      <f>V67</f>
    </oc>
    <nc r="W66">
      <v>170</v>
    </nc>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W66" start="0" length="2147483647">
    <dxf>
      <font>
        <b/>
      </font>
    </dxf>
  </rfmt>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W66" start="0" length="2147483647">
    <dxf>
      <font>
        <b val="0"/>
      </font>
    </dxf>
  </rfmt>
</revisions>
</file>

<file path=xl/revisions/revisionLog4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Merged_COEM!$A$59:$AN$302</formula>
    <oldFormula>Merged_COEM!$A$59:$AN$302</oldFormula>
  </rdn>
  <rdn rId="0" localSheetId="2" customView="1" name="Z_60D2C030_4E31_4E07_8E1C_44D2EE84B177_.wvu.FilterData" hidden="1" oldHidden="1">
    <formula>Merged_JOEM!$B$59:$AN$557</formula>
    <oldFormula>Merged_JOEM!$B$59:$AN$557</oldFormula>
  </rdn>
  <rcv guid="{60D2C030-4E31-4E07-8E1C-44D2EE84B177}" action="add"/>
</revisions>
</file>

<file path=xl/revisions/revisionLog4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74" sId="1">
    <oc r="W162">
      <v>119</v>
    </oc>
    <nc r="W162">
      <v>0</v>
    </nc>
  </rcc>
  <rfmt sheetId="1" sqref="W162">
    <dxf>
      <fill>
        <patternFill patternType="none">
          <bgColor auto="1"/>
        </patternFill>
      </fill>
    </dxf>
  </rfmt>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77" sId="1" numFmtId="14">
    <oc r="AH162">
      <v>1</v>
    </oc>
    <nc r="AH162" t="inlineStr">
      <is>
        <t>-</t>
      </is>
    </nc>
  </rcc>
  <rcc rId="5578" sId="1" numFmtId="14">
    <oc r="AI162">
      <v>1</v>
    </oc>
    <nc r="AI162" t="inlineStr">
      <is>
        <t>-</t>
      </is>
    </nc>
  </rcc>
  <rcc rId="5579" sId="1" numFmtId="14">
    <oc r="AJ162">
      <v>1</v>
    </oc>
    <nc r="AJ162" t="inlineStr">
      <is>
        <t>-</t>
      </is>
    </nc>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W231">
    <dxf>
      <fill>
        <patternFill patternType="solid">
          <bgColor rgb="FF92D050"/>
        </patternFill>
      </fill>
    </dxf>
  </rfmt>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92" sId="1" numFmtId="14">
    <oc r="AH244">
      <v>0.99</v>
    </oc>
    <nc r="AH244">
      <v>1</v>
    </nc>
  </rcc>
  <rcc rId="5593" sId="1" numFmtId="14">
    <oc r="AI244">
      <v>0.98</v>
    </oc>
    <nc r="AI244">
      <v>1</v>
    </nc>
  </rcc>
  <rcc rId="5594" sId="1" odxf="1" dxf="1" quotePrefix="1">
    <oc r="AL244" t="inlineStr">
      <is>
        <t>-</t>
      </is>
    </oc>
    <nc r="AL244" t="inlineStr">
      <is>
        <t>-1.Can’t cover full MCDC with case (T&amp;F) for line#283 and line#299  of decision ((nvmif_b == TRUE) &amp;&amp; (rba_BldrCmp_RDBI_ListIdx_u8 &lt; RBA_BLDRCMP_RDBI_NoReadDidByNvmidListEntries)). Because variable rba_BldrCmp_RDBI_ListIdx_u8 is always less than RBA_BLDRCMP_RDBI_NoReadDidByNvmidListEntries.
-2. Can’t cover full MCDC with case (T&amp;F) for line#329 and line#345,340,400  of decision ((func_b == TRUE) &amp;&amp; (rba_BldrCmp_RDBI_ListIdx_u8 &lt; RBA_BLDRCMP_RDBI_NoReadDidByFuncListEntries)). Because variable rba_BldrCmp_RDBI_ListIdx_u8 is always less than RBA_BLDRCMP_RDBI_NoReadDidByNvmidListEntries.</t>
      </is>
    </nc>
    <odxf>
      <alignment wrapText="0" readingOrder="0"/>
    </odxf>
    <ndxf>
      <alignment wrapText="1" readingOrder="0"/>
    </ndxf>
  </rcc>
  <rcc rId="5595" sId="1">
    <oc r="AA244" t="inlineStr">
      <is>
        <t>Pending for OPL</t>
      </is>
    </oc>
    <nc r="AA244" t="inlineStr">
      <is>
        <t>Ready for review</t>
      </is>
    </nc>
  </rcc>
  <rcv guid="{FECB4C41-27E8-4A22-AFB3-4F54CDD4960E}" action="delete"/>
  <rdn rId="0" localSheetId="1" customView="1" name="Z_FECB4C41_27E8_4A22_AFB3_4F54CDD4960E_.wvu.FilterData" hidden="1" oldHidden="1">
    <formula>Merged_COEM!$B$59:$AN$302</formula>
    <oldFormula>Merged_COEM!$B$59:$AN$302</oldFormula>
  </rdn>
  <rdn rId="0" localSheetId="2" customView="1" name="Z_FECB4C41_27E8_4A22_AFB3_4F54CDD4960E_.wvu.FilterData" hidden="1" oldHidden="1">
    <formula>Merged_JOEM!$B$59:$AN$557</formula>
    <oldFormula>Merged_JOEM!$B$59:$AN$557</oldFormula>
  </rdn>
  <rcv guid="{FECB4C41-27E8-4A22-AFB3-4F54CDD4960E}" action="add"/>
</revisions>
</file>

<file path=xl/revisions/revisionLog4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33AC7AF-C8AB-4CE9-94C7-9237011A5FC3}" action="delete"/>
  <rdn rId="0" localSheetId="1" customView="1" name="Z_D33AC7AF_C8AB_4CE9_94C7_9237011A5FC3_.wvu.FilterData" hidden="1" oldHidden="1">
    <formula>Merged_COEM!$B$59:$AN$302</formula>
    <oldFormula>Merged_COEM!$B$59:$AN$302</oldFormula>
  </rdn>
  <rdn rId="0" localSheetId="2" customView="1" name="Z_D33AC7AF_C8AB_4CE9_94C7_9237011A5FC3_.wvu.FilterData" hidden="1" oldHidden="1">
    <formula>Merged_JOEM!$B$59:$AN$557</formula>
    <oldFormula>Merged_JOEM!$B$59:$AN$557</oldFormula>
  </rdn>
  <rcv guid="{D33AC7AF-C8AB-4CE9-94C7-9237011A5FC3}" action="add"/>
</revisions>
</file>

<file path=xl/revisions/revisionLog4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FECB4C41-27E8-4A22-AFB3-4F54CDD4960E}" action="delete"/>
  <rdn rId="0" localSheetId="1" customView="1" name="Z_FECB4C41_27E8_4A22_AFB3_4F54CDD4960E_.wvu.FilterData" hidden="1" oldHidden="1">
    <formula>Merged_COEM!$B$59:$AN$302</formula>
    <oldFormula>Merged_COEM!$B$59:$AN$302</oldFormula>
  </rdn>
  <rdn rId="0" localSheetId="2" customView="1" name="Z_FECB4C41_27E8_4A22_AFB3_4F54CDD4960E_.wvu.FilterData" hidden="1" oldHidden="1">
    <formula>Merged_JOEM!$B$59:$AN$557</formula>
    <oldFormula>Merged_JOEM!$B$59:$AN$557</oldFormula>
  </rdn>
  <rcv guid="{FECB4C41-27E8-4A22-AFB3-4F54CDD4960E}" action="add"/>
</revisions>
</file>

<file path=xl/revisions/revisionLog4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9BC1C51-34DC-4BF2-906C-1E31B6171D71}" action="delete"/>
  <rdn rId="0" localSheetId="1" customView="1" name="Z_99BC1C51_34DC_4BF2_906C_1E31B6171D71_.wvu.FilterData" hidden="1" oldHidden="1">
    <formula>Merged_COEM!$A$59:$AN$302</formula>
    <oldFormula>Merged_COEM!$A$59:$AN$302</oldFormula>
  </rdn>
  <rdn rId="0" localSheetId="2" customView="1" name="Z_99BC1C51_34DC_4BF2_906C_1E31B6171D71_.wvu.FilterData" hidden="1" oldHidden="1">
    <formula>Merged_JOEM!$B$59:$AN$557</formula>
    <oldFormula>Merged_JOEM!$B$59:$AN$557</oldFormula>
  </rdn>
  <rcv guid="{99BC1C51-34DC-4BF2-906C-1E31B6171D71}" action="add"/>
</revisions>
</file>

<file path=xl/revisions/revisionLog4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06" sId="1">
    <nc r="X245">
      <f>W245</f>
    </nc>
  </rcc>
  <rcc rId="5607" sId="1">
    <oc r="W248">
      <f>V248</f>
    </oc>
    <nc r="W248">
      <v>145</v>
    </nc>
  </rcc>
  <rfmt sheetId="1" sqref="W248">
    <dxf>
      <fill>
        <patternFill patternType="solid">
          <bgColor rgb="FFFF0000"/>
        </patternFill>
      </fill>
    </dxf>
  </rfmt>
  <rcc rId="5608" sId="1">
    <nc r="X248">
      <f>W248</f>
    </nc>
  </rcc>
  <rcc rId="5609" sId="1">
    <nc r="Z248">
      <v>3</v>
    </nc>
  </rcc>
  <rcc rId="5610" sId="1">
    <nc r="Z245">
      <v>6.2</v>
    </nc>
  </rcc>
  <rcv guid="{99BC1C51-34DC-4BF2-906C-1E31B6171D71}" action="delete"/>
  <rdn rId="0" localSheetId="1" customView="1" name="Z_99BC1C51_34DC_4BF2_906C_1E31B6171D71_.wvu.FilterData" hidden="1" oldHidden="1">
    <formula>Merged_COEM!$A$59:$AN$302</formula>
    <oldFormula>Merged_COEM!$A$59:$AN$302</oldFormula>
  </rdn>
  <rdn rId="0" localSheetId="2" customView="1" name="Z_99BC1C51_34DC_4BF2_906C_1E31B6171D71_.wvu.FilterData" hidden="1" oldHidden="1">
    <formula>Merged_JOEM!$B$59:$AN$557</formula>
    <oldFormula>Merged_JOEM!$B$59:$AN$557</oldFormula>
  </rdn>
  <rcv guid="{99BC1C51-34DC-4BF2-906C-1E31B6171D71}" action="add"/>
</revisions>
</file>

<file path=xl/revisions/revisionLog4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13" sId="1">
    <nc r="K245" t="inlineStr">
      <is>
        <t>Test: Manual; Cmt: Auto</t>
      </is>
    </nc>
  </rcc>
  <rcc rId="5614" sId="1">
    <nc r="K248" t="inlineStr">
      <is>
        <t>Test: Manual; Cmt: Auto</t>
      </is>
    </nc>
  </rcc>
  <rcv guid="{99BC1C51-34DC-4BF2-906C-1E31B6171D71}" action="delete"/>
  <rdn rId="0" localSheetId="1" customView="1" name="Z_99BC1C51_34DC_4BF2_906C_1E31B6171D71_.wvu.FilterData" hidden="1" oldHidden="1">
    <formula>Merged_COEM!$A$59:$AN$302</formula>
    <oldFormula>Merged_COEM!$A$59:$AN$302</oldFormula>
  </rdn>
  <rdn rId="0" localSheetId="2" customView="1" name="Z_99BC1C51_34DC_4BF2_906C_1E31B6171D71_.wvu.FilterData" hidden="1" oldHidden="1">
    <formula>Merged_JOEM!$B$59:$AN$557</formula>
    <oldFormula>Merged_JOEM!$B$59:$AN$557</oldFormula>
  </rdn>
  <rcv guid="{99BC1C51-34DC-4BF2-906C-1E31B6171D71}" action="add"/>
</revisions>
</file>

<file path=xl/revisions/revisionLog4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19" sId="1" quotePrefix="1">
    <oc r="F273" t="inlineStr">
      <is>
        <t>rb\as\fawESP\esp\app\asw.WrapperSWC\src\PCT_AswWrapper.c</t>
      </is>
    </oc>
    <nc r="F273" t="inlineStr">
      <is>
        <t>rb\as\fawESP\esp\app\asw\WrapperSWC\src\PCT_AswWrapper.c</t>
      </is>
    </nc>
  </rcc>
  <rcv guid="{7E0EA425-A420-4443-B9E0-CDF0AA9E5D09}" action="delete"/>
  <rdn rId="0" localSheetId="1" customView="1" name="Z_7E0EA425_A420_4443_B9E0_CDF0AA9E5D09_.wvu.Cols" hidden="1" oldHidden="1">
    <formula>Merged_COEM!$K:$U</formula>
  </rdn>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4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Merged_COEM!$A$59:$AN$302</formula>
    <oldFormula>Merged_COEM!$A$59:$AN$302</oldFormula>
  </rdn>
  <rdn rId="0" localSheetId="2" customView="1" name="Z_3B3E6719_EACB_4D2C_89C1_05FFAB6020FD_.wvu.FilterData" hidden="1" oldHidden="1">
    <formula>Merged_JOEM!$B$59:$AN$557</formula>
    <oldFormula>Merged_JOEM!$B$59:$AN$557</oldFormula>
  </rdn>
  <rcv guid="{3B3E6719-EACB-4D2C-89C1-05FFAB6020FD}" action="add"/>
</revisions>
</file>

<file path=xl/revisions/revisionLog4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25" sId="1" quotePrefix="1">
    <oc r="F245" t="inlineStr">
      <is>
        <t>rba\FBL\SW\ApplicationLayer\rba_BldrCmp\src</t>
      </is>
    </oc>
    <nc r="F245" t="inlineStr">
      <is>
        <t>JMC_Ford_V348_ESP9.3CP_Int\JMC\rba\Bldr\BldrCmp\src</t>
      </is>
    </nc>
  </rcc>
  <rfmt sheetId="1" sqref="F245" start="0" length="2147483647">
    <dxf>
      <font>
        <b/>
      </font>
    </dxf>
  </rfmt>
  <rcc rId="5626" sId="1" odxf="1" dxf="1" quotePrefix="1">
    <oc r="F248" t="inlineStr">
      <is>
        <t>rba\FBL\SW\ApplicationLayer\rba_BldrCmp\src</t>
      </is>
    </oc>
    <nc r="F248" t="inlineStr">
      <is>
        <t>JMC_Ford_V348_ESP9.3CP_Int\JMC\rba\Bldr\BldrCmp\src</t>
      </is>
    </nc>
    <odxf>
      <font>
        <b val="0"/>
        <sz val="11"/>
        <color theme="1"/>
        <name val="Calibri"/>
        <scheme val="minor"/>
      </font>
    </odxf>
    <ndxf>
      <font>
        <b/>
        <sz val="11"/>
        <color theme="1"/>
        <name val="Calibri"/>
        <scheme val="minor"/>
      </font>
    </ndxf>
  </rcc>
  <rcv guid="{99BC1C51-34DC-4BF2-906C-1E31B6171D71}" action="delete"/>
  <rdn rId="0" localSheetId="1" customView="1" name="Z_99BC1C51_34DC_4BF2_906C_1E31B6171D71_.wvu.FilterData" hidden="1" oldHidden="1">
    <formula>Merged_COEM!$A$59:$AN$302</formula>
    <oldFormula>Merged_COEM!$A$59:$AN$302</oldFormula>
  </rdn>
  <rdn rId="0" localSheetId="2" customView="1" name="Z_99BC1C51_34DC_4BF2_906C_1E31B6171D71_.wvu.FilterData" hidden="1" oldHidden="1">
    <formula>Merged_JOEM!$B$59:$AN$557</formula>
    <oldFormula>Merged_JOEM!$B$59:$AN$557</oldFormula>
  </rdn>
  <rcv guid="{99BC1C51-34DC-4BF2-906C-1E31B6171D71}" action="add"/>
</revisions>
</file>

<file path=xl/revisions/revisionLog4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29" sId="1" quotePrefix="1">
    <oc r="F250" t="inlineStr">
      <is>
        <t>rba\jmc\Bldr\config\ApplicationLayer\rba_BldrCmprba\FBL\SW\ApplicationLayer\rba_BldrCmp\src</t>
      </is>
    </oc>
    <nc r="F250" t="inlineStr">
      <is>
        <t>JMC_Ford_V348_ESP9.3CP_Int\JMC\rba\Bldr\config\ApplicationLayer\rba_BldrCmp\src</t>
      </is>
    </nc>
  </rcc>
  <rfmt sheetId="1" sqref="F250" start="0" length="2147483647">
    <dxf>
      <font>
        <b/>
      </font>
    </dxf>
  </rfmt>
</revisions>
</file>

<file path=xl/revisions/revisionLog4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30" sId="1">
    <nc r="Z246">
      <f>Y246</f>
    </nc>
  </rcc>
  <rcc rId="5631" sId="1">
    <nc r="T246" t="inlineStr">
      <is>
        <t>loc.do-phu</t>
      </is>
    </nc>
  </rcc>
  <rcc rId="5632" sId="1">
    <nc r="T247" t="inlineStr">
      <is>
        <t>loc.do-phu</t>
      </is>
    </nc>
  </rcc>
  <rcc rId="5633" sId="1">
    <nc r="T249" t="inlineStr">
      <is>
        <t>loc.do-phu</t>
      </is>
    </nc>
  </rcc>
  <rcc rId="5634" sId="1">
    <nc r="T251" t="inlineStr">
      <is>
        <t>loc.do-phu</t>
      </is>
    </nc>
  </rcc>
  <rcc rId="5635" sId="1">
    <nc r="T253" t="inlineStr">
      <is>
        <t>loc.do-phu</t>
      </is>
    </nc>
  </rcc>
  <rcc rId="5636" sId="1">
    <nc r="T254" t="inlineStr">
      <is>
        <t>loc.do-phu</t>
      </is>
    </nc>
  </rcc>
  <rcv guid="{FECB4C41-27E8-4A22-AFB3-4F54CDD4960E}" action="delete"/>
  <rdn rId="0" localSheetId="1" customView="1" name="Z_FECB4C41_27E8_4A22_AFB3_4F54CDD4960E_.wvu.FilterData" hidden="1" oldHidden="1">
    <formula>Merged_COEM!$B$59:$AN$302</formula>
    <oldFormula>Merged_COEM!$B$59:$AN$302</oldFormula>
  </rdn>
  <rdn rId="0" localSheetId="2" customView="1" name="Z_FECB4C41_27E8_4A22_AFB3_4F54CDD4960E_.wvu.FilterData" hidden="1" oldHidden="1">
    <formula>Merged_JOEM!$B$59:$AN$557</formula>
    <oldFormula>Merged_JOEM!$B$59:$AN$557</oldFormula>
  </rdn>
  <rcv guid="{FECB4C41-27E8-4A22-AFB3-4F54CDD4960E}" action="add"/>
</revisions>
</file>

<file path=xl/revisions/revisionLog4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39" sId="1">
    <oc r="W250">
      <f>V250</f>
    </oc>
    <nc r="W250">
      <v>172</v>
    </nc>
  </rcc>
  <rfmt sheetId="1" sqref="W250">
    <dxf>
      <fill>
        <patternFill patternType="solid">
          <bgColor rgb="FFFF0000"/>
        </patternFill>
      </fill>
    </dxf>
  </rfmt>
  <rcc rId="5640" sId="1">
    <nc r="X250">
      <f>W250</f>
    </nc>
  </rcc>
</revisions>
</file>

<file path=xl/revisions/revisionLog4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41" sId="1">
    <nc r="K246" t="inlineStr">
      <is>
        <t>Test: Manual; Cmt: Auto</t>
      </is>
    </nc>
  </rcc>
  <rcc rId="5642" sId="1">
    <nc r="K247" t="inlineStr">
      <is>
        <t>Test: Manual; Cmt: Auto</t>
      </is>
    </nc>
  </rcc>
  <rcc rId="5643" sId="1">
    <nc r="K249" t="inlineStr">
      <is>
        <t>Test: Manual; Cmt: Auto</t>
      </is>
    </nc>
  </rcc>
  <rcc rId="5644" sId="1">
    <nc r="K251" t="inlineStr">
      <is>
        <t>Test: Manual; Cmt: Auto</t>
      </is>
    </nc>
  </rcc>
  <rcc rId="5645" sId="1">
    <nc r="K253" t="inlineStr">
      <is>
        <t>Test: Manual; Cmt: Auto</t>
      </is>
    </nc>
  </rcc>
  <rcc rId="5646" sId="1">
    <nc r="K254" t="inlineStr">
      <is>
        <t>Test: Manual; Cmt: Auto</t>
      </is>
    </nc>
  </rcc>
  <rcc rId="5647" sId="1">
    <nc r="AA246" t="inlineStr">
      <is>
        <t>Ready for review</t>
      </is>
    </nc>
  </rcc>
  <rcc rId="5648" sId="1">
    <nc r="AG246" t="inlineStr">
      <is>
        <t>OK</t>
      </is>
    </nc>
  </rcc>
  <rcc rId="5649" sId="1" numFmtId="14">
    <nc r="AH246">
      <v>1</v>
    </nc>
  </rcc>
  <rcc rId="5650" sId="1" numFmtId="14">
    <nc r="AI246">
      <v>1</v>
    </nc>
  </rcc>
  <rcc rId="5651" sId="1" numFmtId="14">
    <nc r="AJ246">
      <v>1</v>
    </nc>
  </rcc>
  <rcc rId="5652" sId="1">
    <nc r="AK246" t="inlineStr">
      <is>
        <t>None</t>
      </is>
    </nc>
  </rcc>
  <rcc rId="5653" sId="1" numFmtId="19">
    <nc r="AE246">
      <v>44085</v>
    </nc>
  </rcc>
  <rcc rId="5654" sId="1" numFmtId="19">
    <nc r="AF246">
      <v>44085</v>
    </nc>
  </rcc>
  <rcv guid="{FECB4C41-27E8-4A22-AFB3-4F54CDD4960E}" action="delete"/>
  <rdn rId="0" localSheetId="1" customView="1" name="Z_FECB4C41_27E8_4A22_AFB3_4F54CDD4960E_.wvu.FilterData" hidden="1" oldHidden="1">
    <formula>Merged_COEM!$B$59:$AN$302</formula>
    <oldFormula>Merged_COEM!$B$59:$AN$302</oldFormula>
  </rdn>
  <rdn rId="0" localSheetId="2" customView="1" name="Z_FECB4C41_27E8_4A22_AFB3_4F54CDD4960E_.wvu.FilterData" hidden="1" oldHidden="1">
    <formula>Merged_JOEM!$B$59:$AN$557</formula>
    <oldFormula>Merged_JOEM!$B$59:$AN$557</oldFormula>
  </rdn>
  <rcv guid="{FECB4C41-27E8-4A22-AFB3-4F54CDD4960E}" action="add"/>
</revisions>
</file>

<file path=xl/revisions/revisionLog4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Merged_COEM!$A$59:$AN$302</formula>
    <oldFormula>Merged_COEM!$A$59:$AN$302</oldFormula>
  </rdn>
  <rdn rId="0" localSheetId="2" customView="1" name="Z_3B3E6719_EACB_4D2C_89C1_05FFAB6020FD_.wvu.FilterData" hidden="1" oldHidden="1">
    <formula>Merged_JOEM!$B$59:$AN$557</formula>
    <oldFormula>Merged_JOEM!$B$59:$AN$557</oldFormula>
  </rdn>
  <rcv guid="{3B3E6719-EACB-4D2C-89C1-05FFAB6020FD}" action="add"/>
</revisions>
</file>

<file path=xl/revisions/revisionLog4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59" sId="2">
    <nc r="X515">
      <v>31.5</v>
    </nc>
  </rcc>
  <rcc rId="5660" sId="2">
    <nc r="X516">
      <v>31.5</v>
    </nc>
  </rcc>
  <rcc rId="5661" sId="2">
    <nc r="X517">
      <v>31.5</v>
    </nc>
  </rcc>
  <rcc rId="5662" sId="2">
    <nc r="X518">
      <v>31.5</v>
    </nc>
  </rcc>
  <rcc rId="5663" sId="2">
    <nc r="X519">
      <v>31.5</v>
    </nc>
  </rcc>
  <rcc rId="5664" sId="2">
    <nc r="X520">
      <v>49.5</v>
    </nc>
  </rcc>
  <rcc rId="5665" sId="2">
    <nc r="X521">
      <v>157.5</v>
    </nc>
  </rcc>
  <rcc rId="5666" sId="2">
    <nc r="X522">
      <v>157.5</v>
    </nc>
  </rcc>
  <rcc rId="5667" sId="2">
    <nc r="Z515">
      <v>0.55999999999999994</v>
    </nc>
  </rcc>
  <rcc rId="5668" sId="2">
    <nc r="Z516">
      <v>0.55999999999999994</v>
    </nc>
  </rcc>
  <rcc rId="5669" sId="2">
    <nc r="Z517">
      <v>0.55999999999999994</v>
    </nc>
  </rcc>
  <rcc rId="5670" sId="2">
    <nc r="Z518">
      <v>0.55999999999999994</v>
    </nc>
  </rcc>
  <rcc rId="5671" sId="2">
    <nc r="Z519">
      <v>0.55999999999999994</v>
    </nc>
  </rcc>
  <rcc rId="5672" sId="2">
    <nc r="Z520">
      <v>0.88000000000000012</v>
    </nc>
  </rcc>
  <rcc rId="5673" sId="2">
    <nc r="Z521">
      <v>2.8000000000000003</v>
    </nc>
  </rcc>
  <rcc rId="5674" sId="2">
    <nc r="Z522">
      <v>2.8000000000000003</v>
    </nc>
  </rcc>
  <rcc rId="5675" sId="2" numFmtId="19">
    <nc r="AE515">
      <v>44085</v>
    </nc>
  </rcc>
  <rcc rId="5676" sId="2" numFmtId="19">
    <nc r="AF515">
      <v>44085</v>
    </nc>
  </rcc>
  <rcc rId="5677" sId="2">
    <nc r="AG515" t="inlineStr">
      <is>
        <t>OK</t>
      </is>
    </nc>
  </rcc>
  <rcc rId="5678" sId="2" odxf="1" dxf="1" quotePrefix="1">
    <nc r="AK515" t="inlineStr">
      <is>
        <t>None</t>
      </is>
    </nc>
    <odxf>
      <numFmt numFmtId="0" formatCode="General"/>
      <alignment horizontal="general" readingOrder="0"/>
    </odxf>
    <ndxf>
      <numFmt numFmtId="164" formatCode="[$-409]d\-mmm\-yyyy;@"/>
      <alignment horizontal="left" readingOrder="0"/>
    </ndxf>
  </rcc>
  <rcc rId="5679" sId="2" numFmtId="14">
    <nc r="AH515">
      <v>1</v>
    </nc>
  </rcc>
  <rcc rId="5680" sId="2" numFmtId="14">
    <nc r="AI515">
      <v>1</v>
    </nc>
  </rcc>
  <rcc rId="5681" sId="2" numFmtId="14">
    <nc r="AJ515">
      <v>0.83</v>
    </nc>
  </rcc>
  <rcv guid="{D33AC7AF-C8AB-4CE9-94C7-9237011A5FC3}" action="delete"/>
  <rdn rId="0" localSheetId="1" customView="1" name="Z_D33AC7AF_C8AB_4CE9_94C7_9237011A5FC3_.wvu.FilterData" hidden="1" oldHidden="1">
    <formula>Merged_COEM!$B$59:$AN$302</formula>
    <oldFormula>Merged_COEM!$B$59:$AN$302</oldFormula>
  </rdn>
  <rdn rId="0" localSheetId="2" customView="1" name="Z_D33AC7AF_C8AB_4CE9_94C7_9237011A5FC3_.wvu.FilterData" hidden="1" oldHidden="1">
    <formula>Merged_JOEM!$B$59:$AN$557</formula>
    <oldFormula>Merged_JOEM!$B$59:$AN$557</oldFormula>
  </rdn>
  <rcv guid="{D33AC7AF-C8AB-4CE9-94C7-9237011A5FC3}" action="add"/>
</revisions>
</file>

<file path=xl/revisions/revisionLog4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C94451EF-7A3E-4D72-B5A4-3D1B193192CC}" action="delete"/>
  <rdn rId="0" localSheetId="1" customView="1" name="Z_C94451EF_7A3E_4D72_B5A4_3D1B193192CC_.wvu.FilterData" hidden="1" oldHidden="1">
    <formula>Merged_COEM!$B$59:$AN$302</formula>
    <oldFormula>Merged_COEM!$B$59:$AN$302</oldFormula>
  </rdn>
  <rdn rId="0" localSheetId="2" customView="1" name="Z_C94451EF_7A3E_4D72_B5A4_3D1B193192CC_.wvu.FilterData" hidden="1" oldHidden="1">
    <formula>Merged_JOEM!$B$59:$AN$557</formula>
    <oldFormula>Merged_JOEM!$B$59:$AN$557</oldFormula>
  </rdn>
  <rcv guid="{C94451EF-7A3E-4D72-B5A4-3D1B193192CC}" action="add"/>
</revisions>
</file>

<file path=xl/revisions/revisionLog4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86" sId="2" numFmtId="14">
    <nc r="AH482">
      <v>1</v>
    </nc>
  </rcc>
  <rcc rId="5687" sId="2" numFmtId="14">
    <nc r="AI482">
      <v>1</v>
    </nc>
  </rcc>
  <rcc rId="5688" sId="2" numFmtId="14">
    <nc r="AJ482">
      <v>0.38800000000000001</v>
    </nc>
  </rcc>
  <rcc rId="5689" sId="2" quotePrefix="1">
    <nc r="AK482" t="inlineStr">
      <is>
        <t>None</t>
      </is>
    </nc>
  </rcc>
  <rcc rId="5690" sId="2" numFmtId="19">
    <nc r="AE482">
      <v>44085</v>
    </nc>
  </rcc>
  <rcc rId="5691" sId="2" numFmtId="19">
    <nc r="AF482">
      <v>44085</v>
    </nc>
  </rcc>
  <rcc rId="5692" sId="2">
    <nc r="AG482" t="inlineStr">
      <is>
        <t>OK</t>
      </is>
    </nc>
  </rcc>
  <rfmt sheetId="2" sqref="I482" start="0" length="2147483647">
    <dxf>
      <font>
        <color rgb="FFFF0000"/>
      </font>
    </dxf>
  </rfmt>
  <rcv guid="{336B6883-2145-4B58-921E-CEC7185A847E}" action="delete"/>
  <rdn rId="0" localSheetId="1" customView="1" name="Z_336B6883_2145_4B58_921E_CEC7185A847E_.wvu.FilterData" hidden="1" oldHidden="1">
    <formula>Merged_COEM!$P$59:$P$303</formula>
    <oldFormula>Merged_COEM!$P$59:$P$303</oldFormula>
  </rdn>
  <rdn rId="0" localSheetId="2" customView="1" name="Z_336B6883_2145_4B58_921E_CEC7185A847E_.wvu.Cols" hidden="1" oldHidden="1">
    <formula>Merged_JOEM!$A:$G,Merged_JOEM!$K:$K,Merged_JOEM!$M:$N,Merged_JOEM!$P:$Q,Merged_JOEM!$S:$X,Merged_JOEM!$AB:$AD</formula>
    <oldFormula>Merged_JOEM!$A:$G,Merged_JOEM!$K:$K,Merged_JOEM!$M:$N,Merged_JOEM!$P:$Q,Merged_JOEM!$S:$X,Merged_JOEM!$AB:$AD</oldFormula>
  </rdn>
  <rdn rId="0" localSheetId="2" customView="1" name="Z_336B6883_2145_4B58_921E_CEC7185A847E_.wvu.FilterData" hidden="1" oldHidden="1">
    <formula>Merged_JOEM!$B$59:$AN$557</formula>
    <oldFormula>Merged_JOEM!$B$59:$AN$557</oldFormula>
  </rdn>
  <rcv guid="{336B6883-2145-4B58-921E-CEC7185A847E}" action="add"/>
</revisions>
</file>

<file path=xl/revisions/revisionLog4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96" sId="1">
    <oc r="W282">
      <f>V282</f>
    </oc>
    <nc r="W282">
      <v>0</v>
    </nc>
  </rcc>
  <rfmt sheetId="1" sqref="W282">
    <dxf>
      <fill>
        <patternFill patternType="solid">
          <bgColor rgb="FFFF0000"/>
        </patternFill>
      </fill>
    </dxf>
  </rfmt>
  <rcc rId="5697" sId="1">
    <oc r="Z282">
      <v>3</v>
    </oc>
    <nc r="Z282">
      <v>0</v>
    </nc>
  </rcc>
  <rcc rId="5698" sId="1" quotePrefix="1">
    <oc r="AN282" t="inlineStr">
      <is>
        <t>-</t>
      </is>
    </oc>
    <nc r="AN282" t="inlineStr">
      <is>
        <t>-No function for testing</t>
      </is>
    </nc>
  </rcc>
  <rcc rId="5699" sId="1" numFmtId="19">
    <nc r="AF275">
      <v>44084</v>
    </nc>
  </rcc>
  <rcc rId="5700" sId="1" numFmtId="19">
    <nc r="AF282">
      <v>44084</v>
    </nc>
  </rcc>
</revisions>
</file>

<file path=xl/revisions/revisionLog4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01" sId="2">
    <nc r="Z467">
      <f>Y467</f>
    </nc>
  </rcc>
  <rcc rId="5702" sId="2">
    <nc r="AA467" t="inlineStr">
      <is>
        <t>Ready for review</t>
      </is>
    </nc>
  </rcc>
  <rcc rId="5703" sId="2" numFmtId="19">
    <nc r="AE467">
      <v>44085</v>
    </nc>
  </rcc>
  <rcc rId="5704" sId="2" numFmtId="19">
    <nc r="AF467">
      <v>44085</v>
    </nc>
  </rcc>
  <rcc rId="5705" sId="2">
    <nc r="AG467" t="inlineStr">
      <is>
        <t>OK</t>
      </is>
    </nc>
  </rcc>
  <rcc rId="5706" sId="2" numFmtId="14">
    <nc r="AH467">
      <v>1</v>
    </nc>
  </rcc>
  <rcc rId="5707" sId="2" numFmtId="14">
    <nc r="AI467">
      <v>1</v>
    </nc>
  </rcc>
  <rcc rId="5708" sId="2" numFmtId="14">
    <nc r="AJ467">
      <v>0.5</v>
    </nc>
  </rcc>
  <rcc rId="5709" sId="2" quotePrefix="1">
    <nc r="AK467" t="inlineStr">
      <is>
        <t>None</t>
      </is>
    </nc>
  </rcc>
  <rcv guid="{60D2C030-4E31-4E07-8E1C-44D2EE84B177}" action="delete"/>
  <rdn rId="0" localSheetId="1" customView="1" name="Z_60D2C030_4E31_4E07_8E1C_44D2EE84B177_.wvu.FilterData" hidden="1" oldHidden="1">
    <formula>Merged_COEM!$A$59:$AN$302</formula>
    <oldFormula>Merged_COEM!$A$59:$AN$302</oldFormula>
  </rdn>
  <rdn rId="0" localSheetId="2" customView="1" name="Z_60D2C030_4E31_4E07_8E1C_44D2EE84B177_.wvu.FilterData" hidden="1" oldHidden="1">
    <formula>Merged_JOEM!$B$59:$AN$557</formula>
    <oldFormula>Merged_JOEM!$B$59:$AN$557</oldFormula>
  </rdn>
  <rcv guid="{60D2C030-4E31-4E07-8E1C-44D2EE84B177}" action="add"/>
</revisions>
</file>

<file path=xl/revisions/revisionLog4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Merged_COEM!$A$59:$AN$302</formula>
    <oldFormula>Merged_COEM!$A$59:$AN$302</oldFormula>
  </rdn>
  <rdn rId="0" localSheetId="2" customView="1" name="Z_7ECC2B8E_6A82_42F5_8AB0_4A51C54EA5EC_.wvu.FilterData" hidden="1" oldHidden="1">
    <formula>Merged_JOEM!$B$59:$AN$557</formula>
    <oldFormula>Merged_JOEM!$B$59:$AN$557</oldFormula>
  </rdn>
  <rcv guid="{7ECC2B8E-6A82-42F5-8AB0-4A51C54EA5EC}" action="add"/>
</revisions>
</file>

<file path=xl/revisions/revisionLog4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14" sId="2" numFmtId="14">
    <oc r="AJ373" t="inlineStr">
      <is>
        <t>NA</t>
      </is>
    </oc>
    <nc r="AJ373">
      <v>0</v>
    </nc>
  </rcc>
  <rcv guid="{7ECC2B8E-6A82-42F5-8AB0-4A51C54EA5EC}" action="delete"/>
  <rdn rId="0" localSheetId="1" customView="1" name="Z_7ECC2B8E_6A82_42F5_8AB0_4A51C54EA5EC_.wvu.FilterData" hidden="1" oldHidden="1">
    <formula>Merged_COEM!$A$59:$AN$302</formula>
    <oldFormula>Merged_COEM!$A$59:$AN$302</oldFormula>
  </rdn>
  <rdn rId="0" localSheetId="2" customView="1" name="Z_7ECC2B8E_6A82_42F5_8AB0_4A51C54EA5EC_.wvu.FilterData" hidden="1" oldHidden="1">
    <formula>Merged_JOEM!$B$59:$AN$557</formula>
    <oldFormula>Merged_JOEM!$B$59:$AN$557</oldFormula>
  </rdn>
  <rcv guid="{7ECC2B8E-6A82-42F5-8AB0-4A51C54EA5EC}" action="add"/>
</revisions>
</file>

<file path=xl/revisions/revisionLog4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A2E8CE38-D15E-4374-89B2-69D9421C4465}" action="delete"/>
  <rdn rId="0" localSheetId="1" customView="1" name="Z_A2E8CE38_D15E_4374_89B2_69D9421C4465_.wvu.FilterData" hidden="1" oldHidden="1">
    <formula>Merged_COEM!$A$59:$AN$302</formula>
    <oldFormula>Merged_COEM!$A$59:$AN$302</oldFormula>
  </rdn>
  <rdn rId="0" localSheetId="2" customView="1" name="Z_A2E8CE38_D15E_4374_89B2_69D9421C4465_.wvu.FilterData" hidden="1" oldHidden="1">
    <formula>Merged_JOEM!$B$59:$AN$557</formula>
    <oldFormula>Merged_JOEM!$B$59:$AN$557</oldFormula>
  </rdn>
  <rcv guid="{A2E8CE38-D15E-4374-89B2-69D9421C4465}" action="add"/>
</revisions>
</file>

<file path=xl/revisions/revisionLog4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19" sId="2" odxf="1" dxf="1" quotePrefix="1">
    <oc r="AL393" t="inlineStr">
      <is>
        <t>Line#104 and line#104, can't cover these line because that condition is IF(0)</t>
      </is>
    </oc>
    <nc r="AL393" t="inlineStr">
      <is>
        <t>Line#104 can't cover these line because that condition is IF(0)
Line#114 can't cover these line because that condition is IF(0)</t>
      </is>
    </nc>
    <odxf>
      <alignment wrapText="0" readingOrder="0"/>
    </odxf>
    <ndxf>
      <alignment wrapText="1" readingOrder="0"/>
    </ndxf>
  </rcc>
  <rfmt sheetId="2" sqref="AL393">
    <dxf>
      <alignment wrapText="0" readingOrder="0"/>
    </dxf>
  </rfmt>
  <rcv guid="{7ECC2B8E-6A82-42F5-8AB0-4A51C54EA5EC}" action="delete"/>
  <rdn rId="0" localSheetId="1" customView="1" name="Z_7ECC2B8E_6A82_42F5_8AB0_4A51C54EA5EC_.wvu.FilterData" hidden="1" oldHidden="1">
    <formula>Merged_COEM!$A$59:$AN$302</formula>
    <oldFormula>Merged_COEM!$A$59:$AN$302</oldFormula>
  </rdn>
  <rdn rId="0" localSheetId="2" customView="1" name="Z_7ECC2B8E_6A82_42F5_8AB0_4A51C54EA5EC_.wvu.FilterData" hidden="1" oldHidden="1">
    <formula>Merged_JOEM!$B$59:$AN$557</formula>
    <oldFormula>Merged_JOEM!$B$59:$AN$557</oldFormula>
  </rdn>
  <rcv guid="{7ECC2B8E-6A82-42F5-8AB0-4A51C54EA5EC}" action="add"/>
</revisions>
</file>

<file path=xl/revisions/revisionLog4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L400" start="0" length="0">
    <dxf>
      <alignment wrapText="1" readingOrder="0"/>
    </dxf>
  </rfmt>
  <rfmt sheetId="2" sqref="AL400">
    <dxf>
      <alignment wrapText="0" readingOrder="0"/>
    </dxf>
  </rfmt>
  <rfmt sheetId="2" sqref="AL401" start="0" length="0">
    <dxf>
      <font>
        <sz val="11"/>
        <color theme="1"/>
        <name val="Calibri"/>
        <scheme val="minor"/>
      </font>
      <alignment wrapText="1" readingOrder="0"/>
    </dxf>
  </rfmt>
  <rfmt sheetId="2" sqref="AL401">
    <dxf>
      <alignment wrapText="0" readingOrder="0"/>
    </dxf>
  </rfmt>
  <rcv guid="{7ECC2B8E-6A82-42F5-8AB0-4A51C54EA5EC}" action="delete"/>
  <rdn rId="0" localSheetId="1" customView="1" name="Z_7ECC2B8E_6A82_42F5_8AB0_4A51C54EA5EC_.wvu.FilterData" hidden="1" oldHidden="1">
    <formula>Merged_COEM!$A$59:$AN$302</formula>
    <oldFormula>Merged_COEM!$A$59:$AN$302</oldFormula>
  </rdn>
  <rdn rId="0" localSheetId="2" customView="1" name="Z_7ECC2B8E_6A82_42F5_8AB0_4A51C54EA5EC_.wvu.FilterData" hidden="1" oldHidden="1">
    <formula>Merged_JOEM!$B$59:$AN$557</formula>
    <oldFormula>Merged_JOEM!$B$59:$AN$557</oldFormula>
  </rdn>
  <rcv guid="{7ECC2B8E-6A82-42F5-8AB0-4A51C54EA5EC}" action="add"/>
</revisions>
</file>

<file path=xl/revisions/revisionLog4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9C03E1E-B6A8-49A1-B29C-5DC4FAB2FBC6}" action="delete"/>
  <rdn rId="0" localSheetId="1" customView="1" name="Z_89C03E1E_B6A8_49A1_B29C_5DC4FAB2FBC6_.wvu.FilterData" hidden="1" oldHidden="1">
    <formula>Merged_COEM!$B$59:$AN$302</formula>
    <oldFormula>Merged_COEM!$B$59:$AN$302</oldFormula>
  </rdn>
  <rdn rId="0" localSheetId="2" customView="1" name="Z_89C03E1E_B6A8_49A1_B29C_5DC4FAB2FBC6_.wvu.FilterData" hidden="1" oldHidden="1">
    <formula>Merged_JOEM!$B$59:$AN$557</formula>
    <oldFormula>Merged_JOEM!$B$59:$AN$557</oldFormula>
  </rdn>
  <rcv guid="{89C03E1E-B6A8-49A1-B29C-5DC4FAB2FBC6}" action="add"/>
</revisions>
</file>

<file path=xl/revisions/revisionLog4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26" sId="2">
    <nc r="X504">
      <f>W504</f>
    </nc>
  </rcc>
  <rcc rId="5727" sId="2">
    <nc r="Z504">
      <f>Y504</f>
    </nc>
  </rcc>
  <rcc rId="5728" sId="2">
    <nc r="AA504" t="inlineStr">
      <is>
        <t>Ready for review</t>
      </is>
    </nc>
  </rcc>
  <rcc rId="5729" sId="2" numFmtId="19">
    <nc r="AE504">
      <v>44085</v>
    </nc>
  </rcc>
  <rcc rId="5730" sId="2" numFmtId="19">
    <nc r="AF504">
      <v>44085</v>
    </nc>
  </rcc>
  <rcc rId="5731" sId="2">
    <nc r="AG504" t="inlineStr">
      <is>
        <t>OK</t>
      </is>
    </nc>
  </rcc>
  <rcc rId="5732" sId="2" numFmtId="14">
    <nc r="AH504">
      <v>1</v>
    </nc>
  </rcc>
  <rcc rId="5733" sId="2" numFmtId="14">
    <nc r="AI504">
      <v>1</v>
    </nc>
  </rcc>
  <rcc rId="5734" sId="2" numFmtId="14">
    <nc r="AJ504">
      <v>1</v>
    </nc>
  </rcc>
  <rcc rId="5735" sId="2" quotePrefix="1">
    <nc r="AK504" t="inlineStr">
      <is>
        <t>None</t>
      </is>
    </nc>
  </rcc>
  <rcv guid="{60D2C030-4E31-4E07-8E1C-44D2EE84B177}" action="delete"/>
  <rdn rId="0" localSheetId="1" customView="1" name="Z_60D2C030_4E31_4E07_8E1C_44D2EE84B177_.wvu.FilterData" hidden="1" oldHidden="1">
    <formula>Merged_COEM!$A$59:$AN$302</formula>
    <oldFormula>Merged_COEM!$A$59:$AN$302</oldFormula>
  </rdn>
  <rdn rId="0" localSheetId="2" customView="1" name="Z_60D2C030_4E31_4E07_8E1C_44D2EE84B177_.wvu.FilterData" hidden="1" oldHidden="1">
    <formula>Merged_JOEM!$B$59:$AN$557</formula>
    <oldFormula>Merged_JOEM!$B$59:$AN$557</oldFormula>
  </rdn>
  <rcv guid="{60D2C030-4E31-4E07-8E1C-44D2EE84B177}" action="add"/>
</revisions>
</file>

<file path=xl/revisions/revisionLog4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38" sId="1">
    <nc r="U225" t="inlineStr">
      <is>
        <t>No</t>
      </is>
    </nc>
  </rcc>
  <rcc rId="5739" sId="1">
    <nc r="U226" t="inlineStr">
      <is>
        <t>No</t>
      </is>
    </nc>
  </rcc>
  <rcv guid="{89C03E1E-B6A8-49A1-B29C-5DC4FAB2FBC6}" action="delete"/>
  <rdn rId="0" localSheetId="1" customView="1" name="Z_89C03E1E_B6A8_49A1_B29C_5DC4FAB2FBC6_.wvu.FilterData" hidden="1" oldHidden="1">
    <formula>Merged_COEM!$B$59:$AN$302</formula>
    <oldFormula>Merged_COEM!$B$59:$AN$302</oldFormula>
  </rdn>
  <rdn rId="0" localSheetId="2" customView="1" name="Z_89C03E1E_B6A8_49A1_B29C_5DC4FAB2FBC6_.wvu.FilterData" hidden="1" oldHidden="1">
    <formula>Merged_JOEM!$B$59:$AN$557</formula>
    <oldFormula>Merged_JOEM!$B$59:$AN$557</oldFormula>
  </rdn>
  <rcv guid="{89C03E1E-B6A8-49A1-B29C-5DC4FAB2FBC6}" action="add"/>
</revisions>
</file>

<file path=xl/revisions/revisionLog4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42" sId="1">
    <nc r="U294" t="inlineStr">
      <is>
        <t>No</t>
      </is>
    </nc>
  </rcc>
  <rcv guid="{89C03E1E-B6A8-49A1-B29C-5DC4FAB2FBC6}" action="delete"/>
  <rdn rId="0" localSheetId="1" customView="1" name="Z_89C03E1E_B6A8_49A1_B29C_5DC4FAB2FBC6_.wvu.FilterData" hidden="1" oldHidden="1">
    <formula>Merged_COEM!$B$59:$AN$302</formula>
    <oldFormula>Merged_COEM!$B$59:$AN$302</oldFormula>
  </rdn>
  <rdn rId="0" localSheetId="2" customView="1" name="Z_89C03E1E_B6A8_49A1_B29C_5DC4FAB2FBC6_.wvu.FilterData" hidden="1" oldHidden="1">
    <formula>Merged_JOEM!$B$59:$AN$557</formula>
    <oldFormula>Merged_JOEM!$B$59:$AN$557</oldFormula>
  </rdn>
  <rcv guid="{89C03E1E-B6A8-49A1-B29C-5DC4FAB2FBC6}" action="add"/>
</revisions>
</file>

<file path=xl/revisions/revisionLog4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45" sId="2" numFmtId="19">
    <nc r="AE517">
      <v>44085</v>
    </nc>
  </rcc>
  <rcc rId="5746" sId="2" numFmtId="19">
    <nc r="AF517">
      <v>44085</v>
    </nc>
  </rcc>
  <rcc rId="5747" sId="2">
    <nc r="AG517" t="inlineStr">
      <is>
        <t>OK</t>
      </is>
    </nc>
  </rcc>
  <rcc rId="5748" sId="2" numFmtId="14">
    <nc r="AH517">
      <v>1</v>
    </nc>
  </rcc>
  <rcc rId="5749" sId="2" numFmtId="14">
    <nc r="AI517">
      <v>1</v>
    </nc>
  </rcc>
  <rcc rId="5750" sId="2" odxf="1" dxf="1" quotePrefix="1">
    <nc r="AK517" t="inlineStr">
      <is>
        <t>None</t>
      </is>
    </nc>
    <odxf>
      <numFmt numFmtId="0" formatCode="General"/>
      <alignment horizontal="general" readingOrder="0"/>
    </odxf>
    <ndxf>
      <numFmt numFmtId="164" formatCode="[$-409]d\-mmm\-yyyy;@"/>
      <alignment horizontal="left" readingOrder="0"/>
    </ndxf>
  </rcc>
  <rcc rId="5751" sId="2" odxf="1" dxf="1" numFmtId="14">
    <nc r="AJ517">
      <v>1</v>
    </nc>
    <ndxf/>
  </rcc>
</revisions>
</file>

<file path=xl/revisions/revisionLog4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52" sId="2" numFmtId="14">
    <nc r="AH450">
      <v>1</v>
    </nc>
  </rcc>
  <rcc rId="5753" sId="2" numFmtId="14">
    <nc r="AI450">
      <v>1</v>
    </nc>
  </rcc>
  <rcc rId="5754" sId="2" numFmtId="14">
    <nc r="AJ450">
      <v>0.73699999999999999</v>
    </nc>
  </rcc>
  <rcc rId="5755" sId="2" quotePrefix="1">
    <nc r="AK450" t="inlineStr">
      <is>
        <t>None</t>
      </is>
    </nc>
  </rcc>
  <rcc rId="5756" sId="2">
    <nc r="AG450" t="inlineStr">
      <is>
        <t>OK</t>
      </is>
    </nc>
  </rcc>
  <rcc rId="5757" sId="2" numFmtId="19">
    <nc r="AF450">
      <v>44085</v>
    </nc>
  </rcc>
  <rcc rId="5758" sId="2" numFmtId="19">
    <nc r="AE450">
      <v>44085</v>
    </nc>
  </rcc>
  <rcc rId="5759" sId="2">
    <nc r="AA450" t="inlineStr">
      <is>
        <t>Ready for review</t>
      </is>
    </nc>
  </rcc>
  <rcc rId="5760" sId="2">
    <nc r="Z450">
      <f>Y450</f>
    </nc>
  </rcc>
  <rcc rId="5761" sId="2">
    <nc r="X450">
      <f>W450</f>
    </nc>
  </rcc>
  <rcv guid="{A2E8CE38-D15E-4374-89B2-69D9421C4465}" action="delete"/>
  <rdn rId="0" localSheetId="1" customView="1" name="Z_A2E8CE38_D15E_4374_89B2_69D9421C4465_.wvu.FilterData" hidden="1" oldHidden="1">
    <formula>Merged_COEM!$A$59:$AN$302</formula>
    <oldFormula>Merged_COEM!$A$59:$AN$302</oldFormula>
  </rdn>
  <rdn rId="0" localSheetId="2" customView="1" name="Z_A2E8CE38_D15E_4374_89B2_69D9421C4465_.wvu.FilterData" hidden="1" oldHidden="1">
    <formula>Merged_JOEM!$B$59:$AN$557</formula>
    <oldFormula>Merged_JOEM!$B$59:$AN$557</oldFormula>
  </rdn>
  <rcv guid="{A2E8CE38-D15E-4374-89B2-69D9421C4465}" action="add"/>
</revisions>
</file>

<file path=xl/revisions/revisionLog4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9C03E1E-B6A8-49A1-B29C-5DC4FAB2FBC6}" action="delete"/>
  <rdn rId="0" localSheetId="1" customView="1" name="Z_89C03E1E_B6A8_49A1_B29C_5DC4FAB2FBC6_.wvu.FilterData" hidden="1" oldHidden="1">
    <formula>Merged_COEM!$B$59:$AN$302</formula>
    <oldFormula>Merged_COEM!$B$59:$AN$302</oldFormula>
  </rdn>
  <rdn rId="0" localSheetId="2" customView="1" name="Z_89C03E1E_B6A8_49A1_B29C_5DC4FAB2FBC6_.wvu.FilterData" hidden="1" oldHidden="1">
    <formula>Merged_JOEM!$B$59:$AN$557</formula>
    <oldFormula>Merged_JOEM!$B$59:$AN$557</oldFormula>
  </rdn>
  <rcv guid="{89C03E1E-B6A8-49A1-B29C-5DC4FAB2FBC6}" action="add"/>
</revisions>
</file>

<file path=xl/revisions/revisionLog4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66" sId="2" numFmtId="19">
    <nc r="AE518">
      <v>44085</v>
    </nc>
  </rcc>
  <rcc rId="5767" sId="2" numFmtId="19">
    <nc r="AF518">
      <v>44085</v>
    </nc>
  </rcc>
  <rcc rId="5768" sId="2">
    <nc r="AG518" t="inlineStr">
      <is>
        <t>OK</t>
      </is>
    </nc>
  </rcc>
  <rcc rId="5769" sId="2" numFmtId="14">
    <nc r="AH518">
      <v>1</v>
    </nc>
  </rcc>
  <rcc rId="5770" sId="2" numFmtId="14">
    <nc r="AI518">
      <v>1</v>
    </nc>
  </rcc>
  <rcc rId="5771" sId="2" odxf="1" dxf="1" numFmtId="14">
    <nc r="AJ518">
      <v>1</v>
    </nc>
    <odxf/>
    <ndxf/>
  </rcc>
  <rcc rId="5772" sId="2" odxf="1" dxf="1" quotePrefix="1">
    <nc r="AK518" t="inlineStr">
      <is>
        <t>None</t>
      </is>
    </nc>
    <odxf>
      <numFmt numFmtId="0" formatCode="General"/>
      <alignment horizontal="general" readingOrder="0"/>
    </odxf>
    <ndxf>
      <numFmt numFmtId="164" formatCode="[$-409]d\-mmm\-yyyy;@"/>
      <alignment horizontal="left" readingOrder="0"/>
    </ndxf>
  </rcc>
</revisions>
</file>

<file path=xl/revisions/revisionLog4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73" sId="2" numFmtId="19">
    <nc r="AE519">
      <v>44085</v>
    </nc>
  </rcc>
  <rcc rId="5774" sId="2" numFmtId="19">
    <nc r="AF519">
      <v>44085</v>
    </nc>
  </rcc>
  <rcc rId="5775" sId="2">
    <nc r="AG519" t="inlineStr">
      <is>
        <t>OK</t>
      </is>
    </nc>
  </rcc>
  <rcc rId="5776" sId="2" numFmtId="14">
    <nc r="AH519">
      <v>1</v>
    </nc>
  </rcc>
  <rcc rId="5777" sId="2" numFmtId="14">
    <nc r="AI519">
      <v>1</v>
    </nc>
  </rcc>
  <rfmt sheetId="2" sqref="AJ519" start="0" length="0">
    <dxf/>
  </rfmt>
  <rcc rId="5778" sId="2" odxf="1" dxf="1" quotePrefix="1">
    <nc r="AK519" t="inlineStr">
      <is>
        <t>None</t>
      </is>
    </nc>
    <odxf>
      <numFmt numFmtId="0" formatCode="General"/>
      <alignment horizontal="general" readingOrder="0"/>
    </odxf>
    <ndxf>
      <numFmt numFmtId="164" formatCode="[$-409]d\-mmm\-yyyy;@"/>
      <alignment horizontal="left" readingOrder="0"/>
    </ndxf>
  </rcc>
  <rcc rId="5779" sId="2" numFmtId="14">
    <nc r="AJ519">
      <v>0.04</v>
    </nc>
  </rcc>
  <rcv guid="{D33AC7AF-C8AB-4CE9-94C7-9237011A5FC3}" action="delete"/>
  <rdn rId="0" localSheetId="1" customView="1" name="Z_D33AC7AF_C8AB_4CE9_94C7_9237011A5FC3_.wvu.FilterData" hidden="1" oldHidden="1">
    <formula>Merged_COEM!$B$59:$AN$302</formula>
    <oldFormula>Merged_COEM!$B$59:$AN$302</oldFormula>
  </rdn>
  <rdn rId="0" localSheetId="2" customView="1" name="Z_D33AC7AF_C8AB_4CE9_94C7_9237011A5FC3_.wvu.FilterData" hidden="1" oldHidden="1">
    <formula>Merged_JOEM!$B$59:$AN$557</formula>
    <oldFormula>Merged_JOEM!$B$59:$AN$557</oldFormula>
  </rdn>
  <rcv guid="{D33AC7AF-C8AB-4CE9-94C7-9237011A5FC3}" action="add"/>
</revisions>
</file>

<file path=xl/revisions/revisionLog4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82" sId="2" numFmtId="19">
    <nc r="AE520">
      <v>44085</v>
    </nc>
  </rcc>
  <rcc rId="5783" sId="2" numFmtId="19">
    <nc r="AF520">
      <v>44085</v>
    </nc>
  </rcc>
  <rcc rId="5784" sId="2">
    <nc r="AG520" t="inlineStr">
      <is>
        <t>OK</t>
      </is>
    </nc>
  </rcc>
  <rcc rId="5785" sId="2" numFmtId="14">
    <nc r="AH520">
      <v>1</v>
    </nc>
  </rcc>
  <rcc rId="5786" sId="2" numFmtId="14">
    <nc r="AI520">
      <v>1</v>
    </nc>
  </rcc>
  <rfmt sheetId="2" sqref="AJ520" start="0" length="0">
    <dxf/>
  </rfmt>
  <rcc rId="5787" sId="2" odxf="1" dxf="1" quotePrefix="1">
    <nc r="AK520" t="inlineStr">
      <is>
        <t>None</t>
      </is>
    </nc>
    <odxf>
      <numFmt numFmtId="0" formatCode="General"/>
      <alignment horizontal="general" readingOrder="0"/>
    </odxf>
    <ndxf>
      <numFmt numFmtId="164" formatCode="[$-409]d\-mmm\-yyyy;@"/>
      <alignment horizontal="left" readingOrder="0"/>
    </ndxf>
  </rcc>
  <rcc rId="5788" sId="2" numFmtId="14">
    <nc r="AJ520">
      <v>0.5</v>
    </nc>
  </rcc>
  <rcv guid="{D33AC7AF-C8AB-4CE9-94C7-9237011A5FC3}" action="delete"/>
  <rdn rId="0" localSheetId="1" customView="1" name="Z_D33AC7AF_C8AB_4CE9_94C7_9237011A5FC3_.wvu.FilterData" hidden="1" oldHidden="1">
    <formula>Merged_COEM!$B$59:$AN$302</formula>
    <oldFormula>Merged_COEM!$B$59:$AN$302</oldFormula>
  </rdn>
  <rdn rId="0" localSheetId="2" customView="1" name="Z_D33AC7AF_C8AB_4CE9_94C7_9237011A5FC3_.wvu.FilterData" hidden="1" oldHidden="1">
    <formula>Merged_JOEM!$B$59:$AN$557</formula>
    <oldFormula>Merged_JOEM!$B$59:$AN$557</oldFormula>
  </rdn>
  <rcv guid="{D33AC7AF-C8AB-4CE9-94C7-9237011A5FC3}" action="add"/>
</revisions>
</file>

<file path=xl/revisions/revisionLog4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C94451EF-7A3E-4D72-B5A4-3D1B193192CC}" action="delete"/>
  <rdn rId="0" localSheetId="1" customView="1" name="Z_C94451EF_7A3E_4D72_B5A4_3D1B193192CC_.wvu.FilterData" hidden="1" oldHidden="1">
    <formula>Merged_COEM!$B$59:$AN$302</formula>
    <oldFormula>Merged_COEM!$B$59:$AN$302</oldFormula>
  </rdn>
  <rdn rId="0" localSheetId="2" customView="1" name="Z_C94451EF_7A3E_4D72_B5A4_3D1B193192CC_.wvu.FilterData" hidden="1" oldHidden="1">
    <formula>Merged_JOEM!$B$59:$AN$557</formula>
    <oldFormula>Merged_JOEM!$B$59:$AN$557</oldFormula>
  </rdn>
  <rcv guid="{C94451EF-7A3E-4D72-B5A4-3D1B193192CC}" action="add"/>
</revisions>
</file>

<file path=xl/revisions/revisionLog4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233:I236 I240">
    <dxf>
      <fill>
        <patternFill patternType="solid">
          <bgColor rgb="FFFFFF00"/>
        </patternFill>
      </fill>
    </dxf>
  </rfmt>
  <rfmt sheetId="1" sqref="I233:I236 I240">
    <dxf>
      <fill>
        <patternFill patternType="none">
          <bgColor auto="1"/>
        </patternFill>
      </fill>
    </dxf>
  </rfmt>
  <rcv guid="{99BC1C51-34DC-4BF2-906C-1E31B6171D71}" action="delete"/>
  <rdn rId="0" localSheetId="1" customView="1" name="Z_99BC1C51_34DC_4BF2_906C_1E31B6171D71_.wvu.FilterData" hidden="1" oldHidden="1">
    <formula>Merged_COEM!$A$59:$AN$302</formula>
    <oldFormula>Merged_COEM!$A$59:$AN$302</oldFormula>
  </rdn>
  <rdn rId="0" localSheetId="2" customView="1" name="Z_99BC1C51_34DC_4BF2_906C_1E31B6171D71_.wvu.FilterData" hidden="1" oldHidden="1">
    <formula>Merged_JOEM!$B$59:$AN$557</formula>
    <oldFormula>Merged_JOEM!$B$59:$AN$557</oldFormula>
  </rdn>
  <rcv guid="{99BC1C51-34DC-4BF2-906C-1E31B6171D71}" action="add"/>
</revisions>
</file>

<file path=xl/revisions/revisionLog4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95" sId="1">
    <oc r="W255">
      <v>88</v>
    </oc>
    <nc r="W255">
      <v>89</v>
    </nc>
  </rcc>
  <rcv guid="{89C03E1E-B6A8-49A1-B29C-5DC4FAB2FBC6}" action="delete"/>
  <rdn rId="0" localSheetId="1" customView="1" name="Z_89C03E1E_B6A8_49A1_B29C_5DC4FAB2FBC6_.wvu.FilterData" hidden="1" oldHidden="1">
    <formula>Merged_COEM!$B$59:$AN$302</formula>
    <oldFormula>Merged_COEM!$B$59:$AN$302</oldFormula>
  </rdn>
  <rdn rId="0" localSheetId="2" customView="1" name="Z_89C03E1E_B6A8_49A1_B29C_5DC4FAB2FBC6_.wvu.FilterData" hidden="1" oldHidden="1">
    <formula>Merged_JOEM!$B$59:$AN$557</formula>
    <oldFormula>Merged_JOEM!$B$59:$AN$557</oldFormula>
  </rdn>
  <rcv guid="{89C03E1E-B6A8-49A1-B29C-5DC4FAB2FBC6}" action="add"/>
</revisions>
</file>

<file path=xl/revisions/revisionLog4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98" sId="1">
    <oc r="W247">
      <f>V247</f>
    </oc>
    <nc r="W247">
      <v>230</v>
    </nc>
  </rcc>
  <rcc rId="5799" sId="1">
    <nc r="X247">
      <f>W247</f>
    </nc>
  </rcc>
  <rcc rId="5800" sId="1">
    <nc r="Z247">
      <f>Y247</f>
    </nc>
  </rcc>
</revisions>
</file>

<file path=xl/revisions/revisionLog4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01" sId="2" quotePrefix="1">
    <nc r="AL501" t="inlineStr">
      <is>
        <t>Line #33, can not cover case Counter &gt; 2.5. Because Counter must be greater than 0 and dT_Hydraulikinterface range from 0.005 to 0.005</t>
      </is>
    </nc>
  </rcc>
</revisions>
</file>

<file path=xl/revisions/revisionLog4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02" sId="1" quotePrefix="1">
    <oc r="F252" t="inlineStr">
      <is>
        <t>rba\jmc\Bldr\config\ApplicationLayer\rba_BldrCmprba\FBL\SW\ApplicationLayer\rba_BldrCmp\src</t>
      </is>
    </oc>
    <nc r="F252" t="inlineStr">
      <is>
        <t>JMC_Ford_V348_ESP9.3CP_Int\JMC\rba\Bldr\config\ApplicationLayer\rba_BldrCmp\src</t>
      </is>
    </nc>
  </rcc>
  <rfmt sheetId="1" sqref="F252" start="0" length="2147483647">
    <dxf>
      <font>
        <b/>
      </font>
    </dxf>
  </rfmt>
  <rcv guid="{99BC1C51-34DC-4BF2-906C-1E31B6171D71}" action="delete"/>
  <rdn rId="0" localSheetId="1" customView="1" name="Z_99BC1C51_34DC_4BF2_906C_1E31B6171D71_.wvu.FilterData" hidden="1" oldHidden="1">
    <formula>Merged_COEM!$A$59:$AN$302</formula>
    <oldFormula>Merged_COEM!$A$59:$AN$302</oldFormula>
  </rdn>
  <rdn rId="0" localSheetId="2" customView="1" name="Z_99BC1C51_34DC_4BF2_906C_1E31B6171D71_.wvu.FilterData" hidden="1" oldHidden="1">
    <formula>Merged_JOEM!$B$59:$AN$557</formula>
    <oldFormula>Merged_JOEM!$B$59:$AN$557</oldFormula>
  </rdn>
  <rcv guid="{99BC1C51-34DC-4BF2-906C-1E31B6171D71}" action="add"/>
</revisions>
</file>

<file path=xl/revisions/revisionLog4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05" sId="1">
    <nc r="X273">
      <f>W273</f>
    </nc>
  </rcc>
  <rcc rId="5806" sId="1">
    <nc r="Z273">
      <v>3</v>
    </nc>
  </rcc>
  <rcc rId="5807" sId="1">
    <nc r="AA273" t="inlineStr">
      <is>
        <t>Ready for review</t>
      </is>
    </nc>
  </rcc>
  <rcc rId="5808" sId="1" numFmtId="19">
    <nc r="AE273">
      <v>44085</v>
    </nc>
  </rcc>
  <rcc rId="5809" sId="1" numFmtId="19">
    <nc r="AF273">
      <v>44085</v>
    </nc>
  </rcc>
  <rcc rId="5810" sId="1">
    <nc r="AG273" t="inlineStr">
      <is>
        <t>OK</t>
      </is>
    </nc>
  </rcc>
  <rcc rId="5811" sId="1" numFmtId="14">
    <nc r="AH273">
      <v>1</v>
    </nc>
  </rcc>
  <rcc rId="5812" sId="1" numFmtId="14">
    <nc r="AI273">
      <v>1</v>
    </nc>
  </rcc>
  <rcc rId="5813" sId="1" numFmtId="14">
    <nc r="AJ273">
      <v>1</v>
    </nc>
  </rcc>
  <rcc rId="5814" sId="1">
    <nc r="AK273" t="inlineStr">
      <is>
        <t>None</t>
      </is>
    </nc>
  </rcc>
  <rcv guid="{7E0EA425-A420-4443-B9E0-CDF0AA9E5D09}" action="delete"/>
  <rdn rId="0" localSheetId="1" customView="1" name="Z_7E0EA425_A420_4443_B9E0_CDF0AA9E5D09_.wvu.Cols" hidden="1" oldHidden="1">
    <formula>Merged_COEM!$K:$U</formula>
    <oldFormula>Merged_COEM!$K:$U</oldFormula>
  </rdn>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Cols" hidden="1" oldHidden="1">
    <formula>Merged_COEM!$K:$U</formula>
    <oldFormula>Merged_COEM!$K:$U</oldFormula>
  </rdn>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dn rId="0" localSheetId="1" customView="1" name="Z_7E0EA425_A420_4443_B9E0_CDF0AA9E5D09_.wvu.Cols" hidden="1" oldHidden="1">
    <oldFormula>Merged_COEM!$K:$U</oldFormula>
  </rdn>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24" sId="1">
    <nc r="K273" t="inlineStr">
      <is>
        <t>Test: Manual; Cmt: Auto</t>
      </is>
    </nc>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29" sId="1">
    <nc r="T273" t="inlineStr">
      <is>
        <t>nam.phan-the</t>
      </is>
    </nc>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34" sId="2" numFmtId="14">
    <nc r="AH501">
      <v>0.94099999999999995</v>
    </nc>
  </rcc>
  <rcc rId="5835" sId="2" numFmtId="14">
    <nc r="AI501">
      <v>0.94399999999999995</v>
    </nc>
  </rcc>
  <rcc rId="5836" sId="2" quotePrefix="1">
    <nc r="AJ501" t="inlineStr">
      <is>
        <t>NA</t>
      </is>
    </nc>
  </rcc>
  <rcc rId="5837" sId="2" quotePrefix="1">
    <nc r="AK501" t="inlineStr">
      <is>
        <t>None</t>
      </is>
    </nc>
  </rcc>
  <rcv guid="{A2E8CE38-D15E-4374-89B2-69D9421C4465}" action="delete"/>
  <rdn rId="0" localSheetId="1" customView="1" name="Z_A2E8CE38_D15E_4374_89B2_69D9421C4465_.wvu.FilterData" hidden="1" oldHidden="1">
    <formula>Merged_COEM!$A$59:$AN$302</formula>
    <oldFormula>Merged_COEM!$A$59:$AN$302</oldFormula>
  </rdn>
  <rdn rId="0" localSheetId="2" customView="1" name="Z_A2E8CE38_D15E_4374_89B2_69D9421C4465_.wvu.FilterData" hidden="1" oldHidden="1">
    <formula>Merged_JOEM!$B$59:$AN$557</formula>
    <oldFormula>Merged_JOEM!$B$59:$AN$557</oldFormula>
  </rdn>
  <rcv guid="{A2E8CE38-D15E-4374-89B2-69D9421C4465}" action="add"/>
</revisions>
</file>

<file path=xl/revisions/revisionLog5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40" sId="2">
    <nc r="AG501" t="inlineStr">
      <is>
        <t>OK</t>
      </is>
    </nc>
  </rcc>
  <rcc rId="5841" sId="2" numFmtId="19">
    <nc r="AF501">
      <v>44085</v>
    </nc>
  </rcc>
  <rcc rId="5842" sId="2" numFmtId="19">
    <nc r="AE501">
      <v>44085</v>
    </nc>
  </rcc>
  <rcc rId="5843" sId="2">
    <nc r="AA501" t="inlineStr">
      <is>
        <t>Ready for review</t>
      </is>
    </nc>
  </rcc>
  <rcc rId="5844" sId="2">
    <nc r="Z501">
      <f>Y501</f>
    </nc>
  </rcc>
  <rcc rId="5845" sId="2">
    <nc r="X501">
      <f>W501</f>
    </nc>
  </rcc>
  <rcv guid="{A2E8CE38-D15E-4374-89B2-69D9421C4465}" action="delete"/>
  <rdn rId="0" localSheetId="1" customView="1" name="Z_A2E8CE38_D15E_4374_89B2_69D9421C4465_.wvu.FilterData" hidden="1" oldHidden="1">
    <formula>Merged_COEM!$A$59:$AN$302</formula>
    <oldFormula>Merged_COEM!$A$59:$AN$302</oldFormula>
  </rdn>
  <rdn rId="0" localSheetId="2" customView="1" name="Z_A2E8CE38_D15E_4374_89B2_69D9421C4465_.wvu.FilterData" hidden="1" oldHidden="1">
    <formula>Merged_JOEM!$B$59:$AN$557</formula>
    <oldFormula>Merged_JOEM!$B$59:$AN$557</oldFormula>
  </rdn>
  <rcv guid="{A2E8CE38-D15E-4374-89B2-69D9421C4465}" action="add"/>
</revisions>
</file>

<file path=xl/revisions/revisionLog5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48" sId="1" quotePrefix="1">
    <oc r="F273" t="inlineStr">
      <is>
        <t>rb\as\fawESP\esp\app\asw\WrapperSWC\src\PCT_AswWrapper.c</t>
      </is>
    </oc>
    <nc r="F273" t="inlineStr">
      <is>
        <t>FAW_IPB1.1_Int_ESP\FAW_ESP\rb\as\fawESP\esp\app\asw\WrapperSWC\src\PCT_AswWrapper.c</t>
      </is>
    </nc>
  </rcc>
  <rcc rId="5849" sId="1" quotePrefix="1">
    <oc r="F274" t="inlineStr">
      <is>
        <t>rb\as\fawESP\esp\app\dsm.rbhmi\src\RBHMI_ConfigOutputDriver_PRJ.c</t>
      </is>
    </oc>
    <nc r="F274" t="inlineStr">
      <is>
        <t>FAW_IPB1.1_Int_ESP\FAW_ESP\rb\as\fawESP\esp\app\dsm.rbhmi\src\RBHMI_ConfigOutputDriver_PRJ.c</t>
      </is>
    </nc>
  </rcc>
  <rcc rId="5850" sId="1" quotePrefix="1">
    <oc r="F276" t="inlineStr">
      <is>
        <t>rb\as\fawESP\esp\app\dsm\RBDsmSim\RB_SimDsmCfg\PRJ_Specific\src\DSMSim_PRJ_Specific.c</t>
      </is>
    </oc>
    <nc r="F276" t="inlineStr">
      <is>
        <t>FAW_IPB1.1_Int_ESP\FAW_ESP\rb\as\fawESP\esp\app\dsm\RBDsmSim\RB_SimDsmCfg\PRJ_Specific\src\DSMSim_PRJ_Specific.c</t>
      </is>
    </nc>
  </rcc>
  <rcc rId="5851" sId="1" quotePrefix="1">
    <oc r="F279" t="inlineStr">
      <is>
        <t>rb\as\fawESP\esp\app\net\RBScl\src\rba_NET_Global_variable.c</t>
      </is>
    </oc>
    <nc r="F279" t="inlineStr">
      <is>
        <t>FAW_IPB1.1_Int_ESP\FAW_ESP\rb\as\fawESP\esp\app\net\RBScl\src\rba_NET_Global_variable.c</t>
      </is>
    </nc>
  </rcc>
  <rcc rId="5852" sId="1" quotePrefix="1">
    <oc r="F281" t="inlineStr">
      <is>
        <t>rb\as\fawESP\esp\dcompr\tst\Stubs\CUBAS\src\Net_Stubs.c</t>
      </is>
    </oc>
    <nc r="F281" t="inlineStr">
      <is>
        <t>FAW_IPB1.1_Int_ESP\FAW_ESP\rb\as\fawESP\esp\dcompr\tst\Stubs\CUBAS\src\Net_Stubs.c</t>
      </is>
    </nc>
  </rcc>
  <rcc rId="5853" sId="1" quotePrefix="1">
    <oc r="F284" t="inlineStr">
      <is>
        <t>rb\as\fawESP\esp\dsmpr\rbemm\src\RBEMM_Project.c</t>
      </is>
    </oc>
    <nc r="F284" t="inlineStr">
      <is>
        <t>FAW_IPB1.1_Int_ESP\FAW_ESP\rb\as\fawESP\esp\dsmpr\rbemm\src\RBEMM_Project.c</t>
      </is>
    </nc>
  </rcc>
  <rcc rId="5854" sId="1" quotePrefix="1">
    <oc r="F285" t="inlineStr">
      <is>
        <t>rb\as\fawESP\esp\dsmpr\tst\ct\Src\RBDSM_SWT_ComponentSwitch.c</t>
      </is>
    </oc>
    <nc r="F285" t="inlineStr">
      <is>
        <t>FAW_IPB1.1_Int_ESP\FAW_ESP\rb\as\fawESP\esp\dsmpr\tst\ct\Src\RBDSM_SWT_ComponentSwitch.c</t>
      </is>
    </nc>
  </rcc>
  <rcc rId="5855" sId="1" quotePrefix="1">
    <oc r="F286" t="inlineStr">
      <is>
        <t>rb\as\fawESP\esp\hswpr\tst\hswsim\src\HwModel_CNMS_HEVX.c</t>
      </is>
    </oc>
    <nc r="F286" t="inlineStr">
      <is>
        <t>FAW_IPB1.1_Int_ESP\FAW_ESP\rb\as\fawESP\esp\hswpr\tst\hswsim\src\HwModel_CNMS_HEVX.c</t>
      </is>
    </nc>
  </rcc>
  <rcc rId="5856" sId="1" quotePrefix="1">
    <oc r="F288" t="inlineStr">
      <is>
        <t>rb\as\fawESP\esp\hswpr\src\RBVlvFreewheelingIssue\src\RBVlvFreewheelingIssue.c</t>
      </is>
    </oc>
    <nc r="F288" t="inlineStr">
      <is>
        <t>FAW_IPB1.1_Int_ESP\FAW_ESP\rb\as\fawESP\esp\hswpr\src\RBVlvFreewheelingIssue\src\RBVlvFreewheelingIssue.c</t>
      </is>
    </nc>
  </rcc>
  <rfmt sheetId="1" sqref="F273:F274 F276 F279 F281 F284:F286 F288" start="0" length="2147483647">
    <dxf>
      <font>
        <b/>
      </font>
    </dxf>
  </rfmt>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65" sId="1">
    <nc r="U233" t="inlineStr">
      <is>
        <t>Yes</t>
      </is>
    </nc>
  </rcc>
  <rcc rId="5866" sId="1">
    <nc r="U234" t="inlineStr">
      <is>
        <t>Yes</t>
      </is>
    </nc>
  </rcc>
  <rcc rId="5867" sId="1">
    <nc r="U235" t="inlineStr">
      <is>
        <t>Yes</t>
      </is>
    </nc>
  </rcc>
  <rcc rId="5868" sId="1">
    <nc r="U236" t="inlineStr">
      <is>
        <t>Yes</t>
      </is>
    </nc>
  </rcc>
  <rcc rId="5869" sId="1">
    <nc r="U242" t="inlineStr">
      <is>
        <t>Yes</t>
      </is>
    </nc>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72" sId="1">
    <oc r="U225" t="inlineStr">
      <is>
        <t>No</t>
      </is>
    </oc>
    <nc r="U225" t="inlineStr">
      <is>
        <t>Yes</t>
      </is>
    </nc>
  </rcc>
  <rcc rId="5873" sId="1">
    <oc r="U226" t="inlineStr">
      <is>
        <t>No</t>
      </is>
    </oc>
    <nc r="U226" t="inlineStr">
      <is>
        <t>Yes</t>
      </is>
    </nc>
  </rcc>
  <rcc rId="5874" sId="1">
    <oc r="U294" t="inlineStr">
      <is>
        <t>No</t>
      </is>
    </oc>
    <nc r="U294" t="inlineStr">
      <is>
        <t>Yes</t>
      </is>
    </nc>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77" sId="2" numFmtId="19">
    <nc r="AE521">
      <v>44085</v>
    </nc>
  </rcc>
  <rcc rId="5878" sId="2" numFmtId="19">
    <nc r="AF521">
      <v>44085</v>
    </nc>
  </rcc>
  <rcc rId="5879" sId="2">
    <nc r="AG521" t="inlineStr">
      <is>
        <t>OK</t>
      </is>
    </nc>
  </rcc>
  <rcc rId="5880" sId="2" numFmtId="14">
    <nc r="AH521">
      <v>1</v>
    </nc>
  </rcc>
  <rcc rId="5881" sId="2" numFmtId="14">
    <nc r="AI521">
      <v>1</v>
    </nc>
  </rcc>
  <rfmt sheetId="2" sqref="AJ521" start="0" length="0">
    <dxf/>
  </rfmt>
  <rcc rId="5882" sId="2" odxf="1" dxf="1" quotePrefix="1">
    <nc r="AK521" t="inlineStr">
      <is>
        <t>None</t>
      </is>
    </nc>
    <odxf>
      <numFmt numFmtId="0" formatCode="General"/>
      <alignment horizontal="general" readingOrder="0"/>
    </odxf>
    <ndxf>
      <numFmt numFmtId="164" formatCode="[$-409]d\-mmm\-yyyy;@"/>
      <alignment horizontal="left" readingOrder="0"/>
    </ndxf>
  </rcc>
  <rcc rId="5883" sId="2" numFmtId="14">
    <nc r="AJ521">
      <v>0.89</v>
    </nc>
  </rcc>
</revisions>
</file>

<file path=xl/revisions/revisionLog5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84" sId="1">
    <nc r="U241" t="inlineStr">
      <is>
        <t>Yes</t>
      </is>
    </nc>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01" sId="1">
    <nc r="AA247" t="inlineStr">
      <is>
        <t>Ready for review</t>
      </is>
    </nc>
  </rcc>
  <rcc rId="5902" sId="1" numFmtId="19">
    <nc r="AE247">
      <v>44085</v>
    </nc>
  </rcc>
  <rcc rId="5903" sId="1" numFmtId="19">
    <nc r="AF247">
      <v>44085</v>
    </nc>
  </rcc>
  <rcc rId="5904" sId="1">
    <nc r="AG247" t="inlineStr">
      <is>
        <t>OK</t>
      </is>
    </nc>
  </rcc>
  <rcc rId="5905" sId="1" numFmtId="14">
    <nc r="AH247">
      <v>1</v>
    </nc>
  </rcc>
  <rcc rId="5906" sId="1" numFmtId="14">
    <nc r="AI247">
      <v>1</v>
    </nc>
  </rcc>
  <rcc rId="5907" sId="1" numFmtId="14">
    <nc r="AJ247">
      <v>1</v>
    </nc>
  </rcc>
  <rcc rId="5908" sId="1">
    <nc r="AK247" t="inlineStr">
      <is>
        <t>None</t>
      </is>
    </nc>
  </rcc>
  <rcv guid="{FECB4C41-27E8-4A22-AFB3-4F54CDD4960E}" action="delete"/>
  <rdn rId="0" localSheetId="1" customView="1" name="Z_FECB4C41_27E8_4A22_AFB3_4F54CDD4960E_.wvu.FilterData" hidden="1" oldHidden="1">
    <formula>Merged_COEM!$B$59:$AN$302</formula>
    <oldFormula>Merged_COEM!$B$59:$AN$302</oldFormula>
  </rdn>
  <rdn rId="0" localSheetId="2" customView="1" name="Z_FECB4C41_27E8_4A22_AFB3_4F54CDD4960E_.wvu.FilterData" hidden="1" oldHidden="1">
    <formula>Merged_JOEM!$B$59:$AN$557</formula>
    <oldFormula>Merged_JOEM!$B$59:$AN$557</oldFormula>
  </rdn>
  <rcv guid="{FECB4C41-27E8-4A22-AFB3-4F54CDD4960E}" action="add"/>
</revisions>
</file>

<file path=xl/revisions/revisionLog5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11" sId="2" odxf="1" dxf="1" quotePrefix="1">
    <oc r="AL501" t="inlineStr">
      <is>
        <t>Line #33, can not cover case Counter &gt; 2.5. Because Counter must be greater than 0 and dT_Hydraulikinterface range from 0.005 to 0.005</t>
      </is>
    </oc>
    <nc r="AL501" t="inlineStr">
      <is>
        <t xml:space="preserve">Line #33, can not cover case Counter &gt; 2.5. Because Counter must be greater than 0 and dT_Hydraulikinterface range from 0.005 to 0.005
Line #19, can not cover case out range min. Because:
 - dp_k1 range from -400 to 400
 - MinStep range from 0 to 400 </t>
      </is>
    </nc>
    <odxf>
      <alignment wrapText="0" readingOrder="0"/>
    </odxf>
    <ndxf>
      <alignment wrapText="1" readingOrder="0"/>
    </ndxf>
  </rcc>
  <rcv guid="{A2E8CE38-D15E-4374-89B2-69D9421C4465}" action="delete"/>
  <rdn rId="0" localSheetId="1" customView="1" name="Z_A2E8CE38_D15E_4374_89B2_69D9421C4465_.wvu.FilterData" hidden="1" oldHidden="1">
    <formula>Merged_COEM!$B$59:$AN$302</formula>
    <oldFormula>Merged_COEM!$A$59:$AN$302</oldFormula>
  </rdn>
  <rdn rId="0" localSheetId="2" customView="1" name="Z_A2E8CE38_D15E_4374_89B2_69D9421C4465_.wvu.FilterData" hidden="1" oldHidden="1">
    <formula>Merged_JOEM!$B$59:$AN$557</formula>
    <oldFormula>Merged_JOEM!$B$59:$AN$557</oldFormula>
  </rdn>
  <rcv guid="{A2E8CE38-D15E-4374-89B2-69D9421C4465}" action="add"/>
</revisions>
</file>

<file path=xl/revisions/revisionLog5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L501">
    <dxf>
      <alignment wrapText="0" readingOrder="0"/>
    </dxf>
  </rfmt>
</revisions>
</file>

<file path=xl/revisions/revisionLog5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14" sId="1">
    <nc r="K252" t="inlineStr">
      <is>
        <t>Test: Manual; Cmt: Auto</t>
      </is>
    </nc>
  </rcc>
  <rcv guid="{99BC1C51-34DC-4BF2-906C-1E31B6171D71}" action="delete"/>
  <rdn rId="0" localSheetId="1" customView="1" name="Z_99BC1C51_34DC_4BF2_906C_1E31B6171D71_.wvu.FilterData" hidden="1" oldHidden="1">
    <formula>Merged_COEM!$A$59:$AN$302</formula>
    <oldFormula>Merged_COEM!$A$59:$AN$302</oldFormula>
  </rdn>
  <rdn rId="0" localSheetId="2" customView="1" name="Z_99BC1C51_34DC_4BF2_906C_1E31B6171D71_.wvu.FilterData" hidden="1" oldHidden="1">
    <formula>Merged_JOEM!$B$59:$AN$557</formula>
    <oldFormula>Merged_JOEM!$B$59:$AN$557</oldFormula>
  </rdn>
  <rcv guid="{99BC1C51-34DC-4BF2-906C-1E31B6171D71}" action="add"/>
</revisions>
</file>

<file path=xl/revisions/revisionLog5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17" sId="1" numFmtId="19">
    <nc r="AE245">
      <v>44084</v>
    </nc>
  </rcc>
  <rcc rId="5918" sId="1" numFmtId="19">
    <nc r="AF245">
      <v>44084</v>
    </nc>
  </rcc>
  <rcv guid="{99BC1C51-34DC-4BF2-906C-1E31B6171D71}" action="delete"/>
  <rdn rId="0" localSheetId="1" customView="1" name="Z_99BC1C51_34DC_4BF2_906C_1E31B6171D71_.wvu.FilterData" hidden="1" oldHidden="1">
    <formula>Merged_COEM!$A$59:$AN$302</formula>
    <oldFormula>Merged_COEM!$A$59:$AN$302</oldFormula>
  </rdn>
  <rdn rId="0" localSheetId="2" customView="1" name="Z_99BC1C51_34DC_4BF2_906C_1E31B6171D71_.wvu.FilterData" hidden="1" oldHidden="1">
    <formula>Merged_JOEM!$B$59:$AN$557</formula>
    <oldFormula>Merged_JOEM!$B$59:$AN$557</oldFormula>
  </rdn>
  <rcv guid="{99BC1C51-34DC-4BF2-906C-1E31B6171D71}" action="add"/>
</revisions>
</file>

<file path=xl/revisions/revisionLog5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21" sId="1" numFmtId="14">
    <nc r="AH245">
      <v>1</v>
    </nc>
  </rcc>
  <rcc rId="5922" sId="1" numFmtId="14">
    <nc r="AI245">
      <v>0.97</v>
    </nc>
  </rcc>
  <rcc rId="5923" sId="1" numFmtId="14">
    <nc r="AJ245">
      <v>1</v>
    </nc>
  </rcc>
  <rcc rId="5924" sId="1">
    <nc r="AG245" t="inlineStr">
      <is>
        <t>NG</t>
      </is>
    </nc>
  </rcc>
  <rcc rId="5925" sId="1">
    <nc r="AK245" t="inlineStr">
      <is>
        <t>OPL</t>
      </is>
    </nc>
  </rcc>
  <rcv guid="{99BC1C51-34DC-4BF2-906C-1E31B6171D71}" action="delete"/>
  <rdn rId="0" localSheetId="1" customView="1" name="Z_99BC1C51_34DC_4BF2_906C_1E31B6171D71_.wvu.FilterData" hidden="1" oldHidden="1">
    <formula>Merged_COEM!$A$59:$AN$302</formula>
    <oldFormula>Merged_COEM!$A$59:$AN$302</oldFormula>
  </rdn>
  <rdn rId="0" localSheetId="2" customView="1" name="Z_99BC1C51_34DC_4BF2_906C_1E31B6171D71_.wvu.FilterData" hidden="1" oldHidden="1">
    <formula>Merged_JOEM!$B$59:$AN$557</formula>
    <oldFormula>Merged_JOEM!$B$59:$AN$557</oldFormula>
  </rdn>
  <rcv guid="{99BC1C51-34DC-4BF2-906C-1E31B6171D71}" action="add"/>
</revisions>
</file>

<file path=xl/revisions/revisionLog5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28" sId="1">
    <nc r="U237" t="inlineStr">
      <is>
        <t>Yes</t>
      </is>
    </nc>
  </rcc>
  <rcc rId="5929" sId="1">
    <nc r="U238" t="inlineStr">
      <is>
        <t>Yes</t>
      </is>
    </nc>
  </rcc>
  <rcc rId="5930" sId="1">
    <nc r="U239" t="inlineStr">
      <is>
        <t>Yes</t>
      </is>
    </nc>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33" sId="1" odxf="1" dxf="1" quotePrefix="1">
    <oc r="AN245" t="inlineStr">
      <is>
        <t>-</t>
      </is>
    </oc>
    <nc r="AN245" t="inlineStr">
      <is>
        <t>-Owner confirm it's no impact</t>
      </is>
    </nc>
    <odxf>
      <fill>
        <patternFill patternType="none">
          <bgColor indexed="65"/>
        </patternFill>
      </fill>
    </odxf>
    <ndxf>
      <fill>
        <patternFill patternType="solid">
          <bgColor rgb="FFFF0000"/>
        </patternFill>
      </fill>
    </ndxf>
  </rcc>
  <rcv guid="{99BC1C51-34DC-4BF2-906C-1E31B6171D71}" action="delete"/>
  <rdn rId="0" localSheetId="1" customView="1" name="Z_99BC1C51_34DC_4BF2_906C_1E31B6171D71_.wvu.FilterData" hidden="1" oldHidden="1">
    <formula>Merged_COEM!$A$59:$AN$302</formula>
    <oldFormula>Merged_COEM!$A$59:$AN$302</oldFormula>
  </rdn>
  <rdn rId="0" localSheetId="2" customView="1" name="Z_99BC1C51_34DC_4BF2_906C_1E31B6171D71_.wvu.FilterData" hidden="1" oldHidden="1">
    <formula>Merged_JOEM!$B$59:$AN$557</formula>
    <oldFormula>Merged_JOEM!$B$59:$AN$557</oldFormula>
  </rdn>
  <rcv guid="{99BC1C51-34DC-4BF2-906C-1E31B6171D71}" action="add"/>
</revisions>
</file>

<file path=xl/revisions/revisionLog5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36" sId="2" quotePrefix="1">
    <oc r="AL501" t="inlineStr">
      <is>
        <t xml:space="preserve">Line #33, can not cover case Counter &gt; 2.5. Because Counter must be greater than 0 and dT_Hydraulikinterface range from 0.005 to 0.005
Line #19, can not cover case out range min. Because:
 - dp_k1 range from -400 to 400
 - MinStep range from 0 to 400 </t>
      </is>
    </oc>
    <nc r="AL501" t="inlineStr">
      <is>
        <t>Line #33, can not cover case Counter &gt; 2.5. Because Counter must be greater than 0 and dT_Hydraulikinterface range from 0.005 to 0.005</t>
      </is>
    </nc>
  </rcc>
  <rcc rId="5937" sId="2" odxf="1" dxf="1" quotePrefix="1">
    <nc r="AL502" t="inlineStr">
      <is>
        <t xml:space="preserve">Line #19, can not cover case out range min. Because:
 - dp_k1 range from -400 to 400
 - MinStep range from 0 to 400 </t>
      </is>
    </nc>
    <odxf>
      <alignment wrapText="0" readingOrder="0"/>
    </odxf>
    <ndxf>
      <alignment wrapText="1" readingOrder="0"/>
    </ndxf>
  </rcc>
  <rcv guid="{A2E8CE38-D15E-4374-89B2-69D9421C4465}" action="delete"/>
  <rdn rId="0" localSheetId="1" customView="1" name="Z_A2E8CE38_D15E_4374_89B2_69D9421C4465_.wvu.FilterData" hidden="1" oldHidden="1">
    <formula>Merged_COEM!$A$59:$AN$302</formula>
    <oldFormula>Merged_COEM!$B$59:$AN$302</oldFormula>
  </rdn>
  <rdn rId="0" localSheetId="2" customView="1" name="Z_A2E8CE38_D15E_4374_89B2_69D9421C4465_.wvu.FilterData" hidden="1" oldHidden="1">
    <formula>Merged_JOEM!$B$59:$AN$557</formula>
    <oldFormula>Merged_JOEM!$B$59:$AN$557</oldFormula>
  </rdn>
  <rcv guid="{A2E8CE38-D15E-4374-89B2-69D9421C4465}" action="add"/>
</revisions>
</file>

<file path=xl/revisions/revisionLog5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40" sId="1">
    <nc r="AG248" t="inlineStr">
      <is>
        <t>OK</t>
      </is>
    </nc>
  </rcc>
  <rcc rId="5941" sId="1" numFmtId="14">
    <nc r="AH248">
      <v>1</v>
    </nc>
  </rcc>
  <rcc rId="5942" sId="1" numFmtId="14">
    <nc r="AI248">
      <v>1</v>
    </nc>
  </rcc>
  <rcc rId="5943" sId="1" numFmtId="14">
    <nc r="AJ248">
      <v>1</v>
    </nc>
  </rcc>
  <rcc rId="5944" sId="1">
    <nc r="AK248" t="inlineStr">
      <is>
        <t>None</t>
      </is>
    </nc>
  </rcc>
  <rcc rId="5945" sId="1" numFmtId="19">
    <nc r="AE248">
      <v>44085</v>
    </nc>
  </rcc>
  <rcc rId="5946" sId="1" numFmtId="19">
    <nc r="AF248">
      <v>44085</v>
    </nc>
  </rcc>
  <rcv guid="{99BC1C51-34DC-4BF2-906C-1E31B6171D71}" action="delete"/>
  <rdn rId="0" localSheetId="1" customView="1" name="Z_99BC1C51_34DC_4BF2_906C_1E31B6171D71_.wvu.FilterData" hidden="1" oldHidden="1">
    <formula>Merged_COEM!$A$59:$AN$302</formula>
    <oldFormula>Merged_COEM!$A$59:$AN$302</oldFormula>
  </rdn>
  <rdn rId="0" localSheetId="2" customView="1" name="Z_99BC1C51_34DC_4BF2_906C_1E31B6171D71_.wvu.FilterData" hidden="1" oldHidden="1">
    <formula>Merged_JOEM!$B$59:$AN$557</formula>
    <oldFormula>Merged_JOEM!$B$59:$AN$557</oldFormula>
  </rdn>
  <rcv guid="{99BC1C51-34DC-4BF2-906C-1E31B6171D71}" action="add"/>
</revisions>
</file>

<file path=xl/revisions/revisionLog5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L502">
    <dxf>
      <alignment wrapText="0" readingOrder="0"/>
    </dxf>
  </rfmt>
  <rfmt sheetId="2" sqref="AL502" start="0" length="0">
    <dxf>
      <alignment wrapText="1" readingOrder="0"/>
    </dxf>
  </rfmt>
  <rcc rId="5949" sId="2" quotePrefix="1">
    <oc r="AL502" t="inlineStr">
      <is>
        <t xml:space="preserve">Line #19, can not cover case out range min. Because:
 - dp_k1 range from -400 to 400
 - MinStep range from 0 to 400 </t>
      </is>
    </oc>
    <nc r="AL502" t="inlineStr">
      <is>
        <t xml:space="preserve">Line #16, can not cover case out range min. Because:
 - dp_k1 range from -400 to 400
 - MinStep_OS2 range from 0 to 400 
Line #19, can not cover case out range min. Because:
 - dp_k1 range from -400 to 400
 - MinStep range from 0 to 400 </t>
      </is>
    </nc>
  </rcc>
  <rfmt sheetId="2" sqref="AL502">
    <dxf>
      <alignment wrapText="0" readingOrder="0"/>
    </dxf>
  </rfmt>
</revisions>
</file>

<file path=xl/revisions/revisionLog5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50" sId="1">
    <nc r="X249">
      <f>W249</f>
    </nc>
  </rcc>
  <rcc rId="5951" sId="1">
    <nc r="Z249">
      <f>Y249</f>
    </nc>
  </rcc>
  <rcc rId="5952" sId="1">
    <nc r="AA249" t="inlineStr">
      <is>
        <t>Ready for review</t>
      </is>
    </nc>
  </rcc>
  <rcc rId="5953" sId="1" numFmtId="19">
    <nc r="AE249">
      <v>44085</v>
    </nc>
  </rcc>
  <rcc rId="5954" sId="1" numFmtId="19">
    <nc r="AF249">
      <v>44085</v>
    </nc>
  </rcc>
  <rcc rId="5955" sId="1">
    <nc r="AG249" t="inlineStr">
      <is>
        <t>OK</t>
      </is>
    </nc>
  </rcc>
  <rcc rId="5956" sId="1" numFmtId="14">
    <nc r="AH249">
      <v>1</v>
    </nc>
  </rcc>
  <rcc rId="5957" sId="1" numFmtId="14">
    <nc r="AI249">
      <v>1</v>
    </nc>
  </rcc>
  <rcc rId="5958" sId="1" numFmtId="14">
    <nc r="AJ249">
      <v>1</v>
    </nc>
  </rcc>
  <rcc rId="5959" sId="1">
    <nc r="AK249" t="inlineStr">
      <is>
        <t>None</t>
      </is>
    </nc>
  </rcc>
  <rcv guid="{FECB4C41-27E8-4A22-AFB3-4F54CDD4960E}" action="delete"/>
  <rdn rId="0" localSheetId="1" customView="1" name="Z_FECB4C41_27E8_4A22_AFB3_4F54CDD4960E_.wvu.FilterData" hidden="1" oldHidden="1">
    <formula>Merged_COEM!$B$59:$AN$302</formula>
    <oldFormula>Merged_COEM!$B$59:$AN$302</oldFormula>
  </rdn>
  <rdn rId="0" localSheetId="2" customView="1" name="Z_FECB4C41_27E8_4A22_AFB3_4F54CDD4960E_.wvu.FilterData" hidden="1" oldHidden="1">
    <formula>Merged_JOEM!$B$59:$AN$557</formula>
    <oldFormula>Merged_JOEM!$B$59:$AN$557</oldFormula>
  </rdn>
  <rcv guid="{FECB4C41-27E8-4A22-AFB3-4F54CDD4960E}" action="add"/>
</revisions>
</file>

<file path=xl/revisions/revisionLog5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62" sId="1">
    <oc r="U230" t="inlineStr">
      <is>
        <t>No</t>
      </is>
    </oc>
    <nc r="U230" t="inlineStr">
      <is>
        <t>Yes</t>
      </is>
    </nc>
  </rcc>
  <rcc rId="5963" sId="1">
    <oc r="U231" t="inlineStr">
      <is>
        <t>No</t>
      </is>
    </oc>
    <nc r="U231" t="inlineStr">
      <is>
        <t>Yes</t>
      </is>
    </nc>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66" sId="1">
    <oc r="W251">
      <f>V251</f>
    </oc>
    <nc r="W251">
      <v>385</v>
    </nc>
  </rcc>
  <rcc rId="5967" sId="1">
    <nc r="X251">
      <f>W251</f>
    </nc>
  </rcc>
</revisions>
</file>

<file path=xl/revisions/revisionLog5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68" sId="1" odxf="1" dxf="1">
    <oc r="AL236" t="inlineStr">
      <is>
        <t>-</t>
      </is>
    </oc>
    <nc r="AL236" t="inlineStr">
      <is>
        <t>Can’t cover full MCDC at line 60 with case (F&amp;&amp;?) because l_TotalOdometer_UL is always greater than 0 and TotalOdometer_Min is equal 0.</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71" sId="2" odxf="1" dxf="1" quotePrefix="1">
    <oc r="AL502" t="inlineStr">
      <is>
        <t xml:space="preserve">Line #16, can not cover case out range min. Because:
 - dp_k1 range from -400 to 400
 - MinStep_OS2 range from 0 to 400 
Line #19, can not cover case out range min. Because:
 - dp_k1 range from -400 to 400
 - MinStep range from 0 to 400 </t>
      </is>
    </oc>
    <nc r="AL502" t="inlineStr">
      <is>
        <t xml:space="preserve">Line #19, can not cover case out range min. Because:
 - dp_k1 range from -400 to 400
 - MinStep range from 0 to 400 </t>
      </is>
    </nc>
    <odxf>
      <alignment wrapText="0" readingOrder="0"/>
    </odxf>
    <ndxf>
      <alignment wrapText="1" readingOrder="0"/>
    </ndxf>
  </rcc>
  <rfmt sheetId="2" sqref="AL502">
    <dxf>
      <alignment wrapText="0" readingOrder="0"/>
    </dxf>
  </rfmt>
  <rcc rId="5972" sId="2" numFmtId="14">
    <nc r="AH502">
      <v>0.89500000000000002</v>
    </nc>
  </rcc>
  <rcc rId="5973" sId="2" numFmtId="14">
    <nc r="AI502">
      <v>0.9</v>
    </nc>
  </rcc>
  <rcc rId="5974" sId="2" numFmtId="14">
    <nc r="AJ502">
      <v>1</v>
    </nc>
  </rcc>
  <rcc rId="5975" sId="2" quotePrefix="1">
    <nc r="AK502" t="inlineStr">
      <is>
        <t>None</t>
      </is>
    </nc>
  </rcc>
  <rcc rId="5976" sId="2">
    <nc r="AG502" t="inlineStr">
      <is>
        <t>OK</t>
      </is>
    </nc>
  </rcc>
  <rcc rId="5977" sId="2" numFmtId="19">
    <nc r="AE502">
      <v>44085</v>
    </nc>
  </rcc>
  <rcc rId="5978" sId="2" numFmtId="19">
    <nc r="AF502">
      <v>44085</v>
    </nc>
  </rcc>
  <rcc rId="5979" sId="2">
    <nc r="AA502" t="inlineStr">
      <is>
        <t>Ready for review</t>
      </is>
    </nc>
  </rcc>
  <rcc rId="5980" sId="2">
    <nc r="Z502">
      <f>Y502</f>
    </nc>
  </rcc>
  <rcc rId="5981" sId="2">
    <nc r="X502">
      <f>W502</f>
    </nc>
  </rcc>
  <rcv guid="{A2E8CE38-D15E-4374-89B2-69D9421C4465}" action="delete"/>
  <rdn rId="0" localSheetId="1" customView="1" name="Z_A2E8CE38_D15E_4374_89B2_69D9421C4465_.wvu.FilterData" hidden="1" oldHidden="1">
    <formula>Merged_COEM!$A$59:$AN$302</formula>
    <oldFormula>Merged_COEM!$A$59:$AN$302</oldFormula>
  </rdn>
  <rdn rId="0" localSheetId="2" customView="1" name="Z_A2E8CE38_D15E_4374_89B2_69D9421C4465_.wvu.FilterData" hidden="1" oldHidden="1">
    <formula>Merged_JOEM!$B$59:$AN$557</formula>
    <oldFormula>Merged_JOEM!$B$59:$AN$557</oldFormula>
  </rdn>
  <rcv guid="{A2E8CE38-D15E-4374-89B2-69D9421C4465}" action="add"/>
</revisions>
</file>

<file path=xl/revisions/revisionLog5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84" sId="2" numFmtId="14">
    <oc r="AH502">
      <v>0.89500000000000002</v>
    </oc>
    <nc r="AH502">
      <v>0.94699999999999995</v>
    </nc>
  </rcc>
  <rcc rId="5985" sId="2" numFmtId="14">
    <oc r="AI502">
      <v>0.9</v>
    </oc>
    <nc r="AI502">
      <v>0.95</v>
    </nc>
  </rcc>
</revisions>
</file>

<file path=xl/revisions/revisionLog5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L502" start="0" length="0">
    <dxf>
      <alignment wrapText="1" readingOrder="0"/>
    </dxf>
  </rfmt>
  <rfmt sheetId="2" sqref="AL502">
    <dxf>
      <alignment wrapText="0" readingOrder="0"/>
    </dxf>
  </rfmt>
</revisions>
</file>

<file path=xl/revisions/revisionLog5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86" sId="1">
    <oc r="W252">
      <f>V252</f>
    </oc>
    <nc r="W252">
      <v>224</v>
    </nc>
  </rcc>
  <rfmt sheetId="1" sqref="W252">
    <dxf>
      <fill>
        <patternFill patternType="solid">
          <bgColor rgb="FFFF0000"/>
        </patternFill>
      </fill>
    </dxf>
  </rfmt>
  <rcc rId="5987" sId="1">
    <nc r="X252">
      <f>W252</f>
    </nc>
  </rcc>
  <rcc rId="5988" sId="1">
    <nc r="Z252">
      <v>3</v>
    </nc>
  </rcc>
  <rcc rId="5989" sId="1" numFmtId="19">
    <nc r="AE252">
      <v>44085</v>
    </nc>
  </rcc>
  <rcc rId="5990" sId="1" numFmtId="19">
    <nc r="AF252">
      <v>44085</v>
    </nc>
  </rcc>
  <rcc rId="5991" sId="1">
    <nc r="AG252" t="inlineStr">
      <is>
        <t>NG</t>
      </is>
    </nc>
  </rcc>
  <rcc rId="5992" sId="1" numFmtId="14">
    <nc r="AH252">
      <v>0.96</v>
    </nc>
  </rcc>
  <rcc rId="5993" sId="1" numFmtId="14">
    <nc r="AI252">
      <v>0.93</v>
    </nc>
  </rcc>
  <rcc rId="5994" sId="1" numFmtId="14">
    <nc r="AJ252">
      <v>1</v>
    </nc>
  </rcc>
  <rcc rId="5995" sId="1">
    <nc r="AK252" t="inlineStr">
      <is>
        <t>OPL</t>
      </is>
    </nc>
  </rcc>
  <rcv guid="{99BC1C51-34DC-4BF2-906C-1E31B6171D71}" action="delete"/>
  <rdn rId="0" localSheetId="1" customView="1" name="Z_99BC1C51_34DC_4BF2_906C_1E31B6171D71_.wvu.FilterData" hidden="1" oldHidden="1">
    <formula>Merged_COEM!$A$59:$AN$302</formula>
    <oldFormula>Merged_COEM!$A$59:$AN$302</oldFormula>
  </rdn>
  <rdn rId="0" localSheetId="2" customView="1" name="Z_99BC1C51_34DC_4BF2_906C_1E31B6171D71_.wvu.FilterData" hidden="1" oldHidden="1">
    <formula>Merged_JOEM!$B$59:$AN$557</formula>
    <oldFormula>Merged_JOEM!$B$59:$AN$557</oldFormula>
  </rdn>
  <rcv guid="{99BC1C51-34DC-4BF2-906C-1E31B6171D71}" action="add"/>
</revisions>
</file>

<file path=xl/revisions/revisionLog5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98" sId="1" quotePrefix="1">
    <oc r="F280" t="inlineStr">
      <is>
        <t>rb\as\fawESP\esp\dcompr\tst\Stubs\CUBAS\src\DemCSMosar_StoreEvtImm_Cfg.c</t>
      </is>
    </oc>
    <nc r="F280" t="inlineStr">
      <is>
        <t>FAW_IPB1.1_Int_ESP\FAW_ESP\rb\as\fawESP\esp\dcompr\tst\Stubs\CUBAS\src</t>
      </is>
    </nc>
  </rcc>
  <rfmt sheetId="1" sqref="F280" start="0" length="2147483647">
    <dxf>
      <font>
        <b/>
      </font>
    </dxf>
  </rfmt>
  <rcv guid="{99BC1C51-34DC-4BF2-906C-1E31B6171D71}" action="delete"/>
  <rdn rId="0" localSheetId="1" customView="1" name="Z_99BC1C51_34DC_4BF2_906C_1E31B6171D71_.wvu.FilterData" hidden="1" oldHidden="1">
    <formula>Merged_COEM!$A$59:$AN$302</formula>
    <oldFormula>Merged_COEM!$A$59:$AN$302</oldFormula>
  </rdn>
  <rdn rId="0" localSheetId="2" customView="1" name="Z_99BC1C51_34DC_4BF2_906C_1E31B6171D71_.wvu.FilterData" hidden="1" oldHidden="1">
    <formula>Merged_JOEM!$B$59:$AN$557</formula>
    <oldFormula>Merged_JOEM!$B$59:$AN$557</oldFormula>
  </rdn>
  <rcv guid="{99BC1C51-34DC-4BF2-906C-1E31B6171D71}" action="add"/>
</revisions>
</file>

<file path=xl/revisions/revisionLog5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01" sId="1">
    <nc r="U240" t="inlineStr">
      <is>
        <t>Yes</t>
      </is>
    </nc>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04" sId="1">
    <nc r="X280">
      <v>0</v>
    </nc>
  </rcc>
  <rcc rId="6005" sId="1">
    <nc r="Z280">
      <v>0</v>
    </nc>
  </rcc>
  <rcc rId="6006" sId="1">
    <nc r="AG280" t="inlineStr">
      <is>
        <t>OK</t>
      </is>
    </nc>
  </rcc>
  <rcc rId="6007" sId="1">
    <nc r="AH280" t="inlineStr">
      <is>
        <t>-</t>
      </is>
    </nc>
  </rcc>
  <rcc rId="6008" sId="1">
    <nc r="AI280" t="inlineStr">
      <is>
        <t>-</t>
      </is>
    </nc>
  </rcc>
  <rcc rId="6009" sId="1">
    <nc r="AJ280" t="inlineStr">
      <is>
        <t>-</t>
      </is>
    </nc>
  </rcc>
  <rcc rId="6010" sId="1">
    <nc r="AK280" t="inlineStr">
      <is>
        <t>None</t>
      </is>
    </nc>
  </rcc>
  <rcc rId="6011" sId="1" numFmtId="19">
    <nc r="AE280">
      <v>44085</v>
    </nc>
  </rcc>
  <rcc rId="6012" sId="1" numFmtId="19">
    <nc r="AF280">
      <v>44085</v>
    </nc>
  </rcc>
  <rcc rId="6013" sId="1" odxf="1" dxf="1" quotePrefix="1">
    <oc r="AN280" t="inlineStr">
      <is>
        <t>-</t>
      </is>
    </oc>
    <nc r="AN280" t="inlineStr">
      <is>
        <t>-No function to test</t>
      </is>
    </nc>
    <odxf>
      <fill>
        <patternFill patternType="none">
          <bgColor indexed="65"/>
        </patternFill>
      </fill>
    </odxf>
    <ndxf>
      <fill>
        <patternFill patternType="solid">
          <bgColor rgb="FFFF0000"/>
        </patternFill>
      </fill>
    </ndxf>
  </rcc>
  <rcv guid="{99BC1C51-34DC-4BF2-906C-1E31B6171D71}" action="delete"/>
  <rdn rId="0" localSheetId="1" customView="1" name="Z_99BC1C51_34DC_4BF2_906C_1E31B6171D71_.wvu.FilterData" hidden="1" oldHidden="1">
    <formula>Merged_COEM!$A$59:$AN$302</formula>
    <oldFormula>Merged_COEM!$A$59:$AN$302</oldFormula>
  </rdn>
  <rdn rId="0" localSheetId="2" customView="1" name="Z_99BC1C51_34DC_4BF2_906C_1E31B6171D71_.wvu.FilterData" hidden="1" oldHidden="1">
    <formula>Merged_JOEM!$B$59:$AN$557</formula>
    <oldFormula>Merged_JOEM!$B$59:$AN$557</oldFormula>
  </rdn>
  <rcv guid="{99BC1C51-34DC-4BF2-906C-1E31B6171D71}" action="add"/>
</revisions>
</file>

<file path=xl/revisions/revisionLog5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16" sId="1">
    <nc r="AA245" t="inlineStr">
      <is>
        <t>Ready for review</t>
      </is>
    </nc>
  </rcc>
  <rcc rId="6017" sId="1">
    <nc r="AA248" t="inlineStr">
      <is>
        <t>Ready for review</t>
      </is>
    </nc>
  </rcc>
  <rcc rId="6018" sId="1">
    <nc r="AA252" t="inlineStr">
      <is>
        <t>Ready for review</t>
      </is>
    </nc>
  </rcc>
  <rcc rId="6019" sId="1">
    <nc r="AA280" t="inlineStr">
      <is>
        <t>Ready for review</t>
      </is>
    </nc>
  </rcc>
  <rcv guid="{99BC1C51-34DC-4BF2-906C-1E31B6171D71}" action="delete"/>
  <rdn rId="0" localSheetId="1" customView="1" name="Z_99BC1C51_34DC_4BF2_906C_1E31B6171D71_.wvu.FilterData" hidden="1" oldHidden="1">
    <formula>Merged_COEM!$A$59:$AN$302</formula>
    <oldFormula>Merged_COEM!$A$59:$AN$302</oldFormula>
  </rdn>
  <rdn rId="0" localSheetId="2" customView="1" name="Z_99BC1C51_34DC_4BF2_906C_1E31B6171D71_.wvu.FilterData" hidden="1" oldHidden="1">
    <formula>Merged_JOEM!$B$59:$AN$557</formula>
    <oldFormula>Merged_JOEM!$B$59:$AN$557</oldFormula>
  </rdn>
  <rcv guid="{99BC1C51-34DC-4BF2-906C-1E31B6171D71}" action="add"/>
</revisions>
</file>

<file path=xl/revisions/revisionLog5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22" sId="1">
    <nc r="K280" t="inlineStr">
      <is>
        <t>Test: Manual; Cmt: Auto</t>
      </is>
    </nc>
  </rcc>
  <rcv guid="{99BC1C51-34DC-4BF2-906C-1E31B6171D71}" action="delete"/>
  <rdn rId="0" localSheetId="1" customView="1" name="Z_99BC1C51_34DC_4BF2_906C_1E31B6171D71_.wvu.FilterData" hidden="1" oldHidden="1">
    <formula>Merged_COEM!$A$59:$AN$302</formula>
    <oldFormula>Merged_COEM!$A$59:$AN$302</oldFormula>
  </rdn>
  <rdn rId="0" localSheetId="2" customView="1" name="Z_99BC1C51_34DC_4BF2_906C_1E31B6171D71_.wvu.FilterData" hidden="1" oldHidden="1">
    <formula>Merged_JOEM!$B$59:$AN$557</formula>
    <oldFormula>Merged_JOEM!$B$59:$AN$557</oldFormula>
  </rdn>
  <rcv guid="{99BC1C51-34DC-4BF2-906C-1E31B6171D71}" action="add"/>
</revisions>
</file>

<file path=xl/revisions/revisionLog5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9BC1C51-34DC-4BF2-906C-1E31B6171D71}" action="delete"/>
  <rdn rId="0" localSheetId="1" customView="1" name="Z_99BC1C51_34DC_4BF2_906C_1E31B6171D71_.wvu.FilterData" hidden="1" oldHidden="1">
    <formula>Merged_COEM!$A$59:$AN$302</formula>
    <oldFormula>Merged_COEM!$A$59:$AN$302</oldFormula>
  </rdn>
  <rdn rId="0" localSheetId="2" customView="1" name="Z_99BC1C51_34DC_4BF2_906C_1E31B6171D71_.wvu.FilterData" hidden="1" oldHidden="1">
    <formula>Merged_JOEM!$B$59:$AN$557</formula>
    <oldFormula>Merged_JOEM!$B$59:$AN$557</oldFormula>
  </rdn>
  <rcv guid="{99BC1C51-34DC-4BF2-906C-1E31B6171D71}" action="add"/>
</revisions>
</file>

<file path=xl/revisions/revisionLog5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27" sId="1">
    <nc r="K283" t="inlineStr">
      <is>
        <t>Test: Manual; Cmt: Auto</t>
      </is>
    </nc>
  </rcc>
  <rcc rId="6028" sId="1">
    <nc r="X283">
      <f>W283</f>
    </nc>
  </rcc>
  <rcc rId="6029" sId="1">
    <nc r="Z283">
      <v>1</v>
    </nc>
  </rcc>
  <rcc rId="6030" sId="1">
    <nc r="AA283" t="inlineStr">
      <is>
        <t>Ready for review</t>
      </is>
    </nc>
  </rcc>
  <rcc rId="6031" sId="1" numFmtId="19">
    <nc r="AE283">
      <v>44085</v>
    </nc>
  </rcc>
  <rcc rId="6032" sId="1" numFmtId="19">
    <nc r="AF283">
      <v>44085</v>
    </nc>
  </rcc>
  <rcc rId="6033" sId="1">
    <nc r="AG283" t="inlineStr">
      <is>
        <t>OK</t>
      </is>
    </nc>
  </rcc>
  <rcc rId="6034" sId="1" numFmtId="14">
    <nc r="AH283">
      <v>1</v>
    </nc>
  </rcc>
  <rcc rId="6035" sId="1" numFmtId="14">
    <nc r="AI283">
      <v>1</v>
    </nc>
  </rcc>
  <rcc rId="6036" sId="1" numFmtId="14">
    <nc r="AJ283">
      <v>1</v>
    </nc>
  </rcc>
  <rcc rId="6037" sId="1">
    <nc r="AK283" t="inlineStr">
      <is>
        <t>None</t>
      </is>
    </nc>
  </rcc>
  <rcv guid="{99BC1C51-34DC-4BF2-906C-1E31B6171D71}" action="delete"/>
  <rdn rId="0" localSheetId="1" customView="1" name="Z_99BC1C51_34DC_4BF2_906C_1E31B6171D71_.wvu.FilterData" hidden="1" oldHidden="1">
    <formula>Merged_COEM!$A$59:$AN$302</formula>
    <oldFormula>Merged_COEM!$A$59:$AN$302</oldFormula>
  </rdn>
  <rdn rId="0" localSheetId="2" customView="1" name="Z_99BC1C51_34DC_4BF2_906C_1E31B6171D71_.wvu.FilterData" hidden="1" oldHidden="1">
    <formula>Merged_JOEM!$B$59:$AN$557</formula>
    <oldFormula>Merged_JOEM!$B$59:$AN$557</oldFormula>
  </rdn>
  <rcv guid="{99BC1C51-34DC-4BF2-906C-1E31B6171D71}" action="add"/>
</revisions>
</file>

<file path=xl/revisions/revisionLog5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40" sId="1">
    <oc r="AA225" t="inlineStr">
      <is>
        <t>Ready for review</t>
      </is>
    </oc>
    <nc r="AA225" t="inlineStr">
      <is>
        <t>Ready for PLC</t>
      </is>
    </nc>
  </rcc>
  <rcc rId="6041" sId="1">
    <oc r="AA226" t="inlineStr">
      <is>
        <t>Ready for review</t>
      </is>
    </oc>
    <nc r="AA226" t="inlineStr">
      <is>
        <t>Ready for PLC</t>
      </is>
    </nc>
  </rcc>
  <rcc rId="6042" sId="1">
    <oc r="AA233" t="inlineStr">
      <is>
        <t>Ready for review</t>
      </is>
    </oc>
    <nc r="AA233" t="inlineStr">
      <is>
        <t>Ready for PLC</t>
      </is>
    </nc>
  </rcc>
  <rcc rId="6043" sId="1">
    <oc r="AA234" t="inlineStr">
      <is>
        <t>Ready for review</t>
      </is>
    </oc>
    <nc r="AA234" t="inlineStr">
      <is>
        <t>Ready for PLC</t>
      </is>
    </nc>
  </rcc>
  <rcc rId="6044" sId="1">
    <oc r="AA235" t="inlineStr">
      <is>
        <t>Ready for review</t>
      </is>
    </oc>
    <nc r="AA235" t="inlineStr">
      <is>
        <t>Ready for PLC</t>
      </is>
    </nc>
  </rcc>
  <rcc rId="6045" sId="1">
    <oc r="AA236" t="inlineStr">
      <is>
        <t>Ready for review</t>
      </is>
    </oc>
    <nc r="AA236" t="inlineStr">
      <is>
        <t>Ready for PLC</t>
      </is>
    </nc>
  </rcc>
  <rcc rId="6046" sId="1">
    <oc r="AA237" t="inlineStr">
      <is>
        <t>Ready for review</t>
      </is>
    </oc>
    <nc r="AA237" t="inlineStr">
      <is>
        <t>Ready for PLC</t>
      </is>
    </nc>
  </rcc>
  <rcc rId="6047" sId="1">
    <oc r="AA238" t="inlineStr">
      <is>
        <t>Ready for review</t>
      </is>
    </oc>
    <nc r="AA238" t="inlineStr">
      <is>
        <t>Ready for PLC</t>
      </is>
    </nc>
  </rcc>
  <rcc rId="6048" sId="1">
    <oc r="AA239" t="inlineStr">
      <is>
        <t>Ready for review</t>
      </is>
    </oc>
    <nc r="AA239" t="inlineStr">
      <is>
        <t>Ready for PLC</t>
      </is>
    </nc>
  </rcc>
  <rcc rId="6049" sId="1">
    <oc r="AA240" t="inlineStr">
      <is>
        <t>Ready for review</t>
      </is>
    </oc>
    <nc r="AA240" t="inlineStr">
      <is>
        <t>Ready for PLC</t>
      </is>
    </nc>
  </rcc>
  <rcc rId="6050" sId="1">
    <oc r="AA241" t="inlineStr">
      <is>
        <t>Ready for review</t>
      </is>
    </oc>
    <nc r="AA241" t="inlineStr">
      <is>
        <t>Ready for PLC</t>
      </is>
    </nc>
  </rcc>
  <rcc rId="6051" sId="1">
    <oc r="AA242" t="inlineStr">
      <is>
        <t>Ready for review</t>
      </is>
    </oc>
    <nc r="AA242" t="inlineStr">
      <is>
        <t>Ready for PLC</t>
      </is>
    </nc>
  </rcc>
  <rcc rId="6052" sId="1" numFmtId="19">
    <nc r="AB225">
      <v>44085</v>
    </nc>
  </rcc>
  <rcc rId="6053" sId="1" numFmtId="19">
    <nc r="AB226">
      <v>44085</v>
    </nc>
  </rcc>
  <rcc rId="6054" sId="1" numFmtId="19">
    <nc r="AB233">
      <v>44085</v>
    </nc>
  </rcc>
  <rcc rId="6055" sId="1" numFmtId="19">
    <nc r="AB234">
      <v>44085</v>
    </nc>
  </rcc>
  <rcc rId="6056" sId="1" numFmtId="19">
    <nc r="AB235">
      <v>44085</v>
    </nc>
  </rcc>
  <rcc rId="6057" sId="1" numFmtId="19">
    <nc r="AB236">
      <v>44085</v>
    </nc>
  </rcc>
  <rcc rId="6058" sId="1" numFmtId="19">
    <nc r="AB237">
      <v>44085</v>
    </nc>
  </rcc>
  <rcc rId="6059" sId="1" numFmtId="19">
    <nc r="AB238">
      <v>44085</v>
    </nc>
  </rcc>
  <rcc rId="6060" sId="1" numFmtId="19">
    <nc r="AB239">
      <v>44085</v>
    </nc>
  </rcc>
  <rcc rId="6061" sId="1" numFmtId="19">
    <nc r="AB240">
      <v>44085</v>
    </nc>
  </rcc>
  <rcc rId="6062" sId="1" numFmtId="19">
    <nc r="AB241">
      <v>44085</v>
    </nc>
  </rcc>
  <rcc rId="6063" sId="1" numFmtId="19">
    <nc r="AB242">
      <v>44085</v>
    </nc>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68" sId="8">
    <oc r="B71" t="inlineStr">
      <is>
        <t>FHI_iBGen2_MS_14_Dev_37</t>
      </is>
    </oc>
    <nc r="B71" t="inlineStr">
      <is>
        <t>Honda_CMP_BL12sp02_snapshot03</t>
      </is>
    </nc>
  </rcc>
  <rcc rId="6069" sId="8">
    <oc r="C71" t="inlineStr">
      <is>
        <t>EXTERNAL Ly Chung (Ban Vien, RBVH/EPS45)</t>
      </is>
    </oc>
    <nc r="C71" t="inlineStr">
      <is>
        <t>EXTERNAL Nguyen Tai Hau (Ban Vien, RBVH/EPS45)</t>
      </is>
    </nc>
  </rcc>
  <rcc rId="6070" sId="8">
    <oc r="C72" t="inlineStr">
      <is>
        <t>EXTERNAL Do Anh Huy (Ban Vien, RBVH/EPS45)</t>
      </is>
    </oc>
    <nc r="C72" t="inlineStr">
      <is>
        <t>EXTERNAL Duong Chi Khang (Ban Vien, RBVH/EPS45)</t>
      </is>
    </nc>
  </rcc>
  <rcc rId="6071" sId="8">
    <oc r="C73" t="inlineStr">
      <is>
        <t>EXTERNAL Duong Chi Khang (Ban Vien, RBVH/EPS45)</t>
      </is>
    </oc>
    <nc r="C73" t="inlineStr">
      <is>
        <t>EXTERNAL Ly Chung (Ban Vien, RBVH/EPS45)</t>
      </is>
    </nc>
  </rcc>
  <rcc rId="6072" sId="8">
    <oc r="C76" t="inlineStr">
      <is>
        <t>EXTERNAL Luu Cong Dac (Ban Vien, RBVH/EPS45)</t>
      </is>
    </oc>
    <nc r="C76" t="inlineStr">
      <is>
        <t>EXTERNAL Do Anh Huy (Ban Vien, RBVH/EPS45)</t>
      </is>
    </nc>
  </rcc>
  <rcc rId="6073" sId="2">
    <oc r="AA399" t="inlineStr">
      <is>
        <t>Ready for review</t>
      </is>
    </oc>
    <nc r="AA399" t="inlineStr">
      <is>
        <t>Ready for PLC</t>
      </is>
    </nc>
  </rcc>
  <rcc rId="6074" sId="2">
    <oc r="AA362" t="inlineStr">
      <is>
        <t>Ready for review</t>
      </is>
    </oc>
    <nc r="AA362" t="inlineStr">
      <is>
        <t>Ready for PLC</t>
      </is>
    </nc>
  </rcc>
  <rcc rId="6075" sId="2">
    <oc r="AA363" t="inlineStr">
      <is>
        <t>Ready for review</t>
      </is>
    </oc>
    <nc r="AA363" t="inlineStr">
      <is>
        <t>Ready for PLC</t>
      </is>
    </nc>
  </rcc>
  <rcc rId="6076" sId="2">
    <oc r="AA364" t="inlineStr">
      <is>
        <t>Ready for review</t>
      </is>
    </oc>
    <nc r="AA364" t="inlineStr">
      <is>
        <t>Ready for PLC</t>
      </is>
    </nc>
  </rcc>
  <rcc rId="6077" sId="2">
    <oc r="AA365" t="inlineStr">
      <is>
        <t>Ready for review</t>
      </is>
    </oc>
    <nc r="AA365" t="inlineStr">
      <is>
        <t>Ready for PLC</t>
      </is>
    </nc>
  </rcc>
  <rcc rId="6078" sId="2">
    <oc r="AA366" t="inlineStr">
      <is>
        <t>Ready for review</t>
      </is>
    </oc>
    <nc r="AA366" t="inlineStr">
      <is>
        <t>Ready for PLC</t>
      </is>
    </nc>
  </rcc>
  <rcc rId="6079" sId="2">
    <oc r="AA367" t="inlineStr">
      <is>
        <t>Ready for review</t>
      </is>
    </oc>
    <nc r="AA367" t="inlineStr">
      <is>
        <t>Ready for PLC</t>
      </is>
    </nc>
  </rcc>
  <rcc rId="6080" sId="2">
    <oc r="AA368" t="inlineStr">
      <is>
        <t>Ready for review</t>
      </is>
    </oc>
    <nc r="AA368" t="inlineStr">
      <is>
        <t>Ready for PLC</t>
      </is>
    </nc>
  </rcc>
  <rcc rId="6081" sId="2">
    <oc r="AA369" t="inlineStr">
      <is>
        <t>Ready for review</t>
      </is>
    </oc>
    <nc r="AA369" t="inlineStr">
      <is>
        <t>Ready for PLC</t>
      </is>
    </nc>
  </rcc>
  <rcc rId="6082" sId="2">
    <oc r="AA370" t="inlineStr">
      <is>
        <t>Ready for review</t>
      </is>
    </oc>
    <nc r="AA370" t="inlineStr">
      <is>
        <t>Ready for PLC</t>
      </is>
    </nc>
  </rcc>
  <rcc rId="6083" sId="2">
    <oc r="AA371" t="inlineStr">
      <is>
        <t>Ready for review</t>
      </is>
    </oc>
    <nc r="AA371" t="inlineStr">
      <is>
        <t>Ready for PLC</t>
      </is>
    </nc>
  </rcc>
  <rcc rId="6084" sId="2">
    <oc r="AA372" t="inlineStr">
      <is>
        <t>Ready for review</t>
      </is>
    </oc>
    <nc r="AA372" t="inlineStr">
      <is>
        <t>Ready for PLC</t>
      </is>
    </nc>
  </rcc>
  <rcc rId="6085" sId="2">
    <oc r="AA373" t="inlineStr">
      <is>
        <t>Ready for review</t>
      </is>
    </oc>
    <nc r="AA373" t="inlineStr">
      <is>
        <t>Ready for PLC</t>
      </is>
    </nc>
  </rcc>
  <rcc rId="6086" sId="2">
    <oc r="AA374" t="inlineStr">
      <is>
        <t>Ready for review</t>
      </is>
    </oc>
    <nc r="AA374" t="inlineStr">
      <is>
        <t>Ready for PLC</t>
      </is>
    </nc>
  </rcc>
  <rcc rId="6087" sId="2">
    <oc r="AA375" t="inlineStr">
      <is>
        <t>Ready for review</t>
      </is>
    </oc>
    <nc r="AA375" t="inlineStr">
      <is>
        <t>Ready for PLC</t>
      </is>
    </nc>
  </rcc>
  <rcc rId="6088" sId="2">
    <oc r="AA376" t="inlineStr">
      <is>
        <t>Ready for review</t>
      </is>
    </oc>
    <nc r="AA376" t="inlineStr">
      <is>
        <t>Ready for PLC</t>
      </is>
    </nc>
  </rcc>
  <rcc rId="6089" sId="2">
    <oc r="AA377" t="inlineStr">
      <is>
        <t>Ready for review</t>
      </is>
    </oc>
    <nc r="AA377" t="inlineStr">
      <is>
        <t>Ready for PLC</t>
      </is>
    </nc>
  </rcc>
  <rcc rId="6090" sId="2">
    <oc r="AA378" t="inlineStr">
      <is>
        <t>Ready for review</t>
      </is>
    </oc>
    <nc r="AA378" t="inlineStr">
      <is>
        <t>Ready for PLC</t>
      </is>
    </nc>
  </rcc>
  <rcc rId="6091" sId="2">
    <oc r="AA379" t="inlineStr">
      <is>
        <t>Ready for review</t>
      </is>
    </oc>
    <nc r="AA379" t="inlineStr">
      <is>
        <t>Ready for PLC</t>
      </is>
    </nc>
  </rcc>
  <rcc rId="6092" sId="2">
    <oc r="AA380" t="inlineStr">
      <is>
        <t>Ready for review</t>
      </is>
    </oc>
    <nc r="AA380" t="inlineStr">
      <is>
        <t>Ready for PLC</t>
      </is>
    </nc>
  </rcc>
  <rcc rId="6093" sId="2">
    <oc r="AA381" t="inlineStr">
      <is>
        <t>Ready for review</t>
      </is>
    </oc>
    <nc r="AA381" t="inlineStr">
      <is>
        <t>Ready for PLC</t>
      </is>
    </nc>
  </rcc>
  <rcc rId="6094" sId="2">
    <oc r="AA382" t="inlineStr">
      <is>
        <t>Ready for review</t>
      </is>
    </oc>
    <nc r="AA382" t="inlineStr">
      <is>
        <t>Ready for PLC</t>
      </is>
    </nc>
  </rcc>
  <rcc rId="6095" sId="2">
    <oc r="AA383" t="inlineStr">
      <is>
        <t>Ready for review</t>
      </is>
    </oc>
    <nc r="AA383" t="inlineStr">
      <is>
        <t>Ready for PLC</t>
      </is>
    </nc>
  </rcc>
  <rcc rId="6096" sId="2">
    <oc r="AA384" t="inlineStr">
      <is>
        <t>Ready for review</t>
      </is>
    </oc>
    <nc r="AA384" t="inlineStr">
      <is>
        <t>Ready for PLC</t>
      </is>
    </nc>
  </rcc>
  <rcc rId="6097" sId="2">
    <oc r="AA385" t="inlineStr">
      <is>
        <t>Ready for review</t>
      </is>
    </oc>
    <nc r="AA385" t="inlineStr">
      <is>
        <t>Ready for PLC</t>
      </is>
    </nc>
  </rcc>
  <rcc rId="6098" sId="2">
    <oc r="AA386" t="inlineStr">
      <is>
        <t>Ready for review</t>
      </is>
    </oc>
    <nc r="AA386" t="inlineStr">
      <is>
        <t>Ready for PLC</t>
      </is>
    </nc>
  </rcc>
  <rcc rId="6099" sId="2">
    <oc r="AA387" t="inlineStr">
      <is>
        <t>Ready for review</t>
      </is>
    </oc>
    <nc r="AA387" t="inlineStr">
      <is>
        <t>Ready for PLC</t>
      </is>
    </nc>
  </rcc>
  <rcc rId="6100" sId="2">
    <oc r="AA388" t="inlineStr">
      <is>
        <t>Ready for review</t>
      </is>
    </oc>
    <nc r="AA388" t="inlineStr">
      <is>
        <t>Ready for PLC</t>
      </is>
    </nc>
  </rcc>
  <rcc rId="6101" sId="2">
    <oc r="AA389" t="inlineStr">
      <is>
        <t>Ready for review</t>
      </is>
    </oc>
    <nc r="AA389" t="inlineStr">
      <is>
        <t>Ready for PLC</t>
      </is>
    </nc>
  </rcc>
  <rcc rId="6102" sId="2">
    <oc r="AA390" t="inlineStr">
      <is>
        <t>Ready for review</t>
      </is>
    </oc>
    <nc r="AA390" t="inlineStr">
      <is>
        <t>Ready for PLC</t>
      </is>
    </nc>
  </rcc>
  <rcc rId="6103" sId="2">
    <oc r="AA391" t="inlineStr">
      <is>
        <t>Ready for review</t>
      </is>
    </oc>
    <nc r="AA391" t="inlineStr">
      <is>
        <t>Ready for PLC</t>
      </is>
    </nc>
  </rcc>
  <rcc rId="6104" sId="2">
    <oc r="AA392" t="inlineStr">
      <is>
        <t>Ready for review</t>
      </is>
    </oc>
    <nc r="AA392" t="inlineStr">
      <is>
        <t>Ready for PLC</t>
      </is>
    </nc>
  </rcc>
  <rcc rId="6105" sId="2">
    <oc r="AA393" t="inlineStr">
      <is>
        <t>Ready for review</t>
      </is>
    </oc>
    <nc r="AA393" t="inlineStr">
      <is>
        <t>Ready for PLC</t>
      </is>
    </nc>
  </rcc>
  <rcc rId="6106" sId="2">
    <oc r="AA394" t="inlineStr">
      <is>
        <t>Ready for review</t>
      </is>
    </oc>
    <nc r="AA394" t="inlineStr">
      <is>
        <t>Ready for PLC</t>
      </is>
    </nc>
  </rcc>
  <rcc rId="6107" sId="2">
    <oc r="AA395" t="inlineStr">
      <is>
        <t>Ready for review</t>
      </is>
    </oc>
    <nc r="AA395" t="inlineStr">
      <is>
        <t>Ready for PLC</t>
      </is>
    </nc>
  </rcc>
  <rcc rId="6108" sId="2">
    <oc r="AA396" t="inlineStr">
      <is>
        <t>Ready for review</t>
      </is>
    </oc>
    <nc r="AA396" t="inlineStr">
      <is>
        <t>Ready for PLC</t>
      </is>
    </nc>
  </rcc>
  <rcc rId="6109" sId="2">
    <oc r="AA397" t="inlineStr">
      <is>
        <t>Ready for review</t>
      </is>
    </oc>
    <nc r="AA397" t="inlineStr">
      <is>
        <t>Ready for PLC</t>
      </is>
    </nc>
  </rcc>
  <rcc rId="6110" sId="2">
    <oc r="AA398" t="inlineStr">
      <is>
        <t>Ready for review</t>
      </is>
    </oc>
    <nc r="AA398" t="inlineStr">
      <is>
        <t>Ready for PLC</t>
      </is>
    </nc>
  </rcc>
  <rcc rId="6111" sId="2">
    <oc r="AA400" t="inlineStr">
      <is>
        <t>Ready for review</t>
      </is>
    </oc>
    <nc r="AA400" t="inlineStr">
      <is>
        <t>Ready for PLC</t>
      </is>
    </nc>
  </rcc>
  <rcc rId="6112" sId="2">
    <oc r="AA401" t="inlineStr">
      <is>
        <t>Ready for review</t>
      </is>
    </oc>
    <nc r="AA401" t="inlineStr">
      <is>
        <t>Ready for PLC</t>
      </is>
    </nc>
  </rcc>
  <rcc rId="6113" sId="2">
    <oc r="AA402" t="inlineStr">
      <is>
        <t>Ready for review</t>
      </is>
    </oc>
    <nc r="AA402" t="inlineStr">
      <is>
        <t>Ready for PLC</t>
      </is>
    </nc>
  </rcc>
  <rcc rId="6114" sId="2">
    <oc r="AA403" t="inlineStr">
      <is>
        <t>Ready for review</t>
      </is>
    </oc>
    <nc r="AA403" t="inlineStr">
      <is>
        <t>Ready for PLC</t>
      </is>
    </nc>
  </rcc>
  <rcc rId="6115" sId="2">
    <oc r="AA404" t="inlineStr">
      <is>
        <t>Ready for review</t>
      </is>
    </oc>
    <nc r="AA404" t="inlineStr">
      <is>
        <t>Ready for PLC</t>
      </is>
    </nc>
  </rcc>
  <rcc rId="6116" sId="2">
    <oc r="AA405" t="inlineStr">
      <is>
        <t>Ready for review</t>
      </is>
    </oc>
    <nc r="AA405" t="inlineStr">
      <is>
        <t>Ready for PLC</t>
      </is>
    </nc>
  </rcc>
  <rcc rId="6117" sId="2">
    <oc r="AA406" t="inlineStr">
      <is>
        <t>Ready for review</t>
      </is>
    </oc>
    <nc r="AA406" t="inlineStr">
      <is>
        <t>Ready for PLC</t>
      </is>
    </nc>
  </rcc>
  <rcc rId="6118" sId="2" odxf="1" dxf="1">
    <oc r="AA407" t="inlineStr">
      <is>
        <t>Ready for review</t>
      </is>
    </oc>
    <nc r="AA407" t="inlineStr">
      <is>
        <t>Ready for PLC</t>
      </is>
    </nc>
    <odxf/>
    <ndxf/>
  </rcc>
  <rcc rId="6119" sId="2" odxf="1" dxf="1">
    <oc r="AA408" t="inlineStr">
      <is>
        <t>Ready for review</t>
      </is>
    </oc>
    <nc r="AA408" t="inlineStr">
      <is>
        <t>Ready for PLC</t>
      </is>
    </nc>
    <odxf/>
    <ndxf/>
  </rcc>
  <rcc rId="6120" sId="2" odxf="1" dxf="1">
    <oc r="AA409" t="inlineStr">
      <is>
        <t>Ready for review</t>
      </is>
    </oc>
    <nc r="AA409" t="inlineStr">
      <is>
        <t>Ready for PLC</t>
      </is>
    </nc>
    <odxf/>
    <ndxf/>
  </rcc>
  <rcc rId="6121" sId="2" odxf="1" dxf="1">
    <oc r="AA410" t="inlineStr">
      <is>
        <t>Ready for review</t>
      </is>
    </oc>
    <nc r="AA410" t="inlineStr">
      <is>
        <t>Ready for PLC</t>
      </is>
    </nc>
    <odxf/>
    <ndxf/>
  </rcc>
  <rcc rId="6122" sId="2" odxf="1" dxf="1">
    <oc r="AA411" t="inlineStr">
      <is>
        <t>Ready for review</t>
      </is>
    </oc>
    <nc r="AA411" t="inlineStr">
      <is>
        <t>Ready for PLC</t>
      </is>
    </nc>
    <odxf/>
    <ndxf/>
  </rcc>
  <rcc rId="6123" sId="2" odxf="1" dxf="1">
    <oc r="AA412" t="inlineStr">
      <is>
        <t>Ready for review</t>
      </is>
    </oc>
    <nc r="AA412" t="inlineStr">
      <is>
        <t>Ready for PLC</t>
      </is>
    </nc>
    <odxf/>
    <ndxf/>
  </rcc>
  <rcc rId="6124" sId="2" odxf="1" dxf="1">
    <oc r="AA413" t="inlineStr">
      <is>
        <t>Ready for review</t>
      </is>
    </oc>
    <nc r="AA413" t="inlineStr">
      <is>
        <t>Ready for PLC</t>
      </is>
    </nc>
    <odxf/>
    <ndxf/>
  </rcc>
  <rcc rId="6125" sId="2" odxf="1" dxf="1">
    <oc r="AA414" t="inlineStr">
      <is>
        <t>Ready for review</t>
      </is>
    </oc>
    <nc r="AA414" t="inlineStr">
      <is>
        <t>Ready for PLC</t>
      </is>
    </nc>
    <odxf/>
    <ndxf/>
  </rcc>
  <rcc rId="6126" sId="2" odxf="1" dxf="1">
    <oc r="AA415" t="inlineStr">
      <is>
        <t>Ready for review</t>
      </is>
    </oc>
    <nc r="AA415" t="inlineStr">
      <is>
        <t>Ready for PLC</t>
      </is>
    </nc>
    <odxf/>
    <ndxf/>
  </rcc>
  <rcc rId="6127" sId="2" odxf="1" dxf="1">
    <oc r="AA416" t="inlineStr">
      <is>
        <t>Ready for review</t>
      </is>
    </oc>
    <nc r="AA416" t="inlineStr">
      <is>
        <t>Ready for PLC</t>
      </is>
    </nc>
    <odxf/>
    <ndxf/>
  </rcc>
  <rcc rId="6128" sId="2" odxf="1" dxf="1">
    <oc r="AA417" t="inlineStr">
      <is>
        <t>Ready for review</t>
      </is>
    </oc>
    <nc r="AA417" t="inlineStr">
      <is>
        <t>Ready for PLC</t>
      </is>
    </nc>
    <odxf/>
    <ndxf/>
  </rcc>
  <rcc rId="6129" sId="2" odxf="1" dxf="1">
    <oc r="AA418" t="inlineStr">
      <is>
        <t>Ready for review</t>
      </is>
    </oc>
    <nc r="AA418" t="inlineStr">
      <is>
        <t>Ready for PLC</t>
      </is>
    </nc>
    <odxf/>
    <ndxf/>
  </rcc>
  <rcc rId="6130" sId="2" odxf="1" dxf="1">
    <oc r="AA419" t="inlineStr">
      <is>
        <t>Ready for review</t>
      </is>
    </oc>
    <nc r="AA419" t="inlineStr">
      <is>
        <t>Ready for PLC</t>
      </is>
    </nc>
    <odxf/>
    <ndxf/>
  </rcc>
  <rcc rId="6131" sId="2" odxf="1" dxf="1">
    <oc r="AA420" t="inlineStr">
      <is>
        <t>Ready for review</t>
      </is>
    </oc>
    <nc r="AA420" t="inlineStr">
      <is>
        <t>Ready for PLC</t>
      </is>
    </nc>
    <odxf/>
    <ndxf/>
  </rcc>
  <rcc rId="6132" sId="2" odxf="1" dxf="1">
    <oc r="AA421" t="inlineStr">
      <is>
        <t>Ready for review</t>
      </is>
    </oc>
    <nc r="AA421" t="inlineStr">
      <is>
        <t>Ready for PLC</t>
      </is>
    </nc>
    <odxf/>
    <ndxf/>
  </rcc>
  <rcc rId="6133" sId="2" odxf="1" dxf="1">
    <oc r="AA422" t="inlineStr">
      <is>
        <t>Ready for review</t>
      </is>
    </oc>
    <nc r="AA422" t="inlineStr">
      <is>
        <t>Ready for PLC</t>
      </is>
    </nc>
    <odxf/>
    <ndxf/>
  </rcc>
  <rcc rId="6134" sId="2" odxf="1" dxf="1">
    <oc r="AA423" t="inlineStr">
      <is>
        <t>Ready for review</t>
      </is>
    </oc>
    <nc r="AA423" t="inlineStr">
      <is>
        <t>Ready for PLC</t>
      </is>
    </nc>
    <odxf/>
    <ndxf/>
  </rcc>
  <rcc rId="6135" sId="2" odxf="1" dxf="1">
    <oc r="AA424" t="inlineStr">
      <is>
        <t>Ready for review</t>
      </is>
    </oc>
    <nc r="AA424" t="inlineStr">
      <is>
        <t>Ready for PLC</t>
      </is>
    </nc>
    <odxf/>
    <ndxf/>
  </rcc>
  <rcc rId="6136" sId="2" odxf="1" dxf="1">
    <oc r="AA425" t="inlineStr">
      <is>
        <t>Ready for review</t>
      </is>
    </oc>
    <nc r="AA425" t="inlineStr">
      <is>
        <t>Ready for PLC</t>
      </is>
    </nc>
    <odxf/>
    <ndxf/>
  </rcc>
  <rcc rId="6137" sId="2" odxf="1" dxf="1">
    <oc r="AA426" t="inlineStr">
      <is>
        <t>Ready for review</t>
      </is>
    </oc>
    <nc r="AA426" t="inlineStr">
      <is>
        <t>Ready for PLC</t>
      </is>
    </nc>
    <odxf/>
    <ndxf/>
  </rcc>
  <rcc rId="6138" sId="2" odxf="1" dxf="1">
    <oc r="AA427" t="inlineStr">
      <is>
        <t>Ready for review</t>
      </is>
    </oc>
    <nc r="AA427" t="inlineStr">
      <is>
        <t>Ready for PLC</t>
      </is>
    </nc>
    <odxf/>
    <ndxf/>
  </rcc>
  <rcc rId="6139" sId="2" odxf="1" dxf="1">
    <oc r="AA428" t="inlineStr">
      <is>
        <t>Ready for review</t>
      </is>
    </oc>
    <nc r="AA428" t="inlineStr">
      <is>
        <t>Ready for PLC</t>
      </is>
    </nc>
    <odxf/>
    <ndxf/>
  </rcc>
  <rcc rId="6140" sId="2" odxf="1" dxf="1">
    <oc r="AA429" t="inlineStr">
      <is>
        <t>Ready for review</t>
      </is>
    </oc>
    <nc r="AA429" t="inlineStr">
      <is>
        <t>Ready for PLC</t>
      </is>
    </nc>
    <odxf/>
    <ndxf/>
  </rcc>
  <rcc rId="6141" sId="2" odxf="1" dxf="1">
    <oc r="AA430" t="inlineStr">
      <is>
        <t>Ready for review</t>
      </is>
    </oc>
    <nc r="AA430" t="inlineStr">
      <is>
        <t>Ready for PLC</t>
      </is>
    </nc>
    <odxf/>
    <ndxf/>
  </rcc>
  <rcc rId="6142" sId="2" odxf="1" dxf="1">
    <oc r="AA431" t="inlineStr">
      <is>
        <t>Ready for review</t>
      </is>
    </oc>
    <nc r="AA431" t="inlineStr">
      <is>
        <t>Ready for PLC</t>
      </is>
    </nc>
    <odxf/>
    <ndxf/>
  </rcc>
  <rcc rId="6143" sId="2" odxf="1" dxf="1">
    <oc r="AA432" t="inlineStr">
      <is>
        <t>Ready for review</t>
      </is>
    </oc>
    <nc r="AA432" t="inlineStr">
      <is>
        <t>Ready for PLC</t>
      </is>
    </nc>
    <odxf/>
    <ndxf/>
  </rcc>
  <rcc rId="6144" sId="2" odxf="1" dxf="1">
    <oc r="AA433" t="inlineStr">
      <is>
        <t>Ready for review</t>
      </is>
    </oc>
    <nc r="AA433" t="inlineStr">
      <is>
        <t>Ready for PLC</t>
      </is>
    </nc>
    <odxf/>
    <ndxf/>
  </rcc>
  <rcc rId="6145" sId="2" odxf="1" dxf="1">
    <oc r="AA434" t="inlineStr">
      <is>
        <t>Ready for review</t>
      </is>
    </oc>
    <nc r="AA434" t="inlineStr">
      <is>
        <t>Ready for PLC</t>
      </is>
    </nc>
    <odxf/>
    <ndxf/>
  </rcc>
  <rcc rId="6146" sId="2" odxf="1" dxf="1">
    <oc r="AA435" t="inlineStr">
      <is>
        <t>Ready for review</t>
      </is>
    </oc>
    <nc r="AA435" t="inlineStr">
      <is>
        <t>Ready for PLC</t>
      </is>
    </nc>
    <odxf/>
    <ndxf/>
  </rcc>
  <rcc rId="6147" sId="2" odxf="1" dxf="1">
    <oc r="AA436" t="inlineStr">
      <is>
        <t>Ready for review</t>
      </is>
    </oc>
    <nc r="AA436" t="inlineStr">
      <is>
        <t>Ready for PLC</t>
      </is>
    </nc>
    <odxf/>
    <ndxf/>
  </rcc>
  <rcc rId="6148" sId="2" odxf="1" dxf="1">
    <oc r="AA437" t="inlineStr">
      <is>
        <t>Ready for review</t>
      </is>
    </oc>
    <nc r="AA437" t="inlineStr">
      <is>
        <t>Ready for PLC</t>
      </is>
    </nc>
    <odxf/>
    <ndxf/>
  </rcc>
  <rcc rId="6149" sId="2" odxf="1" dxf="1">
    <oc r="AA438" t="inlineStr">
      <is>
        <t>Ready for review</t>
      </is>
    </oc>
    <nc r="AA438" t="inlineStr">
      <is>
        <t>Ready for PLC</t>
      </is>
    </nc>
    <odxf/>
    <ndxf/>
  </rcc>
  <rcc rId="6150" sId="2" odxf="1" dxf="1">
    <oc r="AA439" t="inlineStr">
      <is>
        <t>Ready for review</t>
      </is>
    </oc>
    <nc r="AA439" t="inlineStr">
      <is>
        <t>Ready for PLC</t>
      </is>
    </nc>
    <odxf/>
    <ndxf/>
  </rcc>
  <rcc rId="6151" sId="2" odxf="1" dxf="1">
    <oc r="AA440" t="inlineStr">
      <is>
        <t>Ready for review</t>
      </is>
    </oc>
    <nc r="AA440" t="inlineStr">
      <is>
        <t>Ready for PLC</t>
      </is>
    </nc>
    <odxf/>
    <ndxf/>
  </rcc>
  <rcc rId="6152" sId="2" odxf="1" dxf="1">
    <oc r="AA441" t="inlineStr">
      <is>
        <t>Ready for review</t>
      </is>
    </oc>
    <nc r="AA441" t="inlineStr">
      <is>
        <t>Ready for PLC</t>
      </is>
    </nc>
    <odxf/>
    <ndxf/>
  </rcc>
  <rcc rId="6153" sId="2" odxf="1" dxf="1">
    <oc r="AA442" t="inlineStr">
      <is>
        <t>Ready for review</t>
      </is>
    </oc>
    <nc r="AA442" t="inlineStr">
      <is>
        <t>Ready for PLC</t>
      </is>
    </nc>
    <odxf/>
    <ndxf/>
  </rcc>
  <rcc rId="6154" sId="2" odxf="1" dxf="1">
    <oc r="AA443" t="inlineStr">
      <is>
        <t>Ready for review</t>
      </is>
    </oc>
    <nc r="AA443" t="inlineStr">
      <is>
        <t>Ready for PLC</t>
      </is>
    </nc>
    <odxf/>
    <ndxf/>
  </rcc>
  <rcc rId="6155" sId="2" odxf="1" dxf="1">
    <oc r="AA444" t="inlineStr">
      <is>
        <t>Ready for review</t>
      </is>
    </oc>
    <nc r="AA444" t="inlineStr">
      <is>
        <t>Ready for PLC</t>
      </is>
    </nc>
    <odxf/>
    <ndxf/>
  </rcc>
  <rcc rId="6156" sId="2" odxf="1" dxf="1">
    <oc r="AA445" t="inlineStr">
      <is>
        <t>Ready for review</t>
      </is>
    </oc>
    <nc r="AA445" t="inlineStr">
      <is>
        <t>Ready for PLC</t>
      </is>
    </nc>
    <odxf/>
    <ndxf/>
  </rcc>
  <rcc rId="6157" sId="2" odxf="1" dxf="1">
    <oc r="AA446" t="inlineStr">
      <is>
        <t>Ready for review</t>
      </is>
    </oc>
    <nc r="AA446" t="inlineStr">
      <is>
        <t>Ready for PLC</t>
      </is>
    </nc>
    <odxf/>
    <ndxf/>
  </rcc>
  <rcc rId="6158" sId="2" odxf="1" dxf="1">
    <oc r="AA447" t="inlineStr">
      <is>
        <t>Ready for review</t>
      </is>
    </oc>
    <nc r="AA447" t="inlineStr">
      <is>
        <t>Ready for PLC</t>
      </is>
    </nc>
    <odxf/>
    <ndxf/>
  </rcc>
  <rcv guid="{7ECC2B8E-6A82-42F5-8AB0-4A51C54EA5EC}" action="delete"/>
  <rdn rId="0" localSheetId="1" customView="1" name="Z_7ECC2B8E_6A82_42F5_8AB0_4A51C54EA5EC_.wvu.FilterData" hidden="1" oldHidden="1">
    <formula>Merged_COEM!$A$59:$AN$302</formula>
    <oldFormula>Merged_COEM!$A$59:$AN$302</oldFormula>
  </rdn>
  <rdn rId="0" localSheetId="2" customView="1" name="Z_7ECC2B8E_6A82_42F5_8AB0_4A51C54EA5EC_.wvu.FilterData" hidden="1" oldHidden="1">
    <formula>Merged_JOEM!$B$59:$AN$557</formula>
    <oldFormula>Merged_JOEM!$B$59:$AN$557</oldFormula>
  </rdn>
  <rcv guid="{7ECC2B8E-6A82-42F5-8AB0-4A51C54EA5EC}" action="add"/>
</revisions>
</file>

<file path=xl/revisions/revisionLog5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FECB4C41-27E8-4A22-AFB3-4F54CDD4960E}" action="delete"/>
  <rdn rId="0" localSheetId="1" customView="1" name="Z_FECB4C41_27E8_4A22_AFB3_4F54CDD4960E_.wvu.FilterData" hidden="1" oldHidden="1">
    <formula>Merged_COEM!$B$59:$AN$302</formula>
    <oldFormula>Merged_COEM!$B$59:$AN$302</oldFormula>
  </rdn>
  <rdn rId="0" localSheetId="2" customView="1" name="Z_FECB4C41_27E8_4A22_AFB3_4F54CDD4960E_.wvu.FilterData" hidden="1" oldHidden="1">
    <formula>Merged_JOEM!$B$59:$AN$557</formula>
    <oldFormula>Merged_JOEM!$B$59:$AN$557</oldFormula>
  </rdn>
  <rcv guid="{FECB4C41-27E8-4A22-AFB3-4F54CDD4960E}" action="add"/>
</revisions>
</file>

<file path=xl/revisions/revisionLog5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63" sId="1" numFmtId="19">
    <nc r="AE251">
      <v>44085</v>
    </nc>
  </rcc>
  <rcc rId="6164" sId="1" numFmtId="19">
    <nc r="AF251">
      <v>44085</v>
    </nc>
  </rcc>
  <rcc rId="6165" sId="1" numFmtId="14">
    <nc r="AH251">
      <v>1</v>
    </nc>
  </rcc>
  <rcc rId="6166" sId="1" numFmtId="14">
    <nc r="AI251">
      <v>1</v>
    </nc>
  </rcc>
  <rcc rId="6167" sId="1">
    <nc r="AG251" t="inlineStr">
      <is>
        <t>NG</t>
      </is>
    </nc>
  </rcc>
  <rcc rId="6168" sId="1">
    <nc r="AK251" t="inlineStr">
      <is>
        <t>OPL</t>
      </is>
    </nc>
  </rcc>
  <rcc rId="6169" sId="1" numFmtId="14">
    <nc r="AJ251">
      <v>0.75</v>
    </nc>
  </rcc>
  <rcv guid="{FECB4C41-27E8-4A22-AFB3-4F54CDD4960E}" action="delete"/>
  <rdn rId="0" localSheetId="1" customView="1" name="Z_FECB4C41_27E8_4A22_AFB3_4F54CDD4960E_.wvu.FilterData" hidden="1" oldHidden="1">
    <formula>Merged_COEM!$B$59:$AN$302</formula>
    <oldFormula>Merged_COEM!$B$59:$AN$302</oldFormula>
  </rdn>
  <rdn rId="0" localSheetId="2" customView="1" name="Z_FECB4C41_27E8_4A22_AFB3_4F54CDD4960E_.wvu.FilterData" hidden="1" oldHidden="1">
    <formula>Merged_JOEM!$B$59:$AN$557</formula>
    <oldFormula>Merged_JOEM!$B$59:$AN$557</oldFormula>
  </rdn>
  <rcv guid="{FECB4C41-27E8-4A22-AFB3-4F54CDD4960E}" action="add"/>
</revisions>
</file>

<file path=xl/revisions/revisionLog5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72" sId="1">
    <nc r="Z251">
      <f>Y251</f>
    </nc>
  </rcc>
  <rcc rId="6173" sId="1">
    <nc r="AA251" t="inlineStr">
      <is>
        <t>Ready for review</t>
      </is>
    </nc>
  </rcc>
  <rcv guid="{FECB4C41-27E8-4A22-AFB3-4F54CDD4960E}" action="delete"/>
  <rdn rId="0" localSheetId="1" customView="1" name="Z_FECB4C41_27E8_4A22_AFB3_4F54CDD4960E_.wvu.FilterData" hidden="1" oldHidden="1">
    <formula>Merged_COEM!$B$59:$AN$302</formula>
    <oldFormula>Merged_COEM!$B$59:$AN$302</oldFormula>
  </rdn>
  <rdn rId="0" localSheetId="2" customView="1" name="Z_FECB4C41_27E8_4A22_AFB3_4F54CDD4960E_.wvu.FilterData" hidden="1" oldHidden="1">
    <formula>Merged_JOEM!$B$59:$AN$557</formula>
    <oldFormula>Merged_JOEM!$B$59:$AN$557</oldFormula>
  </rdn>
  <rcv guid="{FECB4C41-27E8-4A22-AFB3-4F54CDD4960E}" action="add"/>
</revisions>
</file>

<file path=xl/revisions/revisionLog5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76" sId="1">
    <oc r="AA219" t="inlineStr">
      <is>
        <t>Ready for review</t>
      </is>
    </oc>
    <nc r="AA219" t="inlineStr">
      <is>
        <t>Ready for PLC</t>
      </is>
    </nc>
  </rcc>
  <rcc rId="6177" sId="1">
    <oc r="AA220" t="inlineStr">
      <is>
        <t>Ready for review</t>
      </is>
    </oc>
    <nc r="AA220" t="inlineStr">
      <is>
        <t>Ready for PLC</t>
      </is>
    </nc>
  </rcc>
  <rcc rId="6178" sId="1">
    <oc r="AA224" t="inlineStr">
      <is>
        <t>Ready for review</t>
      </is>
    </oc>
    <nc r="AA224" t="inlineStr">
      <is>
        <t>Ready for PLC</t>
      </is>
    </nc>
  </rcc>
  <rcc rId="6179" sId="1" numFmtId="19">
    <nc r="AB219">
      <v>44085</v>
    </nc>
  </rcc>
  <rcc rId="6180" sId="1" numFmtId="19">
    <nc r="AB220">
      <v>44085</v>
    </nc>
  </rcc>
  <rcc rId="6181" sId="1" numFmtId="19">
    <nc r="AB224">
      <v>44085</v>
    </nc>
  </rc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201">
    <dxf>
      <fill>
        <patternFill patternType="none">
          <bgColor auto="1"/>
        </patternFill>
      </fill>
    </dxf>
  </rfmt>
  <rfmt sheetId="1" sqref="AD203">
    <dxf>
      <fill>
        <patternFill patternType="none">
          <bgColor auto="1"/>
        </patternFill>
      </fill>
    </dxf>
  </rfmt>
  <rfmt sheetId="1" sqref="AD217:AD220">
    <dxf>
      <fill>
        <patternFill patternType="none">
          <bgColor auto="1"/>
        </patternFill>
      </fill>
    </dxf>
  </rfmt>
  <rfmt sheetId="1" sqref="AD224">
    <dxf>
      <fill>
        <patternFill patternType="none">
          <bgColor auto="1"/>
        </patternFill>
      </fill>
    </dxf>
  </rfmt>
  <rfmt sheetId="1" sqref="AD233:AD239">
    <dxf>
      <fill>
        <patternFill patternType="none">
          <bgColor auto="1"/>
        </patternFill>
      </fill>
    </dxf>
  </rfmt>
  <rfmt sheetId="1" sqref="AD242">
    <dxf>
      <fill>
        <patternFill patternType="none">
          <bgColor auto="1"/>
        </patternFill>
      </fill>
    </dxf>
  </rfmt>
  <rfmt sheetId="1" sqref="AD146">
    <dxf>
      <fill>
        <patternFill patternType="none">
          <bgColor auto="1"/>
        </patternFill>
      </fill>
    </dxf>
  </rfmt>
  <rfmt sheetId="1" sqref="AD211:AD212 AD294">
    <dxf>
      <fill>
        <patternFill patternType="solid">
          <bgColor rgb="FFFF0000"/>
        </patternFill>
      </fill>
    </dxf>
  </rfmt>
</revisions>
</file>

<file path=xl/revisions/revisionLog5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88" sId="1">
    <oc r="AA251" t="inlineStr">
      <is>
        <t>Ready for review</t>
      </is>
    </oc>
    <nc r="AA251" t="inlineStr">
      <is>
        <t>Pending for OPL</t>
      </is>
    </nc>
  </rcc>
  <rcv guid="{FECB4C41-27E8-4A22-AFB3-4F54CDD4960E}" action="delete"/>
  <rdn rId="0" localSheetId="1" customView="1" name="Z_FECB4C41_27E8_4A22_AFB3_4F54CDD4960E_.wvu.FilterData" hidden="1" oldHidden="1">
    <formula>Merged_COEM!$B$59:$AN$302</formula>
    <oldFormula>Merged_COEM!$B$59:$AN$302</oldFormula>
  </rdn>
  <rdn rId="0" localSheetId="2" customView="1" name="Z_FECB4C41_27E8_4A22_AFB3_4F54CDD4960E_.wvu.FilterData" hidden="1" oldHidden="1">
    <formula>Merged_JOEM!$B$59:$AN$557</formula>
    <oldFormula>Merged_JOEM!$B$59:$AN$557</oldFormula>
  </rdn>
  <rcv guid="{FECB4C41-27E8-4A22-AFB3-4F54CDD4960E}" action="add"/>
</revisions>
</file>

<file path=xl/revisions/revisionLog5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FECB4C41-27E8-4A22-AFB3-4F54CDD4960E}" action="delete"/>
  <rdn rId="0" localSheetId="1" customView="1" name="Z_FECB4C41_27E8_4A22_AFB3_4F54CDD4960E_.wvu.FilterData" hidden="1" oldHidden="1">
    <formula>Merged_COEM!$B$59:$AN$302</formula>
    <oldFormula>Merged_COEM!$B$59:$AN$302</oldFormula>
  </rdn>
  <rdn rId="0" localSheetId="2" customView="1" name="Z_FECB4C41_27E8_4A22_AFB3_4F54CDD4960E_.wvu.FilterData" hidden="1" oldHidden="1">
    <formula>Merged_JOEM!$B$59:$AN$557</formula>
    <oldFormula>Merged_JOEM!$B$59:$AN$557</oldFormula>
  </rdn>
  <rcv guid="{FECB4C41-27E8-4A22-AFB3-4F54CDD4960E}" action="add"/>
</revisions>
</file>

<file path=xl/revisions/revisionLog5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97" sId="1">
    <oc r="W253">
      <f>V253</f>
    </oc>
    <nc r="W253">
      <v>654</v>
    </nc>
  </rcc>
  <rcc rId="6198" sId="1">
    <nc r="X253">
      <f>W253</f>
    </nc>
  </rcc>
</revisions>
</file>

<file path=xl/revisions/revisionLog5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9C03E1E-B6A8-49A1-B29C-5DC4FAB2FBC6}" action="delete"/>
  <rdn rId="0" localSheetId="1" customView="1" name="Z_89C03E1E_B6A8_49A1_B29C_5DC4FAB2FBC6_.wvu.FilterData" hidden="1" oldHidden="1">
    <formula>Merged_COEM!$B$59:$AN$302</formula>
    <oldFormula>Merged_COEM!$B$59:$AN$302</oldFormula>
  </rdn>
  <rdn rId="0" localSheetId="2" customView="1" name="Z_89C03E1E_B6A8_49A1_B29C_5DC4FAB2FBC6_.wvu.FilterData" hidden="1" oldHidden="1">
    <formula>Merged_JOEM!$B$59:$AN$557</formula>
    <oldFormula>Merged_JOEM!$B$59:$AN$557</oldFormula>
  </rdn>
  <rcv guid="{89C03E1E-B6A8-49A1-B29C-5DC4FAB2FBC6}" action="add"/>
</revisions>
</file>

<file path=xl/revisions/revisionLog5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Merged_COEM!$B$59:$AN$302</formula>
    <oldFormula>Merged_COEM!$B$59:$AN$302</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205" sId="2">
    <nc r="X508">
      <v>229.5</v>
    </nc>
  </rcc>
  <rcc rId="6206" sId="2">
    <nc r="Z508">
      <v>3</v>
    </nc>
  </rcc>
  <rcc rId="6207" sId="2">
    <nc r="AA508" t="inlineStr">
      <is>
        <t>Ready for review</t>
      </is>
    </nc>
  </rcc>
  <rcc rId="6208" sId="2" numFmtId="19">
    <nc r="AE508">
      <v>44085</v>
    </nc>
  </rcc>
  <rcc rId="6209" sId="2" numFmtId="19">
    <nc r="AF508">
      <v>44085</v>
    </nc>
  </rcc>
  <rcc rId="6210" sId="2">
    <nc r="AG508" t="inlineStr">
      <is>
        <t>OK</t>
      </is>
    </nc>
  </rcc>
  <rcc rId="6211" sId="2" numFmtId="14">
    <nc r="AH508">
      <v>1</v>
    </nc>
  </rcc>
  <rcc rId="6212" sId="2" numFmtId="14">
    <nc r="AI508">
      <v>1</v>
    </nc>
  </rcc>
  <rcc rId="6213" sId="2" numFmtId="14">
    <nc r="AJ508">
      <v>0.5</v>
    </nc>
  </rcc>
  <rcc rId="6214" sId="2" quotePrefix="1">
    <nc r="AK508" t="inlineStr">
      <is>
        <t>None</t>
      </is>
    </nc>
  </rcc>
  <rcc rId="6215" sId="2" quotePrefix="1">
    <nc r="AL508" t="inlineStr">
      <is>
        <t>-</t>
      </is>
    </nc>
  </rcc>
  <rcc rId="6216" sId="2" quotePrefix="1">
    <nc r="AM508" t="inlineStr">
      <is>
        <t>-</t>
      </is>
    </nc>
  </rcc>
  <rcc rId="6217" sId="2" quotePrefix="1">
    <nc r="AN508" t="inlineStr">
      <is>
        <t>-</t>
      </is>
    </nc>
  </rcc>
  <rcv guid="{3B3E6719-EACB-4D2C-89C1-05FFAB6020FD}" action="delete"/>
  <rdn rId="0" localSheetId="1" customView="1" name="Z_3B3E6719_EACB_4D2C_89C1_05FFAB6020FD_.wvu.FilterData" hidden="1" oldHidden="1">
    <formula>Merged_COEM!$A$59:$AN$302</formula>
    <oldFormula>Merged_COEM!$A$59:$AN$302</oldFormula>
  </rdn>
  <rdn rId="0" localSheetId="2" customView="1" name="Z_3B3E6719_EACB_4D2C_89C1_05FFAB6020FD_.wvu.FilterData" hidden="1" oldHidden="1">
    <formula>Merged_JOEM!$B$59:$AN$557</formula>
    <oldFormula>Merged_JOEM!$B$59:$AN$557</oldFormula>
  </rdn>
  <rcv guid="{3B3E6719-EACB-4D2C-89C1-05FFAB6020FD}" action="add"/>
</revisions>
</file>

<file path=xl/revisions/revisionLog5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6220" sId="1" ref="A296:XFD301" action="insertRow"/>
  <rrc rId="6221" sId="1" ref="A296:XFD301" action="insertRow"/>
  <rrc rId="6222" sId="1" ref="A296:XFD301" action="insertRow"/>
  <rrc rId="6223" sId="1" ref="A296:XFD301" action="insertRow"/>
  <rrc rId="6224" sId="1" ref="A296:XFD301" action="insertRow"/>
  <rrc rId="6225" sId="1" ref="A296:XFD301" action="insertRow"/>
  <rrc rId="6226" sId="1" ref="A296:XFD301" action="insertRow"/>
  <rcc rId="6227" sId="1" xfDxf="1" dxf="1">
    <nc r="E295" t="inlineStr">
      <is>
        <t>CNMS_179148_Deuterium_Super_20200918_BL02_SP05</t>
      </is>
    </nc>
    <ndxf>
      <alignment horizontal="left" vertical="top" readingOrder="0"/>
      <border outline="0">
        <left style="thin">
          <color indexed="64"/>
        </left>
        <right style="thin">
          <color indexed="64"/>
        </right>
        <top style="thin">
          <color indexed="64"/>
        </top>
        <bottom style="thin">
          <color indexed="64"/>
        </bottom>
      </border>
    </ndxf>
  </rcc>
  <rcc rId="6228" sId="1" xfDxf="1" dxf="1">
    <nc r="E296" t="inlineStr">
      <is>
        <t>241472_CheHeJ_X01_D_booster_STRCHJ_D401_BL01_SP03</t>
      </is>
    </nc>
    <ndxf>
      <alignment horizontal="left" vertical="top" readingOrder="0"/>
      <border outline="0">
        <left style="thin">
          <color indexed="64"/>
        </left>
        <right style="thin">
          <color indexed="64"/>
        </right>
        <top style="thin">
          <color indexed="64"/>
        </top>
        <bottom style="thin">
          <color indexed="64"/>
        </bottom>
      </border>
    </ndxf>
  </rcc>
  <rcc rId="6229" sId="1" xfDxf="1" dxf="1">
    <nc r="E297" t="inlineStr">
      <is>
        <t>241472_CheHeJ_X01_D_booster_STRCHJ_D401_BL01_SP03</t>
      </is>
    </nc>
    <ndxf>
      <alignment horizontal="left" vertical="top" readingOrder="0"/>
      <border outline="0">
        <left style="thin">
          <color indexed="64"/>
        </left>
        <right style="thin">
          <color indexed="64"/>
        </right>
        <top style="thin">
          <color indexed="64"/>
        </top>
        <bottom style="thin">
          <color indexed="64"/>
        </bottom>
      </border>
    </ndxf>
  </rcc>
  <rcc rId="6230" sId="1" xfDxf="1" dxf="1">
    <nc r="E298" t="inlineStr">
      <is>
        <t>241472_CheHeJ_X01_D_booster_STRCHJ_D401_BL01_SP03</t>
      </is>
    </nc>
    <ndxf>
      <alignment horizontal="left" vertical="top" readingOrder="0"/>
      <border outline="0">
        <left style="thin">
          <color indexed="64"/>
        </left>
        <right style="thin">
          <color indexed="64"/>
        </right>
        <top style="thin">
          <color indexed="64"/>
        </top>
        <bottom style="thin">
          <color indexed="64"/>
        </bottom>
      </border>
    </ndxf>
  </rcc>
  <rcc rId="6231" sId="1" xfDxf="1" dxf="1">
    <nc r="E299" t="inlineStr">
      <is>
        <t>241472_CheHeJ_X01_D_booster_STRCHJ_D401_BL01_SP03</t>
      </is>
    </nc>
    <ndxf>
      <alignment horizontal="left" vertical="top" readingOrder="0"/>
      <border outline="0">
        <left style="thin">
          <color indexed="64"/>
        </left>
        <right style="thin">
          <color indexed="64"/>
        </right>
        <top style="thin">
          <color indexed="64"/>
        </top>
        <bottom style="thin">
          <color indexed="64"/>
        </bottom>
      </border>
    </ndxf>
  </rcc>
  <rcc rId="6232" sId="1" xfDxf="1" dxf="1">
    <nc r="E300" t="inlineStr">
      <is>
        <t>241472_CheHeJ_X01_D_booster_STRCHJ_D401_BL01_SP03</t>
      </is>
    </nc>
    <ndxf>
      <alignment horizontal="left" vertical="top" readingOrder="0"/>
      <border outline="0">
        <left style="thin">
          <color indexed="64"/>
        </left>
        <right style="thin">
          <color indexed="64"/>
        </right>
        <top style="thin">
          <color indexed="64"/>
        </top>
        <bottom style="thin">
          <color indexed="64"/>
        </bottom>
      </border>
    </ndxf>
  </rcc>
  <rcc rId="6233" sId="1" xfDxf="1" dxf="1">
    <nc r="E301" t="inlineStr">
      <is>
        <t>CNMS_179148_Deuterium_Super_20200918_BL02_SP05</t>
      </is>
    </nc>
    <ndxf>
      <alignment horizontal="left" vertical="top" readingOrder="0"/>
      <border outline="0">
        <left style="thin">
          <color indexed="64"/>
        </left>
        <right style="thin">
          <color indexed="64"/>
        </right>
        <top style="thin">
          <color indexed="64"/>
        </top>
        <bottom style="thin">
          <color indexed="64"/>
        </bottom>
      </border>
    </ndxf>
  </rcc>
  <rcc rId="6234" sId="1" xfDxf="1" dxf="1">
    <nc r="E302" t="inlineStr">
      <is>
        <t>243519_FAW_C100_IPB1.1_BSS02_SP06_STRFAW_D501</t>
      </is>
    </nc>
    <ndxf>
      <alignment horizontal="left" vertical="top" readingOrder="0"/>
      <border outline="0">
        <left style="thin">
          <color indexed="64"/>
        </left>
        <right style="thin">
          <color indexed="64"/>
        </right>
        <top style="thin">
          <color indexed="64"/>
        </top>
        <bottom style="thin">
          <color indexed="64"/>
        </bottom>
      </border>
    </ndxf>
  </rcc>
  <rcc rId="6235" sId="1" xfDxf="1" dxf="1">
    <nc r="E303" t="inlineStr">
      <is>
        <t>243519_FAW_C100_IPB1.1_BSS02_SP06_STRFAW_D501</t>
      </is>
    </nc>
    <ndxf>
      <alignment horizontal="left" vertical="top" readingOrder="0"/>
      <border outline="0">
        <left style="thin">
          <color indexed="64"/>
        </left>
        <right style="thin">
          <color indexed="64"/>
        </right>
        <top style="thin">
          <color indexed="64"/>
        </top>
        <bottom style="thin">
          <color indexed="64"/>
        </bottom>
      </border>
    </ndxf>
  </rcc>
  <rcc rId="6236" sId="1" xfDxf="1" dxf="1">
    <nc r="E304" t="inlineStr">
      <is>
        <t>243519_FAW_C100_IPB1.1_BSS02_SP06_STRFAW_D501</t>
      </is>
    </nc>
    <ndxf>
      <alignment horizontal="left" vertical="top" readingOrder="0"/>
      <border outline="0">
        <left style="thin">
          <color indexed="64"/>
        </left>
        <right style="thin">
          <color indexed="64"/>
        </right>
        <top style="thin">
          <color indexed="64"/>
        </top>
        <bottom style="thin">
          <color indexed="64"/>
        </bottom>
      </border>
    </ndxf>
  </rcc>
  <rcc rId="6237" sId="1" xfDxf="1" dxf="1">
    <nc r="E305" t="inlineStr">
      <is>
        <t>243519_FAW_C100_IPB1.1_BSS02_SP06_STRFAW_D501</t>
      </is>
    </nc>
    <ndxf>
      <alignment horizontal="left" vertical="top" readingOrder="0"/>
      <border outline="0">
        <left style="thin">
          <color indexed="64"/>
        </left>
        <right style="thin">
          <color indexed="64"/>
        </right>
        <top style="thin">
          <color indexed="64"/>
        </top>
        <bottom style="thin">
          <color indexed="64"/>
        </bottom>
      </border>
    </ndxf>
  </rcc>
  <rcc rId="6238" sId="1" xfDxf="1" dxf="1">
    <nc r="E306" t="inlineStr">
      <is>
        <t>243519_FAW_C100_IPB1.1_BSS02_SP06_STRFAW_D501</t>
      </is>
    </nc>
    <ndxf>
      <alignment horizontal="left" vertical="top" readingOrder="0"/>
      <border outline="0">
        <left style="thin">
          <color indexed="64"/>
        </left>
        <right style="thin">
          <color indexed="64"/>
        </right>
        <top style="thin">
          <color indexed="64"/>
        </top>
        <bottom style="thin">
          <color indexed="64"/>
        </bottom>
      </border>
    </ndxf>
  </rcc>
  <rcc rId="6239" sId="1" xfDxf="1" dxf="1">
    <nc r="E307" t="inlineStr">
      <is>
        <t>243519_FAW_C100_IPB1.1_BSS02_SP06_STRFAW_D501</t>
      </is>
    </nc>
    <ndxf>
      <alignment horizontal="left" vertical="top" readingOrder="0"/>
      <border outline="0">
        <left style="thin">
          <color indexed="64"/>
        </left>
        <right style="thin">
          <color indexed="64"/>
        </right>
        <top style="thin">
          <color indexed="64"/>
        </top>
        <bottom style="thin">
          <color indexed="64"/>
        </bottom>
      </border>
    </ndxf>
  </rcc>
  <rcc rId="6240" sId="1" xfDxf="1" dxf="1">
    <nc r="E308" t="inlineStr">
      <is>
        <t>243519_FAW_C100_IPB1.1_BSS02_SP06_STRFAW_D501</t>
      </is>
    </nc>
    <ndxf>
      <alignment horizontal="left" vertical="top" readingOrder="0"/>
      <border outline="0">
        <left style="thin">
          <color indexed="64"/>
        </left>
        <right style="thin">
          <color indexed="64"/>
        </right>
        <top style="thin">
          <color indexed="64"/>
        </top>
        <bottom style="thin">
          <color indexed="64"/>
        </bottom>
      </border>
    </ndxf>
  </rcc>
  <rcc rId="6241" sId="1" xfDxf="1" dxf="1">
    <nc r="E309" t="inlineStr">
      <is>
        <t>243519_FAW_C100_IPB1.1_BSS02_SP06_STRFAW_D501</t>
      </is>
    </nc>
    <ndxf>
      <alignment horizontal="left" vertical="top" readingOrder="0"/>
      <border outline="0">
        <left style="thin">
          <color indexed="64"/>
        </left>
        <right style="thin">
          <color indexed="64"/>
        </right>
        <top style="thin">
          <color indexed="64"/>
        </top>
        <bottom style="thin">
          <color indexed="64"/>
        </bottom>
      </border>
    </ndxf>
  </rcc>
  <rcc rId="6242" sId="1" xfDxf="1" dxf="1">
    <nc r="E310" t="inlineStr">
      <is>
        <t>243519_FAW_C100_IPB1.1_BSS02_SP06_STRFAW_D501</t>
      </is>
    </nc>
    <ndxf>
      <alignment horizontal="left" vertical="top" readingOrder="0"/>
      <border outline="0">
        <left style="thin">
          <color indexed="64"/>
        </left>
        <right style="thin">
          <color indexed="64"/>
        </right>
        <top style="thin">
          <color indexed="64"/>
        </top>
        <bottom style="thin">
          <color indexed="64"/>
        </bottom>
      </border>
    </ndxf>
  </rcc>
  <rcc rId="6243" sId="1" xfDxf="1" dxf="1">
    <nc r="E311" t="inlineStr">
      <is>
        <t>243519_FAW_C100_IPB1.1_BSS02_SP06_STRFAW_D501</t>
      </is>
    </nc>
    <ndxf>
      <alignment horizontal="left" vertical="top" readingOrder="0"/>
      <border outline="0">
        <left style="thin">
          <color indexed="64"/>
        </left>
        <right style="thin">
          <color indexed="64"/>
        </right>
        <top style="thin">
          <color indexed="64"/>
        </top>
        <bottom style="thin">
          <color indexed="64"/>
        </bottom>
      </border>
    </ndxf>
  </rcc>
  <rcc rId="6244" sId="1" xfDxf="1" dxf="1">
    <nc r="E312" t="inlineStr">
      <is>
        <t>243519_FAW_C100_IPB1.1_BSS02_SP06_STRFAW_D501</t>
      </is>
    </nc>
    <ndxf>
      <alignment horizontal="left" vertical="top" readingOrder="0"/>
      <border outline="0">
        <left style="thin">
          <color indexed="64"/>
        </left>
        <right style="thin">
          <color indexed="64"/>
        </right>
        <top style="thin">
          <color indexed="64"/>
        </top>
        <bottom style="thin">
          <color indexed="64"/>
        </bottom>
      </border>
    </ndxf>
  </rcc>
  <rcc rId="6245" sId="1" xfDxf="1" dxf="1">
    <nc r="E313" t="inlineStr">
      <is>
        <t>243519_FAW_C100_IPB1.1_BSS02_SP06_STRFAW_D501</t>
      </is>
    </nc>
    <ndxf>
      <alignment horizontal="left" vertical="top" readingOrder="0"/>
      <border outline="0">
        <left style="thin">
          <color indexed="64"/>
        </left>
        <right style="thin">
          <color indexed="64"/>
        </right>
        <top style="thin">
          <color indexed="64"/>
        </top>
        <bottom style="thin">
          <color indexed="64"/>
        </bottom>
      </border>
    </ndxf>
  </rcc>
  <rcc rId="6246" sId="1" xfDxf="1" dxf="1">
    <nc r="E314" t="inlineStr">
      <is>
        <t>243519_FAW_C100_IPB1.1_BSS02_SP06_STRFAW_D501</t>
      </is>
    </nc>
    <ndxf>
      <alignment horizontal="left" vertical="top" readingOrder="0"/>
      <border outline="0">
        <left style="thin">
          <color indexed="64"/>
        </left>
        <right style="thin">
          <color indexed="64"/>
        </right>
        <top style="thin">
          <color indexed="64"/>
        </top>
        <bottom style="thin">
          <color indexed="64"/>
        </bottom>
      </border>
    </ndxf>
  </rcc>
  <rcc rId="6247" sId="1">
    <nc r="D295" t="inlineStr">
      <is>
        <t>ASW</t>
      </is>
    </nc>
  </rcc>
  <rcc rId="6248" sId="1">
    <nc r="D296" t="inlineStr">
      <is>
        <t>PSW</t>
      </is>
    </nc>
  </rcc>
  <rcc rId="6249" sId="1">
    <nc r="D297" t="inlineStr">
      <is>
        <t>PSW</t>
      </is>
    </nc>
  </rcc>
  <rcc rId="6250" sId="1">
    <nc r="D298" t="inlineStr">
      <is>
        <t>PSW</t>
      </is>
    </nc>
  </rcc>
  <rcc rId="6251" sId="1">
    <nc r="D299" t="inlineStr">
      <is>
        <t>PSW</t>
      </is>
    </nc>
  </rcc>
  <rcc rId="6252" sId="1">
    <nc r="D300" t="inlineStr">
      <is>
        <t>PSW</t>
      </is>
    </nc>
  </rcc>
  <rcc rId="6253" sId="1">
    <nc r="D301" t="inlineStr">
      <is>
        <t>PSW</t>
      </is>
    </nc>
  </rcc>
  <rcc rId="6254" sId="1">
    <nc r="D302" t="inlineStr">
      <is>
        <t>PSW</t>
      </is>
    </nc>
  </rcc>
  <rcc rId="6255" sId="1">
    <nc r="D303" t="inlineStr">
      <is>
        <t>PSW</t>
      </is>
    </nc>
  </rcc>
  <rcc rId="6256" sId="1">
    <nc r="D304" t="inlineStr">
      <is>
        <t>PSW</t>
      </is>
    </nc>
  </rcc>
  <rcc rId="6257" sId="1">
    <nc r="D305" t="inlineStr">
      <is>
        <t>PSW</t>
      </is>
    </nc>
  </rcc>
  <rcc rId="6258" sId="1">
    <nc r="D306" t="inlineStr">
      <is>
        <t>PSW</t>
      </is>
    </nc>
  </rcc>
  <rcc rId="6259" sId="1">
    <nc r="D307" t="inlineStr">
      <is>
        <t>PSW</t>
      </is>
    </nc>
  </rcc>
  <rcc rId="6260" sId="1">
    <nc r="D308" t="inlineStr">
      <is>
        <t>PSW</t>
      </is>
    </nc>
  </rcc>
  <rcc rId="6261" sId="1">
    <nc r="D309" t="inlineStr">
      <is>
        <t>PSW</t>
      </is>
    </nc>
  </rcc>
  <rcc rId="6262" sId="1">
    <nc r="D310" t="inlineStr">
      <is>
        <t>PSW</t>
      </is>
    </nc>
  </rcc>
  <rcc rId="6263" sId="1">
    <nc r="D311" t="inlineStr">
      <is>
        <t>PSW</t>
      </is>
    </nc>
  </rcc>
  <rcc rId="6264" sId="1">
    <nc r="D312" t="inlineStr">
      <is>
        <t>PSW</t>
      </is>
    </nc>
  </rcc>
  <rcc rId="6265" sId="1">
    <nc r="D313" t="inlineStr">
      <is>
        <t>PSW</t>
      </is>
    </nc>
  </rcc>
  <rcc rId="6266" sId="1">
    <nc r="D314" t="inlineStr">
      <is>
        <t>PSW</t>
      </is>
    </nc>
  </rcc>
  <rcc rId="6267" sId="1">
    <nc r="C295">
      <v>20200911</v>
    </nc>
  </rcc>
  <rcc rId="6268" sId="1">
    <nc r="C296">
      <v>20200911</v>
    </nc>
  </rcc>
  <rcc rId="6269" sId="1">
    <nc r="C297">
      <v>20200911</v>
    </nc>
  </rcc>
  <rcc rId="6270" sId="1">
    <nc r="C298">
      <v>20200911</v>
    </nc>
  </rcc>
  <rcc rId="6271" sId="1">
    <nc r="C299">
      <v>20200911</v>
    </nc>
  </rcc>
  <rcc rId="6272" sId="1">
    <nc r="C300">
      <v>20200911</v>
    </nc>
  </rcc>
  <rcc rId="6273" sId="1">
    <nc r="C301">
      <v>20200911</v>
    </nc>
  </rcc>
  <rcc rId="6274" sId="1">
    <nc r="C302">
      <v>20200911</v>
    </nc>
  </rcc>
  <rcc rId="6275" sId="1">
    <nc r="C303">
      <v>20200911</v>
    </nc>
  </rcc>
  <rcc rId="6276" sId="1">
    <nc r="C304">
      <v>20200911</v>
    </nc>
  </rcc>
  <rcc rId="6277" sId="1">
    <nc r="C305">
      <v>20200911</v>
    </nc>
  </rcc>
  <rcc rId="6278" sId="1">
    <nc r="C306">
      <v>20200911</v>
    </nc>
  </rcc>
  <rcc rId="6279" sId="1">
    <nc r="C307">
      <v>20200911</v>
    </nc>
  </rcc>
  <rcc rId="6280" sId="1">
    <nc r="C308">
      <v>20200911</v>
    </nc>
  </rcc>
  <rcc rId="6281" sId="1">
    <nc r="C309">
      <v>20200911</v>
    </nc>
  </rcc>
  <rcc rId="6282" sId="1">
    <nc r="C310">
      <v>20200911</v>
    </nc>
  </rcc>
  <rcc rId="6283" sId="1">
    <nc r="C311">
      <v>20200911</v>
    </nc>
  </rcc>
  <rcc rId="6284" sId="1">
    <nc r="C312">
      <v>20200911</v>
    </nc>
  </rcc>
  <rcc rId="6285" sId="1">
    <nc r="C313">
      <v>20200911</v>
    </nc>
  </rcc>
  <rcc rId="6286" sId="1">
    <nc r="C314">
      <v>20200911</v>
    </nc>
  </rcc>
  <rcc rId="6287" sId="1">
    <nc r="B295">
      <f>B294+1</f>
    </nc>
  </rcc>
  <rcc rId="6288" sId="1">
    <nc r="B296">
      <f>B295+1</f>
    </nc>
  </rcc>
  <rcc rId="6289" sId="1">
    <nc r="B297">
      <f>B296+1</f>
    </nc>
  </rcc>
  <rcc rId="6290" sId="1">
    <nc r="B298">
      <f>B297+1</f>
    </nc>
  </rcc>
  <rcc rId="6291" sId="1">
    <nc r="B299">
      <f>B298+1</f>
    </nc>
  </rcc>
  <rcc rId="6292" sId="1">
    <nc r="B300">
      <f>B299+1</f>
    </nc>
  </rcc>
  <rcc rId="6293" sId="1">
    <nc r="B301">
      <f>B300+1</f>
    </nc>
  </rcc>
  <rcc rId="6294" sId="1">
    <nc r="B302">
      <f>B301+1</f>
    </nc>
  </rcc>
  <rcc rId="6295" sId="1">
    <nc r="B303">
      <f>B302+1</f>
    </nc>
  </rcc>
  <rcc rId="6296" sId="1">
    <nc r="B304">
      <f>B303+1</f>
    </nc>
  </rcc>
  <rcc rId="6297" sId="1">
    <nc r="B305">
      <f>B304+1</f>
    </nc>
  </rcc>
  <rcc rId="6298" sId="1">
    <nc r="B306">
      <f>B305+1</f>
    </nc>
  </rcc>
  <rcc rId="6299" sId="1">
    <nc r="B307">
      <f>B306+1</f>
    </nc>
  </rcc>
  <rcc rId="6300" sId="1">
    <nc r="B308">
      <f>B307+1</f>
    </nc>
  </rcc>
  <rcc rId="6301" sId="1">
    <nc r="B309">
      <f>B308+1</f>
    </nc>
  </rcc>
  <rcc rId="6302" sId="1">
    <nc r="B310">
      <f>B309+1</f>
    </nc>
  </rcc>
  <rcc rId="6303" sId="1">
    <nc r="B311">
      <f>B310+1</f>
    </nc>
  </rcc>
  <rcc rId="6304" sId="1">
    <nc r="B312">
      <f>B311+1</f>
    </nc>
  </rcc>
  <rcc rId="6305" sId="1">
    <nc r="B313">
      <f>B312+1</f>
    </nc>
  </rcc>
  <rcc rId="6306" sId="1">
    <nc r="B314">
      <f>B313+1</f>
    </nc>
  </rcc>
  <rfmt sheetId="1" sqref="B295:B314">
    <dxf>
      <fill>
        <patternFill patternType="solid">
          <bgColor theme="5" tint="0.59999389629810485"/>
        </patternFill>
      </fill>
    </dxf>
  </rfmt>
  <rcc rId="6307" sId="1" xfDxf="1" dxf="1" quotePrefix="1">
    <nc r="F295" t="inlineStr">
      <is>
        <t>CRB_FxQualifier</t>
      </is>
    </nc>
    <ndxf>
      <alignment horizontal="left" vertical="top" readingOrder="0"/>
      <border outline="0">
        <left style="thin">
          <color indexed="64"/>
        </left>
        <right style="thin">
          <color indexed="64"/>
        </right>
        <top style="thin">
          <color indexed="64"/>
        </top>
        <bottom style="thin">
          <color indexed="64"/>
        </bottom>
      </border>
    </ndxf>
  </rcc>
  <rcc rId="6308" sId="1" xfDxf="1" dxf="1" quotePrefix="1">
    <nc r="F296" t="inlineStr">
      <is>
        <t>RBAPLCUST_RBDI_SWVersionNumber.c</t>
      </is>
    </nc>
    <ndxf>
      <alignment horizontal="left" vertical="top" readingOrder="0"/>
      <border outline="0">
        <left style="thin">
          <color indexed="64"/>
        </left>
        <right style="thin">
          <color indexed="64"/>
        </right>
        <top style="thin">
          <color indexed="64"/>
        </top>
        <bottom style="thin">
          <color indexed="64"/>
        </bottom>
      </border>
    </ndxf>
  </rcc>
  <rcc rId="6309" sId="1" xfDxf="1" dxf="1" quotePrefix="1">
    <nc r="F297" t="inlineStr">
      <is>
        <t>RBAPLCUST_DiagnosticSessionControl.c</t>
      </is>
    </nc>
    <ndxf>
      <alignment horizontal="left" vertical="top" readingOrder="0"/>
      <border outline="0">
        <left style="thin">
          <color indexed="64"/>
        </left>
        <right style="thin">
          <color indexed="64"/>
        </right>
        <top style="thin">
          <color indexed="64"/>
        </top>
        <bottom style="thin">
          <color indexed="64"/>
        </bottom>
      </border>
    </ndxf>
  </rcc>
  <rcc rId="6310" sId="1" xfDxf="1" dxf="1" quotePrefix="1">
    <nc r="F298" t="inlineStr">
      <is>
        <t>RBAPLCUST_RDBI_NVMData_CHJ.c</t>
      </is>
    </nc>
    <ndxf>
      <alignment horizontal="left" vertical="top" readingOrder="0"/>
      <border outline="0">
        <left style="thin">
          <color indexed="64"/>
        </left>
        <right style="thin">
          <color indexed="64"/>
        </right>
        <top style="thin">
          <color indexed="64"/>
        </top>
        <bottom style="thin">
          <color indexed="64"/>
        </bottom>
      </border>
    </ndxf>
  </rcc>
  <rcc rId="6311" sId="1" xfDxf="1" dxf="1" quotePrefix="1">
    <nc r="F299" t="inlineStr">
      <is>
        <t>RBAPLCUST_RoutineControl.c</t>
      </is>
    </nc>
    <ndxf>
      <alignment horizontal="left" vertical="top" readingOrder="0"/>
      <border outline="0">
        <left style="thin">
          <color indexed="64"/>
        </left>
        <right style="thin">
          <color indexed="64"/>
        </right>
        <top style="thin">
          <color indexed="64"/>
        </top>
        <bottom style="thin">
          <color indexed="64"/>
        </bottom>
      </border>
    </ndxf>
  </rcc>
  <rcc rId="6312" sId="1" xfDxf="1" dxf="1" quotePrefix="1">
    <nc r="F300" t="inlineStr">
      <is>
        <t>RBAPLCUST_SecurityAccess.c</t>
      </is>
    </nc>
    <ndxf>
      <alignment horizontal="left" vertical="top" readingOrder="0"/>
      <border outline="0">
        <left style="thin">
          <color indexed="64"/>
        </left>
        <right style="thin">
          <color indexed="64"/>
        </right>
        <top style="thin">
          <color indexed="64"/>
        </top>
        <bottom style="thin">
          <color indexed="64"/>
        </bottom>
      </border>
    </ndxf>
  </rcc>
  <rcc rId="6313" sId="1" xfDxf="1" dxf="1" quotePrefix="1">
    <nc r="F301" t="inlineStr">
      <is>
        <t>RBA_NDS_IPBPressure_Callout.c</t>
      </is>
    </nc>
    <ndxf>
      <alignment horizontal="left" vertical="top" readingOrder="0"/>
      <border outline="0">
        <left style="thin">
          <color indexed="64"/>
        </left>
        <right style="thin">
          <color indexed="64"/>
        </right>
        <top style="thin">
          <color indexed="64"/>
        </top>
        <bottom style="thin">
          <color indexed="64"/>
        </bottom>
      </border>
    </ndxf>
  </rcc>
  <rcc rId="6314" sId="1" xfDxf="1" dxf="1" quotePrefix="1">
    <nc r="F302" t="inlineStr">
      <is>
        <t>ComScl_Scl_Complex_proc.c</t>
      </is>
    </nc>
    <ndxf>
      <alignment horizontal="left" vertical="top" readingOrder="0"/>
      <border outline="0">
        <left style="thin">
          <color indexed="64"/>
        </left>
        <right style="thin">
          <color indexed="64"/>
        </right>
        <top style="thin">
          <color indexed="64"/>
        </top>
        <bottom style="thin">
          <color indexed="64"/>
        </bottom>
      </border>
    </ndxf>
  </rcc>
  <rcc rId="6315" sId="1" xfDxf="1" dxf="1" quotePrefix="1">
    <nc r="F303" t="inlineStr">
      <is>
        <t>NET_PSM_Interface_IPB.c</t>
      </is>
    </nc>
    <ndxf>
      <alignment horizontal="left" vertical="top" readingOrder="0"/>
      <border outline="0">
        <left style="thin">
          <color indexed="64"/>
        </left>
        <right style="thin">
          <color indexed="64"/>
        </right>
        <top style="thin">
          <color indexed="64"/>
        </top>
        <bottom style="thin">
          <color indexed="64"/>
        </bottom>
      </border>
    </ndxf>
  </rcc>
  <rcc rId="6316" sId="1" xfDxf="1" dxf="1" quotePrefix="1">
    <nc r="F304" t="inlineStr">
      <is>
        <t>RBA_NDS_ATS_Callout.c</t>
      </is>
    </nc>
    <ndxf>
      <alignment horizontal="left" vertical="top" readingOrder="0"/>
      <border outline="0">
        <left style="thin">
          <color indexed="64"/>
        </left>
        <right style="thin">
          <color indexed="64"/>
        </right>
        <top style="thin">
          <color indexed="64"/>
        </top>
        <bottom style="thin">
          <color indexed="64"/>
        </bottom>
      </border>
    </ndxf>
  </rcc>
  <rcc rId="6317" sId="1" xfDxf="1" dxf="1" quotePrefix="1">
    <nc r="F305" t="inlineStr">
      <is>
        <t>RBA_NDS_Complex_Callout.c</t>
      </is>
    </nc>
    <ndxf>
      <alignment horizontal="left" vertical="top" readingOrder="0"/>
      <border outline="0">
        <left style="thin">
          <color indexed="64"/>
        </left>
        <right style="thin">
          <color indexed="64"/>
        </right>
        <top style="thin">
          <color indexed="64"/>
        </top>
        <bottom style="thin">
          <color indexed="64"/>
        </bottom>
      </border>
    </ndxf>
  </rcc>
  <rcc rId="6318" sId="1" xfDxf="1" dxf="1" quotePrefix="1">
    <nc r="F306" t="inlineStr">
      <is>
        <t>RBA_NDS_Engine_Callout.c</t>
      </is>
    </nc>
    <ndxf>
      <alignment horizontal="left" vertical="top" readingOrder="0"/>
      <border outline="0">
        <left style="thin">
          <color indexed="64"/>
        </left>
        <right style="thin">
          <color indexed="64"/>
        </right>
        <top style="thin">
          <color indexed="64"/>
        </top>
        <bottom style="thin">
          <color indexed="64"/>
        </bottom>
      </border>
    </ndxf>
  </rcc>
  <rcc rId="6319" sId="1" xfDxf="1" dxf="1" quotePrefix="1">
    <nc r="F307" t="inlineStr">
      <is>
        <t>RBA_NDS_IPBPressure_Callout.c</t>
      </is>
    </nc>
    <ndxf>
      <alignment horizontal="left" vertical="top" readingOrder="0"/>
      <border outline="0">
        <left style="thin">
          <color indexed="64"/>
        </left>
        <right style="thin">
          <color indexed="64"/>
        </right>
        <top style="thin">
          <color indexed="64"/>
        </top>
        <bottom style="thin">
          <color indexed="64"/>
        </bottom>
      </border>
    </ndxf>
  </rcc>
  <rcc rId="6320" sId="1" xfDxf="1" dxf="1" quotePrefix="1">
    <nc r="F308" t="inlineStr">
      <is>
        <t>RBA_NDS_SystemInfo.c</t>
      </is>
    </nc>
    <ndxf>
      <alignment horizontal="left" vertical="top" readingOrder="0"/>
      <border outline="0">
        <left style="thin">
          <color indexed="64"/>
        </left>
        <right style="thin">
          <color indexed="64"/>
        </right>
        <top style="thin">
          <color indexed="64"/>
        </top>
        <bottom style="thin">
          <color indexed="64"/>
        </bottom>
      </border>
    </ndxf>
  </rcc>
  <rcc rId="6321" sId="1" xfDxf="1" dxf="1" quotePrefix="1">
    <nc r="F309" t="inlineStr">
      <is>
        <t>RBA_NDS_TOD_Callout.c</t>
      </is>
    </nc>
    <ndxf>
      <alignment horizontal="left" vertical="top" readingOrder="0"/>
      <border outline="0">
        <left style="thin">
          <color indexed="64"/>
        </left>
        <right style="thin">
          <color indexed="64"/>
        </right>
        <top style="thin">
          <color indexed="64"/>
        </top>
        <bottom style="thin">
          <color indexed="64"/>
        </bottom>
      </border>
    </ndxf>
  </rcc>
  <rcc rId="6322" sId="1" xfDxf="1" dxf="1" quotePrefix="1">
    <nc r="F310" t="inlineStr">
      <is>
        <t>RBA_NDS_WheelOdoEdges_Callout.c</t>
      </is>
    </nc>
    <ndxf>
      <alignment horizontal="left" vertical="top" readingOrder="0"/>
      <border outline="0">
        <left style="thin">
          <color indexed="64"/>
        </left>
        <right style="thin">
          <color indexed="64"/>
        </right>
        <top style="thin">
          <color indexed="64"/>
        </top>
        <bottom style="thin">
          <color indexed="64"/>
        </bottom>
      </border>
    </ndxf>
  </rcc>
  <rcc rId="6323" sId="1" xfDxf="1" dxf="1" quotePrefix="1">
    <nc r="F311" t="inlineStr">
      <is>
        <t>RBA_NDS_WSS_FailureInfo_Callout.c</t>
      </is>
    </nc>
    <ndxf>
      <alignment horizontal="left" vertical="top" readingOrder="0"/>
      <border outline="0">
        <left style="thin">
          <color indexed="64"/>
        </left>
        <right style="thin">
          <color indexed="64"/>
        </right>
        <top style="thin">
          <color indexed="64"/>
        </top>
        <bottom style="thin">
          <color indexed="64"/>
        </bottom>
      </border>
    </ndxf>
  </rcc>
  <rcc rId="6324" sId="1" xfDxf="1" dxf="1" quotePrefix="1">
    <nc r="F312" t="inlineStr">
      <is>
        <t>RBNET_ProjectSpecific_Monitoring.c</t>
      </is>
    </nc>
    <ndxf>
      <alignment horizontal="left" vertical="top" readingOrder="0"/>
      <border outline="0">
        <left style="thin">
          <color indexed="64"/>
        </left>
        <right style="thin">
          <color indexed="64"/>
        </right>
        <top style="thin">
          <color indexed="64"/>
        </top>
        <bottom style="thin">
          <color indexed="64"/>
        </bottom>
      </border>
    </ndxf>
  </rcc>
  <rcc rId="6325" sId="1" xfDxf="1" dxf="1" quotePrefix="1">
    <nc r="F313" t="inlineStr">
      <is>
        <t>RBPduHandler_Callouts.c</t>
      </is>
    </nc>
    <ndxf>
      <alignment horizontal="left" vertical="top" readingOrder="0"/>
      <border outline="0">
        <left style="thin">
          <color indexed="64"/>
        </left>
        <right style="thin">
          <color indexed="64"/>
        </right>
        <top style="thin">
          <color indexed="64"/>
        </top>
        <bottom style="thin">
          <color indexed="64"/>
        </bottom>
      </border>
    </ndxf>
  </rcc>
  <rcc rId="6326" sId="1" xfDxf="1" dxf="1" quotePrefix="1">
    <nc r="F314" t="inlineStr">
      <is>
        <t>SAS_LWS_Standard.c</t>
      </is>
    </nc>
    <ndxf>
      <alignment horizontal="left" vertical="top" readingOrder="0"/>
      <border outline="0">
        <left style="thin">
          <color indexed="64"/>
        </left>
        <right style="thin">
          <color indexed="64"/>
        </right>
        <top style="thin">
          <color indexed="64"/>
        </top>
        <bottom style="thin">
          <color indexed="64"/>
        </bottom>
      </border>
    </ndxf>
  </rcc>
  <rcc rId="6327" sId="1" xfDxf="1" dxf="1">
    <nc r="G295">
      <v>1665401</v>
    </nc>
    <ndxf>
      <alignment horizontal="left" vertical="top" readingOrder="0"/>
      <border outline="0">
        <left style="thin">
          <color indexed="64"/>
        </left>
        <right style="thin">
          <color indexed="64"/>
        </right>
        <top style="thin">
          <color indexed="64"/>
        </top>
        <bottom style="thin">
          <color indexed="64"/>
        </bottom>
      </border>
    </ndxf>
  </rcc>
  <rcc rId="6328" sId="1" xfDxf="1" dxf="1">
    <nc r="G296">
      <v>1473152</v>
    </nc>
    <ndxf>
      <alignment horizontal="left" vertical="top" readingOrder="0"/>
      <border outline="0">
        <left style="thin">
          <color indexed="64"/>
        </left>
        <right style="thin">
          <color indexed="64"/>
        </right>
        <top style="thin">
          <color indexed="64"/>
        </top>
        <bottom style="thin">
          <color indexed="64"/>
        </bottom>
      </border>
    </ndxf>
  </rcc>
  <rcc rId="6329" sId="1" xfDxf="1" dxf="1">
    <nc r="G297">
      <v>1473152</v>
    </nc>
    <ndxf>
      <alignment horizontal="left" vertical="top" readingOrder="0"/>
      <border outline="0">
        <left style="thin">
          <color indexed="64"/>
        </left>
        <right style="thin">
          <color indexed="64"/>
        </right>
        <top style="thin">
          <color indexed="64"/>
        </top>
        <bottom style="thin">
          <color indexed="64"/>
        </bottom>
      </border>
    </ndxf>
  </rcc>
  <rcc rId="6330" sId="1" xfDxf="1" dxf="1">
    <nc r="G298">
      <v>1473152</v>
    </nc>
    <ndxf>
      <alignment horizontal="left" vertical="top" readingOrder="0"/>
      <border outline="0">
        <left style="thin">
          <color indexed="64"/>
        </left>
        <right style="thin">
          <color indexed="64"/>
        </right>
        <top style="thin">
          <color indexed="64"/>
        </top>
        <bottom style="thin">
          <color indexed="64"/>
        </bottom>
      </border>
    </ndxf>
  </rcc>
  <rcc rId="6331" sId="1" xfDxf="1" dxf="1">
    <nc r="G299">
      <v>1473152</v>
    </nc>
    <ndxf>
      <alignment horizontal="left" vertical="top" readingOrder="0"/>
      <border outline="0">
        <left style="thin">
          <color indexed="64"/>
        </left>
        <right style="thin">
          <color indexed="64"/>
        </right>
        <top style="thin">
          <color indexed="64"/>
        </top>
        <bottom style="thin">
          <color indexed="64"/>
        </bottom>
      </border>
    </ndxf>
  </rcc>
  <rcc rId="6332" sId="1" xfDxf="1" dxf="1">
    <nc r="G300">
      <v>1473152</v>
    </nc>
    <ndxf>
      <alignment horizontal="left" vertical="top" readingOrder="0"/>
      <border outline="0">
        <left style="thin">
          <color indexed="64"/>
        </left>
        <right style="thin">
          <color indexed="64"/>
        </right>
        <top style="thin">
          <color indexed="64"/>
        </top>
        <bottom style="thin">
          <color indexed="64"/>
        </bottom>
      </border>
    </ndxf>
  </rcc>
  <rcc rId="6333" sId="1" xfDxf="1" dxf="1">
    <nc r="G301">
      <v>1667219</v>
    </nc>
    <ndxf>
      <alignment horizontal="left" vertical="top" readingOrder="0"/>
      <border outline="0">
        <left style="thin">
          <color indexed="64"/>
        </left>
        <right style="thin">
          <color indexed="64"/>
        </right>
        <top style="thin">
          <color indexed="64"/>
        </top>
        <bottom style="thin">
          <color indexed="64"/>
        </bottom>
      </border>
    </ndxf>
  </rcc>
  <rcc rId="6334" sId="1" xfDxf="1" dxf="1">
    <nc r="G302">
      <v>1665099</v>
    </nc>
    <ndxf>
      <alignment horizontal="left" vertical="top" readingOrder="0"/>
      <border outline="0">
        <left style="thin">
          <color indexed="64"/>
        </left>
        <right style="thin">
          <color indexed="64"/>
        </right>
        <top style="thin">
          <color indexed="64"/>
        </top>
        <bottom style="thin">
          <color indexed="64"/>
        </bottom>
      </border>
    </ndxf>
  </rcc>
  <rcc rId="6335" sId="1" xfDxf="1" dxf="1">
    <nc r="G303">
      <v>1665099</v>
    </nc>
    <ndxf>
      <alignment horizontal="left" vertical="top" readingOrder="0"/>
      <border outline="0">
        <left style="thin">
          <color indexed="64"/>
        </left>
        <right style="thin">
          <color indexed="64"/>
        </right>
        <top style="thin">
          <color indexed="64"/>
        </top>
        <bottom style="thin">
          <color indexed="64"/>
        </bottom>
      </border>
    </ndxf>
  </rcc>
  <rcc rId="6336" sId="1" xfDxf="1" dxf="1">
    <nc r="G304">
      <v>1665099</v>
    </nc>
    <ndxf>
      <alignment horizontal="left" vertical="top" readingOrder="0"/>
      <border outline="0">
        <left style="thin">
          <color indexed="64"/>
        </left>
        <right style="thin">
          <color indexed="64"/>
        </right>
        <top style="thin">
          <color indexed="64"/>
        </top>
        <bottom style="thin">
          <color indexed="64"/>
        </bottom>
      </border>
    </ndxf>
  </rcc>
  <rcc rId="6337" sId="1" xfDxf="1" dxf="1">
    <nc r="G305">
      <v>1665099</v>
    </nc>
    <ndxf>
      <alignment horizontal="left" vertical="top" readingOrder="0"/>
      <border outline="0">
        <left style="thin">
          <color indexed="64"/>
        </left>
        <right style="thin">
          <color indexed="64"/>
        </right>
        <top style="thin">
          <color indexed="64"/>
        </top>
        <bottom style="thin">
          <color indexed="64"/>
        </bottom>
      </border>
    </ndxf>
  </rcc>
  <rcc rId="6338" sId="1" xfDxf="1" dxf="1">
    <nc r="G306">
      <v>1665099</v>
    </nc>
    <ndxf>
      <alignment horizontal="left" vertical="top" readingOrder="0"/>
      <border outline="0">
        <left style="thin">
          <color indexed="64"/>
        </left>
        <right style="thin">
          <color indexed="64"/>
        </right>
        <top style="thin">
          <color indexed="64"/>
        </top>
        <bottom style="thin">
          <color indexed="64"/>
        </bottom>
      </border>
    </ndxf>
  </rcc>
  <rcc rId="6339" sId="1" xfDxf="1" dxf="1">
    <nc r="G307">
      <v>1665099</v>
    </nc>
    <ndxf>
      <alignment horizontal="left" vertical="top" readingOrder="0"/>
      <border outline="0">
        <left style="thin">
          <color indexed="64"/>
        </left>
        <right style="thin">
          <color indexed="64"/>
        </right>
        <top style="thin">
          <color indexed="64"/>
        </top>
        <bottom style="thin">
          <color indexed="64"/>
        </bottom>
      </border>
    </ndxf>
  </rcc>
  <rcc rId="6340" sId="1" xfDxf="1" dxf="1">
    <nc r="G308">
      <v>1665099</v>
    </nc>
    <ndxf>
      <alignment horizontal="left" vertical="top" readingOrder="0"/>
      <border outline="0">
        <left style="thin">
          <color indexed="64"/>
        </left>
        <right style="thin">
          <color indexed="64"/>
        </right>
        <top style="thin">
          <color indexed="64"/>
        </top>
        <bottom style="thin">
          <color indexed="64"/>
        </bottom>
      </border>
    </ndxf>
  </rcc>
  <rcc rId="6341" sId="1" xfDxf="1" dxf="1">
    <nc r="G309">
      <v>1665099</v>
    </nc>
    <ndxf>
      <alignment horizontal="left" vertical="top" readingOrder="0"/>
      <border outline="0">
        <left style="thin">
          <color indexed="64"/>
        </left>
        <right style="thin">
          <color indexed="64"/>
        </right>
        <top style="thin">
          <color indexed="64"/>
        </top>
        <bottom style="thin">
          <color indexed="64"/>
        </bottom>
      </border>
    </ndxf>
  </rcc>
  <rcc rId="6342" sId="1" xfDxf="1" dxf="1">
    <nc r="G310">
      <v>1665099</v>
    </nc>
    <ndxf>
      <alignment horizontal="left" vertical="top" readingOrder="0"/>
      <border outline="0">
        <left style="thin">
          <color indexed="64"/>
        </left>
        <right style="thin">
          <color indexed="64"/>
        </right>
        <top style="thin">
          <color indexed="64"/>
        </top>
        <bottom style="thin">
          <color indexed="64"/>
        </bottom>
      </border>
    </ndxf>
  </rcc>
  <rcc rId="6343" sId="1" xfDxf="1" dxf="1">
    <nc r="G311">
      <v>1665099</v>
    </nc>
    <ndxf>
      <alignment horizontal="left" vertical="top" readingOrder="0"/>
      <border outline="0">
        <left style="thin">
          <color indexed="64"/>
        </left>
        <right style="thin">
          <color indexed="64"/>
        </right>
        <top style="thin">
          <color indexed="64"/>
        </top>
        <bottom style="thin">
          <color indexed="64"/>
        </bottom>
      </border>
    </ndxf>
  </rcc>
  <rcc rId="6344" sId="1" xfDxf="1" dxf="1">
    <nc r="G312">
      <v>1665099</v>
    </nc>
    <ndxf>
      <alignment horizontal="left" vertical="top" readingOrder="0"/>
      <border outline="0">
        <left style="thin">
          <color indexed="64"/>
        </left>
        <right style="thin">
          <color indexed="64"/>
        </right>
        <top style="thin">
          <color indexed="64"/>
        </top>
        <bottom style="thin">
          <color indexed="64"/>
        </bottom>
      </border>
    </ndxf>
  </rcc>
  <rcc rId="6345" sId="1" xfDxf="1" dxf="1">
    <nc r="G313">
      <v>1665099</v>
    </nc>
    <ndxf>
      <alignment horizontal="left" vertical="top" readingOrder="0"/>
      <border outline="0">
        <left style="thin">
          <color indexed="64"/>
        </left>
        <right style="thin">
          <color indexed="64"/>
        </right>
        <top style="thin">
          <color indexed="64"/>
        </top>
        <bottom style="thin">
          <color indexed="64"/>
        </bottom>
      </border>
    </ndxf>
  </rcc>
  <rcc rId="6346" sId="1" xfDxf="1" dxf="1">
    <nc r="G314">
      <v>1665099</v>
    </nc>
    <ndxf>
      <alignment horizontal="left" vertical="top" readingOrder="0"/>
      <border outline="0">
        <left style="thin">
          <color indexed="64"/>
        </left>
        <right style="thin">
          <color indexed="64"/>
        </right>
        <top style="thin">
          <color indexed="64"/>
        </top>
        <bottom style="thin">
          <color indexed="64"/>
        </bottom>
      </border>
    </ndxf>
  </rcc>
  <rcc rId="6347" sId="1" quotePrefix="1">
    <nc r="H296" t="inlineStr">
      <is>
        <t>-</t>
      </is>
    </nc>
  </rcc>
  <rcc rId="6348" sId="1" quotePrefix="1">
    <nc r="H297" t="inlineStr">
      <is>
        <t>-</t>
      </is>
    </nc>
  </rcc>
  <rcc rId="6349" sId="1" quotePrefix="1">
    <nc r="H298" t="inlineStr">
      <is>
        <t>-</t>
      </is>
    </nc>
  </rcc>
  <rcc rId="6350" sId="1" quotePrefix="1">
    <nc r="H299" t="inlineStr">
      <is>
        <t>-</t>
      </is>
    </nc>
  </rcc>
  <rcc rId="6351" sId="1" quotePrefix="1">
    <nc r="H300" t="inlineStr">
      <is>
        <t>-</t>
      </is>
    </nc>
  </rcc>
  <rcc rId="6352" sId="1" quotePrefix="1">
    <nc r="H301" t="inlineStr">
      <is>
        <t>-</t>
      </is>
    </nc>
  </rcc>
  <rcc rId="6353" sId="1" quotePrefix="1">
    <nc r="H302" t="inlineStr">
      <is>
        <t>-</t>
      </is>
    </nc>
  </rcc>
  <rcc rId="6354" sId="1" quotePrefix="1">
    <nc r="H303" t="inlineStr">
      <is>
        <t>-</t>
      </is>
    </nc>
  </rcc>
  <rcc rId="6355" sId="1" quotePrefix="1">
    <nc r="H304" t="inlineStr">
      <is>
        <t>-</t>
      </is>
    </nc>
  </rcc>
  <rcc rId="6356" sId="1" quotePrefix="1">
    <nc r="H305" t="inlineStr">
      <is>
        <t>-</t>
      </is>
    </nc>
  </rcc>
  <rcc rId="6357" sId="1" quotePrefix="1">
    <nc r="H306" t="inlineStr">
      <is>
        <t>-</t>
      </is>
    </nc>
  </rcc>
  <rcc rId="6358" sId="1" quotePrefix="1">
    <nc r="H307" t="inlineStr">
      <is>
        <t>-</t>
      </is>
    </nc>
  </rcc>
  <rcc rId="6359" sId="1" quotePrefix="1">
    <nc r="H308" t="inlineStr">
      <is>
        <t>-</t>
      </is>
    </nc>
  </rcc>
  <rcc rId="6360" sId="1" quotePrefix="1">
    <nc r="H309" t="inlineStr">
      <is>
        <t>-</t>
      </is>
    </nc>
  </rcc>
  <rcc rId="6361" sId="1" quotePrefix="1">
    <nc r="H310" t="inlineStr">
      <is>
        <t>-</t>
      </is>
    </nc>
  </rcc>
  <rcc rId="6362" sId="1" quotePrefix="1">
    <nc r="H311" t="inlineStr">
      <is>
        <t>-</t>
      </is>
    </nc>
  </rcc>
  <rcc rId="6363" sId="1" quotePrefix="1">
    <nc r="H312" t="inlineStr">
      <is>
        <t>-</t>
      </is>
    </nc>
  </rcc>
  <rcc rId="6364" sId="1" quotePrefix="1">
    <nc r="H313" t="inlineStr">
      <is>
        <t>-</t>
      </is>
    </nc>
  </rcc>
  <rcc rId="6365" sId="1" quotePrefix="1">
    <nc r="H314" t="inlineStr">
      <is>
        <t>-</t>
      </is>
    </nc>
  </rcc>
  <rcc rId="6366" sId="1" quotePrefix="1">
    <nc r="H315" t="inlineStr">
      <is>
        <t>-</t>
      </is>
    </nc>
  </rcc>
  <rcc rId="6367" sId="1" quotePrefix="1">
    <nc r="H316" t="inlineStr">
      <is>
        <t>-</t>
      </is>
    </nc>
  </rcc>
  <rcc rId="6368" sId="1" quotePrefix="1">
    <nc r="H317" t="inlineStr">
      <is>
        <t>-</t>
      </is>
    </nc>
  </rcc>
  <rcc rId="6369" sId="1" quotePrefix="1">
    <nc r="H318" t="inlineStr">
      <is>
        <t>-</t>
      </is>
    </nc>
  </rcc>
  <rcc rId="6370" sId="1" quotePrefix="1">
    <nc r="H319" t="inlineStr">
      <is>
        <t>-</t>
      </is>
    </nc>
  </rcc>
  <rcc rId="6371" sId="1" quotePrefix="1">
    <nc r="H320" t="inlineStr">
      <is>
        <t>-</t>
      </is>
    </nc>
  </rcc>
  <rcc rId="6372" sId="1" quotePrefix="1">
    <nc r="H321" t="inlineStr">
      <is>
        <t>-</t>
      </is>
    </nc>
  </rcc>
  <rcc rId="6373" sId="1" quotePrefix="1">
    <nc r="H322" t="inlineStr">
      <is>
        <t>-</t>
      </is>
    </nc>
  </rcc>
  <rcc rId="6374" sId="1" quotePrefix="1">
    <nc r="H323" t="inlineStr">
      <is>
        <t>-</t>
      </is>
    </nc>
  </rcc>
  <rcc rId="6375" sId="1" quotePrefix="1">
    <nc r="H324" t="inlineStr">
      <is>
        <t>-</t>
      </is>
    </nc>
  </rcc>
  <rcc rId="6376" sId="1" quotePrefix="1">
    <nc r="H325" t="inlineStr">
      <is>
        <t>-</t>
      </is>
    </nc>
  </rcc>
  <rcc rId="6377" sId="1" quotePrefix="1">
    <nc r="H326" t="inlineStr">
      <is>
        <t>-</t>
      </is>
    </nc>
  </rcc>
  <rcc rId="6378" sId="1" quotePrefix="1">
    <nc r="H327" t="inlineStr">
      <is>
        <t>-</t>
      </is>
    </nc>
  </rcc>
  <rcc rId="6379" sId="1" quotePrefix="1">
    <nc r="H328" t="inlineStr">
      <is>
        <t>-</t>
      </is>
    </nc>
  </rcc>
  <rcc rId="6380" sId="1" quotePrefix="1">
    <nc r="H329" t="inlineStr">
      <is>
        <t>-</t>
      </is>
    </nc>
  </rcc>
  <rcc rId="6381" sId="1" quotePrefix="1">
    <nc r="H330" t="inlineStr">
      <is>
        <t>-</t>
      </is>
    </nc>
  </rcc>
  <rcc rId="6382" sId="1" quotePrefix="1">
    <nc r="H331" t="inlineStr">
      <is>
        <t>-</t>
      </is>
    </nc>
  </rcc>
  <rcc rId="6383" sId="1" quotePrefix="1">
    <nc r="H332" t="inlineStr">
      <is>
        <t>-</t>
      </is>
    </nc>
  </rcc>
  <rcc rId="6384" sId="1" quotePrefix="1">
    <nc r="H333" t="inlineStr">
      <is>
        <t>-</t>
      </is>
    </nc>
  </rcc>
  <rcc rId="6385" sId="1" quotePrefix="1">
    <nc r="H334" t="inlineStr">
      <is>
        <t>-</t>
      </is>
    </nc>
  </rcc>
  <rcc rId="6386" sId="1" quotePrefix="1">
    <nc r="H335" t="inlineStr">
      <is>
        <t>-</t>
      </is>
    </nc>
  </rcc>
  <rcc rId="6387" sId="1" quotePrefix="1">
    <nc r="H336" t="inlineStr">
      <is>
        <t>-</t>
      </is>
    </nc>
  </rcc>
  <rcc rId="6388" sId="1" quotePrefix="1">
    <nc r="H337" t="inlineStr">
      <is>
        <t>-</t>
      </is>
    </nc>
  </rcc>
  <rrc rId="6389"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390"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391"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392"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393"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394"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395"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396"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397"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398"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399"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400"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401"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402"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403"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404"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405"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406"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407"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408"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fmt sheetId="1" sqref="J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fmt sheetId="1" sqref="O318" start="0" length="0">
      <dxf>
        <alignment horizontal="left" vertical="top" readingOrder="0"/>
        <border outline="0">
          <left style="thin">
            <color indexed="64"/>
          </left>
          <right style="thin">
            <color indexed="64"/>
          </right>
          <top style="thin">
            <color indexed="64"/>
          </top>
          <bottom style="thin">
            <color indexed="64"/>
          </bottom>
        </border>
      </dxf>
    </rfmt>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1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18" start="0" length="0">
      <dxf>
        <alignment horizontal="left" vertical="top" readingOrder="0"/>
        <border outline="0">
          <left style="thin">
            <color indexed="64"/>
          </left>
          <right style="thin">
            <color indexed="64"/>
          </right>
          <top style="thin">
            <color indexed="64"/>
          </top>
          <bottom style="thin">
            <color indexed="64"/>
          </bottom>
        </border>
      </dxf>
    </rfmt>
    <rfmt sheetId="1" sqref="AM318" start="0" length="0">
      <dxf>
        <alignment horizontal="left" vertical="top" readingOrder="0"/>
        <border outline="0">
          <left style="thin">
            <color indexed="64"/>
          </left>
          <right style="thin">
            <color indexed="64"/>
          </right>
          <top style="thin">
            <color indexed="64"/>
          </top>
          <bottom style="thin">
            <color indexed="64"/>
          </bottom>
        </border>
      </dxf>
    </rfmt>
    <rfmt sheetId="1" sqref="AN318" start="0" length="0">
      <dxf>
        <alignment horizontal="left" vertical="top" readingOrder="0"/>
        <border outline="0">
          <left style="thin">
            <color indexed="64"/>
          </left>
          <right style="thin">
            <color indexed="64"/>
          </right>
          <top style="thin">
            <color indexed="64"/>
          </top>
          <bottom style="thin">
            <color indexed="64"/>
          </bottom>
        </border>
      </dxf>
    </rfmt>
  </rrc>
  <rrc rId="6409"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18"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quotePrefix="1">
      <nc r="AL31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31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318" t="inlineStr">
        <is>
          <t>-</t>
        </is>
      </nc>
      <ndxf>
        <alignment horizontal="left" vertical="top" readingOrder="0"/>
        <border outline="0">
          <left style="thin">
            <color indexed="64"/>
          </left>
          <right style="thin">
            <color indexed="64"/>
          </right>
          <top style="thin">
            <color indexed="64"/>
          </top>
          <bottom style="thin">
            <color indexed="64"/>
          </bottom>
        </border>
      </ndxf>
    </rcc>
  </rrc>
  <rrc rId="6410"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18"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quotePrefix="1">
      <nc r="AL31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31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318" t="inlineStr">
        <is>
          <t>-</t>
        </is>
      </nc>
      <ndxf>
        <alignment horizontal="left" vertical="top" readingOrder="0"/>
        <border outline="0">
          <left style="thin">
            <color indexed="64"/>
          </left>
          <right style="thin">
            <color indexed="64"/>
          </right>
          <top style="thin">
            <color indexed="64"/>
          </top>
          <bottom style="thin">
            <color indexed="64"/>
          </bottom>
        </border>
      </ndxf>
    </rcc>
  </rrc>
  <rrc rId="6411"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18"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quotePrefix="1">
      <nc r="AL31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31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318" t="inlineStr">
        <is>
          <t>-</t>
        </is>
      </nc>
      <ndxf>
        <alignment horizontal="left" vertical="top" readingOrder="0"/>
        <border outline="0">
          <left style="thin">
            <color indexed="64"/>
          </left>
          <right style="thin">
            <color indexed="64"/>
          </right>
          <top style="thin">
            <color indexed="64"/>
          </top>
          <bottom style="thin">
            <color indexed="64"/>
          </bottom>
        </border>
      </ndxf>
    </rcc>
  </rrc>
  <rrc rId="6412"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18"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quotePrefix="1">
      <nc r="AL31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31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318" t="inlineStr">
        <is>
          <t>-</t>
        </is>
      </nc>
      <ndxf>
        <alignment horizontal="left" vertical="top" readingOrder="0"/>
        <border outline="0">
          <left style="thin">
            <color indexed="64"/>
          </left>
          <right style="thin">
            <color indexed="64"/>
          </right>
          <top style="thin">
            <color indexed="64"/>
          </top>
          <bottom style="thin">
            <color indexed="64"/>
          </bottom>
        </border>
      </ndxf>
    </rcc>
  </rrc>
  <rrc rId="6413"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18"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quotePrefix="1">
      <nc r="AL31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31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318" t="inlineStr">
        <is>
          <t>-</t>
        </is>
      </nc>
      <ndxf>
        <alignment horizontal="left" vertical="top" readingOrder="0"/>
        <border outline="0">
          <left style="thin">
            <color indexed="64"/>
          </left>
          <right style="thin">
            <color indexed="64"/>
          </right>
          <top style="thin">
            <color indexed="64"/>
          </top>
          <bottom style="thin">
            <color indexed="64"/>
          </bottom>
        </border>
      </ndxf>
    </rcc>
  </rrc>
  <rrc rId="6414" sId="1" ref="A318:XFD318" action="deleteRow">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18"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quotePrefix="1">
      <nc r="AL31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31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318" t="inlineStr">
        <is>
          <t>-</t>
        </is>
      </nc>
      <ndxf>
        <alignment horizontal="left" vertical="top" readingOrder="0"/>
        <border outline="0">
          <left style="thin">
            <color indexed="64"/>
          </left>
          <right style="thin">
            <color indexed="64"/>
          </right>
          <top style="thin">
            <color indexed="64"/>
          </top>
          <bottom style="thin">
            <color indexed="64"/>
          </bottom>
        </border>
      </ndxf>
    </rcc>
  </rrc>
  <rrc rId="6415" sId="1" ref="A318:XFD318" action="deleteRow">
    <undo index="4" exp="area" ref3D="1" dr="$C$60:$C$318" r="K205" sId="4"/>
    <undo index="2" exp="area" ref3D="1" dr="$D$60:$D$318" r="K205" sId="4"/>
    <undo index="0" exp="area" ref3D="1" dr="$AK$60:$AK$318" r="K205" sId="4"/>
    <undo index="4" exp="area" ref3D="1" dr="$C$60:$C$318" r="J205" sId="4"/>
    <undo index="2" exp="area" ref3D="1" dr="$D$60:$D$318" r="J205" sId="4"/>
    <undo index="0" exp="area" ref3D="1" dr="$AK$60:$AK$318" r="J205" sId="4"/>
    <undo index="15" exp="area" ref3D="1" dr="$C$60:$C$318" r="H205" sId="4"/>
    <undo index="13" exp="area" ref3D="1" dr="$AA$60:$AA$318" r="H205" sId="4"/>
    <undo index="11" exp="area" ref3D="1" dr="$D$60:$D$318" r="H205" sId="4"/>
    <undo index="10" exp="area" ref3D="1" dr="$Z$60:$Z$318" r="H205" sId="4"/>
    <undo index="7" exp="area" ref3D="1" dr="$C$60:$C$318" r="H205" sId="4"/>
    <undo index="4" exp="area" ref3D="1" dr="$D$60:$D$318" r="H205" sId="4"/>
    <undo index="3" exp="area" ref3D="1" dr="$Z$60:$Z$318" r="H205" sId="4"/>
    <undo index="7" exp="area" ref3D="1" dr="$C$60:$C$318" r="G205" sId="4"/>
    <undo index="4" exp="area" ref3D="1" dr="$D$60:$D$318" r="G205" sId="4"/>
    <undo index="3" exp="area" ref3D="1" dr="$Y$60:$Y$318" r="G205" sId="4"/>
    <undo index="12" exp="area" ref3D="1" dr="$C$60:$C$318" r="F205" sId="4"/>
    <undo index="10" exp="area" ref3D="1" dr="$AA$60:$AA$318" r="F205" sId="4"/>
    <undo index="8" exp="area" ref3D="1" dr="$D$60:$D$318" r="F205" sId="4"/>
    <undo index="7" exp="area" ref3D="1" dr="$X$60:$X$318" r="F205" sId="4"/>
    <undo index="4" exp="area" ref3D="1" dr="$C$60:$C$318" r="F205" sId="4"/>
    <undo index="1" exp="area" ref3D="1" dr="$D$60:$D$318" r="F205" sId="4"/>
    <undo index="0" exp="area" ref3D="1" dr="$X$60:$X$318" r="F205" sId="4"/>
    <undo index="4" exp="area" ref3D="1" dr="$C$60:$C$318" r="E205" sId="4"/>
    <undo index="1" exp="area" ref3D="1" dr="$D$60:$D$318" r="E205" sId="4"/>
    <undo index="0" exp="area" ref3D="1" dr="$W$60:$W$318" r="E205" sId="4"/>
    <undo index="4" exp="area" ref3D="1" dr="$C$60:$C$318" r="K204" sId="4"/>
    <undo index="2" exp="area" ref3D="1" dr="$D$60:$D$318" r="K204" sId="4"/>
    <undo index="0" exp="area" ref3D="1" dr="$AK$60:$AK$318" r="K204" sId="4"/>
    <undo index="4" exp="area" ref3D="1" dr="$C$60:$C$318" r="J204" sId="4"/>
    <undo index="2" exp="area" ref3D="1" dr="$D$60:$D$318" r="J204" sId="4"/>
    <undo index="0" exp="area" ref3D="1" dr="$AK$60:$AK$318" r="J204" sId="4"/>
    <undo index="15" exp="area" ref3D="1" dr="$C$60:$C$318" r="H204" sId="4"/>
    <undo index="13" exp="area" ref3D="1" dr="$AA$60:$AA$318" r="H204" sId="4"/>
    <undo index="11" exp="area" ref3D="1" dr="$D$60:$D$318" r="H204" sId="4"/>
    <undo index="10" exp="area" ref3D="1" dr="$Z$60:$Z$318" r="H204" sId="4"/>
    <undo index="7" exp="area" ref3D="1" dr="$C$60:$C$318" r="H204" sId="4"/>
    <undo index="4" exp="area" ref3D="1" dr="$D$60:$D$318" r="H204" sId="4"/>
    <undo index="3" exp="area" ref3D="1" dr="$Z$60:$Z$318" r="H204" sId="4"/>
    <undo index="7" exp="area" ref3D="1" dr="$C$60:$C$318" r="G204" sId="4"/>
    <undo index="4" exp="area" ref3D="1" dr="$D$60:$D$318" r="G204" sId="4"/>
    <undo index="3" exp="area" ref3D="1" dr="$Y$60:$Y$318" r="G204" sId="4"/>
    <undo index="12" exp="area" ref3D="1" dr="$C$60:$C$318" r="F204" sId="4"/>
    <undo index="10" exp="area" ref3D="1" dr="$AA$60:$AA$318" r="F204" sId="4"/>
    <undo index="8" exp="area" ref3D="1" dr="$D$60:$D$318" r="F204" sId="4"/>
    <undo index="7" exp="area" ref3D="1" dr="$X$60:$X$318" r="F204" sId="4"/>
    <undo index="4" exp="area" ref3D="1" dr="$C$60:$C$318" r="F204" sId="4"/>
    <undo index="1" exp="area" ref3D="1" dr="$D$60:$D$318" r="F204" sId="4"/>
    <undo index="0" exp="area" ref3D="1" dr="$X$60:$X$318" r="F204" sId="4"/>
    <undo index="4" exp="area" ref3D="1" dr="$C$60:$C$318" r="E204" sId="4"/>
    <undo index="1" exp="area" ref3D="1" dr="$D$60:$D$318" r="E204" sId="4"/>
    <undo index="0" exp="area" ref3D="1" dr="$W$60:$W$318" r="E204" sId="4"/>
    <undo index="4" exp="area" ref3D="1" dr="$C$60:$C$318" r="K192" sId="4"/>
    <undo index="2" exp="area" ref3D="1" dr="$D$60:$D$318" r="K192" sId="4"/>
    <undo index="0" exp="area" ref3D="1" dr="$AK$60:$AK$318" r="K192" sId="4"/>
    <undo index="4" exp="area" ref3D="1" dr="$C$60:$C$318" r="J192" sId="4"/>
    <undo index="2" exp="area" ref3D="1" dr="$D$60:$D$318" r="J192" sId="4"/>
    <undo index="0" exp="area" ref3D="1" dr="$AK$60:$AK$318" r="J192" sId="4"/>
    <undo index="15" exp="area" ref3D="1" dr="$C$60:$C$318" r="H192" sId="4"/>
    <undo index="13" exp="area" ref3D="1" dr="$AA$60:$AA$318" r="H192" sId="4"/>
    <undo index="11" exp="area" ref3D="1" dr="$D$60:$D$318" r="H192" sId="4"/>
    <undo index="10" exp="area" ref3D="1" dr="$Z$60:$Z$318" r="H192" sId="4"/>
    <undo index="7" exp="area" ref3D="1" dr="$C$60:$C$318" r="H192" sId="4"/>
    <undo index="4" exp="area" ref3D="1" dr="$D$60:$D$318" r="H192" sId="4"/>
    <undo index="3" exp="area" ref3D="1" dr="$Z$60:$Z$318" r="H192" sId="4"/>
    <undo index="7" exp="area" ref3D="1" dr="$C$60:$C$318" r="G192" sId="4"/>
    <undo index="4" exp="area" ref3D="1" dr="$D$60:$D$318" r="G192" sId="4"/>
    <undo index="3" exp="area" ref3D="1" dr="$Y$60:$Y$318" r="G192" sId="4"/>
    <undo index="12" exp="area" ref3D="1" dr="$C$60:$C$318" r="F192" sId="4"/>
    <undo index="10" exp="area" ref3D="1" dr="$AA$60:$AA$318" r="F192" sId="4"/>
    <undo index="8" exp="area" ref3D="1" dr="$D$60:$D$318" r="F192" sId="4"/>
    <undo index="7" exp="area" ref3D="1" dr="$X$60:$X$318" r="F192" sId="4"/>
    <undo index="4" exp="area" ref3D="1" dr="$C$60:$C$318" r="F192" sId="4"/>
    <undo index="1" exp="area" ref3D="1" dr="$D$60:$D$318" r="F192" sId="4"/>
    <undo index="0" exp="area" ref3D="1" dr="$X$60:$X$318" r="F192" sId="4"/>
    <undo index="4" exp="area" ref3D="1" dr="$C$60:$C$318" r="E192" sId="4"/>
    <undo index="1" exp="area" ref3D="1" dr="$D$60:$D$318" r="E192" sId="4"/>
    <undo index="0" exp="area" ref3D="1" dr="$W$60:$W$318" r="E192" sId="4"/>
    <undo index="4" exp="area" ref3D="1" dr="$C$60:$C$318" r="K191" sId="4"/>
    <undo index="2" exp="area" ref3D="1" dr="$D$60:$D$318" r="K191" sId="4"/>
    <undo index="0" exp="area" ref3D="1" dr="$AK$60:$AK$318" r="K191" sId="4"/>
    <undo index="4" exp="area" ref3D="1" dr="$C$60:$C$318" r="J191" sId="4"/>
    <undo index="2" exp="area" ref3D="1" dr="$D$60:$D$318" r="J191" sId="4"/>
    <undo index="0" exp="area" ref3D="1" dr="$AK$60:$AK$318" r="J191" sId="4"/>
    <undo index="15" exp="area" ref3D="1" dr="$C$60:$C$318" r="H191" sId="4"/>
    <undo index="13" exp="area" ref3D="1" dr="$AA$60:$AA$318" r="H191" sId="4"/>
    <undo index="11" exp="area" ref3D="1" dr="$D$60:$D$318" r="H191" sId="4"/>
    <undo index="10" exp="area" ref3D="1" dr="$Z$60:$Z$318" r="H191" sId="4"/>
    <undo index="7" exp="area" ref3D="1" dr="$C$60:$C$318" r="H191" sId="4"/>
    <undo index="4" exp="area" ref3D="1" dr="$D$60:$D$318" r="H191" sId="4"/>
    <undo index="3" exp="area" ref3D="1" dr="$Z$60:$Z$318" r="H191" sId="4"/>
    <undo index="7" exp="area" ref3D="1" dr="$C$60:$C$318" r="G191" sId="4"/>
    <undo index="4" exp="area" ref3D="1" dr="$D$60:$D$318" r="G191" sId="4"/>
    <undo index="3" exp="area" ref3D="1" dr="$Y$60:$Y$318" r="G191" sId="4"/>
    <undo index="12" exp="area" ref3D="1" dr="$C$60:$C$318" r="F191" sId="4"/>
    <undo index="10" exp="area" ref3D="1" dr="$AA$60:$AA$318" r="F191" sId="4"/>
    <undo index="8" exp="area" ref3D="1" dr="$D$60:$D$318" r="F191" sId="4"/>
    <undo index="7" exp="area" ref3D="1" dr="$X$60:$X$318" r="F191" sId="4"/>
    <undo index="4" exp="area" ref3D="1" dr="$C$60:$C$318" r="F191" sId="4"/>
    <undo index="1" exp="area" ref3D="1" dr="$D$60:$D$318" r="F191" sId="4"/>
    <undo index="0" exp="area" ref3D="1" dr="$X$60:$X$318" r="F191" sId="4"/>
    <undo index="4" exp="area" ref3D="1" dr="$C$60:$C$318" r="E191" sId="4"/>
    <undo index="1" exp="area" ref3D="1" dr="$D$60:$D$318" r="E191" sId="4"/>
    <undo index="0" exp="area" ref3D="1" dr="$W$60:$W$318" r="E191" sId="4"/>
    <undo index="4" exp="area" ref3D="1" dr="$C$60:$C$318" r="K179" sId="4"/>
    <undo index="2" exp="area" ref3D="1" dr="$D$60:$D$318" r="K179" sId="4"/>
    <undo index="0" exp="area" ref3D="1" dr="$AK$60:$AK$318" r="K179" sId="4"/>
    <undo index="4" exp="area" ref3D="1" dr="$C$60:$C$318" r="J179" sId="4"/>
    <undo index="2" exp="area" ref3D="1" dr="$D$60:$D$318" r="J179" sId="4"/>
    <undo index="0" exp="area" ref3D="1" dr="$AK$60:$AK$318" r="J179" sId="4"/>
    <undo index="15" exp="area" ref3D="1" dr="$C$60:$C$318" r="H179" sId="4"/>
    <undo index="13" exp="area" ref3D="1" dr="$AA$60:$AA$318" r="H179" sId="4"/>
    <undo index="11" exp="area" ref3D="1" dr="$D$60:$D$318" r="H179" sId="4"/>
    <undo index="10" exp="area" ref3D="1" dr="$Z$60:$Z$318" r="H179" sId="4"/>
    <undo index="7" exp="area" ref3D="1" dr="$C$60:$C$318" r="H179" sId="4"/>
    <undo index="4" exp="area" ref3D="1" dr="$D$60:$D$318" r="H179" sId="4"/>
    <undo index="3" exp="area" ref3D="1" dr="$Z$60:$Z$318" r="H179" sId="4"/>
    <undo index="7" exp="area" ref3D="1" dr="$C$60:$C$318" r="G179" sId="4"/>
    <undo index="4" exp="area" ref3D="1" dr="$D$60:$D$318" r="G179" sId="4"/>
    <undo index="3" exp="area" ref3D="1" dr="$Y$60:$Y$318" r="G179" sId="4"/>
    <undo index="12" exp="area" ref3D="1" dr="$C$60:$C$318" r="F179" sId="4"/>
    <undo index="10" exp="area" ref3D="1" dr="$AA$60:$AA$318" r="F179" sId="4"/>
    <undo index="8" exp="area" ref3D="1" dr="$D$60:$D$318" r="F179" sId="4"/>
    <undo index="7" exp="area" ref3D="1" dr="$X$60:$X$318" r="F179" sId="4"/>
    <undo index="4" exp="area" ref3D="1" dr="$C$60:$C$318" r="F179" sId="4"/>
    <undo index="1" exp="area" ref3D="1" dr="$D$60:$D$318" r="F179" sId="4"/>
    <undo index="0" exp="area" ref3D="1" dr="$X$60:$X$318" r="F179" sId="4"/>
    <undo index="4" exp="area" ref3D="1" dr="$C$60:$C$318" r="E179" sId="4"/>
    <undo index="1" exp="area" ref3D="1" dr="$D$60:$D$318" r="E179" sId="4"/>
    <undo index="0" exp="area" ref3D="1" dr="$W$60:$W$318" r="E179" sId="4"/>
    <undo index="4" exp="area" ref3D="1" dr="$C$60:$C$318" r="K178" sId="4"/>
    <undo index="2" exp="area" ref3D="1" dr="$D$60:$D$318" r="K178" sId="4"/>
    <undo index="0" exp="area" ref3D="1" dr="$AK$60:$AK$318" r="K178" sId="4"/>
    <undo index="4" exp="area" ref3D="1" dr="$C$60:$C$318" r="J178" sId="4"/>
    <undo index="2" exp="area" ref3D="1" dr="$D$60:$D$318" r="J178" sId="4"/>
    <undo index="0" exp="area" ref3D="1" dr="$AK$60:$AK$318" r="J178" sId="4"/>
    <undo index="15" exp="area" ref3D="1" dr="$C$60:$C$318" r="H178" sId="4"/>
    <undo index="13" exp="area" ref3D="1" dr="$AA$60:$AA$318" r="H178" sId="4"/>
    <undo index="11" exp="area" ref3D="1" dr="$D$60:$D$318" r="H178" sId="4"/>
    <undo index="10" exp="area" ref3D="1" dr="$Z$60:$Z$318" r="H178" sId="4"/>
    <undo index="7" exp="area" ref3D="1" dr="$C$60:$C$318" r="H178" sId="4"/>
    <undo index="4" exp="area" ref3D="1" dr="$D$60:$D$318" r="H178" sId="4"/>
    <undo index="3" exp="area" ref3D="1" dr="$Z$60:$Z$318" r="H178" sId="4"/>
    <undo index="7" exp="area" ref3D="1" dr="$C$60:$C$318" r="G178" sId="4"/>
    <undo index="4" exp="area" ref3D="1" dr="$D$60:$D$318" r="G178" sId="4"/>
    <undo index="3" exp="area" ref3D="1" dr="$Y$60:$Y$318" r="G178" sId="4"/>
    <undo index="12" exp="area" ref3D="1" dr="$C$60:$C$318" r="F178" sId="4"/>
    <undo index="10" exp="area" ref3D="1" dr="$AA$60:$AA$318" r="F178" sId="4"/>
    <undo index="8" exp="area" ref3D="1" dr="$D$60:$D$318" r="F178" sId="4"/>
    <undo index="7" exp="area" ref3D="1" dr="$X$60:$X$318" r="F178" sId="4"/>
    <undo index="4" exp="area" ref3D="1" dr="$C$60:$C$318" r="F178" sId="4"/>
    <undo index="1" exp="area" ref3D="1" dr="$D$60:$D$318" r="F178" sId="4"/>
    <undo index="0" exp="area" ref3D="1" dr="$X$60:$X$318" r="F178" sId="4"/>
    <undo index="4" exp="area" ref3D="1" dr="$C$60:$C$318" r="E178" sId="4"/>
    <undo index="1" exp="area" ref3D="1" dr="$D$60:$D$318" r="E178" sId="4"/>
    <undo index="0" exp="area" ref3D="1" dr="$W$60:$W$318" r="E178" sId="4"/>
    <undo index="4" exp="area" ref3D="1" dr="$C$60:$C$318" r="K166" sId="4"/>
    <undo index="2" exp="area" ref3D="1" dr="$D$60:$D$318" r="K166" sId="4"/>
    <undo index="0" exp="area" ref3D="1" dr="$AK$60:$AK$318" r="K166" sId="4"/>
    <undo index="4" exp="area" ref3D="1" dr="$C$60:$C$318" r="J166" sId="4"/>
    <undo index="2" exp="area" ref3D="1" dr="$D$60:$D$318" r="J166" sId="4"/>
    <undo index="0" exp="area" ref3D="1" dr="$AK$60:$AK$318" r="J166" sId="4"/>
    <undo index="15" exp="area" ref3D="1" dr="$C$60:$C$318" r="H166" sId="4"/>
    <undo index="13" exp="area" ref3D="1" dr="$AA$60:$AA$318" r="H166" sId="4"/>
    <undo index="11" exp="area" ref3D="1" dr="$D$60:$D$318" r="H166" sId="4"/>
    <undo index="10" exp="area" ref3D="1" dr="$Z$60:$Z$318" r="H166" sId="4"/>
    <undo index="7" exp="area" ref3D="1" dr="$C$60:$C$318" r="H166" sId="4"/>
    <undo index="4" exp="area" ref3D="1" dr="$D$60:$D$318" r="H166" sId="4"/>
    <undo index="3" exp="area" ref3D="1" dr="$Z$60:$Z$318" r="H166" sId="4"/>
    <undo index="7" exp="area" ref3D="1" dr="$C$60:$C$318" r="G166" sId="4"/>
    <undo index="4" exp="area" ref3D="1" dr="$D$60:$D$318" r="G166" sId="4"/>
    <undo index="3" exp="area" ref3D="1" dr="$Y$60:$Y$318" r="G166" sId="4"/>
    <undo index="12" exp="area" ref3D="1" dr="$C$60:$C$318" r="F166" sId="4"/>
    <undo index="10" exp="area" ref3D="1" dr="$AA$60:$AA$318" r="F166" sId="4"/>
    <undo index="8" exp="area" ref3D="1" dr="$D$60:$D$318" r="F166" sId="4"/>
    <undo index="7" exp="area" ref3D="1" dr="$X$60:$X$318" r="F166" sId="4"/>
    <undo index="4" exp="area" ref3D="1" dr="$C$60:$C$318" r="F166" sId="4"/>
    <undo index="1" exp="area" ref3D="1" dr="$D$60:$D$318" r="F166" sId="4"/>
    <undo index="0" exp="area" ref3D="1" dr="$X$60:$X$318" r="F166" sId="4"/>
    <undo index="4" exp="area" ref3D="1" dr="$C$60:$C$318" r="E166" sId="4"/>
    <undo index="1" exp="area" ref3D="1" dr="$D$60:$D$318" r="E166" sId="4"/>
    <undo index="0" exp="area" ref3D="1" dr="$W$60:$W$318" r="E166" sId="4"/>
    <undo index="4" exp="area" ref3D="1" dr="$C$60:$C$318" r="K165" sId="4"/>
    <undo index="2" exp="area" ref3D="1" dr="$D$60:$D$318" r="K165" sId="4"/>
    <undo index="0" exp="area" ref3D="1" dr="$AK$60:$AK$318" r="K165" sId="4"/>
    <undo index="4" exp="area" ref3D="1" dr="$C$60:$C$318" r="J165" sId="4"/>
    <undo index="2" exp="area" ref3D="1" dr="$D$60:$D$318" r="J165" sId="4"/>
    <undo index="0" exp="area" ref3D="1" dr="$AK$60:$AK$318" r="J165" sId="4"/>
    <undo index="15" exp="area" ref3D="1" dr="$C$60:$C$318" r="H165" sId="4"/>
    <undo index="13" exp="area" ref3D="1" dr="$AA$60:$AA$318" r="H165" sId="4"/>
    <undo index="11" exp="area" ref3D="1" dr="$D$60:$D$318" r="H165" sId="4"/>
    <undo index="10" exp="area" ref3D="1" dr="$Z$60:$Z$318" r="H165" sId="4"/>
    <undo index="7" exp="area" ref3D="1" dr="$C$60:$C$318" r="H165" sId="4"/>
    <undo index="4" exp="area" ref3D="1" dr="$D$60:$D$318" r="H165" sId="4"/>
    <undo index="3" exp="area" ref3D="1" dr="$Z$60:$Z$318" r="H165" sId="4"/>
    <undo index="7" exp="area" ref3D="1" dr="$C$60:$C$318" r="G165" sId="4"/>
    <undo index="4" exp="area" ref3D="1" dr="$D$60:$D$318" r="G165" sId="4"/>
    <undo index="3" exp="area" ref3D="1" dr="$Y$60:$Y$318" r="G165" sId="4"/>
    <undo index="12" exp="area" ref3D="1" dr="$C$60:$C$318" r="F165" sId="4"/>
    <undo index="10" exp="area" ref3D="1" dr="$AA$60:$AA$318" r="F165" sId="4"/>
    <undo index="8" exp="area" ref3D="1" dr="$D$60:$D$318" r="F165" sId="4"/>
    <undo index="7" exp="area" ref3D="1" dr="$X$60:$X$318" r="F165" sId="4"/>
    <undo index="4" exp="area" ref3D="1" dr="$C$60:$C$318" r="F165" sId="4"/>
    <undo index="1" exp="area" ref3D="1" dr="$D$60:$D$318" r="F165" sId="4"/>
    <undo index="0" exp="area" ref3D="1" dr="$X$60:$X$318" r="F165" sId="4"/>
    <undo index="4" exp="area" ref3D="1" dr="$C$60:$C$318" r="E165" sId="4"/>
    <undo index="1" exp="area" ref3D="1" dr="$D$60:$D$318" r="E165" sId="4"/>
    <undo index="0" exp="area" ref3D="1" dr="$W$60:$W$318" r="E165" sId="4"/>
    <undo index="4" exp="area" ref3D="1" dr="$C$60:$C$318" r="K153" sId="4"/>
    <undo index="2" exp="area" ref3D="1" dr="$D$60:$D$318" r="K153" sId="4"/>
    <undo index="0" exp="area" ref3D="1" dr="$AK$60:$AK$318" r="K153" sId="4"/>
    <undo index="4" exp="area" ref3D="1" dr="$C$60:$C$318" r="J153" sId="4"/>
    <undo index="2" exp="area" ref3D="1" dr="$D$60:$D$318" r="J153" sId="4"/>
    <undo index="0" exp="area" ref3D="1" dr="$AK$60:$AK$318" r="J153" sId="4"/>
    <undo index="15" exp="area" ref3D="1" dr="$C$60:$C$318" r="H153" sId="4"/>
    <undo index="13" exp="area" ref3D="1" dr="$AA$60:$AA$318" r="H153" sId="4"/>
    <undo index="11" exp="area" ref3D="1" dr="$D$60:$D$318" r="H153" sId="4"/>
    <undo index="10" exp="area" ref3D="1" dr="$Z$60:$Z$318" r="H153" sId="4"/>
    <undo index="7" exp="area" ref3D="1" dr="$C$60:$C$318" r="H153" sId="4"/>
    <undo index="4" exp="area" ref3D="1" dr="$D$60:$D$318" r="H153" sId="4"/>
    <undo index="3" exp="area" ref3D="1" dr="$Z$60:$Z$318" r="H153" sId="4"/>
    <undo index="7" exp="area" ref3D="1" dr="$C$60:$C$318" r="G153" sId="4"/>
    <undo index="4" exp="area" ref3D="1" dr="$D$60:$D$318" r="G153" sId="4"/>
    <undo index="3" exp="area" ref3D="1" dr="$Y$60:$Y$318" r="G153" sId="4"/>
    <undo index="12" exp="area" ref3D="1" dr="$C$60:$C$318" r="F153" sId="4"/>
    <undo index="10" exp="area" ref3D="1" dr="$AA$60:$AA$318" r="F153" sId="4"/>
    <undo index="8" exp="area" ref3D="1" dr="$D$60:$D$318" r="F153" sId="4"/>
    <undo index="7" exp="area" ref3D="1" dr="$X$60:$X$318" r="F153" sId="4"/>
    <undo index="4" exp="area" ref3D="1" dr="$C$60:$C$318" r="F153" sId="4"/>
    <undo index="1" exp="area" ref3D="1" dr="$D$60:$D$318" r="F153" sId="4"/>
    <undo index="0" exp="area" ref3D="1" dr="$X$60:$X$318" r="F153" sId="4"/>
    <undo index="4" exp="area" ref3D="1" dr="$C$60:$C$318" r="E153" sId="4"/>
    <undo index="1" exp="area" ref3D="1" dr="$D$60:$D$318" r="E153" sId="4"/>
    <undo index="0" exp="area" ref3D="1" dr="$W$60:$W$318" r="E153" sId="4"/>
    <undo index="4" exp="area" ref3D="1" dr="$C$60:$C$318" r="K152" sId="4"/>
    <undo index="2" exp="area" ref3D="1" dr="$D$60:$D$318" r="K152" sId="4"/>
    <undo index="0" exp="area" ref3D="1" dr="$AK$60:$AK$318" r="K152" sId="4"/>
    <undo index="4" exp="area" ref3D="1" dr="$C$60:$C$318" r="J152" sId="4"/>
    <undo index="2" exp="area" ref3D="1" dr="$D$60:$D$318" r="J152" sId="4"/>
    <undo index="0" exp="area" ref3D="1" dr="$AK$60:$AK$318" r="J152" sId="4"/>
    <undo index="15" exp="area" ref3D="1" dr="$C$60:$C$318" r="H152" sId="4"/>
    <undo index="13" exp="area" ref3D="1" dr="$AA$60:$AA$318" r="H152" sId="4"/>
    <undo index="11" exp="area" ref3D="1" dr="$D$60:$D$318" r="H152" sId="4"/>
    <undo index="10" exp="area" ref3D="1" dr="$Z$60:$Z$318" r="H152" sId="4"/>
    <undo index="7" exp="area" ref3D="1" dr="$C$60:$C$318" r="H152" sId="4"/>
    <undo index="4" exp="area" ref3D="1" dr="$D$60:$D$318" r="H152" sId="4"/>
    <undo index="3" exp="area" ref3D="1" dr="$Z$60:$Z$318" r="H152" sId="4"/>
    <undo index="7" exp="area" ref3D="1" dr="$C$60:$C$318" r="G152" sId="4"/>
    <undo index="4" exp="area" ref3D="1" dr="$D$60:$D$318" r="G152" sId="4"/>
    <undo index="3" exp="area" ref3D="1" dr="$Y$60:$Y$318" r="G152" sId="4"/>
    <undo index="12" exp="area" ref3D="1" dr="$C$60:$C$318" r="F152" sId="4"/>
    <undo index="10" exp="area" ref3D="1" dr="$AA$60:$AA$318" r="F152" sId="4"/>
    <undo index="8" exp="area" ref3D="1" dr="$D$60:$D$318" r="F152" sId="4"/>
    <undo index="7" exp="area" ref3D="1" dr="$X$60:$X$318" r="F152" sId="4"/>
    <undo index="4" exp="area" ref3D="1" dr="$C$60:$C$318" r="F152" sId="4"/>
    <undo index="1" exp="area" ref3D="1" dr="$D$60:$D$318" r="F152" sId="4"/>
    <undo index="0" exp="area" ref3D="1" dr="$X$60:$X$318" r="F152" sId="4"/>
    <undo index="4" exp="area" ref3D="1" dr="$C$60:$C$318" r="E152" sId="4"/>
    <undo index="1" exp="area" ref3D="1" dr="$D$60:$D$318" r="E152" sId="4"/>
    <undo index="0" exp="area" ref3D="1" dr="$W$60:$W$318" r="E152" sId="4"/>
    <undo index="4" exp="area" ref3D="1" dr="$C$60:$C$318" r="K140" sId="4"/>
    <undo index="2" exp="area" ref3D="1" dr="$D$60:$D$318" r="K140" sId="4"/>
    <undo index="0" exp="area" ref3D="1" dr="$AK$60:$AK$318" r="K140" sId="4"/>
    <undo index="4" exp="area" ref3D="1" dr="$C$60:$C$318" r="J140" sId="4"/>
    <undo index="2" exp="area" ref3D="1" dr="$D$60:$D$318" r="J140" sId="4"/>
    <undo index="0" exp="area" ref3D="1" dr="$AK$60:$AK$318" r="J140" sId="4"/>
    <undo index="15" exp="area" ref3D="1" dr="$C$60:$C$318" r="H140" sId="4"/>
    <undo index="13" exp="area" ref3D="1" dr="$AA$60:$AA$318" r="H140" sId="4"/>
    <undo index="11" exp="area" ref3D="1" dr="$D$60:$D$318" r="H140" sId="4"/>
    <undo index="10" exp="area" ref3D="1" dr="$Z$60:$Z$318" r="H140" sId="4"/>
    <undo index="7" exp="area" ref3D="1" dr="$C$60:$C$318" r="H140" sId="4"/>
    <undo index="4" exp="area" ref3D="1" dr="$D$60:$D$318" r="H140" sId="4"/>
    <undo index="3" exp="area" ref3D="1" dr="$Z$60:$Z$318" r="H140" sId="4"/>
    <undo index="7" exp="area" ref3D="1" dr="$C$60:$C$318" r="G140" sId="4"/>
    <undo index="4" exp="area" ref3D="1" dr="$D$60:$D$318" r="G140" sId="4"/>
    <undo index="3" exp="area" ref3D="1" dr="$Y$60:$Y$318" r="G140" sId="4"/>
    <undo index="12" exp="area" ref3D="1" dr="$C$60:$C$318" r="F140" sId="4"/>
    <undo index="10" exp="area" ref3D="1" dr="$AA$60:$AA$318" r="F140" sId="4"/>
    <undo index="8" exp="area" ref3D="1" dr="$D$60:$D$318" r="F140" sId="4"/>
    <undo index="7" exp="area" ref3D="1" dr="$X$60:$X$318" r="F140" sId="4"/>
    <undo index="4" exp="area" ref3D="1" dr="$C$60:$C$318" r="F140" sId="4"/>
    <undo index="1" exp="area" ref3D="1" dr="$D$60:$D$318" r="F140" sId="4"/>
    <undo index="0" exp="area" ref3D="1" dr="$X$60:$X$318" r="F140" sId="4"/>
    <undo index="4" exp="area" ref3D="1" dr="$C$60:$C$318" r="E140" sId="4"/>
    <undo index="1" exp="area" ref3D="1" dr="$D$60:$D$318" r="E140" sId="4"/>
    <undo index="0" exp="area" ref3D="1" dr="$W$60:$W$318" r="E140" sId="4"/>
    <undo index="4" exp="area" ref3D="1" dr="$C$60:$C$318" r="K139" sId="4"/>
    <undo index="2" exp="area" ref3D="1" dr="$D$60:$D$318" r="K139" sId="4"/>
    <undo index="0" exp="area" ref3D="1" dr="$AK$60:$AK$318" r="K139" sId="4"/>
    <undo index="4" exp="area" ref3D="1" dr="$C$60:$C$318" r="J139" sId="4"/>
    <undo index="2" exp="area" ref3D="1" dr="$D$60:$D$318" r="J139" sId="4"/>
    <undo index="0" exp="area" ref3D="1" dr="$AK$60:$AK$318" r="J139" sId="4"/>
    <undo index="15" exp="area" ref3D="1" dr="$C$60:$C$318" r="H139" sId="4"/>
    <undo index="13" exp="area" ref3D="1" dr="$AA$60:$AA$318" r="H139" sId="4"/>
    <undo index="11" exp="area" ref3D="1" dr="$D$60:$D$318" r="H139" sId="4"/>
    <undo index="10" exp="area" ref3D="1" dr="$Z$60:$Z$318" r="H139" sId="4"/>
    <undo index="7" exp="area" ref3D="1" dr="$C$60:$C$318" r="H139" sId="4"/>
    <undo index="4" exp="area" ref3D="1" dr="$D$60:$D$318" r="H139" sId="4"/>
    <undo index="3" exp="area" ref3D="1" dr="$Z$60:$Z$318" r="H139" sId="4"/>
    <undo index="7" exp="area" ref3D="1" dr="$C$60:$C$318" r="G139" sId="4"/>
    <undo index="4" exp="area" ref3D="1" dr="$D$60:$D$318" r="G139" sId="4"/>
    <undo index="3" exp="area" ref3D="1" dr="$Y$60:$Y$318" r="G139" sId="4"/>
    <undo index="12" exp="area" ref3D="1" dr="$C$60:$C$318" r="F139" sId="4"/>
    <undo index="10" exp="area" ref3D="1" dr="$AA$60:$AA$318" r="F139" sId="4"/>
    <undo index="8" exp="area" ref3D="1" dr="$D$60:$D$318" r="F139" sId="4"/>
    <undo index="7" exp="area" ref3D="1" dr="$X$60:$X$318" r="F139" sId="4"/>
    <undo index="4" exp="area" ref3D="1" dr="$C$60:$C$318" r="F139" sId="4"/>
    <undo index="1" exp="area" ref3D="1" dr="$D$60:$D$318" r="F139" sId="4"/>
    <undo index="0" exp="area" ref3D="1" dr="$X$60:$X$318" r="F139" sId="4"/>
    <undo index="4" exp="area" ref3D="1" dr="$C$60:$C$318" r="E139" sId="4"/>
    <undo index="1" exp="area" ref3D="1" dr="$D$60:$D$318" r="E139" sId="4"/>
    <undo index="0" exp="area" ref3D="1" dr="$W$60:$W$318" r="E139" sId="4"/>
    <undo index="4" exp="area" ref3D="1" dr="$C$60:$C$318" r="K127" sId="4"/>
    <undo index="2" exp="area" ref3D="1" dr="$D$60:$D$318" r="K127" sId="4"/>
    <undo index="0" exp="area" ref3D="1" dr="$AK$60:$AK$318" r="K127" sId="4"/>
    <undo index="4" exp="area" ref3D="1" dr="$C$60:$C$318" r="J127" sId="4"/>
    <undo index="2" exp="area" ref3D="1" dr="$D$60:$D$318" r="J127" sId="4"/>
    <undo index="0" exp="area" ref3D="1" dr="$AK$60:$AK$318" r="J127" sId="4"/>
    <undo index="15" exp="area" ref3D="1" dr="$C$60:$C$318" r="H127" sId="4"/>
    <undo index="13" exp="area" ref3D="1" dr="$AA$60:$AA$318" r="H127" sId="4"/>
    <undo index="11" exp="area" ref3D="1" dr="$D$60:$D$318" r="H127" sId="4"/>
    <undo index="10" exp="area" ref3D="1" dr="$Z$60:$Z$318" r="H127" sId="4"/>
    <undo index="7" exp="area" ref3D="1" dr="$C$60:$C$318" r="H127" sId="4"/>
    <undo index="4" exp="area" ref3D="1" dr="$D$60:$D$318" r="H127" sId="4"/>
    <undo index="3" exp="area" ref3D="1" dr="$Z$60:$Z$318" r="H127" sId="4"/>
    <undo index="7" exp="area" ref3D="1" dr="$C$60:$C$318" r="G127" sId="4"/>
    <undo index="4" exp="area" ref3D="1" dr="$D$60:$D$318" r="G127" sId="4"/>
    <undo index="3" exp="area" ref3D="1" dr="$Y$60:$Y$318" r="G127" sId="4"/>
    <undo index="12" exp="area" ref3D="1" dr="$C$60:$C$318" r="F127" sId="4"/>
    <undo index="10" exp="area" ref3D="1" dr="$AA$60:$AA$318" r="F127" sId="4"/>
    <undo index="8" exp="area" ref3D="1" dr="$D$60:$D$318" r="F127" sId="4"/>
    <undo index="7" exp="area" ref3D="1" dr="$X$60:$X$318" r="F127" sId="4"/>
    <undo index="4" exp="area" ref3D="1" dr="$C$60:$C$318" r="F127" sId="4"/>
    <undo index="1" exp="area" ref3D="1" dr="$D$60:$D$318" r="F127" sId="4"/>
    <undo index="0" exp="area" ref3D="1" dr="$X$60:$X$318" r="F127" sId="4"/>
    <undo index="4" exp="area" ref3D="1" dr="$C$60:$C$318" r="E127" sId="4"/>
    <undo index="1" exp="area" ref3D="1" dr="$D$60:$D$318" r="E127" sId="4"/>
    <undo index="0" exp="area" ref3D="1" dr="$W$60:$W$318" r="E127" sId="4"/>
    <undo index="4" exp="area" ref3D="1" dr="$C$60:$C$318" r="K126" sId="4"/>
    <undo index="2" exp="area" ref3D="1" dr="$D$60:$D$318" r="K126" sId="4"/>
    <undo index="0" exp="area" ref3D="1" dr="$AK$60:$AK$318" r="K126" sId="4"/>
    <undo index="4" exp="area" ref3D="1" dr="$C$60:$C$318" r="J126" sId="4"/>
    <undo index="2" exp="area" ref3D="1" dr="$D$60:$D$318" r="J126" sId="4"/>
    <undo index="0" exp="area" ref3D="1" dr="$AK$60:$AK$318" r="J126" sId="4"/>
    <undo index="15" exp="area" ref3D="1" dr="$C$60:$C$318" r="H126" sId="4"/>
    <undo index="13" exp="area" ref3D="1" dr="$AA$60:$AA$318" r="H126" sId="4"/>
    <undo index="11" exp="area" ref3D="1" dr="$D$60:$D$318" r="H126" sId="4"/>
    <undo index="10" exp="area" ref3D="1" dr="$Z$60:$Z$318" r="H126" sId="4"/>
    <undo index="7" exp="area" ref3D="1" dr="$C$60:$C$318" r="H126" sId="4"/>
    <undo index="4" exp="area" ref3D="1" dr="$D$60:$D$318" r="H126" sId="4"/>
    <undo index="3" exp="area" ref3D="1" dr="$Z$60:$Z$318" r="H126" sId="4"/>
    <undo index="7" exp="area" ref3D="1" dr="$C$60:$C$318" r="G126" sId="4"/>
    <undo index="4" exp="area" ref3D="1" dr="$D$60:$D$318" r="G126" sId="4"/>
    <undo index="3" exp="area" ref3D="1" dr="$Y$60:$Y$318" r="G126" sId="4"/>
    <undo index="12" exp="area" ref3D="1" dr="$C$60:$C$318" r="F126" sId="4"/>
    <undo index="10" exp="area" ref3D="1" dr="$AA$60:$AA$318" r="F126" sId="4"/>
    <undo index="8" exp="area" ref3D="1" dr="$D$60:$D$318" r="F126" sId="4"/>
    <undo index="7" exp="area" ref3D="1" dr="$X$60:$X$318" r="F126" sId="4"/>
    <undo index="4" exp="area" ref3D="1" dr="$C$60:$C$318" r="F126" sId="4"/>
    <undo index="1" exp="area" ref3D="1" dr="$D$60:$D$318" r="F126" sId="4"/>
    <undo index="0" exp="area" ref3D="1" dr="$X$60:$X$318" r="F126" sId="4"/>
    <undo index="4" exp="area" ref3D="1" dr="$C$60:$C$318" r="E126" sId="4"/>
    <undo index="1" exp="area" ref3D="1" dr="$D$60:$D$318" r="E126" sId="4"/>
    <undo index="0" exp="area" ref3D="1" dr="$W$60:$W$318" r="E126" sId="4"/>
    <undo index="4" exp="area" ref3D="1" dr="$C$60:$C$318" r="K114" sId="4"/>
    <undo index="2" exp="area" ref3D="1" dr="$D$60:$D$318" r="K114" sId="4"/>
    <undo index="0" exp="area" ref3D="1" dr="$AK$60:$AK$318" r="K114" sId="4"/>
    <undo index="4" exp="area" ref3D="1" dr="$C$60:$C$318" r="J114" sId="4"/>
    <undo index="2" exp="area" ref3D="1" dr="$D$60:$D$318" r="J114" sId="4"/>
    <undo index="0" exp="area" ref3D="1" dr="$AK$60:$AK$318" r="J114" sId="4"/>
    <undo index="15" exp="area" ref3D="1" dr="$C$60:$C$318" r="H114" sId="4"/>
    <undo index="13" exp="area" ref3D="1" dr="$AA$60:$AA$318" r="H114" sId="4"/>
    <undo index="11" exp="area" ref3D="1" dr="$D$60:$D$318" r="H114" sId="4"/>
    <undo index="10" exp="area" ref3D="1" dr="$Z$60:$Z$318" r="H114" sId="4"/>
    <undo index="7" exp="area" ref3D="1" dr="$C$60:$C$318" r="H114" sId="4"/>
    <undo index="4" exp="area" ref3D="1" dr="$D$60:$D$318" r="H114" sId="4"/>
    <undo index="3" exp="area" ref3D="1" dr="$Z$60:$Z$318" r="H114" sId="4"/>
    <undo index="7" exp="area" ref3D="1" dr="$C$60:$C$318" r="G114" sId="4"/>
    <undo index="4" exp="area" ref3D="1" dr="$D$60:$D$318" r="G114" sId="4"/>
    <undo index="3" exp="area" ref3D="1" dr="$Y$60:$Y$318" r="G114" sId="4"/>
    <undo index="12" exp="area" ref3D="1" dr="$C$60:$C$318" r="F114" sId="4"/>
    <undo index="10" exp="area" ref3D="1" dr="$AA$60:$AA$318" r="F114" sId="4"/>
    <undo index="8" exp="area" ref3D="1" dr="$D$60:$D$318" r="F114" sId="4"/>
    <undo index="7" exp="area" ref3D="1" dr="$X$60:$X$318" r="F114" sId="4"/>
    <undo index="4" exp="area" ref3D="1" dr="$C$60:$C$318" r="F114" sId="4"/>
    <undo index="1" exp="area" ref3D="1" dr="$D$60:$D$318" r="F114" sId="4"/>
    <undo index="0" exp="area" ref3D="1" dr="$X$60:$X$318" r="F114" sId="4"/>
    <undo index="4" exp="area" ref3D="1" dr="$C$60:$C$318" r="E114" sId="4"/>
    <undo index="1" exp="area" ref3D="1" dr="$D$60:$D$318" r="E114" sId="4"/>
    <undo index="0" exp="area" ref3D="1" dr="$W$60:$W$318" r="E114" sId="4"/>
    <undo index="4" exp="area" ref3D="1" dr="$C$60:$C$318" r="K113" sId="4"/>
    <undo index="2" exp="area" ref3D="1" dr="$D$60:$D$318" r="K113" sId="4"/>
    <undo index="0" exp="area" ref3D="1" dr="$AK$60:$AK$318" r="K113" sId="4"/>
    <undo index="4" exp="area" ref3D="1" dr="$C$60:$C$318" r="J113" sId="4"/>
    <undo index="2" exp="area" ref3D="1" dr="$D$60:$D$318" r="J113" sId="4"/>
    <undo index="0" exp="area" ref3D="1" dr="$AK$60:$AK$318" r="J113" sId="4"/>
    <undo index="15" exp="area" ref3D="1" dr="$C$60:$C$318" r="H113" sId="4"/>
    <undo index="13" exp="area" ref3D="1" dr="$AA$60:$AA$318" r="H113" sId="4"/>
    <undo index="11" exp="area" ref3D="1" dr="$D$60:$D$318" r="H113" sId="4"/>
    <undo index="10" exp="area" ref3D="1" dr="$Z$60:$Z$318" r="H113" sId="4"/>
    <undo index="7" exp="area" ref3D="1" dr="$C$60:$C$318" r="H113" sId="4"/>
    <undo index="4" exp="area" ref3D="1" dr="$D$60:$D$318" r="H113" sId="4"/>
    <undo index="3" exp="area" ref3D="1" dr="$Z$60:$Z$318" r="H113" sId="4"/>
    <undo index="7" exp="area" ref3D="1" dr="$C$60:$C$318" r="G113" sId="4"/>
    <undo index="4" exp="area" ref3D="1" dr="$D$60:$D$318" r="G113" sId="4"/>
    <undo index="3" exp="area" ref3D="1" dr="$Y$60:$Y$318" r="G113" sId="4"/>
    <undo index="12" exp="area" ref3D="1" dr="$C$60:$C$318" r="F113" sId="4"/>
    <undo index="10" exp="area" ref3D="1" dr="$AA$60:$AA$318" r="F113" sId="4"/>
    <undo index="8" exp="area" ref3D="1" dr="$D$60:$D$318" r="F113" sId="4"/>
    <undo index="7" exp="area" ref3D="1" dr="$X$60:$X$318" r="F113" sId="4"/>
    <undo index="4" exp="area" ref3D="1" dr="$C$60:$C$318" r="F113" sId="4"/>
    <undo index="1" exp="area" ref3D="1" dr="$D$60:$D$318" r="F113" sId="4"/>
    <undo index="0" exp="area" ref3D="1" dr="$X$60:$X$318" r="F113" sId="4"/>
    <undo index="4" exp="area" ref3D="1" dr="$C$60:$C$318" r="E113" sId="4"/>
    <undo index="1" exp="area" ref3D="1" dr="$D$60:$D$318" r="E113" sId="4"/>
    <undo index="0" exp="area" ref3D="1" dr="$W$60:$W$318" r="E113" sId="4"/>
    <undo index="4" exp="area" ref3D="1" dr="$C$60:$C$318" r="K101" sId="4"/>
    <undo index="2" exp="area" ref3D="1" dr="$D$60:$D$318" r="K101" sId="4"/>
    <undo index="0" exp="area" ref3D="1" dr="$AK$60:$AK$318" r="K101" sId="4"/>
    <undo index="4" exp="area" ref3D="1" dr="$C$60:$C$318" r="J101" sId="4"/>
    <undo index="2" exp="area" ref3D="1" dr="$D$60:$D$318" r="J101" sId="4"/>
    <undo index="0" exp="area" ref3D="1" dr="$AK$60:$AK$318" r="J101" sId="4"/>
    <undo index="15" exp="area" ref3D="1" dr="$C$60:$C$318" r="H101" sId="4"/>
    <undo index="13" exp="area" ref3D="1" dr="$AA$60:$AA$318" r="H101" sId="4"/>
    <undo index="11" exp="area" ref3D="1" dr="$D$60:$D$318" r="H101" sId="4"/>
    <undo index="10" exp="area" ref3D="1" dr="$Z$60:$Z$318" r="H101" sId="4"/>
    <undo index="7" exp="area" ref3D="1" dr="$C$60:$C$318" r="H101" sId="4"/>
    <undo index="4" exp="area" ref3D="1" dr="$D$60:$D$318" r="H101" sId="4"/>
    <undo index="3" exp="area" ref3D="1" dr="$Z$60:$Z$318" r="H101" sId="4"/>
    <undo index="7" exp="area" ref3D="1" dr="$C$60:$C$318" r="G101" sId="4"/>
    <undo index="4" exp="area" ref3D="1" dr="$D$60:$D$318" r="G101" sId="4"/>
    <undo index="3" exp="area" ref3D="1" dr="$Y$60:$Y$318" r="G101" sId="4"/>
    <undo index="12" exp="area" ref3D="1" dr="$C$60:$C$318" r="F101" sId="4"/>
    <undo index="10" exp="area" ref3D="1" dr="$AA$60:$AA$318" r="F101" sId="4"/>
    <undo index="8" exp="area" ref3D="1" dr="$D$60:$D$318" r="F101" sId="4"/>
    <undo index="7" exp="area" ref3D="1" dr="$X$60:$X$318" r="F101" sId="4"/>
    <undo index="4" exp="area" ref3D="1" dr="$C$60:$C$318" r="F101" sId="4"/>
    <undo index="1" exp="area" ref3D="1" dr="$D$60:$D$318" r="F101" sId="4"/>
    <undo index="0" exp="area" ref3D="1" dr="$X$60:$X$318" r="F101" sId="4"/>
    <undo index="4" exp="area" ref3D="1" dr="$C$60:$C$318" r="E101" sId="4"/>
    <undo index="1" exp="area" ref3D="1" dr="$D$60:$D$318" r="E101" sId="4"/>
    <undo index="0" exp="area" ref3D="1" dr="$W$60:$W$318" r="E101" sId="4"/>
    <undo index="4" exp="area" ref3D="1" dr="$C$60:$C$318" r="K100" sId="4"/>
    <undo index="2" exp="area" ref3D="1" dr="$D$60:$D$318" r="K100" sId="4"/>
    <undo index="0" exp="area" ref3D="1" dr="$AK$60:$AK$318" r="K100" sId="4"/>
    <undo index="4" exp="area" ref3D="1" dr="$C$60:$C$318" r="J100" sId="4"/>
    <undo index="2" exp="area" ref3D="1" dr="$D$60:$D$318" r="J100" sId="4"/>
    <undo index="0" exp="area" ref3D="1" dr="$AK$60:$AK$318" r="J100" sId="4"/>
    <undo index="15" exp="area" ref3D="1" dr="$C$60:$C$318" r="H100" sId="4"/>
    <undo index="13" exp="area" ref3D="1" dr="$AA$60:$AA$318" r="H100" sId="4"/>
    <undo index="11" exp="area" ref3D="1" dr="$D$60:$D$318" r="H100" sId="4"/>
    <undo index="10" exp="area" ref3D="1" dr="$Z$60:$Z$318" r="H100" sId="4"/>
    <undo index="7" exp="area" ref3D="1" dr="$C$60:$C$318" r="H100" sId="4"/>
    <undo index="4" exp="area" ref3D="1" dr="$D$60:$D$318" r="H100" sId="4"/>
    <undo index="3" exp="area" ref3D="1" dr="$Z$60:$Z$318" r="H100" sId="4"/>
    <undo index="7" exp="area" ref3D="1" dr="$C$60:$C$318" r="G100" sId="4"/>
    <undo index="4" exp="area" ref3D="1" dr="$D$60:$D$318" r="G100" sId="4"/>
    <undo index="3" exp="area" ref3D="1" dr="$Y$60:$Y$318" r="G100" sId="4"/>
    <undo index="12" exp="area" ref3D="1" dr="$C$60:$C$318" r="F100" sId="4"/>
    <undo index="10" exp="area" ref3D="1" dr="$AA$60:$AA$318" r="F100" sId="4"/>
    <undo index="8" exp="area" ref3D="1" dr="$D$60:$D$318" r="F100" sId="4"/>
    <undo index="7" exp="area" ref3D="1" dr="$X$60:$X$318" r="F100" sId="4"/>
    <undo index="4" exp="area" ref3D="1" dr="$C$60:$C$318" r="F100" sId="4"/>
    <undo index="1" exp="area" ref3D="1" dr="$D$60:$D$318" r="F100" sId="4"/>
    <undo index="0" exp="area" ref3D="1" dr="$X$60:$X$318" r="F100" sId="4"/>
    <undo index="4" exp="area" ref3D="1" dr="$C$60:$C$318" r="E100" sId="4"/>
    <undo index="1" exp="area" ref3D="1" dr="$D$60:$D$318" r="E100" sId="4"/>
    <undo index="0" exp="area" ref3D="1" dr="$W$60:$W$318" r="E100" sId="4"/>
    <undo index="4" exp="area" ref3D="1" dr="$C$60:$C$318" r="K88" sId="4"/>
    <undo index="2" exp="area" ref3D="1" dr="$D$60:$D$318" r="K88" sId="4"/>
    <undo index="0" exp="area" ref3D="1" dr="$AK$60:$AK$318" r="K88" sId="4"/>
    <undo index="4" exp="area" ref3D="1" dr="$C$60:$C$318" r="J88" sId="4"/>
    <undo index="2" exp="area" ref3D="1" dr="$D$60:$D$318" r="J88" sId="4"/>
    <undo index="0" exp="area" ref3D="1" dr="$AK$60:$AK$318" r="J88" sId="4"/>
    <undo index="15" exp="area" ref3D="1" dr="$C$60:$C$318" r="H88" sId="4"/>
    <undo index="13" exp="area" ref3D="1" dr="$AA$60:$AA$318" r="H88" sId="4"/>
    <undo index="11" exp="area" ref3D="1" dr="$D$60:$D$318" r="H88" sId="4"/>
    <undo index="10" exp="area" ref3D="1" dr="$Z$60:$Z$318" r="H88" sId="4"/>
    <undo index="7" exp="area" ref3D="1" dr="$C$60:$C$318" r="H88" sId="4"/>
    <undo index="4" exp="area" ref3D="1" dr="$D$60:$D$318" r="H88" sId="4"/>
    <undo index="3" exp="area" ref3D="1" dr="$Z$60:$Z$318" r="H88" sId="4"/>
    <undo index="7" exp="area" ref3D="1" dr="$C$60:$C$318" r="G88" sId="4"/>
    <undo index="4" exp="area" ref3D="1" dr="$D$60:$D$318" r="G88" sId="4"/>
    <undo index="3" exp="area" ref3D="1" dr="$Y$60:$Y$318" r="G88" sId="4"/>
    <undo index="12" exp="area" ref3D="1" dr="$C$60:$C$318" r="F88" sId="4"/>
    <undo index="10" exp="area" ref3D="1" dr="$AA$60:$AA$318" r="F88" sId="4"/>
    <undo index="8" exp="area" ref3D="1" dr="$D$60:$D$318" r="F88" sId="4"/>
    <undo index="7" exp="area" ref3D="1" dr="$X$60:$X$318" r="F88" sId="4"/>
    <undo index="4" exp="area" ref3D="1" dr="$C$60:$C$318" r="F88" sId="4"/>
    <undo index="1" exp="area" ref3D="1" dr="$D$60:$D$318" r="F88" sId="4"/>
    <undo index="0" exp="area" ref3D="1" dr="$X$60:$X$318" r="F88" sId="4"/>
    <undo index="4" exp="area" ref3D="1" dr="$C$60:$C$318" r="E88" sId="4"/>
    <undo index="1" exp="area" ref3D="1" dr="$D$60:$D$318" r="E88" sId="4"/>
    <undo index="0" exp="area" ref3D="1" dr="$W$60:$W$318" r="E88" sId="4"/>
    <undo index="4" exp="area" ref3D="1" dr="$C$60:$C$318" r="K87" sId="4"/>
    <undo index="2" exp="area" ref3D="1" dr="$D$60:$D$318" r="K87" sId="4"/>
    <undo index="0" exp="area" ref3D="1" dr="$AK$60:$AK$318" r="K87" sId="4"/>
    <undo index="4" exp="area" ref3D="1" dr="$C$60:$C$318" r="J87" sId="4"/>
    <undo index="2" exp="area" ref3D="1" dr="$D$60:$D$318" r="J87" sId="4"/>
    <undo index="0" exp="area" ref3D="1" dr="$AK$60:$AK$318" r="J87" sId="4"/>
    <undo index="15" exp="area" ref3D="1" dr="$C$60:$C$318" r="H87" sId="4"/>
    <undo index="13" exp="area" ref3D="1" dr="$AA$60:$AA$318" r="H87" sId="4"/>
    <undo index="11" exp="area" ref3D="1" dr="$D$60:$D$318" r="H87" sId="4"/>
    <undo index="10" exp="area" ref3D="1" dr="$Z$60:$Z$318" r="H87" sId="4"/>
    <undo index="7" exp="area" ref3D="1" dr="$C$60:$C$318" r="H87" sId="4"/>
    <undo index="4" exp="area" ref3D="1" dr="$D$60:$D$318" r="H87" sId="4"/>
    <undo index="3" exp="area" ref3D="1" dr="$Z$60:$Z$318" r="H87" sId="4"/>
    <undo index="7" exp="area" ref3D="1" dr="$C$60:$C$318" r="G87" sId="4"/>
    <undo index="4" exp="area" ref3D="1" dr="$D$60:$D$318" r="G87" sId="4"/>
    <undo index="3" exp="area" ref3D="1" dr="$Y$60:$Y$318" r="G87" sId="4"/>
    <undo index="12" exp="area" ref3D="1" dr="$C$60:$C$318" r="F87" sId="4"/>
    <undo index="10" exp="area" ref3D="1" dr="$AA$60:$AA$318" r="F87" sId="4"/>
    <undo index="8" exp="area" ref3D="1" dr="$D$60:$D$318" r="F87" sId="4"/>
    <undo index="7" exp="area" ref3D="1" dr="$X$60:$X$318" r="F87" sId="4"/>
    <undo index="4" exp="area" ref3D="1" dr="$C$60:$C$318" r="F87" sId="4"/>
    <undo index="1" exp="area" ref3D="1" dr="$D$60:$D$318" r="F87" sId="4"/>
    <undo index="0" exp="area" ref3D="1" dr="$X$60:$X$318" r="F87" sId="4"/>
    <undo index="4" exp="area" ref3D="1" dr="$C$60:$C$318" r="E87" sId="4"/>
    <undo index="1" exp="area" ref3D="1" dr="$D$60:$D$318" r="E87" sId="4"/>
    <undo index="0" exp="area" ref3D="1" dr="$W$60:$W$318" r="E87" sId="4"/>
    <undo index="4" exp="area" ref3D="1" dr="$C$60:$C$318" r="K75" sId="4"/>
    <undo index="2" exp="area" ref3D="1" dr="$D$60:$D$318" r="K75" sId="4"/>
    <undo index="0" exp="area" ref3D="1" dr="$AK$60:$AK$318" r="K75" sId="4"/>
    <undo index="4" exp="area" ref3D="1" dr="$C$60:$C$318" r="J75" sId="4"/>
    <undo index="2" exp="area" ref3D="1" dr="$D$60:$D$318" r="J75" sId="4"/>
    <undo index="0" exp="area" ref3D="1" dr="$AK$60:$AK$318" r="J75" sId="4"/>
    <undo index="15" exp="area" ref3D="1" dr="$C$60:$C$318" r="H75" sId="4"/>
    <undo index="13" exp="area" ref3D="1" dr="$AA$60:$AA$318" r="H75" sId="4"/>
    <undo index="11" exp="area" ref3D="1" dr="$D$60:$D$318" r="H75" sId="4"/>
    <undo index="10" exp="area" ref3D="1" dr="$Z$60:$Z$318" r="H75" sId="4"/>
    <undo index="7" exp="area" ref3D="1" dr="$C$60:$C$318" r="H75" sId="4"/>
    <undo index="4" exp="area" ref3D="1" dr="$D$60:$D$318" r="H75" sId="4"/>
    <undo index="3" exp="area" ref3D="1" dr="$Z$60:$Z$318" r="H75" sId="4"/>
    <undo index="7" exp="area" ref3D="1" dr="$C$60:$C$318" r="G75" sId="4"/>
    <undo index="4" exp="area" ref3D="1" dr="$D$60:$D$318" r="G75" sId="4"/>
    <undo index="3" exp="area" ref3D="1" dr="$Y$60:$Y$318" r="G75" sId="4"/>
    <undo index="12" exp="area" ref3D="1" dr="$C$60:$C$318" r="F75" sId="4"/>
    <undo index="10" exp="area" ref3D="1" dr="$AA$60:$AA$318" r="F75" sId="4"/>
    <undo index="8" exp="area" ref3D="1" dr="$D$60:$D$318" r="F75" sId="4"/>
    <undo index="7" exp="area" ref3D="1" dr="$X$60:$X$318" r="F75" sId="4"/>
    <undo index="4" exp="area" ref3D="1" dr="$C$60:$C$318" r="F75" sId="4"/>
    <undo index="1" exp="area" ref3D="1" dr="$D$60:$D$318" r="F75" sId="4"/>
    <undo index="0" exp="area" ref3D="1" dr="$X$60:$X$318" r="F75" sId="4"/>
    <undo index="4" exp="area" ref3D="1" dr="$C$60:$C$318" r="E75" sId="4"/>
    <undo index="1" exp="area" ref3D="1" dr="$D$60:$D$318" r="E75" sId="4"/>
    <undo index="0" exp="area" ref3D="1" dr="$W$60:$W$318" r="E75" sId="4"/>
    <undo index="4" exp="area" ref3D="1" dr="$C$60:$C$318" r="K74" sId="4"/>
    <undo index="2" exp="area" ref3D="1" dr="$D$60:$D$318" r="K74" sId="4"/>
    <undo index="0" exp="area" ref3D="1" dr="$AK$60:$AK$318" r="K74" sId="4"/>
    <undo index="4" exp="area" ref3D="1" dr="$C$60:$C$318" r="J74" sId="4"/>
    <undo index="2" exp="area" ref3D="1" dr="$D$60:$D$318" r="J74" sId="4"/>
    <undo index="0" exp="area" ref3D="1" dr="$AK$60:$AK$318" r="J74" sId="4"/>
    <undo index="15" exp="area" ref3D="1" dr="$C$60:$C$318" r="H74" sId="4"/>
    <undo index="13" exp="area" ref3D="1" dr="$AA$60:$AA$318" r="H74" sId="4"/>
    <undo index="11" exp="area" ref3D="1" dr="$D$60:$D$318" r="H74" sId="4"/>
    <undo index="10" exp="area" ref3D="1" dr="$Z$60:$Z$318" r="H74" sId="4"/>
    <undo index="7" exp="area" ref3D="1" dr="$C$60:$C$318" r="H74" sId="4"/>
    <undo index="4" exp="area" ref3D="1" dr="$D$60:$D$318" r="H74" sId="4"/>
    <undo index="3" exp="area" ref3D="1" dr="$Z$60:$Z$318" r="H74" sId="4"/>
    <undo index="7" exp="area" ref3D="1" dr="$C$60:$C$318" r="G74" sId="4"/>
    <undo index="4" exp="area" ref3D="1" dr="$D$60:$D$318" r="G74" sId="4"/>
    <undo index="3" exp="area" ref3D="1" dr="$Y$60:$Y$318" r="G74" sId="4"/>
    <undo index="12" exp="area" ref3D="1" dr="$C$60:$C$318" r="F74" sId="4"/>
    <undo index="10" exp="area" ref3D="1" dr="$AA$60:$AA$318" r="F74" sId="4"/>
    <undo index="8" exp="area" ref3D="1" dr="$D$60:$D$318" r="F74" sId="4"/>
    <undo index="7" exp="area" ref3D="1" dr="$X$60:$X$318" r="F74" sId="4"/>
    <undo index="4" exp="area" ref3D="1" dr="$C$60:$C$318" r="F74" sId="4"/>
    <undo index="1" exp="area" ref3D="1" dr="$D$60:$D$318" r="F74" sId="4"/>
    <undo index="0" exp="area" ref3D="1" dr="$X$60:$X$318" r="F74" sId="4"/>
    <undo index="4" exp="area" ref3D="1" dr="$C$60:$C$318" r="E74" sId="4"/>
    <undo index="1" exp="area" ref3D="1" dr="$D$60:$D$318" r="E74" sId="4"/>
    <undo index="0" exp="area" ref3D="1" dr="$W$60:$W$318" r="E74" sId="4"/>
    <undo index="4" exp="area" ref3D="1" dr="$C$60:$C$318" r="K62" sId="4"/>
    <undo index="2" exp="area" ref3D="1" dr="$D$60:$D$318" r="K62" sId="4"/>
    <undo index="0" exp="area" ref3D="1" dr="$AK$60:$AK$318" r="K62" sId="4"/>
    <undo index="4" exp="area" ref3D="1" dr="$C$60:$C$318" r="J62" sId="4"/>
    <undo index="2" exp="area" ref3D="1" dr="$D$60:$D$318" r="J62" sId="4"/>
    <undo index="0" exp="area" ref3D="1" dr="$AK$60:$AK$318" r="J62" sId="4"/>
    <undo index="15" exp="area" ref3D="1" dr="$C$60:$C$318" r="H62" sId="4"/>
    <undo index="13" exp="area" ref3D="1" dr="$AA$60:$AA$318" r="H62" sId="4"/>
    <undo index="11" exp="area" ref3D="1" dr="$D$60:$D$318" r="H62" sId="4"/>
    <undo index="10" exp="area" ref3D="1" dr="$Z$60:$Z$318" r="H62" sId="4"/>
    <undo index="7" exp="area" ref3D="1" dr="$C$60:$C$318" r="H62" sId="4"/>
    <undo index="4" exp="area" ref3D="1" dr="$D$60:$D$318" r="H62" sId="4"/>
    <undo index="3" exp="area" ref3D="1" dr="$Z$60:$Z$318" r="H62" sId="4"/>
    <undo index="7" exp="area" ref3D="1" dr="$C$60:$C$318" r="G62" sId="4"/>
    <undo index="4" exp="area" ref3D="1" dr="$D$60:$D$318" r="G62" sId="4"/>
    <undo index="3" exp="area" ref3D="1" dr="$Y$60:$Y$318" r="G62" sId="4"/>
    <undo index="12" exp="area" ref3D="1" dr="$C$60:$C$318" r="F62" sId="4"/>
    <undo index="10" exp="area" ref3D="1" dr="$AA$60:$AA$318" r="F62" sId="4"/>
    <undo index="8" exp="area" ref3D="1" dr="$D$60:$D$318" r="F62" sId="4"/>
    <undo index="7" exp="area" ref3D="1" dr="$X$60:$X$318" r="F62" sId="4"/>
    <undo index="4" exp="area" ref3D="1" dr="$C$60:$C$318" r="F62" sId="4"/>
    <undo index="1" exp="area" ref3D="1" dr="$D$60:$D$318" r="F62" sId="4"/>
    <undo index="0" exp="area" ref3D="1" dr="$X$60:$X$318" r="F62" sId="4"/>
    <undo index="4" exp="area" ref3D="1" dr="$C$60:$C$318" r="E62" sId="4"/>
    <undo index="1" exp="area" ref3D="1" dr="$D$60:$D$318" r="E62" sId="4"/>
    <undo index="0" exp="area" ref3D="1" dr="$W$60:$W$318" r="E62" sId="4"/>
    <undo index="4" exp="area" ref3D="1" dr="$C$60:$C$318" r="K61" sId="4"/>
    <undo index="2" exp="area" ref3D="1" dr="$D$60:$D$318" r="K61" sId="4"/>
    <undo index="0" exp="area" ref3D="1" dr="$AK$60:$AK$318" r="K61" sId="4"/>
    <undo index="4" exp="area" ref3D="1" dr="$C$60:$C$318" r="J61" sId="4"/>
    <undo index="2" exp="area" ref3D="1" dr="$D$60:$D$318" r="J61" sId="4"/>
    <undo index="0" exp="area" ref3D="1" dr="$AK$60:$AK$318" r="J61" sId="4"/>
    <undo index="15" exp="area" ref3D="1" dr="$C$60:$C$318" r="H61" sId="4"/>
    <undo index="13" exp="area" ref3D="1" dr="$AA$60:$AA$318" r="H61" sId="4"/>
    <undo index="11" exp="area" ref3D="1" dr="$D$60:$D$318" r="H61" sId="4"/>
    <undo index="10" exp="area" ref3D="1" dr="$Z$60:$Z$318" r="H61" sId="4"/>
    <undo index="7" exp="area" ref3D="1" dr="$C$60:$C$318" r="H61" sId="4"/>
    <undo index="4" exp="area" ref3D="1" dr="$D$60:$D$318" r="H61" sId="4"/>
    <undo index="3" exp="area" ref3D="1" dr="$Z$60:$Z$318" r="H61" sId="4"/>
    <undo index="7" exp="area" ref3D="1" dr="$C$60:$C$318" r="G61" sId="4"/>
    <undo index="4" exp="area" ref3D="1" dr="$D$60:$D$318" r="G61" sId="4"/>
    <undo index="3" exp="area" ref3D="1" dr="$Y$60:$Y$318" r="G61" sId="4"/>
    <undo index="12" exp="area" ref3D="1" dr="$C$60:$C$318" r="F61" sId="4"/>
    <undo index="10" exp="area" ref3D="1" dr="$AA$60:$AA$318" r="F61" sId="4"/>
    <undo index="8" exp="area" ref3D="1" dr="$D$60:$D$318" r="F61" sId="4"/>
    <undo index="7" exp="area" ref3D="1" dr="$X$60:$X$318" r="F61" sId="4"/>
    <undo index="4" exp="area" ref3D="1" dr="$C$60:$C$318" r="F61" sId="4"/>
    <undo index="1" exp="area" ref3D="1" dr="$D$60:$D$318" r="F61" sId="4"/>
    <undo index="0" exp="area" ref3D="1" dr="$X$60:$X$318" r="F61" sId="4"/>
    <undo index="4" exp="area" ref3D="1" dr="$C$60:$C$318" r="E61" sId="4"/>
    <undo index="1" exp="area" ref3D="1" dr="$D$60:$D$318" r="E61" sId="4"/>
    <undo index="0" exp="area" ref3D="1" dr="$W$60:$W$318" r="E61" sId="4"/>
    <undo index="4" exp="area" ref3D="1" dr="$C$60:$C$318" r="K49" sId="4"/>
    <undo index="2" exp="area" ref3D="1" dr="$D$60:$D$318" r="K49" sId="4"/>
    <undo index="0" exp="area" ref3D="1" dr="$AK$60:$AK$318" r="K49" sId="4"/>
    <undo index="4" exp="area" ref3D="1" dr="$C$60:$C$318" r="J49" sId="4"/>
    <undo index="2" exp="area" ref3D="1" dr="$D$60:$D$318" r="J49" sId="4"/>
    <undo index="0" exp="area" ref3D="1" dr="$AK$60:$AK$318" r="J49" sId="4"/>
    <undo index="15" exp="area" ref3D="1" dr="$C$60:$C$318" r="H49" sId="4"/>
    <undo index="13" exp="area" ref3D="1" dr="$AA$60:$AA$318" r="H49" sId="4"/>
    <undo index="11" exp="area" ref3D="1" dr="$D$60:$D$318" r="H49" sId="4"/>
    <undo index="10" exp="area" ref3D="1" dr="$Z$60:$Z$318" r="H49" sId="4"/>
    <undo index="7" exp="area" ref3D="1" dr="$C$60:$C$318" r="H49" sId="4"/>
    <undo index="4" exp="area" ref3D="1" dr="$D$60:$D$318" r="H49" sId="4"/>
    <undo index="3" exp="area" ref3D="1" dr="$Z$60:$Z$318" r="H49" sId="4"/>
    <undo index="7" exp="area" ref3D="1" dr="$C$60:$C$318" r="G49" sId="4"/>
    <undo index="4" exp="area" ref3D="1" dr="$D$60:$D$318" r="G49" sId="4"/>
    <undo index="3" exp="area" ref3D="1" dr="$Y$60:$Y$318" r="G49" sId="4"/>
    <undo index="12" exp="area" ref3D="1" dr="$C$60:$C$318" r="F49" sId="4"/>
    <undo index="10" exp="area" ref3D="1" dr="$AA$60:$AA$318" r="F49" sId="4"/>
    <undo index="8" exp="area" ref3D="1" dr="$D$60:$D$318" r="F49" sId="4"/>
    <undo index="7" exp="area" ref3D="1" dr="$X$60:$X$318" r="F49" sId="4"/>
    <undo index="4" exp="area" ref3D="1" dr="$C$60:$C$318" r="F49" sId="4"/>
    <undo index="1" exp="area" ref3D="1" dr="$D$60:$D$318" r="F49" sId="4"/>
    <undo index="0" exp="area" ref3D="1" dr="$X$60:$X$318" r="F49" sId="4"/>
    <undo index="4" exp="area" ref3D="1" dr="$C$60:$C$318" r="E49" sId="4"/>
    <undo index="1" exp="area" ref3D="1" dr="$D$60:$D$318" r="E49" sId="4"/>
    <undo index="0" exp="area" ref3D="1" dr="$W$60:$W$318" r="E49" sId="4"/>
    <undo index="4" exp="area" ref3D="1" dr="$C$60:$C$318" r="K48" sId="4"/>
    <undo index="2" exp="area" ref3D="1" dr="$D$60:$D$318" r="K48" sId="4"/>
    <undo index="0" exp="area" ref3D="1" dr="$AK$60:$AK$318" r="K48" sId="4"/>
    <undo index="4" exp="area" ref3D="1" dr="$C$60:$C$318" r="J48" sId="4"/>
    <undo index="2" exp="area" ref3D="1" dr="$D$60:$D$318" r="J48" sId="4"/>
    <undo index="0" exp="area" ref3D="1" dr="$AK$60:$AK$318" r="J48" sId="4"/>
    <undo index="15" exp="area" ref3D="1" dr="$C$60:$C$318" r="H48" sId="4"/>
    <undo index="13" exp="area" ref3D="1" dr="$AA$60:$AA$318" r="H48" sId="4"/>
    <undo index="11" exp="area" ref3D="1" dr="$D$60:$D$318" r="H48" sId="4"/>
    <undo index="10" exp="area" ref3D="1" dr="$Z$60:$Z$318" r="H48" sId="4"/>
    <undo index="7" exp="area" ref3D="1" dr="$C$60:$C$318" r="H48" sId="4"/>
    <undo index="4" exp="area" ref3D="1" dr="$D$60:$D$318" r="H48" sId="4"/>
    <undo index="3" exp="area" ref3D="1" dr="$Z$60:$Z$318" r="H48" sId="4"/>
    <undo index="7" exp="area" ref3D="1" dr="$C$60:$C$318" r="G48" sId="4"/>
    <undo index="4" exp="area" ref3D="1" dr="$D$60:$D$318" r="G48" sId="4"/>
    <undo index="3" exp="area" ref3D="1" dr="$Y$60:$Y$318" r="G48" sId="4"/>
    <undo index="12" exp="area" ref3D="1" dr="$C$60:$C$318" r="F48" sId="4"/>
    <undo index="10" exp="area" ref3D="1" dr="$AA$60:$AA$318" r="F48" sId="4"/>
    <undo index="8" exp="area" ref3D="1" dr="$D$60:$D$318" r="F48" sId="4"/>
    <undo index="7" exp="area" ref3D="1" dr="$X$60:$X$318" r="F48" sId="4"/>
    <undo index="4" exp="area" ref3D="1" dr="$C$60:$C$318" r="F48" sId="4"/>
    <undo index="1" exp="area" ref3D="1" dr="$D$60:$D$318" r="F48" sId="4"/>
    <undo index="0" exp="area" ref3D="1" dr="$X$60:$X$318" r="F48" sId="4"/>
    <undo index="4" exp="area" ref3D="1" dr="$C$60:$C$318" r="E48" sId="4"/>
    <undo index="1" exp="area" ref3D="1" dr="$D$60:$D$318" r="E48" sId="4"/>
    <undo index="0" exp="area" ref3D="1" dr="$W$60:$W$318" r="E48" sId="4"/>
    <undo index="4" exp="area" ref3D="1" dr="$C$60:$C$318" r="K36" sId="4"/>
    <undo index="2" exp="area" ref3D="1" dr="$D$60:$D$318" r="K36" sId="4"/>
    <undo index="0" exp="area" ref3D="1" dr="$AK$60:$AK$318" r="K36" sId="4"/>
    <undo index="4" exp="area" ref3D="1" dr="$C$60:$C$318" r="J36" sId="4"/>
    <undo index="2" exp="area" ref3D="1" dr="$D$60:$D$318" r="J36" sId="4"/>
    <undo index="0" exp="area" ref3D="1" dr="$AK$60:$AK$318" r="J36" sId="4"/>
    <undo index="15" exp="area" ref3D="1" dr="$C$60:$C$318" r="H36" sId="4"/>
    <undo index="13" exp="area" ref3D="1" dr="$AA$60:$AA$318" r="H36" sId="4"/>
    <undo index="11" exp="area" ref3D="1" dr="$D$60:$D$318" r="H36" sId="4"/>
    <undo index="10" exp="area" ref3D="1" dr="$Z$60:$Z$318" r="H36" sId="4"/>
    <undo index="7" exp="area" ref3D="1" dr="$C$60:$C$318" r="H36" sId="4"/>
    <undo index="4" exp="area" ref3D="1" dr="$D$60:$D$318" r="H36" sId="4"/>
    <undo index="3" exp="area" ref3D="1" dr="$Z$60:$Z$318" r="H36" sId="4"/>
    <undo index="7" exp="area" ref3D="1" dr="$C$60:$C$318" r="G36" sId="4"/>
    <undo index="4" exp="area" ref3D="1" dr="$D$60:$D$318" r="G36" sId="4"/>
    <undo index="3" exp="area" ref3D="1" dr="$Y$60:$Y$318" r="G36" sId="4"/>
    <undo index="12" exp="area" ref3D="1" dr="$C$60:$C$318" r="F36" sId="4"/>
    <undo index="10" exp="area" ref3D="1" dr="$AA$60:$AA$318" r="F36" sId="4"/>
    <undo index="8" exp="area" ref3D="1" dr="$D$60:$D$318" r="F36" sId="4"/>
    <undo index="7" exp="area" ref3D="1" dr="$X$60:$X$318" r="F36" sId="4"/>
    <undo index="4" exp="area" ref3D="1" dr="$C$60:$C$318" r="F36" sId="4"/>
    <undo index="1" exp="area" ref3D="1" dr="$D$60:$D$318" r="F36" sId="4"/>
    <undo index="0" exp="area" ref3D="1" dr="$X$60:$X$318" r="F36" sId="4"/>
    <undo index="4" exp="area" ref3D="1" dr="$C$60:$C$318" r="E36" sId="4"/>
    <undo index="1" exp="area" ref3D="1" dr="$D$60:$D$318" r="E36" sId="4"/>
    <undo index="0" exp="area" ref3D="1" dr="$W$60:$W$318" r="E36" sId="4"/>
    <undo index="4" exp="area" ref3D="1" dr="$C$60:$C$318" r="K35" sId="4"/>
    <undo index="2" exp="area" ref3D="1" dr="$D$60:$D$318" r="K35" sId="4"/>
    <undo index="0" exp="area" ref3D="1" dr="$AK$60:$AK$318" r="K35" sId="4"/>
    <undo index="4" exp="area" ref3D="1" dr="$C$60:$C$318" r="J35" sId="4"/>
    <undo index="2" exp="area" ref3D="1" dr="$D$60:$D$318" r="J35" sId="4"/>
    <undo index="0" exp="area" ref3D="1" dr="$AK$60:$AK$318" r="J35" sId="4"/>
    <undo index="15" exp="area" ref3D="1" dr="$C$60:$C$318" r="H35" sId="4"/>
    <undo index="13" exp="area" ref3D="1" dr="$AA$60:$AA$318" r="H35" sId="4"/>
    <undo index="11" exp="area" ref3D="1" dr="$D$60:$D$318" r="H35" sId="4"/>
    <undo index="10" exp="area" ref3D="1" dr="$Z$60:$Z$318" r="H35" sId="4"/>
    <undo index="7" exp="area" ref3D="1" dr="$C$60:$C$318" r="H35" sId="4"/>
    <undo index="4" exp="area" ref3D="1" dr="$D$60:$D$318" r="H35" sId="4"/>
    <undo index="3" exp="area" ref3D="1" dr="$Z$60:$Z$318" r="H35" sId="4"/>
    <undo index="7" exp="area" ref3D="1" dr="$C$60:$C$318" r="G35" sId="4"/>
    <undo index="4" exp="area" ref3D="1" dr="$D$60:$D$318" r="G35" sId="4"/>
    <undo index="3" exp="area" ref3D="1" dr="$Y$60:$Y$318" r="G35" sId="4"/>
    <undo index="12" exp="area" ref3D="1" dr="$C$60:$C$318" r="F35" sId="4"/>
    <undo index="10" exp="area" ref3D="1" dr="$AA$60:$AA$318" r="F35" sId="4"/>
    <undo index="8" exp="area" ref3D="1" dr="$D$60:$D$318" r="F35" sId="4"/>
    <undo index="7" exp="area" ref3D="1" dr="$X$60:$X$318" r="F35" sId="4"/>
    <undo index="4" exp="area" ref3D="1" dr="$C$60:$C$318" r="F35" sId="4"/>
    <undo index="1" exp="area" ref3D="1" dr="$D$60:$D$318" r="F35" sId="4"/>
    <undo index="0" exp="area" ref3D="1" dr="$X$60:$X$318" r="F35" sId="4"/>
    <undo index="4" exp="area" ref3D="1" dr="$C$60:$C$318" r="E35" sId="4"/>
    <undo index="1" exp="area" ref3D="1" dr="$D$60:$D$318" r="E35" sId="4"/>
    <undo index="0" exp="area" ref3D="1" dr="$W$60:$W$318" r="E35" sId="4"/>
    <undo index="4" exp="area" ref3D="1" dr="$C$60:$C$318" r="K23" sId="4"/>
    <undo index="2" exp="area" ref3D="1" dr="$D$60:$D$318" r="K23" sId="4"/>
    <undo index="0" exp="area" ref3D="1" dr="$AK$60:$AK$318" r="K23" sId="4"/>
    <undo index="4" exp="area" ref3D="1" dr="$C$60:$C$318" r="J23" sId="4"/>
    <undo index="2" exp="area" ref3D="1" dr="$D$60:$D$318" r="J23" sId="4"/>
    <undo index="0" exp="area" ref3D="1" dr="$AK$60:$AK$318" r="J23" sId="4"/>
    <undo index="15" exp="area" ref3D="1" dr="$C$60:$C$318" r="H23" sId="4"/>
    <undo index="13" exp="area" ref3D="1" dr="$AA$60:$AA$318" r="H23" sId="4"/>
    <undo index="11" exp="area" ref3D="1" dr="$D$60:$D$318" r="H23" sId="4"/>
    <undo index="10" exp="area" ref3D="1" dr="$Z$60:$Z$318" r="H23" sId="4"/>
    <undo index="7" exp="area" ref3D="1" dr="$C$60:$C$318" r="H23" sId="4"/>
    <undo index="4" exp="area" ref3D="1" dr="$D$60:$D$318" r="H23" sId="4"/>
    <undo index="3" exp="area" ref3D="1" dr="$Z$60:$Z$318" r="H23" sId="4"/>
    <undo index="7" exp="area" ref3D="1" dr="$C$60:$C$318" r="G23" sId="4"/>
    <undo index="4" exp="area" ref3D="1" dr="$D$60:$D$318" r="G23" sId="4"/>
    <undo index="3" exp="area" ref3D="1" dr="$Y$60:$Y$318" r="G23" sId="4"/>
    <undo index="12" exp="area" ref3D="1" dr="$C$60:$C$318" r="F23" sId="4"/>
    <undo index="10" exp="area" ref3D="1" dr="$AA$60:$AA$318" r="F23" sId="4"/>
    <undo index="8" exp="area" ref3D="1" dr="$D$60:$D$318" r="F23" sId="4"/>
    <undo index="7" exp="area" ref3D="1" dr="$X$60:$X$318" r="F23" sId="4"/>
    <undo index="4" exp="area" ref3D="1" dr="$C$60:$C$318" r="F23" sId="4"/>
    <undo index="1" exp="area" ref3D="1" dr="$D$60:$D$318" r="F23" sId="4"/>
    <undo index="0" exp="area" ref3D="1" dr="$X$60:$X$318" r="F23" sId="4"/>
    <undo index="4" exp="area" ref3D="1" dr="$C$60:$C$318" r="E23" sId="4"/>
    <undo index="1" exp="area" ref3D="1" dr="$D$60:$D$318" r="E23" sId="4"/>
    <undo index="0" exp="area" ref3D="1" dr="$W$60:$W$318" r="E23" sId="4"/>
    <undo index="4" exp="area" ref3D="1" dr="$C$60:$C$318" r="K22" sId="4"/>
    <undo index="2" exp="area" ref3D="1" dr="$D$60:$D$318" r="K22" sId="4"/>
    <undo index="0" exp="area" ref3D="1" dr="$AK$60:$AK$318" r="K22" sId="4"/>
    <undo index="4" exp="area" ref3D="1" dr="$C$60:$C$318" r="J22" sId="4"/>
    <undo index="2" exp="area" ref3D="1" dr="$D$60:$D$318" r="J22" sId="4"/>
    <undo index="0" exp="area" ref3D="1" dr="$AK$60:$AK$318" r="J22" sId="4"/>
    <undo index="15" exp="area" ref3D="1" dr="$C$60:$C$318" r="H22" sId="4"/>
    <undo index="13" exp="area" ref3D="1" dr="$AA$60:$AA$318" r="H22" sId="4"/>
    <undo index="11" exp="area" ref3D="1" dr="$D$60:$D$318" r="H22" sId="4"/>
    <undo index="10" exp="area" ref3D="1" dr="$Z$60:$Z$318" r="H22" sId="4"/>
    <undo index="7" exp="area" ref3D="1" dr="$C$60:$C$318" r="H22" sId="4"/>
    <undo index="4" exp="area" ref3D="1" dr="$D$60:$D$318" r="H22" sId="4"/>
    <undo index="3" exp="area" ref3D="1" dr="$Z$60:$Z$318" r="H22" sId="4"/>
    <undo index="7" exp="area" ref3D="1" dr="$C$60:$C$318" r="G22" sId="4"/>
    <undo index="4" exp="area" ref3D="1" dr="$D$60:$D$318" r="G22" sId="4"/>
    <undo index="3" exp="area" ref3D="1" dr="$Y$60:$Y$318" r="G22" sId="4"/>
    <undo index="12" exp="area" ref3D="1" dr="$C$60:$C$318" r="F22" sId="4"/>
    <undo index="10" exp="area" ref3D="1" dr="$AA$60:$AA$318" r="F22" sId="4"/>
    <undo index="8" exp="area" ref3D="1" dr="$D$60:$D$318" r="F22" sId="4"/>
    <undo index="7" exp="area" ref3D="1" dr="$X$60:$X$318" r="F22" sId="4"/>
    <undo index="4" exp="area" ref3D="1" dr="$C$60:$C$318" r="F22" sId="4"/>
    <undo index="1" exp="area" ref3D="1" dr="$D$60:$D$318" r="F22" sId="4"/>
    <undo index="0" exp="area" ref3D="1" dr="$X$60:$X$318" r="F22" sId="4"/>
    <undo index="4" exp="area" ref3D="1" dr="$C$60:$C$318" r="E22" sId="4"/>
    <undo index="1" exp="area" ref3D="1" dr="$D$60:$D$318" r="E22" sId="4"/>
    <undo index="0" exp="area" ref3D="1" dr="$W$60:$W$318" r="E22" sId="4"/>
    <undo index="4" exp="area" ref3D="1" dr="$C$60:$C$318" r="K10" sId="4"/>
    <undo index="2" exp="area" ref3D="1" dr="$D$60:$D$318" r="K10" sId="4"/>
    <undo index="0" exp="area" ref3D="1" dr="$AK$60:$AK$318" r="K10" sId="4"/>
    <undo index="4" exp="area" ref3D="1" dr="$C$60:$C$318" r="J10" sId="4"/>
    <undo index="2" exp="area" ref3D="1" dr="$D$60:$D$318" r="J10" sId="4"/>
    <undo index="0" exp="area" ref3D="1" dr="$AK$60:$AK$318" r="J10" sId="4"/>
    <undo index="15" exp="area" ref3D="1" dr="$C$60:$C$318" r="H10" sId="4"/>
    <undo index="13" exp="area" ref3D="1" dr="$AA$60:$AA$318" r="H10" sId="4"/>
    <undo index="11" exp="area" ref3D="1" dr="$D$60:$D$318" r="H10" sId="4"/>
    <undo index="10" exp="area" ref3D="1" dr="$Z$60:$Z$318" r="H10" sId="4"/>
    <undo index="7" exp="area" ref3D="1" dr="$C$60:$C$318" r="H10" sId="4"/>
    <undo index="4" exp="area" ref3D="1" dr="$D$60:$D$318" r="H10" sId="4"/>
    <undo index="3" exp="area" ref3D="1" dr="$Z$60:$Z$318" r="H10" sId="4"/>
    <undo index="7" exp="area" ref3D="1" dr="$C$60:$C$318" r="G10" sId="4"/>
    <undo index="4" exp="area" ref3D="1" dr="$D$60:$D$318" r="G10" sId="4"/>
    <undo index="3" exp="area" ref3D="1" dr="$Y$60:$Y$318" r="G10" sId="4"/>
    <undo index="12" exp="area" ref3D="1" dr="$C$60:$C$318" r="F10" sId="4"/>
    <undo index="10" exp="area" ref3D="1" dr="$AA$60:$AA$318" r="F10" sId="4"/>
    <undo index="8" exp="area" ref3D="1" dr="$D$60:$D$318" r="F10" sId="4"/>
    <undo index="7" exp="area" ref3D="1" dr="$X$60:$X$318" r="F10" sId="4"/>
    <undo index="4" exp="area" ref3D="1" dr="$C$60:$C$318" r="F10" sId="4"/>
    <undo index="1" exp="area" ref3D="1" dr="$D$60:$D$318" r="F10" sId="4"/>
    <undo index="0" exp="area" ref3D="1" dr="$X$60:$X$318" r="F10" sId="4"/>
    <undo index="4" exp="area" ref3D="1" dr="$C$60:$C$318" r="E10" sId="4"/>
    <undo index="1" exp="area" ref3D="1" dr="$D$60:$D$318" r="E10" sId="4"/>
    <undo index="0" exp="area" ref3D="1" dr="$W$60:$W$318" r="E10" sId="4"/>
    <undo index="4" exp="area" ref3D="1" dr="$C$60:$C$318" r="K9" sId="4"/>
    <undo index="2" exp="area" ref3D="1" dr="$D$60:$D$318" r="K9" sId="4"/>
    <undo index="0" exp="area" ref3D="1" dr="$AK$60:$AK$318" r="K9" sId="4"/>
    <undo index="4" exp="area" ref3D="1" dr="$C$60:$C$318" r="J9" sId="4"/>
    <undo index="2" exp="area" ref3D="1" dr="$D$60:$D$318" r="J9" sId="4"/>
    <undo index="0" exp="area" ref3D="1" dr="$AK$60:$AK$318" r="J9" sId="4"/>
    <undo index="15" exp="area" ref3D="1" dr="$C$60:$C$318" r="H9" sId="4"/>
    <undo index="13" exp="area" ref3D="1" dr="$AA$60:$AA$318" r="H9" sId="4"/>
    <undo index="11" exp="area" ref3D="1" dr="$D$60:$D$318" r="H9" sId="4"/>
    <undo index="10" exp="area" ref3D="1" dr="$Z$60:$Z$318" r="H9" sId="4"/>
    <undo index="7" exp="area" ref3D="1" dr="$C$60:$C$318" r="H9" sId="4"/>
    <undo index="4" exp="area" ref3D="1" dr="$D$60:$D$318" r="H9" sId="4"/>
    <undo index="3" exp="area" ref3D="1" dr="$Z$60:$Z$318" r="H9" sId="4"/>
    <undo index="7" exp="area" ref3D="1" dr="$C$60:$C$318" r="G9" sId="4"/>
    <undo index="4" exp="area" ref3D="1" dr="$D$60:$D$318" r="G9" sId="4"/>
    <undo index="3" exp="area" ref3D="1" dr="$Y$60:$Y$318" r="G9" sId="4"/>
    <undo index="12" exp="area" ref3D="1" dr="$C$60:$C$318" r="F9" sId="4"/>
    <undo index="10" exp="area" ref3D="1" dr="$AA$60:$AA$318" r="F9" sId="4"/>
    <undo index="8" exp="area" ref3D="1" dr="$D$60:$D$318" r="F9" sId="4"/>
    <undo index="7" exp="area" ref3D="1" dr="$X$60:$X$318" r="F9" sId="4"/>
    <undo index="4" exp="area" ref3D="1" dr="$C$60:$C$318" r="F9" sId="4"/>
    <undo index="1" exp="area" ref3D="1" dr="$D$60:$D$318" r="F9" sId="4"/>
    <undo index="0" exp="area" ref3D="1" dr="$X$60:$X$318" r="F9" sId="4"/>
    <undo index="4" exp="area" ref3D="1" dr="$C$60:$C$318" r="E9" sId="4"/>
    <undo index="1" exp="area" ref3D="1" dr="$D$60:$D$318" r="E9" sId="4"/>
    <undo index="0" exp="area" ref3D="1" dr="$W$60:$W$318" r="E9" sId="4"/>
    <undo index="2" exp="area" dr="$AK$60:$AK$318" r="M55" sId="1"/>
    <undo index="0" exp="area" dr="$S$60:$S$318" r="M55" sId="1"/>
    <undo index="2" exp="area" dr="$AK$60:$AK$318" r="L55" sId="1"/>
    <undo index="0" exp="area" dr="$S$60:$S$318" r="L55" sId="1"/>
    <undo index="2" exp="area" dr="$AK$60:$AK$318" r="M54" sId="1"/>
    <undo index="0" exp="area" dr="$S$60:$S$318" r="M54" sId="1"/>
    <undo index="2" exp="area" dr="$AK$60:$AK$318" r="L54" sId="1"/>
    <undo index="0" exp="area" dr="$S$60:$S$318" r="L54" sId="1"/>
    <undo index="2" exp="area" dr="$AK$60:$AK$318" r="M53" sId="1"/>
    <undo index="0" exp="area" dr="$S$60:$S$318" r="M53" sId="1"/>
    <undo index="2" exp="area" dr="$AK$60:$AK$318" r="L53" sId="1"/>
    <undo index="0" exp="area" dr="$S$60:$S$318" r="L53" sId="1"/>
    <undo index="2" exp="area" dr="$AK$60:$AK$318" r="M52" sId="1"/>
    <undo index="0" exp="area" dr="$S$60:$S$318" r="M52" sId="1"/>
    <undo index="2" exp="area" dr="$AK$60:$AK$318" r="L52" sId="1"/>
    <undo index="0" exp="area" dr="$S$60:$S$318" r="L52" sId="1"/>
    <undo index="2" exp="area" dr="$AK$60:$AK$318" r="M51" sId="1"/>
    <undo index="0" exp="area" dr="$S$60:$S$318" r="M51" sId="1"/>
    <undo index="2" exp="area" dr="$AK$60:$AK$318" r="L51" sId="1"/>
    <undo index="0" exp="area" dr="$S$60:$S$318" r="L51" sId="1"/>
    <undo index="2" exp="area" dr="$AK$60:$AK$318" r="M50" sId="1"/>
    <undo index="0" exp="area" dr="$S$60:$S$318" r="M50" sId="1"/>
    <undo index="2" exp="area" dr="$AK$60:$AK$318" r="L50" sId="1"/>
    <undo index="0" exp="area" dr="$S$60:$S$318" r="L50" sId="1"/>
    <undo index="2" exp="area" dr="$AK$60:$AK$318" r="M49" sId="1"/>
    <undo index="0" exp="area" dr="$S$60:$S$318" r="M49" sId="1"/>
    <undo index="2" exp="area" dr="$AK$60:$AK$318" r="L49" sId="1"/>
    <undo index="0" exp="area" dr="$S$60:$S$318" r="L49" sId="1"/>
    <undo index="2" exp="area" dr="$AK$60:$AK$318" r="M48" sId="1"/>
    <undo index="0" exp="area" dr="$S$60:$S$318" r="M48" sId="1"/>
    <undo index="2" exp="area" dr="$AK$60:$AK$318" r="L48" sId="1"/>
    <undo index="0" exp="area" dr="$S$60:$S$318" r="L48" sId="1"/>
    <undo index="2" exp="area" dr="$AK$60:$AK$318" r="M47" sId="1"/>
    <undo index="0" exp="area" dr="$S$60:$S$318" r="M47" sId="1"/>
    <undo index="2" exp="area" dr="$AK$60:$AK$318" r="L47" sId="1"/>
    <undo index="0" exp="area" dr="$S$60:$S$318" r="L47" sId="1"/>
    <undo index="2" exp="area" dr="$AK$60:$AK$318" r="M46" sId="1"/>
    <undo index="0" exp="area" dr="$S$60:$S$318" r="M46" sId="1"/>
    <undo index="2" exp="area" dr="$AK$60:$AK$318" r="L46" sId="1"/>
    <undo index="0" exp="area" dr="$S$60:$S$318" r="L46" sId="1"/>
    <undo index="2" exp="area" dr="$AK$60:$AK$318" r="M45" sId="1"/>
    <undo index="0" exp="area" dr="$S$60:$S$318" r="M45" sId="1"/>
    <undo index="2" exp="area" dr="$AK$60:$AK$318" r="L45" sId="1"/>
    <undo index="0" exp="area" dr="$S$60:$S$318" r="L45" sId="1"/>
    <undo index="2" exp="area" dr="$AK$60:$AK$318" r="M44" sId="1"/>
    <undo index="0" exp="area" dr="$S$60:$S$318" r="M44" sId="1"/>
    <undo index="2" exp="area" dr="$AK$60:$AK$318" r="L44" sId="1"/>
    <undo index="0" exp="area" dr="$S$60:$S$318" r="L44" sId="1"/>
    <undo index="2" exp="area" dr="$AK$60:$AK$318" r="M43" sId="1"/>
    <undo index="0" exp="area" dr="$S$60:$S$318" r="M43" sId="1"/>
    <undo index="2" exp="area" dr="$AK$60:$AK$318" r="L43" sId="1"/>
    <undo index="0" exp="area" dr="$S$60:$S$318" r="L43" sId="1"/>
    <undo index="2" exp="area" dr="$AK$60:$AK$318" r="M42" sId="1"/>
    <undo index="0" exp="area" dr="$S$60:$S$318" r="M42" sId="1"/>
    <undo index="2" exp="area" dr="$AK$60:$AK$318" r="L42" sId="1"/>
    <undo index="0" exp="area" dr="$S$60:$S$318" r="L42" sId="1"/>
    <undo index="10" exp="area" dr="$AA$60:$AA$318" r="F37" sId="1"/>
    <undo index="8" exp="area" dr="$D$60:$D$318" r="F37" sId="1"/>
    <undo index="7" exp="area" dr="$Z$60:$Z$318" r="F37" sId="1"/>
    <undo index="4" exp="area" dr="$D$60:$D$318" r="F37" sId="1"/>
    <undo index="3" exp="area" dr="$Z$60:$Z$318" r="F37" sId="1"/>
    <undo index="7" exp="area" dr="$AA$60:$AA$318" r="E37" sId="1"/>
    <undo index="5" exp="area" dr="$D$60:$D$318" r="E37" sId="1"/>
    <undo index="4" exp="area" dr="$W$60:$W$318" r="E37" sId="1"/>
    <undo index="1" exp="area" dr="$D$60:$D$318" r="E37" sId="1"/>
    <undo index="0" exp="area" dr="$W$60:$W$318" r="E37" sId="1"/>
    <undo index="1" exp="area" dr="$D$60:$D$318" r="D37" sId="1"/>
    <undo index="0" exp="area" dr="$W$60:$W$318" r="D37" sId="1"/>
    <undo index="14" exp="area" dr="$AA$60:$AA$318" r="F36" sId="1"/>
    <undo index="12" exp="area" dr="$S$60:$S$318" r="F36" sId="1"/>
    <undo index="10" exp="area" dr="$D$60:$D$318" r="F36" sId="1"/>
    <undo index="9" exp="area" dr="$Z$60:$Z$318" r="F36" sId="1"/>
    <undo index="6" exp="area" dr="$S$60:$S$318" r="F36" sId="1"/>
    <undo index="4" exp="area" dr="$D$60:$D$318" r="F36" sId="1"/>
    <undo index="3" exp="area" dr="$Z$60:$Z$318" r="F36" sId="1"/>
    <undo index="11" exp="area" dr="$AA$60:$AA$318" r="E36" sId="1"/>
    <undo index="9" exp="area" dr="$S$60:$S$318" r="E36" sId="1"/>
    <undo index="7" exp="area" dr="$D$60:$D$318" r="E36" sId="1"/>
    <undo index="6" exp="area" dr="$X$60:$X$318" r="E36" sId="1"/>
    <undo index="3" exp="area" dr="$S$60:$S$318" r="E36" sId="1"/>
    <undo index="1" exp="area" dr="$D$60:$D$318" r="E36" sId="1"/>
    <undo index="0" exp="area" dr="$X$60:$X$318" r="E36" sId="1"/>
    <undo index="3" exp="area" dr="$S$60:$S$318" r="D36" sId="1"/>
    <undo index="1" exp="area" dr="$D$60:$D$318" r="D36" sId="1"/>
    <undo index="0" exp="area" dr="$W$60:$W$318" r="D36" sId="1"/>
    <undo index="14" exp="area" dr="$AA$60:$AA$318" r="F35" sId="1"/>
    <undo index="12" exp="area" dr="$S$60:$S$318" r="F35" sId="1"/>
    <undo index="10" exp="area" dr="$D$60:$D$318" r="F35" sId="1"/>
    <undo index="9" exp="area" dr="$Z$60:$Z$318" r="F35" sId="1"/>
    <undo index="6" exp="area" dr="$S$60:$S$318" r="F35" sId="1"/>
    <undo index="4" exp="area" dr="$D$60:$D$318" r="F35" sId="1"/>
    <undo index="3" exp="area" dr="$Z$60:$Z$318" r="F35" sId="1"/>
    <undo index="11" exp="area" dr="$AA$60:$AA$318" r="E35" sId="1"/>
    <undo index="9" exp="area" dr="$S$60:$S$318" r="E35" sId="1"/>
    <undo index="7" exp="area" dr="$D$60:$D$318" r="E35" sId="1"/>
    <undo index="6" exp="area" dr="$X$60:$X$318" r="E35" sId="1"/>
    <undo index="3" exp="area" dr="$S$60:$S$318" r="E35" sId="1"/>
    <undo index="1" exp="area" dr="$D$60:$D$318" r="E35" sId="1"/>
    <undo index="0" exp="area" dr="$X$60:$X$318" r="E35" sId="1"/>
    <undo index="3" exp="area" dr="$S$60:$S$318" r="D35" sId="1"/>
    <undo index="1" exp="area" dr="$D$60:$D$318" r="D35" sId="1"/>
    <undo index="0" exp="area" dr="$W$60:$W$318" r="D35" sId="1"/>
    <undo index="14" exp="area" dr="$AA$60:$AA$318" r="F34" sId="1"/>
    <undo index="12" exp="area" dr="$S$60:$S$318" r="F34" sId="1"/>
    <undo index="10" exp="area" dr="$D$60:$D$318" r="F34" sId="1"/>
    <undo index="9" exp="area" dr="$Z$60:$Z$318" r="F34" sId="1"/>
    <undo index="6" exp="area" dr="$S$60:$S$318" r="F34" sId="1"/>
    <undo index="4" exp="area" dr="$D$60:$D$318" r="F34" sId="1"/>
    <undo index="3" exp="area" dr="$Z$60:$Z$318" r="F34" sId="1"/>
    <undo index="11" exp="area" dr="$AA$60:$AA$318" r="E34" sId="1"/>
    <undo index="9" exp="area" dr="$S$60:$S$318" r="E34" sId="1"/>
    <undo index="7" exp="area" dr="$D$60:$D$318" r="E34" sId="1"/>
    <undo index="6" exp="area" dr="$X$60:$X$318" r="E34" sId="1"/>
    <undo index="3" exp="area" dr="$S$60:$S$318" r="E34" sId="1"/>
    <undo index="1" exp="area" dr="$D$60:$D$318" r="E34" sId="1"/>
    <undo index="0" exp="area" dr="$X$60:$X$318" r="E34" sId="1"/>
    <undo index="3" exp="area" dr="$S$60:$S$318" r="D34" sId="1"/>
    <undo index="1" exp="area" dr="$D$60:$D$318" r="D34" sId="1"/>
    <undo index="0" exp="area" dr="$W$60:$W$318" r="D34" sId="1"/>
    <undo index="14" exp="area" dr="$AA$60:$AA$318" r="F33" sId="1"/>
    <undo index="12" exp="area" dr="$S$60:$S$318" r="F33" sId="1"/>
    <undo index="10" exp="area" dr="$D$60:$D$318" r="F33" sId="1"/>
    <undo index="9" exp="area" dr="$Z$60:$Z$318" r="F33" sId="1"/>
    <undo index="6" exp="area" dr="$S$60:$S$318" r="F33" sId="1"/>
    <undo index="4" exp="area" dr="$D$60:$D$318" r="F33" sId="1"/>
    <undo index="3" exp="area" dr="$Z$60:$Z$318" r="F33" sId="1"/>
    <undo index="11" exp="area" dr="$AA$60:$AA$318" r="E33" sId="1"/>
    <undo index="9" exp="area" dr="$S$60:$S$318" r="E33" sId="1"/>
    <undo index="7" exp="area" dr="$D$60:$D$318" r="E33" sId="1"/>
    <undo index="6" exp="area" dr="$X$60:$X$318" r="E33" sId="1"/>
    <undo index="3" exp="area" dr="$S$60:$S$318" r="E33" sId="1"/>
    <undo index="1" exp="area" dr="$D$60:$D$318" r="E33" sId="1"/>
    <undo index="0" exp="area" dr="$X$60:$X$318" r="E33" sId="1"/>
    <undo index="3" exp="area" dr="$S$60:$S$318" r="D33" sId="1"/>
    <undo index="1" exp="area" dr="$D$60:$D$318" r="D33" sId="1"/>
    <undo index="0" exp="area" dr="$W$60:$W$318" r="D33" sId="1"/>
    <undo index="14" exp="area" dr="$AA$60:$AA$318" r="F32" sId="1"/>
    <undo index="12" exp="area" dr="$S$60:$S$318" r="F32" sId="1"/>
    <undo index="10" exp="area" dr="$D$60:$D$318" r="F32" sId="1"/>
    <undo index="9" exp="area" dr="$Z$60:$Z$318" r="F32" sId="1"/>
    <undo index="6" exp="area" dr="$S$60:$S$318" r="F32" sId="1"/>
    <undo index="4" exp="area" dr="$D$60:$D$318" r="F32" sId="1"/>
    <undo index="3" exp="area" dr="$Z$60:$Z$318" r="F32" sId="1"/>
    <undo index="11" exp="area" dr="$AA$60:$AA$318" r="E32" sId="1"/>
    <undo index="9" exp="area" dr="$S$60:$S$318" r="E32" sId="1"/>
    <undo index="7" exp="area" dr="$D$60:$D$318" r="E32" sId="1"/>
    <undo index="6" exp="area" dr="$X$60:$X$318" r="E32" sId="1"/>
    <undo index="3" exp="area" dr="$S$60:$S$318" r="E32" sId="1"/>
    <undo index="1" exp="area" dr="$D$60:$D$318" r="E32" sId="1"/>
    <undo index="0" exp="area" dr="$X$60:$X$318" r="E32" sId="1"/>
    <undo index="3" exp="area" dr="$S$60:$S$318" r="D32" sId="1"/>
    <undo index="1" exp="area" dr="$D$60:$D$318" r="D32" sId="1"/>
    <undo index="0" exp="area" dr="$W$60:$W$318" r="D32" sId="1"/>
    <undo index="14" exp="area" dr="$AA$60:$AA$318" r="F31" sId="1"/>
    <undo index="12" exp="area" dr="$S$60:$S$318" r="F31" sId="1"/>
    <undo index="10" exp="area" dr="$D$60:$D$318" r="F31" sId="1"/>
    <undo index="9" exp="area" dr="$Z$60:$Z$318" r="F31" sId="1"/>
    <undo index="6" exp="area" dr="$S$60:$S$318" r="F31" sId="1"/>
    <undo index="4" exp="area" dr="$D$60:$D$318" r="F31" sId="1"/>
    <undo index="3" exp="area" dr="$Z$60:$Z$318" r="F31" sId="1"/>
    <undo index="11" exp="area" dr="$AA$60:$AA$318" r="E31" sId="1"/>
    <undo index="9" exp="area" dr="$S$60:$S$318" r="E31" sId="1"/>
    <undo index="7" exp="area" dr="$D$60:$D$318" r="E31" sId="1"/>
    <undo index="6" exp="area" dr="$X$60:$X$318" r="E31" sId="1"/>
    <undo index="3" exp="area" dr="$S$60:$S$318" r="E31" sId="1"/>
    <undo index="1" exp="area" dr="$D$60:$D$318" r="E31" sId="1"/>
    <undo index="0" exp="area" dr="$X$60:$X$318" r="E31" sId="1"/>
    <undo index="3" exp="area" dr="$S$60:$S$318" r="D31" sId="1"/>
    <undo index="1" exp="area" dr="$D$60:$D$318" r="D31" sId="1"/>
    <undo index="0" exp="area" dr="$W$60:$W$318" r="D31" sId="1"/>
    <undo index="14" exp="area" dr="$AA$60:$AA$318" r="F30" sId="1"/>
    <undo index="12" exp="area" dr="$S$60:$S$318" r="F30" sId="1"/>
    <undo index="10" exp="area" dr="$D$60:$D$318" r="F30" sId="1"/>
    <undo index="9" exp="area" dr="$Z$60:$Z$318" r="F30" sId="1"/>
    <undo index="6" exp="area" dr="$S$60:$S$318" r="F30" sId="1"/>
    <undo index="4" exp="area" dr="$D$60:$D$318" r="F30" sId="1"/>
    <undo index="3" exp="area" dr="$Z$60:$Z$318" r="F30" sId="1"/>
    <undo index="11" exp="area" dr="$AA$60:$AA$318" r="E30" sId="1"/>
    <undo index="9" exp="area" dr="$S$60:$S$318" r="E30" sId="1"/>
    <undo index="7" exp="area" dr="$D$60:$D$318" r="E30" sId="1"/>
    <undo index="6" exp="area" dr="$X$60:$X$318" r="E30" sId="1"/>
    <undo index="3" exp="area" dr="$S$60:$S$318" r="E30" sId="1"/>
    <undo index="1" exp="area" dr="$D$60:$D$318" r="E30" sId="1"/>
    <undo index="0" exp="area" dr="$X$60:$X$318" r="E30" sId="1"/>
    <undo index="3" exp="area" dr="$S$60:$S$318" r="D30" sId="1"/>
    <undo index="1" exp="area" dr="$D$60:$D$318" r="D30" sId="1"/>
    <undo index="0" exp="area" dr="$W$60:$W$318" r="D30" sId="1"/>
    <undo index="14" exp="area" dr="$AA$60:$AA$318" r="F29" sId="1"/>
    <undo index="12" exp="area" dr="$S$60:$S$318" r="F29" sId="1"/>
    <undo index="10" exp="area" dr="$D$60:$D$318" r="F29" sId="1"/>
    <undo index="9" exp="area" dr="$Z$60:$Z$318" r="F29" sId="1"/>
    <undo index="6" exp="area" dr="$S$60:$S$318" r="F29" sId="1"/>
    <undo index="4" exp="area" dr="$D$60:$D$318" r="F29" sId="1"/>
    <undo index="3" exp="area" dr="$Z$60:$Z$318" r="F29" sId="1"/>
    <undo index="11" exp="area" dr="$AA$60:$AA$318" r="E29" sId="1"/>
    <undo index="9" exp="area" dr="$S$60:$S$318" r="E29" sId="1"/>
    <undo index="7" exp="area" dr="$D$60:$D$318" r="E29" sId="1"/>
    <undo index="6" exp="area" dr="$X$60:$X$318" r="E29" sId="1"/>
    <undo index="3" exp="area" dr="$S$60:$S$318" r="E29" sId="1"/>
    <undo index="1" exp="area" dr="$D$60:$D$318" r="E29" sId="1"/>
    <undo index="0" exp="area" dr="$X$60:$X$318" r="E29" sId="1"/>
    <undo index="3" exp="area" dr="$S$60:$S$318" r="D29" sId="1"/>
    <undo index="1" exp="area" dr="$D$60:$D$318" r="D29" sId="1"/>
    <undo index="0" exp="area" dr="$W$60:$W$318" r="D29" sId="1"/>
    <undo index="14" exp="area" dr="$AA$60:$AA$318" r="F28" sId="1"/>
    <undo index="12" exp="area" dr="$S$60:$S$318" r="F28" sId="1"/>
    <undo index="10" exp="area" dr="$D$60:$D$318" r="F28" sId="1"/>
    <undo index="9" exp="area" dr="$Z$60:$Z$318" r="F28" sId="1"/>
    <undo index="6" exp="area" dr="$S$60:$S$318" r="F28" sId="1"/>
    <undo index="4" exp="area" dr="$D$60:$D$318" r="F28" sId="1"/>
    <undo index="3" exp="area" dr="$Z$60:$Z$318" r="F28" sId="1"/>
    <undo index="11" exp="area" dr="$AA$60:$AA$318" r="E28" sId="1"/>
    <undo index="9" exp="area" dr="$S$60:$S$318" r="E28" sId="1"/>
    <undo index="7" exp="area" dr="$D$60:$D$318" r="E28" sId="1"/>
    <undo index="6" exp="area" dr="$X$60:$X$318" r="E28" sId="1"/>
    <undo index="3" exp="area" dr="$S$60:$S$318" r="E28" sId="1"/>
    <undo index="1" exp="area" dr="$D$60:$D$318" r="E28" sId="1"/>
    <undo index="0" exp="area" dr="$X$60:$X$318" r="E28" sId="1"/>
    <undo index="3" exp="area" dr="$S$60:$S$318" r="D28" sId="1"/>
    <undo index="1" exp="area" dr="$D$60:$D$318" r="D28" sId="1"/>
    <undo index="0" exp="area" dr="$W$60:$W$318" r="D28" sId="1"/>
    <undo index="14" exp="area" dr="$AA$60:$AA$318" r="F27" sId="1"/>
    <undo index="12" exp="area" dr="$S$60:$S$318" r="F27" sId="1"/>
    <undo index="10" exp="area" dr="$D$60:$D$318" r="F27" sId="1"/>
    <undo index="9" exp="area" dr="$Z$60:$Z$318" r="F27" sId="1"/>
    <undo index="6" exp="area" dr="$S$60:$S$318" r="F27" sId="1"/>
    <undo index="4" exp="area" dr="$D$60:$D$318" r="F27" sId="1"/>
    <undo index="3" exp="area" dr="$Z$60:$Z$318" r="F27" sId="1"/>
    <undo index="11" exp="area" dr="$AA$60:$AA$318" r="E27" sId="1"/>
    <undo index="9" exp="area" dr="$S$60:$S$318" r="E27" sId="1"/>
    <undo index="7" exp="area" dr="$D$60:$D$318" r="E27" sId="1"/>
    <undo index="6" exp="area" dr="$X$60:$X$318" r="E27" sId="1"/>
    <undo index="3" exp="area" dr="$S$60:$S$318" r="E27" sId="1"/>
    <undo index="1" exp="area" dr="$D$60:$D$318" r="E27" sId="1"/>
    <undo index="0" exp="area" dr="$X$60:$X$318" r="E27" sId="1"/>
    <undo index="3" exp="area" dr="$S$60:$S$318" r="D27" sId="1"/>
    <undo index="1" exp="area" dr="$D$60:$D$318" r="D27" sId="1"/>
    <undo index="0" exp="area" dr="$W$60:$W$318" r="D27" sId="1"/>
    <undo index="14" exp="area" dr="$AA$60:$AA$318" r="F26" sId="1"/>
    <undo index="12" exp="area" dr="$S$60:$S$318" r="F26" sId="1"/>
    <undo index="10" exp="area" dr="$D$60:$D$318" r="F26" sId="1"/>
    <undo index="9" exp="area" dr="$Z$60:$Z$318" r="F26" sId="1"/>
    <undo index="6" exp="area" dr="$S$60:$S$318" r="F26" sId="1"/>
    <undo index="4" exp="area" dr="$D$60:$D$318" r="F26" sId="1"/>
    <undo index="3" exp="area" dr="$Z$60:$Z$318" r="F26" sId="1"/>
    <undo index="11" exp="area" dr="$AA$60:$AA$318" r="E26" sId="1"/>
    <undo index="9" exp="area" dr="$S$60:$S$318" r="E26" sId="1"/>
    <undo index="7" exp="area" dr="$D$60:$D$318" r="E26" sId="1"/>
    <undo index="6" exp="area" dr="$X$60:$X$318" r="E26" sId="1"/>
    <undo index="3" exp="area" dr="$S$60:$S$318" r="E26" sId="1"/>
    <undo index="1" exp="area" dr="$D$60:$D$318" r="E26" sId="1"/>
    <undo index="0" exp="area" dr="$X$60:$X$318" r="E26" sId="1"/>
    <undo index="3" exp="area" dr="$S$60:$S$318" r="D26" sId="1"/>
    <undo index="1" exp="area" dr="$D$60:$D$318" r="D26" sId="1"/>
    <undo index="0" exp="area" dr="$W$60:$W$318" r="D26" sId="1"/>
    <undo index="14" exp="area" dr="$AA$60:$AA$318" r="F25" sId="1"/>
    <undo index="12" exp="area" dr="$S$60:$S$318" r="F25" sId="1"/>
    <undo index="10" exp="area" dr="$D$60:$D$318" r="F25" sId="1"/>
    <undo index="9" exp="area" dr="$Z$60:$Z$318" r="F25" sId="1"/>
    <undo index="6" exp="area" dr="$S$60:$S$318" r="F25" sId="1"/>
    <undo index="4" exp="area" dr="$D$60:$D$318" r="F25" sId="1"/>
    <undo index="3" exp="area" dr="$Z$60:$Z$318" r="F25" sId="1"/>
    <undo index="11" exp="area" dr="$AA$60:$AA$318" r="E25" sId="1"/>
    <undo index="9" exp="area" dr="$S$60:$S$318" r="E25" sId="1"/>
    <undo index="7" exp="area" dr="$D$60:$D$318" r="E25" sId="1"/>
    <undo index="6" exp="area" dr="$X$60:$X$318" r="E25" sId="1"/>
    <undo index="3" exp="area" dr="$S$60:$S$318" r="E25" sId="1"/>
    <undo index="1" exp="area" dr="$D$60:$D$318" r="E25" sId="1"/>
    <undo index="0" exp="area" dr="$X$60:$X$318" r="E25" sId="1"/>
    <undo index="3" exp="area" dr="$S$60:$S$318" r="D25" sId="1"/>
    <undo index="1" exp="area" dr="$D$60:$D$318" r="D25" sId="1"/>
    <undo index="0" exp="area" dr="$W$60:$W$318" r="D25" sId="1"/>
    <undo index="14" exp="area" dr="$AA$60:$AA$318" r="F24" sId="1"/>
    <undo index="12" exp="area" dr="$S$60:$S$318" r="F24" sId="1"/>
    <undo index="10" exp="area" dr="$D$60:$D$318" r="F24" sId="1"/>
    <undo index="9" exp="area" dr="$Z$60:$Z$318" r="F24" sId="1"/>
    <undo index="6" exp="area" dr="$S$60:$S$318" r="F24" sId="1"/>
    <undo index="4" exp="area" dr="$D$60:$D$318" r="F24" sId="1"/>
    <undo index="3" exp="area" dr="$Z$60:$Z$318" r="F24" sId="1"/>
    <undo index="11" exp="area" dr="$AA$60:$AA$318" r="E24" sId="1"/>
    <undo index="9" exp="area" dr="$S$60:$S$318" r="E24" sId="1"/>
    <undo index="7" exp="area" dr="$D$60:$D$318" r="E24" sId="1"/>
    <undo index="6" exp="area" dr="$X$60:$X$318" r="E24" sId="1"/>
    <undo index="3" exp="area" dr="$S$60:$S$318" r="E24" sId="1"/>
    <undo index="1" exp="area" dr="$D$60:$D$318" r="E24" sId="1"/>
    <undo index="0" exp="area" dr="$X$60:$X$318" r="E24" sId="1"/>
    <undo index="3" exp="area" dr="$S$60:$S$318" r="D24" sId="1"/>
    <undo index="1" exp="area" dr="$D$60:$D$318" r="D24" sId="1"/>
    <undo index="0" exp="area" dr="$W$60:$W$318" r="D24" sId="1"/>
    <undo index="14" exp="area" dr="$AA$60:$AA$318" r="F23" sId="1"/>
    <undo index="12" exp="area" dr="$S$60:$S$318" r="F23" sId="1"/>
    <undo index="10" exp="area" dr="$D$60:$D$318" r="F23" sId="1"/>
    <undo index="9" exp="area" dr="$Z$60:$Z$318" r="F23" sId="1"/>
    <undo index="6" exp="area" dr="$S$60:$S$318" r="F23" sId="1"/>
    <undo index="4" exp="area" dr="$D$60:$D$318" r="F23" sId="1"/>
    <undo index="3" exp="area" dr="$Z$60:$Z$318" r="F23" sId="1"/>
    <undo index="11" exp="area" dr="$AA$60:$AA$318" r="E23" sId="1"/>
    <undo index="9" exp="area" dr="$S$60:$S$318" r="E23" sId="1"/>
    <undo index="7" exp="area" dr="$D$60:$D$318" r="E23" sId="1"/>
    <undo index="6" exp="area" dr="$X$60:$X$318" r="E23" sId="1"/>
    <undo index="3" exp="area" dr="$S$60:$S$318" r="E23" sId="1"/>
    <undo index="1" exp="area" dr="$D$60:$D$318" r="E23" sId="1"/>
    <undo index="0" exp="area" dr="$X$60:$X$318" r="E23" sId="1"/>
    <undo index="3" exp="area" dr="$S$60:$S$318" r="D23" sId="1"/>
    <undo index="1" exp="area" dr="$D$60:$D$318" r="D23" sId="1"/>
    <undo index="0" exp="area" dr="$W$60:$W$318" r="D23" sId="1"/>
    <undo index="10" exp="area" dr="$AA$60:$AA$318" r="F18" sId="1"/>
    <undo index="8" exp="area" dr="$D$60:$D$318" r="F18" sId="1"/>
    <undo index="7" exp="area" dr="$Z$60:$Z$318" r="F18" sId="1"/>
    <undo index="4" exp="area" dr="$D$60:$D$318" r="F18" sId="1"/>
    <undo index="3" exp="area" dr="$Z$60:$Z$318" r="F18" sId="1"/>
    <undo index="7" exp="area" dr="$AA$60:$AA$318" r="E18" sId="1"/>
    <undo index="5" exp="area" dr="$D$60:$D$318" r="E18" sId="1"/>
    <undo index="4" exp="area" dr="$W$60:$W$318" r="E18" sId="1"/>
    <undo index="1" exp="area" dr="$D$60:$D$318" r="E18" sId="1"/>
    <undo index="0" exp="area" dr="$W$60:$W$318" r="E18" sId="1"/>
    <undo index="1" exp="area" dr="$D$60:$D$318" r="D18" sId="1"/>
    <undo index="0" exp="area" dr="$W$60:$W$318" r="D18" sId="1"/>
    <undo index="14" exp="area" dr="$AA$60:$AA$318" r="F17" sId="1"/>
    <undo index="12" exp="area" dr="$S$60:$S$318" r="F17" sId="1"/>
    <undo index="10" exp="area" dr="$D$60:$D$318" r="F17" sId="1"/>
    <undo index="9" exp="area" dr="$Z$60:$Z$318" r="F17" sId="1"/>
    <undo index="6" exp="area" dr="$S$60:$S$318" r="F17" sId="1"/>
    <undo index="4" exp="area" dr="$D$60:$D$318" r="F17" sId="1"/>
    <undo index="3" exp="area" dr="$Z$60:$Z$318" r="F17" sId="1"/>
    <undo index="11" exp="area" dr="$AA$60:$AA$318" r="E17" sId="1"/>
    <undo index="9" exp="area" dr="$S$60:$S$318" r="E17" sId="1"/>
    <undo index="7" exp="area" dr="$D$60:$D$318" r="E17" sId="1"/>
    <undo index="6" exp="area" dr="$X$60:$X$318" r="E17" sId="1"/>
    <undo index="3" exp="area" dr="$S$60:$S$318" r="E17" sId="1"/>
    <undo index="1" exp="area" dr="$D$60:$D$318" r="E17" sId="1"/>
    <undo index="0" exp="area" dr="$X$60:$X$318" r="E17" sId="1"/>
    <undo index="3" exp="area" dr="$S$60:$S$318" r="D17" sId="1"/>
    <undo index="1" exp="area" dr="$D$60:$D$318" r="D17" sId="1"/>
    <undo index="0" exp="area" dr="$W$60:$W$318" r="D17" sId="1"/>
    <undo index="14" exp="area" dr="$AA$60:$AA$318" r="F16" sId="1"/>
    <undo index="12" exp="area" dr="$S$60:$S$318" r="F16" sId="1"/>
    <undo index="10" exp="area" dr="$D$60:$D$318" r="F16" sId="1"/>
    <undo index="9" exp="area" dr="$Z$60:$Z$318" r="F16" sId="1"/>
    <undo index="6" exp="area" dr="$S$60:$S$318" r="F16" sId="1"/>
    <undo index="4" exp="area" dr="$D$60:$D$318" r="F16" sId="1"/>
    <undo index="3" exp="area" dr="$Z$60:$Z$318" r="F16" sId="1"/>
    <undo index="11" exp="area" dr="$AA$60:$AA$318" r="E16" sId="1"/>
    <undo index="9" exp="area" dr="$S$60:$S$318" r="E16" sId="1"/>
    <undo index="7" exp="area" dr="$D$60:$D$318" r="E16" sId="1"/>
    <undo index="6" exp="area" dr="$X$60:$X$318" r="E16" sId="1"/>
    <undo index="3" exp="area" dr="$S$60:$S$318" r="E16" sId="1"/>
    <undo index="1" exp="area" dr="$D$60:$D$318" r="E16" sId="1"/>
    <undo index="0" exp="area" dr="$X$60:$X$318" r="E16" sId="1"/>
    <undo index="3" exp="area" dr="$S$60:$S$318" r="D16" sId="1"/>
    <undo index="1" exp="area" dr="$D$60:$D$318" r="D16" sId="1"/>
    <undo index="0" exp="area" dr="$W$60:$W$318" r="D16" sId="1"/>
    <undo index="14" exp="area" dr="$AA$60:$AA$318" r="F15" sId="1"/>
    <undo index="12" exp="area" dr="$S$60:$S$318" r="F15" sId="1"/>
    <undo index="10" exp="area" dr="$D$60:$D$318" r="F15" sId="1"/>
    <undo index="9" exp="area" dr="$Z$60:$Z$318" r="F15" sId="1"/>
    <undo index="6" exp="area" dr="$S$60:$S$318" r="F15" sId="1"/>
    <undo index="4" exp="area" dr="$D$60:$D$318" r="F15" sId="1"/>
    <undo index="3" exp="area" dr="$Z$60:$Z$318" r="F15" sId="1"/>
    <undo index="11" exp="area" dr="$AA$60:$AA$318" r="E15" sId="1"/>
    <undo index="9" exp="area" dr="$S$60:$S$318" r="E15" sId="1"/>
    <undo index="7" exp="area" dr="$D$60:$D$318" r="E15" sId="1"/>
    <undo index="6" exp="area" dr="$X$60:$X$318" r="E15" sId="1"/>
    <undo index="3" exp="area" dr="$S$60:$S$318" r="E15" sId="1"/>
    <undo index="1" exp="area" dr="$D$60:$D$318" r="E15" sId="1"/>
    <undo index="0" exp="area" dr="$X$60:$X$318" r="E15" sId="1"/>
    <undo index="3" exp="area" dr="$S$60:$S$318" r="D15" sId="1"/>
    <undo index="1" exp="area" dr="$D$60:$D$318" r="D15" sId="1"/>
    <undo index="0" exp="area" dr="$W$60:$W$318" r="D15" sId="1"/>
    <undo index="14" exp="area" dr="$AA$60:$AA$318" r="F14" sId="1"/>
    <undo index="12" exp="area" dr="$S$60:$S$318" r="F14" sId="1"/>
    <undo index="10" exp="area" dr="$D$60:$D$318" r="F14" sId="1"/>
    <undo index="9" exp="area" dr="$Z$60:$Z$318" r="F14" sId="1"/>
    <undo index="6" exp="area" dr="$S$60:$S$318" r="F14" sId="1"/>
    <undo index="4" exp="area" dr="$D$60:$D$318" r="F14" sId="1"/>
    <undo index="3" exp="area" dr="$Z$60:$Z$318" r="F14" sId="1"/>
    <undo index="11" exp="area" dr="$AA$60:$AA$318" r="E14" sId="1"/>
    <undo index="9" exp="area" dr="$S$60:$S$318" r="E14" sId="1"/>
    <undo index="7" exp="area" dr="$D$60:$D$318" r="E14" sId="1"/>
    <undo index="6" exp="area" dr="$X$60:$X$318" r="E14" sId="1"/>
    <undo index="3" exp="area" dr="$S$60:$S$318" r="E14" sId="1"/>
    <undo index="1" exp="area" dr="$D$60:$D$318" r="E14" sId="1"/>
    <undo index="0" exp="area" dr="$X$60:$X$318" r="E14" sId="1"/>
    <undo index="3" exp="area" dr="$S$60:$S$318" r="D14" sId="1"/>
    <undo index="1" exp="area" dr="$D$60:$D$318" r="D14" sId="1"/>
    <undo index="0" exp="area" dr="$W$60:$W$318" r="D14" sId="1"/>
    <undo index="14" exp="area" dr="$AA$60:$AA$318" r="F13" sId="1"/>
    <undo index="12" exp="area" dr="$S$60:$S$318" r="F13" sId="1"/>
    <undo index="10" exp="area" dr="$D$60:$D$318" r="F13" sId="1"/>
    <undo index="9" exp="area" dr="$Z$60:$Z$318" r="F13" sId="1"/>
    <undo index="6" exp="area" dr="$S$60:$S$318" r="F13" sId="1"/>
    <undo index="4" exp="area" dr="$D$60:$D$318" r="F13" sId="1"/>
    <undo index="3" exp="area" dr="$Z$60:$Z$318" r="F13" sId="1"/>
    <undo index="11" exp="area" dr="$AA$60:$AA$318" r="E13" sId="1"/>
    <undo index="9" exp="area" dr="$S$60:$S$318" r="E13" sId="1"/>
    <undo index="7" exp="area" dr="$D$60:$D$318" r="E13" sId="1"/>
    <undo index="6" exp="area" dr="$X$60:$X$318" r="E13" sId="1"/>
    <undo index="3" exp="area" dr="$S$60:$S$318" r="E13" sId="1"/>
    <undo index="1" exp="area" dr="$D$60:$D$318" r="E13" sId="1"/>
    <undo index="0" exp="area" dr="$X$60:$X$318" r="E13" sId="1"/>
    <undo index="3" exp="area" dr="$S$60:$S$318" r="D13" sId="1"/>
    <undo index="1" exp="area" dr="$D$60:$D$318" r="D13" sId="1"/>
    <undo index="0" exp="area" dr="$W$60:$W$318" r="D13" sId="1"/>
    <undo index="14" exp="area" dr="$AA$60:$AA$318" r="F12" sId="1"/>
    <undo index="12" exp="area" dr="$S$60:$S$318" r="F12" sId="1"/>
    <undo index="10" exp="area" dr="$D$60:$D$318" r="F12" sId="1"/>
    <undo index="9" exp="area" dr="$Z$60:$Z$318" r="F12" sId="1"/>
    <undo index="6" exp="area" dr="$S$60:$S$318" r="F12" sId="1"/>
    <undo index="4" exp="area" dr="$D$60:$D$318" r="F12" sId="1"/>
    <undo index="3" exp="area" dr="$Z$60:$Z$318" r="F12" sId="1"/>
    <undo index="11" exp="area" dr="$AA$60:$AA$318" r="E12" sId="1"/>
    <undo index="9" exp="area" dr="$S$60:$S$318" r="E12" sId="1"/>
    <undo index="7" exp="area" dr="$D$60:$D$318" r="E12" sId="1"/>
    <undo index="6" exp="area" dr="$X$60:$X$318" r="E12" sId="1"/>
    <undo index="3" exp="area" dr="$S$60:$S$318" r="E12" sId="1"/>
    <undo index="1" exp="area" dr="$D$60:$D$318" r="E12" sId="1"/>
    <undo index="0" exp="area" dr="$X$60:$X$318" r="E12" sId="1"/>
    <undo index="3" exp="area" dr="$S$60:$S$318" r="D12" sId="1"/>
    <undo index="1" exp="area" dr="$D$60:$D$318" r="D12" sId="1"/>
    <undo index="0" exp="area" dr="$W$60:$W$318" r="D12" sId="1"/>
    <undo index="14" exp="area" dr="$AA$60:$AA$318" r="F11" sId="1"/>
    <undo index="12" exp="area" dr="$S$60:$S$318" r="F11" sId="1"/>
    <undo index="10" exp="area" dr="$D$60:$D$318" r="F11" sId="1"/>
    <undo index="9" exp="area" dr="$Z$60:$Z$318" r="F11" sId="1"/>
    <undo index="6" exp="area" dr="$S$60:$S$318" r="F11" sId="1"/>
    <undo index="4" exp="area" dr="$D$60:$D$318" r="F11" sId="1"/>
    <undo index="3" exp="area" dr="$Z$60:$Z$318" r="F11" sId="1"/>
    <undo index="11" exp="area" dr="$AA$60:$AA$318" r="E11" sId="1"/>
    <undo index="9" exp="area" dr="$S$60:$S$318" r="E11" sId="1"/>
    <undo index="7" exp="area" dr="$D$60:$D$318" r="E11" sId="1"/>
    <undo index="6" exp="area" dr="$X$60:$X$318" r="E11" sId="1"/>
    <undo index="3" exp="area" dr="$S$60:$S$318" r="E11" sId="1"/>
    <undo index="1" exp="area" dr="$D$60:$D$318" r="E11" sId="1"/>
    <undo index="0" exp="area" dr="$X$60:$X$318" r="E11" sId="1"/>
    <undo index="3" exp="area" dr="$S$60:$S$318" r="D11" sId="1"/>
    <undo index="1" exp="area" dr="$D$60:$D$318" r="D11" sId="1"/>
    <undo index="0" exp="area" dr="$W$60:$W$318" r="D11" sId="1"/>
    <undo index="14" exp="area" dr="$AA$60:$AA$318" r="F10" sId="1"/>
    <undo index="12" exp="area" dr="$S$60:$S$318" r="F10" sId="1"/>
    <undo index="10" exp="area" dr="$D$60:$D$318" r="F10" sId="1"/>
    <undo index="9" exp="area" dr="$Z$60:$Z$318" r="F10" sId="1"/>
    <undo index="6" exp="area" dr="$S$60:$S$318" r="F10" sId="1"/>
    <undo index="4" exp="area" dr="$D$60:$D$318" r="F10" sId="1"/>
    <undo index="3" exp="area" dr="$Z$60:$Z$318" r="F10" sId="1"/>
    <undo index="11" exp="area" dr="$AA$60:$AA$318" r="E10" sId="1"/>
    <undo index="9" exp="area" dr="$S$60:$S$318" r="E10" sId="1"/>
    <undo index="7" exp="area" dr="$D$60:$D$318" r="E10" sId="1"/>
    <undo index="6" exp="area" dr="$X$60:$X$318" r="E10" sId="1"/>
    <undo index="3" exp="area" dr="$S$60:$S$318" r="E10" sId="1"/>
    <undo index="1" exp="area" dr="$D$60:$D$318" r="E10" sId="1"/>
    <undo index="0" exp="area" dr="$X$60:$X$318" r="E10" sId="1"/>
    <undo index="3" exp="area" dr="$S$60:$S$318" r="D10" sId="1"/>
    <undo index="1" exp="area" dr="$D$60:$D$318" r="D10" sId="1"/>
    <undo index="0" exp="area" dr="$W$60:$W$318" r="D10" sId="1"/>
    <undo index="14" exp="area" dr="$AA$60:$AA$318" r="F9" sId="1"/>
    <undo index="12" exp="area" dr="$S$60:$S$318" r="F9" sId="1"/>
    <undo index="10" exp="area" dr="$D$60:$D$318" r="F9" sId="1"/>
    <undo index="9" exp="area" dr="$Z$60:$Z$318" r="F9" sId="1"/>
    <undo index="6" exp="area" dr="$S$60:$S$318" r="F9" sId="1"/>
    <undo index="4" exp="area" dr="$D$60:$D$318" r="F9" sId="1"/>
    <undo index="3" exp="area" dr="$Z$60:$Z$318" r="F9" sId="1"/>
    <undo index="11" exp="area" dr="$AA$60:$AA$318" r="E9" sId="1"/>
    <undo index="9" exp="area" dr="$S$60:$S$318" r="E9" sId="1"/>
    <undo index="7" exp="area" dr="$D$60:$D$318" r="E9" sId="1"/>
    <undo index="6" exp="area" dr="$X$60:$X$318" r="E9" sId="1"/>
    <undo index="3" exp="area" dr="$S$60:$S$318" r="E9" sId="1"/>
    <undo index="1" exp="area" dr="$D$60:$D$318" r="E9" sId="1"/>
    <undo index="0" exp="area" dr="$X$60:$X$318" r="E9" sId="1"/>
    <undo index="3" exp="area" dr="$S$60:$S$318" r="D9" sId="1"/>
    <undo index="1" exp="area" dr="$D$60:$D$318" r="D9" sId="1"/>
    <undo index="0" exp="area" dr="$W$60:$W$318" r="D9" sId="1"/>
    <undo index="14" exp="area" dr="$AA$60:$AA$318" r="F8" sId="1"/>
    <undo index="12" exp="area" dr="$S$60:$S$318" r="F8" sId="1"/>
    <undo index="10" exp="area" dr="$D$60:$D$318" r="F8" sId="1"/>
    <undo index="9" exp="area" dr="$Z$60:$Z$318" r="F8" sId="1"/>
    <undo index="6" exp="area" dr="$S$60:$S$318" r="F8" sId="1"/>
    <undo index="4" exp="area" dr="$D$60:$D$318" r="F8" sId="1"/>
    <undo index="3" exp="area" dr="$Z$60:$Z$318" r="F8" sId="1"/>
    <undo index="11" exp="area" dr="$AA$60:$AA$318" r="E8" sId="1"/>
    <undo index="9" exp="area" dr="$S$60:$S$318" r="E8" sId="1"/>
    <undo index="7" exp="area" dr="$D$60:$D$318" r="E8" sId="1"/>
    <undo index="6" exp="area" dr="$X$60:$X$318" r="E8" sId="1"/>
    <undo index="3" exp="area" dr="$S$60:$S$318" r="E8" sId="1"/>
    <undo index="1" exp="area" dr="$D$60:$D$318" r="E8" sId="1"/>
    <undo index="0" exp="area" dr="$X$60:$X$318" r="E8" sId="1"/>
    <undo index="3" exp="area" dr="$S$60:$S$318" r="D8" sId="1"/>
    <undo index="1" exp="area" dr="$D$60:$D$318" r="D8" sId="1"/>
    <undo index="0" exp="area" dr="$W$60:$W$318" r="D8" sId="1"/>
    <undo index="14" exp="area" dr="$AA$60:$AA$318" r="F7" sId="1"/>
    <undo index="12" exp="area" dr="$S$60:$S$318" r="F7" sId="1"/>
    <undo index="10" exp="area" dr="$D$60:$D$318" r="F7" sId="1"/>
    <undo index="9" exp="area" dr="$Z$60:$Z$318" r="F7" sId="1"/>
    <undo index="6" exp="area" dr="$S$60:$S$318" r="F7" sId="1"/>
    <undo index="4" exp="area" dr="$D$60:$D$318" r="F7" sId="1"/>
    <undo index="3" exp="area" dr="$Z$60:$Z$318" r="F7" sId="1"/>
    <undo index="11" exp="area" dr="$AA$60:$AA$318" r="E7" sId="1"/>
    <undo index="9" exp="area" dr="$S$60:$S$318" r="E7" sId="1"/>
    <undo index="7" exp="area" dr="$D$60:$D$318" r="E7" sId="1"/>
    <undo index="6" exp="area" dr="$X$60:$X$318" r="E7" sId="1"/>
    <undo index="3" exp="area" dr="$S$60:$S$318" r="E7" sId="1"/>
    <undo index="1" exp="area" dr="$D$60:$D$318" r="E7" sId="1"/>
    <undo index="0" exp="area" dr="$X$60:$X$318" r="E7" sId="1"/>
    <undo index="3" exp="area" dr="$S$60:$S$318" r="D7" sId="1"/>
    <undo index="1" exp="area" dr="$D$60:$D$318" r="D7" sId="1"/>
    <undo index="0" exp="area" dr="$W$60:$W$318" r="D7" sId="1"/>
    <undo index="14" exp="area" dr="$AA$60:$AA$318" r="F6" sId="1"/>
    <undo index="12" exp="area" dr="$S$60:$S$318" r="F6" sId="1"/>
    <undo index="10" exp="area" dr="$D$60:$D$318" r="F6" sId="1"/>
    <undo index="9" exp="area" dr="$Z$60:$Z$318" r="F6" sId="1"/>
    <undo index="6" exp="area" dr="$S$60:$S$318" r="F6" sId="1"/>
    <undo index="4" exp="area" dr="$D$60:$D$318" r="F6" sId="1"/>
    <undo index="3" exp="area" dr="$Z$60:$Z$318" r="F6" sId="1"/>
    <undo index="11" exp="area" dr="$AA$60:$AA$318" r="E6" sId="1"/>
    <undo index="9" exp="area" dr="$S$60:$S$318" r="E6" sId="1"/>
    <undo index="7" exp="area" dr="$D$60:$D$318" r="E6" sId="1"/>
    <undo index="6" exp="area" dr="$X$60:$X$318" r="E6" sId="1"/>
    <undo index="3" exp="area" dr="$S$60:$S$318" r="E6" sId="1"/>
    <undo index="1" exp="area" dr="$D$60:$D$318" r="E6" sId="1"/>
    <undo index="0" exp="area" dr="$X$60:$X$318" r="E6" sId="1"/>
    <undo index="3" exp="area" dr="$S$60:$S$318" r="D6" sId="1"/>
    <undo index="1" exp="area" dr="$D$60:$D$318" r="D6" sId="1"/>
    <undo index="0" exp="area" dr="$W$60:$W$318" r="D6" sId="1"/>
    <undo index="14" exp="area" dr="$AA$60:$AA$318" r="F5" sId="1"/>
    <undo index="12" exp="area" dr="$S$60:$S$318" r="F5" sId="1"/>
    <undo index="10" exp="area" dr="$D$60:$D$318" r="F5" sId="1"/>
    <undo index="9" exp="area" dr="$Z$60:$Z$318" r="F5" sId="1"/>
    <undo index="6" exp="area" dr="$S$60:$S$318" r="F5" sId="1"/>
    <undo index="4" exp="area" dr="$D$60:$D$318" r="F5" sId="1"/>
    <undo index="3" exp="area" dr="$Z$60:$Z$318" r="F5" sId="1"/>
    <undo index="11" exp="area" dr="$AA$60:$AA$318" r="E5" sId="1"/>
    <undo index="9" exp="area" dr="$S$60:$S$318" r="E5" sId="1"/>
    <undo index="7" exp="area" dr="$D$60:$D$318" r="E5" sId="1"/>
    <undo index="6" exp="area" dr="$X$60:$X$318" r="E5" sId="1"/>
    <undo index="3" exp="area" dr="$S$60:$S$318" r="E5" sId="1"/>
    <undo index="1" exp="area" dr="$D$60:$D$318" r="E5" sId="1"/>
    <undo index="0" exp="area" dr="$X$60:$X$318" r="E5" sId="1"/>
    <undo index="3" exp="area" dr="$S$60:$S$318" r="D5" sId="1"/>
    <undo index="1" exp="area" dr="$D$60:$D$318" r="D5" sId="1"/>
    <undo index="0" exp="area" dr="$W$60:$W$318" r="D5" sId="1"/>
    <undo index="14" exp="area" dr="$AA$60:$AA$318" r="F4" sId="1"/>
    <undo index="12" exp="area" dr="$S$60:$S$318" r="F4" sId="1"/>
    <undo index="10" exp="area" dr="$D$60:$D$318" r="F4" sId="1"/>
    <undo index="9" exp="area" dr="$Z$60:$Z$318" r="F4" sId="1"/>
    <undo index="6" exp="area" dr="$S$60:$S$318" r="F4" sId="1"/>
    <undo index="4" exp="area" dr="$D$60:$D$318" r="F4" sId="1"/>
    <undo index="3" exp="area" dr="$Z$60:$Z$318" r="F4" sId="1"/>
    <undo index="11" exp="area" dr="$AA$60:$AA$318" r="E4" sId="1"/>
    <undo index="9" exp="area" dr="$S$60:$S$318" r="E4" sId="1"/>
    <undo index="7" exp="area" dr="$D$60:$D$318" r="E4" sId="1"/>
    <undo index="6" exp="area" dr="$X$60:$X$318" r="E4" sId="1"/>
    <undo index="3" exp="area" dr="$S$60:$S$318" r="E4" sId="1"/>
    <undo index="1" exp="area" dr="$D$60:$D$318" r="E4" sId="1"/>
    <undo index="0" exp="area" dr="$X$60:$X$318" r="E4" sId="1"/>
    <undo index="3" exp="area" dr="$S$60:$S$318" r="D4" sId="1"/>
    <undo index="1" exp="area" dr="$D$60:$D$318" r="D4" sId="1"/>
    <undo index="0" exp="area" dr="$W$60:$W$318" r="D4" sId="1"/>
    <undo index="0" exp="area" ref3D="1" dr="$B$59:$AN$318" dn="Z_C31051D7_AFC0_459C_A71B_F502AC13F27D_.wvu.FilterData" sId="1"/>
    <undo index="0" exp="area" ref3D="1" dr="$B$59:$AN$318" dn="Z_F8AC5957_DF1E_44B6_924E_E29F60EEF58B_.wvu.FilterData" sId="1"/>
    <undo index="0" exp="area" ref3D="1" dr="$B$59:$AN$318" dn="Z_902B3045_8312_4929_92C6_F486D7649C91_.wvu.FilterData" sId="1"/>
    <undo index="0" exp="area" ref3D="1" dr="$B$59:$AN$318" dn="Z_200A608B_BA79_454E_9949_704CDEBCBE02_.wvu.FilterData" sId="1"/>
    <undo index="0" exp="area" ref3D="1" dr="$B$59:$AN$318" dn="Z_4220BD7A_5279_44B7_9128_8036388EB893_.wvu.FilterData" sId="1"/>
    <undo index="0" exp="area" ref3D="1" dr="$B$59:$AN$318" dn="Z_7EB9A7E8_B517_43E6_B1A9_EE4F88D95676_.wvu.FilterData" sId="1"/>
    <undo index="0" exp="area" ref3D="1" dr="$B$59:$AN$318" dn="Z_BB0D45F8_2221_4F41_ADDE_560121F7F728_.wvu.FilterData" sId="1"/>
    <undo index="0" exp="area" ref3D="1" dr="$B$59:$AN$318" dn="Z_26B03FE1_7816_4BFE_A93D_ED2084BAE8F0_.wvu.FilterData" sId="1"/>
    <undo index="0" exp="area" ref3D="1" dr="$B$59:$AN$318" dn="Z_7DCD15CB_DC85_44A5_822F_78442A4740F8_.wvu.FilterData" sId="1"/>
    <undo index="0" exp="area" ref3D="1" dr="$A$59:$AN$318" dn="Z_E12EC836_80E0_45EE_A6D0_34069B8708A0_.wvu.FilterData" sId="1"/>
    <undo index="0" exp="area" ref3D="1" dr="$A$59:$AN$318" dn="Z_E06730C8_417E_4BF4_B51A_53DDC930E9E9_.wvu.FilterData" sId="1"/>
    <undo index="0" exp="area" ref3D="1" dr="$A$59:$AN$318" dn="Z_DFD986E7_AAC3_43E9_B4BE_C5FE92B23FBE_.wvu.FilterData" sId="1"/>
    <undo index="0" exp="area" ref3D="1" dr="$A$59:$AN$318" dn="Z_DDDADFC2_892F_4575_9FB5_7FE71276432C_.wvu.FilterData" sId="1"/>
    <undo index="0" exp="area" ref3D="1" dr="$A$59:$AN$318" dn="Z_DA7942D6_CB98_4540_885F_D4B3DDB4C3BC_.wvu.FilterData" sId="1"/>
    <undo index="0" exp="area" ref3D="1" dr="$B$59:$AN$318" dn="Z_DDB52F07_9CA6_4C4D_B256_178082EC8245_.wvu.FilterData" sId="1"/>
    <undo index="0" exp="area" ref3D="1" dr="$A$59:$AN$318" dn="Z_E00A38E8_FC2F_43F8_AE31_79E0D2D16894_.wvu.FilterData" sId="1"/>
    <undo index="0" exp="area" ref3D="1" dr="$B$59:$AN$318" dn="Z_DB3D53BC_032F_471F_94FC_E9876370C211_.wvu.FilterData" sId="1"/>
    <undo index="0" exp="area" ref3D="1" dr="$A$59:$AN$318" dn="Z_DCB49D15_4EC2_40E2_99C4_E04CD61EACEB_.wvu.FilterData" sId="1"/>
    <undo index="0" exp="area" ref3D="1" dr="$B$59:$AN$318" dn="Z_E0F05845_7B3E_4BDE_9641_919043CF8853_.wvu.FilterData" sId="1"/>
    <undo index="0" exp="area" ref3D="1" dr="$A$59:$AN$318" dn="Z_DF988CF1_FD31_448D_A2C9_E8188E54B2EB_.wvu.FilterData" sId="1"/>
    <undo index="0" exp="area" ref3D="1" dr="$A$59:$AN$318" dn="Z_DD788658_D329_4BC9_A4CF_42A7BA14B6A8_.wvu.FilterData" sId="1"/>
    <undo index="0" exp="area" ref3D="1" dr="$B$59:$AN$318" dn="Z_DA60DB17_D662_44C5_A44E_0215B156F1CB_.wvu.FilterData" sId="1"/>
    <undo index="0" exp="area" ref3D="1" dr="$B$59:$AN$318" dn="Z_DE7792AA_5050_4583_A5BB_E5DDC52489C5_.wvu.FilterData" sId="1"/>
    <undo index="0" exp="area" ref3D="1" dr="$A$59:$AN$318" dn="Z_D9FBC216_2016_4058_8B49_FABCA0D9F73F_.wvu.FilterData" sId="1"/>
    <undo index="0" exp="area" ref3D="1" dr="$A$59:$AN$318" dn="Z_E11D25D0_2BF3_48B3_9FBC_3B6D0D0AF949_.wvu.FilterData" sId="1"/>
    <undo index="0" exp="area" ref3D="1" dr="$A$59:$AN$318" dn="Z_E11762FF_53FC_47CD_8FED_E01CCAF12BA9_.wvu.FilterData" sId="1"/>
    <undo index="0" exp="area" ref3D="1" dr="$A$59:$AN$318" dn="Z_E058DDBE_ED0A_4CA8_8C04_26D1B7AA285A_.wvu.FilterData" sId="1"/>
    <undo index="0" exp="area" ref3D="1" dr="$A$59:$AN$318" dn="Z_E05C2F43_CE08_45DC_B1B4_839ACC60C017_.wvu.FilterData" sId="1"/>
    <undo index="0" exp="area" ref3D="1" dr="$A$59:$AN$318" dn="Z_D6B6CCCC_9FFF_4FFF_98B0_4EA5B228ED4B_.wvu.FilterData" sId="1"/>
    <undo index="0" exp="area" ref3D="1" dr="$B$59:$AN$318" dn="Z_D3768440_23CD_4BDD_84C8_BCAA56955537_.wvu.FilterData" sId="1"/>
    <undo index="0" exp="area" ref3D="1" dr="$A$59:$AN$318" dn="Z_D5495B41_8856_434C_AE51_6C7F28A4892B_.wvu.FilterData" sId="1"/>
    <undo index="0" exp="area" ref3D="1" dr="$A$59:$AN$318" dn="Z_D38342FB_44F2_4C40_B39A_DFD93C1F7369_.wvu.FilterData" sId="1"/>
    <undo index="0" exp="area" ref3D="1" dr="$B$59:$AN$318" dn="Z_D2D6ED81_7AE6_43BD_A723_27C9E276BA56_.wvu.FilterData" sId="1"/>
    <undo index="0" exp="area" ref3D="1" dr="$B$59:$AN$318" dn="Z_D4D31799_D309_49FE_A753_935575949FDF_.wvu.FilterData" sId="1"/>
    <undo index="0" exp="area" ref3D="1" dr="$B$59:$AN$318" dn="Z_D48A7008_0664_41CA_847E_E3D860D8CAB6_.wvu.FilterData" sId="1"/>
    <undo index="0" exp="area" ref3D="1" dr="$B$59:$AN$318" dn="Z_D41295E5_0507_4FFC_9DE6_9C52285F0275_.wvu.FilterData" sId="1"/>
    <undo index="0" exp="area" ref3D="1" dr="$A$59:$AN$318" dn="Z_D96D1389_4C8F_47A3_9E16_746F53899CC4_.wvu.FilterData" sId="1"/>
    <undo index="0" exp="area" ref3D="1" dr="$A$59:$AN$318" dn="Z_D51A5667_5F84_4600_90D6_6E29813D4C84_.wvu.FilterData" sId="1"/>
    <undo index="0" exp="area" ref3D="1" dr="$A$59:$AN$318" dn="Z_D5DA6DDF_3700_45A0_A688_A8C6200B4E00_.wvu.FilterData" sId="1"/>
    <undo index="0" exp="area" ref3D="1" dr="$B$59:$AN$318" dn="Z_D872AF61_C529_4DF8_A0AD_23C1DBB7ABFF_.wvu.FilterData" sId="1"/>
    <undo index="0" exp="area" ref3D="1" dr="$B$59:$AN$318" dn="Z_D77D42D4_806B_4CB1_A5B6_310D2AD130D5_.wvu.FilterData" sId="1"/>
    <undo index="0" exp="area" ref3D="1" dr="$B$59:$AN$318" dn="Z_D2C2B472_7F3F_4296_8659_57FFE58045BE_.wvu.FilterData" sId="1"/>
    <undo index="0" exp="area" ref3D="1" dr="$A$59:$AN$318" dn="Z_D77CCEF1_8D3A_4E1F_984B_678440D6A2B2_.wvu.FilterData" sId="1"/>
    <undo index="0" exp="area" ref3D="1" dr="$B$59:$AN$318" dn="Z_D33AC7AF_C8AB_4CE9_94C7_9237011A5FC3_.wvu.FilterData" sId="1"/>
    <undo index="0" exp="area" ref3D="1" dr="$A$59:$AN$318" dn="Z_D68AA120_23E6_4E33_B593_B08CB8C9A9E2_.wvu.FilterData" sId="1"/>
    <undo index="0" exp="area" ref3D="1" dr="$B$59:$AN$318" dn="Z_D6D5D4A0_EDE2_446E_BA1C_410355A487AD_.wvu.FilterData" sId="1"/>
    <undo index="0" exp="area" ref3D="1" dr="$B$59:$AN$318" dn="Z_D02104D3_51B8_4533_A2F3_8DEEA8EA85DE_.wvu.FilterData" sId="1"/>
    <undo index="0" exp="area" ref3D="1" dr="$A$59:$AN$318" dn="Z_CFABF19D_46C3_4F13_A4CA_B725B7531F6C_.wvu.FilterData" sId="1"/>
    <undo index="0" exp="area" ref3D="1" dr="$A$59:$AN$318" dn="Z_CEA010CE_4499_4072_B3D6_4AE9AD81ECB0_.wvu.FilterData" sId="1"/>
    <undo index="0" exp="area" ref3D="1" dr="$A$59:$AN$318" dn="Z_CDF410FC_A9B8_4825_8C51_CB863DAD9EB0_.wvu.FilterData" sId="1"/>
    <undo index="0" exp="area" ref3D="1" dr="$A$59:$AN$318" dn="Z_CEF5B96F_2009_4B95_B046_8EF92D34D1B5_.wvu.FilterData" sId="1"/>
    <undo index="0" exp="area" ref3D="1" dr="$B$59:$AN$318" dn="Z_CFDF51A4_31D6_4E09_9872_4D69918FBCA4_.wvu.FilterData" sId="1"/>
    <undo index="0" exp="area" ref3D="1" dr="$A$59:$AN$318" dn="Z_CDDB73FF_BA79_4055_9DF2_59D856F9CE75_.wvu.FilterData" sId="1"/>
    <undo index="0" exp="area" ref3D="1" dr="$A$59:$AN$318" dn="Z_CE6E4FDD_C5AA_420F_AF49_516E16308BAD_.wvu.FilterData" sId="1"/>
    <undo index="0" exp="area" ref3D="1" dr="$A$59:$AN$318" dn="Z_D15FC6DE_9D87_4831_81DE_4BABFC901C15_.wvu.FilterData" sId="1"/>
    <undo index="0" exp="area" ref3D="1" dr="$A$59:$AN$318" dn="Z_CF789F89_E944_4123_99BC_A68BDCD5854E_.wvu.FilterData" sId="1"/>
    <undo index="0" exp="area" ref3D="1" dr="$A$59:$AN$318" dn="Z_CE1AD879_4E3E_419F_98AE_AEB21B971F2A_.wvu.FilterData" sId="1"/>
    <undo index="0" exp="area" ref3D="1" dr="$A$59:$AN$318" dn="Z_CE53B601_5089_4DCD_884E_E31984E57AA7_.wvu.FilterData" sId="1"/>
    <undo index="0" exp="area" ref3D="1" dr="$A$59:$AN$318" dn="Z_D118D28E_7F46_4D74_8DB6_77DA9E1E650B_.wvu.FilterData" sId="1"/>
    <undo index="0" exp="area" ref3D="1" dr="$A$59:$AN$318" dn="Z_CF1D8F03_CC7A_41AC_BA77_166210383B5E_.wvu.FilterData" sId="1"/>
    <undo index="0" exp="area" ref3D="1" dr="$A$59:$AN$318" dn="Z_CE2EDACD_AA27_49A1_A4CC_4160D8E5B192_.wvu.FilterData" sId="1"/>
    <undo index="0" exp="area" ref3D="1" dr="$B$59:$AN$318" dn="Z_D086E2C8_DBDB_447C_AEAF_4D570D675B0D_.wvu.FilterData" sId="1"/>
    <undo index="0" exp="area" ref3D="1" dr="$A$59:$AN$318" dn="Z_CDC7ACBF_254D_4A76_93CF_497958E2EE6E_.wvu.FilterData" sId="1"/>
    <undo index="0" exp="area" ref3D="1" dr="$A$59:$AN$318" dn="Z_CC3F580C_15C7_4259_B4F0_2E2F4C5CDBDE_.wvu.FilterData" sId="1"/>
    <undo index="0" exp="area" ref3D="1" dr="$A$59:$AN$318" dn="Z_CDBB1A2A_231D_4FFC_9270_4805D06A351E_.wvu.FilterData" sId="1"/>
    <undo index="0" exp="area" ref3D="1" dr="$B$59:$AN$318" dn="Z_CD235416_A5FA_481B_8E55_C60A832823B9_.wvu.FilterData" sId="1"/>
    <undo index="0" exp="area" ref3D="1" dr="$A$59:$AN$318" dn="Z_CCDFBF79_6FDD_4C1F_AB4A_4290ECEF9616_.wvu.FilterData" sId="1"/>
    <undo index="0" exp="area" ref3D="1" dr="$B$59:$AN$318" dn="Z_C94451EF_7A3E_4D72_B5A4_3D1B193192CC_.wvu.FilterData" sId="1"/>
    <undo index="0" exp="area" ref3D="1" dr="$A$59:$AN$318" dn="Z_CA610046_2946_4C6D_A575_B33B2261CDA0_.wvu.FilterData" sId="1"/>
    <undo index="0" exp="area" ref3D="1" dr="$A$59:$AN$318" dn="Z_CD8071F6_CC78_4F59_9D6B_4643D9AFD4AA_.wvu.FilterData" sId="1"/>
    <undo index="0" exp="area" ref3D="1" dr="$A$59:$AN$318" dn="Z_CCF61B3D_8C0C_49D1_86D5_25AF34E23F89_.wvu.FilterData" sId="1"/>
    <undo index="0" exp="area" ref3D="1" dr="$A$59:$AN$318" dn="Z_CC487568_3956_4F08_A6E4_B2BC54D2ECDB_.wvu.FilterData" sId="1"/>
    <undo index="0" exp="area" ref3D="1" dr="$A$59:$AN$318" dn="Z_CB878EEF_D456_4AC2_A47A_33FB11DA205A_.wvu.FilterData" sId="1"/>
    <undo index="0" exp="area" ref3D="1" dr="$A$59:$AN$318" dn="Z_CB2D8F44_72B6_4784_85C6_8C82D3B41596_.wvu.FilterData" sId="1"/>
    <undo index="0" exp="area" ref3D="1" dr="$A$59:$AN$318" dn="Z_C994653C_BDA0_4559_9402_FC0E5CB19FE6_.wvu.FilterData" sId="1"/>
    <undo index="0" exp="area" ref3D="1" dr="$A$59:$AN$318" dn="Z_C477A7B9_FAF8_4542_B07F_F4099E2D59B5_.wvu.FilterData" sId="1"/>
    <undo index="0" exp="area" ref3D="1" dr="$A$59:$AN$318" dn="Z_C3AF598E_C6CA_49E7_949E_5CFC6B5DAC8E_.wvu.FilterData" sId="1"/>
    <undo index="0" exp="area" ref3D="1" dr="$A$59:$AN$318" dn="Z_C2CCA076_8851_43CC_9A1E_2FD22C7E2390_.wvu.FilterData" sId="1"/>
    <undo index="0" exp="area" ref3D="1" dr="$A$59:$AN$318" dn="Z_C2E07036_503C_47A6_8849_1E5951B99899_.wvu.FilterData" sId="1"/>
    <undo index="0" exp="area" ref3D="1" dr="$A$59:$AN$318" dn="Z_C23B4670_A03E_4935_A5AE_6ADF7F3ACA1F_.wvu.FilterData" sId="1"/>
    <undo index="0" exp="area" ref3D="1" dr="$A$59:$AN$318" dn="Z_C040E5A8_52D5_4EAD_AE14_E299EEBFA450_.wvu.FilterData" sId="1"/>
    <undo index="0" exp="area" ref3D="1" dr="$A$59:$AN$318" dn="Z_C6889E15_1A62_4F54_A8B7_B3679CC028D9_.wvu.FilterData" sId="1"/>
    <undo index="0" exp="area" ref3D="1" dr="$B$59:$AN$318" dn="Z_C50D12DF_6C69_4124_8F27_C26236140C8D_.wvu.FilterData" sId="1"/>
    <undo index="0" exp="area" ref3D="1" dr="$B$59:$AN$318" dn="Z_C36428D0_4662_4A3F_8269_04B9F62FB882_.wvu.FilterData" sId="1"/>
    <undo index="0" exp="area" ref3D="1" dr="$A$59:$AN$318" dn="Z_C3B4C962_046C_447F_94C1_3E742479F259_.wvu.FilterData" sId="1"/>
    <undo index="0" exp="area" ref3D="1" dr="$B$59:$AN$318" dn="Z_C2BC807A_4231_4D9F_A0E3_91083B1E2121_.wvu.FilterData" sId="1"/>
    <undo index="0" exp="area" ref3D="1" dr="$B$59:$AN$318" dn="Z_BCE99E97_CE8F_4575_BF43_E13B513D810F_.wvu.FilterData" sId="1"/>
    <undo index="0" exp="area" ref3D="1" dr="$A$59:$AN$318" dn="Z_BE2C4139_45FB_4F61_B94D_DB5662A7B828_.wvu.FilterData" sId="1"/>
    <undo index="0" exp="area" ref3D="1" dr="$B$59:$AN$318" dn="Z_BC9E3217_B55A_4318_BC37_B4A44F3EFD84_.wvu.FilterData" sId="1"/>
    <undo index="0" exp="area" ref3D="1" dr="$A$59:$AN$318" dn="Z_BEDDEF76_28AB_4A0B_BC4B_8B6473A05FB8_.wvu.FilterData" sId="1"/>
    <undo index="0" exp="area" ref3D="1" dr="$A$59:$AN$318" dn="Z_BFA91855_D249_42DF_9643_A4925F317283_.wvu.FilterData" sId="1"/>
    <undo index="0" exp="area" ref3D="1" dr="$A$59:$AN$318" dn="Z_BC0ABD15_012F_43E9_B656_1AF96E1EC960_.wvu.FilterData" sId="1"/>
    <undo index="0" exp="area" ref3D="1" dr="$B$59:$AN$318" dn="Z_BF1F7491_F461_4810_B06E_8AF629E4946B_.wvu.FilterData" sId="1"/>
    <undo index="0" exp="area" ref3D="1" dr="$B$59:$AN$318" dn="Z_BBF1917C_086C_4375_B9C9_44D06983F7F5_.wvu.FilterData" sId="1"/>
    <undo index="0" exp="area" ref3D="1" dr="$A$59:$AN$318" dn="Z_BEEF2F45_0C55_4CE8_9EFB_543C69F3213D_.wvu.FilterData" sId="1"/>
    <undo index="0" exp="area" ref3D="1" dr="$A$59:$AN$318" dn="Z_BD8FF058_B31E_4C72_A923_312AF439B99F_.wvu.FilterData" sId="1"/>
    <undo index="0" exp="area" ref3D="1" dr="$A$59:$AN$318" dn="Z_BE7BA0FA_2892_4827_BA29_74B6E16E353B_.wvu.FilterData" sId="1"/>
    <undo index="0" exp="area" ref3D="1" dr="$A$59:$AN$318" dn="Z_BDB7F577_AD1D_4527_B4B3_1BDA43ED5ABB_.wvu.FilterData" sId="1"/>
    <undo index="0" exp="area" ref3D="1" dr="$A$59:$AN$318" dn="Z_BEE26344_5F89_46BE_ADCC_85D6BF33A053_.wvu.FilterData" sId="1"/>
    <undo index="0" exp="area" ref3D="1" dr="$A$59:$AN$318" dn="Z_B54D8A4B_BE39_481D_84D7_4F280C2EA516_.wvu.FilterData" sId="1"/>
    <undo index="0" exp="area" ref3D="1" dr="$B$59:$AN$318" dn="Z_B3CBA697_396C_49AA_95DB_637C81CB8DF9_.wvu.FilterData" sId="1"/>
    <undo index="0" exp="area" ref3D="1" dr="$B$59:$AN$318" dn="Z_B499B82B_96ED_4CBF_BFE1_5CA7DAD3BC0F_.wvu.FilterData" sId="1"/>
    <undo index="0" exp="area" ref3D="1" dr="$A$59:$AN$318" dn="Z_B79C9779_79E7_4967_9F57_FA2282BD4D08_.wvu.FilterData" sId="1"/>
    <undo index="0" exp="area" ref3D="1" dr="$B$59:$AN$318" dn="Z_BAA03A74_DBB5_4360_8A5A_7F67B14FB70B_.wvu.FilterData" sId="1"/>
    <undo index="0" exp="area" ref3D="1" dr="$A$59:$AN$318" dn="Z_B91F8F80_1E41_4E6C_9709_D19696E1443D_.wvu.FilterData" sId="1"/>
    <undo index="0" exp="area" ref3D="1" dr="$B$59:$AN$318" dn="Z_B532AA05_9EB4_46DE_A45A_E34C29A069AA_.wvu.FilterData" sId="1"/>
    <undo index="0" exp="area" ref3D="1" dr="$A$59:$AN$318" dn="Z_B8A226AA_4E0E_4D2F_B0B1_CAC5B7F3C8A1_.wvu.FilterData" sId="1"/>
    <undo index="0" exp="area" ref3D="1" dr="$A$59:$AN$318" dn="Z_B72E275A_6F24_41A1_9C6B_D2DDECD287BC_.wvu.FilterData" sId="1"/>
    <undo index="0" exp="area" ref3D="1" dr="$A$59:$AN$318" dn="Z_B5BFFC65_D8AA_4F24_A457_30C4D3425FDB_.wvu.FilterData" sId="1"/>
    <undo index="0" exp="area" ref3D="1" dr="$A$59:$AN$318" dn="Z_B4A86492_91CA_4B88_905A_7180E7C62EB2_.wvu.FilterData" sId="1"/>
    <undo index="0" exp="area" ref3D="1" dr="$A$59:$AN$318" dn="Z_A836B445_4F59_4535_9297_85C0D2ED9ECD_.wvu.FilterData" sId="1"/>
    <undo index="0" exp="area" ref3D="1" dr="$A$59:$AN$318" dn="Z_A7D380F0_390E_41B2_8D7C_8A5C5BADE80E_.wvu.FilterData" sId="1"/>
    <undo index="0" exp="area" ref3D="1" dr="$A$59:$AN$318" dn="Z_A546423F_1F1A_4C80_A6E5_B1F632CC0E97_.wvu.FilterData" sId="1"/>
    <undo index="0" exp="area" ref3D="1" dr="$A$59:$AN$318" dn="Z_A87FFE3F_77FF_433C_8CA8_6171BAB76800_.wvu.FilterData" sId="1"/>
    <undo index="0" exp="area" ref3D="1" dr="$A$59:$AN$318" dn="Z_A872A925_F97A_4BCF_ADA0_5A890430B25E_.wvu.FilterData" sId="1"/>
    <undo index="0" exp="area" ref3D="1" dr="$A$59:$AN$318" dn="Z_A69D5879_F20E_424D_BE9A_D2AC0F4120BC_.wvu.FilterData" sId="1"/>
    <undo index="0" exp="area" ref3D="1" dr="$B$59:$AN$318" dn="Z_A663A7DA_D86D_4DEF_9BFD_5DB8AD74E021_.wvu.FilterData" sId="1"/>
    <undo index="0" exp="area" ref3D="1" dr="$B$59:$AN$318" dn="Z_A2ED90D5_0AE2_4182_9A3F_E75804CB6440_.wvu.FilterData" sId="1"/>
    <undo index="0" exp="area" ref3D="1" dr="$A$59:$AN$318" dn="Z_A2E8CE38_D15E_4374_89B2_69D9421C4465_.wvu.FilterData" sId="1"/>
    <undo index="0" exp="area" ref3D="1" dr="$B$59:$AN$318" dn="Z_9FCD0F21_6588_4820_B156_FD9CAB29A8E1_.wvu.FilterData" sId="1"/>
    <undo index="0" exp="area" ref3D="1" dr="$A$59:$AN$318" dn="Z_A2C66332_A809_458E_971B_FDB6D62C74C3_.wvu.FilterData" sId="1"/>
    <undo index="0" exp="area" ref3D="1" dr="$B$59:$AN$318" dn="Z_A2A917F4_F661_4683_88C9_57D64E10A4C2_.wvu.FilterData" sId="1"/>
    <undo index="0" exp="area" ref3D="1" dr="$B$59:$AN$318" dn="Z_A15A9366_E30F_41B7_BA75_6474B00ABCD6_.wvu.FilterData" sId="1"/>
    <undo index="0" exp="area" ref3D="1" dr="$B$59:$AN$318" dn="Z_A250327B_29D1_494C_9436_0B51910F3323_.wvu.FilterData" sId="1"/>
    <undo index="0" exp="area" ref3D="1" dr="$A$59:$AN$318" dn="Z_9E58552E_A9C9_4FDD_9351_27222DB502AD_.wvu.FilterData" sId="1"/>
    <undo index="0" exp="area" ref3D="1" dr="$B$59:$AN$318" dn="Z_A530D591_A56D_49B0_89DC_9DC0A415D13A_.wvu.FilterData" sId="1"/>
    <undo index="0" exp="area" ref3D="1" dr="$B$59:$AN$318" dn="Z_A0C8FF3D_B76B_442F_975B_965579239FA1_.wvu.FilterData" sId="1"/>
    <undo index="0" exp="area" ref3D="1" dr="$A$59:$AN$318" dn="Z_A01D47D5_089B_449D_8A98_708E8387C72E_.wvu.FilterData" sId="1"/>
    <undo index="0" exp="area" ref3D="1" dr="$A$59:$AN$318" dn="Z_A52B4186_3590_4AD1_9624_DC2A103B03AD_.wvu.FilterData" sId="1"/>
    <undo index="0" exp="area" ref3D="1" dr="$A$59:$AN$318" dn="Z_A50E4143_AF12_4C63_895C_11E0B566FC9F_.wvu.FilterData" sId="1"/>
    <undo index="0" exp="area" ref3D="1" dr="$A$59:$AN$318" dn="Z_A4C099B1_5E5F_4C56_A24C_DD6003681108_.wvu.FilterData" sId="1"/>
    <undo index="0" exp="area" ref3D="1" dr="$A$59:$AN$318" dn="Z_A3F6F405_A8BB_41EE_B64B_0C0A5F47BBB9_.wvu.FilterData" sId="1"/>
    <undo index="0" exp="area" ref3D="1" dr="$A$59:$AN$318" dn="Z_B2C38213_55F0_472A_9AC5_17E55E58FE85_.wvu.FilterData" sId="1"/>
    <undo index="0" exp="area" ref3D="1" dr="$B$59:$AN$318" dn="Z_B28746A6_3784_4E4C_9E3E_05917653FE5F_.wvu.FilterData" sId="1"/>
    <undo index="0" exp="area" ref3D="1" dr="$A$59:$AN$318" dn="Z_B11A962E_2A67_42C2_BEEE_79C17A6F4042_.wvu.FilterData" sId="1"/>
    <undo index="0" exp="area" ref3D="1" dr="$A$59:$AN$318" dn="Z_B1055908_6224_4011_925E_7C2E1172AE70_.wvu.FilterData" sId="1"/>
    <undo index="0" exp="area" ref3D="1" dr="$A$59:$AN$318" dn="Z_B2EC619E_F51B_483E_9AAF_517D4B41291A_.wvu.FilterData" sId="1"/>
    <undo index="0" exp="area" ref3D="1" dr="$A$59:$AN$318" dn="Z_B386F4D0_99CB_473C_A930_D441BD49F02F_.wvu.FilterData" sId="1"/>
    <undo index="0" exp="area" ref3D="1" dr="$A$59:$AN$318" dn="Z_B06D242B_D21C_41E5_82AB_BA350B34DB54_.wvu.FilterData" sId="1"/>
    <undo index="0" exp="area" ref3D="1" dr="$A$59:$AN$318" dn="Z_B3C63703_90C0_415A_9B74_0BAEBA645E35_.wvu.FilterData" sId="1"/>
    <undo index="0" exp="area" ref3D="1" dr="$B$59:$AN$318" dn="Z_B2C470A8_EA38_4E8A_AFC7_3088AC1C6257_.wvu.FilterData" sId="1"/>
    <undo index="0" exp="area" ref3D="1" dr="$A$59:$AN$318" dn="Z_AFC1A459_0CFD_449E_852E_780E257CA969_.wvu.FilterData" sId="1"/>
    <undo index="0" exp="area" ref3D="1" dr="$A$59:$AN$318" dn="Z_B047BE5B_FE60_48F0_9260_C39693686782_.wvu.FilterData" sId="1"/>
    <undo index="0" exp="area" ref3D="1" dr="$B$59:$AN$318" dn="Z_B0D4B0A9_441A_40CA_8004_F6D98B3003DF_.wvu.FilterData" sId="1"/>
    <undo index="0" exp="area" ref3D="1" dr="$A$59:$AN$318" dn="Z_B28487AD_1FF3_420C_9816_908EA83E5D3C_.wvu.FilterData" sId="1"/>
    <undo index="0" exp="area" ref3D="1" dr="$B$59:$AN$318" dn="Z_AF9F7688_81A2_4B02_A8EB_BF911C86CCD5_.wvu.FilterData" sId="1"/>
    <undo index="0" exp="area" ref3D="1" dr="$A$59:$AN$318" dn="Z_B21B93A4_DB8C_447E_A2B3_6FDA5FBC137D_.wvu.FilterData" sId="1"/>
    <undo index="0" exp="area" ref3D="1" dr="$B$59:$AN$318" dn="Z_B1BAE94B_9F00_4EF3_A8CE_FFF8D917D97C_.wvu.FilterData" sId="1"/>
    <undo index="0" exp="area" ref3D="1" dr="$B$59:$AN$318" dn="Z_A97F1F0F_D4DA_4DCF_90A4_C17A9941DAFC_.wvu.FilterData" sId="1"/>
    <undo index="0" exp="area" ref3D="1" dr="$B$59:$AN$318" dn="Z_AF60E8FC_E99A_4BA9_AE63_B01E44AC58AC_.wvu.FilterData" sId="1"/>
    <undo index="0" exp="area" ref3D="1" dr="$A$59:$AN$318" dn="Z_AF189699_1222_40FF_ACE8_2099FF14FAC9_.wvu.FilterData" sId="1"/>
    <undo index="0" exp="area" ref3D="1" dr="$A$59:$AN$318" dn="Z_AD8B49E8_87DC_4177_B177_5FFC62AFABB7_.wvu.FilterData" sId="1"/>
    <undo index="0" exp="area" ref3D="1" dr="$A$59:$AN$318" dn="Z_ADD81405_E6B7_41C3_A379_D812EDE6C6DE_.wvu.FilterData" sId="1"/>
    <undo index="0" exp="area" ref3D="1" dr="$A$59:$AN$318" dn="Z_AD27B5B3_C4F2_4AB4_889A_203E2C0A7B22_.wvu.FilterData" sId="1"/>
    <undo index="0" exp="area" ref3D="1" dr="$B$59:$AN$318" dn="Z_ABE1B979_D75D_42A3_AB3C_1BC48A1ABE90_.wvu.FilterData" sId="1"/>
    <undo index="0" exp="area" ref3D="1" dr="$B$59:$AN$318" dn="Z_AA08188C_4214_4528_ACD9_C2614CA84F28_.wvu.FilterData" sId="1"/>
    <undo index="0" exp="area" ref3D="1" dr="$A$59:$AN$318" dn="Z_AEE31DEF_6354_4D0B_A102_CB9D77D60F31_.wvu.FilterData" sId="1"/>
    <undo index="0" exp="area" ref3D="1" dr="$B$59:$AN$318" dn="Z_AC999F38_EF0E_452F_99C6_511671044A11_.wvu.FilterData" sId="1"/>
    <undo index="0" exp="area" ref3D="1" dr="$B$59:$AN$318" dn="Z_AB8A5668_D9AB_4435_929C_EC5CD32EE891_.wvu.FilterData" sId="1"/>
    <undo index="0" exp="area" ref3D="1" dr="$B$59:$AN$318" dn="Z_ADD46B79_F7F7_46DE_9772_2E93369E66DE_.wvu.FilterData" sId="1"/>
    <undo index="0" exp="area" ref3D="1" dr="$A$59:$AN$318" dn="Z_AF2C09E3_1A45_4560_8BFB_57F00F3CF600_.wvu.FilterData" sId="1"/>
    <undo index="0" exp="area" ref3D="1" dr="$B$59:$AN$318" dn="Z_AD31D473_ABF1_4543_84A5_D817CF174F0C_.wvu.FilterData" sId="1"/>
    <undo index="0" exp="area" ref3D="1" dr="$A$59:$AN$318" dn="Z_AD0FF98A_2F3B_40F7_861D_434AA89A29DD_.wvu.FilterData" sId="1"/>
    <undo index="0" exp="area" ref3D="1" dr="$B$59:$AN$318" dn="Z_8C93A640_930B_411B_8D78_081C9283D060_.wvu.FilterData" sId="1"/>
    <undo index="0" exp="area" ref3D="1" dr="$A$59:$AN$318" dn="Z_8CB29A5E_F3E2_44D5_BE30_104BB26C7D9C_.wvu.FilterData" sId="1"/>
    <undo index="0" exp="area" ref3D="1" dr="$A$59:$AN$318" dn="Z_90494C03_06F7_4356_89CC_B3784BF69957_.wvu.FilterData" sId="1"/>
    <undo index="0" exp="area" ref3D="1" dr="$A$59:$AN$318" dn="Z_8FEAAFE6_8C67_486F_AC34_94D895687376_.wvu.FilterData" sId="1"/>
    <undo index="0" exp="area" ref3D="1" dr="$A$59:$AN$318" dn="Z_8FCF9FED_56C4_4D1B_95E3_283C65014199_.wvu.FilterData" sId="1"/>
    <undo index="0" exp="area" ref3D="1" dr="$B$59:$AN$318" dn="Z_8CF9B453_4899_464D_85BD_71E4DD56D47A_.wvu.FilterData" sId="1"/>
    <undo index="0" exp="area" ref3D="1" dr="$B$59:$AN$318" dn="Z_8DDDD18D_E14B_46EA_A1C5_9CA812456655_.wvu.FilterData" sId="1"/>
    <undo index="0" exp="area" ref3D="1" dr="$B$59:$AN$318" dn="Z_8CE8B7C2_A72F_4E17_8707_E89EA28FE14C_.wvu.FilterData" sId="1"/>
    <undo index="0" exp="area" ref3D="1" dr="$A$59:$AN$318" dn="Z_8EE6330F_7335_462A_9FAF_1E7423CBB72C_.wvu.FilterData" sId="1"/>
    <undo index="0" exp="area" ref3D="1" dr="$A$59:$AN$318" dn="Z_893CD852_24B0_46B7_AEB7_74E4BB8E0F04_.wvu.FilterData" sId="1"/>
    <undo index="0" exp="area" ref3D="1" dr="$B$59:$AN$318" dn="Z_85A0930F_259C_45E1_BAE2_0EEDD0B3722A_.wvu.FilterData" sId="1"/>
    <undo index="0" exp="area" ref3D="1" dr="$A$59:$AN$318" dn="Z_890925D0_B636_4D3A_B874_B6C1F5A51B55_.wvu.FilterData" sId="1"/>
    <undo index="0" exp="area" ref3D="1" dr="$A$59:$AN$318" dn="Z_88EC7E9E_4CA5_4115_8116_60A420A5CA1D_.wvu.FilterData" sId="1"/>
    <undo index="0" exp="area" ref3D="1" dr="$A$59:$AN$318" dn="Z_86DAF2A7_1716_40A4_A48C_C8E7EF2E3819_.wvu.FilterData" sId="1"/>
    <undo index="0" exp="area" ref3D="1" dr="$B$59:$AN$318" dn="Z_88E33156_B4B4_46C5_9DEC_A8C1A71097F0_.wvu.FilterData" sId="1"/>
    <undo index="0" exp="area" ref3D="1" dr="$A$59:$AN$318" dn="Z_88CE456E_359B_447D_B7A0_CC4E1465B4B3_.wvu.FilterData" sId="1"/>
    <undo index="0" exp="area" ref3D="1" dr="$B$59:$AN$318" dn="Z_87B9B6D0_FCFD_415C_BDD0_A69B81D9BDE2_.wvu.FilterData" sId="1"/>
    <undo index="0" exp="area" ref3D="1" dr="$A$59:$AN$318" dn="Z_8A9E848C_2F92_4247_A828_CFD46DB0543C_.wvu.FilterData" sId="1"/>
    <undo index="0" exp="area" ref3D="1" dr="$A$59:$AN$318" dn="Z_898B4F00_6DC3_4313_8F93_016808D06DF4_.wvu.FilterData" sId="1"/>
    <undo index="0" exp="area" ref3D="1" dr="$A$59:$AN$318" dn="Z_8C375C63_D467_4856_867E_0D376340DFF8_.wvu.FilterData" sId="1"/>
    <undo index="0" exp="area" ref3D="1" dr="$B$59:$AN$318" dn="Z_884B0F10_5A34_444B_B198_846ACF3EE5A6_.wvu.FilterData" sId="1"/>
    <undo index="0" exp="area" ref3D="1" dr="$A$59:$AN$318" dn="Z_8B172390_B31C_4527_B9E9_212E62C70A74_.wvu.FilterData" sId="1"/>
    <undo index="0" exp="area" ref3D="1" dr="$A$59:$AN$318" dn="Z_8766447F_1722_4AC0_B084_82BED859C4BC_.wvu.FilterData" sId="1"/>
    <undo index="0" exp="area" ref3D="1" dr="$A$59:$AN$318" dn="Z_8C1DFF45_60A9_4BE5_8753_4CD2C65F4B45_.wvu.FilterData" sId="1"/>
    <undo index="0" exp="area" ref3D="1" dr="$B$59:$AN$318" dn="Z_8653925C_A99B_4048_B5B5_D7E2559BEF9D_.wvu.FilterData" sId="1"/>
    <undo index="0" exp="area" ref3D="1" dr="$B$59:$AN$318" dn="Z_8AF3B40C_4A62_4CCD_B7A0_B85E971B5DE3_.wvu.FilterData" sId="1"/>
    <undo index="0" exp="area" ref3D="1" dr="$A$59:$AN$318" dn="Z_8A29A023_DD0C_4369_8B7A_60DF7E6E2F5F_.wvu.FilterData" sId="1"/>
    <undo index="0" exp="area" ref3D="1" dr="$B$59:$AN$318" dn="Z_89C03E1E_B6A8_49A1_B29C_5DC4FAB2FBC6_.wvu.FilterData" sId="1"/>
    <undo index="0" exp="area" ref3D="1" dr="$A$59:$AN$318" dn="Z_86DC6F30_C367_4A3B_8A06_DA397A8B8A9A_.wvu.FilterData" sId="1"/>
    <undo index="0" exp="area" ref3D="1" dr="$A$59:$AN$318" dn="Z_85DF30EA_73FF_4BF2_92F2_FCC9BE054F50_.wvu.FilterData" sId="1"/>
    <undo index="0" exp="area" ref3D="1" dr="$A$59:$AN$318" dn="Z_98A00DCA_BF5A_4F56_82AD_F0FA90642632_.wvu.FilterData" sId="1"/>
    <undo index="0" exp="area" ref3D="1" dr="$A$59:$AN$318" dn="Z_99BC1C51_34DC_4BF2_906C_1E31B6171D71_.wvu.FilterData" sId="1"/>
    <undo index="0" exp="area" ref3D="1" dr="$A$59:$AN$318" dn="Z_99193316_C55A_4185_B53F_2ACB69CFB515_.wvu.FilterData" sId="1"/>
    <undo index="0" exp="area" ref3D="1" dr="$A$59:$AN$318" dn="Z_9DE5D1E3_34D1_41A1_AF9A_7D2454A346C3_.wvu.FilterData" sId="1"/>
    <undo index="0" exp="area" ref3D="1" dr="$A$59:$AN$318" dn="Z_9D8AFE7E_9E2B_4CC2_8DD9_1F54F32F36DE_.wvu.FilterData" sId="1"/>
    <undo index="0" exp="area" ref3D="1" dr="$A$59:$AN$318" dn="Z_9BC0BD38_C2C1_49B2_9120_CD2B9E68C14D_.wvu.FilterData" sId="1"/>
    <undo index="0" exp="area" ref3D="1" dr="$A$59:$AN$318" dn="Z_9B908383_707F_47D3_9642_C5167E466EE6_.wvu.FilterData" sId="1"/>
    <undo index="0" exp="area" ref3D="1" dr="$A$59:$AN$318" dn="Z_984B2F44_EE13_4F2D_BD1D_5920AACED939_.wvu.FilterData" sId="1"/>
    <undo index="0" exp="area" ref3D="1" dr="$A$59:$AN$318" dn="Z_9BFBDFBB_2B19_4AA7_AE31_6ACFC5F32A4D_.wvu.FilterData" sId="1"/>
    <undo index="0" exp="area" ref3D="1" dr="$B$59:$AN$318" dn="Z_9BF84FDF_20F5_4C19_83EE_38413C8541E5_.wvu.FilterData" sId="1"/>
    <undo index="0" exp="area" ref3D="1" dr="$A$59:$AN$318" dn="Z_99D8ACC7_6571_46A2_80A8_E3B7AB2D8AA6_.wvu.FilterData" sId="1"/>
    <undo index="0" exp="area" ref3D="1" dr="$A$59:$AN$318" dn="Z_9DA22320_E202_4AF4_A4F8_412387725E48_.wvu.FilterData" sId="1"/>
    <undo index="0" exp="area" ref3D="1" dr="$A$59:$AN$318" dn="Z_9D714EDB_35D2_4BA7_9AE2_8FA7614FCB4C_.wvu.FilterData" sId="1"/>
    <undo index="0" exp="area" ref3D="1" dr="$B$59:$AN$318" dn="Z_9B284A23_0F1B_4C7D_B2C2_B10F6E505930_.wvu.FilterData" sId="1"/>
    <undo index="0" exp="area" ref3D="1" dr="$B$59:$AN$318" dn="Z_9172FC8D_E851_4BB8_9BB1_CD04A2EC2118_.wvu.FilterData" sId="1"/>
    <undo index="0" exp="area" ref3D="1" dr="$A$59:$AN$318" dn="Z_948AAA3E_FDC6_47E8_9FD0_C830D95AC493_.wvu.FilterData" sId="1"/>
    <undo index="0" exp="area" ref3D="1" dr="$B$59:$AN$318" dn="Z_97A9DF88_B70E_4292_BE2C_86AD0A2D47DE_.wvu.FilterData" sId="1"/>
    <undo index="0" exp="area" ref3D="1" dr="$B$59:$AN$318" dn="Z_97218D6F_FBE0_4BB8_82A5_9A2B9CDAE672_.wvu.FilterData" sId="1"/>
    <undo index="0" exp="area" ref3D="1" dr="$A$59:$AN$318" dn="Z_90815266_CBB3_4FCC_8625_ACA5F166A734_.wvu.FilterData" sId="1"/>
    <undo index="0" exp="area" ref3D="1" dr="$A$59:$AN$318" dn="Z_970EE037_F5E5_47AF_896A_0F6222879EBC_.wvu.FilterData" sId="1"/>
    <undo index="0" exp="area" ref3D="1" dr="$A$59:$AN$318" dn="Z_941EC5C4_AFCD_4317_A8EF_E30831CE28E0_.wvu.FilterData" sId="1"/>
    <undo index="0" exp="area" ref3D="1" dr="$A$59:$AN$318" dn="Z_920C0394_B43C_4B62_8011_4E163017BD41_.wvu.FilterData" sId="1"/>
    <undo index="0" exp="area" ref3D="1" dr="$B$59:$AN$318" dn="Z_9562D2D0_0C41_4023_A1EA_BD1C74059448_.wvu.FilterData" sId="1"/>
    <undo index="0" exp="area" ref3D="1" dr="$B$59:$AN$318" dn="Z_951F84BC_6E0F_48A5_9328_00C512BF8879_.wvu.FilterData" sId="1"/>
    <undo index="0" exp="area" ref3D="1" dr="$A$59:$AN$318" dn="Z_94E26A26_506C_4689_88B6_25E21271D599_.wvu.FilterData" sId="1"/>
    <undo index="0" exp="area" ref3D="1" dr="$B$59:$AN$318" dn="Z_92C3B6E0_E822_4BCF_8785_C7C14B2ADD22_.wvu.FilterData" sId="1"/>
    <undo index="0" exp="area" ref3D="1" dr="$A$59:$AN$318" dn="Z_90718E1C_4543_4EB8_A035_B9486B98BB64_.wvu.FilterData" sId="1"/>
    <undo index="0" exp="area" ref3D="1" dr="$A$59:$AN$318" dn="Z_9750A76A_9AC2_4661_A077_1F37F1CA2D63_.wvu.FilterData" sId="1"/>
    <undo index="0" exp="area" ref3D="1" dr="$A$59:$AN$318" dn="Z_96F5AD9E_A448_4455_911A_A97097FE4C59_.wvu.FilterData" sId="1"/>
    <undo index="0" exp="area" ref3D="1" dr="$A$59:$AN$318" dn="Z_965F36C5_93F9_4A82_9F85_D6B45F35669B_.wvu.FilterData" sId="1"/>
    <undo index="0" exp="area" ref3D="1" dr="$A$59:$AN$318" dn="Z_95924D04_DEAC_4AC9_B742_E78D23F2DA9C_.wvu.FilterData" sId="1"/>
    <undo index="0" exp="area" ref3D="1" dr="$B$59:$AN$318" dn="Z_92142F03_965D_4EC5_9147_0A5F19A88128_.wvu.FilterData" sId="1"/>
    <undo index="0" exp="area" ref3D="1" dr="$A$59:$AN$318" dn="Z_552FCC10_8D10_416D_A078_293D8F62BD42_.wvu.FilterData" sId="1"/>
    <undo index="0" exp="area" ref3D="1" dr="$A$59:$AN$318" dn="Z_54DB054C_01F1_461C_86D7_4B8791E643D6_.wvu.FilterData" sId="1"/>
    <undo index="0" exp="area" ref3D="1" dr="$B$59:$AN$318" dn="Z_5498894E_BF4D_431D_84F2_F519DD548AE5_.wvu.FilterData" sId="1"/>
    <undo index="0" exp="area" ref3D="1" dr="$B$59:$AN$318" dn="Z_542EBC9D_64B9_4ABA_A324_302A387E309D_.wvu.FilterData" sId="1"/>
    <undo index="0" exp="area" ref3D="1" dr="$A$59:$AN$318" dn="Z_531A60D9_F723_438A_88CF_A7EC35AE5C5D_.wvu.FilterData" sId="1"/>
    <undo index="0" exp="area" ref3D="1" dr="$A$59:$AN$318" dn="Z_53933DC9_8D3E_405A_98A9_80740AC0B9CF_.wvu.FilterData" sId="1"/>
    <undo index="0" exp="area" ref3D="1" dr="$A$59:$AN$318" dn="Z_52E5463D_8C23_4C5E_9563_8FAC384914C2_.wvu.FilterData" sId="1"/>
    <undo index="0" exp="area" ref3D="1" dr="$B$59:$AN$318" dn="Z_5449D300_34C1_4154_9209_BD3BED708BF5_.wvu.FilterData" sId="1"/>
    <undo index="0" exp="area" ref3D="1" dr="$A$59:$AN$318" dn="Z_541E82AB_44C9_481A_AEBC_2B2BB3B58A09_.wvu.FilterData" sId="1"/>
    <undo index="0" exp="area" ref3D="1" dr="$A$59:$AN$318" dn="Z_52A57B55_91F1_44CE_A92C_27384918E1DD_.wvu.FilterData" sId="1"/>
    <undo index="0" exp="area" ref3D="1" dr="$A$59:$AN$318" dn="Z_540ED67E_48A4_42C9_8933_01DBB70F9FC6_.wvu.FilterData" sId="1"/>
    <undo index="0" exp="area" ref3D="1" dr="$A$59:$AN$318" dn="Z_556962E9_62D3_4D2A_A89A_15CA2D7496E9_.wvu.FilterData" sId="1"/>
    <undo index="0" exp="area" ref3D="1" dr="$B$59:$AN$318" dn="Z_52019DA7_9246_4B08_9F51_34B8F5416A98_.wvu.FilterData" sId="1"/>
    <undo index="0" exp="area" ref3D="1" dr="$A$59:$AN$318" dn="Z_50DCF7A5_2981_4D29_A1B0_FCC718EF1C57_.wvu.FilterData" sId="1"/>
    <undo index="0" exp="area" ref3D="1" dr="$B$59:$AN$318" dn="Z_4E40C96A_1DEC_426A_8589_DE34E4915A35_.wvu.FilterData" sId="1"/>
    <undo index="0" exp="area" ref3D="1" dr="$B$59:$AN$318" dn="Z_4DC21B34_0602_481E_94FE_0BD7F968F358_.wvu.FilterData" sId="1"/>
    <undo index="0" exp="area" ref3D="1" dr="$B$59:$AN$318" dn="Z_4E063B21_08E6_44C4_B8F4_79AF495C514C_.wvu.FilterData" sId="1"/>
    <undo index="0" exp="area" ref3D="1" dr="$A$59:$AN$318" dn="Z_4E3C0829_ED1C_4CAD_8FC1_6F6B5266F4E1_.wvu.FilterData" sId="1"/>
    <undo index="0" exp="area" ref3D="1" dr="$A$59:$AN$318" dn="Z_4DB9989C_4464_43E8_8078_E808BE505BAA_.wvu.FilterData" sId="1"/>
    <undo index="0" exp="area" ref3D="1" dr="$B$59:$AN$318" dn="Z_529BE7BC_5C54_4BE6_8F7A_FAB0CA2C2AA8_.wvu.FilterData" sId="1"/>
    <undo index="0" exp="area" ref3D="1" dr="$B$59:$AN$318" dn="Z_514F237C_375F_464E_B009_1C9457CCD9C9_.wvu.FilterData" sId="1"/>
    <undo index="0" exp="area" ref3D="1" dr="$A$59:$AN$318" dn="Z_4D79686D_D785_4C50_A86D_E4842F383245_.wvu.FilterData" sId="1"/>
    <undo index="0" exp="area" ref3D="1" dr="$A$59:$AN$318" dn="Z_4DDFB3D2_CD93_416E_9EB7_7228A4AF2504_.wvu.FilterData" sId="1"/>
    <undo index="0" exp="area" ref3D="1" dr="$A$59:$AN$318" dn="Z_4E06BDBF_2CED_473B_850B_2A6C7311FF41_.wvu.FilterData" sId="1"/>
    <undo index="0" exp="area" ref3D="1" dr="$A$59:$AN$318" dn="Z_4D74C45C_721C_468D_B7CA_077CBC33B37C_.wvu.FilterData" sId="1"/>
    <undo index="0" exp="area" ref3D="1" dr="$A$59:$AN$318" dn="Z_4DC27000_A69C_4DC6_9CFF_103008543473_.wvu.FilterData" sId="1"/>
    <undo index="0" exp="area" ref3D="1" dr="$B$59:$AN$318" dn="Z_4D18CEA0_D888_4F4D_AE86_1305F839E5A9_.wvu.FilterData" sId="1"/>
    <undo index="0" exp="area" ref3D="1" dr="$B$59:$AN$318" dn="Z_4FED5175_DCDA_44CD_A82D_FF4D7FE13304_.wvu.FilterData" sId="1"/>
    <undo index="0" exp="area" ref3D="1" dr="$A$59:$AN$318" dn="Z_4AD92DE0_78C5_42B7_8A4F_CCEDC4E9C3B1_.wvu.FilterData" sId="1"/>
    <undo index="0" exp="area" ref3D="1" dr="$B$59:$AN$318" dn="Z_48EBC9BD_BBD3_4C6E_B628_D0EABB67588C_.wvu.FilterData" sId="1"/>
    <undo index="0" exp="area" ref3D="1" dr="$A$59:$AN$318" dn="Z_48A1C157_EB42_4B01_A611_12202E451DA5_.wvu.FilterData" sId="1"/>
    <undo index="0" exp="area" ref3D="1" dr="$A$59:$AN$318" dn="Z_4AD25AEE_EA55_4BCE_BBD5_EAAA3C478C5C_.wvu.FilterData" sId="1"/>
    <undo index="0" exp="area" ref3D="1" dr="$A$59:$AN$318" dn="Z_49D02DDA_0D46_45A3_9B78_079EE3DF44A6_.wvu.FilterData" sId="1"/>
    <undo index="0" exp="area" ref3D="1" dr="$A$59:$AN$318" dn="Z_4B15AE1E_61F1_4DFF_8DFB_922F992A1C65_.wvu.FilterData" sId="1"/>
    <undo index="0" exp="area" ref3D="1" dr="$B$59:$AN$318" dn="Z_49C41633_B7C8_4854_8F3B_012C131B8151_.wvu.FilterData" sId="1"/>
    <undo index="0" exp="area" ref3D="1" dr="$A$59:$AN$318" dn="Z_4B0EF13B_3811_45B4_8ADD_DBF7FB5B90B4_.wvu.FilterData" sId="1"/>
    <undo index="0" exp="area" ref3D="1" dr="$A$59:$AN$318" dn="Z_4C7058D9_79D5_4933_B9FF_70E893F9B385_.wvu.FilterData" sId="1"/>
    <undo index="0" exp="area" ref3D="1" dr="$A$59:$AN$318" dn="Z_4AC7CF20_9D78_47F0_AF1F_29F122739E1A_.wvu.FilterData" sId="1"/>
    <undo index="0" exp="area" ref3D="1" dr="$A$59:$AN$318" dn="Z_4970BA83_E618_4BB7_83E7_4E7F87DEC79C_.wvu.FilterData" sId="1"/>
    <undo index="0" exp="area" ref3D="1" dr="$A$59:$AN$318" dn="Z_49D2DFC2_E45E_4ACF_943D_E49E761F553F_.wvu.FilterData" sId="1"/>
    <undo index="0" exp="area" ref3D="1" dr="$A$59:$AN$318" dn="Z_4B3AD98F_FC31_4192_812D_58B676113428_.wvu.FilterData" sId="1"/>
    <undo index="0" exp="area" ref3D="1" dr="$A$59:$AN$318" dn="Z_45C8166A_6143_4988_8C13_277BC5450552_.wvu.FilterData" sId="1"/>
    <undo index="0" exp="area" ref3D="1" dr="$A$59:$AN$318" dn="Z_44BEF170_9AEA_4F90_9A56_B8F048D8ECC7_.wvu.FilterData" sId="1"/>
    <undo index="0" exp="area" ref3D="1" dr="$A$59:$AN$318" dn="Z_430E0251_170F_469C_9C43_B836F1B76A84_.wvu.FilterData" sId="1"/>
    <undo index="0" exp="area" ref3D="1" dr="$B$59:$AN$318" dn="Z_42AC1B0D_F791_4C63_92EF_E01CFF03908D_.wvu.FilterData" sId="1"/>
    <undo index="0" exp="area" ref3D="1" dr="$A$59:$AN$318" dn="Z_4363CAFB_03FC_4F1F_A0DE_EC53309C77B7_.wvu.FilterData" sId="1"/>
    <undo index="0" exp="area" ref3D="1" dr="$B$59:$AN$318" dn="Z_45376FFC_9D48_4BF3_8A6A_30CD587F744C_.wvu.FilterData" sId="1"/>
    <undo index="0" exp="area" ref3D="1" dr="$A$59:$AN$318" dn="Z_45979D4F_AD59_474D_8932_09AE1A11767A_.wvu.FilterData" sId="1"/>
    <undo index="0" exp="area" ref3D="1" dr="$B$59:$AN$318" dn="Z_42AD34C9_C124_4891_A108_88C3C0237529_.wvu.FilterData" sId="1"/>
    <undo index="0" exp="area" ref3D="1" dr="$A$59:$AN$318" dn="Z_4416DC42_C500_4E08_B795_23B2AC6564A1_.wvu.FilterData" sId="1"/>
    <undo index="0" exp="area" ref3D="1" dr="$B$59:$AN$318" dn="Z_481381C8_936B_4AC6_87F5_3AC9921D1BE8_.wvu.FilterData" sId="1"/>
    <undo index="0" exp="area" ref3D="1" dr="$A$59:$AN$318" dn="Z_44F07CD8_75F8_4EF5_81A0_4E20874952AF_.wvu.FilterData" sId="1"/>
    <undo index="0" exp="area" ref3D="1" dr="$B$59:$AN$318" dn="Z_43349B58_238D_424F_9B38_B9A02D36598B_.wvu.FilterData" sId="1"/>
    <undo index="0" exp="area" ref3D="1" dr="$A$59:$AN$318" dn="Z_4392F3EF_F9F6_4504_ACF1_4C5CCB12EF49_.wvu.FilterData" sId="1"/>
    <undo index="0" exp="area" ref3D="1" dr="$B$59:$AN$318" dn="Z_43B967EC_0D7C_46DF_9BEA_C0266BCF49B2_.wvu.FilterData" sId="1"/>
    <undo index="0" exp="area" ref3D="1" dr="$A$59:$AN$318" dn="Z_42B4B22B_3661_4B4F_B6F8_C22BE5CABCC0_.wvu.FilterData" sId="1"/>
    <undo index="0" exp="area" ref3D="1" dr="$A$59:$AN$318" dn="Z_43337ABF_C1F2_4A60_B522_79A00E6352AF_.wvu.FilterData" sId="1"/>
    <undo index="0" exp="area" ref3D="1" dr="$B$59:$AN$318" dn="Z_4631CDC9_3CB0_46A0_A411_DA030B1C25C6_.wvu.FilterData" sId="1"/>
    <undo index="0" exp="area" ref3D="1" dr="$B$59:$AN$318" dn="Z_418FE5D8_ED33_487E_935B_D5A73A0239F7_.wvu.FilterData" sId="1"/>
    <undo index="0" exp="area" ref3D="1" dr="$A$59:$AN$318" dn="Z_41B7224C_354F_4B88_9B98_43627917A540_.wvu.FilterData" sId="1"/>
    <undo index="0" exp="area" ref3D="1" dr="$A$59:$AN$318" dn="Z_41B3B5E7_01C8_41FF_922A_4593EFAB73DD_.wvu.FilterData" sId="1"/>
    <undo index="0" exp="area" ref3D="1" dr="$A$59:$AN$318" dn="Z_4113A7E6_6C3F_4D64_B0E0_3D21B9E2D7FB_.wvu.FilterData" sId="1"/>
    <undo index="0" exp="area" ref3D="1" dr="$A$59:$AN$318" dn="Z_3F3C2FF1_7DE3_44CF_ADEA_69A591BC0518_.wvu.FilterData" sId="1"/>
    <undo index="0" exp="area" ref3D="1" dr="$B$59:$AN$318" dn="Z_40A964FB_C92A_49B8_9AA3_FE8F219A42A3_.wvu.FilterData" sId="1"/>
    <undo index="0" exp="area" ref3D="1" dr="$A$59:$AN$318" dn="Z_418BE608_8E05_425D_ADF5_C98828D3118E_.wvu.FilterData" sId="1"/>
    <undo index="0" exp="area" ref3D="1" dr="$A$59:$AN$318" dn="Z_3F2D718E_A8F5_4195_B9AD_DD90158865D0_.wvu.FilterData" sId="1"/>
    <undo index="0" exp="area" ref3D="1" dr="$B$59:$AN$318" dn="Z_410A5739_65A6_4083_AD75_810DFD50385D_.wvu.FilterData" sId="1"/>
    <undo index="0" exp="area" ref3D="1" dr="$A$59:$AN$318" dn="Z_41E7CAB0_2A4B_4958_880B_BCC01CA8D9B0_.wvu.FilterData" sId="1"/>
    <undo index="0" exp="area" ref3D="1" dr="$B$59:$AN$318" dn="Z_41E605F5_B28F_4BC6_9DF2_D2AF66B5F685_.wvu.FilterData" sId="1"/>
    <undo index="0" exp="area" ref3D="1" dr="$B$59:$AN$318" dn="Z_41E28B46_16FD_473E_AED2_27DFD35D1D37_.wvu.FilterData" sId="1"/>
    <undo index="0" exp="area" ref3D="1" dr="$A$59:$AN$318" dn="Z_3FE10495_1B6C_4959_94D5_3F24189E452B_.wvu.FilterData" sId="1"/>
    <undo index="0" exp="area" ref3D="1" dr="$B$59:$AN$318" dn="Z_3D91D09F_6D0C_4255_BA2B_6BD947E2FF0E_.wvu.FilterData" sId="1"/>
    <undo index="0" exp="area" ref3D="1" dr="$A$59:$AN$318" dn="Z_3B3E6719_EACB_4D2C_89C1_05FFAB6020FD_.wvu.FilterData" sId="1"/>
    <undo index="0" exp="area" ref3D="1" dr="$A$59:$AN$318" dn="Z_3E8FBB19_A64D_448B_81AB_04038F2F5450_.wvu.FilterData" sId="1"/>
    <undo index="0" exp="area" ref3D="1" dr="$A$59:$AN$318" dn="Z_3E3F0822_A017_450A_AAE1_67E212084D3A_.wvu.FilterData" sId="1"/>
    <undo index="0" exp="area" ref3D="1" dr="$A$59:$AN$318" dn="Z_3DE9B179_E2E6_467A_9DD7_0F3E3A90D04B_.wvu.FilterData" sId="1"/>
    <undo index="0" exp="area" ref3D="1" dr="$A$59:$AN$318" dn="Z_3DF09920_EE81_4793_85ED_952B91BC0FF9_.wvu.FilterData" sId="1"/>
    <undo index="0" exp="area" ref3D="1" dr="$A$59:$AN$318" dn="Z_3B954526_77A2_415B_8A44_A388EFC846B3_.wvu.FilterData" sId="1"/>
    <undo index="0" exp="area" ref3D="1" dr="$A$59:$AN$318" dn="Z_39E4AC89_7841_4E5A_8620_536EED1E7344_.wvu.FilterData" sId="1"/>
    <undo index="0" exp="area" ref3D="1" dr="$B$59:$AN$318" dn="Z_3874996D_2C2B_4338_B6B4_F3173CC1B067_.wvu.FilterData" sId="1"/>
    <undo index="0" exp="area" ref3D="1" dr="$A$59:$AN$318" dn="Z_389C76C2_C502_4EAE_BD4B_6D7DAF4A1938_.wvu.FilterData" sId="1"/>
    <undo index="0" exp="area" ref3D="1" dr="$A$59:$AN$318" dn="Z_3E3EE777_FBC3_4BBA_B1D6_0E928DBEDF6C_.wvu.FilterData" sId="1"/>
    <undo index="0" exp="area" ref3D="1" dr="$B$59:$AN$318" dn="Z_3DA6A480_37AA_4361_B359_67BDC8170173_.wvu.FilterData" sId="1"/>
    <undo index="0" exp="area" ref3D="1" dr="$A$59:$AN$318" dn="Z_3D4CD47C_226B_4FF1_88AF_593F8969A0FD_.wvu.FilterData" sId="1"/>
    <undo index="0" exp="area" ref3D="1" dr="$A$59:$AN$318" dn="Z_399A2B8F_620D_4119_8345_C1BC98E6FDED_.wvu.FilterData" sId="1"/>
    <undo index="0" exp="area" ref3D="1" dr="$A$59:$AN$318" dn="Z_3A3DB99F_F462_44E1_B1E7_E76CEAEEA419_.wvu.FilterData" sId="1"/>
    <undo index="0" exp="area" ref3D="1" dr="$A$59:$AN$318" dn="Z_3EA4C9FF_8C78_4D45_BDC9_FDE42D0A7F9D_.wvu.FilterData" sId="1"/>
    <undo index="0" exp="area" ref3D="1" dr="$A$59:$AN$318" dn="Z_FE47AD71_8CD2_4893_9C49_6254ECC2E440_.wvu.FilterData" sId="1"/>
    <undo index="0" exp="area" ref3D="1" dr="$B$59:$AN$318" dn="Z_FECB4C41_27E8_4A22_AFB3_4F54CDD4960E_.wvu.FilterData" sId="1"/>
    <undo index="0" exp="area" ref3D="1" dr="$A$59:$AN$318" dn="Z_FAB023CB_E0CF_40FE_B81B_D8D0A8C66F4A_.wvu.FilterData" sId="1"/>
    <undo index="0" exp="area" ref3D="1" dr="$A$59:$AN$318" dn="Z_F8DEA099_8757_4B5F_BBB9_98FA1CFA0073_.wvu.FilterData" sId="1"/>
    <undo index="0" exp="area" ref3D="1" dr="$A$59:$AN$318" dn="Z_FD253E6C_9D84_41B1_8B73_4FFC0A94179A_.wvu.FilterData" sId="1"/>
    <undo index="0" exp="area" ref3D="1" dr="$A$59:$AN$318" dn="Z_F96FC7D9_4F89_4FE0_8D00_C0083DEB0472_.wvu.FilterData" sId="1"/>
    <undo index="0" exp="area" ref3D="1" dr="$A$59:$AN$318" dn="Z_FE2C839D_CFC1_49B1_AC2C_8A6402AB94F3_.wvu.FilterData" sId="1"/>
    <undo index="0" exp="area" ref3D="1" dr="$B$59:$AN$318" dn="Z_FDF8FFD6_749D_4772_99C1_B3E079EA1F04_.wvu.FilterData" sId="1"/>
    <undo index="0" exp="area" ref3D="1" dr="$B$59:$AN$318" dn="Z_FD1D0D7B_7524_4858_9DDA_ED871B923AF9_.wvu.FilterData" sId="1"/>
    <undo index="0" exp="area" ref3D="1" dr="$A$59:$AN$318" dn="Z_F8123D76_55B1_4B53_A000_EE110DA11BDA_.wvu.FilterData" sId="1"/>
    <undo index="0" exp="area" ref3D="1" dr="$A$59:$AN$318" dn="Z_FCE21000_0736_466E_98A9_00BE42E52D8B_.wvu.FilterData" sId="1"/>
    <undo index="0" exp="area" ref3D="1" dr="$B$59:$AN$318" dn="Z_FC2911C6_0600_44A7_AF61_1351B56A8D6C_.wvu.FilterData" sId="1"/>
    <undo index="0" exp="area" ref3D="1" dr="$A$59:$AN$318" dn="Z_F9C9B13C_720B_4A04_B3A2_069AB8597591_.wvu.FilterData" sId="1"/>
    <undo index="0" exp="area" ref3D="1" dr="$A$59:$AN$318" dn="Z_F93D09B4_E318_4FDA_8C28_995A74531ED9_.wvu.FilterData" sId="1"/>
    <undo index="0" exp="area" ref3D="1" dr="$A$59:$AN$318" dn="Z_F8CE8691_220F_445B_B47A_FBA80FD44D07_.wvu.FilterData" sId="1"/>
    <undo index="0" exp="area" ref3D="1" dr="$A$59:$AN$318" dn="Z_F81FA1AD_6EE0_4370_AEBF_E6F8CADAEBF0_.wvu.FilterData" sId="1"/>
    <undo index="0" exp="area" ref3D="1" dr="$B$59:$AN$318" dn="Z_FAE8A80C_C4BC_48D8_BD9C_49CF101A2744_.wvu.FilterData" sId="1"/>
    <undo index="0" exp="area" ref3D="1" dr="$B$59:$AN$318" dn="Z_FE2E7FF7_4365_4B97_A1BB_BFF7237A3CA9_.wvu.FilterData" sId="1"/>
    <undo index="0" exp="area" ref3D="1" dr="$A$59:$AN$318" dn="Z_FCBA969A_5620_43C9_8851_24D48C83982B_.wvu.FilterData" sId="1"/>
    <undo index="0" exp="area" ref3D="1" dr="$A$59:$AN$318" dn="Z_F7D0EF95_307E_4948_ACC2_0B81F27172C1_.wvu.FilterData" sId="1"/>
    <undo index="0" exp="area" ref3D="1" dr="$A$59:$AN$318" dn="Z_F379E926_A7D0_4173_BEC7_BDD92726F12F_.wvu.FilterData" sId="1"/>
    <undo index="0" exp="area" ref3D="1" dr="$A$59:$AN$318" dn="Z_F696EBBA_65A4_4CDB_858C_218687A8E6FE_.wvu.FilterData" sId="1"/>
    <undo index="0" exp="area" ref3D="1" dr="$A$59:$AN$318" dn="Z_F6C70AF2_E9CC_4AB8_AEDF_BD6B4340BBF0_.wvu.FilterData" sId="1"/>
    <undo index="0" exp="area" ref3D="1" dr="$A$59:$AN$318" dn="Z_F4392C89_FF1A_483A_847A_11EFDD89C2F6_.wvu.FilterData" sId="1"/>
    <undo index="0" exp="area" ref3D="1" dr="$B$59:$AN$318" dn="Z_F3C62E6E_7BB8_439B_825E_263944F8EEFB_.wvu.FilterData" sId="1"/>
    <undo index="0" exp="area" ref3D="1" dr="$A$59:$AN$318" dn="Z_F3532C7A_7113_46B3_ADCA_11F1836BD68A_.wvu.FilterData" sId="1"/>
    <undo index="0" exp="area" ref3D="1" dr="$A$59:$AN$318" dn="Z_F4009E2D_0500_444F_9349_FCACAEB553D5_.wvu.FilterData" sId="1"/>
    <undo index="0" exp="area" ref3D="1" dr="$B$59:$AN$318" dn="Z_F3576CD0_5355_439B_B618_26A976A8AD4D_.wvu.FilterData" sId="1"/>
    <undo index="0" exp="area" ref3D="1" dr="$B$59:$AN$318" dn="Z_F2F80064_51A8_4D52_A123_C0058F84AA1A_.wvu.FilterData" sId="1"/>
    <undo index="0" exp="area" ref3D="1" dr="$B$59:$AN$318" dn="Z_F7E33AA4_20B3_43EB_9BA5_36014C40D96F_.wvu.FilterData" sId="1"/>
    <undo index="0" exp="area" ref3D="1" dr="$B$59:$AN$318" dn="Z_F2EDCD89_57F9_44FE_9CDE_762B73C7B7F3_.wvu.FilterData" sId="1"/>
    <undo index="0" exp="area" ref3D="1" dr="$A$59:$AN$318" dn="Z_F5189931_E130_4E42_B4D4_9E1B4FBEE9C3_.wvu.FilterData" sId="1"/>
    <undo index="0" exp="area" ref3D="1" dr="$A$59:$AN$318" dn="Z_EA615293_38E7_4916_A5E8_C227C7F1B733_.wvu.FilterData" sId="1"/>
    <undo index="0" exp="area" ref3D="1" dr="$A$59:$AN$318" dn="Z_F1F37EDD_6A2B_4E56_B1F4_D71DAD8C88B9_.wvu.FilterData" sId="1"/>
    <undo index="0" exp="area" ref3D="1" dr="$A$59:$AN$318" dn="Z_F162DB86_5C1E_4516_A70C_427D9A3C0E58_.wvu.FilterData" sId="1"/>
    <undo index="0" exp="area" ref3D="1" dr="$A$59:$AN$318" dn="Z_F156840B_A87F_4F21_ACF9_03F56312743A_.wvu.FilterData" sId="1"/>
    <undo index="0" exp="area" ref3D="1" dr="$A$59:$AN$318" dn="Z_E8A82E4B_5EC1_4EEF_95D3_AAA319FE965B_.wvu.FilterData" sId="1"/>
    <undo index="0" exp="area" ref3D="1" dr="$A$59:$AN$318" dn="Z_EAF7C7AB_B9C1_40BD_B2F4_11BC8B7E9DD4_.wvu.FilterData" sId="1"/>
    <undo index="0" exp="area" ref3D="1" dr="$A$59:$AN$318" dn="Z_E95678FD_7412_485F_BAEB_BBDA8CD69D5C_.wvu.FilterData" sId="1"/>
    <undo index="0" exp="area" ref3D="1" dr="$A$59:$AN$318" dn="Z_F050E9E1_F25B_4095_9E95_D7089EDC2226_.wvu.FilterData" sId="1"/>
    <undo index="0" exp="area" ref3D="1" dr="$A$59:$AN$318" dn="Z_EBFE2CA4_AFB4_45DF_B165_8BD4F8BC19DB_.wvu.FilterData" sId="1"/>
    <undo index="0" exp="area" ref3D="1" dr="$A$59:$AN$318" dn="Z_EC49E9F2_8B73_419A_8639_1D12E499590C_.wvu.FilterData" sId="1"/>
    <undo index="0" exp="area" ref3D="1" dr="$A$59:$AN$318" dn="Z_E92DE111_DF59_4BAC_923C_88C7BF153DF1_.wvu.FilterData" sId="1"/>
    <undo index="0" exp="area" ref3D="1" dr="$A$59:$AN$318" dn="Z_EF90BF9B_5BE8_4CFE_9F81_7A870501C042_.wvu.FilterData" sId="1"/>
    <undo index="0" exp="area" ref3D="1" dr="$A$59:$AN$318" dn="Z_EF66253A_CDE3_48E2_949D_1C6BA70286CF_.wvu.FilterData" sId="1"/>
    <undo index="0" exp="area" ref3D="1" dr="$A$59:$AN$318" dn="Z_EE73AC1D_D830_44B7_9DC4_1CCC2AC80F1D_.wvu.FilterData" sId="1"/>
    <undo index="0" exp="area" ref3D="1" dr="$A$59:$AN$318" dn="Z_ED74FC3D_A36C_4FBD_AAB4_A4D80F730ECF_.wvu.FilterData" sId="1"/>
    <undo index="0" exp="area" ref3D="1" dr="$A$59:$AN$318" dn="Z_EBFFEBE0_546B_462A_9BC2_2449B908527C_.wvu.FilterData" sId="1"/>
    <undo index="0" exp="area" ref3D="1" dr="$A$59:$AN$318" dn="Z_E1E1CED1_D24D_4201_B5A3_BFA1AB2FD0D5_.wvu.FilterData" sId="1"/>
    <undo index="0" exp="area" ref3D="1" dr="$B$59:$AN$318" dn="Z_E88DC3CB_0C36_4621_A78A_EADE25323E65_.wvu.FilterData" sId="1"/>
    <undo index="0" exp="area" ref3D="1" dr="$B$59:$AN$318" dn="Z_E745E283_742B_4CAE_943B_7CC6E673F217_.wvu.FilterData" sId="1"/>
    <undo index="0" exp="area" ref3D="1" dr="$B$59:$AN$318" dn="Z_E73B0B7F_6007_4682_BC1D_F46CD41654E9_.wvu.FilterData" sId="1"/>
    <undo index="0" exp="area" ref3D="1" dr="$A$59:$AN$318" dn="Z_E169ACCC_5904_447E_A318_1E8EC1939B18_.wvu.FilterData" sId="1"/>
    <undo index="0" exp="area" ref3D="1" dr="$B$59:$AN$318" dn="Z_E72CA2CF_6FE7_4387_B8FB_A8EC0BD159B1_.wvu.FilterData" sId="1"/>
    <undo index="0" exp="area" ref3D="1" dr="$B$59:$AN$318" dn="Z_E6FA8B06_6F53_4E75_AECF_656515E042B9_.wvu.FilterData" sId="1"/>
    <undo index="0" exp="area" ref3D="1" dr="$A$59:$AN$318" dn="Z_E673B4DF_81B7_434A_93DB_BA0164F62BE9_.wvu.FilterData" sId="1"/>
    <undo index="0" exp="area" ref3D="1" dr="$A$59:$AN$318" dn="Z_E21F497B_C8B3_425D_9564_DAB73C9822BB_.wvu.FilterData" sId="1"/>
    <undo index="0" exp="area" ref3D="1" dr="$B$59:$AN$318" dn="Z_E6FDFB7C_A7B9_48D5_BBD6_68140ADA35BB_.wvu.FilterData" sId="1"/>
    <undo index="0" exp="area" ref3D="1" dr="$A$59:$AN$318" dn="Z_E6141633_D7E6_4C6C_8705_4DA7F2940436_.wvu.FilterData" sId="1"/>
    <undo index="0" exp="area" ref3D="1" dr="$A$59:$AN$318" dn="Z_E2CCE2BB_55E8_477A_B457_5F732212A481_.wvu.FilterData" sId="1"/>
    <undo index="0" exp="area" ref3D="1" dr="$A$59:$AN$318" dn="Z_E2F01DF1_5235_4931_B0AA_790594455BB6_.wvu.FilterData" sId="1"/>
    <undo index="0" exp="area" ref3D="1" dr="$B$59:$AN$318" dn="Z_E2480007_FB45_4613_9F8A_26BBBEB60716_.wvu.FilterData" sId="1"/>
    <undo index="0" exp="area" ref3D="1" dr="$B$59:$AN$318" dn="Z_E6637879_26CD_45BB_85B9_AB81FCEF6B80_.wvu.FilterData" sId="1"/>
    <undo index="0" exp="area" ref3D="1" dr="$A$59:$AN$318" dn="Z_E5B6C117_544A_4A15_9506_72CFAF8D0D1D_.wvu.FilterData" sId="1"/>
    <undo index="0" exp="area" ref3D="1" dr="$A$59:$AN$318" dn="Z_E42CC2D7_E706_469E_8006_588FEEFCA5C0_.wvu.FilterData" sId="1"/>
    <undo index="0" exp="area" ref3D="1" dr="$A$59:$AN$318" dn="Z_FF1BF787_1CF3_4849_AB6B_6847F0D0B44C_.wvu.FilterData" sId="1"/>
    <undo index="0" exp="area" ref3D="1" dr="$A$59:$AN$318" dn="Z_FF4D0A88_8E58_4B2D_ADD4_8B798800E789_.wvu.FilterData" sId="1"/>
    <undo index="0" exp="area" ref3D="1" dr="$A$59:$AN$318" dn="Z_7C54DD60_2343_494A_9B25_2EE5F2700F94_.wvu.FilterData" sId="1"/>
    <undo index="0" exp="area" ref3D="1" dr="$A$59:$AN$318" dn="Z_7C4AC733_71DF_4C4D_85AA_F169CF3BF8D0_.wvu.FilterData" sId="1"/>
    <undo index="0" exp="area" ref3D="1" dr="$B$59:$AN$318" dn="Z_7BCF790B_B0C0_4842_8AD7_5E2098ABB76A_.wvu.FilterData" sId="1"/>
    <undo index="0" exp="area" ref3D="1" dr="$B$59:$AN$318" dn="Z_7E197F63_9137_49A9_B42F_FE0233AD596E_.wvu.FilterData" sId="1"/>
    <undo index="0" exp="area" ref3D="1" dr="$A$59:$AN$318" dn="Z_7CFE9172_C0BA_4835_AC09_77680F071012_.wvu.FilterData" sId="1"/>
    <undo index="0" exp="area" ref3D="1" dr="$A$59:$AN$318" dn="Z_7B889AAC_31FF_4187_BC9A_97347D0C1404_.wvu.FilterData" sId="1"/>
    <undo index="0" exp="area" ref3D="1" dr="$A$59:$AN$318" dn="Z_7E28528F_E20C_4D62_AACF_5045EC0851EC_.wvu.FilterData" sId="1"/>
    <undo index="0" exp="area" ref3D="1" dr="$B$59:$AN$318" dn="Z_7E0EA425_A420_4443_B9E0_CDF0AA9E5D09_.wvu.FilterData" sId="1"/>
    <undo index="0" exp="area" ref3D="1" dr="$A$59:$AN$318" dn="Z_79C11DCF_1E87_4D92_9874_E8CDE749621A_.wvu.FilterData" sId="1"/>
    <undo index="0" exp="area" ref3D="1" dr="$A$59:$AN$318" dn="Z_775F6381_EE6B_4BE5_9118_9ACDCBEBC90F_.wvu.FilterData" sId="1"/>
    <undo index="0" exp="area" ref3D="1" dr="$A$59:$AN$318" dn="Z_783349D3_16E7_48CE_AED8_C9DC07B646DB_.wvu.FilterData" sId="1"/>
    <undo index="0" exp="area" ref3D="1" dr="$A$59:$AN$318" dn="Z_7766F98E_4A78_4ADA_937E_526F26631568_.wvu.FilterData" sId="1"/>
    <undo index="0" exp="area" ref3D="1" dr="$A$59:$AN$318" dn="Z_7670F964_2211_41BB_B261_6E87AFB6DF09_.wvu.FilterData" sId="1"/>
    <undo index="0" exp="area" ref3D="1" dr="$A$59:$AN$318" dn="Z_7B73230E_69E0_43F5_B0B0_DBE5465075A3_.wvu.FilterData" sId="1"/>
    <undo index="0" exp="area" ref3D="1" dr="$A$59:$AN$318" dn="Z_76769627_11CE_4A9C_8027_8CA0878DEAC5_.wvu.FilterData" sId="1"/>
    <undo index="0" exp="area" ref3D="1" dr="$A$59:$AN$318" dn="Z_7631F57F_2776_4521_B9A4_E50DF3C50E08_.wvu.FilterData" sId="1"/>
    <undo index="0" exp="area" ref3D="1" dr="$B$59:$AN$318" dn="Z_7A8CB8A9_61C4_4CF1_BA54_B291C6A5550F_.wvu.FilterData" sId="1"/>
    <undo index="0" exp="area" ref3D="1" dr="$A$59:$AN$318" dn="Z_7A71BEF5_1E4A_4C73_B92F_2B1E3389560A_.wvu.FilterData" sId="1"/>
    <undo index="0" exp="area" ref3D="1" dr="$B$59:$AN$318" dn="Z_76551960_825E_460F_979A_E5C4C2C41114_.wvu.FilterData" sId="1"/>
    <undo index="0" exp="area" ref3D="1" dr="$A$59:$AN$318" dn="Z_7747FA4E_759E_44F6_BA3F_BCA6126954F3_.wvu.FilterData" sId="1"/>
    <undo index="0" exp="area" ref3D="1" dr="$B$59:$AN$318" dn="Z_7777A75B_07B0_495F_A799_12C6A93E0748_.wvu.FilterData" sId="1"/>
    <undo index="0" exp="area" ref3D="1" dr="$A$59:$AN$318" dn="Z_7559AD3C_156F_45C7_936A_55D8B4CF8FD3_.wvu.FilterData" sId="1"/>
    <undo index="0" exp="area" ref3D="1" dr="$A$59:$AN$318" dn="Z_7353763A_A80D_4A0D_ABFA_E5EDD6EA4E4E_.wvu.FilterData" sId="1"/>
    <undo index="0" exp="area" ref3D="1" dr="$B$59:$AN$318" dn="Z_72A6EB0A_84D5_4B8A_AC51_54CCD061630B_.wvu.FilterData" sId="1"/>
    <undo index="0" exp="area" ref3D="1" dr="$A$59:$AN$318" dn="Z_7261821D_1D33_4FAC_B604_2D03A21B59EC_.wvu.FilterData" sId="1"/>
    <undo index="0" exp="area" ref3D="1" dr="$B$59:$AN$318" dn="Z_725BEA76_0B85_4A75_A741_5CDDEA2ADA81_.wvu.FilterData" sId="1"/>
    <undo index="0" exp="area" ref3D="1" dr="$A$59:$AN$318" dn="Z_730E331C_10E7_4E98_BC37_6021A4A49A07_.wvu.FilterData" sId="1"/>
    <undo index="0" exp="area" ref3D="1" dr="$A$59:$AN$318" dn="Z_6FDA3908_33D8_4257_8E81_8918028CEF1C_.wvu.FilterData" sId="1"/>
    <undo index="0" exp="area" ref3D="1" dr="$A$59:$AN$318" dn="Z_705DC135_428A_4950_A2C7_342AB4CA334B_.wvu.FilterData" sId="1"/>
    <undo index="0" exp="area" ref3D="1" dr="$B$59:$AN$318" dn="Z_73375288_6B6E_4B64_B8CA_8A2D17E4EE8E_.wvu.FilterData" sId="1"/>
    <undo index="0" exp="area" ref3D="1" dr="$A$59:$AN$318" dn="Z_72B3F568_6EC5_48A5_9A41_473348E2FBC6_.wvu.FilterData" sId="1"/>
    <undo index="0" exp="area" ref3D="1" dr="$A$59:$AN$318" dn="Z_72D648CE_924C_46FA_A890_E31171A4436D_.wvu.FilterData" sId="1"/>
    <undo index="0" exp="area" ref3D="1" dr="$A$59:$AN$318" dn="Z_715BFEE4_32CD_4B7E_A647_03CCF4A790F0_.wvu.FilterData" sId="1"/>
    <undo index="0" exp="area" ref3D="1" dr="$A$59:$AN$318" dn="Z_7339CFDD_5D7C_41FE_8AD1_208FBEAD7A1C_.wvu.FilterData" sId="1"/>
    <undo index="0" exp="area" ref3D="1" dr="$B$59:$AN$318" dn="Z_74F104B0_C4E5_41FD_9F43_0DFCE277A292_.wvu.FilterData" sId="1"/>
    <undo index="0" exp="area" ref3D="1" dr="$B$59:$AN$318" dn="Z_70DDEEC0_45AF_4451_8DAA_CB6E764E900C_.wvu.FilterData" sId="1"/>
    <undo index="0" exp="area" ref3D="1" dr="$A$59:$AN$318" dn="Z_741C657B_5761_48ED_8FB8_A62E920FA431_.wvu.FilterData" sId="1"/>
    <undo index="0" exp="area" ref3D="1" dr="$A$59:$AN$318" dn="Z_7F67A8AD_9567_4C1F_9FE0_3A1B039478FD_.wvu.FilterData" sId="1"/>
    <undo index="0" exp="area" ref3D="1" dr="$A$59:$AN$318" dn="Z_7E60AD22_29CE_4DD6_AAAE_4421B58B02C1_.wvu.FilterData" sId="1"/>
    <undo index="0" exp="area" ref3D="1" dr="$B$59:$AN$318" dn="Z_8196DF26_FED6_4AD5_81BB_407D7FD9D469_.wvu.FilterData" sId="1"/>
    <undo index="0" exp="area" ref3D="1" dr="$B$59:$AN$318" dn="Z_7FC062FF_43CE_406D_9670_5D1AA49208CC_.wvu.FilterData" sId="1"/>
    <undo index="0" exp="area" ref3D="1" dr="$B$59:$AN$318" dn="Z_7FEB5690_7B38_49CE_A727_CCA7747AA9AE_.wvu.FilterData" sId="1"/>
    <undo index="0" exp="area" ref3D="1" dr="$A$59:$AN$318" dn="Z_8467614B_AC17_44BB_8A84_30F28E73CEFC_.wvu.FilterData" sId="1"/>
    <undo index="0" exp="area" ref3D="1" dr="$A$59:$AN$318" dn="Z_829A4E16_046C_44CF_A5AA_B2E034E6EB70_.wvu.FilterData" sId="1"/>
    <undo index="0" exp="area" ref3D="1" dr="$A$59:$AN$318" dn="Z_83DCD566_267F_4C53_8236_CFDD1B3CAECE_.wvu.FilterData" sId="1"/>
    <undo index="0" exp="area" ref3D="1" dr="$B$59:$AN$318" dn="Z_803CD872_D993_4AEC_ABDC_098E41A41D56_.wvu.FilterData" sId="1"/>
    <undo index="0" exp="area" ref3D="1" dr="$A$59:$AN$318" dn="Z_813A7912_0731_46B9_B4CC_33DA5DAC5D0E_.wvu.FilterData" sId="1"/>
    <undo index="0" exp="area" ref3D="1" dr="$B$59:$AN$318" dn="Z_7ECA1D62_ABBC_43E6_9937_2E03B35496B2_.wvu.FilterData" sId="1"/>
    <undo index="0" exp="area" ref3D="1" dr="$A$59:$AN$318" dn="Z_8411BEB1_2171_43CE_A328_22A286B02862_.wvu.FilterData" sId="1"/>
    <undo index="0" exp="area" ref3D="1" dr="$A$59:$AN$318" dn="Z_808E2667_81A3_4C6A_BBA2_19DD06DD6803_.wvu.FilterData" sId="1"/>
    <undo index="0" exp="area" ref3D="1" dr="$B$59:$AN$318" dn="Z_7E9E86EE_4E86_464D_A02D_88BA33E6F7E1_.wvu.FilterData" sId="1"/>
    <undo index="0" exp="area" ref3D="1" dr="$A$59:$AN$318" dn="Z_7ECC2B8E_6A82_42F5_8AB0_4A51C54EA5EC_.wvu.FilterData" sId="1"/>
    <undo index="0" exp="area" ref3D="1" dr="$B$59:$AN$318" dn="Z_8272A3A2_9E6D_45E6_9C0F_2BEE73EF2A02_.wvu.FilterData" sId="1"/>
    <undo index="0" exp="area" ref3D="1" dr="$A$59:$AN$318" dn="Z_7FB20ABB_D8A4_4965_8E88_80AC614DF5A9_.wvu.FilterData" sId="1"/>
    <undo index="0" exp="area" ref3D="1" dr="$A$59:$AN$318" dn="Z_55A9D4C0_8482_4959_B827_6AC69AD7F2F0_.wvu.FilterData" sId="1"/>
    <undo index="0" exp="area" ref3D="1" dr="$A$59:$AN$318" dn="Z_55B30DB6_8312_48D0_8EBC_C09666C0024F_.wvu.FilterData" sId="1"/>
    <undo index="0" exp="area" ref3D="1" dr="$A$59:$AN$318" dn="Z_5726533A_9898_44CF_98FC_C69A068BE61C_.wvu.FilterData" sId="1"/>
    <undo index="0" exp="area" ref3D="1" dr="$B$59:$AN$318" dn="Z_563F0E48_4880_4BA0_8B51_589CD49BC542_.wvu.FilterData" sId="1"/>
    <undo index="0" exp="area" ref3D="1" dr="$B$59:$AN$318" dn="Z_56811EEF_FE6B_419A_9D63_F8571928A5FA_.wvu.FilterData" sId="1"/>
    <undo index="0" exp="area" ref3D="1" dr="$A$59:$AN$318" dn="Z_587E78D9_8F50_4AC3_9E1F_581BE3551E64_.wvu.FilterData" sId="1"/>
    <undo index="0" exp="area" ref3D="1" dr="$B$59:$AN$318" dn="Z_57E56D14_1944_4903_97E4_26AB37944736_.wvu.FilterData" sId="1"/>
    <undo index="0" exp="area" ref3D="1" dr="$B$59:$AN$318" dn="Z_6B374A4D_249C_4C23_AA17_86959F27F346_.wvu.FilterData" sId="1"/>
    <undo index="0" exp="area" ref3D="1" dr="$A$59:$AN$318" dn="Z_6AC12BBF_4FCF_454B_8B71_C95696419151_.wvu.FilterData" sId="1"/>
    <undo index="0" exp="area" ref3D="1" dr="$A$59:$AN$318" dn="Z_6D9B17D1_971C_4073_86BB_ED56854123E5_.wvu.FilterData" sId="1"/>
    <undo index="0" exp="area" ref3D="1" dr="$A$59:$AN$318" dn="Z_6F144052_1690_4609_B145_94EAC52CA5F6_.wvu.FilterData" sId="1"/>
    <undo index="0" exp="area" ref3D="1" dr="$B$59:$AN$318" dn="Z_6F138582_DA2E_48FF_8C71_FD324AC976C1_.wvu.FilterData" sId="1"/>
    <undo index="0" exp="area" ref3D="1" dr="$B$59:$AN$318" dn="Z_6A5804B2_391C_4C29_93A5_DA8848A9C0A9_.wvu.FilterData" sId="1"/>
    <undo index="0" exp="area" ref3D="1" dr="$A$59:$AN$318" dn="Z_6B1C0053_0046_4D67_BA8B_616B43777C0C_.wvu.FilterData" sId="1"/>
    <undo index="0" exp="area" ref3D="1" dr="$A$59:$AN$318" dn="Z_6BE441EC_C2B3_484F_8D66_B1F935DB9228_.wvu.FilterData" sId="1"/>
    <undo index="0" exp="area" ref3D="1" dr="$A$59:$AN$318" dn="Z_69A90271_D13B_4CCF_8FCA_9323261EF376_.wvu.FilterData" sId="1"/>
    <undo index="0" exp="area" ref3D="1" dr="$A$59:$AN$318" dn="Z_6DE17C78_E65F_476D_9F32_90CC12C01E83_.wvu.FilterData" sId="1"/>
    <undo index="0" exp="area" ref3D="1" dr="$A$59:$AN$318" dn="Z_6CDC68E0_8BBA_4F62_B4E1_F840303D63ED_.wvu.FilterData" sId="1"/>
    <undo index="0" exp="area" ref3D="1" dr="$A$59:$AN$318" dn="Z_6E1799E6_49A9_4A8E_AC1B_E18712DD61BF_.wvu.FilterData" sId="1"/>
    <undo index="0" exp="area" ref3D="1" dr="$B$59:$AN$318" dn="Z_6D5437E7_0F6A_474A_A969_679C02E613D2_.wvu.FilterData" sId="1"/>
    <undo index="0" exp="area" ref3D="1" dr="$A$59:$AN$318" dn="Z_6BAEB746_6A64_4AC5_8303_BAD8776C6375_.wvu.FilterData" sId="1"/>
    <undo index="0" exp="area" ref3D="1" dr="$A$59:$AN$318" dn="Z_64A2AB02_D456_417B_891E_F6D0030057BB_.wvu.FilterData" sId="1"/>
    <undo index="0" exp="area" ref3D="1" dr="$B$59:$AN$318" dn="Z_668FC5B4_A974_4B0C_A190_6FBF948C282E_.wvu.FilterData" sId="1"/>
    <undo index="0" exp="area" ref3D="1" dr="$B$59:$AN$318" dn="Z_6607199E_6F59_49CF_9E27_CD16D2C15F5A_.wvu.FilterData" sId="1"/>
    <undo index="0" exp="area" ref3D="1" dr="$B$59:$AN$318" dn="Z_654DEE07_DF95_4D03_A781_4519E9F80CCE_.wvu.FilterData" sId="1"/>
    <undo index="0" exp="area" ref3D="1" dr="$B$59:$AN$318" dn="Z_68A8DFB2_121C_4691_9D2A_B69DC01BC1C7_.wvu.FilterData" sId="1"/>
    <undo index="0" exp="area" ref3D="1" dr="$B$59:$AN$318" dn="Z_61B8E132_3892_4F93_B401_96B2CE19D429_.wvu.FilterData" sId="1"/>
    <undo index="0" exp="area" ref3D="1" dr="$A$59:$AN$318" dn="Z_61CDA96D_05D5_4048_BE36_A749ACF0BF16_.wvu.FilterData" sId="1"/>
    <undo index="0" exp="area" ref3D="1" dr="$A$59:$AN$318" dn="Z_676ED31B_26A9_422B_B32B_D771CE6CFCB7_.wvu.FilterData" sId="1"/>
    <undo index="0" exp="area" ref3D="1" dr="$B$59:$AN$318" dn="Z_636AF546_865A_4746_B0C4_E25D46F459D4_.wvu.FilterData" sId="1"/>
    <undo index="0" exp="area" ref3D="1" dr="$A$59:$AN$318" dn="Z_692EEB33_DCD1_458F_9C5E_4B229B986D68_.wvu.FilterData" sId="1"/>
    <undo index="0" exp="area" ref3D="1" dr="$B$59:$AN$318" dn="Z_66371693_7808_439E_B063_70A4978B65CE_.wvu.FilterData" sId="1"/>
    <undo index="0" exp="area" ref3D="1" dr="$A$59:$AN$318" dn="Z_67ABB675_2C62_49AF_8540_021B914E058D_.wvu.FilterData" sId="1"/>
    <undo index="0" exp="area" ref3D="1" dr="$B$59:$AN$318" dn="Z_668D2601_6D28_4914_B978_99DC33EE7E47_.wvu.FilterData" sId="1"/>
    <undo index="0" exp="area" ref3D="1" dr="$A$59:$AN$318" dn="Z_663D92E1_2F0A_4236_AFC6_1C6DF6871513_.wvu.FilterData" sId="1"/>
    <undo index="0" exp="area" ref3D="1" dr="$B$59:$AN$318" dn="Z_60AC2527_814D_446F_96A2_688DF4B3FB31_.wvu.FilterData" sId="1"/>
    <undo index="0" exp="area" ref3D="1" dr="$A$59:$AN$318" dn="Z_5F4C5D0B_AAFB_45D3_9977_5762875B45D9_.wvu.FilterData" sId="1"/>
    <undo index="0" exp="area" ref3D="1" dr="$A$59:$AN$318" dn="Z_5FB124BF_7101_4D12_899A_5D83D3002B21_.wvu.FilterData" sId="1"/>
    <undo index="0" exp="area" ref3D="1" dr="$A$59:$AN$318" dn="Z_5D3F990D_A922_4ED1_95AE_64CAB3AF267D_.wvu.FilterData" sId="1"/>
    <undo index="0" exp="area" ref3D="1" dr="$B$59:$AN$318" dn="Z_590C7751_D2AD_44DD_9E2C_6A20FF74A475_.wvu.FilterData" sId="1"/>
    <undo index="0" exp="area" ref3D="1" dr="$A$59:$AN$318" dn="Z_5BB3BEFD_1A62_45A9_98B1_873AA0E36F1C_.wvu.FilterData" sId="1"/>
    <undo index="0" exp="area" ref3D="1" dr="$A$59:$AN$318" dn="Z_6064FCA4_1299_45BD_A7FB_A6A1EA1CED0D_.wvu.FilterData" sId="1"/>
    <undo index="0" exp="area" ref3D="1" dr="$A$59:$AN$318" dn="Z_5F293130_E18A_40E4_98F9_B70CE78B7503_.wvu.FilterData" sId="1"/>
    <undo index="0" exp="area" ref3D="1" dr="$B$59:$AN$318" dn="Z_5EDC2EFF_5E79_4466_BF9D_79C6A5B40ED9_.wvu.FilterData" sId="1"/>
    <undo index="0" exp="area" ref3D="1" dr="$B$59:$AN$318" dn="Z_5DA88502_EE01_4790_8D73_BA293A53CF17_.wvu.FilterData" sId="1"/>
    <undo index="0" exp="area" ref3D="1" dr="$A$59:$AN$318" dn="Z_5B6DC8B2_B67A_40E4_8DD7_7813D2ABA00A_.wvu.FilterData" sId="1"/>
    <undo index="0" exp="area" ref3D="1" dr="$A$59:$AN$318" dn="Z_60D2C030_4E31_4E07_8E1C_44D2EE84B177_.wvu.FilterData" sId="1"/>
    <undo index="0" exp="area" ref3D="1" dr="$A$59:$AN$318" dn="Z_58850641_8130_4339_8D8C_DDA9502A83CD_.wvu.FilterData" sId="1"/>
    <undo index="0" exp="area" ref3D="1" dr="$A$59:$AN$318" dn="Z_5987616E_1448_448E_9F5B_7BE6DE6A8035_.wvu.FilterData" sId="1"/>
    <undo index="0" exp="area" ref3D="1" dr="$A$59:$AN$318" dn="Z_2C1EB19B_B948_4109_9D26_12E6653E5E5A_.wvu.FilterData" sId="1"/>
    <undo index="0" exp="area" ref3D="1" dr="$A$59:$AN$318" dn="Z_2ECACE1E_D2E3_430C_8EF5_F1F6D824E42A_.wvu.FilterData" sId="1"/>
    <undo index="0" exp="area" ref3D="1" dr="$A$59:$AN$318" dn="Z_2E32B38E_8332_4B76_9525_4C9E4A492B76_.wvu.FilterData" sId="1"/>
    <undo index="0" exp="area" ref3D="1" dr="$A$59:$AN$318" dn="Z_2EE4D9DF_B5D6_4F80_B201_455C7DF6B90A_.wvu.FilterData" sId="1"/>
    <undo index="0" exp="area" ref3D="1" dr="$A$59:$AN$318" dn="Z_2C75BAC8_7BA6_496F_8982_76E32EA3035D_.wvu.FilterData" sId="1"/>
    <undo index="0" exp="area" ref3D="1" dr="$A$59:$AN$318" dn="Z_2F601AC7_90C0_4B91_8424_FA87F0904645_.wvu.FilterData" sId="1"/>
    <undo index="0" exp="area" ref3D="1" dr="$A$59:$AN$318" dn="Z_2D809D6B_2E51_47F1_9DCB_0CD6A0D443DD_.wvu.FilterData" sId="1"/>
    <undo index="0" exp="area" ref3D="1" dr="$B$59:$AN$318" dn="Z_2E090A56_2888_4935_9988_615F66B95039_.wvu.FilterData" sId="1"/>
    <undo index="0" exp="area" ref3D="1" dr="$A$59:$AN$318" dn="Z_2D9C8AE5_DCBC_444F_972E_A405F428F9A1_.wvu.FilterData" sId="1"/>
    <undo index="0" exp="area" ref3D="1" dr="$A$59:$AN$318" dn="Z_30448A52_705D_4B87_AE53_EC31210B9026_.wvu.FilterData" sId="1"/>
    <undo index="0" exp="area" ref3D="1" dr="$B$59:$AN$318" dn="Z_36B89FCF_06F8_420B_B5B7_D30030E7DBE9_.wvu.FilterData" sId="1"/>
    <undo index="0" exp="area" ref3D="1" dr="$A$59:$AN$318" dn="Z_36623BD2_CACF_4A31_9FDE_180BE1FBD22D_.wvu.FilterData" sId="1"/>
    <undo index="0" exp="area" ref3D="1" dr="$A$59:$AN$318" dn="Z_36599628_2389_4803_851A_D6E5004D8A4F_.wvu.FilterData" sId="1"/>
    <undo index="0" exp="area" ref3D="1" dr="$A$59:$AN$318" dn="Z_36540C60_265F_4498_B23A_15E0886B2552_.wvu.FilterData" sId="1"/>
    <undo index="0" exp="area" ref3D="1" dr="$A$59:$AN$318" dn="Z_3130D014_973F_4DF5_B95F_39633D93F2F2_.wvu.FilterData" sId="1"/>
    <undo index="0" exp="area" ref3D="1" dr="$A$59:$AN$318" dn="Z_352F7979_7891_4C3B_A1C2_F092716CECF2_.wvu.FilterData" sId="1"/>
    <undo index="0" exp="area" ref3D="1" dr="$A$59:$AN$318" dn="Z_340679E5_EE95_46DD_AAED_AB4132625FC4_.wvu.FilterData" sId="1"/>
    <undo index="0" exp="area" ref3D="1" dr="$B$59:$AN$318" dn="Z_30D9789E_A4FF_40E9_BF67_29ADA8CB1212_.wvu.FilterData" sId="1"/>
    <undo index="0" exp="area" ref3D="1" dr="$A$59:$AN$318" dn="Z_308F0676_A9B9_4C93_A293_C6BBBCA54ABC_.wvu.FilterData" sId="1"/>
    <undo index="0" exp="area" ref3D="1" dr="$A$59:$AN$318" dn="Z_31A40E8B_548E_40B3_85D0_F053A5085308_.wvu.FilterData" sId="1"/>
    <undo index="0" exp="area" ref3D="1" dr="$A$59:$AN$318" dn="Z_31148D3F_D233_4B5E_92DE_30A4208F1672_.wvu.FilterData" sId="1"/>
    <undo index="0" exp="area" ref3D="1" dr="$A$59:$AN$318" dn="Z_30F91928_68DC_482E_AABC_DF89AB048D73_.wvu.FilterData" sId="1"/>
    <undo index="0" exp="area" ref3D="1" dr="$A$59:$AN$318" dn="Z_307AA98B_D1DC_46DD_8986_F774A0EA6252_.wvu.FilterData" sId="1"/>
    <undo index="0" exp="area" ref3D="1" dr="$A$59:$AN$318" dn="Z_3379F5D4_5E76_428C_9353_FFA4709A8F67_.wvu.FilterData" sId="1"/>
    <undo index="0" exp="area" ref3D="1" dr="$A$59:$AN$318" dn="Z_30F8A201_E4CA_4B8D_9C8A_6BF5BBDF1856_.wvu.FilterData" sId="1"/>
    <undo index="0" exp="area" ref3D="1" dr="$B$59:$AN$318" dn="Z_278C5F8A_6BC0_4A01_A343_CB5ED23E686C_.wvu.FilterData" sId="1"/>
    <undo index="0" exp="area" ref3D="1" dr="$A$59:$AN$318" dn="Z_2707BC00_D1A8_4E5B_87AC_7CA121E79D65_.wvu.FilterData" sId="1"/>
    <undo index="0" exp="area" ref3D="1" dr="$B$59:$AN$318" dn="Z_254527B6_AF1D_4BAA_A397_AA4549043C81_.wvu.FilterData" sId="1"/>
    <undo index="0" exp="area" ref3D="1" dr="$B$59:$AN$318" dn="Z_26D1F5A5_96D6_4E71_B7C1_A23D5D0DBEB6_.wvu.FilterData" sId="1"/>
    <undo index="0" exp="area" ref3D="1" dr="$B$59:$AN$318" dn="Z_25FBC392_575A_46D5_8F77_708EBF5D79D6_.wvu.FilterData" sId="1"/>
    <undo index="0" exp="area" ref3D="1" dr="$A$59:$AN$318" dn="Z_259D5BFF_B9A1_490C_AB12_1421827E23D6_.wvu.FilterData" sId="1"/>
    <undo index="0" exp="area" ref3D="1" dr="$B$59:$AN$318" dn="Z_2524EDF4_CFD1_4CF6_8C84_E557B12D463E_.wvu.FilterData" sId="1"/>
    <undo index="0" exp="area" ref3D="1" dr="$A$59:$AN$318" dn="Z_283D4045_5188_4FA2_AA4A_D83AF43FEE1E_.wvu.FilterData" sId="1"/>
    <undo index="0" exp="area" ref3D="1" dr="$A$59:$AN$318" dn="Z_2BB7C7F9_75AA_4B3F_AF2D_E10396E569D3_.wvu.FilterData" sId="1"/>
    <undo index="0" exp="area" ref3D="1" dr="$A$59:$AN$318" dn="Z_2BC2A590_9684_4447_B38C_65C6FB0CEC4B_.wvu.FilterData" sId="1"/>
    <undo index="0" exp="area" ref3D="1" dr="$A$59:$AN$318" dn="Z_2BB144EC_5E5F_4D44_AD8D_03EF7D4BC90D_.wvu.FilterData" sId="1"/>
    <undo index="0" exp="area" ref3D="1" dr="$A$59:$AN$318" dn="Z_2AB2D19C_A4BA_4574_8CD8_E01DB9CEF44C_.wvu.FilterData" sId="1"/>
    <undo index="0" exp="area" ref3D="1" dr="$A$59:$AN$318" dn="Z_25B933AF_E355_4338_8073_05504304F531_.wvu.FilterData" sId="1"/>
    <undo index="0" exp="area" ref3D="1" dr="$B$59:$AN$318" dn="Z_2A9975D9_7C20_4632_A4AA_EE470CC19EE0_.wvu.FilterData" sId="1"/>
    <undo index="0" exp="area" ref3D="1" dr="$A$59:$AN$318" dn="Z_29D3FF7C_BAD6_452E_A054_D8327450372D_.wvu.FilterData" sId="1"/>
    <undo index="0" exp="area" ref3D="1" dr="$A$59:$AN$318" dn="Z_2A7AD122_F9C8_4A2C_A59F_C6EA38D19623_.wvu.FilterData" sId="1"/>
    <undo index="0" exp="area" ref3D="1" dr="$B$59:$AN$318" dn="Z_243D98C0_AF41_4E98_98EA_8605BD375B77_.wvu.FilterData" sId="1"/>
    <undo index="0" exp="area" ref3D="1" dr="$A$59:$AN$318" dn="Z_23D7C543_4321_4BD5_A266_51B179CE94C1_.wvu.FilterData" sId="1"/>
    <undo index="0" exp="area" ref3D="1" dr="$A$59:$AN$318" dn="Z_230AE275_002A_4985_92AF_B9C07BA0C56D_.wvu.FilterData" sId="1"/>
    <undo index="0" exp="area" ref3D="1" dr="$A$59:$AN$318" dn="Z_21DAA9F9_C215_428C_BF04_E405FED15D7B_.wvu.FilterData" sId="1"/>
    <undo index="0" exp="area" ref3D="1" dr="$B$59:$AN$318" dn="Z_21BB3E48_D422_446E_8AB6_8B38771A9F18_.wvu.FilterData" sId="1"/>
    <undo index="0" exp="area" ref3D="1" dr="$A$59:$AN$318" dn="Z_217D1578_1343_4C4E_A44B_C4B1AE16B41C_.wvu.FilterData" sId="1"/>
    <undo index="0" exp="area" ref3D="1" dr="$B$59:$AN$318" dn="Z_248003BD_EA5C_44B1_A093_224389DDBE20_.wvu.FilterData" sId="1"/>
    <undo index="0" exp="area" ref3D="1" dr="$A$59:$AN$318" dn="Z_21DFCA27_D299_4221_887B_C75003D16FAE_.wvu.FilterData" sId="1"/>
    <undo index="0" exp="area" ref3D="1" dr="$A$59:$AN$318" dn="Z_237F83C6_2F54_4671_B72D_439DC986FA43_.wvu.FilterData" sId="1"/>
    <undo index="0" exp="area" ref3D="1" dr="$B$59:$AN$318" dn="Z_215B5F14_46F1_4C1B_ACAE_BF4088490709_.wvu.FilterData" sId="1"/>
    <undo index="0" exp="area" ref3D="1" dr="$B$59:$AN$318" dn="Z_250915DF_0B97_45D7_B29D_7EED4C89C1C1_.wvu.FilterData" sId="1"/>
    <undo index="0" exp="area" ref3D="1" dr="$A$59:$AN$318" dn="Z_20E2792A_EB36_4E05_99BF_3FFC9CA25990_.wvu.FilterData" sId="1"/>
    <undo index="0" exp="area" ref3D="1" dr="$B$59:$AN$318" dn="Z_2501AD2B_A07A_49BF_BF9A_AD98671EC307_.wvu.FilterData" sId="1"/>
    <undo index="0" exp="area" ref3D="1" dr="$B$59:$AN$318" dn="Z_24F938AF_0FF7_4211_AC75_7C89293FE5CE_.wvu.FilterData" sId="1"/>
    <undo index="0" exp="area" ref3D="1" dr="$A$59:$AN$318" dn="Z_23D245D9_7B35_44A2_94B6_4223E1EC05C6_.wvu.FilterData" sId="1"/>
    <undo index="0" exp="area" ref3D="1" dr="$B$59:$AN$318" dn="Z_1B258722_B399_4C25_91A3_86BCFCE1DDB0_.wvu.FilterData" sId="1"/>
    <undo index="0" exp="area" ref3D="1" dr="$A$59:$AN$318" dn="Z_1CD1B0AD_724D_4F54_AF9A_84E1CFD23A6B_.wvu.FilterData" sId="1"/>
    <undo index="0" exp="area" ref3D="1" dr="$A$59:$AN$318" dn="Z_1C772275_C5B7_4D48_A14A_229344678FAE_.wvu.FilterData" sId="1"/>
    <undo index="0" exp="area" ref3D="1" dr="$A$59:$AN$318" dn="Z_1B7B88DD_0F8D_4BC2_AA4B_D8D802FE1AA4_.wvu.FilterData" sId="1"/>
    <undo index="0" exp="area" ref3D="1" dr="$A$59:$AN$318" dn="Z_1B5A17C9_3A39_47DF_8140_88DA3B3AFAA5_.wvu.FilterData" sId="1"/>
    <undo index="0" exp="area" ref3D="1" dr="$A$59:$AN$318" dn="Z_19402149_6114_4022_B33D_3C375B841BD8_.wvu.FilterData" sId="1"/>
    <undo index="0" exp="area" ref3D="1" dr="$B$59:$AN$318" dn="Z_1B4D24DE_B85A_4A3A_8CD0_1A40E6C2EC53_.wvu.FilterData" sId="1"/>
    <undo index="0" exp="area" ref3D="1" dr="$A$59:$AN$318" dn="Z_19CD5048_EBFC_47E8_9FD0_E73DC58D3596_.wvu.FilterData" sId="1"/>
    <undo index="0" exp="area" ref3D="1" dr="$A$59:$AN$318" dn="Z_18D6C49E_A264_40A0_9D3C_E160CA9C6985_.wvu.FilterData" sId="1"/>
    <undo index="0" exp="area" ref3D="1" dr="$A$59:$AN$318" dn="Z_1A235C55_4FC8_4A85_B5B2_85253D71C4D6_.wvu.FilterData" sId="1"/>
    <undo index="0" exp="area" ref3D="1" dr="$A$59:$AN$318" dn="Z_1E307FCD_934B_4070_BDAA_8F2B33379F52_.wvu.FilterData" sId="1"/>
    <undo index="0" exp="area" ref3D="1" dr="$B$59:$AN$318" dn="Z_200B8BBC_3261_4338_B3CF_1D7E97745833_.wvu.FilterData" sId="1"/>
    <undo index="0" exp="area" ref3D="1" dr="$A$59:$AN$318" dn="Z_20D828CF_D8F7_480A_A8C6_95288479E98C_.wvu.FilterData" sId="1"/>
    <undo index="0" exp="area" ref3D="1" dr="$A$59:$AN$318" dn="Z_1FE7120D_DB13_41F0_9DE6_703B2A3D70B8_.wvu.FilterData" sId="1"/>
    <undo index="0" exp="area" ref3D="1" dr="$B$59:$AN$318" dn="Z_1CB84568_0C36_49EF_BD1E_29708DF91946_.wvu.FilterData" sId="1"/>
    <undo index="0" exp="area" ref3D="1" dr="$B$59:$AN$318" dn="Z_1F96DBC8_93B4_4D2A_9E79_36D8B29E1FEF_.wvu.FilterData" sId="1"/>
    <undo index="0" exp="area" ref3D="1" dr="$A$59:$AN$318" dn="Z_1316A344_8526_4A5A_91CB_0B6860CD7B09_.wvu.FilterData" sId="1"/>
    <undo index="0" exp="area" ref3D="1" dr="$A$59:$AN$318" dn="Z_1423035C_B8AF_4653_8B0C_9092ECDBF18B_.wvu.FilterData" sId="1"/>
    <undo index="0" exp="area" ref3D="1" dr="$B$59:$AN$318" dn="Z_17A5DA2D_485D_40DC_A1E4_8633668BB65B_.wvu.FilterData" sId="1"/>
    <undo index="0" exp="area" ref3D="1" dr="$A$59:$AN$318" dn="Z_17925642_6879_487D_ADC0_372D49287D2A_.wvu.FilterData" sId="1"/>
    <undo index="0" exp="area" ref3D="1" dr="$A$59:$AN$318" dn="Z_177E9F46_91FD_4B8A_A333_529CDC2DA674_.wvu.FilterData" sId="1"/>
    <undo index="0" exp="area" ref3D="1" dr="$B$59:$AN$318" dn="Z_174A6792_5EF5_42CE_9B3B_86F53BE71447_.wvu.FilterData" sId="1"/>
    <undo index="0" exp="area" ref3D="1" dr="$A$59:$AN$318" dn="Z_17183E33_A213_4F3F_9870_F1D7F2A6838A_.wvu.FilterData" sId="1"/>
    <undo index="0" exp="area" ref3D="1" dr="$B$59:$AN$318" dn="Z_16F63D1D_5D08_4984_94E5_2BF0D97B7171_.wvu.FilterData" sId="1"/>
    <undo index="0" exp="area" ref3D="1" dr="$A$59:$AN$318" dn="Z_1594703F_52BA_4A64_97E2_52459A1FCA6A_.wvu.FilterData" sId="1"/>
    <undo index="0" exp="area" ref3D="1" dr="$B$59:$AN$318" dn="Z_132C6898_7BD8_4053_9284_49B13D9C8D59_.wvu.FilterData" sId="1"/>
    <undo index="0" exp="area" ref3D="1" dr="$B$59:$AN$318" dn="Z_16B45F7C_0861_42E7_9410_12BF8F37DCD7_.wvu.FilterData" sId="1"/>
    <undo index="0" exp="area" ref3D="1" dr="$A$59:$AN$318" dn="Z_13421632_55CA_4586_B03E_1FC519AC043B_.wvu.FilterData" sId="1"/>
    <undo index="0" exp="area" ref3D="1" dr="$B$59:$AN$318" dn="Z_1838E38E_0617_4284_B70D_EE93F3730ED0_.wvu.FilterData" sId="1"/>
    <undo index="0" exp="area" ref3D="1" dr="$A$59:$AN$318" dn="Z_176FC70B_AC0D_4734_B7F2_807063B27563_.wvu.FilterData" sId="1"/>
    <undo index="0" exp="area" ref3D="1" dr="$A$59:$AN$318" dn="Z_16059B22_ECA7_4CF0_A34D_CD415168CA09_.wvu.FilterData" sId="1"/>
    <undo index="0" exp="area" ref3D="1" dr="$A$59:$AN$318" dn="Z_18167987_96B8_43EA_AF4B_66ABD6146BE9_.wvu.FilterData" sId="1"/>
    <undo index="0" exp="area" ref3D="1" dr="$A$59:$AN$318" dn="Z_120A6944_24D5_4B4D_A680_95B4E8DC27D1_.wvu.FilterData" sId="1"/>
    <undo index="0" exp="area" ref3D="1" dr="$A$59:$AN$318" dn="Z_11B267B4_CCB5_4FD4_A4ED_6557FC3F3694_.wvu.FilterData" sId="1"/>
    <undo index="0" exp="area" ref3D="1" dr="$A$59:$AN$318" dn="Z_10B5054A_878E_4E14_88A5_58B709AC46BE_.wvu.FilterData" sId="1"/>
    <undo index="0" exp="area" ref3D="1" dr="$A$59:$AN$318" dn="Z_119BB688_51FD_4E28_B976_424CDF204D2F_.wvu.FilterData" sId="1"/>
    <undo index="0" exp="area" ref3D="1" dr="$A$59:$AN$318" dn="Z_11367D4E_C5EB_41D2_9AC8_81DB66FC75D0_.wvu.FilterData" sId="1"/>
    <undo index="0" exp="area" ref3D="1" dr="$B$59:$AN$318" dn="Z_106E01A2_3463_4675_BE98_7276F6DD7ABE_.wvu.FilterData" sId="1"/>
    <undo index="0" exp="area" ref3D="1" dr="$B$59:$AN$318" dn="Z_1041A54E_BA3B_4139_9F70_A0421929FFA9_.wvu.FilterData" sId="1"/>
    <undo index="0" exp="area" ref3D="1" dr="$B$59:$AN$318" dn="Z_100C8711_49F0_420E_8575_3C1810AF7CC3_.wvu.FilterData" sId="1"/>
    <undo index="0" exp="area" ref3D="1" dr="$A$59:$AN$318" dn="Z_10AEEA8C_92E9_4868_801E_16751B8F1C9F_.wvu.FilterData" sId="1"/>
    <undo index="0" exp="area" ref3D="1" dr="$A$59:$AN$318" dn="Z_109D4996_9949_4FB4_B04D_C5C7F29005EB_.wvu.FilterData" sId="1"/>
    <undo index="0" exp="area" ref3D="1" dr="$A$59:$AN$318" dn="Z_126B9B84_8631_45A2_A779_A57C4FD4919E_.wvu.FilterData" sId="1"/>
    <undo index="0" exp="area" ref3D="1" dr="$A$59:$AN$318" dn="Z_0FE0C546_D282_4F4F_9A5D_4EC84C00DA49_.wvu.FilterData" sId="1"/>
    <undo index="0" exp="area" ref3D="1" dr="$A$59:$AN$318" dn="Z_125E42F3_18DE_4272_A548_D075330F5284_.wvu.FilterData" sId="1"/>
    <undo index="0" exp="area" ref3D="1" dr="$A$59:$AN$318" dn="Z_0AB06E68_8BB9_4144_A84E_3331A1A4681E_.wvu.FilterData" sId="1"/>
    <undo index="0" exp="area" ref3D="1" dr="$A$59:$AN$318" dn="Z_0B484F93_8218_48C7_A465_CFF3723D2DDF_.wvu.FilterData" sId="1"/>
    <undo index="0" exp="area" ref3D="1" dr="$A$59:$AN$318" dn="Z_0A33C66A_D017_4D2E_A979_2C584E7DC975_.wvu.FilterData" sId="1"/>
    <undo index="0" exp="area" ref3D="1" dr="$A$59:$AN$318" dn="Z_0D9E03C2_A32F_450C_B672_A32B6AB5F4CB_.wvu.FilterData" sId="1"/>
    <undo index="0" exp="area" ref3D="1" dr="$A$59:$AN$318" dn="Z_0C6BE164_6BA3_446D_942F_966AE5EA2F00_.wvu.FilterData" sId="1"/>
    <undo index="0" exp="area" ref3D="1" dr="$B$59:$AN$318" dn="Z_0C6B4140_26C8_4A85_B5AF_F9A10600F366_.wvu.FilterData" sId="1"/>
    <undo index="0" exp="area" ref3D="1" dr="$A$59:$AN$318" dn="Z_0A6D8CFE_6EB2_43B1_B145_8F368E64B301_.wvu.FilterData" sId="1"/>
    <undo index="0" exp="area" ref3D="1" dr="$A$59:$AN$318" dn="Z_0B629CCC_DCFA_448F_AD35_5F0586401E6F_.wvu.FilterData" sId="1"/>
    <undo index="0" exp="area" ref3D="1" dr="$A$59:$AN$318" dn="Z_0A72C20A_78E4_45AF_8BCF_DC5B59043341_.wvu.FilterData" sId="1"/>
    <undo index="0" exp="area" ref3D="1" dr="$B$59:$AN$318" dn="Z_09D9796A_BBD2_4AF7_BA95_A36C481CA4B7_.wvu.FilterData" sId="1"/>
    <undo index="0" exp="area" ref3D="1" dr="$B$59:$AN$318" dn="Z_0AA08EE5_3EA4_4BCE_AE2C_842AA3D7A4F6_.wvu.FilterData" sId="1"/>
    <undo index="0" exp="area" ref3D="1" dr="$B$59:$AN$318" dn="Z_0F6BA88F_F1C4_4C06_A527_0FB545F1DFFA_.wvu.FilterData" sId="1"/>
    <undo index="0" exp="area" ref3D="1" dr="$A$59:$AN$318" dn="Z_0A69D571_3018_4FA4_8C32_E2DFB0614496_.wvu.FilterData" sId="1"/>
    <undo index="0" exp="area" ref3D="1" dr="$A$59:$AN$318" dn="Z_0D0A6154_7CBF_4A37_BEA2_AB537B4B2A67_.wvu.FilterData" sId="1"/>
    <undo index="0" exp="area" ref3D="1" dr="$B$59:$AN$318" dn="Z_0E0A1A84_274E_4C87_84D6_9771A179FB59_.wvu.FilterData" sId="1"/>
    <undo index="0" exp="area" ref3D="1" dr="$A$59:$AN$318" dn="Z_0921E775_DF47_46F9_BB77_A370BDC966C7_.wvu.FilterData" sId="1"/>
    <undo index="0" exp="area" ref3D="1" dr="$B$59:$AN$318" dn="Z_08D9EC9E_19A1_44EF_88CC_A93BDAE68A62_.wvu.FilterData" sId="1"/>
    <undo index="0" exp="area" ref3D="1" dr="$B$59:$AN$318" dn="Z_05361591_7A29_421F_B4E3_2E109EC18103_.wvu.FilterData" sId="1"/>
    <undo index="0" exp="area" ref3D="1" dr="$A$59:$AN$318" dn="Z_05B18CA3_DA68_4944_AD63_857EF7223B76_.wvu.FilterData" sId="1"/>
    <undo index="0" exp="area" ref3D="1" dr="$A$59:$AN$318" dn="Z_07B34DA0_7292_4B42_8B28_B27A13F43E3A_.wvu.FilterData" sId="1"/>
    <undo index="0" exp="area" ref3D="1" dr="$B$59:$AN$318" dn="Z_040E8B46_CA61_4A56_9419_C22F6B3F774B_.wvu.FilterData" sId="1"/>
    <undo index="0" exp="area" ref3D="1" dr="$B$59:$AN$318" dn="Z_055B52FC_2B7B_42BC_9AD2_87565E082A86_.wvu.FilterData" sId="1"/>
    <undo index="0" exp="area" ref3D="1" dr="$A$59:$AN$318" dn="Z_087D3374_38FA_4B40_971D_F10F6EEAF440_.wvu.FilterData" sId="1"/>
    <undo index="0" exp="area" ref3D="1" dr="$B$59:$AN$318" dn="Z_0600F77B_03E6_457E_8094_42AB3F458D08_.wvu.FilterData" sId="1"/>
    <undo index="0" exp="area" ref3D="1" dr="$A$59:$AN$318" dn="Z_04E2D24B_601F_4F5B_AF88_4D71CC02064C_.wvu.FilterData" sId="1"/>
    <undo index="0" exp="area" ref3D="1" dr="$A$59:$AN$318" dn="Z_06E2F1FE_B942_412C_AA23_B5BA85E9E0CA_.wvu.FilterData" sId="1"/>
    <undo index="0" exp="area" ref3D="1" dr="$A$59:$AN$318" dn="Z_095FDA14_CE3D_493D_8683_BACDCCE62C0A_.wvu.FilterData" sId="1"/>
    <undo index="0" exp="area" ref3D="1" dr="$A$59:$AN$318" dn="Z_0115AFB4_4C4E_4468_B6CC_4FCA3D2F432C_.wvu.FilterData" sId="1"/>
    <undo index="0" exp="area" ref3D="1" dr="$A$59:$AN$318" dn="Z_02D2CB07_3C0A_4EA9_BB2C_BDA10CEE189C_.wvu.FilterData" sId="1"/>
    <undo index="0" exp="area" ref3D="1" dr="$A$59:$AN$318" dn="Z_02FB7E96_2799_4990_A37E_4BD93CFC5923_.wvu.FilterData" sId="1"/>
    <undo index="0" exp="area" ref3D="1" dr="$B$59:$AN$318" dn="Z_01F48ED4_6F4C_49BB_A369_E61277689C61_.wvu.FilterData" sId="1"/>
    <undo index="0" exp="area" ref3D="1" dr="$A$59:$AN$318" dn="Z_02F42AF6_AEB8_4115_B8EB_CDA5FF7AFB22_.wvu.FilterData" sId="1"/>
    <undo index="0" exp="area" ref3D="1" dr="$A$59:$AN$318" dn="Z_027DC486_5FD8_4F20_9789_42783C7EA75D_.wvu.FilterData" sId="1"/>
    <undo index="0" exp="area" ref3D="1" dr="$B$59:$AN$318" dn="_FilterDatabase" sId="1"/>
    <undo index="0" exp="area" ref3D="1" dr="$A$59:$AN$318" dn="Z_0261509A_A639_49AE_AA4A_769861E1FB47_.wvu.FilterData" sId="1"/>
    <undo index="0" exp="area" ref3D="1" dr="$A$59:$AN$318" dn="Z_006FEADE_C1C8_4623_94EF_0C71C28F2B02_.wvu.FilterData" sId="1"/>
    <undo index="0" exp="area" ref3D="1" dr="$B$59:$AN$318" dn="Z_00627CE1_7120_4788_9772_A991ED868B61_.wvu.FilterData" sId="1"/>
    <undo index="0" exp="area" ref3D="1" dr="$A$59:$AN$318" dn="Z_01E511D8_96F0_4FC8_9F7C_EFD3A637D0BF_.wvu.FilterData" sId="1"/>
    <undo index="0" exp="area" ref3D="1" dr="$B$59:$AN$318" dn="Z_1CEFBF46_1407_41EA_A143_B0A34A2B667D_.wvu.FilterData" sId="1"/>
    <undo index="0" exp="area" ref3D="1" dr="$B$59:$AN$318" dn="Z_BCD67A5F_3B8A_4ACB_A5B6_A8178B148F07_.wvu.FilterData" sId="1"/>
    <undo index="0" exp="area" ref3D="1" dr="$B$59:$AN$318" dn="Z_CA0C84CB_A94A_4360_85AD_C7A014E8F41D_.wvu.FilterData" sId="1"/>
    <rfmt sheetId="1" xfDxf="1" sqref="A318:XFD318" start="0" length="0"/>
    <rfmt sheetId="1" sqref="B31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C318" start="0" length="0">
      <dxf>
        <alignment horizontal="left" vertical="top" readingOrder="0"/>
        <border outline="0">
          <left style="thin">
            <color indexed="64"/>
          </left>
          <right style="thin">
            <color indexed="64"/>
          </right>
          <top style="thin">
            <color indexed="64"/>
          </top>
          <bottom style="thin">
            <color indexed="64"/>
          </bottom>
        </border>
      </dxf>
    </rfmt>
    <rfmt sheetId="1" sqref="D318" start="0" length="0">
      <dxf>
        <alignment horizontal="left" vertical="top" readingOrder="0"/>
        <border outline="0">
          <left style="thin">
            <color indexed="64"/>
          </left>
          <right style="thin">
            <color indexed="64"/>
          </right>
          <top style="thin">
            <color indexed="64"/>
          </top>
          <bottom style="thin">
            <color indexed="64"/>
          </bottom>
        </border>
      </dxf>
    </rfmt>
    <rfmt sheetId="1" sqref="E318" start="0" length="0">
      <dxf>
        <alignment horizontal="left" vertical="top" readingOrder="0"/>
        <border outline="0">
          <left style="thin">
            <color indexed="64"/>
          </left>
          <right style="thin">
            <color indexed="64"/>
          </right>
          <top style="thin">
            <color indexed="64"/>
          </top>
          <bottom style="thin">
            <color indexed="64"/>
          </bottom>
        </border>
      </dxf>
    </rfmt>
    <rfmt sheetId="1" sqref="F318" start="0" length="0">
      <dxf>
        <alignment horizontal="left" vertical="top" readingOrder="0"/>
        <border outline="0">
          <left style="thin">
            <color indexed="64"/>
          </left>
          <right style="thin">
            <color indexed="64"/>
          </right>
          <top style="thin">
            <color indexed="64"/>
          </top>
          <bottom style="thin">
            <color indexed="64"/>
          </bottom>
        </border>
      </dxf>
    </rfmt>
    <rfmt sheetId="1" sqref="G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H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I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J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K318" start="0" length="0">
      <dxf>
        <alignment horizontal="left" vertical="top" readingOrder="0"/>
        <border outline="0">
          <left style="thin">
            <color indexed="64"/>
          </left>
          <right style="thin">
            <color indexed="64"/>
          </right>
          <top style="thin">
            <color indexed="64"/>
          </top>
          <bottom style="thin">
            <color indexed="64"/>
          </bottom>
        </border>
      </dxf>
    </rfmt>
    <rfmt sheetId="1" sqref="L318" start="0" length="0">
      <dxf>
        <alignment horizontal="left" vertical="top" readingOrder="0"/>
        <border outline="0">
          <left style="thin">
            <color indexed="64"/>
          </left>
          <right style="thin">
            <color indexed="64"/>
          </right>
          <top style="thin">
            <color indexed="64"/>
          </top>
          <bottom style="thin">
            <color indexed="64"/>
          </bottom>
        </border>
      </dxf>
    </rfmt>
    <rfmt sheetId="1" sqref="M318" start="0" length="0">
      <dxf>
        <alignment horizontal="left" vertical="top" readingOrder="0"/>
        <border outline="0">
          <left style="thin">
            <color indexed="64"/>
          </left>
          <right style="thin">
            <color indexed="64"/>
          </right>
          <top style="thin">
            <color indexed="64"/>
          </top>
          <bottom style="thin">
            <color indexed="64"/>
          </bottom>
        </border>
      </dxf>
    </rfmt>
    <rfmt sheetId="1" sqref="N318"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O318" t="inlineStr">
        <is>
          <t>-</t>
        </is>
      </nc>
      <ndxf>
        <alignment horizontal="left" vertical="top" readingOrder="0"/>
        <border outline="0">
          <left style="thin">
            <color indexed="64"/>
          </left>
          <right style="thin">
            <color indexed="64"/>
          </right>
          <top style="thin">
            <color indexed="64"/>
          </top>
          <bottom style="thin">
            <color indexed="64"/>
          </bottom>
        </border>
      </ndxf>
    </rcc>
    <rfmt sheetId="1" sqref="P318" start="0" length="0">
      <dxf>
        <alignment horizontal="left" vertical="top" readingOrder="0"/>
        <border outline="0">
          <left style="thin">
            <color indexed="64"/>
          </left>
          <right style="thin">
            <color indexed="64"/>
          </right>
          <top style="thin">
            <color indexed="64"/>
          </top>
          <bottom style="thin">
            <color indexed="64"/>
          </bottom>
        </border>
      </dxf>
    </rfmt>
    <rfmt sheetId="1" sqref="Q31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318"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fmt sheetId="1" sqref="S318" start="0" length="0">
      <dxf>
        <alignment horizontal="left" vertical="top" readingOrder="0"/>
        <border outline="0">
          <left style="thin">
            <color indexed="64"/>
          </left>
          <right style="thin">
            <color indexed="64"/>
          </right>
          <top style="thin">
            <color indexed="64"/>
          </top>
          <bottom style="thin">
            <color indexed="64"/>
          </bottom>
        </border>
      </dxf>
    </rfmt>
    <rfmt sheetId="1" sqref="T318" start="0" length="0">
      <dxf>
        <alignment horizontal="left" vertical="top" readingOrder="0"/>
        <border outline="0">
          <left style="thin">
            <color indexed="64"/>
          </left>
          <right style="thin">
            <color indexed="64"/>
          </right>
          <top style="thin">
            <color indexed="64"/>
          </top>
          <bottom style="thin">
            <color indexed="64"/>
          </bottom>
        </border>
      </dxf>
    </rfmt>
    <rfmt sheetId="1" sqref="U318" start="0" length="0">
      <dxf>
        <alignment horizontal="left" vertical="top" readingOrder="0"/>
        <border outline="0">
          <left style="thin">
            <color indexed="64"/>
          </left>
          <right style="thin">
            <color indexed="64"/>
          </right>
          <top style="thin">
            <color indexed="64"/>
          </top>
          <bottom style="thin">
            <color indexed="64"/>
          </bottom>
        </border>
      </dxf>
    </rfmt>
    <rfmt sheetId="1" sqref="V318" start="0" length="0">
      <dxf>
        <alignment horizontal="left" vertical="top" readingOrder="0"/>
        <border outline="0">
          <left style="thin">
            <color indexed="64"/>
          </left>
          <right style="thin">
            <color indexed="64"/>
          </right>
          <top style="thin">
            <color indexed="64"/>
          </top>
          <bottom style="thin">
            <color indexed="64"/>
          </bottom>
        </border>
      </dxf>
    </rfmt>
    <rfmt sheetId="1" sqref="W318" start="0" length="0">
      <dxf>
        <alignment horizontal="left" vertical="top" readingOrder="0"/>
        <border outline="0">
          <left style="thin">
            <color indexed="64"/>
          </left>
          <right style="thin">
            <color indexed="64"/>
          </right>
          <top style="thin">
            <color indexed="64"/>
          </top>
          <bottom style="thin">
            <color indexed="64"/>
          </bottom>
        </border>
      </dxf>
    </rfmt>
    <rfmt sheetId="1" sqref="X318" start="0" length="0">
      <dxf>
        <alignment horizontal="left" vertical="top" readingOrder="0"/>
        <border outline="0">
          <left style="thin">
            <color indexed="64"/>
          </left>
          <right style="thin">
            <color indexed="64"/>
          </right>
          <top style="thin">
            <color indexed="64"/>
          </top>
          <bottom style="thin">
            <color indexed="64"/>
          </bottom>
        </border>
      </dxf>
    </rfmt>
    <rfmt sheetId="1" sqref="Y318" start="0" length="0">
      <dxf>
        <alignment horizontal="left" vertical="top" readingOrder="0"/>
        <border outline="0">
          <left style="thin">
            <color indexed="64"/>
          </left>
          <right style="thin">
            <color indexed="64"/>
          </right>
          <top style="thin">
            <color indexed="64"/>
          </top>
          <bottom style="thin">
            <color indexed="64"/>
          </bottom>
        </border>
      </dxf>
    </rfmt>
    <rfmt sheetId="1" sqref="Z318" start="0" length="0">
      <dxf>
        <alignment horizontal="left" vertical="top" readingOrder="0"/>
        <border outline="0">
          <left style="thin">
            <color indexed="64"/>
          </left>
          <right style="thin">
            <color indexed="64"/>
          </right>
          <top style="thin">
            <color indexed="64"/>
          </top>
          <bottom style="thin">
            <color indexed="64"/>
          </bottom>
        </border>
      </dxf>
    </rfmt>
    <rfmt sheetId="1" sqref="AA318" start="0" length="0">
      <dxf>
        <alignment horizontal="left" vertical="top" readingOrder="0"/>
        <border outline="0">
          <left style="thin">
            <color indexed="64"/>
          </left>
          <right style="thin">
            <color indexed="64"/>
          </right>
          <top style="thin">
            <color indexed="64"/>
          </top>
          <bottom style="thin">
            <color indexed="64"/>
          </bottom>
        </border>
      </dxf>
    </rfmt>
    <rfmt sheetId="1" sqref="AB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1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1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quotePrefix="1">
      <nc r="AL31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M318" t="inlineStr">
        <is>
          <t>-</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AN318" t="inlineStr">
        <is>
          <t>-</t>
        </is>
      </nc>
      <ndxf>
        <alignment horizontal="left" vertical="top" readingOrder="0"/>
        <border outline="0">
          <left style="thin">
            <color indexed="64"/>
          </left>
          <right style="thin">
            <color indexed="64"/>
          </right>
          <top style="thin">
            <color indexed="64"/>
          </top>
          <bottom style="thin">
            <color indexed="64"/>
          </bottom>
        </border>
      </ndxf>
    </rcc>
  </rrc>
  <rrc rId="6416" sId="1" ref="A318:XFD318" action="deleteRow">
    <undo index="0" exp="area" ref3D="1" dr="$P$59:$P$318" dn="Z_C3B26110_BB96_4041_9E86_8FB1D3595EC3_.wvu.FilterData" sId="1"/>
    <undo index="0" exp="area" ref3D="1" dr="$P$59:$P$318" dn="Z_BC173873_A7A3_429A_A2F2_06B8E17D4E2D_.wvu.FilterData" sId="1"/>
    <undo index="0" exp="area" ref3D="1" dr="$P$59:$P$318" dn="Z_B6ED238C_0DE9_471E_909B_1EAB15BEA059_.wvu.FilterData" sId="1"/>
    <undo index="0" exp="area" ref3D="1" dr="$P$59:$P$318" dn="Z_A6A46D6D_F867_4FA0_8E53_62A7F47A4E88_.wvu.FilterData" sId="1"/>
    <undo index="0" exp="area" ref3D="1" dr="$P$59:$P$318" dn="Z_471F4494_0449_4884_B80A_27DCFF4E79A7_.wvu.FilterData" sId="1"/>
    <undo index="0" exp="area" ref3D="1" dr="$P$59:$P$318" dn="Z_5C3799C0_C642_426B_89BE_BE1EE5249DB4_.wvu.FilterData" sId="1"/>
    <undo index="0" exp="area" ref3D="1" dr="$P$59:$P$318" dn="Z_336B6883_2145_4B58_921E_CEC7185A847E_.wvu.FilterData" sId="1"/>
    <rfmt sheetId="1" xfDxf="1" sqref="A318:XFD318" start="0" length="0"/>
    <rfmt sheetId="1" sqref="B318" start="0" length="0">
      <dxf/>
    </rfmt>
    <rfmt sheetId="1" sqref="C318" start="0" length="0">
      <dxf/>
    </rfmt>
    <rfmt sheetId="1" sqref="D318" start="0" length="0">
      <dxf/>
    </rfmt>
    <rfmt sheetId="1" sqref="F318" start="0" length="0">
      <dxf>
        <font>
          <b/>
          <sz val="11"/>
          <color theme="1"/>
          <name val="Calibri"/>
          <scheme val="minor"/>
        </font>
      </dxf>
    </rfmt>
    <rfmt sheetId="1" sqref="G318" start="0" length="0">
      <dxf/>
    </rfmt>
    <rfmt sheetId="1" sqref="H318" start="0" length="0">
      <dxf/>
    </rfmt>
    <rfmt sheetId="1" sqref="I318" start="0" length="0">
      <dxf/>
    </rfmt>
    <rfmt sheetId="1" sqref="J318" start="0" length="0">
      <dxf/>
    </rfmt>
    <rfmt sheetId="1" sqref="K318" start="0" length="0">
      <dxf/>
    </rfmt>
    <rfmt sheetId="1" sqref="L318" start="0" length="0">
      <dxf/>
    </rfmt>
    <rfmt sheetId="1" sqref="M318" start="0" length="0">
      <dxf/>
    </rfmt>
    <rfmt sheetId="1" sqref="N318" start="0" length="0">
      <dxf/>
    </rfmt>
    <rfmt sheetId="1" sqref="O318" start="0" length="0">
      <dxf/>
    </rfmt>
    <rfmt sheetId="1" sqref="P318" start="0" length="0">
      <dxf/>
    </rfmt>
    <rfmt sheetId="1" sqref="Q318" start="0" length="0">
      <dxf/>
    </rfmt>
    <rfmt sheetId="1" sqref="W318" start="0" length="0">
      <dxf>
        <alignment horizontal="left" vertical="top" readingOrder="0"/>
      </dxf>
    </rfmt>
    <rfmt sheetId="1" sqref="AE318" start="0" length="0">
      <dxf/>
    </rfmt>
    <rfmt sheetId="1" sqref="AF318" start="0" length="0">
      <dxf/>
    </rfmt>
  </rrc>
  <rcc rId="6417" sId="1" quotePrefix="1">
    <nc r="J296" t="inlineStr">
      <is>
        <t>-</t>
      </is>
    </nc>
  </rcc>
  <rcc rId="6418" sId="1" quotePrefix="1">
    <nc r="J297" t="inlineStr">
      <is>
        <t>-</t>
      </is>
    </nc>
  </rcc>
  <rcc rId="6419" sId="1" quotePrefix="1">
    <nc r="J298" t="inlineStr">
      <is>
        <t>-</t>
      </is>
    </nc>
  </rcc>
  <rcc rId="6420" sId="1" quotePrefix="1">
    <nc r="J299" t="inlineStr">
      <is>
        <t>-</t>
      </is>
    </nc>
  </rcc>
  <rcc rId="6421" sId="1" quotePrefix="1">
    <nc r="J300" t="inlineStr">
      <is>
        <t>-</t>
      </is>
    </nc>
  </rcc>
  <rcc rId="6422" sId="1" quotePrefix="1">
    <nc r="J301" t="inlineStr">
      <is>
        <t>-</t>
      </is>
    </nc>
  </rcc>
  <rcc rId="6423" sId="1" quotePrefix="1">
    <nc r="J302" t="inlineStr">
      <is>
        <t>-</t>
      </is>
    </nc>
  </rcc>
  <rcc rId="6424" sId="1" quotePrefix="1">
    <nc r="J303" t="inlineStr">
      <is>
        <t>-</t>
      </is>
    </nc>
  </rcc>
  <rcc rId="6425" sId="1" quotePrefix="1">
    <nc r="J304" t="inlineStr">
      <is>
        <t>-</t>
      </is>
    </nc>
  </rcc>
  <rcc rId="6426" sId="1" quotePrefix="1">
    <nc r="J305" t="inlineStr">
      <is>
        <t>-</t>
      </is>
    </nc>
  </rcc>
  <rcc rId="6427" sId="1" quotePrefix="1">
    <nc r="J306" t="inlineStr">
      <is>
        <t>-</t>
      </is>
    </nc>
  </rcc>
  <rcc rId="6428" sId="1" quotePrefix="1">
    <nc r="J307" t="inlineStr">
      <is>
        <t>-</t>
      </is>
    </nc>
  </rcc>
  <rcc rId="6429" sId="1" quotePrefix="1">
    <nc r="J308" t="inlineStr">
      <is>
        <t>-</t>
      </is>
    </nc>
  </rcc>
  <rcc rId="6430" sId="1" quotePrefix="1">
    <nc r="J309" t="inlineStr">
      <is>
        <t>-</t>
      </is>
    </nc>
  </rcc>
  <rcc rId="6431" sId="1" quotePrefix="1">
    <nc r="J310" t="inlineStr">
      <is>
        <t>-</t>
      </is>
    </nc>
  </rcc>
  <rcc rId="6432" sId="1" quotePrefix="1">
    <nc r="J311" t="inlineStr">
      <is>
        <t>-</t>
      </is>
    </nc>
  </rcc>
  <rcc rId="6433" sId="1" quotePrefix="1">
    <nc r="J312" t="inlineStr">
      <is>
        <t>-</t>
      </is>
    </nc>
  </rcc>
  <rcc rId="6434" sId="1" quotePrefix="1">
    <nc r="J313" t="inlineStr">
      <is>
        <t>-</t>
      </is>
    </nc>
  </rcc>
  <rcc rId="6435" sId="1" quotePrefix="1">
    <nc r="J314" t="inlineStr">
      <is>
        <t>-</t>
      </is>
    </nc>
  </rcc>
  <rcc rId="6436" sId="1" quotePrefix="1">
    <nc r="J315" t="inlineStr">
      <is>
        <t>-</t>
      </is>
    </nc>
  </rcc>
  <rcc rId="6437" sId="1" quotePrefix="1">
    <nc r="J316" t="inlineStr">
      <is>
        <t>-</t>
      </is>
    </nc>
  </rcc>
  <rcc rId="6438" sId="1" quotePrefix="1">
    <nc r="J317" t="inlineStr">
      <is>
        <t>-</t>
      </is>
    </nc>
  </rcc>
  <rcc rId="6439" sId="1" xfDxf="1" dxf="1">
    <nc r="V295">
      <v>20</v>
    </nc>
    <ndxf>
      <alignment horizontal="left" vertical="top" readingOrder="0"/>
      <border outline="0">
        <left style="thin">
          <color indexed="64"/>
        </left>
        <right style="thin">
          <color indexed="64"/>
        </right>
        <top style="thin">
          <color indexed="64"/>
        </top>
        <bottom style="thin">
          <color indexed="64"/>
        </bottom>
      </border>
    </ndxf>
  </rcc>
  <rcc rId="6440" sId="1" xfDxf="1" dxf="1">
    <nc r="V296">
      <v>0</v>
    </nc>
    <ndxf>
      <alignment horizontal="left" vertical="top" readingOrder="0"/>
      <border outline="0">
        <left style="thin">
          <color indexed="64"/>
        </left>
        <right style="thin">
          <color indexed="64"/>
        </right>
        <top style="thin">
          <color indexed="64"/>
        </top>
        <bottom style="thin">
          <color indexed="64"/>
        </bottom>
      </border>
    </ndxf>
  </rcc>
  <rcc rId="6441" sId="1" xfDxf="1" dxf="1">
    <nc r="V297">
      <v>259</v>
    </nc>
    <ndxf>
      <alignment horizontal="left" vertical="top" readingOrder="0"/>
      <border outline="0">
        <left style="thin">
          <color indexed="64"/>
        </left>
        <right style="thin">
          <color indexed="64"/>
        </right>
        <top style="thin">
          <color indexed="64"/>
        </top>
        <bottom style="thin">
          <color indexed="64"/>
        </bottom>
      </border>
    </ndxf>
  </rcc>
  <rcc rId="6442" sId="1" xfDxf="1" dxf="1">
    <nc r="V298">
      <v>25</v>
    </nc>
    <ndxf>
      <alignment horizontal="left" vertical="top" readingOrder="0"/>
      <border outline="0">
        <left style="thin">
          <color indexed="64"/>
        </left>
        <right style="thin">
          <color indexed="64"/>
        </right>
        <top style="thin">
          <color indexed="64"/>
        </top>
        <bottom style="thin">
          <color indexed="64"/>
        </bottom>
      </border>
    </ndxf>
  </rcc>
  <rcc rId="6443" sId="1" xfDxf="1" dxf="1">
    <nc r="V299">
      <v>132</v>
    </nc>
    <ndxf>
      <alignment horizontal="left" vertical="top" readingOrder="0"/>
      <border outline="0">
        <left style="thin">
          <color indexed="64"/>
        </left>
        <right style="thin">
          <color indexed="64"/>
        </right>
        <top style="thin">
          <color indexed="64"/>
        </top>
        <bottom style="thin">
          <color indexed="64"/>
        </bottom>
      </border>
    </ndxf>
  </rcc>
  <rcc rId="6444" sId="1" xfDxf="1" dxf="1">
    <nc r="V300">
      <v>257</v>
    </nc>
    <ndxf>
      <alignment horizontal="left" vertical="top" readingOrder="0"/>
      <border outline="0">
        <left style="thin">
          <color indexed="64"/>
        </left>
        <right style="thin">
          <color indexed="64"/>
        </right>
        <top style="thin">
          <color indexed="64"/>
        </top>
        <bottom style="thin">
          <color indexed="64"/>
        </bottom>
      </border>
    </ndxf>
  </rcc>
  <rcc rId="6445" sId="1" xfDxf="1" dxf="1">
    <nc r="V301">
      <v>95</v>
    </nc>
    <ndxf>
      <alignment horizontal="left" vertical="top" readingOrder="0"/>
      <border outline="0">
        <left style="thin">
          <color indexed="64"/>
        </left>
        <right style="thin">
          <color indexed="64"/>
        </right>
        <top style="thin">
          <color indexed="64"/>
        </top>
        <bottom style="thin">
          <color indexed="64"/>
        </bottom>
      </border>
    </ndxf>
  </rcc>
  <rcc rId="6446" sId="1" xfDxf="1" dxf="1">
    <nc r="V302">
      <v>109</v>
    </nc>
    <ndxf>
      <alignment horizontal="left" vertical="top" readingOrder="0"/>
      <border outline="0">
        <left style="thin">
          <color indexed="64"/>
        </left>
        <right style="thin">
          <color indexed="64"/>
        </right>
        <top style="thin">
          <color indexed="64"/>
        </top>
        <bottom style="thin">
          <color indexed="64"/>
        </bottom>
      </border>
    </ndxf>
  </rcc>
  <rcc rId="6447" sId="1" xfDxf="1" dxf="1">
    <nc r="V303">
      <v>9</v>
    </nc>
    <ndxf>
      <alignment horizontal="left" vertical="top" readingOrder="0"/>
      <border outline="0">
        <left style="thin">
          <color indexed="64"/>
        </left>
        <right style="thin">
          <color indexed="64"/>
        </right>
        <top style="thin">
          <color indexed="64"/>
        </top>
        <bottom style="thin">
          <color indexed="64"/>
        </bottom>
      </border>
    </ndxf>
  </rcc>
  <rcc rId="6448" sId="1" xfDxf="1" dxf="1">
    <nc r="V304">
      <v>31</v>
    </nc>
    <ndxf>
      <alignment horizontal="left" vertical="top" readingOrder="0"/>
      <border outline="0">
        <left style="thin">
          <color indexed="64"/>
        </left>
        <right style="thin">
          <color indexed="64"/>
        </right>
        <top style="thin">
          <color indexed="64"/>
        </top>
        <bottom style="thin">
          <color indexed="64"/>
        </bottom>
      </border>
    </ndxf>
  </rcc>
  <rcc rId="6449" sId="1" xfDxf="1" dxf="1">
    <nc r="V305">
      <v>301</v>
    </nc>
    <ndxf>
      <alignment horizontal="left" vertical="top" readingOrder="0"/>
      <border outline="0">
        <left style="thin">
          <color indexed="64"/>
        </left>
        <right style="thin">
          <color indexed="64"/>
        </right>
        <top style="thin">
          <color indexed="64"/>
        </top>
        <bottom style="thin">
          <color indexed="64"/>
        </bottom>
      </border>
    </ndxf>
  </rcc>
  <rcc rId="6450" sId="1" xfDxf="1" dxf="1">
    <nc r="V306">
      <v>181</v>
    </nc>
    <ndxf>
      <alignment horizontal="left" vertical="top" readingOrder="0"/>
      <border outline="0">
        <left style="thin">
          <color indexed="64"/>
        </left>
        <right style="thin">
          <color indexed="64"/>
        </right>
        <top style="thin">
          <color indexed="64"/>
        </top>
        <bottom style="thin">
          <color indexed="64"/>
        </bottom>
      </border>
    </ndxf>
  </rcc>
  <rcc rId="6451" sId="1" xfDxf="1" dxf="1">
    <nc r="V307">
      <v>107</v>
    </nc>
    <ndxf>
      <alignment horizontal="left" vertical="top" readingOrder="0"/>
      <border outline="0">
        <left style="thin">
          <color indexed="64"/>
        </left>
        <right style="thin">
          <color indexed="64"/>
        </right>
        <top style="thin">
          <color indexed="64"/>
        </top>
        <bottom style="thin">
          <color indexed="64"/>
        </bottom>
      </border>
    </ndxf>
  </rcc>
  <rcc rId="6452" sId="1" xfDxf="1" dxf="1">
    <nc r="V308">
      <v>199</v>
    </nc>
    <ndxf>
      <alignment horizontal="left" vertical="top" readingOrder="0"/>
      <border outline="0">
        <left style="thin">
          <color indexed="64"/>
        </left>
        <right style="thin">
          <color indexed="64"/>
        </right>
        <top style="thin">
          <color indexed="64"/>
        </top>
        <bottom style="thin">
          <color indexed="64"/>
        </bottom>
      </border>
    </ndxf>
  </rcc>
  <rcc rId="6453" sId="1" xfDxf="1" dxf="1">
    <nc r="V309">
      <v>119</v>
    </nc>
    <ndxf>
      <alignment horizontal="left" vertical="top" readingOrder="0"/>
      <border outline="0">
        <left style="thin">
          <color indexed="64"/>
        </left>
        <right style="thin">
          <color indexed="64"/>
        </right>
        <top style="thin">
          <color indexed="64"/>
        </top>
        <bottom style="thin">
          <color indexed="64"/>
        </bottom>
      </border>
    </ndxf>
  </rcc>
  <rcc rId="6454" sId="1" xfDxf="1" dxf="1">
    <nc r="V310">
      <v>106</v>
    </nc>
    <ndxf>
      <alignment horizontal="left" vertical="top" readingOrder="0"/>
      <border outline="0">
        <left style="thin">
          <color indexed="64"/>
        </left>
        <right style="thin">
          <color indexed="64"/>
        </right>
        <top style="thin">
          <color indexed="64"/>
        </top>
        <bottom style="thin">
          <color indexed="64"/>
        </bottom>
      </border>
    </ndxf>
  </rcc>
  <rcc rId="6455" sId="1" xfDxf="1" dxf="1">
    <nc r="V311">
      <v>237</v>
    </nc>
    <ndxf>
      <alignment horizontal="left" vertical="top" readingOrder="0"/>
      <border outline="0">
        <left style="thin">
          <color indexed="64"/>
        </left>
        <right style="thin">
          <color indexed="64"/>
        </right>
        <top style="thin">
          <color indexed="64"/>
        </top>
        <bottom style="thin">
          <color indexed="64"/>
        </bottom>
      </border>
    </ndxf>
  </rcc>
  <rcc rId="6456" sId="1" xfDxf="1" dxf="1">
    <nc r="V312">
      <v>37</v>
    </nc>
    <ndxf>
      <alignment horizontal="left" vertical="top" readingOrder="0"/>
      <border outline="0">
        <left style="thin">
          <color indexed="64"/>
        </left>
        <right style="thin">
          <color indexed="64"/>
        </right>
        <top style="thin">
          <color indexed="64"/>
        </top>
        <bottom style="thin">
          <color indexed="64"/>
        </bottom>
      </border>
    </ndxf>
  </rcc>
  <rcc rId="6457" sId="1" xfDxf="1" dxf="1">
    <nc r="V313">
      <v>220</v>
    </nc>
    <ndxf>
      <alignment horizontal="left" vertical="top" readingOrder="0"/>
      <border outline="0">
        <left style="thin">
          <color indexed="64"/>
        </left>
        <right style="thin">
          <color indexed="64"/>
        </right>
        <top style="thin">
          <color indexed="64"/>
        </top>
        <bottom style="thin">
          <color indexed="64"/>
        </bottom>
      </border>
    </ndxf>
  </rcc>
  <rcc rId="6458" sId="1" xfDxf="1" dxf="1">
    <nc r="V314">
      <v>177</v>
    </nc>
    <ndxf>
      <alignment horizontal="left" vertical="top" readingOrder="0"/>
      <border outline="0">
        <left style="thin">
          <color indexed="64"/>
        </left>
        <right style="thin">
          <color indexed="64"/>
        </right>
        <top style="thin">
          <color indexed="64"/>
        </top>
        <bottom style="thin">
          <color indexed="64"/>
        </bottom>
      </border>
    </ndxf>
  </rcc>
  <rcc rId="6459" sId="1">
    <nc r="W295">
      <f>V295</f>
    </nc>
  </rcc>
  <rcc rId="6460" sId="1">
    <nc r="W296">
      <f>V296</f>
    </nc>
  </rcc>
  <rcc rId="6461" sId="1">
    <nc r="W297">
      <f>V297</f>
    </nc>
  </rcc>
  <rcc rId="6462" sId="1">
    <nc r="W298">
      <f>V298</f>
    </nc>
  </rcc>
  <rcc rId="6463" sId="1">
    <nc r="W299">
      <f>V299</f>
    </nc>
  </rcc>
  <rcc rId="6464" sId="1">
    <nc r="W300">
      <f>V300</f>
    </nc>
  </rcc>
  <rcc rId="6465" sId="1">
    <nc r="W301">
      <f>V301</f>
    </nc>
  </rcc>
  <rcc rId="6466" sId="1">
    <nc r="W302">
      <f>V302</f>
    </nc>
  </rcc>
  <rcc rId="6467" sId="1">
    <nc r="W303">
      <f>V303</f>
    </nc>
  </rcc>
  <rcc rId="6468" sId="1">
    <nc r="W304">
      <f>V304</f>
    </nc>
  </rcc>
  <rcc rId="6469" sId="1">
    <nc r="W305">
      <f>V305</f>
    </nc>
  </rcc>
  <rcc rId="6470" sId="1">
    <nc r="W306">
      <f>V306</f>
    </nc>
  </rcc>
  <rcc rId="6471" sId="1">
    <nc r="W307">
      <f>V307</f>
    </nc>
  </rcc>
  <rcc rId="6472" sId="1">
    <nc r="W308">
      <f>V308</f>
    </nc>
  </rcc>
  <rcc rId="6473" sId="1">
    <nc r="W309">
      <f>V309</f>
    </nc>
  </rcc>
  <rcc rId="6474" sId="1">
    <nc r="W310">
      <f>V310</f>
    </nc>
  </rcc>
  <rcc rId="6475" sId="1">
    <nc r="W311">
      <f>V311</f>
    </nc>
  </rcc>
  <rcc rId="6476" sId="1">
    <nc r="W312">
      <f>V312</f>
    </nc>
  </rcc>
  <rcc rId="6477" sId="1">
    <nc r="W313">
      <f>V313</f>
    </nc>
  </rcc>
  <rcc rId="6478" sId="1">
    <nc r="W314">
      <f>V314</f>
    </nc>
  </rcc>
  <rcc rId="6479" sId="1">
    <nc r="Y295">
      <f>ROUNDDOWN(W295/HLOOKUP(D295,Table!$C$3:$D$4,2,0)*8,2)</f>
    </nc>
  </rcc>
  <rcc rId="6480" sId="1">
    <nc r="Y296">
      <f>ROUNDDOWN(W296/HLOOKUP(D296,Table!$C$3:$D$4,2,0)*8,2)</f>
    </nc>
  </rcc>
  <rcc rId="6481" sId="1">
    <nc r="Y297">
      <f>ROUNDDOWN(W297/HLOOKUP(D297,Table!$C$3:$D$4,2,0)*8,2)</f>
    </nc>
  </rcc>
  <rcc rId="6482" sId="1">
    <nc r="Y298">
      <f>ROUNDDOWN(W298/HLOOKUP(D298,Table!$C$3:$D$4,2,0)*8,2)</f>
    </nc>
  </rcc>
  <rcc rId="6483" sId="1">
    <nc r="Y299">
      <f>ROUNDDOWN(W299/HLOOKUP(D299,Table!$C$3:$D$4,2,0)*8,2)</f>
    </nc>
  </rcc>
  <rcc rId="6484" sId="1">
    <nc r="Y300">
      <f>ROUNDDOWN(W300/HLOOKUP(D300,Table!$C$3:$D$4,2,0)*8,2)</f>
    </nc>
  </rcc>
  <rcc rId="6485" sId="1">
    <nc r="Y301">
      <f>ROUNDDOWN(W301/HLOOKUP(D301,Table!$C$3:$D$4,2,0)*8,2)</f>
    </nc>
  </rcc>
  <rcc rId="6486" sId="1">
    <nc r="Y302">
      <f>ROUNDDOWN(W302/HLOOKUP(D302,Table!$C$3:$D$4,2,0)*8,2)</f>
    </nc>
  </rcc>
  <rcc rId="6487" sId="1">
    <nc r="Y303">
      <f>ROUNDDOWN(W303/HLOOKUP(D303,Table!$C$3:$D$4,2,0)*8,2)</f>
    </nc>
  </rcc>
  <rcc rId="6488" sId="1">
    <nc r="Y304">
      <f>ROUNDDOWN(W304/HLOOKUP(D304,Table!$C$3:$D$4,2,0)*8,2)</f>
    </nc>
  </rcc>
  <rcc rId="6489" sId="1">
    <nc r="Y305">
      <f>ROUNDDOWN(W305/HLOOKUP(D305,Table!$C$3:$D$4,2,0)*8,2)</f>
    </nc>
  </rcc>
  <rcc rId="6490" sId="1">
    <nc r="Y306">
      <f>ROUNDDOWN(W306/HLOOKUP(D306,Table!$C$3:$D$4,2,0)*8,2)</f>
    </nc>
  </rcc>
  <rcc rId="6491" sId="1">
    <nc r="Y307">
      <f>ROUNDDOWN(W307/HLOOKUP(D307,Table!$C$3:$D$4,2,0)*8,2)</f>
    </nc>
  </rcc>
  <rcc rId="6492" sId="1">
    <nc r="Y308">
      <f>ROUNDDOWN(W308/HLOOKUP(D308,Table!$C$3:$D$4,2,0)*8,2)</f>
    </nc>
  </rcc>
  <rcc rId="6493" sId="1">
    <nc r="Y309">
      <f>ROUNDDOWN(W309/HLOOKUP(D309,Table!$C$3:$D$4,2,0)*8,2)</f>
    </nc>
  </rcc>
  <rcc rId="6494" sId="1">
    <nc r="Y310">
      <f>ROUNDDOWN(W310/HLOOKUP(D310,Table!$C$3:$D$4,2,0)*8,2)</f>
    </nc>
  </rcc>
  <rcc rId="6495" sId="1">
    <nc r="Y311">
      <f>ROUNDDOWN(W311/HLOOKUP(D311,Table!$C$3:$D$4,2,0)*8,2)</f>
    </nc>
  </rcc>
  <rcc rId="6496" sId="1">
    <nc r="Y312">
      <f>ROUNDDOWN(W312/HLOOKUP(D312,Table!$C$3:$D$4,2,0)*8,2)</f>
    </nc>
  </rcc>
  <rcc rId="6497" sId="1">
    <nc r="Y313">
      <f>ROUNDDOWN(W313/HLOOKUP(D313,Table!$C$3:$D$4,2,0)*8,2)</f>
    </nc>
  </rcc>
  <rcc rId="6498" sId="1">
    <nc r="Y314">
      <f>ROUNDDOWN(W314/HLOOKUP(D314,Table!$C$3:$D$4,2,0)*8,2)</f>
    </nc>
  </rcc>
  <rcc rId="6499" sId="1" numFmtId="19">
    <nc r="AC295">
      <v>44088</v>
    </nc>
  </rcc>
  <rcc rId="6500" sId="1" numFmtId="19">
    <nc r="AC296">
      <v>44088</v>
    </nc>
  </rcc>
  <rcc rId="6501" sId="1" numFmtId="19">
    <nc r="AC297">
      <v>44088</v>
    </nc>
  </rcc>
  <rcc rId="6502" sId="1" numFmtId="19">
    <nc r="AC298">
      <v>44088</v>
    </nc>
  </rcc>
  <rcc rId="6503" sId="1" numFmtId="19">
    <nc r="AC299">
      <v>44088</v>
    </nc>
  </rcc>
  <rcc rId="6504" sId="1" numFmtId="19">
    <nc r="AC300">
      <v>44088</v>
    </nc>
  </rcc>
  <rcc rId="6505" sId="1" numFmtId="19">
    <nc r="AC301">
      <v>44088</v>
    </nc>
  </rcc>
  <rcc rId="6506" sId="1" numFmtId="19">
    <nc r="AC302">
      <v>44088</v>
    </nc>
  </rcc>
  <rcc rId="6507" sId="1" numFmtId="19">
    <nc r="AC303">
      <v>44088</v>
    </nc>
  </rcc>
  <rcc rId="6508" sId="1" numFmtId="19">
    <nc r="AC304">
      <v>44088</v>
    </nc>
  </rcc>
  <rcc rId="6509" sId="1" numFmtId="19">
    <nc r="AC305">
      <v>44088</v>
    </nc>
  </rcc>
  <rcc rId="6510" sId="1" numFmtId="19">
    <nc r="AC306">
      <v>44088</v>
    </nc>
  </rcc>
  <rcc rId="6511" sId="1" numFmtId="19">
    <nc r="AC307">
      <v>44088</v>
    </nc>
  </rcc>
  <rcc rId="6512" sId="1" numFmtId="19">
    <nc r="AC308">
      <v>44088</v>
    </nc>
  </rcc>
  <rcc rId="6513" sId="1" numFmtId="19">
    <nc r="AC309">
      <v>44088</v>
    </nc>
  </rcc>
  <rcc rId="6514" sId="1" numFmtId="19">
    <nc r="AC310">
      <v>44088</v>
    </nc>
  </rcc>
  <rcc rId="6515" sId="1" numFmtId="19">
    <nc r="AC311">
      <v>44088</v>
    </nc>
  </rcc>
  <rcc rId="6516" sId="1" numFmtId="19">
    <nc r="AC312">
      <v>44088</v>
    </nc>
  </rcc>
  <rcc rId="6517" sId="1" numFmtId="19">
    <nc r="AC313">
      <v>44088</v>
    </nc>
  </rcc>
  <rcc rId="6518" sId="1" numFmtId="19">
    <nc r="AC314">
      <v>44088</v>
    </nc>
  </rc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21" sId="1" xfDxf="1" dxf="1" numFmtId="19">
    <nc r="AD295">
      <v>44090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22" sId="1" xfDxf="1" dxf="1" numFmtId="19">
    <nc r="AD296">
      <v>44090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23" sId="1" xfDxf="1" dxf="1" numFmtId="19">
    <nc r="AD297">
      <v>44090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24" sId="1" xfDxf="1" dxf="1" numFmtId="19">
    <nc r="AD298">
      <v>44090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25" sId="1" xfDxf="1" dxf="1" numFmtId="19">
    <nc r="AD299">
      <v>44090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26" sId="1" xfDxf="1" dxf="1" numFmtId="19">
    <nc r="AD300">
      <v>44090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27" sId="1" xfDxf="1" dxf="1" numFmtId="19">
    <nc r="AD301">
      <v>44090</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28" sId="1" xfDxf="1" dxf="1" numFmtId="19">
    <nc r="AD302">
      <v>44091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29" sId="1" xfDxf="1" dxf="1" numFmtId="19">
    <nc r="AD303">
      <v>44091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30" sId="1" xfDxf="1" dxf="1" numFmtId="19">
    <nc r="AD304">
      <v>44091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31" sId="1" xfDxf="1" dxf="1" numFmtId="19">
    <nc r="AD305">
      <v>44091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32" sId="1" xfDxf="1" dxf="1" numFmtId="19">
    <nc r="AD306">
      <v>44091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33" sId="1" xfDxf="1" dxf="1" numFmtId="19">
    <nc r="AD307">
      <v>44091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34" sId="1" xfDxf="1" dxf="1" numFmtId="19">
    <nc r="AD308">
      <v>44091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35" sId="1" xfDxf="1" dxf="1" numFmtId="19">
    <nc r="AD309">
      <v>44091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36" sId="1" xfDxf="1" dxf="1" numFmtId="19">
    <nc r="AD310">
      <v>44091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37" sId="1" xfDxf="1" dxf="1" numFmtId="19">
    <nc r="AD311">
      <v>44091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38" sId="1" xfDxf="1" dxf="1" numFmtId="19">
    <nc r="AD312">
      <v>44091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39" sId="1" xfDxf="1" dxf="1" numFmtId="19">
    <nc r="AD313">
      <v>44091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40" sId="1" xfDxf="1" dxf="1" numFmtId="19">
    <nc r="AD314">
      <v>44091</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6541" sId="1" quotePrefix="1">
    <nc r="AL296" t="inlineStr">
      <is>
        <t>-</t>
      </is>
    </nc>
  </rcc>
  <rcc rId="6542" sId="1" quotePrefix="1">
    <nc r="AM296" t="inlineStr">
      <is>
        <t>-</t>
      </is>
    </nc>
  </rcc>
  <rcc rId="6543" sId="1" quotePrefix="1">
    <nc r="AN296" t="inlineStr">
      <is>
        <t>-</t>
      </is>
    </nc>
  </rcc>
  <rcc rId="6544" sId="1" quotePrefix="1">
    <nc r="AL297" t="inlineStr">
      <is>
        <t>-</t>
      </is>
    </nc>
  </rcc>
  <rcc rId="6545" sId="1" quotePrefix="1">
    <nc r="AM297" t="inlineStr">
      <is>
        <t>-</t>
      </is>
    </nc>
  </rcc>
  <rcc rId="6546" sId="1" quotePrefix="1">
    <nc r="AN297" t="inlineStr">
      <is>
        <t>-</t>
      </is>
    </nc>
  </rcc>
  <rcc rId="6547" sId="1" quotePrefix="1">
    <nc r="AL298" t="inlineStr">
      <is>
        <t>-</t>
      </is>
    </nc>
  </rcc>
  <rcc rId="6548" sId="1" quotePrefix="1">
    <nc r="AM298" t="inlineStr">
      <is>
        <t>-</t>
      </is>
    </nc>
  </rcc>
  <rcc rId="6549" sId="1" quotePrefix="1">
    <nc r="AN298" t="inlineStr">
      <is>
        <t>-</t>
      </is>
    </nc>
  </rcc>
  <rcc rId="6550" sId="1" quotePrefix="1">
    <nc r="AL299" t="inlineStr">
      <is>
        <t>-</t>
      </is>
    </nc>
  </rcc>
  <rcc rId="6551" sId="1" quotePrefix="1">
    <nc r="AM299" t="inlineStr">
      <is>
        <t>-</t>
      </is>
    </nc>
  </rcc>
  <rcc rId="6552" sId="1" quotePrefix="1">
    <nc r="AN299" t="inlineStr">
      <is>
        <t>-</t>
      </is>
    </nc>
  </rcc>
  <rcc rId="6553" sId="1" quotePrefix="1">
    <nc r="AL300" t="inlineStr">
      <is>
        <t>-</t>
      </is>
    </nc>
  </rcc>
  <rcc rId="6554" sId="1" quotePrefix="1">
    <nc r="AM300" t="inlineStr">
      <is>
        <t>-</t>
      </is>
    </nc>
  </rcc>
  <rcc rId="6555" sId="1" quotePrefix="1">
    <nc r="AN300" t="inlineStr">
      <is>
        <t>-</t>
      </is>
    </nc>
  </rcc>
  <rcc rId="6556" sId="1" quotePrefix="1">
    <nc r="AL301" t="inlineStr">
      <is>
        <t>-</t>
      </is>
    </nc>
  </rcc>
  <rcc rId="6557" sId="1" quotePrefix="1">
    <nc r="AM301" t="inlineStr">
      <is>
        <t>-</t>
      </is>
    </nc>
  </rcc>
  <rcc rId="6558" sId="1" quotePrefix="1">
    <nc r="AN301" t="inlineStr">
      <is>
        <t>-</t>
      </is>
    </nc>
  </rcc>
  <rcc rId="6559" sId="1" quotePrefix="1">
    <nc r="AL302" t="inlineStr">
      <is>
        <t>-</t>
      </is>
    </nc>
  </rcc>
  <rcc rId="6560" sId="1" quotePrefix="1">
    <nc r="AM302" t="inlineStr">
      <is>
        <t>-</t>
      </is>
    </nc>
  </rcc>
  <rcc rId="6561" sId="1" quotePrefix="1">
    <nc r="AN302" t="inlineStr">
      <is>
        <t>-</t>
      </is>
    </nc>
  </rcc>
  <rcc rId="6562" sId="1" quotePrefix="1">
    <nc r="AL303" t="inlineStr">
      <is>
        <t>-</t>
      </is>
    </nc>
  </rcc>
  <rcc rId="6563" sId="1" quotePrefix="1">
    <nc r="AM303" t="inlineStr">
      <is>
        <t>-</t>
      </is>
    </nc>
  </rcc>
  <rcc rId="6564" sId="1" quotePrefix="1">
    <nc r="AN303" t="inlineStr">
      <is>
        <t>-</t>
      </is>
    </nc>
  </rcc>
  <rcc rId="6565" sId="1" quotePrefix="1">
    <nc r="AL304" t="inlineStr">
      <is>
        <t>-</t>
      </is>
    </nc>
  </rcc>
  <rcc rId="6566" sId="1" quotePrefix="1">
    <nc r="AM304" t="inlineStr">
      <is>
        <t>-</t>
      </is>
    </nc>
  </rcc>
  <rcc rId="6567" sId="1" quotePrefix="1">
    <nc r="AN304" t="inlineStr">
      <is>
        <t>-</t>
      </is>
    </nc>
  </rcc>
  <rcc rId="6568" sId="1" quotePrefix="1">
    <nc r="AL305" t="inlineStr">
      <is>
        <t>-</t>
      </is>
    </nc>
  </rcc>
  <rcc rId="6569" sId="1" quotePrefix="1">
    <nc r="AM305" t="inlineStr">
      <is>
        <t>-</t>
      </is>
    </nc>
  </rcc>
  <rcc rId="6570" sId="1" quotePrefix="1">
    <nc r="AN305" t="inlineStr">
      <is>
        <t>-</t>
      </is>
    </nc>
  </rcc>
  <rcc rId="6571" sId="1" quotePrefix="1">
    <nc r="AL306" t="inlineStr">
      <is>
        <t>-</t>
      </is>
    </nc>
  </rcc>
  <rcc rId="6572" sId="1" quotePrefix="1">
    <nc r="AM306" t="inlineStr">
      <is>
        <t>-</t>
      </is>
    </nc>
  </rcc>
  <rcc rId="6573" sId="1" quotePrefix="1">
    <nc r="AN306" t="inlineStr">
      <is>
        <t>-</t>
      </is>
    </nc>
  </rcc>
  <rcc rId="6574" sId="1" quotePrefix="1">
    <nc r="AL307" t="inlineStr">
      <is>
        <t>-</t>
      </is>
    </nc>
  </rcc>
  <rcc rId="6575" sId="1" quotePrefix="1">
    <nc r="AM307" t="inlineStr">
      <is>
        <t>-</t>
      </is>
    </nc>
  </rcc>
  <rcc rId="6576" sId="1" quotePrefix="1">
    <nc r="AN307" t="inlineStr">
      <is>
        <t>-</t>
      </is>
    </nc>
  </rcc>
  <rcc rId="6577" sId="1" quotePrefix="1">
    <nc r="AL308" t="inlineStr">
      <is>
        <t>-</t>
      </is>
    </nc>
  </rcc>
  <rcc rId="6578" sId="1" quotePrefix="1">
    <nc r="AM308" t="inlineStr">
      <is>
        <t>-</t>
      </is>
    </nc>
  </rcc>
  <rcc rId="6579" sId="1" quotePrefix="1">
    <nc r="AN308" t="inlineStr">
      <is>
        <t>-</t>
      </is>
    </nc>
  </rcc>
  <rcc rId="6580" sId="1" quotePrefix="1">
    <nc r="AL309" t="inlineStr">
      <is>
        <t>-</t>
      </is>
    </nc>
  </rcc>
  <rcc rId="6581" sId="1" quotePrefix="1">
    <nc r="AM309" t="inlineStr">
      <is>
        <t>-</t>
      </is>
    </nc>
  </rcc>
  <rcc rId="6582" sId="1" quotePrefix="1">
    <nc r="AN309" t="inlineStr">
      <is>
        <t>-</t>
      </is>
    </nc>
  </rcc>
  <rcc rId="6583" sId="1" quotePrefix="1">
    <nc r="AL310" t="inlineStr">
      <is>
        <t>-</t>
      </is>
    </nc>
  </rcc>
  <rcc rId="6584" sId="1" quotePrefix="1">
    <nc r="AM310" t="inlineStr">
      <is>
        <t>-</t>
      </is>
    </nc>
  </rcc>
  <rcc rId="6585" sId="1" quotePrefix="1">
    <nc r="AN310" t="inlineStr">
      <is>
        <t>-</t>
      </is>
    </nc>
  </rcc>
  <rcc rId="6586" sId="1" quotePrefix="1">
    <nc r="AL311" t="inlineStr">
      <is>
        <t>-</t>
      </is>
    </nc>
  </rcc>
  <rcc rId="6587" sId="1" quotePrefix="1">
    <nc r="AM311" t="inlineStr">
      <is>
        <t>-</t>
      </is>
    </nc>
  </rcc>
  <rcc rId="6588" sId="1" quotePrefix="1">
    <nc r="AN311" t="inlineStr">
      <is>
        <t>-</t>
      </is>
    </nc>
  </rcc>
  <rcc rId="6589" sId="1" quotePrefix="1">
    <nc r="AL312" t="inlineStr">
      <is>
        <t>-</t>
      </is>
    </nc>
  </rcc>
  <rcc rId="6590" sId="1" quotePrefix="1">
    <nc r="AM312" t="inlineStr">
      <is>
        <t>-</t>
      </is>
    </nc>
  </rcc>
  <rcc rId="6591" sId="1" quotePrefix="1">
    <nc r="AN312" t="inlineStr">
      <is>
        <t>-</t>
      </is>
    </nc>
  </rcc>
  <rcc rId="6592" sId="1" quotePrefix="1">
    <nc r="AL313" t="inlineStr">
      <is>
        <t>-</t>
      </is>
    </nc>
  </rcc>
  <rcc rId="6593" sId="1" quotePrefix="1">
    <nc r="AM313" t="inlineStr">
      <is>
        <t>-</t>
      </is>
    </nc>
  </rcc>
  <rcc rId="6594" sId="1" quotePrefix="1">
    <nc r="AN313" t="inlineStr">
      <is>
        <t>-</t>
      </is>
    </nc>
  </rcc>
  <rcc rId="6595" sId="1" quotePrefix="1">
    <nc r="AL314" t="inlineStr">
      <is>
        <t>-</t>
      </is>
    </nc>
  </rcc>
  <rcc rId="6596" sId="1" quotePrefix="1">
    <nc r="AM314" t="inlineStr">
      <is>
        <t>-</t>
      </is>
    </nc>
  </rcc>
  <rcc rId="6597" sId="1" quotePrefix="1">
    <nc r="AN314" t="inlineStr">
      <is>
        <t>-</t>
      </is>
    </nc>
  </rcc>
  <rcc rId="6598" sId="1" quotePrefix="1">
    <nc r="R296" t="inlineStr">
      <is>
        <t>-</t>
      </is>
    </nc>
  </rcc>
  <rcc rId="6599" sId="1" quotePrefix="1">
    <nc r="R297" t="inlineStr">
      <is>
        <t>-</t>
      </is>
    </nc>
  </rcc>
  <rcc rId="6600" sId="1" quotePrefix="1">
    <nc r="R298" t="inlineStr">
      <is>
        <t>-</t>
      </is>
    </nc>
  </rcc>
  <rcc rId="6601" sId="1" quotePrefix="1">
    <nc r="R299" t="inlineStr">
      <is>
        <t>-</t>
      </is>
    </nc>
  </rcc>
  <rcc rId="6602" sId="1" quotePrefix="1">
    <nc r="R300" t="inlineStr">
      <is>
        <t>-</t>
      </is>
    </nc>
  </rcc>
  <rcc rId="6603" sId="1" quotePrefix="1">
    <nc r="R301" t="inlineStr">
      <is>
        <t>-</t>
      </is>
    </nc>
  </rcc>
  <rcc rId="6604" sId="1" quotePrefix="1">
    <nc r="R302" t="inlineStr">
      <is>
        <t>-</t>
      </is>
    </nc>
  </rcc>
  <rcc rId="6605" sId="1" quotePrefix="1">
    <nc r="R303" t="inlineStr">
      <is>
        <t>-</t>
      </is>
    </nc>
  </rcc>
  <rcc rId="6606" sId="1" quotePrefix="1">
    <nc r="R304" t="inlineStr">
      <is>
        <t>-</t>
      </is>
    </nc>
  </rcc>
  <rcc rId="6607" sId="1" quotePrefix="1">
    <nc r="R305" t="inlineStr">
      <is>
        <t>-</t>
      </is>
    </nc>
  </rcc>
  <rcc rId="6608" sId="1" quotePrefix="1">
    <nc r="R306" t="inlineStr">
      <is>
        <t>-</t>
      </is>
    </nc>
  </rcc>
  <rcc rId="6609" sId="1" quotePrefix="1">
    <nc r="R307" t="inlineStr">
      <is>
        <t>-</t>
      </is>
    </nc>
  </rcc>
  <rcc rId="6610" sId="1" quotePrefix="1">
    <nc r="R308" t="inlineStr">
      <is>
        <t>-</t>
      </is>
    </nc>
  </rcc>
  <rcc rId="6611" sId="1" quotePrefix="1">
    <nc r="R309" t="inlineStr">
      <is>
        <t>-</t>
      </is>
    </nc>
  </rcc>
  <rcc rId="6612" sId="1" quotePrefix="1">
    <nc r="R310" t="inlineStr">
      <is>
        <t>-</t>
      </is>
    </nc>
  </rcc>
  <rcc rId="6613" sId="1" quotePrefix="1">
    <nc r="R311" t="inlineStr">
      <is>
        <t>-</t>
      </is>
    </nc>
  </rcc>
  <rcc rId="6614" sId="1" quotePrefix="1">
    <nc r="R312" t="inlineStr">
      <is>
        <t>-</t>
      </is>
    </nc>
  </rcc>
  <rcc rId="6615" sId="1" quotePrefix="1">
    <nc r="R313" t="inlineStr">
      <is>
        <t>-</t>
      </is>
    </nc>
  </rcc>
  <rcc rId="6616" sId="1" quotePrefix="1">
    <nc r="R314" t="inlineStr">
      <is>
        <t>-</t>
      </is>
    </nc>
  </rcc>
  <rcc rId="6617" sId="1" quotePrefix="1">
    <nc r="R315" t="inlineStr">
      <is>
        <t>-</t>
      </is>
    </nc>
  </rcc>
  <rcc rId="6618" sId="1" quotePrefix="1">
    <nc r="R316" t="inlineStr">
      <is>
        <t>-</t>
      </is>
    </nc>
  </rcc>
  <rcc rId="6619" sId="1" quotePrefix="1">
    <nc r="R317" t="inlineStr">
      <is>
        <t>-</t>
      </is>
    </nc>
  </rcc>
  <rcc rId="6620" sId="1" xfDxf="1" dxf="1" quotePrefix="1">
    <oc r="O295" t="inlineStr">
      <is>
        <t>-</t>
      </is>
    </oc>
    <nc r="O295" t="inlineStr">
      <is>
        <t>1.1.146.3</t>
      </is>
    </nc>
    <ndxf>
      <alignment horizontal="left" vertical="top" readingOrder="0"/>
      <border outline="0">
        <left style="thin">
          <color indexed="64"/>
        </left>
        <right style="thin">
          <color indexed="64"/>
        </right>
        <top style="thin">
          <color indexed="64"/>
        </top>
        <bottom style="thin">
          <color indexed="64"/>
        </bottom>
      </border>
    </ndxf>
  </rcc>
  <rcc rId="6621" sId="1" quotePrefix="1">
    <nc r="O296" t="inlineStr">
      <is>
        <t>-</t>
      </is>
    </nc>
  </rcc>
  <rcc rId="6622" sId="1" quotePrefix="1">
    <nc r="O297" t="inlineStr">
      <is>
        <t>-</t>
      </is>
    </nc>
  </rcc>
  <rcc rId="6623" sId="1" quotePrefix="1">
    <nc r="O298" t="inlineStr">
      <is>
        <t>-</t>
      </is>
    </nc>
  </rcc>
  <rcc rId="6624" sId="1" quotePrefix="1">
    <nc r="O299" t="inlineStr">
      <is>
        <t>-</t>
      </is>
    </nc>
  </rcc>
  <rcc rId="6625" sId="1" quotePrefix="1">
    <nc r="O300" t="inlineStr">
      <is>
        <t>-</t>
      </is>
    </nc>
  </rcc>
  <rcc rId="6626" sId="1" quotePrefix="1">
    <nc r="O301" t="inlineStr">
      <is>
        <t>-</t>
      </is>
    </nc>
  </rcc>
  <rcc rId="6627" sId="1" quotePrefix="1">
    <nc r="O302" t="inlineStr">
      <is>
        <t>-</t>
      </is>
    </nc>
  </rcc>
  <rcc rId="6628" sId="1" quotePrefix="1">
    <nc r="O303" t="inlineStr">
      <is>
        <t>-</t>
      </is>
    </nc>
  </rcc>
  <rcc rId="6629" sId="1" quotePrefix="1">
    <nc r="O304" t="inlineStr">
      <is>
        <t>-</t>
      </is>
    </nc>
  </rcc>
  <rcc rId="6630" sId="1" quotePrefix="1">
    <nc r="O305" t="inlineStr">
      <is>
        <t>-</t>
      </is>
    </nc>
  </rcc>
  <rcc rId="6631" sId="1" quotePrefix="1">
    <nc r="O306" t="inlineStr">
      <is>
        <t>-</t>
      </is>
    </nc>
  </rcc>
  <rcc rId="6632" sId="1" quotePrefix="1">
    <nc r="O307" t="inlineStr">
      <is>
        <t>-</t>
      </is>
    </nc>
  </rcc>
  <rcc rId="6633" sId="1" quotePrefix="1">
    <nc r="O308" t="inlineStr">
      <is>
        <t>-</t>
      </is>
    </nc>
  </rcc>
  <rcc rId="6634" sId="1" quotePrefix="1">
    <nc r="O309" t="inlineStr">
      <is>
        <t>-</t>
      </is>
    </nc>
  </rcc>
  <rcc rId="6635" sId="1" quotePrefix="1">
    <nc r="O310" t="inlineStr">
      <is>
        <t>-</t>
      </is>
    </nc>
  </rcc>
  <rcc rId="6636" sId="1" quotePrefix="1">
    <nc r="O311" t="inlineStr">
      <is>
        <t>-</t>
      </is>
    </nc>
  </rcc>
  <rcc rId="6637" sId="1" quotePrefix="1">
    <nc r="O312" t="inlineStr">
      <is>
        <t>-</t>
      </is>
    </nc>
  </rcc>
  <rcc rId="6638" sId="1" quotePrefix="1">
    <nc r="O313" t="inlineStr">
      <is>
        <t>-</t>
      </is>
    </nc>
  </rcc>
  <rcc rId="6639" sId="1" quotePrefix="1">
    <nc r="O314" t="inlineStr">
      <is>
        <t>-</t>
      </is>
    </nc>
  </rcc>
  <rcc rId="6640" sId="1" xfDxf="1" dxf="1" quotePrefix="1">
    <nc r="P295" t="inlineStr">
      <is>
        <t>WANG Renrui (CC-AS/ESW5-CN)</t>
      </is>
    </nc>
    <ndxf>
      <alignment horizontal="left" vertical="top" readingOrder="0"/>
      <border outline="0">
        <left style="thin">
          <color indexed="64"/>
        </left>
        <right style="thin">
          <color indexed="64"/>
        </right>
        <top style="thin">
          <color indexed="64"/>
        </top>
        <bottom style="thin">
          <color indexed="64"/>
        </bottom>
      </border>
    </ndxf>
  </rcc>
  <rcc rId="6641" sId="1" xfDxf="1" dxf="1" quotePrefix="1">
    <nc r="P296" t="inlineStr">
      <is>
        <t>MA Maoting (CC-AS/EVA-SW31-CN)</t>
      </is>
    </nc>
    <ndxf>
      <alignment horizontal="left" vertical="top" readingOrder="0"/>
      <border outline="0">
        <left style="thin">
          <color indexed="64"/>
        </left>
        <right style="thin">
          <color indexed="64"/>
        </right>
        <top style="thin">
          <color indexed="64"/>
        </top>
        <bottom style="thin">
          <color indexed="64"/>
        </bottom>
      </border>
    </ndxf>
  </rcc>
  <rcc rId="6642" sId="1" xfDxf="1" dxf="1" quotePrefix="1">
    <nc r="P297" t="inlineStr">
      <is>
        <t>MA Maoting (CC-AS/EVA-SW31-CN)</t>
      </is>
    </nc>
    <ndxf>
      <alignment horizontal="left" vertical="top" readingOrder="0"/>
      <border outline="0">
        <left style="thin">
          <color indexed="64"/>
        </left>
        <right style="thin">
          <color indexed="64"/>
        </right>
        <top style="thin">
          <color indexed="64"/>
        </top>
        <bottom style="thin">
          <color indexed="64"/>
        </bottom>
      </border>
    </ndxf>
  </rcc>
  <rcc rId="6643" sId="1" xfDxf="1" dxf="1" quotePrefix="1">
    <nc r="P298" t="inlineStr">
      <is>
        <t>MA Maoting (CC-AS/EVA-SW31-CN)</t>
      </is>
    </nc>
    <ndxf>
      <alignment horizontal="left" vertical="top" readingOrder="0"/>
      <border outline="0">
        <left style="thin">
          <color indexed="64"/>
        </left>
        <right style="thin">
          <color indexed="64"/>
        </right>
        <top style="thin">
          <color indexed="64"/>
        </top>
        <bottom style="thin">
          <color indexed="64"/>
        </bottom>
      </border>
    </ndxf>
  </rcc>
  <rcc rId="6644" sId="1" xfDxf="1" dxf="1" quotePrefix="1">
    <nc r="P299" t="inlineStr">
      <is>
        <t>MA Maoting (CC-AS/EVA-SW31-CN)</t>
      </is>
    </nc>
    <ndxf>
      <alignment horizontal="left" vertical="top" readingOrder="0"/>
      <border outline="0">
        <left style="thin">
          <color indexed="64"/>
        </left>
        <right style="thin">
          <color indexed="64"/>
        </right>
        <top style="thin">
          <color indexed="64"/>
        </top>
        <bottom style="thin">
          <color indexed="64"/>
        </bottom>
      </border>
    </ndxf>
  </rcc>
  <rcc rId="6645" sId="1" xfDxf="1" dxf="1" quotePrefix="1">
    <nc r="P300" t="inlineStr">
      <is>
        <t>MA Maoting (CC-AS/EVA-SW31-CN)</t>
      </is>
    </nc>
    <ndxf>
      <alignment horizontal="left" vertical="top" readingOrder="0"/>
      <border outline="0">
        <left style="thin">
          <color indexed="64"/>
        </left>
        <right style="thin">
          <color indexed="64"/>
        </right>
        <top style="thin">
          <color indexed="64"/>
        </top>
        <bottom style="thin">
          <color indexed="64"/>
        </bottom>
      </border>
    </ndxf>
  </rcc>
  <rcc rId="6646" sId="1" xfDxf="1" dxf="1" quotePrefix="1">
    <nc r="P301" t="inlineStr">
      <is>
        <t>YE Tianyu (CC-AS/ESW2-CN)</t>
      </is>
    </nc>
    <ndxf>
      <alignment horizontal="left" vertical="top" readingOrder="0"/>
      <border outline="0">
        <left style="thin">
          <color indexed="64"/>
        </left>
        <right style="thin">
          <color indexed="64"/>
        </right>
        <top style="thin">
          <color indexed="64"/>
        </top>
        <bottom style="thin">
          <color indexed="64"/>
        </bottom>
      </border>
    </ndxf>
  </rcc>
  <rcc rId="6647" sId="1" xfDxf="1" dxf="1" quotePrefix="1">
    <nc r="P302" t="inlineStr">
      <is>
        <t>BAO Eric (CC-AS/EVA-SW32-CN)</t>
      </is>
    </nc>
    <ndxf>
      <alignment horizontal="left" vertical="top" readingOrder="0"/>
      <border outline="0">
        <left style="thin">
          <color indexed="64"/>
        </left>
        <right style="thin">
          <color indexed="64"/>
        </right>
        <top style="thin">
          <color indexed="64"/>
        </top>
        <bottom style="thin">
          <color indexed="64"/>
        </bottom>
      </border>
    </ndxf>
  </rcc>
  <rcc rId="6648" sId="1" xfDxf="1" dxf="1" quotePrefix="1">
    <nc r="P303" t="inlineStr">
      <is>
        <t>BAO Eric (CC-AS/EVA-SW32-CN)</t>
      </is>
    </nc>
    <ndxf>
      <alignment horizontal="left" vertical="top" readingOrder="0"/>
      <border outline="0">
        <left style="thin">
          <color indexed="64"/>
        </left>
        <right style="thin">
          <color indexed="64"/>
        </right>
        <top style="thin">
          <color indexed="64"/>
        </top>
        <bottom style="thin">
          <color indexed="64"/>
        </bottom>
      </border>
    </ndxf>
  </rcc>
  <rcc rId="6649" sId="1" xfDxf="1" dxf="1" quotePrefix="1">
    <nc r="P304" t="inlineStr">
      <is>
        <t>BAO Eric (CC-AS/EVA-SW32-CN)</t>
      </is>
    </nc>
    <ndxf>
      <alignment horizontal="left" vertical="top" readingOrder="0"/>
      <border outline="0">
        <left style="thin">
          <color indexed="64"/>
        </left>
        <right style="thin">
          <color indexed="64"/>
        </right>
        <top style="thin">
          <color indexed="64"/>
        </top>
        <bottom style="thin">
          <color indexed="64"/>
        </bottom>
      </border>
    </ndxf>
  </rcc>
  <rcc rId="6650" sId="1" xfDxf="1" dxf="1" quotePrefix="1">
    <nc r="P305" t="inlineStr">
      <is>
        <t>BAO Eric (CC-AS/EVA-SW32-CN)</t>
      </is>
    </nc>
    <ndxf>
      <alignment horizontal="left" vertical="top" readingOrder="0"/>
      <border outline="0">
        <left style="thin">
          <color indexed="64"/>
        </left>
        <right style="thin">
          <color indexed="64"/>
        </right>
        <top style="thin">
          <color indexed="64"/>
        </top>
        <bottom style="thin">
          <color indexed="64"/>
        </bottom>
      </border>
    </ndxf>
  </rcc>
  <rcc rId="6651" sId="1" xfDxf="1" dxf="1" quotePrefix="1">
    <nc r="P306" t="inlineStr">
      <is>
        <t>BAO Eric (CC-AS/EVA-SW32-CN)</t>
      </is>
    </nc>
    <ndxf>
      <alignment horizontal="left" vertical="top" readingOrder="0"/>
      <border outline="0">
        <left style="thin">
          <color indexed="64"/>
        </left>
        <right style="thin">
          <color indexed="64"/>
        </right>
        <top style="thin">
          <color indexed="64"/>
        </top>
        <bottom style="thin">
          <color indexed="64"/>
        </bottom>
      </border>
    </ndxf>
  </rcc>
  <rcc rId="6652" sId="1" xfDxf="1" dxf="1" quotePrefix="1">
    <nc r="P307" t="inlineStr">
      <is>
        <t>BAO Eric (CC-AS/EVA-SW32-CN)</t>
      </is>
    </nc>
    <ndxf>
      <alignment horizontal="left" vertical="top" readingOrder="0"/>
      <border outline="0">
        <left style="thin">
          <color indexed="64"/>
        </left>
        <right style="thin">
          <color indexed="64"/>
        </right>
        <top style="thin">
          <color indexed="64"/>
        </top>
        <bottom style="thin">
          <color indexed="64"/>
        </bottom>
      </border>
    </ndxf>
  </rcc>
  <rcc rId="6653" sId="1" xfDxf="1" dxf="1" quotePrefix="1">
    <nc r="P308" t="inlineStr">
      <is>
        <t>BAO Eric (CC-AS/EVA-SW32-CN)</t>
      </is>
    </nc>
    <ndxf>
      <alignment horizontal="left" vertical="top" readingOrder="0"/>
      <border outline="0">
        <left style="thin">
          <color indexed="64"/>
        </left>
        <right style="thin">
          <color indexed="64"/>
        </right>
        <top style="thin">
          <color indexed="64"/>
        </top>
        <bottom style="thin">
          <color indexed="64"/>
        </bottom>
      </border>
    </ndxf>
  </rcc>
  <rcc rId="6654" sId="1" xfDxf="1" dxf="1" quotePrefix="1">
    <nc r="P309" t="inlineStr">
      <is>
        <t>BAO Eric (CC-AS/EVA-SW32-CN)</t>
      </is>
    </nc>
    <ndxf>
      <alignment horizontal="left" vertical="top" readingOrder="0"/>
      <border outline="0">
        <left style="thin">
          <color indexed="64"/>
        </left>
        <right style="thin">
          <color indexed="64"/>
        </right>
        <top style="thin">
          <color indexed="64"/>
        </top>
        <bottom style="thin">
          <color indexed="64"/>
        </bottom>
      </border>
    </ndxf>
  </rcc>
  <rcc rId="6655" sId="1" xfDxf="1" dxf="1" quotePrefix="1">
    <nc r="P310" t="inlineStr">
      <is>
        <t>BAO Eric (CC-AS/EVA-SW32-CN)</t>
      </is>
    </nc>
    <ndxf>
      <alignment horizontal="left" vertical="top" readingOrder="0"/>
      <border outline="0">
        <left style="thin">
          <color indexed="64"/>
        </left>
        <right style="thin">
          <color indexed="64"/>
        </right>
        <top style="thin">
          <color indexed="64"/>
        </top>
        <bottom style="thin">
          <color indexed="64"/>
        </bottom>
      </border>
    </ndxf>
  </rcc>
  <rcc rId="6656" sId="1" xfDxf="1" dxf="1" quotePrefix="1">
    <nc r="P311" t="inlineStr">
      <is>
        <t>BAO Eric (CC-AS/EVA-SW32-CN)</t>
      </is>
    </nc>
    <ndxf>
      <alignment horizontal="left" vertical="top" readingOrder="0"/>
      <border outline="0">
        <left style="thin">
          <color indexed="64"/>
        </left>
        <right style="thin">
          <color indexed="64"/>
        </right>
        <top style="thin">
          <color indexed="64"/>
        </top>
        <bottom style="thin">
          <color indexed="64"/>
        </bottom>
      </border>
    </ndxf>
  </rcc>
  <rcc rId="6657" sId="1" xfDxf="1" dxf="1" quotePrefix="1">
    <nc r="P312" t="inlineStr">
      <is>
        <t>BAO Eric (CC-AS/EVA-SW32-CN)</t>
      </is>
    </nc>
    <ndxf>
      <alignment horizontal="left" vertical="top" readingOrder="0"/>
      <border outline="0">
        <left style="thin">
          <color indexed="64"/>
        </left>
        <right style="thin">
          <color indexed="64"/>
        </right>
        <top style="thin">
          <color indexed="64"/>
        </top>
        <bottom style="thin">
          <color indexed="64"/>
        </bottom>
      </border>
    </ndxf>
  </rcc>
  <rcc rId="6658" sId="1" xfDxf="1" dxf="1" quotePrefix="1">
    <nc r="P313" t="inlineStr">
      <is>
        <t>BAO Eric (CC-AS/EVA-SW32-CN)</t>
      </is>
    </nc>
    <ndxf>
      <alignment horizontal="left" vertical="top" readingOrder="0"/>
      <border outline="0">
        <left style="thin">
          <color indexed="64"/>
        </left>
        <right style="thin">
          <color indexed="64"/>
        </right>
        <top style="thin">
          <color indexed="64"/>
        </top>
        <bottom style="thin">
          <color indexed="64"/>
        </bottom>
      </border>
    </ndxf>
  </rcc>
  <rcc rId="6659" sId="1" xfDxf="1" dxf="1" quotePrefix="1">
    <nc r="P314" t="inlineStr">
      <is>
        <t>BAO Eric (CC-AS/EVA-SW32-CN)</t>
      </is>
    </nc>
    <ndxf>
      <alignment horizontal="left" vertical="top" readingOrder="0"/>
      <border outline="0">
        <left style="thin">
          <color indexed="64"/>
        </left>
        <right style="thin">
          <color indexed="64"/>
        </right>
        <top style="thin">
          <color indexed="64"/>
        </top>
        <bottom style="thin">
          <color indexed="64"/>
        </bottom>
      </border>
    </ndxf>
  </rcc>
  <rcc rId="6660" sId="1" xfDxf="1" dxf="1">
    <nc r="N295" t="inlineStr">
      <is>
        <t>CRBrbc_ECU_CSW_BB00001.axl</t>
      </is>
    </nc>
    <ndxf>
      <alignment horizontal="left" vertical="top" readingOrder="0"/>
      <border outline="0">
        <left style="thin">
          <color indexed="64"/>
        </left>
        <right style="thin">
          <color indexed="64"/>
        </right>
        <top style="thin">
          <color indexed="64"/>
        </top>
        <bottom style="thin">
          <color indexed="64"/>
        </bottom>
      </border>
    </ndxf>
  </rcc>
  <rcc rId="6661" sId="1" xfDxf="1" dxf="1">
    <nc r="N296" t="inlineStr">
      <is>
        <t>CheHeJia_X01IB2_Int</t>
      </is>
    </nc>
    <ndxf>
      <alignment horizontal="left" vertical="top" readingOrder="0"/>
      <border outline="0">
        <left style="thin">
          <color indexed="64"/>
        </left>
        <right style="thin">
          <color indexed="64"/>
        </right>
        <top style="thin">
          <color indexed="64"/>
        </top>
        <bottom style="thin">
          <color indexed="64"/>
        </bottom>
      </border>
    </ndxf>
  </rcc>
  <rcc rId="6662" sId="1" xfDxf="1" dxf="1">
    <nc r="N297" t="inlineStr">
      <is>
        <t>CheHeJia_X01IB2_Int</t>
      </is>
    </nc>
    <ndxf>
      <alignment horizontal="left" vertical="top" readingOrder="0"/>
      <border outline="0">
        <left style="thin">
          <color indexed="64"/>
        </left>
        <right style="thin">
          <color indexed="64"/>
        </right>
        <top style="thin">
          <color indexed="64"/>
        </top>
        <bottom style="thin">
          <color indexed="64"/>
        </bottom>
      </border>
    </ndxf>
  </rcc>
  <rcc rId="6663" sId="1" xfDxf="1" dxf="1">
    <nc r="N298" t="inlineStr">
      <is>
        <t>CheHeJia_X01IB2_Int</t>
      </is>
    </nc>
    <ndxf>
      <alignment horizontal="left" vertical="top" readingOrder="0"/>
      <border outline="0">
        <left style="thin">
          <color indexed="64"/>
        </left>
        <right style="thin">
          <color indexed="64"/>
        </right>
        <top style="thin">
          <color indexed="64"/>
        </top>
        <bottom style="thin">
          <color indexed="64"/>
        </bottom>
      </border>
    </ndxf>
  </rcc>
  <rcc rId="6664" sId="1" xfDxf="1" dxf="1">
    <nc r="N299" t="inlineStr">
      <is>
        <t>CheHeJia_X01IB2_Int</t>
      </is>
    </nc>
    <ndxf>
      <alignment horizontal="left" vertical="top" readingOrder="0"/>
      <border outline="0">
        <left style="thin">
          <color indexed="64"/>
        </left>
        <right style="thin">
          <color indexed="64"/>
        </right>
        <top style="thin">
          <color indexed="64"/>
        </top>
        <bottom style="thin">
          <color indexed="64"/>
        </bottom>
      </border>
    </ndxf>
  </rcc>
  <rcc rId="6665" sId="1" xfDxf="1" dxf="1">
    <nc r="N300" t="inlineStr">
      <is>
        <t>CheHeJia_X01IB2_Int</t>
      </is>
    </nc>
    <ndxf>
      <alignment horizontal="left" vertical="top" readingOrder="0"/>
      <border outline="0">
        <left style="thin">
          <color indexed="64"/>
        </left>
        <right style="thin">
          <color indexed="64"/>
        </right>
        <top style="thin">
          <color indexed="64"/>
        </top>
        <bottom style="thin">
          <color indexed="64"/>
        </bottom>
      </border>
    </ndxf>
  </rcc>
  <rfmt sheetId="1" xfDxf="1" sqref="N301" start="0" length="0">
    <dxf>
      <alignment horizontal="left" vertical="top" readingOrder="0"/>
      <border outline="0">
        <left style="thin">
          <color indexed="64"/>
        </left>
        <right style="thin">
          <color indexed="64"/>
        </right>
        <top style="thin">
          <color indexed="64"/>
        </top>
        <bottom style="thin">
          <color indexed="64"/>
        </bottom>
      </border>
    </dxf>
  </rfmt>
  <rcc rId="6666" sId="1" xfDxf="1" dxf="1">
    <nc r="N302" t="inlineStr">
      <is>
        <t>FAW_IPB1.1_Int</t>
      </is>
    </nc>
    <ndxf>
      <alignment horizontal="left" vertical="top" readingOrder="0"/>
      <border outline="0">
        <left style="thin">
          <color indexed="64"/>
        </left>
        <right style="thin">
          <color indexed="64"/>
        </right>
        <top style="thin">
          <color indexed="64"/>
        </top>
        <bottom style="thin">
          <color indexed="64"/>
        </bottom>
      </border>
    </ndxf>
  </rcc>
  <rcc rId="6667" sId="1" xfDxf="1" dxf="1">
    <nc r="N303" t="inlineStr">
      <is>
        <t>FAW_IPB1.1_Int</t>
      </is>
    </nc>
    <ndxf>
      <alignment horizontal="left" vertical="top" readingOrder="0"/>
      <border outline="0">
        <left style="thin">
          <color indexed="64"/>
        </left>
        <right style="thin">
          <color indexed="64"/>
        </right>
        <top style="thin">
          <color indexed="64"/>
        </top>
        <bottom style="thin">
          <color indexed="64"/>
        </bottom>
      </border>
    </ndxf>
  </rcc>
  <rcc rId="6668" sId="1" xfDxf="1" dxf="1">
    <nc r="N304" t="inlineStr">
      <is>
        <t>FAW_IPB1.1_Int</t>
      </is>
    </nc>
    <ndxf>
      <alignment horizontal="left" vertical="top" readingOrder="0"/>
      <border outline="0">
        <left style="thin">
          <color indexed="64"/>
        </left>
        <right style="thin">
          <color indexed="64"/>
        </right>
        <top style="thin">
          <color indexed="64"/>
        </top>
        <bottom style="thin">
          <color indexed="64"/>
        </bottom>
      </border>
    </ndxf>
  </rcc>
  <rcc rId="6669" sId="1" xfDxf="1" dxf="1">
    <nc r="N305" t="inlineStr">
      <is>
        <t>FAW_IPB1.1_Int</t>
      </is>
    </nc>
    <ndxf>
      <alignment horizontal="left" vertical="top" readingOrder="0"/>
      <border outline="0">
        <left style="thin">
          <color indexed="64"/>
        </left>
        <right style="thin">
          <color indexed="64"/>
        </right>
        <top style="thin">
          <color indexed="64"/>
        </top>
        <bottom style="thin">
          <color indexed="64"/>
        </bottom>
      </border>
    </ndxf>
  </rcc>
  <rcc rId="6670" sId="1" xfDxf="1" dxf="1">
    <nc r="N306" t="inlineStr">
      <is>
        <t>FAW_IPB1.1_Int</t>
      </is>
    </nc>
    <ndxf>
      <alignment horizontal="left" vertical="top" readingOrder="0"/>
      <border outline="0">
        <left style="thin">
          <color indexed="64"/>
        </left>
        <right style="thin">
          <color indexed="64"/>
        </right>
        <top style="thin">
          <color indexed="64"/>
        </top>
        <bottom style="thin">
          <color indexed="64"/>
        </bottom>
      </border>
    </ndxf>
  </rcc>
  <rcc rId="6671" sId="1" xfDxf="1" dxf="1">
    <nc r="N307" t="inlineStr">
      <is>
        <t>FAW_IPB1.1_Int</t>
      </is>
    </nc>
    <ndxf>
      <alignment horizontal="left" vertical="top" readingOrder="0"/>
      <border outline="0">
        <left style="thin">
          <color indexed="64"/>
        </left>
        <right style="thin">
          <color indexed="64"/>
        </right>
        <top style="thin">
          <color indexed="64"/>
        </top>
        <bottom style="thin">
          <color indexed="64"/>
        </bottom>
      </border>
    </ndxf>
  </rcc>
  <rcc rId="6672" sId="1" xfDxf="1" dxf="1">
    <nc r="N308" t="inlineStr">
      <is>
        <t>FAW_IPB1.1_Int</t>
      </is>
    </nc>
    <ndxf>
      <alignment horizontal="left" vertical="top" readingOrder="0"/>
      <border outline="0">
        <left style="thin">
          <color indexed="64"/>
        </left>
        <right style="thin">
          <color indexed="64"/>
        </right>
        <top style="thin">
          <color indexed="64"/>
        </top>
        <bottom style="thin">
          <color indexed="64"/>
        </bottom>
      </border>
    </ndxf>
  </rcc>
  <rcc rId="6673" sId="1" xfDxf="1" dxf="1">
    <nc r="N309" t="inlineStr">
      <is>
        <t>FAW_IPB1.1_Int</t>
      </is>
    </nc>
    <ndxf>
      <alignment horizontal="left" vertical="top" readingOrder="0"/>
      <border outline="0">
        <left style="thin">
          <color indexed="64"/>
        </left>
        <right style="thin">
          <color indexed="64"/>
        </right>
        <top style="thin">
          <color indexed="64"/>
        </top>
        <bottom style="thin">
          <color indexed="64"/>
        </bottom>
      </border>
    </ndxf>
  </rcc>
  <rcc rId="6674" sId="1" xfDxf="1" dxf="1">
    <nc r="N310" t="inlineStr">
      <is>
        <t>FAW_IPB1.1_Int</t>
      </is>
    </nc>
    <ndxf>
      <alignment horizontal="left" vertical="top" readingOrder="0"/>
      <border outline="0">
        <left style="thin">
          <color indexed="64"/>
        </left>
        <right style="thin">
          <color indexed="64"/>
        </right>
        <top style="thin">
          <color indexed="64"/>
        </top>
        <bottom style="thin">
          <color indexed="64"/>
        </bottom>
      </border>
    </ndxf>
  </rcc>
  <rcc rId="6675" sId="1" xfDxf="1" dxf="1">
    <nc r="N311" t="inlineStr">
      <is>
        <t>FAW_IPB1.1_Int</t>
      </is>
    </nc>
    <ndxf>
      <alignment horizontal="left" vertical="top" readingOrder="0"/>
      <border outline="0">
        <left style="thin">
          <color indexed="64"/>
        </left>
        <right style="thin">
          <color indexed="64"/>
        </right>
        <top style="thin">
          <color indexed="64"/>
        </top>
        <bottom style="thin">
          <color indexed="64"/>
        </bottom>
      </border>
    </ndxf>
  </rcc>
  <rcc rId="6676" sId="1" xfDxf="1" dxf="1">
    <nc r="N312" t="inlineStr">
      <is>
        <t>FAW_IPB1.1_Int</t>
      </is>
    </nc>
    <ndxf>
      <alignment horizontal="left" vertical="top" readingOrder="0"/>
      <border outline="0">
        <left style="thin">
          <color indexed="64"/>
        </left>
        <right style="thin">
          <color indexed="64"/>
        </right>
        <top style="thin">
          <color indexed="64"/>
        </top>
        <bottom style="thin">
          <color indexed="64"/>
        </bottom>
      </border>
    </ndxf>
  </rcc>
  <rcc rId="6677" sId="1" xfDxf="1" dxf="1">
    <nc r="N313" t="inlineStr">
      <is>
        <t>FAW_IPB1.1_Int</t>
      </is>
    </nc>
    <ndxf>
      <alignment horizontal="left" vertical="top" readingOrder="0"/>
      <border outline="0">
        <left style="thin">
          <color indexed="64"/>
        </left>
        <right style="thin">
          <color indexed="64"/>
        </right>
        <top style="thin">
          <color indexed="64"/>
        </top>
        <bottom style="thin">
          <color indexed="64"/>
        </bottom>
      </border>
    </ndxf>
  </rcc>
  <rcc rId="6678" sId="1" xfDxf="1" dxf="1">
    <nc r="N314" t="inlineStr">
      <is>
        <t>FAW_IPB1.1_Int</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81" sId="1" odxf="1" dxf="1" quotePrefix="1">
    <nc r="I295" t="inlineStr">
      <is>
        <t>CRB_FxQualifier</t>
      </is>
    </nc>
    <odxf/>
    <ndxf/>
  </rcc>
  <rcc rId="6682" sId="1" odxf="1" dxf="1" quotePrefix="1">
    <nc r="I296" t="inlineStr">
      <is>
        <t>RBAPLCUST_RBDI_SWVersionNumber.c</t>
      </is>
    </nc>
    <odxf/>
    <ndxf/>
  </rcc>
  <rcc rId="6683" sId="1" odxf="1" dxf="1" quotePrefix="1">
    <nc r="I297" t="inlineStr">
      <is>
        <t>RBAPLCUST_DiagnosticSessionControl.c</t>
      </is>
    </nc>
    <odxf/>
    <ndxf/>
  </rcc>
  <rcc rId="6684" sId="1" odxf="1" dxf="1" quotePrefix="1">
    <nc r="I298" t="inlineStr">
      <is>
        <t>RBAPLCUST_RDBI_NVMData_CHJ.c</t>
      </is>
    </nc>
    <odxf/>
    <ndxf/>
  </rcc>
  <rcc rId="6685" sId="1" odxf="1" dxf="1" quotePrefix="1">
    <nc r="I299" t="inlineStr">
      <is>
        <t>RBAPLCUST_RoutineControl.c</t>
      </is>
    </nc>
    <odxf/>
    <ndxf/>
  </rcc>
  <rcc rId="6686" sId="1" odxf="1" dxf="1" quotePrefix="1">
    <nc r="I300" t="inlineStr">
      <is>
        <t>RBAPLCUST_SecurityAccess.c</t>
      </is>
    </nc>
    <odxf/>
    <ndxf/>
  </rcc>
  <rcc rId="6687" sId="1" odxf="1" dxf="1" quotePrefix="1">
    <nc r="I301" t="inlineStr">
      <is>
        <t>RBA_NDS_IPBPressure_Callout.c</t>
      </is>
    </nc>
    <odxf/>
    <ndxf/>
  </rcc>
  <rcc rId="6688" sId="1" odxf="1" dxf="1" quotePrefix="1">
    <nc r="I302" t="inlineStr">
      <is>
        <t>ComScl_Scl_Complex_proc.c</t>
      </is>
    </nc>
    <odxf/>
    <ndxf/>
  </rcc>
  <rcc rId="6689" sId="1" odxf="1" dxf="1" quotePrefix="1">
    <nc r="I303" t="inlineStr">
      <is>
        <t>NET_PSM_Interface_IPB.c</t>
      </is>
    </nc>
    <odxf/>
    <ndxf/>
  </rcc>
  <rcc rId="6690" sId="1" odxf="1" dxf="1" quotePrefix="1">
    <nc r="I304" t="inlineStr">
      <is>
        <t>RBA_NDS_ATS_Callout.c</t>
      </is>
    </nc>
    <odxf/>
    <ndxf/>
  </rcc>
  <rcc rId="6691" sId="1" odxf="1" dxf="1" quotePrefix="1">
    <nc r="I305" t="inlineStr">
      <is>
        <t>RBA_NDS_Complex_Callout.c</t>
      </is>
    </nc>
    <odxf/>
    <ndxf/>
  </rcc>
  <rcc rId="6692" sId="1" odxf="1" dxf="1" quotePrefix="1">
    <nc r="I306" t="inlineStr">
      <is>
        <t>RBA_NDS_Engine_Callout.c</t>
      </is>
    </nc>
    <odxf/>
    <ndxf/>
  </rcc>
  <rcc rId="6693" sId="1" odxf="1" dxf="1" quotePrefix="1">
    <nc r="I307" t="inlineStr">
      <is>
        <t>RBA_NDS_IPBPressure_Callout.c</t>
      </is>
    </nc>
    <odxf/>
    <ndxf/>
  </rcc>
  <rcc rId="6694" sId="1" odxf="1" dxf="1" quotePrefix="1">
    <nc r="I308" t="inlineStr">
      <is>
        <t>RBA_NDS_SystemInfo.c</t>
      </is>
    </nc>
    <odxf/>
    <ndxf/>
  </rcc>
  <rcc rId="6695" sId="1" odxf="1" dxf="1" quotePrefix="1">
    <nc r="I309" t="inlineStr">
      <is>
        <t>RBA_NDS_TOD_Callout.c</t>
      </is>
    </nc>
    <odxf/>
    <ndxf/>
  </rcc>
  <rcc rId="6696" sId="1" odxf="1" dxf="1" quotePrefix="1">
    <nc r="I310" t="inlineStr">
      <is>
        <t>RBA_NDS_WheelOdoEdges_Callout.c</t>
      </is>
    </nc>
    <odxf/>
    <ndxf/>
  </rcc>
  <rcc rId="6697" sId="1" odxf="1" dxf="1" quotePrefix="1">
    <nc r="I311" t="inlineStr">
      <is>
        <t>RBA_NDS_WSS_FailureInfo_Callout.c</t>
      </is>
    </nc>
    <odxf/>
    <ndxf/>
  </rcc>
  <rcc rId="6698" sId="1" odxf="1" dxf="1" quotePrefix="1">
    <nc r="I312" t="inlineStr">
      <is>
        <t>RBNET_ProjectSpecific_Monitoring.c</t>
      </is>
    </nc>
    <odxf/>
    <ndxf/>
  </rcc>
  <rcc rId="6699" sId="1" odxf="1" dxf="1" quotePrefix="1">
    <nc r="I313" t="inlineStr">
      <is>
        <t>RBPduHandler_Callouts.c</t>
      </is>
    </nc>
    <odxf/>
    <ndxf/>
  </rcc>
  <rcc rId="6700" sId="1" odxf="1" dxf="1" quotePrefix="1">
    <nc r="I314" t="inlineStr">
      <is>
        <t>SAS_LWS_Standard.c</t>
      </is>
    </nc>
    <odxf/>
    <ndxf/>
  </rcc>
  <rcc rId="6701" sId="1" xfDxf="1" dxf="1" quotePrefix="1">
    <oc r="F296" t="inlineStr">
      <is>
        <t>RBAPLCUST_RBDI_SWVersionNumber.c</t>
      </is>
    </oc>
    <nc r="F296" t="inlineStr">
      <is>
        <t>rb\as\cnms_core\app\dcom\RBAPLCust\src\common</t>
      </is>
    </nc>
    <ndxf>
      <alignment horizontal="left" vertical="top" readingOrder="0"/>
      <border outline="0">
        <left style="thin">
          <color indexed="64"/>
        </left>
        <right style="thin">
          <color indexed="64"/>
        </right>
        <top style="thin">
          <color indexed="64"/>
        </top>
        <bottom style="thin">
          <color indexed="64"/>
        </bottom>
      </border>
    </ndxf>
  </rcc>
  <rcc rId="6702" sId="1" xfDxf="1" dxf="1" quotePrefix="1">
    <oc r="F297" t="inlineStr">
      <is>
        <t>RBAPLCUST_DiagnosticSessionControl.c</t>
      </is>
    </oc>
    <nc r="F297" t="inlineStr">
      <is>
        <t>rb\as\chjx01ib2\core\app\dcom\RBAPLCust\src\common</t>
      </is>
    </nc>
    <ndxf>
      <alignment horizontal="left" vertical="top" readingOrder="0"/>
      <border outline="0">
        <left style="thin">
          <color indexed="64"/>
        </left>
        <right style="thin">
          <color indexed="64"/>
        </right>
        <top style="thin">
          <color indexed="64"/>
        </top>
        <bottom style="thin">
          <color indexed="64"/>
        </bottom>
      </border>
    </ndxf>
  </rcc>
  <rcc rId="6703" sId="1" xfDxf="1" dxf="1" quotePrefix="1">
    <oc r="F298" t="inlineStr">
      <is>
        <t>RBAPLCUST_RDBI_NVMData_CHJ.c</t>
      </is>
    </oc>
    <nc r="F298" t="inlineStr">
      <is>
        <t>rb\as\chjx01ib2\core\app\dcom\RBAPLCust\src\common</t>
      </is>
    </nc>
    <ndxf>
      <alignment horizontal="left" vertical="top" readingOrder="0"/>
      <border outline="0">
        <left style="thin">
          <color indexed="64"/>
        </left>
        <right style="thin">
          <color indexed="64"/>
        </right>
        <top style="thin">
          <color indexed="64"/>
        </top>
        <bottom style="thin">
          <color indexed="64"/>
        </bottom>
      </border>
    </ndxf>
  </rcc>
  <rcc rId="6704" sId="1" xfDxf="1" dxf="1" quotePrefix="1">
    <oc r="F299" t="inlineStr">
      <is>
        <t>RBAPLCUST_RoutineControl.c</t>
      </is>
    </oc>
    <nc r="F299" t="inlineStr">
      <is>
        <t>rb\as\chjx01ib2\core\app\dcom\RBAPLCust\src\common</t>
      </is>
    </nc>
    <ndxf>
      <alignment horizontal="left" vertical="top" readingOrder="0"/>
      <border outline="0">
        <left style="thin">
          <color indexed="64"/>
        </left>
        <right style="thin">
          <color indexed="64"/>
        </right>
        <top style="thin">
          <color indexed="64"/>
        </top>
        <bottom style="thin">
          <color indexed="64"/>
        </bottom>
      </border>
    </ndxf>
  </rcc>
  <rcc rId="6705" sId="1" xfDxf="1" dxf="1" quotePrefix="1">
    <oc r="F300" t="inlineStr">
      <is>
        <t>RBAPLCUST_SecurityAccess.c</t>
      </is>
    </oc>
    <nc r="F300" t="inlineStr">
      <is>
        <t>rb\as\chjx01ib2\core\app\dcom\RBAPLCust\src\common</t>
      </is>
    </nc>
    <ndxf>
      <alignment horizontal="left" vertical="top" readingOrder="0"/>
      <border outline="0">
        <left style="thin">
          <color indexed="64"/>
        </left>
        <right style="thin">
          <color indexed="64"/>
        </right>
        <top style="thin">
          <color indexed="64"/>
        </top>
        <bottom style="thin">
          <color indexed="64"/>
        </bottom>
      </border>
    </ndxf>
  </rcc>
  <rcc rId="6706" sId="1" xfDxf="1" dxf="1" quotePrefix="1">
    <oc r="F301" t="inlineStr">
      <is>
        <t>RBA_NDS_IPBPressure_Callout.c</t>
      </is>
    </oc>
    <nc r="F301" t="inlineStr">
      <is>
        <t>rb\as\rbcn\ipb\app\net\RBScl\src\</t>
      </is>
    </nc>
    <ndxf>
      <alignment horizontal="left" vertical="top" readingOrder="0"/>
      <border outline="0">
        <left style="thin">
          <color indexed="64"/>
        </left>
        <right style="thin">
          <color indexed="64"/>
        </right>
        <top style="thin">
          <color indexed="64"/>
        </top>
        <bottom style="thin">
          <color indexed="64"/>
        </bottom>
      </border>
    </ndxf>
  </rcc>
  <rcc rId="6707" sId="1" xfDxf="1" dxf="1" quotePrefix="1">
    <oc r="F302" t="inlineStr">
      <is>
        <t>ComScl_Scl_Complex_proc.c</t>
      </is>
    </oc>
    <nc r="F302" t="inlineStr">
      <is>
        <t>\RBScl\RBSCL_BB82026\src\ComScl_Scl_Complex_proc.c</t>
      </is>
    </nc>
    <ndxf>
      <alignment horizontal="left" vertical="top" readingOrder="0"/>
      <border outline="0">
        <left style="thin">
          <color indexed="64"/>
        </left>
        <right style="thin">
          <color indexed="64"/>
        </right>
        <top style="thin">
          <color indexed="64"/>
        </top>
        <bottom style="thin">
          <color indexed="64"/>
        </bottom>
      </border>
    </ndxf>
  </rcc>
  <rcc rId="6708" sId="1" xfDxf="1" dxf="1" quotePrefix="1">
    <oc r="F303" t="inlineStr">
      <is>
        <t>NET_PSM_Interface_IPB.c</t>
      </is>
    </oc>
    <nc r="F303" t="inlineStr">
      <is>
        <t>\RBScl\RBSCL_FAW\src\NET_PSM_Interface_IPB.c</t>
      </is>
    </nc>
    <ndxf>
      <alignment horizontal="left" vertical="top" readingOrder="0"/>
      <border outline="0">
        <left style="thin">
          <color indexed="64"/>
        </left>
        <right style="thin">
          <color indexed="64"/>
        </right>
        <top style="thin">
          <color indexed="64"/>
        </top>
        <bottom style="thin">
          <color indexed="64"/>
        </bottom>
      </border>
    </ndxf>
  </rcc>
  <rcc rId="6709" sId="1" xfDxf="1" dxf="1" quotePrefix="1">
    <oc r="F304" t="inlineStr">
      <is>
        <t>RBA_NDS_ATS_Callout.c</t>
      </is>
    </oc>
    <nc r="F304" t="inlineStr">
      <is>
        <t>\scl\src\Callout_Functions\RBA_NDS_ATS_Callout.c</t>
      </is>
    </nc>
    <ndxf>
      <alignment horizontal="left" vertical="top" readingOrder="0"/>
      <border outline="0">
        <left style="thin">
          <color indexed="64"/>
        </left>
        <right style="thin">
          <color indexed="64"/>
        </right>
        <top style="thin">
          <color indexed="64"/>
        </top>
        <bottom style="thin">
          <color indexed="64"/>
        </bottom>
      </border>
    </ndxf>
  </rcc>
  <rcc rId="6710" sId="1" xfDxf="1" dxf="1" quotePrefix="1">
    <oc r="F305" t="inlineStr">
      <is>
        <t>RBA_NDS_Complex_Callout.c</t>
      </is>
    </oc>
    <nc r="F305" t="inlineStr">
      <is>
        <t>\RBScl\RBSCL_FAW\src\RBA_NDS_Complex_Callout.c</t>
      </is>
    </nc>
    <ndxf>
      <alignment horizontal="left" vertical="top" readingOrder="0"/>
      <border outline="0">
        <left style="thin">
          <color indexed="64"/>
        </left>
        <right style="thin">
          <color indexed="64"/>
        </right>
        <top style="thin">
          <color indexed="64"/>
        </top>
        <bottom style="thin">
          <color indexed="64"/>
        </bottom>
      </border>
    </ndxf>
  </rcc>
  <rcc rId="6711" sId="1" xfDxf="1" dxf="1" quotePrefix="1">
    <oc r="F306" t="inlineStr">
      <is>
        <t>RBA_NDS_Engine_Callout.c</t>
      </is>
    </oc>
    <nc r="F306" t="inlineStr">
      <is>
        <t>\scl\src\Callout_Functions\RBA_NDS_Engine_Callout.c</t>
      </is>
    </nc>
    <ndxf>
      <alignment horizontal="left" vertical="top" readingOrder="0"/>
      <border outline="0">
        <left style="thin">
          <color indexed="64"/>
        </left>
        <right style="thin">
          <color indexed="64"/>
        </right>
        <top style="thin">
          <color indexed="64"/>
        </top>
        <bottom style="thin">
          <color indexed="64"/>
        </bottom>
      </border>
    </ndxf>
  </rcc>
  <rcc rId="6712" sId="1" xfDxf="1" dxf="1" quotePrefix="1">
    <oc r="F307" t="inlineStr">
      <is>
        <t>RBA_NDS_IPBPressure_Callout.c</t>
      </is>
    </oc>
    <nc r="F307" t="inlineStr">
      <is>
        <t>\RBScl\RBSCL_FAW\src\RBA_NDS_IPBPressure_Callout.c</t>
      </is>
    </nc>
    <ndxf>
      <alignment horizontal="left" vertical="top" readingOrder="0"/>
      <border outline="0">
        <left style="thin">
          <color indexed="64"/>
        </left>
        <right style="thin">
          <color indexed="64"/>
        </right>
        <top style="thin">
          <color indexed="64"/>
        </top>
        <bottom style="thin">
          <color indexed="64"/>
        </bottom>
      </border>
    </ndxf>
  </rcc>
  <rcc rId="6713" sId="1" xfDxf="1" dxf="1" quotePrefix="1">
    <oc r="F308" t="inlineStr">
      <is>
        <t>RBA_NDS_SystemInfo.c</t>
      </is>
    </oc>
    <nc r="F308" t="inlineStr">
      <is>
        <t>\scl\src\Callout_Functions\RBA_NDS_SystemInfo.c</t>
      </is>
    </nc>
    <ndxf>
      <alignment horizontal="left" vertical="top" readingOrder="0"/>
      <border outline="0">
        <left style="thin">
          <color indexed="64"/>
        </left>
        <right style="thin">
          <color indexed="64"/>
        </right>
        <top style="thin">
          <color indexed="64"/>
        </top>
        <bottom style="thin">
          <color indexed="64"/>
        </bottom>
      </border>
    </ndxf>
  </rcc>
  <rcc rId="6714" sId="1" xfDxf="1" dxf="1" quotePrefix="1">
    <oc r="F309" t="inlineStr">
      <is>
        <t>RBA_NDS_TOD_Callout.c</t>
      </is>
    </oc>
    <nc r="F309" t="inlineStr">
      <is>
        <t>\scl\src\Callout_Functions\RBA_NDS_TOD_Callout.c</t>
      </is>
    </nc>
    <ndxf>
      <alignment horizontal="left" vertical="top" readingOrder="0"/>
      <border outline="0">
        <left style="thin">
          <color indexed="64"/>
        </left>
        <right style="thin">
          <color indexed="64"/>
        </right>
        <top style="thin">
          <color indexed="64"/>
        </top>
        <bottom style="thin">
          <color indexed="64"/>
        </bottom>
      </border>
    </ndxf>
  </rcc>
  <rcc rId="6715" sId="1" xfDxf="1" dxf="1" quotePrefix="1">
    <oc r="F310" t="inlineStr">
      <is>
        <t>RBA_NDS_WheelOdoEdges_Callout.c</t>
      </is>
    </oc>
    <nc r="F310" t="inlineStr">
      <is>
        <t>\scl\src\Callout_Functions\RBA_NDS_WheelOdoEdges_Callout.c</t>
      </is>
    </nc>
    <ndxf>
      <alignment horizontal="left" vertical="top" readingOrder="0"/>
      <border outline="0">
        <left style="thin">
          <color indexed="64"/>
        </left>
        <right style="thin">
          <color indexed="64"/>
        </right>
        <top style="thin">
          <color indexed="64"/>
        </top>
        <bottom style="thin">
          <color indexed="64"/>
        </bottom>
      </border>
    </ndxf>
  </rcc>
  <rcc rId="6716" sId="1" xfDxf="1" dxf="1" quotePrefix="1">
    <oc r="F311" t="inlineStr">
      <is>
        <t>RBA_NDS_WSS_FailureInfo_Callout.c</t>
      </is>
    </oc>
    <nc r="F311" t="inlineStr">
      <is>
        <t>\scl\src\Callout_Functions\RBA_NDS_WSS_FailureInfo_Callout.c</t>
      </is>
    </nc>
    <ndxf>
      <alignment horizontal="left" vertical="top" readingOrder="0"/>
      <border outline="0">
        <left style="thin">
          <color indexed="64"/>
        </left>
        <right style="thin">
          <color indexed="64"/>
        </right>
        <top style="thin">
          <color indexed="64"/>
        </top>
        <bottom style="thin">
          <color indexed="64"/>
        </bottom>
      </border>
    </ndxf>
  </rcc>
  <rcc rId="6717" sId="1" xfDxf="1" dxf="1" quotePrefix="1">
    <oc r="F312" t="inlineStr">
      <is>
        <t>RBNET_ProjectSpecific_Monitoring.c</t>
      </is>
    </oc>
    <nc r="F312" t="inlineStr">
      <is>
        <t>\RBScl\RBSCL_FAW\src\RBNET_ProjectSpecific_Monitoring.c</t>
      </is>
    </nc>
    <ndxf>
      <alignment horizontal="left" vertical="top" readingOrder="0"/>
      <border outline="0">
        <left style="thin">
          <color indexed="64"/>
        </left>
        <right style="thin">
          <color indexed="64"/>
        </right>
        <top style="thin">
          <color indexed="64"/>
        </top>
        <bottom style="thin">
          <color indexed="64"/>
        </bottom>
      </border>
    </ndxf>
  </rcc>
  <rcc rId="6718" sId="1" xfDxf="1" dxf="1" quotePrefix="1">
    <oc r="F313" t="inlineStr">
      <is>
        <t>RBPduHandler_Callouts.c</t>
      </is>
    </oc>
    <nc r="F313" t="inlineStr">
      <is>
        <t>\src\RBPduHandler_Callouts.c</t>
      </is>
    </nc>
    <ndxf>
      <alignment horizontal="left" vertical="top" readingOrder="0"/>
      <border outline="0">
        <left style="thin">
          <color indexed="64"/>
        </left>
        <right style="thin">
          <color indexed="64"/>
        </right>
        <top style="thin">
          <color indexed="64"/>
        </top>
        <bottom style="thin">
          <color indexed="64"/>
        </bottom>
      </border>
    </ndxf>
  </rcc>
  <rcc rId="6719" sId="1" xfDxf="1" dxf="1" quotePrefix="1">
    <oc r="F314" t="inlineStr">
      <is>
        <t>SAS_LWS_Standard.c</t>
      </is>
    </oc>
    <nc r="F314" t="inlineStr">
      <is>
        <t>\scl\src\Steering\SAS_LWS_Standard.c</t>
      </is>
    </nc>
    <ndxf>
      <alignment horizontal="left" vertical="top" readingOrder="0"/>
      <border outline="0">
        <left style="thin">
          <color indexed="64"/>
        </left>
        <right style="thin">
          <color indexed="64"/>
        </right>
        <top style="thin">
          <color indexed="64"/>
        </top>
        <bottom style="thin">
          <color indexed="64"/>
        </bottom>
      </border>
    </ndxf>
  </rcc>
  <rcc rId="6720" sId="1" quotePrefix="1">
    <oc r="F295" t="inlineStr">
      <is>
        <t>CRB_FxQualifier</t>
      </is>
    </oc>
    <nc r="F295" t="inlineStr">
      <is>
        <t>-</t>
      </is>
    </nc>
  </rcc>
</revisions>
</file>

<file path=xl/revisions/revisionLog5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21" sId="1" xfDxf="1" dxf="1">
    <nc r="M295" t="inlineStr">
      <is>
        <t>BL02_SP05</t>
      </is>
    </nc>
    <ndxf>
      <alignment horizontal="left" vertical="top" readingOrder="0"/>
      <border outline="0">
        <left style="thin">
          <color indexed="64"/>
        </left>
        <right style="thin">
          <color indexed="64"/>
        </right>
        <top style="thin">
          <color indexed="64"/>
        </top>
        <bottom style="thin">
          <color indexed="64"/>
        </bottom>
      </border>
    </ndxf>
  </rcc>
  <rcc rId="6722" sId="1" xfDxf="1" dxf="1">
    <nc r="M300" t="inlineStr">
      <is>
        <t>BL01_SP03</t>
      </is>
    </nc>
    <ndxf>
      <alignment horizontal="left" vertical="top" readingOrder="0"/>
      <border outline="0">
        <left style="thin">
          <color indexed="64"/>
        </left>
        <right style="thin">
          <color indexed="64"/>
        </right>
        <top style="thin">
          <color indexed="64"/>
        </top>
        <bottom style="thin">
          <color indexed="64"/>
        </bottom>
      </border>
    </ndxf>
  </rcc>
  <rcc rId="6723" sId="1">
    <nc r="M296" t="inlineStr">
      <is>
        <t>BL01_SP03</t>
      </is>
    </nc>
  </rcc>
  <rcc rId="6724" sId="1">
    <nc r="M297" t="inlineStr">
      <is>
        <t>BL01_SP03</t>
      </is>
    </nc>
  </rcc>
  <rcc rId="6725" sId="1">
    <nc r="M298" t="inlineStr">
      <is>
        <t>BL01_SP03</t>
      </is>
    </nc>
  </rcc>
  <rcc rId="6726" sId="1">
    <nc r="M299" t="inlineStr">
      <is>
        <t>BL01_SP03</t>
      </is>
    </nc>
  </rcc>
  <rcc rId="6727" sId="1" xfDxf="1" dxf="1">
    <nc r="M301" t="inlineStr">
      <is>
        <t>BL02_SP05</t>
      </is>
    </nc>
    <ndxf>
      <alignment horizontal="left" vertical="top" readingOrder="0"/>
      <border outline="0">
        <left style="thin">
          <color indexed="64"/>
        </left>
        <right style="thin">
          <color indexed="64"/>
        </right>
        <top style="thin">
          <color indexed="64"/>
        </top>
        <bottom style="thin">
          <color indexed="64"/>
        </bottom>
      </border>
    </ndxf>
  </rcc>
  <rcc rId="6728" sId="1" xfDxf="1" dxf="1">
    <nc r="M302" t="inlineStr">
      <is>
        <t>BSS02_SP06</t>
      </is>
    </nc>
    <ndxf>
      <alignment horizontal="left" vertical="top" readingOrder="0"/>
      <border outline="0">
        <left style="thin">
          <color indexed="64"/>
        </left>
        <right style="thin">
          <color indexed="64"/>
        </right>
        <top style="thin">
          <color indexed="64"/>
        </top>
        <bottom style="thin">
          <color indexed="64"/>
        </bottom>
      </border>
    </ndxf>
  </rcc>
  <rcc rId="6729" sId="1">
    <nc r="M303" t="inlineStr">
      <is>
        <t>BSS02_SP06</t>
      </is>
    </nc>
  </rcc>
  <rcc rId="6730" sId="1">
    <nc r="M304" t="inlineStr">
      <is>
        <t>BSS02_SP06</t>
      </is>
    </nc>
  </rcc>
  <rcc rId="6731" sId="1">
    <nc r="M305" t="inlineStr">
      <is>
        <t>BSS02_SP06</t>
      </is>
    </nc>
  </rcc>
  <rcc rId="6732" sId="1">
    <nc r="M306" t="inlineStr">
      <is>
        <t>BSS02_SP06</t>
      </is>
    </nc>
  </rcc>
  <rcc rId="6733" sId="1">
    <nc r="M307" t="inlineStr">
      <is>
        <t>BSS02_SP06</t>
      </is>
    </nc>
  </rcc>
  <rcc rId="6734" sId="1">
    <nc r="M308" t="inlineStr">
      <is>
        <t>BSS02_SP06</t>
      </is>
    </nc>
  </rcc>
  <rcc rId="6735" sId="1">
    <nc r="M309" t="inlineStr">
      <is>
        <t>BSS02_SP06</t>
      </is>
    </nc>
  </rcc>
  <rcc rId="6736" sId="1">
    <nc r="M310" t="inlineStr">
      <is>
        <t>BSS02_SP06</t>
      </is>
    </nc>
  </rcc>
  <rcc rId="6737" sId="1">
    <nc r="M311" t="inlineStr">
      <is>
        <t>BSS02_SP06</t>
      </is>
    </nc>
  </rcc>
  <rcc rId="6738" sId="1">
    <nc r="M312" t="inlineStr">
      <is>
        <t>BSS02_SP06</t>
      </is>
    </nc>
  </rcc>
  <rcc rId="6739" sId="1">
    <nc r="M313" t="inlineStr">
      <is>
        <t>BSS02_SP06</t>
      </is>
    </nc>
  </rcc>
  <rcc rId="6740" sId="1">
    <nc r="M314" t="inlineStr">
      <is>
        <t>BSS02_SP06</t>
      </is>
    </nc>
  </rc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43" sId="1">
    <nc r="S297" t="inlineStr">
      <is>
        <t>huy.nguyen-hoang</t>
      </is>
    </nc>
  </rcc>
  <rcc rId="6744" sId="1">
    <nc r="S296" t="inlineStr">
      <is>
        <t>huy.nguyen-hoang</t>
      </is>
    </nc>
  </rcc>
  <rcc rId="6745" sId="1">
    <nc r="S298" t="inlineStr">
      <is>
        <t>huy.nguyen-hoang</t>
      </is>
    </nc>
  </rcc>
  <rcc rId="6746" sId="1">
    <nc r="S299" t="inlineStr">
      <is>
        <t>huy.nguyen-hoang</t>
      </is>
    </nc>
  </rcc>
  <rcc rId="6747" sId="1">
    <nc r="S300" t="inlineStr">
      <is>
        <t>huy.nguyen-hoang</t>
      </is>
    </nc>
  </rc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54" sId="1">
    <nc r="S295" t="inlineStr">
      <is>
        <t>chuong.nguyen-minh</t>
      </is>
    </nc>
  </rc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57" sId="1">
    <oc r="W280">
      <f>V280</f>
    </oc>
    <nc r="W280">
      <v>0</v>
    </nc>
  </rc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82" sId="1">
    <nc r="V42">
      <f>D42</f>
    </nc>
  </rcc>
  <rcc rId="6783" sId="1">
    <nc r="V43">
      <f>D43</f>
    </nc>
  </rcc>
  <rcc rId="6784" sId="1">
    <nc r="V44">
      <f>D44</f>
    </nc>
  </rcc>
  <rcc rId="6785" sId="1">
    <nc r="V45">
      <f>D45</f>
    </nc>
  </rcc>
  <rcc rId="6786" sId="1">
    <nc r="V46">
      <f>D46</f>
    </nc>
  </rcc>
  <rcc rId="6787" sId="1">
    <nc r="V47">
      <f>D47</f>
    </nc>
  </rcc>
  <rcc rId="6788" sId="1">
    <nc r="V48">
      <f>D48</f>
    </nc>
  </rcc>
  <rcc rId="6789" sId="1">
    <nc r="V49">
      <f>D49</f>
    </nc>
  </rcc>
  <rcc rId="6790" sId="1">
    <nc r="V50">
      <f>D50</f>
    </nc>
  </rcc>
  <rcc rId="6791" sId="1">
    <nc r="V51">
      <f>D51</f>
    </nc>
  </rcc>
  <rcc rId="6792" sId="1">
    <nc r="V52">
      <f>D52</f>
    </nc>
  </rcc>
  <rcc rId="6793" sId="1">
    <nc r="V53">
      <f>D53</f>
    </nc>
  </rcc>
  <rcc rId="6794" sId="1" odxf="1" dxf="1">
    <nc r="V54">
      <f>D54</f>
    </nc>
    <odxf/>
    <ndxf/>
  </rcc>
  <rcc rId="6795" sId="1" odxf="1" dxf="1">
    <nc r="V55">
      <f>D55</f>
    </nc>
    <odxf/>
    <ndxf/>
  </rcc>
  <rcc rId="6796" sId="1">
    <nc r="S301" t="inlineStr">
      <is>
        <t>nam.phan-the</t>
      </is>
    </nc>
  </rcc>
  <rcc rId="6797" sId="1">
    <nc r="S305" t="inlineStr">
      <is>
        <t>duong.nguyen-tuan</t>
      </is>
    </nc>
  </rcc>
  <rcc rId="6798" sId="1">
    <nc r="S302" t="inlineStr">
      <is>
        <t>loc.do-phu</t>
      </is>
    </nc>
  </rcc>
  <rcc rId="6799" sId="1">
    <nc r="S303" t="inlineStr">
      <is>
        <t>loc.do-phu</t>
      </is>
    </nc>
  </rcc>
  <rcc rId="6800" sId="1">
    <nc r="S306" t="inlineStr">
      <is>
        <t>loc.do-phu</t>
      </is>
    </nc>
  </rcc>
  <rcc rId="6801" sId="1">
    <nc r="S307" t="inlineStr">
      <is>
        <t>loc.do-phu</t>
      </is>
    </nc>
  </rcc>
  <rcc rId="6802" sId="1">
    <nc r="S308" t="inlineStr">
      <is>
        <t>loc.do-phu</t>
      </is>
    </nc>
  </rcc>
  <rcc rId="6803" sId="1">
    <nc r="S304" t="inlineStr">
      <is>
        <t>nam.phan-the</t>
      </is>
    </nc>
  </rcc>
  <rcc rId="6804" sId="1">
    <nc r="S309" t="inlineStr">
      <is>
        <t>nam.phan-the</t>
      </is>
    </nc>
  </rcc>
  <rcc rId="6805" sId="1">
    <nc r="S310" t="inlineStr">
      <is>
        <t>nam.phan-the</t>
      </is>
    </nc>
  </rcc>
  <rcc rId="6806" sId="1">
    <nc r="S311" t="inlineStr">
      <is>
        <t>huy.nguyen-hoang</t>
      </is>
    </nc>
  </rcc>
  <rcc rId="6807" sId="1">
    <nc r="S314" t="inlineStr">
      <is>
        <t>huy.nguyen-hoang</t>
      </is>
    </nc>
  </rcc>
  <rcv guid="{7E0EA425-A420-4443-B9E0-CDF0AA9E5D09}" action="delete"/>
  <rdn rId="0" localSheetId="1" customView="1" name="Z_7E0EA425_A420_4443_B9E0_CDF0AA9E5D09_.wvu.Rows" hidden="1" oldHidden="1">
    <formula>Merged_COEM!$57:$294</formula>
  </rdn>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811" sId="1">
    <nc r="S312" t="inlineStr">
      <is>
        <t>loc.do-phu</t>
      </is>
    </nc>
  </rcc>
  <rcc rId="6812" sId="1">
    <nc r="S313" t="inlineStr">
      <is>
        <t>loc.do-phu</t>
      </is>
    </nc>
  </rcc>
  <rcv guid="{7E0EA425-A420-4443-B9E0-CDF0AA9E5D09}" action="delete"/>
  <rdn rId="0" localSheetId="1" customView="1" name="Z_7E0EA425_A420_4443_B9E0_CDF0AA9E5D09_.wvu.Rows" hidden="1" oldHidden="1">
    <formula>Merged_COEM!$57:$294</formula>
    <oldFormula>Merged_COEM!$57:$294</oldFormula>
  </rdn>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Merged_COEM!$57:$294</formula>
    <oldFormula>Merged_COEM!$57:$294</oldFormula>
  </rdn>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Merged_COEM!$57:$294</formula>
    <oldFormula>Merged_COEM!$57:$294</oldFormula>
  </rdn>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Merged_COEM!$57:$294</formula>
    <oldFormula>Merged_COEM!$57:$294</oldFormula>
  </rdn>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Merged_COEM!$57:$294</formula>
    <oldFormula>Merged_COEM!$57:$294</oldFormula>
  </rdn>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Merged_COEM!$57:$294</formula>
    <oldFormula>Merged_COEM!$57:$294</oldFormula>
  </rdn>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Rows" hidden="1" oldHidden="1">
    <formula>Merged_COEM!$57:$294</formula>
    <oldFormula>Merged_COEM!$57:$294</oldFormula>
  </rdn>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834" sId="1">
    <oc r="V42">
      <f>D42</f>
    </oc>
    <nc r="V42"/>
  </rcc>
  <rcc rId="6835" sId="1">
    <oc r="V43">
      <f>D43</f>
    </oc>
    <nc r="V43"/>
  </rcc>
  <rcc rId="6836" sId="1">
    <oc r="V44">
      <f>D44</f>
    </oc>
    <nc r="V44"/>
  </rcc>
  <rcc rId="6837" sId="1">
    <oc r="V45">
      <f>D45</f>
    </oc>
    <nc r="V45"/>
  </rcc>
  <rcc rId="6838" sId="1">
    <oc r="V46">
      <f>D46</f>
    </oc>
    <nc r="V46"/>
  </rcc>
  <rcc rId="6839" sId="1">
    <oc r="V47">
      <f>D47</f>
    </oc>
    <nc r="V47"/>
  </rcc>
  <rcc rId="6840" sId="1">
    <oc r="V48">
      <f>D48</f>
    </oc>
    <nc r="V48"/>
  </rcc>
  <rcc rId="6841" sId="1">
    <oc r="V49">
      <f>D49</f>
    </oc>
    <nc r="V49"/>
  </rcc>
  <rcc rId="6842" sId="1">
    <oc r="V50">
      <f>D50</f>
    </oc>
    <nc r="V50"/>
  </rcc>
  <rcc rId="6843" sId="1">
    <oc r="V51">
      <f>D51</f>
    </oc>
    <nc r="V51"/>
  </rcc>
  <rcc rId="6844" sId="1">
    <oc r="V52">
      <f>D52</f>
    </oc>
    <nc r="V52"/>
  </rcc>
  <rcc rId="6845" sId="1">
    <oc r="V53">
      <f>D53</f>
    </oc>
    <nc r="V53"/>
  </rcc>
  <rcc rId="6846" sId="1">
    <oc r="V54">
      <f>D54</f>
    </oc>
    <nc r="V54"/>
  </rcc>
  <rcc rId="6847" sId="1">
    <oc r="V55">
      <f>D55</f>
    </oc>
    <nc r="V55"/>
  </rcc>
  <rcv guid="{7E0EA425-A420-4443-B9E0-CDF0AA9E5D09}" action="delete"/>
  <rdn rId="0" localSheetId="1" customView="1" name="Z_7E0EA425_A420_4443_B9E0_CDF0AA9E5D09_.wvu.Rows" hidden="1" oldHidden="1">
    <formula>Merged_COEM!$57:$294</formula>
    <oldFormula>Merged_COEM!$57:$294</oldFormula>
  </rdn>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revisionLog5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dn rId="0" localSheetId="1" customView="1" name="Z_7E0EA425_A420_4443_B9E0_CDF0AA9E5D09_.wvu.Rows" hidden="1" oldHidden="1">
    <oldFormula>Merged_COEM!$57:$294</oldFormula>
  </rdn>
  <rcv guid="{7E0EA425-A420-4443-B9E0-CDF0AA9E5D09}" action="delete"/>
  <rdn rId="0" localSheetId="1" customView="1" name="Z_7E0EA425_A420_4443_B9E0_CDF0AA9E5D09_.wvu.FilterData" hidden="1" oldHidden="1">
    <formula>Merged_COEM!$B$59:$AN$317</formula>
    <oldFormula>Merged_COEM!$B$59:$AN$317</oldFormula>
  </rdn>
  <rdn rId="0" localSheetId="2" customView="1" name="Z_7E0EA425_A420_4443_B9E0_CDF0AA9E5D09_.wvu.FilterData" hidden="1" oldHidden="1">
    <formula>Merged_JOEM!$B$59:$AN$557</formula>
    <oldFormula>Merged_JOEM!$B$59:$AN$557</oldFormula>
  </rdn>
  <rcv guid="{7E0EA425-A420-4443-B9E0-CDF0AA9E5D09}" action="add"/>
</revisions>
</file>

<file path=xl/revisions/userNames1.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21">
  <userInfo guid="{70F3F394-17D8-44F3-AF9A-67F2CE36359D}" name="EXTERNAL Nguyen Tuan Duong (Ban Vien, RBVH/EPS45)" id="-567381191" dateTime="2020-09-09T08:03:46"/>
  <userInfo guid="{26A5B889-EB02-46F7-B0B0-C720F38695B0}" name="EXTERNAL Do Anh Huy (Ban Vien Company, RBVH/EPS45)" id="-1624202299" dateTime="2020-09-09T08:39:53"/>
  <userInfo guid="{1FD14699-CD63-4BD6-A154-A79CBAC0695C}" name="EXTERNAL Ly Chung (Ban Vien, RBVH/EPS45)" id="-274411939" dateTime="2020-09-09T09:39:40"/>
  <userInfo guid="{2598B4C0-46E0-45F9-A52D-CB263566E3F4}" name="duo81hc" id="-502729520" dateTime="2020-09-09T09:44:35"/>
  <userInfo guid="{8E0D59E1-EE44-434C-B025-770F2BF833E7}" name="NCH7HC" id="-684907364" dateTime="2020-09-09T09:56:27"/>
  <userInfo guid="{6CB4F283-B773-4C74-98ED-AD5A5D20E075}" name="EXTERNAL Do Phu Loc (Ban Vien, RBVH/EPS45)" id="-1167969271" dateTime="2020-09-09T10:11:44"/>
  <userInfo guid="{774E2885-56EB-4ED3-80D2-0FD069E32EAC}" name="EXTERNAL Luu Cong Dac (Ban Vien, RBVH/EPS45)" id="-868150945" dateTime="2020-09-09T17:32:58"/>
  <userInfo guid="{FE69A6FD-C27D-4251-9AAC-7055B78318E3}" name="HGY7HC" id="-675679551" dateTime="2020-09-09T17:56:29"/>
  <userInfo guid="{2D071363-CE23-497D-9763-B2AA07AD9432}" name="EXTERNAL Do Anh Huy (Ban Vien Company, RBVH/EPS45)" id="-1624234334" dateTime="2020-09-10T10:09:15"/>
  <userInfo guid="{D73E211A-D23A-4385-8E3A-35A21E7A9166}" name="EXTERNAL Do Phu Loc (Ban Vien, RBVH/EPS45)" id="-1167924656" dateTime="2020-09-10T11:22:11"/>
  <userInfo guid="{498179AF-810A-4907-A1E2-2DD2D62085C8}" name="EXTERNAL Nguyen Tai Hau (Ban Vien, RBVH/EPS45)" id="-1204107518" dateTime="2020-09-10T14:28:06"/>
  <userInfo guid="{5B4E5592-292E-4147-B571-7D2083569270}" name="EXTERNAL Nguyen Tuan Duong (Ban Vien, RBVH/EPS45)" id="-567357429" dateTime="2020-09-11T08:04:26"/>
  <userInfo guid="{1FD14699-CD63-4BD6-A154-A79CBAC0695C}" name="EXTERNAL Do Anh Huy (Ban Vien Company, RBVH/EPS45)" id="-1624199080" dateTime="2020-09-11T08:43:00"/>
  <userInfo guid="{9F51E041-2346-4413-B4AE-185BDD998EB6}" name="NCH7HC" id="-684864116" dateTime="2020-09-11T09:19:11"/>
  <userInfo guid="{6B94799C-3A02-4D05-A284-A23A6F004D81}" name="EXTERNAL Do Anh Huy (Ban Vien Company, RBVH/EPS45)" id="-1624191097" dateTime="2020-09-11T09:20:05"/>
  <userInfo guid="{91815917-E475-4B8A-B287-E97E8E34C810}" name="EXTERNAL Ly Chung (Ban Vien, RBVH/EPS45)" id="-274456426" dateTime="2020-09-11T09:38:46"/>
  <userInfo guid="{4F5F44FC-60C5-4E8B-A5F2-A91B4C011FC2}" name="EXTERNAL Nguyen Tai Hau (Ban Vien, RBVH/EPS45)" id="-1204149217" dateTime="2020-09-11T10:53:17"/>
  <userInfo guid="{B49ED9C9-06F5-4CF2-90C7-B8714A13A16D}" name="EXTERNAL Luu Cong Dac (Ban Vien, RBVH/EPS45)" id="-868136754" dateTime="2020-09-11T11:08:14"/>
  <userInfo guid="{4BC8FFA2-9C74-4108-BCF9-55E48B8163F4}" name="gup7hc" id="-630758075" dateTime="2020-09-11T11:35:48"/>
  <userInfo guid="{9F51E041-2346-4413-B4AE-185BDD998EB6}" name="HGY7HC" id="-675721995" dateTime="2020-09-11T14:10:42"/>
  <userInfo guid="{367919A5-208B-4FD4-92D4-B46EF856463C}" name="duo81hc" id="-502751047" dateTime="2020-09-11T15:31:55"/>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comments" Target="../comments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vmlDrawing" Target="../drawings/vmlDrawing1.vml"/><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4.bin"/><Relationship Id="rId13" Type="http://schemas.openxmlformats.org/officeDocument/2006/relationships/printerSettings" Target="../printerSettings/printerSettings29.bin"/><Relationship Id="rId3" Type="http://schemas.openxmlformats.org/officeDocument/2006/relationships/printerSettings" Target="../printerSettings/printerSettings19.bin"/><Relationship Id="rId7" Type="http://schemas.openxmlformats.org/officeDocument/2006/relationships/printerSettings" Target="../printerSettings/printerSettings23.bin"/><Relationship Id="rId12" Type="http://schemas.openxmlformats.org/officeDocument/2006/relationships/printerSettings" Target="../printerSettings/printerSettings28.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11" Type="http://schemas.openxmlformats.org/officeDocument/2006/relationships/printerSettings" Target="../printerSettings/printerSettings27.bin"/><Relationship Id="rId5" Type="http://schemas.openxmlformats.org/officeDocument/2006/relationships/printerSettings" Target="../printerSettings/printerSettings21.bin"/><Relationship Id="rId15" Type="http://schemas.openxmlformats.org/officeDocument/2006/relationships/comments" Target="../comments2.xml"/><Relationship Id="rId10" Type="http://schemas.openxmlformats.org/officeDocument/2006/relationships/printerSettings" Target="../printerSettings/printerSettings26.bin"/><Relationship Id="rId4" Type="http://schemas.openxmlformats.org/officeDocument/2006/relationships/printerSettings" Target="../printerSettings/printerSettings20.bin"/><Relationship Id="rId9" Type="http://schemas.openxmlformats.org/officeDocument/2006/relationships/printerSettings" Target="../printerSettings/printerSettings25.bin"/><Relationship Id="rId1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39.bin"/><Relationship Id="rId13" Type="http://schemas.openxmlformats.org/officeDocument/2006/relationships/printerSettings" Target="../printerSettings/printerSettings44.bin"/><Relationship Id="rId3" Type="http://schemas.openxmlformats.org/officeDocument/2006/relationships/printerSettings" Target="../printerSettings/printerSettings34.bin"/><Relationship Id="rId7" Type="http://schemas.openxmlformats.org/officeDocument/2006/relationships/printerSettings" Target="../printerSettings/printerSettings38.bin"/><Relationship Id="rId12" Type="http://schemas.openxmlformats.org/officeDocument/2006/relationships/printerSettings" Target="../printerSettings/printerSettings43.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printerSettings" Target="../printerSettings/printerSettings37.bin"/><Relationship Id="rId11" Type="http://schemas.openxmlformats.org/officeDocument/2006/relationships/printerSettings" Target="../printerSettings/printerSettings42.bin"/><Relationship Id="rId5" Type="http://schemas.openxmlformats.org/officeDocument/2006/relationships/printerSettings" Target="../printerSettings/printerSettings36.bin"/><Relationship Id="rId15" Type="http://schemas.openxmlformats.org/officeDocument/2006/relationships/printerSettings" Target="../printerSettings/printerSettings46.bin"/><Relationship Id="rId10" Type="http://schemas.openxmlformats.org/officeDocument/2006/relationships/printerSettings" Target="../printerSettings/printerSettings41.bin"/><Relationship Id="rId4" Type="http://schemas.openxmlformats.org/officeDocument/2006/relationships/printerSettings" Target="../printerSettings/printerSettings35.bin"/><Relationship Id="rId9" Type="http://schemas.openxmlformats.org/officeDocument/2006/relationships/printerSettings" Target="../printerSettings/printerSettings40.bin"/><Relationship Id="rId14" Type="http://schemas.openxmlformats.org/officeDocument/2006/relationships/printerSettings" Target="../printerSettings/printerSettings45.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 Id="rId4" Type="http://schemas.openxmlformats.org/officeDocument/2006/relationships/printerSettings" Target="../printerSettings/printerSettings50.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58.bin"/><Relationship Id="rId13" Type="http://schemas.openxmlformats.org/officeDocument/2006/relationships/printerSettings" Target="../printerSettings/printerSettings63.bin"/><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12" Type="http://schemas.openxmlformats.org/officeDocument/2006/relationships/printerSettings" Target="../printerSettings/printerSettings62.bin"/><Relationship Id="rId2" Type="http://schemas.openxmlformats.org/officeDocument/2006/relationships/printerSettings" Target="../printerSettings/printerSettings52.bin"/><Relationship Id="rId16" Type="http://schemas.openxmlformats.org/officeDocument/2006/relationships/printerSettings" Target="../printerSettings/printerSettings66.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11" Type="http://schemas.openxmlformats.org/officeDocument/2006/relationships/printerSettings" Target="../printerSettings/printerSettings61.bin"/><Relationship Id="rId5" Type="http://schemas.openxmlformats.org/officeDocument/2006/relationships/printerSettings" Target="../printerSettings/printerSettings55.bin"/><Relationship Id="rId15" Type="http://schemas.openxmlformats.org/officeDocument/2006/relationships/printerSettings" Target="../printerSettings/printerSettings65.bin"/><Relationship Id="rId10" Type="http://schemas.openxmlformats.org/officeDocument/2006/relationships/printerSettings" Target="../printerSettings/printerSettings60.bin"/><Relationship Id="rId4" Type="http://schemas.openxmlformats.org/officeDocument/2006/relationships/printerSettings" Target="../printerSettings/printerSettings54.bin"/><Relationship Id="rId9" Type="http://schemas.openxmlformats.org/officeDocument/2006/relationships/printerSettings" Target="../printerSettings/printerSettings59.bin"/><Relationship Id="rId14" Type="http://schemas.openxmlformats.org/officeDocument/2006/relationships/printerSettings" Target="../printerSettings/printerSettings6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4.bin"/><Relationship Id="rId3" Type="http://schemas.openxmlformats.org/officeDocument/2006/relationships/printerSettings" Target="../printerSettings/printerSettings69.bin"/><Relationship Id="rId7" Type="http://schemas.openxmlformats.org/officeDocument/2006/relationships/printerSettings" Target="../printerSettings/printerSettings73.bin"/><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 Id="rId6" Type="http://schemas.openxmlformats.org/officeDocument/2006/relationships/printerSettings" Target="../printerSettings/printerSettings72.bin"/><Relationship Id="rId5" Type="http://schemas.openxmlformats.org/officeDocument/2006/relationships/printerSettings" Target="../printerSettings/printerSettings71.bin"/><Relationship Id="rId10" Type="http://schemas.openxmlformats.org/officeDocument/2006/relationships/printerSettings" Target="../printerSettings/printerSettings76.bin"/><Relationship Id="rId4" Type="http://schemas.openxmlformats.org/officeDocument/2006/relationships/printerSettings" Target="../printerSettings/printerSettings70.bin"/><Relationship Id="rId9" Type="http://schemas.openxmlformats.org/officeDocument/2006/relationships/printerSettings" Target="../printerSettings/printerSettings7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9.bin"/><Relationship Id="rId2" Type="http://schemas.openxmlformats.org/officeDocument/2006/relationships/printerSettings" Target="../printerSettings/printerSettings78.bin"/><Relationship Id="rId1" Type="http://schemas.openxmlformats.org/officeDocument/2006/relationships/printerSettings" Target="../printerSettings/printerSettings77.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1.bin"/><Relationship Id="rId1" Type="http://schemas.openxmlformats.org/officeDocument/2006/relationships/printerSettings" Target="../printerSettings/printerSettings8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N337"/>
  <sheetViews>
    <sheetView tabSelected="1" topLeftCell="A259" zoomScale="70" zoomScaleNormal="85" workbookViewId="0">
      <selection activeCell="F302" sqref="F302"/>
    </sheetView>
  </sheetViews>
  <sheetFormatPr defaultRowHeight="15"/>
  <cols>
    <col min="3" max="3" width="26.140625" bestFit="1" customWidth="1"/>
    <col min="4" max="4" width="8.85546875" customWidth="1"/>
    <col min="5" max="5" width="64" customWidth="1"/>
    <col min="6" max="6" width="127" customWidth="1"/>
    <col min="7" max="7" width="10.42578125" customWidth="1"/>
    <col min="8" max="8" width="15" customWidth="1"/>
    <col min="9" max="9" width="50.7109375" customWidth="1"/>
    <col min="10" max="10" width="10" customWidth="1"/>
    <col min="11" max="11" width="26.7109375" customWidth="1"/>
    <col min="12" max="12" width="10.7109375" customWidth="1"/>
    <col min="13" max="13" width="17" customWidth="1"/>
    <col min="14" max="14" width="47.42578125" customWidth="1"/>
    <col min="15" max="15" width="17.85546875" customWidth="1"/>
    <col min="16" max="16" width="7.42578125" customWidth="1"/>
    <col min="17" max="17" width="5" customWidth="1"/>
    <col min="18" max="18" width="4.7109375" customWidth="1"/>
    <col min="19" max="20" width="22.42578125" customWidth="1"/>
    <col min="21" max="21" width="15.85546875" customWidth="1"/>
    <col min="22" max="22" width="8.5703125" customWidth="1"/>
    <col min="23" max="23" width="8.42578125" customWidth="1"/>
    <col min="24" max="24" width="7" customWidth="1"/>
    <col min="25" max="25" width="6.140625" customWidth="1"/>
    <col min="26" max="26" width="6.5703125" customWidth="1"/>
    <col min="27" max="27" width="19.28515625" customWidth="1"/>
    <col min="28" max="28" width="20.28515625" customWidth="1"/>
    <col min="29" max="29" width="20.7109375" customWidth="1"/>
    <col min="30" max="30" width="19.28515625" bestFit="1" customWidth="1"/>
    <col min="31" max="32" width="14.5703125" bestFit="1" customWidth="1"/>
    <col min="33" max="33" width="7.7109375" bestFit="1" customWidth="1"/>
    <col min="34" max="35" width="9.140625" bestFit="1" customWidth="1"/>
    <col min="36" max="36" width="9.85546875" bestFit="1" customWidth="1"/>
    <col min="37" max="37" width="8.140625" customWidth="1"/>
    <col min="38" max="38" width="76.140625" bestFit="1" customWidth="1"/>
    <col min="39" max="39" width="24.7109375" bestFit="1" customWidth="1"/>
    <col min="40" max="40" width="107.5703125" bestFit="1" customWidth="1"/>
  </cols>
  <sheetData>
    <row r="1" spans="1:17">
      <c r="A1" s="63" t="s">
        <v>131</v>
      </c>
    </row>
    <row r="2" spans="1:17">
      <c r="B2" s="63" t="s">
        <v>49</v>
      </c>
      <c r="C2" s="23"/>
      <c r="D2" s="23"/>
      <c r="E2" s="23"/>
      <c r="F2" s="23"/>
      <c r="G2" s="23"/>
      <c r="H2" s="23"/>
    </row>
    <row r="3" spans="1:17">
      <c r="B3" s="56" t="s">
        <v>0</v>
      </c>
      <c r="C3" s="56" t="s">
        <v>8</v>
      </c>
      <c r="D3" s="56" t="s">
        <v>176</v>
      </c>
      <c r="E3" s="56" t="s">
        <v>50</v>
      </c>
      <c r="F3" s="56" t="s">
        <v>122</v>
      </c>
      <c r="G3" s="56" t="s">
        <v>1476</v>
      </c>
      <c r="H3" s="57" t="s">
        <v>24</v>
      </c>
      <c r="I3" s="128" t="s">
        <v>180</v>
      </c>
      <c r="J3" s="2" t="s">
        <v>181</v>
      </c>
      <c r="K3" s="2" t="s">
        <v>1476</v>
      </c>
      <c r="O3" s="63" t="s">
        <v>39</v>
      </c>
    </row>
    <row r="4" spans="1:17">
      <c r="B4" s="58">
        <v>1</v>
      </c>
      <c r="C4" s="227" t="s">
        <v>6</v>
      </c>
      <c r="D4" s="60">
        <f>SUMIFS($W$60:$W$317,$D$60:$D$317,Table!$D$3,$S$60:$S$317,C4)</f>
        <v>0</v>
      </c>
      <c r="E4" s="60">
        <f>SUMIFS($X$60:$X$317,$D$60:$D$317,Table!$D$3,$S$60:$S$317,C4)-SUM(SUMIFS($X$60:$X$317,$D$60:$D$317,Table!$D$3,$S$60:$S$317,C4,$AA$60:$AA$317,{"Ongoing","N\A",""}))</f>
        <v>0</v>
      </c>
      <c r="F4" s="60">
        <f>1/8*(SUMIFS($Z$60:$Z$317,$D$60:$D$317,Table!$D$3,$S$60:$S$317,C4)-SUM(SUMIFS($Z$60:$Z$317,$D$60:$D$317,Table!$D$3,$S$60:$S$317,C4,$AA$60:$AA$317,{"Ongoing","N/A",""})))</f>
        <v>0</v>
      </c>
      <c r="G4" s="60" t="str">
        <f>IF(ISERROR(E4/(F4)),"N/A",E4/F4)</f>
        <v>N/A</v>
      </c>
      <c r="H4" s="139" t="str">
        <f>IF(ISERROR(E4/D4),"N/A",E4/D4)</f>
        <v>N/A</v>
      </c>
      <c r="I4" s="129">
        <v>0</v>
      </c>
      <c r="J4" s="3">
        <f t="shared" ref="J4:J17" si="0">E4-I4</f>
        <v>0</v>
      </c>
      <c r="K4" s="60" t="str">
        <f t="shared" ref="K4:K17" si="1">IF(J4&lt;&gt;0,J4/$P$20,G4)</f>
        <v>N/A</v>
      </c>
      <c r="P4" s="63" t="s">
        <v>41</v>
      </c>
    </row>
    <row r="5" spans="1:17">
      <c r="B5" s="58">
        <v>2</v>
      </c>
      <c r="C5" s="227" t="s">
        <v>61</v>
      </c>
      <c r="D5" s="60">
        <f>SUMIFS($W$60:$W$317,$D$60:$D$317,Table!$D$3,$S$60:$S$317,C5)</f>
        <v>0</v>
      </c>
      <c r="E5" s="60">
        <f>SUMIFS($X$60:$X$317,$D$60:$D$317,Table!$D$3,$S$60:$S$317,C5)-SUM(SUMIFS($X$60:$X$317,$D$60:$D$317,Table!$D$3,$S$60:$S$317,C5,$AA$60:$AA$317,{"Ongoing","N\A",""}))</f>
        <v>0</v>
      </c>
      <c r="F5" s="60">
        <f>1/8*(SUMIFS($Z$60:$Z$317,$D$60:$D$317,Table!$D$3,$S$60:$S$317,C5)-SUM(SUMIFS($Z$60:$Z$317,$D$60:$D$317,Table!$D$3,$S$60:$S$317,C5,$AA$60:$AA$317,{"Ongoing","N/A",""})))</f>
        <v>0</v>
      </c>
      <c r="G5" s="60" t="str">
        <f t="shared" ref="G5:G6" si="2">IF(ISERROR(E5/(F5)),"N/A",E5/F5)</f>
        <v>N/A</v>
      </c>
      <c r="H5" s="139" t="str">
        <f t="shared" ref="H5:H18" si="3">IF(ISERROR(E5/D5),"N/A",E5/D5)</f>
        <v>N/A</v>
      </c>
      <c r="I5" s="129">
        <v>0</v>
      </c>
      <c r="J5" s="3">
        <f t="shared" si="0"/>
        <v>0</v>
      </c>
      <c r="K5" s="60" t="str">
        <f t="shared" si="1"/>
        <v>N/A</v>
      </c>
      <c r="Q5" s="23" t="s">
        <v>40</v>
      </c>
    </row>
    <row r="6" spans="1:17">
      <c r="B6" s="58">
        <v>3</v>
      </c>
      <c r="C6" s="227" t="s">
        <v>62</v>
      </c>
      <c r="D6" s="60">
        <f>SUMIFS($W$60:$W$317,$D$60:$D$317,Table!$D$3,$S$60:$S$317,C6)</f>
        <v>0</v>
      </c>
      <c r="E6" s="60">
        <f>SUMIFS($X$60:$X$317,$D$60:$D$317,Table!$D$3,$S$60:$S$317,C6)-SUM(SUMIFS($X$60:$X$317,$D$60:$D$317,Table!$D$3,$S$60:$S$317,C6,$AA$60:$AA$317,{"Ongoing","N\A",""}))</f>
        <v>0</v>
      </c>
      <c r="F6" s="60">
        <f>1/8*(SUMIFS($Z$60:$Z$317,$D$60:$D$317,Table!$D$3,$S$60:$S$317,C6)-SUM(SUMIFS($Z$60:$Z$317,$D$60:$D$317,Table!$D$3,$S$60:$S$317,C6,$AA$60:$AA$317,{"Ongoing","N/A",""})))</f>
        <v>0</v>
      </c>
      <c r="G6" s="60" t="str">
        <f t="shared" si="2"/>
        <v>N/A</v>
      </c>
      <c r="H6" s="139" t="str">
        <f t="shared" si="3"/>
        <v>N/A</v>
      </c>
      <c r="I6" s="129">
        <v>0</v>
      </c>
      <c r="J6" s="3">
        <f t="shared" si="0"/>
        <v>0</v>
      </c>
      <c r="K6" s="60" t="str">
        <f t="shared" si="1"/>
        <v>N/A</v>
      </c>
      <c r="Q6" s="23" t="s">
        <v>90</v>
      </c>
    </row>
    <row r="7" spans="1:17">
      <c r="B7" s="58">
        <v>4</v>
      </c>
      <c r="C7" s="71" t="s">
        <v>63</v>
      </c>
      <c r="D7" s="60">
        <f>SUMIFS($W$60:$W$317,$D$60:$D$317,Table!$D$3,$S$60:$S$317,C7)</f>
        <v>0</v>
      </c>
      <c r="E7" s="60">
        <f>SUMIFS($X$60:$X$317,$D$60:$D$317,Table!$D$3,$S$60:$S$317,C7)-SUM(SUMIFS($X$60:$X$317,$D$60:$D$317,Table!$D$3,$S$60:$S$317,C7,$AA$60:$AA$317,{"Ongoing","N\A",""}))</f>
        <v>0</v>
      </c>
      <c r="F7" s="60">
        <f>1/8*(SUMIFS($Z$60:$Z$317,$D$60:$D$317,Table!$D$3,$S$60:$S$317,C7)-SUM(SUMIFS($Z$60:$Z$317,$D$60:$D$317,Table!$D$3,$S$60:$S$317,C7,$AA$60:$AA$317,{"Ongoing","N/A",""})))</f>
        <v>0</v>
      </c>
      <c r="G7" s="60" t="str">
        <f t="shared" ref="G7:G17" si="4">IF(ISERROR(E7/(F7)),"N/A",E7/F7)</f>
        <v>N/A</v>
      </c>
      <c r="H7" s="139" t="str">
        <f t="shared" ref="H7:H17" si="5">IF(ISERROR(E7/D7),"N/A",E7/D7)</f>
        <v>N/A</v>
      </c>
      <c r="I7" s="129">
        <v>0</v>
      </c>
      <c r="J7" s="3">
        <f t="shared" si="0"/>
        <v>0</v>
      </c>
      <c r="K7" s="60" t="str">
        <f t="shared" si="1"/>
        <v>N/A</v>
      </c>
      <c r="P7" s="63"/>
    </row>
    <row r="8" spans="1:17">
      <c r="B8" s="58">
        <v>5</v>
      </c>
      <c r="C8" s="68" t="s">
        <v>179</v>
      </c>
      <c r="D8" s="60">
        <f>SUMIFS($W$60:$W$317,$D$60:$D$317,Table!$D$3,$S$60:$S$317,C8)</f>
        <v>9742</v>
      </c>
      <c r="E8" s="60">
        <f>SUMIFS($X$60:$X$317,$D$60:$D$317,Table!$D$3,$S$60:$S$317,C8)-SUM(SUMIFS($X$60:$X$317,$D$60:$D$317,Table!$D$3,$S$60:$S$317,C8,$AA$60:$AA$317,{"Ongoing","N\A",""}))</f>
        <v>8975</v>
      </c>
      <c r="F8" s="60">
        <f>1/8*(SUMIFS($Z$60:$Z$317,$D$60:$D$317,Table!$D$3,$S$60:$S$317,C8)-SUM(SUMIFS($Z$60:$Z$317,$D$60:$D$317,Table!$D$3,$S$60:$S$317,C8,$AA$60:$AA$317,{"Ongoing","N/A",""})))</f>
        <v>7.0250000000000004</v>
      </c>
      <c r="G8" s="60">
        <f t="shared" si="4"/>
        <v>1277.5800711743771</v>
      </c>
      <c r="H8" s="139">
        <f t="shared" si="5"/>
        <v>0.92126873331964687</v>
      </c>
      <c r="I8" s="129">
        <v>0</v>
      </c>
      <c r="J8" s="3">
        <f t="shared" si="0"/>
        <v>8975</v>
      </c>
      <c r="K8" s="60">
        <f t="shared" ca="1" si="1"/>
        <v>472.36842105263156</v>
      </c>
      <c r="Q8" s="23"/>
    </row>
    <row r="9" spans="1:17">
      <c r="B9" s="58">
        <v>6</v>
      </c>
      <c r="C9" s="68" t="s">
        <v>64</v>
      </c>
      <c r="D9" s="60">
        <f>SUMIFS($W$60:$W$317,$D$60:$D$317,Table!$D$3,$S$60:$S$317,C9)</f>
        <v>8008</v>
      </c>
      <c r="E9" s="60">
        <f>SUMIFS($X$60:$X$317,$D$60:$D$317,Table!$D$3,$S$60:$S$317,C9)-SUM(SUMIFS($X$60:$X$317,$D$60:$D$317,Table!$D$3,$S$60:$S$317,C9,$AA$60:$AA$317,{"Ongoing","N\A",""}))</f>
        <v>7146</v>
      </c>
      <c r="F9" s="60">
        <f>1/8*(SUMIFS($Z$60:$Z$317,$D$60:$D$317,Table!$D$3,$S$60:$S$317,C9)-SUM(SUMIFS($Z$60:$Z$317,$D$60:$D$317,Table!$D$3,$S$60:$S$317,C9,$AA$60:$AA$317,{"Ongoing","N/A",""})))</f>
        <v>20.581249999999997</v>
      </c>
      <c r="G9" s="60">
        <f t="shared" si="4"/>
        <v>347.2092317036138</v>
      </c>
      <c r="H9" s="139">
        <f t="shared" si="5"/>
        <v>0.89235764235764237</v>
      </c>
      <c r="I9" s="129">
        <v>0</v>
      </c>
      <c r="J9" s="3">
        <f t="shared" si="0"/>
        <v>7146</v>
      </c>
      <c r="K9" s="60">
        <f t="shared" ca="1" si="1"/>
        <v>376.10526315789474</v>
      </c>
      <c r="Q9" s="23"/>
    </row>
    <row r="10" spans="1:17">
      <c r="B10" s="58">
        <v>7</v>
      </c>
      <c r="C10" s="71" t="s">
        <v>65</v>
      </c>
      <c r="D10" s="60">
        <f>SUMIFS($W$60:$W$317,$D$60:$D$317,Table!$D$3,$S$60:$S$317,C10)</f>
        <v>2366</v>
      </c>
      <c r="E10" s="60">
        <f>SUMIFS($X$60:$X$317,$D$60:$D$317,Table!$D$3,$S$60:$S$317,C10)-SUM(SUMIFS($X$60:$X$317,$D$60:$D$317,Table!$D$3,$S$60:$S$317,C10,$AA$60:$AA$317,{"Ongoing","N\A",""}))</f>
        <v>2366</v>
      </c>
      <c r="F10" s="60">
        <f>1/8*(SUMIFS($Z$60:$Z$317,$D$60:$D$317,Table!$D$3,$S$60:$S$317,C10)-SUM(SUMIFS($Z$60:$Z$317,$D$60:$D$317,Table!$D$3,$S$60:$S$317,C10,$AA$60:$AA$317,{"Ongoing","N/A",""})))</f>
        <v>5.2487499999999994</v>
      </c>
      <c r="G10" s="60">
        <f t="shared" si="4"/>
        <v>450.77399380804957</v>
      </c>
      <c r="H10" s="139">
        <f t="shared" si="5"/>
        <v>1</v>
      </c>
      <c r="I10" s="129">
        <v>0</v>
      </c>
      <c r="J10" s="3">
        <f t="shared" si="0"/>
        <v>2366</v>
      </c>
      <c r="K10" s="60">
        <f t="shared" ca="1" si="1"/>
        <v>124.52631578947368</v>
      </c>
    </row>
    <row r="11" spans="1:17">
      <c r="B11" s="58">
        <v>8</v>
      </c>
      <c r="C11" s="227" t="s">
        <v>66</v>
      </c>
      <c r="D11" s="60">
        <f>SUMIFS($W$60:$W$317,$D$60:$D$317,Table!$D$3,$S$60:$S$317,C11)</f>
        <v>0</v>
      </c>
      <c r="E11" s="60">
        <f>SUMIFS($X$60:$X$317,$D$60:$D$317,Table!$D$3,$S$60:$S$317,C11)-SUM(SUMIFS($X$60:$X$317,$D$60:$D$317,Table!$D$3,$S$60:$S$317,C11,$AA$60:$AA$317,{"Ongoing","N\A",""}))</f>
        <v>0</v>
      </c>
      <c r="F11" s="60">
        <f>1/8*(SUMIFS($Z$60:$Z$317,$D$60:$D$317,Table!$D$3,$S$60:$S$317,C11)-SUM(SUMIFS($Z$60:$Z$317,$D$60:$D$317,Table!$D$3,$S$60:$S$317,C11,$AA$60:$AA$317,{"Ongoing","N/A",""})))</f>
        <v>0</v>
      </c>
      <c r="G11" s="60" t="str">
        <f t="shared" si="4"/>
        <v>N/A</v>
      </c>
      <c r="H11" s="139" t="str">
        <f t="shared" si="5"/>
        <v>N/A</v>
      </c>
      <c r="I11" s="129">
        <v>0</v>
      </c>
      <c r="J11" s="3">
        <f t="shared" si="0"/>
        <v>0</v>
      </c>
      <c r="K11" s="60" t="str">
        <f t="shared" si="1"/>
        <v>N/A</v>
      </c>
    </row>
    <row r="12" spans="1:17">
      <c r="B12" s="58">
        <v>9</v>
      </c>
      <c r="C12" s="59" t="s">
        <v>132</v>
      </c>
      <c r="D12" s="60">
        <f>SUMIFS($W$60:$W$317,$D$60:$D$317,Table!$D$3,$S$60:$S$317,C12)</f>
        <v>0</v>
      </c>
      <c r="E12" s="60">
        <f>SUMIFS($X$60:$X$317,$D$60:$D$317,Table!$D$3,$S$60:$S$317,C12)-SUM(SUMIFS($X$60:$X$317,$D$60:$D$317,Table!$D$3,$S$60:$S$317,C12,$AA$60:$AA$317,{"Ongoing","N\A",""}))</f>
        <v>0</v>
      </c>
      <c r="F12" s="60">
        <f>1/8*(SUMIFS($Z$60:$Z$317,$D$60:$D$317,Table!$D$3,$S$60:$S$317,C12)-SUM(SUMIFS($Z$60:$Z$317,$D$60:$D$317,Table!$D$3,$S$60:$S$317,C12,$AA$60:$AA$317,{"Ongoing","N/A",""})))</f>
        <v>0</v>
      </c>
      <c r="G12" s="60" t="str">
        <f t="shared" si="4"/>
        <v>N/A</v>
      </c>
      <c r="H12" s="139" t="str">
        <f t="shared" si="5"/>
        <v>N/A</v>
      </c>
      <c r="I12" s="129">
        <v>0</v>
      </c>
      <c r="J12" s="3">
        <f t="shared" si="0"/>
        <v>0</v>
      </c>
      <c r="K12" s="60" t="str">
        <f t="shared" si="1"/>
        <v>N/A</v>
      </c>
    </row>
    <row r="13" spans="1:17">
      <c r="B13" s="58">
        <v>10</v>
      </c>
      <c r="C13" s="71" t="s">
        <v>133</v>
      </c>
      <c r="D13" s="60">
        <f>SUMIFS($W$60:$W$317,$D$60:$D$317,Table!$D$3,$S$60:$S$317,C13)</f>
        <v>0</v>
      </c>
      <c r="E13" s="60">
        <f>SUMIFS($X$60:$X$317,$D$60:$D$317,Table!$D$3,$S$60:$S$317,C13)-SUM(SUMIFS($X$60:$X$317,$D$60:$D$317,Table!$D$3,$S$60:$S$317,C13,$AA$60:$AA$317,{"Ongoing","N\A",""}))</f>
        <v>0</v>
      </c>
      <c r="F13" s="60">
        <f>1/8*(SUMIFS($Z$60:$Z$317,$D$60:$D$317,Table!$D$3,$S$60:$S$317,C13)-SUM(SUMIFS($Z$60:$Z$317,$D$60:$D$317,Table!$D$3,$S$60:$S$317,C13,$AA$60:$AA$317,{"Ongoing","N/A",""})))</f>
        <v>0</v>
      </c>
      <c r="G13" s="60" t="str">
        <f t="shared" ref="G13:G16" si="6">IF(ISERROR(E13/(F13)),"N/A",E13/F13)</f>
        <v>N/A</v>
      </c>
      <c r="H13" s="139" t="str">
        <f t="shared" ref="H13:H16" si="7">IF(ISERROR(E13/D13),"N/A",E13/D13)</f>
        <v>N/A</v>
      </c>
      <c r="I13" s="129">
        <v>0</v>
      </c>
      <c r="J13" s="3">
        <f t="shared" si="0"/>
        <v>0</v>
      </c>
      <c r="K13" s="60" t="str">
        <f t="shared" si="1"/>
        <v>N/A</v>
      </c>
    </row>
    <row r="14" spans="1:17">
      <c r="B14" s="58">
        <v>11</v>
      </c>
      <c r="C14" s="59" t="s">
        <v>174</v>
      </c>
      <c r="D14" s="60">
        <f>SUMIFS($W$60:$W$317,$D$60:$D$317,Table!$D$3,$S$60:$S$317,C14)</f>
        <v>0</v>
      </c>
      <c r="E14" s="60">
        <f>SUMIFS($X$60:$X$317,$D$60:$D$317,Table!$D$3,$S$60:$S$317,C14)-SUM(SUMIFS($X$60:$X$317,$D$60:$D$317,Table!$D$3,$S$60:$S$317,C14,$AA$60:$AA$317,{"Ongoing","N\A",""}))</f>
        <v>0</v>
      </c>
      <c r="F14" s="60">
        <f>1/8*(SUMIFS($Z$60:$Z$317,$D$60:$D$317,Table!$D$3,$S$60:$S$317,C14)-SUM(SUMIFS($Z$60:$Z$317,$D$60:$D$317,Table!$D$3,$S$60:$S$317,C14,$AA$60:$AA$317,{"Ongoing","N/A",""})))</f>
        <v>0</v>
      </c>
      <c r="G14" s="60" t="str">
        <f t="shared" si="6"/>
        <v>N/A</v>
      </c>
      <c r="H14" s="139" t="str">
        <f t="shared" si="7"/>
        <v>N/A</v>
      </c>
      <c r="I14" s="129">
        <v>0</v>
      </c>
      <c r="J14" s="3">
        <f t="shared" si="0"/>
        <v>0</v>
      </c>
      <c r="K14" s="60" t="str">
        <f t="shared" si="1"/>
        <v>N/A</v>
      </c>
    </row>
    <row r="15" spans="1:17">
      <c r="B15" s="58">
        <v>12</v>
      </c>
      <c r="C15" s="68" t="s">
        <v>167</v>
      </c>
      <c r="D15" s="60">
        <f>SUMIFS($W$60:$W$317,$D$60:$D$317,Table!$D$3,$S$60:$S$317,C15)</f>
        <v>8722</v>
      </c>
      <c r="E15" s="60">
        <f>SUMIFS($X$60:$X$317,$D$60:$D$317,Table!$D$3,$S$60:$S$317,C15)-SUM(SUMIFS($X$60:$X$317,$D$60:$D$317,Table!$D$3,$S$60:$S$317,C15,$AA$60:$AA$317,{"Ongoing","N\A",""}))</f>
        <v>7890</v>
      </c>
      <c r="F15" s="60">
        <f>1/8*(SUMIFS($Z$60:$Z$317,$D$60:$D$317,Table!$D$3,$S$60:$S$317,C15)-SUM(SUMIFS($Z$60:$Z$317,$D$60:$D$317,Table!$D$3,$S$60:$S$317,C15,$AA$60:$AA$317,{"Ongoing","N/A",""})))</f>
        <v>17.973749999999999</v>
      </c>
      <c r="G15" s="60">
        <f t="shared" si="6"/>
        <v>438.97350302524518</v>
      </c>
      <c r="H15" s="139">
        <f t="shared" si="7"/>
        <v>0.90460903462508602</v>
      </c>
      <c r="I15" s="129">
        <v>0</v>
      </c>
      <c r="J15" s="3">
        <f t="shared" si="0"/>
        <v>7890</v>
      </c>
      <c r="K15" s="60">
        <f t="shared" ca="1" si="1"/>
        <v>415.26315789473682</v>
      </c>
    </row>
    <row r="16" spans="1:17">
      <c r="B16" s="58">
        <v>13</v>
      </c>
      <c r="C16" s="68" t="s">
        <v>168</v>
      </c>
      <c r="D16" s="60">
        <f>SUMIFS($W$60:$W$317,$D$60:$D$317,Table!$D$3,$S$60:$S$317,C16)</f>
        <v>8101</v>
      </c>
      <c r="E16" s="60">
        <f>SUMIFS($X$60:$X$317,$D$60:$D$317,Table!$D$3,$S$60:$S$317,C16)-SUM(SUMIFS($X$60:$X$317,$D$60:$D$317,Table!$D$3,$S$60:$S$317,C16,$AA$60:$AA$317,{"Ongoing","N\A",""}))</f>
        <v>7366</v>
      </c>
      <c r="F16" s="60">
        <f>1/8*(SUMIFS($Z$60:$Z$317,$D$60:$D$317,Table!$D$3,$S$60:$S$317,C16)-SUM(SUMIFS($Z$60:$Z$317,$D$60:$D$317,Table!$D$3,$S$60:$S$317,C16,$AA$60:$AA$317,{"Ongoing","N/A",""})))</f>
        <v>13.452499999999999</v>
      </c>
      <c r="G16" s="60">
        <f t="shared" si="6"/>
        <v>547.55621631666986</v>
      </c>
      <c r="H16" s="139">
        <f t="shared" si="7"/>
        <v>0.90927046043698312</v>
      </c>
      <c r="I16" s="129">
        <v>0</v>
      </c>
      <c r="J16" s="3">
        <f t="shared" si="0"/>
        <v>7366</v>
      </c>
      <c r="K16" s="60">
        <f t="shared" ca="1" si="1"/>
        <v>387.68421052631578</v>
      </c>
    </row>
    <row r="17" spans="2:18">
      <c r="B17" s="58">
        <v>14</v>
      </c>
      <c r="C17" s="68" t="s">
        <v>169</v>
      </c>
      <c r="D17" s="60">
        <f>SUMIFS($W$60:$W$317,$D$60:$D$317,Table!$D$3,$S$60:$S$317,C17)</f>
        <v>7315</v>
      </c>
      <c r="E17" s="60">
        <f>SUMIFS($X$60:$X$317,$D$60:$D$317,Table!$D$3,$S$60:$S$317,C17)-SUM(SUMIFS($X$60:$X$317,$D$60:$D$317,Table!$D$3,$S$60:$S$317,C17,$AA$60:$AA$317,{"Ongoing","N\A",""}))</f>
        <v>6056</v>
      </c>
      <c r="F17" s="60">
        <f>1/8*(SUMIFS($Z$60:$Z$317,$D$60:$D$317,Table!$D$3,$S$60:$S$317,C17)-SUM(SUMIFS($Z$60:$Z$317,$D$60:$D$317,Table!$D$3,$S$60:$S$317,C17,$AA$60:$AA$317,{"Ongoing","N/A",""})))</f>
        <v>11.242500000000001</v>
      </c>
      <c r="G17" s="60">
        <f t="shared" si="4"/>
        <v>538.67022459417387</v>
      </c>
      <c r="H17" s="139">
        <f t="shared" si="5"/>
        <v>0.82788790157211212</v>
      </c>
      <c r="I17" s="129">
        <v>0</v>
      </c>
      <c r="J17" s="3">
        <f t="shared" si="0"/>
        <v>6056</v>
      </c>
      <c r="K17" s="60">
        <f t="shared" ca="1" si="1"/>
        <v>318.73684210526318</v>
      </c>
      <c r="O17" s="63" t="s">
        <v>38</v>
      </c>
      <c r="P17" s="65">
        <f>Template_Total_Report!$L$23</f>
        <v>44059</v>
      </c>
      <c r="R17" s="65">
        <f ca="1">Template_Total_Report!$N$23</f>
        <v>44085</v>
      </c>
    </row>
    <row r="18" spans="2:18">
      <c r="B18" s="56" t="s">
        <v>99</v>
      </c>
      <c r="C18" s="62"/>
      <c r="D18" s="64">
        <f>SUMIFS($W$60:$W$317,$D$60:$D$317,Table!$D$3)</f>
        <v>44254</v>
      </c>
      <c r="E18" s="64">
        <f>SUMIFS($W$60:$W$317,$D$60:$D$317,Table!$D$3)-SUM(SUMIFS($W$60:$W$317,$D$60:$D$317,Table!$D$3,$AA$60:$AA$317,{"Ongoing","N/A",""}))</f>
        <v>39799</v>
      </c>
      <c r="F18" s="64">
        <f>1/8*(SUMIFS($Z$60:$Z$317,$D$60:$D$317,Table!$D$3)-SUM(SUMIFS($Z$60:$Z$317,$D$60:$D$317,Table!$D$3,$AA$60:$AA$317,{"Ongoing","N/A",""})))</f>
        <v>75.523749999999993</v>
      </c>
      <c r="G18" s="60">
        <f>IF(ISERROR(E18/(F18)),"N/A",E18/F18)</f>
        <v>526.97330310001826</v>
      </c>
      <c r="H18" s="139">
        <f t="shared" si="3"/>
        <v>0.89933113390879915</v>
      </c>
      <c r="I18" s="129">
        <f>SUM(I4:I17)</f>
        <v>0</v>
      </c>
      <c r="J18" s="3">
        <f>SUM(J4:J17)</f>
        <v>39799</v>
      </c>
      <c r="K18" s="60">
        <f ca="1">AVERAGE(K4:K17)</f>
        <v>349.11403508771929</v>
      </c>
      <c r="O18" s="63" t="s">
        <v>30</v>
      </c>
      <c r="P18" s="66">
        <f ca="1">Template_Total_Report!B24</f>
        <v>20</v>
      </c>
    </row>
    <row r="19" spans="2:18">
      <c r="O19" s="63" t="s">
        <v>127</v>
      </c>
      <c r="P19" s="66">
        <f>Template_Total_Report!B25</f>
        <v>1</v>
      </c>
      <c r="Q19" s="67"/>
    </row>
    <row r="20" spans="2:18">
      <c r="O20" s="63" t="s">
        <v>101</v>
      </c>
      <c r="P20" s="23">
        <f ca="1">Template_Total_Report!B26</f>
        <v>19</v>
      </c>
    </row>
    <row r="21" spans="2:18">
      <c r="B21" s="63" t="s">
        <v>48</v>
      </c>
    </row>
    <row r="22" spans="2:18">
      <c r="B22" s="56" t="s">
        <v>0</v>
      </c>
      <c r="C22" s="56" t="s">
        <v>8</v>
      </c>
      <c r="D22" s="56" t="s">
        <v>176</v>
      </c>
      <c r="E22" s="56" t="s">
        <v>50</v>
      </c>
      <c r="F22" s="56" t="s">
        <v>122</v>
      </c>
      <c r="G22" s="56" t="s">
        <v>22</v>
      </c>
      <c r="H22" s="57" t="s">
        <v>24</v>
      </c>
      <c r="I22" s="128" t="s">
        <v>180</v>
      </c>
      <c r="J22" s="2" t="s">
        <v>181</v>
      </c>
      <c r="K22" s="2" t="s">
        <v>22</v>
      </c>
    </row>
    <row r="23" spans="2:18">
      <c r="B23" s="58">
        <v>1</v>
      </c>
      <c r="C23" s="71" t="s">
        <v>6</v>
      </c>
      <c r="D23" s="60">
        <f>SUMIFS($W$60:$W$317,$D$60:$D$317,Table!$C$3,$S$60:$S$317,C23)</f>
        <v>0</v>
      </c>
      <c r="E23" s="60">
        <f>SUMIFS($X$60:$X$317,$D$60:$D$317,Table!$C$3,$S$60:$S$317,C23)-SUM(SUMIFS($X$60:$X$317,$D$60:$D$317,Table!$C$3,$S$60:$S$317,C23,$AA$60:$AA$317,{"Ongoing","N/A",""}))</f>
        <v>0</v>
      </c>
      <c r="F23" s="60">
        <f>1/8*(SUMIFS($Z$60:$Z$317,$D$60:$D$317,Table!$C$3,$S$60:$S$317,C23)-SUM(SUMIFS($Z$60:$Z$317,$D$60:$D$317,Table!$C$3,$S$60:$S$317,C23,$AA$60:$AA$317,{"Ongoing","N/A",""})))</f>
        <v>0</v>
      </c>
      <c r="G23" s="60" t="str">
        <f>IF(ISERROR(E23/(F23)),"N/A",E23/F23)</f>
        <v>N/A</v>
      </c>
      <c r="H23" s="139" t="str">
        <f>IF(ISERROR(E23/D23),"N/A",E23/D23)</f>
        <v>N/A</v>
      </c>
      <c r="I23" s="129">
        <v>0</v>
      </c>
      <c r="J23" s="3">
        <f t="shared" ref="J23:J36" si="8">E23-I23</f>
        <v>0</v>
      </c>
      <c r="K23" s="60" t="str">
        <f t="shared" ref="K23:K36" si="9">IF(J23&lt;&gt;0,J23/$P$20,G23)</f>
        <v>N/A</v>
      </c>
      <c r="M23" s="65"/>
    </row>
    <row r="24" spans="2:18">
      <c r="B24" s="58">
        <v>2</v>
      </c>
      <c r="C24" s="227" t="s">
        <v>61</v>
      </c>
      <c r="D24" s="60">
        <f>SUMIFS($W$60:$W$317,$D$60:$D$317,Table!$C$3,$S$60:$S$317,C24)</f>
        <v>0</v>
      </c>
      <c r="E24" s="60">
        <f>SUMIFS($X$60:$X$317,$D$60:$D$317,Table!$C$3,$S$60:$S$317,C24)-SUM(SUMIFS($X$60:$X$317,$D$60:$D$317,Table!$C$3,$S$60:$S$317,C24,$AA$60:$AA$317,{"Ongoing","N/A",""}))</f>
        <v>0</v>
      </c>
      <c r="F24" s="60">
        <f>1/8*(SUMIFS($Z$60:$Z$317,$D$60:$D$317,Table!$C$3,$S$60:$S$317,C24)-SUM(SUMIFS($Z$60:$Z$317,$D$60:$D$317,Table!$C$3,$S$60:$S$317,C24,$AA$60:$AA$317,{"Ongoing","N/A",""})))</f>
        <v>0</v>
      </c>
      <c r="G24" s="60" t="str">
        <f t="shared" ref="G24:G37" si="10">IF(ISERROR(E24/(F24)),"N/A",E24/F24)</f>
        <v>N/A</v>
      </c>
      <c r="H24" s="139" t="str">
        <f t="shared" ref="H24:H37" si="11">IF(ISERROR(E24/D24),"N/A",E24/D24)</f>
        <v>N/A</v>
      </c>
      <c r="I24" s="129">
        <v>0</v>
      </c>
      <c r="J24" s="3">
        <f t="shared" si="8"/>
        <v>0</v>
      </c>
      <c r="K24" s="60" t="str">
        <f t="shared" si="9"/>
        <v>N/A</v>
      </c>
    </row>
    <row r="25" spans="2:18">
      <c r="B25" s="58">
        <v>3</v>
      </c>
      <c r="C25" s="227" t="s">
        <v>62</v>
      </c>
      <c r="D25" s="60">
        <f>SUMIFS($W$60:$W$317,$D$60:$D$317,Table!$C$3,$S$60:$S$317,C25)</f>
        <v>0</v>
      </c>
      <c r="E25" s="60">
        <f>SUMIFS($X$60:$X$317,$D$60:$D$317,Table!$C$3,$S$60:$S$317,C25)-SUM(SUMIFS($X$60:$X$317,$D$60:$D$317,Table!$C$3,$S$60:$S$317,C25,$AA$60:$AA$317,{"Ongoing","N/A",""}))</f>
        <v>0</v>
      </c>
      <c r="F25" s="60">
        <f>1/8*(SUMIFS($Z$60:$Z$317,$D$60:$D$317,Table!$C$3,$S$60:$S$317,C25)-SUM(SUMIFS($Z$60:$Z$317,$D$60:$D$317,Table!$C$3,$S$60:$S$317,C25,$AA$60:$AA$317,{"Ongoing","N/A",""})))</f>
        <v>0</v>
      </c>
      <c r="G25" s="60"/>
      <c r="H25" s="139" t="str">
        <f t="shared" si="11"/>
        <v>N/A</v>
      </c>
      <c r="I25" s="129">
        <v>0</v>
      </c>
      <c r="J25" s="3">
        <f t="shared" si="8"/>
        <v>0</v>
      </c>
      <c r="K25" s="60">
        <f t="shared" si="9"/>
        <v>0</v>
      </c>
      <c r="L25" s="67"/>
    </row>
    <row r="26" spans="2:18">
      <c r="B26" s="58">
        <v>4</v>
      </c>
      <c r="C26" s="71" t="s">
        <v>63</v>
      </c>
      <c r="D26" s="60">
        <f>SUMIFS($W$60:$W$317,$D$60:$D$317,Table!$C$3,$S$60:$S$317,C26)</f>
        <v>0</v>
      </c>
      <c r="E26" s="60">
        <f>SUMIFS($X$60:$X$317,$D$60:$D$317,Table!$C$3,$S$60:$S$317,C26)-SUM(SUMIFS($X$60:$X$317,$D$60:$D$317,Table!$C$3,$S$60:$S$317,C26,$AA$60:$AA$317,{"Ongoing","N/A",""}))</f>
        <v>0</v>
      </c>
      <c r="F26" s="60">
        <f>1/8*(SUMIFS($Z$60:$Z$317,$D$60:$D$317,Table!$C$3,$S$60:$S$317,C26)-SUM(SUMIFS($Z$60:$Z$317,$D$60:$D$317,Table!$C$3,$S$60:$S$317,C26,$AA$60:$AA$317,{"Ongoing","N/A",""})))</f>
        <v>0</v>
      </c>
      <c r="G26" s="60" t="str">
        <f t="shared" ref="G26:G31" si="12">IF(ISERROR(E26/(F26)),"N/A",E26/F26)</f>
        <v>N/A</v>
      </c>
      <c r="H26" s="139" t="str">
        <f t="shared" si="11"/>
        <v>N/A</v>
      </c>
      <c r="I26" s="129">
        <v>0</v>
      </c>
      <c r="J26" s="3">
        <f t="shared" si="8"/>
        <v>0</v>
      </c>
      <c r="K26" s="60" t="str">
        <f t="shared" si="9"/>
        <v>N/A</v>
      </c>
    </row>
    <row r="27" spans="2:18">
      <c r="B27" s="58">
        <v>5</v>
      </c>
      <c r="C27" s="238" t="s">
        <v>179</v>
      </c>
      <c r="D27" s="60">
        <f>SUMIFS($W$60:$W$317,$D$60:$D$317,Table!$C$3,$S$60:$S$317,C27)</f>
        <v>814</v>
      </c>
      <c r="E27" s="60">
        <f>SUMIFS($X$60:$X$317,$D$60:$D$317,Table!$C$3,$S$60:$S$317,C27)-SUM(SUMIFS($X$60:$X$317,$D$60:$D$317,Table!$C$3,$S$60:$S$317,C27,$AA$60:$AA$317,{"Ongoing","N/A",""}))</f>
        <v>814</v>
      </c>
      <c r="F27" s="60">
        <f>1/8*(SUMIFS($Z$60:$Z$317,$D$60:$D$317,Table!$C$3,$S$60:$S$317,C27)-SUM(SUMIFS($Z$60:$Z$317,$D$60:$D$317,Table!$C$3,$S$60:$S$317,C27,$AA$60:$AA$317,{"Ongoing","N/A",""})))</f>
        <v>4.875</v>
      </c>
      <c r="G27" s="60">
        <f t="shared" si="12"/>
        <v>166.97435897435898</v>
      </c>
      <c r="H27" s="139">
        <f t="shared" si="11"/>
        <v>1</v>
      </c>
      <c r="I27" s="129">
        <v>40</v>
      </c>
      <c r="J27" s="3">
        <f t="shared" si="8"/>
        <v>774</v>
      </c>
      <c r="K27" s="60">
        <f t="shared" ca="1" si="9"/>
        <v>40.736842105263158</v>
      </c>
    </row>
    <row r="28" spans="2:18">
      <c r="B28" s="58">
        <v>6</v>
      </c>
      <c r="C28" s="68" t="s">
        <v>64</v>
      </c>
      <c r="D28" s="60">
        <f>SUMIFS($W$60:$W$317,$D$60:$D$317,Table!$C$3,$S$60:$S$317,C28)</f>
        <v>357</v>
      </c>
      <c r="E28" s="60">
        <f>SUMIFS($X$60:$X$317,$D$60:$D$317,Table!$C$3,$S$60:$S$317,C28)-SUM(SUMIFS($X$60:$X$317,$D$60:$D$317,Table!$C$3,$S$60:$S$317,C28,$AA$60:$AA$317,{"Ongoing","N/A",""}))</f>
        <v>357</v>
      </c>
      <c r="F28" s="60">
        <f>1/8*(SUMIFS($Z$60:$Z$317,$D$60:$D$317,Table!$C$3,$S$60:$S$317,C28)-SUM(SUMIFS($Z$60:$Z$317,$D$60:$D$317,Table!$C$3,$S$60:$S$317,C28,$AA$60:$AA$317,{"Ongoing","N/A",""})))</f>
        <v>12.875</v>
      </c>
      <c r="G28" s="60">
        <f t="shared" si="12"/>
        <v>27.728155339805824</v>
      </c>
      <c r="H28" s="139">
        <f t="shared" si="11"/>
        <v>1</v>
      </c>
      <c r="I28" s="129">
        <f>211</f>
        <v>211</v>
      </c>
      <c r="J28" s="3">
        <f t="shared" si="8"/>
        <v>146</v>
      </c>
      <c r="K28" s="60">
        <f t="shared" ca="1" si="9"/>
        <v>7.6842105263157894</v>
      </c>
    </row>
    <row r="29" spans="2:18">
      <c r="B29" s="58">
        <v>7</v>
      </c>
      <c r="C29" s="71" t="s">
        <v>65</v>
      </c>
      <c r="D29" s="60">
        <f>SUMIFS($W$60:$W$317,$D$60:$D$317,Table!$C$3,$S$60:$S$317,C29)</f>
        <v>408</v>
      </c>
      <c r="E29" s="60">
        <f>SUMIFS($X$60:$X$317,$D$60:$D$317,Table!$C$3,$S$60:$S$317,C29)-SUM(SUMIFS($X$60:$X$317,$D$60:$D$317,Table!$C$3,$S$60:$S$317,C29,$AA$60:$AA$317,{"Ongoing","N/A",""}))</f>
        <v>408</v>
      </c>
      <c r="F29" s="60">
        <f>1/8*(SUMIFS($Z$60:$Z$317,$D$60:$D$317,Table!$C$3,$S$60:$S$317,C29)-SUM(SUMIFS($Z$60:$Z$317,$D$60:$D$317,Table!$C$3,$S$60:$S$317,C29,$AA$60:$AA$317,{"Ongoing","N/A",""})))</f>
        <v>3.1362499999999995</v>
      </c>
      <c r="G29" s="60">
        <f t="shared" si="12"/>
        <v>130.09166998804307</v>
      </c>
      <c r="H29" s="139">
        <f t="shared" si="11"/>
        <v>1</v>
      </c>
      <c r="I29" s="129">
        <v>367</v>
      </c>
      <c r="J29" s="3">
        <f t="shared" si="8"/>
        <v>41</v>
      </c>
      <c r="K29" s="60">
        <f t="shared" ca="1" si="9"/>
        <v>2.1578947368421053</v>
      </c>
    </row>
    <row r="30" spans="2:18">
      <c r="B30" s="58">
        <v>8</v>
      </c>
      <c r="C30" s="71" t="s">
        <v>66</v>
      </c>
      <c r="D30" s="60">
        <f>SUMIFS($W$60:$W$317,$D$60:$D$317,Table!$C$3,$S$60:$S$317,C30)</f>
        <v>110</v>
      </c>
      <c r="E30" s="60">
        <f>SUMIFS($X$60:$X$317,$D$60:$D$317,Table!$C$3,$S$60:$S$317,C30)-SUM(SUMIFS($X$60:$X$317,$D$60:$D$317,Table!$C$3,$S$60:$S$317,C30,$AA$60:$AA$317,{"Ongoing","N/A",""}))</f>
        <v>110</v>
      </c>
      <c r="F30" s="60">
        <f>1/8*(SUMIFS($Z$60:$Z$317,$D$60:$D$317,Table!$C$3,$S$60:$S$317,C30)-SUM(SUMIFS($Z$60:$Z$317,$D$60:$D$317,Table!$C$3,$S$60:$S$317,C30,$AA$60:$AA$317,{"Ongoing","N/A",""})))</f>
        <v>0.84499999999999997</v>
      </c>
      <c r="G30" s="60">
        <f t="shared" si="12"/>
        <v>130.17751479289942</v>
      </c>
      <c r="H30" s="139">
        <f t="shared" si="11"/>
        <v>1</v>
      </c>
      <c r="I30" s="129">
        <v>110</v>
      </c>
      <c r="J30" s="3">
        <f t="shared" si="8"/>
        <v>0</v>
      </c>
      <c r="K30" s="60">
        <f t="shared" si="9"/>
        <v>130.17751479289942</v>
      </c>
    </row>
    <row r="31" spans="2:18">
      <c r="B31" s="58">
        <v>9</v>
      </c>
      <c r="C31" s="59" t="s">
        <v>132</v>
      </c>
      <c r="D31" s="60">
        <f>SUMIFS($W$60:$W$317,$D$60:$D$317,Table!$C$3,$S$60:$S$317,C31)</f>
        <v>0</v>
      </c>
      <c r="E31" s="60">
        <f>SUMIFS($X$60:$X$317,$D$60:$D$317,Table!$C$3,$S$60:$S$317,C31)-SUM(SUMIFS($X$60:$X$317,$D$60:$D$317,Table!$C$3,$S$60:$S$317,C31,$AA$60:$AA$317,{"Ongoing","N/A",""}))</f>
        <v>0</v>
      </c>
      <c r="F31" s="60">
        <f>1/8*(SUMIFS($Z$60:$Z$317,$D$60:$D$317,Table!$C$3,$S$60:$S$317,C31)-SUM(SUMIFS($Z$60:$Z$317,$D$60:$D$317,Table!$C$3,$S$60:$S$317,C31,$AA$60:$AA$317,{"Ongoing","N/A",""})))</f>
        <v>0</v>
      </c>
      <c r="G31" s="60" t="str">
        <f t="shared" si="12"/>
        <v>N/A</v>
      </c>
      <c r="H31" s="139" t="str">
        <f t="shared" si="11"/>
        <v>N/A</v>
      </c>
      <c r="I31" s="129">
        <v>0</v>
      </c>
      <c r="J31" s="3">
        <f t="shared" si="8"/>
        <v>0</v>
      </c>
      <c r="K31" s="60" t="str">
        <f t="shared" si="9"/>
        <v>N/A</v>
      </c>
    </row>
    <row r="32" spans="2:18">
      <c r="B32" s="58">
        <v>10</v>
      </c>
      <c r="C32" s="71" t="s">
        <v>133</v>
      </c>
      <c r="D32" s="60">
        <f>SUMIFS($W$60:$W$317,$D$60:$D$317,Table!$C$3,$S$60:$S$317,C32)</f>
        <v>0</v>
      </c>
      <c r="E32" s="60">
        <f>SUMIFS($X$60:$X$317,$D$60:$D$317,Table!$C$3,$S$60:$S$317,C32)-SUM(SUMIFS($X$60:$X$317,$D$60:$D$317,Table!$C$3,$S$60:$S$317,C32,$AA$60:$AA$317,{"Ongoing","N/A",""}))</f>
        <v>0</v>
      </c>
      <c r="F32" s="60">
        <f>1/8*(SUMIFS($Z$60:$Z$317,$D$60:$D$317,Table!$C$3,$S$60:$S$317,C32)-SUM(SUMIFS($Z$60:$Z$317,$D$60:$D$317,Table!$C$3,$S$60:$S$317,C32,$AA$60:$AA$317,{"Ongoing","N/A",""})))</f>
        <v>0</v>
      </c>
      <c r="G32" s="60" t="str">
        <f t="shared" ref="G32:G36" si="13">IF(ISERROR(E32/(F32)),"N/A",E32/F32)</f>
        <v>N/A</v>
      </c>
      <c r="H32" s="139" t="str">
        <f t="shared" si="11"/>
        <v>N/A</v>
      </c>
      <c r="I32" s="129">
        <v>0</v>
      </c>
      <c r="J32" s="3">
        <f t="shared" si="8"/>
        <v>0</v>
      </c>
      <c r="K32" s="60" t="str">
        <f t="shared" si="9"/>
        <v>N/A</v>
      </c>
    </row>
    <row r="33" spans="1:14">
      <c r="B33" s="58">
        <v>11</v>
      </c>
      <c r="C33" s="59" t="s">
        <v>174</v>
      </c>
      <c r="D33" s="60">
        <f>SUMIFS($W$60:$W$317,$D$60:$D$317,Table!$C$3,$S$60:$S$317,C33)</f>
        <v>0</v>
      </c>
      <c r="E33" s="60">
        <f>SUMIFS($X$60:$X$317,$D$60:$D$317,Table!$C$3,$S$60:$S$317,C33)-SUM(SUMIFS($X$60:$X$317,$D$60:$D$317,Table!$C$3,$S$60:$S$317,C33,$AA$60:$AA$317,{"Ongoing","N/A",""}))</f>
        <v>0</v>
      </c>
      <c r="F33" s="60">
        <f>1/8*(SUMIFS($Z$60:$Z$317,$D$60:$D$317,Table!$C$3,$S$60:$S$317,C33)-SUM(SUMIFS($Z$60:$Z$317,$D$60:$D$317,Table!$C$3,$S$60:$S$317,C33,$AA$60:$AA$317,{"Ongoing","N/A",""})))</f>
        <v>0</v>
      </c>
      <c r="G33" s="60" t="str">
        <f t="shared" si="13"/>
        <v>N/A</v>
      </c>
      <c r="H33" s="139" t="str">
        <f t="shared" si="11"/>
        <v>N/A</v>
      </c>
      <c r="I33" s="129">
        <v>0</v>
      </c>
      <c r="J33" s="3">
        <f t="shared" si="8"/>
        <v>0</v>
      </c>
      <c r="K33" s="60" t="str">
        <f t="shared" si="9"/>
        <v>N/A</v>
      </c>
    </row>
    <row r="34" spans="1:14">
      <c r="B34" s="58">
        <v>12</v>
      </c>
      <c r="C34" s="68" t="s">
        <v>167</v>
      </c>
      <c r="D34" s="60">
        <f>SUMIFS($W$60:$W$317,$D$60:$D$317,Table!$C$3,$S$60:$S$317,C34)</f>
        <v>376</v>
      </c>
      <c r="E34" s="60">
        <f>SUMIFS($X$60:$X$317,$D$60:$D$317,Table!$C$3,$S$60:$S$317,C34)-SUM(SUMIFS($X$60:$X$317,$D$60:$D$317,Table!$C$3,$S$60:$S$317,C34,$AA$60:$AA$317,{"Ongoing","N/A",""}))</f>
        <v>356</v>
      </c>
      <c r="F34" s="60">
        <f>1/8*(SUMIFS($Z$60:$Z$317,$D$60:$D$317,Table!$C$3,$S$60:$S$317,C34)-SUM(SUMIFS($Z$60:$Z$317,$D$60:$D$317,Table!$C$3,$S$60:$S$317,C34,$AA$60:$AA$317,{"Ongoing","N/A",""})))</f>
        <v>3.7137500000000001</v>
      </c>
      <c r="G34" s="60">
        <f t="shared" si="13"/>
        <v>95.859979804779528</v>
      </c>
      <c r="H34" s="139">
        <f t="shared" si="11"/>
        <v>0.94680851063829785</v>
      </c>
      <c r="I34" s="129">
        <v>300</v>
      </c>
      <c r="J34" s="3">
        <f t="shared" si="8"/>
        <v>56</v>
      </c>
      <c r="K34" s="60">
        <f t="shared" ca="1" si="9"/>
        <v>2.9473684210526314</v>
      </c>
    </row>
    <row r="35" spans="1:14">
      <c r="B35" s="58">
        <v>13</v>
      </c>
      <c r="C35" s="68" t="s">
        <v>168</v>
      </c>
      <c r="D35" s="60">
        <f>SUMIFS($W$60:$W$317,$D$60:$D$317,Table!$C$3,$S$60:$S$317,C35)</f>
        <v>395</v>
      </c>
      <c r="E35" s="60">
        <f>SUMIFS($X$60:$X$317,$D$60:$D$317,Table!$C$3,$S$60:$S$317,C35)-SUM(SUMIFS($X$60:$X$317,$D$60:$D$317,Table!$C$3,$S$60:$S$317,C35,$AA$60:$AA$317,{"Ongoing","N/A",""}))</f>
        <v>395</v>
      </c>
      <c r="F35" s="60">
        <f>1/8*(SUMIFS($Z$60:$Z$317,$D$60:$D$317,Table!$C$3,$S$60:$S$317,C35)-SUM(SUMIFS($Z$60:$Z$317,$D$60:$D$317,Table!$C$3,$S$60:$S$317,C35,$AA$60:$AA$317,{"Ongoing","N/A",""})))</f>
        <v>3.8462499999999999</v>
      </c>
      <c r="G35" s="60">
        <f t="shared" si="13"/>
        <v>102.6974325641859</v>
      </c>
      <c r="H35" s="139">
        <f t="shared" si="11"/>
        <v>1</v>
      </c>
      <c r="I35" s="129">
        <v>215</v>
      </c>
      <c r="J35" s="3">
        <f t="shared" si="8"/>
        <v>180</v>
      </c>
      <c r="K35" s="60">
        <f t="shared" ca="1" si="9"/>
        <v>9.473684210526315</v>
      </c>
    </row>
    <row r="36" spans="1:14">
      <c r="B36" s="58">
        <v>14</v>
      </c>
      <c r="C36" s="68" t="s">
        <v>169</v>
      </c>
      <c r="D36" s="60">
        <f>SUMIFS($W$60:$W$317,$D$60:$D$317,Table!$C$3,$S$60:$S$317,C36)</f>
        <v>558</v>
      </c>
      <c r="E36" s="60">
        <f>SUMIFS($X$60:$X$317,$D$60:$D$317,Table!$C$3,$S$60:$S$317,C36)-SUM(SUMIFS($X$60:$X$317,$D$60:$D$317,Table!$C$3,$S$60:$S$317,C36,$AA$60:$AA$317,{"Ongoing","N/A",""}))</f>
        <v>558</v>
      </c>
      <c r="F36" s="60">
        <f>1/8*(SUMIFS($Z$60:$Z$317,$D$60:$D$317,Table!$C$3,$S$60:$S$317,C36)-SUM(SUMIFS($Z$60:$Z$317,$D$60:$D$317,Table!$C$3,$S$60:$S$317,C36,$AA$60:$AA$317,{"Ongoing","N/A",""})))</f>
        <v>5.2374999999999998</v>
      </c>
      <c r="G36" s="60">
        <f t="shared" si="13"/>
        <v>106.53937947494033</v>
      </c>
      <c r="H36" s="139">
        <f t="shared" si="11"/>
        <v>1</v>
      </c>
      <c r="I36" s="129">
        <v>256</v>
      </c>
      <c r="J36" s="3">
        <f t="shared" si="8"/>
        <v>302</v>
      </c>
      <c r="K36" s="60">
        <f t="shared" ca="1" si="9"/>
        <v>15.894736842105264</v>
      </c>
    </row>
    <row r="37" spans="1:14">
      <c r="B37" s="56" t="s">
        <v>99</v>
      </c>
      <c r="C37" s="62"/>
      <c r="D37" s="64">
        <f>ROUND(SUMIFS($W$60:$W$317,$D$60:$D$317,Table!$C$3),3)</f>
        <v>3018</v>
      </c>
      <c r="E37" s="64">
        <f>ROUND(SUMIFS($W$60:$W$317,$D$60:$D$317,Table!$C$3)-SUM(SUMIFS($W$60:$W$317,$D$60:$D$317,Table!$C$3,$AA$60:$AA$317,{"Ongoing","N/A",""})),3)</f>
        <v>2998</v>
      </c>
      <c r="F37" s="110">
        <f>1/8*(SUMIFS($Z$60:$Z$317,$D$60:$D$317,Table!$C$3)-SUM(SUMIFS($Z$60:$Z$317,$D$60:$D$317,Table!$C$3,$AA$60:$AA$317,{"Ongoing","N/A",""})))</f>
        <v>34.528750000000002</v>
      </c>
      <c r="G37" s="60">
        <f t="shared" si="10"/>
        <v>86.826195561669621</v>
      </c>
      <c r="H37" s="139">
        <f t="shared" si="11"/>
        <v>0.99337309476474489</v>
      </c>
      <c r="I37" s="3">
        <f>SUM(I23:I36)</f>
        <v>1499</v>
      </c>
      <c r="J37" s="3">
        <f>SUM(J23:J36)</f>
        <v>1499</v>
      </c>
      <c r="K37" s="60">
        <f ca="1">AVERAGE(K23:K36)</f>
        <v>26.134031454375581</v>
      </c>
      <c r="L37" s="6"/>
    </row>
    <row r="39" spans="1:14" ht="19.5" customHeight="1"/>
    <row r="40" spans="1:14">
      <c r="A40" s="1" t="s">
        <v>162</v>
      </c>
      <c r="B40" s="63" t="s">
        <v>100</v>
      </c>
    </row>
    <row r="41" spans="1:14">
      <c r="B41" s="56" t="s">
        <v>0</v>
      </c>
      <c r="C41" s="56" t="s">
        <v>8</v>
      </c>
      <c r="D41" s="56" t="s">
        <v>176</v>
      </c>
      <c r="E41" s="56" t="s">
        <v>50</v>
      </c>
      <c r="F41" s="56" t="s">
        <v>92</v>
      </c>
      <c r="G41" s="56" t="s">
        <v>22</v>
      </c>
      <c r="H41" s="57" t="s">
        <v>24</v>
      </c>
      <c r="I41" s="2" t="s">
        <v>180</v>
      </c>
      <c r="J41" s="2" t="s">
        <v>181</v>
      </c>
      <c r="K41" s="2" t="s">
        <v>22</v>
      </c>
      <c r="L41" s="74" t="s">
        <v>130</v>
      </c>
      <c r="M41" s="75" t="s">
        <v>139</v>
      </c>
    </row>
    <row r="42" spans="1:14" ht="15.75">
      <c r="B42" s="58">
        <v>1</v>
      </c>
      <c r="C42" s="71" t="s">
        <v>6</v>
      </c>
      <c r="D42" s="60">
        <f>SUM(D23*Table!$D$4/Table!$C$4,D4)</f>
        <v>0</v>
      </c>
      <c r="E42" s="60">
        <f>SUM(E23*Table!$D$4/Table!$C$4,E4)</f>
        <v>0</v>
      </c>
      <c r="F42" s="60">
        <v>0</v>
      </c>
      <c r="G42" s="60" t="str">
        <f t="shared" ref="G42" si="14">IF(ISERROR(E42/(F42)),"N/A",E42/F42)</f>
        <v>N/A</v>
      </c>
      <c r="H42" s="139" t="str">
        <f t="shared" ref="H42:H56" si="15">IF(ISERROR(E42/D42),"N/A",E42/D42)</f>
        <v>N/A</v>
      </c>
      <c r="I42" s="3">
        <v>0</v>
      </c>
      <c r="J42" s="3">
        <f>SUM(J23*Table!$D$4/Table!$C$4,J4)</f>
        <v>0</v>
      </c>
      <c r="K42" s="60" t="str">
        <f t="shared" ref="K42:K55" si="16">IF(J42&lt;&gt;0,J42/$P$20,"N/A")</f>
        <v>N/A</v>
      </c>
      <c r="L42" s="76">
        <f>COUNTIFS($S$60:$S$317,C42,$AK$60:$AK$317,Table!$C$41)</f>
        <v>0</v>
      </c>
      <c r="M42" s="76">
        <f>COUNTIFS($S$60:$S$317,C42,$AK$60:$AK$317,Table!$C$42)</f>
        <v>0</v>
      </c>
    </row>
    <row r="43" spans="1:14" ht="15.75">
      <c r="B43" s="58">
        <v>2</v>
      </c>
      <c r="C43" s="93" t="s">
        <v>61</v>
      </c>
      <c r="D43" s="60">
        <f>SUM(D24*Table!$D$4/Table!$C$4,D5)</f>
        <v>0</v>
      </c>
      <c r="E43" s="60">
        <f>SUM(E24*Table!$D$4/Table!$C$4,E5)</f>
        <v>0</v>
      </c>
      <c r="F43" s="60">
        <v>0</v>
      </c>
      <c r="G43" s="60" t="str">
        <f>IF(ISERROR(E43/(F43)),"N/A",E43/F43)</f>
        <v>N/A</v>
      </c>
      <c r="H43" s="139" t="str">
        <f t="shared" si="15"/>
        <v>N/A</v>
      </c>
      <c r="I43" s="3">
        <v>0</v>
      </c>
      <c r="J43" s="3">
        <f>SUM(J24*Table!$D$4/Table!$C$4,J5)</f>
        <v>0</v>
      </c>
      <c r="K43" s="60" t="str">
        <f t="shared" si="16"/>
        <v>N/A</v>
      </c>
      <c r="L43" s="76">
        <f>COUNTIFS($S$60:$S$317,C43,$AK$60:$AK$317,Table!$C$41)</f>
        <v>0</v>
      </c>
      <c r="M43" s="76">
        <f>COUNTIFS($S$60:$S$317,C43,$AK$60:$AK$317,Table!$C$42)</f>
        <v>0</v>
      </c>
    </row>
    <row r="44" spans="1:14" ht="15.75">
      <c r="B44" s="58">
        <v>3</v>
      </c>
      <c r="C44" s="93" t="s">
        <v>62</v>
      </c>
      <c r="D44" s="60">
        <f>SUM(D25*Table!$D$4/Table!$C$4,D6)</f>
        <v>0</v>
      </c>
      <c r="E44" s="60">
        <f>SUM(E25*Table!$D$4/Table!$C$4,E6)</f>
        <v>0</v>
      </c>
      <c r="F44" s="60">
        <v>0</v>
      </c>
      <c r="G44" s="60" t="str">
        <f t="shared" ref="G44:G50" si="17">IF(ISERROR(E44/(F44)),"N/A",E44/F44)</f>
        <v>N/A</v>
      </c>
      <c r="H44" s="139" t="str">
        <f t="shared" si="15"/>
        <v>N/A</v>
      </c>
      <c r="I44" s="3">
        <v>0</v>
      </c>
      <c r="J44" s="3">
        <f>SUM(J25*Table!$D$4/Table!$C$4,J6)</f>
        <v>0</v>
      </c>
      <c r="K44" s="60" t="str">
        <f t="shared" si="16"/>
        <v>N/A</v>
      </c>
      <c r="L44" s="76">
        <f>COUNTIFS($S$60:$S$317,C44,$AK$60:$AK$317,Table!$C$41)</f>
        <v>0</v>
      </c>
      <c r="M44" s="76">
        <f>COUNTIFS($S$60:$S$317,C44,$AK$60:$AK$317,Table!$C$42)</f>
        <v>0</v>
      </c>
    </row>
    <row r="45" spans="1:14" ht="15.75">
      <c r="B45" s="58">
        <v>4</v>
      </c>
      <c r="C45" s="71" t="s">
        <v>63</v>
      </c>
      <c r="D45" s="60">
        <f>SUM(D26*Table!$D$4/Table!$C$4,D7)</f>
        <v>0</v>
      </c>
      <c r="E45" s="60">
        <f>SUM(E26*Table!$D$4/Table!$C$4,E7)</f>
        <v>0</v>
      </c>
      <c r="F45" s="60">
        <v>0</v>
      </c>
      <c r="G45" s="60" t="str">
        <f t="shared" si="17"/>
        <v>N/A</v>
      </c>
      <c r="H45" s="139" t="str">
        <f t="shared" si="15"/>
        <v>N/A</v>
      </c>
      <c r="I45" s="3">
        <v>0</v>
      </c>
      <c r="J45" s="3">
        <f>SUM(J26*Table!$D$4/Table!$C$4,J7)</f>
        <v>0</v>
      </c>
      <c r="K45" s="60" t="str">
        <f t="shared" si="16"/>
        <v>N/A</v>
      </c>
      <c r="L45" s="76">
        <f>COUNTIFS($S$60:$S$317,C45,$AK$60:$AK$317,Table!$C$41)</f>
        <v>0</v>
      </c>
      <c r="M45" s="76">
        <f>COUNTIFS($S$60:$S$317,C45,$AK$60:$AK$317,Table!$C$42)</f>
        <v>0</v>
      </c>
    </row>
    <row r="46" spans="1:14" ht="16.5" customHeight="1">
      <c r="B46" s="58">
        <v>5</v>
      </c>
      <c r="C46" s="68" t="s">
        <v>179</v>
      </c>
      <c r="D46" s="60">
        <f>SUM(D27*Table!$D$4/Table!$C$4,D8)</f>
        <v>12559.692307692309</v>
      </c>
      <c r="E46" s="60">
        <f>SUM(E27*Table!$D$4/Table!$C$4,E8)</f>
        <v>11792.692307692309</v>
      </c>
      <c r="F46" s="60">
        <f t="shared" ref="F46:F55" ca="1" si="18">$P$20</f>
        <v>19</v>
      </c>
      <c r="G46" s="60">
        <f t="shared" ca="1" si="17"/>
        <v>620.66801619433204</v>
      </c>
      <c r="H46" s="139">
        <f t="shared" si="15"/>
        <v>0.93893162497856386</v>
      </c>
      <c r="I46" s="3">
        <v>138.46153846153845</v>
      </c>
      <c r="J46" s="3">
        <f>SUM(J27*Table!$D$4/Table!$C$4,J8)</f>
        <v>11654.23076923077</v>
      </c>
      <c r="K46" s="60">
        <f t="shared" ca="1" si="16"/>
        <v>613.38056680161947</v>
      </c>
      <c r="L46" s="76">
        <f>COUNTIFS($S$60:$S$317,C46,$AK$60:$AK$317,Table!$C$41)</f>
        <v>7</v>
      </c>
      <c r="M46" s="76">
        <f>COUNTIFS($S$60:$S$317,C46,$AK$60:$AK$317,Table!$C$42)</f>
        <v>1</v>
      </c>
      <c r="N46" s="5"/>
    </row>
    <row r="47" spans="1:14" ht="15.75">
      <c r="B47" s="58">
        <v>6</v>
      </c>
      <c r="C47" s="68" t="s">
        <v>64</v>
      </c>
      <c r="D47" s="60">
        <f>SUM(D28*Table!$D$4/Table!$C$4,D9)</f>
        <v>9243.7692307692305</v>
      </c>
      <c r="E47" s="60">
        <f>SUM(E28*Table!$D$4/Table!$C$4,E9)</f>
        <v>8381.7692307692305</v>
      </c>
      <c r="F47" s="60">
        <f t="shared" ca="1" si="18"/>
        <v>19</v>
      </c>
      <c r="G47" s="60">
        <f t="shared" ca="1" si="17"/>
        <v>441.14574898785423</v>
      </c>
      <c r="H47" s="139">
        <f>IF(ISERROR(E47/D47),"N/A",E47/D47)</f>
        <v>0.90674799657149519</v>
      </c>
      <c r="I47" s="3">
        <v>1111.1538461538462</v>
      </c>
      <c r="J47" s="3">
        <f>SUM(J28*Table!$D$4/Table!$C$4,J9)</f>
        <v>7651.3846153846152</v>
      </c>
      <c r="K47" s="60">
        <f t="shared" ca="1" si="16"/>
        <v>402.70445344129553</v>
      </c>
      <c r="L47" s="76">
        <f>COUNTIFS($S$60:$S$317,C47,$AK$60:$AK$317,Table!$C$41)</f>
        <v>8</v>
      </c>
      <c r="M47" s="76">
        <f>COUNTIFS($S$60:$S$317,C47,$AK$60:$AK$317,Table!$C$42)</f>
        <v>1</v>
      </c>
      <c r="N47" s="79"/>
    </row>
    <row r="48" spans="1:14" ht="15.75">
      <c r="A48" t="s">
        <v>171</v>
      </c>
      <c r="B48" s="58">
        <v>7</v>
      </c>
      <c r="C48" s="71" t="s">
        <v>65</v>
      </c>
      <c r="D48" s="60">
        <f>SUM(D29*Table!$D$4/Table!$C$4,D10)</f>
        <v>3778.3076923076924</v>
      </c>
      <c r="E48" s="60">
        <f>SUM(E29*Table!$D$4/Table!$C$4,E10)</f>
        <v>3778.3076923076924</v>
      </c>
      <c r="F48" s="60">
        <f t="shared" ca="1" si="18"/>
        <v>19</v>
      </c>
      <c r="G48" s="60">
        <f t="shared" ca="1" si="17"/>
        <v>198.85829959514172</v>
      </c>
      <c r="H48" s="139">
        <f t="shared" si="15"/>
        <v>1</v>
      </c>
      <c r="I48" s="3">
        <v>1448.3846153846155</v>
      </c>
      <c r="J48" s="3">
        <f>SUM(J29*Table!$D$4/Table!$C$4,J10)</f>
        <v>2507.9230769230771</v>
      </c>
      <c r="K48" s="60">
        <f t="shared" ca="1" si="16"/>
        <v>131.99595141700405</v>
      </c>
      <c r="L48" s="76">
        <f>COUNTIFS($S$60:$S$317,C48,$AK$60:$AK$317,Table!$C$41)</f>
        <v>5</v>
      </c>
      <c r="M48" s="76">
        <f>COUNTIFS($S$60:$S$317,C48,$AK$60:$AK$317,Table!$C$42)</f>
        <v>1</v>
      </c>
      <c r="N48" s="5"/>
    </row>
    <row r="49" spans="2:40" ht="15.75">
      <c r="B49" s="58">
        <v>8</v>
      </c>
      <c r="C49" s="71" t="s">
        <v>66</v>
      </c>
      <c r="D49" s="60">
        <f>SUM(D30*Table!$D$4/Table!$C$4,D11)</f>
        <v>380.76923076923077</v>
      </c>
      <c r="E49" s="60">
        <f>SUM(E30*Table!$D$4/Table!$C$4,E11)</f>
        <v>380.76923076923077</v>
      </c>
      <c r="F49" s="60">
        <f t="shared" ca="1" si="18"/>
        <v>19</v>
      </c>
      <c r="G49" s="60">
        <f ca="1">IF(ISERROR(E49/(F49)),"N/A",E49/F49)</f>
        <v>20.040485829959515</v>
      </c>
      <c r="H49" s="139">
        <f t="shared" si="15"/>
        <v>1</v>
      </c>
      <c r="I49" s="3">
        <v>380.76923076923077</v>
      </c>
      <c r="J49" s="3">
        <f>SUM(J30*Table!$D$4/Table!$C$4,J11)</f>
        <v>0</v>
      </c>
      <c r="K49" s="60" t="str">
        <f t="shared" si="16"/>
        <v>N/A</v>
      </c>
      <c r="L49" s="76">
        <f>COUNTIFS($S$60:$S$317,C49,$AK$60:$AK$317,Table!$C$41)</f>
        <v>1</v>
      </c>
      <c r="M49" s="76">
        <f>COUNTIFS($S$60:$S$317,C49,$AK$60:$AK$317,Table!$C$42)</f>
        <v>0</v>
      </c>
    </row>
    <row r="50" spans="2:40" ht="15.75">
      <c r="B50" s="58">
        <v>9</v>
      </c>
      <c r="C50" s="59" t="s">
        <v>132</v>
      </c>
      <c r="D50" s="60">
        <f>SUM(D31*Table!$D$4/Table!$C$4,D12)</f>
        <v>0</v>
      </c>
      <c r="E50" s="60">
        <f>SUM(E31*Table!$D$4/Table!$C$4,E12)</f>
        <v>0</v>
      </c>
      <c r="F50" s="60">
        <v>0</v>
      </c>
      <c r="G50" s="60" t="str">
        <f t="shared" si="17"/>
        <v>N/A</v>
      </c>
      <c r="H50" s="139" t="str">
        <f t="shared" si="15"/>
        <v>N/A</v>
      </c>
      <c r="I50" s="3">
        <v>0</v>
      </c>
      <c r="J50" s="3">
        <f>SUM(J31*Table!$D$4/Table!$C$4,J12)</f>
        <v>0</v>
      </c>
      <c r="K50" s="60" t="str">
        <f t="shared" si="16"/>
        <v>N/A</v>
      </c>
      <c r="L50" s="76">
        <f>COUNTIFS($S$60:$S$317,C50,$AK$60:$AK$317,Table!$C$41)</f>
        <v>0</v>
      </c>
      <c r="M50" s="76">
        <f>COUNTIFS($S$60:$S$317,C50,$AK$60:$AK$317,Table!$C$42)</f>
        <v>0</v>
      </c>
    </row>
    <row r="51" spans="2:40" ht="15.75">
      <c r="B51" s="58">
        <v>10</v>
      </c>
      <c r="C51" s="71" t="s">
        <v>133</v>
      </c>
      <c r="D51" s="60">
        <f>SUM(D32*Table!$D$4/Table!$C$4,D13)</f>
        <v>0</v>
      </c>
      <c r="E51" s="60">
        <f>SUM(E32*Table!$D$4/Table!$C$4,E13)</f>
        <v>0</v>
      </c>
      <c r="F51" s="60">
        <v>0</v>
      </c>
      <c r="G51" s="60" t="str">
        <f t="shared" ref="G51:G55" si="19">IF(ISERROR(E51/(F51)),"N/A",E51/F51)</f>
        <v>N/A</v>
      </c>
      <c r="H51" s="139" t="str">
        <f t="shared" si="15"/>
        <v>N/A</v>
      </c>
      <c r="I51" s="3">
        <v>0</v>
      </c>
      <c r="J51" s="3">
        <f>SUM(J32*Table!$D$4/Table!$C$4,J13)</f>
        <v>0</v>
      </c>
      <c r="K51" s="60" t="str">
        <f t="shared" si="16"/>
        <v>N/A</v>
      </c>
      <c r="L51" s="76">
        <f>COUNTIFS($S$60:$S$317,C51,$AK$60:$AK$317,Table!$C$41)</f>
        <v>0</v>
      </c>
      <c r="M51" s="76">
        <f>COUNTIFS($S$60:$S$317,C51,$AK$60:$AK$317,Table!$C$42)</f>
        <v>0</v>
      </c>
    </row>
    <row r="52" spans="2:40" ht="15.75">
      <c r="B52" s="58">
        <v>11</v>
      </c>
      <c r="C52" s="59" t="s">
        <v>174</v>
      </c>
      <c r="D52" s="60">
        <f>SUM(D33*Table!$D$4/Table!$C$4,D14)</f>
        <v>0</v>
      </c>
      <c r="E52" s="60">
        <f>SUM(E33*Table!$D$4/Table!$C$4,E14)</f>
        <v>0</v>
      </c>
      <c r="F52" s="60">
        <v>0</v>
      </c>
      <c r="G52" s="60" t="str">
        <f t="shared" si="19"/>
        <v>N/A</v>
      </c>
      <c r="H52" s="139" t="str">
        <f t="shared" si="15"/>
        <v>N/A</v>
      </c>
      <c r="I52" s="3">
        <v>0</v>
      </c>
      <c r="J52" s="3">
        <f>SUM(J33*Table!$D$4/Table!$C$4,J14)</f>
        <v>0</v>
      </c>
      <c r="K52" s="60" t="str">
        <f t="shared" si="16"/>
        <v>N/A</v>
      </c>
      <c r="L52" s="76">
        <f>COUNTIFS($S$60:$S$317,C52,$AK$60:$AK$317,Table!$C$41)</f>
        <v>0</v>
      </c>
      <c r="M52" s="76">
        <f>COUNTIFS($S$60:$S$317,C52,$AK$60:$AK$317,Table!$C$42)</f>
        <v>0</v>
      </c>
    </row>
    <row r="53" spans="2:40" ht="15.75">
      <c r="B53" s="58">
        <v>12</v>
      </c>
      <c r="C53" s="68" t="s">
        <v>167</v>
      </c>
      <c r="D53" s="60">
        <f>SUM(D34*Table!$D$4/Table!$C$4,D15)</f>
        <v>10023.538461538461</v>
      </c>
      <c r="E53" s="60">
        <f>SUM(E34*Table!$D$4/Table!$C$4,E15)</f>
        <v>9122.3076923076915</v>
      </c>
      <c r="F53" s="60">
        <f t="shared" ca="1" si="18"/>
        <v>19</v>
      </c>
      <c r="G53" s="60">
        <f t="shared" ca="1" si="19"/>
        <v>480.12145748987848</v>
      </c>
      <c r="H53" s="139">
        <f t="shared" si="15"/>
        <v>0.91008856077233591</v>
      </c>
      <c r="I53" s="3">
        <v>1038.4615384615386</v>
      </c>
      <c r="J53" s="3">
        <f>SUM(J34*Table!$D$4/Table!$C$4,J15)</f>
        <v>8083.8461538461543</v>
      </c>
      <c r="K53" s="60">
        <f t="shared" ca="1" si="16"/>
        <v>425.46558704453446</v>
      </c>
      <c r="L53" s="76">
        <f>COUNTIFS($S$60:$S$317,C53,$AK$60:$AK$317,Table!$C$41)</f>
        <v>7</v>
      </c>
      <c r="M53" s="76">
        <f>COUNTIFS($S$60:$S$317,C53,$AK$60:$AK$317,Table!$C$42)</f>
        <v>1</v>
      </c>
    </row>
    <row r="54" spans="2:40" ht="15.75">
      <c r="B54" s="58">
        <v>13</v>
      </c>
      <c r="C54" s="68" t="s">
        <v>168</v>
      </c>
      <c r="D54" s="60">
        <f>SUM(D35*Table!$D$4/Table!$C$4,D16)</f>
        <v>9468.3076923076915</v>
      </c>
      <c r="E54" s="60">
        <f>SUM(E35*Table!$D$4/Table!$C$4,E16)</f>
        <v>8733.3076923076915</v>
      </c>
      <c r="F54" s="60">
        <f t="shared" ca="1" si="18"/>
        <v>19</v>
      </c>
      <c r="G54" s="60">
        <f t="shared" ca="1" si="19"/>
        <v>459.64777327935218</v>
      </c>
      <c r="H54" s="139">
        <f t="shared" si="15"/>
        <v>0.92237261146496818</v>
      </c>
      <c r="I54" s="3">
        <v>744.23076923076928</v>
      </c>
      <c r="J54" s="3">
        <f>SUM(J35*Table!$D$4/Table!$C$4,J16)</f>
        <v>7989.0769230769229</v>
      </c>
      <c r="K54" s="60">
        <f t="shared" ca="1" si="16"/>
        <v>420.47773279352225</v>
      </c>
      <c r="L54" s="76">
        <f>COUNTIFS($S$60:$S$317,C54,$AK$60:$AK$317,Table!$C$41)</f>
        <v>7</v>
      </c>
      <c r="M54" s="76">
        <f>COUNTIFS($S$60:$S$317,C54,$AK$60:$AK$317,Table!$C$42)</f>
        <v>0</v>
      </c>
      <c r="W54" s="104"/>
    </row>
    <row r="55" spans="2:40" ht="15.75">
      <c r="B55" s="58">
        <v>14</v>
      </c>
      <c r="C55" s="68" t="s">
        <v>169</v>
      </c>
      <c r="D55" s="60">
        <f>SUM(D36*Table!$D$4/Table!$C$4,D17)</f>
        <v>9246.538461538461</v>
      </c>
      <c r="E55" s="60">
        <f>SUM(E36*Table!$D$4/Table!$C$4,E17)</f>
        <v>7987.538461538461</v>
      </c>
      <c r="F55" s="60">
        <f t="shared" ca="1" si="18"/>
        <v>19</v>
      </c>
      <c r="G55" s="60">
        <f t="shared" ca="1" si="19"/>
        <v>420.39676113360321</v>
      </c>
      <c r="H55" s="139">
        <f t="shared" si="15"/>
        <v>0.86384093839690523</v>
      </c>
      <c r="I55" s="3">
        <v>886.15384615384619</v>
      </c>
      <c r="J55" s="3">
        <f>SUM(J36*Table!$D$4/Table!$C$4,J17)</f>
        <v>7101.3846153846152</v>
      </c>
      <c r="K55" s="60">
        <f t="shared" ca="1" si="16"/>
        <v>373.75708502024293</v>
      </c>
      <c r="L55" s="76">
        <f>COUNTIFS($S$60:$S$317,C55,$AK$60:$AK$317,Table!$C$41)</f>
        <v>5</v>
      </c>
      <c r="M55" s="76">
        <f>COUNTIFS($S$60:$S$317,C55,$AK$60:$AK$317,Table!$C$42)</f>
        <v>0</v>
      </c>
      <c r="W55" s="5"/>
    </row>
    <row r="56" spans="2:40" ht="15.75">
      <c r="B56" s="56" t="s">
        <v>99</v>
      </c>
      <c r="C56" s="62"/>
      <c r="D56" s="60">
        <f>SUM(D42:D55)</f>
        <v>54700.923076923071</v>
      </c>
      <c r="E56" s="60">
        <f>SUM(E42:E55)</f>
        <v>50176.692307692305</v>
      </c>
      <c r="F56" s="60">
        <f ca="1">$P$20*COUNTA(C42:C55)</f>
        <v>266</v>
      </c>
      <c r="G56" s="60">
        <f ca="1">IF(ISERROR(E56/(F56)),"N/A",E56/F56)</f>
        <v>188.6341816078658</v>
      </c>
      <c r="H56" s="139">
        <f t="shared" si="15"/>
        <v>0.91729150963561301</v>
      </c>
      <c r="I56" s="3">
        <f>SUM(I37*Table!$D$4/Table!$C$4,I18)</f>
        <v>5188.8461538461543</v>
      </c>
      <c r="J56" s="3">
        <f>SUM(J37*Table!$D$4/Table!$C$4,J18)</f>
        <v>44987.846153846156</v>
      </c>
      <c r="K56" s="60">
        <f ca="1">AVERAGE(K42:K55)</f>
        <v>394.63022941970308</v>
      </c>
      <c r="L56" s="76">
        <f>SUM(L42:L55)</f>
        <v>40</v>
      </c>
      <c r="M56" s="76">
        <f>SUM(M42:M55)</f>
        <v>4</v>
      </c>
      <c r="V56" s="104"/>
      <c r="W56" s="104"/>
      <c r="X56" s="5"/>
      <c r="Y56" s="5"/>
      <c r="Z56" s="5"/>
    </row>
    <row r="59" spans="2:40">
      <c r="B59" s="51" t="s">
        <v>0</v>
      </c>
      <c r="C59" s="51" t="s">
        <v>60</v>
      </c>
      <c r="D59" s="51" t="s">
        <v>1</v>
      </c>
      <c r="E59" s="51" t="s">
        <v>53</v>
      </c>
      <c r="F59" s="51" t="s">
        <v>54</v>
      </c>
      <c r="G59" s="51" t="s">
        <v>134</v>
      </c>
      <c r="H59" s="51" t="s">
        <v>103</v>
      </c>
      <c r="I59" s="51" t="s">
        <v>55</v>
      </c>
      <c r="J59" s="51" t="s">
        <v>102</v>
      </c>
      <c r="K59" s="51" t="s">
        <v>135</v>
      </c>
      <c r="L59" s="51" t="s">
        <v>68</v>
      </c>
      <c r="M59" s="51" t="s">
        <v>137</v>
      </c>
      <c r="N59" s="51" t="s">
        <v>67</v>
      </c>
      <c r="O59" s="51" t="s">
        <v>59</v>
      </c>
      <c r="P59" s="51" t="s">
        <v>76</v>
      </c>
      <c r="Q59" s="48" t="s">
        <v>52</v>
      </c>
      <c r="R59" s="52" t="s">
        <v>7</v>
      </c>
      <c r="S59" s="52" t="s">
        <v>8</v>
      </c>
      <c r="T59" s="52" t="s">
        <v>74</v>
      </c>
      <c r="U59" s="52" t="s">
        <v>88</v>
      </c>
      <c r="V59" s="52" t="s">
        <v>71</v>
      </c>
      <c r="W59" s="52" t="s">
        <v>72</v>
      </c>
      <c r="X59" s="52" t="s">
        <v>50</v>
      </c>
      <c r="Y59" s="52" t="s">
        <v>75</v>
      </c>
      <c r="Z59" s="52" t="s">
        <v>51</v>
      </c>
      <c r="AA59" s="52" t="s">
        <v>17</v>
      </c>
      <c r="AB59" s="52" t="s">
        <v>144</v>
      </c>
      <c r="AC59" s="52" t="s">
        <v>56</v>
      </c>
      <c r="AD59" s="52" t="s">
        <v>57</v>
      </c>
      <c r="AE59" s="51" t="s">
        <v>12</v>
      </c>
      <c r="AF59" s="51" t="s">
        <v>13</v>
      </c>
      <c r="AG59" s="51" t="s">
        <v>73</v>
      </c>
      <c r="AH59" s="51" t="s">
        <v>14</v>
      </c>
      <c r="AI59" s="51" t="s">
        <v>15</v>
      </c>
      <c r="AJ59" s="52" t="s">
        <v>16</v>
      </c>
      <c r="AK59" s="51" t="s">
        <v>136</v>
      </c>
      <c r="AL59" s="52" t="s">
        <v>129</v>
      </c>
      <c r="AM59" s="52" t="s">
        <v>128</v>
      </c>
      <c r="AN59" s="52" t="s">
        <v>77</v>
      </c>
    </row>
    <row r="60" spans="2:40">
      <c r="B60" s="146">
        <v>1</v>
      </c>
      <c r="C60" s="16">
        <v>20200811</v>
      </c>
      <c r="D60" s="73" t="s">
        <v>2</v>
      </c>
      <c r="E60" s="72" t="s">
        <v>296</v>
      </c>
      <c r="F60" s="72" t="s">
        <v>58</v>
      </c>
      <c r="G60" s="73">
        <v>1614297</v>
      </c>
      <c r="H60" s="47" t="s">
        <v>58</v>
      </c>
      <c r="I60" s="85" t="s">
        <v>297</v>
      </c>
      <c r="J60" s="47" t="s">
        <v>58</v>
      </c>
      <c r="K60" s="15" t="s">
        <v>194</v>
      </c>
      <c r="L60" s="15" t="s">
        <v>140</v>
      </c>
      <c r="M60" s="73" t="s">
        <v>315</v>
      </c>
      <c r="N60" s="73" t="s">
        <v>319</v>
      </c>
      <c r="O60" s="72" t="s">
        <v>170</v>
      </c>
      <c r="P60" s="72" t="s">
        <v>317</v>
      </c>
      <c r="Q60" s="18"/>
      <c r="R60" s="47" t="s">
        <v>58</v>
      </c>
      <c r="S60" s="15" t="s">
        <v>167</v>
      </c>
      <c r="T60" s="15" t="s">
        <v>64</v>
      </c>
      <c r="U60" s="15" t="s">
        <v>578</v>
      </c>
      <c r="V60" s="73">
        <v>126</v>
      </c>
      <c r="W60" s="15">
        <f t="shared" ref="W60:W76" si="20">V60</f>
        <v>126</v>
      </c>
      <c r="X60" s="15">
        <f>W60</f>
        <v>126</v>
      </c>
      <c r="Y60" s="15">
        <f>ROUNDDOWN(W60/HLOOKUP(D60,Table!$C$3:$D$4,2,0)*8,2)</f>
        <v>7.75</v>
      </c>
      <c r="Z60" s="15">
        <f>Y60*2</f>
        <v>15.5</v>
      </c>
      <c r="AA60" s="15" t="s">
        <v>21</v>
      </c>
      <c r="AB60" s="19">
        <v>44061</v>
      </c>
      <c r="AC60" s="19">
        <v>44055</v>
      </c>
      <c r="AD60" s="244">
        <v>44061</v>
      </c>
      <c r="AE60" s="19">
        <v>44058</v>
      </c>
      <c r="AF60" s="19">
        <v>44060</v>
      </c>
      <c r="AG60" s="19" t="s">
        <v>155</v>
      </c>
      <c r="AH60" s="30">
        <v>0.84599999999999997</v>
      </c>
      <c r="AI60" s="30">
        <v>0.84599999999999997</v>
      </c>
      <c r="AJ60" s="127" t="s">
        <v>58</v>
      </c>
      <c r="AK60" s="19" t="s">
        <v>140</v>
      </c>
      <c r="AL60" s="17" t="s">
        <v>536</v>
      </c>
      <c r="AM60" s="17" t="s">
        <v>58</v>
      </c>
      <c r="AN60" s="17" t="s">
        <v>537</v>
      </c>
    </row>
    <row r="61" spans="2:40">
      <c r="B61" s="146">
        <f t="shared" ref="B61:B112" si="21">B60+1</f>
        <v>2</v>
      </c>
      <c r="C61" s="16">
        <v>20200811</v>
      </c>
      <c r="D61" s="73" t="s">
        <v>2</v>
      </c>
      <c r="E61" s="72" t="s">
        <v>296</v>
      </c>
      <c r="F61" s="72" t="s">
        <v>58</v>
      </c>
      <c r="G61" s="73">
        <v>1614297</v>
      </c>
      <c r="H61" s="47" t="s">
        <v>58</v>
      </c>
      <c r="I61" s="85" t="s">
        <v>298</v>
      </c>
      <c r="J61" s="47" t="s">
        <v>58</v>
      </c>
      <c r="K61" s="15" t="s">
        <v>194</v>
      </c>
      <c r="L61" s="15" t="s">
        <v>140</v>
      </c>
      <c r="M61" s="15" t="s">
        <v>315</v>
      </c>
      <c r="N61" s="73" t="s">
        <v>319</v>
      </c>
      <c r="O61" s="72" t="s">
        <v>170</v>
      </c>
      <c r="P61" s="72" t="s">
        <v>317</v>
      </c>
      <c r="Q61" s="18"/>
      <c r="R61" s="47" t="s">
        <v>58</v>
      </c>
      <c r="S61" s="15" t="s">
        <v>167</v>
      </c>
      <c r="T61" s="15" t="s">
        <v>64</v>
      </c>
      <c r="U61" s="15" t="s">
        <v>578</v>
      </c>
      <c r="V61" s="73">
        <v>57</v>
      </c>
      <c r="W61" s="15">
        <v>57</v>
      </c>
      <c r="X61" s="15">
        <v>57</v>
      </c>
      <c r="Y61" s="15">
        <v>3.5</v>
      </c>
      <c r="Z61" s="15">
        <v>3.5</v>
      </c>
      <c r="AA61" s="15" t="s">
        <v>21</v>
      </c>
      <c r="AB61" s="19">
        <v>44061</v>
      </c>
      <c r="AC61" s="19">
        <v>44055</v>
      </c>
      <c r="AD61" s="244">
        <v>44061</v>
      </c>
      <c r="AE61" s="19">
        <v>44057</v>
      </c>
      <c r="AF61" s="19">
        <v>44057</v>
      </c>
      <c r="AG61" s="19" t="s">
        <v>155</v>
      </c>
      <c r="AH61" s="30">
        <v>0.84599999999999997</v>
      </c>
      <c r="AI61" s="30">
        <v>0.84599999999999997</v>
      </c>
      <c r="AJ61" s="127" t="s">
        <v>58</v>
      </c>
      <c r="AK61" s="19" t="s">
        <v>140</v>
      </c>
      <c r="AL61" s="17" t="s">
        <v>485</v>
      </c>
      <c r="AM61" s="17" t="s">
        <v>58</v>
      </c>
      <c r="AN61" s="17" t="s">
        <v>486</v>
      </c>
    </row>
    <row r="62" spans="2:40">
      <c r="B62" s="146">
        <f t="shared" si="21"/>
        <v>3</v>
      </c>
      <c r="C62" s="16">
        <v>20200811</v>
      </c>
      <c r="D62" s="73" t="s">
        <v>2</v>
      </c>
      <c r="E62" s="72" t="s">
        <v>296</v>
      </c>
      <c r="F62" s="72" t="s">
        <v>58</v>
      </c>
      <c r="G62" s="73">
        <v>1614297</v>
      </c>
      <c r="H62" s="47" t="s">
        <v>58</v>
      </c>
      <c r="I62" s="73" t="s">
        <v>299</v>
      </c>
      <c r="J62" s="47" t="s">
        <v>58</v>
      </c>
      <c r="K62" s="15" t="s">
        <v>194</v>
      </c>
      <c r="L62" s="15" t="s">
        <v>140</v>
      </c>
      <c r="M62" s="15" t="s">
        <v>315</v>
      </c>
      <c r="N62" s="73" t="s">
        <v>319</v>
      </c>
      <c r="O62" s="72" t="s">
        <v>170</v>
      </c>
      <c r="P62" s="72" t="s">
        <v>317</v>
      </c>
      <c r="Q62" s="18"/>
      <c r="R62" s="47" t="s">
        <v>58</v>
      </c>
      <c r="S62" s="15" t="s">
        <v>167</v>
      </c>
      <c r="T62" s="15" t="s">
        <v>64</v>
      </c>
      <c r="U62" s="15" t="s">
        <v>578</v>
      </c>
      <c r="V62" s="73">
        <v>57</v>
      </c>
      <c r="W62" s="15">
        <v>57</v>
      </c>
      <c r="X62" s="15">
        <v>57</v>
      </c>
      <c r="Y62" s="15">
        <v>3.5</v>
      </c>
      <c r="Z62" s="15">
        <v>3.5</v>
      </c>
      <c r="AA62" s="15" t="s">
        <v>21</v>
      </c>
      <c r="AB62" s="19">
        <v>44061</v>
      </c>
      <c r="AC62" s="19">
        <v>44055</v>
      </c>
      <c r="AD62" s="244">
        <v>44061</v>
      </c>
      <c r="AE62" s="19">
        <v>44057</v>
      </c>
      <c r="AF62" s="19">
        <v>44057</v>
      </c>
      <c r="AG62" s="19" t="s">
        <v>155</v>
      </c>
      <c r="AH62" s="30">
        <v>0.84599999999999997</v>
      </c>
      <c r="AI62" s="30">
        <v>0.84599999999999997</v>
      </c>
      <c r="AJ62" s="127" t="s">
        <v>58</v>
      </c>
      <c r="AK62" s="19" t="s">
        <v>140</v>
      </c>
      <c r="AL62" s="17" t="s">
        <v>485</v>
      </c>
      <c r="AM62" s="17" t="s">
        <v>58</v>
      </c>
      <c r="AN62" s="17" t="s">
        <v>486</v>
      </c>
    </row>
    <row r="63" spans="2:40">
      <c r="B63" s="146">
        <f t="shared" si="21"/>
        <v>4</v>
      </c>
      <c r="C63" s="16">
        <v>20200811</v>
      </c>
      <c r="D63" s="73" t="s">
        <v>2</v>
      </c>
      <c r="E63" s="72" t="s">
        <v>296</v>
      </c>
      <c r="F63" s="72" t="s">
        <v>58</v>
      </c>
      <c r="G63" s="73">
        <v>1614297</v>
      </c>
      <c r="H63" s="47" t="s">
        <v>58</v>
      </c>
      <c r="I63" s="73" t="s">
        <v>300</v>
      </c>
      <c r="J63" s="47" t="s">
        <v>58</v>
      </c>
      <c r="K63" s="15" t="s">
        <v>194</v>
      </c>
      <c r="L63" s="15" t="s">
        <v>140</v>
      </c>
      <c r="M63" s="15" t="s">
        <v>315</v>
      </c>
      <c r="N63" s="73" t="s">
        <v>319</v>
      </c>
      <c r="O63" s="72" t="s">
        <v>170</v>
      </c>
      <c r="P63" s="72" t="s">
        <v>317</v>
      </c>
      <c r="Q63" s="18"/>
      <c r="R63" s="47" t="s">
        <v>58</v>
      </c>
      <c r="S63" s="15" t="s">
        <v>169</v>
      </c>
      <c r="T63" s="15" t="s">
        <v>66</v>
      </c>
      <c r="U63" s="15" t="s">
        <v>578</v>
      </c>
      <c r="V63" s="73">
        <v>220</v>
      </c>
      <c r="W63" s="15">
        <f t="shared" si="20"/>
        <v>220</v>
      </c>
      <c r="X63" s="15">
        <f>W63</f>
        <v>220</v>
      </c>
      <c r="Y63" s="15">
        <f>ROUNDDOWN(W63/HLOOKUP(D63,Table!$C$3:$D$4,2,0)*8,2)</f>
        <v>13.53</v>
      </c>
      <c r="Z63" s="15">
        <f>Y63</f>
        <v>13.53</v>
      </c>
      <c r="AA63" s="15" t="s">
        <v>21</v>
      </c>
      <c r="AB63" s="19">
        <v>44061</v>
      </c>
      <c r="AC63" s="19">
        <v>44055</v>
      </c>
      <c r="AD63" s="244">
        <v>44061</v>
      </c>
      <c r="AE63" s="19">
        <v>44057</v>
      </c>
      <c r="AF63" s="19">
        <v>44060</v>
      </c>
      <c r="AG63" s="19" t="s">
        <v>156</v>
      </c>
      <c r="AH63" s="30">
        <v>0.77800000000000002</v>
      </c>
      <c r="AI63" s="30">
        <v>0.77800000000000002</v>
      </c>
      <c r="AJ63" s="30" t="s">
        <v>58</v>
      </c>
      <c r="AK63" s="19" t="s">
        <v>140</v>
      </c>
      <c r="AL63" s="237" t="s">
        <v>626</v>
      </c>
      <c r="AM63" s="17" t="s">
        <v>58</v>
      </c>
      <c r="AN63" s="17" t="s">
        <v>58</v>
      </c>
    </row>
    <row r="64" spans="2:40">
      <c r="B64" s="146">
        <f t="shared" si="21"/>
        <v>5</v>
      </c>
      <c r="C64" s="16">
        <v>20200811</v>
      </c>
      <c r="D64" s="73" t="s">
        <v>2</v>
      </c>
      <c r="E64" s="72" t="s">
        <v>296</v>
      </c>
      <c r="F64" s="72" t="s">
        <v>58</v>
      </c>
      <c r="G64" s="73">
        <v>1614297</v>
      </c>
      <c r="H64" s="47" t="s">
        <v>58</v>
      </c>
      <c r="I64" s="73" t="s">
        <v>301</v>
      </c>
      <c r="J64" s="47" t="s">
        <v>58</v>
      </c>
      <c r="K64" s="15" t="s">
        <v>194</v>
      </c>
      <c r="L64" s="15" t="s">
        <v>140</v>
      </c>
      <c r="M64" s="15" t="s">
        <v>315</v>
      </c>
      <c r="N64" s="73" t="s">
        <v>319</v>
      </c>
      <c r="O64" s="72" t="s">
        <v>170</v>
      </c>
      <c r="P64" s="72" t="s">
        <v>317</v>
      </c>
      <c r="Q64" s="18"/>
      <c r="R64" s="47" t="s">
        <v>58</v>
      </c>
      <c r="S64" s="15" t="s">
        <v>169</v>
      </c>
      <c r="T64" s="15" t="s">
        <v>66</v>
      </c>
      <c r="U64" s="15" t="s">
        <v>578</v>
      </c>
      <c r="V64" s="73">
        <v>36</v>
      </c>
      <c r="W64" s="15">
        <f t="shared" si="20"/>
        <v>36</v>
      </c>
      <c r="X64" s="15">
        <f>W64</f>
        <v>36</v>
      </c>
      <c r="Y64" s="15">
        <f>ROUNDDOWN(W64/HLOOKUP(D64,Table!$C$3:$D$4,2,0)*8,2)</f>
        <v>2.21</v>
      </c>
      <c r="Z64" s="15">
        <f>Y64</f>
        <v>2.21</v>
      </c>
      <c r="AA64" s="15" t="s">
        <v>21</v>
      </c>
      <c r="AB64" s="19">
        <v>44061</v>
      </c>
      <c r="AC64" s="19">
        <v>44055</v>
      </c>
      <c r="AD64" s="244">
        <v>44061</v>
      </c>
      <c r="AE64" s="19">
        <v>44060</v>
      </c>
      <c r="AF64" s="19">
        <v>44060</v>
      </c>
      <c r="AG64" s="19" t="s">
        <v>155</v>
      </c>
      <c r="AH64" s="30">
        <v>1</v>
      </c>
      <c r="AI64" s="30">
        <v>1</v>
      </c>
      <c r="AJ64" s="30" t="s">
        <v>58</v>
      </c>
      <c r="AK64" s="19" t="s">
        <v>140</v>
      </c>
      <c r="AL64" s="17" t="s">
        <v>58</v>
      </c>
      <c r="AM64" s="17" t="s">
        <v>58</v>
      </c>
      <c r="AN64" s="17" t="s">
        <v>58</v>
      </c>
    </row>
    <row r="65" spans="2:40" ht="18.75" customHeight="1">
      <c r="B65" s="146">
        <f t="shared" si="21"/>
        <v>6</v>
      </c>
      <c r="C65" s="16">
        <v>20200811</v>
      </c>
      <c r="D65" s="73" t="s">
        <v>2</v>
      </c>
      <c r="E65" s="72" t="s">
        <v>296</v>
      </c>
      <c r="F65" s="72" t="s">
        <v>58</v>
      </c>
      <c r="G65" s="73">
        <v>1614297</v>
      </c>
      <c r="H65" s="47" t="s">
        <v>58</v>
      </c>
      <c r="I65" s="73" t="s">
        <v>302</v>
      </c>
      <c r="J65" s="47" t="s">
        <v>58</v>
      </c>
      <c r="K65" s="15" t="s">
        <v>194</v>
      </c>
      <c r="L65" s="15" t="s">
        <v>140</v>
      </c>
      <c r="M65" s="15" t="s">
        <v>315</v>
      </c>
      <c r="N65" s="73" t="s">
        <v>319</v>
      </c>
      <c r="O65" s="72" t="s">
        <v>320</v>
      </c>
      <c r="P65" s="72" t="s">
        <v>317</v>
      </c>
      <c r="Q65" s="18"/>
      <c r="R65" s="47" t="s">
        <v>58</v>
      </c>
      <c r="S65" s="15" t="s">
        <v>64</v>
      </c>
      <c r="T65" s="15" t="s">
        <v>169</v>
      </c>
      <c r="U65" s="15" t="s">
        <v>578</v>
      </c>
      <c r="V65" s="73">
        <v>121</v>
      </c>
      <c r="W65" s="136">
        <f>V65 + 5*3 + 10 + 5</f>
        <v>151</v>
      </c>
      <c r="X65" s="15">
        <f t="shared" ref="X65:X72" si="22">W65</f>
        <v>151</v>
      </c>
      <c r="Y65" s="15">
        <v>9.2899999999999991</v>
      </c>
      <c r="Z65" s="15">
        <v>50</v>
      </c>
      <c r="AA65" s="16" t="s">
        <v>21</v>
      </c>
      <c r="AB65" s="19">
        <v>44061</v>
      </c>
      <c r="AC65" s="19">
        <v>44055</v>
      </c>
      <c r="AD65" s="244">
        <v>44061</v>
      </c>
      <c r="AE65" s="19">
        <v>44057</v>
      </c>
      <c r="AF65" s="19">
        <v>44060</v>
      </c>
      <c r="AG65" s="19" t="s">
        <v>156</v>
      </c>
      <c r="AH65" s="30">
        <v>0.9</v>
      </c>
      <c r="AI65" s="30">
        <v>0.90100000000000002</v>
      </c>
      <c r="AJ65" s="30">
        <v>0.75</v>
      </c>
      <c r="AK65" s="19" t="s">
        <v>130</v>
      </c>
      <c r="AL65" s="137" t="s">
        <v>481</v>
      </c>
      <c r="AM65" s="17" t="s">
        <v>58</v>
      </c>
      <c r="AN65" s="17" t="s">
        <v>484</v>
      </c>
    </row>
    <row r="66" spans="2:40" ht="20.25" customHeight="1">
      <c r="B66" s="146">
        <f t="shared" si="21"/>
        <v>7</v>
      </c>
      <c r="C66" s="16">
        <v>20200811</v>
      </c>
      <c r="D66" s="73" t="s">
        <v>2</v>
      </c>
      <c r="E66" s="72" t="s">
        <v>296</v>
      </c>
      <c r="F66" s="72" t="s">
        <v>58</v>
      </c>
      <c r="G66" s="73">
        <v>1614297</v>
      </c>
      <c r="H66" s="47" t="s">
        <v>58</v>
      </c>
      <c r="I66" s="73" t="s">
        <v>303</v>
      </c>
      <c r="J66" s="47" t="s">
        <v>58</v>
      </c>
      <c r="K66" s="15" t="s">
        <v>194</v>
      </c>
      <c r="L66" s="15" t="s">
        <v>140</v>
      </c>
      <c r="M66" s="15" t="s">
        <v>315</v>
      </c>
      <c r="N66" s="73" t="s">
        <v>319</v>
      </c>
      <c r="O66" s="72" t="s">
        <v>321</v>
      </c>
      <c r="P66" s="72" t="s">
        <v>317</v>
      </c>
      <c r="Q66" s="18"/>
      <c r="R66" s="47" t="s">
        <v>58</v>
      </c>
      <c r="S66" s="15" t="s">
        <v>64</v>
      </c>
      <c r="T66" s="15" t="s">
        <v>169</v>
      </c>
      <c r="U66" s="15" t="s">
        <v>578</v>
      </c>
      <c r="V66" s="73">
        <v>150</v>
      </c>
      <c r="W66" s="136">
        <v>170</v>
      </c>
      <c r="X66" s="15">
        <f t="shared" si="22"/>
        <v>170</v>
      </c>
      <c r="Y66" s="15">
        <v>10.46</v>
      </c>
      <c r="Z66" s="15">
        <v>50</v>
      </c>
      <c r="AA66" s="16" t="s">
        <v>21</v>
      </c>
      <c r="AB66" s="19">
        <v>44061</v>
      </c>
      <c r="AC66" s="19">
        <v>44055</v>
      </c>
      <c r="AD66" s="244">
        <v>44061</v>
      </c>
      <c r="AE66" s="19">
        <v>44057</v>
      </c>
      <c r="AF66" s="19">
        <v>44060</v>
      </c>
      <c r="AG66" s="19" t="s">
        <v>156</v>
      </c>
      <c r="AH66" s="30">
        <v>0.94199999999999995</v>
      </c>
      <c r="AI66" s="30">
        <v>0.94599999999999995</v>
      </c>
      <c r="AJ66" s="30">
        <v>0.94899999999999995</v>
      </c>
      <c r="AK66" s="19" t="s">
        <v>130</v>
      </c>
      <c r="AL66" s="137" t="s">
        <v>482</v>
      </c>
      <c r="AM66" s="17" t="s">
        <v>58</v>
      </c>
      <c r="AN66" s="17" t="s">
        <v>484</v>
      </c>
    </row>
    <row r="67" spans="2:40">
      <c r="B67" s="146">
        <f t="shared" si="21"/>
        <v>8</v>
      </c>
      <c r="C67" s="16">
        <v>20200811</v>
      </c>
      <c r="D67" s="73" t="s">
        <v>2</v>
      </c>
      <c r="E67" s="72" t="s">
        <v>296</v>
      </c>
      <c r="F67" s="72" t="s">
        <v>58</v>
      </c>
      <c r="G67" s="73">
        <v>1614297</v>
      </c>
      <c r="H67" s="47" t="s">
        <v>58</v>
      </c>
      <c r="I67" s="73" t="s">
        <v>304</v>
      </c>
      <c r="J67" s="47" t="s">
        <v>58</v>
      </c>
      <c r="K67" s="15" t="s">
        <v>194</v>
      </c>
      <c r="L67" s="15" t="s">
        <v>140</v>
      </c>
      <c r="M67" s="15" t="s">
        <v>315</v>
      </c>
      <c r="N67" s="73" t="s">
        <v>319</v>
      </c>
      <c r="O67" s="72" t="s">
        <v>207</v>
      </c>
      <c r="P67" s="72" t="s">
        <v>317</v>
      </c>
      <c r="Q67" s="18"/>
      <c r="R67" s="47" t="s">
        <v>58</v>
      </c>
      <c r="S67" s="15" t="s">
        <v>167</v>
      </c>
      <c r="T67" s="15" t="s">
        <v>64</v>
      </c>
      <c r="U67" s="15" t="s">
        <v>578</v>
      </c>
      <c r="V67" s="73">
        <v>60</v>
      </c>
      <c r="W67" s="15">
        <f t="shared" si="20"/>
        <v>60</v>
      </c>
      <c r="X67" s="15">
        <f t="shared" si="22"/>
        <v>60</v>
      </c>
      <c r="Y67" s="15">
        <f>ROUNDDOWN(W67/HLOOKUP(D67,Table!$C$3:$D$4,2,0)*8,2)</f>
        <v>3.69</v>
      </c>
      <c r="Z67" s="15">
        <v>5</v>
      </c>
      <c r="AA67" s="15" t="s">
        <v>21</v>
      </c>
      <c r="AB67" s="19">
        <v>44061</v>
      </c>
      <c r="AC67" s="19">
        <v>44055</v>
      </c>
      <c r="AD67" s="244">
        <v>44061</v>
      </c>
      <c r="AE67" s="19">
        <v>44058</v>
      </c>
      <c r="AF67" s="19">
        <v>44060</v>
      </c>
      <c r="AG67" s="19" t="s">
        <v>156</v>
      </c>
      <c r="AH67" s="30">
        <v>0.82799999999999996</v>
      </c>
      <c r="AI67" s="30">
        <v>0.83899999999999997</v>
      </c>
      <c r="AJ67" s="127" t="s">
        <v>58</v>
      </c>
      <c r="AK67" s="19" t="s">
        <v>130</v>
      </c>
      <c r="AL67" s="17" t="s">
        <v>628</v>
      </c>
      <c r="AM67" s="17" t="s">
        <v>58</v>
      </c>
      <c r="AN67" s="17" t="s">
        <v>540</v>
      </c>
    </row>
    <row r="68" spans="2:40">
      <c r="B68" s="146">
        <f t="shared" si="21"/>
        <v>9</v>
      </c>
      <c r="C68" s="16">
        <v>20200811</v>
      </c>
      <c r="D68" s="73" t="s">
        <v>2</v>
      </c>
      <c r="E68" s="72" t="s">
        <v>296</v>
      </c>
      <c r="F68" s="72" t="s">
        <v>58</v>
      </c>
      <c r="G68" s="73">
        <v>1614297</v>
      </c>
      <c r="H68" s="47" t="s">
        <v>58</v>
      </c>
      <c r="I68" s="73" t="s">
        <v>305</v>
      </c>
      <c r="J68" s="47" t="s">
        <v>58</v>
      </c>
      <c r="K68" s="15" t="s">
        <v>194</v>
      </c>
      <c r="L68" s="15" t="s">
        <v>140</v>
      </c>
      <c r="M68" s="15" t="s">
        <v>315</v>
      </c>
      <c r="N68" s="73" t="s">
        <v>319</v>
      </c>
      <c r="O68" s="72" t="s">
        <v>322</v>
      </c>
      <c r="P68" s="72" t="s">
        <v>317</v>
      </c>
      <c r="Q68" s="18"/>
      <c r="R68" s="47" t="s">
        <v>58</v>
      </c>
      <c r="S68" s="15" t="s">
        <v>168</v>
      </c>
      <c r="T68" s="15" t="s">
        <v>65</v>
      </c>
      <c r="U68" s="15" t="s">
        <v>578</v>
      </c>
      <c r="V68" s="73">
        <v>20</v>
      </c>
      <c r="W68" s="15">
        <f t="shared" si="20"/>
        <v>20</v>
      </c>
      <c r="X68" s="15">
        <f t="shared" si="22"/>
        <v>20</v>
      </c>
      <c r="Y68" s="15">
        <f>ROUNDDOWN(W68/HLOOKUP(D68,Table!$C$3:$D$4,2,0)*8,2)</f>
        <v>1.23</v>
      </c>
      <c r="Z68" s="15">
        <f>Y68</f>
        <v>1.23</v>
      </c>
      <c r="AA68" s="15" t="s">
        <v>21</v>
      </c>
      <c r="AB68" s="19">
        <v>44061</v>
      </c>
      <c r="AC68" s="19">
        <v>44055</v>
      </c>
      <c r="AD68" s="244">
        <v>44061</v>
      </c>
      <c r="AE68" s="19">
        <v>44055</v>
      </c>
      <c r="AF68" s="19">
        <v>44055</v>
      </c>
      <c r="AG68" s="19" t="s">
        <v>155</v>
      </c>
      <c r="AH68" s="30">
        <v>1</v>
      </c>
      <c r="AI68" s="30">
        <v>1</v>
      </c>
      <c r="AJ68" s="127" t="s">
        <v>58</v>
      </c>
      <c r="AK68" s="19" t="s">
        <v>140</v>
      </c>
      <c r="AL68" s="80" t="s">
        <v>293</v>
      </c>
      <c r="AM68" s="80" t="s">
        <v>58</v>
      </c>
      <c r="AN68" s="80" t="s">
        <v>58</v>
      </c>
    </row>
    <row r="69" spans="2:40">
      <c r="B69" s="146">
        <f t="shared" si="21"/>
        <v>10</v>
      </c>
      <c r="C69" s="16">
        <v>20200811</v>
      </c>
      <c r="D69" s="73" t="s">
        <v>2</v>
      </c>
      <c r="E69" s="72" t="s">
        <v>296</v>
      </c>
      <c r="F69" s="72" t="s">
        <v>58</v>
      </c>
      <c r="G69" s="73">
        <v>1614297</v>
      </c>
      <c r="H69" s="47" t="s">
        <v>58</v>
      </c>
      <c r="I69" s="73" t="s">
        <v>306</v>
      </c>
      <c r="J69" s="47" t="s">
        <v>58</v>
      </c>
      <c r="K69" s="15" t="s">
        <v>194</v>
      </c>
      <c r="L69" s="15" t="s">
        <v>140</v>
      </c>
      <c r="M69" s="15" t="s">
        <v>315</v>
      </c>
      <c r="N69" s="73" t="s">
        <v>319</v>
      </c>
      <c r="O69" s="73">
        <v>1.2</v>
      </c>
      <c r="P69" s="72" t="s">
        <v>317</v>
      </c>
      <c r="Q69" s="18"/>
      <c r="R69" s="47" t="s">
        <v>58</v>
      </c>
      <c r="S69" s="15" t="s">
        <v>168</v>
      </c>
      <c r="T69" s="15" t="s">
        <v>65</v>
      </c>
      <c r="U69" s="15" t="s">
        <v>578</v>
      </c>
      <c r="V69" s="73">
        <v>120</v>
      </c>
      <c r="W69" s="15">
        <f t="shared" si="20"/>
        <v>120</v>
      </c>
      <c r="X69" s="15">
        <f t="shared" si="22"/>
        <v>120</v>
      </c>
      <c r="Y69" s="15">
        <f>ROUNDDOWN(W69/HLOOKUP(D69,Table!$C$3:$D$4,2,0)*8,2)</f>
        <v>7.38</v>
      </c>
      <c r="Z69" s="15">
        <v>9</v>
      </c>
      <c r="AA69" s="15" t="s">
        <v>21</v>
      </c>
      <c r="AB69" s="19">
        <v>44061</v>
      </c>
      <c r="AC69" s="19">
        <v>44055</v>
      </c>
      <c r="AD69" s="244">
        <v>44061</v>
      </c>
      <c r="AE69" s="19">
        <v>44057</v>
      </c>
      <c r="AF69" s="19">
        <v>44060</v>
      </c>
      <c r="AG69" s="19" t="s">
        <v>156</v>
      </c>
      <c r="AH69" s="30">
        <v>0.77800000000000002</v>
      </c>
      <c r="AI69" s="30">
        <v>0.77800000000000002</v>
      </c>
      <c r="AJ69" s="127" t="s">
        <v>58</v>
      </c>
      <c r="AK69" s="19" t="s">
        <v>130</v>
      </c>
      <c r="AL69" s="80" t="s">
        <v>538</v>
      </c>
      <c r="AM69" s="80" t="s">
        <v>58</v>
      </c>
      <c r="AN69" s="72" t="s">
        <v>529</v>
      </c>
    </row>
    <row r="70" spans="2:40">
      <c r="B70" s="146">
        <f t="shared" si="21"/>
        <v>11</v>
      </c>
      <c r="C70" s="16">
        <v>20200811</v>
      </c>
      <c r="D70" s="73" t="s">
        <v>2</v>
      </c>
      <c r="E70" s="72" t="s">
        <v>296</v>
      </c>
      <c r="F70" s="72" t="s">
        <v>58</v>
      </c>
      <c r="G70" s="73">
        <v>1614297</v>
      </c>
      <c r="H70" s="47" t="s">
        <v>58</v>
      </c>
      <c r="I70" s="73" t="s">
        <v>307</v>
      </c>
      <c r="J70" s="47" t="s">
        <v>58</v>
      </c>
      <c r="K70" s="15" t="s">
        <v>194</v>
      </c>
      <c r="L70" s="15" t="s">
        <v>140</v>
      </c>
      <c r="M70" s="15" t="s">
        <v>315</v>
      </c>
      <c r="N70" s="73" t="s">
        <v>319</v>
      </c>
      <c r="O70" s="73">
        <v>1.1000000000000001</v>
      </c>
      <c r="P70" s="72" t="s">
        <v>317</v>
      </c>
      <c r="Q70" s="18"/>
      <c r="R70" s="47" t="s">
        <v>58</v>
      </c>
      <c r="S70" s="15" t="s">
        <v>168</v>
      </c>
      <c r="T70" s="15" t="s">
        <v>65</v>
      </c>
      <c r="U70" s="15" t="s">
        <v>578</v>
      </c>
      <c r="V70" s="73">
        <v>75</v>
      </c>
      <c r="W70" s="15">
        <f t="shared" si="20"/>
        <v>75</v>
      </c>
      <c r="X70" s="15">
        <f t="shared" si="22"/>
        <v>75</v>
      </c>
      <c r="Y70" s="15">
        <f>ROUNDDOWN(W70/HLOOKUP(D70,Table!$C$3:$D$4,2,0)*8,2)</f>
        <v>4.6100000000000003</v>
      </c>
      <c r="Z70" s="15">
        <f>Y70</f>
        <v>4.6100000000000003</v>
      </c>
      <c r="AA70" s="15" t="s">
        <v>21</v>
      </c>
      <c r="AB70" s="19">
        <v>44061</v>
      </c>
      <c r="AC70" s="19">
        <v>44055</v>
      </c>
      <c r="AD70" s="244">
        <v>44061</v>
      </c>
      <c r="AE70" s="19">
        <v>44055</v>
      </c>
      <c r="AF70" s="19">
        <v>44055</v>
      </c>
      <c r="AG70" s="19" t="s">
        <v>156</v>
      </c>
      <c r="AH70" s="30">
        <v>0.84599999999999997</v>
      </c>
      <c r="AI70" s="30">
        <v>0.84599999999999997</v>
      </c>
      <c r="AJ70" s="127" t="s">
        <v>58</v>
      </c>
      <c r="AK70" s="19" t="s">
        <v>140</v>
      </c>
      <c r="AL70" s="80" t="s">
        <v>293</v>
      </c>
      <c r="AM70" s="80" t="s">
        <v>58</v>
      </c>
      <c r="AN70" s="80" t="s">
        <v>329</v>
      </c>
    </row>
    <row r="71" spans="2:40">
      <c r="B71" s="146">
        <f t="shared" si="21"/>
        <v>12</v>
      </c>
      <c r="C71" s="16">
        <v>20200811</v>
      </c>
      <c r="D71" s="73" t="s">
        <v>3</v>
      </c>
      <c r="E71" s="72" t="s">
        <v>296</v>
      </c>
      <c r="F71" s="72" t="s">
        <v>58</v>
      </c>
      <c r="G71" s="73">
        <v>1614297</v>
      </c>
      <c r="H71" s="47" t="s">
        <v>58</v>
      </c>
      <c r="I71" s="73" t="s">
        <v>308</v>
      </c>
      <c r="J71" s="47" t="s">
        <v>58</v>
      </c>
      <c r="K71" s="15" t="s">
        <v>194</v>
      </c>
      <c r="L71" s="15" t="s">
        <v>140</v>
      </c>
      <c r="M71" s="15" t="s">
        <v>315</v>
      </c>
      <c r="N71" s="73" t="s">
        <v>319</v>
      </c>
      <c r="O71" s="72" t="s">
        <v>323</v>
      </c>
      <c r="P71" s="72" t="s">
        <v>317</v>
      </c>
      <c r="Q71" s="18"/>
      <c r="R71" s="47" t="s">
        <v>58</v>
      </c>
      <c r="S71" s="15" t="s">
        <v>64</v>
      </c>
      <c r="T71" s="15" t="s">
        <v>169</v>
      </c>
      <c r="U71" s="15" t="s">
        <v>578</v>
      </c>
      <c r="V71" s="73">
        <v>115</v>
      </c>
      <c r="W71" s="15">
        <f t="shared" si="20"/>
        <v>115</v>
      </c>
      <c r="X71" s="15">
        <f t="shared" si="22"/>
        <v>115</v>
      </c>
      <c r="Y71" s="15">
        <f>ROUNDDOWN(W71/HLOOKUP(D71,Table!$C$3:$D$4,2,0)*8,2)</f>
        <v>2.04</v>
      </c>
      <c r="Z71" s="15">
        <f>Y71</f>
        <v>2.04</v>
      </c>
      <c r="AA71" s="15" t="s">
        <v>21</v>
      </c>
      <c r="AB71" s="19">
        <v>44061</v>
      </c>
      <c r="AC71" s="19">
        <v>44055</v>
      </c>
      <c r="AD71" s="244">
        <v>44061</v>
      </c>
      <c r="AE71" s="19">
        <v>44056</v>
      </c>
      <c r="AF71" s="19">
        <v>44056</v>
      </c>
      <c r="AG71" s="19" t="s">
        <v>156</v>
      </c>
      <c r="AH71" s="30">
        <v>0.96</v>
      </c>
      <c r="AI71" s="30">
        <v>0.96</v>
      </c>
      <c r="AJ71" s="30">
        <v>1</v>
      </c>
      <c r="AK71" s="19" t="s">
        <v>140</v>
      </c>
      <c r="AL71" s="17" t="s">
        <v>539</v>
      </c>
      <c r="AM71" s="17" t="s">
        <v>58</v>
      </c>
      <c r="AN71" s="17" t="s">
        <v>58</v>
      </c>
    </row>
    <row r="72" spans="2:40">
      <c r="B72" s="146">
        <f t="shared" si="21"/>
        <v>13</v>
      </c>
      <c r="C72" s="16">
        <v>20200811</v>
      </c>
      <c r="D72" s="73" t="s">
        <v>2</v>
      </c>
      <c r="E72" s="72" t="s">
        <v>296</v>
      </c>
      <c r="F72" s="72" t="s">
        <v>58</v>
      </c>
      <c r="G72" s="73">
        <v>1614297</v>
      </c>
      <c r="H72" s="47" t="s">
        <v>58</v>
      </c>
      <c r="I72" s="73" t="s">
        <v>309</v>
      </c>
      <c r="J72" s="47" t="s">
        <v>58</v>
      </c>
      <c r="K72" s="15" t="s">
        <v>194</v>
      </c>
      <c r="L72" s="15" t="s">
        <v>140</v>
      </c>
      <c r="M72" s="15" t="s">
        <v>315</v>
      </c>
      <c r="N72" s="73" t="s">
        <v>319</v>
      </c>
      <c r="O72" s="72" t="s">
        <v>324</v>
      </c>
      <c r="P72" s="72" t="s">
        <v>317</v>
      </c>
      <c r="Q72" s="18"/>
      <c r="R72" s="47" t="s">
        <v>58</v>
      </c>
      <c r="S72" s="15" t="s">
        <v>65</v>
      </c>
      <c r="T72" s="15" t="s">
        <v>167</v>
      </c>
      <c r="U72" s="15" t="s">
        <v>578</v>
      </c>
      <c r="V72" s="73">
        <v>92</v>
      </c>
      <c r="W72" s="15">
        <f t="shared" si="20"/>
        <v>92</v>
      </c>
      <c r="X72" s="15">
        <f t="shared" si="22"/>
        <v>92</v>
      </c>
      <c r="Y72" s="15">
        <f>ROUNDDOWN(W72/HLOOKUP(D72,Table!$C$3:$D$4,2,0)*8,2)</f>
        <v>5.66</v>
      </c>
      <c r="Z72" s="15">
        <f>Y72</f>
        <v>5.66</v>
      </c>
      <c r="AA72" s="15" t="s">
        <v>21</v>
      </c>
      <c r="AB72" s="19">
        <v>44061</v>
      </c>
      <c r="AC72" s="19">
        <v>44055</v>
      </c>
      <c r="AD72" s="244">
        <v>44061</v>
      </c>
      <c r="AE72" s="19">
        <v>44060</v>
      </c>
      <c r="AF72" s="19">
        <v>44060</v>
      </c>
      <c r="AG72" s="19" t="s">
        <v>155</v>
      </c>
      <c r="AH72" s="30">
        <v>1</v>
      </c>
      <c r="AI72" s="30">
        <v>1</v>
      </c>
      <c r="AJ72" s="30">
        <v>1</v>
      </c>
      <c r="AK72" s="19" t="s">
        <v>140</v>
      </c>
      <c r="AL72" s="17" t="s">
        <v>58</v>
      </c>
      <c r="AM72" s="17" t="s">
        <v>58</v>
      </c>
      <c r="AN72" s="17" t="s">
        <v>58</v>
      </c>
    </row>
    <row r="73" spans="2:40" ht="75">
      <c r="B73" s="146">
        <f t="shared" si="21"/>
        <v>14</v>
      </c>
      <c r="C73" s="16">
        <v>20200811</v>
      </c>
      <c r="D73" s="73" t="s">
        <v>2</v>
      </c>
      <c r="E73" s="72" t="s">
        <v>296</v>
      </c>
      <c r="F73" s="72" t="s">
        <v>58</v>
      </c>
      <c r="G73" s="73">
        <v>1614297</v>
      </c>
      <c r="H73" s="47" t="s">
        <v>58</v>
      </c>
      <c r="I73" s="73" t="s">
        <v>310</v>
      </c>
      <c r="J73" s="47" t="s">
        <v>58</v>
      </c>
      <c r="K73" s="15" t="s">
        <v>194</v>
      </c>
      <c r="L73" s="15" t="s">
        <v>140</v>
      </c>
      <c r="M73" s="15" t="s">
        <v>315</v>
      </c>
      <c r="N73" s="73" t="s">
        <v>319</v>
      </c>
      <c r="O73" s="72" t="s">
        <v>325</v>
      </c>
      <c r="P73" s="72" t="s">
        <v>317</v>
      </c>
      <c r="Q73" s="18"/>
      <c r="R73" s="47" t="s">
        <v>58</v>
      </c>
      <c r="S73" s="15" t="s">
        <v>65</v>
      </c>
      <c r="T73" s="15" t="s">
        <v>167</v>
      </c>
      <c r="U73" s="15" t="s">
        <v>578</v>
      </c>
      <c r="V73" s="73">
        <v>160</v>
      </c>
      <c r="W73" s="15">
        <f t="shared" si="20"/>
        <v>160</v>
      </c>
      <c r="X73" s="15">
        <f>W73</f>
        <v>160</v>
      </c>
      <c r="Y73" s="15">
        <f>ROUNDDOWN(W73/HLOOKUP(D73,Table!$C$3:$D$4,2,0)*8,2)</f>
        <v>9.84</v>
      </c>
      <c r="Z73" s="15">
        <f>Y73</f>
        <v>9.84</v>
      </c>
      <c r="AA73" s="15" t="s">
        <v>21</v>
      </c>
      <c r="AB73" s="19">
        <v>44061</v>
      </c>
      <c r="AC73" s="19">
        <v>44055</v>
      </c>
      <c r="AD73" s="244">
        <v>44061</v>
      </c>
      <c r="AE73" s="19">
        <v>44060</v>
      </c>
      <c r="AF73" s="19">
        <v>44061</v>
      </c>
      <c r="AG73" s="19" t="s">
        <v>156</v>
      </c>
      <c r="AH73" s="30">
        <v>0.85399999999999998</v>
      </c>
      <c r="AI73" s="30">
        <v>0.85699999999999998</v>
      </c>
      <c r="AJ73" s="30">
        <v>1</v>
      </c>
      <c r="AK73" s="19" t="s">
        <v>130</v>
      </c>
      <c r="AL73" s="137" t="s">
        <v>664</v>
      </c>
      <c r="AM73" s="17" t="s">
        <v>58</v>
      </c>
      <c r="AN73" s="17" t="s">
        <v>663</v>
      </c>
    </row>
    <row r="74" spans="2:40">
      <c r="B74" s="146">
        <f t="shared" si="21"/>
        <v>15</v>
      </c>
      <c r="C74" s="16">
        <v>20200811</v>
      </c>
      <c r="D74" s="73" t="s">
        <v>2</v>
      </c>
      <c r="E74" s="72" t="s">
        <v>296</v>
      </c>
      <c r="F74" s="72" t="s">
        <v>58</v>
      </c>
      <c r="G74" s="73">
        <v>1614297</v>
      </c>
      <c r="H74" s="47" t="s">
        <v>58</v>
      </c>
      <c r="I74" s="73" t="s">
        <v>311</v>
      </c>
      <c r="J74" s="47" t="s">
        <v>58</v>
      </c>
      <c r="K74" s="15" t="s">
        <v>194</v>
      </c>
      <c r="L74" s="15" t="s">
        <v>140</v>
      </c>
      <c r="M74" s="15" t="s">
        <v>315</v>
      </c>
      <c r="N74" s="73" t="s">
        <v>319</v>
      </c>
      <c r="O74" s="72" t="s">
        <v>326</v>
      </c>
      <c r="P74" s="72" t="s">
        <v>317</v>
      </c>
      <c r="Q74" s="18"/>
      <c r="R74" s="47" t="s">
        <v>58</v>
      </c>
      <c r="S74" s="15" t="s">
        <v>179</v>
      </c>
      <c r="T74" s="15" t="s">
        <v>167</v>
      </c>
      <c r="U74" s="15" t="s">
        <v>578</v>
      </c>
      <c r="V74" s="73">
        <v>40</v>
      </c>
      <c r="W74" s="15">
        <f t="shared" si="20"/>
        <v>40</v>
      </c>
      <c r="X74" s="15">
        <f>W74</f>
        <v>40</v>
      </c>
      <c r="Y74" s="15">
        <f>ROUNDDOWN(W74/HLOOKUP(D74,Table!$C$3:$D$4,2,0)*8,2)</f>
        <v>2.46</v>
      </c>
      <c r="Z74" s="15">
        <v>2</v>
      </c>
      <c r="AA74" s="15" t="s">
        <v>21</v>
      </c>
      <c r="AB74" s="19">
        <v>44061</v>
      </c>
      <c r="AC74" s="19">
        <v>44055</v>
      </c>
      <c r="AD74" s="244">
        <v>44061</v>
      </c>
      <c r="AE74" s="19">
        <v>44061</v>
      </c>
      <c r="AF74" s="19">
        <v>44061</v>
      </c>
      <c r="AG74" s="19" t="s">
        <v>155</v>
      </c>
      <c r="AH74" s="30">
        <v>1</v>
      </c>
      <c r="AI74" s="30">
        <v>1</v>
      </c>
      <c r="AJ74" s="127" t="s">
        <v>58</v>
      </c>
      <c r="AK74" s="19" t="s">
        <v>140</v>
      </c>
      <c r="AL74" s="17" t="s">
        <v>293</v>
      </c>
      <c r="AM74" s="17" t="s">
        <v>58</v>
      </c>
      <c r="AN74" s="17" t="s">
        <v>58</v>
      </c>
    </row>
    <row r="75" spans="2:40">
      <c r="B75" s="146">
        <f t="shared" si="21"/>
        <v>16</v>
      </c>
      <c r="C75" s="16">
        <v>20200811</v>
      </c>
      <c r="D75" s="73" t="s">
        <v>2</v>
      </c>
      <c r="E75" s="72" t="s">
        <v>296</v>
      </c>
      <c r="F75" s="72" t="s">
        <v>58</v>
      </c>
      <c r="G75" s="73">
        <v>1618129</v>
      </c>
      <c r="H75" s="47" t="s">
        <v>58</v>
      </c>
      <c r="I75" s="73" t="s">
        <v>312</v>
      </c>
      <c r="J75" s="47" t="s">
        <v>58</v>
      </c>
      <c r="K75" s="15" t="s">
        <v>194</v>
      </c>
      <c r="L75" s="15" t="s">
        <v>140</v>
      </c>
      <c r="M75" s="15" t="s">
        <v>315</v>
      </c>
      <c r="N75" s="73" t="s">
        <v>206</v>
      </c>
      <c r="O75" s="73">
        <v>1.4</v>
      </c>
      <c r="P75" s="72" t="s">
        <v>211</v>
      </c>
      <c r="Q75" s="18"/>
      <c r="R75" s="47" t="s">
        <v>58</v>
      </c>
      <c r="S75" s="15" t="s">
        <v>179</v>
      </c>
      <c r="T75" s="15" t="s">
        <v>167</v>
      </c>
      <c r="U75" s="15" t="s">
        <v>578</v>
      </c>
      <c r="V75" s="73">
        <v>0</v>
      </c>
      <c r="W75" s="15">
        <f t="shared" si="20"/>
        <v>0</v>
      </c>
      <c r="X75" s="15">
        <f t="shared" ref="X75:X80" si="23">W75</f>
        <v>0</v>
      </c>
      <c r="Y75" s="15">
        <f>ROUNDDOWN(W75/HLOOKUP(D75,Table!$C$3:$D$4,2,0)*8,2)</f>
        <v>0</v>
      </c>
      <c r="Z75" s="15">
        <f>Y75</f>
        <v>0</v>
      </c>
      <c r="AA75" s="15" t="s">
        <v>70</v>
      </c>
      <c r="AB75" s="19">
        <v>44061</v>
      </c>
      <c r="AC75" s="19">
        <v>44055</v>
      </c>
      <c r="AD75" s="244">
        <v>44061</v>
      </c>
      <c r="AE75" s="19">
        <v>44061</v>
      </c>
      <c r="AF75" s="19">
        <v>44061</v>
      </c>
      <c r="AG75" s="19" t="s">
        <v>155</v>
      </c>
      <c r="AH75" s="127" t="s">
        <v>58</v>
      </c>
      <c r="AI75" s="127" t="s">
        <v>58</v>
      </c>
      <c r="AJ75" s="127" t="s">
        <v>58</v>
      </c>
      <c r="AK75" s="19" t="s">
        <v>140</v>
      </c>
      <c r="AL75" s="17" t="s">
        <v>58</v>
      </c>
      <c r="AM75" s="17" t="s">
        <v>58</v>
      </c>
      <c r="AN75" s="17" t="s">
        <v>330</v>
      </c>
    </row>
    <row r="76" spans="2:40">
      <c r="B76" s="146">
        <f t="shared" si="21"/>
        <v>17</v>
      </c>
      <c r="C76" s="16">
        <v>20200811</v>
      </c>
      <c r="D76" s="73" t="s">
        <v>2</v>
      </c>
      <c r="E76" s="72" t="s">
        <v>296</v>
      </c>
      <c r="F76" s="72" t="s">
        <v>58</v>
      </c>
      <c r="G76" s="73">
        <v>1618129</v>
      </c>
      <c r="H76" s="47" t="s">
        <v>58</v>
      </c>
      <c r="I76" s="73" t="s">
        <v>313</v>
      </c>
      <c r="J76" s="47" t="s">
        <v>58</v>
      </c>
      <c r="K76" s="15" t="s">
        <v>194</v>
      </c>
      <c r="L76" s="15" t="s">
        <v>140</v>
      </c>
      <c r="M76" s="15" t="s">
        <v>315</v>
      </c>
      <c r="N76" s="73" t="s">
        <v>206</v>
      </c>
      <c r="O76" s="72" t="s">
        <v>170</v>
      </c>
      <c r="P76" s="72" t="s">
        <v>211</v>
      </c>
      <c r="Q76" s="18"/>
      <c r="R76" s="47" t="s">
        <v>58</v>
      </c>
      <c r="S76" s="15" t="s">
        <v>66</v>
      </c>
      <c r="T76" s="15" t="s">
        <v>168</v>
      </c>
      <c r="U76" s="15" t="s">
        <v>578</v>
      </c>
      <c r="V76" s="73">
        <v>0</v>
      </c>
      <c r="W76" s="15">
        <f t="shared" si="20"/>
        <v>0</v>
      </c>
      <c r="X76" s="15">
        <f t="shared" si="23"/>
        <v>0</v>
      </c>
      <c r="Y76" s="15">
        <f>ROUNDDOWN(W76/HLOOKUP(D76,Table!$C$3:$D$4,2,0)*8,2)</f>
        <v>0</v>
      </c>
      <c r="Z76" s="15">
        <f>Y76</f>
        <v>0</v>
      </c>
      <c r="AA76" s="15" t="s">
        <v>70</v>
      </c>
      <c r="AB76" s="19">
        <v>44061</v>
      </c>
      <c r="AC76" s="19">
        <v>44055</v>
      </c>
      <c r="AD76" s="244">
        <v>44061</v>
      </c>
      <c r="AE76" s="19">
        <v>44061</v>
      </c>
      <c r="AF76" s="19">
        <v>44061</v>
      </c>
      <c r="AG76" s="19" t="s">
        <v>155</v>
      </c>
      <c r="AH76" s="127" t="s">
        <v>58</v>
      </c>
      <c r="AI76" s="127" t="s">
        <v>58</v>
      </c>
      <c r="AJ76" s="127" t="s">
        <v>58</v>
      </c>
      <c r="AK76" s="19" t="s">
        <v>140</v>
      </c>
      <c r="AL76" s="17" t="s">
        <v>58</v>
      </c>
      <c r="AM76" s="17" t="s">
        <v>58</v>
      </c>
      <c r="AN76" s="17" t="s">
        <v>330</v>
      </c>
    </row>
    <row r="77" spans="2:40">
      <c r="B77" s="146">
        <f t="shared" si="21"/>
        <v>18</v>
      </c>
      <c r="C77" s="16">
        <v>20200811</v>
      </c>
      <c r="D77" s="73" t="s">
        <v>2</v>
      </c>
      <c r="E77" s="72" t="s">
        <v>328</v>
      </c>
      <c r="F77" s="72" t="s">
        <v>58</v>
      </c>
      <c r="G77" s="73">
        <v>1613993</v>
      </c>
      <c r="H77" s="47" t="s">
        <v>58</v>
      </c>
      <c r="I77" s="73" t="s">
        <v>314</v>
      </c>
      <c r="J77" s="47" t="s">
        <v>58</v>
      </c>
      <c r="K77" s="15" t="s">
        <v>194</v>
      </c>
      <c r="L77" s="15" t="s">
        <v>140</v>
      </c>
      <c r="M77" s="73" t="s">
        <v>316</v>
      </c>
      <c r="N77" s="73" t="s">
        <v>290</v>
      </c>
      <c r="O77" s="72" t="s">
        <v>327</v>
      </c>
      <c r="P77" s="72" t="s">
        <v>318</v>
      </c>
      <c r="Q77" s="18"/>
      <c r="R77" s="47" t="s">
        <v>58</v>
      </c>
      <c r="S77" s="15" t="s">
        <v>66</v>
      </c>
      <c r="T77" s="15" t="s">
        <v>168</v>
      </c>
      <c r="U77" s="15" t="s">
        <v>578</v>
      </c>
      <c r="V77" s="73">
        <v>110</v>
      </c>
      <c r="W77" s="15">
        <f>V77</f>
        <v>110</v>
      </c>
      <c r="X77" s="15">
        <f t="shared" si="23"/>
        <v>110</v>
      </c>
      <c r="Y77" s="15">
        <f>ROUNDDOWN(W77/HLOOKUP(D77,Table!$C$3:$D$4,2,0)*8,2)</f>
        <v>6.76</v>
      </c>
      <c r="Z77" s="15">
        <f>Y77</f>
        <v>6.76</v>
      </c>
      <c r="AA77" s="15" t="s">
        <v>21</v>
      </c>
      <c r="AB77" s="19">
        <v>44061</v>
      </c>
      <c r="AC77" s="19">
        <v>44055</v>
      </c>
      <c r="AD77" s="244">
        <v>44061</v>
      </c>
      <c r="AE77" s="19">
        <v>44060</v>
      </c>
      <c r="AF77" s="19">
        <v>44060</v>
      </c>
      <c r="AG77" s="19" t="s">
        <v>156</v>
      </c>
      <c r="AH77" s="30">
        <v>0.97199999999999998</v>
      </c>
      <c r="AI77" s="30">
        <v>0.97499999999999998</v>
      </c>
      <c r="AJ77" s="30">
        <v>1</v>
      </c>
      <c r="AK77" s="19" t="s">
        <v>130</v>
      </c>
      <c r="AL77" s="17" t="s">
        <v>652</v>
      </c>
      <c r="AM77" s="17" t="s">
        <v>58</v>
      </c>
      <c r="AN77" s="91" t="s">
        <v>653</v>
      </c>
    </row>
    <row r="78" spans="2:40">
      <c r="B78" s="220">
        <f t="shared" si="21"/>
        <v>19</v>
      </c>
      <c r="C78" s="16">
        <v>20200817</v>
      </c>
      <c r="D78" s="73" t="s">
        <v>3</v>
      </c>
      <c r="E78" s="73" t="s">
        <v>487</v>
      </c>
      <c r="F78" s="225" t="s">
        <v>541</v>
      </c>
      <c r="G78" s="73">
        <v>1627821</v>
      </c>
      <c r="H78" s="47" t="s">
        <v>58</v>
      </c>
      <c r="I78" s="73" t="s">
        <v>488</v>
      </c>
      <c r="J78" s="47" t="s">
        <v>58</v>
      </c>
      <c r="K78" s="15" t="s">
        <v>192</v>
      </c>
      <c r="L78" s="73" t="s">
        <v>532</v>
      </c>
      <c r="M78" s="73" t="s">
        <v>530</v>
      </c>
      <c r="N78" s="73" t="s">
        <v>526</v>
      </c>
      <c r="O78" s="17" t="s">
        <v>58</v>
      </c>
      <c r="P78" s="72" t="s">
        <v>523</v>
      </c>
      <c r="Q78" s="18"/>
      <c r="R78" s="47" t="s">
        <v>58</v>
      </c>
      <c r="S78" s="15" t="s">
        <v>65</v>
      </c>
      <c r="T78" s="15" t="s">
        <v>167</v>
      </c>
      <c r="U78" s="15" t="s">
        <v>578</v>
      </c>
      <c r="V78" s="73">
        <v>143</v>
      </c>
      <c r="W78" s="136">
        <v>195</v>
      </c>
      <c r="X78" s="15">
        <f t="shared" si="23"/>
        <v>195</v>
      </c>
      <c r="Y78" s="15">
        <f>ROUNDDOWN(W78/HLOOKUP(D78,Table!$C$3:$D$4,2,0)*8,2)</f>
        <v>3.46</v>
      </c>
      <c r="Z78" s="15">
        <f>Y78</f>
        <v>3.46</v>
      </c>
      <c r="AA78" s="15" t="s">
        <v>21</v>
      </c>
      <c r="AB78" s="19">
        <v>44061</v>
      </c>
      <c r="AC78" s="19">
        <v>44060</v>
      </c>
      <c r="AD78" s="244">
        <v>44061</v>
      </c>
      <c r="AE78" s="19">
        <v>44060</v>
      </c>
      <c r="AF78" s="19">
        <v>44060</v>
      </c>
      <c r="AG78" s="19" t="s">
        <v>155</v>
      </c>
      <c r="AH78" s="30">
        <v>1</v>
      </c>
      <c r="AI78" s="30">
        <v>1</v>
      </c>
      <c r="AJ78" s="30">
        <v>1</v>
      </c>
      <c r="AK78" s="19" t="s">
        <v>140</v>
      </c>
      <c r="AL78" s="17" t="s">
        <v>58</v>
      </c>
      <c r="AM78" s="17" t="s">
        <v>58</v>
      </c>
      <c r="AN78" s="17" t="s">
        <v>58</v>
      </c>
    </row>
    <row r="79" spans="2:40">
      <c r="B79" s="220">
        <f t="shared" si="21"/>
        <v>20</v>
      </c>
      <c r="C79" s="16">
        <v>20200817</v>
      </c>
      <c r="D79" s="73" t="s">
        <v>3</v>
      </c>
      <c r="E79" s="73" t="s">
        <v>487</v>
      </c>
      <c r="F79" s="225" t="s">
        <v>543</v>
      </c>
      <c r="G79" s="73">
        <v>1627821</v>
      </c>
      <c r="H79" s="47" t="s">
        <v>58</v>
      </c>
      <c r="I79" s="73" t="s">
        <v>489</v>
      </c>
      <c r="J79" s="47" t="s">
        <v>58</v>
      </c>
      <c r="K79" s="15" t="s">
        <v>192</v>
      </c>
      <c r="L79" s="73" t="s">
        <v>532</v>
      </c>
      <c r="M79" s="73" t="s">
        <v>530</v>
      </c>
      <c r="N79" s="73" t="s">
        <v>526</v>
      </c>
      <c r="O79" s="17" t="s">
        <v>58</v>
      </c>
      <c r="P79" s="72" t="s">
        <v>523</v>
      </c>
      <c r="Q79" s="18"/>
      <c r="R79" s="47" t="s">
        <v>58</v>
      </c>
      <c r="S79" s="15" t="s">
        <v>65</v>
      </c>
      <c r="T79" s="15" t="s">
        <v>167</v>
      </c>
      <c r="U79" s="15" t="s">
        <v>578</v>
      </c>
      <c r="V79" s="73">
        <v>35</v>
      </c>
      <c r="W79" s="136">
        <v>220</v>
      </c>
      <c r="X79" s="15">
        <f t="shared" si="23"/>
        <v>220</v>
      </c>
      <c r="Y79" s="15">
        <f>ROUNDDOWN(W79/HLOOKUP(D79,Table!$C$3:$D$4,2,0)*8,2)</f>
        <v>3.91</v>
      </c>
      <c r="Z79" s="15">
        <f>Y79</f>
        <v>3.91</v>
      </c>
      <c r="AA79" s="15" t="s">
        <v>21</v>
      </c>
      <c r="AB79" s="19">
        <v>44061</v>
      </c>
      <c r="AC79" s="19">
        <v>44060</v>
      </c>
      <c r="AD79" s="244">
        <v>44061</v>
      </c>
      <c r="AE79" s="19">
        <v>44060</v>
      </c>
      <c r="AF79" s="19">
        <v>44060</v>
      </c>
      <c r="AG79" s="19" t="s">
        <v>155</v>
      </c>
      <c r="AH79" s="30">
        <v>1</v>
      </c>
      <c r="AI79" s="30">
        <v>1</v>
      </c>
      <c r="AJ79" s="30">
        <v>1</v>
      </c>
      <c r="AK79" s="19" t="s">
        <v>140</v>
      </c>
      <c r="AL79" s="17" t="s">
        <v>58</v>
      </c>
      <c r="AM79" s="17" t="s">
        <v>58</v>
      </c>
      <c r="AN79" s="17" t="s">
        <v>58</v>
      </c>
    </row>
    <row r="80" spans="2:40">
      <c r="B80" s="220">
        <f t="shared" si="21"/>
        <v>21</v>
      </c>
      <c r="C80" s="16">
        <v>20200817</v>
      </c>
      <c r="D80" s="73" t="s">
        <v>3</v>
      </c>
      <c r="E80" s="224" t="s">
        <v>534</v>
      </c>
      <c r="F80" s="343" t="s">
        <v>579</v>
      </c>
      <c r="G80" s="73">
        <v>1629561</v>
      </c>
      <c r="H80" s="47" t="s">
        <v>58</v>
      </c>
      <c r="I80" s="73" t="s">
        <v>490</v>
      </c>
      <c r="J80" s="47" t="s">
        <v>58</v>
      </c>
      <c r="K80" s="15" t="s">
        <v>192</v>
      </c>
      <c r="L80" s="73" t="s">
        <v>140</v>
      </c>
      <c r="M80" s="73" t="s">
        <v>535</v>
      </c>
      <c r="N80" s="73" t="s">
        <v>527</v>
      </c>
      <c r="O80" s="17" t="s">
        <v>58</v>
      </c>
      <c r="P80" s="72" t="s">
        <v>524</v>
      </c>
      <c r="Q80" s="18"/>
      <c r="R80" s="47" t="s">
        <v>58</v>
      </c>
      <c r="S80" s="15" t="s">
        <v>64</v>
      </c>
      <c r="T80" s="15" t="s">
        <v>169</v>
      </c>
      <c r="U80" s="15" t="s">
        <v>578</v>
      </c>
      <c r="V80" s="73">
        <v>145</v>
      </c>
      <c r="W80" s="16">
        <f t="shared" ref="W80:W117" si="24">V80</f>
        <v>145</v>
      </c>
      <c r="X80" s="15">
        <f t="shared" si="23"/>
        <v>145</v>
      </c>
      <c r="Y80" s="15">
        <f>ROUNDDOWN(W80/HLOOKUP(D80,Table!$C$3:$D$4,2,0)*8,2)</f>
        <v>2.57</v>
      </c>
      <c r="Z80" s="15">
        <v>3</v>
      </c>
      <c r="AA80" s="15" t="s">
        <v>21</v>
      </c>
      <c r="AB80" s="19">
        <v>44064</v>
      </c>
      <c r="AC80" s="19">
        <v>44060</v>
      </c>
      <c r="AD80" s="77">
        <v>44064</v>
      </c>
      <c r="AE80" s="19">
        <v>44061</v>
      </c>
      <c r="AF80" s="19">
        <v>44061</v>
      </c>
      <c r="AG80" s="19" t="s">
        <v>155</v>
      </c>
      <c r="AH80" s="30">
        <v>1</v>
      </c>
      <c r="AI80" s="30">
        <v>1</v>
      </c>
      <c r="AJ80" s="30">
        <v>1</v>
      </c>
      <c r="AK80" s="19" t="s">
        <v>140</v>
      </c>
      <c r="AL80" s="17" t="s">
        <v>58</v>
      </c>
      <c r="AM80" s="17" t="s">
        <v>58</v>
      </c>
      <c r="AN80" s="17" t="s">
        <v>58</v>
      </c>
    </row>
    <row r="81" spans="2:40" ht="60">
      <c r="B81" s="220">
        <f t="shared" si="21"/>
        <v>22</v>
      </c>
      <c r="C81" s="16">
        <v>20200817</v>
      </c>
      <c r="D81" s="73" t="s">
        <v>3</v>
      </c>
      <c r="E81" s="224" t="s">
        <v>534</v>
      </c>
      <c r="F81" s="343" t="s">
        <v>580</v>
      </c>
      <c r="G81" s="73">
        <v>1629561</v>
      </c>
      <c r="H81" s="47" t="s">
        <v>58</v>
      </c>
      <c r="I81" s="73" t="s">
        <v>491</v>
      </c>
      <c r="J81" s="47" t="s">
        <v>58</v>
      </c>
      <c r="K81" s="15" t="s">
        <v>192</v>
      </c>
      <c r="L81" s="73" t="s">
        <v>140</v>
      </c>
      <c r="M81" s="15" t="s">
        <v>535</v>
      </c>
      <c r="N81" s="73" t="s">
        <v>527</v>
      </c>
      <c r="O81" s="17" t="s">
        <v>58</v>
      </c>
      <c r="P81" s="72" t="s">
        <v>524</v>
      </c>
      <c r="Q81" s="18"/>
      <c r="R81" s="47" t="s">
        <v>58</v>
      </c>
      <c r="S81" s="15" t="s">
        <v>64</v>
      </c>
      <c r="T81" s="15" t="s">
        <v>169</v>
      </c>
      <c r="U81" s="15" t="s">
        <v>578</v>
      </c>
      <c r="V81" s="73">
        <v>124</v>
      </c>
      <c r="W81" s="16">
        <f t="shared" si="24"/>
        <v>124</v>
      </c>
      <c r="X81" s="15">
        <f t="shared" ref="X81:X89" si="25">W81</f>
        <v>124</v>
      </c>
      <c r="Y81" s="15">
        <f>ROUNDDOWN(W81/HLOOKUP(D81,Table!$C$3:$D$4,2,0)*8,2)</f>
        <v>2.2000000000000002</v>
      </c>
      <c r="Z81" s="15">
        <v>5</v>
      </c>
      <c r="AA81" s="15" t="s">
        <v>21</v>
      </c>
      <c r="AB81" s="19">
        <v>44064</v>
      </c>
      <c r="AC81" s="19">
        <v>44060</v>
      </c>
      <c r="AD81" s="77">
        <v>44064</v>
      </c>
      <c r="AE81" s="19">
        <v>44061</v>
      </c>
      <c r="AF81" s="19">
        <v>44061</v>
      </c>
      <c r="AG81" s="19" t="s">
        <v>156</v>
      </c>
      <c r="AH81" s="30">
        <v>1</v>
      </c>
      <c r="AI81" s="30">
        <v>1</v>
      </c>
      <c r="AJ81" s="30">
        <v>0.75</v>
      </c>
      <c r="AK81" s="19" t="s">
        <v>130</v>
      </c>
      <c r="AL81" s="137" t="s">
        <v>1242</v>
      </c>
      <c r="AM81" s="17" t="s">
        <v>58</v>
      </c>
      <c r="AN81" s="137" t="s">
        <v>484</v>
      </c>
    </row>
    <row r="82" spans="2:40" ht="60">
      <c r="B82" s="220">
        <f t="shared" si="21"/>
        <v>23</v>
      </c>
      <c r="C82" s="16">
        <v>20200817</v>
      </c>
      <c r="D82" s="73" t="s">
        <v>3</v>
      </c>
      <c r="E82" s="224" t="s">
        <v>534</v>
      </c>
      <c r="F82" s="343" t="s">
        <v>581</v>
      </c>
      <c r="G82" s="73">
        <v>1629561</v>
      </c>
      <c r="H82" s="47" t="s">
        <v>58</v>
      </c>
      <c r="I82" s="73" t="s">
        <v>492</v>
      </c>
      <c r="J82" s="47" t="s">
        <v>58</v>
      </c>
      <c r="K82" s="15" t="s">
        <v>192</v>
      </c>
      <c r="L82" s="73" t="s">
        <v>140</v>
      </c>
      <c r="M82" s="15" t="s">
        <v>535</v>
      </c>
      <c r="N82" s="73" t="s">
        <v>527</v>
      </c>
      <c r="O82" s="17" t="s">
        <v>58</v>
      </c>
      <c r="P82" s="72" t="s">
        <v>524</v>
      </c>
      <c r="Q82" s="18"/>
      <c r="R82" s="47" t="s">
        <v>58</v>
      </c>
      <c r="S82" s="15" t="s">
        <v>64</v>
      </c>
      <c r="T82" s="15" t="s">
        <v>169</v>
      </c>
      <c r="U82" s="15" t="s">
        <v>578</v>
      </c>
      <c r="V82" s="73">
        <v>154</v>
      </c>
      <c r="W82" s="16">
        <f t="shared" si="24"/>
        <v>154</v>
      </c>
      <c r="X82" s="15">
        <f t="shared" si="25"/>
        <v>154</v>
      </c>
      <c r="Y82" s="15">
        <f>ROUNDDOWN(W82/HLOOKUP(D82,Table!$C$3:$D$4,2,0)*8,2)</f>
        <v>2.73</v>
      </c>
      <c r="Z82" s="15">
        <f>Y82</f>
        <v>2.73</v>
      </c>
      <c r="AA82" s="16" t="s">
        <v>21</v>
      </c>
      <c r="AB82" s="19">
        <v>44064</v>
      </c>
      <c r="AC82" s="19">
        <v>44060</v>
      </c>
      <c r="AD82" s="77">
        <v>44064</v>
      </c>
      <c r="AE82" s="19">
        <v>44062</v>
      </c>
      <c r="AF82" s="19">
        <v>44062</v>
      </c>
      <c r="AG82" s="19" t="s">
        <v>156</v>
      </c>
      <c r="AH82" s="30">
        <v>0.98</v>
      </c>
      <c r="AI82" s="30">
        <v>0.95</v>
      </c>
      <c r="AJ82" s="30">
        <v>1</v>
      </c>
      <c r="AK82" s="19" t="s">
        <v>130</v>
      </c>
      <c r="AL82" s="137" t="s">
        <v>1083</v>
      </c>
      <c r="AM82" s="17" t="s">
        <v>58</v>
      </c>
      <c r="AN82" s="137" t="s">
        <v>484</v>
      </c>
    </row>
    <row r="83" spans="2:40">
      <c r="B83" s="220">
        <f t="shared" si="21"/>
        <v>24</v>
      </c>
      <c r="C83" s="16">
        <v>20200817</v>
      </c>
      <c r="D83" s="73" t="s">
        <v>3</v>
      </c>
      <c r="E83" s="224" t="s">
        <v>534</v>
      </c>
      <c r="F83" s="343" t="s">
        <v>582</v>
      </c>
      <c r="G83" s="73">
        <v>1629561</v>
      </c>
      <c r="H83" s="47" t="s">
        <v>58</v>
      </c>
      <c r="I83" s="73" t="s">
        <v>493</v>
      </c>
      <c r="J83" s="47" t="s">
        <v>58</v>
      </c>
      <c r="K83" s="15" t="s">
        <v>192</v>
      </c>
      <c r="L83" s="73" t="s">
        <v>140</v>
      </c>
      <c r="M83" s="15" t="s">
        <v>535</v>
      </c>
      <c r="N83" s="73" t="s">
        <v>527</v>
      </c>
      <c r="O83" s="17" t="s">
        <v>58</v>
      </c>
      <c r="P83" s="72" t="s">
        <v>524</v>
      </c>
      <c r="Q83" s="18"/>
      <c r="R83" s="47" t="s">
        <v>58</v>
      </c>
      <c r="S83" s="15" t="s">
        <v>64</v>
      </c>
      <c r="T83" s="15" t="s">
        <v>169</v>
      </c>
      <c r="U83" s="15" t="s">
        <v>578</v>
      </c>
      <c r="V83" s="73">
        <v>168</v>
      </c>
      <c r="W83" s="16">
        <f t="shared" si="24"/>
        <v>168</v>
      </c>
      <c r="X83" s="15">
        <f t="shared" si="25"/>
        <v>168</v>
      </c>
      <c r="Y83" s="15">
        <f>ROUNDDOWN(W83/HLOOKUP(D83,Table!$C$3:$D$4,2,0)*8,2)</f>
        <v>2.98</v>
      </c>
      <c r="Z83" s="15">
        <v>3</v>
      </c>
      <c r="AA83" s="15" t="s">
        <v>21</v>
      </c>
      <c r="AB83" s="19">
        <v>44064</v>
      </c>
      <c r="AC83" s="19">
        <v>44060</v>
      </c>
      <c r="AD83" s="77">
        <v>44064</v>
      </c>
      <c r="AE83" s="19">
        <v>44061</v>
      </c>
      <c r="AF83" s="19">
        <v>44061</v>
      </c>
      <c r="AG83" s="19" t="s">
        <v>155</v>
      </c>
      <c r="AH83" s="30">
        <v>1</v>
      </c>
      <c r="AI83" s="30">
        <v>1</v>
      </c>
      <c r="AJ83" s="30">
        <v>1</v>
      </c>
      <c r="AK83" s="19" t="s">
        <v>140</v>
      </c>
      <c r="AL83" s="17" t="s">
        <v>58</v>
      </c>
      <c r="AM83" s="17" t="s">
        <v>58</v>
      </c>
      <c r="AN83" s="17" t="s">
        <v>58</v>
      </c>
    </row>
    <row r="84" spans="2:40">
      <c r="B84" s="220">
        <f t="shared" si="21"/>
        <v>25</v>
      </c>
      <c r="C84" s="16">
        <v>20200817</v>
      </c>
      <c r="D84" s="73" t="s">
        <v>3</v>
      </c>
      <c r="E84" s="224" t="s">
        <v>534</v>
      </c>
      <c r="F84" s="343" t="s">
        <v>583</v>
      </c>
      <c r="G84" s="73">
        <v>1629561</v>
      </c>
      <c r="H84" s="47" t="s">
        <v>58</v>
      </c>
      <c r="I84" s="73" t="s">
        <v>494</v>
      </c>
      <c r="J84" s="47" t="s">
        <v>58</v>
      </c>
      <c r="K84" s="15" t="s">
        <v>192</v>
      </c>
      <c r="L84" s="73" t="s">
        <v>140</v>
      </c>
      <c r="M84" s="15" t="s">
        <v>535</v>
      </c>
      <c r="N84" s="73" t="s">
        <v>527</v>
      </c>
      <c r="O84" s="17" t="s">
        <v>58</v>
      </c>
      <c r="P84" s="72" t="s">
        <v>524</v>
      </c>
      <c r="Q84" s="18"/>
      <c r="R84" s="47" t="s">
        <v>58</v>
      </c>
      <c r="S84" s="15" t="s">
        <v>64</v>
      </c>
      <c r="T84" s="15" t="s">
        <v>169</v>
      </c>
      <c r="U84" s="15" t="s">
        <v>578</v>
      </c>
      <c r="V84" s="73">
        <v>71</v>
      </c>
      <c r="W84" s="16">
        <f t="shared" si="24"/>
        <v>71</v>
      </c>
      <c r="X84" s="15">
        <f t="shared" si="25"/>
        <v>71</v>
      </c>
      <c r="Y84" s="15">
        <f>ROUNDDOWN(W84/HLOOKUP(D84,Table!$C$3:$D$4,2,0)*8,2)</f>
        <v>1.26</v>
      </c>
      <c r="Z84" s="15">
        <v>2</v>
      </c>
      <c r="AA84" s="15" t="s">
        <v>21</v>
      </c>
      <c r="AB84" s="19">
        <v>44064</v>
      </c>
      <c r="AC84" s="19">
        <v>44060</v>
      </c>
      <c r="AD84" s="77">
        <v>44064</v>
      </c>
      <c r="AE84" s="19">
        <v>44062</v>
      </c>
      <c r="AF84" s="19">
        <v>44062</v>
      </c>
      <c r="AG84" s="19" t="s">
        <v>155</v>
      </c>
      <c r="AH84" s="30">
        <v>1</v>
      </c>
      <c r="AI84" s="30">
        <v>1</v>
      </c>
      <c r="AJ84" s="30">
        <v>1</v>
      </c>
      <c r="AK84" s="19" t="s">
        <v>140</v>
      </c>
      <c r="AL84" s="17" t="s">
        <v>58</v>
      </c>
      <c r="AM84" s="17" t="s">
        <v>58</v>
      </c>
      <c r="AN84" s="17" t="s">
        <v>58</v>
      </c>
    </row>
    <row r="85" spans="2:40">
      <c r="B85" s="220">
        <f t="shared" si="21"/>
        <v>26</v>
      </c>
      <c r="C85" s="16">
        <v>20200817</v>
      </c>
      <c r="D85" s="73" t="s">
        <v>3</v>
      </c>
      <c r="E85" s="224" t="s">
        <v>534</v>
      </c>
      <c r="F85" s="343" t="s">
        <v>584</v>
      </c>
      <c r="G85" s="73">
        <v>1629561</v>
      </c>
      <c r="H85" s="47" t="s">
        <v>58</v>
      </c>
      <c r="I85" s="73" t="s">
        <v>495</v>
      </c>
      <c r="J85" s="47" t="s">
        <v>58</v>
      </c>
      <c r="K85" s="15" t="s">
        <v>192</v>
      </c>
      <c r="L85" s="73" t="s">
        <v>140</v>
      </c>
      <c r="M85" s="15" t="s">
        <v>535</v>
      </c>
      <c r="N85" s="73" t="s">
        <v>527</v>
      </c>
      <c r="O85" s="17" t="s">
        <v>58</v>
      </c>
      <c r="P85" s="72" t="s">
        <v>524</v>
      </c>
      <c r="Q85" s="18"/>
      <c r="R85" s="47" t="s">
        <v>58</v>
      </c>
      <c r="S85" s="15" t="s">
        <v>64</v>
      </c>
      <c r="T85" s="15" t="s">
        <v>169</v>
      </c>
      <c r="U85" s="15" t="s">
        <v>578</v>
      </c>
      <c r="V85" s="73">
        <v>66</v>
      </c>
      <c r="W85" s="16">
        <f t="shared" si="24"/>
        <v>66</v>
      </c>
      <c r="X85" s="15">
        <f t="shared" si="25"/>
        <v>66</v>
      </c>
      <c r="Y85" s="15">
        <f>ROUNDDOWN(W85/HLOOKUP(D85,Table!$C$3:$D$4,2,0)*8,2)</f>
        <v>1.17</v>
      </c>
      <c r="Z85" s="15">
        <v>1</v>
      </c>
      <c r="AA85" s="15" t="s">
        <v>21</v>
      </c>
      <c r="AB85" s="19">
        <v>44064</v>
      </c>
      <c r="AC85" s="19">
        <v>44060</v>
      </c>
      <c r="AD85" s="77">
        <v>44064</v>
      </c>
      <c r="AE85" s="19">
        <v>44062</v>
      </c>
      <c r="AF85" s="19">
        <v>44062</v>
      </c>
      <c r="AG85" s="19" t="s">
        <v>155</v>
      </c>
      <c r="AH85" s="30">
        <v>1</v>
      </c>
      <c r="AI85" s="30">
        <v>1</v>
      </c>
      <c r="AJ85" s="30">
        <v>1</v>
      </c>
      <c r="AK85" s="19" t="s">
        <v>140</v>
      </c>
      <c r="AL85" s="17" t="s">
        <v>58</v>
      </c>
      <c r="AM85" s="17" t="s">
        <v>58</v>
      </c>
      <c r="AN85" s="17" t="s">
        <v>58</v>
      </c>
    </row>
    <row r="86" spans="2:40">
      <c r="B86" s="220">
        <f t="shared" si="21"/>
        <v>27</v>
      </c>
      <c r="C86" s="16">
        <v>20200817</v>
      </c>
      <c r="D86" s="73" t="s">
        <v>3</v>
      </c>
      <c r="E86" s="224" t="s">
        <v>534</v>
      </c>
      <c r="F86" s="344" t="s">
        <v>1095</v>
      </c>
      <c r="G86" s="73">
        <v>1629561</v>
      </c>
      <c r="H86" s="47" t="s">
        <v>58</v>
      </c>
      <c r="I86" s="73" t="s">
        <v>496</v>
      </c>
      <c r="J86" s="47" t="s">
        <v>58</v>
      </c>
      <c r="K86" s="15" t="s">
        <v>192</v>
      </c>
      <c r="L86" s="73" t="s">
        <v>140</v>
      </c>
      <c r="M86" s="15" t="s">
        <v>535</v>
      </c>
      <c r="N86" s="73" t="s">
        <v>527</v>
      </c>
      <c r="O86" s="17" t="s">
        <v>58</v>
      </c>
      <c r="P86" s="72" t="s">
        <v>524</v>
      </c>
      <c r="Q86" s="18"/>
      <c r="R86" s="47" t="s">
        <v>58</v>
      </c>
      <c r="S86" s="15" t="s">
        <v>64</v>
      </c>
      <c r="T86" s="15" t="s">
        <v>169</v>
      </c>
      <c r="U86" s="15" t="s">
        <v>578</v>
      </c>
      <c r="V86" s="73">
        <v>208</v>
      </c>
      <c r="W86" s="16">
        <f t="shared" si="24"/>
        <v>208</v>
      </c>
      <c r="X86" s="15">
        <f t="shared" si="25"/>
        <v>208</v>
      </c>
      <c r="Y86" s="15">
        <f>ROUNDDOWN(W86/HLOOKUP(D86,Table!$C$3:$D$4,2,0)*8,2)</f>
        <v>3.69</v>
      </c>
      <c r="Z86" s="15">
        <v>4</v>
      </c>
      <c r="AA86" s="15" t="s">
        <v>21</v>
      </c>
      <c r="AB86" s="19">
        <v>44064</v>
      </c>
      <c r="AC86" s="19">
        <v>44060</v>
      </c>
      <c r="AD86" s="77">
        <v>44064</v>
      </c>
      <c r="AE86" s="19">
        <v>44062</v>
      </c>
      <c r="AF86" s="19">
        <v>44062</v>
      </c>
      <c r="AG86" s="19" t="s">
        <v>155</v>
      </c>
      <c r="AH86" s="30">
        <v>1</v>
      </c>
      <c r="AI86" s="30">
        <v>1</v>
      </c>
      <c r="AJ86" s="30">
        <v>1</v>
      </c>
      <c r="AK86" s="19" t="s">
        <v>140</v>
      </c>
      <c r="AL86" s="17" t="s">
        <v>58</v>
      </c>
      <c r="AM86" s="17" t="s">
        <v>58</v>
      </c>
      <c r="AN86" s="17" t="s">
        <v>58</v>
      </c>
    </row>
    <row r="87" spans="2:40">
      <c r="B87" s="220">
        <f t="shared" si="21"/>
        <v>28</v>
      </c>
      <c r="C87" s="16">
        <v>20200817</v>
      </c>
      <c r="D87" s="73" t="s">
        <v>3</v>
      </c>
      <c r="E87" s="224" t="s">
        <v>534</v>
      </c>
      <c r="F87" s="225" t="s">
        <v>570</v>
      </c>
      <c r="G87" s="73">
        <v>1629561</v>
      </c>
      <c r="H87" s="47" t="s">
        <v>58</v>
      </c>
      <c r="I87" s="73" t="s">
        <v>497</v>
      </c>
      <c r="J87" s="47" t="s">
        <v>58</v>
      </c>
      <c r="K87" s="15" t="s">
        <v>192</v>
      </c>
      <c r="L87" s="73" t="s">
        <v>140</v>
      </c>
      <c r="M87" s="15" t="s">
        <v>535</v>
      </c>
      <c r="N87" s="73" t="s">
        <v>527</v>
      </c>
      <c r="O87" s="17" t="s">
        <v>58</v>
      </c>
      <c r="P87" s="72" t="s">
        <v>524</v>
      </c>
      <c r="Q87" s="18"/>
      <c r="R87" s="47" t="s">
        <v>58</v>
      </c>
      <c r="S87" s="15" t="s">
        <v>168</v>
      </c>
      <c r="T87" s="15" t="s">
        <v>65</v>
      </c>
      <c r="U87" s="15" t="s">
        <v>578</v>
      </c>
      <c r="V87" s="73">
        <v>224</v>
      </c>
      <c r="W87" s="16">
        <f t="shared" si="24"/>
        <v>224</v>
      </c>
      <c r="X87" s="15">
        <f t="shared" si="25"/>
        <v>224</v>
      </c>
      <c r="Y87" s="15">
        <f>ROUNDDOWN(W87/HLOOKUP(D87,Table!$C$3:$D$4,2,0)*8,2)</f>
        <v>3.98</v>
      </c>
      <c r="Z87" s="15">
        <v>8</v>
      </c>
      <c r="AA87" s="15" t="s">
        <v>21</v>
      </c>
      <c r="AB87" s="19">
        <v>44064</v>
      </c>
      <c r="AC87" s="19">
        <v>44060</v>
      </c>
      <c r="AD87" s="77">
        <v>44064</v>
      </c>
      <c r="AE87" s="19">
        <v>44061</v>
      </c>
      <c r="AF87" s="19">
        <v>44062</v>
      </c>
      <c r="AG87" s="19" t="s">
        <v>156</v>
      </c>
      <c r="AH87" s="30">
        <v>0.9</v>
      </c>
      <c r="AI87" s="30">
        <v>0.81</v>
      </c>
      <c r="AJ87" s="30">
        <v>0.21</v>
      </c>
      <c r="AK87" s="19" t="s">
        <v>130</v>
      </c>
      <c r="AL87" s="17" t="s">
        <v>1049</v>
      </c>
      <c r="AM87" s="17" t="s">
        <v>58</v>
      </c>
      <c r="AN87" s="17" t="s">
        <v>567</v>
      </c>
    </row>
    <row r="88" spans="2:40">
      <c r="B88" s="220">
        <f t="shared" si="21"/>
        <v>29</v>
      </c>
      <c r="C88" s="16">
        <v>20200817</v>
      </c>
      <c r="D88" s="73" t="s">
        <v>3</v>
      </c>
      <c r="E88" s="224" t="s">
        <v>534</v>
      </c>
      <c r="F88" s="225" t="s">
        <v>571</v>
      </c>
      <c r="G88" s="73">
        <v>1629561</v>
      </c>
      <c r="H88" s="47" t="s">
        <v>58</v>
      </c>
      <c r="I88" s="73" t="s">
        <v>498</v>
      </c>
      <c r="J88" s="47" t="s">
        <v>58</v>
      </c>
      <c r="K88" s="15" t="s">
        <v>192</v>
      </c>
      <c r="L88" s="73" t="s">
        <v>140</v>
      </c>
      <c r="M88" s="15" t="s">
        <v>535</v>
      </c>
      <c r="N88" s="73" t="s">
        <v>527</v>
      </c>
      <c r="O88" s="17" t="s">
        <v>58</v>
      </c>
      <c r="P88" s="72" t="s">
        <v>524</v>
      </c>
      <c r="Q88" s="18"/>
      <c r="R88" s="47" t="s">
        <v>58</v>
      </c>
      <c r="S88" s="15" t="s">
        <v>168</v>
      </c>
      <c r="T88" s="15" t="s">
        <v>65</v>
      </c>
      <c r="U88" s="15" t="s">
        <v>578</v>
      </c>
      <c r="V88" s="73">
        <v>200</v>
      </c>
      <c r="W88" s="16">
        <f t="shared" si="24"/>
        <v>200</v>
      </c>
      <c r="X88" s="15">
        <f t="shared" si="25"/>
        <v>200</v>
      </c>
      <c r="Y88" s="15">
        <f>ROUNDDOWN(W88/HLOOKUP(D88,Table!$C$3:$D$4,2,0)*8,2)</f>
        <v>3.55</v>
      </c>
      <c r="Z88" s="15">
        <f>Y88</f>
        <v>3.55</v>
      </c>
      <c r="AA88" s="15" t="s">
        <v>21</v>
      </c>
      <c r="AB88" s="19">
        <v>44064</v>
      </c>
      <c r="AC88" s="19">
        <v>44060</v>
      </c>
      <c r="AD88" s="77">
        <v>44064</v>
      </c>
      <c r="AE88" s="19">
        <v>44060</v>
      </c>
      <c r="AF88" s="19">
        <v>44060</v>
      </c>
      <c r="AG88" s="19" t="s">
        <v>156</v>
      </c>
      <c r="AH88" s="30">
        <v>1</v>
      </c>
      <c r="AI88" s="30">
        <v>1</v>
      </c>
      <c r="AJ88" s="30">
        <v>0.91</v>
      </c>
      <c r="AK88" s="19" t="s">
        <v>130</v>
      </c>
      <c r="AL88" s="17" t="s">
        <v>566</v>
      </c>
      <c r="AM88" s="17" t="s">
        <v>58</v>
      </c>
      <c r="AN88" s="17" t="s">
        <v>567</v>
      </c>
    </row>
    <row r="89" spans="2:40">
      <c r="B89" s="220">
        <f t="shared" si="21"/>
        <v>30</v>
      </c>
      <c r="C89" s="16">
        <v>20200817</v>
      </c>
      <c r="D89" s="73" t="s">
        <v>3</v>
      </c>
      <c r="E89" s="224" t="s">
        <v>534</v>
      </c>
      <c r="F89" s="225" t="s">
        <v>572</v>
      </c>
      <c r="G89" s="73">
        <v>1629561</v>
      </c>
      <c r="H89" s="47" t="s">
        <v>58</v>
      </c>
      <c r="I89" s="73" t="s">
        <v>499</v>
      </c>
      <c r="J89" s="47" t="s">
        <v>58</v>
      </c>
      <c r="K89" s="15" t="s">
        <v>192</v>
      </c>
      <c r="L89" s="73" t="s">
        <v>140</v>
      </c>
      <c r="M89" s="15" t="s">
        <v>535</v>
      </c>
      <c r="N89" s="73" t="s">
        <v>527</v>
      </c>
      <c r="O89" s="17" t="s">
        <v>58</v>
      </c>
      <c r="P89" s="72" t="s">
        <v>524</v>
      </c>
      <c r="Q89" s="18"/>
      <c r="R89" s="47" t="s">
        <v>58</v>
      </c>
      <c r="S89" s="15" t="s">
        <v>168</v>
      </c>
      <c r="T89" s="15" t="s">
        <v>65</v>
      </c>
      <c r="U89" s="15" t="s">
        <v>578</v>
      </c>
      <c r="V89" s="73">
        <v>73</v>
      </c>
      <c r="W89" s="18">
        <v>110</v>
      </c>
      <c r="X89" s="15">
        <f t="shared" si="25"/>
        <v>110</v>
      </c>
      <c r="Y89" s="15">
        <f>ROUNDDOWN(W89/HLOOKUP(D89,Table!$C$3:$D$4,2,0)*8,2)</f>
        <v>1.95</v>
      </c>
      <c r="Z89" s="15">
        <f>Y89</f>
        <v>1.95</v>
      </c>
      <c r="AA89" s="15" t="s">
        <v>21</v>
      </c>
      <c r="AB89" s="19">
        <v>44064</v>
      </c>
      <c r="AC89" s="19">
        <v>44060</v>
      </c>
      <c r="AD89" s="77">
        <v>44064</v>
      </c>
      <c r="AE89" s="19">
        <v>44061</v>
      </c>
      <c r="AF89" s="19">
        <v>44061</v>
      </c>
      <c r="AG89" s="19" t="s">
        <v>155</v>
      </c>
      <c r="AH89" s="30">
        <v>1</v>
      </c>
      <c r="AI89" s="30">
        <v>1</v>
      </c>
      <c r="AJ89" s="30">
        <v>1</v>
      </c>
      <c r="AK89" s="19" t="s">
        <v>140</v>
      </c>
      <c r="AL89" s="17" t="s">
        <v>58</v>
      </c>
      <c r="AM89" s="17" t="s">
        <v>58</v>
      </c>
      <c r="AN89" s="17" t="s">
        <v>58</v>
      </c>
    </row>
    <row r="90" spans="2:40">
      <c r="B90" s="220">
        <f t="shared" si="21"/>
        <v>31</v>
      </c>
      <c r="C90" s="16">
        <v>20200817</v>
      </c>
      <c r="D90" s="73" t="s">
        <v>3</v>
      </c>
      <c r="E90" s="224" t="s">
        <v>534</v>
      </c>
      <c r="F90" s="225" t="s">
        <v>573</v>
      </c>
      <c r="G90" s="73">
        <v>1629561</v>
      </c>
      <c r="H90" s="47" t="s">
        <v>58</v>
      </c>
      <c r="I90" s="73" t="s">
        <v>500</v>
      </c>
      <c r="J90" s="47" t="s">
        <v>58</v>
      </c>
      <c r="K90" s="15" t="s">
        <v>192</v>
      </c>
      <c r="L90" s="73" t="s">
        <v>140</v>
      </c>
      <c r="M90" s="15" t="s">
        <v>535</v>
      </c>
      <c r="N90" s="73" t="s">
        <v>527</v>
      </c>
      <c r="O90" s="17" t="s">
        <v>58</v>
      </c>
      <c r="P90" s="72" t="s">
        <v>524</v>
      </c>
      <c r="Q90" s="18"/>
      <c r="R90" s="47" t="s">
        <v>58</v>
      </c>
      <c r="S90" s="15" t="s">
        <v>168</v>
      </c>
      <c r="T90" s="15" t="s">
        <v>65</v>
      </c>
      <c r="U90" s="15" t="s">
        <v>578</v>
      </c>
      <c r="V90" s="73">
        <v>240</v>
      </c>
      <c r="W90" s="18">
        <v>354</v>
      </c>
      <c r="X90" s="15">
        <f>W90</f>
        <v>354</v>
      </c>
      <c r="Y90" s="15">
        <f>ROUNDDOWN(W90/HLOOKUP(D90,Table!$C$3:$D$4,2,0)*8,2)</f>
        <v>6.29</v>
      </c>
      <c r="Z90" s="15">
        <f>Y90</f>
        <v>6.29</v>
      </c>
      <c r="AA90" s="15" t="s">
        <v>21</v>
      </c>
      <c r="AB90" s="19">
        <v>44064</v>
      </c>
      <c r="AC90" s="19">
        <v>44060</v>
      </c>
      <c r="AD90" s="77">
        <v>44064</v>
      </c>
      <c r="AE90" s="19">
        <v>44063</v>
      </c>
      <c r="AF90" s="19">
        <v>44063</v>
      </c>
      <c r="AG90" s="19" t="s">
        <v>156</v>
      </c>
      <c r="AH90" s="30">
        <v>0.96</v>
      </c>
      <c r="AI90" s="30">
        <v>0.93</v>
      </c>
      <c r="AJ90" s="30">
        <v>0.56000000000000005</v>
      </c>
      <c r="AK90" s="19" t="s">
        <v>130</v>
      </c>
      <c r="AL90" s="17" t="s">
        <v>1064</v>
      </c>
      <c r="AM90" s="17" t="s">
        <v>58</v>
      </c>
      <c r="AN90" s="17" t="s">
        <v>1067</v>
      </c>
    </row>
    <row r="91" spans="2:40">
      <c r="B91" s="220">
        <f t="shared" si="21"/>
        <v>32</v>
      </c>
      <c r="C91" s="16">
        <v>20200817</v>
      </c>
      <c r="D91" s="73" t="s">
        <v>3</v>
      </c>
      <c r="E91" s="224" t="s">
        <v>534</v>
      </c>
      <c r="F91" s="225" t="s">
        <v>574</v>
      </c>
      <c r="G91" s="73">
        <v>1629561</v>
      </c>
      <c r="H91" s="47" t="s">
        <v>58</v>
      </c>
      <c r="I91" s="73" t="s">
        <v>501</v>
      </c>
      <c r="J91" s="47" t="s">
        <v>58</v>
      </c>
      <c r="K91" s="15" t="s">
        <v>192</v>
      </c>
      <c r="L91" s="73" t="s">
        <v>140</v>
      </c>
      <c r="M91" s="15" t="s">
        <v>535</v>
      </c>
      <c r="N91" s="73" t="s">
        <v>527</v>
      </c>
      <c r="O91" s="17" t="s">
        <v>58</v>
      </c>
      <c r="P91" s="72" t="s">
        <v>524</v>
      </c>
      <c r="Q91" s="18"/>
      <c r="R91" s="47" t="s">
        <v>58</v>
      </c>
      <c r="S91" s="15" t="s">
        <v>168</v>
      </c>
      <c r="T91" s="15" t="s">
        <v>65</v>
      </c>
      <c r="U91" s="15" t="s">
        <v>578</v>
      </c>
      <c r="V91" s="73">
        <v>255</v>
      </c>
      <c r="W91" s="18">
        <v>298</v>
      </c>
      <c r="X91" s="15">
        <f t="shared" ref="X91:X98" si="26">W91</f>
        <v>298</v>
      </c>
      <c r="Y91" s="15">
        <f>ROUNDDOWN(W91/HLOOKUP(D91,Table!$C$3:$D$4,2,0)*8,2)</f>
        <v>5.29</v>
      </c>
      <c r="Z91" s="15">
        <v>3</v>
      </c>
      <c r="AA91" s="15" t="s">
        <v>21</v>
      </c>
      <c r="AB91" s="19">
        <v>44064</v>
      </c>
      <c r="AC91" s="19">
        <v>44060</v>
      </c>
      <c r="AD91" s="77">
        <v>44064</v>
      </c>
      <c r="AE91" s="19">
        <v>44062</v>
      </c>
      <c r="AF91" s="19">
        <v>44062</v>
      </c>
      <c r="AG91" s="19" t="s">
        <v>155</v>
      </c>
      <c r="AH91" s="30">
        <v>1</v>
      </c>
      <c r="AI91" s="30">
        <v>1</v>
      </c>
      <c r="AJ91" s="30">
        <v>1</v>
      </c>
      <c r="AK91" s="19" t="s">
        <v>140</v>
      </c>
      <c r="AL91" s="17" t="s">
        <v>58</v>
      </c>
      <c r="AM91" s="17" t="s">
        <v>58</v>
      </c>
      <c r="AN91" s="17" t="s">
        <v>58</v>
      </c>
    </row>
    <row r="92" spans="2:40">
      <c r="B92" s="220">
        <f t="shared" si="21"/>
        <v>33</v>
      </c>
      <c r="C92" s="16">
        <v>20200817</v>
      </c>
      <c r="D92" s="73" t="s">
        <v>3</v>
      </c>
      <c r="E92" s="224" t="s">
        <v>534</v>
      </c>
      <c r="F92" s="225" t="s">
        <v>575</v>
      </c>
      <c r="G92" s="73">
        <v>1629561</v>
      </c>
      <c r="H92" s="47" t="s">
        <v>58</v>
      </c>
      <c r="I92" s="73" t="s">
        <v>502</v>
      </c>
      <c r="J92" s="47" t="s">
        <v>58</v>
      </c>
      <c r="K92" s="15" t="s">
        <v>192</v>
      </c>
      <c r="L92" s="73" t="s">
        <v>140</v>
      </c>
      <c r="M92" s="15" t="s">
        <v>535</v>
      </c>
      <c r="N92" s="73" t="s">
        <v>527</v>
      </c>
      <c r="O92" s="17" t="s">
        <v>58</v>
      </c>
      <c r="P92" s="72" t="s">
        <v>524</v>
      </c>
      <c r="Q92" s="18"/>
      <c r="R92" s="47" t="s">
        <v>58</v>
      </c>
      <c r="S92" s="15" t="s">
        <v>168</v>
      </c>
      <c r="T92" s="15" t="s">
        <v>65</v>
      </c>
      <c r="U92" s="15" t="s">
        <v>578</v>
      </c>
      <c r="V92" s="73">
        <v>32</v>
      </c>
      <c r="W92" s="16">
        <f>V92</f>
        <v>32</v>
      </c>
      <c r="X92" s="15">
        <f t="shared" si="26"/>
        <v>32</v>
      </c>
      <c r="Y92" s="15">
        <f>ROUNDDOWN(W92/HLOOKUP(D92,Table!$C$3:$D$4,2,0)*8,2)</f>
        <v>0.56000000000000005</v>
      </c>
      <c r="Z92" s="15">
        <v>1</v>
      </c>
      <c r="AA92" s="15" t="s">
        <v>21</v>
      </c>
      <c r="AB92" s="19">
        <v>44064</v>
      </c>
      <c r="AC92" s="19">
        <v>44060</v>
      </c>
      <c r="AD92" s="77">
        <v>44064</v>
      </c>
      <c r="AE92" s="19">
        <v>44061</v>
      </c>
      <c r="AF92" s="19">
        <v>44061</v>
      </c>
      <c r="AG92" s="19" t="s">
        <v>155</v>
      </c>
      <c r="AH92" s="30">
        <v>1</v>
      </c>
      <c r="AI92" s="30">
        <v>1</v>
      </c>
      <c r="AJ92" s="30">
        <v>1</v>
      </c>
      <c r="AK92" s="19" t="s">
        <v>140</v>
      </c>
      <c r="AL92" s="17" t="s">
        <v>58</v>
      </c>
      <c r="AM92" s="17" t="s">
        <v>58</v>
      </c>
      <c r="AN92" s="17" t="s">
        <v>58</v>
      </c>
    </row>
    <row r="93" spans="2:40">
      <c r="B93" s="220">
        <f t="shared" si="21"/>
        <v>34</v>
      </c>
      <c r="C93" s="16">
        <v>20200817</v>
      </c>
      <c r="D93" s="73" t="s">
        <v>3</v>
      </c>
      <c r="E93" s="224" t="s">
        <v>534</v>
      </c>
      <c r="F93" s="225" t="s">
        <v>576</v>
      </c>
      <c r="G93" s="73">
        <v>1629561</v>
      </c>
      <c r="H93" s="47" t="s">
        <v>58</v>
      </c>
      <c r="I93" s="73" t="s">
        <v>503</v>
      </c>
      <c r="J93" s="47" t="s">
        <v>58</v>
      </c>
      <c r="K93" s="15" t="s">
        <v>192</v>
      </c>
      <c r="L93" s="73" t="s">
        <v>140</v>
      </c>
      <c r="M93" s="15" t="s">
        <v>535</v>
      </c>
      <c r="N93" s="73" t="s">
        <v>527</v>
      </c>
      <c r="O93" s="17" t="s">
        <v>58</v>
      </c>
      <c r="P93" s="72" t="s">
        <v>524</v>
      </c>
      <c r="Q93" s="18"/>
      <c r="R93" s="47" t="s">
        <v>58</v>
      </c>
      <c r="S93" s="15" t="s">
        <v>168</v>
      </c>
      <c r="T93" s="15" t="s">
        <v>65</v>
      </c>
      <c r="U93" s="15" t="s">
        <v>578</v>
      </c>
      <c r="V93" s="73">
        <v>50</v>
      </c>
      <c r="W93" s="18">
        <v>86</v>
      </c>
      <c r="X93" s="15">
        <f t="shared" si="26"/>
        <v>86</v>
      </c>
      <c r="Y93" s="15">
        <f>ROUNDDOWN(W93/HLOOKUP(D93,Table!$C$3:$D$4,2,0)*8,2)</f>
        <v>1.52</v>
      </c>
      <c r="Z93" s="15">
        <f>Y93</f>
        <v>1.52</v>
      </c>
      <c r="AA93" s="15" t="s">
        <v>21</v>
      </c>
      <c r="AB93" s="19">
        <v>44064</v>
      </c>
      <c r="AC93" s="19">
        <v>44060</v>
      </c>
      <c r="AD93" s="77">
        <v>44064</v>
      </c>
      <c r="AE93" s="19">
        <v>44061</v>
      </c>
      <c r="AF93" s="19">
        <v>44061</v>
      </c>
      <c r="AG93" s="19" t="s">
        <v>155</v>
      </c>
      <c r="AH93" s="30">
        <v>1</v>
      </c>
      <c r="AI93" s="30">
        <v>1</v>
      </c>
      <c r="AJ93" s="30">
        <v>1</v>
      </c>
      <c r="AK93" s="19" t="s">
        <v>140</v>
      </c>
      <c r="AL93" s="17" t="s">
        <v>58</v>
      </c>
      <c r="AM93" s="17" t="s">
        <v>58</v>
      </c>
      <c r="AN93" s="17" t="s">
        <v>58</v>
      </c>
    </row>
    <row r="94" spans="2:40">
      <c r="B94" s="220">
        <f t="shared" si="21"/>
        <v>35</v>
      </c>
      <c r="C94" s="16">
        <v>20200817</v>
      </c>
      <c r="D94" s="73" t="s">
        <v>3</v>
      </c>
      <c r="E94" s="224" t="s">
        <v>534</v>
      </c>
      <c r="F94" s="225" t="s">
        <v>662</v>
      </c>
      <c r="G94" s="73">
        <v>1629561</v>
      </c>
      <c r="H94" s="47" t="s">
        <v>58</v>
      </c>
      <c r="I94" s="73" t="s">
        <v>504</v>
      </c>
      <c r="J94" s="47" t="s">
        <v>58</v>
      </c>
      <c r="K94" s="15" t="s">
        <v>192</v>
      </c>
      <c r="L94" s="73" t="s">
        <v>140</v>
      </c>
      <c r="M94" s="15" t="s">
        <v>535</v>
      </c>
      <c r="N94" s="73" t="s">
        <v>527</v>
      </c>
      <c r="O94" s="17" t="s">
        <v>58</v>
      </c>
      <c r="P94" s="72" t="s">
        <v>524</v>
      </c>
      <c r="Q94" s="18"/>
      <c r="R94" s="47" t="s">
        <v>58</v>
      </c>
      <c r="S94" s="15" t="s">
        <v>167</v>
      </c>
      <c r="T94" s="15" t="s">
        <v>64</v>
      </c>
      <c r="U94" s="15" t="s">
        <v>578</v>
      </c>
      <c r="V94" s="73">
        <v>307</v>
      </c>
      <c r="W94" s="136">
        <v>447</v>
      </c>
      <c r="X94" s="16">
        <f t="shared" si="26"/>
        <v>447</v>
      </c>
      <c r="Y94" s="15">
        <f>ROUNDDOWN(W94/HLOOKUP(D94,Table!$C$3:$D$4,2,0)*8,2)</f>
        <v>7.94</v>
      </c>
      <c r="Z94" s="15">
        <v>6</v>
      </c>
      <c r="AA94" s="15" t="s">
        <v>21</v>
      </c>
      <c r="AB94" s="19">
        <v>44064</v>
      </c>
      <c r="AC94" s="19">
        <v>44060</v>
      </c>
      <c r="AD94" s="77">
        <v>44064</v>
      </c>
      <c r="AE94" s="19">
        <v>44061</v>
      </c>
      <c r="AF94" s="19">
        <v>44061</v>
      </c>
      <c r="AG94" s="19" t="s">
        <v>156</v>
      </c>
      <c r="AH94" s="30">
        <v>1</v>
      </c>
      <c r="AI94" s="30">
        <v>0.99</v>
      </c>
      <c r="AJ94" s="30">
        <v>1</v>
      </c>
      <c r="AK94" s="19" t="s">
        <v>130</v>
      </c>
      <c r="AL94" s="17" t="s">
        <v>654</v>
      </c>
      <c r="AM94" s="17" t="s">
        <v>58</v>
      </c>
      <c r="AN94" s="17" t="s">
        <v>1052</v>
      </c>
    </row>
    <row r="95" spans="2:40">
      <c r="B95" s="220">
        <f t="shared" si="21"/>
        <v>36</v>
      </c>
      <c r="C95" s="16">
        <v>20200817</v>
      </c>
      <c r="D95" s="73" t="s">
        <v>3</v>
      </c>
      <c r="E95" s="224" t="s">
        <v>534</v>
      </c>
      <c r="F95" s="225" t="s">
        <v>662</v>
      </c>
      <c r="G95" s="73">
        <v>1629561</v>
      </c>
      <c r="H95" s="47" t="s">
        <v>58</v>
      </c>
      <c r="I95" s="73" t="s">
        <v>505</v>
      </c>
      <c r="J95" s="47" t="s">
        <v>58</v>
      </c>
      <c r="K95" s="15" t="s">
        <v>192</v>
      </c>
      <c r="L95" s="73" t="s">
        <v>140</v>
      </c>
      <c r="M95" s="15" t="s">
        <v>535</v>
      </c>
      <c r="N95" s="73" t="s">
        <v>527</v>
      </c>
      <c r="O95" s="17" t="s">
        <v>58</v>
      </c>
      <c r="P95" s="72" t="s">
        <v>524</v>
      </c>
      <c r="Q95" s="18"/>
      <c r="R95" s="47" t="s">
        <v>58</v>
      </c>
      <c r="S95" s="15" t="s">
        <v>167</v>
      </c>
      <c r="T95" s="15" t="s">
        <v>64</v>
      </c>
      <c r="U95" s="15" t="s">
        <v>578</v>
      </c>
      <c r="V95" s="73">
        <v>211</v>
      </c>
      <c r="W95" s="136">
        <v>232</v>
      </c>
      <c r="X95" s="16">
        <f t="shared" si="26"/>
        <v>232</v>
      </c>
      <c r="Y95" s="15">
        <f>ROUNDDOWN(W95/HLOOKUP(D95,Table!$C$3:$D$4,2,0)*8,2)</f>
        <v>4.12</v>
      </c>
      <c r="Z95" s="15">
        <v>4</v>
      </c>
      <c r="AA95" s="15" t="s">
        <v>21</v>
      </c>
      <c r="AB95" s="19">
        <v>44064</v>
      </c>
      <c r="AC95" s="19">
        <v>44060</v>
      </c>
      <c r="AD95" s="77">
        <v>44064</v>
      </c>
      <c r="AE95" s="19">
        <v>44061</v>
      </c>
      <c r="AF95" s="19">
        <v>44061</v>
      </c>
      <c r="AG95" s="19" t="s">
        <v>155</v>
      </c>
      <c r="AH95" s="30">
        <v>1</v>
      </c>
      <c r="AI95" s="30">
        <v>1</v>
      </c>
      <c r="AJ95" s="30">
        <v>1</v>
      </c>
      <c r="AK95" s="19" t="s">
        <v>140</v>
      </c>
      <c r="AL95" s="17" t="s">
        <v>58</v>
      </c>
      <c r="AM95" s="17" t="s">
        <v>58</v>
      </c>
      <c r="AN95" s="17" t="s">
        <v>1053</v>
      </c>
    </row>
    <row r="96" spans="2:40">
      <c r="B96" s="220">
        <f t="shared" si="21"/>
        <v>37</v>
      </c>
      <c r="C96" s="16">
        <v>20200817</v>
      </c>
      <c r="D96" s="73" t="s">
        <v>3</v>
      </c>
      <c r="E96" s="224" t="s">
        <v>534</v>
      </c>
      <c r="F96" s="225" t="s">
        <v>662</v>
      </c>
      <c r="G96" s="73">
        <v>1629561</v>
      </c>
      <c r="H96" s="47" t="s">
        <v>58</v>
      </c>
      <c r="I96" s="73" t="s">
        <v>506</v>
      </c>
      <c r="J96" s="47" t="s">
        <v>58</v>
      </c>
      <c r="K96" s="15" t="s">
        <v>192</v>
      </c>
      <c r="L96" s="73" t="s">
        <v>140</v>
      </c>
      <c r="M96" s="15" t="s">
        <v>535</v>
      </c>
      <c r="N96" s="73" t="s">
        <v>527</v>
      </c>
      <c r="O96" s="17" t="s">
        <v>58</v>
      </c>
      <c r="P96" s="72" t="s">
        <v>524</v>
      </c>
      <c r="Q96" s="18"/>
      <c r="R96" s="47" t="s">
        <v>58</v>
      </c>
      <c r="S96" s="15" t="s">
        <v>167</v>
      </c>
      <c r="T96" s="15" t="s">
        <v>64</v>
      </c>
      <c r="U96" s="15" t="s">
        <v>578</v>
      </c>
      <c r="V96" s="73">
        <v>232</v>
      </c>
      <c r="W96" s="16">
        <f t="shared" si="24"/>
        <v>232</v>
      </c>
      <c r="X96" s="15">
        <f t="shared" si="26"/>
        <v>232</v>
      </c>
      <c r="Y96" s="15">
        <f>ROUNDDOWN(W96/HLOOKUP(D96,Table!$C$3:$D$4,2,0)*8,2)</f>
        <v>4.12</v>
      </c>
      <c r="Z96" s="15">
        <v>5</v>
      </c>
      <c r="AA96" s="15" t="s">
        <v>21</v>
      </c>
      <c r="AB96" s="19">
        <v>44064</v>
      </c>
      <c r="AC96" s="19">
        <v>44060</v>
      </c>
      <c r="AD96" s="77">
        <v>44064</v>
      </c>
      <c r="AE96" s="19">
        <v>44061</v>
      </c>
      <c r="AF96" s="19">
        <v>44061</v>
      </c>
      <c r="AG96" s="19" t="s">
        <v>155</v>
      </c>
      <c r="AH96" s="30">
        <v>1</v>
      </c>
      <c r="AI96" s="30">
        <v>1</v>
      </c>
      <c r="AJ96" s="30">
        <v>1</v>
      </c>
      <c r="AK96" s="19" t="s">
        <v>140</v>
      </c>
      <c r="AL96" s="17" t="s">
        <v>58</v>
      </c>
      <c r="AM96" s="17" t="s">
        <v>58</v>
      </c>
      <c r="AN96" s="17" t="s">
        <v>58</v>
      </c>
    </row>
    <row r="97" spans="2:40">
      <c r="B97" s="220">
        <f t="shared" si="21"/>
        <v>38</v>
      </c>
      <c r="C97" s="16">
        <v>20200817</v>
      </c>
      <c r="D97" s="73" t="s">
        <v>3</v>
      </c>
      <c r="E97" s="224" t="s">
        <v>534</v>
      </c>
      <c r="F97" s="225" t="s">
        <v>662</v>
      </c>
      <c r="G97" s="73">
        <v>1629561</v>
      </c>
      <c r="H97" s="47" t="s">
        <v>58</v>
      </c>
      <c r="I97" s="73" t="s">
        <v>507</v>
      </c>
      <c r="J97" s="47" t="s">
        <v>58</v>
      </c>
      <c r="K97" s="15" t="s">
        <v>192</v>
      </c>
      <c r="L97" s="73" t="s">
        <v>140</v>
      </c>
      <c r="M97" s="15" t="s">
        <v>535</v>
      </c>
      <c r="N97" s="73" t="s">
        <v>527</v>
      </c>
      <c r="O97" s="17" t="s">
        <v>58</v>
      </c>
      <c r="P97" s="72" t="s">
        <v>524</v>
      </c>
      <c r="Q97" s="18"/>
      <c r="R97" s="47" t="s">
        <v>58</v>
      </c>
      <c r="S97" s="15" t="s">
        <v>167</v>
      </c>
      <c r="T97" s="15" t="s">
        <v>64</v>
      </c>
      <c r="U97" s="15" t="s">
        <v>578</v>
      </c>
      <c r="V97" s="73">
        <v>130</v>
      </c>
      <c r="W97" s="136">
        <v>155</v>
      </c>
      <c r="X97" s="15">
        <f t="shared" si="26"/>
        <v>155</v>
      </c>
      <c r="Y97" s="15">
        <f>ROUNDDOWN(W97/HLOOKUP(D97,Table!$C$3:$D$4,2,0)*8,2)</f>
        <v>2.75</v>
      </c>
      <c r="Z97" s="15">
        <v>5</v>
      </c>
      <c r="AA97" s="15" t="s">
        <v>21</v>
      </c>
      <c r="AB97" s="19">
        <v>44064</v>
      </c>
      <c r="AC97" s="19">
        <v>44060</v>
      </c>
      <c r="AD97" s="77">
        <v>44064</v>
      </c>
      <c r="AE97" s="19">
        <v>44062</v>
      </c>
      <c r="AF97" s="19">
        <v>44062</v>
      </c>
      <c r="AG97" s="19" t="s">
        <v>156</v>
      </c>
      <c r="AH97" s="30">
        <v>1</v>
      </c>
      <c r="AI97" s="30">
        <v>1</v>
      </c>
      <c r="AJ97" s="30">
        <v>0.83</v>
      </c>
      <c r="AK97" s="19" t="s">
        <v>130</v>
      </c>
      <c r="AL97" s="17" t="s">
        <v>1050</v>
      </c>
      <c r="AM97" s="17" t="s">
        <v>58</v>
      </c>
      <c r="AN97" s="17" t="s">
        <v>1052</v>
      </c>
    </row>
    <row r="98" spans="2:40">
      <c r="B98" s="220">
        <f t="shared" si="21"/>
        <v>39</v>
      </c>
      <c r="C98" s="16">
        <v>20200817</v>
      </c>
      <c r="D98" s="73" t="s">
        <v>3</v>
      </c>
      <c r="E98" s="224" t="s">
        <v>534</v>
      </c>
      <c r="F98" s="225" t="s">
        <v>662</v>
      </c>
      <c r="G98" s="73">
        <v>1629561</v>
      </c>
      <c r="H98" s="47" t="s">
        <v>58</v>
      </c>
      <c r="I98" s="73" t="s">
        <v>508</v>
      </c>
      <c r="J98" s="47" t="s">
        <v>58</v>
      </c>
      <c r="K98" s="15" t="s">
        <v>192</v>
      </c>
      <c r="L98" s="73" t="s">
        <v>140</v>
      </c>
      <c r="M98" s="15" t="s">
        <v>535</v>
      </c>
      <c r="N98" s="73" t="s">
        <v>527</v>
      </c>
      <c r="O98" s="17" t="s">
        <v>58</v>
      </c>
      <c r="P98" s="72" t="s">
        <v>524</v>
      </c>
      <c r="Q98" s="18"/>
      <c r="R98" s="47" t="s">
        <v>58</v>
      </c>
      <c r="S98" s="15" t="s">
        <v>167</v>
      </c>
      <c r="T98" s="15" t="s">
        <v>64</v>
      </c>
      <c r="U98" s="15" t="s">
        <v>578</v>
      </c>
      <c r="V98" s="73">
        <v>206</v>
      </c>
      <c r="W98" s="136">
        <v>247</v>
      </c>
      <c r="X98" s="15">
        <f t="shared" si="26"/>
        <v>247</v>
      </c>
      <c r="Y98" s="15">
        <f>ROUNDDOWN(W98/HLOOKUP(D98,Table!$C$3:$D$4,2,0)*8,2)</f>
        <v>4.3899999999999997</v>
      </c>
      <c r="Z98" s="15">
        <v>4.5</v>
      </c>
      <c r="AA98" s="15" t="s">
        <v>21</v>
      </c>
      <c r="AB98" s="19">
        <v>44064</v>
      </c>
      <c r="AC98" s="19">
        <v>44060</v>
      </c>
      <c r="AD98" s="77">
        <v>44064</v>
      </c>
      <c r="AE98" s="19">
        <v>44062</v>
      </c>
      <c r="AF98" s="19">
        <v>44062</v>
      </c>
      <c r="AG98" s="19" t="s">
        <v>155</v>
      </c>
      <c r="AH98" s="30">
        <v>1</v>
      </c>
      <c r="AI98" s="30">
        <v>1</v>
      </c>
      <c r="AJ98" s="30">
        <v>1</v>
      </c>
      <c r="AK98" s="19" t="s">
        <v>140</v>
      </c>
      <c r="AL98" s="17" t="s">
        <v>58</v>
      </c>
      <c r="AM98" s="17" t="s">
        <v>58</v>
      </c>
      <c r="AN98" s="17" t="s">
        <v>1053</v>
      </c>
    </row>
    <row r="99" spans="2:40">
      <c r="B99" s="220">
        <f t="shared" si="21"/>
        <v>40</v>
      </c>
      <c r="C99" s="16">
        <v>20200817</v>
      </c>
      <c r="D99" s="73" t="s">
        <v>3</v>
      </c>
      <c r="E99" s="224" t="s">
        <v>534</v>
      </c>
      <c r="F99" s="225" t="s">
        <v>542</v>
      </c>
      <c r="G99" s="73">
        <v>1629561</v>
      </c>
      <c r="H99" s="47" t="s">
        <v>58</v>
      </c>
      <c r="I99" s="73" t="s">
        <v>509</v>
      </c>
      <c r="J99" s="47" t="s">
        <v>58</v>
      </c>
      <c r="K99" s="15" t="s">
        <v>192</v>
      </c>
      <c r="L99" s="73" t="s">
        <v>140</v>
      </c>
      <c r="M99" s="15" t="s">
        <v>535</v>
      </c>
      <c r="N99" s="73" t="s">
        <v>527</v>
      </c>
      <c r="O99" s="17" t="s">
        <v>58</v>
      </c>
      <c r="P99" s="72" t="s">
        <v>524</v>
      </c>
      <c r="Q99" s="18"/>
      <c r="R99" s="47" t="s">
        <v>58</v>
      </c>
      <c r="S99" s="15" t="s">
        <v>169</v>
      </c>
      <c r="T99" s="15" t="s">
        <v>168</v>
      </c>
      <c r="U99" s="15" t="s">
        <v>578</v>
      </c>
      <c r="V99" s="73">
        <v>250</v>
      </c>
      <c r="W99" s="16">
        <f t="shared" si="24"/>
        <v>250</v>
      </c>
      <c r="X99" s="15">
        <f t="shared" ref="X99:X106" si="27">W99</f>
        <v>250</v>
      </c>
      <c r="Y99" s="15">
        <f>ROUNDDOWN(W99/HLOOKUP(D99,Table!$C$3:$D$4,2,0)*8,2)</f>
        <v>4.4400000000000004</v>
      </c>
      <c r="Z99" s="15">
        <f t="shared" ref="Z99:Z106" si="28">Y99</f>
        <v>4.4400000000000004</v>
      </c>
      <c r="AA99" s="15" t="s">
        <v>21</v>
      </c>
      <c r="AB99" s="19">
        <v>44064</v>
      </c>
      <c r="AC99" s="19">
        <v>44060</v>
      </c>
      <c r="AD99" s="77">
        <v>44064</v>
      </c>
      <c r="AE99" s="19">
        <v>44061</v>
      </c>
      <c r="AF99" s="19">
        <v>44061</v>
      </c>
      <c r="AG99" s="19" t="s">
        <v>155</v>
      </c>
      <c r="AH99" s="30">
        <v>1</v>
      </c>
      <c r="AI99" s="30">
        <v>1</v>
      </c>
      <c r="AJ99" s="30">
        <v>1</v>
      </c>
      <c r="AK99" s="19" t="s">
        <v>140</v>
      </c>
      <c r="AL99" s="17" t="s">
        <v>58</v>
      </c>
      <c r="AM99" s="17" t="s">
        <v>58</v>
      </c>
      <c r="AN99" s="17" t="s">
        <v>58</v>
      </c>
    </row>
    <row r="100" spans="2:40">
      <c r="B100" s="220">
        <f t="shared" si="21"/>
        <v>41</v>
      </c>
      <c r="C100" s="16">
        <v>20200817</v>
      </c>
      <c r="D100" s="73" t="s">
        <v>3</v>
      </c>
      <c r="E100" s="224" t="s">
        <v>534</v>
      </c>
      <c r="F100" s="225" t="s">
        <v>542</v>
      </c>
      <c r="G100" s="73">
        <v>1629561</v>
      </c>
      <c r="H100" s="47" t="s">
        <v>58</v>
      </c>
      <c r="I100" s="73" t="s">
        <v>510</v>
      </c>
      <c r="J100" s="47" t="s">
        <v>58</v>
      </c>
      <c r="K100" s="15" t="s">
        <v>192</v>
      </c>
      <c r="L100" s="73" t="s">
        <v>140</v>
      </c>
      <c r="M100" s="15" t="s">
        <v>535</v>
      </c>
      <c r="N100" s="73" t="s">
        <v>527</v>
      </c>
      <c r="O100" s="17" t="s">
        <v>58</v>
      </c>
      <c r="P100" s="72" t="s">
        <v>524</v>
      </c>
      <c r="Q100" s="18"/>
      <c r="R100" s="47" t="s">
        <v>58</v>
      </c>
      <c r="S100" s="15" t="s">
        <v>169</v>
      </c>
      <c r="T100" s="15" t="s">
        <v>168</v>
      </c>
      <c r="U100" s="15" t="s">
        <v>578</v>
      </c>
      <c r="V100" s="73">
        <v>49</v>
      </c>
      <c r="W100" s="16">
        <f t="shared" si="24"/>
        <v>49</v>
      </c>
      <c r="X100" s="15">
        <f t="shared" si="27"/>
        <v>49</v>
      </c>
      <c r="Y100" s="15">
        <f>ROUNDDOWN(W100/HLOOKUP(D100,Table!$C$3:$D$4,2,0)*8,2)</f>
        <v>0.87</v>
      </c>
      <c r="Z100" s="15">
        <f t="shared" si="28"/>
        <v>0.87</v>
      </c>
      <c r="AA100" s="15" t="s">
        <v>21</v>
      </c>
      <c r="AB100" s="19">
        <v>44064</v>
      </c>
      <c r="AC100" s="19">
        <v>44060</v>
      </c>
      <c r="AD100" s="77">
        <v>44064</v>
      </c>
      <c r="AE100" s="19">
        <v>44061</v>
      </c>
      <c r="AF100" s="19">
        <v>44061</v>
      </c>
      <c r="AG100" s="19" t="s">
        <v>155</v>
      </c>
      <c r="AH100" s="30">
        <v>1</v>
      </c>
      <c r="AI100" s="30">
        <v>1</v>
      </c>
      <c r="AJ100" s="30">
        <v>1</v>
      </c>
      <c r="AK100" s="19" t="s">
        <v>140</v>
      </c>
      <c r="AL100" s="17" t="s">
        <v>58</v>
      </c>
      <c r="AM100" s="17" t="s">
        <v>58</v>
      </c>
      <c r="AN100" s="17" t="s">
        <v>58</v>
      </c>
    </row>
    <row r="101" spans="2:40">
      <c r="B101" s="220">
        <f t="shared" si="21"/>
        <v>42</v>
      </c>
      <c r="C101" s="16">
        <v>20200817</v>
      </c>
      <c r="D101" s="73" t="s">
        <v>3</v>
      </c>
      <c r="E101" s="224" t="s">
        <v>534</v>
      </c>
      <c r="F101" s="225" t="s">
        <v>542</v>
      </c>
      <c r="G101" s="73">
        <v>1629561</v>
      </c>
      <c r="H101" s="47" t="s">
        <v>58</v>
      </c>
      <c r="I101" s="73" t="s">
        <v>511</v>
      </c>
      <c r="J101" s="47" t="s">
        <v>58</v>
      </c>
      <c r="K101" s="15" t="s">
        <v>192</v>
      </c>
      <c r="L101" s="73" t="s">
        <v>140</v>
      </c>
      <c r="M101" s="15" t="s">
        <v>535</v>
      </c>
      <c r="N101" s="73" t="s">
        <v>527</v>
      </c>
      <c r="O101" s="17" t="s">
        <v>58</v>
      </c>
      <c r="P101" s="72" t="s">
        <v>524</v>
      </c>
      <c r="Q101" s="18"/>
      <c r="R101" s="47" t="s">
        <v>58</v>
      </c>
      <c r="S101" s="15" t="s">
        <v>169</v>
      </c>
      <c r="T101" s="15" t="s">
        <v>168</v>
      </c>
      <c r="U101" s="15" t="s">
        <v>578</v>
      </c>
      <c r="V101" s="73">
        <v>28</v>
      </c>
      <c r="W101" s="16">
        <f t="shared" si="24"/>
        <v>28</v>
      </c>
      <c r="X101" s="15">
        <f t="shared" si="27"/>
        <v>28</v>
      </c>
      <c r="Y101" s="15">
        <f>ROUNDDOWN(W101/HLOOKUP(D101,Table!$C$3:$D$4,2,0)*8,2)</f>
        <v>0.49</v>
      </c>
      <c r="Z101" s="15">
        <f t="shared" si="28"/>
        <v>0.49</v>
      </c>
      <c r="AA101" s="15" t="s">
        <v>21</v>
      </c>
      <c r="AB101" s="19">
        <v>44064</v>
      </c>
      <c r="AC101" s="19">
        <v>44060</v>
      </c>
      <c r="AD101" s="77">
        <v>44064</v>
      </c>
      <c r="AE101" s="19">
        <v>44061</v>
      </c>
      <c r="AF101" s="19">
        <v>44061</v>
      </c>
      <c r="AG101" s="19" t="s">
        <v>155</v>
      </c>
      <c r="AH101" s="30">
        <v>1</v>
      </c>
      <c r="AI101" s="30">
        <v>1</v>
      </c>
      <c r="AJ101" s="30">
        <v>1</v>
      </c>
      <c r="AK101" s="19" t="s">
        <v>140</v>
      </c>
      <c r="AL101" s="17" t="s">
        <v>58</v>
      </c>
      <c r="AM101" s="17" t="s">
        <v>58</v>
      </c>
      <c r="AN101" s="17" t="s">
        <v>58</v>
      </c>
    </row>
    <row r="102" spans="2:40">
      <c r="B102" s="220">
        <f t="shared" si="21"/>
        <v>43</v>
      </c>
      <c r="C102" s="16">
        <v>20200817</v>
      </c>
      <c r="D102" s="73" t="s">
        <v>3</v>
      </c>
      <c r="E102" s="224" t="s">
        <v>534</v>
      </c>
      <c r="F102" s="240" t="s">
        <v>542</v>
      </c>
      <c r="G102" s="73">
        <v>1629561</v>
      </c>
      <c r="H102" s="47" t="s">
        <v>58</v>
      </c>
      <c r="I102" s="73" t="s">
        <v>512</v>
      </c>
      <c r="J102" s="47" t="s">
        <v>58</v>
      </c>
      <c r="K102" s="15" t="s">
        <v>192</v>
      </c>
      <c r="L102" s="73" t="s">
        <v>140</v>
      </c>
      <c r="M102" s="15" t="s">
        <v>535</v>
      </c>
      <c r="N102" s="73" t="s">
        <v>527</v>
      </c>
      <c r="O102" s="17" t="s">
        <v>58</v>
      </c>
      <c r="P102" s="72" t="s">
        <v>524</v>
      </c>
      <c r="Q102" s="18"/>
      <c r="R102" s="47" t="s">
        <v>58</v>
      </c>
      <c r="S102" s="15" t="s">
        <v>169</v>
      </c>
      <c r="T102" s="15" t="s">
        <v>168</v>
      </c>
      <c r="U102" s="15" t="s">
        <v>578</v>
      </c>
      <c r="V102" s="73">
        <v>107</v>
      </c>
      <c r="W102" s="136">
        <v>118</v>
      </c>
      <c r="X102" s="15">
        <f t="shared" si="27"/>
        <v>118</v>
      </c>
      <c r="Y102" s="15">
        <f>ROUNDDOWN(W102/HLOOKUP(D102,Table!$C$3:$D$4,2,0)*8,2)</f>
        <v>2.09</v>
      </c>
      <c r="Z102" s="15">
        <f t="shared" si="28"/>
        <v>2.09</v>
      </c>
      <c r="AA102" s="15" t="s">
        <v>21</v>
      </c>
      <c r="AB102" s="19">
        <v>44064</v>
      </c>
      <c r="AC102" s="19">
        <v>44060</v>
      </c>
      <c r="AD102" s="77">
        <v>44064</v>
      </c>
      <c r="AE102" s="19">
        <v>44062</v>
      </c>
      <c r="AF102" s="19">
        <v>44062</v>
      </c>
      <c r="AG102" s="19" t="s">
        <v>155</v>
      </c>
      <c r="AH102" s="30">
        <v>1</v>
      </c>
      <c r="AI102" s="30">
        <v>1</v>
      </c>
      <c r="AJ102" s="30">
        <v>1</v>
      </c>
      <c r="AK102" s="19" t="s">
        <v>140</v>
      </c>
      <c r="AL102" s="17" t="s">
        <v>58</v>
      </c>
      <c r="AM102" s="17" t="s">
        <v>58</v>
      </c>
      <c r="AN102" s="17" t="s">
        <v>58</v>
      </c>
    </row>
    <row r="103" spans="2:40">
      <c r="B103" s="220">
        <f t="shared" si="21"/>
        <v>44</v>
      </c>
      <c r="C103" s="16">
        <v>20200817</v>
      </c>
      <c r="D103" s="73" t="s">
        <v>3</v>
      </c>
      <c r="E103" s="224" t="s">
        <v>534</v>
      </c>
      <c r="F103" s="240" t="s">
        <v>542</v>
      </c>
      <c r="G103" s="73">
        <v>1629561</v>
      </c>
      <c r="H103" s="47" t="s">
        <v>58</v>
      </c>
      <c r="I103" s="73" t="s">
        <v>513</v>
      </c>
      <c r="J103" s="47" t="s">
        <v>58</v>
      </c>
      <c r="K103" s="15" t="s">
        <v>192</v>
      </c>
      <c r="L103" s="73" t="s">
        <v>140</v>
      </c>
      <c r="M103" s="15" t="s">
        <v>535</v>
      </c>
      <c r="N103" s="73" t="s">
        <v>527</v>
      </c>
      <c r="O103" s="17" t="s">
        <v>58</v>
      </c>
      <c r="P103" s="72" t="s">
        <v>524</v>
      </c>
      <c r="Q103" s="18"/>
      <c r="R103" s="47" t="s">
        <v>58</v>
      </c>
      <c r="S103" s="15" t="s">
        <v>169</v>
      </c>
      <c r="T103" s="15" t="s">
        <v>168</v>
      </c>
      <c r="U103" s="15" t="s">
        <v>578</v>
      </c>
      <c r="V103" s="73">
        <v>259</v>
      </c>
      <c r="W103" s="16">
        <f t="shared" si="24"/>
        <v>259</v>
      </c>
      <c r="X103" s="15">
        <f t="shared" si="27"/>
        <v>259</v>
      </c>
      <c r="Y103" s="15">
        <f>ROUNDDOWN(W103/HLOOKUP(D103,Table!$C$3:$D$4,2,0)*8,2)</f>
        <v>4.5999999999999996</v>
      </c>
      <c r="Z103" s="15">
        <f t="shared" si="28"/>
        <v>4.5999999999999996</v>
      </c>
      <c r="AA103" s="15" t="s">
        <v>21</v>
      </c>
      <c r="AB103" s="19">
        <v>44064</v>
      </c>
      <c r="AC103" s="19">
        <v>44060</v>
      </c>
      <c r="AD103" s="77">
        <v>44064</v>
      </c>
      <c r="AE103" s="19">
        <v>44062</v>
      </c>
      <c r="AF103" s="19">
        <v>44062</v>
      </c>
      <c r="AG103" s="19" t="s">
        <v>155</v>
      </c>
      <c r="AH103" s="30">
        <v>1</v>
      </c>
      <c r="AI103" s="30">
        <v>1</v>
      </c>
      <c r="AJ103" s="30">
        <v>1</v>
      </c>
      <c r="AK103" s="19" t="s">
        <v>140</v>
      </c>
      <c r="AL103" s="17" t="s">
        <v>58</v>
      </c>
      <c r="AM103" s="17" t="s">
        <v>58</v>
      </c>
      <c r="AN103" s="17" t="s">
        <v>58</v>
      </c>
    </row>
    <row r="104" spans="2:40">
      <c r="B104" s="220">
        <f t="shared" si="21"/>
        <v>45</v>
      </c>
      <c r="C104" s="16">
        <v>20200817</v>
      </c>
      <c r="D104" s="73" t="s">
        <v>3</v>
      </c>
      <c r="E104" s="224" t="s">
        <v>534</v>
      </c>
      <c r="F104" s="240" t="s">
        <v>542</v>
      </c>
      <c r="G104" s="73">
        <v>1629561</v>
      </c>
      <c r="H104" s="47" t="s">
        <v>58</v>
      </c>
      <c r="I104" s="73" t="s">
        <v>514</v>
      </c>
      <c r="J104" s="47" t="s">
        <v>58</v>
      </c>
      <c r="K104" s="15" t="s">
        <v>192</v>
      </c>
      <c r="L104" s="73" t="s">
        <v>140</v>
      </c>
      <c r="M104" s="15" t="s">
        <v>535</v>
      </c>
      <c r="N104" s="73" t="s">
        <v>527</v>
      </c>
      <c r="O104" s="17" t="s">
        <v>58</v>
      </c>
      <c r="P104" s="72" t="s">
        <v>524</v>
      </c>
      <c r="Q104" s="18"/>
      <c r="R104" s="47" t="s">
        <v>58</v>
      </c>
      <c r="S104" s="15" t="s">
        <v>169</v>
      </c>
      <c r="T104" s="15" t="s">
        <v>168</v>
      </c>
      <c r="U104" s="15" t="s">
        <v>578</v>
      </c>
      <c r="V104" s="73">
        <v>137</v>
      </c>
      <c r="W104" s="16">
        <f t="shared" si="24"/>
        <v>137</v>
      </c>
      <c r="X104" s="15">
        <f t="shared" si="27"/>
        <v>137</v>
      </c>
      <c r="Y104" s="15">
        <f>ROUNDDOWN(W104/HLOOKUP(D104,Table!$C$3:$D$4,2,0)*8,2)</f>
        <v>2.4300000000000002</v>
      </c>
      <c r="Z104" s="15">
        <f t="shared" si="28"/>
        <v>2.4300000000000002</v>
      </c>
      <c r="AA104" s="15" t="s">
        <v>21</v>
      </c>
      <c r="AB104" s="19">
        <v>44064</v>
      </c>
      <c r="AC104" s="19">
        <v>44060</v>
      </c>
      <c r="AD104" s="77">
        <v>44064</v>
      </c>
      <c r="AE104" s="19">
        <v>44062</v>
      </c>
      <c r="AF104" s="19">
        <v>44062</v>
      </c>
      <c r="AG104" s="19" t="s">
        <v>155</v>
      </c>
      <c r="AH104" s="30">
        <v>1</v>
      </c>
      <c r="AI104" s="30">
        <v>1</v>
      </c>
      <c r="AJ104" s="30">
        <v>1</v>
      </c>
      <c r="AK104" s="19" t="s">
        <v>140</v>
      </c>
      <c r="AL104" s="17" t="s">
        <v>58</v>
      </c>
      <c r="AM104" s="17" t="s">
        <v>58</v>
      </c>
      <c r="AN104" s="17" t="s">
        <v>58</v>
      </c>
    </row>
    <row r="105" spans="2:40">
      <c r="B105" s="220">
        <f t="shared" si="21"/>
        <v>46</v>
      </c>
      <c r="C105" s="16">
        <v>20200817</v>
      </c>
      <c r="D105" s="73" t="s">
        <v>3</v>
      </c>
      <c r="E105" s="224" t="s">
        <v>534</v>
      </c>
      <c r="F105" s="240" t="s">
        <v>542</v>
      </c>
      <c r="G105" s="73">
        <v>1629561</v>
      </c>
      <c r="H105" s="47" t="s">
        <v>58</v>
      </c>
      <c r="I105" s="73" t="s">
        <v>515</v>
      </c>
      <c r="J105" s="47" t="s">
        <v>58</v>
      </c>
      <c r="K105" s="15" t="s">
        <v>192</v>
      </c>
      <c r="L105" s="73" t="s">
        <v>140</v>
      </c>
      <c r="M105" s="15" t="s">
        <v>535</v>
      </c>
      <c r="N105" s="73" t="s">
        <v>527</v>
      </c>
      <c r="O105" s="17" t="s">
        <v>58</v>
      </c>
      <c r="P105" s="72" t="s">
        <v>524</v>
      </c>
      <c r="Q105" s="18"/>
      <c r="R105" s="47" t="s">
        <v>58</v>
      </c>
      <c r="S105" s="15" t="s">
        <v>169</v>
      </c>
      <c r="T105" s="15" t="s">
        <v>168</v>
      </c>
      <c r="U105" s="15" t="s">
        <v>578</v>
      </c>
      <c r="V105" s="73">
        <v>135</v>
      </c>
      <c r="W105" s="16">
        <f t="shared" si="24"/>
        <v>135</v>
      </c>
      <c r="X105" s="15">
        <f t="shared" si="27"/>
        <v>135</v>
      </c>
      <c r="Y105" s="15">
        <f>ROUNDDOWN(W105/HLOOKUP(D105,Table!$C$3:$D$4,2,0)*8,2)</f>
        <v>2.4</v>
      </c>
      <c r="Z105" s="15">
        <f t="shared" si="28"/>
        <v>2.4</v>
      </c>
      <c r="AA105" s="15" t="s">
        <v>21</v>
      </c>
      <c r="AB105" s="19">
        <v>44064</v>
      </c>
      <c r="AC105" s="19">
        <v>44060</v>
      </c>
      <c r="AD105" s="77">
        <v>44064</v>
      </c>
      <c r="AE105" s="19">
        <v>44063</v>
      </c>
      <c r="AF105" s="19">
        <v>44063</v>
      </c>
      <c r="AG105" s="19" t="s">
        <v>155</v>
      </c>
      <c r="AH105" s="30">
        <v>1</v>
      </c>
      <c r="AI105" s="30">
        <v>1</v>
      </c>
      <c r="AJ105" s="30">
        <v>1</v>
      </c>
      <c r="AK105" s="19" t="s">
        <v>140</v>
      </c>
      <c r="AL105" s="17" t="s">
        <v>58</v>
      </c>
      <c r="AM105" s="17" t="s">
        <v>58</v>
      </c>
      <c r="AN105" s="17" t="s">
        <v>58</v>
      </c>
    </row>
    <row r="106" spans="2:40">
      <c r="B106" s="220">
        <f t="shared" si="21"/>
        <v>47</v>
      </c>
      <c r="C106" s="16">
        <v>20200817</v>
      </c>
      <c r="D106" s="73" t="s">
        <v>3</v>
      </c>
      <c r="E106" s="224" t="s">
        <v>534</v>
      </c>
      <c r="F106" s="240" t="s">
        <v>542</v>
      </c>
      <c r="G106" s="73">
        <v>1629561</v>
      </c>
      <c r="H106" s="47" t="s">
        <v>58</v>
      </c>
      <c r="I106" s="73" t="s">
        <v>516</v>
      </c>
      <c r="J106" s="47" t="s">
        <v>58</v>
      </c>
      <c r="K106" s="15" t="s">
        <v>192</v>
      </c>
      <c r="L106" s="73" t="s">
        <v>140</v>
      </c>
      <c r="M106" s="15" t="s">
        <v>535</v>
      </c>
      <c r="N106" s="73" t="s">
        <v>527</v>
      </c>
      <c r="O106" s="17" t="s">
        <v>58</v>
      </c>
      <c r="P106" s="72" t="s">
        <v>524</v>
      </c>
      <c r="Q106" s="18"/>
      <c r="R106" s="47" t="s">
        <v>58</v>
      </c>
      <c r="S106" s="15" t="s">
        <v>169</v>
      </c>
      <c r="T106" s="15" t="s">
        <v>168</v>
      </c>
      <c r="U106" s="15" t="s">
        <v>578</v>
      </c>
      <c r="V106" s="73">
        <v>50</v>
      </c>
      <c r="W106" s="16">
        <f t="shared" si="24"/>
        <v>50</v>
      </c>
      <c r="X106" s="15">
        <f t="shared" si="27"/>
        <v>50</v>
      </c>
      <c r="Y106" s="15">
        <f>ROUNDDOWN(W106/HLOOKUP(D106,Table!$C$3:$D$4,2,0)*8,2)</f>
        <v>0.88</v>
      </c>
      <c r="Z106" s="15">
        <f t="shared" si="28"/>
        <v>0.88</v>
      </c>
      <c r="AA106" s="15" t="s">
        <v>21</v>
      </c>
      <c r="AB106" s="19">
        <v>44064</v>
      </c>
      <c r="AC106" s="19">
        <v>44060</v>
      </c>
      <c r="AD106" s="77">
        <v>44064</v>
      </c>
      <c r="AE106" s="19">
        <v>44063</v>
      </c>
      <c r="AF106" s="19">
        <v>44063</v>
      </c>
      <c r="AG106" s="19" t="s">
        <v>155</v>
      </c>
      <c r="AH106" s="30">
        <v>1</v>
      </c>
      <c r="AI106" s="30">
        <v>1</v>
      </c>
      <c r="AJ106" s="30">
        <v>1</v>
      </c>
      <c r="AK106" s="19" t="s">
        <v>140</v>
      </c>
      <c r="AL106" s="17" t="s">
        <v>58</v>
      </c>
      <c r="AM106" s="17" t="s">
        <v>58</v>
      </c>
      <c r="AN106" s="17" t="s">
        <v>58</v>
      </c>
    </row>
    <row r="107" spans="2:40">
      <c r="B107" s="220">
        <f t="shared" si="21"/>
        <v>48</v>
      </c>
      <c r="C107" s="16">
        <v>20200817</v>
      </c>
      <c r="D107" s="73" t="s">
        <v>3</v>
      </c>
      <c r="E107" s="224" t="s">
        <v>534</v>
      </c>
      <c r="F107" s="226" t="s">
        <v>662</v>
      </c>
      <c r="G107" s="73">
        <v>1629561</v>
      </c>
      <c r="H107" s="47" t="s">
        <v>58</v>
      </c>
      <c r="I107" s="73" t="s">
        <v>517</v>
      </c>
      <c r="J107" s="47" t="s">
        <v>58</v>
      </c>
      <c r="K107" s="15" t="s">
        <v>192</v>
      </c>
      <c r="L107" s="73" t="s">
        <v>140</v>
      </c>
      <c r="M107" s="15" t="s">
        <v>535</v>
      </c>
      <c r="N107" s="73" t="s">
        <v>527</v>
      </c>
      <c r="O107" s="17" t="s">
        <v>58</v>
      </c>
      <c r="P107" s="72" t="s">
        <v>524</v>
      </c>
      <c r="Q107" s="18"/>
      <c r="R107" s="47" t="s">
        <v>58</v>
      </c>
      <c r="S107" s="15" t="s">
        <v>65</v>
      </c>
      <c r="T107" s="15" t="s">
        <v>167</v>
      </c>
      <c r="U107" s="15" t="s">
        <v>578</v>
      </c>
      <c r="V107" s="73">
        <v>110</v>
      </c>
      <c r="W107" s="16">
        <f t="shared" si="24"/>
        <v>110</v>
      </c>
      <c r="X107" s="15">
        <f t="shared" ref="X107:X116" si="29">W107</f>
        <v>110</v>
      </c>
      <c r="Y107" s="15">
        <f>ROUNDDOWN(W107/HLOOKUP(D107,Table!$C$3:$D$4,2,0)*8,2)</f>
        <v>1.95</v>
      </c>
      <c r="Z107" s="15">
        <f t="shared" ref="Z107:Z112" si="30">Y107</f>
        <v>1.95</v>
      </c>
      <c r="AA107" s="15" t="s">
        <v>21</v>
      </c>
      <c r="AB107" s="19">
        <v>44064</v>
      </c>
      <c r="AC107" s="19">
        <v>44060</v>
      </c>
      <c r="AD107" s="77">
        <v>44064</v>
      </c>
      <c r="AE107" s="19">
        <v>44060</v>
      </c>
      <c r="AF107" s="19">
        <v>44060</v>
      </c>
      <c r="AG107" s="19" t="s">
        <v>155</v>
      </c>
      <c r="AH107" s="30">
        <v>1</v>
      </c>
      <c r="AI107" s="30">
        <v>1</v>
      </c>
      <c r="AJ107" s="30">
        <v>1</v>
      </c>
      <c r="AK107" s="19" t="s">
        <v>140</v>
      </c>
      <c r="AL107" s="17" t="s">
        <v>58</v>
      </c>
      <c r="AM107" s="17" t="s">
        <v>58</v>
      </c>
      <c r="AN107" s="17" t="s">
        <v>58</v>
      </c>
    </row>
    <row r="108" spans="2:40">
      <c r="B108" s="220">
        <f t="shared" si="21"/>
        <v>49</v>
      </c>
      <c r="C108" s="16">
        <v>20200817</v>
      </c>
      <c r="D108" s="73" t="s">
        <v>3</v>
      </c>
      <c r="E108" s="73" t="s">
        <v>331</v>
      </c>
      <c r="F108" s="240" t="s">
        <v>666</v>
      </c>
      <c r="G108" s="73">
        <v>1630856</v>
      </c>
      <c r="H108" s="47" t="s">
        <v>58</v>
      </c>
      <c r="I108" s="73" t="s">
        <v>518</v>
      </c>
      <c r="J108" s="47" t="s">
        <v>58</v>
      </c>
      <c r="K108" s="15" t="s">
        <v>192</v>
      </c>
      <c r="L108" s="73" t="s">
        <v>533</v>
      </c>
      <c r="M108" s="73" t="s">
        <v>531</v>
      </c>
      <c r="N108" s="73" t="s">
        <v>528</v>
      </c>
      <c r="O108" s="17" t="s">
        <v>58</v>
      </c>
      <c r="P108" s="72" t="s">
        <v>525</v>
      </c>
      <c r="Q108" s="18"/>
      <c r="R108" s="47" t="s">
        <v>58</v>
      </c>
      <c r="S108" s="15" t="s">
        <v>65</v>
      </c>
      <c r="T108" s="15" t="s">
        <v>167</v>
      </c>
      <c r="U108" s="15" t="s">
        <v>578</v>
      </c>
      <c r="V108" s="73">
        <v>89</v>
      </c>
      <c r="W108" s="16">
        <f t="shared" si="24"/>
        <v>89</v>
      </c>
      <c r="X108" s="15">
        <f t="shared" si="29"/>
        <v>89</v>
      </c>
      <c r="Y108" s="15">
        <f>ROUNDDOWN(W108/HLOOKUP(D108,Table!$C$3:$D$4,2,0)*8,2)</f>
        <v>1.58</v>
      </c>
      <c r="Z108" s="15">
        <f t="shared" si="30"/>
        <v>1.58</v>
      </c>
      <c r="AA108" s="15" t="s">
        <v>21</v>
      </c>
      <c r="AB108" s="19">
        <v>44064</v>
      </c>
      <c r="AC108" s="19">
        <v>44060</v>
      </c>
      <c r="AD108" s="77">
        <v>44064</v>
      </c>
      <c r="AE108" s="19">
        <v>44062</v>
      </c>
      <c r="AF108" s="19">
        <v>44062</v>
      </c>
      <c r="AG108" s="19" t="s">
        <v>155</v>
      </c>
      <c r="AH108" s="30">
        <v>1</v>
      </c>
      <c r="AI108" s="30">
        <v>1</v>
      </c>
      <c r="AJ108" s="30">
        <v>1</v>
      </c>
      <c r="AK108" s="19" t="s">
        <v>140</v>
      </c>
      <c r="AL108" s="17" t="s">
        <v>58</v>
      </c>
      <c r="AM108" s="17" t="s">
        <v>58</v>
      </c>
      <c r="AN108" s="17" t="s">
        <v>58</v>
      </c>
    </row>
    <row r="109" spans="2:40">
      <c r="B109" s="220">
        <f t="shared" si="21"/>
        <v>50</v>
      </c>
      <c r="C109" s="16">
        <v>20200817</v>
      </c>
      <c r="D109" s="73" t="s">
        <v>3</v>
      </c>
      <c r="E109" s="73" t="s">
        <v>331</v>
      </c>
      <c r="F109" s="225" t="s">
        <v>665</v>
      </c>
      <c r="G109" s="73">
        <v>1630856</v>
      </c>
      <c r="H109" s="47" t="s">
        <v>58</v>
      </c>
      <c r="I109" s="73" t="s">
        <v>519</v>
      </c>
      <c r="J109" s="47" t="s">
        <v>58</v>
      </c>
      <c r="K109" s="15" t="s">
        <v>192</v>
      </c>
      <c r="L109" s="73" t="s">
        <v>533</v>
      </c>
      <c r="M109" s="15" t="s">
        <v>531</v>
      </c>
      <c r="N109" s="73" t="s">
        <v>528</v>
      </c>
      <c r="O109" s="17" t="s">
        <v>58</v>
      </c>
      <c r="P109" s="72" t="s">
        <v>525</v>
      </c>
      <c r="Q109" s="18"/>
      <c r="R109" s="47" t="s">
        <v>58</v>
      </c>
      <c r="S109" s="15" t="s">
        <v>65</v>
      </c>
      <c r="T109" s="15" t="s">
        <v>167</v>
      </c>
      <c r="U109" s="15" t="s">
        <v>578</v>
      </c>
      <c r="V109" s="73">
        <v>32</v>
      </c>
      <c r="W109" s="16">
        <f t="shared" si="24"/>
        <v>32</v>
      </c>
      <c r="X109" s="15">
        <f t="shared" si="29"/>
        <v>32</v>
      </c>
      <c r="Y109" s="15">
        <f>ROUNDDOWN(W109/HLOOKUP(D109,Table!$C$3:$D$4,2,0)*8,2)</f>
        <v>0.56000000000000005</v>
      </c>
      <c r="Z109" s="15">
        <f t="shared" si="30"/>
        <v>0.56000000000000005</v>
      </c>
      <c r="AA109" s="15" t="s">
        <v>21</v>
      </c>
      <c r="AB109" s="19">
        <v>44064</v>
      </c>
      <c r="AC109" s="19">
        <v>44060</v>
      </c>
      <c r="AD109" s="77">
        <v>44064</v>
      </c>
      <c r="AE109" s="19">
        <v>44062</v>
      </c>
      <c r="AF109" s="19">
        <v>44062</v>
      </c>
      <c r="AG109" s="19" t="s">
        <v>155</v>
      </c>
      <c r="AH109" s="30">
        <v>1</v>
      </c>
      <c r="AI109" s="30">
        <v>1</v>
      </c>
      <c r="AJ109" s="30">
        <v>1</v>
      </c>
      <c r="AK109" s="19" t="s">
        <v>140</v>
      </c>
      <c r="AL109" s="17" t="s">
        <v>58</v>
      </c>
      <c r="AM109" s="17" t="s">
        <v>58</v>
      </c>
      <c r="AN109" s="17" t="s">
        <v>58</v>
      </c>
    </row>
    <row r="110" spans="2:40">
      <c r="B110" s="220">
        <f t="shared" si="21"/>
        <v>51</v>
      </c>
      <c r="C110" s="16">
        <v>20200817</v>
      </c>
      <c r="D110" s="73" t="s">
        <v>3</v>
      </c>
      <c r="E110" s="73" t="s">
        <v>331</v>
      </c>
      <c r="F110" s="240" t="s">
        <v>665</v>
      </c>
      <c r="G110" s="73">
        <v>1630856</v>
      </c>
      <c r="H110" s="47" t="s">
        <v>58</v>
      </c>
      <c r="I110" s="73" t="s">
        <v>520</v>
      </c>
      <c r="J110" s="47" t="s">
        <v>58</v>
      </c>
      <c r="K110" s="15" t="s">
        <v>192</v>
      </c>
      <c r="L110" s="73" t="s">
        <v>533</v>
      </c>
      <c r="M110" s="15" t="s">
        <v>531</v>
      </c>
      <c r="N110" s="73" t="s">
        <v>528</v>
      </c>
      <c r="O110" s="17" t="s">
        <v>58</v>
      </c>
      <c r="P110" s="72" t="s">
        <v>525</v>
      </c>
      <c r="Q110" s="18"/>
      <c r="R110" s="47" t="s">
        <v>58</v>
      </c>
      <c r="S110" s="15" t="s">
        <v>65</v>
      </c>
      <c r="T110" s="15" t="s">
        <v>167</v>
      </c>
      <c r="U110" s="15" t="s">
        <v>578</v>
      </c>
      <c r="V110" s="73">
        <v>51</v>
      </c>
      <c r="W110" s="16">
        <f t="shared" si="24"/>
        <v>51</v>
      </c>
      <c r="X110" s="15">
        <f t="shared" si="29"/>
        <v>51</v>
      </c>
      <c r="Y110" s="15">
        <f>ROUNDDOWN(W110/HLOOKUP(D110,Table!$C$3:$D$4,2,0)*8,2)</f>
        <v>0.9</v>
      </c>
      <c r="Z110" s="15">
        <f t="shared" si="30"/>
        <v>0.9</v>
      </c>
      <c r="AA110" s="15" t="s">
        <v>21</v>
      </c>
      <c r="AB110" s="19">
        <v>44064</v>
      </c>
      <c r="AC110" s="19">
        <v>44060</v>
      </c>
      <c r="AD110" s="77">
        <v>44064</v>
      </c>
      <c r="AE110" s="19">
        <v>44062</v>
      </c>
      <c r="AF110" s="19">
        <v>44062</v>
      </c>
      <c r="AG110" s="19" t="s">
        <v>155</v>
      </c>
      <c r="AH110" s="30">
        <v>1</v>
      </c>
      <c r="AI110" s="30">
        <v>1</v>
      </c>
      <c r="AJ110" s="30">
        <v>1</v>
      </c>
      <c r="AK110" s="19" t="s">
        <v>140</v>
      </c>
      <c r="AL110" s="17" t="s">
        <v>58</v>
      </c>
      <c r="AM110" s="17" t="s">
        <v>58</v>
      </c>
      <c r="AN110" s="17" t="s">
        <v>58</v>
      </c>
    </row>
    <row r="111" spans="2:40">
      <c r="B111" s="220">
        <f t="shared" si="21"/>
        <v>52</v>
      </c>
      <c r="C111" s="16">
        <v>20200817</v>
      </c>
      <c r="D111" s="73" t="s">
        <v>3</v>
      </c>
      <c r="E111" s="73" t="s">
        <v>331</v>
      </c>
      <c r="F111" s="240" t="s">
        <v>665</v>
      </c>
      <c r="G111" s="73">
        <v>1630856</v>
      </c>
      <c r="H111" s="47" t="s">
        <v>58</v>
      </c>
      <c r="I111" s="73" t="s">
        <v>521</v>
      </c>
      <c r="J111" s="47" t="s">
        <v>58</v>
      </c>
      <c r="K111" s="15" t="s">
        <v>192</v>
      </c>
      <c r="L111" s="73" t="s">
        <v>533</v>
      </c>
      <c r="M111" s="15" t="s">
        <v>531</v>
      </c>
      <c r="N111" s="73" t="s">
        <v>528</v>
      </c>
      <c r="O111" s="17" t="s">
        <v>58</v>
      </c>
      <c r="P111" s="72" t="s">
        <v>525</v>
      </c>
      <c r="Q111" s="18"/>
      <c r="R111" s="47" t="s">
        <v>58</v>
      </c>
      <c r="S111" s="15" t="s">
        <v>65</v>
      </c>
      <c r="T111" s="15" t="s">
        <v>167</v>
      </c>
      <c r="U111" s="15" t="s">
        <v>578</v>
      </c>
      <c r="V111" s="73">
        <v>95</v>
      </c>
      <c r="W111" s="16">
        <f t="shared" si="24"/>
        <v>95</v>
      </c>
      <c r="X111" s="15">
        <f t="shared" si="29"/>
        <v>95</v>
      </c>
      <c r="Y111" s="15">
        <f>ROUNDDOWN(W111/HLOOKUP(D111,Table!$C$3:$D$4,2,0)*8,2)</f>
        <v>1.68</v>
      </c>
      <c r="Z111" s="15">
        <f t="shared" si="30"/>
        <v>1.68</v>
      </c>
      <c r="AA111" s="15" t="s">
        <v>21</v>
      </c>
      <c r="AB111" s="19">
        <v>44064</v>
      </c>
      <c r="AC111" s="19">
        <v>44060</v>
      </c>
      <c r="AD111" s="77">
        <v>44064</v>
      </c>
      <c r="AE111" s="19">
        <v>44062</v>
      </c>
      <c r="AF111" s="19">
        <v>44062</v>
      </c>
      <c r="AG111" s="19" t="s">
        <v>155</v>
      </c>
      <c r="AH111" s="30">
        <v>1</v>
      </c>
      <c r="AI111" s="30">
        <v>1</v>
      </c>
      <c r="AJ111" s="30">
        <v>1</v>
      </c>
      <c r="AK111" s="19" t="s">
        <v>140</v>
      </c>
      <c r="AL111" s="17" t="s">
        <v>58</v>
      </c>
      <c r="AM111" s="17" t="s">
        <v>58</v>
      </c>
      <c r="AN111" s="17" t="s">
        <v>58</v>
      </c>
    </row>
    <row r="112" spans="2:40">
      <c r="B112" s="220">
        <f t="shared" si="21"/>
        <v>53</v>
      </c>
      <c r="C112" s="16">
        <v>20200817</v>
      </c>
      <c r="D112" s="73" t="s">
        <v>3</v>
      </c>
      <c r="E112" s="73" t="s">
        <v>331</v>
      </c>
      <c r="F112" s="240" t="s">
        <v>665</v>
      </c>
      <c r="G112" s="73">
        <v>1630856</v>
      </c>
      <c r="H112" s="47" t="s">
        <v>58</v>
      </c>
      <c r="I112" s="73" t="s">
        <v>522</v>
      </c>
      <c r="J112" s="47" t="s">
        <v>58</v>
      </c>
      <c r="K112" s="15" t="s">
        <v>192</v>
      </c>
      <c r="L112" s="73" t="s">
        <v>533</v>
      </c>
      <c r="M112" s="15" t="s">
        <v>531</v>
      </c>
      <c r="N112" s="73" t="s">
        <v>528</v>
      </c>
      <c r="O112" s="17" t="s">
        <v>58</v>
      </c>
      <c r="P112" s="72" t="s">
        <v>525</v>
      </c>
      <c r="Q112" s="18"/>
      <c r="R112" s="47" t="s">
        <v>58</v>
      </c>
      <c r="S112" s="15" t="s">
        <v>65</v>
      </c>
      <c r="T112" s="15" t="s">
        <v>167</v>
      </c>
      <c r="U112" s="15" t="s">
        <v>578</v>
      </c>
      <c r="V112" s="73">
        <v>12</v>
      </c>
      <c r="W112" s="16">
        <f t="shared" si="24"/>
        <v>12</v>
      </c>
      <c r="X112" s="15">
        <f t="shared" si="29"/>
        <v>12</v>
      </c>
      <c r="Y112" s="15">
        <f>ROUNDDOWN(W112/HLOOKUP(D112,Table!$C$3:$D$4,2,0)*8,2)</f>
        <v>0.21</v>
      </c>
      <c r="Z112" s="15">
        <f t="shared" si="30"/>
        <v>0.21</v>
      </c>
      <c r="AA112" s="15" t="s">
        <v>21</v>
      </c>
      <c r="AB112" s="19">
        <v>44064</v>
      </c>
      <c r="AC112" s="19">
        <v>44060</v>
      </c>
      <c r="AD112" s="77">
        <v>44064</v>
      </c>
      <c r="AE112" s="19">
        <v>44062</v>
      </c>
      <c r="AF112" s="19">
        <v>44062</v>
      </c>
      <c r="AG112" s="19" t="s">
        <v>155</v>
      </c>
      <c r="AH112" s="30">
        <v>1</v>
      </c>
      <c r="AI112" s="30">
        <v>1</v>
      </c>
      <c r="AJ112" s="30">
        <v>1</v>
      </c>
      <c r="AK112" s="19" t="s">
        <v>140</v>
      </c>
      <c r="AL112" s="17" t="s">
        <v>58</v>
      </c>
      <c r="AM112" s="17" t="s">
        <v>58</v>
      </c>
      <c r="AN112" s="17" t="s">
        <v>58</v>
      </c>
    </row>
    <row r="113" spans="2:40" ht="45">
      <c r="B113" s="179">
        <f t="shared" ref="B113:B124" si="31">B112+1</f>
        <v>54</v>
      </c>
      <c r="C113" s="16">
        <v>20200817</v>
      </c>
      <c r="D113" s="73" t="s">
        <v>3</v>
      </c>
      <c r="E113" s="73" t="s">
        <v>544</v>
      </c>
      <c r="F113" s="225" t="s">
        <v>564</v>
      </c>
      <c r="G113" s="73">
        <v>1628696</v>
      </c>
      <c r="H113" s="47" t="s">
        <v>58</v>
      </c>
      <c r="I113" s="73" t="s">
        <v>548</v>
      </c>
      <c r="J113" s="47" t="s">
        <v>58</v>
      </c>
      <c r="K113" s="15" t="s">
        <v>192</v>
      </c>
      <c r="L113" s="73" t="s">
        <v>562</v>
      </c>
      <c r="M113" s="73" t="s">
        <v>552</v>
      </c>
      <c r="N113" s="73" t="s">
        <v>558</v>
      </c>
      <c r="O113" s="72" t="s">
        <v>58</v>
      </c>
      <c r="P113" s="72" t="s">
        <v>555</v>
      </c>
      <c r="Q113" s="18"/>
      <c r="R113" s="47" t="s">
        <v>58</v>
      </c>
      <c r="S113" s="15" t="s">
        <v>179</v>
      </c>
      <c r="T113" s="15" t="s">
        <v>167</v>
      </c>
      <c r="U113" s="15" t="s">
        <v>578</v>
      </c>
      <c r="V113" s="73">
        <v>409</v>
      </c>
      <c r="W113" s="16">
        <f t="shared" si="24"/>
        <v>409</v>
      </c>
      <c r="X113" s="15">
        <f t="shared" si="29"/>
        <v>409</v>
      </c>
      <c r="Y113" s="15">
        <f>ROUNDDOWN(W113/HLOOKUP(D113,Table!$C$3:$D$4,2,0)*8,2)</f>
        <v>7.27</v>
      </c>
      <c r="Z113" s="15">
        <v>3</v>
      </c>
      <c r="AA113" s="15" t="s">
        <v>21</v>
      </c>
      <c r="AB113" s="19">
        <v>44061</v>
      </c>
      <c r="AC113" s="81">
        <v>44061</v>
      </c>
      <c r="AD113" s="81">
        <v>44061</v>
      </c>
      <c r="AE113" s="19">
        <v>44061</v>
      </c>
      <c r="AF113" s="19">
        <v>44061</v>
      </c>
      <c r="AG113" s="19" t="s">
        <v>155</v>
      </c>
      <c r="AH113" s="30">
        <v>0.95</v>
      </c>
      <c r="AI113" s="30">
        <v>0.91</v>
      </c>
      <c r="AJ113" s="30">
        <v>1</v>
      </c>
      <c r="AK113" s="19" t="s">
        <v>140</v>
      </c>
      <c r="AL113" s="137" t="s">
        <v>651</v>
      </c>
      <c r="AM113" s="17" t="s">
        <v>58</v>
      </c>
      <c r="AN113" s="17" t="s">
        <v>58</v>
      </c>
    </row>
    <row r="114" spans="2:40">
      <c r="B114" s="179">
        <f t="shared" si="31"/>
        <v>55</v>
      </c>
      <c r="C114" s="16">
        <v>20200817</v>
      </c>
      <c r="D114" s="73" t="s">
        <v>3</v>
      </c>
      <c r="E114" s="73" t="s">
        <v>544</v>
      </c>
      <c r="F114" s="225" t="s">
        <v>585</v>
      </c>
      <c r="G114" s="73">
        <v>1628696</v>
      </c>
      <c r="H114" s="47" t="s">
        <v>58</v>
      </c>
      <c r="I114" s="73" t="s">
        <v>549</v>
      </c>
      <c r="J114" s="47" t="s">
        <v>58</v>
      </c>
      <c r="K114" s="15" t="s">
        <v>192</v>
      </c>
      <c r="L114" s="73" t="s">
        <v>562</v>
      </c>
      <c r="M114" s="73" t="s">
        <v>552</v>
      </c>
      <c r="N114" s="73" t="s">
        <v>558</v>
      </c>
      <c r="O114" s="72" t="s">
        <v>58</v>
      </c>
      <c r="P114" s="72" t="s">
        <v>555</v>
      </c>
      <c r="Q114" s="18"/>
      <c r="R114" s="47" t="s">
        <v>58</v>
      </c>
      <c r="S114" s="15" t="s">
        <v>179</v>
      </c>
      <c r="T114" s="15" t="s">
        <v>167</v>
      </c>
      <c r="U114" s="15" t="s">
        <v>578</v>
      </c>
      <c r="V114" s="73">
        <v>111</v>
      </c>
      <c r="W114" s="16">
        <f t="shared" si="24"/>
        <v>111</v>
      </c>
      <c r="X114" s="15">
        <f t="shared" si="29"/>
        <v>111</v>
      </c>
      <c r="Y114" s="15">
        <f>ROUNDDOWN(W114/HLOOKUP(D114,Table!$C$3:$D$4,2,0)*8,2)</f>
        <v>1.97</v>
      </c>
      <c r="Z114" s="15">
        <v>1</v>
      </c>
      <c r="AA114" s="15" t="s">
        <v>21</v>
      </c>
      <c r="AB114" s="19">
        <v>44061</v>
      </c>
      <c r="AC114" s="19">
        <v>44061</v>
      </c>
      <c r="AD114" s="81">
        <v>44061</v>
      </c>
      <c r="AE114" s="19">
        <v>44061</v>
      </c>
      <c r="AF114" s="19">
        <v>44061</v>
      </c>
      <c r="AG114" s="19" t="s">
        <v>155</v>
      </c>
      <c r="AH114" s="30">
        <v>1</v>
      </c>
      <c r="AI114" s="30">
        <v>1</v>
      </c>
      <c r="AJ114" s="30">
        <v>1</v>
      </c>
      <c r="AK114" s="19" t="s">
        <v>140</v>
      </c>
      <c r="AL114" s="17" t="s">
        <v>58</v>
      </c>
      <c r="AM114" s="17" t="s">
        <v>58</v>
      </c>
      <c r="AN114" s="17" t="s">
        <v>58</v>
      </c>
    </row>
    <row r="115" spans="2:40">
      <c r="B115" s="179">
        <f t="shared" si="31"/>
        <v>56</v>
      </c>
      <c r="C115" s="16">
        <v>20200817</v>
      </c>
      <c r="D115" s="73" t="s">
        <v>3</v>
      </c>
      <c r="E115" s="73" t="s">
        <v>545</v>
      </c>
      <c r="F115" s="225" t="s">
        <v>586</v>
      </c>
      <c r="G115" s="73">
        <v>1629059</v>
      </c>
      <c r="H115" s="47" t="s">
        <v>58</v>
      </c>
      <c r="I115" s="73" t="s">
        <v>549</v>
      </c>
      <c r="J115" s="47" t="s">
        <v>58</v>
      </c>
      <c r="K115" s="15" t="s">
        <v>192</v>
      </c>
      <c r="L115" s="73" t="s">
        <v>140</v>
      </c>
      <c r="M115" s="73" t="s">
        <v>553</v>
      </c>
      <c r="N115" s="73" t="s">
        <v>559</v>
      </c>
      <c r="O115" s="72" t="s">
        <v>58</v>
      </c>
      <c r="P115" s="72" t="s">
        <v>556</v>
      </c>
      <c r="Q115" s="18"/>
      <c r="R115" s="47" t="s">
        <v>58</v>
      </c>
      <c r="S115" s="15" t="s">
        <v>179</v>
      </c>
      <c r="T115" s="15" t="s">
        <v>167</v>
      </c>
      <c r="U115" s="15" t="s">
        <v>578</v>
      </c>
      <c r="V115" s="73">
        <v>111</v>
      </c>
      <c r="W115" s="136">
        <v>384</v>
      </c>
      <c r="X115" s="15">
        <f t="shared" si="29"/>
        <v>384</v>
      </c>
      <c r="Y115" s="15">
        <f>ROUNDDOWN(W115/HLOOKUP(D115,Table!$C$3:$D$4,2,0)*8,2)</f>
        <v>6.82</v>
      </c>
      <c r="Z115" s="15">
        <v>2</v>
      </c>
      <c r="AA115" s="15" t="s">
        <v>21</v>
      </c>
      <c r="AB115" s="19">
        <v>44061</v>
      </c>
      <c r="AC115" s="19">
        <v>44061</v>
      </c>
      <c r="AD115" s="81">
        <v>44061</v>
      </c>
      <c r="AE115" s="19">
        <v>44061</v>
      </c>
      <c r="AF115" s="19">
        <v>44061</v>
      </c>
      <c r="AG115" s="19" t="s">
        <v>155</v>
      </c>
      <c r="AH115" s="30">
        <v>1</v>
      </c>
      <c r="AI115" s="30">
        <v>1</v>
      </c>
      <c r="AJ115" s="30">
        <v>1</v>
      </c>
      <c r="AK115" s="19" t="s">
        <v>140</v>
      </c>
      <c r="AL115" s="17" t="s">
        <v>58</v>
      </c>
      <c r="AM115" s="17" t="s">
        <v>58</v>
      </c>
      <c r="AN115" s="17" t="s">
        <v>58</v>
      </c>
    </row>
    <row r="116" spans="2:40">
      <c r="B116" s="179">
        <f t="shared" si="31"/>
        <v>57</v>
      </c>
      <c r="C116" s="16">
        <v>20200817</v>
      </c>
      <c r="D116" s="73" t="s">
        <v>2</v>
      </c>
      <c r="E116" s="73" t="s">
        <v>546</v>
      </c>
      <c r="F116" s="17" t="s">
        <v>58</v>
      </c>
      <c r="G116" s="73">
        <v>1629484</v>
      </c>
      <c r="H116" s="47" t="s">
        <v>58</v>
      </c>
      <c r="I116" s="73" t="s">
        <v>550</v>
      </c>
      <c r="J116" s="47" t="s">
        <v>58</v>
      </c>
      <c r="K116" s="15" t="s">
        <v>194</v>
      </c>
      <c r="L116" s="73" t="s">
        <v>140</v>
      </c>
      <c r="M116" s="15" t="s">
        <v>554</v>
      </c>
      <c r="N116" s="73" t="s">
        <v>560</v>
      </c>
      <c r="O116" s="73">
        <v>1.2</v>
      </c>
      <c r="P116" s="72" t="s">
        <v>557</v>
      </c>
      <c r="Q116" s="18"/>
      <c r="R116" s="47" t="s">
        <v>58</v>
      </c>
      <c r="S116" s="15" t="s">
        <v>179</v>
      </c>
      <c r="T116" s="15" t="s">
        <v>167</v>
      </c>
      <c r="U116" s="15" t="s">
        <v>578</v>
      </c>
      <c r="V116" s="73">
        <v>38</v>
      </c>
      <c r="W116" s="136">
        <v>78</v>
      </c>
      <c r="X116" s="15">
        <f t="shared" si="29"/>
        <v>78</v>
      </c>
      <c r="Y116" s="15">
        <f>ROUNDDOWN(W116/HLOOKUP(D116,Table!$C$3:$D$4,2,0)*8,2)</f>
        <v>4.8</v>
      </c>
      <c r="Z116" s="15">
        <v>5</v>
      </c>
      <c r="AA116" s="15" t="s">
        <v>21</v>
      </c>
      <c r="AB116" s="19">
        <v>44063</v>
      </c>
      <c r="AC116" s="19">
        <v>44061</v>
      </c>
      <c r="AD116" s="244">
        <v>44063</v>
      </c>
      <c r="AE116" s="19">
        <v>44062</v>
      </c>
      <c r="AF116" s="19">
        <v>44062</v>
      </c>
      <c r="AG116" s="19" t="s">
        <v>155</v>
      </c>
      <c r="AH116" s="30">
        <v>1</v>
      </c>
      <c r="AI116" s="30">
        <v>1</v>
      </c>
      <c r="AJ116" s="30">
        <v>1</v>
      </c>
      <c r="AK116" s="19" t="s">
        <v>140</v>
      </c>
      <c r="AL116" s="17" t="s">
        <v>1045</v>
      </c>
      <c r="AM116" s="17" t="s">
        <v>58</v>
      </c>
      <c r="AN116" s="17" t="s">
        <v>1051</v>
      </c>
    </row>
    <row r="117" spans="2:40" ht="60">
      <c r="B117" s="179">
        <f t="shared" si="31"/>
        <v>58</v>
      </c>
      <c r="C117" s="16">
        <v>20200817</v>
      </c>
      <c r="D117" s="73" t="s">
        <v>2</v>
      </c>
      <c r="E117" s="73" t="s">
        <v>546</v>
      </c>
      <c r="F117" s="17" t="s">
        <v>58</v>
      </c>
      <c r="G117" s="73">
        <v>1629484</v>
      </c>
      <c r="H117" s="47" t="s">
        <v>58</v>
      </c>
      <c r="I117" s="73" t="s">
        <v>551</v>
      </c>
      <c r="J117" s="47" t="s">
        <v>58</v>
      </c>
      <c r="K117" s="15" t="s">
        <v>194</v>
      </c>
      <c r="L117" s="73" t="s">
        <v>140</v>
      </c>
      <c r="M117" s="15" t="s">
        <v>554</v>
      </c>
      <c r="N117" s="73" t="s">
        <v>561</v>
      </c>
      <c r="O117" s="72" t="s">
        <v>547</v>
      </c>
      <c r="P117" s="72" t="s">
        <v>557</v>
      </c>
      <c r="Q117" s="18"/>
      <c r="R117" s="47" t="s">
        <v>58</v>
      </c>
      <c r="S117" s="15" t="s">
        <v>179</v>
      </c>
      <c r="T117" s="15" t="s">
        <v>167</v>
      </c>
      <c r="U117" s="15" t="s">
        <v>578</v>
      </c>
      <c r="V117" s="73">
        <v>72</v>
      </c>
      <c r="W117" s="16">
        <f t="shared" si="24"/>
        <v>72</v>
      </c>
      <c r="X117" s="15">
        <f t="shared" ref="X117:X129" si="32">W117</f>
        <v>72</v>
      </c>
      <c r="Y117" s="15">
        <f>ROUNDDOWN(W117/HLOOKUP(D117,Table!$C$3:$D$4,2,0)*8,2)</f>
        <v>4.43</v>
      </c>
      <c r="Z117" s="15">
        <v>5</v>
      </c>
      <c r="AA117" s="15" t="s">
        <v>21</v>
      </c>
      <c r="AB117" s="19">
        <v>44063</v>
      </c>
      <c r="AC117" s="19">
        <v>44061</v>
      </c>
      <c r="AD117" s="244">
        <v>44063</v>
      </c>
      <c r="AE117" s="19">
        <v>44063</v>
      </c>
      <c r="AF117" s="19">
        <v>44063</v>
      </c>
      <c r="AG117" s="19" t="s">
        <v>156</v>
      </c>
      <c r="AH117" s="30">
        <v>0.875</v>
      </c>
      <c r="AI117" s="30">
        <v>0.88400000000000001</v>
      </c>
      <c r="AJ117" s="30">
        <v>0.85699999999999998</v>
      </c>
      <c r="AK117" s="19" t="s">
        <v>130</v>
      </c>
      <c r="AL117" s="17" t="s">
        <v>58</v>
      </c>
      <c r="AM117" s="17" t="s">
        <v>58</v>
      </c>
      <c r="AN117" s="262" t="s">
        <v>1899</v>
      </c>
    </row>
    <row r="118" spans="2:40">
      <c r="B118" s="243">
        <f t="shared" si="31"/>
        <v>59</v>
      </c>
      <c r="C118" s="16">
        <v>20200818</v>
      </c>
      <c r="D118" s="73" t="s">
        <v>2</v>
      </c>
      <c r="E118" s="73" t="s">
        <v>546</v>
      </c>
      <c r="F118" s="17" t="s">
        <v>58</v>
      </c>
      <c r="G118" s="73">
        <v>1633335</v>
      </c>
      <c r="H118" s="47" t="s">
        <v>58</v>
      </c>
      <c r="I118" s="73" t="s">
        <v>633</v>
      </c>
      <c r="J118" s="47" t="s">
        <v>58</v>
      </c>
      <c r="K118" s="15" t="s">
        <v>194</v>
      </c>
      <c r="L118" s="73"/>
      <c r="M118" s="73" t="s">
        <v>631</v>
      </c>
      <c r="N118" s="73" t="s">
        <v>644</v>
      </c>
      <c r="O118" s="72" t="s">
        <v>640</v>
      </c>
      <c r="P118" s="72" t="s">
        <v>648</v>
      </c>
      <c r="Q118" s="18"/>
      <c r="R118" s="47" t="s">
        <v>58</v>
      </c>
      <c r="S118" s="15" t="s">
        <v>168</v>
      </c>
      <c r="T118" s="15" t="s">
        <v>65</v>
      </c>
      <c r="U118" s="15" t="s">
        <v>578</v>
      </c>
      <c r="V118" s="73">
        <v>24</v>
      </c>
      <c r="W118" s="16">
        <f>V118</f>
        <v>24</v>
      </c>
      <c r="X118" s="15">
        <f t="shared" si="32"/>
        <v>24</v>
      </c>
      <c r="Y118" s="15">
        <f>ROUNDDOWN(W118/HLOOKUP(D118,Table!$C$3:$D$4,2,0)*8,2)</f>
        <v>1.47</v>
      </c>
      <c r="Z118" s="15">
        <v>1</v>
      </c>
      <c r="AA118" s="15" t="s">
        <v>21</v>
      </c>
      <c r="AB118" s="19">
        <v>44063</v>
      </c>
      <c r="AC118" s="19">
        <v>44061</v>
      </c>
      <c r="AD118" s="244">
        <v>44063</v>
      </c>
      <c r="AE118" s="19">
        <v>44062</v>
      </c>
      <c r="AF118" s="19">
        <v>44062</v>
      </c>
      <c r="AG118" s="19" t="s">
        <v>155</v>
      </c>
      <c r="AH118" s="30">
        <v>1</v>
      </c>
      <c r="AI118" s="30">
        <v>1</v>
      </c>
      <c r="AJ118" s="30">
        <v>1</v>
      </c>
      <c r="AK118" s="19" t="s">
        <v>140</v>
      </c>
      <c r="AL118" s="17" t="s">
        <v>58</v>
      </c>
      <c r="AM118" s="17" t="s">
        <v>58</v>
      </c>
      <c r="AN118" s="17" t="s">
        <v>58</v>
      </c>
    </row>
    <row r="119" spans="2:40">
      <c r="B119" s="243">
        <f t="shared" si="31"/>
        <v>60</v>
      </c>
      <c r="C119" s="16">
        <v>20200818</v>
      </c>
      <c r="D119" s="73" t="s">
        <v>2</v>
      </c>
      <c r="E119" s="73" t="s">
        <v>629</v>
      </c>
      <c r="F119" s="17" t="s">
        <v>58</v>
      </c>
      <c r="G119" s="73">
        <v>1633299</v>
      </c>
      <c r="H119" s="47" t="s">
        <v>58</v>
      </c>
      <c r="I119" s="73" t="s">
        <v>634</v>
      </c>
      <c r="J119" s="47" t="s">
        <v>58</v>
      </c>
      <c r="K119" s="15" t="s">
        <v>194</v>
      </c>
      <c r="L119" s="73"/>
      <c r="M119" s="15" t="s">
        <v>631</v>
      </c>
      <c r="N119" s="73" t="s">
        <v>645</v>
      </c>
      <c r="O119" s="72" t="s">
        <v>641</v>
      </c>
      <c r="P119" s="72" t="s">
        <v>649</v>
      </c>
      <c r="Q119" s="18"/>
      <c r="R119" s="47" t="s">
        <v>58</v>
      </c>
      <c r="S119" s="15" t="s">
        <v>168</v>
      </c>
      <c r="T119" s="15" t="s">
        <v>65</v>
      </c>
      <c r="U119" s="15" t="s">
        <v>578</v>
      </c>
      <c r="V119" s="73">
        <v>25</v>
      </c>
      <c r="W119" s="16">
        <f t="shared" ref="W119:W124" si="33">V119</f>
        <v>25</v>
      </c>
      <c r="X119" s="15">
        <f t="shared" si="32"/>
        <v>25</v>
      </c>
      <c r="Y119" s="15">
        <f>ROUNDDOWN(W119/HLOOKUP(D119,Table!$C$3:$D$4,2,0)*8,2)</f>
        <v>1.53</v>
      </c>
      <c r="Z119" s="15">
        <v>1</v>
      </c>
      <c r="AA119" s="15" t="s">
        <v>21</v>
      </c>
      <c r="AB119" s="19">
        <v>44067</v>
      </c>
      <c r="AC119" s="19">
        <v>44061</v>
      </c>
      <c r="AD119" s="244">
        <v>44069</v>
      </c>
      <c r="AE119" s="19">
        <v>44062</v>
      </c>
      <c r="AF119" s="19">
        <v>44062</v>
      </c>
      <c r="AG119" s="19" t="s">
        <v>155</v>
      </c>
      <c r="AH119" s="30">
        <v>1</v>
      </c>
      <c r="AI119" s="30">
        <v>1</v>
      </c>
      <c r="AJ119" s="30">
        <v>1</v>
      </c>
      <c r="AK119" s="19" t="s">
        <v>140</v>
      </c>
      <c r="AL119" s="17" t="s">
        <v>58</v>
      </c>
      <c r="AM119" s="17" t="s">
        <v>58</v>
      </c>
      <c r="AN119" s="17" t="s">
        <v>58</v>
      </c>
    </row>
    <row r="120" spans="2:40">
      <c r="B120" s="243">
        <f t="shared" si="31"/>
        <v>61</v>
      </c>
      <c r="C120" s="16">
        <v>20200818</v>
      </c>
      <c r="D120" s="73" t="s">
        <v>2</v>
      </c>
      <c r="E120" s="73" t="s">
        <v>629</v>
      </c>
      <c r="F120" s="17" t="s">
        <v>58</v>
      </c>
      <c r="G120" s="73">
        <v>1633332</v>
      </c>
      <c r="H120" s="47" t="s">
        <v>58</v>
      </c>
      <c r="I120" s="73" t="s">
        <v>635</v>
      </c>
      <c r="J120" s="47" t="s">
        <v>58</v>
      </c>
      <c r="K120" s="15" t="s">
        <v>194</v>
      </c>
      <c r="L120" s="73"/>
      <c r="M120" s="15" t="s">
        <v>631</v>
      </c>
      <c r="N120" s="73" t="s">
        <v>645</v>
      </c>
      <c r="O120" s="72" t="s">
        <v>642</v>
      </c>
      <c r="P120" s="72" t="s">
        <v>649</v>
      </c>
      <c r="Q120" s="18"/>
      <c r="R120" s="47" t="s">
        <v>58</v>
      </c>
      <c r="S120" s="15" t="s">
        <v>169</v>
      </c>
      <c r="T120" s="15" t="s">
        <v>167</v>
      </c>
      <c r="U120" s="15" t="s">
        <v>578</v>
      </c>
      <c r="V120" s="73">
        <v>19</v>
      </c>
      <c r="W120" s="16">
        <f t="shared" si="33"/>
        <v>19</v>
      </c>
      <c r="X120" s="15">
        <f t="shared" si="32"/>
        <v>19</v>
      </c>
      <c r="Y120" s="15">
        <f>ROUNDDOWN(W120/HLOOKUP(D120,Table!$C$3:$D$4,2,0)*8,2)</f>
        <v>1.1599999999999999</v>
      </c>
      <c r="Z120" s="15">
        <v>1.1599999999999999</v>
      </c>
      <c r="AA120" s="15" t="s">
        <v>21</v>
      </c>
      <c r="AB120" s="19">
        <v>44067</v>
      </c>
      <c r="AC120" s="19">
        <v>44061</v>
      </c>
      <c r="AD120" s="244">
        <v>44069</v>
      </c>
      <c r="AE120" s="19">
        <v>44063</v>
      </c>
      <c r="AF120" s="19">
        <v>44064</v>
      </c>
      <c r="AG120" s="19" t="s">
        <v>156</v>
      </c>
      <c r="AH120" s="30">
        <v>0.871</v>
      </c>
      <c r="AI120" s="30">
        <v>0.871</v>
      </c>
      <c r="AJ120" s="30"/>
      <c r="AK120" s="19" t="s">
        <v>130</v>
      </c>
      <c r="AL120" s="17" t="s">
        <v>58</v>
      </c>
      <c r="AM120" s="17" t="s">
        <v>58</v>
      </c>
      <c r="AN120" s="17" t="s">
        <v>1148</v>
      </c>
    </row>
    <row r="121" spans="2:40">
      <c r="B121" s="243">
        <f t="shared" si="31"/>
        <v>62</v>
      </c>
      <c r="C121" s="16">
        <v>20200818</v>
      </c>
      <c r="D121" s="73" t="s">
        <v>2</v>
      </c>
      <c r="E121" s="73" t="s">
        <v>629</v>
      </c>
      <c r="F121" s="17" t="s">
        <v>58</v>
      </c>
      <c r="G121" s="73">
        <v>1633332</v>
      </c>
      <c r="H121" s="47" t="s">
        <v>58</v>
      </c>
      <c r="I121" s="73" t="s">
        <v>636</v>
      </c>
      <c r="J121" s="47" t="s">
        <v>58</v>
      </c>
      <c r="K121" s="15" t="s">
        <v>194</v>
      </c>
      <c r="L121" s="73" t="s">
        <v>140</v>
      </c>
      <c r="M121" s="15" t="s">
        <v>631</v>
      </c>
      <c r="N121" s="73" t="s">
        <v>645</v>
      </c>
      <c r="O121" s="72" t="s">
        <v>1142</v>
      </c>
      <c r="P121" s="72" t="s">
        <v>649</v>
      </c>
      <c r="Q121" s="18"/>
      <c r="R121" s="47" t="s">
        <v>58</v>
      </c>
      <c r="S121" s="15" t="s">
        <v>179</v>
      </c>
      <c r="T121" s="15" t="s">
        <v>167</v>
      </c>
      <c r="U121" s="15" t="s">
        <v>578</v>
      </c>
      <c r="V121" s="73">
        <v>196</v>
      </c>
      <c r="W121" s="16">
        <f t="shared" si="33"/>
        <v>196</v>
      </c>
      <c r="X121" s="15">
        <f t="shared" si="32"/>
        <v>196</v>
      </c>
      <c r="Y121" s="15">
        <f>ROUNDDOWN(W121/HLOOKUP(D121,Table!$C$3:$D$4,2,0)*8,2)</f>
        <v>12.06</v>
      </c>
      <c r="Z121" s="15">
        <v>8</v>
      </c>
      <c r="AA121" s="15" t="s">
        <v>21</v>
      </c>
      <c r="AB121" s="19">
        <v>44067</v>
      </c>
      <c r="AC121" s="19">
        <v>44061</v>
      </c>
      <c r="AD121" s="244">
        <v>44069</v>
      </c>
      <c r="AE121" s="19">
        <v>44064</v>
      </c>
      <c r="AF121" s="19">
        <v>44064</v>
      </c>
      <c r="AG121" s="19" t="s">
        <v>155</v>
      </c>
      <c r="AH121" s="30">
        <v>1</v>
      </c>
      <c r="AI121" s="30">
        <v>1</v>
      </c>
      <c r="AJ121" s="30">
        <v>1</v>
      </c>
      <c r="AK121" s="19" t="s">
        <v>139</v>
      </c>
      <c r="AL121" s="17" t="s">
        <v>1133</v>
      </c>
      <c r="AM121" s="17" t="s">
        <v>58</v>
      </c>
      <c r="AN121" s="298" t="s">
        <v>1132</v>
      </c>
    </row>
    <row r="122" spans="2:40">
      <c r="B122" s="243">
        <f t="shared" si="31"/>
        <v>63</v>
      </c>
      <c r="C122" s="16">
        <v>20200818</v>
      </c>
      <c r="D122" s="73" t="s">
        <v>2</v>
      </c>
      <c r="E122" s="73" t="s">
        <v>629</v>
      </c>
      <c r="F122" s="17" t="s">
        <v>58</v>
      </c>
      <c r="G122" s="73">
        <v>1633332</v>
      </c>
      <c r="H122" s="47" t="s">
        <v>58</v>
      </c>
      <c r="I122" s="73" t="s">
        <v>637</v>
      </c>
      <c r="J122" s="47" t="s">
        <v>58</v>
      </c>
      <c r="K122" s="15" t="s">
        <v>194</v>
      </c>
      <c r="L122" s="73"/>
      <c r="M122" s="73" t="s">
        <v>631</v>
      </c>
      <c r="N122" s="73" t="s">
        <v>645</v>
      </c>
      <c r="O122" s="72" t="s">
        <v>643</v>
      </c>
      <c r="P122" s="72" t="s">
        <v>649</v>
      </c>
      <c r="Q122" s="18"/>
      <c r="R122" s="47" t="s">
        <v>58</v>
      </c>
      <c r="S122" s="15" t="s">
        <v>169</v>
      </c>
      <c r="T122" s="15" t="s">
        <v>167</v>
      </c>
      <c r="U122" s="15" t="s">
        <v>578</v>
      </c>
      <c r="V122" s="73">
        <v>13</v>
      </c>
      <c r="W122" s="16">
        <f t="shared" si="33"/>
        <v>13</v>
      </c>
      <c r="X122" s="15">
        <f t="shared" si="32"/>
        <v>13</v>
      </c>
      <c r="Y122" s="15">
        <f>ROUNDDOWN(W122/HLOOKUP(D122,Table!$C$3:$D$4,2,0)*8,2)</f>
        <v>0.8</v>
      </c>
      <c r="Z122" s="15">
        <v>1</v>
      </c>
      <c r="AA122" s="15" t="s">
        <v>21</v>
      </c>
      <c r="AB122" s="19">
        <v>44067</v>
      </c>
      <c r="AC122" s="19">
        <v>44061</v>
      </c>
      <c r="AD122" s="244">
        <v>44069</v>
      </c>
      <c r="AE122" s="19">
        <v>44064</v>
      </c>
      <c r="AF122" s="19">
        <v>44064</v>
      </c>
      <c r="AG122" s="19" t="s">
        <v>156</v>
      </c>
      <c r="AH122" s="30">
        <v>0.83299999999999996</v>
      </c>
      <c r="AI122" s="30">
        <v>0.83299999999999996</v>
      </c>
      <c r="AJ122" s="30" t="s">
        <v>58</v>
      </c>
      <c r="AK122" s="19" t="s">
        <v>130</v>
      </c>
      <c r="AL122" s="17" t="s">
        <v>58</v>
      </c>
      <c r="AM122" s="17" t="s">
        <v>58</v>
      </c>
      <c r="AN122" s="17" t="s">
        <v>1149</v>
      </c>
    </row>
    <row r="123" spans="2:40">
      <c r="B123" s="243">
        <f t="shared" si="31"/>
        <v>64</v>
      </c>
      <c r="C123" s="16">
        <v>20200818</v>
      </c>
      <c r="D123" s="73" t="s">
        <v>3</v>
      </c>
      <c r="E123" s="73" t="s">
        <v>630</v>
      </c>
      <c r="F123" s="225" t="s">
        <v>655</v>
      </c>
      <c r="G123" s="73">
        <v>1627326</v>
      </c>
      <c r="H123" s="47" t="s">
        <v>58</v>
      </c>
      <c r="I123" s="73" t="s">
        <v>638</v>
      </c>
      <c r="J123" s="47" t="s">
        <v>58</v>
      </c>
      <c r="K123" s="15" t="s">
        <v>192</v>
      </c>
      <c r="L123" s="73"/>
      <c r="M123" s="73" t="s">
        <v>632</v>
      </c>
      <c r="N123" s="73" t="s">
        <v>646</v>
      </c>
      <c r="O123" s="17" t="s">
        <v>58</v>
      </c>
      <c r="P123" s="72" t="s">
        <v>650</v>
      </c>
      <c r="Q123" s="18"/>
      <c r="R123" s="47" t="s">
        <v>58</v>
      </c>
      <c r="S123" s="15" t="s">
        <v>179</v>
      </c>
      <c r="T123" s="15" t="s">
        <v>167</v>
      </c>
      <c r="U123" s="15" t="s">
        <v>578</v>
      </c>
      <c r="V123" s="73">
        <v>136</v>
      </c>
      <c r="W123" s="16">
        <f t="shared" si="33"/>
        <v>136</v>
      </c>
      <c r="X123" s="15">
        <f t="shared" si="32"/>
        <v>136</v>
      </c>
      <c r="Y123" s="15">
        <f>ROUNDDOWN(W123/HLOOKUP(D123,Table!$C$3:$D$4,2,0)*8,2)</f>
        <v>2.41</v>
      </c>
      <c r="Z123" s="15">
        <v>2</v>
      </c>
      <c r="AA123" s="15" t="s">
        <v>21</v>
      </c>
      <c r="AB123" s="19">
        <v>44063</v>
      </c>
      <c r="AC123" s="19">
        <v>44061</v>
      </c>
      <c r="AD123" s="244">
        <v>44063</v>
      </c>
      <c r="AE123" s="19">
        <v>44062</v>
      </c>
      <c r="AF123" s="19">
        <v>44062</v>
      </c>
      <c r="AG123" s="19" t="s">
        <v>155</v>
      </c>
      <c r="AH123" s="30">
        <v>1</v>
      </c>
      <c r="AI123" s="30">
        <v>1</v>
      </c>
      <c r="AJ123" s="30">
        <v>1</v>
      </c>
      <c r="AK123" s="19" t="s">
        <v>140</v>
      </c>
      <c r="AL123" s="17" t="s">
        <v>58</v>
      </c>
      <c r="AM123" s="17" t="s">
        <v>58</v>
      </c>
      <c r="AN123" s="17" t="s">
        <v>58</v>
      </c>
    </row>
    <row r="124" spans="2:40">
      <c r="B124" s="243">
        <f t="shared" si="31"/>
        <v>65</v>
      </c>
      <c r="C124" s="16">
        <v>20200818</v>
      </c>
      <c r="D124" s="73" t="s">
        <v>3</v>
      </c>
      <c r="E124" s="73" t="s">
        <v>630</v>
      </c>
      <c r="F124" s="225" t="s">
        <v>656</v>
      </c>
      <c r="G124" s="73">
        <v>1627326</v>
      </c>
      <c r="H124" s="47" t="s">
        <v>58</v>
      </c>
      <c r="I124" s="73" t="s">
        <v>639</v>
      </c>
      <c r="J124" s="47" t="s">
        <v>58</v>
      </c>
      <c r="K124" s="15" t="s">
        <v>192</v>
      </c>
      <c r="L124" s="73"/>
      <c r="M124" s="73" t="s">
        <v>632</v>
      </c>
      <c r="N124" s="73" t="s">
        <v>646</v>
      </c>
      <c r="O124" s="17" t="s">
        <v>58</v>
      </c>
      <c r="P124" s="72" t="s">
        <v>650</v>
      </c>
      <c r="Q124" s="18"/>
      <c r="R124" s="47" t="s">
        <v>58</v>
      </c>
      <c r="S124" s="15" t="s">
        <v>179</v>
      </c>
      <c r="T124" s="15" t="s">
        <v>167</v>
      </c>
      <c r="U124" s="15" t="s">
        <v>578</v>
      </c>
      <c r="V124" s="73">
        <v>186</v>
      </c>
      <c r="W124" s="16">
        <f t="shared" si="33"/>
        <v>186</v>
      </c>
      <c r="X124" s="15">
        <f t="shared" si="32"/>
        <v>186</v>
      </c>
      <c r="Y124" s="15">
        <f>ROUNDDOWN(W124/HLOOKUP(D124,Table!$C$3:$D$4,2,0)*8,2)</f>
        <v>3.3</v>
      </c>
      <c r="Z124" s="15">
        <v>3</v>
      </c>
      <c r="AA124" s="15" t="s">
        <v>21</v>
      </c>
      <c r="AB124" s="19">
        <v>44063</v>
      </c>
      <c r="AC124" s="19">
        <v>44061</v>
      </c>
      <c r="AD124" s="244">
        <v>44063</v>
      </c>
      <c r="AE124" s="19">
        <v>44062</v>
      </c>
      <c r="AF124" s="19">
        <v>44062</v>
      </c>
      <c r="AG124" s="19" t="s">
        <v>155</v>
      </c>
      <c r="AH124" s="30">
        <v>1</v>
      </c>
      <c r="AI124" s="30">
        <v>1</v>
      </c>
      <c r="AJ124" s="30">
        <v>1</v>
      </c>
      <c r="AK124" s="19" t="s">
        <v>140</v>
      </c>
      <c r="AL124" s="17" t="s">
        <v>58</v>
      </c>
      <c r="AM124" s="17" t="s">
        <v>58</v>
      </c>
      <c r="AN124" s="17" t="s">
        <v>58</v>
      </c>
    </row>
    <row r="125" spans="2:40" ht="60">
      <c r="B125" s="257">
        <f>B124+1</f>
        <v>66</v>
      </c>
      <c r="C125" s="16">
        <v>20200820</v>
      </c>
      <c r="D125" s="73" t="s">
        <v>2</v>
      </c>
      <c r="E125" s="73" t="s">
        <v>1055</v>
      </c>
      <c r="F125" s="17" t="s">
        <v>58</v>
      </c>
      <c r="G125" s="73">
        <v>1637328</v>
      </c>
      <c r="H125" s="47" t="s">
        <v>58</v>
      </c>
      <c r="I125" s="73" t="s">
        <v>1056</v>
      </c>
      <c r="J125" s="47" t="s">
        <v>58</v>
      </c>
      <c r="K125" s="15" t="s">
        <v>194</v>
      </c>
      <c r="L125" s="73" t="s">
        <v>140</v>
      </c>
      <c r="M125" s="73" t="s">
        <v>1059</v>
      </c>
      <c r="N125" s="73" t="s">
        <v>1060</v>
      </c>
      <c r="O125" s="73">
        <v>1.2</v>
      </c>
      <c r="P125" s="72" t="s">
        <v>1061</v>
      </c>
      <c r="Q125" s="18"/>
      <c r="R125" s="47" t="s">
        <v>58</v>
      </c>
      <c r="S125" s="15" t="s">
        <v>65</v>
      </c>
      <c r="T125" s="15" t="s">
        <v>167</v>
      </c>
      <c r="U125" s="15" t="s">
        <v>578</v>
      </c>
      <c r="V125" s="73">
        <v>21</v>
      </c>
      <c r="W125" s="136">
        <v>42</v>
      </c>
      <c r="X125" s="15">
        <f t="shared" si="32"/>
        <v>42</v>
      </c>
      <c r="Y125" s="15">
        <f>ROUNDDOWN(W125/HLOOKUP(D125,Table!$C$3:$D$4,2,0)*8,2)</f>
        <v>2.58</v>
      </c>
      <c r="Z125" s="15">
        <f>Y125</f>
        <v>2.58</v>
      </c>
      <c r="AA125" s="15" t="s">
        <v>21</v>
      </c>
      <c r="AB125" s="19">
        <v>44064</v>
      </c>
      <c r="AC125" s="19">
        <v>44063</v>
      </c>
      <c r="AD125" s="81">
        <v>44064</v>
      </c>
      <c r="AE125" s="19">
        <v>44063</v>
      </c>
      <c r="AF125" s="19">
        <v>44064</v>
      </c>
      <c r="AG125" s="19" t="s">
        <v>156</v>
      </c>
      <c r="AH125" s="30">
        <v>1</v>
      </c>
      <c r="AI125" s="30">
        <v>1</v>
      </c>
      <c r="AJ125" s="30">
        <v>1</v>
      </c>
      <c r="AK125" s="19" t="s">
        <v>139</v>
      </c>
      <c r="AL125" s="17" t="s">
        <v>1065</v>
      </c>
      <c r="AM125" s="17" t="s">
        <v>58</v>
      </c>
      <c r="AN125" s="262" t="s">
        <v>1085</v>
      </c>
    </row>
    <row r="126" spans="2:40" ht="45">
      <c r="B126" s="257">
        <f>B125+1</f>
        <v>67</v>
      </c>
      <c r="C126" s="16">
        <v>20200820</v>
      </c>
      <c r="D126" s="73" t="s">
        <v>3</v>
      </c>
      <c r="E126" s="73" t="s">
        <v>1055</v>
      </c>
      <c r="F126" s="17" t="s">
        <v>58</v>
      </c>
      <c r="G126" s="73">
        <v>1637328</v>
      </c>
      <c r="H126" s="47" t="s">
        <v>58</v>
      </c>
      <c r="I126" s="73" t="s">
        <v>1057</v>
      </c>
      <c r="J126" s="47" t="s">
        <v>58</v>
      </c>
      <c r="K126" s="15" t="s">
        <v>194</v>
      </c>
      <c r="L126" s="73" t="s">
        <v>140</v>
      </c>
      <c r="M126" s="73" t="s">
        <v>553</v>
      </c>
      <c r="N126" s="73" t="s">
        <v>1060</v>
      </c>
      <c r="O126" s="72">
        <v>1.1000000000000001</v>
      </c>
      <c r="P126" s="72" t="s">
        <v>1061</v>
      </c>
      <c r="Q126" s="18"/>
      <c r="R126" s="47" t="s">
        <v>58</v>
      </c>
      <c r="S126" s="15" t="s">
        <v>64</v>
      </c>
      <c r="T126" s="135" t="s">
        <v>169</v>
      </c>
      <c r="U126" s="15" t="s">
        <v>578</v>
      </c>
      <c r="V126" s="73">
        <v>29</v>
      </c>
      <c r="W126" s="136">
        <f>V126*2</f>
        <v>58</v>
      </c>
      <c r="X126" s="15">
        <f t="shared" si="32"/>
        <v>58</v>
      </c>
      <c r="Y126" s="15">
        <f>ROUNDDOWN(W126/HLOOKUP(D126,Table!$C$3:$D$4,2,0)*8,2)</f>
        <v>1.03</v>
      </c>
      <c r="Z126" s="15">
        <v>5</v>
      </c>
      <c r="AA126" s="16" t="s">
        <v>21</v>
      </c>
      <c r="AB126" s="19">
        <v>44064</v>
      </c>
      <c r="AC126" s="19">
        <v>44063</v>
      </c>
      <c r="AD126" s="81">
        <v>44064</v>
      </c>
      <c r="AE126" s="19">
        <v>44064</v>
      </c>
      <c r="AF126" s="19">
        <v>44064</v>
      </c>
      <c r="AG126" s="19" t="s">
        <v>156</v>
      </c>
      <c r="AH126" s="30">
        <v>0.93799999999999994</v>
      </c>
      <c r="AI126" s="30">
        <v>0.94099999999999995</v>
      </c>
      <c r="AJ126" s="30">
        <v>1</v>
      </c>
      <c r="AK126" s="19" t="s">
        <v>139</v>
      </c>
      <c r="AL126" s="17" t="s">
        <v>1086</v>
      </c>
      <c r="AM126" s="17" t="s">
        <v>58</v>
      </c>
      <c r="AN126" s="137" t="s">
        <v>1188</v>
      </c>
    </row>
    <row r="127" spans="2:40" ht="45">
      <c r="B127" s="257">
        <f>B126+1</f>
        <v>68</v>
      </c>
      <c r="C127" s="16">
        <v>20200820</v>
      </c>
      <c r="D127" s="73" t="s">
        <v>2</v>
      </c>
      <c r="E127" s="73" t="s">
        <v>1055</v>
      </c>
      <c r="F127" s="17" t="s">
        <v>58</v>
      </c>
      <c r="G127" s="73">
        <v>1637328</v>
      </c>
      <c r="H127" s="47" t="s">
        <v>58</v>
      </c>
      <c r="I127" s="73" t="s">
        <v>1058</v>
      </c>
      <c r="J127" s="47" t="s">
        <v>58</v>
      </c>
      <c r="K127" s="15" t="s">
        <v>194</v>
      </c>
      <c r="L127" s="73" t="s">
        <v>140</v>
      </c>
      <c r="M127" s="73" t="s">
        <v>553</v>
      </c>
      <c r="N127" s="73" t="s">
        <v>1084</v>
      </c>
      <c r="O127" s="72" t="s">
        <v>210</v>
      </c>
      <c r="P127" s="72" t="s">
        <v>1061</v>
      </c>
      <c r="Q127" s="18"/>
      <c r="R127" s="47" t="s">
        <v>58</v>
      </c>
      <c r="S127" s="15" t="s">
        <v>167</v>
      </c>
      <c r="T127" s="15" t="s">
        <v>64</v>
      </c>
      <c r="U127" s="15" t="s">
        <v>578</v>
      </c>
      <c r="V127" s="73">
        <v>10</v>
      </c>
      <c r="W127" s="18">
        <v>20</v>
      </c>
      <c r="X127" s="15">
        <f t="shared" si="32"/>
        <v>20</v>
      </c>
      <c r="Y127" s="15">
        <f>ROUNDDOWN(W127/HLOOKUP(D127,Table!$C$3:$D$4,2,0)*8,2)</f>
        <v>1.23</v>
      </c>
      <c r="Z127" s="15"/>
      <c r="AA127" s="15" t="s">
        <v>21</v>
      </c>
      <c r="AB127" s="19">
        <v>44064</v>
      </c>
      <c r="AC127" s="19">
        <v>44063</v>
      </c>
      <c r="AD127" s="81">
        <v>44064</v>
      </c>
      <c r="AE127" s="19">
        <v>44064</v>
      </c>
      <c r="AF127" s="19">
        <v>44064</v>
      </c>
      <c r="AG127" s="19" t="s">
        <v>156</v>
      </c>
      <c r="AH127" s="30">
        <v>0.92900000000000005</v>
      </c>
      <c r="AI127" s="30">
        <v>0.92900000000000005</v>
      </c>
      <c r="AJ127" s="127" t="s">
        <v>58</v>
      </c>
      <c r="AK127" s="19" t="s">
        <v>139</v>
      </c>
      <c r="AL127" s="137" t="s">
        <v>1134</v>
      </c>
      <c r="AM127" s="17" t="s">
        <v>58</v>
      </c>
      <c r="AN127" s="262" t="s">
        <v>1135</v>
      </c>
    </row>
    <row r="128" spans="2:40">
      <c r="B128" s="268">
        <f t="shared" ref="B128:B141" si="34">B127+1</f>
        <v>69</v>
      </c>
      <c r="C128" s="16">
        <v>20200819</v>
      </c>
      <c r="D128" s="73" t="s">
        <v>3</v>
      </c>
      <c r="E128" s="73" t="s">
        <v>1070</v>
      </c>
      <c r="F128" s="225" t="s">
        <v>1264</v>
      </c>
      <c r="G128" s="73">
        <v>1633295</v>
      </c>
      <c r="H128" s="47" t="s">
        <v>58</v>
      </c>
      <c r="I128" s="73" t="s">
        <v>1072</v>
      </c>
      <c r="J128" s="47" t="s">
        <v>58</v>
      </c>
      <c r="K128" s="15" t="s">
        <v>194</v>
      </c>
      <c r="L128" s="73" t="s">
        <v>140</v>
      </c>
      <c r="M128" s="15" t="s">
        <v>1077</v>
      </c>
      <c r="N128" s="73" t="s">
        <v>1080</v>
      </c>
      <c r="O128" s="17" t="s">
        <v>58</v>
      </c>
      <c r="P128" s="72" t="s">
        <v>1078</v>
      </c>
      <c r="Q128" s="18"/>
      <c r="R128" s="47" t="s">
        <v>58</v>
      </c>
      <c r="S128" s="15" t="s">
        <v>179</v>
      </c>
      <c r="T128" s="15" t="s">
        <v>168</v>
      </c>
      <c r="U128" s="15" t="s">
        <v>578</v>
      </c>
      <c r="V128" s="73">
        <v>30</v>
      </c>
      <c r="W128" s="16">
        <f>V128</f>
        <v>30</v>
      </c>
      <c r="X128" s="15">
        <f t="shared" si="32"/>
        <v>30</v>
      </c>
      <c r="Y128" s="15">
        <f>ROUNDDOWN(W128/HLOOKUP(D128,Table!$C$3:$D$4,2,0)*8,2)</f>
        <v>0.53</v>
      </c>
      <c r="Z128" s="15">
        <v>0.1</v>
      </c>
      <c r="AA128" s="15" t="s">
        <v>21</v>
      </c>
      <c r="AB128" s="19">
        <v>44070</v>
      </c>
      <c r="AC128" s="19">
        <v>44064</v>
      </c>
      <c r="AD128" s="81">
        <v>44070</v>
      </c>
      <c r="AE128" s="19">
        <v>44070</v>
      </c>
      <c r="AF128" s="19">
        <v>44070</v>
      </c>
      <c r="AG128" s="19" t="s">
        <v>155</v>
      </c>
      <c r="AH128" s="30">
        <v>1</v>
      </c>
      <c r="AI128" s="30">
        <v>1</v>
      </c>
      <c r="AJ128" s="30">
        <v>1</v>
      </c>
      <c r="AK128" s="19" t="s">
        <v>140</v>
      </c>
      <c r="AL128" s="17" t="s">
        <v>58</v>
      </c>
      <c r="AM128" s="17" t="s">
        <v>58</v>
      </c>
      <c r="AN128" s="91" t="s">
        <v>1081</v>
      </c>
    </row>
    <row r="129" spans="2:40">
      <c r="B129" s="268">
        <f t="shared" si="34"/>
        <v>70</v>
      </c>
      <c r="C129" s="16">
        <v>20200819</v>
      </c>
      <c r="D129" s="73" t="s">
        <v>3</v>
      </c>
      <c r="E129" s="73" t="s">
        <v>1070</v>
      </c>
      <c r="F129" s="225" t="s">
        <v>1263</v>
      </c>
      <c r="G129" s="73">
        <v>1633295</v>
      </c>
      <c r="H129" s="47" t="s">
        <v>58</v>
      </c>
      <c r="I129" s="73" t="s">
        <v>1073</v>
      </c>
      <c r="J129" s="47" t="s">
        <v>58</v>
      </c>
      <c r="K129" s="15" t="s">
        <v>194</v>
      </c>
      <c r="L129" s="73" t="s">
        <v>140</v>
      </c>
      <c r="M129" s="15" t="s">
        <v>1077</v>
      </c>
      <c r="N129" s="73" t="s">
        <v>1080</v>
      </c>
      <c r="O129" s="17" t="s">
        <v>58</v>
      </c>
      <c r="P129" s="72" t="s">
        <v>1078</v>
      </c>
      <c r="Q129" s="18"/>
      <c r="R129" s="47" t="s">
        <v>58</v>
      </c>
      <c r="S129" s="15" t="s">
        <v>179</v>
      </c>
      <c r="T129" s="15" t="s">
        <v>168</v>
      </c>
      <c r="U129" s="15" t="s">
        <v>578</v>
      </c>
      <c r="V129" s="73">
        <v>12</v>
      </c>
      <c r="W129" s="16">
        <f t="shared" ref="W129:W132" si="35">V129</f>
        <v>12</v>
      </c>
      <c r="X129" s="15">
        <f t="shared" si="32"/>
        <v>12</v>
      </c>
      <c r="Y129" s="15">
        <f>ROUNDDOWN(W129/HLOOKUP(D129,Table!$C$3:$D$4,2,0)*8,2)</f>
        <v>0.21</v>
      </c>
      <c r="Z129" s="15">
        <v>0.1</v>
      </c>
      <c r="AA129" s="15" t="s">
        <v>21</v>
      </c>
      <c r="AB129" s="19">
        <v>44070</v>
      </c>
      <c r="AC129" s="19">
        <v>44064</v>
      </c>
      <c r="AD129" s="81">
        <v>44070</v>
      </c>
      <c r="AE129" s="19">
        <v>44070</v>
      </c>
      <c r="AF129" s="19">
        <v>44070</v>
      </c>
      <c r="AG129" s="19" t="s">
        <v>155</v>
      </c>
      <c r="AH129" s="30">
        <v>1</v>
      </c>
      <c r="AI129" s="30">
        <v>1</v>
      </c>
      <c r="AJ129" s="30">
        <v>1</v>
      </c>
      <c r="AK129" s="19" t="s">
        <v>140</v>
      </c>
      <c r="AL129" s="17" t="s">
        <v>58</v>
      </c>
      <c r="AM129" s="17" t="s">
        <v>58</v>
      </c>
      <c r="AN129" s="91" t="s">
        <v>1081</v>
      </c>
    </row>
    <row r="130" spans="2:40">
      <c r="B130" s="268">
        <f t="shared" si="34"/>
        <v>71</v>
      </c>
      <c r="C130" s="16">
        <v>20200819</v>
      </c>
      <c r="D130" s="73" t="s">
        <v>3</v>
      </c>
      <c r="E130" s="73" t="s">
        <v>1070</v>
      </c>
      <c r="F130" s="225" t="s">
        <v>1243</v>
      </c>
      <c r="G130" s="73">
        <v>1633295</v>
      </c>
      <c r="H130" s="47" t="s">
        <v>58</v>
      </c>
      <c r="I130" s="73" t="s">
        <v>1074</v>
      </c>
      <c r="J130" s="47" t="s">
        <v>58</v>
      </c>
      <c r="K130" s="15" t="s">
        <v>194</v>
      </c>
      <c r="L130" s="73" t="s">
        <v>140</v>
      </c>
      <c r="M130" s="15" t="s">
        <v>1077</v>
      </c>
      <c r="N130" s="73" t="s">
        <v>1080</v>
      </c>
      <c r="O130" s="17" t="s">
        <v>58</v>
      </c>
      <c r="P130" s="72" t="s">
        <v>1078</v>
      </c>
      <c r="Q130" s="18"/>
      <c r="R130" s="47" t="s">
        <v>58</v>
      </c>
      <c r="S130" s="15" t="s">
        <v>179</v>
      </c>
      <c r="T130" s="15" t="s">
        <v>168</v>
      </c>
      <c r="U130" s="15" t="s">
        <v>578</v>
      </c>
      <c r="V130" s="73">
        <v>10</v>
      </c>
      <c r="W130" s="16">
        <v>0</v>
      </c>
      <c r="X130" s="15">
        <v>0</v>
      </c>
      <c r="Y130" s="15">
        <f>ROUNDDOWN(W130/HLOOKUP(D130,Table!$C$3:$D$4,2,0)*8,2)</f>
        <v>0</v>
      </c>
      <c r="Z130" s="15">
        <v>0</v>
      </c>
      <c r="AA130" s="15" t="s">
        <v>21</v>
      </c>
      <c r="AB130" s="19">
        <v>44070</v>
      </c>
      <c r="AC130" s="19">
        <v>44064</v>
      </c>
      <c r="AD130" s="81">
        <v>44070</v>
      </c>
      <c r="AE130" s="19">
        <v>44070</v>
      </c>
      <c r="AF130" s="19">
        <v>44070</v>
      </c>
      <c r="AG130" s="19" t="s">
        <v>155</v>
      </c>
      <c r="AH130" s="127" t="s">
        <v>58</v>
      </c>
      <c r="AI130" s="127" t="s">
        <v>58</v>
      </c>
      <c r="AJ130" s="127" t="s">
        <v>58</v>
      </c>
      <c r="AK130" s="19" t="s">
        <v>140</v>
      </c>
      <c r="AL130" s="17" t="s">
        <v>1244</v>
      </c>
      <c r="AM130" s="17" t="s">
        <v>58</v>
      </c>
      <c r="AN130" s="91" t="s">
        <v>1081</v>
      </c>
    </row>
    <row r="131" spans="2:40">
      <c r="B131" s="268">
        <f t="shared" si="34"/>
        <v>72</v>
      </c>
      <c r="C131" s="16">
        <v>20200819</v>
      </c>
      <c r="D131" s="73" t="s">
        <v>3</v>
      </c>
      <c r="E131" s="73" t="s">
        <v>1071</v>
      </c>
      <c r="F131" s="225" t="s">
        <v>1189</v>
      </c>
      <c r="G131" s="73">
        <v>1629370</v>
      </c>
      <c r="H131" s="47" t="s">
        <v>58</v>
      </c>
      <c r="I131" s="73" t="s">
        <v>1075</v>
      </c>
      <c r="J131" s="47" t="s">
        <v>58</v>
      </c>
      <c r="K131" s="15" t="s">
        <v>194</v>
      </c>
      <c r="L131" s="73" t="s">
        <v>140</v>
      </c>
      <c r="M131" s="15" t="s">
        <v>1077</v>
      </c>
      <c r="N131" s="73" t="s">
        <v>1080</v>
      </c>
      <c r="O131" s="17" t="s">
        <v>58</v>
      </c>
      <c r="P131" s="72" t="s">
        <v>1079</v>
      </c>
      <c r="Q131" s="18"/>
      <c r="R131" s="47" t="s">
        <v>58</v>
      </c>
      <c r="S131" s="15" t="s">
        <v>179</v>
      </c>
      <c r="T131" s="15" t="s">
        <v>168</v>
      </c>
      <c r="U131" s="15" t="s">
        <v>578</v>
      </c>
      <c r="V131" s="73">
        <v>62</v>
      </c>
      <c r="W131" s="16">
        <f t="shared" si="35"/>
        <v>62</v>
      </c>
      <c r="X131" s="15">
        <f t="shared" ref="X131:X171" si="36">W131</f>
        <v>62</v>
      </c>
      <c r="Y131" s="15">
        <f>ROUNDDOWN(W131/HLOOKUP(D131,Table!$C$3:$D$4,2,0)*8,2)</f>
        <v>1.1000000000000001</v>
      </c>
      <c r="Z131" s="15">
        <v>1</v>
      </c>
      <c r="AA131" s="15" t="s">
        <v>21</v>
      </c>
      <c r="AB131" s="19">
        <v>44070</v>
      </c>
      <c r="AC131" s="19">
        <v>44064</v>
      </c>
      <c r="AD131" s="81">
        <v>44070</v>
      </c>
      <c r="AE131" s="19">
        <v>44070</v>
      </c>
      <c r="AF131" s="19">
        <v>44070</v>
      </c>
      <c r="AG131" s="19" t="s">
        <v>155</v>
      </c>
      <c r="AH131" s="30">
        <v>1</v>
      </c>
      <c r="AI131" s="30">
        <v>1</v>
      </c>
      <c r="AJ131" s="30">
        <v>0.5</v>
      </c>
      <c r="AK131" s="19" t="s">
        <v>130</v>
      </c>
      <c r="AL131" s="17" t="s">
        <v>1262</v>
      </c>
      <c r="AM131" s="17" t="s">
        <v>58</v>
      </c>
      <c r="AN131" s="91" t="s">
        <v>1081</v>
      </c>
    </row>
    <row r="132" spans="2:40">
      <c r="B132" s="268">
        <f t="shared" si="34"/>
        <v>73</v>
      </c>
      <c r="C132" s="16">
        <v>20200819</v>
      </c>
      <c r="D132" s="73" t="s">
        <v>3</v>
      </c>
      <c r="E132" s="73" t="s">
        <v>1071</v>
      </c>
      <c r="F132" s="225" t="s">
        <v>1189</v>
      </c>
      <c r="G132" s="73">
        <v>1629370</v>
      </c>
      <c r="H132" s="47" t="s">
        <v>58</v>
      </c>
      <c r="I132" s="73" t="s">
        <v>1076</v>
      </c>
      <c r="J132" s="47" t="s">
        <v>58</v>
      </c>
      <c r="K132" s="15" t="s">
        <v>194</v>
      </c>
      <c r="L132" s="73" t="s">
        <v>140</v>
      </c>
      <c r="M132" s="15" t="s">
        <v>1077</v>
      </c>
      <c r="N132" s="73" t="s">
        <v>1080</v>
      </c>
      <c r="O132" s="17" t="s">
        <v>58</v>
      </c>
      <c r="P132" s="72" t="s">
        <v>1079</v>
      </c>
      <c r="Q132" s="18"/>
      <c r="R132" s="47" t="s">
        <v>58</v>
      </c>
      <c r="S132" s="15" t="s">
        <v>179</v>
      </c>
      <c r="T132" s="15" t="s">
        <v>168</v>
      </c>
      <c r="U132" s="15" t="s">
        <v>578</v>
      </c>
      <c r="V132" s="73">
        <v>238</v>
      </c>
      <c r="W132" s="16">
        <f t="shared" si="35"/>
        <v>238</v>
      </c>
      <c r="X132" s="15">
        <f t="shared" si="36"/>
        <v>238</v>
      </c>
      <c r="Y132" s="15">
        <f>ROUNDDOWN(W132/HLOOKUP(D132,Table!$C$3:$D$4,2,0)*8,2)</f>
        <v>4.2300000000000004</v>
      </c>
      <c r="Z132" s="15">
        <v>2</v>
      </c>
      <c r="AA132" s="15" t="s">
        <v>21</v>
      </c>
      <c r="AB132" s="19">
        <v>44070</v>
      </c>
      <c r="AC132" s="19">
        <v>44064</v>
      </c>
      <c r="AD132" s="81">
        <v>44070</v>
      </c>
      <c r="AE132" s="19">
        <v>44069</v>
      </c>
      <c r="AF132" s="19">
        <v>44069</v>
      </c>
      <c r="AG132" s="19" t="s">
        <v>155</v>
      </c>
      <c r="AH132" s="30">
        <v>1</v>
      </c>
      <c r="AI132" s="30">
        <v>1</v>
      </c>
      <c r="AJ132" s="30">
        <v>1</v>
      </c>
      <c r="AK132" s="19" t="s">
        <v>140</v>
      </c>
      <c r="AL132" s="17" t="s">
        <v>58</v>
      </c>
      <c r="AM132" s="17" t="s">
        <v>58</v>
      </c>
      <c r="AN132" s="91" t="s">
        <v>1081</v>
      </c>
    </row>
    <row r="133" spans="2:40">
      <c r="B133" s="146">
        <f t="shared" si="34"/>
        <v>74</v>
      </c>
      <c r="C133" s="16">
        <v>20200821</v>
      </c>
      <c r="D133" s="73" t="s">
        <v>2</v>
      </c>
      <c r="E133" s="73" t="s">
        <v>1096</v>
      </c>
      <c r="F133" s="17" t="s">
        <v>58</v>
      </c>
      <c r="G133" s="73">
        <v>1635040</v>
      </c>
      <c r="H133" s="47" t="s">
        <v>58</v>
      </c>
      <c r="I133" s="73" t="s">
        <v>1102</v>
      </c>
      <c r="J133" s="47" t="s">
        <v>58</v>
      </c>
      <c r="K133" s="15" t="s">
        <v>194</v>
      </c>
      <c r="L133" s="73" t="s">
        <v>140</v>
      </c>
      <c r="M133" s="15" t="s">
        <v>1120</v>
      </c>
      <c r="N133" s="73" t="s">
        <v>1115</v>
      </c>
      <c r="O133" s="17" t="s">
        <v>1109</v>
      </c>
      <c r="P133" s="72" t="s">
        <v>318</v>
      </c>
      <c r="Q133" s="18"/>
      <c r="R133" s="47" t="s">
        <v>58</v>
      </c>
      <c r="S133" s="15" t="s">
        <v>169</v>
      </c>
      <c r="T133" s="15" t="s">
        <v>64</v>
      </c>
      <c r="U133" s="15" t="s">
        <v>0</v>
      </c>
      <c r="V133" s="73">
        <v>33</v>
      </c>
      <c r="W133" s="16">
        <f>V133</f>
        <v>33</v>
      </c>
      <c r="X133" s="15">
        <f t="shared" si="36"/>
        <v>33</v>
      </c>
      <c r="Y133" s="15">
        <f>ROUNDDOWN(W133/HLOOKUP(D133,Table!$C$3:$D$4,2,0)*8,2)</f>
        <v>2.0299999999999998</v>
      </c>
      <c r="Z133" s="15">
        <v>8</v>
      </c>
      <c r="AA133" s="15" t="s">
        <v>21</v>
      </c>
      <c r="AB133" s="19">
        <v>44069</v>
      </c>
      <c r="AC133" s="19">
        <v>44067</v>
      </c>
      <c r="AD133" s="81">
        <v>44069</v>
      </c>
      <c r="AE133" s="19">
        <v>44067</v>
      </c>
      <c r="AF133" s="19">
        <v>44068</v>
      </c>
      <c r="AG133" s="19" t="s">
        <v>155</v>
      </c>
      <c r="AH133" s="30">
        <v>1</v>
      </c>
      <c r="AI133" s="30">
        <v>1</v>
      </c>
      <c r="AJ133" s="127" t="s">
        <v>58</v>
      </c>
      <c r="AK133" s="19" t="s">
        <v>140</v>
      </c>
      <c r="AL133" s="17" t="s">
        <v>58</v>
      </c>
      <c r="AM133" s="17" t="s">
        <v>58</v>
      </c>
      <c r="AN133" s="91" t="s">
        <v>1081</v>
      </c>
    </row>
    <row r="134" spans="2:40">
      <c r="B134" s="146">
        <f t="shared" si="34"/>
        <v>75</v>
      </c>
      <c r="C134" s="16">
        <v>20200821</v>
      </c>
      <c r="D134" s="73" t="s">
        <v>3</v>
      </c>
      <c r="E134" s="73" t="s">
        <v>1097</v>
      </c>
      <c r="F134" s="17" t="s">
        <v>58</v>
      </c>
      <c r="G134" s="73">
        <v>1635670</v>
      </c>
      <c r="H134" s="47" t="s">
        <v>58</v>
      </c>
      <c r="I134" s="73" t="s">
        <v>285</v>
      </c>
      <c r="J134" s="47" t="s">
        <v>58</v>
      </c>
      <c r="K134" s="15" t="s">
        <v>194</v>
      </c>
      <c r="L134" s="73" t="s">
        <v>140</v>
      </c>
      <c r="M134" s="15" t="s">
        <v>316</v>
      </c>
      <c r="N134" s="73" t="s">
        <v>1116</v>
      </c>
      <c r="O134" s="17" t="s">
        <v>1110</v>
      </c>
      <c r="P134" s="72" t="s">
        <v>1111</v>
      </c>
      <c r="Q134" s="18"/>
      <c r="R134" s="47" t="s">
        <v>58</v>
      </c>
      <c r="S134" s="15" t="s">
        <v>64</v>
      </c>
      <c r="T134" s="135" t="s">
        <v>169</v>
      </c>
      <c r="U134" s="15" t="s">
        <v>578</v>
      </c>
      <c r="V134" s="73">
        <v>40</v>
      </c>
      <c r="W134" s="16">
        <f t="shared" ref="W134:W141" si="37">V134</f>
        <v>40</v>
      </c>
      <c r="X134" s="15">
        <f t="shared" si="36"/>
        <v>40</v>
      </c>
      <c r="Y134" s="15">
        <f>ROUNDDOWN(W134/HLOOKUP(D134,Table!$C$3:$D$4,2,0)*8,2)</f>
        <v>0.71</v>
      </c>
      <c r="Z134" s="15">
        <v>5</v>
      </c>
      <c r="AA134" s="15" t="s">
        <v>21</v>
      </c>
      <c r="AB134" s="19">
        <v>44069</v>
      </c>
      <c r="AC134" s="19">
        <v>44067</v>
      </c>
      <c r="AD134" s="81">
        <v>44069</v>
      </c>
      <c r="AE134" s="19">
        <v>44067</v>
      </c>
      <c r="AF134" s="19">
        <v>44067</v>
      </c>
      <c r="AG134" s="19" t="s">
        <v>155</v>
      </c>
      <c r="AH134" s="30">
        <v>1</v>
      </c>
      <c r="AI134" s="30">
        <v>1</v>
      </c>
      <c r="AJ134" s="30">
        <v>1</v>
      </c>
      <c r="AK134" s="19" t="s">
        <v>140</v>
      </c>
      <c r="AL134" s="17" t="s">
        <v>58</v>
      </c>
      <c r="AM134" s="17" t="s">
        <v>58</v>
      </c>
      <c r="AN134" s="91" t="s">
        <v>1081</v>
      </c>
    </row>
    <row r="135" spans="2:40" ht="30">
      <c r="B135" s="146">
        <f t="shared" si="34"/>
        <v>76</v>
      </c>
      <c r="C135" s="16">
        <v>20200821</v>
      </c>
      <c r="D135" s="73" t="s">
        <v>3</v>
      </c>
      <c r="E135" s="73" t="s">
        <v>1098</v>
      </c>
      <c r="F135" s="225" t="s">
        <v>1144</v>
      </c>
      <c r="G135" s="73">
        <v>1630872</v>
      </c>
      <c r="H135" s="47" t="s">
        <v>58</v>
      </c>
      <c r="I135" s="73" t="s">
        <v>1103</v>
      </c>
      <c r="J135" s="47" t="s">
        <v>58</v>
      </c>
      <c r="K135" s="15" t="s">
        <v>192</v>
      </c>
      <c r="L135" s="73" t="s">
        <v>1124</v>
      </c>
      <c r="M135" s="15" t="s">
        <v>1121</v>
      </c>
      <c r="N135" s="73" t="s">
        <v>1117</v>
      </c>
      <c r="O135" s="17" t="s">
        <v>58</v>
      </c>
      <c r="P135" s="72" t="s">
        <v>1112</v>
      </c>
      <c r="Q135" s="18"/>
      <c r="R135" s="47" t="s">
        <v>58</v>
      </c>
      <c r="S135" s="15" t="s">
        <v>179</v>
      </c>
      <c r="T135" s="15" t="s">
        <v>168</v>
      </c>
      <c r="U135" s="15" t="s">
        <v>578</v>
      </c>
      <c r="V135" s="73">
        <v>997</v>
      </c>
      <c r="W135" s="16">
        <f t="shared" si="37"/>
        <v>997</v>
      </c>
      <c r="X135" s="15">
        <f t="shared" si="36"/>
        <v>997</v>
      </c>
      <c r="Y135" s="15">
        <f>ROUNDDOWN(W135/HLOOKUP(D135,Table!$C$3:$D$4,2,0)*8,2)</f>
        <v>17.72</v>
      </c>
      <c r="Z135" s="15">
        <v>3</v>
      </c>
      <c r="AA135" s="15" t="s">
        <v>21</v>
      </c>
      <c r="AB135" s="19">
        <v>44068</v>
      </c>
      <c r="AC135" s="19">
        <v>44067</v>
      </c>
      <c r="AD135" s="81">
        <v>44068</v>
      </c>
      <c r="AE135" s="19">
        <v>44067</v>
      </c>
      <c r="AF135" s="19">
        <v>44067</v>
      </c>
      <c r="AG135" s="19" t="s">
        <v>155</v>
      </c>
      <c r="AH135" s="30">
        <v>1</v>
      </c>
      <c r="AI135" s="30">
        <v>1</v>
      </c>
      <c r="AJ135" s="30">
        <v>1</v>
      </c>
      <c r="AK135" s="19" t="s">
        <v>140</v>
      </c>
      <c r="AL135" s="17" t="s">
        <v>58</v>
      </c>
      <c r="AM135" s="17" t="s">
        <v>58</v>
      </c>
      <c r="AN135" s="137" t="s">
        <v>1146</v>
      </c>
    </row>
    <row r="136" spans="2:40" ht="30">
      <c r="B136" s="146">
        <f t="shared" si="34"/>
        <v>77</v>
      </c>
      <c r="C136" s="16">
        <v>20200821</v>
      </c>
      <c r="D136" s="73" t="s">
        <v>3</v>
      </c>
      <c r="E136" s="73" t="s">
        <v>1099</v>
      </c>
      <c r="F136" s="225" t="s">
        <v>1131</v>
      </c>
      <c r="G136" s="73">
        <v>1630857</v>
      </c>
      <c r="H136" s="47" t="s">
        <v>58</v>
      </c>
      <c r="I136" s="73" t="s">
        <v>1104</v>
      </c>
      <c r="J136" s="47" t="s">
        <v>58</v>
      </c>
      <c r="K136" s="15" t="s">
        <v>192</v>
      </c>
      <c r="L136" s="73" t="s">
        <v>1125</v>
      </c>
      <c r="M136" s="15" t="s">
        <v>1122</v>
      </c>
      <c r="N136" s="73" t="s">
        <v>1117</v>
      </c>
      <c r="O136" s="17" t="s">
        <v>58</v>
      </c>
      <c r="P136" s="72" t="s">
        <v>1112</v>
      </c>
      <c r="Q136" s="18"/>
      <c r="R136" s="47" t="s">
        <v>58</v>
      </c>
      <c r="S136" s="15" t="s">
        <v>169</v>
      </c>
      <c r="T136" s="15" t="s">
        <v>179</v>
      </c>
      <c r="U136" s="15" t="s">
        <v>578</v>
      </c>
      <c r="V136" s="73">
        <v>257</v>
      </c>
      <c r="W136" s="16">
        <f t="shared" si="37"/>
        <v>257</v>
      </c>
      <c r="X136" s="15">
        <f t="shared" si="36"/>
        <v>257</v>
      </c>
      <c r="Y136" s="15">
        <f>ROUNDDOWN(W136/HLOOKUP(D136,Table!$C$3:$D$4,2,0)*8,2)</f>
        <v>4.5599999999999996</v>
      </c>
      <c r="Z136" s="15">
        <v>4</v>
      </c>
      <c r="AA136" s="15" t="s">
        <v>21</v>
      </c>
      <c r="AB136" s="19">
        <v>44068</v>
      </c>
      <c r="AC136" s="19">
        <v>44067</v>
      </c>
      <c r="AD136" s="81">
        <v>44068</v>
      </c>
      <c r="AE136" s="19">
        <v>44067</v>
      </c>
      <c r="AF136" s="19">
        <v>44067</v>
      </c>
      <c r="AG136" s="19" t="s">
        <v>155</v>
      </c>
      <c r="AH136" s="30">
        <v>1</v>
      </c>
      <c r="AI136" s="30">
        <v>1</v>
      </c>
      <c r="AJ136" s="30">
        <v>1</v>
      </c>
      <c r="AK136" s="19" t="s">
        <v>140</v>
      </c>
      <c r="AL136" s="17" t="s">
        <v>58</v>
      </c>
      <c r="AM136" s="17" t="s">
        <v>58</v>
      </c>
      <c r="AN136" s="137" t="s">
        <v>1147</v>
      </c>
    </row>
    <row r="137" spans="2:40" ht="30">
      <c r="B137" s="146">
        <f t="shared" si="34"/>
        <v>78</v>
      </c>
      <c r="C137" s="16">
        <v>20200821</v>
      </c>
      <c r="D137" s="73" t="s">
        <v>3</v>
      </c>
      <c r="E137" s="73" t="s">
        <v>1099</v>
      </c>
      <c r="F137" s="225" t="s">
        <v>1131</v>
      </c>
      <c r="G137" s="73">
        <v>1630857</v>
      </c>
      <c r="H137" s="47" t="s">
        <v>58</v>
      </c>
      <c r="I137" s="73" t="s">
        <v>1103</v>
      </c>
      <c r="J137" s="47" t="s">
        <v>58</v>
      </c>
      <c r="K137" s="15" t="s">
        <v>192</v>
      </c>
      <c r="L137" s="73" t="s">
        <v>1125</v>
      </c>
      <c r="M137" s="15" t="s">
        <v>1122</v>
      </c>
      <c r="N137" s="73" t="s">
        <v>1117</v>
      </c>
      <c r="O137" s="17" t="s">
        <v>58</v>
      </c>
      <c r="P137" s="72" t="s">
        <v>1112</v>
      </c>
      <c r="Q137" s="18"/>
      <c r="R137" s="47" t="s">
        <v>58</v>
      </c>
      <c r="S137" s="15" t="s">
        <v>179</v>
      </c>
      <c r="T137" s="15" t="s">
        <v>168</v>
      </c>
      <c r="U137" s="15" t="s">
        <v>578</v>
      </c>
      <c r="V137" s="73">
        <v>997</v>
      </c>
      <c r="W137" s="16">
        <f t="shared" si="37"/>
        <v>997</v>
      </c>
      <c r="X137" s="15">
        <f t="shared" si="36"/>
        <v>997</v>
      </c>
      <c r="Y137" s="15">
        <f>ROUNDDOWN(W137/HLOOKUP(D137,Table!$C$3:$D$4,2,0)*8,2)</f>
        <v>17.72</v>
      </c>
      <c r="Z137" s="15">
        <v>3</v>
      </c>
      <c r="AA137" s="15" t="s">
        <v>21</v>
      </c>
      <c r="AB137" s="19">
        <v>44068</v>
      </c>
      <c r="AC137" s="19">
        <v>44067</v>
      </c>
      <c r="AD137" s="81">
        <v>44068</v>
      </c>
      <c r="AE137" s="19">
        <v>44067</v>
      </c>
      <c r="AF137" s="19">
        <v>44067</v>
      </c>
      <c r="AG137" s="19" t="s">
        <v>155</v>
      </c>
      <c r="AH137" s="30">
        <v>1</v>
      </c>
      <c r="AI137" s="30">
        <v>1</v>
      </c>
      <c r="AJ137" s="30">
        <v>1</v>
      </c>
      <c r="AK137" s="19" t="s">
        <v>140</v>
      </c>
      <c r="AL137" s="17" t="s">
        <v>58</v>
      </c>
      <c r="AM137" s="17" t="s">
        <v>58</v>
      </c>
      <c r="AN137" s="137" t="s">
        <v>1147</v>
      </c>
    </row>
    <row r="138" spans="2:40">
      <c r="B138" s="146">
        <f t="shared" si="34"/>
        <v>79</v>
      </c>
      <c r="C138" s="16">
        <v>20200821</v>
      </c>
      <c r="D138" s="73" t="s">
        <v>3</v>
      </c>
      <c r="E138" s="73" t="s">
        <v>1100</v>
      </c>
      <c r="F138" s="225" t="s">
        <v>1136</v>
      </c>
      <c r="G138" s="73">
        <v>1621201</v>
      </c>
      <c r="H138" s="47" t="s">
        <v>58</v>
      </c>
      <c r="I138" s="73" t="s">
        <v>1105</v>
      </c>
      <c r="J138" s="47" t="s">
        <v>58</v>
      </c>
      <c r="K138" s="15" t="s">
        <v>192</v>
      </c>
      <c r="L138" s="73" t="s">
        <v>1126</v>
      </c>
      <c r="M138" s="15" t="s">
        <v>140</v>
      </c>
      <c r="N138" s="73" t="s">
        <v>1118</v>
      </c>
      <c r="O138" s="17" t="s">
        <v>58</v>
      </c>
      <c r="P138" s="72" t="s">
        <v>1113</v>
      </c>
      <c r="Q138" s="18"/>
      <c r="R138" s="47" t="s">
        <v>58</v>
      </c>
      <c r="S138" s="15" t="s">
        <v>65</v>
      </c>
      <c r="T138" s="15" t="s">
        <v>167</v>
      </c>
      <c r="U138" s="15" t="s">
        <v>578</v>
      </c>
      <c r="V138" s="73">
        <v>259</v>
      </c>
      <c r="W138" s="16">
        <f t="shared" si="37"/>
        <v>259</v>
      </c>
      <c r="X138" s="15">
        <f t="shared" si="36"/>
        <v>259</v>
      </c>
      <c r="Y138" s="15">
        <f>ROUNDDOWN(W138/HLOOKUP(D138,Table!$C$3:$D$4,2,0)*8,2)</f>
        <v>4.5999999999999996</v>
      </c>
      <c r="Z138" s="15">
        <f>Y138</f>
        <v>4.5999999999999996</v>
      </c>
      <c r="AA138" s="15" t="s">
        <v>21</v>
      </c>
      <c r="AB138" s="19">
        <v>44068</v>
      </c>
      <c r="AC138" s="19">
        <v>44067</v>
      </c>
      <c r="AD138" s="81">
        <v>44068</v>
      </c>
      <c r="AE138" s="19">
        <v>44067</v>
      </c>
      <c r="AF138" s="19">
        <v>44067</v>
      </c>
      <c r="AG138" s="19" t="s">
        <v>156</v>
      </c>
      <c r="AH138" s="30">
        <v>1</v>
      </c>
      <c r="AI138" s="30">
        <v>1</v>
      </c>
      <c r="AJ138" s="30">
        <v>0.94</v>
      </c>
      <c r="AK138" s="19" t="s">
        <v>130</v>
      </c>
      <c r="AL138" s="295" t="s">
        <v>1139</v>
      </c>
      <c r="AM138" s="17" t="s">
        <v>58</v>
      </c>
      <c r="AN138" s="17" t="s">
        <v>663</v>
      </c>
    </row>
    <row r="139" spans="2:40">
      <c r="B139" s="146">
        <f t="shared" si="34"/>
        <v>80</v>
      </c>
      <c r="C139" s="16">
        <v>20200821</v>
      </c>
      <c r="D139" s="73" t="s">
        <v>3</v>
      </c>
      <c r="E139" s="73" t="s">
        <v>1101</v>
      </c>
      <c r="F139" s="225" t="s">
        <v>1143</v>
      </c>
      <c r="G139" s="73">
        <v>1639824</v>
      </c>
      <c r="H139" s="47" t="s">
        <v>58</v>
      </c>
      <c r="I139" s="73" t="s">
        <v>1106</v>
      </c>
      <c r="J139" s="47" t="s">
        <v>58</v>
      </c>
      <c r="K139" s="15" t="s">
        <v>192</v>
      </c>
      <c r="L139" s="73" t="s">
        <v>1127</v>
      </c>
      <c r="M139" s="15" t="s">
        <v>1123</v>
      </c>
      <c r="N139" s="73" t="s">
        <v>1119</v>
      </c>
      <c r="O139" s="17" t="s">
        <v>58</v>
      </c>
      <c r="P139" s="72" t="s">
        <v>1114</v>
      </c>
      <c r="Q139" s="18"/>
      <c r="R139" s="47" t="s">
        <v>58</v>
      </c>
      <c r="S139" s="15" t="s">
        <v>65</v>
      </c>
      <c r="T139" s="15" t="s">
        <v>167</v>
      </c>
      <c r="U139" s="15" t="s">
        <v>0</v>
      </c>
      <c r="V139" s="73">
        <v>18</v>
      </c>
      <c r="W139" s="16">
        <f t="shared" si="37"/>
        <v>18</v>
      </c>
      <c r="X139" s="15">
        <f t="shared" si="36"/>
        <v>18</v>
      </c>
      <c r="Y139" s="15">
        <f>ROUNDDOWN(W139/HLOOKUP(D139,Table!$C$3:$D$4,2,0)*8,2)</f>
        <v>0.32</v>
      </c>
      <c r="Z139" s="15">
        <f>Y139</f>
        <v>0.32</v>
      </c>
      <c r="AA139" s="15" t="s">
        <v>21</v>
      </c>
      <c r="AB139" s="19">
        <v>44069</v>
      </c>
      <c r="AC139" s="19">
        <v>44067</v>
      </c>
      <c r="AD139" s="81">
        <v>44069</v>
      </c>
      <c r="AE139" s="19">
        <v>44067</v>
      </c>
      <c r="AF139" s="19">
        <v>44067</v>
      </c>
      <c r="AG139" s="19" t="s">
        <v>155</v>
      </c>
      <c r="AH139" s="30">
        <v>1</v>
      </c>
      <c r="AI139" s="30">
        <v>1</v>
      </c>
      <c r="AJ139" s="30">
        <v>1</v>
      </c>
      <c r="AK139" s="19" t="s">
        <v>140</v>
      </c>
      <c r="AL139" s="17" t="s">
        <v>58</v>
      </c>
      <c r="AM139" s="17" t="s">
        <v>58</v>
      </c>
      <c r="AN139" s="17" t="s">
        <v>58</v>
      </c>
    </row>
    <row r="140" spans="2:40">
      <c r="B140" s="146">
        <f t="shared" si="34"/>
        <v>81</v>
      </c>
      <c r="C140" s="16">
        <v>20200821</v>
      </c>
      <c r="D140" s="73" t="s">
        <v>3</v>
      </c>
      <c r="E140" s="73" t="s">
        <v>1101</v>
      </c>
      <c r="F140" s="225" t="s">
        <v>1143</v>
      </c>
      <c r="G140" s="73">
        <v>1639824</v>
      </c>
      <c r="H140" s="47" t="s">
        <v>58</v>
      </c>
      <c r="I140" s="73" t="s">
        <v>1107</v>
      </c>
      <c r="J140" s="47" t="s">
        <v>58</v>
      </c>
      <c r="K140" s="15" t="s">
        <v>192</v>
      </c>
      <c r="L140" s="73" t="s">
        <v>1127</v>
      </c>
      <c r="M140" s="15" t="s">
        <v>1123</v>
      </c>
      <c r="N140" s="73" t="s">
        <v>1119</v>
      </c>
      <c r="O140" s="17" t="s">
        <v>58</v>
      </c>
      <c r="P140" s="72" t="s">
        <v>1114</v>
      </c>
      <c r="Q140" s="18"/>
      <c r="R140" s="47" t="s">
        <v>58</v>
      </c>
      <c r="S140" s="15" t="s">
        <v>65</v>
      </c>
      <c r="T140" s="15" t="s">
        <v>167</v>
      </c>
      <c r="U140" s="15" t="s">
        <v>0</v>
      </c>
      <c r="V140" s="73">
        <v>28</v>
      </c>
      <c r="W140" s="16">
        <f t="shared" si="37"/>
        <v>28</v>
      </c>
      <c r="X140" s="15">
        <f t="shared" si="36"/>
        <v>28</v>
      </c>
      <c r="Y140" s="15">
        <f>ROUNDDOWN(W140/HLOOKUP(D140,Table!$C$3:$D$4,2,0)*8,2)</f>
        <v>0.49</v>
      </c>
      <c r="Z140" s="15">
        <f>Y140</f>
        <v>0.49</v>
      </c>
      <c r="AA140" s="15" t="s">
        <v>21</v>
      </c>
      <c r="AB140" s="19">
        <v>44069</v>
      </c>
      <c r="AC140" s="19">
        <v>44067</v>
      </c>
      <c r="AD140" s="81">
        <v>44069</v>
      </c>
      <c r="AE140" s="19">
        <v>44067</v>
      </c>
      <c r="AF140" s="19">
        <v>44067</v>
      </c>
      <c r="AG140" s="19" t="s">
        <v>155</v>
      </c>
      <c r="AH140" s="30">
        <v>1</v>
      </c>
      <c r="AI140" s="30">
        <v>1</v>
      </c>
      <c r="AJ140" s="30">
        <v>1</v>
      </c>
      <c r="AK140" s="19" t="s">
        <v>140</v>
      </c>
      <c r="AL140" s="17" t="s">
        <v>58</v>
      </c>
      <c r="AM140" s="17" t="s">
        <v>58</v>
      </c>
      <c r="AN140" s="17" t="s">
        <v>58</v>
      </c>
    </row>
    <row r="141" spans="2:40">
      <c r="B141" s="146">
        <f t="shared" si="34"/>
        <v>82</v>
      </c>
      <c r="C141" s="16">
        <v>20200821</v>
      </c>
      <c r="D141" s="73" t="s">
        <v>3</v>
      </c>
      <c r="E141" s="73" t="s">
        <v>1101</v>
      </c>
      <c r="F141" s="225" t="s">
        <v>1143</v>
      </c>
      <c r="G141" s="73">
        <v>1639824</v>
      </c>
      <c r="H141" s="47" t="s">
        <v>58</v>
      </c>
      <c r="I141" s="73" t="s">
        <v>1108</v>
      </c>
      <c r="J141" s="47" t="s">
        <v>58</v>
      </c>
      <c r="K141" s="15" t="s">
        <v>192</v>
      </c>
      <c r="L141" s="73" t="s">
        <v>1127</v>
      </c>
      <c r="M141" s="15" t="s">
        <v>1123</v>
      </c>
      <c r="N141" s="73" t="s">
        <v>1119</v>
      </c>
      <c r="O141" s="17" t="s">
        <v>58</v>
      </c>
      <c r="P141" s="72" t="s">
        <v>1114</v>
      </c>
      <c r="Q141" s="18"/>
      <c r="R141" s="47" t="s">
        <v>58</v>
      </c>
      <c r="S141" s="15" t="s">
        <v>65</v>
      </c>
      <c r="T141" s="15" t="s">
        <v>167</v>
      </c>
      <c r="U141" s="15" t="s">
        <v>0</v>
      </c>
      <c r="V141" s="73">
        <v>128</v>
      </c>
      <c r="W141" s="16">
        <f t="shared" si="37"/>
        <v>128</v>
      </c>
      <c r="X141" s="15">
        <f t="shared" si="36"/>
        <v>128</v>
      </c>
      <c r="Y141" s="15">
        <f>ROUNDDOWN(W141/HLOOKUP(D141,Table!$C$3:$D$4,2,0)*8,2)</f>
        <v>2.27</v>
      </c>
      <c r="Z141" s="15">
        <f>Y141</f>
        <v>2.27</v>
      </c>
      <c r="AA141" s="15" t="s">
        <v>21</v>
      </c>
      <c r="AB141" s="19">
        <v>44069</v>
      </c>
      <c r="AC141" s="19">
        <v>44067</v>
      </c>
      <c r="AD141" s="81">
        <v>44069</v>
      </c>
      <c r="AE141" s="19">
        <v>44067</v>
      </c>
      <c r="AF141" s="19">
        <v>44067</v>
      </c>
      <c r="AG141" s="19" t="s">
        <v>155</v>
      </c>
      <c r="AH141" s="30">
        <v>1</v>
      </c>
      <c r="AI141" s="30">
        <v>1</v>
      </c>
      <c r="AJ141" s="30">
        <v>1</v>
      </c>
      <c r="AK141" s="19" t="s">
        <v>140</v>
      </c>
      <c r="AL141" s="17" t="s">
        <v>58</v>
      </c>
      <c r="AM141" s="17" t="s">
        <v>58</v>
      </c>
      <c r="AN141" s="17" t="s">
        <v>58</v>
      </c>
    </row>
    <row r="142" spans="2:40">
      <c r="B142" s="220">
        <f t="shared" ref="B142:B186" si="38">B141+1</f>
        <v>83</v>
      </c>
      <c r="C142" s="16">
        <v>20200824</v>
      </c>
      <c r="D142" s="73" t="s">
        <v>3</v>
      </c>
      <c r="E142" s="73" t="s">
        <v>1096</v>
      </c>
      <c r="F142" s="225" t="s">
        <v>1182</v>
      </c>
      <c r="G142" s="73">
        <v>1614210</v>
      </c>
      <c r="H142" s="47" t="s">
        <v>58</v>
      </c>
      <c r="I142" s="72" t="s">
        <v>1156</v>
      </c>
      <c r="J142" s="47" t="s">
        <v>58</v>
      </c>
      <c r="K142" s="15" t="s">
        <v>194</v>
      </c>
      <c r="L142" s="73" t="s">
        <v>140</v>
      </c>
      <c r="M142" s="73" t="s">
        <v>1120</v>
      </c>
      <c r="N142" s="73" t="s">
        <v>1080</v>
      </c>
      <c r="O142" s="72" t="s">
        <v>58</v>
      </c>
      <c r="P142" s="72" t="s">
        <v>1164</v>
      </c>
      <c r="Q142" s="18"/>
      <c r="R142" s="47" t="s">
        <v>58</v>
      </c>
      <c r="S142" s="15" t="s">
        <v>64</v>
      </c>
      <c r="T142" s="135" t="s">
        <v>169</v>
      </c>
      <c r="U142" s="15" t="s">
        <v>578</v>
      </c>
      <c r="V142" s="73">
        <v>248</v>
      </c>
      <c r="W142" s="16">
        <f>V142</f>
        <v>248</v>
      </c>
      <c r="X142" s="15">
        <f t="shared" si="36"/>
        <v>248</v>
      </c>
      <c r="Y142" s="15">
        <f>ROUNDDOWN(W142/HLOOKUP(D142,Table!$C$3:$D$4,2,0)*8,2)</f>
        <v>4.4000000000000004</v>
      </c>
      <c r="Z142" s="15">
        <f>Y142</f>
        <v>4.4000000000000004</v>
      </c>
      <c r="AA142" s="15" t="s">
        <v>21</v>
      </c>
      <c r="AB142" s="19">
        <v>44070</v>
      </c>
      <c r="AC142" s="19">
        <v>44068</v>
      </c>
      <c r="AD142" s="244">
        <v>44070</v>
      </c>
      <c r="AE142" s="19">
        <v>44068</v>
      </c>
      <c r="AF142" s="19">
        <v>44068</v>
      </c>
      <c r="AG142" s="19" t="s">
        <v>155</v>
      </c>
      <c r="AH142" s="30">
        <v>1</v>
      </c>
      <c r="AI142" s="30">
        <v>1</v>
      </c>
      <c r="AJ142" s="30">
        <v>1</v>
      </c>
      <c r="AK142" s="19" t="s">
        <v>140</v>
      </c>
      <c r="AL142" s="17" t="s">
        <v>58</v>
      </c>
      <c r="AM142" s="17" t="s">
        <v>58</v>
      </c>
      <c r="AN142" s="306" t="s">
        <v>1081</v>
      </c>
    </row>
    <row r="143" spans="2:40">
      <c r="B143" s="220">
        <f t="shared" si="38"/>
        <v>84</v>
      </c>
      <c r="C143" s="16">
        <v>20200824</v>
      </c>
      <c r="D143" s="73" t="s">
        <v>3</v>
      </c>
      <c r="E143" s="73" t="s">
        <v>1096</v>
      </c>
      <c r="F143" s="225" t="s">
        <v>1181</v>
      </c>
      <c r="G143" s="73">
        <v>1614349</v>
      </c>
      <c r="H143" s="47" t="s">
        <v>58</v>
      </c>
      <c r="I143" s="72" t="s">
        <v>1157</v>
      </c>
      <c r="J143" s="47" t="s">
        <v>58</v>
      </c>
      <c r="K143" s="15" t="s">
        <v>194</v>
      </c>
      <c r="L143" s="73" t="s">
        <v>140</v>
      </c>
      <c r="M143" s="15" t="s">
        <v>1120</v>
      </c>
      <c r="N143" s="73" t="s">
        <v>1080</v>
      </c>
      <c r="O143" s="72" t="s">
        <v>58</v>
      </c>
      <c r="P143" s="72" t="s">
        <v>1164</v>
      </c>
      <c r="Q143" s="18"/>
      <c r="R143" s="47" t="s">
        <v>58</v>
      </c>
      <c r="S143" s="15" t="s">
        <v>168</v>
      </c>
      <c r="T143" s="15" t="s">
        <v>65</v>
      </c>
      <c r="U143" s="15" t="s">
        <v>578</v>
      </c>
      <c r="V143" s="73">
        <v>1204</v>
      </c>
      <c r="W143" s="18">
        <v>1456</v>
      </c>
      <c r="X143" s="15">
        <f t="shared" si="36"/>
        <v>1456</v>
      </c>
      <c r="Y143" s="15">
        <f>ROUNDDOWN(W143/HLOOKUP(D143,Table!$C$3:$D$4,2,0)*8,2)</f>
        <v>25.88</v>
      </c>
      <c r="Z143" s="15">
        <v>15</v>
      </c>
      <c r="AA143" s="15" t="s">
        <v>21</v>
      </c>
      <c r="AB143" s="19">
        <v>44070</v>
      </c>
      <c r="AC143" s="19">
        <v>44068</v>
      </c>
      <c r="AD143" s="244">
        <v>44070</v>
      </c>
      <c r="AE143" s="19">
        <v>44068</v>
      </c>
      <c r="AF143" s="19">
        <v>44069</v>
      </c>
      <c r="AG143" s="19" t="s">
        <v>155</v>
      </c>
      <c r="AH143" s="30">
        <v>1</v>
      </c>
      <c r="AI143" s="30">
        <v>1</v>
      </c>
      <c r="AJ143" s="30">
        <v>1</v>
      </c>
      <c r="AK143" s="19" t="s">
        <v>140</v>
      </c>
      <c r="AL143" s="17" t="s">
        <v>58</v>
      </c>
      <c r="AM143" s="17" t="s">
        <v>58</v>
      </c>
      <c r="AN143" s="299" t="s">
        <v>1081</v>
      </c>
    </row>
    <row r="144" spans="2:40">
      <c r="B144" s="220">
        <f t="shared" si="38"/>
        <v>85</v>
      </c>
      <c r="C144" s="16">
        <v>20200824</v>
      </c>
      <c r="D144" s="73" t="s">
        <v>3</v>
      </c>
      <c r="E144" s="73" t="s">
        <v>1096</v>
      </c>
      <c r="F144" s="225" t="s">
        <v>1203</v>
      </c>
      <c r="G144" s="73">
        <v>1614210</v>
      </c>
      <c r="H144" s="47" t="s">
        <v>58</v>
      </c>
      <c r="I144" s="72" t="s">
        <v>1157</v>
      </c>
      <c r="J144" s="47" t="s">
        <v>58</v>
      </c>
      <c r="K144" s="15" t="s">
        <v>194</v>
      </c>
      <c r="L144" s="73" t="s">
        <v>140</v>
      </c>
      <c r="M144" s="15" t="s">
        <v>1120</v>
      </c>
      <c r="N144" s="73" t="s">
        <v>1080</v>
      </c>
      <c r="O144" s="72" t="s">
        <v>58</v>
      </c>
      <c r="P144" s="72" t="s">
        <v>1164</v>
      </c>
      <c r="Q144" s="18"/>
      <c r="R144" s="47" t="s">
        <v>58</v>
      </c>
      <c r="S144" s="15" t="s">
        <v>169</v>
      </c>
      <c r="T144" s="15" t="s">
        <v>179</v>
      </c>
      <c r="U144" s="15" t="s">
        <v>578</v>
      </c>
      <c r="V144" s="73">
        <v>1204</v>
      </c>
      <c r="W144" s="16">
        <f>V144</f>
        <v>1204</v>
      </c>
      <c r="X144" s="15">
        <f t="shared" si="36"/>
        <v>1204</v>
      </c>
      <c r="Y144" s="15">
        <f>ROUNDDOWN(W144/HLOOKUP(D144,Table!$C$3:$D$4,2,0)*8,2)</f>
        <v>21.4</v>
      </c>
      <c r="Z144" s="15">
        <v>12</v>
      </c>
      <c r="AA144" s="15" t="s">
        <v>21</v>
      </c>
      <c r="AB144" s="19">
        <v>44070</v>
      </c>
      <c r="AC144" s="19">
        <v>44068</v>
      </c>
      <c r="AD144" s="244">
        <v>44070</v>
      </c>
      <c r="AE144" s="19">
        <v>44067</v>
      </c>
      <c r="AF144" s="19">
        <v>44068</v>
      </c>
      <c r="AG144" s="19" t="s">
        <v>155</v>
      </c>
      <c r="AH144" s="30">
        <v>1</v>
      </c>
      <c r="AI144" s="30">
        <v>1</v>
      </c>
      <c r="AJ144" s="30">
        <v>1</v>
      </c>
      <c r="AK144" s="19" t="s">
        <v>140</v>
      </c>
      <c r="AL144" s="17" t="s">
        <v>58</v>
      </c>
      <c r="AM144" s="17" t="s">
        <v>58</v>
      </c>
      <c r="AN144" s="299" t="s">
        <v>1081</v>
      </c>
    </row>
    <row r="145" spans="2:40">
      <c r="B145" s="220">
        <f t="shared" si="38"/>
        <v>86</v>
      </c>
      <c r="C145" s="16">
        <v>20200824</v>
      </c>
      <c r="D145" s="73" t="s">
        <v>3</v>
      </c>
      <c r="E145" s="73" t="s">
        <v>1096</v>
      </c>
      <c r="F145" s="225" t="s">
        <v>1181</v>
      </c>
      <c r="G145" s="73">
        <v>1614349</v>
      </c>
      <c r="H145" s="47" t="s">
        <v>58</v>
      </c>
      <c r="I145" s="72" t="s">
        <v>1158</v>
      </c>
      <c r="J145" s="47" t="s">
        <v>58</v>
      </c>
      <c r="K145" s="15" t="s">
        <v>194</v>
      </c>
      <c r="L145" s="73" t="s">
        <v>140</v>
      </c>
      <c r="M145" s="73" t="s">
        <v>1120</v>
      </c>
      <c r="N145" s="73" t="s">
        <v>1080</v>
      </c>
      <c r="O145" s="72" t="s">
        <v>58</v>
      </c>
      <c r="P145" s="72" t="s">
        <v>1164</v>
      </c>
      <c r="Q145" s="18"/>
      <c r="R145" s="47" t="s">
        <v>58</v>
      </c>
      <c r="S145" s="15" t="s">
        <v>64</v>
      </c>
      <c r="T145" s="135" t="s">
        <v>169</v>
      </c>
      <c r="U145" s="15" t="s">
        <v>578</v>
      </c>
      <c r="V145" s="73">
        <v>140</v>
      </c>
      <c r="W145" s="16">
        <f>V145</f>
        <v>140</v>
      </c>
      <c r="X145" s="15">
        <f t="shared" si="36"/>
        <v>140</v>
      </c>
      <c r="Y145" s="15">
        <f>ROUNDDOWN(W145/HLOOKUP(D145,Table!$C$3:$D$4,2,0)*8,2)</f>
        <v>2.48</v>
      </c>
      <c r="Z145" s="15">
        <f>Y145</f>
        <v>2.48</v>
      </c>
      <c r="AA145" s="15" t="s">
        <v>21</v>
      </c>
      <c r="AB145" s="19">
        <v>44070</v>
      </c>
      <c r="AC145" s="19">
        <v>44068</v>
      </c>
      <c r="AD145" s="244">
        <v>44070</v>
      </c>
      <c r="AE145" s="19">
        <v>44068</v>
      </c>
      <c r="AF145" s="19">
        <v>44068</v>
      </c>
      <c r="AG145" s="19" t="s">
        <v>155</v>
      </c>
      <c r="AH145" s="30">
        <v>1</v>
      </c>
      <c r="AI145" s="30">
        <v>1</v>
      </c>
      <c r="AJ145" s="30">
        <v>1</v>
      </c>
      <c r="AK145" s="19" t="s">
        <v>140</v>
      </c>
      <c r="AL145" s="17" t="s">
        <v>58</v>
      </c>
      <c r="AM145" s="17" t="s">
        <v>58</v>
      </c>
      <c r="AN145" s="306" t="s">
        <v>1081</v>
      </c>
    </row>
    <row r="146" spans="2:40">
      <c r="B146" s="220">
        <f t="shared" si="38"/>
        <v>87</v>
      </c>
      <c r="C146" s="16">
        <v>20200824</v>
      </c>
      <c r="D146" s="73" t="s">
        <v>3</v>
      </c>
      <c r="E146" s="73" t="s">
        <v>1151</v>
      </c>
      <c r="F146" s="225" t="s">
        <v>1190</v>
      </c>
      <c r="G146" s="73">
        <v>1607171</v>
      </c>
      <c r="H146" s="47" t="s">
        <v>58</v>
      </c>
      <c r="I146" s="72" t="s">
        <v>1159</v>
      </c>
      <c r="J146" s="47" t="s">
        <v>58</v>
      </c>
      <c r="K146" s="15" t="s">
        <v>192</v>
      </c>
      <c r="L146" s="73" t="s">
        <v>1184</v>
      </c>
      <c r="M146" s="73" t="s">
        <v>1121</v>
      </c>
      <c r="N146" s="73" t="s">
        <v>1170</v>
      </c>
      <c r="O146" s="72" t="s">
        <v>58</v>
      </c>
      <c r="P146" s="72" t="s">
        <v>1165</v>
      </c>
      <c r="Q146" s="18"/>
      <c r="R146" s="47" t="s">
        <v>58</v>
      </c>
      <c r="S146" s="15" t="s">
        <v>167</v>
      </c>
      <c r="T146" s="15" t="s">
        <v>64</v>
      </c>
      <c r="U146" s="15" t="s">
        <v>0</v>
      </c>
      <c r="V146" s="73">
        <v>1385</v>
      </c>
      <c r="W146" s="136">
        <v>1467</v>
      </c>
      <c r="X146" s="15">
        <f t="shared" si="36"/>
        <v>1467</v>
      </c>
      <c r="Y146" s="15">
        <f>ROUNDDOWN(W146/HLOOKUP(D146,Table!$C$3:$D$4,2,0)*8,2)</f>
        <v>26.08</v>
      </c>
      <c r="Z146" s="15">
        <v>30</v>
      </c>
      <c r="AA146" s="15" t="s">
        <v>21</v>
      </c>
      <c r="AB146" s="19">
        <v>44069</v>
      </c>
      <c r="AC146" s="19">
        <v>44068</v>
      </c>
      <c r="AD146" s="244">
        <v>44069</v>
      </c>
      <c r="AE146" s="19">
        <v>44068</v>
      </c>
      <c r="AF146" s="19">
        <v>44069</v>
      </c>
      <c r="AG146" s="19" t="s">
        <v>155</v>
      </c>
      <c r="AH146" s="30">
        <v>1</v>
      </c>
      <c r="AI146" s="30">
        <v>1</v>
      </c>
      <c r="AJ146" s="30">
        <v>1</v>
      </c>
      <c r="AK146" s="19" t="s">
        <v>140</v>
      </c>
      <c r="AL146" s="17" t="s">
        <v>58</v>
      </c>
      <c r="AM146" s="17" t="s">
        <v>58</v>
      </c>
      <c r="AN146" s="17" t="s">
        <v>1053</v>
      </c>
    </row>
    <row r="147" spans="2:40">
      <c r="B147" s="220">
        <f t="shared" si="38"/>
        <v>88</v>
      </c>
      <c r="C147" s="16">
        <v>20200824</v>
      </c>
      <c r="D147" s="73" t="s">
        <v>3</v>
      </c>
      <c r="E147" s="73" t="s">
        <v>1152</v>
      </c>
      <c r="F147" s="72" t="s">
        <v>1179</v>
      </c>
      <c r="G147" s="73">
        <v>1635021</v>
      </c>
      <c r="H147" s="47" t="s">
        <v>58</v>
      </c>
      <c r="I147" s="72" t="s">
        <v>1160</v>
      </c>
      <c r="J147" s="47" t="s">
        <v>58</v>
      </c>
      <c r="K147" s="15" t="s">
        <v>192</v>
      </c>
      <c r="L147" s="73" t="s">
        <v>1185</v>
      </c>
      <c r="M147" s="73" t="s">
        <v>1175</v>
      </c>
      <c r="N147" s="73" t="s">
        <v>1171</v>
      </c>
      <c r="O147" s="72" t="s">
        <v>58</v>
      </c>
      <c r="P147" s="72" t="s">
        <v>1166</v>
      </c>
      <c r="Q147" s="18"/>
      <c r="R147" s="47" t="s">
        <v>58</v>
      </c>
      <c r="S147" s="15" t="s">
        <v>64</v>
      </c>
      <c r="T147" s="135" t="s">
        <v>169</v>
      </c>
      <c r="U147" s="15" t="s">
        <v>578</v>
      </c>
      <c r="V147" s="73">
        <v>431</v>
      </c>
      <c r="W147" s="16">
        <f>V145</f>
        <v>140</v>
      </c>
      <c r="X147" s="15">
        <f t="shared" si="36"/>
        <v>140</v>
      </c>
      <c r="Y147" s="15">
        <f>ROUNDDOWN(W147/HLOOKUP(D147,Table!$C$3:$D$4,2,0)*8,2)</f>
        <v>2.48</v>
      </c>
      <c r="Z147" s="15">
        <v>8</v>
      </c>
      <c r="AA147" s="15" t="s">
        <v>21</v>
      </c>
      <c r="AB147" s="19">
        <v>44071</v>
      </c>
      <c r="AC147" s="19">
        <v>44068</v>
      </c>
      <c r="AD147" s="77">
        <v>44072</v>
      </c>
      <c r="AE147" s="19">
        <v>44068</v>
      </c>
      <c r="AF147" s="19">
        <v>44068</v>
      </c>
      <c r="AG147" s="19" t="s">
        <v>155</v>
      </c>
      <c r="AH147" s="30">
        <v>1</v>
      </c>
      <c r="AI147" s="30">
        <v>1</v>
      </c>
      <c r="AJ147" s="30">
        <v>1</v>
      </c>
      <c r="AK147" s="19" t="s">
        <v>140</v>
      </c>
      <c r="AL147" s="17" t="s">
        <v>58</v>
      </c>
      <c r="AM147" s="17" t="s">
        <v>58</v>
      </c>
      <c r="AN147" s="17" t="s">
        <v>58</v>
      </c>
    </row>
    <row r="148" spans="2:40">
      <c r="B148" s="220">
        <f t="shared" si="38"/>
        <v>89</v>
      </c>
      <c r="C148" s="16">
        <v>20200824</v>
      </c>
      <c r="D148" s="73" t="s">
        <v>3</v>
      </c>
      <c r="E148" s="73" t="s">
        <v>1153</v>
      </c>
      <c r="F148" s="225" t="s">
        <v>1202</v>
      </c>
      <c r="G148" s="73">
        <v>1633029</v>
      </c>
      <c r="H148" s="47" t="s">
        <v>58</v>
      </c>
      <c r="I148" s="72" t="s">
        <v>1161</v>
      </c>
      <c r="J148" s="47" t="s">
        <v>58</v>
      </c>
      <c r="K148" s="15" t="s">
        <v>192</v>
      </c>
      <c r="L148" s="73" t="s">
        <v>1186</v>
      </c>
      <c r="M148" s="73" t="s">
        <v>1176</v>
      </c>
      <c r="N148" s="73" t="s">
        <v>1172</v>
      </c>
      <c r="O148" s="72" t="s">
        <v>58</v>
      </c>
      <c r="P148" s="72" t="s">
        <v>1167</v>
      </c>
      <c r="Q148" s="18"/>
      <c r="R148" s="47" t="s">
        <v>58</v>
      </c>
      <c r="S148" s="15" t="s">
        <v>65</v>
      </c>
      <c r="T148" s="15" t="s">
        <v>167</v>
      </c>
      <c r="U148" s="15" t="s">
        <v>578</v>
      </c>
      <c r="V148" s="73">
        <v>144</v>
      </c>
      <c r="W148" s="16">
        <f>V148</f>
        <v>144</v>
      </c>
      <c r="X148" s="15">
        <f t="shared" si="36"/>
        <v>144</v>
      </c>
      <c r="Y148" s="15">
        <f>ROUNDDOWN(W148/HLOOKUP(D148,Table!$C$3:$D$4,2,0)*8,2)</f>
        <v>2.56</v>
      </c>
      <c r="Z148" s="15">
        <f>Y148</f>
        <v>2.56</v>
      </c>
      <c r="AA148" s="15" t="s">
        <v>21</v>
      </c>
      <c r="AB148" s="19">
        <v>44071</v>
      </c>
      <c r="AC148" s="19">
        <v>44068</v>
      </c>
      <c r="AD148" s="77">
        <v>44075</v>
      </c>
      <c r="AE148" s="19">
        <v>44068</v>
      </c>
      <c r="AF148" s="19">
        <v>44068</v>
      </c>
      <c r="AG148" s="19" t="s">
        <v>155</v>
      </c>
      <c r="AH148" s="30">
        <v>1</v>
      </c>
      <c r="AI148" s="30">
        <v>1</v>
      </c>
      <c r="AJ148" s="30">
        <v>1</v>
      </c>
      <c r="AK148" s="19" t="s">
        <v>140</v>
      </c>
      <c r="AL148" s="17" t="s">
        <v>58</v>
      </c>
      <c r="AM148" s="17" t="s">
        <v>58</v>
      </c>
      <c r="AN148" s="17" t="s">
        <v>58</v>
      </c>
    </row>
    <row r="149" spans="2:40">
      <c r="B149" s="220">
        <f t="shared" si="38"/>
        <v>90</v>
      </c>
      <c r="C149" s="16">
        <v>20200824</v>
      </c>
      <c r="D149" s="73" t="s">
        <v>3</v>
      </c>
      <c r="E149" s="73" t="s">
        <v>1154</v>
      </c>
      <c r="F149" s="225" t="s">
        <v>1195</v>
      </c>
      <c r="G149" s="73">
        <v>1642252</v>
      </c>
      <c r="H149" s="47" t="s">
        <v>58</v>
      </c>
      <c r="I149" s="72" t="s">
        <v>490</v>
      </c>
      <c r="J149" s="47" t="s">
        <v>58</v>
      </c>
      <c r="K149" s="15" t="s">
        <v>192</v>
      </c>
      <c r="L149" s="73" t="s">
        <v>1187</v>
      </c>
      <c r="M149" s="73" t="s">
        <v>1177</v>
      </c>
      <c r="N149" s="73" t="s">
        <v>1173</v>
      </c>
      <c r="O149" s="72" t="s">
        <v>58</v>
      </c>
      <c r="P149" s="72" t="s">
        <v>1168</v>
      </c>
      <c r="Q149" s="18"/>
      <c r="R149" s="47" t="s">
        <v>58</v>
      </c>
      <c r="S149" s="15" t="s">
        <v>65</v>
      </c>
      <c r="T149" s="15" t="s">
        <v>167</v>
      </c>
      <c r="U149" s="15" t="s">
        <v>578</v>
      </c>
      <c r="V149" s="73">
        <v>145</v>
      </c>
      <c r="W149" s="16">
        <f>V149</f>
        <v>145</v>
      </c>
      <c r="X149" s="15">
        <f t="shared" si="36"/>
        <v>145</v>
      </c>
      <c r="Y149" s="15">
        <f>ROUNDDOWN(W149/HLOOKUP(D149,Table!$C$3:$D$4,2,0)*8,2)</f>
        <v>2.57</v>
      </c>
      <c r="Z149" s="15">
        <f>Y149</f>
        <v>2.57</v>
      </c>
      <c r="AA149" s="15" t="s">
        <v>21</v>
      </c>
      <c r="AB149" s="239">
        <v>44071</v>
      </c>
      <c r="AC149" s="19">
        <v>44068</v>
      </c>
      <c r="AD149" s="77">
        <v>44075</v>
      </c>
      <c r="AE149" s="19">
        <v>44068</v>
      </c>
      <c r="AF149" s="19">
        <v>44068</v>
      </c>
      <c r="AG149" s="19" t="s">
        <v>156</v>
      </c>
      <c r="AH149" s="30">
        <v>0.98</v>
      </c>
      <c r="AI149" s="30">
        <v>0.96</v>
      </c>
      <c r="AJ149" s="30">
        <v>1</v>
      </c>
      <c r="AK149" s="19" t="s">
        <v>130</v>
      </c>
      <c r="AL149" s="17" t="s">
        <v>1200</v>
      </c>
      <c r="AM149" s="17" t="s">
        <v>58</v>
      </c>
      <c r="AN149" s="17" t="s">
        <v>1192</v>
      </c>
    </row>
    <row r="150" spans="2:40">
      <c r="B150" s="220">
        <f t="shared" si="38"/>
        <v>91</v>
      </c>
      <c r="C150" s="16">
        <v>20200824</v>
      </c>
      <c r="D150" s="73" t="s">
        <v>3</v>
      </c>
      <c r="E150" s="73" t="s">
        <v>1154</v>
      </c>
      <c r="F150" s="240" t="s">
        <v>1195</v>
      </c>
      <c r="G150" s="73">
        <v>1642252</v>
      </c>
      <c r="H150" s="47" t="s">
        <v>58</v>
      </c>
      <c r="I150" s="72" t="s">
        <v>1162</v>
      </c>
      <c r="J150" s="47" t="s">
        <v>58</v>
      </c>
      <c r="K150" s="15" t="s">
        <v>192</v>
      </c>
      <c r="L150" s="73" t="s">
        <v>1187</v>
      </c>
      <c r="M150" s="73" t="s">
        <v>1177</v>
      </c>
      <c r="N150" s="73" t="s">
        <v>1173</v>
      </c>
      <c r="O150" s="72" t="s">
        <v>58</v>
      </c>
      <c r="P150" s="72" t="s">
        <v>1168</v>
      </c>
      <c r="Q150" s="18"/>
      <c r="R150" s="47" t="s">
        <v>58</v>
      </c>
      <c r="S150" s="15" t="s">
        <v>65</v>
      </c>
      <c r="T150" s="15" t="s">
        <v>167</v>
      </c>
      <c r="U150" s="15" t="s">
        <v>578</v>
      </c>
      <c r="V150" s="73">
        <v>120</v>
      </c>
      <c r="W150" s="136">
        <v>390</v>
      </c>
      <c r="X150" s="15">
        <f t="shared" si="36"/>
        <v>390</v>
      </c>
      <c r="Y150" s="15">
        <f>ROUNDDOWN(W150/HLOOKUP(D150,Table!$C$3:$D$4,2,0)*8,2)</f>
        <v>6.93</v>
      </c>
      <c r="Z150" s="15">
        <f>Y150</f>
        <v>6.93</v>
      </c>
      <c r="AA150" s="15" t="s">
        <v>21</v>
      </c>
      <c r="AB150" s="239">
        <v>44071</v>
      </c>
      <c r="AC150" s="19">
        <v>44068</v>
      </c>
      <c r="AD150" s="77">
        <v>44075</v>
      </c>
      <c r="AE150" s="19">
        <v>44068</v>
      </c>
      <c r="AF150" s="19">
        <v>44068</v>
      </c>
      <c r="AG150" s="19" t="s">
        <v>156</v>
      </c>
      <c r="AH150" s="30">
        <v>1</v>
      </c>
      <c r="AI150" s="30">
        <v>0.98</v>
      </c>
      <c r="AJ150" s="30">
        <v>1</v>
      </c>
      <c r="AK150" s="19" t="s">
        <v>130</v>
      </c>
      <c r="AL150" s="17" t="s">
        <v>1201</v>
      </c>
      <c r="AM150" s="17" t="s">
        <v>58</v>
      </c>
      <c r="AN150" s="17" t="s">
        <v>1192</v>
      </c>
    </row>
    <row r="151" spans="2:40">
      <c r="B151" s="220">
        <f t="shared" si="38"/>
        <v>92</v>
      </c>
      <c r="C151" s="16">
        <v>20200824</v>
      </c>
      <c r="D151" s="73" t="s">
        <v>2</v>
      </c>
      <c r="E151" s="73" t="s">
        <v>1155</v>
      </c>
      <c r="F151" s="72" t="s">
        <v>58</v>
      </c>
      <c r="G151" s="73">
        <v>1634009</v>
      </c>
      <c r="H151" s="47" t="s">
        <v>58</v>
      </c>
      <c r="I151" s="72" t="s">
        <v>314</v>
      </c>
      <c r="J151" s="47" t="s">
        <v>58</v>
      </c>
      <c r="K151" s="15" t="s">
        <v>194</v>
      </c>
      <c r="L151" s="73" t="s">
        <v>140</v>
      </c>
      <c r="M151" s="73" t="s">
        <v>1178</v>
      </c>
      <c r="N151" s="73" t="s">
        <v>290</v>
      </c>
      <c r="O151" s="72" t="s">
        <v>327</v>
      </c>
      <c r="P151" s="72" t="s">
        <v>1169</v>
      </c>
      <c r="Q151" s="18"/>
      <c r="R151" s="47" t="s">
        <v>58</v>
      </c>
      <c r="S151" s="15" t="s">
        <v>65</v>
      </c>
      <c r="T151" s="15" t="s">
        <v>167</v>
      </c>
      <c r="U151" s="15" t="s">
        <v>0</v>
      </c>
      <c r="V151" s="73">
        <v>114</v>
      </c>
      <c r="W151" s="16">
        <f t="shared" ref="W151:W161" si="39">V151</f>
        <v>114</v>
      </c>
      <c r="X151" s="15">
        <f t="shared" si="36"/>
        <v>114</v>
      </c>
      <c r="Y151" s="15">
        <f>ROUNDDOWN(W151/HLOOKUP(D151,Table!$C$3:$D$4,2,0)*8,2)</f>
        <v>7.01</v>
      </c>
      <c r="Z151" s="15">
        <f>Y151</f>
        <v>7.01</v>
      </c>
      <c r="AA151" s="15" t="s">
        <v>21</v>
      </c>
      <c r="AB151" s="19">
        <v>44069</v>
      </c>
      <c r="AC151" s="19">
        <v>44068</v>
      </c>
      <c r="AD151" s="244">
        <v>44069</v>
      </c>
      <c r="AE151" s="19">
        <v>44068</v>
      </c>
      <c r="AF151" s="19">
        <v>44068</v>
      </c>
      <c r="AG151" s="19" t="s">
        <v>156</v>
      </c>
      <c r="AH151" s="30">
        <v>0.97199999999999998</v>
      </c>
      <c r="AI151" s="30">
        <v>0.97399999999999998</v>
      </c>
      <c r="AJ151" s="30">
        <v>1</v>
      </c>
      <c r="AK151" s="19" t="s">
        <v>130</v>
      </c>
      <c r="AL151" s="17" t="s">
        <v>1191</v>
      </c>
      <c r="AM151" s="17" t="s">
        <v>58</v>
      </c>
      <c r="AN151" s="17" t="s">
        <v>663</v>
      </c>
    </row>
    <row r="152" spans="2:40">
      <c r="B152" s="220">
        <f t="shared" si="38"/>
        <v>93</v>
      </c>
      <c r="C152" s="16">
        <v>20200824</v>
      </c>
      <c r="D152" s="73" t="s">
        <v>2</v>
      </c>
      <c r="E152" s="73" t="s">
        <v>1155</v>
      </c>
      <c r="F152" s="72" t="s">
        <v>58</v>
      </c>
      <c r="G152" s="73">
        <v>1634009</v>
      </c>
      <c r="H152" s="47" t="s">
        <v>58</v>
      </c>
      <c r="I152" s="72" t="s">
        <v>1163</v>
      </c>
      <c r="J152" s="47" t="s">
        <v>58</v>
      </c>
      <c r="K152" s="15" t="s">
        <v>192</v>
      </c>
      <c r="L152" s="73" t="s">
        <v>140</v>
      </c>
      <c r="M152" s="73" t="s">
        <v>1178</v>
      </c>
      <c r="N152" s="73" t="s">
        <v>1174</v>
      </c>
      <c r="O152" s="73">
        <v>1.2</v>
      </c>
      <c r="P152" s="72" t="s">
        <v>1169</v>
      </c>
      <c r="Q152" s="18"/>
      <c r="R152" s="47" t="s">
        <v>58</v>
      </c>
      <c r="S152" s="15" t="s">
        <v>179</v>
      </c>
      <c r="T152" s="15" t="s">
        <v>168</v>
      </c>
      <c r="U152" s="15" t="s">
        <v>578</v>
      </c>
      <c r="V152" s="73">
        <v>35</v>
      </c>
      <c r="W152" s="16">
        <f t="shared" si="39"/>
        <v>35</v>
      </c>
      <c r="X152" s="15">
        <f t="shared" si="36"/>
        <v>35</v>
      </c>
      <c r="Y152" s="15">
        <f>ROUNDDOWN(W152/HLOOKUP(D152,Table!$C$3:$D$4,2,0)*8,2)</f>
        <v>2.15</v>
      </c>
      <c r="Z152" s="15">
        <v>1</v>
      </c>
      <c r="AA152" s="15" t="s">
        <v>21</v>
      </c>
      <c r="AB152" s="19">
        <v>44069</v>
      </c>
      <c r="AC152" s="19">
        <v>44068</v>
      </c>
      <c r="AD152" s="244">
        <v>44069</v>
      </c>
      <c r="AE152" s="19">
        <v>44068</v>
      </c>
      <c r="AF152" s="19">
        <v>44068</v>
      </c>
      <c r="AG152" s="19" t="s">
        <v>155</v>
      </c>
      <c r="AH152" s="30">
        <v>1</v>
      </c>
      <c r="AI152" s="30">
        <v>1</v>
      </c>
      <c r="AJ152" s="30">
        <v>1</v>
      </c>
      <c r="AK152" s="19" t="s">
        <v>140</v>
      </c>
      <c r="AL152" s="17" t="s">
        <v>58</v>
      </c>
      <c r="AM152" s="17" t="s">
        <v>58</v>
      </c>
      <c r="AN152" s="17" t="s">
        <v>58</v>
      </c>
    </row>
    <row r="153" spans="2:40">
      <c r="B153" s="243">
        <f t="shared" si="38"/>
        <v>94</v>
      </c>
      <c r="C153" s="16">
        <v>20200825</v>
      </c>
      <c r="D153" s="73" t="s">
        <v>3</v>
      </c>
      <c r="E153" s="73" t="s">
        <v>1155</v>
      </c>
      <c r="F153" s="225" t="s">
        <v>1231</v>
      </c>
      <c r="G153" s="73">
        <v>1642729</v>
      </c>
      <c r="H153" s="47" t="s">
        <v>58</v>
      </c>
      <c r="I153" s="73" t="s">
        <v>1207</v>
      </c>
      <c r="J153" s="47" t="s">
        <v>58</v>
      </c>
      <c r="K153" s="15" t="s">
        <v>192</v>
      </c>
      <c r="L153" s="73" t="s">
        <v>1234</v>
      </c>
      <c r="M153" s="15" t="s">
        <v>1178</v>
      </c>
      <c r="N153" s="73" t="s">
        <v>1226</v>
      </c>
      <c r="O153" s="17" t="s">
        <v>58</v>
      </c>
      <c r="P153" s="72" t="s">
        <v>1222</v>
      </c>
      <c r="Q153" s="18"/>
      <c r="R153" s="47" t="s">
        <v>58</v>
      </c>
      <c r="S153" s="15" t="s">
        <v>179</v>
      </c>
      <c r="T153" s="15" t="s">
        <v>168</v>
      </c>
      <c r="U153" s="15" t="s">
        <v>578</v>
      </c>
      <c r="V153" s="73">
        <v>1959</v>
      </c>
      <c r="W153" s="16">
        <f t="shared" si="39"/>
        <v>1959</v>
      </c>
      <c r="X153" s="15">
        <f t="shared" si="36"/>
        <v>1959</v>
      </c>
      <c r="Y153" s="15">
        <f>ROUNDDOWN(W153/HLOOKUP(D153,Table!$C$3:$D$4,2,0)*8,2)</f>
        <v>34.82</v>
      </c>
      <c r="Z153" s="15">
        <v>8</v>
      </c>
      <c r="AA153" s="15" t="s">
        <v>21</v>
      </c>
      <c r="AB153" s="19">
        <v>44070</v>
      </c>
      <c r="AC153" s="19">
        <v>44069</v>
      </c>
      <c r="AD153" s="244">
        <v>44070</v>
      </c>
      <c r="AE153" s="19">
        <v>44069</v>
      </c>
      <c r="AF153" s="19">
        <v>44070</v>
      </c>
      <c r="AG153" s="19" t="s">
        <v>155</v>
      </c>
      <c r="AH153" s="30">
        <v>1</v>
      </c>
      <c r="AI153" s="30">
        <v>1</v>
      </c>
      <c r="AJ153" s="30">
        <v>1</v>
      </c>
      <c r="AK153" s="19" t="s">
        <v>140</v>
      </c>
      <c r="AL153" s="17" t="s">
        <v>58</v>
      </c>
      <c r="AM153" s="17" t="s">
        <v>58</v>
      </c>
      <c r="AN153" s="17" t="s">
        <v>58</v>
      </c>
    </row>
    <row r="154" spans="2:40">
      <c r="B154" s="243">
        <f t="shared" si="38"/>
        <v>95</v>
      </c>
      <c r="C154" s="16">
        <v>20200825</v>
      </c>
      <c r="D154" s="73" t="s">
        <v>3</v>
      </c>
      <c r="E154" s="73" t="s">
        <v>1204</v>
      </c>
      <c r="F154" s="72" t="s">
        <v>1230</v>
      </c>
      <c r="G154" s="73">
        <v>1584619</v>
      </c>
      <c r="H154" s="47" t="s">
        <v>58</v>
      </c>
      <c r="I154" s="73" t="s">
        <v>1208</v>
      </c>
      <c r="J154" s="47" t="s">
        <v>58</v>
      </c>
      <c r="K154" s="15" t="s">
        <v>192</v>
      </c>
      <c r="L154" s="73" t="s">
        <v>1235</v>
      </c>
      <c r="M154" s="73" t="s">
        <v>1219</v>
      </c>
      <c r="N154" s="73" t="s">
        <v>1227</v>
      </c>
      <c r="O154" s="17" t="s">
        <v>58</v>
      </c>
      <c r="P154" s="72" t="s">
        <v>1223</v>
      </c>
      <c r="Q154" s="18"/>
      <c r="R154" s="47" t="s">
        <v>58</v>
      </c>
      <c r="S154" s="15" t="s">
        <v>64</v>
      </c>
      <c r="T154" s="15" t="s">
        <v>169</v>
      </c>
      <c r="U154" s="15" t="s">
        <v>578</v>
      </c>
      <c r="V154" s="73">
        <v>166</v>
      </c>
      <c r="W154" s="16">
        <f t="shared" si="39"/>
        <v>166</v>
      </c>
      <c r="X154" s="15">
        <f t="shared" si="36"/>
        <v>166</v>
      </c>
      <c r="Y154" s="15">
        <f>ROUNDDOWN(W154/HLOOKUP(D154,Table!$C$3:$D$4,2,0)*8,2)</f>
        <v>2.95</v>
      </c>
      <c r="Z154" s="15">
        <v>3</v>
      </c>
      <c r="AA154" s="15" t="s">
        <v>21</v>
      </c>
      <c r="AB154" s="19">
        <v>44070</v>
      </c>
      <c r="AC154" s="19">
        <v>44069</v>
      </c>
      <c r="AD154" s="77">
        <v>44071</v>
      </c>
      <c r="AE154" s="19">
        <v>44069</v>
      </c>
      <c r="AF154" s="19">
        <v>44069</v>
      </c>
      <c r="AG154" s="19" t="s">
        <v>155</v>
      </c>
      <c r="AH154" s="30">
        <v>1</v>
      </c>
      <c r="AI154" s="30">
        <v>1</v>
      </c>
      <c r="AJ154" s="30">
        <v>1</v>
      </c>
      <c r="AK154" s="19" t="s">
        <v>140</v>
      </c>
      <c r="AL154" s="17" t="s">
        <v>58</v>
      </c>
      <c r="AM154" s="17" t="s">
        <v>58</v>
      </c>
      <c r="AN154" s="17" t="s">
        <v>58</v>
      </c>
    </row>
    <row r="155" spans="2:40">
      <c r="B155" s="243">
        <f t="shared" si="38"/>
        <v>96</v>
      </c>
      <c r="C155" s="16">
        <v>20200825</v>
      </c>
      <c r="D155" s="73" t="s">
        <v>3</v>
      </c>
      <c r="E155" s="73" t="s">
        <v>1204</v>
      </c>
      <c r="F155" s="72" t="s">
        <v>1230</v>
      </c>
      <c r="G155" s="73">
        <v>1584619</v>
      </c>
      <c r="H155" s="47" t="s">
        <v>58</v>
      </c>
      <c r="I155" s="73" t="s">
        <v>1209</v>
      </c>
      <c r="J155" s="47" t="s">
        <v>58</v>
      </c>
      <c r="K155" s="15" t="s">
        <v>192</v>
      </c>
      <c r="L155" s="73" t="s">
        <v>1235</v>
      </c>
      <c r="M155" s="15" t="s">
        <v>1219</v>
      </c>
      <c r="N155" s="73" t="s">
        <v>1227</v>
      </c>
      <c r="O155" s="17" t="s">
        <v>58</v>
      </c>
      <c r="P155" s="72" t="s">
        <v>1223</v>
      </c>
      <c r="Q155" s="18"/>
      <c r="R155" s="47" t="s">
        <v>58</v>
      </c>
      <c r="S155" s="15" t="s">
        <v>64</v>
      </c>
      <c r="T155" s="15" t="s">
        <v>169</v>
      </c>
      <c r="U155" s="15" t="s">
        <v>578</v>
      </c>
      <c r="V155" s="73">
        <v>120</v>
      </c>
      <c r="W155" s="16">
        <f t="shared" si="39"/>
        <v>120</v>
      </c>
      <c r="X155" s="15">
        <f t="shared" si="36"/>
        <v>120</v>
      </c>
      <c r="Y155" s="15">
        <f>ROUNDDOWN(W155/HLOOKUP(D155,Table!$C$3:$D$4,2,0)*8,2)</f>
        <v>2.13</v>
      </c>
      <c r="Z155" s="15">
        <v>5</v>
      </c>
      <c r="AA155" s="15" t="s">
        <v>21</v>
      </c>
      <c r="AB155" s="19">
        <v>44070</v>
      </c>
      <c r="AC155" s="19">
        <v>44069</v>
      </c>
      <c r="AD155" s="77">
        <v>44071</v>
      </c>
      <c r="AE155" s="19">
        <v>44069</v>
      </c>
      <c r="AF155" s="19">
        <v>44069</v>
      </c>
      <c r="AG155" s="19" t="s">
        <v>155</v>
      </c>
      <c r="AH155" s="30">
        <v>1</v>
      </c>
      <c r="AI155" s="30">
        <v>1</v>
      </c>
      <c r="AJ155" s="30">
        <v>1</v>
      </c>
      <c r="AK155" s="19" t="s">
        <v>140</v>
      </c>
      <c r="AL155" s="17" t="s">
        <v>58</v>
      </c>
      <c r="AM155" s="17" t="s">
        <v>58</v>
      </c>
      <c r="AN155" s="17" t="s">
        <v>58</v>
      </c>
    </row>
    <row r="156" spans="2:40">
      <c r="B156" s="243">
        <f t="shared" si="38"/>
        <v>97</v>
      </c>
      <c r="C156" s="16">
        <v>20200825</v>
      </c>
      <c r="D156" s="73" t="s">
        <v>3</v>
      </c>
      <c r="E156" s="73" t="s">
        <v>1204</v>
      </c>
      <c r="F156" s="72" t="s">
        <v>1230</v>
      </c>
      <c r="G156" s="73">
        <v>1584619</v>
      </c>
      <c r="H156" s="47" t="s">
        <v>58</v>
      </c>
      <c r="I156" s="73" t="s">
        <v>1210</v>
      </c>
      <c r="J156" s="47" t="s">
        <v>58</v>
      </c>
      <c r="K156" s="15" t="s">
        <v>192</v>
      </c>
      <c r="L156" s="73" t="s">
        <v>1235</v>
      </c>
      <c r="M156" s="15" t="s">
        <v>1219</v>
      </c>
      <c r="N156" s="73" t="s">
        <v>1227</v>
      </c>
      <c r="O156" s="17" t="s">
        <v>58</v>
      </c>
      <c r="P156" s="72" t="s">
        <v>1223</v>
      </c>
      <c r="Q156" s="18"/>
      <c r="R156" s="47" t="s">
        <v>58</v>
      </c>
      <c r="S156" s="15" t="s">
        <v>64</v>
      </c>
      <c r="T156" s="15" t="s">
        <v>169</v>
      </c>
      <c r="U156" s="15" t="s">
        <v>578</v>
      </c>
      <c r="V156" s="73">
        <v>108</v>
      </c>
      <c r="W156" s="16">
        <f t="shared" si="39"/>
        <v>108</v>
      </c>
      <c r="X156" s="15">
        <f t="shared" si="36"/>
        <v>108</v>
      </c>
      <c r="Y156" s="15">
        <f>ROUNDDOWN(W156/HLOOKUP(D156,Table!$C$3:$D$4,2,0)*8,2)</f>
        <v>1.92</v>
      </c>
      <c r="Z156" s="15">
        <v>3</v>
      </c>
      <c r="AA156" s="15" t="s">
        <v>21</v>
      </c>
      <c r="AB156" s="19">
        <v>44070</v>
      </c>
      <c r="AC156" s="19">
        <v>44069</v>
      </c>
      <c r="AD156" s="77">
        <v>44071</v>
      </c>
      <c r="AE156" s="19">
        <v>44069</v>
      </c>
      <c r="AF156" s="19">
        <v>44069</v>
      </c>
      <c r="AG156" s="19" t="s">
        <v>155</v>
      </c>
      <c r="AH156" s="30">
        <v>1</v>
      </c>
      <c r="AI156" s="30">
        <v>1</v>
      </c>
      <c r="AJ156" s="30">
        <v>1</v>
      </c>
      <c r="AK156" s="19" t="s">
        <v>140</v>
      </c>
      <c r="AL156" s="17" t="s">
        <v>58</v>
      </c>
      <c r="AM156" s="17" t="s">
        <v>58</v>
      </c>
      <c r="AN156" s="17" t="s">
        <v>58</v>
      </c>
    </row>
    <row r="157" spans="2:40">
      <c r="B157" s="243">
        <f t="shared" si="38"/>
        <v>98</v>
      </c>
      <c r="C157" s="16">
        <v>20200825</v>
      </c>
      <c r="D157" s="73" t="s">
        <v>3</v>
      </c>
      <c r="E157" s="73" t="s">
        <v>1204</v>
      </c>
      <c r="F157" s="72" t="s">
        <v>1230</v>
      </c>
      <c r="G157" s="73">
        <v>1584619</v>
      </c>
      <c r="H157" s="47" t="s">
        <v>58</v>
      </c>
      <c r="I157" s="73" t="s">
        <v>1211</v>
      </c>
      <c r="J157" s="47" t="s">
        <v>58</v>
      </c>
      <c r="K157" s="15" t="s">
        <v>192</v>
      </c>
      <c r="L157" s="73" t="s">
        <v>1235</v>
      </c>
      <c r="M157" s="73" t="s">
        <v>1219</v>
      </c>
      <c r="N157" s="73" t="s">
        <v>1227</v>
      </c>
      <c r="O157" s="17" t="s">
        <v>58</v>
      </c>
      <c r="P157" s="72" t="s">
        <v>1223</v>
      </c>
      <c r="Q157" s="18"/>
      <c r="R157" s="47" t="s">
        <v>58</v>
      </c>
      <c r="S157" s="15" t="s">
        <v>64</v>
      </c>
      <c r="T157" s="15" t="s">
        <v>169</v>
      </c>
      <c r="U157" s="15" t="s">
        <v>578</v>
      </c>
      <c r="V157" s="73">
        <v>19</v>
      </c>
      <c r="W157" s="16">
        <f t="shared" si="39"/>
        <v>19</v>
      </c>
      <c r="X157" s="15">
        <f t="shared" si="36"/>
        <v>19</v>
      </c>
      <c r="Y157" s="15">
        <f>ROUNDDOWN(W157/HLOOKUP(D157,Table!$C$3:$D$4,2,0)*8,2)</f>
        <v>0.33</v>
      </c>
      <c r="Z157" s="15">
        <v>1</v>
      </c>
      <c r="AA157" s="15" t="s">
        <v>21</v>
      </c>
      <c r="AB157" s="19">
        <v>44070</v>
      </c>
      <c r="AC157" s="19">
        <v>44069</v>
      </c>
      <c r="AD157" s="77">
        <v>44071</v>
      </c>
      <c r="AE157" s="19">
        <v>44069</v>
      </c>
      <c r="AF157" s="19">
        <v>44069</v>
      </c>
      <c r="AG157" s="19" t="s">
        <v>155</v>
      </c>
      <c r="AH157" s="30">
        <v>1</v>
      </c>
      <c r="AI157" s="30">
        <v>1</v>
      </c>
      <c r="AJ157" s="30">
        <v>1</v>
      </c>
      <c r="AK157" s="19" t="s">
        <v>140</v>
      </c>
      <c r="AL157" s="17" t="s">
        <v>58</v>
      </c>
      <c r="AM157" s="17" t="s">
        <v>58</v>
      </c>
      <c r="AN157" s="17" t="s">
        <v>58</v>
      </c>
    </row>
    <row r="158" spans="2:40">
      <c r="B158" s="243">
        <f t="shared" si="38"/>
        <v>99</v>
      </c>
      <c r="C158" s="16">
        <v>20200825</v>
      </c>
      <c r="D158" s="73" t="s">
        <v>3</v>
      </c>
      <c r="E158" s="73" t="s">
        <v>1205</v>
      </c>
      <c r="F158" s="225" t="s">
        <v>1256</v>
      </c>
      <c r="G158" s="73">
        <v>1642118</v>
      </c>
      <c r="H158" s="47" t="s">
        <v>58</v>
      </c>
      <c r="I158" s="73" t="s">
        <v>1212</v>
      </c>
      <c r="J158" s="47" t="s">
        <v>58</v>
      </c>
      <c r="K158" s="15" t="s">
        <v>192</v>
      </c>
      <c r="L158" s="73" t="s">
        <v>140</v>
      </c>
      <c r="M158" s="73" t="s">
        <v>1220</v>
      </c>
      <c r="N158" s="73" t="s">
        <v>1228</v>
      </c>
      <c r="O158" s="17" t="s">
        <v>58</v>
      </c>
      <c r="P158" s="72" t="s">
        <v>1224</v>
      </c>
      <c r="Q158" s="18"/>
      <c r="R158" s="47" t="s">
        <v>58</v>
      </c>
      <c r="S158" s="15" t="s">
        <v>169</v>
      </c>
      <c r="T158" s="15" t="s">
        <v>179</v>
      </c>
      <c r="U158" s="15" t="s">
        <v>578</v>
      </c>
      <c r="V158" s="73">
        <v>220</v>
      </c>
      <c r="W158" s="16">
        <f t="shared" si="39"/>
        <v>220</v>
      </c>
      <c r="X158" s="15">
        <f t="shared" si="36"/>
        <v>220</v>
      </c>
      <c r="Y158" s="15">
        <f>ROUNDDOWN(W158/HLOOKUP(D158,Table!$C$3:$D$4,2,0)*8,2)</f>
        <v>3.91</v>
      </c>
      <c r="Z158" s="15">
        <f>Y158</f>
        <v>3.91</v>
      </c>
      <c r="AA158" s="15" t="s">
        <v>21</v>
      </c>
      <c r="AB158" s="19">
        <v>44081</v>
      </c>
      <c r="AC158" s="19">
        <v>44069</v>
      </c>
      <c r="AD158" s="244">
        <v>44082</v>
      </c>
      <c r="AE158" s="19">
        <v>44069</v>
      </c>
      <c r="AF158" s="19">
        <v>44069</v>
      </c>
      <c r="AG158" s="19" t="s">
        <v>155</v>
      </c>
      <c r="AH158" s="30">
        <v>1</v>
      </c>
      <c r="AI158" s="30">
        <v>1</v>
      </c>
      <c r="AJ158" s="30">
        <v>1</v>
      </c>
      <c r="AK158" s="19" t="s">
        <v>140</v>
      </c>
      <c r="AL158" s="17" t="s">
        <v>58</v>
      </c>
      <c r="AM158" s="17" t="s">
        <v>58</v>
      </c>
      <c r="AN158" s="17" t="s">
        <v>58</v>
      </c>
    </row>
    <row r="159" spans="2:40">
      <c r="B159" s="243">
        <f t="shared" si="38"/>
        <v>100</v>
      </c>
      <c r="C159" s="16">
        <v>20200825</v>
      </c>
      <c r="D159" s="73" t="s">
        <v>3</v>
      </c>
      <c r="E159" s="73" t="s">
        <v>1205</v>
      </c>
      <c r="F159" s="225" t="s">
        <v>1257</v>
      </c>
      <c r="G159" s="73">
        <v>1642118</v>
      </c>
      <c r="H159" s="47" t="s">
        <v>58</v>
      </c>
      <c r="I159" s="73" t="s">
        <v>1213</v>
      </c>
      <c r="J159" s="47" t="s">
        <v>58</v>
      </c>
      <c r="K159" s="15" t="s">
        <v>192</v>
      </c>
      <c r="L159" s="73" t="s">
        <v>140</v>
      </c>
      <c r="M159" s="15" t="s">
        <v>1220</v>
      </c>
      <c r="N159" s="73" t="s">
        <v>1228</v>
      </c>
      <c r="O159" s="17" t="s">
        <v>58</v>
      </c>
      <c r="P159" s="72" t="s">
        <v>1224</v>
      </c>
      <c r="Q159" s="18"/>
      <c r="R159" s="47" t="s">
        <v>58</v>
      </c>
      <c r="S159" s="15" t="s">
        <v>169</v>
      </c>
      <c r="T159" s="15" t="s">
        <v>179</v>
      </c>
      <c r="U159" s="15" t="s">
        <v>578</v>
      </c>
      <c r="V159" s="73">
        <v>35</v>
      </c>
      <c r="W159" s="16">
        <v>0</v>
      </c>
      <c r="X159" s="15">
        <f t="shared" si="36"/>
        <v>0</v>
      </c>
      <c r="Y159" s="15">
        <f>ROUNDDOWN(W159/HLOOKUP(D159,Table!$C$3:$D$4,2,0)*8,2)</f>
        <v>0</v>
      </c>
      <c r="Z159" s="15">
        <v>0</v>
      </c>
      <c r="AA159" s="15" t="s">
        <v>21</v>
      </c>
      <c r="AB159" s="19">
        <v>44081</v>
      </c>
      <c r="AC159" s="19">
        <v>44069</v>
      </c>
      <c r="AD159" s="244">
        <v>44082</v>
      </c>
      <c r="AE159" s="19">
        <v>44069</v>
      </c>
      <c r="AF159" s="19">
        <v>44069</v>
      </c>
      <c r="AG159" s="19" t="s">
        <v>155</v>
      </c>
      <c r="AH159" s="30" t="s">
        <v>58</v>
      </c>
      <c r="AI159" s="30" t="s">
        <v>58</v>
      </c>
      <c r="AJ159" s="30" t="s">
        <v>58</v>
      </c>
      <c r="AK159" s="19" t="s">
        <v>140</v>
      </c>
      <c r="AL159" s="17" t="s">
        <v>58</v>
      </c>
      <c r="AM159" s="17" t="s">
        <v>58</v>
      </c>
      <c r="AN159" s="237" t="s">
        <v>1244</v>
      </c>
    </row>
    <row r="160" spans="2:40">
      <c r="B160" s="243">
        <f t="shared" si="38"/>
        <v>101</v>
      </c>
      <c r="C160" s="16">
        <v>20200825</v>
      </c>
      <c r="D160" s="73" t="s">
        <v>3</v>
      </c>
      <c r="E160" s="73" t="s">
        <v>1205</v>
      </c>
      <c r="F160" s="225" t="s">
        <v>1258</v>
      </c>
      <c r="G160" s="73">
        <v>1642118</v>
      </c>
      <c r="H160" s="47" t="s">
        <v>58</v>
      </c>
      <c r="I160" s="73" t="s">
        <v>1214</v>
      </c>
      <c r="J160" s="47" t="s">
        <v>58</v>
      </c>
      <c r="K160" s="15" t="s">
        <v>192</v>
      </c>
      <c r="L160" s="73" t="s">
        <v>140</v>
      </c>
      <c r="M160" s="15" t="s">
        <v>1220</v>
      </c>
      <c r="N160" s="73" t="s">
        <v>1228</v>
      </c>
      <c r="O160" s="17" t="s">
        <v>58</v>
      </c>
      <c r="P160" s="72" t="s">
        <v>1224</v>
      </c>
      <c r="Q160" s="18"/>
      <c r="R160" s="47" t="s">
        <v>58</v>
      </c>
      <c r="S160" s="15" t="s">
        <v>169</v>
      </c>
      <c r="T160" s="15" t="s">
        <v>179</v>
      </c>
      <c r="U160" s="15" t="s">
        <v>578</v>
      </c>
      <c r="V160" s="73">
        <v>14</v>
      </c>
      <c r="W160" s="16">
        <f t="shared" si="39"/>
        <v>14</v>
      </c>
      <c r="X160" s="15">
        <f t="shared" si="36"/>
        <v>14</v>
      </c>
      <c r="Y160" s="15">
        <f>ROUNDDOWN(W160/HLOOKUP(D160,Table!$C$3:$D$4,2,0)*8,2)</f>
        <v>0.24</v>
      </c>
      <c r="Z160" s="15">
        <v>0.1</v>
      </c>
      <c r="AA160" s="15" t="s">
        <v>21</v>
      </c>
      <c r="AB160" s="19">
        <v>44081</v>
      </c>
      <c r="AC160" s="19">
        <v>44069</v>
      </c>
      <c r="AD160" s="244">
        <v>44082</v>
      </c>
      <c r="AE160" s="19">
        <v>44069</v>
      </c>
      <c r="AF160" s="19">
        <v>44069</v>
      </c>
      <c r="AG160" s="19" t="s">
        <v>155</v>
      </c>
      <c r="AH160" s="30">
        <v>1</v>
      </c>
      <c r="AI160" s="30">
        <v>1</v>
      </c>
      <c r="AJ160" s="30">
        <v>1</v>
      </c>
      <c r="AK160" s="19" t="s">
        <v>140</v>
      </c>
      <c r="AL160" s="17" t="s">
        <v>58</v>
      </c>
      <c r="AM160" s="17" t="s">
        <v>58</v>
      </c>
      <c r="AN160" s="17" t="s">
        <v>58</v>
      </c>
    </row>
    <row r="161" spans="2:40">
      <c r="B161" s="243">
        <f t="shared" si="38"/>
        <v>102</v>
      </c>
      <c r="C161" s="16">
        <v>20200825</v>
      </c>
      <c r="D161" s="73" t="s">
        <v>3</v>
      </c>
      <c r="E161" s="73" t="s">
        <v>1205</v>
      </c>
      <c r="F161" s="225" t="s">
        <v>1258</v>
      </c>
      <c r="G161" s="73">
        <v>1642118</v>
      </c>
      <c r="H161" s="47" t="s">
        <v>58</v>
      </c>
      <c r="I161" s="73" t="s">
        <v>1215</v>
      </c>
      <c r="J161" s="47" t="s">
        <v>58</v>
      </c>
      <c r="K161" s="15" t="s">
        <v>192</v>
      </c>
      <c r="L161" s="73" t="s">
        <v>140</v>
      </c>
      <c r="M161" s="15" t="s">
        <v>1220</v>
      </c>
      <c r="N161" s="73" t="s">
        <v>1228</v>
      </c>
      <c r="O161" s="17" t="s">
        <v>58</v>
      </c>
      <c r="P161" s="72" t="s">
        <v>1224</v>
      </c>
      <c r="Q161" s="18"/>
      <c r="R161" s="47" t="s">
        <v>58</v>
      </c>
      <c r="S161" s="15" t="s">
        <v>169</v>
      </c>
      <c r="T161" s="15" t="s">
        <v>179</v>
      </c>
      <c r="U161" s="15" t="s">
        <v>578</v>
      </c>
      <c r="V161" s="73">
        <v>67</v>
      </c>
      <c r="W161" s="16">
        <f t="shared" si="39"/>
        <v>67</v>
      </c>
      <c r="X161" s="15">
        <f t="shared" si="36"/>
        <v>67</v>
      </c>
      <c r="Y161" s="15">
        <f>ROUNDDOWN(W161/HLOOKUP(D161,Table!$C$3:$D$4,2,0)*8,2)</f>
        <v>1.19</v>
      </c>
      <c r="Z161" s="15">
        <v>1</v>
      </c>
      <c r="AA161" s="15" t="s">
        <v>21</v>
      </c>
      <c r="AB161" s="19">
        <v>44081</v>
      </c>
      <c r="AC161" s="19">
        <v>44069</v>
      </c>
      <c r="AD161" s="244">
        <v>44082</v>
      </c>
      <c r="AE161" s="19">
        <v>44069</v>
      </c>
      <c r="AF161" s="19">
        <v>44069</v>
      </c>
      <c r="AG161" s="19" t="s">
        <v>155</v>
      </c>
      <c r="AH161" s="30">
        <v>1</v>
      </c>
      <c r="AI161" s="30">
        <v>1</v>
      </c>
      <c r="AJ161" s="30">
        <v>1</v>
      </c>
      <c r="AK161" s="19" t="s">
        <v>140</v>
      </c>
      <c r="AL161" s="17" t="s">
        <v>58</v>
      </c>
      <c r="AM161" s="17" t="s">
        <v>58</v>
      </c>
      <c r="AN161" s="17" t="s">
        <v>58</v>
      </c>
    </row>
    <row r="162" spans="2:40">
      <c r="B162" s="243">
        <f t="shared" si="38"/>
        <v>103</v>
      </c>
      <c r="C162" s="16">
        <v>20200825</v>
      </c>
      <c r="D162" s="73" t="s">
        <v>3</v>
      </c>
      <c r="E162" s="73" t="s">
        <v>1205</v>
      </c>
      <c r="F162" s="225" t="s">
        <v>1259</v>
      </c>
      <c r="G162" s="73">
        <v>1642118</v>
      </c>
      <c r="H162" s="47" t="s">
        <v>58</v>
      </c>
      <c r="I162" s="73" t="s">
        <v>1216</v>
      </c>
      <c r="J162" s="47" t="s">
        <v>58</v>
      </c>
      <c r="K162" s="15" t="s">
        <v>192</v>
      </c>
      <c r="L162" s="73" t="s">
        <v>140</v>
      </c>
      <c r="M162" s="15" t="s">
        <v>1220</v>
      </c>
      <c r="N162" s="73" t="s">
        <v>1228</v>
      </c>
      <c r="O162" s="17" t="s">
        <v>58</v>
      </c>
      <c r="P162" s="72" t="s">
        <v>1224</v>
      </c>
      <c r="Q162" s="18"/>
      <c r="R162" s="47" t="s">
        <v>58</v>
      </c>
      <c r="S162" s="15" t="s">
        <v>169</v>
      </c>
      <c r="T162" s="15" t="s">
        <v>179</v>
      </c>
      <c r="U162" s="15" t="s">
        <v>578</v>
      </c>
      <c r="V162" s="73">
        <v>0</v>
      </c>
      <c r="W162" s="16">
        <v>0</v>
      </c>
      <c r="X162" s="15">
        <f t="shared" si="36"/>
        <v>0</v>
      </c>
      <c r="Y162" s="15">
        <f>ROUNDDOWN(W162/HLOOKUP(D162,Table!$C$3:$D$4,2,0)*8,2)</f>
        <v>0</v>
      </c>
      <c r="Z162" s="15">
        <v>1.5</v>
      </c>
      <c r="AA162" s="15" t="s">
        <v>21</v>
      </c>
      <c r="AB162" s="19">
        <v>44081</v>
      </c>
      <c r="AC162" s="19">
        <v>44069</v>
      </c>
      <c r="AD162" s="244">
        <v>44082</v>
      </c>
      <c r="AE162" s="19">
        <v>44069</v>
      </c>
      <c r="AF162" s="19">
        <v>44069</v>
      </c>
      <c r="AG162" s="19" t="s">
        <v>155</v>
      </c>
      <c r="AH162" s="30" t="s">
        <v>58</v>
      </c>
      <c r="AI162" s="30" t="s">
        <v>58</v>
      </c>
      <c r="AJ162" s="30" t="s">
        <v>58</v>
      </c>
      <c r="AK162" s="19" t="s">
        <v>140</v>
      </c>
      <c r="AL162" s="17" t="s">
        <v>58</v>
      </c>
      <c r="AM162" s="17" t="s">
        <v>58</v>
      </c>
      <c r="AN162" s="17" t="s">
        <v>58</v>
      </c>
    </row>
    <row r="163" spans="2:40">
      <c r="B163" s="243">
        <f t="shared" si="38"/>
        <v>104</v>
      </c>
      <c r="C163" s="16">
        <v>20200825</v>
      </c>
      <c r="D163" s="73" t="s">
        <v>3</v>
      </c>
      <c r="E163" s="73" t="s">
        <v>1205</v>
      </c>
      <c r="F163" s="225" t="s">
        <v>1260</v>
      </c>
      <c r="G163" s="73">
        <v>1642118</v>
      </c>
      <c r="H163" s="47" t="s">
        <v>58</v>
      </c>
      <c r="I163" s="73" t="s">
        <v>1217</v>
      </c>
      <c r="J163" s="47" t="s">
        <v>58</v>
      </c>
      <c r="K163" s="15" t="s">
        <v>192</v>
      </c>
      <c r="L163" s="73" t="s">
        <v>140</v>
      </c>
      <c r="M163" s="15" t="s">
        <v>1220</v>
      </c>
      <c r="N163" s="73" t="s">
        <v>1228</v>
      </c>
      <c r="O163" s="17" t="s">
        <v>58</v>
      </c>
      <c r="P163" s="72" t="s">
        <v>1224</v>
      </c>
      <c r="Q163" s="18"/>
      <c r="R163" s="47" t="s">
        <v>58</v>
      </c>
      <c r="S163" s="15" t="s">
        <v>169</v>
      </c>
      <c r="T163" s="15" t="s">
        <v>179</v>
      </c>
      <c r="U163" s="15" t="s">
        <v>578</v>
      </c>
      <c r="V163" s="73">
        <v>146</v>
      </c>
      <c r="W163" s="16">
        <f>V163</f>
        <v>146</v>
      </c>
      <c r="X163" s="15">
        <f t="shared" si="36"/>
        <v>146</v>
      </c>
      <c r="Y163" s="15">
        <f>ROUNDDOWN(W163/HLOOKUP(D163,Table!$C$3:$D$4,2,0)*8,2)</f>
        <v>2.59</v>
      </c>
      <c r="Z163" s="15">
        <v>3</v>
      </c>
      <c r="AA163" s="15" t="s">
        <v>21</v>
      </c>
      <c r="AB163" s="19">
        <v>44081</v>
      </c>
      <c r="AC163" s="19">
        <v>44069</v>
      </c>
      <c r="AD163" s="244">
        <v>44082</v>
      </c>
      <c r="AE163" s="19">
        <v>44070</v>
      </c>
      <c r="AF163" s="19">
        <v>44070</v>
      </c>
      <c r="AG163" s="19" t="s">
        <v>155</v>
      </c>
      <c r="AH163" s="30">
        <v>1</v>
      </c>
      <c r="AI163" s="30">
        <v>1</v>
      </c>
      <c r="AJ163" s="30">
        <v>1</v>
      </c>
      <c r="AK163" s="19" t="s">
        <v>140</v>
      </c>
      <c r="AL163" s="17" t="s">
        <v>58</v>
      </c>
      <c r="AM163" s="17" t="s">
        <v>58</v>
      </c>
      <c r="AN163" s="17" t="s">
        <v>58</v>
      </c>
    </row>
    <row r="164" spans="2:40">
      <c r="B164" s="243">
        <f t="shared" si="38"/>
        <v>105</v>
      </c>
      <c r="C164" s="16">
        <v>20200825</v>
      </c>
      <c r="D164" s="73" t="s">
        <v>3</v>
      </c>
      <c r="E164" s="73" t="s">
        <v>1205</v>
      </c>
      <c r="F164" s="225" t="s">
        <v>1260</v>
      </c>
      <c r="G164" s="73">
        <v>1642118</v>
      </c>
      <c r="H164" s="47" t="s">
        <v>58</v>
      </c>
      <c r="I164" s="73" t="s">
        <v>1218</v>
      </c>
      <c r="J164" s="47" t="s">
        <v>58</v>
      </c>
      <c r="K164" s="15" t="s">
        <v>192</v>
      </c>
      <c r="L164" s="73" t="s">
        <v>140</v>
      </c>
      <c r="M164" s="73" t="s">
        <v>1220</v>
      </c>
      <c r="N164" s="73" t="s">
        <v>1228</v>
      </c>
      <c r="O164" s="17" t="s">
        <v>58</v>
      </c>
      <c r="P164" s="72" t="s">
        <v>1224</v>
      </c>
      <c r="Q164" s="18"/>
      <c r="R164" s="47" t="s">
        <v>58</v>
      </c>
      <c r="S164" s="15" t="s">
        <v>169</v>
      </c>
      <c r="T164" s="15" t="s">
        <v>179</v>
      </c>
      <c r="U164" s="15" t="s">
        <v>578</v>
      </c>
      <c r="V164" s="73">
        <v>64</v>
      </c>
      <c r="W164" s="136">
        <v>100</v>
      </c>
      <c r="X164" s="15">
        <f t="shared" si="36"/>
        <v>100</v>
      </c>
      <c r="Y164" s="15">
        <f>ROUNDDOWN(W164/HLOOKUP(D164,Table!$C$3:$D$4,2,0)*8,2)</f>
        <v>1.77</v>
      </c>
      <c r="Z164" s="15">
        <v>1.5</v>
      </c>
      <c r="AA164" s="15" t="s">
        <v>21</v>
      </c>
      <c r="AB164" s="19">
        <v>44081</v>
      </c>
      <c r="AC164" s="19">
        <v>44069</v>
      </c>
      <c r="AD164" s="244">
        <v>44082</v>
      </c>
      <c r="AE164" s="19">
        <v>44070</v>
      </c>
      <c r="AF164" s="19">
        <v>44070</v>
      </c>
      <c r="AG164" s="19" t="s">
        <v>155</v>
      </c>
      <c r="AH164" s="30">
        <v>1</v>
      </c>
      <c r="AI164" s="30">
        <v>1</v>
      </c>
      <c r="AJ164" s="30">
        <v>1</v>
      </c>
      <c r="AK164" s="19" t="s">
        <v>140</v>
      </c>
      <c r="AL164" s="17" t="s">
        <v>58</v>
      </c>
      <c r="AM164" s="17" t="s">
        <v>58</v>
      </c>
      <c r="AN164" s="17" t="s">
        <v>58</v>
      </c>
    </row>
    <row r="165" spans="2:40">
      <c r="B165" s="243">
        <f t="shared" si="38"/>
        <v>106</v>
      </c>
      <c r="C165" s="16">
        <v>20200825</v>
      </c>
      <c r="D165" s="73" t="s">
        <v>3</v>
      </c>
      <c r="E165" s="73" t="s">
        <v>1205</v>
      </c>
      <c r="F165" s="225" t="s">
        <v>1388</v>
      </c>
      <c r="G165" s="73">
        <v>1642118</v>
      </c>
      <c r="H165" s="47" t="s">
        <v>58</v>
      </c>
      <c r="I165" s="73" t="s">
        <v>1216</v>
      </c>
      <c r="J165" s="47"/>
      <c r="K165" s="15" t="s">
        <v>192</v>
      </c>
      <c r="L165" s="73" t="s">
        <v>140</v>
      </c>
      <c r="M165" s="73" t="s">
        <v>1220</v>
      </c>
      <c r="N165" s="73" t="s">
        <v>1330</v>
      </c>
      <c r="O165" s="17" t="s">
        <v>58</v>
      </c>
      <c r="P165" s="72" t="s">
        <v>1224</v>
      </c>
      <c r="Q165" s="18"/>
      <c r="R165" s="47" t="s">
        <v>58</v>
      </c>
      <c r="S165" s="15" t="s">
        <v>169</v>
      </c>
      <c r="T165" s="15" t="s">
        <v>179</v>
      </c>
      <c r="U165" s="15" t="s">
        <v>578</v>
      </c>
      <c r="V165" s="73">
        <v>100</v>
      </c>
      <c r="W165" s="16">
        <v>119</v>
      </c>
      <c r="X165" s="15">
        <f>W165</f>
        <v>119</v>
      </c>
      <c r="Y165" s="15">
        <f>ROUNDDOWN(W165/HLOOKUP(D165,Table!$C$3:$D$4,2,0)*8,2)</f>
        <v>2.11</v>
      </c>
      <c r="Z165" s="15">
        <v>2</v>
      </c>
      <c r="AA165" s="15" t="s">
        <v>21</v>
      </c>
      <c r="AB165" s="19">
        <v>44081</v>
      </c>
      <c r="AC165" s="19">
        <v>44069</v>
      </c>
      <c r="AD165" s="244">
        <v>44082</v>
      </c>
      <c r="AE165" s="19">
        <v>44074</v>
      </c>
      <c r="AF165" s="19">
        <v>44074</v>
      </c>
      <c r="AG165" s="19" t="s">
        <v>155</v>
      </c>
      <c r="AH165" s="30">
        <v>1</v>
      </c>
      <c r="AI165" s="30">
        <v>1</v>
      </c>
      <c r="AJ165" s="30">
        <v>1</v>
      </c>
      <c r="AK165" s="19" t="s">
        <v>140</v>
      </c>
      <c r="AL165" s="17" t="s">
        <v>58</v>
      </c>
      <c r="AM165" s="17" t="s">
        <v>58</v>
      </c>
      <c r="AN165" s="17" t="s">
        <v>58</v>
      </c>
    </row>
    <row r="166" spans="2:40">
      <c r="B166" s="243">
        <f t="shared" si="38"/>
        <v>107</v>
      </c>
      <c r="C166" s="16">
        <v>20200825</v>
      </c>
      <c r="D166" s="73" t="s">
        <v>3</v>
      </c>
      <c r="E166" s="73" t="s">
        <v>1206</v>
      </c>
      <c r="F166" s="225" t="s">
        <v>1251</v>
      </c>
      <c r="G166" s="73">
        <v>1642764</v>
      </c>
      <c r="H166" s="47" t="s">
        <v>58</v>
      </c>
      <c r="I166" s="73" t="s">
        <v>495</v>
      </c>
      <c r="J166" s="47" t="s">
        <v>58</v>
      </c>
      <c r="K166" s="15" t="s">
        <v>192</v>
      </c>
      <c r="L166" s="73" t="s">
        <v>1236</v>
      </c>
      <c r="M166" s="73" t="s">
        <v>1221</v>
      </c>
      <c r="N166" s="73" t="s">
        <v>1229</v>
      </c>
      <c r="O166" s="17" t="s">
        <v>58</v>
      </c>
      <c r="P166" s="72" t="s">
        <v>1225</v>
      </c>
      <c r="Q166" s="18"/>
      <c r="R166" s="47" t="s">
        <v>58</v>
      </c>
      <c r="S166" s="15" t="s">
        <v>168</v>
      </c>
      <c r="T166" s="15" t="s">
        <v>65</v>
      </c>
      <c r="U166" s="15" t="s">
        <v>578</v>
      </c>
      <c r="V166" s="73">
        <v>66</v>
      </c>
      <c r="W166" s="16">
        <f>V166</f>
        <v>66</v>
      </c>
      <c r="X166" s="15">
        <f t="shared" si="36"/>
        <v>66</v>
      </c>
      <c r="Y166" s="15">
        <f>ROUNDDOWN(W166/HLOOKUP(D166,Table!$C$3:$D$4,2,0)*8,2)</f>
        <v>1.17</v>
      </c>
      <c r="Z166" s="15">
        <v>0.5</v>
      </c>
      <c r="AA166" s="15" t="s">
        <v>21</v>
      </c>
      <c r="AB166" s="19">
        <v>44081</v>
      </c>
      <c r="AC166" s="19">
        <v>44069</v>
      </c>
      <c r="AD166" s="244">
        <v>44082</v>
      </c>
      <c r="AE166" s="19">
        <v>44069</v>
      </c>
      <c r="AF166" s="19">
        <v>44069</v>
      </c>
      <c r="AG166" s="19" t="s">
        <v>155</v>
      </c>
      <c r="AH166" s="30">
        <v>1</v>
      </c>
      <c r="AI166" s="30">
        <v>1</v>
      </c>
      <c r="AJ166" s="30">
        <v>1</v>
      </c>
      <c r="AK166" s="19" t="s">
        <v>140</v>
      </c>
      <c r="AL166" s="17" t="s">
        <v>58</v>
      </c>
      <c r="AM166" s="17" t="s">
        <v>58</v>
      </c>
      <c r="AN166" s="17" t="s">
        <v>1255</v>
      </c>
    </row>
    <row r="167" spans="2:40">
      <c r="B167" s="243">
        <f t="shared" si="38"/>
        <v>108</v>
      </c>
      <c r="C167" s="16">
        <v>20200825</v>
      </c>
      <c r="D167" s="73" t="s">
        <v>3</v>
      </c>
      <c r="E167" s="73" t="s">
        <v>1206</v>
      </c>
      <c r="F167" s="225" t="s">
        <v>1252</v>
      </c>
      <c r="G167" s="73">
        <v>1642764</v>
      </c>
      <c r="H167" s="47" t="s">
        <v>58</v>
      </c>
      <c r="I167" s="73" t="s">
        <v>491</v>
      </c>
      <c r="J167" s="47" t="s">
        <v>58</v>
      </c>
      <c r="K167" s="15" t="s">
        <v>192</v>
      </c>
      <c r="L167" s="73" t="s">
        <v>1236</v>
      </c>
      <c r="M167" s="73" t="s">
        <v>1221</v>
      </c>
      <c r="N167" s="73" t="s">
        <v>1229</v>
      </c>
      <c r="O167" s="17" t="s">
        <v>58</v>
      </c>
      <c r="P167" s="72" t="s">
        <v>1225</v>
      </c>
      <c r="Q167" s="18"/>
      <c r="R167" s="47" t="s">
        <v>58</v>
      </c>
      <c r="S167" s="15" t="s">
        <v>168</v>
      </c>
      <c r="T167" s="15" t="s">
        <v>65</v>
      </c>
      <c r="U167" s="15" t="s">
        <v>578</v>
      </c>
      <c r="V167" s="73">
        <v>124</v>
      </c>
      <c r="W167" s="18">
        <v>219</v>
      </c>
      <c r="X167" s="15">
        <f t="shared" si="36"/>
        <v>219</v>
      </c>
      <c r="Y167" s="15">
        <f>ROUNDDOWN(W167/HLOOKUP(D167,Table!$C$3:$D$4,2,0)*8,2)</f>
        <v>3.89</v>
      </c>
      <c r="Z167" s="15">
        <f>Y167</f>
        <v>3.89</v>
      </c>
      <c r="AA167" s="15" t="s">
        <v>21</v>
      </c>
      <c r="AB167" s="19">
        <v>44081</v>
      </c>
      <c r="AC167" s="19">
        <v>44069</v>
      </c>
      <c r="AD167" s="244">
        <v>44082</v>
      </c>
      <c r="AE167" s="19">
        <v>44069</v>
      </c>
      <c r="AF167" s="19">
        <v>44069</v>
      </c>
      <c r="AG167" s="19" t="s">
        <v>155</v>
      </c>
      <c r="AH167" s="30">
        <v>1</v>
      </c>
      <c r="AI167" s="30">
        <v>1</v>
      </c>
      <c r="AJ167" s="30">
        <v>1</v>
      </c>
      <c r="AK167" s="19" t="s">
        <v>140</v>
      </c>
      <c r="AL167" s="17" t="s">
        <v>58</v>
      </c>
      <c r="AM167" s="17" t="s">
        <v>58</v>
      </c>
      <c r="AN167" s="17" t="s">
        <v>1255</v>
      </c>
    </row>
    <row r="168" spans="2:40">
      <c r="B168" s="305">
        <f t="shared" si="38"/>
        <v>109</v>
      </c>
      <c r="C168" s="16">
        <v>20200826</v>
      </c>
      <c r="D168" s="73" t="s">
        <v>3</v>
      </c>
      <c r="E168" s="73" t="s">
        <v>1096</v>
      </c>
      <c r="F168" s="225" t="s">
        <v>1189</v>
      </c>
      <c r="G168" s="73">
        <v>1645205</v>
      </c>
      <c r="H168" s="47" t="s">
        <v>58</v>
      </c>
      <c r="I168" s="73" t="s">
        <v>1232</v>
      </c>
      <c r="J168" s="47" t="s">
        <v>58</v>
      </c>
      <c r="K168" s="15" t="s">
        <v>194</v>
      </c>
      <c r="L168" s="73" t="s">
        <v>1238</v>
      </c>
      <c r="M168" s="73" t="s">
        <v>1120</v>
      </c>
      <c r="N168" s="73" t="s">
        <v>1237</v>
      </c>
      <c r="O168" s="17" t="s">
        <v>58</v>
      </c>
      <c r="P168" s="72" t="s">
        <v>1079</v>
      </c>
      <c r="Q168" s="18"/>
      <c r="R168" s="47" t="s">
        <v>58</v>
      </c>
      <c r="S168" s="15" t="s">
        <v>167</v>
      </c>
      <c r="T168" s="15" t="s">
        <v>64</v>
      </c>
      <c r="U168" s="15" t="s">
        <v>578</v>
      </c>
      <c r="V168" s="73">
        <v>57</v>
      </c>
      <c r="W168" s="16">
        <f>V168*2</f>
        <v>114</v>
      </c>
      <c r="X168" s="15">
        <f t="shared" si="36"/>
        <v>114</v>
      </c>
      <c r="Y168" s="15">
        <f>ROUNDDOWN(W168/HLOOKUP(D168,Table!$C$3:$D$4,2,0)*8,2)</f>
        <v>2.02</v>
      </c>
      <c r="Z168" s="15">
        <v>3</v>
      </c>
      <c r="AA168" s="15" t="s">
        <v>21</v>
      </c>
      <c r="AB168" s="19">
        <v>44070</v>
      </c>
      <c r="AC168" s="19">
        <v>44069</v>
      </c>
      <c r="AD168" s="81">
        <v>44070</v>
      </c>
      <c r="AE168" s="19">
        <v>44069</v>
      </c>
      <c r="AF168" s="19">
        <v>44069</v>
      </c>
      <c r="AG168" s="19" t="s">
        <v>155</v>
      </c>
      <c r="AH168" s="30">
        <v>1</v>
      </c>
      <c r="AI168" s="30">
        <v>1</v>
      </c>
      <c r="AJ168" s="30">
        <v>1</v>
      </c>
      <c r="AK168" s="19" t="s">
        <v>140</v>
      </c>
      <c r="AL168" s="17" t="s">
        <v>58</v>
      </c>
      <c r="AM168" s="17" t="s">
        <v>58</v>
      </c>
      <c r="AN168" s="299" t="s">
        <v>1081</v>
      </c>
    </row>
    <row r="169" spans="2:40" ht="30">
      <c r="B169" s="305">
        <f t="shared" si="38"/>
        <v>110</v>
      </c>
      <c r="C169" s="16">
        <v>20200826</v>
      </c>
      <c r="D169" s="73" t="s">
        <v>3</v>
      </c>
      <c r="E169" s="73" t="s">
        <v>1096</v>
      </c>
      <c r="F169" s="225" t="s">
        <v>1240</v>
      </c>
      <c r="G169" s="73">
        <v>1645205</v>
      </c>
      <c r="H169" s="47" t="s">
        <v>58</v>
      </c>
      <c r="I169" s="73" t="s">
        <v>1215</v>
      </c>
      <c r="J169" s="47" t="s">
        <v>58</v>
      </c>
      <c r="K169" s="15" t="s">
        <v>194</v>
      </c>
      <c r="L169" s="73" t="s">
        <v>1238</v>
      </c>
      <c r="M169" s="15" t="s">
        <v>1120</v>
      </c>
      <c r="N169" s="73" t="s">
        <v>1237</v>
      </c>
      <c r="O169" s="17" t="s">
        <v>58</v>
      </c>
      <c r="P169" s="72" t="s">
        <v>1079</v>
      </c>
      <c r="Q169" s="18"/>
      <c r="R169" s="47" t="s">
        <v>58</v>
      </c>
      <c r="S169" s="15" t="s">
        <v>167</v>
      </c>
      <c r="T169" s="15" t="s">
        <v>64</v>
      </c>
      <c r="U169" s="15" t="s">
        <v>578</v>
      </c>
      <c r="V169" s="73">
        <v>115</v>
      </c>
      <c r="W169" s="16">
        <f>V169*2</f>
        <v>230</v>
      </c>
      <c r="X169" s="15">
        <f t="shared" si="36"/>
        <v>230</v>
      </c>
      <c r="Y169" s="15">
        <f>ROUNDDOWN(W169/HLOOKUP(D169,Table!$C$3:$D$4,2,0)*8,2)</f>
        <v>4.08</v>
      </c>
      <c r="Z169" s="15">
        <v>4.08</v>
      </c>
      <c r="AA169" s="15" t="s">
        <v>21</v>
      </c>
      <c r="AB169" s="19">
        <v>44070</v>
      </c>
      <c r="AC169" s="19">
        <v>44069</v>
      </c>
      <c r="AD169" s="81">
        <v>44070</v>
      </c>
      <c r="AE169" s="19">
        <v>44069</v>
      </c>
      <c r="AF169" s="19">
        <v>44069</v>
      </c>
      <c r="AG169" s="19" t="s">
        <v>155</v>
      </c>
      <c r="AH169" s="30">
        <v>1</v>
      </c>
      <c r="AI169" s="30">
        <v>1</v>
      </c>
      <c r="AJ169" s="30">
        <v>1</v>
      </c>
      <c r="AK169" s="19" t="s">
        <v>140</v>
      </c>
      <c r="AL169" s="17" t="s">
        <v>58</v>
      </c>
      <c r="AM169" s="17" t="s">
        <v>58</v>
      </c>
      <c r="AN169" s="348" t="s">
        <v>1265</v>
      </c>
    </row>
    <row r="170" spans="2:40">
      <c r="B170" s="305">
        <f t="shared" si="38"/>
        <v>111</v>
      </c>
      <c r="C170" s="16">
        <v>20200826</v>
      </c>
      <c r="D170" s="73" t="s">
        <v>3</v>
      </c>
      <c r="E170" s="73" t="s">
        <v>1096</v>
      </c>
      <c r="F170" s="225" t="s">
        <v>1240</v>
      </c>
      <c r="G170" s="73">
        <v>1645205</v>
      </c>
      <c r="H170" s="47" t="s">
        <v>58</v>
      </c>
      <c r="I170" s="73" t="s">
        <v>1233</v>
      </c>
      <c r="J170" s="47" t="s">
        <v>58</v>
      </c>
      <c r="K170" s="15" t="s">
        <v>194</v>
      </c>
      <c r="L170" s="73" t="s">
        <v>1238</v>
      </c>
      <c r="M170" s="15" t="s">
        <v>1120</v>
      </c>
      <c r="N170" s="73" t="s">
        <v>1237</v>
      </c>
      <c r="O170" s="17" t="s">
        <v>58</v>
      </c>
      <c r="P170" s="72" t="s">
        <v>1079</v>
      </c>
      <c r="Q170" s="18"/>
      <c r="R170" s="47" t="s">
        <v>58</v>
      </c>
      <c r="S170" s="15" t="s">
        <v>65</v>
      </c>
      <c r="T170" s="15" t="s">
        <v>167</v>
      </c>
      <c r="U170" s="15" t="s">
        <v>578</v>
      </c>
      <c r="V170" s="73">
        <v>10</v>
      </c>
      <c r="W170" s="16">
        <v>0</v>
      </c>
      <c r="X170" s="15">
        <f t="shared" si="36"/>
        <v>0</v>
      </c>
      <c r="Y170" s="15">
        <f>ROUNDDOWN(W170/HLOOKUP(D170,Table!$C$3:$D$4,2,0)*8,2)</f>
        <v>0</v>
      </c>
      <c r="Z170" s="15">
        <f>Y170</f>
        <v>0</v>
      </c>
      <c r="AA170" s="15" t="s">
        <v>21</v>
      </c>
      <c r="AB170" s="19">
        <v>44070</v>
      </c>
      <c r="AC170" s="19">
        <v>44069</v>
      </c>
      <c r="AD170" s="81">
        <v>44070</v>
      </c>
      <c r="AE170" s="19">
        <v>44069</v>
      </c>
      <c r="AF170" s="19">
        <v>44069</v>
      </c>
      <c r="AG170" s="19" t="s">
        <v>155</v>
      </c>
      <c r="AH170" s="30" t="s">
        <v>58</v>
      </c>
      <c r="AI170" s="30" t="s">
        <v>58</v>
      </c>
      <c r="AJ170" s="30" t="s">
        <v>58</v>
      </c>
      <c r="AK170" s="19" t="s">
        <v>140</v>
      </c>
      <c r="AL170" s="17" t="s">
        <v>1244</v>
      </c>
      <c r="AM170" s="17" t="s">
        <v>58</v>
      </c>
      <c r="AN170" s="299" t="s">
        <v>1081</v>
      </c>
    </row>
    <row r="171" spans="2:40">
      <c r="B171" s="305">
        <f t="shared" si="38"/>
        <v>112</v>
      </c>
      <c r="C171" s="16">
        <v>20200826</v>
      </c>
      <c r="D171" s="73" t="s">
        <v>3</v>
      </c>
      <c r="E171" s="73" t="s">
        <v>1096</v>
      </c>
      <c r="F171" s="225" t="s">
        <v>1241</v>
      </c>
      <c r="G171" s="73">
        <v>1645205</v>
      </c>
      <c r="H171" s="47" t="s">
        <v>58</v>
      </c>
      <c r="I171" s="73" t="s">
        <v>1212</v>
      </c>
      <c r="J171" s="47" t="s">
        <v>58</v>
      </c>
      <c r="K171" s="15" t="s">
        <v>194</v>
      </c>
      <c r="L171" s="73" t="s">
        <v>1238</v>
      </c>
      <c r="M171" s="15" t="s">
        <v>1120</v>
      </c>
      <c r="N171" s="73" t="s">
        <v>1237</v>
      </c>
      <c r="O171" s="17" t="s">
        <v>58</v>
      </c>
      <c r="P171" s="72" t="s">
        <v>1079</v>
      </c>
      <c r="Q171" s="18"/>
      <c r="R171" s="47" t="s">
        <v>58</v>
      </c>
      <c r="S171" s="15" t="s">
        <v>65</v>
      </c>
      <c r="T171" s="15" t="s">
        <v>167</v>
      </c>
      <c r="U171" s="15" t="s">
        <v>578</v>
      </c>
      <c r="V171" s="73">
        <v>225</v>
      </c>
      <c r="W171" s="136">
        <v>450</v>
      </c>
      <c r="X171" s="15">
        <f t="shared" si="36"/>
        <v>450</v>
      </c>
      <c r="Y171" s="15">
        <f>ROUNDDOWN(W171/HLOOKUP(D171,Table!$C$3:$D$4,2,0)*8,2)</f>
        <v>8</v>
      </c>
      <c r="Z171" s="15">
        <f>Y171</f>
        <v>8</v>
      </c>
      <c r="AA171" s="15" t="s">
        <v>21</v>
      </c>
      <c r="AB171" s="19">
        <v>44070</v>
      </c>
      <c r="AC171" s="19">
        <v>44069</v>
      </c>
      <c r="AD171" s="81">
        <v>44070</v>
      </c>
      <c r="AE171" s="19">
        <v>44069</v>
      </c>
      <c r="AF171" s="19">
        <v>44069</v>
      </c>
      <c r="AG171" s="19" t="s">
        <v>155</v>
      </c>
      <c r="AH171" s="30">
        <v>1</v>
      </c>
      <c r="AI171" s="30">
        <v>1</v>
      </c>
      <c r="AJ171" s="30">
        <v>1</v>
      </c>
      <c r="AK171" s="19" t="s">
        <v>140</v>
      </c>
      <c r="AL171" s="17" t="s">
        <v>58</v>
      </c>
      <c r="AM171" s="17" t="s">
        <v>58</v>
      </c>
      <c r="AN171" s="299" t="s">
        <v>1081</v>
      </c>
    </row>
    <row r="172" spans="2:40">
      <c r="B172" s="146">
        <f t="shared" si="38"/>
        <v>113</v>
      </c>
      <c r="C172" s="16">
        <v>20200827</v>
      </c>
      <c r="D172" s="73" t="s">
        <v>2</v>
      </c>
      <c r="E172" s="73" t="s">
        <v>1097</v>
      </c>
      <c r="F172" s="72" t="s">
        <v>58</v>
      </c>
      <c r="G172" s="73">
        <v>1649092</v>
      </c>
      <c r="H172" s="47" t="s">
        <v>58</v>
      </c>
      <c r="I172" s="73" t="s">
        <v>1272</v>
      </c>
      <c r="J172" s="47" t="s">
        <v>58</v>
      </c>
      <c r="K172" s="15" t="s">
        <v>194</v>
      </c>
      <c r="L172" s="73" t="s">
        <v>140</v>
      </c>
      <c r="M172" s="15" t="s">
        <v>316</v>
      </c>
      <c r="N172" s="73" t="s">
        <v>1291</v>
      </c>
      <c r="O172" s="17" t="s">
        <v>1289</v>
      </c>
      <c r="P172" s="72" t="s">
        <v>1111</v>
      </c>
      <c r="Q172" s="18"/>
      <c r="R172" s="47" t="s">
        <v>58</v>
      </c>
      <c r="S172" s="15" t="s">
        <v>168</v>
      </c>
      <c r="T172" s="15" t="s">
        <v>65</v>
      </c>
      <c r="U172" s="15" t="s">
        <v>578</v>
      </c>
      <c r="V172" s="73">
        <v>30</v>
      </c>
      <c r="W172" s="16">
        <f>V172</f>
        <v>30</v>
      </c>
      <c r="X172" s="15">
        <f>W172</f>
        <v>30</v>
      </c>
      <c r="Y172" s="15">
        <f>ROUNDDOWN(W172/HLOOKUP(D172,Table!$C$3:$D$4,2,0)*8,2)</f>
        <v>1.84</v>
      </c>
      <c r="Z172" s="15">
        <f>Y172</f>
        <v>1.84</v>
      </c>
      <c r="AA172" s="15" t="s">
        <v>21</v>
      </c>
      <c r="AB172" s="19">
        <v>44075</v>
      </c>
      <c r="AC172" s="19">
        <v>44070</v>
      </c>
      <c r="AD172" s="239">
        <v>44078</v>
      </c>
      <c r="AE172" s="19">
        <v>44070</v>
      </c>
      <c r="AF172" s="19">
        <v>44070</v>
      </c>
      <c r="AG172" s="19" t="s">
        <v>155</v>
      </c>
      <c r="AH172" s="30">
        <v>1</v>
      </c>
      <c r="AI172" s="30">
        <v>1</v>
      </c>
      <c r="AJ172" s="30">
        <v>1</v>
      </c>
      <c r="AK172" s="19" t="s">
        <v>140</v>
      </c>
      <c r="AL172" s="17" t="s">
        <v>58</v>
      </c>
      <c r="AM172" s="17" t="s">
        <v>58</v>
      </c>
      <c r="AN172" s="17" t="s">
        <v>58</v>
      </c>
    </row>
    <row r="173" spans="2:40">
      <c r="B173" s="146">
        <f t="shared" si="38"/>
        <v>114</v>
      </c>
      <c r="C173" s="16">
        <v>20200827</v>
      </c>
      <c r="D173" s="73" t="s">
        <v>3</v>
      </c>
      <c r="E173" s="73" t="s">
        <v>1267</v>
      </c>
      <c r="F173" s="225" t="s">
        <v>1308</v>
      </c>
      <c r="G173" s="73">
        <v>1647528</v>
      </c>
      <c r="H173" s="47" t="s">
        <v>58</v>
      </c>
      <c r="I173" s="73" t="s">
        <v>1273</v>
      </c>
      <c r="J173" s="47" t="s">
        <v>58</v>
      </c>
      <c r="K173" s="15" t="s">
        <v>192</v>
      </c>
      <c r="L173" s="73" t="s">
        <v>140</v>
      </c>
      <c r="M173" s="15" t="s">
        <v>1284</v>
      </c>
      <c r="N173" s="73" t="s">
        <v>1292</v>
      </c>
      <c r="O173" s="17" t="s">
        <v>58</v>
      </c>
      <c r="P173" s="72" t="s">
        <v>1296</v>
      </c>
      <c r="Q173" s="18"/>
      <c r="R173" s="47" t="s">
        <v>58</v>
      </c>
      <c r="S173" s="15" t="s">
        <v>168</v>
      </c>
      <c r="T173" s="15" t="s">
        <v>65</v>
      </c>
      <c r="U173" s="15" t="s">
        <v>578</v>
      </c>
      <c r="V173" s="73">
        <v>5</v>
      </c>
      <c r="W173" s="18">
        <f>242</f>
        <v>242</v>
      </c>
      <c r="X173" s="15">
        <f>W173</f>
        <v>242</v>
      </c>
      <c r="Y173" s="15">
        <f>ROUNDDOWN(W173/HLOOKUP(D173,Table!$C$3:$D$4,2,0)*8,2)</f>
        <v>4.3</v>
      </c>
      <c r="Z173" s="15">
        <v>3</v>
      </c>
      <c r="AA173" s="15" t="s">
        <v>21</v>
      </c>
      <c r="AB173" s="19">
        <v>44075</v>
      </c>
      <c r="AC173" s="19">
        <v>44070</v>
      </c>
      <c r="AD173" s="81">
        <v>44075</v>
      </c>
      <c r="AE173" s="19">
        <v>44071</v>
      </c>
      <c r="AF173" s="19">
        <v>44071</v>
      </c>
      <c r="AG173" s="19" t="s">
        <v>156</v>
      </c>
      <c r="AH173" s="30">
        <v>1</v>
      </c>
      <c r="AI173" s="30">
        <v>1</v>
      </c>
      <c r="AJ173" s="30">
        <v>0.97</v>
      </c>
      <c r="AK173" s="19" t="s">
        <v>130</v>
      </c>
      <c r="AL173" s="17" t="s">
        <v>1320</v>
      </c>
      <c r="AM173" s="17" t="s">
        <v>58</v>
      </c>
      <c r="AN173" s="17" t="s">
        <v>567</v>
      </c>
    </row>
    <row r="174" spans="2:40">
      <c r="B174" s="146">
        <f t="shared" si="38"/>
        <v>115</v>
      </c>
      <c r="C174" s="16">
        <v>20200827</v>
      </c>
      <c r="D174" s="73" t="s">
        <v>3</v>
      </c>
      <c r="E174" s="73" t="s">
        <v>1267</v>
      </c>
      <c r="F174" s="225" t="s">
        <v>1362</v>
      </c>
      <c r="G174" s="73">
        <v>1643824</v>
      </c>
      <c r="H174" s="47" t="s">
        <v>58</v>
      </c>
      <c r="I174" s="73" t="s">
        <v>1274</v>
      </c>
      <c r="J174" s="47" t="s">
        <v>58</v>
      </c>
      <c r="K174" s="15" t="s">
        <v>192</v>
      </c>
      <c r="L174" s="73" t="s">
        <v>140</v>
      </c>
      <c r="M174" s="15" t="s">
        <v>1284</v>
      </c>
      <c r="N174" s="73" t="s">
        <v>1292</v>
      </c>
      <c r="O174" s="17" t="s">
        <v>58</v>
      </c>
      <c r="P174" s="72" t="s">
        <v>1296</v>
      </c>
      <c r="Q174" s="18"/>
      <c r="R174" s="47" t="s">
        <v>58</v>
      </c>
      <c r="S174" s="15" t="s">
        <v>179</v>
      </c>
      <c r="T174" s="15" t="s">
        <v>168</v>
      </c>
      <c r="U174" s="15" t="s">
        <v>578</v>
      </c>
      <c r="V174" s="73">
        <v>26</v>
      </c>
      <c r="W174" s="136">
        <f>899</f>
        <v>899</v>
      </c>
      <c r="X174" s="15">
        <f>W174</f>
        <v>899</v>
      </c>
      <c r="Y174" s="15">
        <f>ROUNDDOWN(W174/HLOOKUP(D174,Table!$C$3:$D$4,2,0)*8,2)</f>
        <v>15.98</v>
      </c>
      <c r="Z174" s="15">
        <v>8</v>
      </c>
      <c r="AA174" s="15" t="s">
        <v>21</v>
      </c>
      <c r="AB174" s="19">
        <v>44075</v>
      </c>
      <c r="AC174" s="19">
        <v>44070</v>
      </c>
      <c r="AD174" s="81">
        <v>44075</v>
      </c>
      <c r="AE174" s="19">
        <v>44071</v>
      </c>
      <c r="AF174" s="19">
        <v>44074</v>
      </c>
      <c r="AG174" s="19" t="s">
        <v>156</v>
      </c>
      <c r="AH174" s="30">
        <v>1</v>
      </c>
      <c r="AI174" s="30">
        <v>1</v>
      </c>
      <c r="AJ174" s="30">
        <v>0.98</v>
      </c>
      <c r="AK174" s="19" t="s">
        <v>130</v>
      </c>
      <c r="AL174" s="17" t="s">
        <v>1332</v>
      </c>
      <c r="AM174" s="17" t="s">
        <v>58</v>
      </c>
      <c r="AN174" s="17" t="s">
        <v>1333</v>
      </c>
    </row>
    <row r="175" spans="2:40">
      <c r="B175" s="146">
        <f t="shared" si="38"/>
        <v>116</v>
      </c>
      <c r="C175" s="16">
        <v>20200827</v>
      </c>
      <c r="D175" s="73" t="s">
        <v>3</v>
      </c>
      <c r="E175" s="73" t="s">
        <v>1267</v>
      </c>
      <c r="F175" s="225" t="s">
        <v>1309</v>
      </c>
      <c r="G175" s="73">
        <v>1643824</v>
      </c>
      <c r="H175" s="47" t="s">
        <v>58</v>
      </c>
      <c r="I175" s="73" t="s">
        <v>1275</v>
      </c>
      <c r="J175" s="47" t="s">
        <v>58</v>
      </c>
      <c r="K175" s="15" t="s">
        <v>192</v>
      </c>
      <c r="L175" s="73" t="s">
        <v>140</v>
      </c>
      <c r="M175" s="15" t="s">
        <v>1284</v>
      </c>
      <c r="N175" s="73" t="s">
        <v>1292</v>
      </c>
      <c r="O175" s="17" t="s">
        <v>58</v>
      </c>
      <c r="P175" s="72" t="s">
        <v>1296</v>
      </c>
      <c r="Q175" s="18"/>
      <c r="R175" s="47" t="s">
        <v>58</v>
      </c>
      <c r="S175" s="15" t="s">
        <v>167</v>
      </c>
      <c r="T175" s="15" t="s">
        <v>64</v>
      </c>
      <c r="U175" s="15" t="s">
        <v>578</v>
      </c>
      <c r="V175" s="73">
        <v>29</v>
      </c>
      <c r="W175" s="136">
        <f>1013</f>
        <v>1013</v>
      </c>
      <c r="X175" s="15">
        <f>W175</f>
        <v>1013</v>
      </c>
      <c r="Y175" s="15">
        <f>ROUNDDOWN(W175/HLOOKUP(D175,Table!$C$3:$D$4,2,0)*8,2)</f>
        <v>18</v>
      </c>
      <c r="Z175" s="15">
        <f>Y175</f>
        <v>18</v>
      </c>
      <c r="AA175" s="15" t="s">
        <v>21</v>
      </c>
      <c r="AB175" s="19">
        <v>44075</v>
      </c>
      <c r="AC175" s="19">
        <v>44070</v>
      </c>
      <c r="AD175" s="81">
        <v>44075</v>
      </c>
      <c r="AE175" s="19">
        <v>44070</v>
      </c>
      <c r="AF175" s="19">
        <v>44075</v>
      </c>
      <c r="AG175" s="19" t="s">
        <v>155</v>
      </c>
      <c r="AH175" s="30">
        <v>1</v>
      </c>
      <c r="AI175" s="30">
        <v>1</v>
      </c>
      <c r="AJ175" s="30">
        <v>1</v>
      </c>
      <c r="AK175" s="19" t="s">
        <v>140</v>
      </c>
      <c r="AL175" s="17" t="s">
        <v>58</v>
      </c>
      <c r="AM175" s="17" t="s">
        <v>58</v>
      </c>
      <c r="AN175" s="17" t="s">
        <v>1053</v>
      </c>
    </row>
    <row r="176" spans="2:40">
      <c r="B176" s="146">
        <f t="shared" si="38"/>
        <v>117</v>
      </c>
      <c r="C176" s="16">
        <v>20200827</v>
      </c>
      <c r="D176" s="73" t="s">
        <v>2</v>
      </c>
      <c r="E176" s="73" t="s">
        <v>1268</v>
      </c>
      <c r="F176" s="72" t="s">
        <v>58</v>
      </c>
      <c r="G176" s="73">
        <v>1646176</v>
      </c>
      <c r="H176" s="47" t="s">
        <v>58</v>
      </c>
      <c r="I176" s="73" t="s">
        <v>1276</v>
      </c>
      <c r="J176" s="47" t="s">
        <v>58</v>
      </c>
      <c r="K176" s="15" t="s">
        <v>194</v>
      </c>
      <c r="L176" s="73" t="s">
        <v>140</v>
      </c>
      <c r="M176" s="15" t="s">
        <v>1285</v>
      </c>
      <c r="N176" s="73" t="s">
        <v>1293</v>
      </c>
      <c r="O176" s="17" t="s">
        <v>1290</v>
      </c>
      <c r="P176" s="72" t="s">
        <v>1297</v>
      </c>
      <c r="Q176" s="18"/>
      <c r="R176" s="47" t="s">
        <v>58</v>
      </c>
      <c r="S176" s="15" t="s">
        <v>64</v>
      </c>
      <c r="T176" s="15" t="s">
        <v>169</v>
      </c>
      <c r="U176" s="15" t="s">
        <v>578</v>
      </c>
      <c r="V176" s="73">
        <v>25</v>
      </c>
      <c r="W176" s="16">
        <f t="shared" ref="W176:W186" si="40">V176</f>
        <v>25</v>
      </c>
      <c r="X176" s="15">
        <f>W176</f>
        <v>25</v>
      </c>
      <c r="Y176" s="15">
        <f>ROUNDDOWN(W176/HLOOKUP(D176,Table!$C$3:$D$4,2,0)*8,2)</f>
        <v>1.53</v>
      </c>
      <c r="Z176" s="15">
        <v>2</v>
      </c>
      <c r="AA176" s="15" t="s">
        <v>21</v>
      </c>
      <c r="AB176" s="19">
        <v>44075</v>
      </c>
      <c r="AC176" s="19">
        <v>44070</v>
      </c>
      <c r="AD176" s="81">
        <v>44075</v>
      </c>
      <c r="AE176" s="19">
        <v>44074</v>
      </c>
      <c r="AF176" s="19">
        <v>44074</v>
      </c>
      <c r="AG176" s="19" t="s">
        <v>155</v>
      </c>
      <c r="AH176" s="30">
        <v>1</v>
      </c>
      <c r="AI176" s="30">
        <v>1</v>
      </c>
      <c r="AJ176" s="30">
        <v>1</v>
      </c>
      <c r="AK176" s="19" t="s">
        <v>140</v>
      </c>
      <c r="AL176" s="17" t="s">
        <v>58</v>
      </c>
      <c r="AM176" s="17" t="s">
        <v>58</v>
      </c>
      <c r="AN176" s="17" t="s">
        <v>58</v>
      </c>
    </row>
    <row r="177" spans="2:40">
      <c r="B177" s="146">
        <f t="shared" si="38"/>
        <v>118</v>
      </c>
      <c r="C177" s="16">
        <v>20200827</v>
      </c>
      <c r="D177" s="73" t="s">
        <v>3</v>
      </c>
      <c r="E177" s="73" t="s">
        <v>1269</v>
      </c>
      <c r="F177" s="17" t="s">
        <v>1302</v>
      </c>
      <c r="G177" s="73">
        <v>1646188</v>
      </c>
      <c r="H177" s="47" t="s">
        <v>58</v>
      </c>
      <c r="I177" s="73" t="s">
        <v>1277</v>
      </c>
      <c r="J177" s="47" t="s">
        <v>58</v>
      </c>
      <c r="K177" s="15" t="s">
        <v>192</v>
      </c>
      <c r="L177" s="73" t="s">
        <v>1299</v>
      </c>
      <c r="M177" s="15" t="s">
        <v>1286</v>
      </c>
      <c r="N177" s="73" t="s">
        <v>1294</v>
      </c>
      <c r="O177" s="17" t="s">
        <v>58</v>
      </c>
      <c r="P177" s="72" t="s">
        <v>1166</v>
      </c>
      <c r="Q177" s="18"/>
      <c r="R177" s="47" t="s">
        <v>58</v>
      </c>
      <c r="S177" s="15" t="s">
        <v>64</v>
      </c>
      <c r="T177" s="15" t="s">
        <v>169</v>
      </c>
      <c r="U177" s="15" t="s">
        <v>578</v>
      </c>
      <c r="V177" s="73">
        <v>102</v>
      </c>
      <c r="W177" s="212">
        <f t="shared" si="40"/>
        <v>102</v>
      </c>
      <c r="X177" s="15">
        <f t="shared" ref="X177:X186" si="41">W177</f>
        <v>102</v>
      </c>
      <c r="Y177" s="15">
        <f>ROUNDDOWN(W177/HLOOKUP(D177,Table!$C$3:$D$4,2,0)*8,2)</f>
        <v>1.81</v>
      </c>
      <c r="Z177" s="15">
        <v>5</v>
      </c>
      <c r="AA177" s="15" t="s">
        <v>21</v>
      </c>
      <c r="AB177" s="19">
        <v>44075</v>
      </c>
      <c r="AC177" s="19">
        <v>44070</v>
      </c>
      <c r="AD177" s="81">
        <v>44075</v>
      </c>
      <c r="AE177" s="19">
        <v>44071</v>
      </c>
      <c r="AF177" s="19">
        <v>44071</v>
      </c>
      <c r="AG177" s="19" t="s">
        <v>156</v>
      </c>
      <c r="AH177" s="30">
        <v>1</v>
      </c>
      <c r="AI177" s="30">
        <v>1</v>
      </c>
      <c r="AJ177" s="30">
        <v>0.75</v>
      </c>
      <c r="AK177" s="19" t="s">
        <v>130</v>
      </c>
      <c r="AL177" s="17" t="s">
        <v>1321</v>
      </c>
      <c r="AM177" s="17" t="s">
        <v>58</v>
      </c>
      <c r="AN177" s="17" t="s">
        <v>484</v>
      </c>
    </row>
    <row r="178" spans="2:40">
      <c r="B178" s="146">
        <f t="shared" si="38"/>
        <v>119</v>
      </c>
      <c r="C178" s="16">
        <v>20200827</v>
      </c>
      <c r="D178" s="73" t="s">
        <v>3</v>
      </c>
      <c r="E178" s="73" t="s">
        <v>1269</v>
      </c>
      <c r="F178" s="17" t="s">
        <v>1303</v>
      </c>
      <c r="G178" s="73">
        <v>1646188</v>
      </c>
      <c r="H178" s="47" t="s">
        <v>58</v>
      </c>
      <c r="I178" s="73" t="s">
        <v>1278</v>
      </c>
      <c r="J178" s="47" t="s">
        <v>58</v>
      </c>
      <c r="K178" s="15" t="s">
        <v>192</v>
      </c>
      <c r="L178" s="73" t="s">
        <v>1299</v>
      </c>
      <c r="M178" s="15" t="s">
        <v>1286</v>
      </c>
      <c r="N178" s="73" t="s">
        <v>1294</v>
      </c>
      <c r="O178" s="17" t="s">
        <v>58</v>
      </c>
      <c r="P178" s="72" t="s">
        <v>1166</v>
      </c>
      <c r="Q178" s="18"/>
      <c r="R178" s="47" t="s">
        <v>58</v>
      </c>
      <c r="S178" s="15" t="s">
        <v>64</v>
      </c>
      <c r="T178" s="15" t="s">
        <v>169</v>
      </c>
      <c r="U178" s="15" t="s">
        <v>578</v>
      </c>
      <c r="V178" s="73">
        <v>319</v>
      </c>
      <c r="W178" s="212">
        <f>V176</f>
        <v>25</v>
      </c>
      <c r="X178" s="15">
        <f t="shared" si="41"/>
        <v>25</v>
      </c>
      <c r="Y178" s="15">
        <f>ROUNDDOWN(W178/HLOOKUP(D178,Table!$C$3:$D$4,2,0)*8,2)</f>
        <v>0.44</v>
      </c>
      <c r="Z178" s="15">
        <v>8</v>
      </c>
      <c r="AA178" s="15" t="s">
        <v>21</v>
      </c>
      <c r="AB178" s="19">
        <v>44075</v>
      </c>
      <c r="AC178" s="19">
        <v>44070</v>
      </c>
      <c r="AD178" s="81">
        <v>44075</v>
      </c>
      <c r="AE178" s="19">
        <v>44071</v>
      </c>
      <c r="AF178" s="19">
        <v>44071</v>
      </c>
      <c r="AG178" s="19" t="s">
        <v>156</v>
      </c>
      <c r="AH178" s="30">
        <v>1</v>
      </c>
      <c r="AI178" s="30">
        <v>1</v>
      </c>
      <c r="AJ178" s="30">
        <v>0.94</v>
      </c>
      <c r="AK178" s="19" t="s">
        <v>130</v>
      </c>
      <c r="AL178" s="17" t="s">
        <v>1328</v>
      </c>
      <c r="AM178" s="17" t="s">
        <v>58</v>
      </c>
      <c r="AN178" s="17" t="s">
        <v>484</v>
      </c>
    </row>
    <row r="179" spans="2:40">
      <c r="B179" s="146">
        <f t="shared" si="38"/>
        <v>120</v>
      </c>
      <c r="C179" s="16">
        <v>20200827</v>
      </c>
      <c r="D179" s="73" t="s">
        <v>3</v>
      </c>
      <c r="E179" s="73" t="s">
        <v>1269</v>
      </c>
      <c r="F179" s="17" t="s">
        <v>1304</v>
      </c>
      <c r="G179" s="73">
        <v>1646188</v>
      </c>
      <c r="H179" s="47" t="s">
        <v>58</v>
      </c>
      <c r="I179" s="73" t="s">
        <v>1279</v>
      </c>
      <c r="J179" s="47" t="s">
        <v>58</v>
      </c>
      <c r="K179" s="15" t="s">
        <v>192</v>
      </c>
      <c r="L179" s="73" t="s">
        <v>1299</v>
      </c>
      <c r="M179" s="15" t="s">
        <v>1286</v>
      </c>
      <c r="N179" s="73" t="s">
        <v>1294</v>
      </c>
      <c r="O179" s="17" t="s">
        <v>58</v>
      </c>
      <c r="P179" s="72" t="s">
        <v>1166</v>
      </c>
      <c r="Q179" s="18"/>
      <c r="R179" s="47" t="s">
        <v>58</v>
      </c>
      <c r="S179" s="15" t="s">
        <v>64</v>
      </c>
      <c r="T179" s="15" t="s">
        <v>169</v>
      </c>
      <c r="U179" s="15" t="s">
        <v>578</v>
      </c>
      <c r="V179" s="73">
        <v>75</v>
      </c>
      <c r="W179" s="212">
        <f t="shared" si="40"/>
        <v>75</v>
      </c>
      <c r="X179" s="15">
        <f t="shared" si="41"/>
        <v>75</v>
      </c>
      <c r="Y179" s="15">
        <f>ROUNDDOWN(W179/HLOOKUP(D179,Table!$C$3:$D$4,2,0)*8,2)</f>
        <v>1.33</v>
      </c>
      <c r="Z179" s="15">
        <v>5</v>
      </c>
      <c r="AA179" s="15" t="s">
        <v>21</v>
      </c>
      <c r="AB179" s="19">
        <v>44075</v>
      </c>
      <c r="AC179" s="19">
        <v>44070</v>
      </c>
      <c r="AD179" s="81">
        <v>44075</v>
      </c>
      <c r="AE179" s="19">
        <v>44071</v>
      </c>
      <c r="AF179" s="19">
        <v>44071</v>
      </c>
      <c r="AG179" s="19" t="s">
        <v>156</v>
      </c>
      <c r="AH179" s="30">
        <v>1</v>
      </c>
      <c r="AI179" s="30">
        <v>1</v>
      </c>
      <c r="AJ179" s="30">
        <v>0.75</v>
      </c>
      <c r="AK179" s="19" t="s">
        <v>130</v>
      </c>
      <c r="AL179" s="17" t="s">
        <v>1328</v>
      </c>
      <c r="AM179" s="17" t="s">
        <v>58</v>
      </c>
      <c r="AN179" s="17" t="s">
        <v>484</v>
      </c>
    </row>
    <row r="180" spans="2:40">
      <c r="B180" s="146">
        <f t="shared" si="38"/>
        <v>121</v>
      </c>
      <c r="C180" s="16">
        <v>20200827</v>
      </c>
      <c r="D180" s="73" t="s">
        <v>2</v>
      </c>
      <c r="E180" s="73" t="s">
        <v>1268</v>
      </c>
      <c r="F180" s="72" t="s">
        <v>58</v>
      </c>
      <c r="G180" s="73">
        <v>1646203</v>
      </c>
      <c r="H180" s="47" t="s">
        <v>58</v>
      </c>
      <c r="I180" s="73" t="s">
        <v>1280</v>
      </c>
      <c r="J180" s="47" t="s">
        <v>58</v>
      </c>
      <c r="K180" s="15" t="s">
        <v>194</v>
      </c>
      <c r="L180" s="73" t="s">
        <v>140</v>
      </c>
      <c r="M180" s="15" t="s">
        <v>1285</v>
      </c>
      <c r="N180" s="73" t="s">
        <v>1295</v>
      </c>
      <c r="O180" s="17" t="s">
        <v>170</v>
      </c>
      <c r="P180" s="72" t="s">
        <v>1297</v>
      </c>
      <c r="Q180" s="18"/>
      <c r="R180" s="47" t="s">
        <v>58</v>
      </c>
      <c r="S180" s="15" t="s">
        <v>168</v>
      </c>
      <c r="T180" s="15" t="s">
        <v>65</v>
      </c>
      <c r="U180" s="15" t="s">
        <v>578</v>
      </c>
      <c r="V180" s="73">
        <v>34</v>
      </c>
      <c r="W180" s="16">
        <f t="shared" si="40"/>
        <v>34</v>
      </c>
      <c r="X180" s="15">
        <f t="shared" si="41"/>
        <v>34</v>
      </c>
      <c r="Y180" s="15">
        <f>ROUNDDOWN(W180/HLOOKUP(D180,Table!$C$3:$D$4,2,0)*8,2)</f>
        <v>2.09</v>
      </c>
      <c r="Z180" s="15">
        <f>Y180</f>
        <v>2.09</v>
      </c>
      <c r="AA180" s="15" t="s">
        <v>21</v>
      </c>
      <c r="AB180" s="19">
        <v>44075</v>
      </c>
      <c r="AC180" s="19">
        <v>44070</v>
      </c>
      <c r="AD180" s="81">
        <v>44075</v>
      </c>
      <c r="AE180" s="19">
        <v>44071</v>
      </c>
      <c r="AF180" s="19">
        <v>44071</v>
      </c>
      <c r="AG180" s="19" t="s">
        <v>155</v>
      </c>
      <c r="AH180" s="30">
        <v>1</v>
      </c>
      <c r="AI180" s="30">
        <v>1</v>
      </c>
      <c r="AJ180" s="30">
        <v>1</v>
      </c>
      <c r="AK180" s="19" t="s">
        <v>140</v>
      </c>
      <c r="AL180" s="17" t="s">
        <v>58</v>
      </c>
      <c r="AM180" s="17" t="s">
        <v>58</v>
      </c>
      <c r="AN180" s="17" t="s">
        <v>58</v>
      </c>
    </row>
    <row r="181" spans="2:40">
      <c r="B181" s="146">
        <f t="shared" si="38"/>
        <v>122</v>
      </c>
      <c r="C181" s="16">
        <v>20200827</v>
      </c>
      <c r="D181" s="73" t="s">
        <v>3</v>
      </c>
      <c r="E181" s="73" t="s">
        <v>1270</v>
      </c>
      <c r="F181" s="225" t="s">
        <v>1305</v>
      </c>
      <c r="G181" s="73">
        <v>1646443</v>
      </c>
      <c r="H181" s="47" t="s">
        <v>58</v>
      </c>
      <c r="I181" s="73" t="s">
        <v>1281</v>
      </c>
      <c r="J181" s="47" t="s">
        <v>58</v>
      </c>
      <c r="K181" s="15" t="s">
        <v>192</v>
      </c>
      <c r="L181" s="73" t="s">
        <v>1300</v>
      </c>
      <c r="M181" s="15" t="s">
        <v>1287</v>
      </c>
      <c r="N181" s="73" t="s">
        <v>526</v>
      </c>
      <c r="O181" s="17" t="s">
        <v>58</v>
      </c>
      <c r="P181" s="72" t="s">
        <v>1298</v>
      </c>
      <c r="Q181" s="18"/>
      <c r="R181" s="47" t="s">
        <v>58</v>
      </c>
      <c r="S181" s="15" t="s">
        <v>169</v>
      </c>
      <c r="T181" s="15" t="s">
        <v>179</v>
      </c>
      <c r="U181" s="15" t="s">
        <v>578</v>
      </c>
      <c r="V181" s="73">
        <v>16</v>
      </c>
      <c r="W181" s="16">
        <v>0</v>
      </c>
      <c r="X181" s="15">
        <f t="shared" si="41"/>
        <v>0</v>
      </c>
      <c r="Y181" s="15">
        <f>ROUNDDOWN(W181/HLOOKUP(D181,Table!$C$3:$D$4,2,0)*8,2)</f>
        <v>0</v>
      </c>
      <c r="Z181" s="15">
        <v>0</v>
      </c>
      <c r="AA181" s="15" t="s">
        <v>21</v>
      </c>
      <c r="AB181" s="19">
        <v>44071</v>
      </c>
      <c r="AC181" s="19">
        <v>44070</v>
      </c>
      <c r="AD181" s="19">
        <v>44071</v>
      </c>
      <c r="AE181" s="19">
        <v>44070</v>
      </c>
      <c r="AF181" s="19">
        <v>44070</v>
      </c>
      <c r="AG181" s="19" t="s">
        <v>155</v>
      </c>
      <c r="AH181" s="30" t="s">
        <v>58</v>
      </c>
      <c r="AI181" s="30" t="s">
        <v>58</v>
      </c>
      <c r="AJ181" s="30" t="s">
        <v>58</v>
      </c>
      <c r="AK181" s="19" t="s">
        <v>140</v>
      </c>
      <c r="AL181" s="17" t="s">
        <v>58</v>
      </c>
      <c r="AM181" s="17" t="s">
        <v>58</v>
      </c>
      <c r="AN181" s="237" t="s">
        <v>1244</v>
      </c>
    </row>
    <row r="182" spans="2:40">
      <c r="B182" s="146">
        <f t="shared" si="38"/>
        <v>123</v>
      </c>
      <c r="C182" s="16">
        <v>20200827</v>
      </c>
      <c r="D182" s="73" t="s">
        <v>3</v>
      </c>
      <c r="E182" s="73" t="s">
        <v>1270</v>
      </c>
      <c r="F182" s="225" t="s">
        <v>1306</v>
      </c>
      <c r="G182" s="73">
        <v>1646443</v>
      </c>
      <c r="H182" s="47" t="s">
        <v>58</v>
      </c>
      <c r="I182" s="73" t="s">
        <v>1282</v>
      </c>
      <c r="J182" s="47" t="s">
        <v>58</v>
      </c>
      <c r="K182" s="15" t="s">
        <v>192</v>
      </c>
      <c r="L182" s="73" t="s">
        <v>1300</v>
      </c>
      <c r="M182" s="15" t="s">
        <v>1287</v>
      </c>
      <c r="N182" s="73" t="s">
        <v>526</v>
      </c>
      <c r="O182" s="17" t="s">
        <v>58</v>
      </c>
      <c r="P182" s="72" t="s">
        <v>1298</v>
      </c>
      <c r="Q182" s="18"/>
      <c r="R182" s="47" t="s">
        <v>58</v>
      </c>
      <c r="S182" s="15" t="s">
        <v>169</v>
      </c>
      <c r="T182" s="15" t="s">
        <v>179</v>
      </c>
      <c r="U182" s="15" t="s">
        <v>578</v>
      </c>
      <c r="V182" s="73">
        <v>58</v>
      </c>
      <c r="W182" s="16">
        <f t="shared" si="40"/>
        <v>58</v>
      </c>
      <c r="X182" s="15">
        <f t="shared" si="41"/>
        <v>58</v>
      </c>
      <c r="Y182" s="15">
        <f>ROUNDDOWN(W182/HLOOKUP(D182,Table!$C$3:$D$4,2,0)*8,2)</f>
        <v>1.03</v>
      </c>
      <c r="Z182" s="15">
        <f>Y182</f>
        <v>1.03</v>
      </c>
      <c r="AA182" s="15" t="s">
        <v>21</v>
      </c>
      <c r="AB182" s="19">
        <v>44071</v>
      </c>
      <c r="AC182" s="19">
        <v>44070</v>
      </c>
      <c r="AD182" s="19">
        <v>44071</v>
      </c>
      <c r="AE182" s="19">
        <v>44070</v>
      </c>
      <c r="AF182" s="19">
        <v>44070</v>
      </c>
      <c r="AG182" s="19" t="s">
        <v>155</v>
      </c>
      <c r="AH182" s="30">
        <v>1</v>
      </c>
      <c r="AI182" s="30">
        <v>1</v>
      </c>
      <c r="AJ182" s="30">
        <v>1</v>
      </c>
      <c r="AK182" s="19" t="s">
        <v>140</v>
      </c>
      <c r="AL182" s="17" t="s">
        <v>58</v>
      </c>
      <c r="AM182" s="17" t="s">
        <v>58</v>
      </c>
      <c r="AN182" s="17" t="s">
        <v>58</v>
      </c>
    </row>
    <row r="183" spans="2:40">
      <c r="B183" s="146">
        <f t="shared" si="38"/>
        <v>124</v>
      </c>
      <c r="C183" s="16">
        <v>20200827</v>
      </c>
      <c r="D183" s="73" t="s">
        <v>3</v>
      </c>
      <c r="E183" s="73" t="s">
        <v>1270</v>
      </c>
      <c r="F183" s="225" t="s">
        <v>1307</v>
      </c>
      <c r="G183" s="73">
        <v>1646443</v>
      </c>
      <c r="H183" s="47" t="s">
        <v>58</v>
      </c>
      <c r="I183" s="73" t="s">
        <v>1283</v>
      </c>
      <c r="J183" s="47" t="s">
        <v>58</v>
      </c>
      <c r="K183" s="15" t="s">
        <v>192</v>
      </c>
      <c r="L183" s="73" t="s">
        <v>1300</v>
      </c>
      <c r="M183" s="15" t="s">
        <v>1287</v>
      </c>
      <c r="N183" s="73" t="s">
        <v>526</v>
      </c>
      <c r="O183" s="17" t="s">
        <v>58</v>
      </c>
      <c r="P183" s="72" t="s">
        <v>1298</v>
      </c>
      <c r="Q183" s="18"/>
      <c r="R183" s="47" t="s">
        <v>58</v>
      </c>
      <c r="S183" s="15" t="s">
        <v>169</v>
      </c>
      <c r="T183" s="15" t="s">
        <v>179</v>
      </c>
      <c r="U183" s="15" t="s">
        <v>578</v>
      </c>
      <c r="V183" s="73">
        <v>33</v>
      </c>
      <c r="W183" s="16">
        <f t="shared" si="40"/>
        <v>33</v>
      </c>
      <c r="X183" s="15">
        <f t="shared" si="41"/>
        <v>33</v>
      </c>
      <c r="Y183" s="15">
        <f>ROUNDDOWN(W183/HLOOKUP(D183,Table!$C$3:$D$4,2,0)*8,2)</f>
        <v>0.57999999999999996</v>
      </c>
      <c r="Z183" s="15">
        <v>0.5</v>
      </c>
      <c r="AA183" s="15" t="s">
        <v>21</v>
      </c>
      <c r="AB183" s="19">
        <v>44071</v>
      </c>
      <c r="AC183" s="19">
        <v>44070</v>
      </c>
      <c r="AD183" s="19">
        <v>44071</v>
      </c>
      <c r="AE183" s="19">
        <v>44070</v>
      </c>
      <c r="AF183" s="19">
        <v>44070</v>
      </c>
      <c r="AG183" s="19" t="s">
        <v>155</v>
      </c>
      <c r="AH183" s="30">
        <v>1</v>
      </c>
      <c r="AI183" s="30">
        <v>1</v>
      </c>
      <c r="AJ183" s="30">
        <v>1</v>
      </c>
      <c r="AK183" s="19" t="s">
        <v>140</v>
      </c>
      <c r="AL183" s="17" t="s">
        <v>58</v>
      </c>
      <c r="AM183" s="17" t="s">
        <v>58</v>
      </c>
      <c r="AN183" s="17" t="s">
        <v>58</v>
      </c>
    </row>
    <row r="184" spans="2:40">
      <c r="B184" s="146">
        <f t="shared" si="38"/>
        <v>125</v>
      </c>
      <c r="C184" s="16">
        <v>20200827</v>
      </c>
      <c r="D184" s="73" t="s">
        <v>3</v>
      </c>
      <c r="E184" s="73" t="s">
        <v>1270</v>
      </c>
      <c r="F184" s="225" t="s">
        <v>1310</v>
      </c>
      <c r="G184" s="73">
        <v>1646443</v>
      </c>
      <c r="H184" s="47" t="s">
        <v>58</v>
      </c>
      <c r="I184" s="73" t="s">
        <v>1283</v>
      </c>
      <c r="J184" s="47" t="s">
        <v>58</v>
      </c>
      <c r="K184" s="15" t="s">
        <v>192</v>
      </c>
      <c r="L184" s="73" t="s">
        <v>1300</v>
      </c>
      <c r="M184" s="15" t="s">
        <v>1287</v>
      </c>
      <c r="N184" s="73" t="s">
        <v>526</v>
      </c>
      <c r="O184" s="17" t="s">
        <v>58</v>
      </c>
      <c r="P184" s="72" t="s">
        <v>1298</v>
      </c>
      <c r="Q184" s="18"/>
      <c r="R184" s="47" t="s">
        <v>58</v>
      </c>
      <c r="S184" s="15" t="s">
        <v>169</v>
      </c>
      <c r="T184" s="15" t="s">
        <v>179</v>
      </c>
      <c r="U184" s="15" t="s">
        <v>578</v>
      </c>
      <c r="V184" s="73">
        <v>33</v>
      </c>
      <c r="W184" s="16">
        <f t="shared" si="40"/>
        <v>33</v>
      </c>
      <c r="X184" s="15">
        <f t="shared" si="41"/>
        <v>33</v>
      </c>
      <c r="Y184" s="15">
        <f>ROUNDDOWN(W184/HLOOKUP(D184,Table!$C$3:$D$4,2,0)*8,2)</f>
        <v>0.57999999999999996</v>
      </c>
      <c r="Z184" s="15">
        <v>0.5</v>
      </c>
      <c r="AA184" s="15" t="s">
        <v>21</v>
      </c>
      <c r="AB184" s="19">
        <v>44071</v>
      </c>
      <c r="AC184" s="19">
        <v>44070</v>
      </c>
      <c r="AD184" s="19">
        <v>44071</v>
      </c>
      <c r="AE184" s="19">
        <v>44070</v>
      </c>
      <c r="AF184" s="19">
        <v>44070</v>
      </c>
      <c r="AG184" s="19" t="s">
        <v>155</v>
      </c>
      <c r="AH184" s="30">
        <v>1</v>
      </c>
      <c r="AI184" s="30">
        <v>1</v>
      </c>
      <c r="AJ184" s="30">
        <v>1</v>
      </c>
      <c r="AK184" s="19" t="s">
        <v>140</v>
      </c>
      <c r="AL184" s="17" t="s">
        <v>58</v>
      </c>
      <c r="AM184" s="17" t="s">
        <v>58</v>
      </c>
      <c r="AN184" s="17" t="s">
        <v>58</v>
      </c>
    </row>
    <row r="185" spans="2:40">
      <c r="B185" s="146">
        <f t="shared" si="38"/>
        <v>126</v>
      </c>
      <c r="C185" s="16">
        <v>20200827</v>
      </c>
      <c r="D185" s="73" t="s">
        <v>3</v>
      </c>
      <c r="E185" s="73" t="s">
        <v>1271</v>
      </c>
      <c r="F185" s="225" t="s">
        <v>1311</v>
      </c>
      <c r="G185" s="73">
        <v>1646935</v>
      </c>
      <c r="H185" s="47" t="s">
        <v>58</v>
      </c>
      <c r="I185" s="73" t="s">
        <v>638</v>
      </c>
      <c r="J185" s="47" t="s">
        <v>58</v>
      </c>
      <c r="K185" s="15" t="s">
        <v>192</v>
      </c>
      <c r="L185" s="73" t="s">
        <v>1301</v>
      </c>
      <c r="M185" s="15" t="s">
        <v>1288</v>
      </c>
      <c r="N185" s="73" t="s">
        <v>646</v>
      </c>
      <c r="O185" s="17" t="s">
        <v>58</v>
      </c>
      <c r="P185" s="72" t="s">
        <v>650</v>
      </c>
      <c r="Q185" s="18"/>
      <c r="R185" s="47" t="s">
        <v>58</v>
      </c>
      <c r="S185" s="15" t="s">
        <v>169</v>
      </c>
      <c r="T185" s="15" t="s">
        <v>179</v>
      </c>
      <c r="U185" s="15" t="s">
        <v>578</v>
      </c>
      <c r="V185" s="73">
        <v>117</v>
      </c>
      <c r="W185" s="16">
        <f t="shared" si="40"/>
        <v>117</v>
      </c>
      <c r="X185" s="15">
        <f t="shared" si="41"/>
        <v>117</v>
      </c>
      <c r="Y185" s="15">
        <f>ROUNDDOWN(W185/HLOOKUP(D185,Table!$C$3:$D$4,2,0)*8,2)</f>
        <v>2.08</v>
      </c>
      <c r="Z185" s="15">
        <v>2</v>
      </c>
      <c r="AA185" s="15" t="s">
        <v>21</v>
      </c>
      <c r="AB185" s="19">
        <v>44071</v>
      </c>
      <c r="AC185" s="19">
        <v>44070</v>
      </c>
      <c r="AD185" s="19">
        <v>44071</v>
      </c>
      <c r="AE185" s="19">
        <v>44070</v>
      </c>
      <c r="AF185" s="19">
        <v>44070</v>
      </c>
      <c r="AG185" s="19" t="s">
        <v>155</v>
      </c>
      <c r="AH185" s="30">
        <v>1</v>
      </c>
      <c r="AI185" s="30">
        <v>1</v>
      </c>
      <c r="AJ185" s="30">
        <v>1</v>
      </c>
      <c r="AK185" s="19" t="s">
        <v>140</v>
      </c>
      <c r="AL185" s="17" t="s">
        <v>58</v>
      </c>
      <c r="AM185" s="17" t="s">
        <v>58</v>
      </c>
      <c r="AN185" s="17" t="s">
        <v>58</v>
      </c>
    </row>
    <row r="186" spans="2:40">
      <c r="B186" s="146">
        <f t="shared" si="38"/>
        <v>127</v>
      </c>
      <c r="C186" s="16">
        <v>20200827</v>
      </c>
      <c r="D186" s="73" t="s">
        <v>3</v>
      </c>
      <c r="E186" s="73" t="s">
        <v>1271</v>
      </c>
      <c r="F186" s="225" t="s">
        <v>1312</v>
      </c>
      <c r="G186" s="73">
        <v>1646935</v>
      </c>
      <c r="H186" s="47" t="s">
        <v>58</v>
      </c>
      <c r="I186" s="73" t="s">
        <v>639</v>
      </c>
      <c r="J186" s="47" t="s">
        <v>58</v>
      </c>
      <c r="K186" s="15" t="s">
        <v>192</v>
      </c>
      <c r="L186" s="73" t="s">
        <v>1301</v>
      </c>
      <c r="M186" s="15" t="s">
        <v>1288</v>
      </c>
      <c r="N186" s="73" t="s">
        <v>646</v>
      </c>
      <c r="O186" s="17" t="s">
        <v>58</v>
      </c>
      <c r="P186" s="72" t="s">
        <v>650</v>
      </c>
      <c r="Q186" s="18"/>
      <c r="R186" s="47" t="s">
        <v>58</v>
      </c>
      <c r="S186" s="15" t="s">
        <v>169</v>
      </c>
      <c r="T186" s="15" t="s">
        <v>179</v>
      </c>
      <c r="U186" s="15" t="s">
        <v>578</v>
      </c>
      <c r="V186" s="73">
        <v>191</v>
      </c>
      <c r="W186" s="16">
        <f t="shared" si="40"/>
        <v>191</v>
      </c>
      <c r="X186" s="15">
        <f t="shared" si="41"/>
        <v>191</v>
      </c>
      <c r="Y186" s="15">
        <f>ROUNDDOWN(W186/HLOOKUP(D186,Table!$C$3:$D$4,2,0)*8,2)</f>
        <v>3.39</v>
      </c>
      <c r="Z186" s="15">
        <f>2</f>
        <v>2</v>
      </c>
      <c r="AA186" s="15" t="s">
        <v>21</v>
      </c>
      <c r="AB186" s="19">
        <v>44071</v>
      </c>
      <c r="AC186" s="19">
        <v>44070</v>
      </c>
      <c r="AD186" s="19">
        <v>44071</v>
      </c>
      <c r="AE186" s="19">
        <v>44070</v>
      </c>
      <c r="AF186" s="19">
        <v>44070</v>
      </c>
      <c r="AG186" s="19" t="s">
        <v>155</v>
      </c>
      <c r="AH186" s="30">
        <v>1</v>
      </c>
      <c r="AI186" s="30">
        <v>1</v>
      </c>
      <c r="AJ186" s="30">
        <v>1</v>
      </c>
      <c r="AK186" s="19" t="s">
        <v>140</v>
      </c>
      <c r="AL186" s="17" t="s">
        <v>58</v>
      </c>
      <c r="AM186" s="17" t="s">
        <v>58</v>
      </c>
      <c r="AN186" s="17" t="s">
        <v>58</v>
      </c>
    </row>
    <row r="187" spans="2:40">
      <c r="B187" s="243">
        <f t="shared" ref="B187:B201" si="42">B186+1</f>
        <v>128</v>
      </c>
      <c r="C187" s="16">
        <v>20200831</v>
      </c>
      <c r="D187" s="73" t="s">
        <v>3</v>
      </c>
      <c r="E187" s="73" t="s">
        <v>1363</v>
      </c>
      <c r="F187" s="72" t="s">
        <v>1381</v>
      </c>
      <c r="G187" s="73">
        <v>1649191</v>
      </c>
      <c r="H187" s="47" t="s">
        <v>58</v>
      </c>
      <c r="I187" s="73" t="s">
        <v>1367</v>
      </c>
      <c r="J187" s="47" t="s">
        <v>58</v>
      </c>
      <c r="K187" s="15" t="s">
        <v>192</v>
      </c>
      <c r="L187" s="73" t="s">
        <v>1375</v>
      </c>
      <c r="M187" s="73" t="s">
        <v>1374</v>
      </c>
      <c r="N187" s="73" t="s">
        <v>1383</v>
      </c>
      <c r="O187" s="17" t="s">
        <v>58</v>
      </c>
      <c r="P187" s="72" t="s">
        <v>1166</v>
      </c>
      <c r="Q187" s="18"/>
      <c r="R187" s="47" t="s">
        <v>58</v>
      </c>
      <c r="S187" s="15" t="s">
        <v>64</v>
      </c>
      <c r="T187" s="15" t="s">
        <v>169</v>
      </c>
      <c r="U187" s="15" t="s">
        <v>578</v>
      </c>
      <c r="V187" s="73">
        <v>294</v>
      </c>
      <c r="W187" s="212">
        <f t="shared" ref="W187:X189" si="43">V187</f>
        <v>294</v>
      </c>
      <c r="X187" s="15">
        <f t="shared" si="43"/>
        <v>294</v>
      </c>
      <c r="Y187" s="15">
        <f>ROUNDDOWN(W187/HLOOKUP(D187,Table!$C$3:$D$4,2,0)*8,2)</f>
        <v>5.22</v>
      </c>
      <c r="Z187" s="15">
        <v>5</v>
      </c>
      <c r="AA187" s="15" t="s">
        <v>21</v>
      </c>
      <c r="AB187" s="19">
        <v>44077</v>
      </c>
      <c r="AC187" s="19">
        <v>44074</v>
      </c>
      <c r="AD187" s="244">
        <v>44077</v>
      </c>
      <c r="AE187" s="19">
        <v>44075</v>
      </c>
      <c r="AF187" s="19">
        <v>44075</v>
      </c>
      <c r="AG187" s="19" t="s">
        <v>155</v>
      </c>
      <c r="AH187" s="30">
        <v>1</v>
      </c>
      <c r="AI187" s="30">
        <v>1</v>
      </c>
      <c r="AJ187" s="30">
        <v>1</v>
      </c>
      <c r="AK187" s="19" t="s">
        <v>140</v>
      </c>
      <c r="AL187" s="17" t="s">
        <v>58</v>
      </c>
      <c r="AM187" s="17" t="s">
        <v>58</v>
      </c>
      <c r="AN187" s="17" t="s">
        <v>58</v>
      </c>
    </row>
    <row r="188" spans="2:40">
      <c r="B188" s="243">
        <f t="shared" si="42"/>
        <v>129</v>
      </c>
      <c r="C188" s="16">
        <v>20200831</v>
      </c>
      <c r="D188" s="73" t="s">
        <v>3</v>
      </c>
      <c r="E188" s="73" t="s">
        <v>1364</v>
      </c>
      <c r="F188" s="72" t="s">
        <v>1382</v>
      </c>
      <c r="G188" s="73">
        <v>1651395</v>
      </c>
      <c r="H188" s="47" t="s">
        <v>58</v>
      </c>
      <c r="I188" s="73" t="s">
        <v>1368</v>
      </c>
      <c r="J188" s="47" t="s">
        <v>58</v>
      </c>
      <c r="K188" s="15" t="s">
        <v>192</v>
      </c>
      <c r="L188" s="73" t="s">
        <v>1376</v>
      </c>
      <c r="M188" s="73" t="s">
        <v>1373</v>
      </c>
      <c r="N188" s="73" t="s">
        <v>1227</v>
      </c>
      <c r="O188" s="17" t="s">
        <v>58</v>
      </c>
      <c r="P188" s="72" t="s">
        <v>1379</v>
      </c>
      <c r="Q188" s="18"/>
      <c r="R188" s="47" t="s">
        <v>58</v>
      </c>
      <c r="S188" s="15" t="s">
        <v>64</v>
      </c>
      <c r="T188" s="15" t="s">
        <v>169</v>
      </c>
      <c r="U188" s="15" t="s">
        <v>578</v>
      </c>
      <c r="V188" s="73">
        <v>254</v>
      </c>
      <c r="W188" s="212">
        <f t="shared" si="43"/>
        <v>254</v>
      </c>
      <c r="X188" s="15">
        <f t="shared" si="43"/>
        <v>254</v>
      </c>
      <c r="Y188" s="15">
        <f>ROUNDDOWN(W188/HLOOKUP(D188,Table!$C$3:$D$4,2,0)*8,2)</f>
        <v>4.51</v>
      </c>
      <c r="Z188" s="15">
        <v>5</v>
      </c>
      <c r="AA188" s="15" t="s">
        <v>21</v>
      </c>
      <c r="AB188" s="19">
        <v>44074</v>
      </c>
      <c r="AC188" s="19">
        <v>44074</v>
      </c>
      <c r="AD188" s="77">
        <v>44074</v>
      </c>
      <c r="AE188" s="19">
        <v>44074</v>
      </c>
      <c r="AF188" s="19">
        <v>44074</v>
      </c>
      <c r="AG188" s="19" t="s">
        <v>155</v>
      </c>
      <c r="AH188" s="30">
        <v>1</v>
      </c>
      <c r="AI188" s="30">
        <v>1</v>
      </c>
      <c r="AJ188" s="30">
        <v>1</v>
      </c>
      <c r="AK188" s="19" t="s">
        <v>140</v>
      </c>
      <c r="AL188" s="17" t="s">
        <v>58</v>
      </c>
      <c r="AM188" s="17" t="s">
        <v>58</v>
      </c>
      <c r="AN188" s="17" t="s">
        <v>58</v>
      </c>
    </row>
    <row r="189" spans="2:40">
      <c r="B189" s="243">
        <f t="shared" si="42"/>
        <v>130</v>
      </c>
      <c r="C189" s="16">
        <v>20200831</v>
      </c>
      <c r="D189" s="73" t="s">
        <v>2</v>
      </c>
      <c r="E189" s="73" t="s">
        <v>1268</v>
      </c>
      <c r="F189" s="72" t="s">
        <v>58</v>
      </c>
      <c r="G189" s="73">
        <v>1651640</v>
      </c>
      <c r="H189" s="47" t="s">
        <v>58</v>
      </c>
      <c r="I189" s="73" t="s">
        <v>1369</v>
      </c>
      <c r="J189" s="47" t="s">
        <v>58</v>
      </c>
      <c r="K189" s="15" t="s">
        <v>192</v>
      </c>
      <c r="L189" s="73" t="s">
        <v>140</v>
      </c>
      <c r="M189" s="73" t="s">
        <v>1285</v>
      </c>
      <c r="N189" s="73" t="s">
        <v>1293</v>
      </c>
      <c r="O189" s="72" t="s">
        <v>1378</v>
      </c>
      <c r="P189" s="72" t="s">
        <v>1297</v>
      </c>
      <c r="Q189" s="18"/>
      <c r="R189" s="47" t="s">
        <v>58</v>
      </c>
      <c r="S189" s="15" t="s">
        <v>179</v>
      </c>
      <c r="T189" s="15" t="s">
        <v>168</v>
      </c>
      <c r="U189" s="15" t="s">
        <v>578</v>
      </c>
      <c r="V189" s="73">
        <v>47</v>
      </c>
      <c r="W189" s="16">
        <f t="shared" si="43"/>
        <v>47</v>
      </c>
      <c r="X189" s="15">
        <f t="shared" si="43"/>
        <v>47</v>
      </c>
      <c r="Y189" s="15">
        <f>ROUNDDOWN(W189/HLOOKUP(D189,Table!$C$3:$D$4,2,0)*8,2)</f>
        <v>2.89</v>
      </c>
      <c r="Z189" s="15">
        <v>2</v>
      </c>
      <c r="AA189" s="15" t="s">
        <v>21</v>
      </c>
      <c r="AB189" s="19">
        <v>44077</v>
      </c>
      <c r="AC189" s="19">
        <v>44074</v>
      </c>
      <c r="AD189" s="244">
        <v>44077</v>
      </c>
      <c r="AE189" s="19">
        <v>44075</v>
      </c>
      <c r="AF189" s="19">
        <v>44075</v>
      </c>
      <c r="AG189" s="19" t="s">
        <v>156</v>
      </c>
      <c r="AH189" s="30">
        <v>0.91700000000000004</v>
      </c>
      <c r="AI189" s="30">
        <v>0.91700000000000004</v>
      </c>
      <c r="AJ189" s="30">
        <v>1</v>
      </c>
      <c r="AK189" s="19" t="s">
        <v>130</v>
      </c>
      <c r="AL189" s="17" t="s">
        <v>1467</v>
      </c>
      <c r="AM189" s="17" t="s">
        <v>58</v>
      </c>
      <c r="AN189" s="17" t="s">
        <v>1507</v>
      </c>
    </row>
    <row r="190" spans="2:40">
      <c r="B190" s="243">
        <f t="shared" si="42"/>
        <v>131</v>
      </c>
      <c r="C190" s="16">
        <v>20200831</v>
      </c>
      <c r="D190" s="73" t="s">
        <v>3</v>
      </c>
      <c r="E190" s="73" t="s">
        <v>1365</v>
      </c>
      <c r="F190" s="225" t="s">
        <v>1391</v>
      </c>
      <c r="G190" s="73">
        <v>1651917</v>
      </c>
      <c r="H190" s="47" t="s">
        <v>58</v>
      </c>
      <c r="I190" s="73" t="s">
        <v>1370</v>
      </c>
      <c r="J190" s="47" t="s">
        <v>58</v>
      </c>
      <c r="K190" s="15" t="s">
        <v>192</v>
      </c>
      <c r="L190" s="73" t="s">
        <v>532</v>
      </c>
      <c r="M190" s="73" t="s">
        <v>1371</v>
      </c>
      <c r="N190" s="73" t="s">
        <v>526</v>
      </c>
      <c r="O190" s="17" t="s">
        <v>58</v>
      </c>
      <c r="P190" s="72" t="s">
        <v>523</v>
      </c>
      <c r="Q190" s="18"/>
      <c r="R190" s="47" t="s">
        <v>58</v>
      </c>
      <c r="S190" s="15" t="s">
        <v>169</v>
      </c>
      <c r="T190" s="15" t="s">
        <v>179</v>
      </c>
      <c r="U190" s="15" t="s">
        <v>578</v>
      </c>
      <c r="V190" s="73">
        <v>57</v>
      </c>
      <c r="W190" s="16">
        <v>0</v>
      </c>
      <c r="X190" s="15">
        <v>0</v>
      </c>
      <c r="Y190" s="15">
        <f>ROUNDDOWN(W190/HLOOKUP(D190,Table!$C$3:$D$4,2,0)*8,2)</f>
        <v>0</v>
      </c>
      <c r="Z190" s="15">
        <v>0</v>
      </c>
      <c r="AA190" s="15" t="s">
        <v>21</v>
      </c>
      <c r="AB190" s="19">
        <v>44074</v>
      </c>
      <c r="AC190" s="19">
        <v>44074</v>
      </c>
      <c r="AD190" s="77">
        <v>44075</v>
      </c>
      <c r="AE190" s="19">
        <v>44074</v>
      </c>
      <c r="AF190" s="19">
        <v>44074</v>
      </c>
      <c r="AG190" s="19" t="s">
        <v>155</v>
      </c>
      <c r="AH190" s="30" t="s">
        <v>58</v>
      </c>
      <c r="AI190" s="30" t="s">
        <v>58</v>
      </c>
      <c r="AJ190" s="30" t="s">
        <v>58</v>
      </c>
      <c r="AK190" s="19" t="s">
        <v>140</v>
      </c>
      <c r="AL190" s="17" t="s">
        <v>58</v>
      </c>
      <c r="AM190" s="17" t="s">
        <v>58</v>
      </c>
      <c r="AN190" s="237" t="s">
        <v>1244</v>
      </c>
    </row>
    <row r="191" spans="2:40">
      <c r="B191" s="243">
        <f t="shared" si="42"/>
        <v>132</v>
      </c>
      <c r="C191" s="16">
        <v>20200831</v>
      </c>
      <c r="D191" s="73" t="s">
        <v>3</v>
      </c>
      <c r="E191" s="73" t="s">
        <v>1365</v>
      </c>
      <c r="F191" s="225" t="s">
        <v>1394</v>
      </c>
      <c r="G191" s="73">
        <v>1651917</v>
      </c>
      <c r="H191" s="47" t="s">
        <v>58</v>
      </c>
      <c r="I191" s="73" t="s">
        <v>489</v>
      </c>
      <c r="J191" s="47" t="s">
        <v>58</v>
      </c>
      <c r="K191" s="15" t="s">
        <v>192</v>
      </c>
      <c r="L191" s="73" t="s">
        <v>532</v>
      </c>
      <c r="M191" s="73" t="s">
        <v>1371</v>
      </c>
      <c r="N191" s="73" t="s">
        <v>526</v>
      </c>
      <c r="O191" s="17" t="s">
        <v>58</v>
      </c>
      <c r="P191" s="72" t="s">
        <v>523</v>
      </c>
      <c r="Q191" s="18"/>
      <c r="R191" s="47" t="s">
        <v>58</v>
      </c>
      <c r="S191" s="15" t="s">
        <v>169</v>
      </c>
      <c r="T191" s="15" t="s">
        <v>179</v>
      </c>
      <c r="U191" s="15" t="s">
        <v>578</v>
      </c>
      <c r="V191" s="73">
        <v>70</v>
      </c>
      <c r="W191" s="136">
        <v>275</v>
      </c>
      <c r="X191" s="15">
        <f t="shared" ref="X191:X199" si="44">W191</f>
        <v>275</v>
      </c>
      <c r="Y191" s="15">
        <f>ROUNDDOWN(W191/HLOOKUP(D191,Table!$C$3:$D$4,2,0)*8,2)</f>
        <v>4.88</v>
      </c>
      <c r="Z191" s="15">
        <v>3</v>
      </c>
      <c r="AA191" s="15" t="s">
        <v>21</v>
      </c>
      <c r="AB191" s="19">
        <v>44074</v>
      </c>
      <c r="AC191" s="19">
        <v>44074</v>
      </c>
      <c r="AD191" s="77">
        <v>44075</v>
      </c>
      <c r="AE191" s="19">
        <v>44074</v>
      </c>
      <c r="AF191" s="19">
        <v>44074</v>
      </c>
      <c r="AG191" s="19" t="s">
        <v>155</v>
      </c>
      <c r="AH191" s="30">
        <v>1</v>
      </c>
      <c r="AI191" s="30">
        <v>1</v>
      </c>
      <c r="AJ191" s="30">
        <v>1</v>
      </c>
      <c r="AK191" s="19" t="s">
        <v>140</v>
      </c>
      <c r="AL191" s="17" t="s">
        <v>58</v>
      </c>
      <c r="AM191" s="17" t="s">
        <v>58</v>
      </c>
      <c r="AN191" s="17" t="s">
        <v>58</v>
      </c>
    </row>
    <row r="192" spans="2:40">
      <c r="B192" s="243">
        <f t="shared" si="42"/>
        <v>133</v>
      </c>
      <c r="C192" s="16">
        <v>20200831</v>
      </c>
      <c r="D192" s="73" t="s">
        <v>3</v>
      </c>
      <c r="E192" s="73" t="s">
        <v>1365</v>
      </c>
      <c r="F192" s="225" t="s">
        <v>1395</v>
      </c>
      <c r="G192" s="73">
        <v>1651917</v>
      </c>
      <c r="H192" s="47" t="s">
        <v>58</v>
      </c>
      <c r="I192" s="73" t="s">
        <v>1103</v>
      </c>
      <c r="J192" s="47" t="s">
        <v>58</v>
      </c>
      <c r="K192" s="15" t="s">
        <v>192</v>
      </c>
      <c r="L192" s="73" t="s">
        <v>532</v>
      </c>
      <c r="M192" s="73" t="s">
        <v>1371</v>
      </c>
      <c r="N192" s="73" t="s">
        <v>526</v>
      </c>
      <c r="O192" s="17" t="s">
        <v>58</v>
      </c>
      <c r="P192" s="72" t="s">
        <v>523</v>
      </c>
      <c r="Q192" s="18"/>
      <c r="R192" s="47" t="s">
        <v>58</v>
      </c>
      <c r="S192" s="15" t="s">
        <v>169</v>
      </c>
      <c r="T192" s="15" t="s">
        <v>179</v>
      </c>
      <c r="U192" s="15" t="s">
        <v>578</v>
      </c>
      <c r="V192" s="73">
        <v>140</v>
      </c>
      <c r="W192" s="136">
        <v>235</v>
      </c>
      <c r="X192" s="15">
        <f t="shared" si="44"/>
        <v>235</v>
      </c>
      <c r="Y192" s="15">
        <f>ROUNDDOWN(W192/HLOOKUP(D192,Table!$C$3:$D$4,2,0)*8,2)</f>
        <v>4.17</v>
      </c>
      <c r="Z192" s="15">
        <v>3</v>
      </c>
      <c r="AA192" s="15" t="s">
        <v>21</v>
      </c>
      <c r="AB192" s="19">
        <v>44074</v>
      </c>
      <c r="AC192" s="19">
        <v>44074</v>
      </c>
      <c r="AD192" s="77">
        <v>44075</v>
      </c>
      <c r="AE192" s="19">
        <v>44074</v>
      </c>
      <c r="AF192" s="19">
        <v>44074</v>
      </c>
      <c r="AG192" s="19" t="s">
        <v>155</v>
      </c>
      <c r="AH192" s="30">
        <v>1</v>
      </c>
      <c r="AI192" s="30">
        <v>1</v>
      </c>
      <c r="AJ192" s="30">
        <v>1</v>
      </c>
      <c r="AK192" s="19" t="s">
        <v>140</v>
      </c>
      <c r="AL192" s="17" t="s">
        <v>58</v>
      </c>
      <c r="AM192" s="17" t="s">
        <v>58</v>
      </c>
      <c r="AN192" s="17" t="s">
        <v>58</v>
      </c>
    </row>
    <row r="193" spans="2:40">
      <c r="B193" s="243">
        <f t="shared" si="42"/>
        <v>134</v>
      </c>
      <c r="C193" s="16">
        <v>20200831</v>
      </c>
      <c r="D193" s="73" t="s">
        <v>3</v>
      </c>
      <c r="E193" s="73" t="s">
        <v>1366</v>
      </c>
      <c r="F193" s="225" t="s">
        <v>1389</v>
      </c>
      <c r="G193" s="73">
        <v>1652594</v>
      </c>
      <c r="H193" s="47" t="s">
        <v>58</v>
      </c>
      <c r="I193" s="73" t="s">
        <v>490</v>
      </c>
      <c r="J193" s="47" t="s">
        <v>58</v>
      </c>
      <c r="K193" s="15" t="s">
        <v>192</v>
      </c>
      <c r="L193" s="73" t="s">
        <v>1377</v>
      </c>
      <c r="M193" s="73" t="s">
        <v>1372</v>
      </c>
      <c r="N193" s="73" t="s">
        <v>1292</v>
      </c>
      <c r="O193" s="17" t="s">
        <v>58</v>
      </c>
      <c r="P193" s="72" t="s">
        <v>1380</v>
      </c>
      <c r="Q193" s="18"/>
      <c r="R193" s="47" t="s">
        <v>58</v>
      </c>
      <c r="S193" s="15" t="s">
        <v>167</v>
      </c>
      <c r="T193" s="15" t="s">
        <v>64</v>
      </c>
      <c r="U193" s="15" t="s">
        <v>578</v>
      </c>
      <c r="V193" s="73">
        <v>135</v>
      </c>
      <c r="W193" s="16">
        <f>V193</f>
        <v>135</v>
      </c>
      <c r="X193" s="15">
        <f t="shared" si="44"/>
        <v>135</v>
      </c>
      <c r="Y193" s="15">
        <f>ROUNDDOWN(W193/HLOOKUP(D193,Table!$C$3:$D$4,2,0)*8,2)</f>
        <v>2.4</v>
      </c>
      <c r="Z193" s="15">
        <f>Y193</f>
        <v>2.4</v>
      </c>
      <c r="AA193" s="15" t="s">
        <v>21</v>
      </c>
      <c r="AB193" s="19">
        <v>44077</v>
      </c>
      <c r="AC193" s="19">
        <v>44074</v>
      </c>
      <c r="AD193" s="244">
        <v>44077</v>
      </c>
      <c r="AE193" s="19">
        <v>44074</v>
      </c>
      <c r="AF193" s="19">
        <v>44074</v>
      </c>
      <c r="AG193" s="19" t="s">
        <v>155</v>
      </c>
      <c r="AH193" s="30">
        <v>1</v>
      </c>
      <c r="AI193" s="30">
        <v>1</v>
      </c>
      <c r="AJ193" s="30">
        <v>1</v>
      </c>
      <c r="AK193" s="19" t="s">
        <v>140</v>
      </c>
      <c r="AL193" s="17" t="s">
        <v>58</v>
      </c>
      <c r="AM193" s="17" t="s">
        <v>58</v>
      </c>
      <c r="AN193" s="17" t="s">
        <v>58</v>
      </c>
    </row>
    <row r="194" spans="2:40">
      <c r="B194" s="243">
        <f t="shared" si="42"/>
        <v>135</v>
      </c>
      <c r="C194" s="16">
        <v>20200831</v>
      </c>
      <c r="D194" s="73" t="s">
        <v>3</v>
      </c>
      <c r="E194" s="73" t="s">
        <v>1366</v>
      </c>
      <c r="F194" s="225" t="s">
        <v>1477</v>
      </c>
      <c r="G194" s="73">
        <v>1652594</v>
      </c>
      <c r="H194" s="47" t="s">
        <v>58</v>
      </c>
      <c r="I194" s="73" t="s">
        <v>1162</v>
      </c>
      <c r="J194" s="47" t="s">
        <v>58</v>
      </c>
      <c r="K194" s="15" t="s">
        <v>192</v>
      </c>
      <c r="L194" s="73" t="s">
        <v>1377</v>
      </c>
      <c r="M194" s="73" t="s">
        <v>1372</v>
      </c>
      <c r="N194" s="73" t="s">
        <v>1292</v>
      </c>
      <c r="O194" s="17" t="s">
        <v>58</v>
      </c>
      <c r="P194" s="72" t="s">
        <v>1380</v>
      </c>
      <c r="Q194" s="18"/>
      <c r="R194" s="47" t="s">
        <v>58</v>
      </c>
      <c r="S194" s="15" t="s">
        <v>168</v>
      </c>
      <c r="T194" s="15" t="s">
        <v>179</v>
      </c>
      <c r="U194" s="15" t="s">
        <v>578</v>
      </c>
      <c r="V194" s="73">
        <v>397</v>
      </c>
      <c r="W194" s="16">
        <f>V194</f>
        <v>397</v>
      </c>
      <c r="X194" s="15">
        <f t="shared" si="44"/>
        <v>397</v>
      </c>
      <c r="Y194" s="15">
        <f>ROUNDDOWN(W194/HLOOKUP(D194,Table!$C$3:$D$4,2,0)*8,2)</f>
        <v>7.05</v>
      </c>
      <c r="Z194" s="15">
        <v>4</v>
      </c>
      <c r="AA194" s="15" t="s">
        <v>21</v>
      </c>
      <c r="AB194" s="19">
        <v>44077</v>
      </c>
      <c r="AC194" s="19">
        <v>44074</v>
      </c>
      <c r="AD194" s="244">
        <v>44077</v>
      </c>
      <c r="AE194" s="19">
        <v>44074</v>
      </c>
      <c r="AF194" s="19">
        <v>44074</v>
      </c>
      <c r="AG194" s="19" t="s">
        <v>155</v>
      </c>
      <c r="AH194" s="30">
        <v>1</v>
      </c>
      <c r="AI194" s="30">
        <v>1</v>
      </c>
      <c r="AJ194" s="30">
        <v>1</v>
      </c>
      <c r="AK194" s="19" t="s">
        <v>140</v>
      </c>
      <c r="AL194" s="17" t="s">
        <v>58</v>
      </c>
      <c r="AM194" s="17" t="s">
        <v>58</v>
      </c>
      <c r="AN194" s="17" t="s">
        <v>58</v>
      </c>
    </row>
    <row r="195" spans="2:40">
      <c r="B195" s="243">
        <f t="shared" si="42"/>
        <v>136</v>
      </c>
      <c r="C195" s="16">
        <v>20200831</v>
      </c>
      <c r="D195" s="73" t="s">
        <v>3</v>
      </c>
      <c r="E195" s="73" t="s">
        <v>1366</v>
      </c>
      <c r="F195" s="225" t="s">
        <v>1390</v>
      </c>
      <c r="G195" s="73">
        <v>1652594</v>
      </c>
      <c r="H195" s="47" t="s">
        <v>58</v>
      </c>
      <c r="I195" s="73" t="s">
        <v>513</v>
      </c>
      <c r="J195" s="47" t="s">
        <v>58</v>
      </c>
      <c r="K195" s="15" t="s">
        <v>192</v>
      </c>
      <c r="L195" s="73" t="s">
        <v>1377</v>
      </c>
      <c r="M195" s="73" t="s">
        <v>1372</v>
      </c>
      <c r="N195" s="73" t="s">
        <v>1292</v>
      </c>
      <c r="O195" s="17" t="s">
        <v>58</v>
      </c>
      <c r="P195" s="72" t="s">
        <v>1380</v>
      </c>
      <c r="Q195" s="18"/>
      <c r="R195" s="47" t="s">
        <v>58</v>
      </c>
      <c r="S195" s="15" t="s">
        <v>167</v>
      </c>
      <c r="T195" s="15" t="s">
        <v>64</v>
      </c>
      <c r="U195" s="15" t="s">
        <v>578</v>
      </c>
      <c r="V195" s="73">
        <v>297</v>
      </c>
      <c r="W195" s="16">
        <f>V195</f>
        <v>297</v>
      </c>
      <c r="X195" s="15">
        <f t="shared" si="44"/>
        <v>297</v>
      </c>
      <c r="Y195" s="15">
        <f>ROUNDDOWN(W195/HLOOKUP(D195,Table!$C$3:$D$4,2,0)*8,2)</f>
        <v>5.28</v>
      </c>
      <c r="Z195" s="15">
        <f>Y195</f>
        <v>5.28</v>
      </c>
      <c r="AA195" s="15" t="s">
        <v>21</v>
      </c>
      <c r="AB195" s="19">
        <v>44077</v>
      </c>
      <c r="AC195" s="19">
        <v>44074</v>
      </c>
      <c r="AD195" s="244">
        <v>44077</v>
      </c>
      <c r="AE195" s="19">
        <v>44075</v>
      </c>
      <c r="AF195" s="19">
        <v>44075</v>
      </c>
      <c r="AG195" s="19" t="s">
        <v>155</v>
      </c>
      <c r="AH195" s="30">
        <v>1</v>
      </c>
      <c r="AI195" s="30">
        <v>1</v>
      </c>
      <c r="AJ195" s="30">
        <v>1</v>
      </c>
      <c r="AK195" s="19" t="s">
        <v>140</v>
      </c>
      <c r="AL195" s="17" t="s">
        <v>58</v>
      </c>
      <c r="AM195" s="17" t="s">
        <v>58</v>
      </c>
      <c r="AN195" s="17" t="s">
        <v>58</v>
      </c>
    </row>
    <row r="196" spans="2:40">
      <c r="B196" s="243">
        <f t="shared" si="42"/>
        <v>137</v>
      </c>
      <c r="C196" s="16">
        <v>20200831</v>
      </c>
      <c r="D196" s="73" t="s">
        <v>3</v>
      </c>
      <c r="E196" s="73" t="s">
        <v>1366</v>
      </c>
      <c r="F196" s="225" t="s">
        <v>1478</v>
      </c>
      <c r="G196" s="73">
        <v>1652594</v>
      </c>
      <c r="H196" s="47" t="s">
        <v>58</v>
      </c>
      <c r="I196" s="73" t="s">
        <v>506</v>
      </c>
      <c r="J196" s="47" t="s">
        <v>58</v>
      </c>
      <c r="K196" s="15" t="s">
        <v>192</v>
      </c>
      <c r="L196" s="73" t="s">
        <v>1377</v>
      </c>
      <c r="M196" s="73" t="s">
        <v>1372</v>
      </c>
      <c r="N196" s="73" t="s">
        <v>1292</v>
      </c>
      <c r="O196" s="17" t="s">
        <v>58</v>
      </c>
      <c r="P196" s="72" t="s">
        <v>1380</v>
      </c>
      <c r="Q196" s="18"/>
      <c r="R196" s="47" t="s">
        <v>58</v>
      </c>
      <c r="S196" s="15" t="s">
        <v>168</v>
      </c>
      <c r="T196" s="15" t="s">
        <v>179</v>
      </c>
      <c r="U196" s="15" t="s">
        <v>578</v>
      </c>
      <c r="V196" s="73">
        <v>375</v>
      </c>
      <c r="W196" s="16">
        <f>V196</f>
        <v>375</v>
      </c>
      <c r="X196" s="15">
        <f t="shared" si="44"/>
        <v>375</v>
      </c>
      <c r="Y196" s="15">
        <f>ROUNDDOWN(W196/HLOOKUP(D196,Table!$C$3:$D$4,2,0)*8,2)</f>
        <v>6.66</v>
      </c>
      <c r="Z196" s="15">
        <v>6</v>
      </c>
      <c r="AA196" s="15" t="s">
        <v>21</v>
      </c>
      <c r="AB196" s="19">
        <v>44077</v>
      </c>
      <c r="AC196" s="19">
        <v>44074</v>
      </c>
      <c r="AD196" s="244">
        <v>44077</v>
      </c>
      <c r="AE196" s="19">
        <v>44074</v>
      </c>
      <c r="AF196" s="19">
        <v>44075</v>
      </c>
      <c r="AG196" s="19" t="s">
        <v>155</v>
      </c>
      <c r="AH196" s="30">
        <v>1</v>
      </c>
      <c r="AI196" s="30">
        <v>1</v>
      </c>
      <c r="AJ196" s="30">
        <v>1</v>
      </c>
      <c r="AK196" s="19" t="s">
        <v>140</v>
      </c>
      <c r="AL196" s="17" t="s">
        <v>58</v>
      </c>
      <c r="AM196" s="17" t="s">
        <v>58</v>
      </c>
      <c r="AN196" s="17" t="s">
        <v>58</v>
      </c>
    </row>
    <row r="197" spans="2:40">
      <c r="B197" s="243">
        <f t="shared" si="42"/>
        <v>138</v>
      </c>
      <c r="C197" s="16">
        <v>20200831</v>
      </c>
      <c r="D197" s="73" t="s">
        <v>3</v>
      </c>
      <c r="E197" s="73" t="s">
        <v>1154</v>
      </c>
      <c r="F197" s="225" t="s">
        <v>1396</v>
      </c>
      <c r="G197" s="73">
        <v>1642252</v>
      </c>
      <c r="H197" s="47" t="s">
        <v>58</v>
      </c>
      <c r="I197" s="73" t="s">
        <v>491</v>
      </c>
      <c r="J197" s="47" t="s">
        <v>58</v>
      </c>
      <c r="K197" s="15" t="s">
        <v>192</v>
      </c>
      <c r="L197" s="73" t="s">
        <v>1187</v>
      </c>
      <c r="M197" s="73" t="s">
        <v>1177</v>
      </c>
      <c r="N197" s="73" t="s">
        <v>1173</v>
      </c>
      <c r="O197" s="17" t="s">
        <v>58</v>
      </c>
      <c r="P197" s="72" t="s">
        <v>1168</v>
      </c>
      <c r="Q197" s="18"/>
      <c r="R197" s="47" t="s">
        <v>58</v>
      </c>
      <c r="S197" s="15" t="s">
        <v>169</v>
      </c>
      <c r="T197" s="15" t="s">
        <v>179</v>
      </c>
      <c r="U197" s="15" t="s">
        <v>578</v>
      </c>
      <c r="V197" s="73">
        <v>124</v>
      </c>
      <c r="W197" s="136">
        <v>184</v>
      </c>
      <c r="X197" s="15">
        <f t="shared" si="44"/>
        <v>184</v>
      </c>
      <c r="Y197" s="15">
        <f>ROUNDDOWN(W197/HLOOKUP(D197,Table!$C$3:$D$4,2,0)*8,2)</f>
        <v>3.27</v>
      </c>
      <c r="Z197" s="15">
        <v>2</v>
      </c>
      <c r="AA197" s="15" t="s">
        <v>21</v>
      </c>
      <c r="AB197" s="19">
        <v>44081</v>
      </c>
      <c r="AC197" s="19">
        <v>44074</v>
      </c>
      <c r="AD197" s="244">
        <v>44081</v>
      </c>
      <c r="AE197" s="19">
        <v>44074</v>
      </c>
      <c r="AF197" s="19">
        <v>44074</v>
      </c>
      <c r="AG197" s="19" t="s">
        <v>155</v>
      </c>
      <c r="AH197" s="30">
        <v>1</v>
      </c>
      <c r="AI197" s="30">
        <v>1</v>
      </c>
      <c r="AJ197" s="30">
        <v>1</v>
      </c>
      <c r="AK197" s="19" t="s">
        <v>140</v>
      </c>
      <c r="AL197" s="17" t="s">
        <v>58</v>
      </c>
      <c r="AM197" s="17" t="s">
        <v>58</v>
      </c>
      <c r="AN197" s="17" t="s">
        <v>58</v>
      </c>
    </row>
    <row r="198" spans="2:40">
      <c r="B198" s="243">
        <f t="shared" si="42"/>
        <v>139</v>
      </c>
      <c r="C198" s="16">
        <v>20200831</v>
      </c>
      <c r="D198" s="73" t="s">
        <v>3</v>
      </c>
      <c r="E198" s="73" t="s">
        <v>1154</v>
      </c>
      <c r="F198" s="225" t="s">
        <v>1397</v>
      </c>
      <c r="G198" s="73">
        <v>1642252</v>
      </c>
      <c r="H198" s="47" t="s">
        <v>58</v>
      </c>
      <c r="I198" s="73" t="s">
        <v>495</v>
      </c>
      <c r="J198" s="47" t="s">
        <v>58</v>
      </c>
      <c r="K198" s="15" t="s">
        <v>192</v>
      </c>
      <c r="L198" s="73" t="s">
        <v>1187</v>
      </c>
      <c r="M198" s="73" t="s">
        <v>1177</v>
      </c>
      <c r="N198" s="73" t="s">
        <v>1173</v>
      </c>
      <c r="O198" s="17" t="s">
        <v>58</v>
      </c>
      <c r="P198" s="72" t="s">
        <v>1168</v>
      </c>
      <c r="Q198" s="18"/>
      <c r="R198" s="47" t="s">
        <v>58</v>
      </c>
      <c r="S198" s="15" t="s">
        <v>169</v>
      </c>
      <c r="T198" s="15" t="s">
        <v>179</v>
      </c>
      <c r="U198" s="15" t="s">
        <v>578</v>
      </c>
      <c r="V198" s="73">
        <v>66</v>
      </c>
      <c r="W198" s="136">
        <v>69</v>
      </c>
      <c r="X198" s="15">
        <f t="shared" si="44"/>
        <v>69</v>
      </c>
      <c r="Y198" s="15">
        <f>ROUNDDOWN(W198/HLOOKUP(D198,Table!$C$3:$D$4,2,0)*8,2)</f>
        <v>1.22</v>
      </c>
      <c r="Z198" s="15">
        <v>1</v>
      </c>
      <c r="AA198" s="15" t="s">
        <v>21</v>
      </c>
      <c r="AB198" s="19">
        <v>44081</v>
      </c>
      <c r="AC198" s="19">
        <v>44074</v>
      </c>
      <c r="AD198" s="244">
        <v>44081</v>
      </c>
      <c r="AE198" s="19">
        <v>44074</v>
      </c>
      <c r="AF198" s="19">
        <v>44074</v>
      </c>
      <c r="AG198" s="19" t="s">
        <v>155</v>
      </c>
      <c r="AH198" s="30">
        <v>1</v>
      </c>
      <c r="AI198" s="30">
        <v>1</v>
      </c>
      <c r="AJ198" s="30">
        <v>1</v>
      </c>
      <c r="AK198" s="19" t="s">
        <v>140</v>
      </c>
      <c r="AL198" s="17" t="s">
        <v>58</v>
      </c>
      <c r="AM198" s="17" t="s">
        <v>58</v>
      </c>
      <c r="AN198" s="17" t="s">
        <v>58</v>
      </c>
    </row>
    <row r="199" spans="2:40">
      <c r="B199" s="314">
        <f t="shared" si="42"/>
        <v>140</v>
      </c>
      <c r="C199" s="16">
        <v>20200831</v>
      </c>
      <c r="D199" s="73" t="s">
        <v>2</v>
      </c>
      <c r="E199" s="73" t="s">
        <v>1398</v>
      </c>
      <c r="F199" s="17" t="s">
        <v>58</v>
      </c>
      <c r="G199" s="73">
        <v>1649758</v>
      </c>
      <c r="H199" s="47" t="s">
        <v>58</v>
      </c>
      <c r="I199" s="73" t="s">
        <v>1400</v>
      </c>
      <c r="J199" s="47" t="s">
        <v>58</v>
      </c>
      <c r="K199" s="15" t="s">
        <v>194</v>
      </c>
      <c r="L199" s="73" t="s">
        <v>1465</v>
      </c>
      <c r="M199" s="73" t="s">
        <v>1404</v>
      </c>
      <c r="N199" s="73" t="s">
        <v>1409</v>
      </c>
      <c r="O199" s="72" t="s">
        <v>1403</v>
      </c>
      <c r="P199" s="72" t="s">
        <v>1406</v>
      </c>
      <c r="Q199" s="18"/>
      <c r="R199" s="47" t="s">
        <v>58</v>
      </c>
      <c r="S199" s="15" t="s">
        <v>169</v>
      </c>
      <c r="T199" s="15" t="s">
        <v>179</v>
      </c>
      <c r="U199" s="15" t="s">
        <v>578</v>
      </c>
      <c r="V199" s="73">
        <v>8</v>
      </c>
      <c r="W199" s="16">
        <f>V199</f>
        <v>8</v>
      </c>
      <c r="X199" s="15">
        <f t="shared" si="44"/>
        <v>8</v>
      </c>
      <c r="Y199" s="15">
        <f>ROUNDDOWN(W199/HLOOKUP(D199,Table!$C$3:$D$4,2,0)*8,2)</f>
        <v>0.49</v>
      </c>
      <c r="Z199" s="15">
        <v>1</v>
      </c>
      <c r="AA199" s="15" t="s">
        <v>21</v>
      </c>
      <c r="AB199" s="19">
        <v>44077</v>
      </c>
      <c r="AC199" s="19">
        <v>44075</v>
      </c>
      <c r="AD199" s="244">
        <v>44077</v>
      </c>
      <c r="AE199" s="19">
        <v>44075</v>
      </c>
      <c r="AF199" s="19">
        <v>44075</v>
      </c>
      <c r="AG199" s="19" t="s">
        <v>155</v>
      </c>
      <c r="AH199" s="30">
        <v>1</v>
      </c>
      <c r="AI199" s="30">
        <v>1</v>
      </c>
      <c r="AJ199" s="30">
        <v>1</v>
      </c>
      <c r="AK199" s="19" t="s">
        <v>140</v>
      </c>
      <c r="AL199" s="17" t="s">
        <v>58</v>
      </c>
      <c r="AM199" s="17" t="s">
        <v>58</v>
      </c>
      <c r="AN199" s="17" t="s">
        <v>58</v>
      </c>
    </row>
    <row r="200" spans="2:40">
      <c r="B200" s="314">
        <f t="shared" si="42"/>
        <v>141</v>
      </c>
      <c r="C200" s="16">
        <v>20200831</v>
      </c>
      <c r="D200" s="73" t="s">
        <v>3</v>
      </c>
      <c r="E200" s="73" t="s">
        <v>1399</v>
      </c>
      <c r="F200" s="323" t="s">
        <v>1475</v>
      </c>
      <c r="G200" s="73">
        <v>1653379</v>
      </c>
      <c r="H200" s="47" t="s">
        <v>58</v>
      </c>
      <c r="I200" s="73" t="s">
        <v>1401</v>
      </c>
      <c r="J200" s="47" t="s">
        <v>58</v>
      </c>
      <c r="K200" s="15" t="s">
        <v>192</v>
      </c>
      <c r="L200" s="73" t="s">
        <v>140</v>
      </c>
      <c r="M200" s="73" t="s">
        <v>1405</v>
      </c>
      <c r="N200" s="73" t="s">
        <v>1172</v>
      </c>
      <c r="O200" s="17" t="s">
        <v>58</v>
      </c>
      <c r="P200" s="72" t="s">
        <v>1407</v>
      </c>
      <c r="Q200" s="18"/>
      <c r="R200" s="47" t="s">
        <v>58</v>
      </c>
      <c r="S200" s="15" t="s">
        <v>168</v>
      </c>
      <c r="T200" s="15" t="s">
        <v>179</v>
      </c>
      <c r="U200" s="15" t="s">
        <v>578</v>
      </c>
      <c r="V200" s="73">
        <v>363</v>
      </c>
      <c r="W200" s="16">
        <f>V200</f>
        <v>363</v>
      </c>
      <c r="X200" s="15">
        <f t="shared" ref="X200:X208" si="45">W200</f>
        <v>363</v>
      </c>
      <c r="Y200" s="15">
        <f>ROUNDDOWN(W200/HLOOKUP(D200,Table!$C$3:$D$4,2,0)*8,2)</f>
        <v>6.45</v>
      </c>
      <c r="Z200" s="15">
        <v>5</v>
      </c>
      <c r="AA200" s="15" t="s">
        <v>21</v>
      </c>
      <c r="AB200" s="19">
        <v>44077</v>
      </c>
      <c r="AC200" s="19">
        <v>44075</v>
      </c>
      <c r="AD200" s="244">
        <v>44082</v>
      </c>
      <c r="AE200" s="19">
        <v>44075</v>
      </c>
      <c r="AF200" s="19">
        <v>44075</v>
      </c>
      <c r="AG200" s="19" t="s">
        <v>155</v>
      </c>
      <c r="AH200" s="30">
        <v>1</v>
      </c>
      <c r="AI200" s="30">
        <v>1</v>
      </c>
      <c r="AJ200" s="30">
        <v>1</v>
      </c>
      <c r="AK200" s="19" t="s">
        <v>140</v>
      </c>
      <c r="AL200" s="17" t="s">
        <v>58</v>
      </c>
      <c r="AM200" s="17" t="s">
        <v>58</v>
      </c>
      <c r="AN200" s="17" t="s">
        <v>58</v>
      </c>
    </row>
    <row r="201" spans="2:40">
      <c r="B201" s="314">
        <f t="shared" si="42"/>
        <v>142</v>
      </c>
      <c r="C201" s="16">
        <v>20200831</v>
      </c>
      <c r="D201" s="73" t="s">
        <v>3</v>
      </c>
      <c r="E201" s="73" t="s">
        <v>1398</v>
      </c>
      <c r="F201" s="150" t="s">
        <v>1411</v>
      </c>
      <c r="G201" s="73">
        <v>1653702</v>
      </c>
      <c r="H201" s="47" t="s">
        <v>58</v>
      </c>
      <c r="I201" s="73" t="s">
        <v>1402</v>
      </c>
      <c r="J201" s="47" t="s">
        <v>58</v>
      </c>
      <c r="K201" s="15" t="s">
        <v>192</v>
      </c>
      <c r="L201" s="73" t="s">
        <v>1465</v>
      </c>
      <c r="M201" s="73" t="s">
        <v>1404</v>
      </c>
      <c r="N201" s="73" t="s">
        <v>1410</v>
      </c>
      <c r="O201" s="17" t="s">
        <v>58</v>
      </c>
      <c r="P201" s="72" t="s">
        <v>1408</v>
      </c>
      <c r="Q201" s="18"/>
      <c r="R201" s="47" t="s">
        <v>58</v>
      </c>
      <c r="S201" s="15" t="s">
        <v>64</v>
      </c>
      <c r="T201" s="15" t="s">
        <v>169</v>
      </c>
      <c r="U201" s="15" t="s">
        <v>578</v>
      </c>
      <c r="V201" s="73">
        <v>433</v>
      </c>
      <c r="W201" s="136">
        <v>451</v>
      </c>
      <c r="X201" s="15">
        <f t="shared" si="45"/>
        <v>451</v>
      </c>
      <c r="Y201" s="15">
        <f>ROUNDDOWN(W201/HLOOKUP(D201,Table!$C$3:$D$4,2,0)*8,2)</f>
        <v>8.01</v>
      </c>
      <c r="Z201" s="15">
        <v>8</v>
      </c>
      <c r="AA201" s="15" t="s">
        <v>21</v>
      </c>
      <c r="AB201" s="19">
        <v>44077</v>
      </c>
      <c r="AC201" s="19">
        <v>44075</v>
      </c>
      <c r="AD201" s="244">
        <v>44081</v>
      </c>
      <c r="AE201" s="19">
        <v>44075</v>
      </c>
      <c r="AF201" s="19">
        <v>44075</v>
      </c>
      <c r="AG201" s="19" t="s">
        <v>155</v>
      </c>
      <c r="AH201" s="30">
        <v>1</v>
      </c>
      <c r="AI201" s="30">
        <v>1</v>
      </c>
      <c r="AJ201" s="30">
        <v>1</v>
      </c>
      <c r="AK201" s="19" t="s">
        <v>140</v>
      </c>
      <c r="AL201" s="17" t="s">
        <v>58</v>
      </c>
      <c r="AM201" s="17" t="s">
        <v>58</v>
      </c>
      <c r="AN201" s="17" t="s">
        <v>58</v>
      </c>
    </row>
    <row r="202" spans="2:40" ht="30">
      <c r="B202" s="327">
        <f t="shared" ref="B202:B214" si="46">B201+1</f>
        <v>143</v>
      </c>
      <c r="C202" s="16">
        <v>20200901</v>
      </c>
      <c r="D202" s="73" t="s">
        <v>2</v>
      </c>
      <c r="E202" s="73" t="s">
        <v>1499</v>
      </c>
      <c r="F202" s="17" t="s">
        <v>58</v>
      </c>
      <c r="G202" s="73">
        <v>1653321</v>
      </c>
      <c r="H202" s="47" t="s">
        <v>58</v>
      </c>
      <c r="I202" s="73" t="s">
        <v>1491</v>
      </c>
      <c r="J202" s="47" t="s">
        <v>58</v>
      </c>
      <c r="K202" s="15" t="s">
        <v>192</v>
      </c>
      <c r="L202" s="73" t="s">
        <v>140</v>
      </c>
      <c r="M202" s="73" t="s">
        <v>1501</v>
      </c>
      <c r="N202" s="73" t="s">
        <v>1503</v>
      </c>
      <c r="O202" s="17" t="s">
        <v>1496</v>
      </c>
      <c r="P202" s="72" t="s">
        <v>1497</v>
      </c>
      <c r="Q202" s="18"/>
      <c r="R202" s="47" t="s">
        <v>58</v>
      </c>
      <c r="S202" s="15" t="s">
        <v>179</v>
      </c>
      <c r="T202" s="15" t="s">
        <v>168</v>
      </c>
      <c r="U202" s="15" t="s">
        <v>578</v>
      </c>
      <c r="V202" s="73">
        <v>341</v>
      </c>
      <c r="W202" s="136">
        <f>V202+5</f>
        <v>346</v>
      </c>
      <c r="X202" s="15">
        <f t="shared" si="45"/>
        <v>346</v>
      </c>
      <c r="Y202" s="15">
        <f>ROUNDDOWN(W202/HLOOKUP(D202,Table!$C$3:$D$4,2,0)*8,2)</f>
        <v>21.29</v>
      </c>
      <c r="Z202" s="15">
        <v>16</v>
      </c>
      <c r="AA202" s="15" t="s">
        <v>21</v>
      </c>
      <c r="AB202" s="19">
        <v>44081</v>
      </c>
      <c r="AC202" s="19">
        <v>44077</v>
      </c>
      <c r="AD202" s="244">
        <v>44081</v>
      </c>
      <c r="AE202" s="19">
        <v>44078</v>
      </c>
      <c r="AF202" s="19">
        <v>44081</v>
      </c>
      <c r="AG202" s="19" t="s">
        <v>156</v>
      </c>
      <c r="AH202" s="30">
        <v>0.74299999999999999</v>
      </c>
      <c r="AI202" s="30">
        <v>0.81399999999999995</v>
      </c>
      <c r="AJ202" s="30">
        <v>0.95299999999999996</v>
      </c>
      <c r="AK202" s="19" t="s">
        <v>130</v>
      </c>
      <c r="AL202" s="17" t="s">
        <v>1830</v>
      </c>
      <c r="AM202" s="17" t="s">
        <v>58</v>
      </c>
      <c r="AN202" s="137" t="s">
        <v>1970</v>
      </c>
    </row>
    <row r="203" spans="2:40">
      <c r="B203" s="327">
        <f t="shared" si="46"/>
        <v>144</v>
      </c>
      <c r="C203" s="16">
        <v>20200901</v>
      </c>
      <c r="D203" s="73" t="s">
        <v>2</v>
      </c>
      <c r="E203" s="73" t="s">
        <v>1499</v>
      </c>
      <c r="F203" s="17" t="s">
        <v>58</v>
      </c>
      <c r="G203" s="73">
        <v>1653321</v>
      </c>
      <c r="H203" s="47" t="s">
        <v>58</v>
      </c>
      <c r="I203" s="73" t="s">
        <v>1492</v>
      </c>
      <c r="J203" s="47" t="s">
        <v>58</v>
      </c>
      <c r="K203" s="15" t="s">
        <v>194</v>
      </c>
      <c r="L203" s="73" t="s">
        <v>140</v>
      </c>
      <c r="M203" s="73" t="s">
        <v>1501</v>
      </c>
      <c r="N203" s="73" t="s">
        <v>1409</v>
      </c>
      <c r="O203" s="72" t="s">
        <v>1495</v>
      </c>
      <c r="P203" s="72" t="s">
        <v>1497</v>
      </c>
      <c r="Q203" s="18"/>
      <c r="R203" s="47" t="s">
        <v>58</v>
      </c>
      <c r="S203" s="15" t="s">
        <v>167</v>
      </c>
      <c r="T203" s="15" t="s">
        <v>64</v>
      </c>
      <c r="U203" s="15" t="s">
        <v>0</v>
      </c>
      <c r="V203" s="73">
        <v>36</v>
      </c>
      <c r="W203" s="16">
        <f>V203</f>
        <v>36</v>
      </c>
      <c r="X203" s="15">
        <f t="shared" si="45"/>
        <v>36</v>
      </c>
      <c r="Y203" s="15">
        <f>ROUNDDOWN(W203/HLOOKUP(D203,Table!$C$3:$D$4,2,0)*8,2)</f>
        <v>2.21</v>
      </c>
      <c r="Z203" s="15">
        <f>Y203</f>
        <v>2.21</v>
      </c>
      <c r="AA203" s="15" t="s">
        <v>21</v>
      </c>
      <c r="AB203" s="19">
        <v>44081</v>
      </c>
      <c r="AC203" s="19">
        <v>44077</v>
      </c>
      <c r="AD203" s="244">
        <v>44081</v>
      </c>
      <c r="AE203" s="19">
        <v>44077</v>
      </c>
      <c r="AF203" s="19">
        <v>44077</v>
      </c>
      <c r="AG203" s="19" t="s">
        <v>155</v>
      </c>
      <c r="AH203" s="30">
        <v>1</v>
      </c>
      <c r="AI203" s="30">
        <v>1</v>
      </c>
      <c r="AJ203" s="30">
        <v>1</v>
      </c>
      <c r="AK203" s="19" t="s">
        <v>140</v>
      </c>
      <c r="AL203" s="17" t="s">
        <v>58</v>
      </c>
      <c r="AM203" s="17" t="s">
        <v>58</v>
      </c>
      <c r="AN203" s="17" t="s">
        <v>1509</v>
      </c>
    </row>
    <row r="204" spans="2:40">
      <c r="B204" s="327">
        <f t="shared" si="46"/>
        <v>145</v>
      </c>
      <c r="C204" s="16">
        <v>20200901</v>
      </c>
      <c r="D204" s="73" t="s">
        <v>3</v>
      </c>
      <c r="E204" s="73" t="s">
        <v>1500</v>
      </c>
      <c r="F204" s="225" t="s">
        <v>1506</v>
      </c>
      <c r="G204" s="73">
        <v>1655422</v>
      </c>
      <c r="H204" s="47" t="s">
        <v>58</v>
      </c>
      <c r="I204" s="73" t="s">
        <v>1162</v>
      </c>
      <c r="J204" s="47" t="s">
        <v>58</v>
      </c>
      <c r="K204" s="15" t="s">
        <v>194</v>
      </c>
      <c r="L204" s="73" t="s">
        <v>140</v>
      </c>
      <c r="M204" s="73" t="s">
        <v>1502</v>
      </c>
      <c r="N204" s="73" t="s">
        <v>1504</v>
      </c>
      <c r="O204" s="17" t="s">
        <v>58</v>
      </c>
      <c r="P204" s="72" t="s">
        <v>1498</v>
      </c>
      <c r="Q204" s="18"/>
      <c r="R204" s="47" t="s">
        <v>58</v>
      </c>
      <c r="S204" s="15" t="s">
        <v>169</v>
      </c>
      <c r="T204" s="15" t="s">
        <v>179</v>
      </c>
      <c r="U204" s="15" t="s">
        <v>578</v>
      </c>
      <c r="V204" s="73">
        <v>216</v>
      </c>
      <c r="W204" s="136">
        <v>240</v>
      </c>
      <c r="X204" s="15">
        <f t="shared" si="45"/>
        <v>240</v>
      </c>
      <c r="Y204" s="15">
        <f>ROUNDDOWN(W204/HLOOKUP(D204,Table!$C$3:$D$4,2,0)*8,2)</f>
        <v>4.26</v>
      </c>
      <c r="Z204" s="15">
        <v>4</v>
      </c>
      <c r="AA204" s="15" t="s">
        <v>21</v>
      </c>
      <c r="AB204" s="19">
        <v>44084</v>
      </c>
      <c r="AC204" s="19">
        <v>44077</v>
      </c>
      <c r="AD204" s="244">
        <v>44084</v>
      </c>
      <c r="AE204" s="19">
        <v>44077</v>
      </c>
      <c r="AF204" s="19">
        <v>44077</v>
      </c>
      <c r="AG204" s="19" t="s">
        <v>155</v>
      </c>
      <c r="AH204" s="30">
        <v>1</v>
      </c>
      <c r="AI204" s="30">
        <v>1</v>
      </c>
      <c r="AJ204" s="30">
        <v>1</v>
      </c>
      <c r="AK204" s="19" t="s">
        <v>140</v>
      </c>
      <c r="AL204" s="17" t="s">
        <v>58</v>
      </c>
      <c r="AM204" s="17" t="s">
        <v>58</v>
      </c>
      <c r="AN204" s="299" t="s">
        <v>1081</v>
      </c>
    </row>
    <row r="205" spans="2:40">
      <c r="B205" s="327">
        <f t="shared" si="46"/>
        <v>146</v>
      </c>
      <c r="C205" s="16">
        <v>20200901</v>
      </c>
      <c r="D205" s="73" t="s">
        <v>3</v>
      </c>
      <c r="E205" s="73" t="s">
        <v>1500</v>
      </c>
      <c r="F205" s="225" t="s">
        <v>1530</v>
      </c>
      <c r="G205" s="73">
        <v>1655422</v>
      </c>
      <c r="H205" s="47" t="s">
        <v>58</v>
      </c>
      <c r="I205" s="85" t="s">
        <v>1493</v>
      </c>
      <c r="J205" s="47" t="s">
        <v>58</v>
      </c>
      <c r="K205" s="15" t="s">
        <v>194</v>
      </c>
      <c r="L205" s="73" t="s">
        <v>140</v>
      </c>
      <c r="M205" s="73" t="s">
        <v>1502</v>
      </c>
      <c r="N205" s="73" t="s">
        <v>1504</v>
      </c>
      <c r="O205" s="17" t="s">
        <v>58</v>
      </c>
      <c r="P205" s="72" t="s">
        <v>1498</v>
      </c>
      <c r="Q205" s="18"/>
      <c r="R205" s="47" t="s">
        <v>58</v>
      </c>
      <c r="S205" s="15" t="s">
        <v>64</v>
      </c>
      <c r="T205" s="15" t="s">
        <v>169</v>
      </c>
      <c r="U205" s="15" t="s">
        <v>578</v>
      </c>
      <c r="V205" s="73">
        <v>264</v>
      </c>
      <c r="W205" s="136">
        <f>133*2</f>
        <v>266</v>
      </c>
      <c r="X205" s="15">
        <f t="shared" si="45"/>
        <v>266</v>
      </c>
      <c r="Y205" s="15">
        <f>ROUNDDOWN(W205/HLOOKUP(D205,Table!$C$3:$D$4,2,0)*8,2)</f>
        <v>4.72</v>
      </c>
      <c r="Z205" s="15">
        <v>5</v>
      </c>
      <c r="AA205" s="15" t="s">
        <v>21</v>
      </c>
      <c r="AB205" s="19">
        <v>44084</v>
      </c>
      <c r="AC205" s="19">
        <v>44077</v>
      </c>
      <c r="AD205" s="244">
        <v>44084</v>
      </c>
      <c r="AE205" s="19">
        <v>44077</v>
      </c>
      <c r="AF205" s="19">
        <v>44077</v>
      </c>
      <c r="AG205" s="19" t="s">
        <v>155</v>
      </c>
      <c r="AH205" s="30">
        <v>1</v>
      </c>
      <c r="AI205" s="30">
        <v>1</v>
      </c>
      <c r="AJ205" s="30">
        <v>1</v>
      </c>
      <c r="AK205" s="19" t="s">
        <v>140</v>
      </c>
      <c r="AL205" s="17" t="s">
        <v>58</v>
      </c>
      <c r="AM205" s="17" t="s">
        <v>58</v>
      </c>
      <c r="AN205" s="299" t="s">
        <v>1081</v>
      </c>
    </row>
    <row r="206" spans="2:40">
      <c r="B206" s="327">
        <f t="shared" si="46"/>
        <v>147</v>
      </c>
      <c r="C206" s="16">
        <v>20200901</v>
      </c>
      <c r="D206" s="73" t="s">
        <v>3</v>
      </c>
      <c r="E206" s="73" t="s">
        <v>1500</v>
      </c>
      <c r="F206" s="225" t="s">
        <v>1512</v>
      </c>
      <c r="G206" s="73">
        <v>1655422</v>
      </c>
      <c r="H206" s="47" t="s">
        <v>58</v>
      </c>
      <c r="I206" s="73" t="s">
        <v>1494</v>
      </c>
      <c r="J206" s="47" t="s">
        <v>58</v>
      </c>
      <c r="K206" s="15" t="s">
        <v>194</v>
      </c>
      <c r="L206" s="73" t="s">
        <v>140</v>
      </c>
      <c r="M206" s="73" t="s">
        <v>1502</v>
      </c>
      <c r="N206" s="73" t="s">
        <v>1504</v>
      </c>
      <c r="O206" s="17" t="s">
        <v>58</v>
      </c>
      <c r="P206" s="72" t="s">
        <v>1498</v>
      </c>
      <c r="Q206" s="18"/>
      <c r="R206" s="47" t="s">
        <v>58</v>
      </c>
      <c r="S206" s="15" t="s">
        <v>168</v>
      </c>
      <c r="T206" s="15" t="s">
        <v>179</v>
      </c>
      <c r="U206" s="15" t="s">
        <v>578</v>
      </c>
      <c r="V206" s="73">
        <v>166</v>
      </c>
      <c r="W206" s="18">
        <v>178</v>
      </c>
      <c r="X206" s="15">
        <f t="shared" si="45"/>
        <v>178</v>
      </c>
      <c r="Y206" s="15">
        <f>ROUNDDOWN(W206/HLOOKUP(D206,Table!$C$3:$D$4,2,0)*8,2)</f>
        <v>3.16</v>
      </c>
      <c r="Z206" s="15">
        <v>4</v>
      </c>
      <c r="AA206" s="15" t="s">
        <v>21</v>
      </c>
      <c r="AB206" s="19">
        <v>44084</v>
      </c>
      <c r="AC206" s="19">
        <v>44077</v>
      </c>
      <c r="AD206" s="244">
        <v>44084</v>
      </c>
      <c r="AE206" s="19">
        <v>44077</v>
      </c>
      <c r="AF206" s="19">
        <v>44077</v>
      </c>
      <c r="AG206" s="19" t="s">
        <v>155</v>
      </c>
      <c r="AH206" s="30">
        <v>1</v>
      </c>
      <c r="AI206" s="30">
        <v>1</v>
      </c>
      <c r="AJ206" s="30">
        <v>1</v>
      </c>
      <c r="AK206" s="19" t="s">
        <v>140</v>
      </c>
      <c r="AL206" s="17" t="s">
        <v>58</v>
      </c>
      <c r="AM206" s="17" t="s">
        <v>58</v>
      </c>
      <c r="AN206" s="299" t="s">
        <v>1081</v>
      </c>
    </row>
    <row r="207" spans="2:40">
      <c r="B207" s="328">
        <f t="shared" si="46"/>
        <v>148</v>
      </c>
      <c r="C207" s="16">
        <v>20200903</v>
      </c>
      <c r="D207" s="73" t="s">
        <v>3</v>
      </c>
      <c r="E207" s="73" t="s">
        <v>1366</v>
      </c>
      <c r="F207" s="225" t="s">
        <v>1590</v>
      </c>
      <c r="G207" s="73">
        <v>1659993</v>
      </c>
      <c r="H207" s="47" t="s">
        <v>58</v>
      </c>
      <c r="I207" s="73" t="s">
        <v>1104</v>
      </c>
      <c r="J207" s="47" t="s">
        <v>58</v>
      </c>
      <c r="K207" s="15" t="s">
        <v>192</v>
      </c>
      <c r="L207" s="73" t="s">
        <v>140</v>
      </c>
      <c r="M207" s="73" t="s">
        <v>1372</v>
      </c>
      <c r="N207" s="73" t="s">
        <v>1292</v>
      </c>
      <c r="O207" s="17" t="s">
        <v>58</v>
      </c>
      <c r="P207" s="72" t="s">
        <v>1521</v>
      </c>
      <c r="Q207" s="18"/>
      <c r="R207" s="47" t="s">
        <v>58</v>
      </c>
      <c r="S207" s="15" t="s">
        <v>168</v>
      </c>
      <c r="T207" s="15" t="s">
        <v>179</v>
      </c>
      <c r="U207" s="15" t="s">
        <v>578</v>
      </c>
      <c r="V207" s="73">
        <v>257</v>
      </c>
      <c r="W207" s="16">
        <f t="shared" ref="W207:W214" si="47">V207</f>
        <v>257</v>
      </c>
      <c r="X207" s="15">
        <f t="shared" si="45"/>
        <v>257</v>
      </c>
      <c r="Y207" s="15">
        <f>ROUNDDOWN(W207/HLOOKUP(D207,Table!$C$3:$D$4,2,0)*8,2)</f>
        <v>4.5599999999999996</v>
      </c>
      <c r="Z207" s="15">
        <v>5</v>
      </c>
      <c r="AA207" s="15" t="s">
        <v>21</v>
      </c>
      <c r="AB207" s="19">
        <v>44083</v>
      </c>
      <c r="AC207" s="19">
        <v>44078</v>
      </c>
      <c r="AD207" s="244">
        <v>44084</v>
      </c>
      <c r="AE207" s="19">
        <v>44078</v>
      </c>
      <c r="AF207" s="19">
        <v>44078</v>
      </c>
      <c r="AG207" s="19" t="s">
        <v>156</v>
      </c>
      <c r="AH207" s="30">
        <v>1</v>
      </c>
      <c r="AI207" s="30">
        <v>1</v>
      </c>
      <c r="AJ207" s="30">
        <v>0.62</v>
      </c>
      <c r="AK207" s="19" t="s">
        <v>130</v>
      </c>
      <c r="AL207" s="17" t="s">
        <v>1828</v>
      </c>
      <c r="AM207" s="17" t="s">
        <v>58</v>
      </c>
      <c r="AN207" s="17" t="s">
        <v>567</v>
      </c>
    </row>
    <row r="208" spans="2:40">
      <c r="B208" s="328">
        <f t="shared" si="46"/>
        <v>149</v>
      </c>
      <c r="C208" s="16">
        <v>20200903</v>
      </c>
      <c r="D208" s="73" t="s">
        <v>3</v>
      </c>
      <c r="E208" s="73" t="s">
        <v>1366</v>
      </c>
      <c r="F208" s="72" t="s">
        <v>1529</v>
      </c>
      <c r="G208" s="73">
        <v>1659993</v>
      </c>
      <c r="H208" s="47" t="s">
        <v>58</v>
      </c>
      <c r="I208" s="73" t="s">
        <v>1103</v>
      </c>
      <c r="J208" s="47" t="s">
        <v>58</v>
      </c>
      <c r="K208" s="15" t="s">
        <v>192</v>
      </c>
      <c r="L208" s="73" t="s">
        <v>140</v>
      </c>
      <c r="M208" s="73" t="s">
        <v>1372</v>
      </c>
      <c r="N208" s="73" t="s">
        <v>1292</v>
      </c>
      <c r="O208" s="17" t="s">
        <v>58</v>
      </c>
      <c r="P208" s="72" t="s">
        <v>1521</v>
      </c>
      <c r="Q208" s="18"/>
      <c r="R208" s="47" t="s">
        <v>58</v>
      </c>
      <c r="S208" s="15" t="s">
        <v>64</v>
      </c>
      <c r="T208" s="15" t="s">
        <v>169</v>
      </c>
      <c r="U208" s="15" t="s">
        <v>578</v>
      </c>
      <c r="V208" s="73">
        <v>997</v>
      </c>
      <c r="W208" s="212">
        <f>V205</f>
        <v>264</v>
      </c>
      <c r="X208" s="15">
        <f t="shared" si="45"/>
        <v>264</v>
      </c>
      <c r="Y208" s="15">
        <f>ROUNDDOWN(W208/HLOOKUP(D208,Table!$C$3:$D$4,2,0)*8,2)</f>
        <v>4.6900000000000004</v>
      </c>
      <c r="Z208" s="15">
        <v>19</v>
      </c>
      <c r="AA208" s="15" t="s">
        <v>21</v>
      </c>
      <c r="AB208" s="19">
        <v>44083</v>
      </c>
      <c r="AC208" s="19">
        <v>44078</v>
      </c>
      <c r="AD208" s="244">
        <v>44084</v>
      </c>
      <c r="AE208" s="19">
        <v>44078</v>
      </c>
      <c r="AF208" s="19">
        <v>44078</v>
      </c>
      <c r="AG208" s="19" t="s">
        <v>155</v>
      </c>
      <c r="AH208" s="30">
        <v>1</v>
      </c>
      <c r="AI208" s="30">
        <v>1</v>
      </c>
      <c r="AJ208" s="30">
        <v>1</v>
      </c>
      <c r="AK208" s="19" t="s">
        <v>140</v>
      </c>
      <c r="AL208" s="17" t="s">
        <v>58</v>
      </c>
      <c r="AM208" s="17" t="s">
        <v>58</v>
      </c>
      <c r="AN208" s="17" t="s">
        <v>58</v>
      </c>
    </row>
    <row r="209" spans="2:40" ht="30">
      <c r="B209" s="328">
        <f t="shared" si="46"/>
        <v>150</v>
      </c>
      <c r="C209" s="16">
        <v>20200903</v>
      </c>
      <c r="D209" s="73" t="s">
        <v>3</v>
      </c>
      <c r="E209" s="73" t="s">
        <v>1267</v>
      </c>
      <c r="F209" s="225" t="s">
        <v>1362</v>
      </c>
      <c r="G209" s="73">
        <v>1658237</v>
      </c>
      <c r="H209" s="47" t="s">
        <v>58</v>
      </c>
      <c r="I209" s="73" t="s">
        <v>1274</v>
      </c>
      <c r="J209" s="47" t="s">
        <v>58</v>
      </c>
      <c r="K209" s="15" t="s">
        <v>192</v>
      </c>
      <c r="L209" s="73" t="s">
        <v>140</v>
      </c>
      <c r="M209" s="73" t="s">
        <v>1284</v>
      </c>
      <c r="N209" s="73" t="s">
        <v>1292</v>
      </c>
      <c r="O209" s="17" t="s">
        <v>58</v>
      </c>
      <c r="P209" s="72" t="s">
        <v>1296</v>
      </c>
      <c r="Q209" s="18"/>
      <c r="R209" s="47" t="s">
        <v>58</v>
      </c>
      <c r="S209" s="15" t="s">
        <v>179</v>
      </c>
      <c r="T209" s="15" t="s">
        <v>168</v>
      </c>
      <c r="U209" s="15" t="s">
        <v>578</v>
      </c>
      <c r="V209" s="73">
        <v>919</v>
      </c>
      <c r="W209" s="16">
        <f t="shared" si="47"/>
        <v>919</v>
      </c>
      <c r="X209" s="15">
        <f t="shared" ref="X209:X224" si="48">W209</f>
        <v>919</v>
      </c>
      <c r="Y209" s="15">
        <f>ROUNDDOWN(W209/HLOOKUP(D209,Table!$C$3:$D$4,2,0)*8,2)</f>
        <v>16.329999999999998</v>
      </c>
      <c r="Z209" s="15">
        <v>6</v>
      </c>
      <c r="AA209" s="15" t="s">
        <v>21</v>
      </c>
      <c r="AB209" s="19">
        <v>44083</v>
      </c>
      <c r="AC209" s="19">
        <v>44078</v>
      </c>
      <c r="AD209" s="244">
        <v>44084</v>
      </c>
      <c r="AE209" s="19">
        <v>44081</v>
      </c>
      <c r="AF209" s="19">
        <v>44081</v>
      </c>
      <c r="AG209" s="19" t="s">
        <v>156</v>
      </c>
      <c r="AH209" s="30">
        <v>1</v>
      </c>
      <c r="AI209" s="30">
        <v>1</v>
      </c>
      <c r="AJ209" s="30">
        <v>0.98</v>
      </c>
      <c r="AK209" s="19" t="s">
        <v>130</v>
      </c>
      <c r="AL209" s="137" t="s">
        <v>1837</v>
      </c>
      <c r="AM209" s="17" t="s">
        <v>58</v>
      </c>
      <c r="AN209" s="17" t="s">
        <v>1333</v>
      </c>
    </row>
    <row r="210" spans="2:40">
      <c r="B210" s="328">
        <f t="shared" si="46"/>
        <v>151</v>
      </c>
      <c r="C210" s="16">
        <v>20200903</v>
      </c>
      <c r="D210" s="73" t="s">
        <v>2</v>
      </c>
      <c r="E210" s="73" t="s">
        <v>1366</v>
      </c>
      <c r="F210" s="17" t="s">
        <v>58</v>
      </c>
      <c r="G210" s="73">
        <v>1657706</v>
      </c>
      <c r="H210" s="47" t="s">
        <v>58</v>
      </c>
      <c r="I210" s="73" t="s">
        <v>1516</v>
      </c>
      <c r="J210" s="47" t="s">
        <v>58</v>
      </c>
      <c r="K210" s="15" t="s">
        <v>194</v>
      </c>
      <c r="L210" s="73" t="s">
        <v>140</v>
      </c>
      <c r="M210" s="15" t="s">
        <v>1372</v>
      </c>
      <c r="N210" s="73" t="s">
        <v>1524</v>
      </c>
      <c r="O210" s="72" t="s">
        <v>170</v>
      </c>
      <c r="P210" s="72" t="s">
        <v>1522</v>
      </c>
      <c r="Q210" s="18"/>
      <c r="R210" s="47" t="s">
        <v>58</v>
      </c>
      <c r="S210" s="15" t="s">
        <v>169</v>
      </c>
      <c r="T210" s="15" t="s">
        <v>179</v>
      </c>
      <c r="U210" s="15" t="s">
        <v>578</v>
      </c>
      <c r="V210" s="73">
        <v>22</v>
      </c>
      <c r="W210" s="16">
        <f t="shared" si="47"/>
        <v>22</v>
      </c>
      <c r="X210" s="15">
        <f t="shared" si="48"/>
        <v>22</v>
      </c>
      <c r="Y210" s="15">
        <f>ROUNDDOWN(W210/HLOOKUP(D210,Table!$C$3:$D$4,2,0)*8,2)</f>
        <v>1.35</v>
      </c>
      <c r="Z210" s="15">
        <v>4</v>
      </c>
      <c r="AA210" s="15" t="s">
        <v>21</v>
      </c>
      <c r="AB210" s="19">
        <v>44083</v>
      </c>
      <c r="AC210" s="19">
        <v>44078</v>
      </c>
      <c r="AD210" s="244">
        <v>44084</v>
      </c>
      <c r="AE210" s="19">
        <v>44078</v>
      </c>
      <c r="AF210" s="19">
        <v>44078</v>
      </c>
      <c r="AG210" s="19" t="s">
        <v>155</v>
      </c>
      <c r="AH210" s="30">
        <v>1</v>
      </c>
      <c r="AI210" s="30">
        <v>1</v>
      </c>
      <c r="AJ210" s="30">
        <v>1</v>
      </c>
      <c r="AK210" s="19" t="s">
        <v>140</v>
      </c>
      <c r="AL210" s="17" t="s">
        <v>58</v>
      </c>
      <c r="AM210" s="17" t="s">
        <v>58</v>
      </c>
      <c r="AN210" s="17" t="s">
        <v>58</v>
      </c>
    </row>
    <row r="211" spans="2:40">
      <c r="B211" s="328">
        <f t="shared" si="46"/>
        <v>152</v>
      </c>
      <c r="C211" s="16">
        <v>20200903</v>
      </c>
      <c r="D211" s="73" t="s">
        <v>2</v>
      </c>
      <c r="E211" s="73" t="s">
        <v>1514</v>
      </c>
      <c r="F211" s="17" t="s">
        <v>58</v>
      </c>
      <c r="G211" s="73">
        <v>1658650</v>
      </c>
      <c r="H211" s="47" t="s">
        <v>58</v>
      </c>
      <c r="I211" s="73" t="s">
        <v>1517</v>
      </c>
      <c r="J211" s="47" t="s">
        <v>58</v>
      </c>
      <c r="K211" s="15" t="s">
        <v>192</v>
      </c>
      <c r="L211" s="73" t="s">
        <v>140</v>
      </c>
      <c r="M211" s="73" t="s">
        <v>1077</v>
      </c>
      <c r="N211" s="73" t="s">
        <v>1525</v>
      </c>
      <c r="O211" s="72" t="s">
        <v>1526</v>
      </c>
      <c r="P211" s="72" t="s">
        <v>1169</v>
      </c>
      <c r="Q211" s="18"/>
      <c r="R211" s="47" t="s">
        <v>58</v>
      </c>
      <c r="S211" s="15" t="s">
        <v>168</v>
      </c>
      <c r="T211" s="15" t="s">
        <v>179</v>
      </c>
      <c r="U211" s="15"/>
      <c r="V211" s="73">
        <v>64</v>
      </c>
      <c r="W211" s="16">
        <f t="shared" si="47"/>
        <v>64</v>
      </c>
      <c r="X211" s="15">
        <f t="shared" si="48"/>
        <v>64</v>
      </c>
      <c r="Y211" s="15">
        <f>ROUNDDOWN(W211/HLOOKUP(D211,Table!$C$3:$D$4,2,0)*8,2)</f>
        <v>3.93</v>
      </c>
      <c r="Z211" s="15">
        <v>8</v>
      </c>
      <c r="AA211" s="15" t="s">
        <v>18</v>
      </c>
      <c r="AB211" s="19"/>
      <c r="AC211" s="19">
        <v>44078</v>
      </c>
      <c r="AD211" s="223">
        <v>44089</v>
      </c>
      <c r="AE211" s="19">
        <v>44078</v>
      </c>
      <c r="AF211" s="19">
        <v>44081</v>
      </c>
      <c r="AG211" s="19" t="s">
        <v>156</v>
      </c>
      <c r="AH211" s="30">
        <v>0.83799999999999997</v>
      </c>
      <c r="AI211" s="30">
        <v>0.85699999999999998</v>
      </c>
      <c r="AJ211" s="30">
        <v>0.95699999999999996</v>
      </c>
      <c r="AK211" s="19" t="s">
        <v>130</v>
      </c>
      <c r="AL211" s="17" t="s">
        <v>1840</v>
      </c>
      <c r="AM211" s="17" t="s">
        <v>58</v>
      </c>
      <c r="AN211" s="17" t="s">
        <v>567</v>
      </c>
    </row>
    <row r="212" spans="2:40">
      <c r="B212" s="328">
        <f t="shared" si="46"/>
        <v>153</v>
      </c>
      <c r="C212" s="16">
        <v>20200903</v>
      </c>
      <c r="D212" s="73" t="s">
        <v>2</v>
      </c>
      <c r="E212" s="73" t="s">
        <v>1514</v>
      </c>
      <c r="F212" s="17" t="s">
        <v>58</v>
      </c>
      <c r="G212" s="73">
        <v>1658650</v>
      </c>
      <c r="H212" s="47" t="s">
        <v>58</v>
      </c>
      <c r="I212" s="73" t="s">
        <v>1518</v>
      </c>
      <c r="J212" s="47" t="s">
        <v>58</v>
      </c>
      <c r="K212" s="15" t="s">
        <v>192</v>
      </c>
      <c r="L212" s="73" t="s">
        <v>140</v>
      </c>
      <c r="M212" s="73" t="s">
        <v>1077</v>
      </c>
      <c r="N212" s="73" t="s">
        <v>1525</v>
      </c>
      <c r="O212" s="72" t="s">
        <v>1527</v>
      </c>
      <c r="P212" s="72" t="s">
        <v>1169</v>
      </c>
      <c r="Q212" s="18"/>
      <c r="R212" s="47" t="s">
        <v>58</v>
      </c>
      <c r="S212" s="15" t="s">
        <v>168</v>
      </c>
      <c r="T212" s="15" t="s">
        <v>179</v>
      </c>
      <c r="U212" s="15"/>
      <c r="V212" s="73">
        <v>3</v>
      </c>
      <c r="W212" s="16">
        <f t="shared" si="47"/>
        <v>3</v>
      </c>
      <c r="X212" s="15">
        <f t="shared" si="48"/>
        <v>3</v>
      </c>
      <c r="Y212" s="15">
        <f>ROUNDDOWN(W212/HLOOKUP(D212,Table!$C$3:$D$4,2,0)*8,2)</f>
        <v>0.18</v>
      </c>
      <c r="Z212" s="15">
        <v>2</v>
      </c>
      <c r="AA212" s="15" t="s">
        <v>18</v>
      </c>
      <c r="AB212" s="19"/>
      <c r="AC212" s="19">
        <v>44078</v>
      </c>
      <c r="AD212" s="223">
        <v>44089</v>
      </c>
      <c r="AE212" s="19">
        <v>44081</v>
      </c>
      <c r="AF212" s="19">
        <v>44081</v>
      </c>
      <c r="AG212" s="19" t="s">
        <v>155</v>
      </c>
      <c r="AH212" s="30">
        <v>1</v>
      </c>
      <c r="AI212" s="30">
        <v>1</v>
      </c>
      <c r="AJ212" s="30">
        <v>1</v>
      </c>
      <c r="AK212" s="19" t="s">
        <v>140</v>
      </c>
      <c r="AL212" s="17" t="s">
        <v>58</v>
      </c>
      <c r="AM212" s="17" t="s">
        <v>58</v>
      </c>
      <c r="AN212" s="17" t="s">
        <v>58</v>
      </c>
    </row>
    <row r="213" spans="2:40">
      <c r="B213" s="328">
        <f t="shared" si="46"/>
        <v>154</v>
      </c>
      <c r="C213" s="16">
        <v>20200903</v>
      </c>
      <c r="D213" s="73" t="s">
        <v>2</v>
      </c>
      <c r="E213" s="73" t="s">
        <v>1155</v>
      </c>
      <c r="F213" s="17" t="s">
        <v>58</v>
      </c>
      <c r="G213" s="73">
        <v>1660064</v>
      </c>
      <c r="H213" s="47" t="s">
        <v>58</v>
      </c>
      <c r="I213" s="73" t="s">
        <v>1519</v>
      </c>
      <c r="J213" s="47" t="s">
        <v>58</v>
      </c>
      <c r="K213" s="15" t="s">
        <v>194</v>
      </c>
      <c r="L213" s="73" t="s">
        <v>140</v>
      </c>
      <c r="M213" s="73" t="s">
        <v>1178</v>
      </c>
      <c r="N213" s="73" t="s">
        <v>1519</v>
      </c>
      <c r="O213" s="72" t="s">
        <v>1528</v>
      </c>
      <c r="P213" s="72" t="s">
        <v>1523</v>
      </c>
      <c r="Q213" s="18"/>
      <c r="R213" s="47" t="s">
        <v>58</v>
      </c>
      <c r="S213" s="15" t="s">
        <v>169</v>
      </c>
      <c r="T213" s="15" t="s">
        <v>179</v>
      </c>
      <c r="U213" s="15" t="s">
        <v>578</v>
      </c>
      <c r="V213" s="73">
        <v>58</v>
      </c>
      <c r="W213" s="16">
        <f t="shared" si="47"/>
        <v>58</v>
      </c>
      <c r="X213" s="15">
        <f t="shared" si="48"/>
        <v>58</v>
      </c>
      <c r="Y213" s="15">
        <f>ROUNDDOWN(W213/HLOOKUP(D213,Table!$C$3:$D$4,2,0)*8,2)</f>
        <v>3.56</v>
      </c>
      <c r="Z213" s="15">
        <v>3</v>
      </c>
      <c r="AA213" s="15" t="s">
        <v>21</v>
      </c>
      <c r="AB213" s="19">
        <v>44083</v>
      </c>
      <c r="AC213" s="19">
        <v>44078</v>
      </c>
      <c r="AD213" s="244">
        <v>44084</v>
      </c>
      <c r="AE213" s="19">
        <v>44082</v>
      </c>
      <c r="AF213" s="19">
        <v>44082</v>
      </c>
      <c r="AG213" s="19" t="s">
        <v>155</v>
      </c>
      <c r="AH213" s="30">
        <v>1</v>
      </c>
      <c r="AI213" s="30">
        <v>1</v>
      </c>
      <c r="AJ213" s="30">
        <v>1</v>
      </c>
      <c r="AK213" s="19" t="s">
        <v>140</v>
      </c>
      <c r="AL213" s="17" t="s">
        <v>58</v>
      </c>
      <c r="AM213" s="17" t="s">
        <v>58</v>
      </c>
      <c r="AN213" s="17" t="s">
        <v>58</v>
      </c>
    </row>
    <row r="214" spans="2:40">
      <c r="B214" s="328">
        <f t="shared" si="46"/>
        <v>155</v>
      </c>
      <c r="C214" s="16">
        <v>20200903</v>
      </c>
      <c r="D214" s="73" t="s">
        <v>3</v>
      </c>
      <c r="E214" s="73" t="s">
        <v>1515</v>
      </c>
      <c r="F214" s="225" t="s">
        <v>1531</v>
      </c>
      <c r="G214" s="73">
        <v>1659924</v>
      </c>
      <c r="H214" s="47" t="s">
        <v>58</v>
      </c>
      <c r="I214" s="73" t="s">
        <v>1160</v>
      </c>
      <c r="J214" s="47" t="s">
        <v>58</v>
      </c>
      <c r="K214" s="15" t="s">
        <v>192</v>
      </c>
      <c r="L214" s="73" t="s">
        <v>1185</v>
      </c>
      <c r="M214" s="73" t="s">
        <v>1520</v>
      </c>
      <c r="N214" s="73" t="s">
        <v>1171</v>
      </c>
      <c r="O214" s="17" t="s">
        <v>58</v>
      </c>
      <c r="P214" s="72" t="s">
        <v>1166</v>
      </c>
      <c r="Q214" s="18"/>
      <c r="R214" s="47" t="s">
        <v>58</v>
      </c>
      <c r="S214" s="15" t="s">
        <v>167</v>
      </c>
      <c r="T214" s="15" t="s">
        <v>64</v>
      </c>
      <c r="U214" s="15" t="s">
        <v>578</v>
      </c>
      <c r="V214" s="73">
        <v>476</v>
      </c>
      <c r="W214" s="16">
        <f t="shared" si="47"/>
        <v>476</v>
      </c>
      <c r="X214" s="15">
        <f t="shared" si="48"/>
        <v>476</v>
      </c>
      <c r="Y214" s="15">
        <f>ROUNDDOWN(W214/HLOOKUP(D214,Table!$C$3:$D$4,2,0)*8,2)</f>
        <v>8.4600000000000009</v>
      </c>
      <c r="Z214" s="15">
        <f>Y214</f>
        <v>8.4600000000000009</v>
      </c>
      <c r="AA214" s="15" t="s">
        <v>21</v>
      </c>
      <c r="AB214" s="19">
        <v>44082</v>
      </c>
      <c r="AC214" s="19">
        <v>44078</v>
      </c>
      <c r="AD214" s="77">
        <v>44099</v>
      </c>
      <c r="AE214" s="19">
        <v>44078</v>
      </c>
      <c r="AF214" s="19">
        <v>44078</v>
      </c>
      <c r="AG214" s="19" t="s">
        <v>156</v>
      </c>
      <c r="AH214" s="30">
        <v>1</v>
      </c>
      <c r="AI214" s="30">
        <v>1</v>
      </c>
      <c r="AJ214" s="30">
        <v>0.92</v>
      </c>
      <c r="AK214" s="19" t="s">
        <v>130</v>
      </c>
      <c r="AL214" s="17" t="s">
        <v>1816</v>
      </c>
      <c r="AM214" s="17" t="s">
        <v>58</v>
      </c>
      <c r="AN214" s="17" t="s">
        <v>1819</v>
      </c>
    </row>
    <row r="215" spans="2:40">
      <c r="B215" s="331">
        <f>B214+1</f>
        <v>156</v>
      </c>
      <c r="C215" s="16">
        <v>20200904</v>
      </c>
      <c r="D215" s="73" t="s">
        <v>3</v>
      </c>
      <c r="E215" s="224" t="s">
        <v>1823</v>
      </c>
      <c r="F215" s="323" t="s">
        <v>1309</v>
      </c>
      <c r="G215" s="73">
        <v>1662676</v>
      </c>
      <c r="H215" s="47" t="s">
        <v>58</v>
      </c>
      <c r="I215" s="73" t="s">
        <v>1821</v>
      </c>
      <c r="J215" s="47" t="s">
        <v>58</v>
      </c>
      <c r="K215" s="15" t="s">
        <v>192</v>
      </c>
      <c r="L215" s="73" t="s">
        <v>140</v>
      </c>
      <c r="M215" s="73" t="s">
        <v>1824</v>
      </c>
      <c r="N215" s="73" t="s">
        <v>1292</v>
      </c>
      <c r="O215" s="17" t="s">
        <v>58</v>
      </c>
      <c r="P215" s="84" t="s">
        <v>1296</v>
      </c>
      <c r="Q215" s="18"/>
      <c r="R215" s="47" t="s">
        <v>58</v>
      </c>
      <c r="S215" s="15" t="s">
        <v>167</v>
      </c>
      <c r="T215" s="15" t="s">
        <v>64</v>
      </c>
      <c r="U215" s="15" t="s">
        <v>578</v>
      </c>
      <c r="V215" s="73">
        <v>98</v>
      </c>
      <c r="W215" s="16">
        <f>V215</f>
        <v>98</v>
      </c>
      <c r="X215" s="15">
        <f t="shared" si="48"/>
        <v>98</v>
      </c>
      <c r="Y215" s="15">
        <f>ROUNDDOWN(W215/HLOOKUP(D215,Table!$C$3:$D$4,2,0)*8,2)</f>
        <v>1.74</v>
      </c>
      <c r="Z215" s="15">
        <f>Y215</f>
        <v>1.74</v>
      </c>
      <c r="AA215" s="15" t="s">
        <v>21</v>
      </c>
      <c r="AB215" s="19">
        <v>44082</v>
      </c>
      <c r="AC215" s="19">
        <v>44081</v>
      </c>
      <c r="AD215" s="244">
        <v>44083</v>
      </c>
      <c r="AE215" s="19">
        <v>44081</v>
      </c>
      <c r="AF215" s="19">
        <v>44081</v>
      </c>
      <c r="AG215" s="19" t="s">
        <v>155</v>
      </c>
      <c r="AH215" s="30">
        <v>1</v>
      </c>
      <c r="AI215" s="30">
        <v>1</v>
      </c>
      <c r="AJ215" s="30">
        <v>1</v>
      </c>
      <c r="AK215" s="19" t="s">
        <v>140</v>
      </c>
      <c r="AL215" s="17" t="s">
        <v>58</v>
      </c>
      <c r="AM215" s="17" t="s">
        <v>58</v>
      </c>
      <c r="AN215" s="17" t="s">
        <v>58</v>
      </c>
    </row>
    <row r="216" spans="2:40" ht="30">
      <c r="B216" s="331">
        <f>B215+1</f>
        <v>157</v>
      </c>
      <c r="C216" s="16">
        <v>20200904</v>
      </c>
      <c r="D216" s="73" t="s">
        <v>3</v>
      </c>
      <c r="E216" s="224" t="s">
        <v>1823</v>
      </c>
      <c r="F216" s="323" t="s">
        <v>1308</v>
      </c>
      <c r="G216" s="73">
        <v>1662676</v>
      </c>
      <c r="H216" s="47" t="s">
        <v>58</v>
      </c>
      <c r="I216" s="73" t="s">
        <v>1273</v>
      </c>
      <c r="J216" s="47" t="s">
        <v>58</v>
      </c>
      <c r="K216" s="15" t="s">
        <v>192</v>
      </c>
      <c r="L216" s="73" t="s">
        <v>140</v>
      </c>
      <c r="M216" s="73" t="s">
        <v>1824</v>
      </c>
      <c r="N216" s="73" t="s">
        <v>1292</v>
      </c>
      <c r="O216" s="17" t="s">
        <v>58</v>
      </c>
      <c r="P216" s="84" t="s">
        <v>1296</v>
      </c>
      <c r="Q216" s="18"/>
      <c r="R216" s="47" t="s">
        <v>58</v>
      </c>
      <c r="S216" s="15" t="s">
        <v>167</v>
      </c>
      <c r="T216" s="15" t="s">
        <v>64</v>
      </c>
      <c r="U216" s="15" t="s">
        <v>578</v>
      </c>
      <c r="V216" s="73">
        <v>247</v>
      </c>
      <c r="W216" s="16">
        <f>V216</f>
        <v>247</v>
      </c>
      <c r="X216" s="15">
        <f t="shared" si="48"/>
        <v>247</v>
      </c>
      <c r="Y216" s="15">
        <f>ROUNDDOWN(W216/HLOOKUP(D216,Table!$C$3:$D$4,2,0)*8,2)</f>
        <v>4.3899999999999997</v>
      </c>
      <c r="Z216" s="15">
        <f>Y216</f>
        <v>4.3899999999999997</v>
      </c>
      <c r="AA216" s="15" t="s">
        <v>21</v>
      </c>
      <c r="AB216" s="19">
        <v>44082</v>
      </c>
      <c r="AC216" s="19">
        <v>44081</v>
      </c>
      <c r="AD216" s="244">
        <v>44083</v>
      </c>
      <c r="AE216" s="19">
        <v>44081</v>
      </c>
      <c r="AF216" s="19">
        <v>44081</v>
      </c>
      <c r="AG216" s="19" t="s">
        <v>156</v>
      </c>
      <c r="AH216" s="30">
        <v>1</v>
      </c>
      <c r="AI216" s="30">
        <v>1</v>
      </c>
      <c r="AJ216" s="30">
        <v>0.97</v>
      </c>
      <c r="AK216" s="19" t="s">
        <v>130</v>
      </c>
      <c r="AL216" s="17" t="s">
        <v>1832</v>
      </c>
      <c r="AM216" s="17" t="s">
        <v>58</v>
      </c>
      <c r="AN216" s="137" t="s">
        <v>1833</v>
      </c>
    </row>
    <row r="217" spans="2:40">
      <c r="B217" s="331">
        <f>B216+1</f>
        <v>158</v>
      </c>
      <c r="C217" s="16">
        <v>20200904</v>
      </c>
      <c r="D217" s="73" t="s">
        <v>2</v>
      </c>
      <c r="E217" s="224" t="s">
        <v>629</v>
      </c>
      <c r="F217" s="17" t="s">
        <v>58</v>
      </c>
      <c r="G217" s="73">
        <v>1662575</v>
      </c>
      <c r="H217" s="47" t="s">
        <v>58</v>
      </c>
      <c r="I217" s="73" t="s">
        <v>1822</v>
      </c>
      <c r="J217" s="47" t="s">
        <v>58</v>
      </c>
      <c r="K217" s="15" t="s">
        <v>194</v>
      </c>
      <c r="L217" s="73" t="s">
        <v>140</v>
      </c>
      <c r="M217" s="73" t="s">
        <v>631</v>
      </c>
      <c r="N217" s="73" t="s">
        <v>1825</v>
      </c>
      <c r="O217" s="237" t="s">
        <v>170</v>
      </c>
      <c r="P217" s="84" t="s">
        <v>649</v>
      </c>
      <c r="Q217" s="18"/>
      <c r="R217" s="47" t="s">
        <v>58</v>
      </c>
      <c r="S217" s="15" t="s">
        <v>64</v>
      </c>
      <c r="T217" s="15" t="s">
        <v>169</v>
      </c>
      <c r="U217" s="15" t="s">
        <v>578</v>
      </c>
      <c r="V217" s="73">
        <v>11</v>
      </c>
      <c r="W217" s="212">
        <f>V217</f>
        <v>11</v>
      </c>
      <c r="X217" s="15">
        <f t="shared" si="48"/>
        <v>11</v>
      </c>
      <c r="Y217" s="15">
        <f>ROUNDDOWN(W217/HLOOKUP(D217,Table!$C$3:$D$4,2,0)*8,2)</f>
        <v>0.67</v>
      </c>
      <c r="Z217" s="15">
        <v>1</v>
      </c>
      <c r="AA217" s="15" t="s">
        <v>21</v>
      </c>
      <c r="AB217" s="19">
        <v>44082</v>
      </c>
      <c r="AC217" s="19">
        <v>44081</v>
      </c>
      <c r="AD217" s="244">
        <v>44085</v>
      </c>
      <c r="AE217" s="19">
        <v>44081</v>
      </c>
      <c r="AF217" s="19">
        <v>44081</v>
      </c>
      <c r="AG217" s="19" t="s">
        <v>155</v>
      </c>
      <c r="AH217" s="30">
        <v>1</v>
      </c>
      <c r="AI217" s="30">
        <v>1</v>
      </c>
      <c r="AJ217" s="30">
        <v>1</v>
      </c>
      <c r="AK217" s="19" t="s">
        <v>140</v>
      </c>
      <c r="AL217" s="17" t="s">
        <v>58</v>
      </c>
      <c r="AM217" s="17" t="s">
        <v>58</v>
      </c>
      <c r="AN217" s="17" t="s">
        <v>58</v>
      </c>
    </row>
    <row r="218" spans="2:40">
      <c r="B218" s="331">
        <f>B217+1</f>
        <v>159</v>
      </c>
      <c r="C218" s="16">
        <v>20200904</v>
      </c>
      <c r="D218" s="73" t="s">
        <v>2</v>
      </c>
      <c r="E218" s="224" t="s">
        <v>629</v>
      </c>
      <c r="F218" s="17" t="s">
        <v>58</v>
      </c>
      <c r="G218" s="73">
        <v>1662575</v>
      </c>
      <c r="H218" s="47" t="s">
        <v>58</v>
      </c>
      <c r="I218" s="73" t="s">
        <v>636</v>
      </c>
      <c r="J218" s="47" t="s">
        <v>58</v>
      </c>
      <c r="K218" s="15" t="s">
        <v>194</v>
      </c>
      <c r="L218" s="73" t="s">
        <v>140</v>
      </c>
      <c r="M218" s="73" t="s">
        <v>631</v>
      </c>
      <c r="N218" s="73" t="s">
        <v>1825</v>
      </c>
      <c r="O218" s="17" t="s">
        <v>1827</v>
      </c>
      <c r="P218" s="84" t="s">
        <v>649</v>
      </c>
      <c r="Q218" s="18"/>
      <c r="R218" s="47" t="s">
        <v>58</v>
      </c>
      <c r="S218" s="15" t="s">
        <v>169</v>
      </c>
      <c r="T218" s="15" t="s">
        <v>179</v>
      </c>
      <c r="U218" s="15" t="s">
        <v>578</v>
      </c>
      <c r="V218" s="73">
        <v>149</v>
      </c>
      <c r="W218" s="16">
        <f>V218</f>
        <v>149</v>
      </c>
      <c r="X218" s="15">
        <f t="shared" si="48"/>
        <v>149</v>
      </c>
      <c r="Y218" s="15">
        <f>ROUNDDOWN(W218/HLOOKUP(D218,Table!$C$3:$D$4,2,0)*8,2)</f>
        <v>9.16</v>
      </c>
      <c r="Z218" s="15">
        <v>8</v>
      </c>
      <c r="AA218" s="15" t="s">
        <v>21</v>
      </c>
      <c r="AB218" s="19">
        <v>44082</v>
      </c>
      <c r="AC218" s="19">
        <v>44081</v>
      </c>
      <c r="AD218" s="244">
        <v>44085</v>
      </c>
      <c r="AE218" s="19">
        <v>44081</v>
      </c>
      <c r="AF218" s="19">
        <v>44081</v>
      </c>
      <c r="AG218" s="19" t="s">
        <v>155</v>
      </c>
      <c r="AH218" s="30">
        <v>1</v>
      </c>
      <c r="AI218" s="30">
        <v>1</v>
      </c>
      <c r="AJ218" s="30">
        <v>1</v>
      </c>
      <c r="AK218" s="19" t="s">
        <v>140</v>
      </c>
      <c r="AL218" s="17" t="s">
        <v>58</v>
      </c>
      <c r="AM218" s="17" t="s">
        <v>58</v>
      </c>
      <c r="AN218" s="17" t="s">
        <v>58</v>
      </c>
    </row>
    <row r="219" spans="2:40">
      <c r="B219" s="243">
        <f t="shared" ref="B219:B238" si="49">B218+1</f>
        <v>160</v>
      </c>
      <c r="C219" s="16">
        <v>20200907</v>
      </c>
      <c r="D219" s="73" t="s">
        <v>3</v>
      </c>
      <c r="E219" s="73" t="s">
        <v>1500</v>
      </c>
      <c r="F219" s="17" t="s">
        <v>1845</v>
      </c>
      <c r="G219" s="73">
        <v>1649050</v>
      </c>
      <c r="H219" s="47" t="s">
        <v>58</v>
      </c>
      <c r="I219" s="85" t="s">
        <v>1367</v>
      </c>
      <c r="J219" s="47" t="s">
        <v>58</v>
      </c>
      <c r="K219" s="15" t="s">
        <v>194</v>
      </c>
      <c r="L219" s="73" t="s">
        <v>140</v>
      </c>
      <c r="M219" s="15" t="s">
        <v>1502</v>
      </c>
      <c r="N219" s="73" t="s">
        <v>1080</v>
      </c>
      <c r="O219" s="17" t="s">
        <v>58</v>
      </c>
      <c r="P219" s="72" t="s">
        <v>1852</v>
      </c>
      <c r="Q219" s="18"/>
      <c r="R219" s="47" t="s">
        <v>58</v>
      </c>
      <c r="S219" s="15" t="s">
        <v>64</v>
      </c>
      <c r="T219" s="15" t="s">
        <v>169</v>
      </c>
      <c r="U219" s="15"/>
      <c r="V219" s="73">
        <v>199</v>
      </c>
      <c r="W219" s="136">
        <f>V219*2</f>
        <v>398</v>
      </c>
      <c r="X219" s="15">
        <f t="shared" si="48"/>
        <v>398</v>
      </c>
      <c r="Y219" s="15">
        <f>ROUNDDOWN(W219/HLOOKUP(D219,Table!$C$3:$D$4,2,0)*8,2)</f>
        <v>7.07</v>
      </c>
      <c r="Z219" s="15">
        <v>4</v>
      </c>
      <c r="AA219" s="15" t="s">
        <v>21</v>
      </c>
      <c r="AB219" s="19">
        <v>44085</v>
      </c>
      <c r="AC219" s="19">
        <v>44082</v>
      </c>
      <c r="AD219" s="81">
        <v>44085</v>
      </c>
      <c r="AE219" s="19">
        <v>44082</v>
      </c>
      <c r="AF219" s="19">
        <v>44082</v>
      </c>
      <c r="AG219" s="19" t="s">
        <v>155</v>
      </c>
      <c r="AH219" s="30">
        <v>1</v>
      </c>
      <c r="AI219" s="30">
        <v>1</v>
      </c>
      <c r="AJ219" s="30">
        <v>1</v>
      </c>
      <c r="AK219" s="19" t="s">
        <v>140</v>
      </c>
      <c r="AL219" s="17" t="s">
        <v>58</v>
      </c>
      <c r="AM219" s="17" t="s">
        <v>58</v>
      </c>
      <c r="AN219" s="299" t="s">
        <v>1081</v>
      </c>
    </row>
    <row r="220" spans="2:40">
      <c r="B220" s="243">
        <f t="shared" si="49"/>
        <v>161</v>
      </c>
      <c r="C220" s="16">
        <v>20200907</v>
      </c>
      <c r="D220" s="73" t="s">
        <v>3</v>
      </c>
      <c r="E220" s="73" t="s">
        <v>1500</v>
      </c>
      <c r="F220" s="17" t="s">
        <v>1846</v>
      </c>
      <c r="G220" s="73">
        <v>1647067</v>
      </c>
      <c r="H220" s="47" t="s">
        <v>58</v>
      </c>
      <c r="I220" s="85" t="s">
        <v>1212</v>
      </c>
      <c r="J220" s="47" t="s">
        <v>58</v>
      </c>
      <c r="K220" s="15" t="s">
        <v>194</v>
      </c>
      <c r="L220" s="73" t="s">
        <v>140</v>
      </c>
      <c r="M220" s="15" t="s">
        <v>1502</v>
      </c>
      <c r="N220" s="73" t="s">
        <v>1080</v>
      </c>
      <c r="O220" s="17" t="s">
        <v>58</v>
      </c>
      <c r="P220" s="72" t="s">
        <v>1852</v>
      </c>
      <c r="Q220" s="18"/>
      <c r="R220" s="47" t="s">
        <v>58</v>
      </c>
      <c r="S220" s="15" t="s">
        <v>64</v>
      </c>
      <c r="T220" s="15" t="s">
        <v>169</v>
      </c>
      <c r="U220" s="15"/>
      <c r="V220" s="73">
        <v>172</v>
      </c>
      <c r="W220" s="136">
        <f>180*2</f>
        <v>360</v>
      </c>
      <c r="X220" s="15">
        <f t="shared" si="48"/>
        <v>360</v>
      </c>
      <c r="Y220" s="15">
        <f>ROUNDDOWN(W220/HLOOKUP(D220,Table!$C$3:$D$4,2,0)*8,2)</f>
        <v>6.4</v>
      </c>
      <c r="Z220" s="15">
        <v>4</v>
      </c>
      <c r="AA220" s="15" t="s">
        <v>21</v>
      </c>
      <c r="AB220" s="19">
        <v>44085</v>
      </c>
      <c r="AC220" s="19">
        <v>44082</v>
      </c>
      <c r="AD220" s="81">
        <v>44085</v>
      </c>
      <c r="AE220" s="19">
        <v>44082</v>
      </c>
      <c r="AF220" s="19">
        <v>44082</v>
      </c>
      <c r="AG220" s="19" t="s">
        <v>155</v>
      </c>
      <c r="AH220" s="30">
        <v>1</v>
      </c>
      <c r="AI220" s="30">
        <v>1</v>
      </c>
      <c r="AJ220" s="30">
        <v>1</v>
      </c>
      <c r="AK220" s="19" t="s">
        <v>140</v>
      </c>
      <c r="AL220" s="17" t="s">
        <v>58</v>
      </c>
      <c r="AM220" s="17" t="s">
        <v>58</v>
      </c>
      <c r="AN220" s="299" t="s">
        <v>1081</v>
      </c>
    </row>
    <row r="221" spans="2:40">
      <c r="B221" s="243">
        <f t="shared" si="49"/>
        <v>162</v>
      </c>
      <c r="C221" s="16">
        <v>20200907</v>
      </c>
      <c r="D221" s="73" t="s">
        <v>3</v>
      </c>
      <c r="E221" s="73" t="s">
        <v>1070</v>
      </c>
      <c r="F221" s="17" t="s">
        <v>1847</v>
      </c>
      <c r="G221" s="73">
        <v>1665233</v>
      </c>
      <c r="H221" s="47" t="s">
        <v>58</v>
      </c>
      <c r="I221" s="85" t="s">
        <v>1850</v>
      </c>
      <c r="J221" s="47" t="s">
        <v>58</v>
      </c>
      <c r="K221" s="15" t="s">
        <v>194</v>
      </c>
      <c r="L221" s="73" t="s">
        <v>140</v>
      </c>
      <c r="M221" s="15" t="s">
        <v>1077</v>
      </c>
      <c r="N221" s="73" t="s">
        <v>1080</v>
      </c>
      <c r="O221" s="17" t="s">
        <v>58</v>
      </c>
      <c r="P221" s="72" t="s">
        <v>1078</v>
      </c>
      <c r="Q221" s="18"/>
      <c r="R221" s="47" t="s">
        <v>58</v>
      </c>
      <c r="S221" s="15" t="s">
        <v>64</v>
      </c>
      <c r="T221" s="15" t="s">
        <v>169</v>
      </c>
      <c r="U221" s="15"/>
      <c r="V221" s="73">
        <v>11</v>
      </c>
      <c r="W221" s="136">
        <f>280*2</f>
        <v>560</v>
      </c>
      <c r="X221" s="15">
        <f t="shared" si="48"/>
        <v>560</v>
      </c>
      <c r="Y221" s="15">
        <f>ROUNDDOWN(W221/HLOOKUP(D221,Table!$C$3:$D$4,2,0)*8,2)</f>
        <v>9.9499999999999993</v>
      </c>
      <c r="Z221" s="15">
        <v>3</v>
      </c>
      <c r="AA221" s="15" t="s">
        <v>18</v>
      </c>
      <c r="AB221" s="19"/>
      <c r="AC221" s="19">
        <v>44082</v>
      </c>
      <c r="AD221" s="19">
        <v>44094</v>
      </c>
      <c r="AE221" s="19">
        <v>44082</v>
      </c>
      <c r="AF221" s="19">
        <v>44082</v>
      </c>
      <c r="AG221" s="19" t="s">
        <v>155</v>
      </c>
      <c r="AH221" s="30">
        <v>1</v>
      </c>
      <c r="AI221" s="30">
        <v>1</v>
      </c>
      <c r="AJ221" s="30">
        <v>1</v>
      </c>
      <c r="AK221" s="19" t="s">
        <v>140</v>
      </c>
      <c r="AL221" s="17" t="s">
        <v>58</v>
      </c>
      <c r="AM221" s="17" t="s">
        <v>58</v>
      </c>
      <c r="AN221" s="299" t="s">
        <v>1081</v>
      </c>
    </row>
    <row r="222" spans="2:40">
      <c r="B222" s="243">
        <f t="shared" si="49"/>
        <v>163</v>
      </c>
      <c r="C222" s="16">
        <v>20200907</v>
      </c>
      <c r="D222" s="73" t="s">
        <v>3</v>
      </c>
      <c r="E222" s="73" t="s">
        <v>1070</v>
      </c>
      <c r="F222" s="17" t="s">
        <v>1848</v>
      </c>
      <c r="G222" s="73">
        <v>1665233</v>
      </c>
      <c r="H222" s="47" t="s">
        <v>58</v>
      </c>
      <c r="I222" s="85" t="s">
        <v>1103</v>
      </c>
      <c r="J222" s="47" t="s">
        <v>58</v>
      </c>
      <c r="K222" s="15" t="s">
        <v>194</v>
      </c>
      <c r="L222" s="73" t="s">
        <v>140</v>
      </c>
      <c r="M222" s="15" t="s">
        <v>1077</v>
      </c>
      <c r="N222" s="73" t="s">
        <v>1080</v>
      </c>
      <c r="O222" s="17" t="s">
        <v>58</v>
      </c>
      <c r="P222" s="72" t="s">
        <v>1078</v>
      </c>
      <c r="Q222" s="18"/>
      <c r="R222" s="47" t="s">
        <v>58</v>
      </c>
      <c r="S222" s="15" t="s">
        <v>64</v>
      </c>
      <c r="T222" s="15" t="s">
        <v>169</v>
      </c>
      <c r="U222" s="15"/>
      <c r="V222" s="73">
        <v>62</v>
      </c>
      <c r="W222" s="136">
        <f>128*2</f>
        <v>256</v>
      </c>
      <c r="X222" s="15">
        <f t="shared" si="48"/>
        <v>256</v>
      </c>
      <c r="Y222" s="15">
        <f>ROUNDDOWN(W222/HLOOKUP(D222,Table!$C$3:$D$4,2,0)*8,2)</f>
        <v>4.55</v>
      </c>
      <c r="Z222" s="15">
        <v>2</v>
      </c>
      <c r="AA222" s="15" t="s">
        <v>18</v>
      </c>
      <c r="AB222" s="19"/>
      <c r="AC222" s="19">
        <v>44082</v>
      </c>
      <c r="AD222" s="19">
        <v>44094</v>
      </c>
      <c r="AE222" s="19">
        <v>44082</v>
      </c>
      <c r="AF222" s="19">
        <v>44082</v>
      </c>
      <c r="AG222" s="19" t="s">
        <v>155</v>
      </c>
      <c r="AH222" s="30">
        <v>1</v>
      </c>
      <c r="AI222" s="30">
        <v>1</v>
      </c>
      <c r="AJ222" s="30">
        <v>1</v>
      </c>
      <c r="AK222" s="19" t="s">
        <v>140</v>
      </c>
      <c r="AL222" s="17" t="s">
        <v>58</v>
      </c>
      <c r="AM222" s="17" t="s">
        <v>58</v>
      </c>
      <c r="AN222" s="299" t="s">
        <v>1081</v>
      </c>
    </row>
    <row r="223" spans="2:40">
      <c r="B223" s="243">
        <f t="shared" si="49"/>
        <v>164</v>
      </c>
      <c r="C223" s="16">
        <v>20200907</v>
      </c>
      <c r="D223" s="73" t="s">
        <v>3</v>
      </c>
      <c r="E223" s="73" t="s">
        <v>1070</v>
      </c>
      <c r="F223" s="17" t="s">
        <v>1849</v>
      </c>
      <c r="G223" s="73">
        <v>1665233</v>
      </c>
      <c r="H223" s="47" t="s">
        <v>58</v>
      </c>
      <c r="I223" s="85" t="s">
        <v>1851</v>
      </c>
      <c r="J223" s="47" t="s">
        <v>58</v>
      </c>
      <c r="K223" s="15" t="s">
        <v>194</v>
      </c>
      <c r="L223" s="73" t="s">
        <v>140</v>
      </c>
      <c r="M223" s="15" t="s">
        <v>1077</v>
      </c>
      <c r="N223" s="73" t="s">
        <v>1080</v>
      </c>
      <c r="O223" s="17" t="s">
        <v>58</v>
      </c>
      <c r="P223" s="72" t="s">
        <v>1078</v>
      </c>
      <c r="Q223" s="18"/>
      <c r="R223" s="47" t="s">
        <v>58</v>
      </c>
      <c r="S223" s="15" t="s">
        <v>64</v>
      </c>
      <c r="T223" s="15" t="s">
        <v>169</v>
      </c>
      <c r="U223" s="15"/>
      <c r="V223" s="73">
        <v>41</v>
      </c>
      <c r="W223" s="136">
        <f>V223*2</f>
        <v>82</v>
      </c>
      <c r="X223" s="15">
        <f t="shared" si="48"/>
        <v>82</v>
      </c>
      <c r="Y223" s="15">
        <f>ROUNDDOWN(W223/HLOOKUP(D223,Table!$C$3:$D$4,2,0)*8,2)</f>
        <v>1.45</v>
      </c>
      <c r="Z223" s="15">
        <v>1</v>
      </c>
      <c r="AA223" s="15" t="s">
        <v>18</v>
      </c>
      <c r="AB223" s="19"/>
      <c r="AC223" s="19">
        <v>44082</v>
      </c>
      <c r="AD223" s="19">
        <v>44094</v>
      </c>
      <c r="AE223" s="19">
        <v>44082</v>
      </c>
      <c r="AF223" s="19">
        <v>44082</v>
      </c>
      <c r="AG223" s="19" t="s">
        <v>155</v>
      </c>
      <c r="AH223" s="30">
        <v>1</v>
      </c>
      <c r="AI223" s="30">
        <v>1</v>
      </c>
      <c r="AJ223" s="30">
        <v>1</v>
      </c>
      <c r="AK223" s="19" t="s">
        <v>140</v>
      </c>
      <c r="AL223" s="17" t="s">
        <v>58</v>
      </c>
      <c r="AM223" s="17" t="s">
        <v>58</v>
      </c>
      <c r="AN223" s="299" t="s">
        <v>1081</v>
      </c>
    </row>
    <row r="224" spans="2:40" ht="105">
      <c r="B224" s="243">
        <f t="shared" si="49"/>
        <v>165</v>
      </c>
      <c r="C224" s="16">
        <v>20200907</v>
      </c>
      <c r="D224" s="73" t="s">
        <v>3</v>
      </c>
      <c r="E224" s="73" t="s">
        <v>1500</v>
      </c>
      <c r="F224" s="17" t="s">
        <v>1915</v>
      </c>
      <c r="G224" s="73">
        <v>1664578</v>
      </c>
      <c r="H224" s="47" t="s">
        <v>58</v>
      </c>
      <c r="I224" s="85" t="s">
        <v>1105</v>
      </c>
      <c r="J224" s="47" t="s">
        <v>58</v>
      </c>
      <c r="K224" s="15" t="s">
        <v>194</v>
      </c>
      <c r="L224" s="73" t="s">
        <v>140</v>
      </c>
      <c r="M224" s="15" t="s">
        <v>1502</v>
      </c>
      <c r="N224" s="73" t="s">
        <v>1080</v>
      </c>
      <c r="O224" s="17" t="s">
        <v>58</v>
      </c>
      <c r="P224" s="72" t="s">
        <v>1916</v>
      </c>
      <c r="Q224" s="18"/>
      <c r="R224" s="47" t="s">
        <v>58</v>
      </c>
      <c r="S224" s="15" t="s">
        <v>64</v>
      </c>
      <c r="T224" s="15" t="s">
        <v>169</v>
      </c>
      <c r="U224" s="15"/>
      <c r="V224" s="73">
        <v>300</v>
      </c>
      <c r="W224" s="136">
        <f>276*2</f>
        <v>552</v>
      </c>
      <c r="X224" s="15">
        <f t="shared" si="48"/>
        <v>552</v>
      </c>
      <c r="Y224" s="15">
        <f>ROUNDDOWN(W224/HLOOKUP(D224,Table!$C$3:$D$4,2,0)*8,2)</f>
        <v>9.81</v>
      </c>
      <c r="Z224" s="15">
        <v>6</v>
      </c>
      <c r="AA224" s="15" t="s">
        <v>21</v>
      </c>
      <c r="AB224" s="19">
        <v>44085</v>
      </c>
      <c r="AC224" s="19">
        <v>44082</v>
      </c>
      <c r="AD224" s="81">
        <v>44085</v>
      </c>
      <c r="AE224" s="19">
        <v>44082</v>
      </c>
      <c r="AF224" s="19">
        <v>44082</v>
      </c>
      <c r="AG224" s="19" t="s">
        <v>156</v>
      </c>
      <c r="AH224" s="30">
        <v>1</v>
      </c>
      <c r="AI224" s="30">
        <v>1</v>
      </c>
      <c r="AJ224" s="30">
        <v>0.94</v>
      </c>
      <c r="AK224" s="19" t="s">
        <v>130</v>
      </c>
      <c r="AL224" s="137" t="s">
        <v>2032</v>
      </c>
      <c r="AM224" s="17"/>
      <c r="AN224" s="306" t="s">
        <v>1917</v>
      </c>
    </row>
    <row r="225" spans="2:40">
      <c r="B225" s="338">
        <f t="shared" si="49"/>
        <v>166</v>
      </c>
      <c r="C225" s="16">
        <v>20200907</v>
      </c>
      <c r="D225" s="73" t="s">
        <v>3</v>
      </c>
      <c r="E225" s="73" t="s">
        <v>1853</v>
      </c>
      <c r="F225" s="225" t="s">
        <v>2030</v>
      </c>
      <c r="G225" s="73">
        <v>1664649</v>
      </c>
      <c r="H225" s="47" t="s">
        <v>58</v>
      </c>
      <c r="I225" s="73" t="s">
        <v>495</v>
      </c>
      <c r="J225" s="47" t="s">
        <v>58</v>
      </c>
      <c r="K225" s="15" t="s">
        <v>192</v>
      </c>
      <c r="L225" s="73" t="s">
        <v>1869</v>
      </c>
      <c r="M225" s="15" t="s">
        <v>1863</v>
      </c>
      <c r="N225" s="73" t="s">
        <v>1859</v>
      </c>
      <c r="O225" s="17" t="s">
        <v>58</v>
      </c>
      <c r="P225" s="72" t="s">
        <v>1890</v>
      </c>
      <c r="Q225" s="18"/>
      <c r="R225" s="47" t="s">
        <v>58</v>
      </c>
      <c r="S225" s="15" t="s">
        <v>179</v>
      </c>
      <c r="T225" s="15" t="s">
        <v>168</v>
      </c>
      <c r="U225" s="15" t="s">
        <v>578</v>
      </c>
      <c r="V225" s="73">
        <v>66</v>
      </c>
      <c r="W225" s="16">
        <f>V225</f>
        <v>66</v>
      </c>
      <c r="X225" s="15">
        <f>W225</f>
        <v>66</v>
      </c>
      <c r="Y225" s="15">
        <f>ROUNDDOWN(W225/HLOOKUP(D225,Table!$C$3:$D$4,2,0)*8,2)</f>
        <v>1.17</v>
      </c>
      <c r="Z225" s="15">
        <v>1</v>
      </c>
      <c r="AA225" s="15" t="s">
        <v>21</v>
      </c>
      <c r="AB225" s="19">
        <v>44085</v>
      </c>
      <c r="AC225" s="19">
        <v>44082</v>
      </c>
      <c r="AD225" s="19">
        <v>44089</v>
      </c>
      <c r="AE225" s="19">
        <v>44083</v>
      </c>
      <c r="AF225" s="19">
        <v>44083</v>
      </c>
      <c r="AG225" s="19" t="s">
        <v>155</v>
      </c>
      <c r="AH225" s="30">
        <v>1</v>
      </c>
      <c r="AI225" s="30">
        <v>1</v>
      </c>
      <c r="AJ225" s="30">
        <v>1</v>
      </c>
      <c r="AK225" s="19" t="s">
        <v>140</v>
      </c>
      <c r="AL225" s="17" t="s">
        <v>58</v>
      </c>
      <c r="AM225" s="17" t="s">
        <v>58</v>
      </c>
      <c r="AN225" s="17" t="s">
        <v>58</v>
      </c>
    </row>
    <row r="226" spans="2:40">
      <c r="B226" s="338">
        <f t="shared" si="49"/>
        <v>167</v>
      </c>
      <c r="C226" s="16">
        <v>20200907</v>
      </c>
      <c r="D226" s="73" t="s">
        <v>3</v>
      </c>
      <c r="E226" s="73" t="s">
        <v>1853</v>
      </c>
      <c r="F226" s="225" t="s">
        <v>2031</v>
      </c>
      <c r="G226" s="73">
        <v>1664649</v>
      </c>
      <c r="H226" s="47" t="s">
        <v>58</v>
      </c>
      <c r="I226" s="73" t="s">
        <v>491</v>
      </c>
      <c r="J226" s="47" t="s">
        <v>58</v>
      </c>
      <c r="K226" s="15" t="s">
        <v>192</v>
      </c>
      <c r="L226" s="73" t="s">
        <v>1869</v>
      </c>
      <c r="M226" s="15" t="s">
        <v>1863</v>
      </c>
      <c r="N226" s="73" t="s">
        <v>1859</v>
      </c>
      <c r="O226" s="17" t="s">
        <v>58</v>
      </c>
      <c r="P226" s="72" t="s">
        <v>1890</v>
      </c>
      <c r="Q226" s="18"/>
      <c r="R226" s="47" t="s">
        <v>58</v>
      </c>
      <c r="S226" s="15" t="s">
        <v>179</v>
      </c>
      <c r="T226" s="15" t="s">
        <v>168</v>
      </c>
      <c r="U226" s="15" t="s">
        <v>578</v>
      </c>
      <c r="V226" s="73">
        <v>101</v>
      </c>
      <c r="W226" s="136">
        <f>190</f>
        <v>190</v>
      </c>
      <c r="X226" s="15">
        <f>W226</f>
        <v>190</v>
      </c>
      <c r="Y226" s="15">
        <f>ROUNDDOWN(W226/HLOOKUP(D226,Table!$C$3:$D$4,2,0)*8,2)</f>
        <v>3.37</v>
      </c>
      <c r="Z226" s="15">
        <v>2</v>
      </c>
      <c r="AA226" s="15" t="s">
        <v>21</v>
      </c>
      <c r="AB226" s="19">
        <v>44085</v>
      </c>
      <c r="AC226" s="19">
        <v>44082</v>
      </c>
      <c r="AD226" s="19">
        <v>44089</v>
      </c>
      <c r="AE226" s="19">
        <v>44084</v>
      </c>
      <c r="AF226" s="19">
        <v>44084</v>
      </c>
      <c r="AG226" s="19" t="s">
        <v>156</v>
      </c>
      <c r="AH226" s="30">
        <v>1</v>
      </c>
      <c r="AI226" s="30">
        <v>0.96</v>
      </c>
      <c r="AJ226" s="30">
        <v>1</v>
      </c>
      <c r="AK226" s="19" t="s">
        <v>130</v>
      </c>
      <c r="AL226" s="17" t="s">
        <v>2149</v>
      </c>
      <c r="AM226" s="17" t="s">
        <v>58</v>
      </c>
      <c r="AN226" s="17" t="s">
        <v>58</v>
      </c>
    </row>
    <row r="227" spans="2:40">
      <c r="B227" s="338">
        <f t="shared" si="49"/>
        <v>168</v>
      </c>
      <c r="C227" s="16">
        <v>20200907</v>
      </c>
      <c r="D227" s="73" t="s">
        <v>3</v>
      </c>
      <c r="E227" s="73" t="s">
        <v>1854</v>
      </c>
      <c r="F227" s="17" t="s">
        <v>1888</v>
      </c>
      <c r="G227" s="73">
        <v>1653634</v>
      </c>
      <c r="H227" s="47" t="s">
        <v>58</v>
      </c>
      <c r="I227" s="73" t="s">
        <v>1874</v>
      </c>
      <c r="J227" s="47" t="s">
        <v>58</v>
      </c>
      <c r="K227" s="15" t="s">
        <v>192</v>
      </c>
      <c r="L227" s="73" t="s">
        <v>140</v>
      </c>
      <c r="M227" s="15" t="s">
        <v>1864</v>
      </c>
      <c r="N227" s="73" t="s">
        <v>1860</v>
      </c>
      <c r="O227" s="17" t="s">
        <v>58</v>
      </c>
      <c r="P227" s="72" t="s">
        <v>1891</v>
      </c>
      <c r="Q227" s="18"/>
      <c r="R227" s="47" t="s">
        <v>58</v>
      </c>
      <c r="S227" s="15" t="s">
        <v>64</v>
      </c>
      <c r="T227" s="15" t="s">
        <v>169</v>
      </c>
      <c r="U227" s="15" t="s">
        <v>578</v>
      </c>
      <c r="V227" s="73">
        <v>86</v>
      </c>
      <c r="W227" s="212">
        <f t="shared" ref="W227:W242" si="50">V227</f>
        <v>86</v>
      </c>
      <c r="X227" s="15">
        <f>W227</f>
        <v>86</v>
      </c>
      <c r="Y227" s="15">
        <f>ROUNDDOWN(W227/HLOOKUP(D227,Table!$C$3:$D$4,2,0)*8,2)</f>
        <v>1.52</v>
      </c>
      <c r="Z227" s="15">
        <v>2</v>
      </c>
      <c r="AA227" s="15" t="s">
        <v>21</v>
      </c>
      <c r="AB227" s="19">
        <v>44083</v>
      </c>
      <c r="AC227" s="19">
        <v>44082</v>
      </c>
      <c r="AD227" s="81">
        <v>44083</v>
      </c>
      <c r="AE227" s="19">
        <v>44082</v>
      </c>
      <c r="AF227" s="19">
        <v>44082</v>
      </c>
      <c r="AG227" s="19" t="s">
        <v>155</v>
      </c>
      <c r="AH227" s="30">
        <v>1</v>
      </c>
      <c r="AI227" s="30">
        <v>1</v>
      </c>
      <c r="AJ227" s="30">
        <v>1</v>
      </c>
      <c r="AK227" s="19" t="s">
        <v>140</v>
      </c>
      <c r="AL227" s="17" t="s">
        <v>58</v>
      </c>
      <c r="AM227" s="17" t="s">
        <v>58</v>
      </c>
      <c r="AN227" s="17" t="s">
        <v>58</v>
      </c>
    </row>
    <row r="228" spans="2:40">
      <c r="B228" s="338">
        <f t="shared" si="49"/>
        <v>169</v>
      </c>
      <c r="C228" s="16">
        <v>20200907</v>
      </c>
      <c r="D228" s="73" t="s">
        <v>3</v>
      </c>
      <c r="E228" s="73" t="s">
        <v>1854</v>
      </c>
      <c r="F228" s="225" t="s">
        <v>1919</v>
      </c>
      <c r="G228" s="73">
        <v>1653634</v>
      </c>
      <c r="H228" s="47" t="s">
        <v>58</v>
      </c>
      <c r="I228" s="73" t="s">
        <v>1875</v>
      </c>
      <c r="J228" s="47" t="s">
        <v>58</v>
      </c>
      <c r="K228" s="15" t="s">
        <v>192</v>
      </c>
      <c r="L228" s="73" t="s">
        <v>140</v>
      </c>
      <c r="M228" s="15" t="s">
        <v>1864</v>
      </c>
      <c r="N228" s="73" t="s">
        <v>1860</v>
      </c>
      <c r="O228" s="17" t="s">
        <v>58</v>
      </c>
      <c r="P228" s="72" t="s">
        <v>1891</v>
      </c>
      <c r="Q228" s="18"/>
      <c r="R228" s="47" t="s">
        <v>58</v>
      </c>
      <c r="S228" s="15" t="s">
        <v>179</v>
      </c>
      <c r="T228" s="15" t="s">
        <v>168</v>
      </c>
      <c r="U228" s="15" t="s">
        <v>578</v>
      </c>
      <c r="V228" s="73">
        <v>613</v>
      </c>
      <c r="W228" s="16">
        <f t="shared" si="50"/>
        <v>613</v>
      </c>
      <c r="X228" s="15">
        <f>W228</f>
        <v>613</v>
      </c>
      <c r="Y228" s="15">
        <f>ROUNDDOWN(W228/HLOOKUP(D228,Table!$C$3:$D$4,2,0)*8,2)</f>
        <v>10.89</v>
      </c>
      <c r="Z228" s="15">
        <v>4</v>
      </c>
      <c r="AA228" s="15" t="s">
        <v>21</v>
      </c>
      <c r="AB228" s="19">
        <v>44083</v>
      </c>
      <c r="AC228" s="19">
        <v>44082</v>
      </c>
      <c r="AD228" s="81">
        <v>44083</v>
      </c>
      <c r="AE228" s="19">
        <v>44082</v>
      </c>
      <c r="AF228" s="19">
        <v>44082</v>
      </c>
      <c r="AG228" s="19" t="s">
        <v>155</v>
      </c>
      <c r="AH228" s="30">
        <v>1</v>
      </c>
      <c r="AI228" s="30">
        <v>1</v>
      </c>
      <c r="AJ228" s="30">
        <v>1</v>
      </c>
      <c r="AK228" s="19" t="s">
        <v>140</v>
      </c>
      <c r="AL228" s="17" t="s">
        <v>58</v>
      </c>
      <c r="AM228" s="17" t="s">
        <v>58</v>
      </c>
      <c r="AN228" s="17" t="s">
        <v>58</v>
      </c>
    </row>
    <row r="229" spans="2:40">
      <c r="B229" s="338">
        <f t="shared" si="49"/>
        <v>170</v>
      </c>
      <c r="C229" s="16">
        <v>20200907</v>
      </c>
      <c r="D229" s="73" t="s">
        <v>3</v>
      </c>
      <c r="E229" s="73" t="s">
        <v>1854</v>
      </c>
      <c r="F229" s="17" t="s">
        <v>1888</v>
      </c>
      <c r="G229" s="73">
        <v>1653634</v>
      </c>
      <c r="H229" s="47" t="s">
        <v>58</v>
      </c>
      <c r="I229" s="73" t="s">
        <v>1876</v>
      </c>
      <c r="J229" s="47" t="s">
        <v>58</v>
      </c>
      <c r="K229" s="15" t="s">
        <v>192</v>
      </c>
      <c r="L229" s="73" t="s">
        <v>140</v>
      </c>
      <c r="M229" s="15" t="s">
        <v>1864</v>
      </c>
      <c r="N229" s="73" t="s">
        <v>1860</v>
      </c>
      <c r="O229" s="17" t="s">
        <v>58</v>
      </c>
      <c r="P229" s="72" t="s">
        <v>1891</v>
      </c>
      <c r="Q229" s="18"/>
      <c r="R229" s="47" t="s">
        <v>58</v>
      </c>
      <c r="S229" s="15" t="s">
        <v>64</v>
      </c>
      <c r="T229" s="15" t="s">
        <v>169</v>
      </c>
      <c r="U229" s="15" t="s">
        <v>578</v>
      </c>
      <c r="V229" s="73">
        <v>243</v>
      </c>
      <c r="W229" s="212">
        <f t="shared" si="50"/>
        <v>243</v>
      </c>
      <c r="X229" s="15">
        <f>W229</f>
        <v>243</v>
      </c>
      <c r="Y229" s="15">
        <f>ROUNDDOWN(W229/HLOOKUP(D229,Table!$C$3:$D$4,2,0)*8,2)</f>
        <v>4.32</v>
      </c>
      <c r="Z229" s="15">
        <v>5</v>
      </c>
      <c r="AA229" s="15" t="s">
        <v>21</v>
      </c>
      <c r="AB229" s="19">
        <v>44083</v>
      </c>
      <c r="AC229" s="19">
        <v>44082</v>
      </c>
      <c r="AD229" s="81">
        <v>44083</v>
      </c>
      <c r="AE229" s="19">
        <v>44082</v>
      </c>
      <c r="AF229" s="19">
        <v>44082</v>
      </c>
      <c r="AG229" s="19" t="s">
        <v>155</v>
      </c>
      <c r="AH229" s="30">
        <v>1</v>
      </c>
      <c r="AI229" s="30">
        <v>1</v>
      </c>
      <c r="AJ229" s="30">
        <v>1</v>
      </c>
      <c r="AK229" s="19" t="s">
        <v>140</v>
      </c>
      <c r="AL229" s="17" t="s">
        <v>58</v>
      </c>
      <c r="AM229" s="17" t="s">
        <v>58</v>
      </c>
      <c r="AN229" s="17" t="s">
        <v>58</v>
      </c>
    </row>
    <row r="230" spans="2:40">
      <c r="B230" s="338">
        <f t="shared" si="49"/>
        <v>171</v>
      </c>
      <c r="C230" s="16">
        <v>20200907</v>
      </c>
      <c r="D230" s="73" t="s">
        <v>3</v>
      </c>
      <c r="E230" s="73" t="s">
        <v>1854</v>
      </c>
      <c r="F230" s="225" t="s">
        <v>1909</v>
      </c>
      <c r="G230" s="73">
        <v>1653634</v>
      </c>
      <c r="H230" s="47" t="s">
        <v>58</v>
      </c>
      <c r="I230" s="73" t="s">
        <v>1877</v>
      </c>
      <c r="J230" s="47" t="s">
        <v>58</v>
      </c>
      <c r="K230" s="15" t="s">
        <v>192</v>
      </c>
      <c r="L230" s="73" t="s">
        <v>140</v>
      </c>
      <c r="M230" s="15" t="s">
        <v>1864</v>
      </c>
      <c r="N230" s="73" t="s">
        <v>1860</v>
      </c>
      <c r="O230" s="17" t="s">
        <v>58</v>
      </c>
      <c r="P230" s="72" t="s">
        <v>1891</v>
      </c>
      <c r="Q230" s="18"/>
      <c r="R230" s="47" t="s">
        <v>58</v>
      </c>
      <c r="S230" s="15" t="s">
        <v>167</v>
      </c>
      <c r="T230" s="15" t="s">
        <v>64</v>
      </c>
      <c r="U230" s="15" t="s">
        <v>578</v>
      </c>
      <c r="V230" s="73">
        <v>138</v>
      </c>
      <c r="W230" s="16">
        <f t="shared" si="50"/>
        <v>138</v>
      </c>
      <c r="X230" s="15">
        <f>W230</f>
        <v>138</v>
      </c>
      <c r="Y230" s="15">
        <f>ROUNDDOWN(W230/HLOOKUP(D230,Table!$C$3:$D$4,2,0)*8,2)</f>
        <v>2.4500000000000002</v>
      </c>
      <c r="Z230" s="15"/>
      <c r="AA230" s="15" t="s">
        <v>21</v>
      </c>
      <c r="AB230" s="19">
        <v>44083</v>
      </c>
      <c r="AC230" s="19">
        <v>44082</v>
      </c>
      <c r="AD230" s="81">
        <v>44083</v>
      </c>
      <c r="AE230" s="19">
        <v>44082</v>
      </c>
      <c r="AF230" s="19">
        <v>44082</v>
      </c>
      <c r="AG230" s="19" t="s">
        <v>155</v>
      </c>
      <c r="AH230" s="30">
        <v>1</v>
      </c>
      <c r="AI230" s="30">
        <v>1</v>
      </c>
      <c r="AJ230" s="30">
        <v>1</v>
      </c>
      <c r="AK230" s="19" t="s">
        <v>140</v>
      </c>
      <c r="AL230" s="17" t="s">
        <v>58</v>
      </c>
      <c r="AM230" s="17" t="s">
        <v>58</v>
      </c>
      <c r="AN230" s="17" t="s">
        <v>58</v>
      </c>
    </row>
    <row r="231" spans="2:40">
      <c r="B231" s="338">
        <f t="shared" si="49"/>
        <v>172</v>
      </c>
      <c r="C231" s="16">
        <v>20200907</v>
      </c>
      <c r="D231" s="73" t="s">
        <v>3</v>
      </c>
      <c r="E231" s="73" t="s">
        <v>1854</v>
      </c>
      <c r="F231" s="225" t="s">
        <v>1910</v>
      </c>
      <c r="G231" s="73">
        <v>1653634</v>
      </c>
      <c r="H231" s="47" t="s">
        <v>58</v>
      </c>
      <c r="I231" s="73" t="s">
        <v>1878</v>
      </c>
      <c r="J231" s="47" t="s">
        <v>58</v>
      </c>
      <c r="K231" s="15" t="s">
        <v>192</v>
      </c>
      <c r="L231" s="73" t="s">
        <v>140</v>
      </c>
      <c r="M231" s="15" t="s">
        <v>1864</v>
      </c>
      <c r="N231" s="73" t="s">
        <v>1860</v>
      </c>
      <c r="O231" s="17" t="s">
        <v>58</v>
      </c>
      <c r="P231" s="72" t="s">
        <v>1891</v>
      </c>
      <c r="Q231" s="18"/>
      <c r="R231" s="47" t="s">
        <v>58</v>
      </c>
      <c r="S231" s="15" t="s">
        <v>167</v>
      </c>
      <c r="T231" s="15" t="s">
        <v>64</v>
      </c>
      <c r="U231" s="15" t="s">
        <v>578</v>
      </c>
      <c r="V231" s="73">
        <v>593</v>
      </c>
      <c r="W231" s="212">
        <v>0</v>
      </c>
      <c r="X231" s="15">
        <v>0</v>
      </c>
      <c r="Y231" s="15">
        <f>ROUNDDOWN(W231/HLOOKUP(D231,Table!$C$3:$D$4,2,0)*8,2)</f>
        <v>0</v>
      </c>
      <c r="Z231" s="15">
        <f>Y231</f>
        <v>0</v>
      </c>
      <c r="AA231" s="15" t="s">
        <v>21</v>
      </c>
      <c r="AB231" s="19">
        <v>44083</v>
      </c>
      <c r="AC231" s="19">
        <v>44082</v>
      </c>
      <c r="AD231" s="81">
        <v>44083</v>
      </c>
      <c r="AE231" s="19">
        <v>44082</v>
      </c>
      <c r="AF231" s="19">
        <v>44082</v>
      </c>
      <c r="AG231" s="19" t="s">
        <v>155</v>
      </c>
      <c r="AH231" s="30" t="s">
        <v>58</v>
      </c>
      <c r="AI231" s="30" t="s">
        <v>58</v>
      </c>
      <c r="AJ231" s="30" t="s">
        <v>58</v>
      </c>
      <c r="AK231" s="19" t="s">
        <v>140</v>
      </c>
      <c r="AL231" s="17" t="s">
        <v>58</v>
      </c>
      <c r="AM231" s="17" t="s">
        <v>58</v>
      </c>
      <c r="AN231" s="17" t="s">
        <v>1902</v>
      </c>
    </row>
    <row r="232" spans="2:40">
      <c r="B232" s="338">
        <f t="shared" si="49"/>
        <v>173</v>
      </c>
      <c r="C232" s="16">
        <v>20200907</v>
      </c>
      <c r="D232" s="73" t="s">
        <v>3</v>
      </c>
      <c r="E232" s="73" t="s">
        <v>1854</v>
      </c>
      <c r="F232" s="17" t="s">
        <v>1889</v>
      </c>
      <c r="G232" s="73">
        <v>1653634</v>
      </c>
      <c r="H232" s="47" t="s">
        <v>58</v>
      </c>
      <c r="I232" s="73" t="s">
        <v>1879</v>
      </c>
      <c r="J232" s="47" t="s">
        <v>58</v>
      </c>
      <c r="K232" s="15" t="s">
        <v>192</v>
      </c>
      <c r="L232" s="73" t="s">
        <v>140</v>
      </c>
      <c r="M232" s="15" t="s">
        <v>1864</v>
      </c>
      <c r="N232" s="73" t="s">
        <v>1860</v>
      </c>
      <c r="O232" s="17" t="s">
        <v>58</v>
      </c>
      <c r="P232" s="72" t="s">
        <v>1891</v>
      </c>
      <c r="Q232" s="18"/>
      <c r="R232" s="47" t="s">
        <v>58</v>
      </c>
      <c r="S232" s="15" t="s">
        <v>64</v>
      </c>
      <c r="T232" s="15" t="s">
        <v>169</v>
      </c>
      <c r="U232" s="15" t="s">
        <v>578</v>
      </c>
      <c r="V232" s="73">
        <v>130</v>
      </c>
      <c r="W232" s="212">
        <f t="shared" si="50"/>
        <v>130</v>
      </c>
      <c r="X232" s="15">
        <f t="shared" ref="X232:X244" si="51">W232</f>
        <v>130</v>
      </c>
      <c r="Y232" s="15">
        <f>ROUNDDOWN(W232/HLOOKUP(D232,Table!$C$3:$D$4,2,0)*8,2)</f>
        <v>2.31</v>
      </c>
      <c r="Z232" s="15">
        <v>3</v>
      </c>
      <c r="AA232" s="15" t="s">
        <v>21</v>
      </c>
      <c r="AB232" s="19">
        <v>44083</v>
      </c>
      <c r="AC232" s="19">
        <v>44082</v>
      </c>
      <c r="AD232" s="81">
        <v>44083</v>
      </c>
      <c r="AE232" s="19">
        <v>44082</v>
      </c>
      <c r="AF232" s="19">
        <v>44082</v>
      </c>
      <c r="AG232" s="19" t="s">
        <v>155</v>
      </c>
      <c r="AH232" s="30">
        <v>1</v>
      </c>
      <c r="AI232" s="30">
        <v>1</v>
      </c>
      <c r="AJ232" s="30">
        <v>1</v>
      </c>
      <c r="AK232" s="19" t="s">
        <v>140</v>
      </c>
      <c r="AL232" s="17" t="s">
        <v>58</v>
      </c>
      <c r="AM232" s="17" t="s">
        <v>58</v>
      </c>
      <c r="AN232" s="17" t="s">
        <v>58</v>
      </c>
    </row>
    <row r="233" spans="2:40">
      <c r="B233" s="338">
        <f t="shared" si="49"/>
        <v>174</v>
      </c>
      <c r="C233" s="16">
        <v>20200907</v>
      </c>
      <c r="D233" s="73" t="s">
        <v>3</v>
      </c>
      <c r="E233" s="73" t="s">
        <v>1855</v>
      </c>
      <c r="F233" s="225" t="s">
        <v>1908</v>
      </c>
      <c r="G233" s="73">
        <v>1639799</v>
      </c>
      <c r="H233" s="47" t="s">
        <v>58</v>
      </c>
      <c r="I233" s="85" t="s">
        <v>1880</v>
      </c>
      <c r="J233" s="47" t="s">
        <v>58</v>
      </c>
      <c r="K233" s="15" t="s">
        <v>192</v>
      </c>
      <c r="L233" s="73" t="s">
        <v>1870</v>
      </c>
      <c r="M233" s="15" t="s">
        <v>1865</v>
      </c>
      <c r="N233" s="73" t="s">
        <v>1383</v>
      </c>
      <c r="O233" s="17" t="s">
        <v>58</v>
      </c>
      <c r="P233" s="72" t="s">
        <v>1892</v>
      </c>
      <c r="Q233" s="18"/>
      <c r="R233" s="47" t="s">
        <v>58</v>
      </c>
      <c r="S233" s="15" t="s">
        <v>169</v>
      </c>
      <c r="T233" s="15" t="s">
        <v>179</v>
      </c>
      <c r="U233" s="15" t="s">
        <v>578</v>
      </c>
      <c r="V233" s="73">
        <v>276</v>
      </c>
      <c r="W233" s="16">
        <f t="shared" si="50"/>
        <v>276</v>
      </c>
      <c r="X233" s="15">
        <f t="shared" si="51"/>
        <v>276</v>
      </c>
      <c r="Y233" s="15">
        <f>ROUNDDOWN(W233/HLOOKUP(D233,Table!$C$3:$D$4,2,0)*8,2)</f>
        <v>4.9000000000000004</v>
      </c>
      <c r="Z233" s="15">
        <v>4</v>
      </c>
      <c r="AA233" s="15" t="s">
        <v>21</v>
      </c>
      <c r="AB233" s="19">
        <v>44085</v>
      </c>
      <c r="AC233" s="19">
        <v>44082</v>
      </c>
      <c r="AD233" s="81">
        <v>44085</v>
      </c>
      <c r="AE233" s="19">
        <v>44082</v>
      </c>
      <c r="AF233" s="19">
        <v>44082</v>
      </c>
      <c r="AG233" s="19" t="s">
        <v>155</v>
      </c>
      <c r="AH233" s="30">
        <v>1</v>
      </c>
      <c r="AI233" s="30">
        <v>1</v>
      </c>
      <c r="AJ233" s="30">
        <v>1</v>
      </c>
      <c r="AK233" s="19" t="s">
        <v>140</v>
      </c>
      <c r="AL233" s="17" t="s">
        <v>58</v>
      </c>
      <c r="AM233" s="17" t="s">
        <v>58</v>
      </c>
      <c r="AN233" s="17" t="s">
        <v>58</v>
      </c>
    </row>
    <row r="234" spans="2:40">
      <c r="B234" s="338">
        <f t="shared" si="49"/>
        <v>175</v>
      </c>
      <c r="C234" s="16">
        <v>20200907</v>
      </c>
      <c r="D234" s="73" t="s">
        <v>3</v>
      </c>
      <c r="E234" s="73" t="s">
        <v>1855</v>
      </c>
      <c r="F234" s="225" t="s">
        <v>1912</v>
      </c>
      <c r="G234" s="73">
        <v>1639799</v>
      </c>
      <c r="H234" s="47" t="s">
        <v>58</v>
      </c>
      <c r="I234" s="85" t="s">
        <v>1881</v>
      </c>
      <c r="J234" s="47" t="s">
        <v>58</v>
      </c>
      <c r="K234" s="15" t="s">
        <v>192</v>
      </c>
      <c r="L234" s="73" t="s">
        <v>1870</v>
      </c>
      <c r="M234" s="15" t="s">
        <v>1865</v>
      </c>
      <c r="N234" s="73" t="s">
        <v>1383</v>
      </c>
      <c r="O234" s="17" t="s">
        <v>58</v>
      </c>
      <c r="P234" s="72" t="s">
        <v>1892</v>
      </c>
      <c r="Q234" s="18"/>
      <c r="R234" s="47" t="s">
        <v>58</v>
      </c>
      <c r="S234" s="15" t="s">
        <v>169</v>
      </c>
      <c r="T234" s="15" t="s">
        <v>179</v>
      </c>
      <c r="U234" s="15" t="s">
        <v>578</v>
      </c>
      <c r="V234" s="73">
        <v>79</v>
      </c>
      <c r="W234" s="16">
        <f t="shared" si="50"/>
        <v>79</v>
      </c>
      <c r="X234" s="15">
        <f t="shared" si="51"/>
        <v>79</v>
      </c>
      <c r="Y234" s="15">
        <f>ROUNDDOWN(W234/HLOOKUP(D234,Table!$C$3:$D$4,2,0)*8,2)</f>
        <v>1.4</v>
      </c>
      <c r="Z234" s="15">
        <v>0.5</v>
      </c>
      <c r="AA234" s="15" t="s">
        <v>21</v>
      </c>
      <c r="AB234" s="19">
        <v>44085</v>
      </c>
      <c r="AC234" s="19">
        <v>44082</v>
      </c>
      <c r="AD234" s="81">
        <v>44085</v>
      </c>
      <c r="AE234" s="19">
        <v>44082</v>
      </c>
      <c r="AF234" s="19">
        <v>44082</v>
      </c>
      <c r="AG234" s="19" t="s">
        <v>155</v>
      </c>
      <c r="AH234" s="30">
        <v>1</v>
      </c>
      <c r="AI234" s="30">
        <v>1</v>
      </c>
      <c r="AJ234" s="30">
        <v>1</v>
      </c>
      <c r="AK234" s="19" t="s">
        <v>140</v>
      </c>
      <c r="AL234" s="17" t="s">
        <v>58</v>
      </c>
      <c r="AM234" s="17" t="s">
        <v>58</v>
      </c>
      <c r="AN234" s="17" t="s">
        <v>58</v>
      </c>
    </row>
    <row r="235" spans="2:40">
      <c r="B235" s="338">
        <f t="shared" si="49"/>
        <v>176</v>
      </c>
      <c r="C235" s="16">
        <v>20200907</v>
      </c>
      <c r="D235" s="73" t="s">
        <v>3</v>
      </c>
      <c r="E235" s="73" t="s">
        <v>1855</v>
      </c>
      <c r="F235" s="225" t="s">
        <v>1912</v>
      </c>
      <c r="G235" s="73">
        <v>1639799</v>
      </c>
      <c r="H235" s="47" t="s">
        <v>58</v>
      </c>
      <c r="I235" s="85" t="s">
        <v>1882</v>
      </c>
      <c r="J235" s="47" t="s">
        <v>58</v>
      </c>
      <c r="K235" s="15" t="s">
        <v>192</v>
      </c>
      <c r="L235" s="73" t="s">
        <v>1870</v>
      </c>
      <c r="M235" s="15" t="s">
        <v>1865</v>
      </c>
      <c r="N235" s="73" t="s">
        <v>1383</v>
      </c>
      <c r="O235" s="17" t="s">
        <v>58</v>
      </c>
      <c r="P235" s="72" t="s">
        <v>1892</v>
      </c>
      <c r="Q235" s="18"/>
      <c r="R235" s="47" t="s">
        <v>58</v>
      </c>
      <c r="S235" s="15" t="s">
        <v>169</v>
      </c>
      <c r="T235" s="15" t="s">
        <v>179</v>
      </c>
      <c r="U235" s="15" t="s">
        <v>578</v>
      </c>
      <c r="V235" s="73">
        <v>45</v>
      </c>
      <c r="W235" s="16">
        <f t="shared" si="50"/>
        <v>45</v>
      </c>
      <c r="X235" s="15">
        <f t="shared" si="51"/>
        <v>45</v>
      </c>
      <c r="Y235" s="15">
        <f>ROUNDDOWN(W235/HLOOKUP(D235,Table!$C$3:$D$4,2,0)*8,2)</f>
        <v>0.8</v>
      </c>
      <c r="Z235" s="15">
        <v>0.5</v>
      </c>
      <c r="AA235" s="15" t="s">
        <v>21</v>
      </c>
      <c r="AB235" s="19">
        <v>44085</v>
      </c>
      <c r="AC235" s="19">
        <v>44082</v>
      </c>
      <c r="AD235" s="81">
        <v>44085</v>
      </c>
      <c r="AE235" s="19">
        <v>44082</v>
      </c>
      <c r="AF235" s="19">
        <v>44082</v>
      </c>
      <c r="AG235" s="19" t="s">
        <v>155</v>
      </c>
      <c r="AH235" s="30">
        <v>1</v>
      </c>
      <c r="AI235" s="30">
        <v>1</v>
      </c>
      <c r="AJ235" s="30">
        <v>1</v>
      </c>
      <c r="AK235" s="19" t="s">
        <v>140</v>
      </c>
      <c r="AL235" s="17" t="s">
        <v>58</v>
      </c>
      <c r="AM235" s="17" t="s">
        <v>58</v>
      </c>
      <c r="AN235" s="17" t="s">
        <v>58</v>
      </c>
    </row>
    <row r="236" spans="2:40">
      <c r="B236" s="338">
        <f t="shared" si="49"/>
        <v>177</v>
      </c>
      <c r="C236" s="16">
        <v>20200907</v>
      </c>
      <c r="D236" s="73" t="s">
        <v>3</v>
      </c>
      <c r="E236" s="73" t="s">
        <v>1855</v>
      </c>
      <c r="F236" s="225" t="s">
        <v>1912</v>
      </c>
      <c r="G236" s="73">
        <v>1639799</v>
      </c>
      <c r="H236" s="47" t="s">
        <v>58</v>
      </c>
      <c r="I236" s="85" t="s">
        <v>1883</v>
      </c>
      <c r="J236" s="47" t="s">
        <v>58</v>
      </c>
      <c r="K236" s="15" t="s">
        <v>192</v>
      </c>
      <c r="L236" s="73" t="s">
        <v>1870</v>
      </c>
      <c r="M236" s="15" t="s">
        <v>1865</v>
      </c>
      <c r="N236" s="73" t="s">
        <v>1383</v>
      </c>
      <c r="O236" s="17" t="s">
        <v>58</v>
      </c>
      <c r="P236" s="72" t="s">
        <v>1892</v>
      </c>
      <c r="Q236" s="18"/>
      <c r="R236" s="47" t="s">
        <v>58</v>
      </c>
      <c r="S236" s="15" t="s">
        <v>169</v>
      </c>
      <c r="T236" s="15" t="s">
        <v>179</v>
      </c>
      <c r="U236" s="15" t="s">
        <v>578</v>
      </c>
      <c r="V236" s="73">
        <v>33</v>
      </c>
      <c r="W236" s="16">
        <f t="shared" si="50"/>
        <v>33</v>
      </c>
      <c r="X236" s="15">
        <f t="shared" si="51"/>
        <v>33</v>
      </c>
      <c r="Y236" s="15">
        <f>ROUNDDOWN(W236/HLOOKUP(D236,Table!$C$3:$D$4,2,0)*8,2)</f>
        <v>0.57999999999999996</v>
      </c>
      <c r="Z236" s="15">
        <v>0.5</v>
      </c>
      <c r="AA236" s="15" t="s">
        <v>21</v>
      </c>
      <c r="AB236" s="19">
        <v>44085</v>
      </c>
      <c r="AC236" s="19">
        <v>44082</v>
      </c>
      <c r="AD236" s="81">
        <v>44085</v>
      </c>
      <c r="AE236" s="19">
        <v>44083</v>
      </c>
      <c r="AF236" s="19">
        <v>44083</v>
      </c>
      <c r="AG236" s="19" t="s">
        <v>156</v>
      </c>
      <c r="AH236" s="30">
        <v>1</v>
      </c>
      <c r="AI236" s="30">
        <v>1</v>
      </c>
      <c r="AJ236" s="30">
        <v>0.5</v>
      </c>
      <c r="AK236" s="19" t="s">
        <v>130</v>
      </c>
      <c r="AL236" t="s">
        <v>2194</v>
      </c>
      <c r="AM236" s="17" t="s">
        <v>58</v>
      </c>
      <c r="AN236" s="237" t="s">
        <v>2037</v>
      </c>
    </row>
    <row r="237" spans="2:40" ht="90">
      <c r="B237" s="338">
        <f t="shared" si="49"/>
        <v>178</v>
      </c>
      <c r="C237" s="16">
        <v>20200907</v>
      </c>
      <c r="D237" s="73" t="s">
        <v>3</v>
      </c>
      <c r="E237" s="73" t="s">
        <v>1856</v>
      </c>
      <c r="F237" s="225" t="s">
        <v>1898</v>
      </c>
      <c r="G237" s="73">
        <v>1625480</v>
      </c>
      <c r="H237" s="47" t="s">
        <v>58</v>
      </c>
      <c r="I237" s="73" t="s">
        <v>1884</v>
      </c>
      <c r="J237" s="47" t="s">
        <v>58</v>
      </c>
      <c r="K237" s="15" t="s">
        <v>192</v>
      </c>
      <c r="L237" s="73" t="s">
        <v>1871</v>
      </c>
      <c r="M237" s="15" t="s">
        <v>1866</v>
      </c>
      <c r="N237" s="73" t="s">
        <v>2173</v>
      </c>
      <c r="O237" s="17" t="s">
        <v>58</v>
      </c>
      <c r="P237" s="72" t="s">
        <v>1893</v>
      </c>
      <c r="Q237" s="18"/>
      <c r="R237" s="47" t="s">
        <v>58</v>
      </c>
      <c r="S237" s="15" t="s">
        <v>168</v>
      </c>
      <c r="T237" s="15" t="s">
        <v>179</v>
      </c>
      <c r="U237" s="15" t="s">
        <v>578</v>
      </c>
      <c r="V237" s="73">
        <v>987</v>
      </c>
      <c r="W237" s="16">
        <f t="shared" si="50"/>
        <v>987</v>
      </c>
      <c r="X237" s="15">
        <f t="shared" si="51"/>
        <v>987</v>
      </c>
      <c r="Y237" s="15">
        <f>ROUNDDOWN(W237/HLOOKUP(D237,Table!$C$3:$D$4,2,0)*8,2)</f>
        <v>17.54</v>
      </c>
      <c r="Z237" s="15">
        <v>8</v>
      </c>
      <c r="AA237" s="15" t="s">
        <v>21</v>
      </c>
      <c r="AB237" s="19">
        <v>44085</v>
      </c>
      <c r="AC237" s="19">
        <v>44082</v>
      </c>
      <c r="AD237" s="81">
        <v>44088</v>
      </c>
      <c r="AE237" s="19">
        <v>44084</v>
      </c>
      <c r="AF237" s="19">
        <v>44085</v>
      </c>
      <c r="AG237" s="19" t="s">
        <v>156</v>
      </c>
      <c r="AH237" s="30">
        <v>1</v>
      </c>
      <c r="AI237" s="30">
        <v>1</v>
      </c>
      <c r="AJ237" s="30">
        <v>0.87</v>
      </c>
      <c r="AK237" s="19" t="s">
        <v>140</v>
      </c>
      <c r="AL237" s="137" t="s">
        <v>2177</v>
      </c>
      <c r="AM237" s="17" t="s">
        <v>58</v>
      </c>
      <c r="AN237" s="17" t="s">
        <v>1921</v>
      </c>
    </row>
    <row r="238" spans="2:40">
      <c r="B238" s="338">
        <f t="shared" si="49"/>
        <v>179</v>
      </c>
      <c r="C238" s="16">
        <v>20200907</v>
      </c>
      <c r="D238" s="73" t="s">
        <v>3</v>
      </c>
      <c r="E238" s="73" t="s">
        <v>1856</v>
      </c>
      <c r="F238" s="225" t="s">
        <v>1898</v>
      </c>
      <c r="G238" s="73">
        <v>1625480</v>
      </c>
      <c r="H238" s="47" t="s">
        <v>58</v>
      </c>
      <c r="I238" s="73" t="s">
        <v>1885</v>
      </c>
      <c r="J238" s="47" t="s">
        <v>58</v>
      </c>
      <c r="K238" s="15" t="s">
        <v>192</v>
      </c>
      <c r="L238" s="73" t="s">
        <v>1871</v>
      </c>
      <c r="M238" s="15" t="s">
        <v>1866</v>
      </c>
      <c r="N238" s="73" t="s">
        <v>2173</v>
      </c>
      <c r="O238" s="17" t="s">
        <v>58</v>
      </c>
      <c r="P238" s="72" t="s">
        <v>1893</v>
      </c>
      <c r="Q238" s="18"/>
      <c r="R238" s="47" t="s">
        <v>58</v>
      </c>
      <c r="S238" s="15" t="s">
        <v>168</v>
      </c>
      <c r="T238" s="15" t="s">
        <v>179</v>
      </c>
      <c r="U238" s="15" t="s">
        <v>578</v>
      </c>
      <c r="V238" s="73">
        <v>181</v>
      </c>
      <c r="W238" s="16">
        <f t="shared" si="50"/>
        <v>181</v>
      </c>
      <c r="X238" s="15">
        <f t="shared" si="51"/>
        <v>181</v>
      </c>
      <c r="Y238" s="15">
        <f>ROUNDDOWN(W238/HLOOKUP(D238,Table!$C$3:$D$4,2,0)*8,2)</f>
        <v>3.21</v>
      </c>
      <c r="Z238" s="15">
        <v>2</v>
      </c>
      <c r="AA238" s="15" t="s">
        <v>21</v>
      </c>
      <c r="AB238" s="19">
        <v>44085</v>
      </c>
      <c r="AC238" s="19">
        <v>44082</v>
      </c>
      <c r="AD238" s="81">
        <v>44088</v>
      </c>
      <c r="AE238" s="19">
        <v>44082</v>
      </c>
      <c r="AF238" s="19">
        <v>44082</v>
      </c>
      <c r="AG238" s="19" t="s">
        <v>155</v>
      </c>
      <c r="AH238" s="30">
        <v>1</v>
      </c>
      <c r="AI238" s="30">
        <v>1</v>
      </c>
      <c r="AJ238" s="30">
        <v>1</v>
      </c>
      <c r="AK238" s="19" t="s">
        <v>140</v>
      </c>
      <c r="AL238" s="17" t="s">
        <v>58</v>
      </c>
      <c r="AM238" s="17" t="s">
        <v>58</v>
      </c>
      <c r="AN238" s="17" t="s">
        <v>58</v>
      </c>
    </row>
    <row r="239" spans="2:40">
      <c r="B239" s="338">
        <f t="shared" ref="B239:B270" si="52">B238+1</f>
        <v>180</v>
      </c>
      <c r="C239" s="16">
        <v>20200907</v>
      </c>
      <c r="D239" s="73" t="s">
        <v>3</v>
      </c>
      <c r="E239" s="73" t="s">
        <v>1856</v>
      </c>
      <c r="F239" s="225" t="s">
        <v>2178</v>
      </c>
      <c r="G239" s="73">
        <v>1625480</v>
      </c>
      <c r="H239" s="47" t="s">
        <v>58</v>
      </c>
      <c r="I239" s="73" t="s">
        <v>2172</v>
      </c>
      <c r="J239" s="47" t="s">
        <v>58</v>
      </c>
      <c r="K239" s="15" t="s">
        <v>192</v>
      </c>
      <c r="L239" s="73" t="s">
        <v>1871</v>
      </c>
      <c r="M239" s="15" t="s">
        <v>1866</v>
      </c>
      <c r="N239" s="73" t="s">
        <v>2173</v>
      </c>
      <c r="O239" s="17" t="s">
        <v>58</v>
      </c>
      <c r="P239" s="72" t="s">
        <v>1893</v>
      </c>
      <c r="Q239" s="18"/>
      <c r="R239" s="47" t="s">
        <v>58</v>
      </c>
      <c r="S239" s="15" t="s">
        <v>168</v>
      </c>
      <c r="T239" s="15" t="s">
        <v>179</v>
      </c>
      <c r="U239" s="15" t="s">
        <v>578</v>
      </c>
      <c r="V239" s="73">
        <v>125</v>
      </c>
      <c r="W239" s="16">
        <f>V239</f>
        <v>125</v>
      </c>
      <c r="X239" s="15">
        <f t="shared" si="51"/>
        <v>125</v>
      </c>
      <c r="Y239" s="15">
        <f>ROUNDDOWN(W239/HLOOKUP(D239,Table!$C$3:$D$4,2,0)*8,2)</f>
        <v>2.2200000000000002</v>
      </c>
      <c r="Z239" s="15">
        <v>1</v>
      </c>
      <c r="AA239" s="15" t="s">
        <v>21</v>
      </c>
      <c r="AB239" s="19">
        <v>44085</v>
      </c>
      <c r="AC239" s="19">
        <v>44082</v>
      </c>
      <c r="AD239" s="81">
        <v>44088</v>
      </c>
      <c r="AE239" s="19">
        <v>44084</v>
      </c>
      <c r="AF239" s="19">
        <v>44084</v>
      </c>
      <c r="AG239" s="19" t="s">
        <v>155</v>
      </c>
      <c r="AH239" s="30">
        <v>1</v>
      </c>
      <c r="AI239" s="30">
        <v>1</v>
      </c>
      <c r="AJ239" s="30">
        <v>1</v>
      </c>
      <c r="AK239" s="19" t="s">
        <v>140</v>
      </c>
      <c r="AL239" s="17" t="s">
        <v>58</v>
      </c>
      <c r="AM239" s="17" t="s">
        <v>58</v>
      </c>
      <c r="AN239" s="17" t="s">
        <v>58</v>
      </c>
    </row>
    <row r="240" spans="2:40">
      <c r="B240" s="338">
        <f t="shared" si="52"/>
        <v>181</v>
      </c>
      <c r="C240" s="16">
        <v>20200907</v>
      </c>
      <c r="D240" s="73" t="s">
        <v>3</v>
      </c>
      <c r="E240" s="73" t="s">
        <v>1857</v>
      </c>
      <c r="F240" s="225" t="s">
        <v>2029</v>
      </c>
      <c r="G240" s="73">
        <v>1661224</v>
      </c>
      <c r="H240" s="47" t="s">
        <v>58</v>
      </c>
      <c r="I240" s="85" t="s">
        <v>1886</v>
      </c>
      <c r="J240" s="47" t="s">
        <v>58</v>
      </c>
      <c r="K240" s="15" t="s">
        <v>192</v>
      </c>
      <c r="L240" s="73" t="s">
        <v>1872</v>
      </c>
      <c r="M240" s="15" t="s">
        <v>1867</v>
      </c>
      <c r="N240" s="73" t="s">
        <v>1861</v>
      </c>
      <c r="O240" s="17" t="s">
        <v>58</v>
      </c>
      <c r="P240" s="72" t="s">
        <v>1894</v>
      </c>
      <c r="Q240" s="18"/>
      <c r="R240" s="47" t="s">
        <v>58</v>
      </c>
      <c r="S240" s="15" t="s">
        <v>169</v>
      </c>
      <c r="T240" s="15" t="s">
        <v>179</v>
      </c>
      <c r="U240" s="15" t="s">
        <v>578</v>
      </c>
      <c r="V240" s="73">
        <v>315</v>
      </c>
      <c r="W240" s="16">
        <f t="shared" si="50"/>
        <v>315</v>
      </c>
      <c r="X240" s="15">
        <f t="shared" si="51"/>
        <v>315</v>
      </c>
      <c r="Y240" s="15">
        <f>ROUNDDOWN(W240/HLOOKUP(D240,Table!$C$3:$D$4,2,0)*8,2)</f>
        <v>5.6</v>
      </c>
      <c r="Z240" s="15">
        <v>5</v>
      </c>
      <c r="AA240" s="15" t="s">
        <v>21</v>
      </c>
      <c r="AB240" s="19">
        <v>44085</v>
      </c>
      <c r="AC240" s="19">
        <v>44082</v>
      </c>
      <c r="AD240" s="19">
        <v>44088</v>
      </c>
      <c r="AE240" s="19">
        <v>44083</v>
      </c>
      <c r="AF240" s="19">
        <v>44083</v>
      </c>
      <c r="AG240" s="19" t="s">
        <v>155</v>
      </c>
      <c r="AH240" s="30">
        <v>1</v>
      </c>
      <c r="AI240" s="30">
        <v>1</v>
      </c>
      <c r="AJ240" s="30">
        <v>1</v>
      </c>
      <c r="AK240" s="19" t="s">
        <v>140</v>
      </c>
      <c r="AL240" s="17" t="s">
        <v>58</v>
      </c>
      <c r="AM240" s="17" t="s">
        <v>58</v>
      </c>
      <c r="AN240" s="17" t="s">
        <v>58</v>
      </c>
    </row>
    <row r="241" spans="2:40">
      <c r="B241" s="338">
        <f t="shared" si="52"/>
        <v>182</v>
      </c>
      <c r="C241" s="16">
        <v>20200907</v>
      </c>
      <c r="D241" s="73" t="s">
        <v>3</v>
      </c>
      <c r="E241" s="73" t="s">
        <v>1858</v>
      </c>
      <c r="F241" s="225" t="s">
        <v>1922</v>
      </c>
      <c r="G241" s="73">
        <v>1665240</v>
      </c>
      <c r="H241" s="47" t="s">
        <v>58</v>
      </c>
      <c r="I241" s="73" t="s">
        <v>1887</v>
      </c>
      <c r="J241" s="47" t="s">
        <v>58</v>
      </c>
      <c r="K241" s="15" t="s">
        <v>192</v>
      </c>
      <c r="L241" s="73" t="s">
        <v>1873</v>
      </c>
      <c r="M241" s="15" t="s">
        <v>1868</v>
      </c>
      <c r="N241" s="73" t="s">
        <v>1862</v>
      </c>
      <c r="O241" s="17" t="s">
        <v>58</v>
      </c>
      <c r="P241" s="72" t="s">
        <v>1895</v>
      </c>
      <c r="Q241" s="18"/>
      <c r="R241" s="47" t="s">
        <v>58</v>
      </c>
      <c r="S241" s="15" t="s">
        <v>167</v>
      </c>
      <c r="T241" s="15" t="s">
        <v>64</v>
      </c>
      <c r="U241" s="15" t="s">
        <v>578</v>
      </c>
      <c r="V241" s="73">
        <v>125</v>
      </c>
      <c r="W241" s="16">
        <f t="shared" si="50"/>
        <v>125</v>
      </c>
      <c r="X241" s="15">
        <f t="shared" si="51"/>
        <v>125</v>
      </c>
      <c r="Y241" s="15">
        <f>ROUNDDOWN(W241/HLOOKUP(D241,Table!$C$3:$D$4,2,0)*8,2)</f>
        <v>2.2200000000000002</v>
      </c>
      <c r="Z241" s="15">
        <f>Y241</f>
        <v>2.2200000000000002</v>
      </c>
      <c r="AA241" s="15" t="s">
        <v>21</v>
      </c>
      <c r="AB241" s="19">
        <v>44085</v>
      </c>
      <c r="AC241" s="19">
        <v>44082</v>
      </c>
      <c r="AD241" s="19">
        <v>44088</v>
      </c>
      <c r="AE241" s="19">
        <v>44082</v>
      </c>
      <c r="AF241" s="19">
        <v>44082</v>
      </c>
      <c r="AG241" s="19" t="s">
        <v>155</v>
      </c>
      <c r="AH241" s="30">
        <v>1</v>
      </c>
      <c r="AI241" s="30">
        <v>1</v>
      </c>
      <c r="AJ241" s="30">
        <v>1</v>
      </c>
      <c r="AK241" s="19" t="s">
        <v>140</v>
      </c>
      <c r="AL241" s="17" t="s">
        <v>58</v>
      </c>
      <c r="AM241" s="17" t="s">
        <v>58</v>
      </c>
      <c r="AN241" s="17" t="s">
        <v>58</v>
      </c>
    </row>
    <row r="242" spans="2:40">
      <c r="B242" s="338">
        <f t="shared" si="52"/>
        <v>183</v>
      </c>
      <c r="C242" s="16">
        <v>20200907</v>
      </c>
      <c r="D242" s="73" t="s">
        <v>3</v>
      </c>
      <c r="E242" s="73" t="s">
        <v>1363</v>
      </c>
      <c r="F242" s="225" t="s">
        <v>1920</v>
      </c>
      <c r="G242" s="73">
        <v>1653342</v>
      </c>
      <c r="H242" s="47" t="s">
        <v>58</v>
      </c>
      <c r="I242" s="73" t="s">
        <v>1367</v>
      </c>
      <c r="J242" s="47" t="s">
        <v>58</v>
      </c>
      <c r="K242" s="15" t="s">
        <v>192</v>
      </c>
      <c r="L242" s="73" t="s">
        <v>140</v>
      </c>
      <c r="M242" s="15" t="s">
        <v>1374</v>
      </c>
      <c r="N242" s="73" t="s">
        <v>1383</v>
      </c>
      <c r="O242" s="17" t="s">
        <v>58</v>
      </c>
      <c r="P242" s="72" t="s">
        <v>1166</v>
      </c>
      <c r="Q242" s="18"/>
      <c r="R242" s="47" t="s">
        <v>58</v>
      </c>
      <c r="S242" s="15" t="s">
        <v>167</v>
      </c>
      <c r="T242" s="15" t="s">
        <v>64</v>
      </c>
      <c r="U242" s="15" t="s">
        <v>578</v>
      </c>
      <c r="V242" s="73">
        <v>301</v>
      </c>
      <c r="W242" s="16">
        <f t="shared" si="50"/>
        <v>301</v>
      </c>
      <c r="X242" s="15">
        <f t="shared" si="51"/>
        <v>301</v>
      </c>
      <c r="Y242" s="15">
        <f>ROUNDDOWN(W242/HLOOKUP(D242,Table!$C$3:$D$4,2,0)*8,2)</f>
        <v>5.35</v>
      </c>
      <c r="Z242" s="15">
        <f>Y242</f>
        <v>5.35</v>
      </c>
      <c r="AA242" s="15" t="s">
        <v>21</v>
      </c>
      <c r="AB242" s="19">
        <v>44085</v>
      </c>
      <c r="AC242" s="19">
        <v>44082</v>
      </c>
      <c r="AD242" s="81">
        <v>44085</v>
      </c>
      <c r="AE242" s="19">
        <v>44082</v>
      </c>
      <c r="AF242" s="19">
        <v>44082</v>
      </c>
      <c r="AG242" s="19" t="s">
        <v>155</v>
      </c>
      <c r="AH242" s="30">
        <v>1</v>
      </c>
      <c r="AI242" s="30">
        <v>1</v>
      </c>
      <c r="AJ242" s="30">
        <v>1</v>
      </c>
      <c r="AK242" s="19" t="s">
        <v>140</v>
      </c>
      <c r="AL242" s="17" t="s">
        <v>58</v>
      </c>
      <c r="AM242" s="17" t="s">
        <v>58</v>
      </c>
      <c r="AN242" s="17" t="s">
        <v>58</v>
      </c>
    </row>
    <row r="243" spans="2:40">
      <c r="B243" s="342">
        <f t="shared" si="52"/>
        <v>184</v>
      </c>
      <c r="C243" s="16">
        <v>20200908</v>
      </c>
      <c r="D243" s="73" t="s">
        <v>3</v>
      </c>
      <c r="E243" s="73" t="s">
        <v>1924</v>
      </c>
      <c r="F243" s="225" t="s">
        <v>2034</v>
      </c>
      <c r="G243" s="73">
        <v>1666251</v>
      </c>
      <c r="H243" s="47" t="s">
        <v>58</v>
      </c>
      <c r="I243" s="73" t="s">
        <v>498</v>
      </c>
      <c r="J243" s="47" t="s">
        <v>58</v>
      </c>
      <c r="K243" s="15" t="s">
        <v>192</v>
      </c>
      <c r="L243" s="73" t="s">
        <v>1960</v>
      </c>
      <c r="M243" s="15" t="s">
        <v>1956</v>
      </c>
      <c r="N243" s="73" t="s">
        <v>1954</v>
      </c>
      <c r="O243" s="17" t="s">
        <v>58</v>
      </c>
      <c r="P243" s="72" t="s">
        <v>1958</v>
      </c>
      <c r="Q243" s="18"/>
      <c r="R243" s="47" t="s">
        <v>58</v>
      </c>
      <c r="S243" s="15" t="s">
        <v>167</v>
      </c>
      <c r="T243" s="15" t="s">
        <v>64</v>
      </c>
      <c r="U243" s="15"/>
      <c r="V243" s="73">
        <v>200</v>
      </c>
      <c r="W243" s="136">
        <v>226</v>
      </c>
      <c r="X243" s="15">
        <f t="shared" si="51"/>
        <v>226</v>
      </c>
      <c r="Y243" s="15">
        <f>ROUNDDOWN(W243/HLOOKUP(D243,Table!$C$3:$D$4,2,0)*8,2)</f>
        <v>4.01</v>
      </c>
      <c r="Z243" s="15">
        <f>Y243</f>
        <v>4.01</v>
      </c>
      <c r="AA243" s="15" t="s">
        <v>18</v>
      </c>
      <c r="AB243" s="19"/>
      <c r="AC243" s="19">
        <v>44083</v>
      </c>
      <c r="AD243" s="19">
        <v>44092</v>
      </c>
      <c r="AE243" s="19">
        <v>44083</v>
      </c>
      <c r="AF243" s="19">
        <v>44083</v>
      </c>
      <c r="AG243" s="19" t="s">
        <v>155</v>
      </c>
      <c r="AH243" s="30">
        <v>1</v>
      </c>
      <c r="AI243" s="30">
        <v>1</v>
      </c>
      <c r="AJ243" s="30">
        <v>1</v>
      </c>
      <c r="AK243" s="19" t="s">
        <v>140</v>
      </c>
      <c r="AL243" s="17" t="s">
        <v>58</v>
      </c>
      <c r="AM243" s="17" t="s">
        <v>58</v>
      </c>
      <c r="AN243" s="17" t="s">
        <v>58</v>
      </c>
    </row>
    <row r="244" spans="2:40" ht="150">
      <c r="B244" s="342">
        <f t="shared" si="52"/>
        <v>185</v>
      </c>
      <c r="C244" s="16">
        <v>20200908</v>
      </c>
      <c r="D244" s="73" t="s">
        <v>3</v>
      </c>
      <c r="E244" s="73" t="s">
        <v>1924</v>
      </c>
      <c r="F244" s="225" t="s">
        <v>2034</v>
      </c>
      <c r="G244" s="73">
        <v>1666251</v>
      </c>
      <c r="H244" s="47" t="s">
        <v>58</v>
      </c>
      <c r="I244" s="73" t="s">
        <v>500</v>
      </c>
      <c r="J244" s="47" t="s">
        <v>58</v>
      </c>
      <c r="K244" s="15" t="s">
        <v>192</v>
      </c>
      <c r="L244" s="73" t="s">
        <v>1960</v>
      </c>
      <c r="M244" s="15" t="s">
        <v>1956</v>
      </c>
      <c r="N244" s="73" t="s">
        <v>1954</v>
      </c>
      <c r="O244" s="17" t="s">
        <v>58</v>
      </c>
      <c r="P244" s="72" t="s">
        <v>1958</v>
      </c>
      <c r="Q244" s="18"/>
      <c r="R244" s="47" t="s">
        <v>58</v>
      </c>
      <c r="S244" s="15" t="s">
        <v>167</v>
      </c>
      <c r="T244" s="15" t="s">
        <v>64</v>
      </c>
      <c r="U244" s="15"/>
      <c r="V244" s="73">
        <v>343</v>
      </c>
      <c r="W244" s="18">
        <f t="shared" ref="W244:W294" si="53">V244</f>
        <v>343</v>
      </c>
      <c r="X244" s="15">
        <f t="shared" si="51"/>
        <v>343</v>
      </c>
      <c r="Y244" s="15">
        <f>ROUNDDOWN(W244/HLOOKUP(D244,Table!$C$3:$D$4,2,0)*8,2)</f>
        <v>6.09</v>
      </c>
      <c r="Z244" s="15">
        <f>Y244</f>
        <v>6.09</v>
      </c>
      <c r="AA244" s="15" t="s">
        <v>18</v>
      </c>
      <c r="AB244" s="19"/>
      <c r="AC244" s="19">
        <v>44083</v>
      </c>
      <c r="AD244" s="19">
        <v>44092</v>
      </c>
      <c r="AE244" s="19">
        <v>44084</v>
      </c>
      <c r="AF244" s="19">
        <v>44084</v>
      </c>
      <c r="AG244" s="19" t="s">
        <v>156</v>
      </c>
      <c r="AH244" s="30">
        <v>1</v>
      </c>
      <c r="AI244" s="30">
        <v>1</v>
      </c>
      <c r="AJ244" s="30">
        <v>0.73</v>
      </c>
      <c r="AK244" s="19" t="s">
        <v>130</v>
      </c>
      <c r="AL244" s="137" t="s">
        <v>2179</v>
      </c>
      <c r="AM244" s="17" t="s">
        <v>58</v>
      </c>
      <c r="AN244" s="17" t="s">
        <v>58</v>
      </c>
    </row>
    <row r="245" spans="2:40">
      <c r="B245" s="342">
        <f t="shared" si="52"/>
        <v>186</v>
      </c>
      <c r="C245" s="16">
        <v>20200908</v>
      </c>
      <c r="D245" s="73" t="s">
        <v>3</v>
      </c>
      <c r="E245" s="73" t="s">
        <v>1924</v>
      </c>
      <c r="F245" s="225" t="s">
        <v>2180</v>
      </c>
      <c r="G245" s="73">
        <v>1666251</v>
      </c>
      <c r="H245" s="47" t="s">
        <v>58</v>
      </c>
      <c r="I245" s="73" t="s">
        <v>504</v>
      </c>
      <c r="J245" s="47" t="s">
        <v>58</v>
      </c>
      <c r="K245" s="15" t="s">
        <v>192</v>
      </c>
      <c r="L245" s="73" t="s">
        <v>1960</v>
      </c>
      <c r="M245" s="15" t="s">
        <v>1956</v>
      </c>
      <c r="N245" s="73" t="s">
        <v>1954</v>
      </c>
      <c r="O245" s="17" t="s">
        <v>58</v>
      </c>
      <c r="P245" s="72" t="s">
        <v>1958</v>
      </c>
      <c r="Q245" s="18"/>
      <c r="R245" s="47" t="s">
        <v>58</v>
      </c>
      <c r="S245" s="15" t="s">
        <v>169</v>
      </c>
      <c r="T245" s="15"/>
      <c r="U245" s="15"/>
      <c r="V245" s="73">
        <v>349</v>
      </c>
      <c r="W245" s="16">
        <f t="shared" si="53"/>
        <v>349</v>
      </c>
      <c r="X245" s="15">
        <f>W245</f>
        <v>349</v>
      </c>
      <c r="Y245" s="15">
        <f>ROUNDDOWN(W245/HLOOKUP(D245,Table!$C$3:$D$4,2,0)*8,2)</f>
        <v>6.2</v>
      </c>
      <c r="Z245" s="15">
        <v>6.2</v>
      </c>
      <c r="AA245" s="15" t="s">
        <v>18</v>
      </c>
      <c r="AB245" s="19"/>
      <c r="AC245" s="19">
        <v>44083</v>
      </c>
      <c r="AD245" s="19">
        <v>44092</v>
      </c>
      <c r="AE245" s="19">
        <v>44084</v>
      </c>
      <c r="AF245" s="19">
        <v>44084</v>
      </c>
      <c r="AG245" s="19" t="s">
        <v>156</v>
      </c>
      <c r="AH245" s="30">
        <v>1</v>
      </c>
      <c r="AI245" s="30">
        <v>0.97</v>
      </c>
      <c r="AJ245" s="30">
        <v>1</v>
      </c>
      <c r="AK245" s="19" t="s">
        <v>130</v>
      </c>
      <c r="AL245" s="17" t="s">
        <v>58</v>
      </c>
      <c r="AM245" s="17" t="s">
        <v>58</v>
      </c>
      <c r="AN245" s="237" t="s">
        <v>2037</v>
      </c>
    </row>
    <row r="246" spans="2:40">
      <c r="B246" s="342">
        <f t="shared" si="52"/>
        <v>187</v>
      </c>
      <c r="C246" s="16">
        <v>20200908</v>
      </c>
      <c r="D246" s="73" t="s">
        <v>3</v>
      </c>
      <c r="E246" s="73" t="s">
        <v>1924</v>
      </c>
      <c r="F246" s="225" t="s">
        <v>2034</v>
      </c>
      <c r="G246" s="73">
        <v>1666251</v>
      </c>
      <c r="H246" s="47" t="s">
        <v>58</v>
      </c>
      <c r="I246" s="73" t="s">
        <v>505</v>
      </c>
      <c r="J246" s="47" t="s">
        <v>58</v>
      </c>
      <c r="K246" s="15" t="s">
        <v>192</v>
      </c>
      <c r="L246" s="73" t="s">
        <v>1960</v>
      </c>
      <c r="M246" s="15" t="s">
        <v>1956</v>
      </c>
      <c r="N246" s="73" t="s">
        <v>1954</v>
      </c>
      <c r="O246" s="17" t="s">
        <v>58</v>
      </c>
      <c r="P246" s="72" t="s">
        <v>1958</v>
      </c>
      <c r="Q246" s="18"/>
      <c r="R246" s="47" t="s">
        <v>58</v>
      </c>
      <c r="S246" s="15" t="s">
        <v>167</v>
      </c>
      <c r="T246" s="15" t="s">
        <v>64</v>
      </c>
      <c r="U246" s="15"/>
      <c r="V246" s="73">
        <v>194</v>
      </c>
      <c r="W246" s="136">
        <v>213</v>
      </c>
      <c r="X246" s="15">
        <f>W246</f>
        <v>213</v>
      </c>
      <c r="Y246" s="15">
        <f>ROUNDDOWN(W246/HLOOKUP(D246,Table!$C$3:$D$4,2,0)*8,2)</f>
        <v>3.78</v>
      </c>
      <c r="Z246" s="15">
        <f>Y246</f>
        <v>3.78</v>
      </c>
      <c r="AA246" s="15" t="s">
        <v>18</v>
      </c>
      <c r="AB246" s="19"/>
      <c r="AC246" s="19">
        <v>44083</v>
      </c>
      <c r="AD246" s="19">
        <v>44092</v>
      </c>
      <c r="AE246" s="19">
        <v>44085</v>
      </c>
      <c r="AF246" s="19">
        <v>44085</v>
      </c>
      <c r="AG246" s="19" t="s">
        <v>155</v>
      </c>
      <c r="AH246" s="30">
        <v>1</v>
      </c>
      <c r="AI246" s="30">
        <v>1</v>
      </c>
      <c r="AJ246" s="30">
        <v>1</v>
      </c>
      <c r="AK246" s="19" t="s">
        <v>140</v>
      </c>
      <c r="AL246" s="17" t="s">
        <v>58</v>
      </c>
      <c r="AM246" s="17" t="s">
        <v>58</v>
      </c>
      <c r="AN246" s="17" t="s">
        <v>58</v>
      </c>
    </row>
    <row r="247" spans="2:40">
      <c r="B247" s="342">
        <f t="shared" si="52"/>
        <v>188</v>
      </c>
      <c r="C247" s="16">
        <v>20200908</v>
      </c>
      <c r="D247" s="73" t="s">
        <v>3</v>
      </c>
      <c r="E247" s="73" t="s">
        <v>1924</v>
      </c>
      <c r="F247" s="225" t="s">
        <v>2034</v>
      </c>
      <c r="G247" s="73">
        <v>1666251</v>
      </c>
      <c r="H247" s="47" t="s">
        <v>58</v>
      </c>
      <c r="I247" s="73" t="s">
        <v>508</v>
      </c>
      <c r="J247" s="47" t="s">
        <v>58</v>
      </c>
      <c r="K247" s="15" t="s">
        <v>192</v>
      </c>
      <c r="L247" s="73" t="s">
        <v>1960</v>
      </c>
      <c r="M247" s="15" t="s">
        <v>1956</v>
      </c>
      <c r="N247" s="73" t="s">
        <v>1954</v>
      </c>
      <c r="O247" s="17" t="s">
        <v>58</v>
      </c>
      <c r="P247" s="72" t="s">
        <v>1958</v>
      </c>
      <c r="Q247" s="18"/>
      <c r="R247" s="47" t="s">
        <v>58</v>
      </c>
      <c r="S247" s="15" t="s">
        <v>167</v>
      </c>
      <c r="T247" s="15" t="s">
        <v>64</v>
      </c>
      <c r="U247" s="15"/>
      <c r="V247" s="73">
        <v>227</v>
      </c>
      <c r="W247" s="136">
        <v>230</v>
      </c>
      <c r="X247" s="15">
        <f>W247</f>
        <v>230</v>
      </c>
      <c r="Y247" s="15">
        <f>ROUNDDOWN(W247/HLOOKUP(D247,Table!$C$3:$D$4,2,0)*8,2)</f>
        <v>4.08</v>
      </c>
      <c r="Z247" s="15">
        <f>Y247</f>
        <v>4.08</v>
      </c>
      <c r="AA247" s="15" t="s">
        <v>18</v>
      </c>
      <c r="AB247" s="19"/>
      <c r="AC247" s="19">
        <v>44083</v>
      </c>
      <c r="AD247" s="19">
        <v>44092</v>
      </c>
      <c r="AE247" s="19">
        <v>44085</v>
      </c>
      <c r="AF247" s="19">
        <v>44085</v>
      </c>
      <c r="AG247" s="19" t="s">
        <v>155</v>
      </c>
      <c r="AH247" s="30">
        <v>1</v>
      </c>
      <c r="AI247" s="30">
        <v>1</v>
      </c>
      <c r="AJ247" s="30">
        <v>1</v>
      </c>
      <c r="AK247" s="19" t="s">
        <v>140</v>
      </c>
      <c r="AL247" s="17" t="s">
        <v>58</v>
      </c>
      <c r="AM247" s="17" t="s">
        <v>58</v>
      </c>
      <c r="AN247" s="17" t="s">
        <v>58</v>
      </c>
    </row>
    <row r="248" spans="2:40">
      <c r="B248" s="342">
        <f t="shared" si="52"/>
        <v>189</v>
      </c>
      <c r="C248" s="16">
        <v>20200908</v>
      </c>
      <c r="D248" s="73" t="s">
        <v>3</v>
      </c>
      <c r="E248" s="73" t="s">
        <v>1924</v>
      </c>
      <c r="F248" s="381" t="s">
        <v>2180</v>
      </c>
      <c r="G248" s="73">
        <v>1666251</v>
      </c>
      <c r="H248" s="47" t="s">
        <v>58</v>
      </c>
      <c r="I248" s="73" t="s">
        <v>517</v>
      </c>
      <c r="J248" s="47" t="s">
        <v>58</v>
      </c>
      <c r="K248" s="15" t="s">
        <v>192</v>
      </c>
      <c r="L248" s="73" t="s">
        <v>1960</v>
      </c>
      <c r="M248" s="15" t="s">
        <v>1956</v>
      </c>
      <c r="N248" s="73" t="s">
        <v>1954</v>
      </c>
      <c r="O248" s="17" t="s">
        <v>58</v>
      </c>
      <c r="P248" s="72" t="s">
        <v>1958</v>
      </c>
      <c r="Q248" s="18"/>
      <c r="R248" s="47" t="s">
        <v>58</v>
      </c>
      <c r="S248" s="15" t="s">
        <v>169</v>
      </c>
      <c r="T248" s="15"/>
      <c r="U248" s="15"/>
      <c r="V248" s="73">
        <v>110</v>
      </c>
      <c r="W248" s="136">
        <v>145</v>
      </c>
      <c r="X248" s="15">
        <f>W248</f>
        <v>145</v>
      </c>
      <c r="Y248" s="15">
        <f>ROUNDDOWN(W248/HLOOKUP(D248,Table!$C$3:$D$4,2,0)*8,2)</f>
        <v>2.57</v>
      </c>
      <c r="Z248" s="15">
        <v>3</v>
      </c>
      <c r="AA248" s="15" t="s">
        <v>18</v>
      </c>
      <c r="AB248" s="19"/>
      <c r="AC248" s="19">
        <v>44083</v>
      </c>
      <c r="AD248" s="19">
        <v>44092</v>
      </c>
      <c r="AE248" s="19">
        <v>44085</v>
      </c>
      <c r="AF248" s="19">
        <v>44085</v>
      </c>
      <c r="AG248" s="19" t="s">
        <v>155</v>
      </c>
      <c r="AH248" s="30">
        <v>1</v>
      </c>
      <c r="AI248" s="30">
        <v>1</v>
      </c>
      <c r="AJ248" s="30">
        <v>1</v>
      </c>
      <c r="AK248" s="19" t="s">
        <v>140</v>
      </c>
      <c r="AL248" s="17" t="s">
        <v>58</v>
      </c>
      <c r="AM248" s="17" t="s">
        <v>58</v>
      </c>
      <c r="AN248" s="17" t="s">
        <v>58</v>
      </c>
    </row>
    <row r="249" spans="2:40">
      <c r="B249" s="342">
        <f t="shared" si="52"/>
        <v>190</v>
      </c>
      <c r="C249" s="16">
        <v>20200908</v>
      </c>
      <c r="D249" s="73" t="s">
        <v>3</v>
      </c>
      <c r="E249" s="73" t="s">
        <v>1924</v>
      </c>
      <c r="F249" s="225" t="s">
        <v>2035</v>
      </c>
      <c r="G249" s="73">
        <v>1666251</v>
      </c>
      <c r="H249" s="47" t="s">
        <v>58</v>
      </c>
      <c r="I249" s="73" t="s">
        <v>495</v>
      </c>
      <c r="J249" s="47" t="s">
        <v>58</v>
      </c>
      <c r="K249" s="15" t="s">
        <v>192</v>
      </c>
      <c r="L249" s="73" t="s">
        <v>1960</v>
      </c>
      <c r="M249" s="15" t="s">
        <v>1956</v>
      </c>
      <c r="N249" s="73" t="s">
        <v>1954</v>
      </c>
      <c r="O249" s="17" t="s">
        <v>58</v>
      </c>
      <c r="P249" s="72" t="s">
        <v>1958</v>
      </c>
      <c r="Q249" s="18"/>
      <c r="R249" s="47" t="s">
        <v>58</v>
      </c>
      <c r="S249" s="15" t="s">
        <v>167</v>
      </c>
      <c r="T249" s="15" t="s">
        <v>64</v>
      </c>
      <c r="U249" s="15"/>
      <c r="V249" s="73">
        <v>66</v>
      </c>
      <c r="W249" s="18">
        <f t="shared" si="53"/>
        <v>66</v>
      </c>
      <c r="X249" s="15">
        <f>W249</f>
        <v>66</v>
      </c>
      <c r="Y249" s="15">
        <f>ROUNDDOWN(W249/HLOOKUP(D249,Table!$C$3:$D$4,2,0)*8,2)</f>
        <v>1.17</v>
      </c>
      <c r="Z249" s="15">
        <f>Y249</f>
        <v>1.17</v>
      </c>
      <c r="AA249" s="15" t="s">
        <v>18</v>
      </c>
      <c r="AB249" s="19"/>
      <c r="AC249" s="19">
        <v>44083</v>
      </c>
      <c r="AD249" s="19">
        <v>44092</v>
      </c>
      <c r="AE249" s="19">
        <v>44085</v>
      </c>
      <c r="AF249" s="19">
        <v>44085</v>
      </c>
      <c r="AG249" s="19" t="s">
        <v>155</v>
      </c>
      <c r="AH249" s="30">
        <v>1</v>
      </c>
      <c r="AI249" s="30">
        <v>1</v>
      </c>
      <c r="AJ249" s="30">
        <v>1</v>
      </c>
      <c r="AK249" s="19" t="s">
        <v>140</v>
      </c>
      <c r="AL249" s="17" t="s">
        <v>58</v>
      </c>
      <c r="AM249" s="17" t="s">
        <v>58</v>
      </c>
      <c r="AN249" s="17" t="s">
        <v>58</v>
      </c>
    </row>
    <row r="250" spans="2:40">
      <c r="B250" s="342">
        <f t="shared" si="52"/>
        <v>191</v>
      </c>
      <c r="C250" s="16">
        <v>20200908</v>
      </c>
      <c r="D250" s="73" t="s">
        <v>3</v>
      </c>
      <c r="E250" s="73" t="s">
        <v>1924</v>
      </c>
      <c r="F250" s="225" t="s">
        <v>2181</v>
      </c>
      <c r="G250" s="73">
        <v>1666251</v>
      </c>
      <c r="H250" s="47" t="s">
        <v>58</v>
      </c>
      <c r="I250" s="73" t="s">
        <v>490</v>
      </c>
      <c r="J250" s="47" t="s">
        <v>58</v>
      </c>
      <c r="K250" s="15"/>
      <c r="L250" s="73" t="s">
        <v>1960</v>
      </c>
      <c r="M250" s="15" t="s">
        <v>1956</v>
      </c>
      <c r="N250" s="73" t="s">
        <v>1954</v>
      </c>
      <c r="O250" s="17" t="s">
        <v>58</v>
      </c>
      <c r="P250" s="72" t="s">
        <v>1958</v>
      </c>
      <c r="Q250" s="18"/>
      <c r="R250" s="47" t="s">
        <v>58</v>
      </c>
      <c r="S250" s="15" t="s">
        <v>169</v>
      </c>
      <c r="T250" s="15"/>
      <c r="U250" s="15"/>
      <c r="V250" s="73">
        <v>145</v>
      </c>
      <c r="W250" s="136">
        <v>172</v>
      </c>
      <c r="X250" s="15">
        <f>W250</f>
        <v>172</v>
      </c>
      <c r="Y250" s="15">
        <f>ROUNDDOWN(W250/HLOOKUP(D250,Table!$C$3:$D$4,2,0)*8,2)</f>
        <v>3.05</v>
      </c>
      <c r="Z250" s="15"/>
      <c r="AA250" s="15"/>
      <c r="AB250" s="19"/>
      <c r="AC250" s="19">
        <v>44083</v>
      </c>
      <c r="AD250" s="19">
        <v>44092</v>
      </c>
      <c r="AE250" s="19"/>
      <c r="AF250" s="19"/>
      <c r="AG250" s="19"/>
      <c r="AH250" s="30"/>
      <c r="AI250" s="30"/>
      <c r="AJ250" s="30"/>
      <c r="AK250" s="19"/>
      <c r="AL250" s="17" t="s">
        <v>58</v>
      </c>
      <c r="AM250" s="17" t="s">
        <v>58</v>
      </c>
      <c r="AN250" s="17" t="s">
        <v>58</v>
      </c>
    </row>
    <row r="251" spans="2:40">
      <c r="B251" s="342">
        <f t="shared" si="52"/>
        <v>192</v>
      </c>
      <c r="C251" s="16">
        <v>20200908</v>
      </c>
      <c r="D251" s="73" t="s">
        <v>3</v>
      </c>
      <c r="E251" s="73" t="s">
        <v>1924</v>
      </c>
      <c r="F251" s="225" t="s">
        <v>2036</v>
      </c>
      <c r="G251" s="73">
        <v>1666251</v>
      </c>
      <c r="H251" s="47" t="s">
        <v>58</v>
      </c>
      <c r="I251" s="73" t="s">
        <v>491</v>
      </c>
      <c r="J251" s="47" t="s">
        <v>58</v>
      </c>
      <c r="K251" s="15" t="s">
        <v>192</v>
      </c>
      <c r="L251" s="73" t="s">
        <v>1960</v>
      </c>
      <c r="M251" s="15" t="s">
        <v>1956</v>
      </c>
      <c r="N251" s="73" t="s">
        <v>1954</v>
      </c>
      <c r="O251" s="17" t="s">
        <v>58</v>
      </c>
      <c r="P251" s="72" t="s">
        <v>1958</v>
      </c>
      <c r="Q251" s="18"/>
      <c r="R251" s="47" t="s">
        <v>58</v>
      </c>
      <c r="S251" s="15" t="s">
        <v>167</v>
      </c>
      <c r="T251" s="15" t="s">
        <v>64</v>
      </c>
      <c r="U251" s="15"/>
      <c r="V251" s="73">
        <v>101</v>
      </c>
      <c r="W251" s="136">
        <v>385</v>
      </c>
      <c r="X251" s="15">
        <f>W251</f>
        <v>385</v>
      </c>
      <c r="Y251" s="15">
        <f>ROUNDDOWN(W251/HLOOKUP(D251,Table!$C$3:$D$4,2,0)*8,2)</f>
        <v>6.84</v>
      </c>
      <c r="Z251" s="15">
        <f>Y251</f>
        <v>6.84</v>
      </c>
      <c r="AA251" s="15" t="s">
        <v>89</v>
      </c>
      <c r="AB251" s="19"/>
      <c r="AC251" s="19">
        <v>44083</v>
      </c>
      <c r="AD251" s="19">
        <v>44092</v>
      </c>
      <c r="AE251" s="19">
        <v>44085</v>
      </c>
      <c r="AF251" s="19">
        <v>44085</v>
      </c>
      <c r="AG251" s="19" t="s">
        <v>156</v>
      </c>
      <c r="AH251" s="30">
        <v>1</v>
      </c>
      <c r="AI251" s="30">
        <v>1</v>
      </c>
      <c r="AJ251" s="30">
        <v>0.75</v>
      </c>
      <c r="AK251" s="19" t="s">
        <v>130</v>
      </c>
      <c r="AL251" s="17" t="s">
        <v>58</v>
      </c>
      <c r="AM251" s="17" t="s">
        <v>58</v>
      </c>
      <c r="AN251" s="17" t="s">
        <v>58</v>
      </c>
    </row>
    <row r="252" spans="2:40">
      <c r="B252" s="342">
        <f t="shared" si="52"/>
        <v>193</v>
      </c>
      <c r="C252" s="16">
        <v>20200908</v>
      </c>
      <c r="D252" s="73" t="s">
        <v>3</v>
      </c>
      <c r="E252" s="73" t="s">
        <v>1924</v>
      </c>
      <c r="F252" s="225" t="s">
        <v>2181</v>
      </c>
      <c r="G252" s="73">
        <v>1666251</v>
      </c>
      <c r="H252" s="47" t="s">
        <v>58</v>
      </c>
      <c r="I252" s="73" t="s">
        <v>492</v>
      </c>
      <c r="J252" s="47" t="s">
        <v>58</v>
      </c>
      <c r="K252" s="15" t="s">
        <v>192</v>
      </c>
      <c r="L252" s="73" t="s">
        <v>1960</v>
      </c>
      <c r="M252" s="15" t="s">
        <v>1956</v>
      </c>
      <c r="N252" s="73" t="s">
        <v>1954</v>
      </c>
      <c r="O252" s="17" t="s">
        <v>58</v>
      </c>
      <c r="P252" s="72" t="s">
        <v>1958</v>
      </c>
      <c r="Q252" s="18"/>
      <c r="R252" s="47" t="s">
        <v>58</v>
      </c>
      <c r="S252" s="15" t="s">
        <v>169</v>
      </c>
      <c r="T252" s="15"/>
      <c r="U252" s="15"/>
      <c r="V252" s="73">
        <v>154</v>
      </c>
      <c r="W252" s="136">
        <v>224</v>
      </c>
      <c r="X252" s="15">
        <f>W252</f>
        <v>224</v>
      </c>
      <c r="Y252" s="15">
        <f>ROUNDDOWN(W252/HLOOKUP(D252,Table!$C$3:$D$4,2,0)*8,2)</f>
        <v>3.98</v>
      </c>
      <c r="Z252" s="15">
        <v>3</v>
      </c>
      <c r="AA252" s="15" t="s">
        <v>18</v>
      </c>
      <c r="AB252" s="19"/>
      <c r="AC252" s="19">
        <v>44083</v>
      </c>
      <c r="AD252" s="19">
        <v>44092</v>
      </c>
      <c r="AE252" s="19">
        <v>44085</v>
      </c>
      <c r="AF252" s="19">
        <v>44085</v>
      </c>
      <c r="AG252" s="19" t="s">
        <v>156</v>
      </c>
      <c r="AH252" s="30">
        <v>0.96</v>
      </c>
      <c r="AI252" s="30">
        <v>0.93</v>
      </c>
      <c r="AJ252" s="30">
        <v>1</v>
      </c>
      <c r="AK252" s="19" t="s">
        <v>130</v>
      </c>
      <c r="AL252" s="17" t="s">
        <v>58</v>
      </c>
      <c r="AM252" s="17" t="s">
        <v>58</v>
      </c>
      <c r="AN252" s="17" t="s">
        <v>58</v>
      </c>
    </row>
    <row r="253" spans="2:40">
      <c r="B253" s="342">
        <f t="shared" si="52"/>
        <v>194</v>
      </c>
      <c r="C253" s="16">
        <v>20200908</v>
      </c>
      <c r="D253" s="73" t="s">
        <v>3</v>
      </c>
      <c r="E253" s="73" t="s">
        <v>1924</v>
      </c>
      <c r="F253" s="225" t="s">
        <v>2036</v>
      </c>
      <c r="G253" s="73">
        <v>1666251</v>
      </c>
      <c r="H253" s="47" t="s">
        <v>58</v>
      </c>
      <c r="I253" s="73" t="s">
        <v>1162</v>
      </c>
      <c r="J253" s="47" t="s">
        <v>58</v>
      </c>
      <c r="K253" s="15" t="s">
        <v>192</v>
      </c>
      <c r="L253" s="73" t="s">
        <v>1960</v>
      </c>
      <c r="M253" s="15" t="s">
        <v>1956</v>
      </c>
      <c r="N253" s="73" t="s">
        <v>1954</v>
      </c>
      <c r="O253" s="17" t="s">
        <v>58</v>
      </c>
      <c r="P253" s="72" t="s">
        <v>1958</v>
      </c>
      <c r="Q253" s="18"/>
      <c r="R253" s="47" t="s">
        <v>58</v>
      </c>
      <c r="S253" s="15" t="s">
        <v>167</v>
      </c>
      <c r="T253" s="15" t="s">
        <v>64</v>
      </c>
      <c r="U253" s="15"/>
      <c r="V253" s="73">
        <v>120</v>
      </c>
      <c r="W253" s="136">
        <v>654</v>
      </c>
      <c r="X253" s="15">
        <f>W253</f>
        <v>654</v>
      </c>
      <c r="Y253" s="15">
        <f>ROUNDDOWN(W253/HLOOKUP(D253,Table!$C$3:$D$4,2,0)*8,2)</f>
        <v>11.62</v>
      </c>
      <c r="Z253" s="15"/>
      <c r="AA253" s="15"/>
      <c r="AB253" s="19"/>
      <c r="AC253" s="19">
        <v>44083</v>
      </c>
      <c r="AD253" s="19">
        <v>44092</v>
      </c>
      <c r="AE253" s="19"/>
      <c r="AF253" s="19"/>
      <c r="AG253" s="19"/>
      <c r="AH253" s="30"/>
      <c r="AI253" s="30"/>
      <c r="AJ253" s="30"/>
      <c r="AK253" s="19"/>
      <c r="AL253" s="17" t="s">
        <v>58</v>
      </c>
      <c r="AM253" s="17" t="s">
        <v>58</v>
      </c>
      <c r="AN253" s="17" t="s">
        <v>58</v>
      </c>
    </row>
    <row r="254" spans="2:40">
      <c r="B254" s="342">
        <f t="shared" si="52"/>
        <v>195</v>
      </c>
      <c r="C254" s="16">
        <v>20200908</v>
      </c>
      <c r="D254" s="73" t="s">
        <v>3</v>
      </c>
      <c r="E254" s="73" t="s">
        <v>1924</v>
      </c>
      <c r="F254" s="225" t="s">
        <v>2036</v>
      </c>
      <c r="G254" s="73">
        <v>1666251</v>
      </c>
      <c r="H254" s="47" t="s">
        <v>58</v>
      </c>
      <c r="I254" s="73" t="s">
        <v>493</v>
      </c>
      <c r="J254" s="47" t="s">
        <v>58</v>
      </c>
      <c r="K254" s="15" t="s">
        <v>192</v>
      </c>
      <c r="L254" s="73" t="s">
        <v>1960</v>
      </c>
      <c r="M254" s="15" t="s">
        <v>1956</v>
      </c>
      <c r="N254" s="73" t="s">
        <v>1954</v>
      </c>
      <c r="O254" s="17" t="s">
        <v>58</v>
      </c>
      <c r="P254" s="72" t="s">
        <v>1958</v>
      </c>
      <c r="Q254" s="18"/>
      <c r="R254" s="47" t="s">
        <v>58</v>
      </c>
      <c r="S254" s="15" t="s">
        <v>167</v>
      </c>
      <c r="T254" s="15" t="s">
        <v>64</v>
      </c>
      <c r="U254" s="15"/>
      <c r="V254" s="73">
        <v>178</v>
      </c>
      <c r="W254" s="18">
        <f t="shared" si="53"/>
        <v>178</v>
      </c>
      <c r="X254" s="15"/>
      <c r="Y254" s="15">
        <f>ROUNDDOWN(W254/HLOOKUP(D254,Table!$C$3:$D$4,2,0)*8,2)</f>
        <v>3.16</v>
      </c>
      <c r="Z254" s="15"/>
      <c r="AA254" s="15"/>
      <c r="AB254" s="19"/>
      <c r="AC254" s="19">
        <v>44083</v>
      </c>
      <c r="AD254" s="19">
        <v>44092</v>
      </c>
      <c r="AE254" s="19"/>
      <c r="AF254" s="19"/>
      <c r="AG254" s="19"/>
      <c r="AH254" s="30"/>
      <c r="AI254" s="30"/>
      <c r="AJ254" s="30"/>
      <c r="AK254" s="19"/>
      <c r="AL254" s="17" t="s">
        <v>58</v>
      </c>
      <c r="AM254" s="17" t="s">
        <v>58</v>
      </c>
      <c r="AN254" s="17" t="s">
        <v>58</v>
      </c>
    </row>
    <row r="255" spans="2:40">
      <c r="B255" s="342">
        <f t="shared" si="52"/>
        <v>196</v>
      </c>
      <c r="C255" s="16">
        <v>20200908</v>
      </c>
      <c r="D255" s="73" t="s">
        <v>3</v>
      </c>
      <c r="E255" s="73" t="s">
        <v>1925</v>
      </c>
      <c r="F255" s="225" t="s">
        <v>2156</v>
      </c>
      <c r="G255" s="73">
        <v>1667789</v>
      </c>
      <c r="H255" s="47" t="s">
        <v>58</v>
      </c>
      <c r="I255" s="73" t="s">
        <v>1927</v>
      </c>
      <c r="J255" s="47" t="s">
        <v>58</v>
      </c>
      <c r="K255" s="15" t="s">
        <v>192</v>
      </c>
      <c r="L255" s="73" t="s">
        <v>140</v>
      </c>
      <c r="M255" s="15" t="s">
        <v>1288</v>
      </c>
      <c r="N255" s="73" t="s">
        <v>1955</v>
      </c>
      <c r="O255" s="17" t="s">
        <v>58</v>
      </c>
      <c r="P255" s="72" t="s">
        <v>1959</v>
      </c>
      <c r="Q255" s="18"/>
      <c r="R255" s="47" t="s">
        <v>58</v>
      </c>
      <c r="S255" s="15" t="s">
        <v>168</v>
      </c>
      <c r="T255" s="15" t="s">
        <v>179</v>
      </c>
      <c r="U255" s="15"/>
      <c r="V255" s="73">
        <v>45</v>
      </c>
      <c r="W255" s="18">
        <v>89</v>
      </c>
      <c r="X255" s="15">
        <f t="shared" ref="X255:X264" si="54">W255</f>
        <v>89</v>
      </c>
      <c r="Y255" s="15">
        <f>ROUNDDOWN(W255/HLOOKUP(D255,Table!$C$3:$D$4,2,0)*8,2)</f>
        <v>1.58</v>
      </c>
      <c r="Z255" s="15">
        <v>1</v>
      </c>
      <c r="AA255" s="15" t="s">
        <v>18</v>
      </c>
      <c r="AB255" s="19"/>
      <c r="AC255" s="19">
        <v>44083</v>
      </c>
      <c r="AD255" s="19">
        <v>44094</v>
      </c>
      <c r="AE255" s="19">
        <v>44083</v>
      </c>
      <c r="AF255" s="19">
        <v>44083</v>
      </c>
      <c r="AG255" s="19" t="s">
        <v>155</v>
      </c>
      <c r="AH255" s="30">
        <v>1</v>
      </c>
      <c r="AI255" s="30">
        <v>1</v>
      </c>
      <c r="AJ255" s="30">
        <v>1</v>
      </c>
      <c r="AK255" s="19" t="s">
        <v>140</v>
      </c>
      <c r="AL255" s="17" t="s">
        <v>58</v>
      </c>
      <c r="AM255" s="17" t="s">
        <v>58</v>
      </c>
      <c r="AN255" s="17" t="s">
        <v>58</v>
      </c>
    </row>
    <row r="256" spans="2:40">
      <c r="B256" s="342">
        <f t="shared" si="52"/>
        <v>197</v>
      </c>
      <c r="C256" s="16">
        <v>20200908</v>
      </c>
      <c r="D256" s="73" t="s">
        <v>3</v>
      </c>
      <c r="E256" s="73" t="s">
        <v>1925</v>
      </c>
      <c r="F256" s="225" t="s">
        <v>2157</v>
      </c>
      <c r="G256" s="73">
        <v>1667789</v>
      </c>
      <c r="H256" s="47" t="s">
        <v>58</v>
      </c>
      <c r="I256" s="73" t="s">
        <v>1156</v>
      </c>
      <c r="J256" s="47" t="s">
        <v>58</v>
      </c>
      <c r="K256" s="15" t="s">
        <v>192</v>
      </c>
      <c r="L256" s="73" t="s">
        <v>140</v>
      </c>
      <c r="M256" s="15" t="s">
        <v>1288</v>
      </c>
      <c r="N256" s="73" t="s">
        <v>1955</v>
      </c>
      <c r="O256" s="17" t="s">
        <v>58</v>
      </c>
      <c r="P256" s="72" t="s">
        <v>1959</v>
      </c>
      <c r="Q256" s="18"/>
      <c r="R256" s="47" t="s">
        <v>58</v>
      </c>
      <c r="S256" s="15" t="s">
        <v>168</v>
      </c>
      <c r="T256" s="15" t="s">
        <v>179</v>
      </c>
      <c r="U256" s="15"/>
      <c r="V256" s="73">
        <v>124</v>
      </c>
      <c r="W256" s="16">
        <f t="shared" si="53"/>
        <v>124</v>
      </c>
      <c r="X256" s="15">
        <f t="shared" si="54"/>
        <v>124</v>
      </c>
      <c r="Y256" s="15">
        <f>ROUNDDOWN(W256/HLOOKUP(D256,Table!$C$3:$D$4,2,0)*8,2)</f>
        <v>2.2000000000000002</v>
      </c>
      <c r="Z256" s="15">
        <v>1</v>
      </c>
      <c r="AA256" s="15" t="s">
        <v>18</v>
      </c>
      <c r="AB256" s="19"/>
      <c r="AC256" s="19">
        <v>44083</v>
      </c>
      <c r="AD256" s="19">
        <v>44094</v>
      </c>
      <c r="AE256" s="19">
        <v>44083</v>
      </c>
      <c r="AF256" s="19">
        <v>44083</v>
      </c>
      <c r="AG256" s="19" t="s">
        <v>155</v>
      </c>
      <c r="AH256" s="30">
        <v>1</v>
      </c>
      <c r="AI256" s="30">
        <v>1</v>
      </c>
      <c r="AJ256" s="30">
        <v>1</v>
      </c>
      <c r="AK256" s="19" t="s">
        <v>140</v>
      </c>
      <c r="AL256" s="17" t="s">
        <v>58</v>
      </c>
      <c r="AM256" s="17" t="s">
        <v>58</v>
      </c>
      <c r="AN256" s="17" t="s">
        <v>58</v>
      </c>
    </row>
    <row r="257" spans="2:40">
      <c r="B257" s="342">
        <f t="shared" si="52"/>
        <v>198</v>
      </c>
      <c r="C257" s="16">
        <v>20200908</v>
      </c>
      <c r="D257" s="73" t="s">
        <v>3</v>
      </c>
      <c r="E257" s="73" t="s">
        <v>1925</v>
      </c>
      <c r="F257" s="225" t="s">
        <v>2158</v>
      </c>
      <c r="G257" s="73">
        <v>1667789</v>
      </c>
      <c r="H257" s="47" t="s">
        <v>58</v>
      </c>
      <c r="I257" s="73" t="s">
        <v>1928</v>
      </c>
      <c r="J257" s="47" t="s">
        <v>58</v>
      </c>
      <c r="K257" s="15" t="s">
        <v>192</v>
      </c>
      <c r="L257" s="73" t="s">
        <v>140</v>
      </c>
      <c r="M257" s="15" t="s">
        <v>1288</v>
      </c>
      <c r="N257" s="73" t="s">
        <v>1955</v>
      </c>
      <c r="O257" s="17" t="s">
        <v>58</v>
      </c>
      <c r="P257" s="72" t="s">
        <v>1959</v>
      </c>
      <c r="Q257" s="18"/>
      <c r="R257" s="47" t="s">
        <v>58</v>
      </c>
      <c r="S257" s="15" t="s">
        <v>168</v>
      </c>
      <c r="T257" s="15" t="s">
        <v>179</v>
      </c>
      <c r="U257" s="15"/>
      <c r="V257" s="73">
        <v>39</v>
      </c>
      <c r="W257" s="16">
        <f t="shared" si="53"/>
        <v>39</v>
      </c>
      <c r="X257" s="15">
        <f t="shared" si="54"/>
        <v>39</v>
      </c>
      <c r="Y257" s="15">
        <f>ROUNDDOWN(W257/HLOOKUP(D257,Table!$C$3:$D$4,2,0)*8,2)</f>
        <v>0.69</v>
      </c>
      <c r="Z257" s="15">
        <v>0.5</v>
      </c>
      <c r="AA257" s="15" t="s">
        <v>18</v>
      </c>
      <c r="AB257" s="19"/>
      <c r="AC257" s="19">
        <v>44083</v>
      </c>
      <c r="AD257" s="19">
        <v>44094</v>
      </c>
      <c r="AE257" s="19">
        <v>44083</v>
      </c>
      <c r="AF257" s="19">
        <v>44083</v>
      </c>
      <c r="AG257" s="19" t="s">
        <v>155</v>
      </c>
      <c r="AH257" s="30">
        <v>1</v>
      </c>
      <c r="AI257" s="30">
        <v>1</v>
      </c>
      <c r="AJ257" s="30">
        <v>1</v>
      </c>
      <c r="AK257" s="19" t="s">
        <v>140</v>
      </c>
      <c r="AL257" s="17" t="s">
        <v>58</v>
      </c>
      <c r="AM257" s="17" t="s">
        <v>58</v>
      </c>
      <c r="AN257" s="17" t="s">
        <v>58</v>
      </c>
    </row>
    <row r="258" spans="2:40">
      <c r="B258" s="342">
        <f t="shared" si="52"/>
        <v>199</v>
      </c>
      <c r="C258" s="16">
        <v>20200908</v>
      </c>
      <c r="D258" s="73" t="s">
        <v>3</v>
      </c>
      <c r="E258" s="73" t="s">
        <v>1925</v>
      </c>
      <c r="F258" s="225" t="s">
        <v>2159</v>
      </c>
      <c r="G258" s="73">
        <v>1667789</v>
      </c>
      <c r="H258" s="47" t="s">
        <v>58</v>
      </c>
      <c r="I258" s="85" t="s">
        <v>1929</v>
      </c>
      <c r="J258" s="47" t="s">
        <v>58</v>
      </c>
      <c r="K258" s="15" t="s">
        <v>192</v>
      </c>
      <c r="L258" s="73" t="s">
        <v>140</v>
      </c>
      <c r="M258" s="15" t="s">
        <v>1288</v>
      </c>
      <c r="N258" s="73" t="s">
        <v>1955</v>
      </c>
      <c r="O258" s="17" t="s">
        <v>58</v>
      </c>
      <c r="P258" s="72" t="s">
        <v>1959</v>
      </c>
      <c r="Q258" s="18"/>
      <c r="R258" s="47" t="s">
        <v>58</v>
      </c>
      <c r="S258" s="15" t="s">
        <v>168</v>
      </c>
      <c r="T258" s="15" t="s">
        <v>179</v>
      </c>
      <c r="U258" s="15"/>
      <c r="V258" s="73">
        <v>8</v>
      </c>
      <c r="W258" s="16">
        <f t="shared" si="53"/>
        <v>8</v>
      </c>
      <c r="X258" s="15">
        <f t="shared" si="54"/>
        <v>8</v>
      </c>
      <c r="Y258" s="15">
        <f>ROUNDDOWN(W258/HLOOKUP(D258,Table!$C$3:$D$4,2,0)*8,2)</f>
        <v>0.14000000000000001</v>
      </c>
      <c r="Z258" s="15">
        <v>6</v>
      </c>
      <c r="AA258" s="15" t="s">
        <v>18</v>
      </c>
      <c r="AB258" s="19"/>
      <c r="AC258" s="19">
        <v>44083</v>
      </c>
      <c r="AD258" s="19">
        <v>44094</v>
      </c>
      <c r="AE258" s="19">
        <v>44083</v>
      </c>
      <c r="AF258" s="19">
        <v>44083</v>
      </c>
      <c r="AG258" s="19" t="s">
        <v>155</v>
      </c>
      <c r="AH258" s="127" t="s">
        <v>58</v>
      </c>
      <c r="AI258" s="127" t="s">
        <v>58</v>
      </c>
      <c r="AJ258" s="127" t="s">
        <v>58</v>
      </c>
      <c r="AK258" s="19"/>
      <c r="AL258" s="17" t="s">
        <v>58</v>
      </c>
      <c r="AM258" s="17" t="s">
        <v>58</v>
      </c>
      <c r="AN258" s="264" t="s">
        <v>1244</v>
      </c>
    </row>
    <row r="259" spans="2:40">
      <c r="B259" s="342">
        <f t="shared" si="52"/>
        <v>200</v>
      </c>
      <c r="C259" s="16">
        <v>20200908</v>
      </c>
      <c r="D259" s="73" t="s">
        <v>3</v>
      </c>
      <c r="E259" s="73" t="s">
        <v>1925</v>
      </c>
      <c r="F259" s="225" t="s">
        <v>2160</v>
      </c>
      <c r="G259" s="73">
        <v>1667789</v>
      </c>
      <c r="H259" s="47" t="s">
        <v>58</v>
      </c>
      <c r="I259" s="73" t="s">
        <v>1930</v>
      </c>
      <c r="J259" s="47" t="s">
        <v>58</v>
      </c>
      <c r="K259" s="15" t="s">
        <v>192</v>
      </c>
      <c r="L259" s="73" t="s">
        <v>140</v>
      </c>
      <c r="M259" s="15" t="s">
        <v>1288</v>
      </c>
      <c r="N259" s="73" t="s">
        <v>1955</v>
      </c>
      <c r="O259" s="17" t="s">
        <v>58</v>
      </c>
      <c r="P259" s="72" t="s">
        <v>1959</v>
      </c>
      <c r="Q259" s="18"/>
      <c r="R259" s="47" t="s">
        <v>58</v>
      </c>
      <c r="S259" s="15" t="s">
        <v>168</v>
      </c>
      <c r="T259" s="15" t="s">
        <v>179</v>
      </c>
      <c r="U259" s="15"/>
      <c r="V259" s="73">
        <v>210</v>
      </c>
      <c r="W259" s="16">
        <f t="shared" si="53"/>
        <v>210</v>
      </c>
      <c r="X259" s="15">
        <f t="shared" si="54"/>
        <v>210</v>
      </c>
      <c r="Y259" s="15">
        <f>ROUNDDOWN(W259/HLOOKUP(D259,Table!$C$3:$D$4,2,0)*8,2)</f>
        <v>3.73</v>
      </c>
      <c r="Z259" s="15">
        <v>2</v>
      </c>
      <c r="AA259" s="15" t="s">
        <v>18</v>
      </c>
      <c r="AB259" s="19"/>
      <c r="AC259" s="19">
        <v>44083</v>
      </c>
      <c r="AD259" s="19">
        <v>44094</v>
      </c>
      <c r="AE259" s="19">
        <v>44083</v>
      </c>
      <c r="AF259" s="19">
        <v>44083</v>
      </c>
      <c r="AG259" s="19" t="s">
        <v>155</v>
      </c>
      <c r="AH259" s="30">
        <v>1</v>
      </c>
      <c r="AI259" s="30">
        <v>1</v>
      </c>
      <c r="AJ259" s="30">
        <v>1</v>
      </c>
      <c r="AK259" s="19" t="s">
        <v>140</v>
      </c>
      <c r="AL259" s="17" t="s">
        <v>58</v>
      </c>
      <c r="AM259" s="17" t="s">
        <v>58</v>
      </c>
      <c r="AN259" s="17" t="s">
        <v>58</v>
      </c>
    </row>
    <row r="260" spans="2:40">
      <c r="B260" s="342">
        <f t="shared" si="52"/>
        <v>201</v>
      </c>
      <c r="C260" s="16">
        <v>20200908</v>
      </c>
      <c r="D260" s="73" t="s">
        <v>3</v>
      </c>
      <c r="E260" s="73" t="s">
        <v>1925</v>
      </c>
      <c r="F260" s="225" t="s">
        <v>2161</v>
      </c>
      <c r="G260" s="73">
        <v>1667789</v>
      </c>
      <c r="H260" s="47" t="s">
        <v>58</v>
      </c>
      <c r="I260" s="85" t="s">
        <v>1931</v>
      </c>
      <c r="J260" s="47" t="s">
        <v>58</v>
      </c>
      <c r="K260" s="15" t="s">
        <v>192</v>
      </c>
      <c r="L260" s="73" t="s">
        <v>140</v>
      </c>
      <c r="M260" s="15" t="s">
        <v>1288</v>
      </c>
      <c r="N260" s="73" t="s">
        <v>1955</v>
      </c>
      <c r="O260" s="17" t="s">
        <v>58</v>
      </c>
      <c r="P260" s="72" t="s">
        <v>1959</v>
      </c>
      <c r="Q260" s="18"/>
      <c r="R260" s="47" t="s">
        <v>58</v>
      </c>
      <c r="S260" s="15" t="s">
        <v>168</v>
      </c>
      <c r="T260" s="15" t="s">
        <v>179</v>
      </c>
      <c r="U260" s="15"/>
      <c r="V260" s="73">
        <v>6</v>
      </c>
      <c r="W260" s="16">
        <f t="shared" si="53"/>
        <v>6</v>
      </c>
      <c r="X260" s="15">
        <f t="shared" si="54"/>
        <v>6</v>
      </c>
      <c r="Y260" s="15">
        <f>ROUNDDOWN(W260/HLOOKUP(D260,Table!$C$3:$D$4,2,0)*8,2)</f>
        <v>0.1</v>
      </c>
      <c r="Z260" s="15">
        <v>6</v>
      </c>
      <c r="AA260" s="15" t="s">
        <v>18</v>
      </c>
      <c r="AB260" s="19"/>
      <c r="AC260" s="19">
        <v>44083</v>
      </c>
      <c r="AD260" s="19">
        <v>44094</v>
      </c>
      <c r="AE260" s="19">
        <v>44083</v>
      </c>
      <c r="AF260" s="19">
        <v>44083</v>
      </c>
      <c r="AG260" s="19" t="s">
        <v>155</v>
      </c>
      <c r="AH260" s="127" t="s">
        <v>58</v>
      </c>
      <c r="AI260" s="127" t="s">
        <v>58</v>
      </c>
      <c r="AJ260" s="127" t="s">
        <v>58</v>
      </c>
      <c r="AK260" s="19"/>
      <c r="AL260" s="17" t="s">
        <v>58</v>
      </c>
      <c r="AM260" s="17" t="s">
        <v>58</v>
      </c>
      <c r="AN260" s="264" t="s">
        <v>1244</v>
      </c>
    </row>
    <row r="261" spans="2:40">
      <c r="B261" s="342">
        <f t="shared" si="52"/>
        <v>202</v>
      </c>
      <c r="C261" s="16">
        <v>20200908</v>
      </c>
      <c r="D261" s="73" t="s">
        <v>3</v>
      </c>
      <c r="E261" s="73" t="s">
        <v>1925</v>
      </c>
      <c r="F261" s="225" t="s">
        <v>2162</v>
      </c>
      <c r="G261" s="73">
        <v>1667789</v>
      </c>
      <c r="H261" s="47" t="s">
        <v>58</v>
      </c>
      <c r="I261" s="73" t="s">
        <v>1932</v>
      </c>
      <c r="J261" s="47" t="s">
        <v>58</v>
      </c>
      <c r="K261" s="15" t="s">
        <v>192</v>
      </c>
      <c r="L261" s="73" t="s">
        <v>140</v>
      </c>
      <c r="M261" s="15" t="s">
        <v>1288</v>
      </c>
      <c r="N261" s="73" t="s">
        <v>1955</v>
      </c>
      <c r="O261" s="17" t="s">
        <v>58</v>
      </c>
      <c r="P261" s="72" t="s">
        <v>1959</v>
      </c>
      <c r="Q261" s="18"/>
      <c r="R261" s="47" t="s">
        <v>58</v>
      </c>
      <c r="S261" s="15" t="s">
        <v>168</v>
      </c>
      <c r="T261" s="15" t="s">
        <v>179</v>
      </c>
      <c r="U261" s="15"/>
      <c r="V261" s="73">
        <v>165</v>
      </c>
      <c r="W261" s="16">
        <f t="shared" si="53"/>
        <v>165</v>
      </c>
      <c r="X261" s="15">
        <f t="shared" si="54"/>
        <v>165</v>
      </c>
      <c r="Y261" s="15">
        <f>ROUNDDOWN(W261/HLOOKUP(D261,Table!$C$3:$D$4,2,0)*8,2)</f>
        <v>2.93</v>
      </c>
      <c r="Z261" s="15">
        <v>2</v>
      </c>
      <c r="AA261" s="15" t="s">
        <v>18</v>
      </c>
      <c r="AB261" s="19"/>
      <c r="AC261" s="19">
        <v>44083</v>
      </c>
      <c r="AD261" s="19">
        <v>44094</v>
      </c>
      <c r="AE261" s="19">
        <v>44083</v>
      </c>
      <c r="AF261" s="19">
        <v>44083</v>
      </c>
      <c r="AG261" s="19" t="s">
        <v>155</v>
      </c>
      <c r="AH261" s="30">
        <v>1</v>
      </c>
      <c r="AI261" s="30">
        <v>1</v>
      </c>
      <c r="AJ261" s="30">
        <v>1</v>
      </c>
      <c r="AK261" s="19" t="s">
        <v>140</v>
      </c>
      <c r="AL261" s="17" t="s">
        <v>58</v>
      </c>
      <c r="AM261" s="17" t="s">
        <v>58</v>
      </c>
      <c r="AN261" s="17" t="s">
        <v>58</v>
      </c>
    </row>
    <row r="262" spans="2:40">
      <c r="B262" s="342">
        <f t="shared" si="52"/>
        <v>203</v>
      </c>
      <c r="C262" s="16">
        <v>20200908</v>
      </c>
      <c r="D262" s="73" t="s">
        <v>3</v>
      </c>
      <c r="E262" s="73" t="s">
        <v>1925</v>
      </c>
      <c r="F262" s="225" t="s">
        <v>2163</v>
      </c>
      <c r="G262" s="73">
        <v>1667789</v>
      </c>
      <c r="H262" s="47" t="s">
        <v>58</v>
      </c>
      <c r="I262" s="73" t="s">
        <v>1933</v>
      </c>
      <c r="J262" s="47" t="s">
        <v>58</v>
      </c>
      <c r="K262" s="15" t="s">
        <v>192</v>
      </c>
      <c r="L262" s="73" t="s">
        <v>140</v>
      </c>
      <c r="M262" s="15" t="s">
        <v>1288</v>
      </c>
      <c r="N262" s="73" t="s">
        <v>1955</v>
      </c>
      <c r="O262" s="17" t="s">
        <v>58</v>
      </c>
      <c r="P262" s="72" t="s">
        <v>1959</v>
      </c>
      <c r="Q262" s="18"/>
      <c r="R262" s="47" t="s">
        <v>58</v>
      </c>
      <c r="S262" s="15" t="s">
        <v>168</v>
      </c>
      <c r="T262" s="15" t="s">
        <v>179</v>
      </c>
      <c r="U262" s="15"/>
      <c r="V262" s="73">
        <v>12</v>
      </c>
      <c r="W262" s="18">
        <v>27</v>
      </c>
      <c r="X262" s="15">
        <f t="shared" si="54"/>
        <v>27</v>
      </c>
      <c r="Y262" s="15">
        <f>ROUNDDOWN(W262/HLOOKUP(D262,Table!$C$3:$D$4,2,0)*8,2)</f>
        <v>0.48</v>
      </c>
      <c r="Z262" s="15">
        <f>Y262</f>
        <v>0.48</v>
      </c>
      <c r="AA262" s="15" t="s">
        <v>18</v>
      </c>
      <c r="AB262" s="19"/>
      <c r="AC262" s="19">
        <v>44083</v>
      </c>
      <c r="AD262" s="19">
        <v>44094</v>
      </c>
      <c r="AE262" s="19">
        <v>44083</v>
      </c>
      <c r="AF262" s="19">
        <v>44083</v>
      </c>
      <c r="AG262" s="19" t="s">
        <v>155</v>
      </c>
      <c r="AH262" s="30">
        <v>1</v>
      </c>
      <c r="AI262" s="30">
        <v>1</v>
      </c>
      <c r="AJ262" s="30">
        <v>1</v>
      </c>
      <c r="AK262" s="19" t="s">
        <v>140</v>
      </c>
      <c r="AL262" s="17" t="s">
        <v>58</v>
      </c>
      <c r="AM262" s="17" t="s">
        <v>58</v>
      </c>
      <c r="AN262" s="17" t="s">
        <v>58</v>
      </c>
    </row>
    <row r="263" spans="2:40">
      <c r="B263" s="342">
        <f t="shared" si="52"/>
        <v>204</v>
      </c>
      <c r="C263" s="16">
        <v>20200908</v>
      </c>
      <c r="D263" s="73" t="s">
        <v>3</v>
      </c>
      <c r="E263" s="73" t="s">
        <v>1925</v>
      </c>
      <c r="F263" s="225" t="s">
        <v>2164</v>
      </c>
      <c r="G263" s="73">
        <v>1667789</v>
      </c>
      <c r="H263" s="47" t="s">
        <v>58</v>
      </c>
      <c r="I263" s="73" t="s">
        <v>1934</v>
      </c>
      <c r="J263" s="47" t="s">
        <v>58</v>
      </c>
      <c r="K263" s="15" t="s">
        <v>192</v>
      </c>
      <c r="L263" s="73" t="s">
        <v>140</v>
      </c>
      <c r="M263" s="15" t="s">
        <v>1288</v>
      </c>
      <c r="N263" s="73" t="s">
        <v>1955</v>
      </c>
      <c r="O263" s="17" t="s">
        <v>58</v>
      </c>
      <c r="P263" s="72" t="s">
        <v>1959</v>
      </c>
      <c r="Q263" s="18"/>
      <c r="R263" s="47" t="s">
        <v>58</v>
      </c>
      <c r="S263" s="15" t="s">
        <v>168</v>
      </c>
      <c r="T263" s="15" t="s">
        <v>179</v>
      </c>
      <c r="U263" s="15"/>
      <c r="V263" s="73">
        <v>36</v>
      </c>
      <c r="W263" s="16">
        <f t="shared" si="53"/>
        <v>36</v>
      </c>
      <c r="X263" s="15">
        <f t="shared" si="54"/>
        <v>36</v>
      </c>
      <c r="Y263" s="15">
        <f>ROUNDDOWN(W263/HLOOKUP(D263,Table!$C$3:$D$4,2,0)*8,2)</f>
        <v>0.64</v>
      </c>
      <c r="Z263" s="15">
        <f>Y263</f>
        <v>0.64</v>
      </c>
      <c r="AA263" s="15" t="s">
        <v>18</v>
      </c>
      <c r="AB263" s="19"/>
      <c r="AC263" s="19">
        <v>44083</v>
      </c>
      <c r="AD263" s="19">
        <v>44094</v>
      </c>
      <c r="AE263" s="19">
        <v>44083</v>
      </c>
      <c r="AF263" s="19">
        <v>44083</v>
      </c>
      <c r="AG263" s="19" t="s">
        <v>155</v>
      </c>
      <c r="AH263" s="30">
        <v>1</v>
      </c>
      <c r="AI263" s="30">
        <v>1</v>
      </c>
      <c r="AJ263" s="30">
        <v>1</v>
      </c>
      <c r="AK263" s="19" t="s">
        <v>140</v>
      </c>
      <c r="AL263" s="17" t="s">
        <v>58</v>
      </c>
      <c r="AM263" s="17" t="s">
        <v>58</v>
      </c>
      <c r="AN263" s="17" t="s">
        <v>58</v>
      </c>
    </row>
    <row r="264" spans="2:40">
      <c r="B264" s="342">
        <f t="shared" si="52"/>
        <v>205</v>
      </c>
      <c r="C264" s="16">
        <v>20200908</v>
      </c>
      <c r="D264" s="73" t="s">
        <v>3</v>
      </c>
      <c r="E264" s="73" t="s">
        <v>1925</v>
      </c>
      <c r="F264" s="225" t="s">
        <v>2165</v>
      </c>
      <c r="G264" s="73">
        <v>1667789</v>
      </c>
      <c r="H264" s="47" t="s">
        <v>58</v>
      </c>
      <c r="I264" s="85" t="s">
        <v>1850</v>
      </c>
      <c r="J264" s="47" t="s">
        <v>58</v>
      </c>
      <c r="K264" s="15" t="s">
        <v>192</v>
      </c>
      <c r="L264" s="73" t="s">
        <v>140</v>
      </c>
      <c r="M264" s="15" t="s">
        <v>1288</v>
      </c>
      <c r="N264" s="73" t="s">
        <v>1955</v>
      </c>
      <c r="O264" s="17" t="s">
        <v>58</v>
      </c>
      <c r="P264" s="72" t="s">
        <v>1959</v>
      </c>
      <c r="Q264" s="18"/>
      <c r="R264" s="47" t="s">
        <v>58</v>
      </c>
      <c r="S264" s="15" t="s">
        <v>168</v>
      </c>
      <c r="T264" s="15" t="s">
        <v>179</v>
      </c>
      <c r="U264" s="15"/>
      <c r="V264" s="73">
        <v>280</v>
      </c>
      <c r="W264" s="16">
        <f t="shared" si="53"/>
        <v>280</v>
      </c>
      <c r="X264" s="15">
        <f t="shared" si="54"/>
        <v>280</v>
      </c>
      <c r="Y264" s="15">
        <f>ROUNDDOWN(W264/HLOOKUP(D264,Table!$C$3:$D$4,2,0)*8,2)</f>
        <v>4.97</v>
      </c>
      <c r="Z264" s="15">
        <v>2</v>
      </c>
      <c r="AA264" s="15" t="s">
        <v>18</v>
      </c>
      <c r="AB264" s="19"/>
      <c r="AC264" s="19">
        <v>44083</v>
      </c>
      <c r="AD264" s="19">
        <v>44094</v>
      </c>
      <c r="AE264" s="19">
        <v>44083</v>
      </c>
      <c r="AF264" s="19">
        <v>44083</v>
      </c>
      <c r="AG264" s="19" t="s">
        <v>155</v>
      </c>
      <c r="AH264" s="30">
        <v>1</v>
      </c>
      <c r="AI264" s="30">
        <v>1</v>
      </c>
      <c r="AJ264" s="30">
        <v>1</v>
      </c>
      <c r="AK264" s="19" t="s">
        <v>140</v>
      </c>
      <c r="AL264" s="17" t="s">
        <v>58</v>
      </c>
      <c r="AM264" s="17" t="s">
        <v>58</v>
      </c>
      <c r="AN264" s="17" t="s">
        <v>58</v>
      </c>
    </row>
    <row r="265" spans="2:40">
      <c r="B265" s="342">
        <f t="shared" si="52"/>
        <v>206</v>
      </c>
      <c r="C265" s="16">
        <v>20200908</v>
      </c>
      <c r="D265" s="73" t="s">
        <v>3</v>
      </c>
      <c r="E265" s="73" t="s">
        <v>1925</v>
      </c>
      <c r="F265" s="225" t="s">
        <v>2166</v>
      </c>
      <c r="G265" s="73">
        <v>1667789</v>
      </c>
      <c r="H265" s="47" t="s">
        <v>58</v>
      </c>
      <c r="I265" s="263" t="s">
        <v>1850</v>
      </c>
      <c r="J265" s="47" t="s">
        <v>58</v>
      </c>
      <c r="K265" s="15"/>
      <c r="L265" s="73" t="s">
        <v>140</v>
      </c>
      <c r="M265" s="15" t="s">
        <v>1288</v>
      </c>
      <c r="N265" s="73" t="s">
        <v>1955</v>
      </c>
      <c r="O265" s="17" t="s">
        <v>58</v>
      </c>
      <c r="P265" s="72" t="s">
        <v>1959</v>
      </c>
      <c r="Q265" s="18"/>
      <c r="R265" s="47" t="s">
        <v>58</v>
      </c>
      <c r="S265" s="15" t="s">
        <v>168</v>
      </c>
      <c r="T265" s="15" t="s">
        <v>179</v>
      </c>
      <c r="U265" s="15"/>
      <c r="V265" s="73">
        <v>280</v>
      </c>
      <c r="W265" s="16">
        <f t="shared" si="53"/>
        <v>280</v>
      </c>
      <c r="X265" s="15"/>
      <c r="Y265" s="15">
        <f>ROUNDDOWN(W265/HLOOKUP(D265,Table!$C$3:$D$4,2,0)*8,2)</f>
        <v>4.97</v>
      </c>
      <c r="Z265" s="15"/>
      <c r="AA265" s="15"/>
      <c r="AB265" s="19"/>
      <c r="AC265" s="19">
        <v>44083</v>
      </c>
      <c r="AD265" s="19">
        <v>44094</v>
      </c>
      <c r="AE265" s="19"/>
      <c r="AF265" s="19"/>
      <c r="AG265" s="19"/>
      <c r="AH265" s="30"/>
      <c r="AI265" s="30"/>
      <c r="AJ265" s="30"/>
      <c r="AK265" s="19"/>
      <c r="AL265" s="17" t="s">
        <v>58</v>
      </c>
      <c r="AM265" s="17" t="s">
        <v>58</v>
      </c>
      <c r="AN265" s="17" t="s">
        <v>58</v>
      </c>
    </row>
    <row r="266" spans="2:40">
      <c r="B266" s="342">
        <f t="shared" si="52"/>
        <v>207</v>
      </c>
      <c r="C266" s="16">
        <v>20200908</v>
      </c>
      <c r="D266" s="73" t="s">
        <v>3</v>
      </c>
      <c r="E266" s="73" t="s">
        <v>1925</v>
      </c>
      <c r="F266" s="225" t="s">
        <v>2167</v>
      </c>
      <c r="G266" s="73">
        <v>1667789</v>
      </c>
      <c r="H266" s="47" t="s">
        <v>58</v>
      </c>
      <c r="I266" s="85" t="s">
        <v>1104</v>
      </c>
      <c r="J266" s="47" t="s">
        <v>58</v>
      </c>
      <c r="K266" s="15" t="s">
        <v>192</v>
      </c>
      <c r="L266" s="73" t="s">
        <v>140</v>
      </c>
      <c r="M266" s="15" t="s">
        <v>1288</v>
      </c>
      <c r="N266" s="73" t="s">
        <v>1955</v>
      </c>
      <c r="O266" s="17" t="s">
        <v>58</v>
      </c>
      <c r="P266" s="72" t="s">
        <v>1959</v>
      </c>
      <c r="Q266" s="18"/>
      <c r="R266" s="47" t="s">
        <v>58</v>
      </c>
      <c r="S266" s="15" t="s">
        <v>168</v>
      </c>
      <c r="T266" s="15" t="s">
        <v>179</v>
      </c>
      <c r="U266" s="15"/>
      <c r="V266" s="73">
        <v>65</v>
      </c>
      <c r="W266" s="16">
        <f t="shared" si="53"/>
        <v>65</v>
      </c>
      <c r="X266" s="15">
        <f>W266</f>
        <v>65</v>
      </c>
      <c r="Y266" s="15">
        <f>ROUNDDOWN(W266/HLOOKUP(D266,Table!$C$3:$D$4,2,0)*8,2)</f>
        <v>1.1499999999999999</v>
      </c>
      <c r="Z266" s="15">
        <v>2</v>
      </c>
      <c r="AA266" s="15" t="s">
        <v>18</v>
      </c>
      <c r="AB266" s="19"/>
      <c r="AC266" s="19">
        <v>44083</v>
      </c>
      <c r="AD266" s="19">
        <v>44094</v>
      </c>
      <c r="AE266" s="19">
        <v>44084</v>
      </c>
      <c r="AF266" s="19">
        <v>44084</v>
      </c>
      <c r="AG266" s="19" t="s">
        <v>155</v>
      </c>
      <c r="AH266" s="30">
        <v>1</v>
      </c>
      <c r="AI266" s="30">
        <v>1</v>
      </c>
      <c r="AJ266" s="30">
        <v>1</v>
      </c>
      <c r="AK266" s="19" t="s">
        <v>140</v>
      </c>
      <c r="AL266" s="17" t="s">
        <v>58</v>
      </c>
      <c r="AM266" s="17" t="s">
        <v>58</v>
      </c>
      <c r="AN266" s="17" t="s">
        <v>58</v>
      </c>
    </row>
    <row r="267" spans="2:40">
      <c r="B267" s="342">
        <f t="shared" si="52"/>
        <v>208</v>
      </c>
      <c r="C267" s="16">
        <v>20200908</v>
      </c>
      <c r="D267" s="73" t="s">
        <v>3</v>
      </c>
      <c r="E267" s="73" t="s">
        <v>1925</v>
      </c>
      <c r="F267" s="3" t="s">
        <v>1961</v>
      </c>
      <c r="G267" s="73">
        <v>1667789</v>
      </c>
      <c r="H267" s="47" t="s">
        <v>58</v>
      </c>
      <c r="I267" s="73" t="s">
        <v>1103</v>
      </c>
      <c r="J267" s="47" t="s">
        <v>58</v>
      </c>
      <c r="K267" s="15" t="s">
        <v>192</v>
      </c>
      <c r="L267" s="73" t="s">
        <v>140</v>
      </c>
      <c r="M267" s="15" t="s">
        <v>1288</v>
      </c>
      <c r="N267" s="73" t="s">
        <v>1955</v>
      </c>
      <c r="O267" s="17" t="s">
        <v>58</v>
      </c>
      <c r="P267" s="72" t="s">
        <v>1959</v>
      </c>
      <c r="Q267" s="18"/>
      <c r="R267" s="47" t="s">
        <v>58</v>
      </c>
      <c r="S267" s="15" t="s">
        <v>64</v>
      </c>
      <c r="T267" s="15"/>
      <c r="U267" s="15"/>
      <c r="V267" s="73">
        <v>175</v>
      </c>
      <c r="W267" s="16">
        <f t="shared" si="53"/>
        <v>175</v>
      </c>
      <c r="X267" s="15">
        <f>W267</f>
        <v>175</v>
      </c>
      <c r="Y267" s="15">
        <f>ROUNDDOWN(W267/HLOOKUP(D267,Table!$C$3:$D$4,2,0)*8,2)</f>
        <v>3.11</v>
      </c>
      <c r="Z267" s="15">
        <v>5</v>
      </c>
      <c r="AA267" s="15" t="s">
        <v>18</v>
      </c>
      <c r="AB267" s="19"/>
      <c r="AC267" s="19">
        <v>44083</v>
      </c>
      <c r="AD267" s="19">
        <v>44094</v>
      </c>
      <c r="AE267" s="19">
        <v>44084</v>
      </c>
      <c r="AF267" s="19">
        <v>44084</v>
      </c>
      <c r="AG267" s="19" t="s">
        <v>155</v>
      </c>
      <c r="AH267" s="30">
        <v>1</v>
      </c>
      <c r="AI267" s="30">
        <v>1</v>
      </c>
      <c r="AJ267" s="30">
        <v>1</v>
      </c>
      <c r="AK267" s="19" t="s">
        <v>140</v>
      </c>
      <c r="AL267" s="17" t="s">
        <v>58</v>
      </c>
      <c r="AM267" s="17" t="s">
        <v>58</v>
      </c>
      <c r="AN267" s="17" t="s">
        <v>58</v>
      </c>
    </row>
    <row r="268" spans="2:40">
      <c r="B268" s="342">
        <f t="shared" si="52"/>
        <v>209</v>
      </c>
      <c r="C268" s="16">
        <v>20200908</v>
      </c>
      <c r="D268" s="73" t="s">
        <v>3</v>
      </c>
      <c r="E268" s="73" t="s">
        <v>1925</v>
      </c>
      <c r="F268" s="3" t="s">
        <v>1962</v>
      </c>
      <c r="G268" s="73">
        <v>1667789</v>
      </c>
      <c r="H268" s="47" t="s">
        <v>58</v>
      </c>
      <c r="I268" s="73" t="s">
        <v>1935</v>
      </c>
      <c r="J268" s="47" t="s">
        <v>58</v>
      </c>
      <c r="K268" s="15" t="s">
        <v>192</v>
      </c>
      <c r="L268" s="73" t="s">
        <v>140</v>
      </c>
      <c r="M268" s="15" t="s">
        <v>1288</v>
      </c>
      <c r="N268" s="73" t="s">
        <v>1955</v>
      </c>
      <c r="O268" s="17" t="s">
        <v>58</v>
      </c>
      <c r="P268" s="72" t="s">
        <v>1959</v>
      </c>
      <c r="Q268" s="18"/>
      <c r="R268" s="47" t="s">
        <v>58</v>
      </c>
      <c r="S268" s="15" t="s">
        <v>64</v>
      </c>
      <c r="T268" s="15"/>
      <c r="U268" s="15"/>
      <c r="V268" s="73">
        <v>240</v>
      </c>
      <c r="W268" s="16">
        <f t="shared" si="53"/>
        <v>240</v>
      </c>
      <c r="X268" s="15">
        <f>W268</f>
        <v>240</v>
      </c>
      <c r="Y268" s="15">
        <f>ROUNDDOWN(W268/HLOOKUP(D268,Table!$C$3:$D$4,2,0)*8,2)</f>
        <v>4.26</v>
      </c>
      <c r="Z268" s="15">
        <v>5</v>
      </c>
      <c r="AA268" s="15" t="s">
        <v>18</v>
      </c>
      <c r="AB268" s="19"/>
      <c r="AC268" s="19">
        <v>44083</v>
      </c>
      <c r="AD268" s="19">
        <v>44094</v>
      </c>
      <c r="AE268" s="19">
        <v>44084</v>
      </c>
      <c r="AF268" s="19">
        <v>44084</v>
      </c>
      <c r="AG268" s="19" t="s">
        <v>155</v>
      </c>
      <c r="AH268" s="30">
        <v>1</v>
      </c>
      <c r="AI268" s="30">
        <v>1</v>
      </c>
      <c r="AJ268" s="30">
        <v>1</v>
      </c>
      <c r="AK268" s="19" t="s">
        <v>140</v>
      </c>
      <c r="AL268" s="17" t="s">
        <v>58</v>
      </c>
      <c r="AM268" s="17" t="s">
        <v>58</v>
      </c>
      <c r="AN268" s="17" t="s">
        <v>58</v>
      </c>
    </row>
    <row r="269" spans="2:40">
      <c r="B269" s="342">
        <f t="shared" si="52"/>
        <v>210</v>
      </c>
      <c r="C269" s="16">
        <v>20200908</v>
      </c>
      <c r="D269" s="73" t="s">
        <v>3</v>
      </c>
      <c r="E269" s="73" t="s">
        <v>1925</v>
      </c>
      <c r="F269" s="3" t="s">
        <v>1963</v>
      </c>
      <c r="G269" s="73">
        <v>1667789</v>
      </c>
      <c r="H269" s="47" t="s">
        <v>58</v>
      </c>
      <c r="I269" s="73" t="s">
        <v>1936</v>
      </c>
      <c r="J269" s="47" t="s">
        <v>58</v>
      </c>
      <c r="K269" s="15" t="s">
        <v>192</v>
      </c>
      <c r="L269" s="73" t="s">
        <v>140</v>
      </c>
      <c r="M269" s="15" t="s">
        <v>1288</v>
      </c>
      <c r="N269" s="73" t="s">
        <v>1955</v>
      </c>
      <c r="O269" s="17" t="s">
        <v>58</v>
      </c>
      <c r="P269" s="72" t="s">
        <v>1959</v>
      </c>
      <c r="Q269" s="18"/>
      <c r="R269" s="47" t="s">
        <v>58</v>
      </c>
      <c r="S269" s="15" t="s">
        <v>64</v>
      </c>
      <c r="T269" s="15"/>
      <c r="U269" s="15"/>
      <c r="V269" s="73">
        <v>4</v>
      </c>
      <c r="W269" s="136">
        <v>0</v>
      </c>
      <c r="X269" s="15">
        <f>W269</f>
        <v>0</v>
      </c>
      <c r="Y269" s="15">
        <f>ROUNDDOWN(W269/HLOOKUP(D269,Table!$C$3:$D$4,2,0)*8,2)</f>
        <v>0</v>
      </c>
      <c r="Z269" s="15">
        <v>0</v>
      </c>
      <c r="AA269" s="15" t="s">
        <v>18</v>
      </c>
      <c r="AB269" s="19"/>
      <c r="AC269" s="19">
        <v>44083</v>
      </c>
      <c r="AD269" s="19">
        <v>44094</v>
      </c>
      <c r="AE269" s="19">
        <v>44084</v>
      </c>
      <c r="AF269" s="19">
        <v>44084</v>
      </c>
      <c r="AG269" s="19" t="s">
        <v>155</v>
      </c>
      <c r="AH269" s="30">
        <v>1</v>
      </c>
      <c r="AI269" s="30">
        <v>1</v>
      </c>
      <c r="AJ269" s="30">
        <v>1</v>
      </c>
      <c r="AK269" s="19" t="s">
        <v>140</v>
      </c>
      <c r="AL269" s="17" t="s">
        <v>58</v>
      </c>
      <c r="AM269" s="17" t="s">
        <v>58</v>
      </c>
      <c r="AN269" s="17" t="s">
        <v>2175</v>
      </c>
    </row>
    <row r="270" spans="2:40">
      <c r="B270" s="342">
        <f t="shared" si="52"/>
        <v>211</v>
      </c>
      <c r="C270" s="16">
        <v>20200908</v>
      </c>
      <c r="D270" s="73" t="s">
        <v>3</v>
      </c>
      <c r="E270" s="73" t="s">
        <v>1925</v>
      </c>
      <c r="F270" s="3" t="s">
        <v>1964</v>
      </c>
      <c r="G270" s="73">
        <v>1667789</v>
      </c>
      <c r="H270" s="47" t="s">
        <v>58</v>
      </c>
      <c r="I270" s="73" t="s">
        <v>1937</v>
      </c>
      <c r="J270" s="47" t="s">
        <v>58</v>
      </c>
      <c r="K270" s="15" t="s">
        <v>192</v>
      </c>
      <c r="L270" s="73" t="s">
        <v>140</v>
      </c>
      <c r="M270" s="15" t="s">
        <v>1288</v>
      </c>
      <c r="N270" s="73" t="s">
        <v>1955</v>
      </c>
      <c r="O270" s="17" t="s">
        <v>58</v>
      </c>
      <c r="P270" s="72" t="s">
        <v>1959</v>
      </c>
      <c r="Q270" s="18"/>
      <c r="R270" s="47" t="s">
        <v>58</v>
      </c>
      <c r="S270" s="15" t="s">
        <v>64</v>
      </c>
      <c r="T270" s="15"/>
      <c r="U270" s="15"/>
      <c r="V270" s="73">
        <v>4</v>
      </c>
      <c r="W270" s="136">
        <v>0</v>
      </c>
      <c r="X270" s="15">
        <v>0</v>
      </c>
      <c r="Y270" s="15">
        <f>ROUNDDOWN(W270/HLOOKUP(D270,Table!$C$3:$D$4,2,0)*8,2)</f>
        <v>0</v>
      </c>
      <c r="Z270" s="15">
        <v>0</v>
      </c>
      <c r="AA270" s="15" t="s">
        <v>18</v>
      </c>
      <c r="AB270" s="19"/>
      <c r="AC270" s="19">
        <v>44083</v>
      </c>
      <c r="AD270" s="19">
        <v>44094</v>
      </c>
      <c r="AE270" s="19">
        <v>44084</v>
      </c>
      <c r="AF270" s="19">
        <v>44084</v>
      </c>
      <c r="AG270" s="19" t="s">
        <v>155</v>
      </c>
      <c r="AH270" s="30">
        <v>1</v>
      </c>
      <c r="AI270" s="30">
        <v>1</v>
      </c>
      <c r="AJ270" s="30">
        <v>1</v>
      </c>
      <c r="AK270" s="19" t="s">
        <v>140</v>
      </c>
      <c r="AL270" s="17" t="s">
        <v>58</v>
      </c>
      <c r="AM270" s="17" t="s">
        <v>58</v>
      </c>
      <c r="AN270" s="17" t="s">
        <v>2175</v>
      </c>
    </row>
    <row r="271" spans="2:40">
      <c r="B271" s="342">
        <f t="shared" ref="B271:B314" si="55">B270+1</f>
        <v>212</v>
      </c>
      <c r="C271" s="16">
        <v>20200908</v>
      </c>
      <c r="D271" s="73" t="s">
        <v>3</v>
      </c>
      <c r="E271" s="73" t="s">
        <v>1925</v>
      </c>
      <c r="F271" s="3" t="s">
        <v>1965</v>
      </c>
      <c r="G271" s="73">
        <v>1667789</v>
      </c>
      <c r="H271" s="47" t="s">
        <v>58</v>
      </c>
      <c r="I271" s="73" t="s">
        <v>1938</v>
      </c>
      <c r="J271" s="47" t="s">
        <v>58</v>
      </c>
      <c r="K271" s="15" t="s">
        <v>192</v>
      </c>
      <c r="L271" s="73" t="s">
        <v>140</v>
      </c>
      <c r="M271" s="15" t="s">
        <v>1288</v>
      </c>
      <c r="N271" s="73" t="s">
        <v>1955</v>
      </c>
      <c r="O271" s="17" t="s">
        <v>58</v>
      </c>
      <c r="P271" s="72" t="s">
        <v>1959</v>
      </c>
      <c r="Q271" s="18"/>
      <c r="R271" s="47" t="s">
        <v>58</v>
      </c>
      <c r="S271" s="15" t="s">
        <v>64</v>
      </c>
      <c r="T271" s="15"/>
      <c r="U271" s="15"/>
      <c r="V271" s="73">
        <v>78</v>
      </c>
      <c r="W271" s="16">
        <f t="shared" si="53"/>
        <v>78</v>
      </c>
      <c r="X271" s="15">
        <f>W271</f>
        <v>78</v>
      </c>
      <c r="Y271" s="15">
        <f>ROUNDDOWN(W271/HLOOKUP(D271,Table!$C$3:$D$4,2,0)*8,2)</f>
        <v>1.38</v>
      </c>
      <c r="Z271" s="15">
        <v>2</v>
      </c>
      <c r="AA271" s="15" t="s">
        <v>18</v>
      </c>
      <c r="AB271" s="19"/>
      <c r="AC271" s="19">
        <v>44083</v>
      </c>
      <c r="AD271" s="19">
        <v>44094</v>
      </c>
      <c r="AE271" s="19">
        <v>44084</v>
      </c>
      <c r="AF271" s="19">
        <v>44084</v>
      </c>
      <c r="AG271" s="19" t="s">
        <v>155</v>
      </c>
      <c r="AH271" s="30">
        <v>1</v>
      </c>
      <c r="AI271" s="30">
        <v>1</v>
      </c>
      <c r="AJ271" s="30">
        <v>1</v>
      </c>
      <c r="AK271" s="19" t="s">
        <v>140</v>
      </c>
      <c r="AL271" s="17" t="s">
        <v>58</v>
      </c>
      <c r="AM271" s="17" t="s">
        <v>58</v>
      </c>
      <c r="AN271" s="17" t="s">
        <v>58</v>
      </c>
    </row>
    <row r="272" spans="2:40">
      <c r="B272" s="342">
        <f t="shared" si="55"/>
        <v>213</v>
      </c>
      <c r="C272" s="16">
        <v>20200908</v>
      </c>
      <c r="D272" s="73" t="s">
        <v>3</v>
      </c>
      <c r="E272" s="73" t="s">
        <v>1925</v>
      </c>
      <c r="F272" s="17" t="s">
        <v>1966</v>
      </c>
      <c r="G272" s="73">
        <v>1667789</v>
      </c>
      <c r="H272" s="47" t="s">
        <v>58</v>
      </c>
      <c r="I272" s="73" t="s">
        <v>1939</v>
      </c>
      <c r="J272" s="47" t="s">
        <v>58</v>
      </c>
      <c r="K272" s="15" t="s">
        <v>192</v>
      </c>
      <c r="L272" s="73" t="s">
        <v>140</v>
      </c>
      <c r="M272" s="15" t="s">
        <v>1288</v>
      </c>
      <c r="N272" s="73" t="s">
        <v>1955</v>
      </c>
      <c r="O272" s="17" t="s">
        <v>58</v>
      </c>
      <c r="P272" s="72" t="s">
        <v>1959</v>
      </c>
      <c r="Q272" s="18"/>
      <c r="R272" s="47" t="s">
        <v>58</v>
      </c>
      <c r="S272" s="15" t="s">
        <v>64</v>
      </c>
      <c r="T272" s="15"/>
      <c r="U272" s="15"/>
      <c r="V272" s="73">
        <v>11</v>
      </c>
      <c r="W272" s="136">
        <v>0</v>
      </c>
      <c r="X272" s="15">
        <v>0</v>
      </c>
      <c r="Y272" s="15">
        <f>ROUNDDOWN(W272/HLOOKUP(D272,Table!$C$3:$D$4,2,0)*8,2)</f>
        <v>0</v>
      </c>
      <c r="Z272" s="15">
        <v>0</v>
      </c>
      <c r="AA272" s="15" t="s">
        <v>18</v>
      </c>
      <c r="AB272" s="19"/>
      <c r="AC272" s="19">
        <v>44083</v>
      </c>
      <c r="AD272" s="19">
        <v>44094</v>
      </c>
      <c r="AE272" s="19">
        <v>44084</v>
      </c>
      <c r="AF272" s="19">
        <v>44084</v>
      </c>
      <c r="AG272" s="19" t="s">
        <v>155</v>
      </c>
      <c r="AH272" s="30">
        <v>1</v>
      </c>
      <c r="AI272" s="30">
        <v>1</v>
      </c>
      <c r="AJ272" s="30">
        <v>1</v>
      </c>
      <c r="AK272" s="19" t="s">
        <v>140</v>
      </c>
      <c r="AL272" s="17" t="s">
        <v>58</v>
      </c>
      <c r="AM272" s="17" t="s">
        <v>58</v>
      </c>
      <c r="AN272" s="17" t="s">
        <v>2175</v>
      </c>
    </row>
    <row r="273" spans="2:40">
      <c r="B273" s="342">
        <f t="shared" si="55"/>
        <v>214</v>
      </c>
      <c r="C273" s="16">
        <v>20200908</v>
      </c>
      <c r="D273" s="73" t="s">
        <v>3</v>
      </c>
      <c r="E273" s="73" t="s">
        <v>1925</v>
      </c>
      <c r="F273" s="225" t="s">
        <v>2184</v>
      </c>
      <c r="G273" s="73">
        <v>1667789</v>
      </c>
      <c r="H273" s="47" t="s">
        <v>58</v>
      </c>
      <c r="I273" s="73" t="s">
        <v>1940</v>
      </c>
      <c r="J273" s="47" t="s">
        <v>58</v>
      </c>
      <c r="K273" s="15" t="s">
        <v>192</v>
      </c>
      <c r="L273" s="73" t="s">
        <v>140</v>
      </c>
      <c r="M273" s="15" t="s">
        <v>1288</v>
      </c>
      <c r="N273" s="73" t="s">
        <v>1955</v>
      </c>
      <c r="O273" s="17" t="s">
        <v>58</v>
      </c>
      <c r="P273" s="72" t="s">
        <v>1959</v>
      </c>
      <c r="Q273" s="18"/>
      <c r="R273" s="47" t="s">
        <v>58</v>
      </c>
      <c r="S273" s="15" t="s">
        <v>179</v>
      </c>
      <c r="T273" s="15" t="s">
        <v>168</v>
      </c>
      <c r="U273" s="15"/>
      <c r="V273" s="73">
        <v>274</v>
      </c>
      <c r="W273" s="16">
        <f t="shared" si="53"/>
        <v>274</v>
      </c>
      <c r="X273" s="15">
        <f>W273</f>
        <v>274</v>
      </c>
      <c r="Y273" s="15">
        <f>ROUNDDOWN(W273/HLOOKUP(D273,Table!$C$3:$D$4,2,0)*8,2)</f>
        <v>4.87</v>
      </c>
      <c r="Z273" s="15">
        <v>3</v>
      </c>
      <c r="AA273" s="15" t="s">
        <v>18</v>
      </c>
      <c r="AB273" s="19"/>
      <c r="AC273" s="19">
        <v>44083</v>
      </c>
      <c r="AD273" s="19">
        <v>44094</v>
      </c>
      <c r="AE273" s="19">
        <v>44085</v>
      </c>
      <c r="AF273" s="19">
        <v>44085</v>
      </c>
      <c r="AG273" s="19" t="s">
        <v>155</v>
      </c>
      <c r="AH273" s="30">
        <v>1</v>
      </c>
      <c r="AI273" s="30">
        <v>1</v>
      </c>
      <c r="AJ273" s="30">
        <v>1</v>
      </c>
      <c r="AK273" s="19" t="s">
        <v>140</v>
      </c>
      <c r="AL273" s="17" t="s">
        <v>58</v>
      </c>
      <c r="AM273" s="17" t="s">
        <v>58</v>
      </c>
      <c r="AN273" s="17" t="s">
        <v>58</v>
      </c>
    </row>
    <row r="274" spans="2:40">
      <c r="B274" s="342">
        <f t="shared" si="55"/>
        <v>215</v>
      </c>
      <c r="C274" s="16">
        <v>20200908</v>
      </c>
      <c r="D274" s="73" t="s">
        <v>3</v>
      </c>
      <c r="E274" s="73" t="s">
        <v>1925</v>
      </c>
      <c r="F274" s="225" t="s">
        <v>2185</v>
      </c>
      <c r="G274" s="73">
        <v>1667789</v>
      </c>
      <c r="H274" s="47" t="s">
        <v>58</v>
      </c>
      <c r="I274" s="73" t="s">
        <v>1850</v>
      </c>
      <c r="J274" s="47" t="s">
        <v>58</v>
      </c>
      <c r="K274" s="15"/>
      <c r="L274" s="73" t="s">
        <v>140</v>
      </c>
      <c r="M274" s="15" t="s">
        <v>1288</v>
      </c>
      <c r="N274" s="73" t="s">
        <v>1955</v>
      </c>
      <c r="O274" s="17" t="s">
        <v>58</v>
      </c>
      <c r="P274" s="72" t="s">
        <v>1959</v>
      </c>
      <c r="Q274" s="18"/>
      <c r="R274" s="47" t="s">
        <v>58</v>
      </c>
      <c r="S274" s="15" t="s">
        <v>179</v>
      </c>
      <c r="T274" s="15"/>
      <c r="U274" s="15"/>
      <c r="V274" s="73">
        <v>280</v>
      </c>
      <c r="W274" s="16">
        <f t="shared" si="53"/>
        <v>280</v>
      </c>
      <c r="X274" s="15"/>
      <c r="Y274" s="15">
        <f>ROUNDDOWN(W274/HLOOKUP(D274,Table!$C$3:$D$4,2,0)*8,2)</f>
        <v>4.97</v>
      </c>
      <c r="Z274" s="15"/>
      <c r="AA274" s="15"/>
      <c r="AB274" s="19"/>
      <c r="AC274" s="19">
        <v>44083</v>
      </c>
      <c r="AD274" s="19">
        <v>44094</v>
      </c>
      <c r="AE274" s="19"/>
      <c r="AF274" s="19"/>
      <c r="AG274" s="19"/>
      <c r="AH274" s="30"/>
      <c r="AI274" s="30"/>
      <c r="AJ274" s="30"/>
      <c r="AK274" s="19"/>
      <c r="AL274" s="17" t="s">
        <v>58</v>
      </c>
      <c r="AM274" s="17" t="s">
        <v>58</v>
      </c>
      <c r="AN274" s="17" t="s">
        <v>58</v>
      </c>
    </row>
    <row r="275" spans="2:40">
      <c r="B275" s="342">
        <f t="shared" si="55"/>
        <v>216</v>
      </c>
      <c r="C275" s="16">
        <v>20200908</v>
      </c>
      <c r="D275" s="73" t="s">
        <v>3</v>
      </c>
      <c r="E275" s="73" t="s">
        <v>1925</v>
      </c>
      <c r="F275" s="17" t="s">
        <v>1967</v>
      </c>
      <c r="G275" s="73">
        <v>1667789</v>
      </c>
      <c r="H275" s="47" t="s">
        <v>58</v>
      </c>
      <c r="I275" s="73" t="s">
        <v>1932</v>
      </c>
      <c r="J275" s="47" t="s">
        <v>58</v>
      </c>
      <c r="K275" s="15" t="s">
        <v>192</v>
      </c>
      <c r="L275" s="73" t="s">
        <v>140</v>
      </c>
      <c r="M275" s="15" t="s">
        <v>1288</v>
      </c>
      <c r="N275" s="73" t="s">
        <v>1955</v>
      </c>
      <c r="O275" s="17" t="s">
        <v>58</v>
      </c>
      <c r="P275" s="72" t="s">
        <v>1959</v>
      </c>
      <c r="Q275" s="18"/>
      <c r="R275" s="47" t="s">
        <v>58</v>
      </c>
      <c r="S275" s="15" t="s">
        <v>64</v>
      </c>
      <c r="T275" s="15"/>
      <c r="U275" s="15"/>
      <c r="V275" s="73">
        <v>165</v>
      </c>
      <c r="W275" s="16">
        <f t="shared" si="53"/>
        <v>165</v>
      </c>
      <c r="X275" s="15">
        <f>W275</f>
        <v>165</v>
      </c>
      <c r="Y275" s="15">
        <f>ROUNDDOWN(W275/HLOOKUP(D275,Table!$C$3:$D$4,2,0)*8,2)</f>
        <v>2.93</v>
      </c>
      <c r="Z275" s="15">
        <v>3</v>
      </c>
      <c r="AA275" s="15" t="s">
        <v>18</v>
      </c>
      <c r="AB275" s="19"/>
      <c r="AC275" s="19">
        <v>44083</v>
      </c>
      <c r="AD275" s="19">
        <v>44094</v>
      </c>
      <c r="AE275" s="19">
        <v>44084</v>
      </c>
      <c r="AF275" s="19">
        <v>44084</v>
      </c>
      <c r="AG275" s="19" t="s">
        <v>155</v>
      </c>
      <c r="AH275" s="30">
        <v>1</v>
      </c>
      <c r="AI275" s="30">
        <v>1</v>
      </c>
      <c r="AJ275" s="30">
        <v>1</v>
      </c>
      <c r="AK275" s="19" t="s">
        <v>140</v>
      </c>
      <c r="AL275" s="17" t="s">
        <v>58</v>
      </c>
      <c r="AM275" s="17" t="s">
        <v>58</v>
      </c>
      <c r="AN275" s="17" t="s">
        <v>58</v>
      </c>
    </row>
    <row r="276" spans="2:40">
      <c r="B276" s="342">
        <f t="shared" si="55"/>
        <v>217</v>
      </c>
      <c r="C276" s="16">
        <v>20200908</v>
      </c>
      <c r="D276" s="73" t="s">
        <v>3</v>
      </c>
      <c r="E276" s="73" t="s">
        <v>1925</v>
      </c>
      <c r="F276" s="225" t="s">
        <v>2186</v>
      </c>
      <c r="G276" s="73">
        <v>1667789</v>
      </c>
      <c r="H276" s="47" t="s">
        <v>58</v>
      </c>
      <c r="I276" s="73" t="s">
        <v>1933</v>
      </c>
      <c r="J276" s="47" t="s">
        <v>58</v>
      </c>
      <c r="K276" s="15"/>
      <c r="L276" s="73" t="s">
        <v>140</v>
      </c>
      <c r="M276" s="15" t="s">
        <v>1288</v>
      </c>
      <c r="N276" s="73" t="s">
        <v>1955</v>
      </c>
      <c r="O276" s="17" t="s">
        <v>58</v>
      </c>
      <c r="P276" s="72" t="s">
        <v>1959</v>
      </c>
      <c r="Q276" s="18"/>
      <c r="R276" s="47" t="s">
        <v>58</v>
      </c>
      <c r="S276" s="15" t="s">
        <v>179</v>
      </c>
      <c r="T276" s="15"/>
      <c r="U276" s="15"/>
      <c r="V276" s="73">
        <v>12</v>
      </c>
      <c r="W276" s="16">
        <f t="shared" si="53"/>
        <v>12</v>
      </c>
      <c r="X276" s="15"/>
      <c r="Y276" s="15">
        <f>ROUNDDOWN(W276/HLOOKUP(D276,Table!$C$3:$D$4,2,0)*8,2)</f>
        <v>0.21</v>
      </c>
      <c r="Z276" s="15"/>
      <c r="AA276" s="15"/>
      <c r="AB276" s="19"/>
      <c r="AC276" s="19">
        <v>44083</v>
      </c>
      <c r="AD276" s="19">
        <v>44094</v>
      </c>
      <c r="AE276" s="19"/>
      <c r="AF276" s="19"/>
      <c r="AG276" s="19"/>
      <c r="AH276" s="30"/>
      <c r="AI276" s="30"/>
      <c r="AJ276" s="30"/>
      <c r="AK276" s="19"/>
      <c r="AL276" s="17" t="s">
        <v>58</v>
      </c>
      <c r="AM276" s="17" t="s">
        <v>58</v>
      </c>
      <c r="AN276" s="17" t="s">
        <v>58</v>
      </c>
    </row>
    <row r="277" spans="2:40">
      <c r="B277" s="342">
        <f t="shared" si="55"/>
        <v>218</v>
      </c>
      <c r="C277" s="16">
        <v>20200908</v>
      </c>
      <c r="D277" s="73" t="s">
        <v>3</v>
      </c>
      <c r="E277" s="73" t="s">
        <v>1925</v>
      </c>
      <c r="F277" s="225" t="s">
        <v>2023</v>
      </c>
      <c r="G277" s="73">
        <v>1667789</v>
      </c>
      <c r="H277" s="47" t="s">
        <v>58</v>
      </c>
      <c r="I277" s="73" t="s">
        <v>1941</v>
      </c>
      <c r="J277" s="47" t="s">
        <v>58</v>
      </c>
      <c r="K277" s="15" t="s">
        <v>192</v>
      </c>
      <c r="L277" s="73" t="s">
        <v>140</v>
      </c>
      <c r="M277" s="15" t="s">
        <v>1288</v>
      </c>
      <c r="N277" s="73" t="s">
        <v>1955</v>
      </c>
      <c r="O277" s="17" t="s">
        <v>58</v>
      </c>
      <c r="P277" s="72" t="s">
        <v>1959</v>
      </c>
      <c r="Q277" s="18"/>
      <c r="R277" s="47" t="s">
        <v>58</v>
      </c>
      <c r="S277" s="15" t="s">
        <v>167</v>
      </c>
      <c r="T277" s="15" t="s">
        <v>64</v>
      </c>
      <c r="U277" s="15"/>
      <c r="V277" s="73">
        <v>144</v>
      </c>
      <c r="W277" s="18">
        <f t="shared" si="53"/>
        <v>144</v>
      </c>
      <c r="X277" s="15">
        <f>W277</f>
        <v>144</v>
      </c>
      <c r="Y277" s="15">
        <f>ROUNDDOWN(W277/HLOOKUP(D277,Table!$C$3:$D$4,2,0)*8,2)</f>
        <v>2.56</v>
      </c>
      <c r="Z277" s="15">
        <f>Y277</f>
        <v>2.56</v>
      </c>
      <c r="AA277" s="15" t="s">
        <v>18</v>
      </c>
      <c r="AB277" s="19"/>
      <c r="AC277" s="19">
        <v>44083</v>
      </c>
      <c r="AD277" s="19">
        <v>44094</v>
      </c>
      <c r="AE277" s="19">
        <v>44083</v>
      </c>
      <c r="AF277" s="19">
        <v>44083</v>
      </c>
      <c r="AG277" s="19" t="s">
        <v>155</v>
      </c>
      <c r="AH277" s="30">
        <v>1</v>
      </c>
      <c r="AI277" s="30">
        <v>1</v>
      </c>
      <c r="AJ277" s="30">
        <v>1</v>
      </c>
      <c r="AK277" s="19" t="s">
        <v>140</v>
      </c>
      <c r="AL277" s="17" t="s">
        <v>58</v>
      </c>
      <c r="AM277" s="17" t="s">
        <v>58</v>
      </c>
      <c r="AN277" s="17" t="s">
        <v>58</v>
      </c>
    </row>
    <row r="278" spans="2:40">
      <c r="B278" s="342">
        <f t="shared" si="55"/>
        <v>219</v>
      </c>
      <c r="C278" s="16">
        <v>20200908</v>
      </c>
      <c r="D278" s="73" t="s">
        <v>3</v>
      </c>
      <c r="E278" s="73" t="s">
        <v>1925</v>
      </c>
      <c r="F278" s="225" t="s">
        <v>2024</v>
      </c>
      <c r="G278" s="73">
        <v>1667789</v>
      </c>
      <c r="H278" s="47" t="s">
        <v>58</v>
      </c>
      <c r="I278" s="73" t="s">
        <v>1215</v>
      </c>
      <c r="J278" s="47" t="s">
        <v>58</v>
      </c>
      <c r="K278" s="15" t="s">
        <v>192</v>
      </c>
      <c r="L278" s="73" t="s">
        <v>140</v>
      </c>
      <c r="M278" s="15" t="s">
        <v>1288</v>
      </c>
      <c r="N278" s="73" t="s">
        <v>1955</v>
      </c>
      <c r="O278" s="17" t="s">
        <v>58</v>
      </c>
      <c r="P278" s="72" t="s">
        <v>1959</v>
      </c>
      <c r="Q278" s="18"/>
      <c r="R278" s="47" t="s">
        <v>58</v>
      </c>
      <c r="S278" s="15" t="s">
        <v>167</v>
      </c>
      <c r="T278" s="15" t="s">
        <v>64</v>
      </c>
      <c r="U278" s="15"/>
      <c r="V278" s="73">
        <v>109</v>
      </c>
      <c r="W278" s="18">
        <f t="shared" si="53"/>
        <v>109</v>
      </c>
      <c r="X278" s="15">
        <f>W278</f>
        <v>109</v>
      </c>
      <c r="Y278" s="15">
        <f>ROUNDDOWN(W278/HLOOKUP(D278,Table!$C$3:$D$4,2,0)*8,2)</f>
        <v>1.93</v>
      </c>
      <c r="Z278" s="15">
        <f>Y278</f>
        <v>1.93</v>
      </c>
      <c r="AA278" s="15" t="s">
        <v>18</v>
      </c>
      <c r="AB278" s="19"/>
      <c r="AC278" s="19">
        <v>44083</v>
      </c>
      <c r="AD278" s="19">
        <v>44094</v>
      </c>
      <c r="AE278" s="19">
        <v>44083</v>
      </c>
      <c r="AF278" s="19">
        <v>44083</v>
      </c>
      <c r="AG278" s="19" t="s">
        <v>155</v>
      </c>
      <c r="AH278" s="30">
        <v>1</v>
      </c>
      <c r="AI278" s="30">
        <v>1</v>
      </c>
      <c r="AJ278" s="30">
        <v>1</v>
      </c>
      <c r="AK278" s="19" t="s">
        <v>140</v>
      </c>
      <c r="AL278" s="17" t="s">
        <v>58</v>
      </c>
      <c r="AM278" s="17" t="s">
        <v>58</v>
      </c>
      <c r="AN278" s="17" t="s">
        <v>2026</v>
      </c>
    </row>
    <row r="279" spans="2:40">
      <c r="B279" s="342">
        <f t="shared" si="55"/>
        <v>220</v>
      </c>
      <c r="C279" s="16">
        <v>20200908</v>
      </c>
      <c r="D279" s="73" t="s">
        <v>3</v>
      </c>
      <c r="E279" s="73" t="s">
        <v>1925</v>
      </c>
      <c r="F279" s="225" t="s">
        <v>2187</v>
      </c>
      <c r="G279" s="73">
        <v>1667789</v>
      </c>
      <c r="H279" s="47" t="s">
        <v>58</v>
      </c>
      <c r="I279" s="73" t="s">
        <v>1233</v>
      </c>
      <c r="J279" s="47" t="s">
        <v>58</v>
      </c>
      <c r="K279" s="15"/>
      <c r="L279" s="73" t="s">
        <v>140</v>
      </c>
      <c r="M279" s="15" t="s">
        <v>1288</v>
      </c>
      <c r="N279" s="73" t="s">
        <v>1955</v>
      </c>
      <c r="O279" s="17" t="s">
        <v>58</v>
      </c>
      <c r="P279" s="72" t="s">
        <v>1959</v>
      </c>
      <c r="Q279" s="18"/>
      <c r="R279" s="47" t="s">
        <v>58</v>
      </c>
      <c r="S279" s="15" t="s">
        <v>179</v>
      </c>
      <c r="T279" s="15"/>
      <c r="U279" s="15"/>
      <c r="V279" s="73">
        <v>6</v>
      </c>
      <c r="W279" s="16">
        <f t="shared" si="53"/>
        <v>6</v>
      </c>
      <c r="X279" s="15"/>
      <c r="Y279" s="15">
        <f>ROUNDDOWN(W279/HLOOKUP(D279,Table!$C$3:$D$4,2,0)*8,2)</f>
        <v>0.1</v>
      </c>
      <c r="Z279" s="15"/>
      <c r="AA279" s="15"/>
      <c r="AB279" s="19"/>
      <c r="AC279" s="19">
        <v>44083</v>
      </c>
      <c r="AD279" s="19">
        <v>44094</v>
      </c>
      <c r="AE279" s="19"/>
      <c r="AF279" s="19"/>
      <c r="AG279" s="19"/>
      <c r="AH279" s="30"/>
      <c r="AI279" s="30"/>
      <c r="AJ279" s="30"/>
      <c r="AK279" s="19"/>
      <c r="AL279" s="17" t="s">
        <v>58</v>
      </c>
      <c r="AM279" s="17" t="s">
        <v>58</v>
      </c>
      <c r="AN279" s="17" t="s">
        <v>58</v>
      </c>
    </row>
    <row r="280" spans="2:40">
      <c r="B280" s="342">
        <f t="shared" si="55"/>
        <v>221</v>
      </c>
      <c r="C280" s="16">
        <v>20200908</v>
      </c>
      <c r="D280" s="73" t="s">
        <v>3</v>
      </c>
      <c r="E280" s="73" t="s">
        <v>1925</v>
      </c>
      <c r="F280" s="225" t="s">
        <v>2195</v>
      </c>
      <c r="G280" s="73">
        <v>1667789</v>
      </c>
      <c r="H280" s="47" t="s">
        <v>58</v>
      </c>
      <c r="I280" s="73" t="s">
        <v>1942</v>
      </c>
      <c r="J280" s="47" t="s">
        <v>58</v>
      </c>
      <c r="K280" s="15" t="s">
        <v>192</v>
      </c>
      <c r="L280" s="73" t="s">
        <v>140</v>
      </c>
      <c r="M280" s="15" t="s">
        <v>1288</v>
      </c>
      <c r="N280" s="73" t="s">
        <v>1955</v>
      </c>
      <c r="O280" s="17" t="s">
        <v>58</v>
      </c>
      <c r="P280" s="72" t="s">
        <v>1959</v>
      </c>
      <c r="Q280" s="18"/>
      <c r="R280" s="47" t="s">
        <v>58</v>
      </c>
      <c r="S280" s="15" t="s">
        <v>169</v>
      </c>
      <c r="T280" s="15"/>
      <c r="U280" s="15"/>
      <c r="V280" s="73">
        <v>691</v>
      </c>
      <c r="W280" s="16">
        <v>0</v>
      </c>
      <c r="X280" s="15">
        <v>0</v>
      </c>
      <c r="Y280" s="15">
        <f>ROUNDDOWN(W280/HLOOKUP(D280,Table!$C$3:$D$4,2,0)*8,2)</f>
        <v>0</v>
      </c>
      <c r="Z280" s="15">
        <v>0</v>
      </c>
      <c r="AA280" s="15" t="s">
        <v>18</v>
      </c>
      <c r="AB280" s="19"/>
      <c r="AC280" s="19">
        <v>44083</v>
      </c>
      <c r="AD280" s="19">
        <v>44094</v>
      </c>
      <c r="AE280" s="19">
        <v>44085</v>
      </c>
      <c r="AF280" s="19">
        <v>44085</v>
      </c>
      <c r="AG280" s="19" t="s">
        <v>155</v>
      </c>
      <c r="AH280" s="30" t="s">
        <v>58</v>
      </c>
      <c r="AI280" s="30" t="s">
        <v>58</v>
      </c>
      <c r="AJ280" s="30" t="s">
        <v>58</v>
      </c>
      <c r="AK280" s="19" t="s">
        <v>140</v>
      </c>
      <c r="AL280" s="17" t="s">
        <v>58</v>
      </c>
      <c r="AM280" s="17" t="s">
        <v>58</v>
      </c>
      <c r="AN280" s="237" t="s">
        <v>1244</v>
      </c>
    </row>
    <row r="281" spans="2:40">
      <c r="B281" s="342">
        <f t="shared" si="55"/>
        <v>222</v>
      </c>
      <c r="C281" s="16">
        <v>20200908</v>
      </c>
      <c r="D281" s="73" t="s">
        <v>3</v>
      </c>
      <c r="E281" s="73" t="s">
        <v>1925</v>
      </c>
      <c r="F281" s="225" t="s">
        <v>2188</v>
      </c>
      <c r="G281" s="73">
        <v>1667789</v>
      </c>
      <c r="H281" s="47" t="s">
        <v>58</v>
      </c>
      <c r="I281" s="73" t="s">
        <v>1943</v>
      </c>
      <c r="J281" s="47" t="s">
        <v>58</v>
      </c>
      <c r="K281" s="15"/>
      <c r="L281" s="73" t="s">
        <v>140</v>
      </c>
      <c r="M281" s="15" t="s">
        <v>1288</v>
      </c>
      <c r="N281" s="73" t="s">
        <v>1955</v>
      </c>
      <c r="O281" s="17" t="s">
        <v>58</v>
      </c>
      <c r="P281" s="72" t="s">
        <v>1959</v>
      </c>
      <c r="Q281" s="18"/>
      <c r="R281" s="47" t="s">
        <v>58</v>
      </c>
      <c r="S281" s="15" t="s">
        <v>179</v>
      </c>
      <c r="T281" s="15"/>
      <c r="U281" s="15"/>
      <c r="V281" s="73">
        <v>13</v>
      </c>
      <c r="W281" s="16">
        <f t="shared" si="53"/>
        <v>13</v>
      </c>
      <c r="X281" s="15"/>
      <c r="Y281" s="15">
        <f>ROUNDDOWN(W281/HLOOKUP(D281,Table!$C$3:$D$4,2,0)*8,2)</f>
        <v>0.23</v>
      </c>
      <c r="Z281" s="15"/>
      <c r="AA281" s="15"/>
      <c r="AB281" s="19"/>
      <c r="AC281" s="19">
        <v>44083</v>
      </c>
      <c r="AD281" s="19">
        <v>44094</v>
      </c>
      <c r="AE281" s="19"/>
      <c r="AF281" s="19"/>
      <c r="AG281" s="19"/>
      <c r="AH281" s="30"/>
      <c r="AI281" s="30"/>
      <c r="AJ281" s="30"/>
      <c r="AK281" s="19"/>
      <c r="AL281" s="17" t="s">
        <v>58</v>
      </c>
      <c r="AM281" s="17" t="s">
        <v>58</v>
      </c>
      <c r="AN281" s="17" t="s">
        <v>58</v>
      </c>
    </row>
    <row r="282" spans="2:40">
      <c r="B282" s="342">
        <f t="shared" si="55"/>
        <v>223</v>
      </c>
      <c r="C282" s="16">
        <v>20200908</v>
      </c>
      <c r="D282" s="73" t="s">
        <v>3</v>
      </c>
      <c r="E282" s="73" t="s">
        <v>1925</v>
      </c>
      <c r="F282" s="17" t="s">
        <v>1968</v>
      </c>
      <c r="G282" s="73">
        <v>1667789</v>
      </c>
      <c r="H282" s="47" t="s">
        <v>58</v>
      </c>
      <c r="I282" s="73" t="s">
        <v>1944</v>
      </c>
      <c r="J282" s="47" t="s">
        <v>58</v>
      </c>
      <c r="K282" s="15" t="s">
        <v>192</v>
      </c>
      <c r="L282" s="73" t="s">
        <v>140</v>
      </c>
      <c r="M282" s="15" t="s">
        <v>1288</v>
      </c>
      <c r="N282" s="73" t="s">
        <v>1955</v>
      </c>
      <c r="O282" s="17" t="s">
        <v>58</v>
      </c>
      <c r="P282" s="72" t="s">
        <v>1959</v>
      </c>
      <c r="Q282" s="18"/>
      <c r="R282" s="47" t="s">
        <v>58</v>
      </c>
      <c r="S282" s="15" t="s">
        <v>64</v>
      </c>
      <c r="T282" s="15"/>
      <c r="U282" s="15"/>
      <c r="V282" s="73">
        <v>41</v>
      </c>
      <c r="W282" s="136">
        <v>0</v>
      </c>
      <c r="X282" s="15">
        <f>W282</f>
        <v>0</v>
      </c>
      <c r="Y282" s="15">
        <f>ROUNDDOWN(W282/HLOOKUP(D282,Table!$C$3:$D$4,2,0)*8,2)</f>
        <v>0</v>
      </c>
      <c r="Z282" s="15">
        <v>0</v>
      </c>
      <c r="AA282" s="15" t="s">
        <v>18</v>
      </c>
      <c r="AB282" s="19"/>
      <c r="AC282" s="19">
        <v>44083</v>
      </c>
      <c r="AD282" s="19">
        <v>44094</v>
      </c>
      <c r="AE282" s="19">
        <v>44084</v>
      </c>
      <c r="AF282" s="19">
        <v>44084</v>
      </c>
      <c r="AG282" s="19" t="s">
        <v>155</v>
      </c>
      <c r="AH282" s="30">
        <v>1</v>
      </c>
      <c r="AI282" s="30">
        <v>1</v>
      </c>
      <c r="AJ282" s="30">
        <v>1</v>
      </c>
      <c r="AK282" s="19" t="s">
        <v>140</v>
      </c>
      <c r="AL282" s="17" t="s">
        <v>58</v>
      </c>
      <c r="AM282" s="17" t="s">
        <v>58</v>
      </c>
      <c r="AN282" s="17" t="s">
        <v>2175</v>
      </c>
    </row>
    <row r="283" spans="2:40">
      <c r="B283" s="342">
        <f t="shared" si="55"/>
        <v>224</v>
      </c>
      <c r="C283" s="16">
        <v>20200908</v>
      </c>
      <c r="D283" s="73" t="s">
        <v>3</v>
      </c>
      <c r="E283" s="73" t="s">
        <v>1925</v>
      </c>
      <c r="F283" s="17" t="s">
        <v>1969</v>
      </c>
      <c r="G283" s="73">
        <v>1667789</v>
      </c>
      <c r="H283" s="47" t="s">
        <v>58</v>
      </c>
      <c r="I283" s="73" t="s">
        <v>1945</v>
      </c>
      <c r="J283" s="47" t="s">
        <v>58</v>
      </c>
      <c r="K283" s="15" t="s">
        <v>192</v>
      </c>
      <c r="L283" s="73" t="s">
        <v>140</v>
      </c>
      <c r="M283" s="15" t="s">
        <v>1288</v>
      </c>
      <c r="N283" s="73" t="s">
        <v>1955</v>
      </c>
      <c r="O283" s="17" t="s">
        <v>58</v>
      </c>
      <c r="P283" s="72" t="s">
        <v>1959</v>
      </c>
      <c r="Q283" s="18"/>
      <c r="R283" s="47" t="s">
        <v>58</v>
      </c>
      <c r="S283" s="15" t="s">
        <v>169</v>
      </c>
      <c r="T283" s="15"/>
      <c r="U283" s="15"/>
      <c r="V283" s="73">
        <v>2</v>
      </c>
      <c r="W283" s="16">
        <f t="shared" si="53"/>
        <v>2</v>
      </c>
      <c r="X283" s="15">
        <f>W283</f>
        <v>2</v>
      </c>
      <c r="Y283" s="15">
        <f>ROUNDDOWN(W283/HLOOKUP(D283,Table!$C$3:$D$4,2,0)*8,2)</f>
        <v>0.03</v>
      </c>
      <c r="Z283" s="15">
        <v>1</v>
      </c>
      <c r="AA283" s="15" t="s">
        <v>18</v>
      </c>
      <c r="AB283" s="19"/>
      <c r="AC283" s="19">
        <v>44083</v>
      </c>
      <c r="AD283" s="19">
        <v>44094</v>
      </c>
      <c r="AE283" s="19">
        <v>44085</v>
      </c>
      <c r="AF283" s="19">
        <v>44085</v>
      </c>
      <c r="AG283" s="19" t="s">
        <v>155</v>
      </c>
      <c r="AH283" s="30">
        <v>1</v>
      </c>
      <c r="AI283" s="30">
        <v>1</v>
      </c>
      <c r="AJ283" s="30">
        <v>1</v>
      </c>
      <c r="AK283" s="19" t="s">
        <v>140</v>
      </c>
      <c r="AL283" s="17" t="s">
        <v>58</v>
      </c>
      <c r="AM283" s="17" t="s">
        <v>58</v>
      </c>
      <c r="AN283" s="17" t="s">
        <v>58</v>
      </c>
    </row>
    <row r="284" spans="2:40">
      <c r="B284" s="342">
        <f t="shared" si="55"/>
        <v>225</v>
      </c>
      <c r="C284" s="16">
        <v>20200908</v>
      </c>
      <c r="D284" s="73" t="s">
        <v>3</v>
      </c>
      <c r="E284" s="73" t="s">
        <v>1925</v>
      </c>
      <c r="F284" s="225" t="s">
        <v>2189</v>
      </c>
      <c r="G284" s="73">
        <v>1667789</v>
      </c>
      <c r="H284" s="47" t="s">
        <v>58</v>
      </c>
      <c r="I284" s="73" t="s">
        <v>1213</v>
      </c>
      <c r="J284" s="47" t="s">
        <v>58</v>
      </c>
      <c r="K284" s="15"/>
      <c r="L284" s="73" t="s">
        <v>140</v>
      </c>
      <c r="M284" s="15" t="s">
        <v>1288</v>
      </c>
      <c r="N284" s="73" t="s">
        <v>1955</v>
      </c>
      <c r="O284" s="17" t="s">
        <v>58</v>
      </c>
      <c r="P284" s="72" t="s">
        <v>1959</v>
      </c>
      <c r="Q284" s="18"/>
      <c r="R284" s="47" t="s">
        <v>58</v>
      </c>
      <c r="S284" s="15" t="s">
        <v>179</v>
      </c>
      <c r="T284" s="15"/>
      <c r="U284" s="15"/>
      <c r="V284" s="73">
        <v>34</v>
      </c>
      <c r="W284" s="16">
        <f t="shared" si="53"/>
        <v>34</v>
      </c>
      <c r="X284" s="15"/>
      <c r="Y284" s="15">
        <f>ROUNDDOWN(W284/HLOOKUP(D284,Table!$C$3:$D$4,2,0)*8,2)</f>
        <v>0.6</v>
      </c>
      <c r="Z284" s="15"/>
      <c r="AA284" s="15"/>
      <c r="AB284" s="19"/>
      <c r="AC284" s="19">
        <v>44083</v>
      </c>
      <c r="AD284" s="19">
        <v>44094</v>
      </c>
      <c r="AE284" s="19"/>
      <c r="AF284" s="19"/>
      <c r="AG284" s="19"/>
      <c r="AH284" s="30"/>
      <c r="AI284" s="30"/>
      <c r="AJ284" s="30"/>
      <c r="AK284" s="19"/>
      <c r="AL284" s="17" t="s">
        <v>58</v>
      </c>
      <c r="AM284" s="17" t="s">
        <v>58</v>
      </c>
      <c r="AN284" s="17" t="s">
        <v>58</v>
      </c>
    </row>
    <row r="285" spans="2:40">
      <c r="B285" s="342">
        <f t="shared" si="55"/>
        <v>226</v>
      </c>
      <c r="C285" s="16">
        <v>20200908</v>
      </c>
      <c r="D285" s="73" t="s">
        <v>3</v>
      </c>
      <c r="E285" s="73" t="s">
        <v>1925</v>
      </c>
      <c r="F285" s="225" t="s">
        <v>2190</v>
      </c>
      <c r="G285" s="73">
        <v>1667789</v>
      </c>
      <c r="H285" s="47" t="s">
        <v>58</v>
      </c>
      <c r="I285" s="73" t="s">
        <v>1946</v>
      </c>
      <c r="J285" s="47" t="s">
        <v>58</v>
      </c>
      <c r="K285" s="15"/>
      <c r="L285" s="73" t="s">
        <v>140</v>
      </c>
      <c r="M285" s="15" t="s">
        <v>1288</v>
      </c>
      <c r="N285" s="73" t="s">
        <v>1955</v>
      </c>
      <c r="O285" s="17" t="s">
        <v>58</v>
      </c>
      <c r="P285" s="72" t="s">
        <v>1959</v>
      </c>
      <c r="Q285" s="18"/>
      <c r="R285" s="47" t="s">
        <v>58</v>
      </c>
      <c r="S285" s="15" t="s">
        <v>179</v>
      </c>
      <c r="T285" s="15"/>
      <c r="U285" s="15"/>
      <c r="V285" s="73">
        <v>84</v>
      </c>
      <c r="W285" s="16">
        <f t="shared" si="53"/>
        <v>84</v>
      </c>
      <c r="X285" s="15"/>
      <c r="Y285" s="15">
        <f>ROUNDDOWN(W285/HLOOKUP(D285,Table!$C$3:$D$4,2,0)*8,2)</f>
        <v>1.49</v>
      </c>
      <c r="Z285" s="15"/>
      <c r="AA285" s="15"/>
      <c r="AB285" s="19"/>
      <c r="AC285" s="19">
        <v>44083</v>
      </c>
      <c r="AD285" s="19">
        <v>44094</v>
      </c>
      <c r="AE285" s="19"/>
      <c r="AF285" s="19"/>
      <c r="AG285" s="19"/>
      <c r="AH285" s="30"/>
      <c r="AI285" s="30"/>
      <c r="AJ285" s="30"/>
      <c r="AK285" s="19"/>
      <c r="AL285" s="17" t="s">
        <v>58</v>
      </c>
      <c r="AM285" s="17" t="s">
        <v>58</v>
      </c>
      <c r="AN285" s="17" t="s">
        <v>58</v>
      </c>
    </row>
    <row r="286" spans="2:40">
      <c r="B286" s="342">
        <f t="shared" si="55"/>
        <v>227</v>
      </c>
      <c r="C286" s="16">
        <v>20200908</v>
      </c>
      <c r="D286" s="73" t="s">
        <v>3</v>
      </c>
      <c r="E286" s="73" t="s">
        <v>1925</v>
      </c>
      <c r="F286" s="225" t="s">
        <v>2191</v>
      </c>
      <c r="G286" s="73">
        <v>1667789</v>
      </c>
      <c r="H286" s="47" t="s">
        <v>58</v>
      </c>
      <c r="I286" s="73" t="s">
        <v>1947</v>
      </c>
      <c r="J286" s="47" t="s">
        <v>58</v>
      </c>
      <c r="K286" s="15"/>
      <c r="L286" s="73" t="s">
        <v>140</v>
      </c>
      <c r="M286" s="15" t="s">
        <v>1288</v>
      </c>
      <c r="N286" s="73" t="s">
        <v>1955</v>
      </c>
      <c r="O286" s="17" t="s">
        <v>58</v>
      </c>
      <c r="P286" s="72" t="s">
        <v>1959</v>
      </c>
      <c r="Q286" s="18"/>
      <c r="R286" s="47" t="s">
        <v>58</v>
      </c>
      <c r="S286" s="15" t="s">
        <v>179</v>
      </c>
      <c r="T286" s="15"/>
      <c r="U286" s="15"/>
      <c r="V286" s="73">
        <v>16</v>
      </c>
      <c r="W286" s="16">
        <f t="shared" si="53"/>
        <v>16</v>
      </c>
      <c r="X286" s="15"/>
      <c r="Y286" s="15">
        <f>ROUNDDOWN(W286/HLOOKUP(D286,Table!$C$3:$D$4,2,0)*8,2)</f>
        <v>0.28000000000000003</v>
      </c>
      <c r="Z286" s="15"/>
      <c r="AA286" s="15"/>
      <c r="AB286" s="19"/>
      <c r="AC286" s="19">
        <v>44083</v>
      </c>
      <c r="AD286" s="19">
        <v>44094</v>
      </c>
      <c r="AE286" s="19"/>
      <c r="AF286" s="19"/>
      <c r="AG286" s="19"/>
      <c r="AH286" s="30"/>
      <c r="AI286" s="30"/>
      <c r="AJ286" s="30"/>
      <c r="AK286" s="19"/>
      <c r="AL286" s="17" t="s">
        <v>58</v>
      </c>
      <c r="AM286" s="17" t="s">
        <v>58</v>
      </c>
      <c r="AN286" s="17" t="s">
        <v>58</v>
      </c>
    </row>
    <row r="287" spans="2:40">
      <c r="B287" s="342">
        <f t="shared" si="55"/>
        <v>228</v>
      </c>
      <c r="C287" s="16">
        <v>20200908</v>
      </c>
      <c r="D287" s="73" t="s">
        <v>3</v>
      </c>
      <c r="E287" s="73" t="s">
        <v>1925</v>
      </c>
      <c r="F287" s="225" t="s">
        <v>2155</v>
      </c>
      <c r="G287" s="73">
        <v>1667789</v>
      </c>
      <c r="H287" s="47" t="s">
        <v>58</v>
      </c>
      <c r="I287" s="85" t="s">
        <v>1948</v>
      </c>
      <c r="J287" s="47" t="s">
        <v>58</v>
      </c>
      <c r="K287" s="15" t="s">
        <v>192</v>
      </c>
      <c r="L287" s="73" t="s">
        <v>140</v>
      </c>
      <c r="M287" s="15" t="s">
        <v>1288</v>
      </c>
      <c r="N287" s="73" t="s">
        <v>1955</v>
      </c>
      <c r="O287" s="17" t="s">
        <v>58</v>
      </c>
      <c r="P287" s="72" t="s">
        <v>1959</v>
      </c>
      <c r="Q287" s="18"/>
      <c r="R287" s="47" t="s">
        <v>58</v>
      </c>
      <c r="S287" s="15" t="s">
        <v>168</v>
      </c>
      <c r="T287" s="15" t="s">
        <v>179</v>
      </c>
      <c r="U287" s="15"/>
      <c r="V287" s="73">
        <v>104</v>
      </c>
      <c r="W287" s="16">
        <f t="shared" si="53"/>
        <v>104</v>
      </c>
      <c r="X287" s="15">
        <f>W287</f>
        <v>104</v>
      </c>
      <c r="Y287" s="15">
        <f>ROUNDDOWN(W287/HLOOKUP(D287,Table!$C$3:$D$4,2,0)*8,2)</f>
        <v>1.84</v>
      </c>
      <c r="Z287" s="15">
        <v>1</v>
      </c>
      <c r="AA287" s="15" t="s">
        <v>18</v>
      </c>
      <c r="AB287" s="19"/>
      <c r="AC287" s="19">
        <v>44083</v>
      </c>
      <c r="AD287" s="19">
        <v>44094</v>
      </c>
      <c r="AE287" s="19">
        <v>44084</v>
      </c>
      <c r="AF287" s="19">
        <v>44084</v>
      </c>
      <c r="AG287" s="19" t="s">
        <v>155</v>
      </c>
      <c r="AH287" s="30">
        <v>1</v>
      </c>
      <c r="AI287" s="30">
        <v>1</v>
      </c>
      <c r="AJ287" s="30">
        <v>1</v>
      </c>
      <c r="AK287" s="19" t="s">
        <v>140</v>
      </c>
      <c r="AL287" s="17" t="s">
        <v>58</v>
      </c>
      <c r="AM287" s="17" t="s">
        <v>58</v>
      </c>
      <c r="AN287" s="17" t="s">
        <v>58</v>
      </c>
    </row>
    <row r="288" spans="2:40">
      <c r="B288" s="342">
        <f t="shared" si="55"/>
        <v>229</v>
      </c>
      <c r="C288" s="16">
        <v>20200908</v>
      </c>
      <c r="D288" s="73" t="s">
        <v>3</v>
      </c>
      <c r="E288" s="73" t="s">
        <v>1925</v>
      </c>
      <c r="F288" s="225" t="s">
        <v>2192</v>
      </c>
      <c r="G288" s="73">
        <v>1667789</v>
      </c>
      <c r="H288" s="47" t="s">
        <v>58</v>
      </c>
      <c r="I288" s="73" t="s">
        <v>1949</v>
      </c>
      <c r="J288" s="47" t="s">
        <v>58</v>
      </c>
      <c r="K288" s="15"/>
      <c r="L288" s="73" t="s">
        <v>140</v>
      </c>
      <c r="M288" s="15" t="s">
        <v>1288</v>
      </c>
      <c r="N288" s="73" t="s">
        <v>1955</v>
      </c>
      <c r="O288" s="17" t="s">
        <v>58</v>
      </c>
      <c r="P288" s="72" t="s">
        <v>1959</v>
      </c>
      <c r="Q288" s="18"/>
      <c r="R288" s="47" t="s">
        <v>58</v>
      </c>
      <c r="S288" s="15" t="s">
        <v>179</v>
      </c>
      <c r="T288" s="15"/>
      <c r="U288" s="15"/>
      <c r="V288" s="73">
        <v>21</v>
      </c>
      <c r="W288" s="16">
        <f t="shared" si="53"/>
        <v>21</v>
      </c>
      <c r="X288" s="15"/>
      <c r="Y288" s="15">
        <f>ROUNDDOWN(W288/HLOOKUP(D288,Table!$C$3:$D$4,2,0)*8,2)</f>
        <v>0.37</v>
      </c>
      <c r="Z288" s="15"/>
      <c r="AA288" s="15"/>
      <c r="AB288" s="19"/>
      <c r="AC288" s="19">
        <v>44083</v>
      </c>
      <c r="AD288" s="19">
        <v>44094</v>
      </c>
      <c r="AE288" s="19"/>
      <c r="AF288" s="19"/>
      <c r="AG288" s="19"/>
      <c r="AH288" s="30"/>
      <c r="AI288" s="30"/>
      <c r="AJ288" s="30"/>
      <c r="AK288" s="19"/>
      <c r="AL288" s="17" t="s">
        <v>58</v>
      </c>
      <c r="AM288" s="17" t="s">
        <v>58</v>
      </c>
      <c r="AN288" s="17" t="s">
        <v>58</v>
      </c>
    </row>
    <row r="289" spans="2:40">
      <c r="B289" s="342">
        <f t="shared" si="55"/>
        <v>230</v>
      </c>
      <c r="C289" s="16">
        <v>20200908</v>
      </c>
      <c r="D289" s="73" t="s">
        <v>3</v>
      </c>
      <c r="E289" s="73" t="s">
        <v>1925</v>
      </c>
      <c r="F289" s="225" t="s">
        <v>2151</v>
      </c>
      <c r="G289" s="73">
        <v>1667789</v>
      </c>
      <c r="H289" s="47" t="s">
        <v>58</v>
      </c>
      <c r="I289" s="73" t="s">
        <v>1950</v>
      </c>
      <c r="J289" s="47" t="s">
        <v>58</v>
      </c>
      <c r="K289" s="15" t="s">
        <v>192</v>
      </c>
      <c r="L289" s="73" t="s">
        <v>140</v>
      </c>
      <c r="M289" s="15" t="s">
        <v>1288</v>
      </c>
      <c r="N289" s="73" t="s">
        <v>1955</v>
      </c>
      <c r="O289" s="17" t="s">
        <v>58</v>
      </c>
      <c r="P289" s="72" t="s">
        <v>1959</v>
      </c>
      <c r="Q289" s="18"/>
      <c r="R289" s="47" t="s">
        <v>58</v>
      </c>
      <c r="S289" s="15" t="s">
        <v>168</v>
      </c>
      <c r="T289" s="15" t="s">
        <v>179</v>
      </c>
      <c r="U289" s="15"/>
      <c r="V289" s="73">
        <v>6</v>
      </c>
      <c r="W289" s="16">
        <f t="shared" si="53"/>
        <v>6</v>
      </c>
      <c r="X289" s="15">
        <f>W289</f>
        <v>6</v>
      </c>
      <c r="Y289" s="15">
        <f>ROUNDDOWN(W289/HLOOKUP(D289,Table!$C$3:$D$4,2,0)*8,2)</f>
        <v>0.1</v>
      </c>
      <c r="Z289" s="15">
        <v>0.1</v>
      </c>
      <c r="AA289" s="15" t="s">
        <v>18</v>
      </c>
      <c r="AB289" s="19"/>
      <c r="AC289" s="19">
        <v>44083</v>
      </c>
      <c r="AD289" s="19">
        <v>44094</v>
      </c>
      <c r="AE289" s="19">
        <v>44084</v>
      </c>
      <c r="AF289" s="19">
        <v>44084</v>
      </c>
      <c r="AG289" s="19" t="s">
        <v>155</v>
      </c>
      <c r="AH289" s="30">
        <v>1</v>
      </c>
      <c r="AI289" s="30">
        <v>1</v>
      </c>
      <c r="AJ289" s="30">
        <v>1</v>
      </c>
      <c r="AK289" s="19" t="s">
        <v>140</v>
      </c>
      <c r="AL289" s="17" t="s">
        <v>58</v>
      </c>
      <c r="AM289" s="17" t="s">
        <v>58</v>
      </c>
      <c r="AN289" s="17" t="s">
        <v>58</v>
      </c>
    </row>
    <row r="290" spans="2:40">
      <c r="B290" s="342">
        <f t="shared" si="55"/>
        <v>231</v>
      </c>
      <c r="C290" s="16">
        <v>20200908</v>
      </c>
      <c r="D290" s="73" t="s">
        <v>3</v>
      </c>
      <c r="E290" s="73" t="s">
        <v>1925</v>
      </c>
      <c r="F290" s="225" t="s">
        <v>2152</v>
      </c>
      <c r="G290" s="73">
        <v>1667789</v>
      </c>
      <c r="H290" s="47" t="s">
        <v>58</v>
      </c>
      <c r="I290" s="73" t="s">
        <v>1951</v>
      </c>
      <c r="J290" s="47" t="s">
        <v>58</v>
      </c>
      <c r="K290" s="15" t="s">
        <v>192</v>
      </c>
      <c r="L290" s="73" t="s">
        <v>140</v>
      </c>
      <c r="M290" s="15" t="s">
        <v>1288</v>
      </c>
      <c r="N290" s="73" t="s">
        <v>1955</v>
      </c>
      <c r="O290" s="17" t="s">
        <v>58</v>
      </c>
      <c r="P290" s="72" t="s">
        <v>1959</v>
      </c>
      <c r="Q290" s="18"/>
      <c r="R290" s="47" t="s">
        <v>58</v>
      </c>
      <c r="S290" s="15" t="s">
        <v>168</v>
      </c>
      <c r="T290" s="15" t="s">
        <v>179</v>
      </c>
      <c r="U290" s="15"/>
      <c r="V290" s="73">
        <v>6</v>
      </c>
      <c r="W290" s="16">
        <f t="shared" si="53"/>
        <v>6</v>
      </c>
      <c r="X290" s="15">
        <f>W290</f>
        <v>6</v>
      </c>
      <c r="Y290" s="15">
        <f>ROUNDDOWN(W290/HLOOKUP(D290,Table!$C$3:$D$4,2,0)*8,2)</f>
        <v>0.1</v>
      </c>
      <c r="Z290" s="15">
        <v>0.1</v>
      </c>
      <c r="AA290" s="15" t="s">
        <v>18</v>
      </c>
      <c r="AB290" s="19"/>
      <c r="AC290" s="19">
        <v>44083</v>
      </c>
      <c r="AD290" s="19">
        <v>44094</v>
      </c>
      <c r="AE290" s="19">
        <v>44084</v>
      </c>
      <c r="AF290" s="19">
        <v>44084</v>
      </c>
      <c r="AG290" s="19" t="s">
        <v>155</v>
      </c>
      <c r="AH290" s="30">
        <v>1</v>
      </c>
      <c r="AI290" s="30">
        <v>1</v>
      </c>
      <c r="AJ290" s="30">
        <v>1</v>
      </c>
      <c r="AK290" s="19" t="s">
        <v>140</v>
      </c>
      <c r="AL290" s="17" t="s">
        <v>58</v>
      </c>
      <c r="AM290" s="17" t="s">
        <v>58</v>
      </c>
      <c r="AN290" s="17" t="s">
        <v>58</v>
      </c>
    </row>
    <row r="291" spans="2:40">
      <c r="B291" s="342">
        <f t="shared" si="55"/>
        <v>232</v>
      </c>
      <c r="C291" s="16">
        <v>20200908</v>
      </c>
      <c r="D291" s="73" t="s">
        <v>3</v>
      </c>
      <c r="E291" s="73" t="s">
        <v>1925</v>
      </c>
      <c r="F291" s="225" t="s">
        <v>2153</v>
      </c>
      <c r="G291" s="73">
        <v>1667789</v>
      </c>
      <c r="H291" s="47" t="s">
        <v>58</v>
      </c>
      <c r="I291" s="73" t="s">
        <v>1952</v>
      </c>
      <c r="J291" s="47" t="s">
        <v>58</v>
      </c>
      <c r="K291" s="15" t="s">
        <v>192</v>
      </c>
      <c r="L291" s="73" t="s">
        <v>140</v>
      </c>
      <c r="M291" s="15" t="s">
        <v>1288</v>
      </c>
      <c r="N291" s="73" t="s">
        <v>1955</v>
      </c>
      <c r="O291" s="17" t="s">
        <v>58</v>
      </c>
      <c r="P291" s="72" t="s">
        <v>1959</v>
      </c>
      <c r="Q291" s="18"/>
      <c r="R291" s="47" t="s">
        <v>58</v>
      </c>
      <c r="S291" s="15" t="s">
        <v>168</v>
      </c>
      <c r="T291" s="15" t="s">
        <v>179</v>
      </c>
      <c r="U291" s="15"/>
      <c r="V291" s="73">
        <v>51</v>
      </c>
      <c r="W291" s="16">
        <f t="shared" si="53"/>
        <v>51</v>
      </c>
      <c r="X291" s="15">
        <f>W291</f>
        <v>51</v>
      </c>
      <c r="Y291" s="15">
        <f>ROUNDDOWN(W291/HLOOKUP(D291,Table!$C$3:$D$4,2,0)*8,2)</f>
        <v>0.9</v>
      </c>
      <c r="Z291" s="15">
        <v>0.1</v>
      </c>
      <c r="AA291" s="15" t="s">
        <v>18</v>
      </c>
      <c r="AB291" s="19"/>
      <c r="AC291" s="19">
        <v>44083</v>
      </c>
      <c r="AD291" s="19">
        <v>44094</v>
      </c>
      <c r="AE291" s="19">
        <v>44084</v>
      </c>
      <c r="AF291" s="19">
        <v>44084</v>
      </c>
      <c r="AG291" s="19" t="s">
        <v>155</v>
      </c>
      <c r="AH291" s="30">
        <v>1</v>
      </c>
      <c r="AI291" s="30">
        <v>1</v>
      </c>
      <c r="AJ291" s="30">
        <v>1</v>
      </c>
      <c r="AK291" s="19" t="s">
        <v>140</v>
      </c>
      <c r="AL291" s="17" t="s">
        <v>58</v>
      </c>
      <c r="AM291" s="17" t="s">
        <v>58</v>
      </c>
      <c r="AN291" s="17" t="s">
        <v>58</v>
      </c>
    </row>
    <row r="292" spans="2:40">
      <c r="B292" s="342">
        <f t="shared" si="55"/>
        <v>233</v>
      </c>
      <c r="C292" s="16">
        <v>20200908</v>
      </c>
      <c r="D292" s="73" t="s">
        <v>3</v>
      </c>
      <c r="E292" s="73" t="s">
        <v>1925</v>
      </c>
      <c r="F292" s="225" t="s">
        <v>2154</v>
      </c>
      <c r="G292" s="73">
        <v>1667789</v>
      </c>
      <c r="H292" s="47" t="s">
        <v>58</v>
      </c>
      <c r="I292" s="263" t="s">
        <v>1948</v>
      </c>
      <c r="J292" s="47" t="s">
        <v>58</v>
      </c>
      <c r="K292" s="15"/>
      <c r="L292" s="73" t="s">
        <v>140</v>
      </c>
      <c r="M292" s="15" t="s">
        <v>1288</v>
      </c>
      <c r="N292" s="73" t="s">
        <v>1955</v>
      </c>
      <c r="O292" s="17" t="s">
        <v>58</v>
      </c>
      <c r="P292" s="72" t="s">
        <v>1959</v>
      </c>
      <c r="Q292" s="18"/>
      <c r="R292" s="47" t="s">
        <v>58</v>
      </c>
      <c r="S292" s="15" t="s">
        <v>168</v>
      </c>
      <c r="T292" s="15" t="s">
        <v>179</v>
      </c>
      <c r="U292" s="15"/>
      <c r="V292" s="73">
        <v>104</v>
      </c>
      <c r="W292" s="16">
        <f t="shared" si="53"/>
        <v>104</v>
      </c>
      <c r="X292" s="15"/>
      <c r="Y292" s="15">
        <f>ROUNDDOWN(W292/HLOOKUP(D292,Table!$C$3:$D$4,2,0)*8,2)</f>
        <v>1.84</v>
      </c>
      <c r="Z292" s="15"/>
      <c r="AA292" s="15"/>
      <c r="AB292" s="19"/>
      <c r="AC292" s="19">
        <v>44083</v>
      </c>
      <c r="AD292" s="19">
        <v>44094</v>
      </c>
      <c r="AE292" s="19"/>
      <c r="AF292" s="19"/>
      <c r="AG292" s="19"/>
      <c r="AH292" s="30"/>
      <c r="AI292" s="30"/>
      <c r="AJ292" s="30"/>
      <c r="AK292" s="19"/>
      <c r="AL292" s="17" t="s">
        <v>58</v>
      </c>
      <c r="AM292" s="17" t="s">
        <v>58</v>
      </c>
      <c r="AN292" s="17" t="s">
        <v>58</v>
      </c>
    </row>
    <row r="293" spans="2:40">
      <c r="B293" s="342">
        <f t="shared" si="55"/>
        <v>234</v>
      </c>
      <c r="C293" s="16">
        <v>20200908</v>
      </c>
      <c r="D293" s="73" t="s">
        <v>3</v>
      </c>
      <c r="E293" s="73" t="s">
        <v>1925</v>
      </c>
      <c r="F293" s="225" t="s">
        <v>2025</v>
      </c>
      <c r="G293" s="73">
        <v>1667789</v>
      </c>
      <c r="H293" s="47" t="s">
        <v>58</v>
      </c>
      <c r="I293" s="73" t="s">
        <v>1212</v>
      </c>
      <c r="J293" s="47" t="s">
        <v>58</v>
      </c>
      <c r="K293" s="15" t="s">
        <v>192</v>
      </c>
      <c r="L293" s="73" t="s">
        <v>140</v>
      </c>
      <c r="M293" s="15" t="s">
        <v>1288</v>
      </c>
      <c r="N293" s="73" t="s">
        <v>1955</v>
      </c>
      <c r="O293" s="17" t="s">
        <v>58</v>
      </c>
      <c r="P293" s="72" t="s">
        <v>1959</v>
      </c>
      <c r="Q293" s="18"/>
      <c r="R293" s="47" t="s">
        <v>58</v>
      </c>
      <c r="S293" s="15" t="s">
        <v>167</v>
      </c>
      <c r="T293" s="15" t="s">
        <v>64</v>
      </c>
      <c r="U293" s="15"/>
      <c r="V293" s="73">
        <v>220</v>
      </c>
      <c r="W293" s="18">
        <f t="shared" si="53"/>
        <v>220</v>
      </c>
      <c r="X293" s="15">
        <f>W293</f>
        <v>220</v>
      </c>
      <c r="Y293" s="15">
        <f>ROUNDDOWN(W293/HLOOKUP(D293,Table!$C$3:$D$4,2,0)*8,2)</f>
        <v>3.91</v>
      </c>
      <c r="Z293" s="15">
        <f>Y293</f>
        <v>3.91</v>
      </c>
      <c r="AA293" s="15" t="s">
        <v>18</v>
      </c>
      <c r="AB293" s="19"/>
      <c r="AC293" s="19">
        <v>44083</v>
      </c>
      <c r="AD293" s="19">
        <v>44094</v>
      </c>
      <c r="AE293" s="19">
        <v>44083</v>
      </c>
      <c r="AF293" s="19">
        <v>44083</v>
      </c>
      <c r="AG293" s="19" t="s">
        <v>155</v>
      </c>
      <c r="AH293" s="30">
        <v>1</v>
      </c>
      <c r="AI293" s="30">
        <v>1</v>
      </c>
      <c r="AJ293" s="30">
        <v>1</v>
      </c>
      <c r="AK293" s="19" t="s">
        <v>140</v>
      </c>
      <c r="AL293" s="17" t="s">
        <v>58</v>
      </c>
      <c r="AM293" s="17" t="s">
        <v>58</v>
      </c>
      <c r="AN293" s="17" t="s">
        <v>58</v>
      </c>
    </row>
    <row r="294" spans="2:40">
      <c r="B294" s="342">
        <f t="shared" si="55"/>
        <v>235</v>
      </c>
      <c r="C294" s="16">
        <v>20200908</v>
      </c>
      <c r="D294" s="73" t="s">
        <v>3</v>
      </c>
      <c r="E294" s="73" t="s">
        <v>1926</v>
      </c>
      <c r="F294" s="225" t="s">
        <v>2168</v>
      </c>
      <c r="G294" s="73">
        <v>1667777</v>
      </c>
      <c r="H294" s="47" t="s">
        <v>58</v>
      </c>
      <c r="I294" s="73" t="s">
        <v>1953</v>
      </c>
      <c r="J294" s="47" t="s">
        <v>58</v>
      </c>
      <c r="K294" s="15" t="s">
        <v>192</v>
      </c>
      <c r="L294" s="73" t="s">
        <v>1235</v>
      </c>
      <c r="M294" s="15" t="s">
        <v>1957</v>
      </c>
      <c r="N294" s="73" t="s">
        <v>1227</v>
      </c>
      <c r="O294" s="17" t="s">
        <v>58</v>
      </c>
      <c r="P294" s="72" t="s">
        <v>1223</v>
      </c>
      <c r="Q294" s="18"/>
      <c r="R294" s="47" t="s">
        <v>58</v>
      </c>
      <c r="S294" s="15" t="s">
        <v>179</v>
      </c>
      <c r="T294" s="15" t="s">
        <v>168</v>
      </c>
      <c r="U294" s="15" t="s">
        <v>578</v>
      </c>
      <c r="V294" s="73">
        <v>493</v>
      </c>
      <c r="W294" s="16">
        <f t="shared" si="53"/>
        <v>493</v>
      </c>
      <c r="X294" s="15">
        <f>W294</f>
        <v>493</v>
      </c>
      <c r="Y294" s="15">
        <f>ROUNDDOWN(W294/HLOOKUP(D294,Table!$C$3:$D$4,2,0)*8,2)</f>
        <v>8.76</v>
      </c>
      <c r="Z294" s="15">
        <v>4</v>
      </c>
      <c r="AA294" s="15" t="s">
        <v>18</v>
      </c>
      <c r="AB294" s="19"/>
      <c r="AC294" s="19">
        <v>44083</v>
      </c>
      <c r="AD294" s="239">
        <v>44088</v>
      </c>
      <c r="AE294" s="19">
        <v>44084</v>
      </c>
      <c r="AF294" s="19">
        <v>44084</v>
      </c>
      <c r="AG294" s="19" t="s">
        <v>155</v>
      </c>
      <c r="AH294" s="30">
        <v>1</v>
      </c>
      <c r="AI294" s="30">
        <v>1</v>
      </c>
      <c r="AJ294" s="30">
        <v>1</v>
      </c>
      <c r="AK294" s="19" t="s">
        <v>140</v>
      </c>
      <c r="AL294" s="17" t="s">
        <v>58</v>
      </c>
      <c r="AM294" s="17" t="s">
        <v>58</v>
      </c>
      <c r="AN294" s="17" t="s">
        <v>58</v>
      </c>
    </row>
    <row r="295" spans="2:40">
      <c r="B295" s="328">
        <f t="shared" si="55"/>
        <v>236</v>
      </c>
      <c r="C295" s="16">
        <v>20200911</v>
      </c>
      <c r="D295" s="73" t="s">
        <v>2</v>
      </c>
      <c r="E295" s="73" t="s">
        <v>1500</v>
      </c>
      <c r="F295" s="17" t="s">
        <v>58</v>
      </c>
      <c r="G295" s="73">
        <v>1665401</v>
      </c>
      <c r="H295" s="47" t="s">
        <v>58</v>
      </c>
      <c r="I295" s="17" t="s">
        <v>2198</v>
      </c>
      <c r="J295" s="47" t="s">
        <v>58</v>
      </c>
      <c r="K295" s="15"/>
      <c r="L295" s="73"/>
      <c r="M295" s="15" t="s">
        <v>1502</v>
      </c>
      <c r="N295" s="73" t="s">
        <v>2211</v>
      </c>
      <c r="O295" s="17" t="s">
        <v>2209</v>
      </c>
      <c r="P295" s="72" t="s">
        <v>318</v>
      </c>
      <c r="Q295" s="18"/>
      <c r="R295" s="47" t="s">
        <v>58</v>
      </c>
      <c r="S295" s="15" t="s">
        <v>167</v>
      </c>
      <c r="T295" s="15"/>
      <c r="U295" s="15"/>
      <c r="V295" s="73">
        <v>20</v>
      </c>
      <c r="W295" s="16">
        <f>V295</f>
        <v>20</v>
      </c>
      <c r="X295" s="15"/>
      <c r="Y295" s="15">
        <f>ROUNDDOWN(W295/HLOOKUP(D295,Table!$C$3:$D$4,2,0)*8,2)</f>
        <v>1.23</v>
      </c>
      <c r="Z295" s="15"/>
      <c r="AA295" s="15"/>
      <c r="AB295" s="19"/>
      <c r="AC295" s="19">
        <v>44088</v>
      </c>
      <c r="AD295" s="19">
        <v>44090</v>
      </c>
      <c r="AE295" s="19"/>
      <c r="AF295" s="19"/>
      <c r="AG295" s="19"/>
      <c r="AH295" s="30"/>
      <c r="AI295" s="30"/>
      <c r="AJ295" s="30"/>
      <c r="AK295" s="19"/>
      <c r="AL295" s="17" t="s">
        <v>58</v>
      </c>
      <c r="AM295" s="17" t="s">
        <v>58</v>
      </c>
      <c r="AN295" s="17" t="s">
        <v>58</v>
      </c>
    </row>
    <row r="296" spans="2:40">
      <c r="B296" s="328">
        <f t="shared" si="55"/>
        <v>237</v>
      </c>
      <c r="C296" s="16">
        <v>20200911</v>
      </c>
      <c r="D296" s="73" t="s">
        <v>3</v>
      </c>
      <c r="E296" s="73" t="s">
        <v>2196</v>
      </c>
      <c r="F296" s="17" t="s">
        <v>2213</v>
      </c>
      <c r="G296" s="73">
        <v>1473152</v>
      </c>
      <c r="H296" s="47" t="s">
        <v>58</v>
      </c>
      <c r="I296" s="17" t="s">
        <v>2199</v>
      </c>
      <c r="J296" s="47" t="s">
        <v>58</v>
      </c>
      <c r="K296" s="15"/>
      <c r="L296" s="73"/>
      <c r="M296" s="15" t="s">
        <v>2229</v>
      </c>
      <c r="N296" s="73" t="s">
        <v>2212</v>
      </c>
      <c r="O296" s="17" t="s">
        <v>58</v>
      </c>
      <c r="P296" s="72" t="s">
        <v>2210</v>
      </c>
      <c r="Q296" s="18"/>
      <c r="R296" s="47" t="s">
        <v>58</v>
      </c>
      <c r="S296" s="15" t="s">
        <v>169</v>
      </c>
      <c r="T296" s="15"/>
      <c r="U296" s="15"/>
      <c r="V296" s="73">
        <v>0</v>
      </c>
      <c r="W296" s="16">
        <f t="shared" ref="W296:W314" si="56">V296</f>
        <v>0</v>
      </c>
      <c r="X296" s="15"/>
      <c r="Y296" s="15">
        <f>ROUNDDOWN(W296/HLOOKUP(D296,Table!$C$3:$D$4,2,0)*8,2)</f>
        <v>0</v>
      </c>
      <c r="Z296" s="15"/>
      <c r="AA296" s="15"/>
      <c r="AB296" s="19"/>
      <c r="AC296" s="19">
        <v>44088</v>
      </c>
      <c r="AD296" s="19">
        <v>44090</v>
      </c>
      <c r="AE296" s="19"/>
      <c r="AF296" s="19"/>
      <c r="AG296" s="19"/>
      <c r="AH296" s="30"/>
      <c r="AI296" s="30"/>
      <c r="AJ296" s="30"/>
      <c r="AK296" s="19"/>
      <c r="AL296" s="17" t="s">
        <v>58</v>
      </c>
      <c r="AM296" s="17" t="s">
        <v>58</v>
      </c>
      <c r="AN296" s="17" t="s">
        <v>58</v>
      </c>
    </row>
    <row r="297" spans="2:40">
      <c r="B297" s="328">
        <f t="shared" si="55"/>
        <v>238</v>
      </c>
      <c r="C297" s="16">
        <v>20200911</v>
      </c>
      <c r="D297" s="73" t="s">
        <v>3</v>
      </c>
      <c r="E297" s="73" t="s">
        <v>2196</v>
      </c>
      <c r="F297" s="17" t="s">
        <v>2214</v>
      </c>
      <c r="G297" s="73">
        <v>1473152</v>
      </c>
      <c r="H297" s="47" t="s">
        <v>58</v>
      </c>
      <c r="I297" s="17" t="s">
        <v>1105</v>
      </c>
      <c r="J297" s="47" t="s">
        <v>58</v>
      </c>
      <c r="K297" s="15"/>
      <c r="L297" s="73"/>
      <c r="M297" s="15" t="s">
        <v>2229</v>
      </c>
      <c r="N297" s="73" t="s">
        <v>2212</v>
      </c>
      <c r="O297" s="17" t="s">
        <v>58</v>
      </c>
      <c r="P297" s="72" t="s">
        <v>2210</v>
      </c>
      <c r="Q297" s="18"/>
      <c r="R297" s="47" t="s">
        <v>58</v>
      </c>
      <c r="S297" s="15" t="s">
        <v>169</v>
      </c>
      <c r="T297" s="15"/>
      <c r="U297" s="15"/>
      <c r="V297" s="73">
        <v>259</v>
      </c>
      <c r="W297" s="16">
        <f t="shared" si="56"/>
        <v>259</v>
      </c>
      <c r="X297" s="15"/>
      <c r="Y297" s="15">
        <f>ROUNDDOWN(W297/HLOOKUP(D297,Table!$C$3:$D$4,2,0)*8,2)</f>
        <v>4.5999999999999996</v>
      </c>
      <c r="Z297" s="15"/>
      <c r="AA297" s="15"/>
      <c r="AB297" s="19"/>
      <c r="AC297" s="19">
        <v>44088</v>
      </c>
      <c r="AD297" s="19">
        <v>44090</v>
      </c>
      <c r="AE297" s="19"/>
      <c r="AF297" s="19"/>
      <c r="AG297" s="19"/>
      <c r="AH297" s="30"/>
      <c r="AI297" s="30"/>
      <c r="AJ297" s="30"/>
      <c r="AK297" s="19"/>
      <c r="AL297" s="17" t="s">
        <v>58</v>
      </c>
      <c r="AM297" s="17" t="s">
        <v>58</v>
      </c>
      <c r="AN297" s="17" t="s">
        <v>58</v>
      </c>
    </row>
    <row r="298" spans="2:40">
      <c r="B298" s="328">
        <f t="shared" si="55"/>
        <v>239</v>
      </c>
      <c r="C298" s="16">
        <v>20200911</v>
      </c>
      <c r="D298" s="73" t="s">
        <v>3</v>
      </c>
      <c r="E298" s="73" t="s">
        <v>2196</v>
      </c>
      <c r="F298" s="17" t="s">
        <v>2214</v>
      </c>
      <c r="G298" s="73">
        <v>1473152</v>
      </c>
      <c r="H298" s="47" t="s">
        <v>58</v>
      </c>
      <c r="I298" s="17" t="s">
        <v>2200</v>
      </c>
      <c r="J298" s="47" t="s">
        <v>58</v>
      </c>
      <c r="K298" s="15"/>
      <c r="L298" s="73"/>
      <c r="M298" s="15" t="s">
        <v>2229</v>
      </c>
      <c r="N298" s="73" t="s">
        <v>2212</v>
      </c>
      <c r="O298" s="17" t="s">
        <v>58</v>
      </c>
      <c r="P298" s="72" t="s">
        <v>2210</v>
      </c>
      <c r="Q298" s="18"/>
      <c r="R298" s="47" t="s">
        <v>58</v>
      </c>
      <c r="S298" s="15" t="s">
        <v>169</v>
      </c>
      <c r="T298" s="15"/>
      <c r="U298" s="15"/>
      <c r="V298" s="73">
        <v>25</v>
      </c>
      <c r="W298" s="16">
        <f t="shared" si="56"/>
        <v>25</v>
      </c>
      <c r="X298" s="15"/>
      <c r="Y298" s="15">
        <f>ROUNDDOWN(W298/HLOOKUP(D298,Table!$C$3:$D$4,2,0)*8,2)</f>
        <v>0.44</v>
      </c>
      <c r="Z298" s="15"/>
      <c r="AA298" s="15"/>
      <c r="AB298" s="19"/>
      <c r="AC298" s="19">
        <v>44088</v>
      </c>
      <c r="AD298" s="19">
        <v>44090</v>
      </c>
      <c r="AE298" s="19"/>
      <c r="AF298" s="19"/>
      <c r="AG298" s="19"/>
      <c r="AH298" s="30"/>
      <c r="AI298" s="30"/>
      <c r="AJ298" s="30"/>
      <c r="AK298" s="19"/>
      <c r="AL298" s="17" t="s">
        <v>58</v>
      </c>
      <c r="AM298" s="17" t="s">
        <v>58</v>
      </c>
      <c r="AN298" s="17" t="s">
        <v>58</v>
      </c>
    </row>
    <row r="299" spans="2:40">
      <c r="B299" s="328">
        <f t="shared" si="55"/>
        <v>240</v>
      </c>
      <c r="C299" s="16">
        <v>20200911</v>
      </c>
      <c r="D299" s="73" t="s">
        <v>3</v>
      </c>
      <c r="E299" s="73" t="s">
        <v>2196</v>
      </c>
      <c r="F299" s="17" t="s">
        <v>2214</v>
      </c>
      <c r="G299" s="73">
        <v>1473152</v>
      </c>
      <c r="H299" s="47" t="s">
        <v>58</v>
      </c>
      <c r="I299" s="17" t="s">
        <v>1877</v>
      </c>
      <c r="J299" s="47" t="s">
        <v>58</v>
      </c>
      <c r="K299" s="15"/>
      <c r="L299" s="73"/>
      <c r="M299" s="15" t="s">
        <v>2229</v>
      </c>
      <c r="N299" s="73" t="s">
        <v>2212</v>
      </c>
      <c r="O299" s="17" t="s">
        <v>58</v>
      </c>
      <c r="P299" s="72" t="s">
        <v>2210</v>
      </c>
      <c r="Q299" s="18"/>
      <c r="R299" s="47" t="s">
        <v>58</v>
      </c>
      <c r="S299" s="15" t="s">
        <v>169</v>
      </c>
      <c r="T299" s="15"/>
      <c r="U299" s="15"/>
      <c r="V299" s="73">
        <v>132</v>
      </c>
      <c r="W299" s="16">
        <f t="shared" si="56"/>
        <v>132</v>
      </c>
      <c r="X299" s="15"/>
      <c r="Y299" s="15">
        <f>ROUNDDOWN(W299/HLOOKUP(D299,Table!$C$3:$D$4,2,0)*8,2)</f>
        <v>2.34</v>
      </c>
      <c r="Z299" s="15"/>
      <c r="AA299" s="15"/>
      <c r="AB299" s="19"/>
      <c r="AC299" s="19">
        <v>44088</v>
      </c>
      <c r="AD299" s="19">
        <v>44090</v>
      </c>
      <c r="AE299" s="19"/>
      <c r="AF299" s="19"/>
      <c r="AG299" s="19"/>
      <c r="AH299" s="30"/>
      <c r="AI299" s="30"/>
      <c r="AJ299" s="30"/>
      <c r="AK299" s="19"/>
      <c r="AL299" s="17" t="s">
        <v>58</v>
      </c>
      <c r="AM299" s="17" t="s">
        <v>58</v>
      </c>
      <c r="AN299" s="17" t="s">
        <v>58</v>
      </c>
    </row>
    <row r="300" spans="2:40">
      <c r="B300" s="328">
        <f t="shared" si="55"/>
        <v>241</v>
      </c>
      <c r="C300" s="16">
        <v>20200911</v>
      </c>
      <c r="D300" s="73" t="s">
        <v>3</v>
      </c>
      <c r="E300" s="73" t="s">
        <v>2196</v>
      </c>
      <c r="F300" s="17" t="s">
        <v>2214</v>
      </c>
      <c r="G300" s="73">
        <v>1473152</v>
      </c>
      <c r="H300" s="47" t="s">
        <v>58</v>
      </c>
      <c r="I300" s="17" t="s">
        <v>1880</v>
      </c>
      <c r="J300" s="47" t="s">
        <v>58</v>
      </c>
      <c r="K300" s="15"/>
      <c r="L300" s="73"/>
      <c r="M300" s="15" t="s">
        <v>2229</v>
      </c>
      <c r="N300" s="73" t="s">
        <v>2212</v>
      </c>
      <c r="O300" s="17" t="s">
        <v>58</v>
      </c>
      <c r="P300" s="72" t="s">
        <v>2210</v>
      </c>
      <c r="Q300" s="18"/>
      <c r="R300" s="47" t="s">
        <v>58</v>
      </c>
      <c r="S300" s="15" t="s">
        <v>169</v>
      </c>
      <c r="T300" s="15"/>
      <c r="U300" s="15"/>
      <c r="V300" s="73">
        <v>257</v>
      </c>
      <c r="W300" s="16">
        <f t="shared" si="56"/>
        <v>257</v>
      </c>
      <c r="X300" s="15"/>
      <c r="Y300" s="15">
        <f>ROUNDDOWN(W300/HLOOKUP(D300,Table!$C$3:$D$4,2,0)*8,2)</f>
        <v>4.5599999999999996</v>
      </c>
      <c r="Z300" s="15"/>
      <c r="AA300" s="15"/>
      <c r="AB300" s="19"/>
      <c r="AC300" s="19">
        <v>44088</v>
      </c>
      <c r="AD300" s="19">
        <v>44090</v>
      </c>
      <c r="AE300" s="19"/>
      <c r="AF300" s="19"/>
      <c r="AG300" s="19"/>
      <c r="AH300" s="30"/>
      <c r="AI300" s="30"/>
      <c r="AJ300" s="30"/>
      <c r="AK300" s="19"/>
      <c r="AL300" s="17" t="s">
        <v>58</v>
      </c>
      <c r="AM300" s="17" t="s">
        <v>58</v>
      </c>
      <c r="AN300" s="17" t="s">
        <v>58</v>
      </c>
    </row>
    <row r="301" spans="2:40">
      <c r="B301" s="328">
        <f t="shared" si="55"/>
        <v>242</v>
      </c>
      <c r="C301" s="16">
        <v>20200911</v>
      </c>
      <c r="D301" s="73" t="s">
        <v>3</v>
      </c>
      <c r="E301" s="73" t="s">
        <v>1500</v>
      </c>
      <c r="F301" s="17" t="s">
        <v>2215</v>
      </c>
      <c r="G301" s="73">
        <v>1667219</v>
      </c>
      <c r="H301" s="47" t="s">
        <v>58</v>
      </c>
      <c r="I301" s="17" t="s">
        <v>2201</v>
      </c>
      <c r="J301" s="47" t="s">
        <v>58</v>
      </c>
      <c r="K301" s="15"/>
      <c r="L301" s="73"/>
      <c r="M301" s="15" t="s">
        <v>1502</v>
      </c>
      <c r="N301" s="73"/>
      <c r="O301" s="17" t="s">
        <v>58</v>
      </c>
      <c r="P301" s="72" t="s">
        <v>1852</v>
      </c>
      <c r="Q301" s="18"/>
      <c r="R301" s="47" t="s">
        <v>58</v>
      </c>
      <c r="S301" s="15" t="s">
        <v>168</v>
      </c>
      <c r="T301" s="15"/>
      <c r="U301" s="15"/>
      <c r="V301" s="73">
        <v>95</v>
      </c>
      <c r="W301" s="16">
        <f t="shared" si="56"/>
        <v>95</v>
      </c>
      <c r="X301" s="15"/>
      <c r="Y301" s="15">
        <f>ROUNDDOWN(W301/HLOOKUP(D301,Table!$C$3:$D$4,2,0)*8,2)</f>
        <v>1.68</v>
      </c>
      <c r="Z301" s="15"/>
      <c r="AA301" s="15"/>
      <c r="AB301" s="19"/>
      <c r="AC301" s="19">
        <v>44088</v>
      </c>
      <c r="AD301" s="19">
        <v>44090</v>
      </c>
      <c r="AE301" s="19"/>
      <c r="AF301" s="19"/>
      <c r="AG301" s="19"/>
      <c r="AH301" s="30"/>
      <c r="AI301" s="30"/>
      <c r="AJ301" s="30"/>
      <c r="AK301" s="19"/>
      <c r="AL301" s="17" t="s">
        <v>58</v>
      </c>
      <c r="AM301" s="17" t="s">
        <v>58</v>
      </c>
      <c r="AN301" s="17" t="s">
        <v>58</v>
      </c>
    </row>
    <row r="302" spans="2:40">
      <c r="B302" s="328">
        <f t="shared" si="55"/>
        <v>243</v>
      </c>
      <c r="C302" s="16">
        <v>20200911</v>
      </c>
      <c r="D302" s="73" t="s">
        <v>3</v>
      </c>
      <c r="E302" s="73" t="s">
        <v>2197</v>
      </c>
      <c r="F302" s="17" t="s">
        <v>2216</v>
      </c>
      <c r="G302" s="73">
        <v>1665099</v>
      </c>
      <c r="H302" s="47" t="s">
        <v>58</v>
      </c>
      <c r="I302" s="17" t="s">
        <v>1215</v>
      </c>
      <c r="J302" s="47" t="s">
        <v>58</v>
      </c>
      <c r="K302" s="15"/>
      <c r="L302" s="73"/>
      <c r="M302" s="15" t="s">
        <v>2230</v>
      </c>
      <c r="N302" s="73" t="s">
        <v>1383</v>
      </c>
      <c r="O302" s="17" t="s">
        <v>58</v>
      </c>
      <c r="P302" s="72" t="s">
        <v>1166</v>
      </c>
      <c r="Q302" s="18"/>
      <c r="R302" s="47" t="s">
        <v>58</v>
      </c>
      <c r="S302" s="15" t="s">
        <v>64</v>
      </c>
      <c r="T302" s="15"/>
      <c r="U302" s="15"/>
      <c r="V302" s="73">
        <v>109</v>
      </c>
      <c r="W302" s="16">
        <f t="shared" si="56"/>
        <v>109</v>
      </c>
      <c r="X302" s="15"/>
      <c r="Y302" s="15">
        <f>ROUNDDOWN(W302/HLOOKUP(D302,Table!$C$3:$D$4,2,0)*8,2)</f>
        <v>1.93</v>
      </c>
      <c r="Z302" s="15"/>
      <c r="AA302" s="15"/>
      <c r="AB302" s="19"/>
      <c r="AC302" s="19">
        <v>44088</v>
      </c>
      <c r="AD302" s="19">
        <v>44091</v>
      </c>
      <c r="AE302" s="19"/>
      <c r="AF302" s="19"/>
      <c r="AG302" s="19"/>
      <c r="AH302" s="30"/>
      <c r="AI302" s="30"/>
      <c r="AJ302" s="30"/>
      <c r="AK302" s="19"/>
      <c r="AL302" s="17" t="s">
        <v>58</v>
      </c>
      <c r="AM302" s="17" t="s">
        <v>58</v>
      </c>
      <c r="AN302" s="17" t="s">
        <v>58</v>
      </c>
    </row>
    <row r="303" spans="2:40">
      <c r="B303" s="328">
        <f t="shared" si="55"/>
        <v>244</v>
      </c>
      <c r="C303" s="16">
        <v>20200911</v>
      </c>
      <c r="D303" s="73" t="s">
        <v>3</v>
      </c>
      <c r="E303" s="73" t="s">
        <v>2197</v>
      </c>
      <c r="F303" s="17" t="s">
        <v>2217</v>
      </c>
      <c r="G303" s="73">
        <v>1665099</v>
      </c>
      <c r="H303" s="47" t="s">
        <v>58</v>
      </c>
      <c r="I303" s="17" t="s">
        <v>2202</v>
      </c>
      <c r="J303" s="47" t="s">
        <v>58</v>
      </c>
      <c r="K303" s="15"/>
      <c r="L303" s="73"/>
      <c r="M303" s="15" t="s">
        <v>2230</v>
      </c>
      <c r="N303" s="73" t="s">
        <v>1383</v>
      </c>
      <c r="O303" s="17" t="s">
        <v>58</v>
      </c>
      <c r="P303" s="72" t="s">
        <v>1166</v>
      </c>
      <c r="Q303" s="18"/>
      <c r="R303" s="47" t="s">
        <v>58</v>
      </c>
      <c r="S303" s="15" t="s">
        <v>64</v>
      </c>
      <c r="T303" s="15"/>
      <c r="U303" s="15"/>
      <c r="V303" s="73">
        <v>9</v>
      </c>
      <c r="W303" s="16">
        <f t="shared" si="56"/>
        <v>9</v>
      </c>
      <c r="X303" s="15"/>
      <c r="Y303" s="15">
        <f>ROUNDDOWN(W303/HLOOKUP(D303,Table!$C$3:$D$4,2,0)*8,2)</f>
        <v>0.16</v>
      </c>
      <c r="Z303" s="15"/>
      <c r="AA303" s="15"/>
      <c r="AB303" s="19"/>
      <c r="AC303" s="19">
        <v>44088</v>
      </c>
      <c r="AD303" s="19">
        <v>44091</v>
      </c>
      <c r="AE303" s="19"/>
      <c r="AF303" s="19"/>
      <c r="AG303" s="19"/>
      <c r="AH303" s="30"/>
      <c r="AI303" s="30"/>
      <c r="AJ303" s="30"/>
      <c r="AK303" s="19"/>
      <c r="AL303" s="17" t="s">
        <v>58</v>
      </c>
      <c r="AM303" s="17" t="s">
        <v>58</v>
      </c>
      <c r="AN303" s="17" t="s">
        <v>58</v>
      </c>
    </row>
    <row r="304" spans="2:40">
      <c r="B304" s="328">
        <f t="shared" si="55"/>
        <v>245</v>
      </c>
      <c r="C304" s="16">
        <v>20200911</v>
      </c>
      <c r="D304" s="73" t="s">
        <v>3</v>
      </c>
      <c r="E304" s="73" t="s">
        <v>2197</v>
      </c>
      <c r="F304" s="17" t="s">
        <v>2218</v>
      </c>
      <c r="G304" s="73">
        <v>1665099</v>
      </c>
      <c r="H304" s="47" t="s">
        <v>58</v>
      </c>
      <c r="I304" s="17" t="s">
        <v>1075</v>
      </c>
      <c r="J304" s="47" t="s">
        <v>58</v>
      </c>
      <c r="K304" s="15"/>
      <c r="L304" s="73"/>
      <c r="M304" s="15" t="s">
        <v>2230</v>
      </c>
      <c r="N304" s="73" t="s">
        <v>1383</v>
      </c>
      <c r="O304" s="17" t="s">
        <v>58</v>
      </c>
      <c r="P304" s="72" t="s">
        <v>1166</v>
      </c>
      <c r="Q304" s="18"/>
      <c r="R304" s="47" t="s">
        <v>58</v>
      </c>
      <c r="S304" s="15" t="s">
        <v>168</v>
      </c>
      <c r="T304" s="15"/>
      <c r="U304" s="15"/>
      <c r="V304" s="73">
        <v>31</v>
      </c>
      <c r="W304" s="16">
        <f t="shared" si="56"/>
        <v>31</v>
      </c>
      <c r="X304" s="15"/>
      <c r="Y304" s="15">
        <f>ROUNDDOWN(W304/HLOOKUP(D304,Table!$C$3:$D$4,2,0)*8,2)</f>
        <v>0.55000000000000004</v>
      </c>
      <c r="Z304" s="15"/>
      <c r="AA304" s="15"/>
      <c r="AB304" s="19"/>
      <c r="AC304" s="19">
        <v>44088</v>
      </c>
      <c r="AD304" s="19">
        <v>44091</v>
      </c>
      <c r="AE304" s="19"/>
      <c r="AF304" s="19"/>
      <c r="AG304" s="19"/>
      <c r="AH304" s="30"/>
      <c r="AI304" s="30"/>
      <c r="AJ304" s="30"/>
      <c r="AK304" s="19"/>
      <c r="AL304" s="17" t="s">
        <v>58</v>
      </c>
      <c r="AM304" s="17" t="s">
        <v>58</v>
      </c>
      <c r="AN304" s="17" t="s">
        <v>58</v>
      </c>
    </row>
    <row r="305" spans="1:40">
      <c r="B305" s="328">
        <f t="shared" si="55"/>
        <v>246</v>
      </c>
      <c r="C305" s="16">
        <v>20200911</v>
      </c>
      <c r="D305" s="73" t="s">
        <v>3</v>
      </c>
      <c r="E305" s="73" t="s">
        <v>2197</v>
      </c>
      <c r="F305" s="17" t="s">
        <v>2219</v>
      </c>
      <c r="G305" s="73">
        <v>1665099</v>
      </c>
      <c r="H305" s="47" t="s">
        <v>58</v>
      </c>
      <c r="I305" s="17" t="s">
        <v>1367</v>
      </c>
      <c r="J305" s="47" t="s">
        <v>58</v>
      </c>
      <c r="K305" s="15"/>
      <c r="L305" s="73"/>
      <c r="M305" s="15" t="s">
        <v>2230</v>
      </c>
      <c r="N305" s="73" t="s">
        <v>1383</v>
      </c>
      <c r="O305" s="17" t="s">
        <v>58</v>
      </c>
      <c r="P305" s="72" t="s">
        <v>1166</v>
      </c>
      <c r="Q305" s="18"/>
      <c r="R305" s="47" t="s">
        <v>58</v>
      </c>
      <c r="S305" s="15" t="s">
        <v>179</v>
      </c>
      <c r="T305" s="15"/>
      <c r="U305" s="15"/>
      <c r="V305" s="73">
        <v>301</v>
      </c>
      <c r="W305" s="16">
        <f t="shared" si="56"/>
        <v>301</v>
      </c>
      <c r="X305" s="15"/>
      <c r="Y305" s="15">
        <f>ROUNDDOWN(W305/HLOOKUP(D305,Table!$C$3:$D$4,2,0)*8,2)</f>
        <v>5.35</v>
      </c>
      <c r="Z305" s="15"/>
      <c r="AA305" s="15"/>
      <c r="AB305" s="19"/>
      <c r="AC305" s="19">
        <v>44088</v>
      </c>
      <c r="AD305" s="19">
        <v>44091</v>
      </c>
      <c r="AE305" s="19"/>
      <c r="AF305" s="19"/>
      <c r="AG305" s="19"/>
      <c r="AH305" s="30"/>
      <c r="AI305" s="30"/>
      <c r="AJ305" s="30"/>
      <c r="AK305" s="19"/>
      <c r="AL305" s="17" t="s">
        <v>58</v>
      </c>
      <c r="AM305" s="17" t="s">
        <v>58</v>
      </c>
      <c r="AN305" s="17" t="s">
        <v>58</v>
      </c>
    </row>
    <row r="306" spans="1:40">
      <c r="B306" s="328">
        <f t="shared" si="55"/>
        <v>247</v>
      </c>
      <c r="C306" s="16">
        <v>20200911</v>
      </c>
      <c r="D306" s="73" t="s">
        <v>3</v>
      </c>
      <c r="E306" s="73" t="s">
        <v>2197</v>
      </c>
      <c r="F306" s="17" t="s">
        <v>2220</v>
      </c>
      <c r="G306" s="73">
        <v>1665099</v>
      </c>
      <c r="H306" s="47" t="s">
        <v>58</v>
      </c>
      <c r="I306" s="17" t="s">
        <v>2203</v>
      </c>
      <c r="J306" s="47" t="s">
        <v>58</v>
      </c>
      <c r="K306" s="15"/>
      <c r="L306" s="73"/>
      <c r="M306" s="15" t="s">
        <v>2230</v>
      </c>
      <c r="N306" s="73" t="s">
        <v>1383</v>
      </c>
      <c r="O306" s="17" t="s">
        <v>58</v>
      </c>
      <c r="P306" s="72" t="s">
        <v>1166</v>
      </c>
      <c r="Q306" s="18"/>
      <c r="R306" s="47" t="s">
        <v>58</v>
      </c>
      <c r="S306" s="15" t="s">
        <v>64</v>
      </c>
      <c r="T306" s="15"/>
      <c r="U306" s="15"/>
      <c r="V306" s="73">
        <v>181</v>
      </c>
      <c r="W306" s="16">
        <f t="shared" si="56"/>
        <v>181</v>
      </c>
      <c r="X306" s="15"/>
      <c r="Y306" s="15">
        <f>ROUNDDOWN(W306/HLOOKUP(D306,Table!$C$3:$D$4,2,0)*8,2)</f>
        <v>3.21</v>
      </c>
      <c r="Z306" s="15"/>
      <c r="AA306" s="15"/>
      <c r="AB306" s="19"/>
      <c r="AC306" s="19">
        <v>44088</v>
      </c>
      <c r="AD306" s="19">
        <v>44091</v>
      </c>
      <c r="AE306" s="19"/>
      <c r="AF306" s="19"/>
      <c r="AG306" s="19"/>
      <c r="AH306" s="30"/>
      <c r="AI306" s="30"/>
      <c r="AJ306" s="30"/>
      <c r="AK306" s="19"/>
      <c r="AL306" s="17" t="s">
        <v>58</v>
      </c>
      <c r="AM306" s="17" t="s">
        <v>58</v>
      </c>
      <c r="AN306" s="17" t="s">
        <v>58</v>
      </c>
    </row>
    <row r="307" spans="1:40">
      <c r="B307" s="328">
        <f t="shared" si="55"/>
        <v>248</v>
      </c>
      <c r="C307" s="16">
        <v>20200911</v>
      </c>
      <c r="D307" s="73" t="s">
        <v>3</v>
      </c>
      <c r="E307" s="73" t="s">
        <v>2197</v>
      </c>
      <c r="F307" s="17" t="s">
        <v>2221</v>
      </c>
      <c r="G307" s="73">
        <v>1665099</v>
      </c>
      <c r="H307" s="47" t="s">
        <v>58</v>
      </c>
      <c r="I307" s="17" t="s">
        <v>2201</v>
      </c>
      <c r="J307" s="47" t="s">
        <v>58</v>
      </c>
      <c r="K307" s="15"/>
      <c r="L307" s="73"/>
      <c r="M307" s="15" t="s">
        <v>2230</v>
      </c>
      <c r="N307" s="73" t="s">
        <v>1383</v>
      </c>
      <c r="O307" s="17" t="s">
        <v>58</v>
      </c>
      <c r="P307" s="72" t="s">
        <v>1166</v>
      </c>
      <c r="Q307" s="18"/>
      <c r="R307" s="47" t="s">
        <v>58</v>
      </c>
      <c r="S307" s="15" t="s">
        <v>64</v>
      </c>
      <c r="T307" s="15"/>
      <c r="U307" s="15"/>
      <c r="V307" s="73">
        <v>107</v>
      </c>
      <c r="W307" s="16">
        <f t="shared" si="56"/>
        <v>107</v>
      </c>
      <c r="X307" s="15"/>
      <c r="Y307" s="15">
        <f>ROUNDDOWN(W307/HLOOKUP(D307,Table!$C$3:$D$4,2,0)*8,2)</f>
        <v>1.9</v>
      </c>
      <c r="Z307" s="15"/>
      <c r="AA307" s="15"/>
      <c r="AB307" s="19"/>
      <c r="AC307" s="19">
        <v>44088</v>
      </c>
      <c r="AD307" s="19">
        <v>44091</v>
      </c>
      <c r="AE307" s="19"/>
      <c r="AF307" s="19"/>
      <c r="AG307" s="19"/>
      <c r="AH307" s="30"/>
      <c r="AI307" s="30"/>
      <c r="AJ307" s="30"/>
      <c r="AK307" s="19"/>
      <c r="AL307" s="17" t="s">
        <v>58</v>
      </c>
      <c r="AM307" s="17" t="s">
        <v>58</v>
      </c>
      <c r="AN307" s="17" t="s">
        <v>58</v>
      </c>
    </row>
    <row r="308" spans="1:40">
      <c r="B308" s="328">
        <f t="shared" si="55"/>
        <v>249</v>
      </c>
      <c r="C308" s="16">
        <v>20200911</v>
      </c>
      <c r="D308" s="73" t="s">
        <v>3</v>
      </c>
      <c r="E308" s="73" t="s">
        <v>2197</v>
      </c>
      <c r="F308" s="17" t="s">
        <v>2222</v>
      </c>
      <c r="G308" s="73">
        <v>1665099</v>
      </c>
      <c r="H308" s="47" t="s">
        <v>58</v>
      </c>
      <c r="I308" s="17" t="s">
        <v>2204</v>
      </c>
      <c r="J308" s="47" t="s">
        <v>58</v>
      </c>
      <c r="K308" s="15"/>
      <c r="L308" s="73"/>
      <c r="M308" s="15" t="s">
        <v>2230</v>
      </c>
      <c r="N308" s="73" t="s">
        <v>1383</v>
      </c>
      <c r="O308" s="17" t="s">
        <v>58</v>
      </c>
      <c r="P308" s="72" t="s">
        <v>1166</v>
      </c>
      <c r="Q308" s="18"/>
      <c r="R308" s="47" t="s">
        <v>58</v>
      </c>
      <c r="S308" s="15" t="s">
        <v>64</v>
      </c>
      <c r="T308" s="15"/>
      <c r="U308" s="15"/>
      <c r="V308" s="73">
        <v>199</v>
      </c>
      <c r="W308" s="16">
        <f t="shared" si="56"/>
        <v>199</v>
      </c>
      <c r="X308" s="15"/>
      <c r="Y308" s="15">
        <f>ROUNDDOWN(W308/HLOOKUP(D308,Table!$C$3:$D$4,2,0)*8,2)</f>
        <v>3.53</v>
      </c>
      <c r="Z308" s="15"/>
      <c r="AA308" s="15"/>
      <c r="AB308" s="19"/>
      <c r="AC308" s="19">
        <v>44088</v>
      </c>
      <c r="AD308" s="19">
        <v>44091</v>
      </c>
      <c r="AE308" s="19"/>
      <c r="AF308" s="19"/>
      <c r="AG308" s="19"/>
      <c r="AH308" s="30"/>
      <c r="AI308" s="30"/>
      <c r="AJ308" s="30"/>
      <c r="AK308" s="19"/>
      <c r="AL308" s="17" t="s">
        <v>58</v>
      </c>
      <c r="AM308" s="17" t="s">
        <v>58</v>
      </c>
      <c r="AN308" s="17" t="s">
        <v>58</v>
      </c>
    </row>
    <row r="309" spans="1:40">
      <c r="B309" s="328">
        <f t="shared" si="55"/>
        <v>250</v>
      </c>
      <c r="C309" s="16">
        <v>20200911</v>
      </c>
      <c r="D309" s="73" t="s">
        <v>3</v>
      </c>
      <c r="E309" s="73" t="s">
        <v>2197</v>
      </c>
      <c r="F309" s="17" t="s">
        <v>2223</v>
      </c>
      <c r="G309" s="73">
        <v>1665099</v>
      </c>
      <c r="H309" s="47" t="s">
        <v>58</v>
      </c>
      <c r="I309" s="17" t="s">
        <v>1076</v>
      </c>
      <c r="J309" s="47" t="s">
        <v>58</v>
      </c>
      <c r="K309" s="15"/>
      <c r="L309" s="73"/>
      <c r="M309" s="15" t="s">
        <v>2230</v>
      </c>
      <c r="N309" s="73" t="s">
        <v>1383</v>
      </c>
      <c r="O309" s="17" t="s">
        <v>58</v>
      </c>
      <c r="P309" s="72" t="s">
        <v>1166</v>
      </c>
      <c r="Q309" s="18"/>
      <c r="R309" s="47" t="s">
        <v>58</v>
      </c>
      <c r="S309" s="15" t="s">
        <v>168</v>
      </c>
      <c r="T309" s="15"/>
      <c r="U309" s="15"/>
      <c r="V309" s="73">
        <v>119</v>
      </c>
      <c r="W309" s="16">
        <f t="shared" si="56"/>
        <v>119</v>
      </c>
      <c r="X309" s="15"/>
      <c r="Y309" s="15">
        <f>ROUNDDOWN(W309/HLOOKUP(D309,Table!$C$3:$D$4,2,0)*8,2)</f>
        <v>2.11</v>
      </c>
      <c r="Z309" s="15"/>
      <c r="AA309" s="15"/>
      <c r="AB309" s="19"/>
      <c r="AC309" s="19">
        <v>44088</v>
      </c>
      <c r="AD309" s="19">
        <v>44091</v>
      </c>
      <c r="AE309" s="19"/>
      <c r="AF309" s="19"/>
      <c r="AG309" s="19"/>
      <c r="AH309" s="30"/>
      <c r="AI309" s="30"/>
      <c r="AJ309" s="30"/>
      <c r="AK309" s="19"/>
      <c r="AL309" s="17" t="s">
        <v>58</v>
      </c>
      <c r="AM309" s="17" t="s">
        <v>58</v>
      </c>
      <c r="AN309" s="17" t="s">
        <v>58</v>
      </c>
    </row>
    <row r="310" spans="1:40">
      <c r="B310" s="328">
        <f t="shared" si="55"/>
        <v>251</v>
      </c>
      <c r="C310" s="16">
        <v>20200911</v>
      </c>
      <c r="D310" s="73" t="s">
        <v>3</v>
      </c>
      <c r="E310" s="73" t="s">
        <v>2197</v>
      </c>
      <c r="F310" s="17" t="s">
        <v>2224</v>
      </c>
      <c r="G310" s="73">
        <v>1665099</v>
      </c>
      <c r="H310" s="47" t="s">
        <v>58</v>
      </c>
      <c r="I310" s="17" t="s">
        <v>2205</v>
      </c>
      <c r="J310" s="47" t="s">
        <v>58</v>
      </c>
      <c r="K310" s="15"/>
      <c r="L310" s="73"/>
      <c r="M310" s="15" t="s">
        <v>2230</v>
      </c>
      <c r="N310" s="73" t="s">
        <v>1383</v>
      </c>
      <c r="O310" s="17" t="s">
        <v>58</v>
      </c>
      <c r="P310" s="72" t="s">
        <v>1166</v>
      </c>
      <c r="Q310" s="18"/>
      <c r="R310" s="47" t="s">
        <v>58</v>
      </c>
      <c r="S310" s="15" t="s">
        <v>168</v>
      </c>
      <c r="T310" s="15"/>
      <c r="U310" s="15"/>
      <c r="V310" s="73">
        <v>106</v>
      </c>
      <c r="W310" s="16">
        <f t="shared" si="56"/>
        <v>106</v>
      </c>
      <c r="X310" s="15"/>
      <c r="Y310" s="15">
        <f>ROUNDDOWN(W310/HLOOKUP(D310,Table!$C$3:$D$4,2,0)*8,2)</f>
        <v>1.88</v>
      </c>
      <c r="Z310" s="15"/>
      <c r="AA310" s="15"/>
      <c r="AB310" s="19"/>
      <c r="AC310" s="19">
        <v>44088</v>
      </c>
      <c r="AD310" s="19">
        <v>44091</v>
      </c>
      <c r="AE310" s="19"/>
      <c r="AF310" s="19"/>
      <c r="AG310" s="19"/>
      <c r="AH310" s="30"/>
      <c r="AI310" s="30"/>
      <c r="AJ310" s="30"/>
      <c r="AK310" s="19"/>
      <c r="AL310" s="17" t="s">
        <v>58</v>
      </c>
      <c r="AM310" s="17" t="s">
        <v>58</v>
      </c>
      <c r="AN310" s="17" t="s">
        <v>58</v>
      </c>
    </row>
    <row r="311" spans="1:40">
      <c r="B311" s="328">
        <f t="shared" si="55"/>
        <v>252</v>
      </c>
      <c r="C311" s="16">
        <v>20200911</v>
      </c>
      <c r="D311" s="73" t="s">
        <v>3</v>
      </c>
      <c r="E311" s="73" t="s">
        <v>2197</v>
      </c>
      <c r="F311" s="17" t="s">
        <v>2225</v>
      </c>
      <c r="G311" s="73">
        <v>1665099</v>
      </c>
      <c r="H311" s="47" t="s">
        <v>58</v>
      </c>
      <c r="I311" s="17" t="s">
        <v>2206</v>
      </c>
      <c r="J311" s="47" t="s">
        <v>58</v>
      </c>
      <c r="K311" s="15"/>
      <c r="L311" s="73"/>
      <c r="M311" s="15" t="s">
        <v>2230</v>
      </c>
      <c r="N311" s="73" t="s">
        <v>1383</v>
      </c>
      <c r="O311" s="17" t="s">
        <v>58</v>
      </c>
      <c r="P311" s="72" t="s">
        <v>1166</v>
      </c>
      <c r="Q311" s="18"/>
      <c r="R311" s="47" t="s">
        <v>58</v>
      </c>
      <c r="S311" s="15" t="s">
        <v>169</v>
      </c>
      <c r="T311" s="15"/>
      <c r="U311" s="15"/>
      <c r="V311" s="73">
        <v>237</v>
      </c>
      <c r="W311" s="16">
        <f t="shared" si="56"/>
        <v>237</v>
      </c>
      <c r="X311" s="15"/>
      <c r="Y311" s="15">
        <f>ROUNDDOWN(W311/HLOOKUP(D311,Table!$C$3:$D$4,2,0)*8,2)</f>
        <v>4.21</v>
      </c>
      <c r="Z311" s="15"/>
      <c r="AA311" s="15"/>
      <c r="AB311" s="19"/>
      <c r="AC311" s="19">
        <v>44088</v>
      </c>
      <c r="AD311" s="19">
        <v>44091</v>
      </c>
      <c r="AE311" s="19"/>
      <c r="AF311" s="19"/>
      <c r="AG311" s="19"/>
      <c r="AH311" s="30"/>
      <c r="AI311" s="30"/>
      <c r="AJ311" s="30"/>
      <c r="AK311" s="19"/>
      <c r="AL311" s="17" t="s">
        <v>58</v>
      </c>
      <c r="AM311" s="17" t="s">
        <v>58</v>
      </c>
      <c r="AN311" s="17" t="s">
        <v>58</v>
      </c>
    </row>
    <row r="312" spans="1:40">
      <c r="B312" s="328">
        <f t="shared" si="55"/>
        <v>253</v>
      </c>
      <c r="C312" s="16">
        <v>20200911</v>
      </c>
      <c r="D312" s="73" t="s">
        <v>3</v>
      </c>
      <c r="E312" s="73" t="s">
        <v>2197</v>
      </c>
      <c r="F312" s="17" t="s">
        <v>2226</v>
      </c>
      <c r="G312" s="73">
        <v>1665099</v>
      </c>
      <c r="H312" s="47" t="s">
        <v>58</v>
      </c>
      <c r="I312" s="17" t="s">
        <v>2207</v>
      </c>
      <c r="J312" s="47" t="s">
        <v>58</v>
      </c>
      <c r="K312" s="15"/>
      <c r="L312" s="73"/>
      <c r="M312" s="15" t="s">
        <v>2230</v>
      </c>
      <c r="N312" s="73" t="s">
        <v>1383</v>
      </c>
      <c r="O312" s="17" t="s">
        <v>58</v>
      </c>
      <c r="P312" s="72" t="s">
        <v>1166</v>
      </c>
      <c r="Q312" s="18"/>
      <c r="R312" s="47" t="s">
        <v>58</v>
      </c>
      <c r="S312" s="15" t="s">
        <v>64</v>
      </c>
      <c r="T312" s="15"/>
      <c r="U312" s="15"/>
      <c r="V312" s="73">
        <v>37</v>
      </c>
      <c r="W312" s="16">
        <f t="shared" si="56"/>
        <v>37</v>
      </c>
      <c r="X312" s="15"/>
      <c r="Y312" s="15">
        <f>ROUNDDOWN(W312/HLOOKUP(D312,Table!$C$3:$D$4,2,0)*8,2)</f>
        <v>0.65</v>
      </c>
      <c r="Z312" s="15"/>
      <c r="AA312" s="15"/>
      <c r="AB312" s="19"/>
      <c r="AC312" s="19">
        <v>44088</v>
      </c>
      <c r="AD312" s="19">
        <v>44091</v>
      </c>
      <c r="AE312" s="19"/>
      <c r="AF312" s="19"/>
      <c r="AG312" s="19"/>
      <c r="AH312" s="30"/>
      <c r="AI312" s="30"/>
      <c r="AJ312" s="30"/>
      <c r="AK312" s="19"/>
      <c r="AL312" s="17" t="s">
        <v>58</v>
      </c>
      <c r="AM312" s="17" t="s">
        <v>58</v>
      </c>
      <c r="AN312" s="17" t="s">
        <v>58</v>
      </c>
    </row>
    <row r="313" spans="1:40">
      <c r="B313" s="328">
        <f t="shared" si="55"/>
        <v>254</v>
      </c>
      <c r="C313" s="16">
        <v>20200911</v>
      </c>
      <c r="D313" s="73" t="s">
        <v>3</v>
      </c>
      <c r="E313" s="73" t="s">
        <v>2197</v>
      </c>
      <c r="F313" s="17" t="s">
        <v>2227</v>
      </c>
      <c r="G313" s="73">
        <v>1665099</v>
      </c>
      <c r="H313" s="47" t="s">
        <v>58</v>
      </c>
      <c r="I313" s="17" t="s">
        <v>1212</v>
      </c>
      <c r="J313" s="47" t="s">
        <v>58</v>
      </c>
      <c r="K313" s="15"/>
      <c r="L313" s="73"/>
      <c r="M313" s="15" t="s">
        <v>2230</v>
      </c>
      <c r="N313" s="73" t="s">
        <v>1383</v>
      </c>
      <c r="O313" s="17" t="s">
        <v>58</v>
      </c>
      <c r="P313" s="72" t="s">
        <v>1166</v>
      </c>
      <c r="Q313" s="18"/>
      <c r="R313" s="47" t="s">
        <v>58</v>
      </c>
      <c r="S313" s="15" t="s">
        <v>64</v>
      </c>
      <c r="T313" s="15"/>
      <c r="U313" s="15"/>
      <c r="V313" s="73">
        <v>220</v>
      </c>
      <c r="W313" s="16">
        <f t="shared" si="56"/>
        <v>220</v>
      </c>
      <c r="X313" s="15"/>
      <c r="Y313" s="15">
        <f>ROUNDDOWN(W313/HLOOKUP(D313,Table!$C$3:$D$4,2,0)*8,2)</f>
        <v>3.91</v>
      </c>
      <c r="Z313" s="15"/>
      <c r="AA313" s="15"/>
      <c r="AB313" s="19"/>
      <c r="AC313" s="19">
        <v>44088</v>
      </c>
      <c r="AD313" s="19">
        <v>44091</v>
      </c>
      <c r="AE313" s="19"/>
      <c r="AF313" s="19"/>
      <c r="AG313" s="19"/>
      <c r="AH313" s="30"/>
      <c r="AI313" s="30"/>
      <c r="AJ313" s="30"/>
      <c r="AK313" s="19"/>
      <c r="AL313" s="17" t="s">
        <v>58</v>
      </c>
      <c r="AM313" s="17" t="s">
        <v>58</v>
      </c>
      <c r="AN313" s="17" t="s">
        <v>58</v>
      </c>
    </row>
    <row r="314" spans="1:40">
      <c r="B314" s="328">
        <f t="shared" si="55"/>
        <v>255</v>
      </c>
      <c r="C314" s="16">
        <v>20200911</v>
      </c>
      <c r="D314" s="73" t="s">
        <v>3</v>
      </c>
      <c r="E314" s="73" t="s">
        <v>2197</v>
      </c>
      <c r="F314" s="17" t="s">
        <v>2228</v>
      </c>
      <c r="G314" s="73">
        <v>1665099</v>
      </c>
      <c r="H314" s="47" t="s">
        <v>58</v>
      </c>
      <c r="I314" s="17" t="s">
        <v>2208</v>
      </c>
      <c r="J314" s="47" t="s">
        <v>58</v>
      </c>
      <c r="K314" s="15"/>
      <c r="L314" s="73"/>
      <c r="M314" s="15" t="s">
        <v>2230</v>
      </c>
      <c r="N314" s="73" t="s">
        <v>1383</v>
      </c>
      <c r="O314" s="17" t="s">
        <v>58</v>
      </c>
      <c r="P314" s="72" t="s">
        <v>1166</v>
      </c>
      <c r="Q314" s="18"/>
      <c r="R314" s="47" t="s">
        <v>58</v>
      </c>
      <c r="S314" s="15" t="s">
        <v>169</v>
      </c>
      <c r="T314" s="15"/>
      <c r="U314" s="15"/>
      <c r="V314" s="73">
        <v>177</v>
      </c>
      <c r="W314" s="16">
        <f t="shared" si="56"/>
        <v>177</v>
      </c>
      <c r="X314" s="15"/>
      <c r="Y314" s="15">
        <f>ROUNDDOWN(W314/HLOOKUP(D314,Table!$C$3:$D$4,2,0)*8,2)</f>
        <v>3.14</v>
      </c>
      <c r="Z314" s="15"/>
      <c r="AA314" s="15"/>
      <c r="AB314" s="19"/>
      <c r="AC314" s="19">
        <v>44088</v>
      </c>
      <c r="AD314" s="19">
        <v>44091</v>
      </c>
      <c r="AE314" s="19"/>
      <c r="AF314" s="19"/>
      <c r="AG314" s="19"/>
      <c r="AH314" s="30"/>
      <c r="AI314" s="30"/>
      <c r="AJ314" s="30"/>
      <c r="AK314" s="19"/>
      <c r="AL314" s="17" t="s">
        <v>58</v>
      </c>
      <c r="AM314" s="17" t="s">
        <v>58</v>
      </c>
      <c r="AN314" s="17" t="s">
        <v>58</v>
      </c>
    </row>
    <row r="315" spans="1:40">
      <c r="B315" s="20"/>
      <c r="C315" s="16"/>
      <c r="D315" s="73"/>
      <c r="E315" s="73"/>
      <c r="F315" s="17"/>
      <c r="G315" s="73"/>
      <c r="H315" s="47" t="s">
        <v>58</v>
      </c>
      <c r="I315" s="73"/>
      <c r="J315" s="47" t="s">
        <v>58</v>
      </c>
      <c r="K315" s="15"/>
      <c r="L315" s="73"/>
      <c r="M315" s="15"/>
      <c r="N315" s="73"/>
      <c r="O315" s="17"/>
      <c r="P315" s="72"/>
      <c r="Q315" s="18"/>
      <c r="R315" s="47" t="s">
        <v>58</v>
      </c>
      <c r="S315" s="15"/>
      <c r="T315" s="15"/>
      <c r="U315" s="15"/>
      <c r="V315" s="73"/>
      <c r="W315" s="16"/>
      <c r="X315" s="15"/>
      <c r="Y315" s="15"/>
      <c r="Z315" s="15"/>
      <c r="AA315" s="15"/>
      <c r="AB315" s="19"/>
      <c r="AC315" s="19"/>
      <c r="AD315" s="19"/>
      <c r="AE315" s="19"/>
      <c r="AF315" s="19"/>
      <c r="AG315" s="19"/>
      <c r="AH315" s="30"/>
      <c r="AI315" s="30"/>
      <c r="AJ315" s="30"/>
      <c r="AK315" s="19"/>
      <c r="AL315" s="17"/>
      <c r="AM315" s="17"/>
      <c r="AN315" s="17"/>
    </row>
    <row r="316" spans="1:40">
      <c r="B316" s="20"/>
      <c r="C316" s="16"/>
      <c r="D316" s="73"/>
      <c r="E316" s="73"/>
      <c r="F316" s="17"/>
      <c r="G316" s="73"/>
      <c r="H316" s="47" t="s">
        <v>58</v>
      </c>
      <c r="I316" s="73"/>
      <c r="J316" s="47" t="s">
        <v>58</v>
      </c>
      <c r="K316" s="15"/>
      <c r="L316" s="73"/>
      <c r="M316" s="15"/>
      <c r="N316" s="73"/>
      <c r="O316" s="17"/>
      <c r="P316" s="72"/>
      <c r="Q316" s="18"/>
      <c r="R316" s="47" t="s">
        <v>58</v>
      </c>
      <c r="S316" s="15"/>
      <c r="T316" s="15"/>
      <c r="U316" s="15"/>
      <c r="V316" s="73"/>
      <c r="W316" s="16"/>
      <c r="X316" s="15"/>
      <c r="Y316" s="15"/>
      <c r="Z316" s="15"/>
      <c r="AA316" s="15"/>
      <c r="AB316" s="19"/>
      <c r="AC316" s="19"/>
      <c r="AD316" s="19"/>
      <c r="AE316" s="19"/>
      <c r="AF316" s="19"/>
      <c r="AG316" s="19"/>
      <c r="AH316" s="30"/>
      <c r="AI316" s="30"/>
      <c r="AJ316" s="30"/>
      <c r="AK316" s="19"/>
      <c r="AL316" s="17"/>
      <c r="AM316" s="17"/>
      <c r="AN316" s="17"/>
    </row>
    <row r="317" spans="1:40">
      <c r="B317" s="20"/>
      <c r="C317" s="16"/>
      <c r="D317" s="73"/>
      <c r="E317" s="73"/>
      <c r="F317" s="17"/>
      <c r="G317" s="73"/>
      <c r="H317" s="47" t="s">
        <v>58</v>
      </c>
      <c r="I317" s="73"/>
      <c r="J317" s="47" t="s">
        <v>58</v>
      </c>
      <c r="K317" s="15"/>
      <c r="L317" s="73"/>
      <c r="M317" s="15"/>
      <c r="N317" s="73"/>
      <c r="O317" s="17"/>
      <c r="P317" s="72"/>
      <c r="Q317" s="18"/>
      <c r="R317" s="47" t="s">
        <v>58</v>
      </c>
      <c r="S317" s="15"/>
      <c r="T317" s="15"/>
      <c r="U317" s="15"/>
      <c r="V317" s="73"/>
      <c r="W317" s="16"/>
      <c r="X317" s="15"/>
      <c r="Y317" s="15"/>
      <c r="Z317" s="15"/>
      <c r="AA317" s="15"/>
      <c r="AB317" s="19"/>
      <c r="AC317" s="19"/>
      <c r="AD317" s="19"/>
      <c r="AE317" s="19"/>
      <c r="AF317" s="19"/>
      <c r="AG317" s="19"/>
      <c r="AH317" s="30"/>
      <c r="AI317" s="30"/>
      <c r="AJ317" s="30"/>
      <c r="AK317" s="19"/>
      <c r="AL317" s="17"/>
      <c r="AM317" s="17"/>
      <c r="AN317" s="17"/>
    </row>
    <row r="318" spans="1:40">
      <c r="A318" s="94"/>
      <c r="B318" s="94"/>
      <c r="C318" s="94"/>
      <c r="D318" s="94"/>
      <c r="E318" s="94"/>
      <c r="Q318" s="124"/>
      <c r="T318" s="79"/>
      <c r="V318" s="304"/>
      <c r="AM318" s="103"/>
    </row>
    <row r="319" spans="1:40">
      <c r="Q319" s="5"/>
      <c r="V319" s="5"/>
    </row>
    <row r="320" spans="1:40">
      <c r="M320" s="86"/>
      <c r="V320" s="304"/>
    </row>
    <row r="321" spans="7:37">
      <c r="M321" s="86"/>
      <c r="AB321" s="101"/>
      <c r="AJ321" s="100"/>
      <c r="AK321" s="97"/>
    </row>
    <row r="322" spans="7:37">
      <c r="X322" s="304"/>
    </row>
    <row r="323" spans="7:37">
      <c r="X323" s="5"/>
    </row>
    <row r="324" spans="7:37">
      <c r="X324" s="304"/>
    </row>
    <row r="328" spans="7:37">
      <c r="G328" t="s">
        <v>171</v>
      </c>
    </row>
    <row r="337" spans="8:10">
      <c r="H337" s="86"/>
      <c r="I337" s="130"/>
      <c r="J337" s="86"/>
    </row>
  </sheetData>
  <customSheetViews>
    <customSheetView guid="{7E0EA425-A420-4443-B9E0-CDF0AA9E5D09}" scale="70" topLeftCell="A28">
      <selection activeCell="E68" sqref="E68"/>
      <pageMargins left="0.7" right="0.7" top="0.75" bottom="0.75" header="0.3" footer="0.3"/>
      <pageSetup orientation="portrait" horizontalDpi="300" r:id="rId1"/>
    </customSheetView>
    <customSheetView guid="{3B3E6719-EACB-4D2C-89C1-05FFAB6020FD}" scale="70" filter="1" showAutoFilter="1" topLeftCell="H57">
      <selection activeCell="A239" sqref="A239:XFD239"/>
      <pageMargins left="0.7" right="0.7" top="0.75" bottom="0.75" header="0.3" footer="0.3"/>
      <pageSetup orientation="portrait" horizontalDpi="300" r:id="rId2"/>
      <autoFilter ref="A59:AN302">
        <filterColumn colId="18">
          <filters>
            <filter val="thanh.nguyen-kim"/>
          </filters>
        </filterColumn>
        <filterColumn colId="29">
          <filters>
            <dateGroupItem year="2020" month="8" day="18" dateTimeGrouping="day"/>
          </filters>
        </filterColumn>
      </autoFilter>
    </customSheetView>
    <customSheetView guid="{89C03E1E-B6A8-49A1-B29C-5DC4FAB2FBC6}" scale="85" filter="1" showAutoFilter="1" topLeftCell="M118">
      <selection activeCell="W306" sqref="W306"/>
      <pageMargins left="0.7" right="0.7" top="0.75" bottom="0.75" header="0.3" footer="0.3"/>
      <pageSetup orientation="portrait" horizontalDpi="300" verticalDpi="0" r:id="rId3"/>
      <autoFilter ref="B59:AN302">
        <filterColumn colId="17">
          <filters>
            <filter val="nam.phan-the"/>
          </filters>
        </filterColumn>
      </autoFilter>
    </customSheetView>
    <customSheetView guid="{FECB4C41-27E8-4A22-AFB3-4F54CDD4960E}" scale="85" filter="1" showAutoFilter="1" topLeftCell="G146">
      <selection activeCell="T305" sqref="T305"/>
      <pageMargins left="0.7" right="0.7" top="0.75" bottom="0.75" header="0.3" footer="0.3"/>
      <pageSetup orientation="portrait" horizontalDpi="300" verticalDpi="0" r:id="rId4"/>
      <autoFilter ref="B59:AN302">
        <filterColumn colId="17">
          <filters>
            <filter val="chuong.nguyen-minh"/>
          </filters>
        </filterColumn>
      </autoFilter>
    </customSheetView>
    <customSheetView guid="{7ECC2B8E-6A82-42F5-8AB0-4A51C54EA5EC}" scale="70" showAutoFilter="1" topLeftCell="B40">
      <selection activeCell="J28" sqref="J28"/>
      <pageMargins left="0.7" right="0.7" top="0.75" bottom="0.75" header="0.3" footer="0.3"/>
      <pageSetup orientation="portrait" horizontalDpi="300" r:id="rId5"/>
      <autoFilter ref="A59:AN302"/>
    </customSheetView>
    <customSheetView guid="{99BC1C51-34DC-4BF2-906C-1E31B6171D71}" scale="85" filter="1" showAutoFilter="1" topLeftCell="P158">
      <selection activeCell="AE283" sqref="AE283:AK283"/>
      <pageMargins left="0.7" right="0.7" top="0.75" bottom="0.75" header="0.3" footer="0.3"/>
      <pageSetup orientation="portrait" horizontalDpi="300" verticalDpi="0" r:id="rId6"/>
      <autoFilter ref="A59:AN302">
        <filterColumn colId="18">
          <filters>
            <filter val="huy.nguyen-hoang"/>
          </filters>
        </filterColumn>
      </autoFilter>
    </customSheetView>
    <customSheetView guid="{A2E8CE38-D15E-4374-89B2-69D9421C4465}" scale="85" showPageBreaks="1" topLeftCell="C286">
      <selection activeCell="A239" sqref="A239:XFD239"/>
      <pageMargins left="0.7" right="0.7" top="0.75" bottom="0.75" header="0.3" footer="0.3"/>
      <pageSetup orientation="portrait" horizontalDpi="300" r:id="rId7"/>
    </customSheetView>
    <customSheetView guid="{336B6883-2145-4B58-921E-CEC7185A847E}" scale="85" showAutoFilter="1" topLeftCell="F28">
      <selection activeCell="A239" sqref="A239:XFD239"/>
      <pageMargins left="0.7" right="0.7" top="0.75" bottom="0.75" header="0.3" footer="0.3"/>
      <pageSetup orientation="portrait" horizontalDpi="300" verticalDpi="0" r:id="rId8"/>
      <autoFilter ref="P59:P303"/>
    </customSheetView>
    <customSheetView guid="{60D2C030-4E31-4E07-8E1C-44D2EE84B177}" scale="85" filter="1" showAutoFilter="1" topLeftCell="B7">
      <selection activeCell="A239" sqref="A239:XFD239"/>
      <pageMargins left="0.7" right="0.7" top="0.75" bottom="0.75" header="0.3" footer="0.3"/>
      <pageSetup orientation="portrait" horizontalDpi="300" verticalDpi="0" r:id="rId9"/>
      <autoFilter ref="A59:AN302">
        <filterColumn colId="18">
          <filters>
            <filter val="chung.ly"/>
          </filters>
        </filterColumn>
      </autoFilter>
    </customSheetView>
    <customSheetView guid="{C94451EF-7A3E-4D72-B5A4-3D1B193192CC}" scale="85" filter="1" showAutoFilter="1" topLeftCell="F126">
      <selection activeCell="S309" sqref="S309"/>
      <pageMargins left="0.7" right="0.7" top="0.75" bottom="0.75" header="0.3" footer="0.3"/>
      <pageSetup orientation="portrait" horizontalDpi="300" r:id="rId10"/>
      <autoFilter ref="B59:AN302">
        <filterColumn colId="17">
          <filters>
            <filter val="loc.do-phu"/>
          </filters>
        </filterColumn>
      </autoFilter>
    </customSheetView>
    <customSheetView guid="{D33AC7AF-C8AB-4CE9-94C7-9237011A5FC3}" scale="70" topLeftCell="C325">
      <selection activeCell="A224" sqref="A224:XFD224"/>
      <pageMargins left="0.7" right="0.7" top="0.75" bottom="0.75" header="0.3" footer="0.3"/>
      <pageSetup orientation="portrait" horizontalDpi="300" verticalDpi="0" r:id="rId11"/>
    </customSheetView>
    <customSheetView guid="{A2C66332-A809-458E-971B-FDB6D62C74C3}" showAutoFilter="1" topLeftCell="F54">
      <pane xSplit="1" topLeftCell="AI1" activePane="topRight" state="frozen"/>
      <selection pane="topRight" activeCell="A154" sqref="A154:XFD159"/>
      <pageMargins left="0.7" right="0.7" top="0.75" bottom="0.75" header="0.3" footer="0.3"/>
      <pageSetup orientation="portrait" horizontalDpi="300" verticalDpi="0" r:id="rId12"/>
      <autoFilter ref="A59:AN190"/>
    </customSheetView>
    <customSheetView guid="{F96FC7D9-4F89-4FE0-8D00-C0083DEB0472}" scale="85" topLeftCell="A280">
      <selection activeCell="J295" sqref="J295"/>
      <pageMargins left="0.7" right="0.7" top="0.75" bottom="0.75" header="0.3" footer="0.3"/>
      <pageSetup orientation="portrait" horizontalDpi="300" verticalDpi="0" r:id="rId13"/>
    </customSheetView>
    <customSheetView guid="{970EE037-F5E5-47AF-896A-0F6222879EBC}" scale="85" topLeftCell="A7">
      <selection activeCell="F29" sqref="F29"/>
      <pageMargins left="0.7" right="0.7" top="0.75" bottom="0.75" header="0.3" footer="0.3"/>
      <pageSetup orientation="portrait" horizontalDpi="300" r:id="rId14"/>
    </customSheetView>
    <customSheetView guid="{4E06BDBF-2CED-473B-850B-2A6C7311FF41}" scale="85" showPageBreaks="1" filter="1" showAutoFilter="1" topLeftCell="A42">
      <selection activeCell="E195" sqref="E195"/>
      <pageMargins left="0.7" right="0.7" top="0.75" bottom="0.75" header="0.3" footer="0.3"/>
      <pageSetup orientation="portrait" horizontalDpi="300" r:id="rId15"/>
      <autoFilter ref="A59:AN191">
        <filterColumn colId="18">
          <filters>
            <filter val="thanh.nguyen-kim"/>
          </filters>
        </filterColumn>
      </autoFilter>
    </customSheetView>
  </customSheetViews>
  <conditionalFormatting sqref="AK60:AK317 AG60:AG317">
    <cfRule type="cellIs" dxfId="105" priority="145" operator="equal">
      <formula>"OK"</formula>
    </cfRule>
    <cfRule type="cellIs" dxfId="104" priority="146" operator="equal">
      <formula>"NG"</formula>
    </cfRule>
  </conditionalFormatting>
  <conditionalFormatting sqref="O60:P317">
    <cfRule type="cellIs" dxfId="103" priority="144" operator="equal">
      <formula>"PUT_VERSION"</formula>
    </cfRule>
  </conditionalFormatting>
  <conditionalFormatting sqref="D18">
    <cfRule type="expression" dxfId="102" priority="132">
      <formula>$D$18=SUM($D$4:$D$17)</formula>
    </cfRule>
  </conditionalFormatting>
  <conditionalFormatting sqref="E18">
    <cfRule type="expression" dxfId="101" priority="131">
      <formula>$E$18=SUM($E$4:$E$17)</formula>
    </cfRule>
  </conditionalFormatting>
  <conditionalFormatting sqref="F18">
    <cfRule type="expression" dxfId="100" priority="130">
      <formula>$F$18=SUM($F$4:$F$17)</formula>
    </cfRule>
  </conditionalFormatting>
  <conditionalFormatting sqref="D37">
    <cfRule type="expression" dxfId="99" priority="129">
      <formula>$D$37=SUM($D$23:$D$36)</formula>
    </cfRule>
  </conditionalFormatting>
  <conditionalFormatting sqref="E37">
    <cfRule type="expression" dxfId="98" priority="128">
      <formula>$E$37=SUM($E$23:$E$36)</formula>
    </cfRule>
  </conditionalFormatting>
  <conditionalFormatting sqref="F37">
    <cfRule type="expression" dxfId="97" priority="165">
      <formula>$F$37=SUM($F$23:$F$36)</formula>
    </cfRule>
  </conditionalFormatting>
  <conditionalFormatting sqref="H4:H18">
    <cfRule type="cellIs" dxfId="96" priority="23" operator="lessThan">
      <formula>1</formula>
    </cfRule>
    <cfRule type="cellIs" dxfId="95" priority="24" operator="equal">
      <formula>1</formula>
    </cfRule>
  </conditionalFormatting>
  <conditionalFormatting sqref="H23:H37">
    <cfRule type="cellIs" dxfId="94" priority="17" operator="lessThan">
      <formula>1</formula>
    </cfRule>
    <cfRule type="cellIs" dxfId="93" priority="18" operator="equal">
      <formula>1</formula>
    </cfRule>
  </conditionalFormatting>
  <conditionalFormatting sqref="H42:H55">
    <cfRule type="cellIs" dxfId="92" priority="15" operator="lessThan">
      <formula>1</formula>
    </cfRule>
    <cfRule type="cellIs" dxfId="91" priority="16" operator="equal">
      <formula>1</formula>
    </cfRule>
  </conditionalFormatting>
  <conditionalFormatting sqref="H56">
    <cfRule type="cellIs" dxfId="90" priority="13" operator="lessThan">
      <formula>1</formula>
    </cfRule>
    <cfRule type="cellIs" dxfId="89" priority="14" operator="equal">
      <formula>1</formula>
    </cfRule>
  </conditionalFormatting>
  <dataValidations count="2">
    <dataValidation type="list" allowBlank="1" showInputMessage="1" showErrorMessage="1" sqref="AG60:AG317">
      <formula1>"OK,NG"</formula1>
    </dataValidation>
    <dataValidation type="list" allowBlank="1" showInputMessage="1" showErrorMessage="1" sqref="U60:U317">
      <formula1>"Yes,No"</formula1>
    </dataValidation>
  </dataValidations>
  <pageMargins left="0.7" right="0.7" top="0.75" bottom="0.75" header="0.3" footer="0.3"/>
  <pageSetup orientation="portrait" horizontalDpi="300" r:id="rId16"/>
  <legacyDrawing r:id="rId17"/>
  <extLst>
    <ext xmlns:x14="http://schemas.microsoft.com/office/spreadsheetml/2009/9/main" uri="{78C0D931-6437-407d-A8EE-F0AAD7539E65}">
      <x14:conditionalFormattings>
        <x14:conditionalFormatting xmlns:xm="http://schemas.microsoft.com/office/excel/2006/main">
          <x14:cfRule type="cellIs" priority="45" operator="equal" id="{2B9DA05D-2BDF-40F2-AAB9-55EE4E3A4914}">
            <xm:f>Table!$C$3</xm:f>
            <x14:dxf>
              <fill>
                <patternFill>
                  <bgColor rgb="FF0066FF"/>
                </patternFill>
              </fill>
            </x14:dxf>
          </x14:cfRule>
          <x14:cfRule type="cellIs" priority="46" operator="equal" id="{CF72E758-246C-461F-BACD-F624487058C4}">
            <xm:f>Table!$D$3</xm:f>
            <x14:dxf>
              <fill>
                <patternFill>
                  <bgColor rgb="FF92D050"/>
                </patternFill>
              </fill>
            </x14:dxf>
          </x14:cfRule>
          <xm:sqref>D60:D317</xm:sqref>
        </x14:conditionalFormatting>
        <x14:conditionalFormatting xmlns:xm="http://schemas.microsoft.com/office/excel/2006/main">
          <x14:cfRule type="cellIs" priority="149" operator="greaterThanOrEqual" id="{880EA441-2590-4E05-81FB-030A6B262BA2}">
            <xm:f>Table!$C$4</xm:f>
            <x14:dxf>
              <font>
                <color rgb="FF006100"/>
              </font>
              <fill>
                <patternFill>
                  <bgColor rgb="FFC6EFCE"/>
                </patternFill>
              </fill>
            </x14:dxf>
          </x14:cfRule>
          <x14:cfRule type="cellIs" priority="150" operator="lessThan" id="{008E8A9C-0A54-48C8-BAA6-2040624D4B14}">
            <xm:f>Table!$C$4</xm:f>
            <x14:dxf>
              <font>
                <color rgb="FF9C0006"/>
              </font>
              <fill>
                <patternFill>
                  <bgColor rgb="FFFFC7CE"/>
                </patternFill>
              </fill>
            </x14:dxf>
          </x14:cfRule>
          <xm:sqref>G23:G37</xm:sqref>
        </x14:conditionalFormatting>
        <x14:conditionalFormatting xmlns:xm="http://schemas.microsoft.com/office/excel/2006/main">
          <x14:cfRule type="cellIs" priority="151" operator="greaterThanOrEqual" id="{055B1730-1858-463E-9B0B-33FF6EF9C729}">
            <xm:f>Table!$D$4</xm:f>
            <x14:dxf>
              <font>
                <color rgb="FF006100"/>
              </font>
              <fill>
                <patternFill>
                  <bgColor rgb="FFC6EFCE"/>
                </patternFill>
              </fill>
            </x14:dxf>
          </x14:cfRule>
          <x14:cfRule type="cellIs" priority="152" operator="lessThan" id="{9D0890AA-8BE8-4E6A-8479-B03F791D816F}">
            <xm:f>Table!$D$4</xm:f>
            <x14:dxf>
              <font>
                <color rgb="FF9C0006"/>
              </font>
              <fill>
                <patternFill>
                  <bgColor rgb="FFFFC7CE"/>
                </patternFill>
              </fill>
            </x14:dxf>
          </x14:cfRule>
          <xm:sqref>G4:G17 G43:G55</xm:sqref>
        </x14:conditionalFormatting>
        <x14:conditionalFormatting xmlns:xm="http://schemas.microsoft.com/office/excel/2006/main">
          <x14:cfRule type="cellIs" priority="125" operator="greaterThanOrEqual" id="{8D99BF4A-D908-47F1-8E24-1697DAA263CD}">
            <xm:f>Table!$D$4</xm:f>
            <x14:dxf>
              <font>
                <color rgb="FF006100"/>
              </font>
              <fill>
                <patternFill>
                  <bgColor rgb="FFC6EFCE"/>
                </patternFill>
              </fill>
            </x14:dxf>
          </x14:cfRule>
          <x14:cfRule type="cellIs" priority="126" operator="lessThan" id="{64E1D647-CB0B-4B5E-B51F-CD909D56D8BD}">
            <xm:f>Table!$D$4</xm:f>
            <x14:dxf>
              <font>
                <color rgb="FF9C0006"/>
              </font>
              <fill>
                <patternFill>
                  <bgColor rgb="FFFFC7CE"/>
                </patternFill>
              </fill>
            </x14:dxf>
          </x14:cfRule>
          <xm:sqref>G18</xm:sqref>
        </x14:conditionalFormatting>
        <x14:conditionalFormatting xmlns:xm="http://schemas.microsoft.com/office/excel/2006/main">
          <x14:cfRule type="cellIs" priority="123" operator="greaterThanOrEqual" id="{42805A51-A68C-45B4-950B-7CB2B9B10AB3}">
            <xm:f>Table!$D$4</xm:f>
            <x14:dxf>
              <font>
                <color rgb="FF006100"/>
              </font>
              <fill>
                <patternFill>
                  <bgColor rgb="FFC6EFCE"/>
                </patternFill>
              </fill>
            </x14:dxf>
          </x14:cfRule>
          <x14:cfRule type="cellIs" priority="124" operator="lessThan" id="{9B93FBAF-A588-4F7B-8232-CC7E656FD59C}">
            <xm:f>Table!$D$4</xm:f>
            <x14:dxf>
              <font>
                <color rgb="FF9C0006"/>
              </font>
              <fill>
                <patternFill>
                  <bgColor rgb="FFFFC7CE"/>
                </patternFill>
              </fill>
            </x14:dxf>
          </x14:cfRule>
          <xm:sqref>G56</xm:sqref>
        </x14:conditionalFormatting>
        <x14:conditionalFormatting xmlns:xm="http://schemas.microsoft.com/office/excel/2006/main">
          <x14:cfRule type="cellIs" priority="121" operator="greaterThanOrEqual" id="{2AA0948F-74AB-46EC-B255-A7ABEAF4E4D2}">
            <xm:f>Table!$D$4</xm:f>
            <x14:dxf>
              <font>
                <color rgb="FF006100"/>
              </font>
              <fill>
                <patternFill>
                  <bgColor rgb="FFC6EFCE"/>
                </patternFill>
              </fill>
            </x14:dxf>
          </x14:cfRule>
          <x14:cfRule type="cellIs" priority="122" operator="lessThan" id="{B1A166C1-E984-4616-BBDF-3553DC14A7FD}">
            <xm:f>Table!$D$4</xm:f>
            <x14:dxf>
              <font>
                <color rgb="FF9C0006"/>
              </font>
              <fill>
                <patternFill>
                  <bgColor rgb="FFFFC7CE"/>
                </patternFill>
              </fill>
            </x14:dxf>
          </x14:cfRule>
          <xm:sqref>G42</xm:sqref>
        </x14:conditionalFormatting>
        <x14:conditionalFormatting xmlns:xm="http://schemas.microsoft.com/office/excel/2006/main">
          <x14:cfRule type="cellIs" priority="49" operator="equal" id="{19639308-71F0-43E5-B386-FDDD54B39B80}">
            <xm:f>Table!$C$42</xm:f>
            <x14:dxf>
              <font>
                <b/>
                <i val="0"/>
              </font>
              <fill>
                <patternFill>
                  <bgColor rgb="FFFF0000"/>
                </patternFill>
              </fill>
            </x14:dxf>
          </x14:cfRule>
          <x14:cfRule type="cellIs" priority="50" operator="equal" id="{49FA013F-6BB2-447B-B4B6-033B25DE33AE}">
            <xm:f>Table!$C$41</xm:f>
            <x14:dxf>
              <font>
                <b/>
                <i val="0"/>
              </font>
              <fill>
                <patternFill>
                  <bgColor rgb="FFFFFF00"/>
                </patternFill>
              </fill>
            </x14:dxf>
          </x14:cfRule>
          <xm:sqref>AK60:AK317</xm:sqref>
        </x14:conditionalFormatting>
        <x14:conditionalFormatting xmlns:xm="http://schemas.microsoft.com/office/excel/2006/main">
          <x14:cfRule type="cellIs" priority="28" operator="equal" id="{B211692F-ABF6-4790-BCAD-28CE3DBD857B}">
            <xm:f>Table!$C$52</xm:f>
            <x14:dxf>
              <fill>
                <patternFill>
                  <bgColor rgb="FF00B0F0"/>
                </patternFill>
              </fill>
            </x14:dxf>
          </x14:cfRule>
          <xm:sqref>K320:K1677 E318:E319 K60:K317</xm:sqref>
        </x14:conditionalFormatting>
        <x14:conditionalFormatting xmlns:xm="http://schemas.microsoft.com/office/excel/2006/main">
          <x14:cfRule type="cellIs" priority="25" operator="equal" id="{27FEA41D-27A1-4BBD-B6F6-EF73A862D852}">
            <xm:f>Table!$C$55</xm:f>
            <x14:dxf>
              <fill>
                <patternFill>
                  <bgColor rgb="FFC00000"/>
                </patternFill>
              </fill>
            </x14:dxf>
          </x14:cfRule>
          <x14:cfRule type="cellIs" priority="26" operator="equal" id="{E47CD962-AD85-4E24-81F8-0F88965BC42B}">
            <xm:f>Table!$C$54</xm:f>
            <x14:dxf>
              <fill>
                <patternFill>
                  <bgColor rgb="FFFFFF00"/>
                </patternFill>
              </fill>
            </x14:dxf>
          </x14:cfRule>
          <x14:cfRule type="cellIs" priority="27" operator="equal" id="{66848275-C61E-4326-A79D-D01F5EDA7130}">
            <xm:f>Table!$C$53</xm:f>
            <x14:dxf>
              <fill>
                <patternFill>
                  <bgColor rgb="FFFFC000"/>
                </patternFill>
              </fill>
            </x14:dxf>
          </x14:cfRule>
          <xm:sqref>K320:K1298 E318:E319 K60:K317</xm:sqref>
        </x14:conditionalFormatting>
        <x14:conditionalFormatting xmlns:xm="http://schemas.microsoft.com/office/excel/2006/main">
          <x14:cfRule type="cellIs" priority="11" operator="greaterThanOrEqual" id="{726F132E-1027-4E33-B840-096BC8D65F80}">
            <xm:f>Table!$D$4</xm:f>
            <x14:dxf>
              <font>
                <color rgb="FF006100"/>
              </font>
              <fill>
                <patternFill>
                  <bgColor rgb="FFC6EFCE"/>
                </patternFill>
              </fill>
            </x14:dxf>
          </x14:cfRule>
          <x14:cfRule type="cellIs" priority="12" operator="lessThan" id="{ED8EC43F-BA62-46D3-8ECB-CEB57CEC08F5}">
            <xm:f>Table!$D$4</xm:f>
            <x14:dxf>
              <font>
                <color rgb="FF9C0006"/>
              </font>
              <fill>
                <patternFill>
                  <bgColor rgb="FFFFC7CE"/>
                </patternFill>
              </fill>
            </x14:dxf>
          </x14:cfRule>
          <xm:sqref>K4:K17</xm:sqref>
        </x14:conditionalFormatting>
        <x14:conditionalFormatting xmlns:xm="http://schemas.microsoft.com/office/excel/2006/main">
          <x14:cfRule type="cellIs" priority="9" operator="greaterThanOrEqual" id="{AD341F08-417E-499F-A5CD-710ECD7F298F}">
            <xm:f>Table!$D$4</xm:f>
            <x14:dxf>
              <font>
                <color rgb="FF006100"/>
              </font>
              <fill>
                <patternFill>
                  <bgColor rgb="FFC6EFCE"/>
                </patternFill>
              </fill>
            </x14:dxf>
          </x14:cfRule>
          <x14:cfRule type="cellIs" priority="10" operator="lessThan" id="{BD660B54-AB37-4DA6-86BB-FA649D139B70}">
            <xm:f>Table!$D$4</xm:f>
            <x14:dxf>
              <font>
                <color rgb="FF9C0006"/>
              </font>
              <fill>
                <patternFill>
                  <bgColor rgb="FFFFC7CE"/>
                </patternFill>
              </fill>
            </x14:dxf>
          </x14:cfRule>
          <xm:sqref>K18</xm:sqref>
        </x14:conditionalFormatting>
        <x14:conditionalFormatting xmlns:xm="http://schemas.microsoft.com/office/excel/2006/main">
          <x14:cfRule type="cellIs" priority="7" operator="greaterThanOrEqual" id="{A04814F6-C44E-4F71-B21E-E989C6B0EEC5}">
            <xm:f>Table!$D$4</xm:f>
            <x14:dxf>
              <font>
                <color rgb="FF006100"/>
              </font>
              <fill>
                <patternFill>
                  <bgColor rgb="FFC6EFCE"/>
                </patternFill>
              </fill>
            </x14:dxf>
          </x14:cfRule>
          <x14:cfRule type="cellIs" priority="8" operator="lessThan" id="{01F77F4C-96ED-41D1-9F97-9566CFF400E3}">
            <xm:f>Table!$D$4</xm:f>
            <x14:dxf>
              <font>
                <color rgb="FF9C0006"/>
              </font>
              <fill>
                <patternFill>
                  <bgColor rgb="FFFFC7CE"/>
                </patternFill>
              </fill>
            </x14:dxf>
          </x14:cfRule>
          <xm:sqref>K23:K36</xm:sqref>
        </x14:conditionalFormatting>
        <x14:conditionalFormatting xmlns:xm="http://schemas.microsoft.com/office/excel/2006/main">
          <x14:cfRule type="cellIs" priority="5" operator="greaterThanOrEqual" id="{CD630787-90B5-4FB5-BA25-3F5AB4A6FB6E}">
            <xm:f>Table!$D$4</xm:f>
            <x14:dxf>
              <font>
                <color rgb="FF006100"/>
              </font>
              <fill>
                <patternFill>
                  <bgColor rgb="FFC6EFCE"/>
                </patternFill>
              </fill>
            </x14:dxf>
          </x14:cfRule>
          <x14:cfRule type="cellIs" priority="6" operator="lessThan" id="{C0A8677B-D3C0-4549-8BFD-299917443C38}">
            <xm:f>Table!$D$4</xm:f>
            <x14:dxf>
              <font>
                <color rgb="FF9C0006"/>
              </font>
              <fill>
                <patternFill>
                  <bgColor rgb="FFFFC7CE"/>
                </patternFill>
              </fill>
            </x14:dxf>
          </x14:cfRule>
          <xm:sqref>K37</xm:sqref>
        </x14:conditionalFormatting>
        <x14:conditionalFormatting xmlns:xm="http://schemas.microsoft.com/office/excel/2006/main">
          <x14:cfRule type="cellIs" priority="3" operator="greaterThanOrEqual" id="{4391133D-E954-40F5-8414-FFA245B56837}">
            <xm:f>Table!$D$4</xm:f>
            <x14:dxf>
              <font>
                <color rgb="FF006100"/>
              </font>
              <fill>
                <patternFill>
                  <bgColor rgb="FFC6EFCE"/>
                </patternFill>
              </fill>
            </x14:dxf>
          </x14:cfRule>
          <x14:cfRule type="cellIs" priority="4" operator="lessThan" id="{A9565830-0D8A-4A3C-BCE5-08D6F068C989}">
            <xm:f>Table!$D$4</xm:f>
            <x14:dxf>
              <font>
                <color rgb="FF9C0006"/>
              </font>
              <fill>
                <patternFill>
                  <bgColor rgb="FFFFC7CE"/>
                </patternFill>
              </fill>
            </x14:dxf>
          </x14:cfRule>
          <xm:sqref>K42:K55</xm:sqref>
        </x14:conditionalFormatting>
        <x14:conditionalFormatting xmlns:xm="http://schemas.microsoft.com/office/excel/2006/main">
          <x14:cfRule type="cellIs" priority="1" operator="greaterThanOrEqual" id="{EE611FCC-3DD1-4612-B1CF-95A523FBA809}">
            <xm:f>Table!$D$4</xm:f>
            <x14:dxf>
              <font>
                <color rgb="FF006100"/>
              </font>
              <fill>
                <patternFill>
                  <bgColor rgb="FFC6EFCE"/>
                </patternFill>
              </fill>
            </x14:dxf>
          </x14:cfRule>
          <x14:cfRule type="cellIs" priority="2" operator="lessThan" id="{BE0B9A0B-9CFC-4F54-B510-17E93DEC335C}">
            <xm:f>Table!$D$4</xm:f>
            <x14:dxf>
              <font>
                <color rgb="FF9C0006"/>
              </font>
              <fill>
                <patternFill>
                  <bgColor rgb="FFFFC7CE"/>
                </patternFill>
              </fill>
            </x14:dxf>
          </x14:cfRule>
          <xm:sqref>K56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Table!$C$52:$C$55</xm:f>
          </x14:formula1>
          <xm:sqref>K320:K1412 E318:E319 K60:K317</xm:sqref>
        </x14:dataValidation>
        <x14:dataValidation type="list" allowBlank="1" showInputMessage="1" showErrorMessage="1">
          <x14:formula1>
            <xm:f>Table!$C$13:$C$27</xm:f>
          </x14:formula1>
          <xm:sqref>S60:T317</xm:sqref>
        </x14:dataValidation>
        <x14:dataValidation type="list" allowBlank="1" showInputMessage="1" showErrorMessage="1">
          <x14:formula1>
            <xm:f>Table!$C$41:$C$43</xm:f>
          </x14:formula1>
          <xm:sqref>AK60:AK317</xm:sqref>
        </x14:dataValidation>
        <x14:dataValidation type="list" allowBlank="1" showInputMessage="1" showErrorMessage="1">
          <x14:formula1>
            <xm:f>Table!$C$31:$C$37</xm:f>
          </x14:formula1>
          <xm:sqref>AA60:AA317</xm:sqref>
        </x14:dataValidation>
        <x14:dataValidation type="list" allowBlank="1" showInputMessage="1" showErrorMessage="1">
          <x14:formula1>
            <xm:f>Table!$C$8:$C$9</xm:f>
          </x14:formula1>
          <xm:sqref>D60:D317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filterMode="1">
    <tabColor rgb="FF00B050"/>
  </sheetPr>
  <dimension ref="A1:HU564"/>
  <sheetViews>
    <sheetView topLeftCell="A28" zoomScale="70" zoomScaleNormal="100" workbookViewId="0">
      <selection activeCell="A499" sqref="A499:XFD526"/>
    </sheetView>
  </sheetViews>
  <sheetFormatPr defaultRowHeight="15"/>
  <cols>
    <col min="1" max="1" width="9.140625" customWidth="1"/>
    <col min="2" max="2" width="9.28515625" customWidth="1"/>
    <col min="3" max="3" width="21" customWidth="1"/>
    <col min="4" max="4" width="9.28515625" customWidth="1"/>
    <col min="5" max="5" width="24.42578125" customWidth="1"/>
    <col min="6" max="6" width="36" customWidth="1"/>
    <col min="7" max="7" width="9.28515625" customWidth="1"/>
    <col min="8" max="8" width="9.28515625" bestFit="1" customWidth="1"/>
    <col min="9" max="9" width="59.7109375" customWidth="1"/>
    <col min="10" max="10" width="26" customWidth="1"/>
    <col min="11" max="11" width="12.42578125" customWidth="1"/>
    <col min="12" max="12" width="9.28515625" customWidth="1"/>
    <col min="13" max="13" width="12.85546875" customWidth="1"/>
    <col min="14" max="14" width="36.140625" customWidth="1"/>
    <col min="15" max="15" width="17" customWidth="1"/>
    <col min="16" max="16" width="11.5703125" customWidth="1"/>
    <col min="17" max="17" width="9.140625" customWidth="1"/>
    <col min="18" max="18" width="11.5703125" customWidth="1"/>
    <col min="19" max="19" width="21.42578125" customWidth="1"/>
    <col min="20" max="22" width="9.140625" customWidth="1"/>
    <col min="23" max="23" width="9.140625" style="7" customWidth="1"/>
    <col min="24" max="24" width="21.42578125" style="7" customWidth="1"/>
    <col min="25" max="25" width="9.140625" style="7" customWidth="1"/>
    <col min="26" max="26" width="11.140625" style="7" customWidth="1"/>
    <col min="27" max="27" width="16.85546875" customWidth="1"/>
    <col min="28" max="28" width="17.140625" customWidth="1"/>
    <col min="29" max="29" width="17.42578125" customWidth="1"/>
    <col min="30" max="30" width="16" customWidth="1"/>
    <col min="31" max="32" width="14.5703125" customWidth="1"/>
    <col min="34" max="36" width="10.5703125" bestFit="1" customWidth="1"/>
    <col min="37" max="37" width="11.140625" bestFit="1" customWidth="1"/>
  </cols>
  <sheetData>
    <row r="1" spans="1:17">
      <c r="A1" s="63" t="s">
        <v>131</v>
      </c>
    </row>
    <row r="2" spans="1:17">
      <c r="B2" s="63" t="s">
        <v>49</v>
      </c>
      <c r="C2" s="23"/>
      <c r="D2" s="23"/>
      <c r="E2" s="23"/>
      <c r="F2" s="23"/>
      <c r="G2" s="23"/>
      <c r="H2" s="23"/>
    </row>
    <row r="3" spans="1:17">
      <c r="B3" s="56" t="s">
        <v>0</v>
      </c>
      <c r="C3" s="56" t="s">
        <v>8</v>
      </c>
      <c r="D3" s="56" t="s">
        <v>176</v>
      </c>
      <c r="E3" s="56" t="s">
        <v>50</v>
      </c>
      <c r="F3" s="56" t="s">
        <v>122</v>
      </c>
      <c r="G3" s="56" t="s">
        <v>22</v>
      </c>
      <c r="H3" s="57" t="s">
        <v>24</v>
      </c>
      <c r="I3" s="2" t="s">
        <v>180</v>
      </c>
      <c r="J3" s="2" t="s">
        <v>181</v>
      </c>
      <c r="K3" s="2" t="s">
        <v>22</v>
      </c>
      <c r="O3" s="63" t="s">
        <v>39</v>
      </c>
    </row>
    <row r="4" spans="1:17">
      <c r="B4" s="290">
        <v>1</v>
      </c>
      <c r="C4" s="291" t="s">
        <v>6</v>
      </c>
      <c r="D4" s="292">
        <f>SUMIFS($W$60:$W$564,$D$60:$D$564,Table!$D$3,$S$60:$S$564,C4)</f>
        <v>0</v>
      </c>
      <c r="E4" s="292">
        <f>SUMIFS($X$60:$X$564,$D$60:$D$564,Table!$D$3,$S$60:$S$564,C4)-SUM(SUMIFS($X$60:$X$564,$D$60:$D$564,Table!$D$3,$S$60:$S$564,C4,$AA$60:$AA$564,{"Ongoing","N\A",""}))</f>
        <v>0</v>
      </c>
      <c r="F4" s="292">
        <f>ROUND(1/8*(SUMIFS($Z$60:$Z$564,$D$60:$D$564,Table!$D$3,$S$60:$S$564,C4)-SUM(SUMIFS($Z$60:$Z$564,$D$60:$D$564,Table!$D$3,$S$60:$S$564,C4,$AA$60:$AA$564,{"Ongoing","N/A",""}))),4)</f>
        <v>0</v>
      </c>
      <c r="G4" s="292" t="str">
        <f>IF(ISERROR(E4/(F4)),"N/A",E4/F4)</f>
        <v>N/A</v>
      </c>
      <c r="H4" s="293" t="str">
        <f>IF(ISERROR(E4/D4),"N/A",E4/D4)</f>
        <v>N/A</v>
      </c>
      <c r="I4" s="294">
        <v>0</v>
      </c>
      <c r="J4" s="294">
        <f t="shared" ref="J4:J17" si="0">E4-I4</f>
        <v>0</v>
      </c>
      <c r="K4" s="292" t="str">
        <f>IF(J4&lt;&gt;0,J4/$P$20,G4)</f>
        <v>N/A</v>
      </c>
      <c r="P4" s="63" t="s">
        <v>41</v>
      </c>
    </row>
    <row r="5" spans="1:17">
      <c r="B5" s="58">
        <v>2</v>
      </c>
      <c r="C5" s="68" t="s">
        <v>61</v>
      </c>
      <c r="D5" s="60">
        <f>SUMIFS($W$60:$W$564,$D$60:$D$564,Table!$D$3,$S$60:$S$564,C5)</f>
        <v>5805</v>
      </c>
      <c r="E5" s="60">
        <f>SUMIFS($X$60:$X$564,$D$60:$D$564,Table!$D$3,$S$60:$S$564,C5)-SUM(SUMIFS($X$60:$X$564,$D$60:$D$564,Table!$D$3,$S$60:$S$564,C5,$AA$60:$AA$564,{"Ongoing","N\A",""}))</f>
        <v>5805</v>
      </c>
      <c r="F5" s="60">
        <f>ROUND(1/8*(SUMIFS($Z$60:$Z$564,$D$60:$D$564,Table!$D$3,$S$60:$S$564,C5)-SUM(SUMIFS($Z$60:$Z$564,$D$60:$D$564,Table!$D$3,$S$60:$S$564,C5,$AA$60:$AA$564,{"Ongoing","N/A",""}))),4)</f>
        <v>0</v>
      </c>
      <c r="G5" s="60" t="str">
        <f t="shared" ref="G5:G12" si="1">IF(ISERROR(E5/(F5)),"N/A",E5/F5)</f>
        <v>N/A</v>
      </c>
      <c r="H5" s="61">
        <f t="shared" ref="H5:H18" si="2">IF(ISERROR(E5/D5),"N/A",E5/D5)</f>
        <v>1</v>
      </c>
      <c r="I5" s="3">
        <v>0</v>
      </c>
      <c r="J5" s="3">
        <f t="shared" si="0"/>
        <v>5805</v>
      </c>
      <c r="K5" s="60">
        <f t="shared" ref="K5:K17" ca="1" si="3">IF(J5&lt;&gt;0,J5/$P$20,G5)</f>
        <v>305.5263157894737</v>
      </c>
      <c r="Q5" s="23" t="s">
        <v>40</v>
      </c>
    </row>
    <row r="6" spans="1:17">
      <c r="B6" s="58">
        <v>3</v>
      </c>
      <c r="C6" s="71" t="s">
        <v>62</v>
      </c>
      <c r="D6" s="60">
        <f>SUMIFS($W$60:$W$564,$D$60:$D$564,Table!$D$3,$S$60:$S$564,C6)</f>
        <v>247.5</v>
      </c>
      <c r="E6" s="60">
        <f>SUMIFS($X$60:$X$564,$D$60:$D$564,Table!$D$3,$S$60:$S$564,C6)-SUM(SUMIFS($X$60:$X$564,$D$60:$D$564,Table!$D$3,$S$60:$S$564,C6,$AA$60:$AA$564,{"Ongoing","N\A",""}))</f>
        <v>247.5</v>
      </c>
      <c r="F6" s="60">
        <f>ROUND(1/8*(SUMIFS($Z$60:$Z$564,$D$60:$D$564,Table!$D$3,$S$60:$S$564,C6)-SUM(SUMIFS($Z$60:$Z$564,$D$60:$D$564,Table!$D$3,$S$60:$S$564,C6,$AA$60:$AA$564,{"Ongoing","N/A",""}))),4)</f>
        <v>0</v>
      </c>
      <c r="G6" s="60" t="str">
        <f t="shared" si="1"/>
        <v>N/A</v>
      </c>
      <c r="H6" s="61">
        <f t="shared" si="2"/>
        <v>1</v>
      </c>
      <c r="I6" s="3">
        <v>0</v>
      </c>
      <c r="J6" s="3">
        <f t="shared" si="0"/>
        <v>247.5</v>
      </c>
      <c r="K6" s="60">
        <f t="shared" ca="1" si="3"/>
        <v>13.026315789473685</v>
      </c>
      <c r="Q6" s="23" t="s">
        <v>90</v>
      </c>
    </row>
    <row r="7" spans="1:17">
      <c r="B7" s="58">
        <v>4</v>
      </c>
      <c r="C7" s="68" t="s">
        <v>63</v>
      </c>
      <c r="D7" s="60">
        <f>SUMIFS($W$60:$W$564,$D$60:$D$564,Table!$D$3,$S$60:$S$564,C7)</f>
        <v>2893.5</v>
      </c>
      <c r="E7" s="60">
        <f>SUMIFS($X$60:$X$564,$D$60:$D$564,Table!$D$3,$S$60:$S$564,C7)-SUM(SUMIFS($X$60:$X$564,$D$60:$D$564,Table!$D$3,$S$60:$S$564,C7,$AA$60:$AA$564,{"Ongoing","N\A",""}))</f>
        <v>2893.5</v>
      </c>
      <c r="F7" s="60">
        <f>ROUND(1/8*(SUMIFS($Z$60:$Z$564,$D$60:$D$564,Table!$D$3,$S$60:$S$564,C7)-SUM(SUMIFS($Z$60:$Z$564,$D$60:$D$564,Table!$D$3,$S$60:$S$564,C7,$AA$60:$AA$564,{"Ongoing","N/A",""}))),4)</f>
        <v>6.18</v>
      </c>
      <c r="G7" s="60">
        <f t="shared" si="1"/>
        <v>468.20388349514565</v>
      </c>
      <c r="H7" s="61">
        <f t="shared" si="2"/>
        <v>1</v>
      </c>
      <c r="I7" s="3">
        <v>0</v>
      </c>
      <c r="J7" s="3">
        <f t="shared" si="0"/>
        <v>2893.5</v>
      </c>
      <c r="K7" s="60">
        <f t="shared" ca="1" si="3"/>
        <v>152.28947368421052</v>
      </c>
      <c r="P7" s="63"/>
    </row>
    <row r="8" spans="1:17">
      <c r="B8" s="58">
        <v>5</v>
      </c>
      <c r="C8" s="68" t="s">
        <v>179</v>
      </c>
      <c r="D8" s="60">
        <f>SUMIFS($W$60:$W$564,$D$60:$D$564,Table!$D$3,$S$60:$S$564,C8)</f>
        <v>0</v>
      </c>
      <c r="E8" s="60">
        <f>SUMIFS($X$60:$X$564,$D$60:$D$564,Table!$D$3,$S$60:$S$564,C8)-SUM(SUMIFS($X$60:$X$564,$D$60:$D$564,Table!$D$3,$S$60:$S$564,C8,$AA$60:$AA$564,{"Ongoing","N\A",""}))</f>
        <v>0</v>
      </c>
      <c r="F8" s="60">
        <f>ROUND(1/8*(SUMIFS($Z$60:$Z$564,$D$60:$D$564,Table!$D$3,$S$60:$S$564,C8)-SUM(SUMIFS($Z$60:$Z$564,$D$60:$D$564,Table!$D$3,$S$60:$S$564,C8,$AA$60:$AA$564,{"Ongoing","N/A",""}))),4)</f>
        <v>0</v>
      </c>
      <c r="G8" s="60" t="str">
        <f t="shared" si="1"/>
        <v>N/A</v>
      </c>
      <c r="H8" s="61" t="str">
        <f t="shared" si="2"/>
        <v>N/A</v>
      </c>
      <c r="I8" s="3">
        <v>0</v>
      </c>
      <c r="J8" s="3">
        <f t="shared" si="0"/>
        <v>0</v>
      </c>
      <c r="K8" s="60" t="str">
        <f t="shared" si="3"/>
        <v>N/A</v>
      </c>
      <c r="Q8" s="23"/>
    </row>
    <row r="9" spans="1:17">
      <c r="B9" s="58">
        <v>6</v>
      </c>
      <c r="C9" s="59" t="s">
        <v>64</v>
      </c>
      <c r="D9" s="60">
        <f>SUMIFS($W$60:$W$564,$D$60:$D$564,Table!$D$3,$S$60:$S$564,C9)</f>
        <v>0</v>
      </c>
      <c r="E9" s="60">
        <f>SUMIFS($X$60:$X$564,$D$60:$D$564,Table!$D$3,$S$60:$S$564,C9)-SUM(SUMIFS($X$60:$X$564,$D$60:$D$564,Table!$D$3,$S$60:$S$564,C9,$AA$60:$AA$564,{"Ongoing","N\A",""}))</f>
        <v>0</v>
      </c>
      <c r="F9" s="60">
        <f>ROUND(1/8*(SUMIFS($Z$60:$Z$564,$D$60:$D$564,Table!$D$3,$S$60:$S$564,C9)-SUM(SUMIFS($Z$60:$Z$564,$D$60:$D$564,Table!$D$3,$S$60:$S$564,C9,$AA$60:$AA$564,{"Ongoing","N/A",""}))),4)</f>
        <v>0</v>
      </c>
      <c r="G9" s="60" t="str">
        <f t="shared" si="1"/>
        <v>N/A</v>
      </c>
      <c r="H9" s="61" t="str">
        <f t="shared" si="2"/>
        <v>N/A</v>
      </c>
      <c r="I9" s="3">
        <v>0</v>
      </c>
      <c r="J9" s="3">
        <f t="shared" si="0"/>
        <v>0</v>
      </c>
      <c r="K9" s="60" t="str">
        <f t="shared" si="3"/>
        <v>N/A</v>
      </c>
      <c r="Q9" s="23"/>
    </row>
    <row r="10" spans="1:17">
      <c r="B10" s="58">
        <v>7</v>
      </c>
      <c r="C10" s="59" t="s">
        <v>65</v>
      </c>
      <c r="D10" s="60">
        <f>SUMIFS($W$60:$W$564,$D$60:$D$564,Table!$D$3,$S$60:$S$564,C10)</f>
        <v>0</v>
      </c>
      <c r="E10" s="60">
        <f>SUMIFS($X$60:$X$564,$D$60:$D$564,Table!$D$3,$S$60:$S$564,C10)-SUM(SUMIFS($X$60:$X$564,$D$60:$D$564,Table!$D$3,$S$60:$S$564,C10,$AA$60:$AA$564,{"Ongoing","N\A",""}))</f>
        <v>0</v>
      </c>
      <c r="F10" s="60">
        <f>ROUND(1/8*(SUMIFS($Z$60:$Z$564,$D$60:$D$564,Table!$D$3,$S$60:$S$564,C10)-SUM(SUMIFS($Z$60:$Z$564,$D$60:$D$564,Table!$D$3,$S$60:$S$564,C10,$AA$60:$AA$564,{"Ongoing","N/A",""}))),4)</f>
        <v>0</v>
      </c>
      <c r="G10" s="60" t="str">
        <f t="shared" si="1"/>
        <v>N/A</v>
      </c>
      <c r="H10" s="61" t="str">
        <f t="shared" si="2"/>
        <v>N/A</v>
      </c>
      <c r="I10" s="3">
        <v>0</v>
      </c>
      <c r="J10" s="3">
        <f t="shared" si="0"/>
        <v>0</v>
      </c>
      <c r="K10" s="60" t="str">
        <f t="shared" si="3"/>
        <v>N/A</v>
      </c>
    </row>
    <row r="11" spans="1:17">
      <c r="B11" s="58">
        <v>8</v>
      </c>
      <c r="C11" s="68" t="s">
        <v>66</v>
      </c>
      <c r="D11" s="60">
        <f>SUMIFS($W$60:$W$564,$D$60:$D$564,Table!$D$3,$S$60:$S$564,C11)</f>
        <v>2749.5</v>
      </c>
      <c r="E11" s="60">
        <f>SUMIFS($X$60:$X$564,$D$60:$D$564,Table!$D$3,$S$60:$S$564,C11)-SUM(SUMIFS($X$60:$X$564,$D$60:$D$564,Table!$D$3,$S$60:$S$564,C11,$AA$60:$AA$564,{"Ongoing","N\A",""}))</f>
        <v>2277</v>
      </c>
      <c r="F11" s="60">
        <f>ROUND(1/8*(SUMIFS($Z$60:$Z$564,$D$60:$D$564,Table!$D$3,$S$60:$S$564,C11)-SUM(SUMIFS($Z$60:$Z$564,$D$60:$D$564,Table!$D$3,$S$60:$S$564,C11,$AA$60:$AA$564,{"Ongoing","N/A",""}))),4)</f>
        <v>5.0599999999999996</v>
      </c>
      <c r="G11" s="60">
        <f t="shared" si="1"/>
        <v>450.00000000000006</v>
      </c>
      <c r="H11" s="61">
        <f t="shared" si="2"/>
        <v>0.8281505728314239</v>
      </c>
      <c r="I11" s="3">
        <v>0</v>
      </c>
      <c r="J11" s="3">
        <f t="shared" si="0"/>
        <v>2277</v>
      </c>
      <c r="K11" s="60">
        <f t="shared" ca="1" si="3"/>
        <v>119.84210526315789</v>
      </c>
    </row>
    <row r="12" spans="1:17">
      <c r="B12" s="58">
        <v>9</v>
      </c>
      <c r="C12" s="68" t="s">
        <v>132</v>
      </c>
      <c r="D12" s="60">
        <f>SUMIFS($W$60:$W$564,$D$60:$D$564,Table!$D$3,$S$60:$S$564,C12)</f>
        <v>2542.5</v>
      </c>
      <c r="E12" s="60">
        <f>SUMIFS($X$60:$X$564,$D$60:$D$564,Table!$D$3,$S$60:$S$564,C12)-SUM(SUMIFS($X$60:$X$564,$D$60:$D$564,Table!$D$3,$S$60:$S$564,C12,$AA$60:$AA$564,{"Ongoing","N\A",""}))</f>
        <v>2020.5</v>
      </c>
      <c r="F12" s="60">
        <f>ROUND(1/8*(SUMIFS($Z$60:$Z$564,$D$60:$D$564,Table!$D$3,$S$60:$S$564,C12)-SUM(SUMIFS($Z$60:$Z$564,$D$60:$D$564,Table!$D$3,$S$60:$S$564,C12,$AA$60:$AA$564,{"Ongoing","N/A",""}))),4)</f>
        <v>4.49</v>
      </c>
      <c r="G12" s="60">
        <f t="shared" si="1"/>
        <v>450</v>
      </c>
      <c r="H12" s="61">
        <f t="shared" si="2"/>
        <v>0.79469026548672561</v>
      </c>
      <c r="I12" s="3">
        <v>0</v>
      </c>
      <c r="J12" s="3">
        <f t="shared" si="0"/>
        <v>2020.5</v>
      </c>
      <c r="K12" s="60">
        <f t="shared" ca="1" si="3"/>
        <v>106.34210526315789</v>
      </c>
    </row>
    <row r="13" spans="1:17">
      <c r="B13" s="58">
        <v>10</v>
      </c>
      <c r="C13" s="68" t="s">
        <v>133</v>
      </c>
      <c r="D13" s="60">
        <f>SUMIFS($W$60:$W$564,$D$60:$D$564,Table!$D$3,$S$60:$S$564,C13)</f>
        <v>2605.5</v>
      </c>
      <c r="E13" s="60">
        <f>SUMIFS($X$60:$X$564,$D$60:$D$564,Table!$D$3,$S$60:$S$564,C13)-SUM(SUMIFS($X$60:$X$564,$D$60:$D$564,Table!$D$3,$S$60:$S$564,C13,$AA$60:$AA$564,{"Ongoing","N\A",""}))</f>
        <v>2268</v>
      </c>
      <c r="F13" s="60">
        <f>ROUND(1/8*(SUMIFS($Z$60:$Z$564,$D$60:$D$564,Table!$D$3,$S$60:$S$564,C13)-SUM(SUMIFS($Z$60:$Z$564,$D$60:$D$564,Table!$D$3,$S$60:$S$564,C13,$AA$60:$AA$564,{"Ongoing","N/A",""}))),4)</f>
        <v>2.625</v>
      </c>
      <c r="G13" s="60">
        <f t="shared" ref="G13:G17" si="4">IF(ISERROR(E13/(F13)),"N/A",E13/F13)</f>
        <v>864</v>
      </c>
      <c r="H13" s="61">
        <f t="shared" ref="H13:H17" si="5">IF(ISERROR(E13/D13),"N/A",E13/D13)</f>
        <v>0.8704663212435233</v>
      </c>
      <c r="I13" s="3">
        <v>0</v>
      </c>
      <c r="J13" s="3">
        <f t="shared" si="0"/>
        <v>2268</v>
      </c>
      <c r="K13" s="60">
        <f t="shared" ca="1" si="3"/>
        <v>119.36842105263158</v>
      </c>
    </row>
    <row r="14" spans="1:17">
      <c r="B14" s="58">
        <v>11</v>
      </c>
      <c r="C14" s="71" t="s">
        <v>174</v>
      </c>
      <c r="D14" s="60">
        <f>SUMIFS($W$60:$W$564,$D$60:$D$564,Table!$D$3,$S$60:$S$564,C14)</f>
        <v>2259</v>
      </c>
      <c r="E14" s="60">
        <f>SUMIFS($X$60:$X$564,$D$60:$D$564,Table!$D$3,$S$60:$S$564,C14)-SUM(SUMIFS($X$60:$X$564,$D$60:$D$564,Table!$D$3,$S$60:$S$564,C14,$AA$60:$AA$564,{"Ongoing","N\A",""}))</f>
        <v>2259</v>
      </c>
      <c r="F14" s="60">
        <f>ROUND(1/8*(SUMIFS($Z$60:$Z$564,$D$60:$D$564,Table!$D$3,$S$60:$S$564,C14)-SUM(SUMIFS($Z$60:$Z$564,$D$60:$D$564,Table!$D$3,$S$60:$S$564,C14,$AA$60:$AA$564,{"Ongoing","N/A",""}))),4)</f>
        <v>5.0199999999999996</v>
      </c>
      <c r="G14" s="60">
        <f t="shared" si="4"/>
        <v>450.00000000000006</v>
      </c>
      <c r="H14" s="61">
        <f t="shared" si="5"/>
        <v>1</v>
      </c>
      <c r="I14" s="3">
        <v>0</v>
      </c>
      <c r="J14" s="3">
        <f t="shared" si="0"/>
        <v>2259</v>
      </c>
      <c r="K14" s="60">
        <f t="shared" ca="1" si="3"/>
        <v>118.89473684210526</v>
      </c>
    </row>
    <row r="15" spans="1:17">
      <c r="B15" s="58">
        <v>12</v>
      </c>
      <c r="C15" s="71" t="s">
        <v>167</v>
      </c>
      <c r="D15" s="60">
        <f>SUMIFS($W$60:$W$564,$D$60:$D$564,Table!$D$3,$S$60:$S$564,C15)</f>
        <v>0</v>
      </c>
      <c r="E15" s="60">
        <f>SUMIFS($X$60:$X$564,$D$60:$D$564,Table!$D$3,$S$60:$S$564,C15)-SUM(SUMIFS($X$60:$X$564,$D$60:$D$564,Table!$D$3,$S$60:$S$564,C15,$AA$60:$AA$564,{"Ongoing","N\A",""}))</f>
        <v>0</v>
      </c>
      <c r="F15" s="60">
        <f>ROUND(1/8*(SUMIFS($Z$60:$Z$564,$D$60:$D$564,Table!$D$3,$S$60:$S$564,C15)-SUM(SUMIFS($Z$60:$Z$564,$D$60:$D$564,Table!$D$3,$S$60:$S$564,C15,$AA$60:$AA$564,{"Ongoing","N/A",""}))),4)</f>
        <v>0</v>
      </c>
      <c r="G15" s="60" t="str">
        <f t="shared" si="4"/>
        <v>N/A</v>
      </c>
      <c r="H15" s="61" t="str">
        <f t="shared" si="5"/>
        <v>N/A</v>
      </c>
      <c r="I15" s="3">
        <v>0</v>
      </c>
      <c r="J15" s="3">
        <f t="shared" si="0"/>
        <v>0</v>
      </c>
      <c r="K15" s="60" t="str">
        <f t="shared" si="3"/>
        <v>N/A</v>
      </c>
    </row>
    <row r="16" spans="1:17">
      <c r="B16" s="58">
        <v>13</v>
      </c>
      <c r="C16" s="71" t="s">
        <v>168</v>
      </c>
      <c r="D16" s="60">
        <f>SUMIFS($W$60:$W$564,$D$60:$D$564,Table!$D$3,$S$60:$S$564,C16)</f>
        <v>0</v>
      </c>
      <c r="E16" s="60">
        <f>SUMIFS($X$60:$X$564,$D$60:$D$564,Table!$D$3,$S$60:$S$564,C16)-SUM(SUMIFS($X$60:$X$564,$D$60:$D$564,Table!$D$3,$S$60:$S$564,C16,$AA$60:$AA$564,{"Ongoing","N\A",""}))</f>
        <v>0</v>
      </c>
      <c r="F16" s="60">
        <f>ROUND(1/8*(SUMIFS($Z$60:$Z$564,$D$60:$D$564,Table!$D$3,$S$60:$S$564,C16)-SUM(SUMIFS($Z$60:$Z$564,$D$60:$D$564,Table!$D$3,$S$60:$S$564,C16,$AA$60:$AA$564,{"Ongoing","N/A",""}))),4)</f>
        <v>0</v>
      </c>
      <c r="G16" s="60" t="str">
        <f t="shared" si="4"/>
        <v>N/A</v>
      </c>
      <c r="H16" s="61" t="str">
        <f t="shared" si="5"/>
        <v>N/A</v>
      </c>
      <c r="I16" s="3">
        <v>0</v>
      </c>
      <c r="J16" s="3">
        <f t="shared" si="0"/>
        <v>0</v>
      </c>
      <c r="K16" s="60" t="str">
        <f t="shared" si="3"/>
        <v>N/A</v>
      </c>
    </row>
    <row r="17" spans="2:24">
      <c r="B17" s="58">
        <v>14</v>
      </c>
      <c r="C17" s="71" t="s">
        <v>169</v>
      </c>
      <c r="D17" s="60">
        <f>SUMIFS($W$60:$W$564,$D$60:$D$564,Table!$D$3,$S$60:$S$564,C17)</f>
        <v>0</v>
      </c>
      <c r="E17" s="60">
        <f>SUMIFS($X$60:$X$564,$D$60:$D$564,Table!$D$3,$S$60:$S$564,C17)-SUM(SUMIFS($X$60:$X$564,$D$60:$D$564,Table!$D$3,$S$60:$S$564,C17,$AA$60:$AA$564,{"Ongoing","N\A",""}))</f>
        <v>0</v>
      </c>
      <c r="F17" s="60">
        <f>ROUND(1/8*(SUMIFS($Z$60:$Z$564,$D$60:$D$564,Table!$D$3,$S$60:$S$564,C17)-SUM(SUMIFS($Z$60:$Z$564,$D$60:$D$564,Table!$D$3,$S$60:$S$564,C17,$AA$60:$AA$564,{"Ongoing","N/A",""}))),4)</f>
        <v>0</v>
      </c>
      <c r="G17" s="60" t="str">
        <f t="shared" si="4"/>
        <v>N/A</v>
      </c>
      <c r="H17" s="61" t="str">
        <f t="shared" si="5"/>
        <v>N/A</v>
      </c>
      <c r="I17" s="3">
        <v>0</v>
      </c>
      <c r="J17" s="3">
        <f t="shared" si="0"/>
        <v>0</v>
      </c>
      <c r="K17" s="60" t="str">
        <f t="shared" si="3"/>
        <v>N/A</v>
      </c>
      <c r="O17" s="63" t="s">
        <v>38</v>
      </c>
      <c r="P17" s="65">
        <f>Template_Total_Report!$L$23</f>
        <v>44059</v>
      </c>
      <c r="R17" s="65">
        <f ca="1">Template_Total_Report!$N$23</f>
        <v>44085</v>
      </c>
    </row>
    <row r="18" spans="2:24">
      <c r="B18" s="56" t="s">
        <v>99</v>
      </c>
      <c r="C18" s="62"/>
      <c r="D18" s="64">
        <f>SUMIFS($W$60:$W$564,$D$60:$D$564,Table!$D$3)</f>
        <v>19102.5</v>
      </c>
      <c r="E18" s="64">
        <f>ROUND(SUMIFS($W$60:$W$564,$D$60:$D$564,Table!$D$3)-SUM(SUMIFS($W$60:$W$564,$D$60:$D$564,Table!$D$3,$AA$60:$AA$564,{"Ongoing","N/A",""})),3)</f>
        <v>17770.5</v>
      </c>
      <c r="F18" s="64">
        <f>ROUND(1/8*(SUMIFS($Z$60:$Z$564,$D$60:$D$564,Table!$D$3)-SUM(SUMIFS($Z$60:$Z$564,$D$60:$D$564,Table!$D$3,$AA$60:$AA$564,{"Ongoing","N/A",""}))),4)</f>
        <v>23.375</v>
      </c>
      <c r="G18" s="60">
        <f>IF(ISERROR(E18/(F18)),"N/A",E18/F18)</f>
        <v>760.23529411764707</v>
      </c>
      <c r="H18" s="61">
        <f t="shared" si="2"/>
        <v>0.93027090694935222</v>
      </c>
      <c r="I18" s="3">
        <f>SUM(I4:I17)</f>
        <v>0</v>
      </c>
      <c r="J18" s="3">
        <f>SUM(J4:J17)</f>
        <v>17770.5</v>
      </c>
      <c r="K18" s="60">
        <f ca="1">IFERROR(AVERAGE(K4:K17),"NA")</f>
        <v>133.61278195488723</v>
      </c>
      <c r="O18" s="63" t="s">
        <v>30</v>
      </c>
      <c r="P18" s="66">
        <f ca="1">Template_Total_Report!B24</f>
        <v>20</v>
      </c>
    </row>
    <row r="19" spans="2:24">
      <c r="O19" s="63" t="s">
        <v>127</v>
      </c>
      <c r="P19" s="66">
        <f>Template_Total_Report!B25</f>
        <v>1</v>
      </c>
      <c r="Q19" s="67"/>
    </row>
    <row r="20" spans="2:24">
      <c r="O20" s="63" t="s">
        <v>101</v>
      </c>
      <c r="P20" s="23">
        <f ca="1">Template_Total_Report!B26</f>
        <v>19</v>
      </c>
    </row>
    <row r="21" spans="2:24">
      <c r="B21" s="63" t="s">
        <v>48</v>
      </c>
    </row>
    <row r="22" spans="2:24">
      <c r="B22" s="56" t="s">
        <v>0</v>
      </c>
      <c r="C22" s="56" t="s">
        <v>8</v>
      </c>
      <c r="D22" s="56" t="s">
        <v>176</v>
      </c>
      <c r="E22" s="56" t="s">
        <v>50</v>
      </c>
      <c r="F22" s="56" t="s">
        <v>122</v>
      </c>
      <c r="G22" s="56" t="s">
        <v>22</v>
      </c>
      <c r="H22" s="57" t="s">
        <v>24</v>
      </c>
      <c r="I22" s="2" t="s">
        <v>180</v>
      </c>
      <c r="J22" s="2" t="s">
        <v>181</v>
      </c>
      <c r="K22" s="219" t="s">
        <v>470</v>
      </c>
      <c r="X22" s="189"/>
    </row>
    <row r="23" spans="2:24">
      <c r="B23" s="290">
        <v>1</v>
      </c>
      <c r="C23" s="291" t="s">
        <v>6</v>
      </c>
      <c r="D23" s="292">
        <f>SUMIFS($W$60:$W$564,$D$60:$D$564,Table!$C$3,$S$60:$S$564,C23)</f>
        <v>0</v>
      </c>
      <c r="E23" s="292">
        <f>SUMIFS($X$60:$X$564,$D$60:$D$564,Table!$C$3,$S$60:$S$564,C23)-SUM(SUMIFS($X$60:$X$564,$D$60:$D$564,Table!$C$3,$S$60:$S$564,C23,$AA$60:$AA$564,{"Ongoing","N/A",""}))</f>
        <v>0</v>
      </c>
      <c r="F23" s="292">
        <f>ROUND(1/8*(SUMIFS($Z$60:$Z$564,$D$60:$D$564,Table!$C$3,$S$60:$S$564,C23)-SUM(SUMIFS($Z$60:$Z$564,$D$60:$D$564,Table!$C$3,$S$60:$S$564,C23,$AA$60:$AA$564,{"Ongoing","N/A",""}))),4)</f>
        <v>0</v>
      </c>
      <c r="G23" s="292" t="str">
        <f>IF(ISERROR(E23/(F23)),"N/A",E23/F23)</f>
        <v>N/A</v>
      </c>
      <c r="H23" s="293" t="str">
        <f>IF(ISERROR(E23/D23),"N/A",E23/D23)</f>
        <v>N/A</v>
      </c>
      <c r="I23" s="294">
        <v>0</v>
      </c>
      <c r="J23" s="294">
        <f t="shared" ref="J23:J36" si="6">E23-I23</f>
        <v>0</v>
      </c>
      <c r="K23" s="292" t="str">
        <f>IF(J23&lt;&gt;0,J23/$P$20,G23)</f>
        <v>N/A</v>
      </c>
    </row>
    <row r="24" spans="2:24">
      <c r="B24" s="58">
        <v>2</v>
      </c>
      <c r="C24" s="68" t="s">
        <v>61</v>
      </c>
      <c r="D24" s="60">
        <f>SUMIFS($W$60:$W$564,$D$60:$D$564,Table!$C$3,$S$60:$S$564,C24)</f>
        <v>1622.0749999999998</v>
      </c>
      <c r="E24" s="60">
        <f>SUMIFS($X$60:$X$564,$D$60:$D$564,Table!$C$3,$S$60:$S$564,C24)-SUM(SUMIFS($X$60:$X$564,$D$60:$D$564,Table!$C$3,$S$60:$S$564,C24,$AA$60:$AA$564,{"Ongoing","N/A",""}))</f>
        <v>1514.1749999999997</v>
      </c>
      <c r="F24" s="60">
        <f>ROUND(1/8*(SUMIFS($Z$60:$Z$564,$D$60:$D$564,Table!$C$3,$S$60:$S$564,C24)-SUM(SUMIFS($Z$60:$Z$564,$D$60:$D$564,Table!$C$3,$S$60:$S$564,C24,$AA$60:$AA$564,{"Ongoing","N/A",""}))),4)</f>
        <v>0</v>
      </c>
      <c r="G24" s="60" t="str">
        <f t="shared" ref="G24:G37" si="7">IF(ISERROR(E24/(F24)),"N/A",E24/F24)</f>
        <v>N/A</v>
      </c>
      <c r="H24" s="61">
        <f t="shared" ref="H24:H37" si="8">IF(ISERROR(E24/D24),"N/A",E24/D24)</f>
        <v>0.93348026447605681</v>
      </c>
      <c r="I24" s="3">
        <v>0</v>
      </c>
      <c r="J24" s="3">
        <f t="shared" si="6"/>
        <v>1514.1749999999997</v>
      </c>
      <c r="K24" s="60">
        <f t="shared" ref="K24:K36" ca="1" si="9">IF(J24&lt;&gt;0,J24/$P$20,G24)</f>
        <v>79.693421052631564</v>
      </c>
    </row>
    <row r="25" spans="2:24">
      <c r="B25" s="58">
        <v>3</v>
      </c>
      <c r="C25" s="71" t="s">
        <v>62</v>
      </c>
      <c r="D25" s="60">
        <f>SUMIFS($W$60:$W$564,$D$60:$D$564,Table!$C$3,$S$60:$S$564,C25)</f>
        <v>1645.8000000000002</v>
      </c>
      <c r="E25" s="60">
        <f>SUMIFS($X$60:$X$564,$D$60:$D$564,Table!$C$3,$S$60:$S$564,C25)-SUM(SUMIFS($X$60:$X$564,$D$60:$D$564,Table!$C$3,$S$60:$S$564,C25,$AA$60:$AA$564,{"Ongoing","N/A",""}))</f>
        <v>1645.8000000000002</v>
      </c>
      <c r="F25" s="60">
        <f>ROUND(1/8*(SUMIFS($Z$60:$Z$564,$D$60:$D$564,Table!$C$3,$S$60:$S$564,C25)-SUM(SUMIFS($Z$60:$Z$564,$D$60:$D$564,Table!$C$3,$S$60:$S$564,C25,$AA$60:$AA$564,{"Ongoing","N/A",""}))),4)</f>
        <v>0</v>
      </c>
      <c r="G25" s="60" t="str">
        <f t="shared" si="7"/>
        <v>N/A</v>
      </c>
      <c r="H25" s="61">
        <f t="shared" si="8"/>
        <v>1</v>
      </c>
      <c r="I25" s="3">
        <v>0</v>
      </c>
      <c r="J25" s="3">
        <f t="shared" si="6"/>
        <v>1645.8000000000002</v>
      </c>
      <c r="K25" s="60">
        <f t="shared" ca="1" si="9"/>
        <v>86.621052631578962</v>
      </c>
    </row>
    <row r="26" spans="2:24">
      <c r="B26" s="58">
        <v>4</v>
      </c>
      <c r="C26" s="68" t="s">
        <v>63</v>
      </c>
      <c r="D26" s="60">
        <f>SUMIFS($W$60:$W$564,$D$60:$D$564,Table!$C$3,$S$60:$S$564,C26)</f>
        <v>2420.5999999999995</v>
      </c>
      <c r="E26" s="60">
        <f>SUMIFS($X$60:$X$564,$D$60:$D$564,Table!$C$3,$S$60:$S$564,C26)-SUM(SUMIFS($X$60:$X$564,$D$60:$D$564,Table!$C$3,$S$60:$S$564,C26,$AA$60:$AA$564,{"Ongoing","N/A",""}))</f>
        <v>2260.6999999999998</v>
      </c>
      <c r="F26" s="60">
        <f>ROUND(1/8*(SUMIFS($Z$60:$Z$564,$D$60:$D$564,Table!$C$3,$S$60:$S$564,C26)-SUM(SUMIFS($Z$60:$Z$564,$D$60:$D$564,Table!$C$3,$S$60:$S$564,C26,$AA$60:$AA$564,{"Ongoing","N/A",""}))),4)</f>
        <v>18.989999999999998</v>
      </c>
      <c r="G26" s="60">
        <f t="shared" si="7"/>
        <v>119.04686677198525</v>
      </c>
      <c r="H26" s="61">
        <f t="shared" si="8"/>
        <v>0.93394199785177245</v>
      </c>
      <c r="I26" s="3">
        <v>0</v>
      </c>
      <c r="J26" s="3">
        <f t="shared" si="6"/>
        <v>2260.6999999999998</v>
      </c>
      <c r="K26" s="60">
        <f t="shared" ca="1" si="9"/>
        <v>118.98421052631578</v>
      </c>
    </row>
    <row r="27" spans="2:24">
      <c r="B27" s="58">
        <v>5</v>
      </c>
      <c r="C27" s="68" t="s">
        <v>179</v>
      </c>
      <c r="D27" s="60">
        <f>SUMIFS($W$60:$W$564,$D$60:$D$564,Table!$C$3,$S$60:$S$564,C27)</f>
        <v>0</v>
      </c>
      <c r="E27" s="60">
        <f>SUMIFS($X$60:$X$564,$D$60:$D$564,Table!$C$3,$S$60:$S$564,C27)-SUM(SUMIFS($X$60:$X$564,$D$60:$D$564,Table!$C$3,$S$60:$S$564,C27,$AA$60:$AA$564,{"Ongoing","N/A",""}))</f>
        <v>0</v>
      </c>
      <c r="F27" s="60">
        <f>ROUND(1/8*(SUMIFS($Z$60:$Z$564,$D$60:$D$564,Table!$C$3,$S$60:$S$564,C27)-SUM(SUMIFS($Z$60:$Z$564,$D$60:$D$564,Table!$C$3,$S$60:$S$564,C27,$AA$60:$AA$564,{"Ongoing","N/A",""}))),4)</f>
        <v>0</v>
      </c>
      <c r="G27" s="60" t="str">
        <f t="shared" si="7"/>
        <v>N/A</v>
      </c>
      <c r="H27" s="61" t="str">
        <f t="shared" si="8"/>
        <v>N/A</v>
      </c>
      <c r="I27" s="3">
        <v>0</v>
      </c>
      <c r="J27" s="3">
        <f t="shared" si="6"/>
        <v>0</v>
      </c>
      <c r="K27" s="60" t="str">
        <f t="shared" si="9"/>
        <v>N/A</v>
      </c>
    </row>
    <row r="28" spans="2:24">
      <c r="B28" s="58">
        <v>6</v>
      </c>
      <c r="C28" s="59" t="s">
        <v>64</v>
      </c>
      <c r="D28" s="60">
        <f>SUMIFS($W$60:$W$564,$D$60:$D$564,Table!$C$3,$S$60:$S$564,C28)</f>
        <v>0</v>
      </c>
      <c r="E28" s="60">
        <f>SUMIFS($X$60:$X$564,$D$60:$D$564,Table!$C$3,$S$60:$S$564,C28)-SUM(SUMIFS($X$60:$X$564,$D$60:$D$564,Table!$C$3,$S$60:$S$564,C28,$AA$60:$AA$564,{"Ongoing","N/A",""}))</f>
        <v>0</v>
      </c>
      <c r="F28" s="60">
        <f>ROUND(1/8*(SUMIFS($Z$60:$Z$564,$D$60:$D$564,Table!$C$3,$S$60:$S$564,C28)-SUM(SUMIFS($Z$60:$Z$564,$D$60:$D$564,Table!$C$3,$S$60:$S$564,C28,$AA$60:$AA$564,{"Ongoing","N/A",""}))),4)</f>
        <v>0</v>
      </c>
      <c r="G28" s="60" t="str">
        <f t="shared" si="7"/>
        <v>N/A</v>
      </c>
      <c r="H28" s="61" t="str">
        <f t="shared" si="8"/>
        <v>N/A</v>
      </c>
      <c r="I28" s="3">
        <v>0</v>
      </c>
      <c r="J28" s="3">
        <f t="shared" si="6"/>
        <v>0</v>
      </c>
      <c r="K28" s="60" t="str">
        <f t="shared" si="9"/>
        <v>N/A</v>
      </c>
    </row>
    <row r="29" spans="2:24">
      <c r="B29" s="58">
        <v>7</v>
      </c>
      <c r="C29" s="59" t="s">
        <v>65</v>
      </c>
      <c r="D29" s="60">
        <f>SUMIFS($W$60:$W$564,$D$60:$D$564,Table!$C$3,$S$60:$S$564,C29)</f>
        <v>0</v>
      </c>
      <c r="E29" s="60">
        <f>SUMIFS($X$60:$X$564,$D$60:$D$564,Table!$C$3,$S$60:$S$564,C29)-SUM(SUMIFS($X$60:$X$564,$D$60:$D$564,Table!$C$3,$S$60:$S$564,C29,$AA$60:$AA$564,{"Ongoing","N/A",""}))</f>
        <v>0</v>
      </c>
      <c r="F29" s="60">
        <f>ROUND(1/8*(SUMIFS($Z$60:$Z$564,$D$60:$D$564,Table!$C$3,$S$60:$S$564,C29)-SUM(SUMIFS($Z$60:$Z$564,$D$60:$D$564,Table!$C$3,$S$60:$S$564,C29,$AA$60:$AA$564,{"Ongoing","N/A",""}))),4)</f>
        <v>0</v>
      </c>
      <c r="G29" s="60" t="str">
        <f t="shared" si="7"/>
        <v>N/A</v>
      </c>
      <c r="H29" s="61" t="str">
        <f t="shared" si="8"/>
        <v>N/A</v>
      </c>
      <c r="I29" s="3">
        <v>0</v>
      </c>
      <c r="J29" s="3">
        <f t="shared" si="6"/>
        <v>0</v>
      </c>
      <c r="K29" s="60" t="str">
        <f t="shared" si="9"/>
        <v>N/A</v>
      </c>
    </row>
    <row r="30" spans="2:24">
      <c r="B30" s="58">
        <v>8</v>
      </c>
      <c r="C30" s="68" t="s">
        <v>66</v>
      </c>
      <c r="D30" s="60">
        <f>SUMIFS($W$60:$W$564,$D$60:$D$564,Table!$C$3,$S$60:$S$564,C30)</f>
        <v>2258.1000000000004</v>
      </c>
      <c r="E30" s="60">
        <f>SUMIFS($X$60:$X$564,$D$60:$D$564,Table!$C$3,$S$60:$S$564,C30)-SUM(SUMIFS($X$60:$X$564,$D$60:$D$564,Table!$C$3,$S$60:$S$564,C30,$AA$60:$AA$564,{"Ongoing","N/A",""}))</f>
        <v>2077.4000000000005</v>
      </c>
      <c r="F30" s="60">
        <f>ROUND(1/8*(SUMIFS($Z$60:$Z$564,$D$60:$D$564,Table!$C$3,$S$60:$S$564,C30)-SUM(SUMIFS($Z$60:$Z$564,$D$60:$D$564,Table!$C$3,$S$60:$S$564,C30,$AA$60:$AA$564,{"Ongoing","N/A",""}))),4)</f>
        <v>15.98</v>
      </c>
      <c r="G30" s="60">
        <f t="shared" si="7"/>
        <v>130.00000000000003</v>
      </c>
      <c r="H30" s="61">
        <f t="shared" si="8"/>
        <v>0.91997697179044335</v>
      </c>
      <c r="I30" s="3">
        <v>0</v>
      </c>
      <c r="J30" s="3">
        <f t="shared" si="6"/>
        <v>2077.4000000000005</v>
      </c>
      <c r="K30" s="60">
        <f t="shared" ca="1" si="9"/>
        <v>109.33684210526319</v>
      </c>
    </row>
    <row r="31" spans="2:24">
      <c r="B31" s="58">
        <v>9</v>
      </c>
      <c r="C31" s="68" t="s">
        <v>132</v>
      </c>
      <c r="D31" s="60">
        <f>SUMIFS($W$60:$W$564,$D$60:$D$564,Table!$C$3,$S$60:$S$564,C31)</f>
        <v>2436.2000000000007</v>
      </c>
      <c r="E31" s="60">
        <f>SUMIFS($X$60:$X$564,$D$60:$D$564,Table!$C$3,$S$60:$S$564,C31)-SUM(SUMIFS($X$60:$X$564,$D$60:$D$564,Table!$C$3,$S$60:$S$564,C31,$AA$60:$AA$564,{"Ongoing","N/A",""}))</f>
        <v>2087.8000000000006</v>
      </c>
      <c r="F31" s="60">
        <f>ROUND(1/8*(SUMIFS($Z$60:$Z$564,$D$60:$D$564,Table!$C$3,$S$60:$S$564,C31)-SUM(SUMIFS($Z$60:$Z$564,$D$60:$D$564,Table!$C$3,$S$60:$S$564,C31,$AA$60:$AA$564,{"Ongoing","N/A",""}))),4)</f>
        <v>16.059999999999999</v>
      </c>
      <c r="G31" s="60">
        <f t="shared" si="7"/>
        <v>130.00000000000006</v>
      </c>
      <c r="H31" s="61">
        <f t="shared" si="8"/>
        <v>0.85699039487726791</v>
      </c>
      <c r="I31" s="3">
        <v>0</v>
      </c>
      <c r="J31" s="3">
        <f t="shared" si="6"/>
        <v>2087.8000000000006</v>
      </c>
      <c r="K31" s="60">
        <f t="shared" ca="1" si="9"/>
        <v>109.88421052631583</v>
      </c>
    </row>
    <row r="32" spans="2:24">
      <c r="B32" s="58">
        <v>10</v>
      </c>
      <c r="C32" s="68" t="s">
        <v>133</v>
      </c>
      <c r="D32" s="60">
        <f>SUMIFS($W$60:$W$564,$D$60:$D$564,Table!$C$3,$S$60:$S$564,C32)</f>
        <v>2418.0000000000005</v>
      </c>
      <c r="E32" s="60">
        <f>SUMIFS($X$60:$X$564,$D$60:$D$564,Table!$C$3,$S$60:$S$564,C32)-SUM(SUMIFS($X$60:$X$564,$D$60:$D$564,Table!$C$3,$S$60:$S$564,C32,$AA$60:$AA$564,{"Ongoing","N/A",""}))</f>
        <v>2418.0000000000005</v>
      </c>
      <c r="F32" s="60">
        <f>ROUND(1/8*(SUMIFS($Z$60:$Z$564,$D$60:$D$564,Table!$C$3,$S$60:$S$564,C32)-SUM(SUMIFS($Z$60:$Z$564,$D$60:$D$564,Table!$C$3,$S$60:$S$564,C32,$AA$60:$AA$564,{"Ongoing","N/A",""}))),4)</f>
        <v>10.875</v>
      </c>
      <c r="G32" s="60">
        <f t="shared" ref="G32:G36" si="10">IF(ISERROR(E32/(F32)),"N/A",E32/F32)</f>
        <v>222.34482758620695</v>
      </c>
      <c r="H32" s="61">
        <f t="shared" ref="H32:H36" si="11">IF(ISERROR(E32/D32),"N/A",E32/D32)</f>
        <v>1</v>
      </c>
      <c r="I32" s="3">
        <v>0</v>
      </c>
      <c r="J32" s="3">
        <f t="shared" si="6"/>
        <v>2418.0000000000005</v>
      </c>
      <c r="K32" s="60">
        <f t="shared" ca="1" si="9"/>
        <v>127.26315789473686</v>
      </c>
    </row>
    <row r="33" spans="1:13">
      <c r="B33" s="58">
        <v>11</v>
      </c>
      <c r="C33" s="68" t="s">
        <v>174</v>
      </c>
      <c r="D33" s="60">
        <f>SUMIFS($W$60:$W$564,$D$60:$D$564,Table!$C$3,$S$60:$S$564,C33)</f>
        <v>2681.9000000000005</v>
      </c>
      <c r="E33" s="60">
        <f>SUMIFS($X$60:$X$564,$D$60:$D$564,Table!$C$3,$S$60:$S$564,C33)-SUM(SUMIFS($X$60:$X$564,$D$60:$D$564,Table!$C$3,$S$60:$S$564,C33,$AA$60:$AA$564,{"Ongoing","N/A",""}))</f>
        <v>2541.5000000000009</v>
      </c>
      <c r="F33" s="60">
        <f>ROUND(1/8*(SUMIFS($Z$60:$Z$564,$D$60:$D$564,Table!$C$3,$S$60:$S$564,C33)-SUM(SUMIFS($Z$60:$Z$564,$D$60:$D$564,Table!$C$3,$S$60:$S$564,C33,$AA$60:$AA$564,{"Ongoing","N/A",""}))),4)</f>
        <v>18.11</v>
      </c>
      <c r="G33" s="60">
        <f t="shared" si="10"/>
        <v>140.33683048039762</v>
      </c>
      <c r="H33" s="61">
        <f t="shared" si="11"/>
        <v>0.94764905477460026</v>
      </c>
      <c r="I33" s="3">
        <v>0</v>
      </c>
      <c r="J33" s="3">
        <f t="shared" si="6"/>
        <v>2541.5000000000009</v>
      </c>
      <c r="K33" s="60">
        <f t="shared" ca="1" si="9"/>
        <v>133.76315789473688</v>
      </c>
    </row>
    <row r="34" spans="1:13">
      <c r="B34" s="58">
        <v>12</v>
      </c>
      <c r="C34" s="71" t="s">
        <v>167</v>
      </c>
      <c r="D34" s="60">
        <f>SUMIFS($W$60:$W$564,$D$60:$D$564,Table!$C$3,$S$60:$S$564,C34)</f>
        <v>0</v>
      </c>
      <c r="E34" s="60">
        <f>SUMIFS($X$60:$X$564,$D$60:$D$564,Table!$C$3,$S$60:$S$564,C34)-SUM(SUMIFS($X$60:$X$564,$D$60:$D$564,Table!$C$3,$S$60:$S$564,C34,$AA$60:$AA$564,{"Ongoing","N/A",""}))</f>
        <v>0</v>
      </c>
      <c r="F34" s="60">
        <f>ROUND(1/8*(SUMIFS($Z$60:$Z$564,$D$60:$D$564,Table!$C$3,$S$60:$S$564,C34)-SUM(SUMIFS($Z$60:$Z$564,$D$60:$D$564,Table!$C$3,$S$60:$S$564,C34,$AA$60:$AA$564,{"Ongoing","N/A",""}))),4)</f>
        <v>0</v>
      </c>
      <c r="G34" s="60" t="str">
        <f t="shared" si="10"/>
        <v>N/A</v>
      </c>
      <c r="H34" s="61" t="str">
        <f t="shared" si="11"/>
        <v>N/A</v>
      </c>
      <c r="I34" s="3">
        <v>0</v>
      </c>
      <c r="J34" s="3">
        <f t="shared" si="6"/>
        <v>0</v>
      </c>
      <c r="K34" s="60" t="str">
        <f t="shared" si="9"/>
        <v>N/A</v>
      </c>
    </row>
    <row r="35" spans="1:13">
      <c r="B35" s="58">
        <v>13</v>
      </c>
      <c r="C35" s="71" t="s">
        <v>168</v>
      </c>
      <c r="D35" s="60">
        <f>SUMIFS($W$60:$W$564,$D$60:$D$564,Table!$C$3,$S$60:$S$564,C35)</f>
        <v>0</v>
      </c>
      <c r="E35" s="60">
        <f>SUMIFS($X$60:$X$564,$D$60:$D$564,Table!$C$3,$S$60:$S$564,C35)-SUM(SUMIFS($X$60:$X$564,$D$60:$D$564,Table!$C$3,$S$60:$S$564,C35,$AA$60:$AA$564,{"Ongoing","N/A",""}))</f>
        <v>0</v>
      </c>
      <c r="F35" s="60">
        <f>ROUND(1/8*(SUMIFS($Z$60:$Z$564,$D$60:$D$564,Table!$C$3,$S$60:$S$564,C35)-SUM(SUMIFS($Z$60:$Z$564,$D$60:$D$564,Table!$C$3,$S$60:$S$564,C35,$AA$60:$AA$564,{"Ongoing","N/A",""}))),4)</f>
        <v>0</v>
      </c>
      <c r="G35" s="60" t="str">
        <f t="shared" si="10"/>
        <v>N/A</v>
      </c>
      <c r="H35" s="61" t="str">
        <f t="shared" si="11"/>
        <v>N/A</v>
      </c>
      <c r="I35" s="3">
        <v>0</v>
      </c>
      <c r="J35" s="3">
        <f t="shared" si="6"/>
        <v>0</v>
      </c>
      <c r="K35" s="60" t="str">
        <f t="shared" si="9"/>
        <v>N/A</v>
      </c>
    </row>
    <row r="36" spans="1:13">
      <c r="B36" s="58">
        <v>14</v>
      </c>
      <c r="C36" s="71" t="s">
        <v>169</v>
      </c>
      <c r="D36" s="60">
        <f>SUMIFS($W$60:$W$564,$D$60:$D$564,Table!$C$3,$S$60:$S$564,C36)</f>
        <v>0</v>
      </c>
      <c r="E36" s="60">
        <f>SUMIFS($X$60:$X$564,$D$60:$D$564,Table!$C$3,$S$60:$S$564,C36)-SUM(SUMIFS($X$60:$X$564,$D$60:$D$564,Table!$C$3,$S$60:$S$564,C36,$AA$60:$AA$564,{"Ongoing","N/A",""}))</f>
        <v>0</v>
      </c>
      <c r="F36" s="60">
        <f>ROUND(1/8*(SUMIFS($Z$60:$Z$564,$D$60:$D$564,Table!$C$3,$S$60:$S$564,C36)-SUM(SUMIFS($Z$60:$Z$564,$D$60:$D$564,Table!$C$3,$S$60:$S$564,C36,$AA$60:$AA$564,{"Ongoing","N/A",""}))),4)</f>
        <v>0</v>
      </c>
      <c r="G36" s="60" t="str">
        <f t="shared" si="10"/>
        <v>N/A</v>
      </c>
      <c r="H36" s="61" t="str">
        <f t="shared" si="11"/>
        <v>N/A</v>
      </c>
      <c r="I36" s="3">
        <v>0</v>
      </c>
      <c r="J36" s="3">
        <f t="shared" si="6"/>
        <v>0</v>
      </c>
      <c r="K36" s="60" t="str">
        <f t="shared" si="9"/>
        <v>N/A</v>
      </c>
    </row>
    <row r="37" spans="1:13">
      <c r="B37" s="56" t="s">
        <v>99</v>
      </c>
      <c r="C37" s="62"/>
      <c r="D37" s="64">
        <f>ROUND(SUMIFS($W$60:$W$564,$D$60:$D$564,Table!$C$3),3)</f>
        <v>15482.674999999999</v>
      </c>
      <c r="E37" s="64">
        <f>ROUND(SUMIFS($W$60:$W$564,$D$60:$D$564,Table!$C$3)-SUM(SUMIFS($W$60:$W$564,$D$60:$D$564,Table!$C$3,$AA$60:$AA$564,{"Ongoing","N/A",""})),3)</f>
        <v>14545.375</v>
      </c>
      <c r="F37" s="64">
        <f>ROUND(1/8*(SUMIFS($Z$60:$Z$564,$D$60:$D$564,Table!$C$3)-SUM(SUMIFS($Z$60:$Z$564,$D$60:$D$564,Table!$C$3,$AA$60:$AA$564,{"Ongoing","N/A",""}))),4)</f>
        <v>80.015000000000001</v>
      </c>
      <c r="G37" s="60">
        <f t="shared" si="7"/>
        <v>181.78310316815598</v>
      </c>
      <c r="H37" s="61">
        <f t="shared" si="8"/>
        <v>0.93946136568777683</v>
      </c>
      <c r="I37" s="3">
        <f>SUM(I23:I36)</f>
        <v>0</v>
      </c>
      <c r="J37" s="3">
        <f>SUM(J23:J36)</f>
        <v>14545.375</v>
      </c>
      <c r="K37" s="60">
        <f ca="1">AVERAGE(K23:K36)</f>
        <v>109.3637218045113</v>
      </c>
      <c r="L37" s="6"/>
    </row>
    <row r="40" spans="1:13">
      <c r="A40" s="1" t="s">
        <v>162</v>
      </c>
      <c r="B40" s="63" t="s">
        <v>100</v>
      </c>
    </row>
    <row r="41" spans="1:13">
      <c r="B41" s="56" t="s">
        <v>0</v>
      </c>
      <c r="C41" s="56" t="s">
        <v>8</v>
      </c>
      <c r="D41" s="56" t="s">
        <v>176</v>
      </c>
      <c r="E41" s="56" t="s">
        <v>50</v>
      </c>
      <c r="F41" s="56" t="s">
        <v>92</v>
      </c>
      <c r="G41" s="56" t="s">
        <v>22</v>
      </c>
      <c r="H41" s="57" t="s">
        <v>24</v>
      </c>
      <c r="I41" s="2" t="s">
        <v>180</v>
      </c>
      <c r="J41" s="2" t="s">
        <v>181</v>
      </c>
      <c r="K41" s="2" t="s">
        <v>22</v>
      </c>
      <c r="L41" s="74" t="s">
        <v>130</v>
      </c>
      <c r="M41" s="75" t="s">
        <v>139</v>
      </c>
    </row>
    <row r="42" spans="1:13">
      <c r="B42" s="290">
        <v>1</v>
      </c>
      <c r="C42" s="291" t="s">
        <v>6</v>
      </c>
      <c r="D42" s="292">
        <f>SUM(D23*Table!$D$4/Table!$C$4,D4)</f>
        <v>0</v>
      </c>
      <c r="E42" s="292">
        <f>SUM(E23*Table!$D$4/Table!$C$4,E4)</f>
        <v>0</v>
      </c>
      <c r="F42" s="292">
        <v>0</v>
      </c>
      <c r="G42" s="292" t="str">
        <f t="shared" ref="G42" si="12">IF(ISERROR(E42/(F42)),"N/A",E42/F42)</f>
        <v>N/A</v>
      </c>
      <c r="H42" s="293" t="str">
        <f t="shared" ref="H42:H56" si="13">IF(ISERROR(E42/D42),"N/A",E42/D42)</f>
        <v>N/A</v>
      </c>
      <c r="I42" s="294">
        <f>SUM(I23*Table!$D$4/Table!$C$4,I4)</f>
        <v>0</v>
      </c>
      <c r="J42" s="294">
        <f>SUM(J23*Table!$D$4/Table!$C$4,J4)</f>
        <v>0</v>
      </c>
      <c r="K42" s="292" t="str">
        <f t="shared" ref="K42:K55" si="14">IF(J42&lt;&gt;0,J42/$P$20,"N/A")</f>
        <v>N/A</v>
      </c>
      <c r="L42" s="294">
        <f>COUNTIFS($S$60:$S$564,C42,$AK$60:$AK$564,Table!$C$41)</f>
        <v>0</v>
      </c>
      <c r="M42" s="294">
        <f>COUNTIFS($S$60:$S$564,C42,$AK$60:$AK$564,Table!$C$42)</f>
        <v>0</v>
      </c>
    </row>
    <row r="43" spans="1:13">
      <c r="B43" s="58">
        <v>2</v>
      </c>
      <c r="C43" s="68" t="s">
        <v>61</v>
      </c>
      <c r="D43" s="60">
        <f>SUM(D24*Table!$D$4/Table!$C$4,D5)</f>
        <v>11419.875</v>
      </c>
      <c r="E43" s="60">
        <f>SUM(E24*Table!$D$4/Table!$C$4,E5)</f>
        <v>11046.375</v>
      </c>
      <c r="F43" s="60">
        <f ca="1">$P$20</f>
        <v>19</v>
      </c>
      <c r="G43" s="60">
        <f t="shared" ref="G43:G56" ca="1" si="15">IF(ISERROR(E43/(F43)),"N/A",E43/F43)</f>
        <v>581.38815789473688</v>
      </c>
      <c r="H43" s="61">
        <f t="shared" si="13"/>
        <v>0.96729386267362827</v>
      </c>
      <c r="I43" s="3">
        <f>SUM(I24*Table!$D$4/Table!$C$4,I5)</f>
        <v>0</v>
      </c>
      <c r="J43" s="3">
        <f>SUM(J24*Table!$D$4/Table!$C$4,J5)</f>
        <v>11046.375</v>
      </c>
      <c r="K43" s="60">
        <f t="shared" ca="1" si="14"/>
        <v>581.38815789473688</v>
      </c>
      <c r="L43" s="3">
        <f>COUNTIFS($S$60:$S$564,C43,$AK$60:$AK$564,Table!$C$41)</f>
        <v>2</v>
      </c>
      <c r="M43" s="3">
        <f>COUNTIFS($S$60:$S$564,C43,$AK$60:$AK$564,Table!$C$42)</f>
        <v>1</v>
      </c>
    </row>
    <row r="44" spans="1:13">
      <c r="B44" s="58">
        <v>3</v>
      </c>
      <c r="C44" s="68" t="s">
        <v>62</v>
      </c>
      <c r="D44" s="60">
        <f>SUM(D25*Table!$D$4/Table!$C$4,D6)</f>
        <v>5944.5000000000009</v>
      </c>
      <c r="E44" s="60">
        <f>SUM(E25*Table!$D$4/Table!$C$4,E6)</f>
        <v>5944.5000000000009</v>
      </c>
      <c r="F44" s="60">
        <v>10</v>
      </c>
      <c r="G44" s="60">
        <f t="shared" si="15"/>
        <v>594.45000000000005</v>
      </c>
      <c r="H44" s="61">
        <f t="shared" si="13"/>
        <v>1</v>
      </c>
      <c r="I44" s="3">
        <f>SUM(I25*Table!$D$4/Table!$C$4,I6)</f>
        <v>0</v>
      </c>
      <c r="J44" s="3">
        <f>SUM(J25*Table!$D$4/Table!$C$4,J6)</f>
        <v>5944.5000000000009</v>
      </c>
      <c r="K44" s="60">
        <f t="shared" ca="1" si="14"/>
        <v>312.86842105263162</v>
      </c>
      <c r="L44" s="3">
        <f>COUNTIFS($S$60:$S$564,C44,$AK$60:$AK$564,Table!$C$41)</f>
        <v>0</v>
      </c>
      <c r="M44" s="3">
        <f>COUNTIFS($S$60:$S$564,C44,$AK$60:$AK$564,Table!$C$42)</f>
        <v>0</v>
      </c>
    </row>
    <row r="45" spans="1:13">
      <c r="B45" s="58">
        <v>4</v>
      </c>
      <c r="C45" s="68" t="s">
        <v>63</v>
      </c>
      <c r="D45" s="60">
        <f>SUM(D26*Table!$D$4/Table!$C$4,D7)</f>
        <v>11272.499999999998</v>
      </c>
      <c r="E45" s="60">
        <f>SUM(E26*Table!$D$4/Table!$C$4,E7)</f>
        <v>10719</v>
      </c>
      <c r="F45" s="60">
        <f t="shared" ref="F45:F52" ca="1" si="16">$P$20</f>
        <v>19</v>
      </c>
      <c r="G45" s="60">
        <f t="shared" ca="1" si="15"/>
        <v>564.15789473684208</v>
      </c>
      <c r="H45" s="61">
        <f t="shared" si="13"/>
        <v>0.95089820359281452</v>
      </c>
      <c r="I45" s="3">
        <f>SUM(I26*Table!$D$4/Table!$C$4,I7)</f>
        <v>0</v>
      </c>
      <c r="J45" s="3">
        <f>SUM(J26*Table!$D$4/Table!$C$4,J7)</f>
        <v>10719</v>
      </c>
      <c r="K45" s="60">
        <f t="shared" ca="1" si="14"/>
        <v>564.15789473684208</v>
      </c>
      <c r="L45" s="3">
        <f>COUNTIFS($S$60:$S$564,C45,$AK$60:$AK$564,Table!$C$41)</f>
        <v>0</v>
      </c>
      <c r="M45" s="3">
        <f>COUNTIFS($S$60:$S$564,C45,$AK$60:$AK$564,Table!$C$42)</f>
        <v>0</v>
      </c>
    </row>
    <row r="46" spans="1:13">
      <c r="B46" s="58">
        <v>5</v>
      </c>
      <c r="C46" s="71" t="s">
        <v>179</v>
      </c>
      <c r="D46" s="60">
        <f>SUM(D27*Table!$D$4/Table!$C$4,D8)</f>
        <v>0</v>
      </c>
      <c r="E46" s="60">
        <f>SUM(E27*Table!$D$4/Table!$C$4,E8)</f>
        <v>0</v>
      </c>
      <c r="F46" s="60">
        <v>0</v>
      </c>
      <c r="G46" s="60" t="str">
        <f>IF(ISERROR(E46/(F46)),"N/A",E46/F46)</f>
        <v>N/A</v>
      </c>
      <c r="H46" s="61" t="str">
        <f t="shared" si="13"/>
        <v>N/A</v>
      </c>
      <c r="I46" s="3">
        <f>SUM(I27*Table!$D$4/Table!$C$4,I8)</f>
        <v>0</v>
      </c>
      <c r="J46" s="3">
        <f>SUM(J27*Table!$D$4/Table!$C$4,J8)</f>
        <v>0</v>
      </c>
      <c r="K46" s="60" t="str">
        <f t="shared" si="14"/>
        <v>N/A</v>
      </c>
      <c r="L46" s="3">
        <f>COUNTIFS($S$60:$S$564,C46,$AK$60:$AK$564,Table!$C$41)</f>
        <v>0</v>
      </c>
      <c r="M46" s="3">
        <f>COUNTIFS($S$60:$S$564,C46,$AK$60:$AK$564,Table!$C$42)</f>
        <v>0</v>
      </c>
    </row>
    <row r="47" spans="1:13">
      <c r="B47" s="58">
        <v>6</v>
      </c>
      <c r="C47" s="59" t="s">
        <v>64</v>
      </c>
      <c r="D47" s="60">
        <f>SUM(D28*Table!$D$4/Table!$C$4,D9)</f>
        <v>0</v>
      </c>
      <c r="E47" s="60">
        <f>SUM(E28*Table!$D$4/Table!$C$4,E9)</f>
        <v>0</v>
      </c>
      <c r="F47" s="60">
        <v>0</v>
      </c>
      <c r="G47" s="60" t="str">
        <f t="shared" si="15"/>
        <v>N/A</v>
      </c>
      <c r="H47" s="61" t="str">
        <f t="shared" si="13"/>
        <v>N/A</v>
      </c>
      <c r="I47" s="3">
        <f>SUM(I28*Table!$D$4/Table!$C$4,I9)</f>
        <v>0</v>
      </c>
      <c r="J47" s="3">
        <f>SUM(J28*Table!$D$4/Table!$C$4,J9)</f>
        <v>0</v>
      </c>
      <c r="K47" s="60" t="str">
        <f t="shared" si="14"/>
        <v>N/A</v>
      </c>
      <c r="L47" s="3">
        <f>COUNTIFS($S$60:$S$564,C47,$AK$60:$AK$564,Table!$C$41)</f>
        <v>0</v>
      </c>
      <c r="M47" s="3">
        <f>COUNTIFS($S$60:$S$564,C47,$AK$60:$AK$564,Table!$C$42)</f>
        <v>0</v>
      </c>
    </row>
    <row r="48" spans="1:13">
      <c r="B48" s="58">
        <v>7</v>
      </c>
      <c r="C48" s="59" t="s">
        <v>65</v>
      </c>
      <c r="D48" s="60">
        <f>SUM(D29*Table!$D$4/Table!$C$4,D10)</f>
        <v>0</v>
      </c>
      <c r="E48" s="60">
        <f>SUM(E29*Table!$D$4/Table!$C$4,E10)</f>
        <v>0</v>
      </c>
      <c r="F48" s="60">
        <v>0</v>
      </c>
      <c r="G48" s="60" t="str">
        <f t="shared" si="15"/>
        <v>N/A</v>
      </c>
      <c r="H48" s="61" t="str">
        <f t="shared" si="13"/>
        <v>N/A</v>
      </c>
      <c r="I48" s="3">
        <f>SUM(I29*Table!$D$4/Table!$C$4,I10)</f>
        <v>0</v>
      </c>
      <c r="J48" s="3">
        <f>SUM(J29*Table!$D$4/Table!$C$4,J10)</f>
        <v>0</v>
      </c>
      <c r="K48" s="60" t="str">
        <f t="shared" si="14"/>
        <v>N/A</v>
      </c>
      <c r="L48" s="3">
        <f>COUNTIFS($S$60:$S$564,C48,$AK$60:$AK$564,Table!$C$41)</f>
        <v>0</v>
      </c>
      <c r="M48" s="3">
        <f>COUNTIFS($S$60:$S$564,C48,$AK$60:$AK$564,Table!$C$42)</f>
        <v>0</v>
      </c>
    </row>
    <row r="49" spans="2:40">
      <c r="B49" s="58">
        <v>8</v>
      </c>
      <c r="C49" s="68" t="s">
        <v>66</v>
      </c>
      <c r="D49" s="60">
        <f>SUM(D30*Table!$D$4/Table!$C$4,D11)</f>
        <v>10566</v>
      </c>
      <c r="E49" s="60">
        <f>SUM(E30*Table!$D$4/Table!$C$4,E11)</f>
        <v>9468.0000000000018</v>
      </c>
      <c r="F49" s="60">
        <f t="shared" ca="1" si="16"/>
        <v>19</v>
      </c>
      <c r="G49" s="60">
        <f t="shared" ca="1" si="15"/>
        <v>498.31578947368433</v>
      </c>
      <c r="H49" s="61">
        <f t="shared" si="13"/>
        <v>0.89608177172061343</v>
      </c>
      <c r="I49" s="229">
        <f>SUM(I30*Table!$D$4/Table!$C$4,I11)</f>
        <v>0</v>
      </c>
      <c r="J49" s="3">
        <f>SUM(J30*Table!$D$4/Table!$C$4,J11)</f>
        <v>9468.0000000000018</v>
      </c>
      <c r="K49" s="60">
        <f t="shared" ca="1" si="14"/>
        <v>498.31578947368433</v>
      </c>
      <c r="L49" s="3">
        <f>COUNTIFS($S$60:$S$564,C49,$AK$60:$AK$564,Table!$C$41)</f>
        <v>2</v>
      </c>
      <c r="M49" s="3">
        <f>COUNTIFS($S$60:$S$564,C49,$AK$60:$AK$564,Table!$C$42)</f>
        <v>0</v>
      </c>
    </row>
    <row r="50" spans="2:40">
      <c r="B50" s="58">
        <v>9</v>
      </c>
      <c r="C50" s="68" t="s">
        <v>132</v>
      </c>
      <c r="D50" s="60">
        <f>SUM(D31*Table!$D$4/Table!$C$4,D12)</f>
        <v>10975.500000000002</v>
      </c>
      <c r="E50" s="60">
        <f>SUM(E31*Table!$D$4/Table!$C$4,E12)</f>
        <v>9247.5000000000018</v>
      </c>
      <c r="F50" s="60">
        <f t="shared" ca="1" si="16"/>
        <v>19</v>
      </c>
      <c r="G50" s="60">
        <f t="shared" ca="1" si="15"/>
        <v>486.71052631578959</v>
      </c>
      <c r="H50" s="61">
        <f t="shared" si="13"/>
        <v>0.84255842558425587</v>
      </c>
      <c r="I50" s="3">
        <f>SUM(I31*Table!$D$4/Table!$C$4,I12)</f>
        <v>0</v>
      </c>
      <c r="J50" s="3">
        <f>SUM(J31*Table!$D$4/Table!$C$4,J12)</f>
        <v>9247.5000000000018</v>
      </c>
      <c r="K50" s="60">
        <f t="shared" ca="1" si="14"/>
        <v>486.71052631578959</v>
      </c>
      <c r="L50" s="3">
        <f>COUNTIFS($S$60:$S$564,C50,$AK$60:$AK$564,Table!$C$41)</f>
        <v>0</v>
      </c>
      <c r="M50" s="3">
        <f>COUNTIFS($S$60:$S$564,C50,$AK$60:$AK$564,Table!$C$42)</f>
        <v>0</v>
      </c>
    </row>
    <row r="51" spans="2:40">
      <c r="B51" s="58">
        <v>10</v>
      </c>
      <c r="C51" s="68" t="s">
        <v>133</v>
      </c>
      <c r="D51" s="60">
        <f>SUM(D32*Table!$D$4/Table!$C$4,D13)</f>
        <v>10975.500000000002</v>
      </c>
      <c r="E51" s="60">
        <f>SUM(E32*Table!$D$4/Table!$C$4,E13)</f>
        <v>10638.000000000002</v>
      </c>
      <c r="F51" s="60">
        <f ca="1">$P$20</f>
        <v>19</v>
      </c>
      <c r="G51" s="60">
        <f t="shared" ca="1" si="15"/>
        <v>559.89473684210532</v>
      </c>
      <c r="H51" s="61">
        <f t="shared" ref="H51:H55" si="17">IF(ISERROR(E51/D51),"N/A",E51/D51)</f>
        <v>0.96924969249692494</v>
      </c>
      <c r="I51" s="3">
        <f>SUM(I32*Table!$D$4/Table!$C$4,I13)</f>
        <v>0</v>
      </c>
      <c r="J51" s="3">
        <f>SUM(J32*Table!$D$4/Table!$C$4,J13)</f>
        <v>10638.000000000002</v>
      </c>
      <c r="K51" s="60">
        <f t="shared" ca="1" si="14"/>
        <v>559.89473684210532</v>
      </c>
      <c r="L51" s="3">
        <f>COUNTIFS($S$60:$S$564,C51,$AK$60:$AK$564,Table!$C$41)</f>
        <v>0</v>
      </c>
      <c r="M51" s="3">
        <f>COUNTIFS($S$60:$S$564,C51,$AK$60:$AK$564,Table!$C$42)</f>
        <v>0</v>
      </c>
    </row>
    <row r="52" spans="2:40">
      <c r="B52" s="58">
        <v>11</v>
      </c>
      <c r="C52" s="68" t="s">
        <v>174</v>
      </c>
      <c r="D52" s="60">
        <f>SUM(D33*Table!$D$4/Table!$C$4,D14)</f>
        <v>11542.500000000002</v>
      </c>
      <c r="E52" s="60">
        <f>SUM(E33*Table!$D$4/Table!$C$4,E14)</f>
        <v>11056.500000000004</v>
      </c>
      <c r="F52" s="60">
        <f t="shared" ca="1" si="16"/>
        <v>19</v>
      </c>
      <c r="G52" s="60">
        <f t="shared" ca="1" si="15"/>
        <v>581.92105263157919</v>
      </c>
      <c r="H52" s="61">
        <f t="shared" si="17"/>
        <v>0.95789473684210547</v>
      </c>
      <c r="I52" s="3">
        <f>SUM(I33*Table!$D$4/Table!$C$4,I14)</f>
        <v>0</v>
      </c>
      <c r="J52" s="3">
        <f>SUM(J33*Table!$D$4/Table!$C$4,J14)</f>
        <v>11056.500000000004</v>
      </c>
      <c r="K52" s="60">
        <f t="shared" ca="1" si="14"/>
        <v>581.92105263157919</v>
      </c>
      <c r="L52" s="3">
        <f>COUNTIFS($S$60:$S$564,C52,$AK$60:$AK$564,Table!$C$41)</f>
        <v>0</v>
      </c>
      <c r="M52" s="3">
        <f>COUNTIFS($S$60:$S$564,C52,$AK$60:$AK$564,Table!$C$42)</f>
        <v>0</v>
      </c>
    </row>
    <row r="53" spans="2:40">
      <c r="B53" s="58">
        <v>12</v>
      </c>
      <c r="C53" s="71" t="s">
        <v>167</v>
      </c>
      <c r="D53" s="60">
        <f>SUM(D34*Table!$D$4/Table!$C$4,D15)</f>
        <v>0</v>
      </c>
      <c r="E53" s="60">
        <f>SUM(E34*Table!$D$4/Table!$C$4,E15)</f>
        <v>0</v>
      </c>
      <c r="F53" s="60">
        <v>0</v>
      </c>
      <c r="G53" s="60" t="str">
        <f t="shared" si="15"/>
        <v>N/A</v>
      </c>
      <c r="H53" s="61" t="str">
        <f t="shared" si="17"/>
        <v>N/A</v>
      </c>
      <c r="I53" s="3">
        <f>SUM(I34*Table!$D$4/Table!$C$4,I15)</f>
        <v>0</v>
      </c>
      <c r="J53" s="3">
        <f>SUM(J34*Table!$D$4/Table!$C$4,J15)</f>
        <v>0</v>
      </c>
      <c r="K53" s="60" t="str">
        <f t="shared" si="14"/>
        <v>N/A</v>
      </c>
      <c r="L53" s="3">
        <f>COUNTIFS($S$60:$S$564,C53,$AK$60:$AK$564,Table!$C$41)</f>
        <v>0</v>
      </c>
      <c r="M53" s="3">
        <f>COUNTIFS($S$60:$S$564,C53,$AK$60:$AK$564,Table!$C$42)</f>
        <v>0</v>
      </c>
    </row>
    <row r="54" spans="2:40">
      <c r="B54" s="58">
        <v>13</v>
      </c>
      <c r="C54" s="71" t="s">
        <v>168</v>
      </c>
      <c r="D54" s="60">
        <f>SUM(D35*Table!$D$4/Table!$C$4,D16)</f>
        <v>0</v>
      </c>
      <c r="E54" s="60">
        <f>SUM(E35*Table!$D$4/Table!$C$4,E16)</f>
        <v>0</v>
      </c>
      <c r="F54" s="60">
        <v>0</v>
      </c>
      <c r="G54" s="60" t="str">
        <f t="shared" si="15"/>
        <v>N/A</v>
      </c>
      <c r="H54" s="61" t="str">
        <f t="shared" si="17"/>
        <v>N/A</v>
      </c>
      <c r="I54" s="3">
        <f>SUM(I35*Table!$D$4/Table!$C$4,I16)</f>
        <v>0</v>
      </c>
      <c r="J54" s="3">
        <f>SUM(J35*Table!$D$4/Table!$C$4,J16)</f>
        <v>0</v>
      </c>
      <c r="K54" s="60" t="str">
        <f t="shared" si="14"/>
        <v>N/A</v>
      </c>
      <c r="L54" s="3">
        <f>COUNTIFS($S$60:$S$564,C54,$AK$60:$AK$564,Table!$C$41)</f>
        <v>0</v>
      </c>
      <c r="M54" s="3">
        <f>COUNTIFS($S$60:$S$564,C54,$AK$60:$AK$564,Table!$C$42)</f>
        <v>0</v>
      </c>
    </row>
    <row r="55" spans="2:40">
      <c r="B55" s="58">
        <v>14</v>
      </c>
      <c r="C55" s="71" t="s">
        <v>169</v>
      </c>
      <c r="D55" s="60">
        <f>SUM(D36*Table!$D$4/Table!$C$4,D17)</f>
        <v>0</v>
      </c>
      <c r="E55" s="60">
        <f>SUM(E36*Table!$D$4/Table!$C$4,E17)</f>
        <v>0</v>
      </c>
      <c r="F55" s="60">
        <v>0</v>
      </c>
      <c r="G55" s="60" t="str">
        <f t="shared" si="15"/>
        <v>N/A</v>
      </c>
      <c r="H55" s="61" t="str">
        <f t="shared" si="17"/>
        <v>N/A</v>
      </c>
      <c r="I55" s="3">
        <f>SUM(I36*Table!$D$4/Table!$C$4,I17)</f>
        <v>0</v>
      </c>
      <c r="J55" s="3">
        <f>SUM(J36*Table!$D$4/Table!$C$4,J17)</f>
        <v>0</v>
      </c>
      <c r="K55" s="60" t="str">
        <f t="shared" si="14"/>
        <v>N/A</v>
      </c>
      <c r="L55" s="3">
        <f>COUNTIFS($S$60:$S$564,C55,$AK$60:$AK$564,Table!$C$41)</f>
        <v>0</v>
      </c>
      <c r="M55" s="3">
        <f>COUNTIFS($S$60:$S$564,C55,$AK$60:$AK$564,Table!$C$42)</f>
        <v>0</v>
      </c>
    </row>
    <row r="56" spans="2:40">
      <c r="B56" s="56" t="s">
        <v>99</v>
      </c>
      <c r="C56" s="62"/>
      <c r="D56" s="60">
        <f>SUM(D42:D55)</f>
        <v>72696.375</v>
      </c>
      <c r="E56" s="60">
        <f>SUM(E42:E55)</f>
        <v>68119.875</v>
      </c>
      <c r="F56" s="60">
        <f ca="1">SUM(F42:F55)</f>
        <v>124</v>
      </c>
      <c r="G56" s="60">
        <f t="shared" ca="1" si="15"/>
        <v>549.35383064516134</v>
      </c>
      <c r="H56" s="61">
        <f t="shared" si="13"/>
        <v>0.937046379547811</v>
      </c>
      <c r="I56" s="3" t="s">
        <v>171</v>
      </c>
      <c r="J56" s="3">
        <f>SUM(J42:J55)</f>
        <v>68119.875</v>
      </c>
      <c r="K56" s="60">
        <f ca="1">IFERROR(AVERAGE(K42:K55),"NA")</f>
        <v>512.1795112781956</v>
      </c>
      <c r="L56" s="3">
        <f>COUNTIFS($S$60:$S$564,C56,$AK$60:$AK$564,Table!$C$41)</f>
        <v>0</v>
      </c>
      <c r="M56" s="3">
        <f>COUNTIFS($S$60:$S$564,D55,$AK$60:$AK$564,Table!$C$42)</f>
        <v>0</v>
      </c>
    </row>
    <row r="59" spans="2:40">
      <c r="B59" s="51" t="s">
        <v>0</v>
      </c>
      <c r="C59" s="51" t="s">
        <v>60</v>
      </c>
      <c r="D59" s="51" t="s">
        <v>1</v>
      </c>
      <c r="E59" s="51" t="s">
        <v>53</v>
      </c>
      <c r="F59" s="51" t="s">
        <v>54</v>
      </c>
      <c r="G59" s="51" t="s">
        <v>134</v>
      </c>
      <c r="H59" s="51" t="s">
        <v>103</v>
      </c>
      <c r="I59" s="51" t="s">
        <v>55</v>
      </c>
      <c r="J59" s="51" t="s">
        <v>102</v>
      </c>
      <c r="K59" s="51" t="s">
        <v>135</v>
      </c>
      <c r="L59" s="51" t="s">
        <v>68</v>
      </c>
      <c r="M59" s="51" t="s">
        <v>137</v>
      </c>
      <c r="N59" s="51" t="s">
        <v>67</v>
      </c>
      <c r="O59" s="51" t="s">
        <v>59</v>
      </c>
      <c r="P59" s="51" t="s">
        <v>76</v>
      </c>
      <c r="Q59" s="48" t="s">
        <v>52</v>
      </c>
      <c r="R59" s="52" t="s">
        <v>7</v>
      </c>
      <c r="S59" s="52" t="s">
        <v>8</v>
      </c>
      <c r="T59" s="52" t="s">
        <v>74</v>
      </c>
      <c r="U59" s="52" t="s">
        <v>88</v>
      </c>
      <c r="V59" s="52" t="s">
        <v>71</v>
      </c>
      <c r="W59" s="190" t="s">
        <v>72</v>
      </c>
      <c r="X59" s="190" t="s">
        <v>50</v>
      </c>
      <c r="Y59" s="190" t="s">
        <v>75</v>
      </c>
      <c r="Z59" s="190" t="s">
        <v>51</v>
      </c>
      <c r="AA59" s="52" t="s">
        <v>17</v>
      </c>
      <c r="AB59" s="52" t="s">
        <v>144</v>
      </c>
      <c r="AC59" s="52" t="s">
        <v>56</v>
      </c>
      <c r="AD59" s="52" t="s">
        <v>57</v>
      </c>
      <c r="AE59" s="51" t="s">
        <v>12</v>
      </c>
      <c r="AF59" s="51" t="s">
        <v>13</v>
      </c>
      <c r="AG59" s="51" t="s">
        <v>73</v>
      </c>
      <c r="AH59" s="51" t="s">
        <v>14</v>
      </c>
      <c r="AI59" s="51" t="s">
        <v>15</v>
      </c>
      <c r="AJ59" s="52" t="s">
        <v>16</v>
      </c>
      <c r="AK59" s="51" t="s">
        <v>136</v>
      </c>
      <c r="AL59" s="52" t="s">
        <v>129</v>
      </c>
      <c r="AM59" s="52" t="s">
        <v>128</v>
      </c>
      <c r="AN59" s="52" t="s">
        <v>77</v>
      </c>
    </row>
    <row r="60" spans="2:40" hidden="1">
      <c r="B60" s="131">
        <v>1</v>
      </c>
      <c r="C60" s="16">
        <v>20200813</v>
      </c>
      <c r="D60" s="16" t="s">
        <v>2</v>
      </c>
      <c r="E60" s="85" t="s">
        <v>447</v>
      </c>
      <c r="F60" s="80"/>
      <c r="G60" s="47"/>
      <c r="H60" s="16" t="s">
        <v>253</v>
      </c>
      <c r="I60" s="16" t="s">
        <v>370</v>
      </c>
      <c r="J60" s="16" t="s">
        <v>208</v>
      </c>
      <c r="K60" s="47" t="s">
        <v>334</v>
      </c>
      <c r="L60" s="80"/>
      <c r="M60" s="47"/>
      <c r="N60" s="16"/>
      <c r="O60" s="80" t="s">
        <v>409</v>
      </c>
      <c r="P60" s="80" t="s">
        <v>448</v>
      </c>
      <c r="Q60" s="18"/>
      <c r="R60" s="16" t="s">
        <v>480</v>
      </c>
      <c r="S60" s="16" t="s">
        <v>133</v>
      </c>
      <c r="T60" s="16"/>
      <c r="U60" s="16"/>
      <c r="V60" s="16"/>
      <c r="W60" s="15">
        <f>ROUND(IF(D60=Table!$C$3,Y60*Table!$C$4/8,Y60*Table!$D$4/8),3)</f>
        <v>122.2</v>
      </c>
      <c r="X60" s="191">
        <v>122.2</v>
      </c>
      <c r="Y60" s="203">
        <v>7.52</v>
      </c>
      <c r="Z60" s="191">
        <v>6</v>
      </c>
      <c r="AA60" s="16" t="s">
        <v>21</v>
      </c>
      <c r="AB60" s="81">
        <v>44061</v>
      </c>
      <c r="AC60" s="19">
        <v>44057</v>
      </c>
      <c r="AD60" s="81">
        <v>44061</v>
      </c>
      <c r="AE60" s="81">
        <v>44060</v>
      </c>
      <c r="AF60" s="81">
        <v>44060</v>
      </c>
      <c r="AG60" s="81" t="s">
        <v>155</v>
      </c>
      <c r="AH60" s="82">
        <v>0.95499999999999996</v>
      </c>
      <c r="AI60" s="82">
        <v>0.96299999999999997</v>
      </c>
      <c r="AJ60" s="82">
        <v>0.439</v>
      </c>
      <c r="AK60" s="87" t="s">
        <v>140</v>
      </c>
      <c r="AL60" s="84" t="s">
        <v>647</v>
      </c>
      <c r="AM60" s="17" t="s">
        <v>58</v>
      </c>
      <c r="AN60" s="17" t="s">
        <v>58</v>
      </c>
    </row>
    <row r="61" spans="2:40" hidden="1">
      <c r="B61" s="131">
        <f t="shared" ref="B61:B107" si="18">B60+1</f>
        <v>2</v>
      </c>
      <c r="C61" s="16">
        <v>20200813</v>
      </c>
      <c r="D61" s="16" t="s">
        <v>2</v>
      </c>
      <c r="E61" s="85" t="s">
        <v>447</v>
      </c>
      <c r="F61" s="80"/>
      <c r="G61" s="47"/>
      <c r="H61" s="16" t="s">
        <v>254</v>
      </c>
      <c r="I61" s="16" t="s">
        <v>371</v>
      </c>
      <c r="J61" s="16" t="s">
        <v>208</v>
      </c>
      <c r="K61" s="47" t="s">
        <v>334</v>
      </c>
      <c r="L61" s="80"/>
      <c r="M61" s="47"/>
      <c r="N61" s="16"/>
      <c r="O61" s="80" t="s">
        <v>410</v>
      </c>
      <c r="P61" s="80" t="s">
        <v>448</v>
      </c>
      <c r="Q61" s="18"/>
      <c r="R61" s="16" t="s">
        <v>480</v>
      </c>
      <c r="S61" s="16" t="s">
        <v>133</v>
      </c>
      <c r="T61" s="16"/>
      <c r="U61" s="16"/>
      <c r="V61" s="16"/>
      <c r="W61" s="15">
        <f>ROUND(IF(D61=Table!$C$3,Y61*Table!$C$4/8,Y61*Table!$D$4/8),3)</f>
        <v>52</v>
      </c>
      <c r="X61" s="191">
        <v>52</v>
      </c>
      <c r="Y61" s="191">
        <v>3.2</v>
      </c>
      <c r="Z61" s="191">
        <v>2</v>
      </c>
      <c r="AA61" s="16" t="s">
        <v>21</v>
      </c>
      <c r="AB61" s="81">
        <v>44061</v>
      </c>
      <c r="AC61" s="19">
        <v>44057</v>
      </c>
      <c r="AD61" s="81">
        <v>44061</v>
      </c>
      <c r="AE61" s="81">
        <v>44057</v>
      </c>
      <c r="AF61" s="81">
        <v>44057</v>
      </c>
      <c r="AG61" s="81" t="s">
        <v>155</v>
      </c>
      <c r="AH61" s="82">
        <v>1</v>
      </c>
      <c r="AI61" s="82">
        <v>1</v>
      </c>
      <c r="AJ61" s="82">
        <v>1</v>
      </c>
      <c r="AK61" s="87" t="s">
        <v>140</v>
      </c>
      <c r="AL61" s="84" t="s">
        <v>58</v>
      </c>
      <c r="AM61" s="17" t="s">
        <v>58</v>
      </c>
      <c r="AN61" s="17" t="s">
        <v>58</v>
      </c>
    </row>
    <row r="62" spans="2:40" hidden="1">
      <c r="B62" s="131">
        <f t="shared" si="18"/>
        <v>3</v>
      </c>
      <c r="C62" s="16">
        <v>20200813</v>
      </c>
      <c r="D62" s="16" t="s">
        <v>2</v>
      </c>
      <c r="E62" s="85" t="s">
        <v>447</v>
      </c>
      <c r="F62" s="80"/>
      <c r="G62" s="47"/>
      <c r="H62" s="16" t="s">
        <v>292</v>
      </c>
      <c r="I62" s="16" t="s">
        <v>372</v>
      </c>
      <c r="J62" s="16" t="s">
        <v>246</v>
      </c>
      <c r="K62" s="47" t="s">
        <v>335</v>
      </c>
      <c r="L62" s="80"/>
      <c r="M62" s="47"/>
      <c r="N62" s="16"/>
      <c r="O62" s="80" t="s">
        <v>411</v>
      </c>
      <c r="P62" s="80" t="s">
        <v>449</v>
      </c>
      <c r="Q62" s="18"/>
      <c r="R62" s="16" t="s">
        <v>478</v>
      </c>
      <c r="S62" s="16" t="s">
        <v>132</v>
      </c>
      <c r="T62" s="16"/>
      <c r="U62" s="16"/>
      <c r="V62" s="16"/>
      <c r="W62" s="15">
        <f>ROUND(IF(D62=Table!$C$3,Y62*Table!$C$4/8,Y62*Table!$D$4/8),3)</f>
        <v>141.69999999999999</v>
      </c>
      <c r="X62" s="191">
        <v>141.69999999999999</v>
      </c>
      <c r="Y62" s="203">
        <v>8.7200000000000006</v>
      </c>
      <c r="Z62" s="191">
        <v>8.7200000000000006</v>
      </c>
      <c r="AA62" s="16" t="s">
        <v>21</v>
      </c>
      <c r="AB62" s="81">
        <v>44061</v>
      </c>
      <c r="AC62" s="19">
        <v>44057</v>
      </c>
      <c r="AD62" s="81">
        <v>44061</v>
      </c>
      <c r="AE62" s="81">
        <v>44056</v>
      </c>
      <c r="AF62" s="81">
        <v>44056</v>
      </c>
      <c r="AG62" s="81" t="s">
        <v>155</v>
      </c>
      <c r="AH62" s="89">
        <v>1</v>
      </c>
      <c r="AI62" s="89">
        <v>1</v>
      </c>
      <c r="AJ62" s="89">
        <v>0.78900000000000003</v>
      </c>
      <c r="AK62" s="14" t="s">
        <v>140</v>
      </c>
      <c r="AL62" s="84"/>
      <c r="AM62" s="15"/>
      <c r="AN62" s="15"/>
    </row>
    <row r="63" spans="2:40" hidden="1">
      <c r="B63" s="131">
        <f t="shared" si="18"/>
        <v>4</v>
      </c>
      <c r="C63" s="16">
        <v>20200813</v>
      </c>
      <c r="D63" s="16" t="s">
        <v>2</v>
      </c>
      <c r="E63" s="85" t="s">
        <v>447</v>
      </c>
      <c r="F63" s="80"/>
      <c r="G63" s="47"/>
      <c r="H63" s="16" t="s">
        <v>255</v>
      </c>
      <c r="I63" s="16" t="s">
        <v>373</v>
      </c>
      <c r="J63" s="16" t="s">
        <v>246</v>
      </c>
      <c r="K63" s="47" t="s">
        <v>336</v>
      </c>
      <c r="L63" s="80"/>
      <c r="M63" s="47"/>
      <c r="N63" s="16"/>
      <c r="O63" s="80" t="s">
        <v>412</v>
      </c>
      <c r="P63" s="80" t="s">
        <v>450</v>
      </c>
      <c r="Q63" s="18"/>
      <c r="R63" s="16" t="s">
        <v>478</v>
      </c>
      <c r="S63" s="16" t="s">
        <v>132</v>
      </c>
      <c r="T63" s="16"/>
      <c r="U63" s="16"/>
      <c r="V63" s="16"/>
      <c r="W63" s="15">
        <f>ROUND(IF(D63=Table!$C$3,Y63*Table!$C$4/8,Y63*Table!$D$4/8),3)</f>
        <v>39</v>
      </c>
      <c r="X63" s="191">
        <v>39</v>
      </c>
      <c r="Y63" s="191">
        <v>2.4</v>
      </c>
      <c r="Z63" s="191">
        <v>2.4</v>
      </c>
      <c r="AA63" s="16" t="s">
        <v>21</v>
      </c>
      <c r="AB63" s="81">
        <v>44061</v>
      </c>
      <c r="AC63" s="19">
        <v>44057</v>
      </c>
      <c r="AD63" s="81">
        <v>44061</v>
      </c>
      <c r="AE63" s="81">
        <v>44057</v>
      </c>
      <c r="AF63" s="81">
        <v>44057</v>
      </c>
      <c r="AG63" s="81" t="s">
        <v>155</v>
      </c>
      <c r="AH63" s="82">
        <v>1</v>
      </c>
      <c r="AI63" s="82">
        <v>1</v>
      </c>
      <c r="AJ63" s="82">
        <v>3.3000000000000002E-2</v>
      </c>
      <c r="AK63" s="87" t="s">
        <v>140</v>
      </c>
      <c r="AL63" s="109"/>
      <c r="AM63" s="15"/>
      <c r="AN63" s="15"/>
    </row>
    <row r="64" spans="2:40" hidden="1">
      <c r="B64" s="131">
        <f t="shared" si="18"/>
        <v>5</v>
      </c>
      <c r="C64" s="16">
        <v>20200813</v>
      </c>
      <c r="D64" s="16" t="s">
        <v>2</v>
      </c>
      <c r="E64" s="85" t="s">
        <v>447</v>
      </c>
      <c r="F64" s="80"/>
      <c r="G64" s="47"/>
      <c r="H64" s="16" t="s">
        <v>256</v>
      </c>
      <c r="I64" s="16" t="s">
        <v>374</v>
      </c>
      <c r="J64" s="16" t="s">
        <v>246</v>
      </c>
      <c r="K64" s="47" t="s">
        <v>337</v>
      </c>
      <c r="L64" s="80"/>
      <c r="M64" s="47"/>
      <c r="N64" s="16"/>
      <c r="O64" s="80" t="s">
        <v>413</v>
      </c>
      <c r="P64" s="80" t="s">
        <v>451</v>
      </c>
      <c r="Q64" s="18"/>
      <c r="R64" s="16" t="s">
        <v>478</v>
      </c>
      <c r="S64" s="16" t="s">
        <v>132</v>
      </c>
      <c r="T64" s="16"/>
      <c r="U64" s="16"/>
      <c r="V64" s="16"/>
      <c r="W64" s="15">
        <f>ROUND(IF(D64=Table!$C$3,Y64*Table!$C$4/8,Y64*Table!$D$4/8),3)</f>
        <v>62.4</v>
      </c>
      <c r="X64" s="191">
        <v>62.4</v>
      </c>
      <c r="Y64" s="191">
        <v>3.84</v>
      </c>
      <c r="Z64" s="191">
        <v>3.84</v>
      </c>
      <c r="AA64" s="16" t="s">
        <v>21</v>
      </c>
      <c r="AB64" s="81">
        <v>44061</v>
      </c>
      <c r="AC64" s="19">
        <v>44057</v>
      </c>
      <c r="AD64" s="81">
        <v>44061</v>
      </c>
      <c r="AE64" s="81">
        <v>44057</v>
      </c>
      <c r="AF64" s="81">
        <v>44057</v>
      </c>
      <c r="AG64" s="81" t="s">
        <v>155</v>
      </c>
      <c r="AH64" s="82">
        <v>0.95699999999999996</v>
      </c>
      <c r="AI64" s="82">
        <v>0.96</v>
      </c>
      <c r="AJ64" s="82">
        <v>0.438</v>
      </c>
      <c r="AK64" s="87" t="s">
        <v>140</v>
      </c>
      <c r="AL64" s="84" t="s">
        <v>466</v>
      </c>
      <c r="AM64" s="73"/>
      <c r="AN64" s="15"/>
    </row>
    <row r="65" spans="2:40" hidden="1">
      <c r="B65" s="131">
        <f t="shared" si="18"/>
        <v>6</v>
      </c>
      <c r="C65" s="16">
        <v>20200813</v>
      </c>
      <c r="D65" s="16" t="s">
        <v>2</v>
      </c>
      <c r="E65" s="85" t="s">
        <v>447</v>
      </c>
      <c r="F65" s="80"/>
      <c r="G65" s="47"/>
      <c r="H65" s="16" t="s">
        <v>257</v>
      </c>
      <c r="I65" s="16" t="s">
        <v>375</v>
      </c>
      <c r="J65" s="16" t="s">
        <v>246</v>
      </c>
      <c r="K65" s="47" t="s">
        <v>338</v>
      </c>
      <c r="L65" s="80"/>
      <c r="M65" s="47"/>
      <c r="N65" s="16"/>
      <c r="O65" s="80" t="s">
        <v>414</v>
      </c>
      <c r="P65" s="80" t="s">
        <v>451</v>
      </c>
      <c r="Q65" s="18"/>
      <c r="R65" s="16" t="s">
        <v>478</v>
      </c>
      <c r="S65" s="16" t="s">
        <v>132</v>
      </c>
      <c r="T65" s="16"/>
      <c r="U65" s="16"/>
      <c r="V65" s="16"/>
      <c r="W65" s="15">
        <f>ROUND(IF(D65=Table!$C$3,Y65*Table!$C$4/8,Y65*Table!$D$4/8),3)</f>
        <v>45.5</v>
      </c>
      <c r="X65" s="191">
        <v>45.5</v>
      </c>
      <c r="Y65" s="191">
        <v>2.8</v>
      </c>
      <c r="Z65" s="191">
        <v>2.8</v>
      </c>
      <c r="AA65" s="16" t="s">
        <v>21</v>
      </c>
      <c r="AB65" s="81">
        <v>44061</v>
      </c>
      <c r="AC65" s="19">
        <v>44057</v>
      </c>
      <c r="AD65" s="81">
        <v>44061</v>
      </c>
      <c r="AE65" s="81">
        <v>44057</v>
      </c>
      <c r="AF65" s="81">
        <v>44057</v>
      </c>
      <c r="AG65" s="81" t="s">
        <v>155</v>
      </c>
      <c r="AH65" s="82">
        <v>0.88900000000000001</v>
      </c>
      <c r="AI65" s="82">
        <v>0.89300000000000002</v>
      </c>
      <c r="AJ65" s="82">
        <v>0.45500000000000002</v>
      </c>
      <c r="AK65" s="87" t="s">
        <v>140</v>
      </c>
      <c r="AL65" s="218" t="s">
        <v>468</v>
      </c>
      <c r="AM65" s="15"/>
      <c r="AN65" s="15"/>
    </row>
    <row r="66" spans="2:40" hidden="1">
      <c r="B66" s="131">
        <f t="shared" si="18"/>
        <v>7</v>
      </c>
      <c r="C66" s="16">
        <v>20200813</v>
      </c>
      <c r="D66" s="16" t="s">
        <v>2</v>
      </c>
      <c r="E66" s="85" t="s">
        <v>447</v>
      </c>
      <c r="F66" s="80"/>
      <c r="G66" s="47"/>
      <c r="H66" s="16" t="s">
        <v>282</v>
      </c>
      <c r="I66" s="16" t="s">
        <v>294</v>
      </c>
      <c r="J66" s="16" t="s">
        <v>246</v>
      </c>
      <c r="K66" s="47" t="s">
        <v>339</v>
      </c>
      <c r="L66" s="80"/>
      <c r="M66" s="47"/>
      <c r="N66" s="16"/>
      <c r="O66" s="80" t="s">
        <v>415</v>
      </c>
      <c r="P66" s="80" t="s">
        <v>451</v>
      </c>
      <c r="Q66" s="18"/>
      <c r="R66" s="16" t="s">
        <v>480</v>
      </c>
      <c r="S66" s="16" t="s">
        <v>133</v>
      </c>
      <c r="T66" s="16"/>
      <c r="U66" s="16"/>
      <c r="V66" s="16"/>
      <c r="W66" s="15">
        <f>ROUND(IF(D66=Table!$C$3,Y66*Table!$C$4/8,Y66*Table!$D$4/8),3)</f>
        <v>45.5</v>
      </c>
      <c r="X66" s="191">
        <v>45.5</v>
      </c>
      <c r="Y66" s="191">
        <v>2.8</v>
      </c>
      <c r="Z66" s="191">
        <v>2</v>
      </c>
      <c r="AA66" s="16" t="s">
        <v>21</v>
      </c>
      <c r="AB66" s="81">
        <v>44061</v>
      </c>
      <c r="AC66" s="19">
        <v>44057</v>
      </c>
      <c r="AD66" s="81">
        <v>44061</v>
      </c>
      <c r="AE66" s="81">
        <v>44057</v>
      </c>
      <c r="AF66" s="81">
        <v>44057</v>
      </c>
      <c r="AG66" s="81" t="s">
        <v>155</v>
      </c>
      <c r="AH66" s="82">
        <v>1</v>
      </c>
      <c r="AI66" s="82">
        <v>1</v>
      </c>
      <c r="AJ66" s="82" t="s">
        <v>213</v>
      </c>
      <c r="AK66" s="87" t="s">
        <v>140</v>
      </c>
      <c r="AL66" s="84" t="s">
        <v>58</v>
      </c>
      <c r="AM66" s="17" t="s">
        <v>58</v>
      </c>
      <c r="AN66" s="17" t="s">
        <v>58</v>
      </c>
    </row>
    <row r="67" spans="2:40" hidden="1">
      <c r="B67" s="131">
        <f t="shared" si="18"/>
        <v>8</v>
      </c>
      <c r="C67" s="16">
        <v>20200813</v>
      </c>
      <c r="D67" s="16" t="s">
        <v>2</v>
      </c>
      <c r="E67" s="85" t="s">
        <v>447</v>
      </c>
      <c r="F67" s="80"/>
      <c r="G67" s="47"/>
      <c r="H67" s="16" t="s">
        <v>258</v>
      </c>
      <c r="I67" s="16" t="s">
        <v>305</v>
      </c>
      <c r="J67" s="16" t="s">
        <v>246</v>
      </c>
      <c r="K67" s="47" t="s">
        <v>340</v>
      </c>
      <c r="L67" s="80"/>
      <c r="M67" s="47"/>
      <c r="N67" s="16"/>
      <c r="O67" s="80" t="s">
        <v>416</v>
      </c>
      <c r="P67" s="80" t="s">
        <v>451</v>
      </c>
      <c r="Q67" s="18"/>
      <c r="R67" s="16" t="s">
        <v>480</v>
      </c>
      <c r="S67" s="16" t="s">
        <v>133</v>
      </c>
      <c r="T67" s="16"/>
      <c r="U67" s="16"/>
      <c r="V67" s="16"/>
      <c r="W67" s="15">
        <f>ROUND(IF(D67=Table!$C$3,Y67*Table!$C$4/8,Y67*Table!$D$4/8),3)</f>
        <v>39</v>
      </c>
      <c r="X67" s="191">
        <v>39</v>
      </c>
      <c r="Y67" s="191">
        <v>2.4</v>
      </c>
      <c r="Z67" s="191">
        <v>1.5</v>
      </c>
      <c r="AA67" s="16" t="s">
        <v>21</v>
      </c>
      <c r="AB67" s="81">
        <v>44061</v>
      </c>
      <c r="AC67" s="19">
        <v>44057</v>
      </c>
      <c r="AD67" s="81">
        <v>44061</v>
      </c>
      <c r="AE67" s="81">
        <v>44057</v>
      </c>
      <c r="AF67" s="81">
        <v>44057</v>
      </c>
      <c r="AG67" s="81" t="s">
        <v>155</v>
      </c>
      <c r="AH67" s="82">
        <v>0.85699999999999998</v>
      </c>
      <c r="AI67" s="82">
        <v>0.85699999999999998</v>
      </c>
      <c r="AJ67" s="82" t="s">
        <v>213</v>
      </c>
      <c r="AK67" s="87" t="s">
        <v>140</v>
      </c>
      <c r="AL67" s="95" t="s">
        <v>472</v>
      </c>
      <c r="AM67" s="15"/>
      <c r="AN67" s="15"/>
    </row>
    <row r="68" spans="2:40" hidden="1">
      <c r="B68" s="131">
        <f t="shared" si="18"/>
        <v>9</v>
      </c>
      <c r="C68" s="16">
        <v>20200813</v>
      </c>
      <c r="D68" s="16" t="s">
        <v>2</v>
      </c>
      <c r="E68" s="85" t="s">
        <v>447</v>
      </c>
      <c r="F68" s="80"/>
      <c r="G68" s="47"/>
      <c r="H68" s="16" t="s">
        <v>283</v>
      </c>
      <c r="I68" s="16" t="s">
        <v>247</v>
      </c>
      <c r="J68" s="16" t="s">
        <v>246</v>
      </c>
      <c r="K68" s="47" t="s">
        <v>341</v>
      </c>
      <c r="L68" s="80"/>
      <c r="M68" s="47"/>
      <c r="N68" s="16"/>
      <c r="O68" s="80" t="s">
        <v>417</v>
      </c>
      <c r="P68" s="80" t="s">
        <v>451</v>
      </c>
      <c r="Q68" s="18"/>
      <c r="R68" s="16" t="s">
        <v>480</v>
      </c>
      <c r="S68" s="16" t="s">
        <v>133</v>
      </c>
      <c r="T68" s="16"/>
      <c r="U68" s="16"/>
      <c r="V68" s="16"/>
      <c r="W68" s="15">
        <f>ROUND(IF(D68=Table!$C$3,Y68*Table!$C$4/8,Y68*Table!$D$4/8),3)</f>
        <v>41.6</v>
      </c>
      <c r="X68" s="191">
        <v>41.6</v>
      </c>
      <c r="Y68" s="191">
        <v>2.56</v>
      </c>
      <c r="Z68" s="191">
        <v>2</v>
      </c>
      <c r="AA68" s="16" t="s">
        <v>21</v>
      </c>
      <c r="AB68" s="81">
        <v>44061</v>
      </c>
      <c r="AC68" s="19">
        <v>44057</v>
      </c>
      <c r="AD68" s="81">
        <v>44061</v>
      </c>
      <c r="AE68" s="81">
        <v>44056</v>
      </c>
      <c r="AF68" s="81">
        <v>44056</v>
      </c>
      <c r="AG68" s="81" t="s">
        <v>155</v>
      </c>
      <c r="AH68" s="82">
        <v>0.83299999999999996</v>
      </c>
      <c r="AI68" s="82">
        <v>0.83299999999999996</v>
      </c>
      <c r="AJ68" s="82">
        <v>1</v>
      </c>
      <c r="AK68" s="87" t="s">
        <v>140</v>
      </c>
      <c r="AL68" s="140" t="s">
        <v>1047</v>
      </c>
      <c r="AM68" s="17" t="s">
        <v>58</v>
      </c>
      <c r="AN68" s="17" t="s">
        <v>58</v>
      </c>
    </row>
    <row r="69" spans="2:40" hidden="1">
      <c r="B69" s="131">
        <f t="shared" si="18"/>
        <v>10</v>
      </c>
      <c r="C69" s="16">
        <v>20200813</v>
      </c>
      <c r="D69" s="16" t="s">
        <v>2</v>
      </c>
      <c r="E69" s="85" t="s">
        <v>447</v>
      </c>
      <c r="F69" s="80"/>
      <c r="G69" s="47"/>
      <c r="H69" s="16" t="s">
        <v>286</v>
      </c>
      <c r="I69" s="16" t="s">
        <v>276</v>
      </c>
      <c r="J69" s="16" t="s">
        <v>208</v>
      </c>
      <c r="K69" s="47" t="s">
        <v>342</v>
      </c>
      <c r="L69" s="80"/>
      <c r="M69" s="47"/>
      <c r="N69" s="16"/>
      <c r="O69" s="80" t="s">
        <v>418</v>
      </c>
      <c r="P69" s="80" t="s">
        <v>451</v>
      </c>
      <c r="Q69" s="18"/>
      <c r="R69" s="16" t="s">
        <v>479</v>
      </c>
      <c r="S69" s="16" t="s">
        <v>174</v>
      </c>
      <c r="T69" s="16"/>
      <c r="U69" s="16"/>
      <c r="V69" s="16"/>
      <c r="W69" s="15">
        <f>ROUND(IF(D69=Table!$C$3,Y69*Table!$C$4/8,Y69*Table!$D$4/8),3)</f>
        <v>39</v>
      </c>
      <c r="X69" s="191">
        <f t="shared" ref="X69:X77" si="19">W69</f>
        <v>39</v>
      </c>
      <c r="Y69" s="191">
        <v>2.4</v>
      </c>
      <c r="Z69" s="191">
        <f t="shared" ref="Z69:Z77" si="20">Y69</f>
        <v>2.4</v>
      </c>
      <c r="AA69" s="16" t="s">
        <v>21</v>
      </c>
      <c r="AB69" s="81">
        <v>44061</v>
      </c>
      <c r="AC69" s="19">
        <v>44057</v>
      </c>
      <c r="AD69" s="81">
        <v>44061</v>
      </c>
      <c r="AE69" s="81">
        <v>44060</v>
      </c>
      <c r="AF69" s="81">
        <v>44060</v>
      </c>
      <c r="AG69" s="81" t="s">
        <v>155</v>
      </c>
      <c r="AH69" s="141">
        <v>0.89500000000000002</v>
      </c>
      <c r="AI69" s="141">
        <v>0.89500000000000002</v>
      </c>
      <c r="AJ69" s="82" t="s">
        <v>213</v>
      </c>
      <c r="AK69" s="87" t="s">
        <v>140</v>
      </c>
      <c r="AL69" s="109" t="s">
        <v>469</v>
      </c>
      <c r="AM69" s="15"/>
      <c r="AN69" s="15"/>
    </row>
    <row r="70" spans="2:40" hidden="1">
      <c r="B70" s="131">
        <f t="shared" si="18"/>
        <v>11</v>
      </c>
      <c r="C70" s="16">
        <v>20200813</v>
      </c>
      <c r="D70" s="16" t="s">
        <v>2</v>
      </c>
      <c r="E70" s="85" t="s">
        <v>447</v>
      </c>
      <c r="F70" s="80"/>
      <c r="G70" s="47"/>
      <c r="H70" s="16" t="s">
        <v>287</v>
      </c>
      <c r="I70" s="16" t="s">
        <v>217</v>
      </c>
      <c r="J70" s="16" t="s">
        <v>246</v>
      </c>
      <c r="K70" s="47" t="s">
        <v>343</v>
      </c>
      <c r="L70" s="80"/>
      <c r="M70" s="47"/>
      <c r="N70" s="16"/>
      <c r="O70" s="80" t="s">
        <v>419</v>
      </c>
      <c r="P70" s="80" t="s">
        <v>451</v>
      </c>
      <c r="Q70" s="18"/>
      <c r="R70" s="16" t="s">
        <v>479</v>
      </c>
      <c r="S70" s="16" t="s">
        <v>174</v>
      </c>
      <c r="T70" s="16"/>
      <c r="U70" s="16"/>
      <c r="V70" s="16"/>
      <c r="W70" s="15">
        <f>ROUND(IF(D70=Table!$C$3,Y70*Table!$C$4/8,Y70*Table!$D$4/8),3)</f>
        <v>39</v>
      </c>
      <c r="X70" s="191">
        <f t="shared" si="19"/>
        <v>39</v>
      </c>
      <c r="Y70" s="191">
        <v>2.4</v>
      </c>
      <c r="Z70" s="191">
        <f t="shared" si="20"/>
        <v>2.4</v>
      </c>
      <c r="AA70" s="16" t="s">
        <v>21</v>
      </c>
      <c r="AB70" s="81">
        <v>44061</v>
      </c>
      <c r="AC70" s="19">
        <v>44057</v>
      </c>
      <c r="AD70" s="81">
        <v>44061</v>
      </c>
      <c r="AE70" s="81">
        <v>44060</v>
      </c>
      <c r="AF70" s="81">
        <v>44060</v>
      </c>
      <c r="AG70" s="81" t="s">
        <v>155</v>
      </c>
      <c r="AH70" s="82">
        <v>0.89500000000000002</v>
      </c>
      <c r="AI70" s="82">
        <v>0.89500000000000002</v>
      </c>
      <c r="AJ70" s="82" t="s">
        <v>213</v>
      </c>
      <c r="AK70" s="87" t="s">
        <v>140</v>
      </c>
      <c r="AL70" s="95" t="s">
        <v>469</v>
      </c>
      <c r="AM70" s="15"/>
      <c r="AN70" s="15"/>
    </row>
    <row r="71" spans="2:40" hidden="1">
      <c r="B71" s="131">
        <f t="shared" si="18"/>
        <v>12</v>
      </c>
      <c r="C71" s="16">
        <v>20200813</v>
      </c>
      <c r="D71" s="16" t="s">
        <v>2</v>
      </c>
      <c r="E71" s="85" t="s">
        <v>447</v>
      </c>
      <c r="F71" s="80"/>
      <c r="G71" s="47"/>
      <c r="H71" s="16" t="s">
        <v>225</v>
      </c>
      <c r="I71" s="16" t="s">
        <v>376</v>
      </c>
      <c r="J71" s="16" t="s">
        <v>208</v>
      </c>
      <c r="K71" s="47" t="s">
        <v>334</v>
      </c>
      <c r="L71" s="80"/>
      <c r="M71" s="47"/>
      <c r="N71" s="16"/>
      <c r="O71" s="80" t="s">
        <v>420</v>
      </c>
      <c r="P71" s="80" t="s">
        <v>451</v>
      </c>
      <c r="Q71" s="18"/>
      <c r="R71" s="16" t="s">
        <v>479</v>
      </c>
      <c r="S71" s="16" t="s">
        <v>174</v>
      </c>
      <c r="T71" s="16"/>
      <c r="U71" s="16"/>
      <c r="V71" s="16"/>
      <c r="W71" s="15">
        <f>ROUND(IF(D71=Table!$C$3,Y71*Table!$C$4/8,Y71*Table!$D$4/8),3)</f>
        <v>32.5</v>
      </c>
      <c r="X71" s="191">
        <f t="shared" si="19"/>
        <v>32.5</v>
      </c>
      <c r="Y71" s="191">
        <v>2</v>
      </c>
      <c r="Z71" s="191">
        <f t="shared" si="20"/>
        <v>2</v>
      </c>
      <c r="AA71" s="16" t="s">
        <v>21</v>
      </c>
      <c r="AB71" s="81">
        <v>44061</v>
      </c>
      <c r="AC71" s="19">
        <v>44057</v>
      </c>
      <c r="AD71" s="81">
        <v>44061</v>
      </c>
      <c r="AE71" s="81">
        <v>44060</v>
      </c>
      <c r="AF71" s="81">
        <v>44060</v>
      </c>
      <c r="AG71" s="81" t="s">
        <v>155</v>
      </c>
      <c r="AH71" s="141">
        <v>1</v>
      </c>
      <c r="AI71" s="141">
        <v>1</v>
      </c>
      <c r="AJ71" s="82" t="s">
        <v>213</v>
      </c>
      <c r="AK71" s="87" t="s">
        <v>140</v>
      </c>
      <c r="AL71" s="14"/>
      <c r="AM71" s="15"/>
      <c r="AN71" s="15"/>
    </row>
    <row r="72" spans="2:40" hidden="1">
      <c r="B72" s="131">
        <f t="shared" si="18"/>
        <v>13</v>
      </c>
      <c r="C72" s="16">
        <v>20200813</v>
      </c>
      <c r="D72" s="16" t="s">
        <v>2</v>
      </c>
      <c r="E72" s="85" t="s">
        <v>447</v>
      </c>
      <c r="F72" s="80"/>
      <c r="G72" s="47"/>
      <c r="H72" s="16" t="s">
        <v>226</v>
      </c>
      <c r="I72" s="16" t="s">
        <v>377</v>
      </c>
      <c r="J72" s="16" t="s">
        <v>208</v>
      </c>
      <c r="K72" s="47" t="s">
        <v>334</v>
      </c>
      <c r="L72" s="80"/>
      <c r="M72" s="47"/>
      <c r="N72" s="16"/>
      <c r="O72" s="80" t="s">
        <v>421</v>
      </c>
      <c r="P72" s="80" t="s">
        <v>451</v>
      </c>
      <c r="Q72" s="18"/>
      <c r="R72" s="16" t="s">
        <v>479</v>
      </c>
      <c r="S72" s="16" t="s">
        <v>174</v>
      </c>
      <c r="T72" s="16"/>
      <c r="U72" s="16"/>
      <c r="V72" s="16"/>
      <c r="W72" s="15">
        <f>ROUND(IF(D72=Table!$C$3,Y72*Table!$C$4/8,Y72*Table!$D$4/8),3)</f>
        <v>39</v>
      </c>
      <c r="X72" s="191">
        <f t="shared" si="19"/>
        <v>39</v>
      </c>
      <c r="Y72" s="191">
        <v>2.4</v>
      </c>
      <c r="Z72" s="191">
        <f t="shared" si="20"/>
        <v>2.4</v>
      </c>
      <c r="AA72" s="16" t="s">
        <v>21</v>
      </c>
      <c r="AB72" s="81">
        <v>44061</v>
      </c>
      <c r="AC72" s="19">
        <v>44057</v>
      </c>
      <c r="AD72" s="81">
        <v>44061</v>
      </c>
      <c r="AE72" s="81">
        <v>44060</v>
      </c>
      <c r="AF72" s="81">
        <v>44060</v>
      </c>
      <c r="AG72" s="81" t="s">
        <v>155</v>
      </c>
      <c r="AH72" s="141">
        <v>0.875</v>
      </c>
      <c r="AI72" s="141">
        <v>0.875</v>
      </c>
      <c r="AJ72" s="82" t="s">
        <v>213</v>
      </c>
      <c r="AK72" s="87" t="s">
        <v>140</v>
      </c>
      <c r="AL72" s="109" t="s">
        <v>469</v>
      </c>
      <c r="AM72" s="15"/>
      <c r="AN72" s="15"/>
    </row>
    <row r="73" spans="2:40" hidden="1">
      <c r="B73" s="131">
        <f t="shared" si="18"/>
        <v>14</v>
      </c>
      <c r="C73" s="16">
        <v>20200813</v>
      </c>
      <c r="D73" s="16" t="s">
        <v>2</v>
      </c>
      <c r="E73" s="85" t="s">
        <v>447</v>
      </c>
      <c r="F73" s="80"/>
      <c r="G73" s="47"/>
      <c r="H73" s="16" t="s">
        <v>227</v>
      </c>
      <c r="I73" s="16" t="s">
        <v>218</v>
      </c>
      <c r="J73" s="16" t="s">
        <v>246</v>
      </c>
      <c r="K73" s="47" t="s">
        <v>344</v>
      </c>
      <c r="L73" s="80"/>
      <c r="M73" s="47"/>
      <c r="N73" s="16"/>
      <c r="O73" s="80" t="s">
        <v>415</v>
      </c>
      <c r="P73" s="80" t="s">
        <v>451</v>
      </c>
      <c r="Q73" s="18"/>
      <c r="R73" s="16" t="s">
        <v>479</v>
      </c>
      <c r="S73" s="16" t="s">
        <v>174</v>
      </c>
      <c r="T73" s="16"/>
      <c r="U73" s="16"/>
      <c r="V73" s="16"/>
      <c r="W73" s="15">
        <f>ROUND(IF(D73=Table!$C$3,Y73*Table!$C$4/8,Y73*Table!$D$4/8),3)</f>
        <v>39</v>
      </c>
      <c r="X73" s="191">
        <f t="shared" si="19"/>
        <v>39</v>
      </c>
      <c r="Y73" s="191">
        <v>2.4</v>
      </c>
      <c r="Z73" s="191">
        <f t="shared" si="20"/>
        <v>2.4</v>
      </c>
      <c r="AA73" s="16" t="s">
        <v>21</v>
      </c>
      <c r="AB73" s="81">
        <v>44061</v>
      </c>
      <c r="AC73" s="19">
        <v>44057</v>
      </c>
      <c r="AD73" s="81">
        <v>44061</v>
      </c>
      <c r="AE73" s="81">
        <v>44060</v>
      </c>
      <c r="AF73" s="81">
        <v>44060</v>
      </c>
      <c r="AG73" s="81" t="s">
        <v>155</v>
      </c>
      <c r="AH73" s="141">
        <v>0.90900000000000003</v>
      </c>
      <c r="AI73" s="141">
        <v>0.90900000000000003</v>
      </c>
      <c r="AJ73" s="82" t="s">
        <v>213</v>
      </c>
      <c r="AK73" s="87" t="s">
        <v>140</v>
      </c>
      <c r="AL73" s="109" t="s">
        <v>469</v>
      </c>
      <c r="AM73" s="15"/>
      <c r="AN73" s="15"/>
    </row>
    <row r="74" spans="2:40" hidden="1">
      <c r="B74" s="131">
        <f t="shared" si="18"/>
        <v>15</v>
      </c>
      <c r="C74" s="16">
        <v>20200813</v>
      </c>
      <c r="D74" s="16" t="s">
        <v>2</v>
      </c>
      <c r="E74" s="85" t="s">
        <v>447</v>
      </c>
      <c r="F74" s="80"/>
      <c r="G74" s="47"/>
      <c r="H74" s="16" t="s">
        <v>228</v>
      </c>
      <c r="I74" s="16" t="s">
        <v>306</v>
      </c>
      <c r="J74" s="16" t="s">
        <v>246</v>
      </c>
      <c r="K74" s="47" t="s">
        <v>345</v>
      </c>
      <c r="L74" s="80"/>
      <c r="M74" s="47"/>
      <c r="N74" s="16"/>
      <c r="O74" s="80" t="s">
        <v>422</v>
      </c>
      <c r="P74" s="80" t="s">
        <v>451</v>
      </c>
      <c r="Q74" s="18"/>
      <c r="R74" s="16" t="s">
        <v>479</v>
      </c>
      <c r="S74" s="16" t="s">
        <v>174</v>
      </c>
      <c r="T74" s="16"/>
      <c r="U74" s="16"/>
      <c r="V74" s="16"/>
      <c r="W74" s="15">
        <f>ROUND(IF(D74=Table!$C$3,Y74*Table!$C$4/8,Y74*Table!$D$4/8),3)</f>
        <v>41.6</v>
      </c>
      <c r="X74" s="191">
        <f t="shared" si="19"/>
        <v>41.6</v>
      </c>
      <c r="Y74" s="191">
        <v>2.56</v>
      </c>
      <c r="Z74" s="191">
        <f t="shared" si="20"/>
        <v>2.56</v>
      </c>
      <c r="AA74" s="16" t="s">
        <v>21</v>
      </c>
      <c r="AB74" s="81">
        <v>44061</v>
      </c>
      <c r="AC74" s="19">
        <v>44057</v>
      </c>
      <c r="AD74" s="81">
        <v>44061</v>
      </c>
      <c r="AE74" s="81">
        <v>44060</v>
      </c>
      <c r="AF74" s="81">
        <v>44060</v>
      </c>
      <c r="AG74" s="81" t="s">
        <v>155</v>
      </c>
      <c r="AH74" s="141">
        <v>0.83299999999999996</v>
      </c>
      <c r="AI74" s="141">
        <v>0.83299999999999996</v>
      </c>
      <c r="AJ74" s="82" t="s">
        <v>213</v>
      </c>
      <c r="AK74" s="87" t="s">
        <v>140</v>
      </c>
      <c r="AL74" s="109" t="s">
        <v>469</v>
      </c>
      <c r="AM74" s="15"/>
      <c r="AN74" s="15"/>
    </row>
    <row r="75" spans="2:40" hidden="1">
      <c r="B75" s="131">
        <f t="shared" si="18"/>
        <v>16</v>
      </c>
      <c r="C75" s="16">
        <v>20200813</v>
      </c>
      <c r="D75" s="16" t="s">
        <v>2</v>
      </c>
      <c r="E75" s="85" t="s">
        <v>447</v>
      </c>
      <c r="F75" s="80"/>
      <c r="G75" s="47"/>
      <c r="H75" s="16" t="s">
        <v>229</v>
      </c>
      <c r="I75" s="16" t="s">
        <v>378</v>
      </c>
      <c r="J75" s="16" t="s">
        <v>208</v>
      </c>
      <c r="K75" s="47" t="s">
        <v>334</v>
      </c>
      <c r="L75" s="80"/>
      <c r="M75" s="47"/>
      <c r="N75" s="16"/>
      <c r="O75" s="80" t="s">
        <v>421</v>
      </c>
      <c r="P75" s="80" t="s">
        <v>451</v>
      </c>
      <c r="Q75" s="18"/>
      <c r="R75" s="16" t="s">
        <v>479</v>
      </c>
      <c r="S75" s="16" t="s">
        <v>174</v>
      </c>
      <c r="T75" s="16"/>
      <c r="U75" s="16"/>
      <c r="V75" s="16"/>
      <c r="W75" s="15">
        <f>ROUND(IF(D75=Table!$C$3,Y75*Table!$C$4/8,Y75*Table!$D$4/8),3)</f>
        <v>39</v>
      </c>
      <c r="X75" s="191">
        <f t="shared" si="19"/>
        <v>39</v>
      </c>
      <c r="Y75" s="191">
        <v>2.4</v>
      </c>
      <c r="Z75" s="191">
        <f t="shared" si="20"/>
        <v>2.4</v>
      </c>
      <c r="AA75" s="16" t="s">
        <v>21</v>
      </c>
      <c r="AB75" s="81">
        <v>44061</v>
      </c>
      <c r="AC75" s="19">
        <v>44057</v>
      </c>
      <c r="AD75" s="81">
        <v>44061</v>
      </c>
      <c r="AE75" s="81">
        <v>44060</v>
      </c>
      <c r="AF75" s="81">
        <v>44060</v>
      </c>
      <c r="AG75" s="81" t="s">
        <v>155</v>
      </c>
      <c r="AH75" s="82">
        <v>0.86699999999999999</v>
      </c>
      <c r="AI75" s="82">
        <v>0.86699999999999999</v>
      </c>
      <c r="AJ75" s="82" t="s">
        <v>213</v>
      </c>
      <c r="AK75" s="87" t="s">
        <v>140</v>
      </c>
      <c r="AL75" s="109" t="s">
        <v>469</v>
      </c>
      <c r="AM75" s="15"/>
      <c r="AN75" s="15"/>
    </row>
    <row r="76" spans="2:40" hidden="1">
      <c r="B76" s="131">
        <f t="shared" si="18"/>
        <v>17</v>
      </c>
      <c r="C76" s="16">
        <v>20200813</v>
      </c>
      <c r="D76" s="16" t="s">
        <v>2</v>
      </c>
      <c r="E76" s="85" t="s">
        <v>447</v>
      </c>
      <c r="F76" s="80"/>
      <c r="G76" s="47"/>
      <c r="H76" s="136" t="s">
        <v>230</v>
      </c>
      <c r="I76" s="18" t="s">
        <v>379</v>
      </c>
      <c r="J76" s="16" t="s">
        <v>246</v>
      </c>
      <c r="K76" s="47" t="s">
        <v>346</v>
      </c>
      <c r="L76" s="80"/>
      <c r="M76" s="47"/>
      <c r="N76" s="16"/>
      <c r="O76" s="80" t="s">
        <v>421</v>
      </c>
      <c r="P76" s="80" t="s">
        <v>451</v>
      </c>
      <c r="Q76" s="18"/>
      <c r="R76" s="16" t="s">
        <v>476</v>
      </c>
      <c r="S76" s="16" t="s">
        <v>63</v>
      </c>
      <c r="T76" s="16"/>
      <c r="U76" s="16"/>
      <c r="V76" s="16"/>
      <c r="W76" s="15">
        <f>ROUND(IF(D76=Table!$C$3,Y76*Table!$C$4/8,Y76*Table!$D$4/8),3)</f>
        <v>32.5</v>
      </c>
      <c r="X76" s="191">
        <f t="shared" si="19"/>
        <v>32.5</v>
      </c>
      <c r="Y76" s="191">
        <v>2</v>
      </c>
      <c r="Z76" s="191">
        <f t="shared" si="20"/>
        <v>2</v>
      </c>
      <c r="AA76" s="16" t="s">
        <v>21</v>
      </c>
      <c r="AB76" s="81">
        <v>44061</v>
      </c>
      <c r="AC76" s="19">
        <v>44057</v>
      </c>
      <c r="AD76" s="81">
        <v>44061</v>
      </c>
      <c r="AE76" s="81">
        <v>44057</v>
      </c>
      <c r="AF76" s="81">
        <v>44057</v>
      </c>
      <c r="AG76" s="81" t="s">
        <v>155</v>
      </c>
      <c r="AH76" s="82">
        <v>1</v>
      </c>
      <c r="AI76" s="82">
        <v>1</v>
      </c>
      <c r="AJ76" s="82" t="s">
        <v>213</v>
      </c>
      <c r="AK76" s="87" t="s">
        <v>140</v>
      </c>
      <c r="AL76" s="105"/>
      <c r="AM76" s="15"/>
      <c r="AN76" s="15"/>
    </row>
    <row r="77" spans="2:40" hidden="1">
      <c r="B77" s="131">
        <f t="shared" si="18"/>
        <v>18</v>
      </c>
      <c r="C77" s="16">
        <v>20200813</v>
      </c>
      <c r="D77" s="16" t="s">
        <v>2</v>
      </c>
      <c r="E77" s="85" t="s">
        <v>447</v>
      </c>
      <c r="F77" s="80"/>
      <c r="G77" s="47"/>
      <c r="H77" s="16" t="s">
        <v>231</v>
      </c>
      <c r="I77" s="18" t="s">
        <v>380</v>
      </c>
      <c r="J77" s="16" t="s">
        <v>208</v>
      </c>
      <c r="K77" s="47" t="s">
        <v>347</v>
      </c>
      <c r="L77" s="80"/>
      <c r="M77" s="47"/>
      <c r="N77" s="16"/>
      <c r="O77" s="80" t="s">
        <v>423</v>
      </c>
      <c r="P77" s="80" t="s">
        <v>452</v>
      </c>
      <c r="Q77" s="18"/>
      <c r="R77" s="16" t="s">
        <v>476</v>
      </c>
      <c r="S77" s="16" t="s">
        <v>63</v>
      </c>
      <c r="T77" s="16"/>
      <c r="U77" s="16"/>
      <c r="V77" s="16"/>
      <c r="W77" s="15">
        <f>ROUND(IF(D77=Table!$C$3,Y77*Table!$C$4/8,Y77*Table!$D$4/8),3)</f>
        <v>39</v>
      </c>
      <c r="X77" s="191">
        <f t="shared" si="19"/>
        <v>39</v>
      </c>
      <c r="Y77" s="191">
        <v>2.4</v>
      </c>
      <c r="Z77" s="191">
        <f t="shared" si="20"/>
        <v>2.4</v>
      </c>
      <c r="AA77" s="16" t="s">
        <v>21</v>
      </c>
      <c r="AB77" s="81">
        <v>44061</v>
      </c>
      <c r="AC77" s="19">
        <v>44057</v>
      </c>
      <c r="AD77" s="81">
        <v>44061</v>
      </c>
      <c r="AE77" s="81">
        <v>44057</v>
      </c>
      <c r="AF77" s="81">
        <v>44057</v>
      </c>
      <c r="AG77" s="81" t="s">
        <v>155</v>
      </c>
      <c r="AH77" s="82">
        <v>0.79200000000000004</v>
      </c>
      <c r="AI77" s="82">
        <v>0.83299999999999996</v>
      </c>
      <c r="AJ77" s="82">
        <v>1</v>
      </c>
      <c r="AK77" s="87" t="s">
        <v>140</v>
      </c>
      <c r="AL77" s="95" t="s">
        <v>467</v>
      </c>
      <c r="AM77" s="15"/>
      <c r="AN77" s="15"/>
    </row>
    <row r="78" spans="2:40" hidden="1">
      <c r="B78" s="131">
        <f t="shared" si="18"/>
        <v>19</v>
      </c>
      <c r="C78" s="16">
        <v>20200813</v>
      </c>
      <c r="D78" s="16" t="s">
        <v>2</v>
      </c>
      <c r="E78" s="85" t="s">
        <v>447</v>
      </c>
      <c r="F78" s="80"/>
      <c r="G78" s="47"/>
      <c r="H78" s="16" t="s">
        <v>232</v>
      </c>
      <c r="I78" s="148" t="s">
        <v>381</v>
      </c>
      <c r="J78" s="16" t="s">
        <v>208</v>
      </c>
      <c r="K78" s="47" t="s">
        <v>348</v>
      </c>
      <c r="L78" s="80"/>
      <c r="M78" s="47"/>
      <c r="N78" s="16"/>
      <c r="O78" s="80" t="s">
        <v>424</v>
      </c>
      <c r="P78" s="80" t="s">
        <v>452</v>
      </c>
      <c r="Q78" s="18"/>
      <c r="R78" s="16" t="s">
        <v>475</v>
      </c>
      <c r="S78" s="16" t="s">
        <v>62</v>
      </c>
      <c r="T78" s="16"/>
      <c r="U78" s="16"/>
      <c r="V78" s="16"/>
      <c r="W78" s="15">
        <f>ROUND(IF(D78=Table!$C$3,Y78*Table!$C$4/8,Y78*Table!$D$4/8),3)</f>
        <v>58.5</v>
      </c>
      <c r="X78" s="191">
        <f t="shared" ref="X78:X96" si="21">W78</f>
        <v>58.5</v>
      </c>
      <c r="Y78" s="191">
        <v>3.6</v>
      </c>
      <c r="Z78" s="191"/>
      <c r="AA78" s="16" t="s">
        <v>21</v>
      </c>
      <c r="AB78" s="81">
        <v>44061</v>
      </c>
      <c r="AC78" s="19">
        <v>44057</v>
      </c>
      <c r="AD78" s="81">
        <v>44061</v>
      </c>
      <c r="AE78" s="81">
        <v>44061</v>
      </c>
      <c r="AF78" s="81">
        <v>44061</v>
      </c>
      <c r="AG78" s="81" t="s">
        <v>155</v>
      </c>
      <c r="AH78" s="141">
        <v>0.74399999999999999</v>
      </c>
      <c r="AI78" s="141">
        <v>0.75</v>
      </c>
      <c r="AJ78" s="141" t="s">
        <v>213</v>
      </c>
      <c r="AK78" s="87"/>
      <c r="AL78" s="95" t="s">
        <v>474</v>
      </c>
      <c r="AM78" s="15"/>
      <c r="AN78" s="15"/>
    </row>
    <row r="79" spans="2:40" hidden="1">
      <c r="B79" s="131">
        <f t="shared" si="18"/>
        <v>20</v>
      </c>
      <c r="C79" s="16">
        <v>20200813</v>
      </c>
      <c r="D79" s="16" t="s">
        <v>3</v>
      </c>
      <c r="E79" s="85" t="s">
        <v>447</v>
      </c>
      <c r="F79" s="80"/>
      <c r="G79" s="47"/>
      <c r="H79" s="217" t="s">
        <v>273</v>
      </c>
      <c r="I79" s="217" t="s">
        <v>382</v>
      </c>
      <c r="J79" s="16" t="s">
        <v>208</v>
      </c>
      <c r="K79" s="47"/>
      <c r="L79" s="80" t="s">
        <v>473</v>
      </c>
      <c r="M79" s="47"/>
      <c r="N79" s="16"/>
      <c r="O79" s="80" t="s">
        <v>425</v>
      </c>
      <c r="P79" s="80" t="s">
        <v>453</v>
      </c>
      <c r="Q79" s="18"/>
      <c r="R79" s="16" t="s">
        <v>476</v>
      </c>
      <c r="S79" s="16" t="s">
        <v>63</v>
      </c>
      <c r="T79" s="16"/>
      <c r="U79" s="16"/>
      <c r="V79" s="16"/>
      <c r="W79" s="15">
        <f>ROUND(IF(D79=Table!$C$3,Y79*Table!$C$4/8,Y79*Table!$D$4/8),3)</f>
        <v>67.5</v>
      </c>
      <c r="X79" s="191">
        <f t="shared" si="21"/>
        <v>67.5</v>
      </c>
      <c r="Y79" s="191">
        <v>1.2</v>
      </c>
      <c r="Z79" s="191">
        <f>Y79</f>
        <v>1.2</v>
      </c>
      <c r="AA79" s="16" t="s">
        <v>21</v>
      </c>
      <c r="AB79" s="81">
        <v>44061</v>
      </c>
      <c r="AC79" s="19">
        <v>44057</v>
      </c>
      <c r="AD79" s="81">
        <v>44061</v>
      </c>
      <c r="AE79" s="81">
        <v>44056</v>
      </c>
      <c r="AF79" s="81">
        <v>44056</v>
      </c>
      <c r="AG79" s="81" t="s">
        <v>155</v>
      </c>
      <c r="AH79" s="82">
        <v>1</v>
      </c>
      <c r="AI79" s="82">
        <v>1</v>
      </c>
      <c r="AJ79" s="82">
        <v>1</v>
      </c>
      <c r="AK79" s="87" t="s">
        <v>140</v>
      </c>
      <c r="AL79" s="84"/>
      <c r="AM79" s="15"/>
      <c r="AN79" s="15"/>
    </row>
    <row r="80" spans="2:40" hidden="1">
      <c r="B80" s="131">
        <f t="shared" si="18"/>
        <v>21</v>
      </c>
      <c r="C80" s="16">
        <v>20200813</v>
      </c>
      <c r="D80" s="16" t="s">
        <v>2</v>
      </c>
      <c r="E80" s="85" t="s">
        <v>447</v>
      </c>
      <c r="F80" s="80"/>
      <c r="G80" s="47"/>
      <c r="H80" s="16" t="s">
        <v>233</v>
      </c>
      <c r="I80" s="18" t="s">
        <v>383</v>
      </c>
      <c r="J80" s="16" t="s">
        <v>246</v>
      </c>
      <c r="K80" s="47" t="s">
        <v>349</v>
      </c>
      <c r="L80" s="80"/>
      <c r="M80" s="47"/>
      <c r="N80" s="16"/>
      <c r="O80" s="80" t="s">
        <v>248</v>
      </c>
      <c r="P80" s="80" t="s">
        <v>245</v>
      </c>
      <c r="Q80" s="18"/>
      <c r="R80" s="16" t="s">
        <v>476</v>
      </c>
      <c r="S80" s="16" t="s">
        <v>63</v>
      </c>
      <c r="T80" s="16"/>
      <c r="U80" s="16"/>
      <c r="V80" s="16"/>
      <c r="W80" s="15">
        <f>ROUND(IF(D80=Table!$C$3,Y80*Table!$C$4/8,Y80*Table!$D$4/8),3)</f>
        <v>32.5</v>
      </c>
      <c r="X80" s="191">
        <f t="shared" si="21"/>
        <v>32.5</v>
      </c>
      <c r="Y80" s="191">
        <v>2</v>
      </c>
      <c r="Z80" s="191">
        <f>Y80</f>
        <v>2</v>
      </c>
      <c r="AA80" s="16" t="s">
        <v>21</v>
      </c>
      <c r="AB80" s="81">
        <v>44061</v>
      </c>
      <c r="AC80" s="19">
        <v>44057</v>
      </c>
      <c r="AD80" s="81">
        <v>44061</v>
      </c>
      <c r="AE80" s="81">
        <v>44057</v>
      </c>
      <c r="AF80" s="81">
        <v>44057</v>
      </c>
      <c r="AG80" s="81" t="s">
        <v>155</v>
      </c>
      <c r="AH80" s="82">
        <v>1</v>
      </c>
      <c r="AI80" s="82">
        <v>1</v>
      </c>
      <c r="AJ80" s="82">
        <v>1</v>
      </c>
      <c r="AK80" s="87" t="s">
        <v>140</v>
      </c>
      <c r="AL80" s="109"/>
      <c r="AM80" s="15"/>
      <c r="AN80" s="15"/>
    </row>
    <row r="81" spans="2:40" hidden="1">
      <c r="B81" s="131">
        <f t="shared" si="18"/>
        <v>22</v>
      </c>
      <c r="C81" s="16">
        <v>20200813</v>
      </c>
      <c r="D81" s="16" t="s">
        <v>2</v>
      </c>
      <c r="E81" s="85" t="s">
        <v>447</v>
      </c>
      <c r="F81" s="80"/>
      <c r="G81" s="47"/>
      <c r="H81" s="16" t="s">
        <v>234</v>
      </c>
      <c r="I81" s="18" t="s">
        <v>384</v>
      </c>
      <c r="J81" s="16" t="s">
        <v>246</v>
      </c>
      <c r="K81" s="47" t="s">
        <v>350</v>
      </c>
      <c r="L81" s="80"/>
      <c r="M81" s="47"/>
      <c r="N81" s="16"/>
      <c r="O81" s="80" t="s">
        <v>210</v>
      </c>
      <c r="P81" s="80" t="s">
        <v>454</v>
      </c>
      <c r="Q81" s="18"/>
      <c r="R81" s="16" t="s">
        <v>476</v>
      </c>
      <c r="S81" s="16" t="s">
        <v>63</v>
      </c>
      <c r="T81" s="16"/>
      <c r="U81" s="16"/>
      <c r="V81" s="16"/>
      <c r="W81" s="15">
        <f>ROUND(IF(D81=Table!$C$3,Y81*Table!$C$4/8,Y81*Table!$D$4/8),3)</f>
        <v>32.5</v>
      </c>
      <c r="X81" s="191">
        <f t="shared" si="21"/>
        <v>32.5</v>
      </c>
      <c r="Y81" s="191">
        <v>2</v>
      </c>
      <c r="Z81" s="191">
        <f>Y81</f>
        <v>2</v>
      </c>
      <c r="AA81" s="16" t="s">
        <v>21</v>
      </c>
      <c r="AB81" s="81">
        <v>44061</v>
      </c>
      <c r="AC81" s="19">
        <v>44057</v>
      </c>
      <c r="AD81" s="81">
        <v>44061</v>
      </c>
      <c r="AE81" s="81">
        <v>44057</v>
      </c>
      <c r="AF81" s="81">
        <v>44057</v>
      </c>
      <c r="AG81" s="81" t="s">
        <v>155</v>
      </c>
      <c r="AH81" s="82">
        <v>1</v>
      </c>
      <c r="AI81" s="82">
        <v>1</v>
      </c>
      <c r="AJ81" s="82">
        <v>0.625</v>
      </c>
      <c r="AK81" s="87" t="s">
        <v>140</v>
      </c>
      <c r="AL81" s="109"/>
      <c r="AM81" s="15"/>
      <c r="AN81" s="15"/>
    </row>
    <row r="82" spans="2:40" hidden="1">
      <c r="B82" s="131">
        <f t="shared" si="18"/>
        <v>23</v>
      </c>
      <c r="C82" s="16">
        <v>20200813</v>
      </c>
      <c r="D82" s="16" t="s">
        <v>2</v>
      </c>
      <c r="E82" s="85" t="s">
        <v>447</v>
      </c>
      <c r="F82" s="80"/>
      <c r="G82" s="47"/>
      <c r="H82" s="16" t="s">
        <v>235</v>
      </c>
      <c r="I82" s="18" t="s">
        <v>385</v>
      </c>
      <c r="J82" s="16" t="s">
        <v>246</v>
      </c>
      <c r="K82" s="47" t="s">
        <v>351</v>
      </c>
      <c r="L82" s="80"/>
      <c r="M82" s="47"/>
      <c r="N82" s="16"/>
      <c r="O82" s="80" t="s">
        <v>210</v>
      </c>
      <c r="P82" s="80" t="s">
        <v>454</v>
      </c>
      <c r="Q82" s="18"/>
      <c r="R82" s="16" t="s">
        <v>476</v>
      </c>
      <c r="S82" s="16" t="s">
        <v>63</v>
      </c>
      <c r="T82" s="16"/>
      <c r="U82" s="16"/>
      <c r="V82" s="16"/>
      <c r="W82" s="15">
        <f>ROUND(IF(D82=Table!$C$3,Y82*Table!$C$4/8,Y82*Table!$D$4/8),3)</f>
        <v>32.5</v>
      </c>
      <c r="X82" s="191">
        <f t="shared" si="21"/>
        <v>32.5</v>
      </c>
      <c r="Y82" s="191">
        <v>2</v>
      </c>
      <c r="Z82" s="191">
        <f>Y82</f>
        <v>2</v>
      </c>
      <c r="AA82" s="16" t="s">
        <v>21</v>
      </c>
      <c r="AB82" s="81">
        <v>44061</v>
      </c>
      <c r="AC82" s="19">
        <v>44057</v>
      </c>
      <c r="AD82" s="81">
        <v>44061</v>
      </c>
      <c r="AE82" s="81">
        <v>44057</v>
      </c>
      <c r="AF82" s="81">
        <v>44057</v>
      </c>
      <c r="AG82" s="81" t="s">
        <v>155</v>
      </c>
      <c r="AH82" s="82">
        <v>1</v>
      </c>
      <c r="AI82" s="82">
        <v>0.85699999999999998</v>
      </c>
      <c r="AJ82" s="82">
        <v>1</v>
      </c>
      <c r="AK82" s="87" t="s">
        <v>140</v>
      </c>
      <c r="AL82" s="14" t="s">
        <v>471</v>
      </c>
      <c r="AM82" s="15"/>
      <c r="AN82" s="15"/>
    </row>
    <row r="83" spans="2:40" hidden="1">
      <c r="B83" s="131">
        <f t="shared" si="18"/>
        <v>24</v>
      </c>
      <c r="C83" s="16">
        <v>20200813</v>
      </c>
      <c r="D83" s="16" t="s">
        <v>2</v>
      </c>
      <c r="E83" s="85" t="s">
        <v>447</v>
      </c>
      <c r="F83" s="80"/>
      <c r="G83" s="47"/>
      <c r="H83" s="16" t="s">
        <v>236</v>
      </c>
      <c r="I83" s="18" t="s">
        <v>386</v>
      </c>
      <c r="J83" s="16" t="s">
        <v>246</v>
      </c>
      <c r="K83" s="47" t="s">
        <v>352</v>
      </c>
      <c r="L83" s="80"/>
      <c r="M83" s="47"/>
      <c r="O83" s="80" t="s">
        <v>426</v>
      </c>
      <c r="P83" s="80" t="s">
        <v>455</v>
      </c>
      <c r="Q83" s="18"/>
      <c r="R83" s="16" t="s">
        <v>476</v>
      </c>
      <c r="S83" s="16" t="s">
        <v>63</v>
      </c>
      <c r="T83" s="16"/>
      <c r="U83" s="16"/>
      <c r="V83" s="16"/>
      <c r="W83" s="15">
        <f>ROUND(IF(D83=Table!$C$3,Y83*Table!$C$4/8,Y83*Table!$D$4/8),3)</f>
        <v>91</v>
      </c>
      <c r="X83" s="191">
        <f t="shared" si="21"/>
        <v>91</v>
      </c>
      <c r="Y83" s="191">
        <v>5.6</v>
      </c>
      <c r="Z83" s="191">
        <f>Y83</f>
        <v>5.6</v>
      </c>
      <c r="AA83" s="16" t="s">
        <v>21</v>
      </c>
      <c r="AB83" s="81">
        <v>44061</v>
      </c>
      <c r="AC83" s="19">
        <v>44057</v>
      </c>
      <c r="AD83" s="81">
        <v>44061</v>
      </c>
      <c r="AE83" s="81">
        <v>44057</v>
      </c>
      <c r="AF83" s="81">
        <v>44057</v>
      </c>
      <c r="AG83" s="81" t="s">
        <v>155</v>
      </c>
      <c r="AH83" s="82">
        <v>1</v>
      </c>
      <c r="AI83" s="82">
        <v>1</v>
      </c>
      <c r="AJ83" s="82">
        <v>0.2</v>
      </c>
      <c r="AK83" s="87"/>
      <c r="AL83" s="95"/>
      <c r="AM83" s="15"/>
      <c r="AN83" s="15"/>
    </row>
    <row r="84" spans="2:40" hidden="1">
      <c r="B84" s="131">
        <f t="shared" si="18"/>
        <v>25</v>
      </c>
      <c r="C84" s="16">
        <v>20200813</v>
      </c>
      <c r="D84" s="16" t="s">
        <v>2</v>
      </c>
      <c r="E84" s="85" t="s">
        <v>447</v>
      </c>
      <c r="F84" s="80"/>
      <c r="G84" s="47"/>
      <c r="H84" s="16" t="s">
        <v>237</v>
      </c>
      <c r="I84" s="148" t="s">
        <v>387</v>
      </c>
      <c r="J84" s="16" t="s">
        <v>246</v>
      </c>
      <c r="K84" s="47" t="s">
        <v>353</v>
      </c>
      <c r="L84" s="80"/>
      <c r="M84" s="47"/>
      <c r="N84" s="16"/>
      <c r="O84" s="80" t="s">
        <v>215</v>
      </c>
      <c r="P84" s="80" t="s">
        <v>455</v>
      </c>
      <c r="Q84" s="18"/>
      <c r="R84" s="16" t="s">
        <v>475</v>
      </c>
      <c r="S84" s="16" t="s">
        <v>62</v>
      </c>
      <c r="T84" s="16"/>
      <c r="U84" s="16"/>
      <c r="V84" s="16"/>
      <c r="W84" s="15">
        <f>ROUND(IF(D84=Table!$C$3,Y84*Table!$C$4/8,Y84*Table!$D$4/8),3)</f>
        <v>91</v>
      </c>
      <c r="X84" s="191">
        <f t="shared" si="21"/>
        <v>91</v>
      </c>
      <c r="Y84" s="191">
        <v>5.6</v>
      </c>
      <c r="Z84" s="191"/>
      <c r="AA84" s="16" t="s">
        <v>21</v>
      </c>
      <c r="AB84" s="81">
        <v>44061</v>
      </c>
      <c r="AC84" s="19">
        <v>44057</v>
      </c>
      <c r="AD84" s="81">
        <v>44061</v>
      </c>
      <c r="AE84" s="81">
        <v>44061</v>
      </c>
      <c r="AF84" s="81">
        <v>44061</v>
      </c>
      <c r="AG84" s="81" t="s">
        <v>155</v>
      </c>
      <c r="AH84" s="141">
        <v>1</v>
      </c>
      <c r="AI84" s="141">
        <v>1</v>
      </c>
      <c r="AJ84" s="141">
        <v>0.26700000000000002</v>
      </c>
      <c r="AK84" s="87"/>
      <c r="AL84" s="84"/>
      <c r="AM84" s="84"/>
      <c r="AN84" s="84"/>
    </row>
    <row r="85" spans="2:40" hidden="1">
      <c r="B85" s="131">
        <f t="shared" si="18"/>
        <v>26</v>
      </c>
      <c r="C85" s="16">
        <v>20200813</v>
      </c>
      <c r="D85" s="16" t="s">
        <v>2</v>
      </c>
      <c r="E85" s="85" t="s">
        <v>447</v>
      </c>
      <c r="F85" s="80"/>
      <c r="G85" s="47"/>
      <c r="H85" s="16" t="s">
        <v>238</v>
      </c>
      <c r="I85" s="148" t="s">
        <v>388</v>
      </c>
      <c r="J85" s="16" t="s">
        <v>246</v>
      </c>
      <c r="K85" s="47" t="s">
        <v>354</v>
      </c>
      <c r="L85" s="80"/>
      <c r="M85" s="47"/>
      <c r="N85" s="16"/>
      <c r="O85" s="80" t="s">
        <v>248</v>
      </c>
      <c r="P85" s="80" t="s">
        <v>455</v>
      </c>
      <c r="Q85" s="18"/>
      <c r="R85" s="16" t="s">
        <v>475</v>
      </c>
      <c r="S85" s="16" t="s">
        <v>62</v>
      </c>
      <c r="T85" s="16"/>
      <c r="U85" s="16"/>
      <c r="V85" s="16"/>
      <c r="W85" s="15">
        <f>ROUND(IF(D85=Table!$C$3,Y85*Table!$C$4/8,Y85*Table!$D$4/8),3)</f>
        <v>39</v>
      </c>
      <c r="X85" s="191">
        <f t="shared" si="21"/>
        <v>39</v>
      </c>
      <c r="Y85" s="192">
        <v>2.4</v>
      </c>
      <c r="Z85" s="191"/>
      <c r="AA85" s="16" t="s">
        <v>21</v>
      </c>
      <c r="AB85" s="81">
        <v>44061</v>
      </c>
      <c r="AC85" s="19">
        <v>44057</v>
      </c>
      <c r="AD85" s="81">
        <v>44061</v>
      </c>
      <c r="AE85" s="81">
        <v>44061</v>
      </c>
      <c r="AF85" s="81">
        <v>44061</v>
      </c>
      <c r="AG85" s="81" t="s">
        <v>155</v>
      </c>
      <c r="AH85" s="141">
        <v>1</v>
      </c>
      <c r="AI85" s="141">
        <v>1</v>
      </c>
      <c r="AJ85" s="141">
        <v>0.222</v>
      </c>
      <c r="AK85" s="87"/>
      <c r="AL85" s="140"/>
      <c r="AM85" s="15"/>
      <c r="AN85" s="15"/>
    </row>
    <row r="86" spans="2:40" hidden="1">
      <c r="B86" s="131">
        <f t="shared" si="18"/>
        <v>27</v>
      </c>
      <c r="C86" s="16">
        <v>20200813</v>
      </c>
      <c r="D86" s="16" t="s">
        <v>2</v>
      </c>
      <c r="E86" s="85" t="s">
        <v>447</v>
      </c>
      <c r="F86" s="80"/>
      <c r="G86" s="47"/>
      <c r="H86" s="16" t="s">
        <v>239</v>
      </c>
      <c r="I86" s="148" t="s">
        <v>389</v>
      </c>
      <c r="J86" s="16" t="s">
        <v>246</v>
      </c>
      <c r="K86" s="47" t="s">
        <v>355</v>
      </c>
      <c r="L86" s="80"/>
      <c r="M86" s="47"/>
      <c r="N86" s="16"/>
      <c r="O86" s="80" t="s">
        <v>427</v>
      </c>
      <c r="P86" s="80" t="s">
        <v>449</v>
      </c>
      <c r="Q86" s="18"/>
      <c r="R86" s="16" t="s">
        <v>475</v>
      </c>
      <c r="S86" s="16" t="s">
        <v>62</v>
      </c>
      <c r="T86" s="16"/>
      <c r="U86" s="16"/>
      <c r="V86" s="16"/>
      <c r="W86" s="15">
        <f>ROUND(IF(D86=Table!$C$3,Y86*Table!$C$4/8,Y86*Table!$D$4/8),3)</f>
        <v>39</v>
      </c>
      <c r="X86" s="191">
        <f t="shared" si="21"/>
        <v>39</v>
      </c>
      <c r="Y86" s="192">
        <v>2.4</v>
      </c>
      <c r="Z86" s="191"/>
      <c r="AA86" s="16" t="s">
        <v>21</v>
      </c>
      <c r="AB86" s="81">
        <v>44061</v>
      </c>
      <c r="AC86" s="19">
        <v>44057</v>
      </c>
      <c r="AD86" s="81">
        <v>44061</v>
      </c>
      <c r="AE86" s="81">
        <v>44061</v>
      </c>
      <c r="AF86" s="81">
        <v>44061</v>
      </c>
      <c r="AG86" s="81" t="s">
        <v>155</v>
      </c>
      <c r="AH86" s="141">
        <v>1</v>
      </c>
      <c r="AI86" s="141">
        <v>1</v>
      </c>
      <c r="AJ86" s="141">
        <v>0.23100000000000001</v>
      </c>
      <c r="AK86" s="87"/>
      <c r="AL86" s="140"/>
      <c r="AM86" s="15"/>
      <c r="AN86" s="15"/>
    </row>
    <row r="87" spans="2:40" hidden="1">
      <c r="B87" s="131">
        <f t="shared" si="18"/>
        <v>28</v>
      </c>
      <c r="C87" s="16">
        <v>20200813</v>
      </c>
      <c r="D87" s="16" t="s">
        <v>2</v>
      </c>
      <c r="E87" s="85" t="s">
        <v>447</v>
      </c>
      <c r="F87" s="80"/>
      <c r="G87" s="47"/>
      <c r="H87" s="16" t="s">
        <v>240</v>
      </c>
      <c r="I87" s="148" t="s">
        <v>390</v>
      </c>
      <c r="J87" s="16" t="s">
        <v>246</v>
      </c>
      <c r="K87" s="47" t="s">
        <v>356</v>
      </c>
      <c r="L87" s="80"/>
      <c r="M87" s="47"/>
      <c r="N87" s="16"/>
      <c r="O87" s="80" t="s">
        <v>248</v>
      </c>
      <c r="P87" s="80" t="s">
        <v>456</v>
      </c>
      <c r="Q87" s="18"/>
      <c r="R87" s="16" t="s">
        <v>475</v>
      </c>
      <c r="S87" s="16" t="s">
        <v>62</v>
      </c>
      <c r="T87" s="16"/>
      <c r="U87" s="16"/>
      <c r="V87" s="16"/>
      <c r="W87" s="15">
        <f>ROUND(IF(D87=Table!$C$3,Y87*Table!$C$4/8,Y87*Table!$D$4/8),3)</f>
        <v>41.6</v>
      </c>
      <c r="X87" s="191">
        <f t="shared" si="21"/>
        <v>41.6</v>
      </c>
      <c r="Y87" s="192">
        <v>2.56</v>
      </c>
      <c r="Z87" s="191"/>
      <c r="AA87" s="16" t="s">
        <v>21</v>
      </c>
      <c r="AB87" s="81">
        <v>44061</v>
      </c>
      <c r="AC87" s="19">
        <v>44057</v>
      </c>
      <c r="AD87" s="81">
        <v>44061</v>
      </c>
      <c r="AE87" s="81">
        <v>44061</v>
      </c>
      <c r="AF87" s="81">
        <v>44061</v>
      </c>
      <c r="AG87" s="81" t="s">
        <v>155</v>
      </c>
      <c r="AH87" s="141">
        <v>1</v>
      </c>
      <c r="AI87" s="141">
        <v>1</v>
      </c>
      <c r="AJ87" s="141">
        <v>0.2</v>
      </c>
      <c r="AK87" s="87"/>
      <c r="AL87" s="140"/>
      <c r="AM87" s="15"/>
      <c r="AN87" s="15"/>
    </row>
    <row r="88" spans="2:40" hidden="1">
      <c r="B88" s="131">
        <f t="shared" si="18"/>
        <v>29</v>
      </c>
      <c r="C88" s="16">
        <v>20200813</v>
      </c>
      <c r="D88" s="16" t="s">
        <v>2</v>
      </c>
      <c r="E88" s="85" t="s">
        <v>447</v>
      </c>
      <c r="F88" s="80"/>
      <c r="G88" s="47"/>
      <c r="H88" s="16" t="s">
        <v>241</v>
      </c>
      <c r="I88" s="148" t="s">
        <v>291</v>
      </c>
      <c r="J88" s="16" t="s">
        <v>246</v>
      </c>
      <c r="K88" s="47" t="s">
        <v>357</v>
      </c>
      <c r="L88" s="80"/>
      <c r="M88" s="47"/>
      <c r="N88" s="16"/>
      <c r="O88" s="80" t="s">
        <v>428</v>
      </c>
      <c r="P88" s="80" t="s">
        <v>457</v>
      </c>
      <c r="Q88" s="18"/>
      <c r="R88" s="16" t="s">
        <v>475</v>
      </c>
      <c r="S88" s="16" t="s">
        <v>62</v>
      </c>
      <c r="T88" s="16"/>
      <c r="U88" s="16"/>
      <c r="V88" s="16"/>
      <c r="W88" s="15">
        <f>ROUND(IF(D88=Table!$C$3,Y88*Table!$C$4/8,Y88*Table!$D$4/8),3)</f>
        <v>62.4</v>
      </c>
      <c r="X88" s="191">
        <f t="shared" si="21"/>
        <v>62.4</v>
      </c>
      <c r="Y88" s="216">
        <v>3.84</v>
      </c>
      <c r="Z88" s="191"/>
      <c r="AA88" s="16" t="s">
        <v>21</v>
      </c>
      <c r="AB88" s="81">
        <v>44061</v>
      </c>
      <c r="AC88" s="19">
        <v>44057</v>
      </c>
      <c r="AD88" s="81">
        <v>44061</v>
      </c>
      <c r="AE88" s="81">
        <v>44061</v>
      </c>
      <c r="AF88" s="81">
        <v>44061</v>
      </c>
      <c r="AG88" s="81" t="s">
        <v>155</v>
      </c>
      <c r="AH88" s="141">
        <v>1</v>
      </c>
      <c r="AI88" s="141">
        <v>0.96399999999999997</v>
      </c>
      <c r="AJ88" s="141">
        <v>0.33300000000000002</v>
      </c>
      <c r="AK88" s="87"/>
      <c r="AL88" s="14" t="s">
        <v>565</v>
      </c>
      <c r="AM88" s="15"/>
      <c r="AN88" s="15"/>
    </row>
    <row r="89" spans="2:40" hidden="1">
      <c r="B89" s="131">
        <f t="shared" si="18"/>
        <v>30</v>
      </c>
      <c r="C89" s="16">
        <v>20200813</v>
      </c>
      <c r="D89" s="16" t="s">
        <v>2</v>
      </c>
      <c r="E89" s="85" t="s">
        <v>447</v>
      </c>
      <c r="F89" s="80"/>
      <c r="G89" s="47"/>
      <c r="H89" s="16" t="s">
        <v>295</v>
      </c>
      <c r="I89" s="16" t="s">
        <v>391</v>
      </c>
      <c r="J89" s="16" t="s">
        <v>246</v>
      </c>
      <c r="K89" s="47" t="s">
        <v>358</v>
      </c>
      <c r="L89" s="80"/>
      <c r="M89" s="47"/>
      <c r="N89" s="16"/>
      <c r="O89" s="80" t="s">
        <v>429</v>
      </c>
      <c r="P89" s="80" t="s">
        <v>457</v>
      </c>
      <c r="Q89" s="18"/>
      <c r="R89" s="16" t="s">
        <v>569</v>
      </c>
      <c r="S89" s="16" t="s">
        <v>61</v>
      </c>
      <c r="T89" s="16"/>
      <c r="U89" s="16"/>
      <c r="V89" s="16"/>
      <c r="W89" s="15">
        <f>ROUND(IF(D89=Table!$C$3,Y89*Table!$C$4/8,Y89*Table!$D$4/8),3)</f>
        <v>260</v>
      </c>
      <c r="X89" s="191">
        <f t="shared" si="21"/>
        <v>260</v>
      </c>
      <c r="Y89" s="216">
        <v>16</v>
      </c>
      <c r="Z89" s="191"/>
      <c r="AA89" s="16" t="s">
        <v>21</v>
      </c>
      <c r="AB89" s="81">
        <v>44061</v>
      </c>
      <c r="AC89" s="19">
        <v>44057</v>
      </c>
      <c r="AD89" s="81">
        <v>44061</v>
      </c>
      <c r="AE89" s="81">
        <v>44060</v>
      </c>
      <c r="AF89" s="81">
        <v>44060</v>
      </c>
      <c r="AG89" s="81" t="s">
        <v>155</v>
      </c>
      <c r="AH89" s="82">
        <v>1</v>
      </c>
      <c r="AI89" s="82">
        <v>0.98199999999999998</v>
      </c>
      <c r="AJ89" s="82">
        <v>0.40699999999999997</v>
      </c>
      <c r="AK89" s="87" t="s">
        <v>140</v>
      </c>
      <c r="AL89" s="109" t="s">
        <v>563</v>
      </c>
      <c r="AM89" s="118"/>
      <c r="AN89" s="15"/>
    </row>
    <row r="90" spans="2:40">
      <c r="B90" s="131">
        <f t="shared" si="18"/>
        <v>31</v>
      </c>
      <c r="C90" s="16">
        <v>20200813</v>
      </c>
      <c r="D90" s="16" t="s">
        <v>2</v>
      </c>
      <c r="E90" s="85" t="s">
        <v>447</v>
      </c>
      <c r="F90" s="80"/>
      <c r="G90" s="47"/>
      <c r="H90" s="16" t="s">
        <v>242</v>
      </c>
      <c r="I90" s="16" t="s">
        <v>392</v>
      </c>
      <c r="J90" s="16" t="s">
        <v>246</v>
      </c>
      <c r="K90" s="47" t="s">
        <v>58</v>
      </c>
      <c r="L90" s="47" t="s">
        <v>58</v>
      </c>
      <c r="M90" s="47"/>
      <c r="N90" s="16"/>
      <c r="O90" s="80" t="s">
        <v>209</v>
      </c>
      <c r="P90" s="80" t="s">
        <v>458</v>
      </c>
      <c r="Q90" s="18"/>
      <c r="R90" s="16" t="s">
        <v>477</v>
      </c>
      <c r="S90" s="16" t="s">
        <v>66</v>
      </c>
      <c r="T90" s="16"/>
      <c r="U90" s="16"/>
      <c r="V90" s="16"/>
      <c r="W90" s="15">
        <f>ROUND(IF(D90=Table!$C$3,Y90*Table!$C$4/8,Y90*Table!$D$4/8),3)</f>
        <v>122.2</v>
      </c>
      <c r="X90" s="191">
        <f t="shared" si="21"/>
        <v>122.2</v>
      </c>
      <c r="Y90" s="216">
        <v>7.52</v>
      </c>
      <c r="Z90" s="191">
        <f>Y90</f>
        <v>7.52</v>
      </c>
      <c r="AA90" s="16" t="s">
        <v>21</v>
      </c>
      <c r="AB90" s="81">
        <v>44061</v>
      </c>
      <c r="AC90" s="19">
        <v>44057</v>
      </c>
      <c r="AD90" s="81">
        <v>44061</v>
      </c>
      <c r="AE90" s="81">
        <v>44060</v>
      </c>
      <c r="AF90" s="81">
        <v>44060</v>
      </c>
      <c r="AG90" s="81" t="s">
        <v>155</v>
      </c>
      <c r="AH90" s="82">
        <v>0.85699999999999998</v>
      </c>
      <c r="AI90" s="82">
        <v>0.85899999999999999</v>
      </c>
      <c r="AJ90" s="82">
        <v>1</v>
      </c>
      <c r="AK90" s="87" t="s">
        <v>140</v>
      </c>
      <c r="AL90" s="84" t="s">
        <v>577</v>
      </c>
      <c r="AM90" s="15"/>
      <c r="AN90" s="15"/>
    </row>
    <row r="91" spans="2:40" hidden="1">
      <c r="B91" s="131">
        <f t="shared" si="18"/>
        <v>32</v>
      </c>
      <c r="C91" s="16">
        <v>20200813</v>
      </c>
      <c r="D91" s="16" t="s">
        <v>2</v>
      </c>
      <c r="E91" s="85" t="s">
        <v>447</v>
      </c>
      <c r="F91" s="80"/>
      <c r="G91" s="47"/>
      <c r="H91" s="16" t="s">
        <v>243</v>
      </c>
      <c r="I91" s="16" t="s">
        <v>393</v>
      </c>
      <c r="J91" s="16" t="s">
        <v>246</v>
      </c>
      <c r="K91" s="47" t="s">
        <v>359</v>
      </c>
      <c r="L91" s="80"/>
      <c r="M91" s="47"/>
      <c r="N91" s="16"/>
      <c r="O91" s="80" t="s">
        <v>430</v>
      </c>
      <c r="P91" s="80" t="s">
        <v>458</v>
      </c>
      <c r="Q91" s="18"/>
      <c r="R91" s="16" t="s">
        <v>479</v>
      </c>
      <c r="S91" s="16" t="s">
        <v>174</v>
      </c>
      <c r="T91" s="16"/>
      <c r="U91" s="16"/>
      <c r="V91" s="16"/>
      <c r="W91" s="15">
        <f>ROUND(IF(D91=Table!$C$3,Y91*Table!$C$4/8,Y91*Table!$D$4/8),3)</f>
        <v>83.2</v>
      </c>
      <c r="X91" s="191">
        <f t="shared" si="21"/>
        <v>83.2</v>
      </c>
      <c r="Y91" s="216">
        <v>5.12</v>
      </c>
      <c r="Z91" s="191">
        <f>Y91</f>
        <v>5.12</v>
      </c>
      <c r="AA91" s="16" t="s">
        <v>21</v>
      </c>
      <c r="AB91" s="81">
        <v>44061</v>
      </c>
      <c r="AC91" s="19">
        <v>44057</v>
      </c>
      <c r="AD91" s="81">
        <v>44061</v>
      </c>
      <c r="AE91" s="81">
        <v>44060</v>
      </c>
      <c r="AF91" s="81">
        <v>44060</v>
      </c>
      <c r="AG91" s="81" t="s">
        <v>155</v>
      </c>
      <c r="AH91" s="82">
        <v>0.82599999999999996</v>
      </c>
      <c r="AI91" s="82">
        <v>0.83</v>
      </c>
      <c r="AJ91" s="82">
        <v>1</v>
      </c>
      <c r="AK91" s="87" t="s">
        <v>140</v>
      </c>
      <c r="AL91" s="109" t="s">
        <v>483</v>
      </c>
      <c r="AM91" s="15"/>
      <c r="AN91" s="15"/>
    </row>
    <row r="92" spans="2:40" hidden="1">
      <c r="B92" s="131">
        <f t="shared" si="18"/>
        <v>33</v>
      </c>
      <c r="C92" s="16">
        <v>20200813</v>
      </c>
      <c r="D92" s="16" t="s">
        <v>3</v>
      </c>
      <c r="E92" s="85" t="s">
        <v>447</v>
      </c>
      <c r="F92" s="80"/>
      <c r="G92" s="47"/>
      <c r="H92" s="16" t="s">
        <v>279</v>
      </c>
      <c r="I92" s="16" t="s">
        <v>394</v>
      </c>
      <c r="J92" s="16" t="s">
        <v>246</v>
      </c>
      <c r="K92" s="47" t="e">
        <v>#N/A</v>
      </c>
      <c r="L92" s="80" t="s">
        <v>473</v>
      </c>
      <c r="M92" s="47"/>
      <c r="N92" s="16"/>
      <c r="O92" s="80" t="s">
        <v>431</v>
      </c>
      <c r="P92" s="80" t="s">
        <v>459</v>
      </c>
      <c r="Q92" s="18"/>
      <c r="R92" s="16" t="s">
        <v>569</v>
      </c>
      <c r="S92" s="16" t="s">
        <v>61</v>
      </c>
      <c r="T92" s="16"/>
      <c r="U92" s="16"/>
      <c r="V92" s="16"/>
      <c r="W92" s="15">
        <f>ROUND(IF(D92=Table!$C$3,Y92*Table!$C$4/8,Y92*Table!$D$4/8),3)</f>
        <v>67.5</v>
      </c>
      <c r="X92" s="191">
        <f t="shared" si="21"/>
        <v>67.5</v>
      </c>
      <c r="Y92" s="216">
        <v>1.2</v>
      </c>
      <c r="Z92" s="191"/>
      <c r="AA92" s="16" t="s">
        <v>21</v>
      </c>
      <c r="AB92" s="81">
        <v>44061</v>
      </c>
      <c r="AC92" s="19">
        <v>44057</v>
      </c>
      <c r="AD92" s="81">
        <v>44061</v>
      </c>
      <c r="AE92" s="81">
        <v>44061</v>
      </c>
      <c r="AF92" s="81">
        <v>44061</v>
      </c>
      <c r="AG92" s="81" t="s">
        <v>155</v>
      </c>
      <c r="AH92" s="89">
        <v>1</v>
      </c>
      <c r="AI92" s="89">
        <v>1</v>
      </c>
      <c r="AJ92" s="89">
        <v>1</v>
      </c>
      <c r="AK92" s="87" t="s">
        <v>140</v>
      </c>
      <c r="AL92" s="84"/>
      <c r="AM92" s="118"/>
      <c r="AN92" s="118"/>
    </row>
    <row r="93" spans="2:40" hidden="1">
      <c r="B93" s="131">
        <f t="shared" si="18"/>
        <v>34</v>
      </c>
      <c r="C93" s="16">
        <v>20200813</v>
      </c>
      <c r="D93" s="16" t="s">
        <v>3</v>
      </c>
      <c r="E93" s="85" t="s">
        <v>447</v>
      </c>
      <c r="F93" s="80"/>
      <c r="G93" s="47"/>
      <c r="H93" s="16" t="s">
        <v>250</v>
      </c>
      <c r="I93" s="16" t="s">
        <v>395</v>
      </c>
      <c r="J93" s="16" t="s">
        <v>246</v>
      </c>
      <c r="K93" s="47" t="e">
        <v>#N/A</v>
      </c>
      <c r="L93" s="80" t="s">
        <v>473</v>
      </c>
      <c r="M93" s="47"/>
      <c r="N93" s="16"/>
      <c r="O93" s="80" t="s">
        <v>432</v>
      </c>
      <c r="P93" s="80" t="s">
        <v>460</v>
      </c>
      <c r="Q93" s="18"/>
      <c r="R93" s="16" t="s">
        <v>569</v>
      </c>
      <c r="S93" s="16" t="s">
        <v>61</v>
      </c>
      <c r="T93" s="16"/>
      <c r="U93" s="16"/>
      <c r="V93" s="16"/>
      <c r="W93" s="15">
        <f>ROUND(IF(D93=Table!$C$3,Y93*Table!$C$4/8,Y93*Table!$D$4/8),3)</f>
        <v>112.5</v>
      </c>
      <c r="X93" s="191">
        <f t="shared" si="21"/>
        <v>112.5</v>
      </c>
      <c r="Y93" s="216">
        <v>2</v>
      </c>
      <c r="Z93" s="191"/>
      <c r="AA93" s="16" t="s">
        <v>21</v>
      </c>
      <c r="AB93" s="81">
        <v>44061</v>
      </c>
      <c r="AC93" s="19">
        <v>44057</v>
      </c>
      <c r="AD93" s="81">
        <v>44061</v>
      </c>
      <c r="AE93" s="81">
        <v>44061</v>
      </c>
      <c r="AF93" s="81">
        <v>44061</v>
      </c>
      <c r="AG93" s="81" t="s">
        <v>155</v>
      </c>
      <c r="AH93" s="89">
        <v>1</v>
      </c>
      <c r="AI93" s="89">
        <v>1</v>
      </c>
      <c r="AJ93" s="89">
        <v>1</v>
      </c>
      <c r="AK93" s="14" t="s">
        <v>140</v>
      </c>
      <c r="AL93" s="84"/>
      <c r="AM93" s="118"/>
      <c r="AN93" s="118"/>
    </row>
    <row r="94" spans="2:40" hidden="1">
      <c r="B94" s="131">
        <f t="shared" si="18"/>
        <v>35</v>
      </c>
      <c r="C94" s="16">
        <v>20200813</v>
      </c>
      <c r="D94" s="16" t="s">
        <v>3</v>
      </c>
      <c r="E94" s="85" t="s">
        <v>447</v>
      </c>
      <c r="F94" s="80"/>
      <c r="G94" s="47"/>
      <c r="H94" s="16" t="s">
        <v>274</v>
      </c>
      <c r="I94" s="16" t="s">
        <v>396</v>
      </c>
      <c r="J94" s="16" t="s">
        <v>246</v>
      </c>
      <c r="K94" s="47" t="s">
        <v>360</v>
      </c>
      <c r="L94" s="72" t="s">
        <v>473</v>
      </c>
      <c r="M94" s="47"/>
      <c r="N94" s="73"/>
      <c r="O94" s="80" t="s">
        <v>433</v>
      </c>
      <c r="P94" s="80" t="s">
        <v>461</v>
      </c>
      <c r="Q94" s="18"/>
      <c r="R94" s="16" t="s">
        <v>569</v>
      </c>
      <c r="S94" s="16" t="s">
        <v>61</v>
      </c>
      <c r="T94" s="16"/>
      <c r="U94" s="16"/>
      <c r="V94" s="16"/>
      <c r="W94" s="15">
        <f>ROUND(IF(D94=Table!$C$3,Y94*Table!$C$4/8,Y94*Table!$D$4/8),3)</f>
        <v>202.5</v>
      </c>
      <c r="X94" s="191">
        <f t="shared" si="21"/>
        <v>202.5</v>
      </c>
      <c r="Y94" s="216">
        <v>3.6</v>
      </c>
      <c r="Z94" s="191"/>
      <c r="AA94" s="16" t="s">
        <v>21</v>
      </c>
      <c r="AB94" s="81">
        <v>44061</v>
      </c>
      <c r="AC94" s="19">
        <v>44057</v>
      </c>
      <c r="AD94" s="81">
        <v>44061</v>
      </c>
      <c r="AE94" s="81">
        <v>44061</v>
      </c>
      <c r="AF94" s="81">
        <v>44061</v>
      </c>
      <c r="AG94" s="81" t="s">
        <v>155</v>
      </c>
      <c r="AH94" s="89">
        <v>1</v>
      </c>
      <c r="AI94" s="89">
        <v>1</v>
      </c>
      <c r="AJ94" s="89">
        <v>1</v>
      </c>
      <c r="AK94" s="14" t="s">
        <v>140</v>
      </c>
      <c r="AL94" s="84"/>
      <c r="AM94" s="15"/>
      <c r="AN94" s="15"/>
    </row>
    <row r="95" spans="2:40">
      <c r="B95" s="131">
        <f t="shared" si="18"/>
        <v>36</v>
      </c>
      <c r="C95" s="16">
        <v>20200813</v>
      </c>
      <c r="D95" s="16" t="s">
        <v>3</v>
      </c>
      <c r="E95" s="85" t="s">
        <v>447</v>
      </c>
      <c r="F95" s="80"/>
      <c r="G95" s="47"/>
      <c r="H95" s="16" t="s">
        <v>275</v>
      </c>
      <c r="I95" s="16" t="s">
        <v>244</v>
      </c>
      <c r="J95" s="16" t="s">
        <v>246</v>
      </c>
      <c r="K95" s="47" t="s">
        <v>58</v>
      </c>
      <c r="L95" s="80" t="s">
        <v>473</v>
      </c>
      <c r="M95" s="47"/>
      <c r="N95" s="16"/>
      <c r="O95" s="80" t="s">
        <v>434</v>
      </c>
      <c r="P95" s="80" t="s">
        <v>462</v>
      </c>
      <c r="Q95" s="18"/>
      <c r="R95" s="16" t="s">
        <v>477</v>
      </c>
      <c r="S95" s="16" t="s">
        <v>66</v>
      </c>
      <c r="T95" s="16"/>
      <c r="U95" s="16"/>
      <c r="V95" s="16"/>
      <c r="W95" s="15">
        <f>ROUND(IF(D95=Table!$C$3,Y95*Table!$C$4/8,Y95*Table!$D$4/8),3)</f>
        <v>67.5</v>
      </c>
      <c r="X95" s="191">
        <f t="shared" si="21"/>
        <v>67.5</v>
      </c>
      <c r="Y95" s="216">
        <v>1.2</v>
      </c>
      <c r="Z95" s="191">
        <f>Y95</f>
        <v>1.2</v>
      </c>
      <c r="AA95" s="16" t="s">
        <v>21</v>
      </c>
      <c r="AB95" s="81">
        <v>44061</v>
      </c>
      <c r="AC95" s="19">
        <v>44057</v>
      </c>
      <c r="AD95" s="81">
        <v>44061</v>
      </c>
      <c r="AE95" s="81">
        <v>44060</v>
      </c>
      <c r="AF95" s="81">
        <v>44060</v>
      </c>
      <c r="AG95" s="81" t="s">
        <v>155</v>
      </c>
      <c r="AH95" s="89">
        <v>1</v>
      </c>
      <c r="AI95" s="89">
        <v>1</v>
      </c>
      <c r="AJ95" s="89">
        <v>1</v>
      </c>
      <c r="AK95" s="14" t="s">
        <v>140</v>
      </c>
      <c r="AL95" s="14"/>
      <c r="AM95" s="15"/>
      <c r="AN95" s="15"/>
    </row>
    <row r="96" spans="2:40">
      <c r="B96" s="131">
        <f t="shared" si="18"/>
        <v>37</v>
      </c>
      <c r="C96" s="16">
        <v>20200813</v>
      </c>
      <c r="D96" s="16" t="s">
        <v>3</v>
      </c>
      <c r="E96" s="85" t="s">
        <v>447</v>
      </c>
      <c r="F96" s="80"/>
      <c r="G96" s="47"/>
      <c r="H96" s="16" t="s">
        <v>249</v>
      </c>
      <c r="I96" s="16" t="s">
        <v>397</v>
      </c>
      <c r="J96" s="16" t="s">
        <v>246</v>
      </c>
      <c r="K96" s="47" t="s">
        <v>58</v>
      </c>
      <c r="L96" s="80" t="s">
        <v>473</v>
      </c>
      <c r="M96" s="47"/>
      <c r="N96" s="16"/>
      <c r="O96" s="80" t="s">
        <v>435</v>
      </c>
      <c r="P96" s="80" t="s">
        <v>463</v>
      </c>
      <c r="Q96" s="18"/>
      <c r="R96" s="16" t="s">
        <v>477</v>
      </c>
      <c r="S96" s="16" t="s">
        <v>66</v>
      </c>
      <c r="T96" s="16"/>
      <c r="U96" s="16"/>
      <c r="V96" s="16"/>
      <c r="W96" s="15">
        <f>ROUND(IF(D96=Table!$C$3,Y96*Table!$C$4/8,Y96*Table!$D$4/8),3)</f>
        <v>67.5</v>
      </c>
      <c r="X96" s="191">
        <f t="shared" si="21"/>
        <v>67.5</v>
      </c>
      <c r="Y96" s="216">
        <v>1.2</v>
      </c>
      <c r="Z96" s="191">
        <f>Y96</f>
        <v>1.2</v>
      </c>
      <c r="AA96" s="73" t="s">
        <v>21</v>
      </c>
      <c r="AB96" s="77">
        <v>44061</v>
      </c>
      <c r="AC96" s="77">
        <v>44057</v>
      </c>
      <c r="AD96" s="77">
        <v>44061</v>
      </c>
      <c r="AE96" s="77">
        <v>44060</v>
      </c>
      <c r="AF96" s="77">
        <v>44060</v>
      </c>
      <c r="AG96" s="77" t="s">
        <v>155</v>
      </c>
      <c r="AH96" s="89">
        <v>1</v>
      </c>
      <c r="AI96" s="89">
        <v>1</v>
      </c>
      <c r="AJ96" s="89">
        <v>0.27</v>
      </c>
      <c r="AK96" s="14" t="s">
        <v>140</v>
      </c>
      <c r="AM96" s="15"/>
      <c r="AN96" s="15"/>
    </row>
    <row r="97" spans="2:40" hidden="1">
      <c r="B97" s="131">
        <f t="shared" si="18"/>
        <v>38</v>
      </c>
      <c r="C97" s="16">
        <v>20200813</v>
      </c>
      <c r="D97" s="16" t="s">
        <v>3</v>
      </c>
      <c r="E97" s="85" t="s">
        <v>447</v>
      </c>
      <c r="F97" s="80"/>
      <c r="G97" s="47"/>
      <c r="H97" s="16" t="s">
        <v>222</v>
      </c>
      <c r="I97" s="16" t="s">
        <v>398</v>
      </c>
      <c r="J97" s="16" t="s">
        <v>246</v>
      </c>
      <c r="K97" s="47">
        <v>0</v>
      </c>
      <c r="L97" s="80" t="s">
        <v>473</v>
      </c>
      <c r="M97" s="47"/>
      <c r="N97" s="16"/>
      <c r="O97" s="80" t="s">
        <v>436</v>
      </c>
      <c r="P97" s="80" t="s">
        <v>463</v>
      </c>
      <c r="Q97" s="18"/>
      <c r="R97" s="16" t="s">
        <v>478</v>
      </c>
      <c r="S97" s="16" t="s">
        <v>132</v>
      </c>
      <c r="T97" s="16"/>
      <c r="U97" s="16"/>
      <c r="V97" s="16"/>
      <c r="W97" s="15">
        <f>ROUND(IF(D97=Table!$C$3,Y97*Table!$C$4/8,Y97*Table!$D$4/8),3)</f>
        <v>112.5</v>
      </c>
      <c r="X97" s="191">
        <v>112.5</v>
      </c>
      <c r="Y97" s="191">
        <v>2</v>
      </c>
      <c r="Z97" s="191">
        <v>2</v>
      </c>
      <c r="AA97" s="16" t="s">
        <v>21</v>
      </c>
      <c r="AB97" s="81">
        <v>44061</v>
      </c>
      <c r="AC97" s="19">
        <v>44057</v>
      </c>
      <c r="AD97" s="81">
        <v>44061</v>
      </c>
      <c r="AE97" s="81">
        <v>44056</v>
      </c>
      <c r="AF97" s="81">
        <v>44056</v>
      </c>
      <c r="AG97" s="81" t="s">
        <v>155</v>
      </c>
      <c r="AH97" s="89">
        <v>0.99</v>
      </c>
      <c r="AI97" s="89">
        <v>0.98</v>
      </c>
      <c r="AJ97" s="89">
        <v>0.8</v>
      </c>
      <c r="AK97" s="14" t="s">
        <v>140</v>
      </c>
      <c r="AL97" s="84" t="s">
        <v>465</v>
      </c>
      <c r="AM97" s="15"/>
      <c r="AN97" s="15"/>
    </row>
    <row r="98" spans="2:40" hidden="1">
      <c r="B98" s="131">
        <f t="shared" si="18"/>
        <v>39</v>
      </c>
      <c r="C98" s="16">
        <v>20200813</v>
      </c>
      <c r="D98" s="16" t="s">
        <v>3</v>
      </c>
      <c r="E98" s="85" t="s">
        <v>447</v>
      </c>
      <c r="F98" s="80"/>
      <c r="G98" s="47"/>
      <c r="H98" s="16" t="s">
        <v>281</v>
      </c>
      <c r="I98" s="16" t="s">
        <v>399</v>
      </c>
      <c r="J98" s="16" t="s">
        <v>246</v>
      </c>
      <c r="K98" s="47" t="s">
        <v>361</v>
      </c>
      <c r="L98" s="80" t="s">
        <v>473</v>
      </c>
      <c r="M98" s="47"/>
      <c r="N98" s="16"/>
      <c r="O98" s="80" t="s">
        <v>437</v>
      </c>
      <c r="P98" s="80" t="s">
        <v>463</v>
      </c>
      <c r="Q98" s="18"/>
      <c r="R98" s="16" t="s">
        <v>478</v>
      </c>
      <c r="S98" s="16" t="s">
        <v>132</v>
      </c>
      <c r="T98" s="16"/>
      <c r="U98" s="16"/>
      <c r="V98" s="16"/>
      <c r="W98" s="15">
        <f>ROUND(IF(D98=Table!$C$3,Y98*Table!$C$4/8,Y98*Table!$D$4/8),3)</f>
        <v>144</v>
      </c>
      <c r="X98" s="191">
        <v>144</v>
      </c>
      <c r="Y98" s="191">
        <v>2.56</v>
      </c>
      <c r="Z98" s="191">
        <v>2.56</v>
      </c>
      <c r="AA98" s="16" t="s">
        <v>21</v>
      </c>
      <c r="AB98" s="81">
        <v>44061</v>
      </c>
      <c r="AC98" s="19">
        <v>44057</v>
      </c>
      <c r="AD98" s="81">
        <v>44061</v>
      </c>
      <c r="AE98" s="81">
        <v>44056</v>
      </c>
      <c r="AF98" s="81">
        <v>44056</v>
      </c>
      <c r="AG98" s="81" t="s">
        <v>155</v>
      </c>
      <c r="AH98" s="89">
        <v>1</v>
      </c>
      <c r="AI98" s="89">
        <v>1</v>
      </c>
      <c r="AJ98" s="89">
        <v>1</v>
      </c>
      <c r="AK98" s="14" t="s">
        <v>140</v>
      </c>
      <c r="AL98" s="84"/>
      <c r="AM98" s="15"/>
      <c r="AN98" s="15"/>
    </row>
    <row r="99" spans="2:40" hidden="1">
      <c r="B99" s="131">
        <f t="shared" si="18"/>
        <v>40</v>
      </c>
      <c r="C99" s="16">
        <v>20200813</v>
      </c>
      <c r="D99" s="16" t="s">
        <v>3</v>
      </c>
      <c r="E99" s="85" t="s">
        <v>447</v>
      </c>
      <c r="F99" s="80"/>
      <c r="G99" s="47"/>
      <c r="H99" s="16" t="s">
        <v>280</v>
      </c>
      <c r="I99" s="164" t="s">
        <v>400</v>
      </c>
      <c r="J99" s="16" t="s">
        <v>246</v>
      </c>
      <c r="K99" s="47"/>
      <c r="L99" s="80" t="s">
        <v>473</v>
      </c>
      <c r="M99" s="47"/>
      <c r="N99" s="16"/>
      <c r="O99" s="80" t="s">
        <v>438</v>
      </c>
      <c r="P99" s="80" t="s">
        <v>460</v>
      </c>
      <c r="Q99" s="18"/>
      <c r="R99" s="16" t="s">
        <v>475</v>
      </c>
      <c r="S99" s="16" t="s">
        <v>62</v>
      </c>
      <c r="T99" s="16"/>
      <c r="U99" s="16"/>
      <c r="V99" s="16"/>
      <c r="W99" s="15">
        <f>ROUND(IF(D99=Table!$C$3,Y99*Table!$C$4/8,Y99*Table!$D$4/8),3)</f>
        <v>67.5</v>
      </c>
      <c r="X99" s="191">
        <f t="shared" ref="X99:X105" si="22">W99</f>
        <v>67.5</v>
      </c>
      <c r="Y99" s="191">
        <v>1.2</v>
      </c>
      <c r="Z99" s="191"/>
      <c r="AA99" s="16" t="s">
        <v>21</v>
      </c>
      <c r="AB99" s="81">
        <v>44061</v>
      </c>
      <c r="AC99" s="19">
        <v>44057</v>
      </c>
      <c r="AD99" s="81">
        <v>44061</v>
      </c>
      <c r="AE99" s="81">
        <v>44061</v>
      </c>
      <c r="AF99" s="81">
        <v>44061</v>
      </c>
      <c r="AG99" s="81" t="s">
        <v>155</v>
      </c>
      <c r="AH99" s="228">
        <v>1</v>
      </c>
      <c r="AI99" s="228">
        <v>1</v>
      </c>
      <c r="AJ99" s="228">
        <v>0.8</v>
      </c>
      <c r="AK99" s="14"/>
      <c r="AL99" s="84"/>
      <c r="AM99" s="15"/>
      <c r="AN99" s="15"/>
    </row>
    <row r="100" spans="2:40" hidden="1">
      <c r="B100" s="131">
        <f t="shared" si="18"/>
        <v>41</v>
      </c>
      <c r="C100" s="16">
        <v>20200813</v>
      </c>
      <c r="D100" s="16" t="s">
        <v>3</v>
      </c>
      <c r="E100" s="85" t="s">
        <v>447</v>
      </c>
      <c r="F100" s="80"/>
      <c r="G100" s="47"/>
      <c r="H100" s="16" t="s">
        <v>223</v>
      </c>
      <c r="I100" s="164" t="s">
        <v>401</v>
      </c>
      <c r="J100" s="16" t="s">
        <v>246</v>
      </c>
      <c r="K100" s="47" t="s">
        <v>362</v>
      </c>
      <c r="L100" s="80" t="s">
        <v>473</v>
      </c>
      <c r="M100" s="47"/>
      <c r="N100" s="16"/>
      <c r="O100" s="80" t="s">
        <v>439</v>
      </c>
      <c r="P100" s="80" t="s">
        <v>462</v>
      </c>
      <c r="Q100" s="18"/>
      <c r="R100" s="16" t="s">
        <v>475</v>
      </c>
      <c r="S100" s="16" t="s">
        <v>62</v>
      </c>
      <c r="T100" s="16"/>
      <c r="U100" s="16"/>
      <c r="V100" s="16"/>
      <c r="W100" s="15">
        <f>ROUND(IF(D100=Table!$C$3,Y100*Table!$C$4/8,Y100*Table!$D$4/8),3)</f>
        <v>180</v>
      </c>
      <c r="X100" s="191">
        <f t="shared" si="22"/>
        <v>180</v>
      </c>
      <c r="Y100" s="191">
        <v>3.2</v>
      </c>
      <c r="Z100" s="191"/>
      <c r="AA100" s="16" t="s">
        <v>21</v>
      </c>
      <c r="AB100" s="81">
        <v>44061</v>
      </c>
      <c r="AC100" s="19">
        <v>44057</v>
      </c>
      <c r="AD100" s="81">
        <v>44061</v>
      </c>
      <c r="AE100" s="81">
        <v>44061</v>
      </c>
      <c r="AF100" s="81">
        <v>44061</v>
      </c>
      <c r="AG100" s="81" t="s">
        <v>155</v>
      </c>
      <c r="AH100" s="228">
        <v>0.96</v>
      </c>
      <c r="AI100" s="228">
        <v>0.94</v>
      </c>
      <c r="AJ100" s="228">
        <v>0.5</v>
      </c>
      <c r="AK100" s="14"/>
      <c r="AL100" s="84" t="s">
        <v>568</v>
      </c>
      <c r="AM100" s="15"/>
      <c r="AN100" s="15"/>
    </row>
    <row r="101" spans="2:40" hidden="1">
      <c r="B101" s="131">
        <f t="shared" si="18"/>
        <v>42</v>
      </c>
      <c r="C101" s="16">
        <v>20200813</v>
      </c>
      <c r="D101" s="16" t="s">
        <v>3</v>
      </c>
      <c r="E101" s="85" t="s">
        <v>447</v>
      </c>
      <c r="F101" s="80"/>
      <c r="G101" s="47"/>
      <c r="H101" s="236" t="s">
        <v>277</v>
      </c>
      <c r="I101" s="236" t="s">
        <v>402</v>
      </c>
      <c r="J101" s="16" t="s">
        <v>246</v>
      </c>
      <c r="K101" s="47" t="s">
        <v>363</v>
      </c>
      <c r="L101" s="80" t="s">
        <v>473</v>
      </c>
      <c r="M101" s="47"/>
      <c r="N101" s="16"/>
      <c r="O101" s="80" t="s">
        <v>440</v>
      </c>
      <c r="P101" s="80" t="s">
        <v>459</v>
      </c>
      <c r="Q101" s="18"/>
      <c r="R101" s="16" t="s">
        <v>476</v>
      </c>
      <c r="S101" s="16" t="s">
        <v>63</v>
      </c>
      <c r="T101" s="16"/>
      <c r="U101" s="16"/>
      <c r="V101" s="16"/>
      <c r="W101" s="15">
        <f>ROUND(IF(D101=Table!$C$3,Y101*Table!$C$4/8,Y101*Table!$D$4/8),3)</f>
        <v>225</v>
      </c>
      <c r="X101" s="191">
        <f t="shared" si="22"/>
        <v>225</v>
      </c>
      <c r="Y101" s="191">
        <v>4</v>
      </c>
      <c r="Z101" s="191">
        <f>Y101</f>
        <v>4</v>
      </c>
      <c r="AA101" s="16" t="s">
        <v>21</v>
      </c>
      <c r="AB101" s="81">
        <v>44061</v>
      </c>
      <c r="AC101" s="19">
        <v>44057</v>
      </c>
      <c r="AD101" s="81">
        <v>44061</v>
      </c>
      <c r="AE101" s="81">
        <v>44056</v>
      </c>
      <c r="AF101" s="81">
        <v>44056</v>
      </c>
      <c r="AG101" s="81" t="s">
        <v>155</v>
      </c>
      <c r="AH101" s="89">
        <v>1</v>
      </c>
      <c r="AI101" s="89">
        <v>1</v>
      </c>
      <c r="AJ101" s="89">
        <v>0.63</v>
      </c>
      <c r="AK101" s="14" t="s">
        <v>140</v>
      </c>
      <c r="AL101" s="84"/>
      <c r="AM101" s="15"/>
      <c r="AN101" s="15"/>
    </row>
    <row r="102" spans="2:40" hidden="1">
      <c r="B102" s="131">
        <f t="shared" si="18"/>
        <v>43</v>
      </c>
      <c r="C102" s="16">
        <v>20200813</v>
      </c>
      <c r="D102" s="16" t="s">
        <v>3</v>
      </c>
      <c r="E102" s="85" t="s">
        <v>447</v>
      </c>
      <c r="F102" s="80"/>
      <c r="G102" s="47"/>
      <c r="H102" s="236" t="s">
        <v>252</v>
      </c>
      <c r="I102" s="236" t="s">
        <v>403</v>
      </c>
      <c r="J102" s="16" t="s">
        <v>246</v>
      </c>
      <c r="K102" s="47" t="s">
        <v>364</v>
      </c>
      <c r="L102" s="80" t="s">
        <v>473</v>
      </c>
      <c r="M102" s="47"/>
      <c r="N102" s="16"/>
      <c r="O102" s="80" t="s">
        <v>441</v>
      </c>
      <c r="P102" s="80" t="s">
        <v>459</v>
      </c>
      <c r="Q102" s="18"/>
      <c r="R102" s="16" t="s">
        <v>476</v>
      </c>
      <c r="S102" s="16" t="s">
        <v>63</v>
      </c>
      <c r="T102" s="16"/>
      <c r="U102" s="16"/>
      <c r="V102" s="16"/>
      <c r="W102" s="15">
        <f>ROUND(IF(D102=Table!$C$3,Y102*Table!$C$4/8,Y102*Table!$D$4/8),3)</f>
        <v>81</v>
      </c>
      <c r="X102" s="191">
        <f t="shared" si="22"/>
        <v>81</v>
      </c>
      <c r="Y102" s="191">
        <v>1.44</v>
      </c>
      <c r="Z102" s="191">
        <f>Y102</f>
        <v>1.44</v>
      </c>
      <c r="AA102" s="16" t="s">
        <v>21</v>
      </c>
      <c r="AB102" s="81">
        <v>44061</v>
      </c>
      <c r="AC102" s="19">
        <v>44057</v>
      </c>
      <c r="AD102" s="81">
        <v>44061</v>
      </c>
      <c r="AE102" s="81">
        <v>44056</v>
      </c>
      <c r="AF102" s="81">
        <v>44056</v>
      </c>
      <c r="AG102" s="81" t="s">
        <v>155</v>
      </c>
      <c r="AH102" s="89">
        <v>1</v>
      </c>
      <c r="AI102" s="89">
        <v>1</v>
      </c>
      <c r="AJ102" s="89">
        <v>1</v>
      </c>
      <c r="AK102" s="14" t="s">
        <v>140</v>
      </c>
      <c r="AL102" s="84"/>
      <c r="AM102" s="15"/>
      <c r="AN102" s="15"/>
    </row>
    <row r="103" spans="2:40" hidden="1">
      <c r="B103" s="131">
        <f t="shared" si="18"/>
        <v>44</v>
      </c>
      <c r="C103" s="16">
        <v>20200813</v>
      </c>
      <c r="D103" s="16" t="s">
        <v>3</v>
      </c>
      <c r="E103" s="85" t="s">
        <v>447</v>
      </c>
      <c r="F103" s="80"/>
      <c r="G103" s="47"/>
      <c r="H103" s="236" t="s">
        <v>251</v>
      </c>
      <c r="I103" s="236" t="s">
        <v>404</v>
      </c>
      <c r="J103" s="16" t="s">
        <v>246</v>
      </c>
      <c r="K103" s="47" t="s">
        <v>365</v>
      </c>
      <c r="L103" s="80" t="s">
        <v>473</v>
      </c>
      <c r="M103" s="47"/>
      <c r="N103" s="16"/>
      <c r="O103" s="80" t="s">
        <v>442</v>
      </c>
      <c r="P103" s="80" t="s">
        <v>462</v>
      </c>
      <c r="Q103" s="18"/>
      <c r="R103" s="16" t="s">
        <v>476</v>
      </c>
      <c r="S103" s="16" t="s">
        <v>63</v>
      </c>
      <c r="T103" s="16"/>
      <c r="U103" s="16"/>
      <c r="V103" s="16"/>
      <c r="W103" s="15">
        <f>ROUND(IF(D103=Table!$C$3,Y103*Table!$C$4/8,Y103*Table!$D$4/8),3)</f>
        <v>67.5</v>
      </c>
      <c r="X103" s="191">
        <f t="shared" si="22"/>
        <v>67.5</v>
      </c>
      <c r="Y103" s="191">
        <v>1.2</v>
      </c>
      <c r="Z103" s="191">
        <f>Y103</f>
        <v>1.2</v>
      </c>
      <c r="AA103" s="16" t="s">
        <v>21</v>
      </c>
      <c r="AB103" s="81">
        <v>44061</v>
      </c>
      <c r="AC103" s="19">
        <v>44057</v>
      </c>
      <c r="AD103" s="81">
        <v>44061</v>
      </c>
      <c r="AE103" s="81">
        <v>44056</v>
      </c>
      <c r="AF103" s="81">
        <v>44056</v>
      </c>
      <c r="AG103" s="81" t="s">
        <v>155</v>
      </c>
      <c r="AH103" s="89">
        <v>1</v>
      </c>
      <c r="AI103" s="89">
        <v>1</v>
      </c>
      <c r="AJ103" s="89">
        <v>1</v>
      </c>
      <c r="AK103" s="14" t="s">
        <v>140</v>
      </c>
      <c r="AL103" s="84"/>
      <c r="AM103" s="15"/>
      <c r="AN103" s="15"/>
    </row>
    <row r="104" spans="2:40" hidden="1">
      <c r="B104" s="131">
        <f t="shared" si="18"/>
        <v>45</v>
      </c>
      <c r="C104" s="16">
        <v>20200813</v>
      </c>
      <c r="D104" s="16" t="s">
        <v>3</v>
      </c>
      <c r="E104" s="85" t="s">
        <v>447</v>
      </c>
      <c r="F104" s="80"/>
      <c r="G104" s="47"/>
      <c r="H104" s="16" t="s">
        <v>332</v>
      </c>
      <c r="I104" s="16" t="s">
        <v>405</v>
      </c>
      <c r="J104" s="16" t="s">
        <v>246</v>
      </c>
      <c r="K104" s="47" t="s">
        <v>366</v>
      </c>
      <c r="L104" s="72" t="s">
        <v>473</v>
      </c>
      <c r="M104" s="47"/>
      <c r="N104" s="16"/>
      <c r="O104" s="80" t="s">
        <v>443</v>
      </c>
      <c r="P104" s="80" t="s">
        <v>459</v>
      </c>
      <c r="Q104" s="18"/>
      <c r="R104" s="16" t="s">
        <v>479</v>
      </c>
      <c r="S104" s="16" t="s">
        <v>174</v>
      </c>
      <c r="T104" s="16"/>
      <c r="U104" s="16"/>
      <c r="V104" s="16"/>
      <c r="W104" s="15">
        <f>ROUND(IF(D104=Table!$C$3,Y104*Table!$C$4/8,Y104*Table!$D$4/8),3)</f>
        <v>202.5</v>
      </c>
      <c r="X104" s="191">
        <f t="shared" si="22"/>
        <v>202.5</v>
      </c>
      <c r="Y104" s="191">
        <v>3.6</v>
      </c>
      <c r="Z104" s="191">
        <f>Y104</f>
        <v>3.6</v>
      </c>
      <c r="AA104" s="16" t="s">
        <v>21</v>
      </c>
      <c r="AB104" s="81">
        <v>44061</v>
      </c>
      <c r="AC104" s="19">
        <v>44057</v>
      </c>
      <c r="AD104" s="81">
        <v>44061</v>
      </c>
      <c r="AE104" s="81">
        <v>44056</v>
      </c>
      <c r="AF104" s="81">
        <v>44056</v>
      </c>
      <c r="AG104" s="81" t="s">
        <v>155</v>
      </c>
      <c r="AH104" s="89">
        <v>1</v>
      </c>
      <c r="AI104" s="89">
        <v>1</v>
      </c>
      <c r="AJ104" s="89">
        <v>0.2</v>
      </c>
      <c r="AK104" s="14" t="s">
        <v>140</v>
      </c>
      <c r="AL104" s="84"/>
      <c r="AM104" s="15"/>
      <c r="AN104" s="15"/>
    </row>
    <row r="105" spans="2:40" hidden="1">
      <c r="B105" s="131">
        <f t="shared" si="18"/>
        <v>46</v>
      </c>
      <c r="C105" s="16">
        <v>20200813</v>
      </c>
      <c r="D105" s="16" t="s">
        <v>3</v>
      </c>
      <c r="E105" s="85" t="s">
        <v>447</v>
      </c>
      <c r="F105" s="80"/>
      <c r="G105" s="47"/>
      <c r="H105" s="16" t="s">
        <v>224</v>
      </c>
      <c r="I105" s="16" t="s">
        <v>406</v>
      </c>
      <c r="J105" s="16" t="s">
        <v>246</v>
      </c>
      <c r="K105" s="47" t="s">
        <v>367</v>
      </c>
      <c r="L105" s="72" t="s">
        <v>473</v>
      </c>
      <c r="M105" s="47"/>
      <c r="N105" s="16"/>
      <c r="O105" s="80" t="s">
        <v>444</v>
      </c>
      <c r="P105" s="80" t="s">
        <v>460</v>
      </c>
      <c r="Q105" s="18"/>
      <c r="R105" s="16" t="s">
        <v>479</v>
      </c>
      <c r="S105" s="16" t="s">
        <v>174</v>
      </c>
      <c r="T105" s="16"/>
      <c r="U105" s="16"/>
      <c r="V105" s="16"/>
      <c r="W105" s="15">
        <f>ROUND(IF(D105=Table!$C$3,Y105*Table!$C$4/8,Y105*Table!$D$4/8),3)</f>
        <v>202.5</v>
      </c>
      <c r="X105" s="191">
        <f t="shared" si="22"/>
        <v>202.5</v>
      </c>
      <c r="Y105" s="191">
        <v>3.6</v>
      </c>
      <c r="Z105" s="191">
        <f>Y105</f>
        <v>3.6</v>
      </c>
      <c r="AA105" s="16" t="s">
        <v>21</v>
      </c>
      <c r="AB105" s="81">
        <v>44061</v>
      </c>
      <c r="AC105" s="19">
        <v>44057</v>
      </c>
      <c r="AD105" s="81">
        <v>44061</v>
      </c>
      <c r="AE105" s="81">
        <v>44056</v>
      </c>
      <c r="AF105" s="81">
        <v>44056</v>
      </c>
      <c r="AG105" s="81" t="s">
        <v>155</v>
      </c>
      <c r="AH105" s="89">
        <v>1</v>
      </c>
      <c r="AI105" s="89">
        <v>1</v>
      </c>
      <c r="AJ105" s="89">
        <v>1</v>
      </c>
      <c r="AK105" s="14" t="s">
        <v>140</v>
      </c>
      <c r="AL105" s="84"/>
      <c r="AM105" s="15"/>
      <c r="AN105" s="15"/>
    </row>
    <row r="106" spans="2:40" hidden="1">
      <c r="B106" s="131">
        <f t="shared" si="18"/>
        <v>47</v>
      </c>
      <c r="C106" s="16">
        <v>20200813</v>
      </c>
      <c r="D106" s="16" t="s">
        <v>3</v>
      </c>
      <c r="E106" s="85" t="s">
        <v>447</v>
      </c>
      <c r="F106" s="80"/>
      <c r="G106" s="47"/>
      <c r="H106" s="16" t="s">
        <v>278</v>
      </c>
      <c r="I106" s="16" t="s">
        <v>407</v>
      </c>
      <c r="J106" s="16" t="s">
        <v>246</v>
      </c>
      <c r="K106" s="47" t="s">
        <v>368</v>
      </c>
      <c r="L106" s="72" t="s">
        <v>473</v>
      </c>
      <c r="M106" s="47"/>
      <c r="N106" s="16"/>
      <c r="O106" s="80" t="s">
        <v>445</v>
      </c>
      <c r="P106" s="80" t="s">
        <v>464</v>
      </c>
      <c r="Q106" s="18"/>
      <c r="R106" s="16" t="s">
        <v>480</v>
      </c>
      <c r="S106" s="16" t="s">
        <v>133</v>
      </c>
      <c r="T106" s="16"/>
      <c r="U106" s="16"/>
      <c r="V106" s="16"/>
      <c r="W106" s="15">
        <f>ROUND(IF(D106=Table!$C$3,Y106*Table!$C$4/8,Y106*Table!$D$4/8),3)</f>
        <v>67.5</v>
      </c>
      <c r="X106" s="191">
        <v>67.5</v>
      </c>
      <c r="Y106" s="191">
        <v>1.2</v>
      </c>
      <c r="Z106" s="191">
        <v>1</v>
      </c>
      <c r="AA106" s="16" t="s">
        <v>21</v>
      </c>
      <c r="AB106" s="81">
        <v>44061</v>
      </c>
      <c r="AC106" s="19">
        <v>44057</v>
      </c>
      <c r="AD106" s="81">
        <v>44061</v>
      </c>
      <c r="AE106" s="81">
        <v>44056</v>
      </c>
      <c r="AF106" s="81">
        <v>44056</v>
      </c>
      <c r="AG106" s="81" t="s">
        <v>155</v>
      </c>
      <c r="AH106" s="89">
        <v>0.95</v>
      </c>
      <c r="AI106" s="89">
        <v>0.87</v>
      </c>
      <c r="AJ106" s="89">
        <v>0.5</v>
      </c>
      <c r="AK106" s="14" t="s">
        <v>140</v>
      </c>
      <c r="AL106" s="84" t="s">
        <v>1046</v>
      </c>
      <c r="AM106" s="17" t="s">
        <v>58</v>
      </c>
      <c r="AN106" s="17" t="s">
        <v>58</v>
      </c>
    </row>
    <row r="107" spans="2:40" hidden="1">
      <c r="B107" s="131">
        <f t="shared" si="18"/>
        <v>48</v>
      </c>
      <c r="C107" s="16">
        <v>20200813</v>
      </c>
      <c r="D107" s="16" t="s">
        <v>3</v>
      </c>
      <c r="E107" s="85" t="s">
        <v>447</v>
      </c>
      <c r="F107" s="80"/>
      <c r="G107" s="47"/>
      <c r="H107" s="16" t="s">
        <v>333</v>
      </c>
      <c r="I107" s="16" t="s">
        <v>408</v>
      </c>
      <c r="J107" s="16" t="s">
        <v>246</v>
      </c>
      <c r="K107" s="47" t="s">
        <v>369</v>
      </c>
      <c r="L107" s="72" t="s">
        <v>473</v>
      </c>
      <c r="M107" s="47"/>
      <c r="N107" s="16"/>
      <c r="O107" s="80" t="s">
        <v>446</v>
      </c>
      <c r="P107" s="80" t="s">
        <v>462</v>
      </c>
      <c r="Q107" s="18"/>
      <c r="R107" s="16" t="s">
        <v>480</v>
      </c>
      <c r="S107" s="16" t="s">
        <v>133</v>
      </c>
      <c r="T107" s="16"/>
      <c r="U107" s="16"/>
      <c r="V107" s="16"/>
      <c r="W107" s="15">
        <f>ROUND(IF(D107=Table!$C$3,Y107*Table!$C$4/8,Y107*Table!$D$4/8),3)</f>
        <v>144</v>
      </c>
      <c r="X107" s="191">
        <v>144</v>
      </c>
      <c r="Y107" s="191">
        <v>2.56</v>
      </c>
      <c r="Z107" s="191">
        <v>1</v>
      </c>
      <c r="AA107" s="16" t="s">
        <v>21</v>
      </c>
      <c r="AB107" s="81">
        <v>44061</v>
      </c>
      <c r="AC107" s="77">
        <v>44057</v>
      </c>
      <c r="AD107" s="77">
        <v>44061</v>
      </c>
      <c r="AE107" s="19">
        <v>44056</v>
      </c>
      <c r="AF107" s="81">
        <v>44056</v>
      </c>
      <c r="AG107" s="81" t="s">
        <v>155</v>
      </c>
      <c r="AH107" s="89">
        <v>1</v>
      </c>
      <c r="AI107" s="89">
        <v>1</v>
      </c>
      <c r="AJ107" s="89">
        <v>1</v>
      </c>
      <c r="AK107" s="14" t="s">
        <v>140</v>
      </c>
      <c r="AL107" s="84" t="s">
        <v>58</v>
      </c>
      <c r="AM107" s="17" t="s">
        <v>58</v>
      </c>
      <c r="AN107" s="17" t="s">
        <v>58</v>
      </c>
    </row>
    <row r="108" spans="2:40" hidden="1">
      <c r="B108" s="131">
        <f t="shared" ref="B108:B128" si="23">B107+1</f>
        <v>49</v>
      </c>
      <c r="C108" s="16">
        <v>20200818</v>
      </c>
      <c r="D108" s="16" t="s">
        <v>2</v>
      </c>
      <c r="E108" s="85" t="s">
        <v>605</v>
      </c>
      <c r="F108" s="80"/>
      <c r="G108" s="47"/>
      <c r="H108" s="16" t="s">
        <v>606</v>
      </c>
      <c r="I108" s="256" t="s">
        <v>391</v>
      </c>
      <c r="J108" s="16" t="s">
        <v>246</v>
      </c>
      <c r="K108" s="47" t="s">
        <v>615</v>
      </c>
      <c r="L108" s="80" t="s">
        <v>614</v>
      </c>
      <c r="M108" s="47"/>
      <c r="N108" s="16"/>
      <c r="O108" s="80" t="s">
        <v>617</v>
      </c>
      <c r="P108" s="80" t="s">
        <v>457</v>
      </c>
      <c r="Q108" s="18"/>
      <c r="R108" s="16" t="s">
        <v>197</v>
      </c>
      <c r="S108" s="16" t="s">
        <v>62</v>
      </c>
      <c r="T108" s="16"/>
      <c r="U108" s="16"/>
      <c r="V108" s="16"/>
      <c r="W108" s="15">
        <f>ROUND(IF(D108=Table!$C$3,Y108*Table!$C$4/8,Y108*Table!$D$4/8),3)</f>
        <v>70.2</v>
      </c>
      <c r="X108" s="191">
        <f t="shared" ref="X108:X114" si="24">W108</f>
        <v>70.2</v>
      </c>
      <c r="Y108" s="191">
        <v>4.32</v>
      </c>
      <c r="Z108" s="191"/>
      <c r="AA108" s="16" t="s">
        <v>21</v>
      </c>
      <c r="AB108" s="81">
        <v>44062</v>
      </c>
      <c r="AC108" s="19">
        <v>44061</v>
      </c>
      <c r="AD108" s="81">
        <v>44062</v>
      </c>
      <c r="AE108" s="81">
        <v>44062</v>
      </c>
      <c r="AF108" s="81">
        <v>44062</v>
      </c>
      <c r="AG108" s="81" t="s">
        <v>155</v>
      </c>
      <c r="AH108" s="228">
        <v>1</v>
      </c>
      <c r="AI108" s="228">
        <v>0.96599999999999997</v>
      </c>
      <c r="AJ108" s="228">
        <v>0.379</v>
      </c>
      <c r="AK108" s="14"/>
      <c r="AL108" s="84" t="s">
        <v>658</v>
      </c>
      <c r="AM108" s="15"/>
      <c r="AN108" s="15"/>
    </row>
    <row r="109" spans="2:40" hidden="1">
      <c r="B109" s="131">
        <f t="shared" si="23"/>
        <v>50</v>
      </c>
      <c r="C109" s="16">
        <v>20200818</v>
      </c>
      <c r="D109" s="16" t="s">
        <v>2</v>
      </c>
      <c r="E109" s="85" t="s">
        <v>605</v>
      </c>
      <c r="F109" s="80"/>
      <c r="G109" s="47"/>
      <c r="H109" s="16" t="s">
        <v>607</v>
      </c>
      <c r="I109" s="148" t="s">
        <v>588</v>
      </c>
      <c r="J109" s="16" t="s">
        <v>208</v>
      </c>
      <c r="K109" s="47"/>
      <c r="L109" s="80" t="s">
        <v>614</v>
      </c>
      <c r="M109" s="47"/>
      <c r="N109" s="16"/>
      <c r="O109" s="80" t="s">
        <v>618</v>
      </c>
      <c r="P109" s="80" t="s">
        <v>456</v>
      </c>
      <c r="Q109" s="18"/>
      <c r="R109" s="16" t="s">
        <v>197</v>
      </c>
      <c r="S109" s="16" t="s">
        <v>62</v>
      </c>
      <c r="T109" s="16"/>
      <c r="U109" s="16"/>
      <c r="V109" s="16"/>
      <c r="W109" s="15">
        <f>ROUND(IF(D109=Table!$C$3,Y109*Table!$C$4/8,Y109*Table!$D$4/8),3)</f>
        <v>42.9</v>
      </c>
      <c r="X109" s="191">
        <f t="shared" si="24"/>
        <v>42.9</v>
      </c>
      <c r="Y109" s="192">
        <v>2.64</v>
      </c>
      <c r="Z109" s="191"/>
      <c r="AA109" s="16" t="s">
        <v>21</v>
      </c>
      <c r="AB109" s="81">
        <v>44062</v>
      </c>
      <c r="AC109" s="19">
        <v>44061</v>
      </c>
      <c r="AD109" s="81">
        <v>44062</v>
      </c>
      <c r="AE109" s="81">
        <v>44062</v>
      </c>
      <c r="AF109" s="81">
        <v>44062</v>
      </c>
      <c r="AG109" s="81" t="s">
        <v>155</v>
      </c>
      <c r="AH109" s="228">
        <v>1</v>
      </c>
      <c r="AI109" s="228">
        <v>1</v>
      </c>
      <c r="AJ109" s="228" t="s">
        <v>213</v>
      </c>
      <c r="AK109" s="14"/>
      <c r="AL109" s="84"/>
      <c r="AM109" s="15"/>
      <c r="AN109" s="15"/>
    </row>
    <row r="110" spans="2:40" hidden="1">
      <c r="B110" s="131">
        <f t="shared" si="23"/>
        <v>51</v>
      </c>
      <c r="C110" s="16">
        <v>20200818</v>
      </c>
      <c r="D110" s="16" t="s">
        <v>2</v>
      </c>
      <c r="E110" s="85" t="s">
        <v>605</v>
      </c>
      <c r="F110" s="80"/>
      <c r="G110" s="47"/>
      <c r="H110" s="16" t="s">
        <v>608</v>
      </c>
      <c r="I110" s="148" t="s">
        <v>589</v>
      </c>
      <c r="J110" s="16" t="s">
        <v>208</v>
      </c>
      <c r="K110" s="47"/>
      <c r="L110" s="80" t="s">
        <v>614</v>
      </c>
      <c r="M110" s="47"/>
      <c r="N110" s="16"/>
      <c r="O110" s="80" t="s">
        <v>619</v>
      </c>
      <c r="P110" s="80" t="s">
        <v>456</v>
      </c>
      <c r="Q110" s="18"/>
      <c r="R110" s="16" t="s">
        <v>197</v>
      </c>
      <c r="S110" s="16" t="s">
        <v>62</v>
      </c>
      <c r="T110" s="16"/>
      <c r="U110" s="16"/>
      <c r="V110" s="16"/>
      <c r="W110" s="15">
        <f>ROUND(IF(D110=Table!$C$3,Y110*Table!$C$4/8,Y110*Table!$D$4/8),3)</f>
        <v>42.9</v>
      </c>
      <c r="X110" s="191">
        <f t="shared" si="24"/>
        <v>42.9</v>
      </c>
      <c r="Y110" s="192">
        <v>2.64</v>
      </c>
      <c r="Z110" s="191"/>
      <c r="AA110" s="16" t="s">
        <v>21</v>
      </c>
      <c r="AB110" s="81">
        <v>44062</v>
      </c>
      <c r="AC110" s="19">
        <v>44061</v>
      </c>
      <c r="AD110" s="81">
        <v>44062</v>
      </c>
      <c r="AE110" s="81">
        <v>44062</v>
      </c>
      <c r="AF110" s="81">
        <v>44062</v>
      </c>
      <c r="AG110" s="81" t="s">
        <v>155</v>
      </c>
      <c r="AH110" s="228">
        <v>0.92700000000000005</v>
      </c>
      <c r="AI110" s="228">
        <v>0.93200000000000005</v>
      </c>
      <c r="AJ110" s="228">
        <v>1</v>
      </c>
      <c r="AK110" s="14"/>
      <c r="AL110" s="14" t="s">
        <v>659</v>
      </c>
      <c r="AM110" s="15"/>
      <c r="AN110" s="15"/>
    </row>
    <row r="111" spans="2:40" hidden="1">
      <c r="B111" s="131">
        <f t="shared" si="23"/>
        <v>52</v>
      </c>
      <c r="C111" s="16">
        <v>20200818</v>
      </c>
      <c r="D111" s="16" t="s">
        <v>3</v>
      </c>
      <c r="E111" s="85" t="s">
        <v>605</v>
      </c>
      <c r="F111" s="80"/>
      <c r="G111" s="47"/>
      <c r="H111" s="16" t="s">
        <v>609</v>
      </c>
      <c r="I111" s="16" t="s">
        <v>590</v>
      </c>
      <c r="J111" s="16" t="s">
        <v>246</v>
      </c>
      <c r="K111" s="47" t="s">
        <v>616</v>
      </c>
      <c r="L111" s="80" t="s">
        <v>614</v>
      </c>
      <c r="M111" s="47"/>
      <c r="N111" s="16"/>
      <c r="O111" s="80"/>
      <c r="P111" s="80" t="s">
        <v>462</v>
      </c>
      <c r="Q111" s="18"/>
      <c r="R111" s="16" t="s">
        <v>198</v>
      </c>
      <c r="S111" s="16" t="s">
        <v>61</v>
      </c>
      <c r="T111" s="16"/>
      <c r="U111" s="16"/>
      <c r="V111" s="16"/>
      <c r="W111" s="15">
        <f>ROUND(IF(D111=Table!$C$3,Y111*Table!$C$4/8,Y111*Table!$D$4/8),3)</f>
        <v>157.5</v>
      </c>
      <c r="X111" s="191">
        <f t="shared" si="24"/>
        <v>157.5</v>
      </c>
      <c r="Y111" s="191">
        <v>2.8000000000000003</v>
      </c>
      <c r="Z111" s="191"/>
      <c r="AA111" s="16" t="s">
        <v>21</v>
      </c>
      <c r="AB111" s="81">
        <v>44062</v>
      </c>
      <c r="AC111" s="19">
        <v>44061</v>
      </c>
      <c r="AD111" s="81">
        <v>44062</v>
      </c>
      <c r="AE111" s="81">
        <v>44061</v>
      </c>
      <c r="AF111" s="81">
        <v>44061</v>
      </c>
      <c r="AG111" s="81" t="s">
        <v>155</v>
      </c>
      <c r="AH111" s="89">
        <v>1</v>
      </c>
      <c r="AI111" s="89">
        <v>1</v>
      </c>
      <c r="AJ111" s="89">
        <v>0.33</v>
      </c>
      <c r="AK111" s="87" t="s">
        <v>140</v>
      </c>
      <c r="AL111" s="14" t="s">
        <v>660</v>
      </c>
      <c r="AM111" s="15"/>
      <c r="AN111" s="15"/>
    </row>
    <row r="112" spans="2:40" hidden="1">
      <c r="B112" s="131">
        <f t="shared" si="23"/>
        <v>53</v>
      </c>
      <c r="C112" s="16">
        <v>20200818</v>
      </c>
      <c r="D112" s="16" t="s">
        <v>3</v>
      </c>
      <c r="E112" s="85" t="s">
        <v>605</v>
      </c>
      <c r="F112" s="80"/>
      <c r="G112" s="47"/>
      <c r="H112" s="16" t="s">
        <v>610</v>
      </c>
      <c r="I112" s="16" t="s">
        <v>591</v>
      </c>
      <c r="J112" s="16" t="s">
        <v>246</v>
      </c>
      <c r="K112" s="47" t="s">
        <v>616</v>
      </c>
      <c r="L112" s="80" t="s">
        <v>614</v>
      </c>
      <c r="M112" s="47"/>
      <c r="N112" s="16"/>
      <c r="O112" s="80"/>
      <c r="P112" s="80" t="s">
        <v>462</v>
      </c>
      <c r="Q112" s="18"/>
      <c r="R112" s="16" t="s">
        <v>198</v>
      </c>
      <c r="S112" s="16" t="s">
        <v>61</v>
      </c>
      <c r="T112" s="16"/>
      <c r="U112" s="16"/>
      <c r="V112" s="16"/>
      <c r="W112" s="15">
        <f>ROUND(IF(D112=Table!$C$3,Y112*Table!$C$4/8,Y112*Table!$D$4/8),3)</f>
        <v>121.5</v>
      </c>
      <c r="X112" s="191">
        <f t="shared" si="24"/>
        <v>121.5</v>
      </c>
      <c r="Y112" s="191">
        <v>2.16</v>
      </c>
      <c r="Z112" s="191"/>
      <c r="AA112" s="16" t="s">
        <v>21</v>
      </c>
      <c r="AB112" s="81">
        <v>44062</v>
      </c>
      <c r="AC112" s="19">
        <v>44061</v>
      </c>
      <c r="AD112" s="81">
        <v>44062</v>
      </c>
      <c r="AE112" s="81">
        <v>44061</v>
      </c>
      <c r="AF112" s="81">
        <v>44061</v>
      </c>
      <c r="AG112" s="81" t="s">
        <v>155</v>
      </c>
      <c r="AH112" s="82">
        <v>1</v>
      </c>
      <c r="AI112" s="82">
        <v>1</v>
      </c>
      <c r="AJ112" s="82">
        <v>0.6</v>
      </c>
      <c r="AK112" s="87" t="s">
        <v>140</v>
      </c>
      <c r="AL112" s="14" t="s">
        <v>661</v>
      </c>
      <c r="AM112" s="15"/>
      <c r="AN112" s="15"/>
    </row>
    <row r="113" spans="1:40" hidden="1">
      <c r="B113" s="131">
        <f t="shared" si="23"/>
        <v>54</v>
      </c>
      <c r="C113" s="16">
        <v>20200818</v>
      </c>
      <c r="D113" s="16" t="s">
        <v>3</v>
      </c>
      <c r="E113" s="85" t="s">
        <v>605</v>
      </c>
      <c r="F113" s="80"/>
      <c r="G113" s="47"/>
      <c r="H113" s="16" t="s">
        <v>611</v>
      </c>
      <c r="I113" s="16" t="s">
        <v>592</v>
      </c>
      <c r="J113" s="16" t="s">
        <v>246</v>
      </c>
      <c r="K113" s="47" t="s">
        <v>616</v>
      </c>
      <c r="L113" s="80" t="s">
        <v>614</v>
      </c>
      <c r="M113" s="47"/>
      <c r="N113" s="16"/>
      <c r="O113" s="80"/>
      <c r="P113" s="80" t="s">
        <v>620</v>
      </c>
      <c r="Q113" s="18"/>
      <c r="R113" s="16" t="s">
        <v>198</v>
      </c>
      <c r="S113" s="16" t="s">
        <v>61</v>
      </c>
      <c r="T113" s="16"/>
      <c r="U113" s="16"/>
      <c r="V113" s="16"/>
      <c r="W113" s="15">
        <f>ROUND(IF(D113=Table!$C$3,Y113*Table!$C$4/8,Y113*Table!$D$4/8),3)</f>
        <v>45</v>
      </c>
      <c r="X113" s="191">
        <f t="shared" si="24"/>
        <v>45</v>
      </c>
      <c r="Y113" s="191">
        <v>0.8</v>
      </c>
      <c r="Z113" s="191"/>
      <c r="AA113" s="16" t="s">
        <v>21</v>
      </c>
      <c r="AB113" s="81">
        <v>44062</v>
      </c>
      <c r="AC113" s="19">
        <v>44061</v>
      </c>
      <c r="AD113" s="81">
        <v>44062</v>
      </c>
      <c r="AE113" s="81">
        <v>44061</v>
      </c>
      <c r="AF113" s="81">
        <v>44061</v>
      </c>
      <c r="AG113" s="81" t="s">
        <v>155</v>
      </c>
      <c r="AH113" s="82">
        <v>1</v>
      </c>
      <c r="AI113" s="82">
        <v>1</v>
      </c>
      <c r="AJ113" s="82">
        <v>0.83</v>
      </c>
      <c r="AK113" s="87" t="s">
        <v>140</v>
      </c>
      <c r="AL113" s="84"/>
      <c r="AM113" s="15"/>
      <c r="AN113" s="15"/>
    </row>
    <row r="114" spans="1:40" hidden="1">
      <c r="B114" s="131">
        <f t="shared" si="23"/>
        <v>55</v>
      </c>
      <c r="C114" s="16">
        <v>20200818</v>
      </c>
      <c r="D114" s="16" t="s">
        <v>3</v>
      </c>
      <c r="E114" s="85" t="s">
        <v>605</v>
      </c>
      <c r="F114" s="80"/>
      <c r="G114" s="47"/>
      <c r="H114" s="16" t="s">
        <v>612</v>
      </c>
      <c r="I114" s="16" t="s">
        <v>593</v>
      </c>
      <c r="J114" s="16" t="s">
        <v>208</v>
      </c>
      <c r="K114" s="47"/>
      <c r="L114" s="80" t="s">
        <v>614</v>
      </c>
      <c r="M114" s="47"/>
      <c r="N114" s="16"/>
      <c r="O114" s="80"/>
      <c r="P114" s="80" t="s">
        <v>621</v>
      </c>
      <c r="Q114" s="18"/>
      <c r="R114" s="16" t="s">
        <v>198</v>
      </c>
      <c r="S114" s="16" t="s">
        <v>61</v>
      </c>
      <c r="T114" s="16"/>
      <c r="U114" s="16"/>
      <c r="V114" s="16"/>
      <c r="W114" s="15">
        <f>ROUND(IF(D114=Table!$C$3,Y114*Table!$C$4/8,Y114*Table!$D$4/8),3)</f>
        <v>175.5</v>
      </c>
      <c r="X114" s="191">
        <f t="shared" si="24"/>
        <v>175.5</v>
      </c>
      <c r="Y114" s="191">
        <v>3.1200000000000006</v>
      </c>
      <c r="Z114" s="191"/>
      <c r="AA114" s="16" t="s">
        <v>21</v>
      </c>
      <c r="AB114" s="81">
        <v>44062</v>
      </c>
      <c r="AC114" s="19">
        <v>44061</v>
      </c>
      <c r="AD114" s="81">
        <v>44062</v>
      </c>
      <c r="AE114" s="81">
        <v>44061</v>
      </c>
      <c r="AF114" s="81">
        <v>44061</v>
      </c>
      <c r="AG114" s="81" t="s">
        <v>155</v>
      </c>
      <c r="AH114" s="82">
        <v>1</v>
      </c>
      <c r="AI114" s="82">
        <v>1</v>
      </c>
      <c r="AJ114" s="82">
        <v>0.41</v>
      </c>
      <c r="AK114" s="87" t="s">
        <v>140</v>
      </c>
      <c r="AL114" s="84"/>
      <c r="AM114" s="15"/>
      <c r="AN114" s="15"/>
    </row>
    <row r="115" spans="1:40" hidden="1">
      <c r="B115" s="131">
        <f t="shared" si="23"/>
        <v>56</v>
      </c>
      <c r="C115" s="16">
        <v>20200818</v>
      </c>
      <c r="D115" s="16" t="s">
        <v>3</v>
      </c>
      <c r="E115" s="85" t="s">
        <v>605</v>
      </c>
      <c r="F115" s="80"/>
      <c r="G115" s="47"/>
      <c r="H115" s="16" t="s">
        <v>250</v>
      </c>
      <c r="I115" s="16" t="s">
        <v>594</v>
      </c>
      <c r="J115" s="16" t="s">
        <v>246</v>
      </c>
      <c r="K115" s="47" t="s">
        <v>616</v>
      </c>
      <c r="L115" s="80" t="s">
        <v>614</v>
      </c>
      <c r="M115" s="47"/>
      <c r="N115" s="16"/>
      <c r="O115" s="80"/>
      <c r="P115" s="80" t="s">
        <v>622</v>
      </c>
      <c r="Q115" s="18"/>
      <c r="R115" s="16" t="s">
        <v>199</v>
      </c>
      <c r="S115" s="16" t="s">
        <v>133</v>
      </c>
      <c r="T115" s="16"/>
      <c r="U115" s="16"/>
      <c r="V115" s="16"/>
      <c r="W115" s="15">
        <f>ROUND(IF(D115=Table!$C$3,Y115*Table!$C$4/8,Y115*Table!$D$4/8),3)</f>
        <v>121.5</v>
      </c>
      <c r="X115" s="191">
        <v>121.5</v>
      </c>
      <c r="Y115" s="191">
        <v>2.16</v>
      </c>
      <c r="Z115" s="191">
        <v>2</v>
      </c>
      <c r="AA115" s="16" t="s">
        <v>21</v>
      </c>
      <c r="AB115" s="81">
        <v>44062</v>
      </c>
      <c r="AC115" s="19">
        <v>44061</v>
      </c>
      <c r="AD115" s="81">
        <v>44062</v>
      </c>
      <c r="AE115" s="81">
        <v>44061</v>
      </c>
      <c r="AF115" s="81">
        <v>44061</v>
      </c>
      <c r="AG115" s="81" t="s">
        <v>155</v>
      </c>
      <c r="AH115" s="82">
        <v>1</v>
      </c>
      <c r="AI115" s="82">
        <v>1</v>
      </c>
      <c r="AJ115" s="82">
        <v>0.68</v>
      </c>
      <c r="AK115" s="87" t="s">
        <v>140</v>
      </c>
      <c r="AL115" s="84" t="s">
        <v>58</v>
      </c>
      <c r="AM115" s="17" t="s">
        <v>58</v>
      </c>
      <c r="AN115" s="17" t="s">
        <v>58</v>
      </c>
    </row>
    <row r="116" spans="1:40" hidden="1">
      <c r="B116" s="131">
        <f t="shared" si="23"/>
        <v>57</v>
      </c>
      <c r="C116" s="16">
        <v>20200818</v>
      </c>
      <c r="D116" s="16" t="s">
        <v>3</v>
      </c>
      <c r="E116" s="85" t="s">
        <v>605</v>
      </c>
      <c r="F116" s="80"/>
      <c r="G116" s="47"/>
      <c r="H116" s="16" t="s">
        <v>280</v>
      </c>
      <c r="I116" s="16" t="s">
        <v>595</v>
      </c>
      <c r="J116" s="16" t="s">
        <v>246</v>
      </c>
      <c r="K116" s="47"/>
      <c r="L116" s="80" t="s">
        <v>614</v>
      </c>
      <c r="M116" s="47"/>
      <c r="N116" s="16"/>
      <c r="O116" s="80"/>
      <c r="P116" s="80" t="s">
        <v>622</v>
      </c>
      <c r="Q116" s="18"/>
      <c r="R116" s="16" t="s">
        <v>199</v>
      </c>
      <c r="S116" s="16" t="s">
        <v>133</v>
      </c>
      <c r="T116" s="16"/>
      <c r="U116" s="16"/>
      <c r="V116" s="16"/>
      <c r="W116" s="15">
        <f>ROUND(IF(D116=Table!$C$3,Y116*Table!$C$4/8,Y116*Table!$D$4/8),3)</f>
        <v>85.5</v>
      </c>
      <c r="X116" s="191">
        <v>85.5</v>
      </c>
      <c r="Y116" s="191">
        <v>1.52</v>
      </c>
      <c r="Z116" s="191">
        <v>1</v>
      </c>
      <c r="AA116" s="16" t="s">
        <v>21</v>
      </c>
      <c r="AB116" s="81">
        <v>44062</v>
      </c>
      <c r="AC116" s="19">
        <v>44061</v>
      </c>
      <c r="AD116" s="81">
        <v>44062</v>
      </c>
      <c r="AE116" s="81">
        <v>44062</v>
      </c>
      <c r="AF116" s="81">
        <v>44062</v>
      </c>
      <c r="AG116" s="81" t="s">
        <v>155</v>
      </c>
      <c r="AH116" s="82">
        <v>1</v>
      </c>
      <c r="AI116" s="82">
        <v>1</v>
      </c>
      <c r="AJ116" s="82">
        <v>0.54</v>
      </c>
      <c r="AK116" s="87" t="s">
        <v>140</v>
      </c>
      <c r="AL116" s="84" t="s">
        <v>58</v>
      </c>
      <c r="AM116" s="17" t="s">
        <v>58</v>
      </c>
      <c r="AN116" s="17" t="s">
        <v>58</v>
      </c>
    </row>
    <row r="117" spans="1:40" s="255" customFormat="1">
      <c r="A117" s="111"/>
      <c r="B117" s="246">
        <f t="shared" si="23"/>
        <v>58</v>
      </c>
      <c r="C117" s="247">
        <v>20200818</v>
      </c>
      <c r="D117" s="247" t="s">
        <v>3</v>
      </c>
      <c r="E117" s="248" t="s">
        <v>605</v>
      </c>
      <c r="F117" s="249"/>
      <c r="G117" s="249"/>
      <c r="H117" s="247" t="s">
        <v>252</v>
      </c>
      <c r="I117" s="247" t="s">
        <v>596</v>
      </c>
      <c r="J117" s="247" t="s">
        <v>246</v>
      </c>
      <c r="K117" s="249"/>
      <c r="L117" s="249" t="s">
        <v>614</v>
      </c>
      <c r="M117" s="249"/>
      <c r="N117" s="247"/>
      <c r="O117" s="249"/>
      <c r="P117" s="249" t="s">
        <v>623</v>
      </c>
      <c r="Q117" s="247"/>
      <c r="R117" s="247" t="s">
        <v>200</v>
      </c>
      <c r="S117" s="247" t="s">
        <v>66</v>
      </c>
      <c r="T117" s="247"/>
      <c r="U117" s="247"/>
      <c r="V117" s="247"/>
      <c r="W117" s="247">
        <f>ROUND(IF(D117=Table!$C$3,Y117*Table!$C$4/8,Y117*Table!$D$4/8),3)</f>
        <v>517.5</v>
      </c>
      <c r="X117" s="250">
        <f>W117</f>
        <v>517.5</v>
      </c>
      <c r="Y117" s="250">
        <v>9.2000000000000011</v>
      </c>
      <c r="Z117" s="250">
        <f>Y117</f>
        <v>9.2000000000000011</v>
      </c>
      <c r="AA117" s="16" t="s">
        <v>21</v>
      </c>
      <c r="AB117" s="81">
        <v>44062</v>
      </c>
      <c r="AC117" s="251">
        <v>44061</v>
      </c>
      <c r="AD117" s="251">
        <v>44062</v>
      </c>
      <c r="AE117" s="251">
        <v>44061</v>
      </c>
      <c r="AF117" s="251">
        <v>44061</v>
      </c>
      <c r="AG117" s="251" t="s">
        <v>155</v>
      </c>
      <c r="AH117" s="252">
        <v>1</v>
      </c>
      <c r="AI117" s="252">
        <v>0.99</v>
      </c>
      <c r="AJ117" s="252">
        <v>0.66</v>
      </c>
      <c r="AK117" s="253" t="s">
        <v>140</v>
      </c>
      <c r="AL117" s="253" t="s">
        <v>657</v>
      </c>
      <c r="AM117" s="247"/>
      <c r="AN117" s="247"/>
    </row>
    <row r="118" spans="1:40" hidden="1">
      <c r="B118" s="131">
        <f t="shared" si="23"/>
        <v>59</v>
      </c>
      <c r="C118" s="16">
        <v>20200818</v>
      </c>
      <c r="D118" s="16" t="s">
        <v>3</v>
      </c>
      <c r="E118" s="85" t="s">
        <v>605</v>
      </c>
      <c r="F118" s="80"/>
      <c r="G118" s="47"/>
      <c r="H118" s="16" t="s">
        <v>224</v>
      </c>
      <c r="I118" s="16" t="s">
        <v>597</v>
      </c>
      <c r="J118" s="16" t="s">
        <v>246</v>
      </c>
      <c r="K118" s="47" t="s">
        <v>616</v>
      </c>
      <c r="L118" s="80" t="s">
        <v>614</v>
      </c>
      <c r="M118" s="47"/>
      <c r="N118" s="16"/>
      <c r="O118" s="80"/>
      <c r="P118" s="80" t="s">
        <v>623</v>
      </c>
      <c r="Q118" s="18"/>
      <c r="R118" s="16" t="s">
        <v>199</v>
      </c>
      <c r="S118" s="16" t="s">
        <v>133</v>
      </c>
      <c r="T118" s="16"/>
      <c r="U118" s="16"/>
      <c r="V118" s="16"/>
      <c r="W118" s="15">
        <f>ROUND(IF(D118=Table!$C$3,Y118*Table!$C$4/8,Y118*Table!$D$4/8),3)</f>
        <v>211.5</v>
      </c>
      <c r="X118" s="191">
        <v>211.5</v>
      </c>
      <c r="Y118" s="191">
        <v>3.7600000000000002</v>
      </c>
      <c r="Z118" s="191">
        <v>3</v>
      </c>
      <c r="AA118" s="16" t="s">
        <v>21</v>
      </c>
      <c r="AB118" s="81">
        <v>44062</v>
      </c>
      <c r="AC118" s="19">
        <v>44061</v>
      </c>
      <c r="AD118" s="81">
        <v>44062</v>
      </c>
      <c r="AE118" s="81">
        <v>44062</v>
      </c>
      <c r="AF118" s="81">
        <v>44062</v>
      </c>
      <c r="AG118" s="81" t="s">
        <v>155</v>
      </c>
      <c r="AH118" s="82">
        <v>1</v>
      </c>
      <c r="AI118" s="82">
        <v>1</v>
      </c>
      <c r="AJ118" s="82">
        <v>1</v>
      </c>
      <c r="AK118" s="87" t="s">
        <v>140</v>
      </c>
      <c r="AL118" s="84" t="s">
        <v>58</v>
      </c>
      <c r="AM118" s="17" t="s">
        <v>58</v>
      </c>
      <c r="AN118" s="17" t="s">
        <v>58</v>
      </c>
    </row>
    <row r="119" spans="1:40" s="255" customFormat="1" hidden="1">
      <c r="A119" s="111"/>
      <c r="B119" s="246">
        <f t="shared" si="23"/>
        <v>60</v>
      </c>
      <c r="C119" s="247">
        <v>20200818</v>
      </c>
      <c r="D119" s="247" t="s">
        <v>3</v>
      </c>
      <c r="E119" s="248" t="s">
        <v>605</v>
      </c>
      <c r="F119" s="249"/>
      <c r="G119" s="249"/>
      <c r="H119" s="247" t="s">
        <v>281</v>
      </c>
      <c r="I119" s="247" t="s">
        <v>598</v>
      </c>
      <c r="J119" s="247" t="s">
        <v>246</v>
      </c>
      <c r="K119" s="249"/>
      <c r="L119" s="249" t="s">
        <v>614</v>
      </c>
      <c r="M119" s="249"/>
      <c r="N119" s="247"/>
      <c r="O119" s="249"/>
      <c r="P119" s="249" t="s">
        <v>623</v>
      </c>
      <c r="Q119" s="247"/>
      <c r="R119" s="247" t="s">
        <v>199</v>
      </c>
      <c r="S119" s="247" t="s">
        <v>133</v>
      </c>
      <c r="T119" s="247"/>
      <c r="U119" s="247"/>
      <c r="V119" s="247"/>
      <c r="W119" s="247">
        <f>ROUND(IF(D119=Table!$C$3,Y119*Table!$C$4/8,Y119*Table!$D$4/8),3)</f>
        <v>85.5</v>
      </c>
      <c r="X119" s="250">
        <f>W119</f>
        <v>85.5</v>
      </c>
      <c r="Y119" s="250">
        <v>1.52</v>
      </c>
      <c r="Z119" s="250">
        <v>1</v>
      </c>
      <c r="AA119" s="16" t="s">
        <v>21</v>
      </c>
      <c r="AB119" s="81">
        <v>44062</v>
      </c>
      <c r="AC119" s="251">
        <v>44061</v>
      </c>
      <c r="AD119" s="251">
        <v>44062</v>
      </c>
      <c r="AE119" s="251">
        <v>44061</v>
      </c>
      <c r="AF119" s="251">
        <v>44061</v>
      </c>
      <c r="AG119" s="251" t="s">
        <v>155</v>
      </c>
      <c r="AH119" s="252">
        <v>1</v>
      </c>
      <c r="AI119" s="252">
        <v>0.99</v>
      </c>
      <c r="AJ119" s="252" t="s">
        <v>213</v>
      </c>
      <c r="AK119" s="253" t="s">
        <v>140</v>
      </c>
      <c r="AL119" s="253" t="s">
        <v>1048</v>
      </c>
      <c r="AM119" s="254" t="s">
        <v>58</v>
      </c>
      <c r="AN119" s="249" t="s">
        <v>58</v>
      </c>
    </row>
    <row r="120" spans="1:40" hidden="1">
      <c r="B120" s="131">
        <f t="shared" si="23"/>
        <v>61</v>
      </c>
      <c r="C120" s="16">
        <v>20200818</v>
      </c>
      <c r="D120" s="16" t="s">
        <v>3</v>
      </c>
      <c r="E120" s="85" t="s">
        <v>605</v>
      </c>
      <c r="F120" s="80"/>
      <c r="G120" s="47"/>
      <c r="H120" s="16" t="s">
        <v>613</v>
      </c>
      <c r="I120" s="16" t="s">
        <v>599</v>
      </c>
      <c r="J120" s="16" t="s">
        <v>246</v>
      </c>
      <c r="K120" s="47" t="s">
        <v>616</v>
      </c>
      <c r="L120" s="80" t="s">
        <v>614</v>
      </c>
      <c r="M120" s="47"/>
      <c r="N120" s="16"/>
      <c r="O120" s="80"/>
      <c r="P120" s="80" t="s">
        <v>623</v>
      </c>
      <c r="Q120" s="18"/>
      <c r="R120" s="16" t="s">
        <v>201</v>
      </c>
      <c r="S120" s="16" t="s">
        <v>63</v>
      </c>
      <c r="T120" s="16"/>
      <c r="U120" s="16"/>
      <c r="V120" s="16"/>
      <c r="W120" s="15">
        <f>ROUND(IF(D120=Table!$C$3,Y120*Table!$C$4/8,Y120*Table!$D$4/8),3)</f>
        <v>409.5</v>
      </c>
      <c r="X120" s="191">
        <f>W120</f>
        <v>409.5</v>
      </c>
      <c r="Y120" s="191">
        <v>7.28</v>
      </c>
      <c r="Z120" s="191">
        <f>Y120</f>
        <v>7.28</v>
      </c>
      <c r="AA120" s="16" t="s">
        <v>21</v>
      </c>
      <c r="AB120" s="81">
        <v>44062</v>
      </c>
      <c r="AC120" s="19">
        <v>44061</v>
      </c>
      <c r="AD120" s="81">
        <v>44062</v>
      </c>
      <c r="AE120" s="81">
        <v>44061</v>
      </c>
      <c r="AF120" s="81">
        <v>44061</v>
      </c>
      <c r="AG120" s="81" t="s">
        <v>155</v>
      </c>
      <c r="AH120" s="82">
        <v>1</v>
      </c>
      <c r="AI120" s="82">
        <v>1</v>
      </c>
      <c r="AJ120" s="82">
        <v>0.33</v>
      </c>
      <c r="AK120" s="87" t="s">
        <v>140</v>
      </c>
      <c r="AL120" s="84"/>
      <c r="AM120" s="15"/>
      <c r="AN120" s="15"/>
    </row>
    <row r="121" spans="1:40" hidden="1">
      <c r="B121" s="131">
        <f t="shared" si="23"/>
        <v>62</v>
      </c>
      <c r="C121" s="16">
        <v>20200818</v>
      </c>
      <c r="D121" s="16" t="s">
        <v>3</v>
      </c>
      <c r="E121" s="85" t="s">
        <v>605</v>
      </c>
      <c r="F121" s="80"/>
      <c r="G121" s="47"/>
      <c r="H121" s="16" t="s">
        <v>255</v>
      </c>
      <c r="I121" s="16" t="s">
        <v>600</v>
      </c>
      <c r="J121" s="16" t="s">
        <v>246</v>
      </c>
      <c r="K121" s="47" t="s">
        <v>616</v>
      </c>
      <c r="L121" s="80" t="s">
        <v>614</v>
      </c>
      <c r="M121" s="47"/>
      <c r="N121" s="16"/>
      <c r="O121" s="80"/>
      <c r="P121" s="80" t="s">
        <v>623</v>
      </c>
      <c r="Q121" s="18"/>
      <c r="R121" s="16" t="s">
        <v>201</v>
      </c>
      <c r="S121" s="16" t="s">
        <v>63</v>
      </c>
      <c r="T121" s="16"/>
      <c r="U121" s="16"/>
      <c r="V121" s="16"/>
      <c r="W121" s="15">
        <f>ROUND(IF(D121=Table!$C$3,Y121*Table!$C$4/8,Y121*Table!$D$4/8),3)</f>
        <v>85.5</v>
      </c>
      <c r="X121" s="191">
        <f>W121</f>
        <v>85.5</v>
      </c>
      <c r="Y121" s="191">
        <v>1.52</v>
      </c>
      <c r="Z121" s="191">
        <f>Y121</f>
        <v>1.52</v>
      </c>
      <c r="AA121" s="16" t="s">
        <v>21</v>
      </c>
      <c r="AB121" s="81">
        <v>44062</v>
      </c>
      <c r="AC121" s="19">
        <v>44061</v>
      </c>
      <c r="AD121" s="81">
        <v>44062</v>
      </c>
      <c r="AE121" s="81">
        <v>44061</v>
      </c>
      <c r="AF121" s="81">
        <v>44061</v>
      </c>
      <c r="AG121" s="81" t="s">
        <v>155</v>
      </c>
      <c r="AH121" s="82">
        <v>1</v>
      </c>
      <c r="AI121" s="82">
        <v>1</v>
      </c>
      <c r="AJ121" s="82">
        <v>0.9</v>
      </c>
      <c r="AK121" s="87" t="s">
        <v>140</v>
      </c>
      <c r="AL121" s="84"/>
      <c r="AM121" s="15"/>
      <c r="AN121" s="15"/>
    </row>
    <row r="122" spans="1:40" hidden="1">
      <c r="B122" s="131">
        <f t="shared" si="23"/>
        <v>63</v>
      </c>
      <c r="C122" s="16">
        <v>20200818</v>
      </c>
      <c r="D122" s="16" t="s">
        <v>3</v>
      </c>
      <c r="E122" s="85" t="s">
        <v>605</v>
      </c>
      <c r="F122" s="80"/>
      <c r="G122" s="47"/>
      <c r="H122" s="16" t="s">
        <v>256</v>
      </c>
      <c r="I122" s="16" t="s">
        <v>601</v>
      </c>
      <c r="J122" s="16" t="s">
        <v>246</v>
      </c>
      <c r="K122" s="47" t="s">
        <v>616</v>
      </c>
      <c r="L122" s="80" t="s">
        <v>614</v>
      </c>
      <c r="M122" s="47"/>
      <c r="N122" s="16"/>
      <c r="O122" s="80"/>
      <c r="P122" s="80" t="s">
        <v>623</v>
      </c>
      <c r="Q122" s="18"/>
      <c r="R122" s="16" t="s">
        <v>202</v>
      </c>
      <c r="S122" s="16" t="s">
        <v>174</v>
      </c>
      <c r="T122" s="16"/>
      <c r="U122" s="16"/>
      <c r="V122" s="16"/>
      <c r="W122" s="15">
        <f>ROUND(IF(D122=Table!$C$3,Y122*Table!$C$4/8,Y122*Table!$D$4/8),3)</f>
        <v>85.5</v>
      </c>
      <c r="X122" s="191">
        <f t="shared" ref="X122:X124" si="25">W122</f>
        <v>85.5</v>
      </c>
      <c r="Y122" s="191">
        <v>1.52</v>
      </c>
      <c r="Z122" s="191">
        <f>Y122</f>
        <v>1.52</v>
      </c>
      <c r="AA122" s="16" t="s">
        <v>21</v>
      </c>
      <c r="AB122" s="81">
        <v>44062</v>
      </c>
      <c r="AC122" s="19">
        <v>44061</v>
      </c>
      <c r="AD122" s="81">
        <v>44062</v>
      </c>
      <c r="AE122" s="81">
        <v>44062</v>
      </c>
      <c r="AF122" s="81">
        <v>44062</v>
      </c>
      <c r="AG122" s="81" t="s">
        <v>155</v>
      </c>
      <c r="AH122" s="82">
        <v>1</v>
      </c>
      <c r="AI122" s="82">
        <v>1</v>
      </c>
      <c r="AJ122" s="82" t="s">
        <v>213</v>
      </c>
      <c r="AK122" s="14" t="s">
        <v>140</v>
      </c>
      <c r="AL122" s="84"/>
      <c r="AM122" s="15"/>
      <c r="AN122" s="15"/>
    </row>
    <row r="123" spans="1:40" hidden="1">
      <c r="B123" s="131">
        <f t="shared" si="23"/>
        <v>64</v>
      </c>
      <c r="C123" s="16">
        <v>20200818</v>
      </c>
      <c r="D123" s="16" t="s">
        <v>3</v>
      </c>
      <c r="E123" s="85" t="s">
        <v>605</v>
      </c>
      <c r="F123" s="80"/>
      <c r="G123" s="47"/>
      <c r="H123" s="16" t="s">
        <v>257</v>
      </c>
      <c r="I123" s="16" t="s">
        <v>602</v>
      </c>
      <c r="J123" s="16" t="s">
        <v>246</v>
      </c>
      <c r="K123" s="47" t="s">
        <v>616</v>
      </c>
      <c r="L123" s="80" t="s">
        <v>614</v>
      </c>
      <c r="M123" s="47"/>
      <c r="N123" s="16"/>
      <c r="O123" s="80"/>
      <c r="P123" s="80" t="s">
        <v>623</v>
      </c>
      <c r="Q123" s="18"/>
      <c r="R123" s="236" t="s">
        <v>202</v>
      </c>
      <c r="S123" s="16" t="s">
        <v>174</v>
      </c>
      <c r="T123" s="16"/>
      <c r="U123" s="16"/>
      <c r="V123" s="16"/>
      <c r="W123" s="15">
        <f>ROUND(IF(D123=Table!$C$3,Y123*Table!$C$4/8,Y123*Table!$D$4/8),3)</f>
        <v>85.5</v>
      </c>
      <c r="X123" s="191">
        <f t="shared" si="25"/>
        <v>85.5</v>
      </c>
      <c r="Y123" s="191">
        <v>1.52</v>
      </c>
      <c r="Z123" s="191">
        <f>Y123</f>
        <v>1.52</v>
      </c>
      <c r="AA123" s="16" t="s">
        <v>21</v>
      </c>
      <c r="AB123" s="81">
        <v>44062</v>
      </c>
      <c r="AC123" s="19">
        <v>44061</v>
      </c>
      <c r="AD123" s="81">
        <v>44062</v>
      </c>
      <c r="AE123" s="81">
        <v>44062</v>
      </c>
      <c r="AF123" s="81">
        <v>44062</v>
      </c>
      <c r="AG123" s="81" t="s">
        <v>155</v>
      </c>
      <c r="AH123" s="89">
        <v>1</v>
      </c>
      <c r="AI123" s="89">
        <v>1</v>
      </c>
      <c r="AJ123" s="89">
        <v>0.9</v>
      </c>
      <c r="AK123" s="14" t="s">
        <v>140</v>
      </c>
      <c r="AL123" s="84"/>
      <c r="AM123" s="15"/>
      <c r="AN123" s="15"/>
    </row>
    <row r="124" spans="1:40" hidden="1">
      <c r="B124" s="131">
        <f t="shared" si="23"/>
        <v>65</v>
      </c>
      <c r="C124" s="16">
        <v>20200818</v>
      </c>
      <c r="D124" s="16" t="s">
        <v>3</v>
      </c>
      <c r="E124" s="85" t="s">
        <v>605</v>
      </c>
      <c r="F124" s="80"/>
      <c r="G124" s="47"/>
      <c r="H124" s="16" t="s">
        <v>258</v>
      </c>
      <c r="I124" s="16" t="s">
        <v>603</v>
      </c>
      <c r="J124" s="16" t="s">
        <v>246</v>
      </c>
      <c r="K124" s="47" t="s">
        <v>616</v>
      </c>
      <c r="L124" s="80" t="s">
        <v>614</v>
      </c>
      <c r="M124" s="47"/>
      <c r="N124" s="16"/>
      <c r="O124" s="80"/>
      <c r="P124" s="80" t="s">
        <v>624</v>
      </c>
      <c r="Q124" s="18"/>
      <c r="R124" s="236" t="s">
        <v>202</v>
      </c>
      <c r="S124" s="16" t="s">
        <v>174</v>
      </c>
      <c r="T124" s="16"/>
      <c r="U124" s="16"/>
      <c r="V124" s="16"/>
      <c r="W124" s="15">
        <f>ROUND(IF(D124=Table!$C$3,Y124*Table!$C$4/8,Y124*Table!$D$4/8),3)</f>
        <v>49.5</v>
      </c>
      <c r="X124" s="191">
        <f t="shared" si="25"/>
        <v>49.5</v>
      </c>
      <c r="Y124" s="191">
        <v>0.88000000000000012</v>
      </c>
      <c r="Z124" s="191">
        <f>Y124</f>
        <v>0.88000000000000012</v>
      </c>
      <c r="AA124" s="16" t="s">
        <v>21</v>
      </c>
      <c r="AB124" s="81">
        <v>44062</v>
      </c>
      <c r="AC124" s="19">
        <v>44061</v>
      </c>
      <c r="AD124" s="81">
        <v>44062</v>
      </c>
      <c r="AE124" s="81">
        <v>44062</v>
      </c>
      <c r="AF124" s="81">
        <v>44062</v>
      </c>
      <c r="AG124" s="81" t="s">
        <v>155</v>
      </c>
      <c r="AH124" s="89">
        <v>1</v>
      </c>
      <c r="AI124" s="89">
        <v>1</v>
      </c>
      <c r="AJ124" s="89">
        <v>0.5</v>
      </c>
      <c r="AK124" s="14" t="s">
        <v>140</v>
      </c>
      <c r="AL124" s="95"/>
      <c r="AM124" s="15"/>
      <c r="AN124" s="15"/>
    </row>
    <row r="125" spans="1:40" hidden="1">
      <c r="B125" s="131">
        <f t="shared" si="23"/>
        <v>66</v>
      </c>
      <c r="C125" s="16">
        <v>20200818</v>
      </c>
      <c r="D125" s="16" t="s">
        <v>3</v>
      </c>
      <c r="E125" s="85" t="s">
        <v>605</v>
      </c>
      <c r="F125" s="80"/>
      <c r="G125" s="47"/>
      <c r="H125" s="16" t="s">
        <v>225</v>
      </c>
      <c r="I125" s="16" t="s">
        <v>400</v>
      </c>
      <c r="J125" s="16" t="s">
        <v>246</v>
      </c>
      <c r="K125" s="47" t="s">
        <v>616</v>
      </c>
      <c r="L125" s="80" t="s">
        <v>614</v>
      </c>
      <c r="M125" s="47"/>
      <c r="N125" s="16"/>
      <c r="O125" s="80"/>
      <c r="P125" s="80" t="s">
        <v>620</v>
      </c>
      <c r="Q125" s="18"/>
      <c r="R125" s="236" t="s">
        <v>205</v>
      </c>
      <c r="S125" s="16" t="s">
        <v>132</v>
      </c>
      <c r="T125" s="16"/>
      <c r="U125" s="16"/>
      <c r="V125" s="16"/>
      <c r="W125" s="15">
        <f>ROUND(IF(D125=Table!$C$3,Y125*Table!$C$4/8,Y125*Table!$D$4/8),3)</f>
        <v>337.5</v>
      </c>
      <c r="X125" s="191">
        <v>337.5</v>
      </c>
      <c r="Y125" s="191">
        <v>6</v>
      </c>
      <c r="Z125" s="191">
        <v>6</v>
      </c>
      <c r="AA125" s="16" t="s">
        <v>21</v>
      </c>
      <c r="AB125" s="81">
        <v>44062</v>
      </c>
      <c r="AC125" s="19">
        <v>44061</v>
      </c>
      <c r="AD125" s="81">
        <v>44062</v>
      </c>
      <c r="AE125" s="81">
        <v>44061</v>
      </c>
      <c r="AF125" s="81">
        <v>44061</v>
      </c>
      <c r="AG125" s="81" t="s">
        <v>155</v>
      </c>
      <c r="AH125" s="89">
        <v>1</v>
      </c>
      <c r="AI125" s="89">
        <v>1</v>
      </c>
      <c r="AJ125" s="89">
        <v>0.61</v>
      </c>
      <c r="AK125" s="14" t="s">
        <v>140</v>
      </c>
      <c r="AL125" s="84"/>
      <c r="AM125" s="15"/>
      <c r="AN125" s="15"/>
    </row>
    <row r="126" spans="1:40" hidden="1">
      <c r="B126" s="131">
        <f t="shared" si="23"/>
        <v>67</v>
      </c>
      <c r="C126" s="16">
        <v>20200818</v>
      </c>
      <c r="D126" s="16" t="s">
        <v>3</v>
      </c>
      <c r="E126" s="85" t="s">
        <v>605</v>
      </c>
      <c r="F126" s="80"/>
      <c r="G126" s="47"/>
      <c r="H126" s="16" t="s">
        <v>240</v>
      </c>
      <c r="I126" s="16" t="s">
        <v>405</v>
      </c>
      <c r="J126" s="16" t="s">
        <v>208</v>
      </c>
      <c r="K126" s="47"/>
      <c r="L126" s="80" t="s">
        <v>614</v>
      </c>
      <c r="M126" s="47"/>
      <c r="N126" s="16"/>
      <c r="O126" s="80"/>
      <c r="P126" s="80" t="s">
        <v>462</v>
      </c>
      <c r="Q126" s="18"/>
      <c r="R126" s="236" t="s">
        <v>205</v>
      </c>
      <c r="S126" s="16" t="s">
        <v>132</v>
      </c>
      <c r="T126" s="16"/>
      <c r="U126" s="16"/>
      <c r="V126" s="16"/>
      <c r="W126" s="15">
        <f>ROUND(IF(D126=Table!$C$3,Y126*Table!$C$4/8,Y126*Table!$D$4/8),3)</f>
        <v>157.5</v>
      </c>
      <c r="X126" s="191">
        <v>157.5</v>
      </c>
      <c r="Y126" s="191">
        <v>2.8000000000000003</v>
      </c>
      <c r="Z126" s="191">
        <v>2.8000000000000003</v>
      </c>
      <c r="AA126" s="16" t="s">
        <v>21</v>
      </c>
      <c r="AB126" s="81">
        <v>44062</v>
      </c>
      <c r="AC126" s="19">
        <v>44061</v>
      </c>
      <c r="AD126" s="81">
        <v>44062</v>
      </c>
      <c r="AE126" s="81">
        <v>44061</v>
      </c>
      <c r="AF126" s="81">
        <v>44061</v>
      </c>
      <c r="AG126" s="81" t="s">
        <v>155</v>
      </c>
      <c r="AH126" s="89">
        <v>1</v>
      </c>
      <c r="AI126" s="89">
        <v>1</v>
      </c>
      <c r="AJ126" s="89">
        <v>0.2</v>
      </c>
      <c r="AK126" s="14" t="s">
        <v>140</v>
      </c>
      <c r="AL126" s="84"/>
      <c r="AM126" s="15"/>
      <c r="AN126" s="15"/>
    </row>
    <row r="127" spans="1:40" hidden="1">
      <c r="B127" s="131">
        <f t="shared" si="23"/>
        <v>68</v>
      </c>
      <c r="C127" s="16">
        <v>20200818</v>
      </c>
      <c r="D127" s="16" t="s">
        <v>3</v>
      </c>
      <c r="E127" s="85" t="s">
        <v>605</v>
      </c>
      <c r="F127" s="80"/>
      <c r="G127" s="47"/>
      <c r="H127" s="16" t="s">
        <v>241</v>
      </c>
      <c r="I127" s="16" t="s">
        <v>406</v>
      </c>
      <c r="J127" s="16" t="s">
        <v>208</v>
      </c>
      <c r="K127" s="47"/>
      <c r="L127" s="80" t="s">
        <v>614</v>
      </c>
      <c r="M127" s="47"/>
      <c r="N127" s="16"/>
      <c r="O127" s="80"/>
      <c r="P127" s="80" t="s">
        <v>462</v>
      </c>
      <c r="Q127" s="18"/>
      <c r="R127" s="236" t="s">
        <v>202</v>
      </c>
      <c r="S127" s="16" t="s">
        <v>174</v>
      </c>
      <c r="T127" s="16"/>
      <c r="U127" s="16"/>
      <c r="V127" s="16"/>
      <c r="W127" s="15">
        <f>ROUND(IF(D127=Table!$C$3,Y127*Table!$C$4/8,Y127*Table!$D$4/8),3)</f>
        <v>157.5</v>
      </c>
      <c r="X127" s="191">
        <f t="shared" ref="X127:X128" si="26">W127</f>
        <v>157.5</v>
      </c>
      <c r="Y127" s="191">
        <v>2.8000000000000003</v>
      </c>
      <c r="Z127" s="191">
        <f t="shared" ref="Z127:Z135" si="27">Y127</f>
        <v>2.8000000000000003</v>
      </c>
      <c r="AA127" s="16" t="s">
        <v>21</v>
      </c>
      <c r="AB127" s="81">
        <v>44062</v>
      </c>
      <c r="AC127" s="19">
        <v>44061</v>
      </c>
      <c r="AD127" s="81">
        <v>44062</v>
      </c>
      <c r="AE127" s="81">
        <v>44062</v>
      </c>
      <c r="AF127" s="81">
        <v>44062</v>
      </c>
      <c r="AG127" s="81" t="s">
        <v>155</v>
      </c>
      <c r="AH127" s="89">
        <v>1</v>
      </c>
      <c r="AI127" s="89">
        <v>1</v>
      </c>
      <c r="AJ127" s="89">
        <v>0.5</v>
      </c>
      <c r="AK127" s="14" t="s">
        <v>140</v>
      </c>
      <c r="AL127" s="84"/>
      <c r="AM127" s="15"/>
      <c r="AN127" s="15"/>
    </row>
    <row r="128" spans="1:40" hidden="1">
      <c r="B128" s="131">
        <f t="shared" si="23"/>
        <v>69</v>
      </c>
      <c r="C128" s="16">
        <v>20200818</v>
      </c>
      <c r="D128" s="16" t="s">
        <v>3</v>
      </c>
      <c r="E128" s="85" t="s">
        <v>605</v>
      </c>
      <c r="F128" s="80"/>
      <c r="G128" s="47"/>
      <c r="H128" s="16" t="s">
        <v>295</v>
      </c>
      <c r="I128" s="16" t="s">
        <v>604</v>
      </c>
      <c r="J128" s="16" t="s">
        <v>246</v>
      </c>
      <c r="K128" s="47" t="s">
        <v>616</v>
      </c>
      <c r="L128" s="80" t="s">
        <v>614</v>
      </c>
      <c r="M128" s="47"/>
      <c r="N128" s="16"/>
      <c r="O128" s="80"/>
      <c r="P128" s="80" t="s">
        <v>462</v>
      </c>
      <c r="Q128" s="18"/>
      <c r="R128" s="236" t="s">
        <v>202</v>
      </c>
      <c r="S128" s="16" t="s">
        <v>174</v>
      </c>
      <c r="T128" s="16"/>
      <c r="U128" s="16"/>
      <c r="V128" s="16"/>
      <c r="W128" s="15">
        <f>ROUND(IF(D128=Table!$C$3,Y128*Table!$C$4/8,Y128*Table!$D$4/8),3)</f>
        <v>121.5</v>
      </c>
      <c r="X128" s="191">
        <f t="shared" si="26"/>
        <v>121.5</v>
      </c>
      <c r="Y128" s="191">
        <v>2.16</v>
      </c>
      <c r="Z128" s="191">
        <f t="shared" si="27"/>
        <v>2.16</v>
      </c>
      <c r="AA128" s="16" t="s">
        <v>21</v>
      </c>
      <c r="AB128" s="81">
        <v>44062</v>
      </c>
      <c r="AC128" s="19">
        <v>44061</v>
      </c>
      <c r="AD128" s="81">
        <v>44062</v>
      </c>
      <c r="AE128" s="81">
        <v>44062</v>
      </c>
      <c r="AF128" s="81">
        <v>44062</v>
      </c>
      <c r="AG128" s="81" t="s">
        <v>155</v>
      </c>
      <c r="AH128" s="89">
        <v>1</v>
      </c>
      <c r="AI128" s="89">
        <v>0.98</v>
      </c>
      <c r="AJ128" s="89">
        <v>0.63</v>
      </c>
      <c r="AK128" s="14" t="s">
        <v>140</v>
      </c>
      <c r="AL128" s="84" t="s">
        <v>627</v>
      </c>
      <c r="AM128" s="112"/>
      <c r="AN128" s="15"/>
    </row>
    <row r="129" spans="2:40">
      <c r="B129" s="88">
        <f t="shared" ref="B129" si="28">B128+1</f>
        <v>70</v>
      </c>
      <c r="C129" s="16">
        <v>20200819</v>
      </c>
      <c r="D129" s="16" t="s">
        <v>2</v>
      </c>
      <c r="E129" s="85" t="s">
        <v>877</v>
      </c>
      <c r="F129" s="80" t="s">
        <v>878</v>
      </c>
      <c r="G129" s="47"/>
      <c r="H129" s="16" t="s">
        <v>893</v>
      </c>
      <c r="I129" s="16" t="s">
        <v>667</v>
      </c>
      <c r="J129" s="16" t="s">
        <v>1043</v>
      </c>
      <c r="K129" s="47"/>
      <c r="L129" s="80"/>
      <c r="M129" s="47"/>
      <c r="N129" s="16" t="s">
        <v>891</v>
      </c>
      <c r="O129" s="80" t="s">
        <v>816</v>
      </c>
      <c r="P129" s="80" t="s">
        <v>454</v>
      </c>
      <c r="Q129" s="18"/>
      <c r="R129" s="236" t="s">
        <v>197</v>
      </c>
      <c r="S129" s="16" t="s">
        <v>66</v>
      </c>
      <c r="T129" s="16" t="s">
        <v>63</v>
      </c>
      <c r="U129" s="16" t="s">
        <v>0</v>
      </c>
      <c r="V129" s="16"/>
      <c r="W129" s="15">
        <f>ROUND(IF(D129=Table!$C$3,Y129*Table!$C$4/8,Y129*Table!$D$4/8),3)</f>
        <v>42.9</v>
      </c>
      <c r="X129" s="191">
        <f t="shared" ref="X129:X135" si="29">W129</f>
        <v>42.9</v>
      </c>
      <c r="Y129" s="191">
        <v>2.64</v>
      </c>
      <c r="Z129" s="191">
        <f t="shared" si="27"/>
        <v>2.64</v>
      </c>
      <c r="AA129" s="16" t="s">
        <v>21</v>
      </c>
      <c r="AB129" s="81">
        <v>44071</v>
      </c>
      <c r="AC129" s="19">
        <v>44063</v>
      </c>
      <c r="AD129" s="81">
        <v>44074</v>
      </c>
      <c r="AE129" s="81">
        <v>44063</v>
      </c>
      <c r="AF129" s="81">
        <v>44063</v>
      </c>
      <c r="AG129" s="81" t="s">
        <v>155</v>
      </c>
      <c r="AH129" s="89">
        <v>1</v>
      </c>
      <c r="AI129" s="89">
        <v>1</v>
      </c>
      <c r="AJ129" s="89">
        <v>0.4</v>
      </c>
      <c r="AK129" s="14" t="s">
        <v>140</v>
      </c>
      <c r="AL129" s="84"/>
      <c r="AM129" s="112"/>
      <c r="AN129" s="15"/>
    </row>
    <row r="130" spans="2:40">
      <c r="B130" s="88">
        <f t="shared" ref="B130:B161" si="30">B129+1</f>
        <v>71</v>
      </c>
      <c r="C130" s="16">
        <v>20200819</v>
      </c>
      <c r="D130" s="16" t="s">
        <v>2</v>
      </c>
      <c r="E130" s="85" t="s">
        <v>877</v>
      </c>
      <c r="F130" s="80" t="s">
        <v>878</v>
      </c>
      <c r="G130" s="47"/>
      <c r="H130" s="16" t="s">
        <v>894</v>
      </c>
      <c r="I130" s="16" t="s">
        <v>668</v>
      </c>
      <c r="J130" s="16" t="s">
        <v>1043</v>
      </c>
      <c r="K130" s="47"/>
      <c r="L130" s="80"/>
      <c r="M130" s="47"/>
      <c r="N130" s="16" t="s">
        <v>891</v>
      </c>
      <c r="O130" s="80" t="s">
        <v>817</v>
      </c>
      <c r="P130" s="80" t="s">
        <v>454</v>
      </c>
      <c r="Q130" s="18"/>
      <c r="R130" s="236" t="s">
        <v>197</v>
      </c>
      <c r="S130" s="16" t="s">
        <v>66</v>
      </c>
      <c r="T130" s="16" t="s">
        <v>63</v>
      </c>
      <c r="U130" s="16" t="s">
        <v>0</v>
      </c>
      <c r="V130" s="16"/>
      <c r="W130" s="15">
        <f>ROUND(IF(D130=Table!$C$3,Y130*Table!$C$4/8,Y130*Table!$D$4/8),3)</f>
        <v>26</v>
      </c>
      <c r="X130" s="191">
        <f t="shared" si="29"/>
        <v>26</v>
      </c>
      <c r="Y130" s="191">
        <v>1.6</v>
      </c>
      <c r="Z130" s="191">
        <f t="shared" si="27"/>
        <v>1.6</v>
      </c>
      <c r="AA130" s="16" t="s">
        <v>21</v>
      </c>
      <c r="AB130" s="81">
        <v>44071</v>
      </c>
      <c r="AC130" s="19">
        <v>44063</v>
      </c>
      <c r="AD130" s="81">
        <v>44074</v>
      </c>
      <c r="AE130" s="81">
        <v>44063</v>
      </c>
      <c r="AF130" s="81">
        <v>44063</v>
      </c>
      <c r="AG130" s="81" t="s">
        <v>155</v>
      </c>
      <c r="AH130" s="89">
        <v>1</v>
      </c>
      <c r="AI130" s="89">
        <v>1</v>
      </c>
      <c r="AJ130" s="89">
        <v>0</v>
      </c>
      <c r="AK130" s="14" t="s">
        <v>140</v>
      </c>
      <c r="AL130" s="84"/>
      <c r="AM130" s="112"/>
      <c r="AN130" s="15"/>
    </row>
    <row r="131" spans="2:40">
      <c r="B131" s="88">
        <f t="shared" si="30"/>
        <v>72</v>
      </c>
      <c r="C131" s="16">
        <v>20200819</v>
      </c>
      <c r="D131" s="16" t="s">
        <v>2</v>
      </c>
      <c r="E131" s="85" t="s">
        <v>877</v>
      </c>
      <c r="F131" s="80" t="s">
        <v>879</v>
      </c>
      <c r="G131" s="47"/>
      <c r="H131" s="16" t="s">
        <v>895</v>
      </c>
      <c r="I131" s="16" t="s">
        <v>372</v>
      </c>
      <c r="J131" s="16" t="s">
        <v>1044</v>
      </c>
      <c r="K131" s="47"/>
      <c r="L131" s="80"/>
      <c r="M131" s="47"/>
      <c r="N131" s="16" t="s">
        <v>891</v>
      </c>
      <c r="O131" s="80" t="s">
        <v>818</v>
      </c>
      <c r="P131" s="80" t="s">
        <v>449</v>
      </c>
      <c r="Q131" s="18"/>
      <c r="R131" s="16" t="s">
        <v>197</v>
      </c>
      <c r="S131" s="16" t="s">
        <v>66</v>
      </c>
      <c r="T131" s="16" t="s">
        <v>63</v>
      </c>
      <c r="U131" s="16" t="s">
        <v>0</v>
      </c>
      <c r="V131" s="16"/>
      <c r="W131" s="15">
        <f>ROUND(IF(D131=Table!$C$3,Y131*Table!$C$4/8,Y131*Table!$D$4/8),3)</f>
        <v>81.900000000000006</v>
      </c>
      <c r="X131" s="191">
        <f t="shared" si="29"/>
        <v>81.900000000000006</v>
      </c>
      <c r="Y131" s="211">
        <v>5.04</v>
      </c>
      <c r="Z131" s="191">
        <f t="shared" si="27"/>
        <v>5.04</v>
      </c>
      <c r="AA131" s="16" t="s">
        <v>21</v>
      </c>
      <c r="AB131" s="81">
        <v>44071</v>
      </c>
      <c r="AC131" s="19">
        <v>44063</v>
      </c>
      <c r="AD131" s="81">
        <v>44074</v>
      </c>
      <c r="AE131" s="81">
        <v>44063</v>
      </c>
      <c r="AF131" s="81">
        <v>44063</v>
      </c>
      <c r="AG131" s="81" t="s">
        <v>155</v>
      </c>
      <c r="AH131" s="82">
        <v>1</v>
      </c>
      <c r="AI131" s="82">
        <v>1</v>
      </c>
      <c r="AJ131" s="82">
        <v>0.77800000000000002</v>
      </c>
      <c r="AK131" s="87" t="s">
        <v>140</v>
      </c>
      <c r="AL131" s="84"/>
      <c r="AM131" s="112"/>
      <c r="AN131" s="15"/>
    </row>
    <row r="132" spans="2:40" hidden="1">
      <c r="B132" s="88">
        <f t="shared" si="30"/>
        <v>73</v>
      </c>
      <c r="C132" s="16">
        <v>20200819</v>
      </c>
      <c r="D132" s="16" t="s">
        <v>2</v>
      </c>
      <c r="E132" s="85" t="s">
        <v>877</v>
      </c>
      <c r="F132" s="80" t="s">
        <v>879</v>
      </c>
      <c r="G132" s="47"/>
      <c r="H132" s="16" t="s">
        <v>896</v>
      </c>
      <c r="I132" s="18" t="s">
        <v>669</v>
      </c>
      <c r="J132" s="16" t="s">
        <v>1043</v>
      </c>
      <c r="K132" s="47"/>
      <c r="L132" s="80"/>
      <c r="M132" s="47"/>
      <c r="N132" s="16" t="s">
        <v>891</v>
      </c>
      <c r="O132" s="80" t="s">
        <v>819</v>
      </c>
      <c r="P132" s="80" t="s">
        <v>449</v>
      </c>
      <c r="Q132" s="18"/>
      <c r="R132" s="16" t="s">
        <v>200</v>
      </c>
      <c r="S132" s="16" t="s">
        <v>63</v>
      </c>
      <c r="T132" s="16" t="s">
        <v>66</v>
      </c>
      <c r="U132" s="16" t="s">
        <v>0</v>
      </c>
      <c r="V132" s="16"/>
      <c r="W132" s="15">
        <f>ROUND(IF(D132=Table!$C$3,Y132*Table!$C$4/8,Y132*Table!$D$4/8),3)</f>
        <v>26</v>
      </c>
      <c r="X132" s="191">
        <f t="shared" si="29"/>
        <v>26</v>
      </c>
      <c r="Y132" s="191">
        <v>1.6</v>
      </c>
      <c r="Z132" s="191">
        <f t="shared" si="27"/>
        <v>1.6</v>
      </c>
      <c r="AA132" s="16" t="s">
        <v>21</v>
      </c>
      <c r="AB132" s="81">
        <v>44071</v>
      </c>
      <c r="AC132" s="19">
        <v>44063</v>
      </c>
      <c r="AD132" s="81">
        <v>44074</v>
      </c>
      <c r="AE132" s="81">
        <v>44063</v>
      </c>
      <c r="AF132" s="81">
        <v>44063</v>
      </c>
      <c r="AG132" s="81" t="s">
        <v>155</v>
      </c>
      <c r="AH132" s="82">
        <v>1</v>
      </c>
      <c r="AI132" s="82">
        <v>1</v>
      </c>
      <c r="AJ132" s="82">
        <v>0.111</v>
      </c>
      <c r="AK132" s="87" t="s">
        <v>140</v>
      </c>
      <c r="AL132" s="143"/>
      <c r="AM132" s="112"/>
      <c r="AN132" s="15"/>
    </row>
    <row r="133" spans="2:40" hidden="1">
      <c r="B133" s="88">
        <f t="shared" si="30"/>
        <v>74</v>
      </c>
      <c r="C133" s="16">
        <v>20200819</v>
      </c>
      <c r="D133" s="16" t="s">
        <v>2</v>
      </c>
      <c r="E133" s="85" t="s">
        <v>877</v>
      </c>
      <c r="F133" s="80" t="s">
        <v>879</v>
      </c>
      <c r="G133" s="47"/>
      <c r="H133" s="16" t="s">
        <v>897</v>
      </c>
      <c r="I133" s="18" t="s">
        <v>670</v>
      </c>
      <c r="J133" s="16" t="s">
        <v>1043</v>
      </c>
      <c r="K133" s="47"/>
      <c r="L133" s="80"/>
      <c r="M133" s="47"/>
      <c r="N133" s="16" t="s">
        <v>891</v>
      </c>
      <c r="O133" s="80" t="s">
        <v>209</v>
      </c>
      <c r="P133" s="80" t="s">
        <v>449</v>
      </c>
      <c r="Q133" s="18"/>
      <c r="R133" s="16" t="s">
        <v>200</v>
      </c>
      <c r="S133" s="16" t="s">
        <v>63</v>
      </c>
      <c r="T133" s="16" t="s">
        <v>66</v>
      </c>
      <c r="U133" s="16" t="s">
        <v>0</v>
      </c>
      <c r="V133" s="16"/>
      <c r="W133" s="15">
        <f>ROUND(IF(D133=Table!$C$3,Y133*Table!$C$4/8,Y133*Table!$D$4/8),3)</f>
        <v>37.700000000000003</v>
      </c>
      <c r="X133" s="191">
        <f t="shared" si="29"/>
        <v>37.700000000000003</v>
      </c>
      <c r="Y133" s="191">
        <v>2.3199999999999998</v>
      </c>
      <c r="Z133" s="191">
        <f t="shared" si="27"/>
        <v>2.3199999999999998</v>
      </c>
      <c r="AA133" s="16" t="s">
        <v>21</v>
      </c>
      <c r="AB133" s="81">
        <v>44071</v>
      </c>
      <c r="AC133" s="19">
        <v>44063</v>
      </c>
      <c r="AD133" s="81">
        <v>44074</v>
      </c>
      <c r="AE133" s="81">
        <v>44063</v>
      </c>
      <c r="AF133" s="81">
        <v>44063</v>
      </c>
      <c r="AG133" s="81" t="s">
        <v>155</v>
      </c>
      <c r="AH133" s="82">
        <v>0.88900000000000001</v>
      </c>
      <c r="AI133" s="82">
        <v>0.88900000000000001</v>
      </c>
      <c r="AJ133" s="82">
        <v>0.5</v>
      </c>
      <c r="AK133" s="87" t="s">
        <v>140</v>
      </c>
      <c r="AL133" s="258" t="s">
        <v>1063</v>
      </c>
      <c r="AM133" s="112"/>
      <c r="AN133" s="15"/>
    </row>
    <row r="134" spans="2:40" hidden="1">
      <c r="B134" s="88">
        <f t="shared" si="30"/>
        <v>75</v>
      </c>
      <c r="C134" s="16">
        <v>20200819</v>
      </c>
      <c r="D134" s="16" t="s">
        <v>2</v>
      </c>
      <c r="E134" s="85" t="s">
        <v>877</v>
      </c>
      <c r="F134" s="80" t="s">
        <v>880</v>
      </c>
      <c r="G134" s="47"/>
      <c r="H134" s="16" t="s">
        <v>898</v>
      </c>
      <c r="I134" s="18" t="s">
        <v>671</v>
      </c>
      <c r="J134" s="16" t="s">
        <v>1043</v>
      </c>
      <c r="K134" s="47"/>
      <c r="L134" s="80"/>
      <c r="M134" s="47"/>
      <c r="N134" s="16" t="s">
        <v>891</v>
      </c>
      <c r="O134" s="80" t="s">
        <v>820</v>
      </c>
      <c r="P134" s="80" t="s">
        <v>864</v>
      </c>
      <c r="Q134" s="18"/>
      <c r="R134" s="16" t="s">
        <v>200</v>
      </c>
      <c r="S134" s="16" t="s">
        <v>63</v>
      </c>
      <c r="T134" s="16" t="s">
        <v>66</v>
      </c>
      <c r="U134" s="16" t="s">
        <v>0</v>
      </c>
      <c r="V134" s="16"/>
      <c r="W134" s="15">
        <f>ROUND(IF(D134=Table!$C$3,Y134*Table!$C$4/8,Y134*Table!$D$4/8),3)</f>
        <v>59.8</v>
      </c>
      <c r="X134" s="191">
        <f t="shared" si="29"/>
        <v>59.8</v>
      </c>
      <c r="Y134" s="191">
        <v>3.68</v>
      </c>
      <c r="Z134" s="191">
        <f t="shared" si="27"/>
        <v>3.68</v>
      </c>
      <c r="AA134" s="16" t="s">
        <v>21</v>
      </c>
      <c r="AB134" s="81">
        <v>44071</v>
      </c>
      <c r="AC134" s="19">
        <v>44063</v>
      </c>
      <c r="AD134" s="81">
        <v>44074</v>
      </c>
      <c r="AE134" s="81">
        <v>44063</v>
      </c>
      <c r="AF134" s="81">
        <v>44063</v>
      </c>
      <c r="AG134" s="81" t="s">
        <v>155</v>
      </c>
      <c r="AH134" s="82">
        <v>1</v>
      </c>
      <c r="AI134" s="82">
        <v>1</v>
      </c>
      <c r="AJ134" s="82">
        <v>0.4</v>
      </c>
      <c r="AK134" s="87" t="s">
        <v>140</v>
      </c>
      <c r="AL134" s="14"/>
      <c r="AM134" s="112"/>
      <c r="AN134" s="15"/>
    </row>
    <row r="135" spans="2:40" hidden="1">
      <c r="B135" s="88">
        <f t="shared" si="30"/>
        <v>76</v>
      </c>
      <c r="C135" s="16">
        <v>20200819</v>
      </c>
      <c r="D135" s="16" t="s">
        <v>2</v>
      </c>
      <c r="E135" s="85" t="s">
        <v>877</v>
      </c>
      <c r="F135" s="80" t="s">
        <v>880</v>
      </c>
      <c r="G135" s="47"/>
      <c r="H135" s="16" t="s">
        <v>899</v>
      </c>
      <c r="I135" s="18" t="s">
        <v>672</v>
      </c>
      <c r="J135" s="16" t="s">
        <v>1043</v>
      </c>
      <c r="K135" s="47"/>
      <c r="L135" s="80"/>
      <c r="M135" s="47"/>
      <c r="N135" s="16" t="s">
        <v>891</v>
      </c>
      <c r="O135" s="80" t="s">
        <v>170</v>
      </c>
      <c r="P135" s="80" t="s">
        <v>864</v>
      </c>
      <c r="Q135" s="18"/>
      <c r="R135" s="16" t="s">
        <v>200</v>
      </c>
      <c r="S135" s="16" t="s">
        <v>63</v>
      </c>
      <c r="T135" s="16" t="s">
        <v>66</v>
      </c>
      <c r="U135" s="16" t="s">
        <v>0</v>
      </c>
      <c r="V135" s="16"/>
      <c r="W135" s="15">
        <f>ROUND(IF(D135=Table!$C$3,Y135*Table!$C$4/8,Y135*Table!$D$4/8),3)</f>
        <v>65</v>
      </c>
      <c r="X135" s="191">
        <f t="shared" si="29"/>
        <v>65</v>
      </c>
      <c r="Y135" s="191">
        <v>4</v>
      </c>
      <c r="Z135" s="191">
        <f t="shared" si="27"/>
        <v>4</v>
      </c>
      <c r="AA135" s="16" t="s">
        <v>21</v>
      </c>
      <c r="AB135" s="81">
        <v>44071</v>
      </c>
      <c r="AC135" s="19">
        <v>44063</v>
      </c>
      <c r="AD135" s="81">
        <v>44074</v>
      </c>
      <c r="AE135" s="81">
        <v>44063</v>
      </c>
      <c r="AF135" s="81">
        <v>44063</v>
      </c>
      <c r="AG135" s="81" t="s">
        <v>155</v>
      </c>
      <c r="AH135" s="82">
        <v>0.92900000000000005</v>
      </c>
      <c r="AI135" s="82">
        <v>0.92900000000000005</v>
      </c>
      <c r="AJ135" s="82">
        <v>0.625</v>
      </c>
      <c r="AK135" s="87" t="s">
        <v>140</v>
      </c>
      <c r="AL135" s="258" t="s">
        <v>1068</v>
      </c>
      <c r="AM135" s="112"/>
      <c r="AN135" s="15"/>
    </row>
    <row r="136" spans="2:40">
      <c r="B136" s="88">
        <f t="shared" si="30"/>
        <v>77</v>
      </c>
      <c r="C136" s="16">
        <v>20200819</v>
      </c>
      <c r="D136" s="16" t="s">
        <v>2</v>
      </c>
      <c r="E136" s="85" t="s">
        <v>877</v>
      </c>
      <c r="F136" s="80" t="s">
        <v>880</v>
      </c>
      <c r="G136" s="47"/>
      <c r="H136" s="16" t="s">
        <v>900</v>
      </c>
      <c r="I136" s="16" t="s">
        <v>673</v>
      </c>
      <c r="J136" s="16" t="s">
        <v>1043</v>
      </c>
      <c r="K136" s="47"/>
      <c r="L136" s="80"/>
      <c r="M136" s="47"/>
      <c r="N136" s="16" t="s">
        <v>891</v>
      </c>
      <c r="O136" s="80" t="s">
        <v>821</v>
      </c>
      <c r="P136" s="80" t="s">
        <v>864</v>
      </c>
      <c r="Q136" s="18"/>
      <c r="R136" s="16" t="s">
        <v>197</v>
      </c>
      <c r="S136" s="16" t="s">
        <v>66</v>
      </c>
      <c r="T136" s="16" t="s">
        <v>63</v>
      </c>
      <c r="U136" s="16" t="s">
        <v>0</v>
      </c>
      <c r="V136" s="16"/>
      <c r="W136" s="15">
        <f>ROUND(IF(D136=Table!$C$3,Y136*Table!$C$4/8,Y136*Table!$D$4/8),3)</f>
        <v>37.700000000000003</v>
      </c>
      <c r="X136" s="191">
        <f t="shared" ref="X136:X153" si="31">W136</f>
        <v>37.700000000000003</v>
      </c>
      <c r="Y136" s="191">
        <v>2.3199999999999998</v>
      </c>
      <c r="Z136" s="191">
        <f t="shared" ref="Z136:Z150" si="32">Y136</f>
        <v>2.3199999999999998</v>
      </c>
      <c r="AA136" s="16" t="s">
        <v>21</v>
      </c>
      <c r="AB136" s="81">
        <v>44071</v>
      </c>
      <c r="AC136" s="19">
        <v>44063</v>
      </c>
      <c r="AD136" s="81">
        <v>44074</v>
      </c>
      <c r="AE136" s="81">
        <v>44067</v>
      </c>
      <c r="AF136" s="81">
        <v>44067</v>
      </c>
      <c r="AG136" s="81" t="s">
        <v>155</v>
      </c>
      <c r="AH136" s="89">
        <v>0.94399999999999995</v>
      </c>
      <c r="AI136" s="89">
        <v>0.94399999999999995</v>
      </c>
      <c r="AJ136" s="89">
        <v>0.5</v>
      </c>
      <c r="AK136" s="87" t="s">
        <v>140</v>
      </c>
      <c r="AL136" s="286" t="s">
        <v>1137</v>
      </c>
      <c r="AM136" s="15"/>
      <c r="AN136" s="15"/>
    </row>
    <row r="137" spans="2:40">
      <c r="B137" s="88">
        <f t="shared" si="30"/>
        <v>78</v>
      </c>
      <c r="C137" s="16">
        <v>20200819</v>
      </c>
      <c r="D137" s="16" t="s">
        <v>2</v>
      </c>
      <c r="E137" s="85" t="s">
        <v>877</v>
      </c>
      <c r="F137" s="80" t="s">
        <v>880</v>
      </c>
      <c r="G137" s="47"/>
      <c r="H137" s="16" t="s">
        <v>901</v>
      </c>
      <c r="I137" s="16" t="s">
        <v>674</v>
      </c>
      <c r="J137" s="16" t="s">
        <v>1043</v>
      </c>
      <c r="K137" s="47"/>
      <c r="L137" s="80"/>
      <c r="M137" s="47"/>
      <c r="N137" s="16" t="s">
        <v>891</v>
      </c>
      <c r="O137" s="80" t="s">
        <v>210</v>
      </c>
      <c r="P137" s="80" t="s">
        <v>865</v>
      </c>
      <c r="Q137" s="18"/>
      <c r="R137" s="16" t="s">
        <v>197</v>
      </c>
      <c r="S137" s="16" t="s">
        <v>66</v>
      </c>
      <c r="T137" s="16" t="s">
        <v>63</v>
      </c>
      <c r="U137" s="16" t="s">
        <v>0</v>
      </c>
      <c r="V137" s="16"/>
      <c r="W137" s="15">
        <f>ROUND(IF(D137=Table!$C$3,Y137*Table!$C$4/8,Y137*Table!$D$4/8),3)</f>
        <v>26</v>
      </c>
      <c r="X137" s="191">
        <f t="shared" si="31"/>
        <v>26</v>
      </c>
      <c r="Y137" s="191">
        <v>1.6</v>
      </c>
      <c r="Z137" s="191">
        <f t="shared" si="32"/>
        <v>1.6</v>
      </c>
      <c r="AA137" s="16" t="s">
        <v>21</v>
      </c>
      <c r="AB137" s="81">
        <v>44071</v>
      </c>
      <c r="AC137" s="19">
        <v>44063</v>
      </c>
      <c r="AD137" s="81">
        <v>44074</v>
      </c>
      <c r="AE137" s="81">
        <v>44067</v>
      </c>
      <c r="AF137" s="81">
        <v>44067</v>
      </c>
      <c r="AG137" s="81" t="s">
        <v>155</v>
      </c>
      <c r="AH137" s="82">
        <v>1</v>
      </c>
      <c r="AI137" s="82">
        <v>1</v>
      </c>
      <c r="AJ137" s="82">
        <v>0.66700000000000004</v>
      </c>
      <c r="AK137" s="87" t="s">
        <v>140</v>
      </c>
      <c r="AL137" s="84"/>
      <c r="AM137" s="15"/>
      <c r="AN137" s="15"/>
    </row>
    <row r="138" spans="2:40">
      <c r="B138" s="88">
        <f t="shared" si="30"/>
        <v>79</v>
      </c>
      <c r="C138" s="16">
        <v>20200819</v>
      </c>
      <c r="D138" s="16" t="s">
        <v>2</v>
      </c>
      <c r="E138" s="85" t="s">
        <v>877</v>
      </c>
      <c r="F138" s="80" t="s">
        <v>880</v>
      </c>
      <c r="G138" s="47"/>
      <c r="H138" s="16" t="s">
        <v>902</v>
      </c>
      <c r="I138" s="16" t="s">
        <v>675</v>
      </c>
      <c r="J138" s="16" t="s">
        <v>1043</v>
      </c>
      <c r="K138" s="47"/>
      <c r="L138" s="80"/>
      <c r="M138" s="47"/>
      <c r="N138" s="16" t="s">
        <v>891</v>
      </c>
      <c r="O138" s="80" t="s">
        <v>822</v>
      </c>
      <c r="P138" s="80" t="s">
        <v>864</v>
      </c>
      <c r="Q138" s="18"/>
      <c r="R138" s="16" t="s">
        <v>197</v>
      </c>
      <c r="S138" s="16" t="s">
        <v>66</v>
      </c>
      <c r="T138" s="16" t="s">
        <v>63</v>
      </c>
      <c r="U138" s="16" t="s">
        <v>0</v>
      </c>
      <c r="V138" s="16"/>
      <c r="W138" s="15">
        <f>ROUND(IF(D138=Table!$C$3,Y138*Table!$C$4/8,Y138*Table!$D$4/8),3)</f>
        <v>26</v>
      </c>
      <c r="X138" s="191">
        <f t="shared" si="31"/>
        <v>26</v>
      </c>
      <c r="Y138" s="191">
        <v>1.6</v>
      </c>
      <c r="Z138" s="191">
        <f t="shared" si="32"/>
        <v>1.6</v>
      </c>
      <c r="AA138" s="16" t="s">
        <v>21</v>
      </c>
      <c r="AB138" s="81">
        <v>44071</v>
      </c>
      <c r="AC138" s="19">
        <v>44063</v>
      </c>
      <c r="AD138" s="81">
        <v>44074</v>
      </c>
      <c r="AE138" s="81">
        <v>44067</v>
      </c>
      <c r="AF138" s="81">
        <v>44067</v>
      </c>
      <c r="AG138" s="81" t="s">
        <v>155</v>
      </c>
      <c r="AH138" s="82">
        <v>1</v>
      </c>
      <c r="AI138" s="82">
        <v>1</v>
      </c>
      <c r="AJ138" s="82">
        <v>0.75</v>
      </c>
      <c r="AK138" s="87" t="s">
        <v>140</v>
      </c>
      <c r="AL138" s="84"/>
      <c r="AM138" s="15"/>
      <c r="AN138" s="15"/>
    </row>
    <row r="139" spans="2:40">
      <c r="B139" s="88">
        <f t="shared" si="30"/>
        <v>80</v>
      </c>
      <c r="C139" s="16">
        <v>20200819</v>
      </c>
      <c r="D139" s="16" t="s">
        <v>2</v>
      </c>
      <c r="E139" s="85" t="s">
        <v>877</v>
      </c>
      <c r="F139" s="80" t="s">
        <v>881</v>
      </c>
      <c r="G139" s="47"/>
      <c r="H139" s="16" t="s">
        <v>903</v>
      </c>
      <c r="I139" s="16" t="s">
        <v>676</v>
      </c>
      <c r="J139" s="16" t="s">
        <v>1043</v>
      </c>
      <c r="K139" s="47"/>
      <c r="L139" s="80"/>
      <c r="M139" s="47"/>
      <c r="N139" s="16" t="s">
        <v>891</v>
      </c>
      <c r="O139" s="80" t="s">
        <v>823</v>
      </c>
      <c r="P139" s="80" t="s">
        <v>864</v>
      </c>
      <c r="Q139" s="18"/>
      <c r="R139" s="16" t="s">
        <v>197</v>
      </c>
      <c r="S139" s="16" t="s">
        <v>66</v>
      </c>
      <c r="T139" s="16" t="s">
        <v>63</v>
      </c>
      <c r="U139" s="16" t="s">
        <v>0</v>
      </c>
      <c r="V139" s="16"/>
      <c r="W139" s="15">
        <f>ROUND(IF(D139=Table!$C$3,Y139*Table!$C$4/8,Y139*Table!$D$4/8),3)</f>
        <v>26</v>
      </c>
      <c r="X139" s="191">
        <f t="shared" si="31"/>
        <v>26</v>
      </c>
      <c r="Y139" s="191">
        <v>1.6</v>
      </c>
      <c r="Z139" s="191">
        <f t="shared" si="32"/>
        <v>1.6</v>
      </c>
      <c r="AA139" s="16" t="s">
        <v>21</v>
      </c>
      <c r="AB139" s="81">
        <v>44071</v>
      </c>
      <c r="AC139" s="19">
        <v>44063</v>
      </c>
      <c r="AD139" s="81">
        <v>44074</v>
      </c>
      <c r="AE139" s="81">
        <v>44067</v>
      </c>
      <c r="AF139" s="81">
        <v>44067</v>
      </c>
      <c r="AG139" s="81" t="s">
        <v>155</v>
      </c>
      <c r="AH139" s="82">
        <v>1</v>
      </c>
      <c r="AI139" s="82">
        <v>1</v>
      </c>
      <c r="AJ139" s="82">
        <v>0.33300000000000002</v>
      </c>
      <c r="AK139" s="87" t="s">
        <v>140</v>
      </c>
      <c r="AL139" s="84"/>
      <c r="AM139" s="15"/>
      <c r="AN139" s="15"/>
    </row>
    <row r="140" spans="2:40">
      <c r="B140" s="88">
        <f t="shared" si="30"/>
        <v>81</v>
      </c>
      <c r="C140" s="16">
        <v>20200819</v>
      </c>
      <c r="D140" s="16" t="s">
        <v>2</v>
      </c>
      <c r="E140" s="85" t="s">
        <v>877</v>
      </c>
      <c r="F140" s="80" t="s">
        <v>882</v>
      </c>
      <c r="G140" s="47"/>
      <c r="H140" s="16" t="s">
        <v>904</v>
      </c>
      <c r="I140" s="16" t="s">
        <v>677</v>
      </c>
      <c r="J140" s="16" t="s">
        <v>1043</v>
      </c>
      <c r="K140" s="47"/>
      <c r="L140" s="80"/>
      <c r="M140" s="47"/>
      <c r="N140" s="16" t="s">
        <v>891</v>
      </c>
      <c r="O140" s="80" t="s">
        <v>824</v>
      </c>
      <c r="P140" s="80" t="s">
        <v>865</v>
      </c>
      <c r="Q140" s="18"/>
      <c r="R140" s="16" t="s">
        <v>197</v>
      </c>
      <c r="S140" s="16" t="s">
        <v>66</v>
      </c>
      <c r="T140" s="16" t="s">
        <v>63</v>
      </c>
      <c r="U140" s="16" t="s">
        <v>0</v>
      </c>
      <c r="V140" s="16"/>
      <c r="W140" s="16">
        <f>ROUND(IF(D140=Table!$C$3,Y140*Table!$C$4/8,Y140*Table!$D$4/8),3)</f>
        <v>70.2</v>
      </c>
      <c r="X140" s="191">
        <f t="shared" si="31"/>
        <v>70.2</v>
      </c>
      <c r="Y140" s="191">
        <v>4.32</v>
      </c>
      <c r="Z140" s="191">
        <f t="shared" si="32"/>
        <v>4.32</v>
      </c>
      <c r="AA140" s="16" t="s">
        <v>21</v>
      </c>
      <c r="AB140" s="81">
        <v>44071</v>
      </c>
      <c r="AC140" s="81">
        <v>44063</v>
      </c>
      <c r="AD140" s="81">
        <v>44074</v>
      </c>
      <c r="AE140" s="81">
        <v>44064</v>
      </c>
      <c r="AF140" s="81">
        <v>44064</v>
      </c>
      <c r="AG140" s="81" t="s">
        <v>155</v>
      </c>
      <c r="AH140" s="82">
        <v>1</v>
      </c>
      <c r="AI140" s="82">
        <v>1</v>
      </c>
      <c r="AJ140" s="82">
        <v>0.83299999999999996</v>
      </c>
      <c r="AK140" s="87" t="s">
        <v>140</v>
      </c>
      <c r="AL140" s="84"/>
      <c r="AM140" s="84"/>
      <c r="AN140" s="84"/>
    </row>
    <row r="141" spans="2:40">
      <c r="B141" s="88">
        <f t="shared" si="30"/>
        <v>82</v>
      </c>
      <c r="C141" s="16">
        <v>20200819</v>
      </c>
      <c r="D141" s="16" t="s">
        <v>2</v>
      </c>
      <c r="E141" s="85" t="s">
        <v>877</v>
      </c>
      <c r="F141" s="80" t="s">
        <v>882</v>
      </c>
      <c r="G141" s="47"/>
      <c r="H141" s="16" t="s">
        <v>905</v>
      </c>
      <c r="I141" s="16" t="s">
        <v>678</v>
      </c>
      <c r="J141" s="16" t="s">
        <v>1043</v>
      </c>
      <c r="K141" s="47"/>
      <c r="L141" s="80"/>
      <c r="M141" s="47"/>
      <c r="N141" s="16" t="s">
        <v>891</v>
      </c>
      <c r="O141" s="80" t="s">
        <v>209</v>
      </c>
      <c r="P141" s="80" t="s">
        <v>865</v>
      </c>
      <c r="Q141" s="18"/>
      <c r="R141" s="16" t="s">
        <v>197</v>
      </c>
      <c r="S141" s="16" t="s">
        <v>66</v>
      </c>
      <c r="T141" s="16" t="s">
        <v>63</v>
      </c>
      <c r="U141" s="16" t="s">
        <v>0</v>
      </c>
      <c r="V141" s="16"/>
      <c r="W141" s="16">
        <f>ROUND(IF(D141=Table!$C$3,Y141*Table!$C$4/8,Y141*Table!$D$4/8),3)</f>
        <v>70.2</v>
      </c>
      <c r="X141" s="191">
        <f t="shared" si="31"/>
        <v>70.2</v>
      </c>
      <c r="Y141" s="191">
        <v>4.32</v>
      </c>
      <c r="Z141" s="191">
        <f t="shared" si="32"/>
        <v>4.32</v>
      </c>
      <c r="AA141" s="16" t="s">
        <v>21</v>
      </c>
      <c r="AB141" s="81">
        <v>44071</v>
      </c>
      <c r="AC141" s="81">
        <v>44063</v>
      </c>
      <c r="AD141" s="81">
        <v>44074</v>
      </c>
      <c r="AE141" s="81">
        <v>44067</v>
      </c>
      <c r="AF141" s="81">
        <v>44067</v>
      </c>
      <c r="AG141" s="81" t="s">
        <v>155</v>
      </c>
      <c r="AH141" s="82">
        <v>0.81799999999999995</v>
      </c>
      <c r="AI141" s="82">
        <v>0.83299999999999996</v>
      </c>
      <c r="AJ141" s="117" t="s">
        <v>213</v>
      </c>
      <c r="AK141" s="87" t="s">
        <v>140</v>
      </c>
      <c r="AL141" s="84" t="s">
        <v>1128</v>
      </c>
      <c r="AM141" s="84"/>
      <c r="AN141" s="84"/>
    </row>
    <row r="142" spans="2:40">
      <c r="B142" s="88">
        <f t="shared" si="30"/>
        <v>83</v>
      </c>
      <c r="C142" s="16">
        <v>20200819</v>
      </c>
      <c r="D142" s="16" t="s">
        <v>2</v>
      </c>
      <c r="E142" s="85" t="s">
        <v>877</v>
      </c>
      <c r="F142" s="80" t="s">
        <v>882</v>
      </c>
      <c r="G142" s="47"/>
      <c r="H142" s="16" t="s">
        <v>906</v>
      </c>
      <c r="I142" s="16" t="s">
        <v>679</v>
      </c>
      <c r="J142" s="16" t="s">
        <v>1043</v>
      </c>
      <c r="K142" s="47"/>
      <c r="L142" s="80"/>
      <c r="M142" s="47"/>
      <c r="N142" s="16" t="s">
        <v>891</v>
      </c>
      <c r="O142" s="80" t="s">
        <v>210</v>
      </c>
      <c r="P142" s="80" t="s">
        <v>865</v>
      </c>
      <c r="Q142" s="18"/>
      <c r="R142" s="16" t="s">
        <v>197</v>
      </c>
      <c r="S142" s="16" t="s">
        <v>66</v>
      </c>
      <c r="T142" s="16" t="s">
        <v>63</v>
      </c>
      <c r="U142" s="16" t="s">
        <v>0</v>
      </c>
      <c r="V142" s="16"/>
      <c r="W142" s="16">
        <f>ROUND(IF(D142=Table!$C$3,Y142*Table!$C$4/8,Y142*Table!$D$4/8),3)</f>
        <v>26</v>
      </c>
      <c r="X142" s="191">
        <f t="shared" si="31"/>
        <v>26</v>
      </c>
      <c r="Y142" s="191">
        <v>1.6</v>
      </c>
      <c r="Z142" s="191">
        <f t="shared" si="32"/>
        <v>1.6</v>
      </c>
      <c r="AA142" s="16" t="s">
        <v>21</v>
      </c>
      <c r="AB142" s="81">
        <v>44071</v>
      </c>
      <c r="AC142" s="81">
        <v>44063</v>
      </c>
      <c r="AD142" s="81">
        <v>44074</v>
      </c>
      <c r="AE142" s="81">
        <v>44067</v>
      </c>
      <c r="AF142" s="81">
        <v>44067</v>
      </c>
      <c r="AG142" s="81" t="s">
        <v>155</v>
      </c>
      <c r="AH142" s="82">
        <v>1</v>
      </c>
      <c r="AI142" s="82">
        <v>1</v>
      </c>
      <c r="AJ142" s="117" t="s">
        <v>213</v>
      </c>
      <c r="AK142" s="87" t="s">
        <v>140</v>
      </c>
      <c r="AL142" s="84"/>
      <c r="AM142" s="84"/>
      <c r="AN142" s="84"/>
    </row>
    <row r="143" spans="2:40">
      <c r="B143" s="88">
        <f t="shared" si="30"/>
        <v>84</v>
      </c>
      <c r="C143" s="16">
        <v>20200819</v>
      </c>
      <c r="D143" s="16" t="s">
        <v>2</v>
      </c>
      <c r="E143" s="85" t="s">
        <v>877</v>
      </c>
      <c r="F143" s="80" t="s">
        <v>882</v>
      </c>
      <c r="G143" s="47"/>
      <c r="H143" s="16" t="s">
        <v>907</v>
      </c>
      <c r="I143" s="16" t="s">
        <v>680</v>
      </c>
      <c r="J143" s="16" t="s">
        <v>1043</v>
      </c>
      <c r="K143" s="47"/>
      <c r="L143" s="80"/>
      <c r="M143" s="47"/>
      <c r="N143" s="16" t="s">
        <v>891</v>
      </c>
      <c r="O143" s="80" t="s">
        <v>825</v>
      </c>
      <c r="P143" s="80" t="s">
        <v>865</v>
      </c>
      <c r="Q143" s="18"/>
      <c r="R143" s="16" t="s">
        <v>197</v>
      </c>
      <c r="S143" s="16" t="s">
        <v>66</v>
      </c>
      <c r="T143" s="16" t="s">
        <v>63</v>
      </c>
      <c r="U143" s="16" t="s">
        <v>0</v>
      </c>
      <c r="V143" s="16"/>
      <c r="W143" s="16">
        <f>ROUND(IF(D143=Table!$C$3,Y143*Table!$C$4/8,Y143*Table!$D$4/8),3)</f>
        <v>59.8</v>
      </c>
      <c r="X143" s="191">
        <f t="shared" si="31"/>
        <v>59.8</v>
      </c>
      <c r="Y143" s="191">
        <v>3.68</v>
      </c>
      <c r="Z143" s="191">
        <f t="shared" si="32"/>
        <v>3.68</v>
      </c>
      <c r="AA143" s="16" t="s">
        <v>21</v>
      </c>
      <c r="AB143" s="81">
        <v>44071</v>
      </c>
      <c r="AC143" s="81">
        <v>44063</v>
      </c>
      <c r="AD143" s="81">
        <v>44074</v>
      </c>
      <c r="AE143" s="81">
        <v>44067</v>
      </c>
      <c r="AF143" s="81">
        <v>44067</v>
      </c>
      <c r="AG143" s="81" t="s">
        <v>155</v>
      </c>
      <c r="AH143" s="82">
        <v>0.88900000000000001</v>
      </c>
      <c r="AI143" s="82">
        <v>0.89200000000000002</v>
      </c>
      <c r="AJ143" s="117">
        <v>1</v>
      </c>
      <c r="AK143" s="87" t="s">
        <v>140</v>
      </c>
      <c r="AL143" s="84" t="s">
        <v>1150</v>
      </c>
      <c r="AM143" s="84"/>
      <c r="AN143" s="84"/>
    </row>
    <row r="144" spans="2:40">
      <c r="B144" s="88">
        <f t="shared" si="30"/>
        <v>85</v>
      </c>
      <c r="C144" s="16">
        <v>20200819</v>
      </c>
      <c r="D144" s="16" t="s">
        <v>2</v>
      </c>
      <c r="E144" s="85" t="s">
        <v>877</v>
      </c>
      <c r="F144" s="80" t="s">
        <v>882</v>
      </c>
      <c r="G144" s="47"/>
      <c r="H144" s="16" t="s">
        <v>908</v>
      </c>
      <c r="I144" s="16" t="s">
        <v>681</v>
      </c>
      <c r="J144" s="16" t="s">
        <v>1043</v>
      </c>
      <c r="K144" s="47"/>
      <c r="L144" s="80"/>
      <c r="M144" s="47"/>
      <c r="N144" s="16" t="s">
        <v>891</v>
      </c>
      <c r="O144" s="80" t="s">
        <v>826</v>
      </c>
      <c r="P144" s="80" t="s">
        <v>865</v>
      </c>
      <c r="Q144" s="18"/>
      <c r="R144" s="16" t="s">
        <v>197</v>
      </c>
      <c r="S144" s="16" t="s">
        <v>66</v>
      </c>
      <c r="T144" s="16" t="s">
        <v>63</v>
      </c>
      <c r="U144" s="16" t="s">
        <v>0</v>
      </c>
      <c r="V144" s="16"/>
      <c r="W144" s="16">
        <f>ROUND(IF(D144=Table!$C$3,Y144*Table!$C$4/8,Y144*Table!$D$4/8),3)</f>
        <v>26</v>
      </c>
      <c r="X144" s="191">
        <f t="shared" si="31"/>
        <v>26</v>
      </c>
      <c r="Y144" s="191">
        <v>1.6</v>
      </c>
      <c r="Z144" s="191">
        <f t="shared" si="32"/>
        <v>1.6</v>
      </c>
      <c r="AA144" s="16" t="s">
        <v>21</v>
      </c>
      <c r="AB144" s="81">
        <v>44071</v>
      </c>
      <c r="AC144" s="81">
        <v>44063</v>
      </c>
      <c r="AD144" s="81">
        <v>44074</v>
      </c>
      <c r="AE144" s="81">
        <v>44068</v>
      </c>
      <c r="AF144" s="81">
        <v>44068</v>
      </c>
      <c r="AG144" s="81" t="s">
        <v>155</v>
      </c>
      <c r="AH144" s="82">
        <v>1</v>
      </c>
      <c r="AI144" s="82">
        <v>1</v>
      </c>
      <c r="AJ144" s="82">
        <v>0.5</v>
      </c>
      <c r="AK144" s="87" t="s">
        <v>140</v>
      </c>
      <c r="AL144" s="84"/>
      <c r="AM144" s="84"/>
      <c r="AN144" s="84"/>
    </row>
    <row r="145" spans="2:40">
      <c r="B145" s="88">
        <f t="shared" si="30"/>
        <v>86</v>
      </c>
      <c r="C145" s="16">
        <v>20200819</v>
      </c>
      <c r="D145" s="16" t="s">
        <v>2</v>
      </c>
      <c r="E145" s="85" t="s">
        <v>877</v>
      </c>
      <c r="F145" s="80" t="s">
        <v>882</v>
      </c>
      <c r="G145" s="47"/>
      <c r="H145" s="16" t="s">
        <v>909</v>
      </c>
      <c r="I145" s="16" t="s">
        <v>682</v>
      </c>
      <c r="J145" s="16" t="s">
        <v>1043</v>
      </c>
      <c r="K145" s="47"/>
      <c r="L145" s="80"/>
      <c r="M145" s="47"/>
      <c r="N145" s="16" t="s">
        <v>891</v>
      </c>
      <c r="O145" s="80" t="s">
        <v>827</v>
      </c>
      <c r="P145" s="80" t="s">
        <v>865</v>
      </c>
      <c r="Q145" s="18"/>
      <c r="R145" s="16" t="s">
        <v>197</v>
      </c>
      <c r="S145" s="16" t="s">
        <v>66</v>
      </c>
      <c r="T145" s="16" t="s">
        <v>63</v>
      </c>
      <c r="U145" s="16" t="s">
        <v>0</v>
      </c>
      <c r="V145" s="16"/>
      <c r="W145" s="16">
        <f>ROUND(IF(D145=Table!$C$3,Y145*Table!$C$4/8,Y145*Table!$D$4/8),3)</f>
        <v>48.1</v>
      </c>
      <c r="X145" s="191">
        <f t="shared" si="31"/>
        <v>48.1</v>
      </c>
      <c r="Y145" s="191">
        <v>2.96</v>
      </c>
      <c r="Z145" s="191">
        <f t="shared" si="32"/>
        <v>2.96</v>
      </c>
      <c r="AA145" s="16" t="s">
        <v>21</v>
      </c>
      <c r="AB145" s="81">
        <v>44071</v>
      </c>
      <c r="AC145" s="81">
        <v>44063</v>
      </c>
      <c r="AD145" s="81">
        <v>44074</v>
      </c>
      <c r="AE145" s="81">
        <v>44068</v>
      </c>
      <c r="AF145" s="81">
        <v>44068</v>
      </c>
      <c r="AG145" s="81" t="s">
        <v>155</v>
      </c>
      <c r="AH145" s="82">
        <v>0.78600000000000003</v>
      </c>
      <c r="AI145" s="82">
        <v>0.78600000000000003</v>
      </c>
      <c r="AJ145" s="117" t="s">
        <v>213</v>
      </c>
      <c r="AK145" s="87" t="s">
        <v>140</v>
      </c>
      <c r="AL145" s="84" t="s">
        <v>1194</v>
      </c>
      <c r="AM145" s="84"/>
      <c r="AN145" s="84"/>
    </row>
    <row r="146" spans="2:40">
      <c r="B146" s="88">
        <f t="shared" si="30"/>
        <v>87</v>
      </c>
      <c r="C146" s="16">
        <v>20200819</v>
      </c>
      <c r="D146" s="16" t="s">
        <v>2</v>
      </c>
      <c r="E146" s="85" t="s">
        <v>877</v>
      </c>
      <c r="F146" s="80" t="s">
        <v>882</v>
      </c>
      <c r="G146" s="47"/>
      <c r="H146" s="16" t="s">
        <v>910</v>
      </c>
      <c r="I146" s="16" t="s">
        <v>683</v>
      </c>
      <c r="J146" s="16" t="s">
        <v>1043</v>
      </c>
      <c r="K146" s="47"/>
      <c r="L146" s="80"/>
      <c r="M146" s="47"/>
      <c r="N146" s="16" t="s">
        <v>891</v>
      </c>
      <c r="O146" s="80" t="s">
        <v>424</v>
      </c>
      <c r="P146" s="80" t="s">
        <v>865</v>
      </c>
      <c r="Q146" s="18"/>
      <c r="R146" s="16" t="s">
        <v>197</v>
      </c>
      <c r="S146" s="16" t="s">
        <v>66</v>
      </c>
      <c r="T146" s="16" t="s">
        <v>63</v>
      </c>
      <c r="U146" s="16" t="s">
        <v>0</v>
      </c>
      <c r="V146" s="16"/>
      <c r="W146" s="16">
        <f>ROUND(IF(D146=Table!$C$3,Y146*Table!$C$4/8,Y146*Table!$D$4/8),3)</f>
        <v>70.2</v>
      </c>
      <c r="X146" s="191">
        <f t="shared" si="31"/>
        <v>70.2</v>
      </c>
      <c r="Y146" s="191">
        <v>4.32</v>
      </c>
      <c r="Z146" s="191">
        <f t="shared" si="32"/>
        <v>4.32</v>
      </c>
      <c r="AA146" s="16" t="s">
        <v>21</v>
      </c>
      <c r="AB146" s="81">
        <v>44071</v>
      </c>
      <c r="AC146" s="81">
        <v>44063</v>
      </c>
      <c r="AD146" s="81">
        <v>44074</v>
      </c>
      <c r="AE146" s="81">
        <v>44069</v>
      </c>
      <c r="AF146" s="81">
        <v>44069</v>
      </c>
      <c r="AG146" s="81" t="s">
        <v>156</v>
      </c>
      <c r="AH146" s="82">
        <v>0.83299999999999996</v>
      </c>
      <c r="AI146" s="82">
        <v>0.85</v>
      </c>
      <c r="AJ146" s="82">
        <v>1</v>
      </c>
      <c r="AK146" s="87" t="s">
        <v>130</v>
      </c>
      <c r="AL146" s="84" t="s">
        <v>1245</v>
      </c>
      <c r="AM146" s="84"/>
      <c r="AN146" s="84"/>
    </row>
    <row r="147" spans="2:40">
      <c r="B147" s="88">
        <f t="shared" si="30"/>
        <v>88</v>
      </c>
      <c r="C147" s="16">
        <v>20200819</v>
      </c>
      <c r="D147" s="16" t="s">
        <v>2</v>
      </c>
      <c r="E147" s="85" t="s">
        <v>877</v>
      </c>
      <c r="F147" s="80" t="s">
        <v>882</v>
      </c>
      <c r="G147" s="47"/>
      <c r="H147" s="16" t="s">
        <v>911</v>
      </c>
      <c r="I147" s="16" t="s">
        <v>684</v>
      </c>
      <c r="J147" s="16" t="s">
        <v>1044</v>
      </c>
      <c r="K147" s="47"/>
      <c r="L147" s="80"/>
      <c r="M147" s="47"/>
      <c r="N147" s="16" t="s">
        <v>891</v>
      </c>
      <c r="O147" s="80" t="s">
        <v>828</v>
      </c>
      <c r="P147" s="80" t="s">
        <v>865</v>
      </c>
      <c r="Q147" s="18"/>
      <c r="R147" s="16" t="s">
        <v>197</v>
      </c>
      <c r="S147" s="16" t="s">
        <v>66</v>
      </c>
      <c r="T147" s="16" t="s">
        <v>63</v>
      </c>
      <c r="U147" s="16" t="s">
        <v>0</v>
      </c>
      <c r="V147" s="16"/>
      <c r="W147" s="16">
        <f>ROUND(IF(D147=Table!$C$3,Y147*Table!$C$4/8,Y147*Table!$D$4/8),3)</f>
        <v>65</v>
      </c>
      <c r="X147" s="191">
        <f t="shared" si="31"/>
        <v>65</v>
      </c>
      <c r="Y147" s="191">
        <v>4</v>
      </c>
      <c r="Z147" s="191">
        <f t="shared" si="32"/>
        <v>4</v>
      </c>
      <c r="AA147" s="16" t="s">
        <v>21</v>
      </c>
      <c r="AB147" s="81">
        <v>44071</v>
      </c>
      <c r="AC147" s="81">
        <v>44063</v>
      </c>
      <c r="AD147" s="81">
        <v>44074</v>
      </c>
      <c r="AE147" s="81">
        <v>44064</v>
      </c>
      <c r="AF147" s="81">
        <v>44064</v>
      </c>
      <c r="AG147" s="81" t="s">
        <v>155</v>
      </c>
      <c r="AH147" s="82">
        <v>0.97399999999999998</v>
      </c>
      <c r="AI147" s="82">
        <v>0.97899999999999998</v>
      </c>
      <c r="AJ147" s="82">
        <v>0.38500000000000001</v>
      </c>
      <c r="AK147" s="87" t="s">
        <v>140</v>
      </c>
      <c r="AL147" s="258" t="s">
        <v>1129</v>
      </c>
      <c r="AM147" s="84"/>
      <c r="AN147" s="84"/>
    </row>
    <row r="148" spans="2:40">
      <c r="B148" s="88">
        <f t="shared" si="30"/>
        <v>89</v>
      </c>
      <c r="C148" s="16">
        <v>20200819</v>
      </c>
      <c r="D148" s="16" t="s">
        <v>2</v>
      </c>
      <c r="E148" s="85" t="s">
        <v>877</v>
      </c>
      <c r="F148" s="80" t="s">
        <v>882</v>
      </c>
      <c r="G148" s="47"/>
      <c r="H148" s="16" t="s">
        <v>912</v>
      </c>
      <c r="I148" s="16" t="s">
        <v>685</v>
      </c>
      <c r="J148" s="16" t="s">
        <v>1043</v>
      </c>
      <c r="K148" s="47"/>
      <c r="L148" s="80"/>
      <c r="M148" s="47"/>
      <c r="N148" s="16" t="s">
        <v>891</v>
      </c>
      <c r="O148" s="80" t="s">
        <v>829</v>
      </c>
      <c r="P148" s="80" t="s">
        <v>866</v>
      </c>
      <c r="Q148" s="18"/>
      <c r="R148" s="16" t="s">
        <v>197</v>
      </c>
      <c r="S148" s="16" t="s">
        <v>66</v>
      </c>
      <c r="T148" s="16" t="s">
        <v>63</v>
      </c>
      <c r="U148" s="16" t="s">
        <v>0</v>
      </c>
      <c r="V148" s="16"/>
      <c r="W148" s="16">
        <f>ROUND(IF(D148=Table!$C$3,Y148*Table!$C$4/8,Y148*Table!$D$4/8),3)</f>
        <v>26</v>
      </c>
      <c r="X148" s="191">
        <f t="shared" si="31"/>
        <v>26</v>
      </c>
      <c r="Y148" s="191">
        <v>1.6</v>
      </c>
      <c r="Z148" s="191">
        <f t="shared" si="32"/>
        <v>1.6</v>
      </c>
      <c r="AA148" s="16" t="s">
        <v>21</v>
      </c>
      <c r="AB148" s="81">
        <v>44071</v>
      </c>
      <c r="AC148" s="81">
        <v>44063</v>
      </c>
      <c r="AD148" s="81">
        <v>44074</v>
      </c>
      <c r="AE148" s="81">
        <v>44069</v>
      </c>
      <c r="AF148" s="81">
        <v>44069</v>
      </c>
      <c r="AG148" s="81" t="s">
        <v>155</v>
      </c>
      <c r="AH148" s="82">
        <v>1</v>
      </c>
      <c r="AI148" s="82">
        <v>1</v>
      </c>
      <c r="AJ148" s="117">
        <v>0.3</v>
      </c>
      <c r="AK148" s="87" t="s">
        <v>140</v>
      </c>
      <c r="AL148" s="84"/>
      <c r="AM148" s="84"/>
      <c r="AN148" s="84"/>
    </row>
    <row r="149" spans="2:40">
      <c r="B149" s="88">
        <f t="shared" si="30"/>
        <v>90</v>
      </c>
      <c r="C149" s="16">
        <v>20200819</v>
      </c>
      <c r="D149" s="16" t="s">
        <v>2</v>
      </c>
      <c r="E149" s="85" t="s">
        <v>877</v>
      </c>
      <c r="F149" s="80" t="s">
        <v>882</v>
      </c>
      <c r="G149" s="47"/>
      <c r="H149" s="16" t="s">
        <v>913</v>
      </c>
      <c r="I149" s="16" t="s">
        <v>686</v>
      </c>
      <c r="J149" s="16" t="s">
        <v>1044</v>
      </c>
      <c r="K149" s="47"/>
      <c r="L149" s="80"/>
      <c r="M149" s="47"/>
      <c r="N149" s="16" t="s">
        <v>891</v>
      </c>
      <c r="O149" s="80" t="s">
        <v>418</v>
      </c>
      <c r="P149" s="80" t="s">
        <v>866</v>
      </c>
      <c r="Q149" s="18"/>
      <c r="R149" s="16" t="s">
        <v>197</v>
      </c>
      <c r="S149" s="16" t="s">
        <v>66</v>
      </c>
      <c r="T149" s="16" t="s">
        <v>63</v>
      </c>
      <c r="U149" s="16" t="s">
        <v>0</v>
      </c>
      <c r="V149" s="16"/>
      <c r="W149" s="16">
        <f>ROUND(IF(D149=Table!$C$3,Y149*Table!$C$4/8,Y149*Table!$D$4/8),3)</f>
        <v>53.3</v>
      </c>
      <c r="X149" s="191">
        <f t="shared" si="31"/>
        <v>53.3</v>
      </c>
      <c r="Y149" s="191">
        <v>3.28</v>
      </c>
      <c r="Z149" s="191">
        <f t="shared" si="32"/>
        <v>3.28</v>
      </c>
      <c r="AA149" s="16" t="s">
        <v>21</v>
      </c>
      <c r="AB149" s="81">
        <v>44071</v>
      </c>
      <c r="AC149" s="81">
        <v>44063</v>
      </c>
      <c r="AD149" s="81">
        <v>44074</v>
      </c>
      <c r="AE149" s="81">
        <v>44064</v>
      </c>
      <c r="AF149" s="81">
        <v>44064</v>
      </c>
      <c r="AG149" s="81" t="s">
        <v>155</v>
      </c>
      <c r="AH149" s="82">
        <v>1</v>
      </c>
      <c r="AI149" s="82">
        <v>1</v>
      </c>
      <c r="AJ149" s="82">
        <v>0.316</v>
      </c>
      <c r="AK149" s="87" t="s">
        <v>140</v>
      </c>
      <c r="AL149" s="84"/>
      <c r="AM149" s="84"/>
      <c r="AN149" s="84"/>
    </row>
    <row r="150" spans="2:40">
      <c r="B150" s="88">
        <f t="shared" si="30"/>
        <v>91</v>
      </c>
      <c r="C150" s="16">
        <v>20200819</v>
      </c>
      <c r="D150" s="16" t="s">
        <v>2</v>
      </c>
      <c r="E150" s="85" t="s">
        <v>877</v>
      </c>
      <c r="F150" s="80" t="s">
        <v>883</v>
      </c>
      <c r="G150" s="47"/>
      <c r="H150" s="16" t="s">
        <v>914</v>
      </c>
      <c r="I150" s="16" t="s">
        <v>687</v>
      </c>
      <c r="J150" s="16" t="s">
        <v>1043</v>
      </c>
      <c r="K150" s="47"/>
      <c r="L150" s="80"/>
      <c r="M150" s="47"/>
      <c r="N150" s="16" t="s">
        <v>891</v>
      </c>
      <c r="O150" s="80" t="s">
        <v>830</v>
      </c>
      <c r="P150" s="80" t="s">
        <v>451</v>
      </c>
      <c r="Q150" s="18"/>
      <c r="R150" s="16" t="s">
        <v>197</v>
      </c>
      <c r="S150" s="16" t="s">
        <v>66</v>
      </c>
      <c r="T150" s="16" t="s">
        <v>63</v>
      </c>
      <c r="U150" s="16" t="s">
        <v>0</v>
      </c>
      <c r="V150" s="16"/>
      <c r="W150" s="16">
        <f>ROUND(IF(D150=Table!$C$3,Y150*Table!$C$4/8,Y150*Table!$D$4/8),3)</f>
        <v>26</v>
      </c>
      <c r="X150" s="191">
        <f t="shared" si="31"/>
        <v>26</v>
      </c>
      <c r="Y150" s="191">
        <v>1.6</v>
      </c>
      <c r="Z150" s="191">
        <f t="shared" si="32"/>
        <v>1.6</v>
      </c>
      <c r="AA150" s="16" t="s">
        <v>21</v>
      </c>
      <c r="AB150" s="81">
        <v>44071</v>
      </c>
      <c r="AC150" s="81">
        <v>44063</v>
      </c>
      <c r="AD150" s="81">
        <v>44074</v>
      </c>
      <c r="AE150" s="81">
        <v>44069</v>
      </c>
      <c r="AF150" s="81">
        <v>44069</v>
      </c>
      <c r="AG150" s="81" t="s">
        <v>156</v>
      </c>
      <c r="AH150" s="82">
        <v>0.89500000000000002</v>
      </c>
      <c r="AI150" s="82">
        <v>0.89500000000000002</v>
      </c>
      <c r="AJ150" s="82" t="s">
        <v>213</v>
      </c>
      <c r="AK150" s="87" t="s">
        <v>130</v>
      </c>
      <c r="AL150" s="84" t="s">
        <v>1253</v>
      </c>
      <c r="AM150" s="84" t="s">
        <v>1254</v>
      </c>
      <c r="AN150" s="84"/>
    </row>
    <row r="151" spans="2:40" hidden="1">
      <c r="B151" s="88">
        <f t="shared" si="30"/>
        <v>92</v>
      </c>
      <c r="C151" s="16">
        <v>20200819</v>
      </c>
      <c r="D151" s="16" t="s">
        <v>2</v>
      </c>
      <c r="E151" s="85" t="s">
        <v>877</v>
      </c>
      <c r="F151" s="80" t="s">
        <v>884</v>
      </c>
      <c r="G151" s="47"/>
      <c r="H151" s="16" t="s">
        <v>915</v>
      </c>
      <c r="I151" s="164" t="s">
        <v>688</v>
      </c>
      <c r="J151" s="16" t="s">
        <v>1043</v>
      </c>
      <c r="K151" s="47"/>
      <c r="L151" s="80"/>
      <c r="M151" s="47"/>
      <c r="N151" s="16" t="s">
        <v>891</v>
      </c>
      <c r="O151" s="80" t="s">
        <v>170</v>
      </c>
      <c r="P151" s="80" t="s">
        <v>867</v>
      </c>
      <c r="Q151" s="18"/>
      <c r="R151" s="16" t="s">
        <v>198</v>
      </c>
      <c r="S151" s="16" t="s">
        <v>62</v>
      </c>
      <c r="T151" s="16"/>
      <c r="U151" s="16"/>
      <c r="V151" s="16"/>
      <c r="W151" s="16">
        <f>ROUND(IF(D151=Table!$C$3,Y151*Table!$C$4/8,Y151*Table!$D$4/8),3)</f>
        <v>26</v>
      </c>
      <c r="X151" s="191">
        <f t="shared" si="31"/>
        <v>26</v>
      </c>
      <c r="Y151" s="259">
        <v>1.6</v>
      </c>
      <c r="Z151" s="191"/>
      <c r="AA151" s="16" t="s">
        <v>21</v>
      </c>
      <c r="AB151" s="81">
        <v>44071</v>
      </c>
      <c r="AC151" s="81">
        <v>44063</v>
      </c>
      <c r="AD151" s="81">
        <v>44074</v>
      </c>
      <c r="AE151" s="81">
        <v>44063</v>
      </c>
      <c r="AF151" s="81">
        <v>44063</v>
      </c>
      <c r="AG151" s="81" t="s">
        <v>155</v>
      </c>
      <c r="AH151" s="141">
        <v>0.76500000000000001</v>
      </c>
      <c r="AI151" s="141">
        <v>0.77800000000000002</v>
      </c>
      <c r="AJ151" s="261">
        <v>1</v>
      </c>
      <c r="AK151" s="87"/>
      <c r="AL151" s="84" t="s">
        <v>1313</v>
      </c>
      <c r="AM151" s="84"/>
      <c r="AN151" s="84"/>
    </row>
    <row r="152" spans="2:40" hidden="1">
      <c r="B152" s="88">
        <f t="shared" si="30"/>
        <v>93</v>
      </c>
      <c r="C152" s="16">
        <v>20200819</v>
      </c>
      <c r="D152" s="16" t="s">
        <v>2</v>
      </c>
      <c r="E152" s="85" t="s">
        <v>877</v>
      </c>
      <c r="F152" s="80" t="s">
        <v>884</v>
      </c>
      <c r="G152" s="47"/>
      <c r="H152" s="16" t="s">
        <v>916</v>
      </c>
      <c r="I152" s="164" t="s">
        <v>689</v>
      </c>
      <c r="J152" s="16" t="s">
        <v>208</v>
      </c>
      <c r="K152" s="47"/>
      <c r="L152" s="80"/>
      <c r="M152" s="47"/>
      <c r="N152" s="16" t="s">
        <v>891</v>
      </c>
      <c r="O152" s="80" t="s">
        <v>170</v>
      </c>
      <c r="P152" s="80" t="s">
        <v>867</v>
      </c>
      <c r="Q152" s="18"/>
      <c r="R152" s="16" t="s">
        <v>198</v>
      </c>
      <c r="S152" s="16" t="s">
        <v>62</v>
      </c>
      <c r="T152" s="16"/>
      <c r="U152" s="16"/>
      <c r="V152" s="16"/>
      <c r="W152" s="16">
        <f>ROUND(IF(D152=Table!$C$3,Y152*Table!$C$4/8,Y152*Table!$D$4/8),3)</f>
        <v>81.900000000000006</v>
      </c>
      <c r="X152" s="191">
        <f t="shared" si="31"/>
        <v>81.900000000000006</v>
      </c>
      <c r="Y152" s="191">
        <v>5.04</v>
      </c>
      <c r="Z152" s="191"/>
      <c r="AA152" s="16" t="s">
        <v>21</v>
      </c>
      <c r="AB152" s="81">
        <v>44071</v>
      </c>
      <c r="AC152" s="81">
        <v>44063</v>
      </c>
      <c r="AD152" s="81">
        <v>44074</v>
      </c>
      <c r="AE152" s="81">
        <v>44063</v>
      </c>
      <c r="AF152" s="81">
        <v>44063</v>
      </c>
      <c r="AG152" s="81" t="s">
        <v>155</v>
      </c>
      <c r="AH152" s="141">
        <v>1</v>
      </c>
      <c r="AI152" s="141">
        <v>1</v>
      </c>
      <c r="AJ152" s="141">
        <v>1</v>
      </c>
      <c r="AK152" s="87"/>
      <c r="AL152" s="84"/>
      <c r="AM152" s="84"/>
      <c r="AN152" s="84"/>
    </row>
    <row r="153" spans="2:40" hidden="1">
      <c r="B153" s="88">
        <f t="shared" si="30"/>
        <v>94</v>
      </c>
      <c r="C153" s="16">
        <v>20200819</v>
      </c>
      <c r="D153" s="16" t="s">
        <v>2</v>
      </c>
      <c r="E153" s="85" t="s">
        <v>877</v>
      </c>
      <c r="F153" s="80" t="s">
        <v>884</v>
      </c>
      <c r="G153" s="47"/>
      <c r="H153" s="16" t="s">
        <v>917</v>
      </c>
      <c r="I153" s="164" t="s">
        <v>690</v>
      </c>
      <c r="J153" s="16" t="s">
        <v>1043</v>
      </c>
      <c r="K153" s="47"/>
      <c r="L153" s="80"/>
      <c r="M153" s="47"/>
      <c r="N153" s="16" t="s">
        <v>891</v>
      </c>
      <c r="O153" s="80" t="s">
        <v>831</v>
      </c>
      <c r="P153" s="80" t="s">
        <v>867</v>
      </c>
      <c r="Q153" s="18"/>
      <c r="R153" s="16" t="s">
        <v>198</v>
      </c>
      <c r="S153" s="16" t="s">
        <v>62</v>
      </c>
      <c r="T153" s="16"/>
      <c r="U153" s="16"/>
      <c r="V153" s="16"/>
      <c r="W153" s="16">
        <f>ROUND(IF(D153=Table!$C$3,Y153*Table!$C$4/8,Y153*Table!$D$4/8),3)</f>
        <v>37.700000000000003</v>
      </c>
      <c r="X153" s="191">
        <f t="shared" si="31"/>
        <v>37.700000000000003</v>
      </c>
      <c r="Y153" s="192">
        <v>2.3199999999999998</v>
      </c>
      <c r="Z153" s="191"/>
      <c r="AA153" s="16" t="s">
        <v>21</v>
      </c>
      <c r="AB153" s="81">
        <v>44071</v>
      </c>
      <c r="AC153" s="81">
        <v>44063</v>
      </c>
      <c r="AD153" s="81">
        <v>44074</v>
      </c>
      <c r="AE153" s="81">
        <v>44063</v>
      </c>
      <c r="AF153" s="81">
        <v>44063</v>
      </c>
      <c r="AG153" s="81" t="s">
        <v>155</v>
      </c>
      <c r="AH153" s="141">
        <v>1</v>
      </c>
      <c r="AI153" s="141">
        <v>1</v>
      </c>
      <c r="AJ153" s="141">
        <v>1</v>
      </c>
      <c r="AK153" s="87"/>
      <c r="AL153" s="84"/>
      <c r="AM153" s="118"/>
      <c r="AN153" s="118"/>
    </row>
    <row r="154" spans="2:40" hidden="1">
      <c r="B154" s="88">
        <f t="shared" si="30"/>
        <v>95</v>
      </c>
      <c r="C154" s="16">
        <v>20200819</v>
      </c>
      <c r="D154" s="16" t="s">
        <v>2</v>
      </c>
      <c r="E154" s="85" t="s">
        <v>877</v>
      </c>
      <c r="F154" s="80" t="s">
        <v>884</v>
      </c>
      <c r="G154" s="47"/>
      <c r="H154" s="210" t="s">
        <v>918</v>
      </c>
      <c r="I154" s="210" t="s">
        <v>691</v>
      </c>
      <c r="J154" s="16" t="s">
        <v>1044</v>
      </c>
      <c r="K154" s="47"/>
      <c r="L154" s="80"/>
      <c r="M154" s="47"/>
      <c r="N154" s="16" t="s">
        <v>891</v>
      </c>
      <c r="O154" s="80" t="s">
        <v>831</v>
      </c>
      <c r="P154" s="80" t="s">
        <v>867</v>
      </c>
      <c r="Q154" s="18"/>
      <c r="R154" s="16" t="s">
        <v>198</v>
      </c>
      <c r="S154" s="16" t="s">
        <v>62</v>
      </c>
      <c r="T154" s="16"/>
      <c r="U154" s="16"/>
      <c r="V154" s="16"/>
      <c r="W154" s="16">
        <f>ROUND(IF(D154=Table!$C$3,Y154*Table!$C$4/8,Y154*Table!$D$4/8),3)</f>
        <v>70.2</v>
      </c>
      <c r="X154" s="191">
        <f>W154</f>
        <v>70.2</v>
      </c>
      <c r="Y154" s="191">
        <v>4.32</v>
      </c>
      <c r="Z154" s="191"/>
      <c r="AA154" s="16" t="s">
        <v>21</v>
      </c>
      <c r="AB154" s="81">
        <v>44071</v>
      </c>
      <c r="AC154" s="81">
        <v>44063</v>
      </c>
      <c r="AD154" s="81">
        <v>44074</v>
      </c>
      <c r="AE154" s="81">
        <v>44068</v>
      </c>
      <c r="AF154" s="81">
        <v>44068</v>
      </c>
      <c r="AG154" s="81" t="s">
        <v>155</v>
      </c>
      <c r="AH154" s="309">
        <v>0.96099999999999997</v>
      </c>
      <c r="AI154" s="309">
        <v>0.96199999999999997</v>
      </c>
      <c r="AJ154" s="309">
        <v>0.84199999999999997</v>
      </c>
      <c r="AK154" s="87"/>
      <c r="AL154" s="84" t="s">
        <v>1314</v>
      </c>
      <c r="AM154" s="15"/>
      <c r="AN154" s="15"/>
    </row>
    <row r="155" spans="2:40" hidden="1">
      <c r="B155" s="88">
        <f t="shared" si="30"/>
        <v>96</v>
      </c>
      <c r="C155" s="16">
        <v>20200819</v>
      </c>
      <c r="D155" s="16" t="s">
        <v>2</v>
      </c>
      <c r="E155" s="85" t="s">
        <v>877</v>
      </c>
      <c r="F155" s="80" t="s">
        <v>884</v>
      </c>
      <c r="G155" s="47"/>
      <c r="H155" s="16" t="s">
        <v>919</v>
      </c>
      <c r="I155" s="164" t="s">
        <v>692</v>
      </c>
      <c r="J155" s="16" t="s">
        <v>1043</v>
      </c>
      <c r="K155" s="47"/>
      <c r="L155" s="80"/>
      <c r="M155" s="47"/>
      <c r="N155" s="16" t="s">
        <v>891</v>
      </c>
      <c r="O155" s="80" t="s">
        <v>210</v>
      </c>
      <c r="P155" s="80" t="s">
        <v>867</v>
      </c>
      <c r="Q155" s="18"/>
      <c r="R155" s="16" t="s">
        <v>198</v>
      </c>
      <c r="S155" s="16" t="s">
        <v>62</v>
      </c>
      <c r="T155" s="16"/>
      <c r="U155" s="16"/>
      <c r="V155" s="16"/>
      <c r="W155" s="16">
        <f>ROUND(IF(D155=Table!$C$3,Y155*Table!$C$4/8,Y155*Table!$D$4/8),3)</f>
        <v>31.2</v>
      </c>
      <c r="X155" s="191">
        <f t="shared" ref="X155:X168" si="33">W155</f>
        <v>31.2</v>
      </c>
      <c r="Y155" s="192">
        <v>1.92</v>
      </c>
      <c r="Z155" s="191"/>
      <c r="AA155" s="16" t="s">
        <v>21</v>
      </c>
      <c r="AB155" s="81">
        <v>44071</v>
      </c>
      <c r="AC155" s="81">
        <v>44063</v>
      </c>
      <c r="AD155" s="81">
        <v>44074</v>
      </c>
      <c r="AE155" s="81">
        <v>44063</v>
      </c>
      <c r="AF155" s="81">
        <v>44063</v>
      </c>
      <c r="AG155" s="81" t="s">
        <v>155</v>
      </c>
      <c r="AH155" s="141">
        <v>1</v>
      </c>
      <c r="AI155" s="141">
        <v>1</v>
      </c>
      <c r="AJ155" s="141" t="s">
        <v>213</v>
      </c>
      <c r="AK155" s="87"/>
      <c r="AL155" s="84"/>
      <c r="AM155" s="15"/>
      <c r="AN155" s="15"/>
    </row>
    <row r="156" spans="2:40" hidden="1">
      <c r="B156" s="88">
        <f t="shared" si="30"/>
        <v>97</v>
      </c>
      <c r="C156" s="16">
        <v>20200819</v>
      </c>
      <c r="D156" s="16" t="s">
        <v>2</v>
      </c>
      <c r="E156" s="85" t="s">
        <v>877</v>
      </c>
      <c r="F156" s="80" t="s">
        <v>884</v>
      </c>
      <c r="G156" s="47"/>
      <c r="H156" s="16" t="s">
        <v>920</v>
      </c>
      <c r="I156" s="164" t="s">
        <v>693</v>
      </c>
      <c r="J156" s="16" t="s">
        <v>1043</v>
      </c>
      <c r="K156" s="47"/>
      <c r="L156" s="80"/>
      <c r="M156" s="47"/>
      <c r="N156" s="16" t="s">
        <v>891</v>
      </c>
      <c r="O156" s="80" t="s">
        <v>170</v>
      </c>
      <c r="P156" s="80" t="s">
        <v>867</v>
      </c>
      <c r="Q156" s="18"/>
      <c r="R156" s="16" t="s">
        <v>198</v>
      </c>
      <c r="S156" s="16" t="s">
        <v>62</v>
      </c>
      <c r="T156" s="16"/>
      <c r="U156" s="16"/>
      <c r="V156" s="16"/>
      <c r="W156" s="16">
        <f>ROUND(IF(D156=Table!$C$3,Y156*Table!$C$4/8,Y156*Table!$D$4/8),3)</f>
        <v>26</v>
      </c>
      <c r="X156" s="191">
        <f t="shared" si="33"/>
        <v>26</v>
      </c>
      <c r="Y156" s="259">
        <v>1.6</v>
      </c>
      <c r="Z156" s="191"/>
      <c r="AA156" s="16" t="s">
        <v>21</v>
      </c>
      <c r="AB156" s="81">
        <v>44071</v>
      </c>
      <c r="AC156" s="81">
        <v>44063</v>
      </c>
      <c r="AD156" s="81">
        <v>44074</v>
      </c>
      <c r="AE156" s="81">
        <v>44067</v>
      </c>
      <c r="AF156" s="81">
        <v>44067</v>
      </c>
      <c r="AG156" s="81" t="s">
        <v>155</v>
      </c>
      <c r="AH156" s="141">
        <v>1</v>
      </c>
      <c r="AI156" s="141">
        <v>1</v>
      </c>
      <c r="AJ156" s="141">
        <v>0.66700000000000004</v>
      </c>
      <c r="AK156" s="87"/>
      <c r="AL156" s="84"/>
      <c r="AM156" s="15"/>
      <c r="AN156" s="15"/>
    </row>
    <row r="157" spans="2:40" hidden="1">
      <c r="B157" s="88">
        <f t="shared" si="30"/>
        <v>98</v>
      </c>
      <c r="C157" s="16">
        <v>20200819</v>
      </c>
      <c r="D157" s="16" t="s">
        <v>2</v>
      </c>
      <c r="E157" s="85" t="s">
        <v>877</v>
      </c>
      <c r="F157" s="80" t="s">
        <v>885</v>
      </c>
      <c r="G157" s="47"/>
      <c r="H157" s="16" t="s">
        <v>921</v>
      </c>
      <c r="I157" s="164" t="s">
        <v>694</v>
      </c>
      <c r="J157" s="16" t="s">
        <v>1043</v>
      </c>
      <c r="K157" s="47"/>
      <c r="L157" s="80"/>
      <c r="M157" s="47"/>
      <c r="N157" s="16" t="s">
        <v>891</v>
      </c>
      <c r="O157" s="80" t="s">
        <v>210</v>
      </c>
      <c r="P157" s="80" t="s">
        <v>868</v>
      </c>
      <c r="Q157" s="18"/>
      <c r="R157" s="16" t="s">
        <v>198</v>
      </c>
      <c r="S157" s="16" t="s">
        <v>62</v>
      </c>
      <c r="T157" s="16"/>
      <c r="U157" s="16"/>
      <c r="V157" s="16"/>
      <c r="W157" s="16">
        <f>ROUND(IF(D157=Table!$C$3,Y157*Table!$C$4/8,Y157*Table!$D$4/8),3)</f>
        <v>26</v>
      </c>
      <c r="X157" s="191">
        <f t="shared" si="33"/>
        <v>26</v>
      </c>
      <c r="Y157" s="259">
        <v>1.6</v>
      </c>
      <c r="Z157" s="191"/>
      <c r="AA157" s="16" t="s">
        <v>21</v>
      </c>
      <c r="AB157" s="81">
        <v>44071</v>
      </c>
      <c r="AC157" s="81">
        <v>44063</v>
      </c>
      <c r="AD157" s="81">
        <v>44074</v>
      </c>
      <c r="AE157" s="81">
        <v>44067</v>
      </c>
      <c r="AF157" s="81">
        <v>44067</v>
      </c>
      <c r="AG157" s="81" t="s">
        <v>155</v>
      </c>
      <c r="AH157" s="141">
        <v>1</v>
      </c>
      <c r="AI157" s="141">
        <v>1</v>
      </c>
      <c r="AJ157" s="141">
        <v>0.5</v>
      </c>
      <c r="AK157" s="87"/>
      <c r="AL157" s="84"/>
      <c r="AM157" s="15"/>
      <c r="AN157" s="15"/>
    </row>
    <row r="158" spans="2:40" hidden="1">
      <c r="B158" s="88">
        <f t="shared" si="30"/>
        <v>99</v>
      </c>
      <c r="C158" s="16">
        <v>20200819</v>
      </c>
      <c r="D158" s="16" t="s">
        <v>2</v>
      </c>
      <c r="E158" s="85" t="s">
        <v>877</v>
      </c>
      <c r="F158" s="80" t="s">
        <v>885</v>
      </c>
      <c r="G158" s="47"/>
      <c r="H158" s="16" t="s">
        <v>922</v>
      </c>
      <c r="I158" s="164" t="s">
        <v>695</v>
      </c>
      <c r="J158" s="16" t="s">
        <v>1043</v>
      </c>
      <c r="K158" s="47"/>
      <c r="L158" s="80"/>
      <c r="M158" s="47"/>
      <c r="N158" s="16" t="s">
        <v>891</v>
      </c>
      <c r="O158" s="80" t="s">
        <v>832</v>
      </c>
      <c r="P158" s="80" t="s">
        <v>868</v>
      </c>
      <c r="Q158" s="18"/>
      <c r="R158" s="16" t="s">
        <v>198</v>
      </c>
      <c r="S158" s="16" t="s">
        <v>62</v>
      </c>
      <c r="T158" s="16"/>
      <c r="U158" s="16"/>
      <c r="V158" s="16"/>
      <c r="W158" s="16">
        <f>ROUND(IF(D158=Table!$C$3,Y158*Table!$C$4/8,Y158*Table!$D$4/8),3)</f>
        <v>37.700000000000003</v>
      </c>
      <c r="X158" s="191">
        <f t="shared" si="33"/>
        <v>37.700000000000003</v>
      </c>
      <c r="Y158" s="192">
        <v>2.3199999999999998</v>
      </c>
      <c r="Z158" s="191"/>
      <c r="AA158" s="16" t="s">
        <v>21</v>
      </c>
      <c r="AB158" s="81">
        <v>44071</v>
      </c>
      <c r="AC158" s="81">
        <v>44063</v>
      </c>
      <c r="AD158" s="81">
        <v>44074</v>
      </c>
      <c r="AE158" s="81">
        <v>44063</v>
      </c>
      <c r="AF158" s="81">
        <v>44063</v>
      </c>
      <c r="AG158" s="81" t="s">
        <v>155</v>
      </c>
      <c r="AH158" s="141">
        <v>1</v>
      </c>
      <c r="AI158" s="141">
        <v>1</v>
      </c>
      <c r="AJ158" s="141">
        <v>0.33300000000000002</v>
      </c>
      <c r="AK158" s="87"/>
      <c r="AL158" s="84"/>
      <c r="AM158" s="15"/>
      <c r="AN158" s="15"/>
    </row>
    <row r="159" spans="2:40" hidden="1">
      <c r="B159" s="88">
        <f t="shared" si="30"/>
        <v>100</v>
      </c>
      <c r="C159" s="16">
        <v>20200819</v>
      </c>
      <c r="D159" s="16" t="s">
        <v>2</v>
      </c>
      <c r="E159" s="85" t="s">
        <v>877</v>
      </c>
      <c r="F159" s="80" t="s">
        <v>885</v>
      </c>
      <c r="G159" s="47"/>
      <c r="H159" s="18" t="s">
        <v>923</v>
      </c>
      <c r="I159" s="164" t="s">
        <v>696</v>
      </c>
      <c r="J159" s="16" t="s">
        <v>1043</v>
      </c>
      <c r="K159" s="47"/>
      <c r="L159" s="80"/>
      <c r="M159" s="47"/>
      <c r="N159" s="16" t="s">
        <v>891</v>
      </c>
      <c r="O159" s="80" t="s">
        <v>210</v>
      </c>
      <c r="P159" s="80" t="s">
        <v>868</v>
      </c>
      <c r="Q159" s="18"/>
      <c r="R159" s="16" t="s">
        <v>198</v>
      </c>
      <c r="S159" s="16" t="s">
        <v>62</v>
      </c>
      <c r="T159" s="16"/>
      <c r="U159" s="16"/>
      <c r="V159" s="16"/>
      <c r="W159" s="16">
        <f>ROUND(IF(D159=Table!$C$3,Y159*Table!$C$4/8,Y159*Table!$D$4/8),3)</f>
        <v>26</v>
      </c>
      <c r="X159" s="191">
        <f t="shared" si="33"/>
        <v>26</v>
      </c>
      <c r="Y159" s="259">
        <v>1.6</v>
      </c>
      <c r="Z159" s="191"/>
      <c r="AA159" s="16" t="s">
        <v>21</v>
      </c>
      <c r="AB159" s="81">
        <v>44071</v>
      </c>
      <c r="AC159" s="81">
        <v>44063</v>
      </c>
      <c r="AD159" s="81">
        <v>44074</v>
      </c>
      <c r="AE159" s="81">
        <v>44067</v>
      </c>
      <c r="AF159" s="81">
        <v>44067</v>
      </c>
      <c r="AG159" s="81" t="s">
        <v>155</v>
      </c>
      <c r="AH159" s="141">
        <v>1</v>
      </c>
      <c r="AI159" s="141">
        <v>1</v>
      </c>
      <c r="AJ159" s="141">
        <v>1</v>
      </c>
      <c r="AK159" s="87"/>
      <c r="AL159" s="84"/>
      <c r="AM159" s="15"/>
      <c r="AN159" s="15"/>
    </row>
    <row r="160" spans="2:40" hidden="1">
      <c r="B160" s="88">
        <f t="shared" si="30"/>
        <v>101</v>
      </c>
      <c r="C160" s="16">
        <v>20200819</v>
      </c>
      <c r="D160" s="16" t="s">
        <v>2</v>
      </c>
      <c r="E160" s="85" t="s">
        <v>877</v>
      </c>
      <c r="F160" s="80" t="s">
        <v>885</v>
      </c>
      <c r="G160" s="47"/>
      <c r="H160" s="18" t="s">
        <v>924</v>
      </c>
      <c r="I160" s="164" t="s">
        <v>697</v>
      </c>
      <c r="J160" s="16" t="s">
        <v>1043</v>
      </c>
      <c r="K160" s="47"/>
      <c r="L160" s="80"/>
      <c r="M160" s="47"/>
      <c r="N160" s="16" t="s">
        <v>891</v>
      </c>
      <c r="O160" s="80" t="s">
        <v>831</v>
      </c>
      <c r="P160" s="80" t="s">
        <v>868</v>
      </c>
      <c r="Q160" s="18"/>
      <c r="R160" s="16" t="s">
        <v>198</v>
      </c>
      <c r="S160" s="16" t="s">
        <v>62</v>
      </c>
      <c r="T160" s="16"/>
      <c r="U160" s="16"/>
      <c r="V160" s="16"/>
      <c r="W160" s="16">
        <f>ROUND(IF(D160=Table!$C$3,Y160*Table!$C$4/8,Y160*Table!$D$4/8),3)</f>
        <v>26</v>
      </c>
      <c r="X160" s="191">
        <f t="shared" si="33"/>
        <v>26</v>
      </c>
      <c r="Y160" s="259">
        <v>1.6</v>
      </c>
      <c r="Z160" s="191"/>
      <c r="AA160" s="16" t="s">
        <v>21</v>
      </c>
      <c r="AB160" s="81">
        <v>44071</v>
      </c>
      <c r="AC160" s="81">
        <v>44063</v>
      </c>
      <c r="AD160" s="81">
        <v>44074</v>
      </c>
      <c r="AE160" s="81">
        <v>44067</v>
      </c>
      <c r="AF160" s="81">
        <v>44067</v>
      </c>
      <c r="AG160" s="81" t="s">
        <v>155</v>
      </c>
      <c r="AH160" s="141">
        <v>0.88900000000000001</v>
      </c>
      <c r="AI160" s="141">
        <v>0.88900000000000001</v>
      </c>
      <c r="AJ160" s="141">
        <v>0.5</v>
      </c>
      <c r="AK160" s="87"/>
      <c r="AL160" s="14" t="s">
        <v>1315</v>
      </c>
      <c r="AM160" s="15"/>
      <c r="AN160" s="15"/>
    </row>
    <row r="161" spans="2:40" hidden="1">
      <c r="B161" s="88">
        <f t="shared" si="30"/>
        <v>102</v>
      </c>
      <c r="C161" s="16">
        <v>20200819</v>
      </c>
      <c r="D161" s="16" t="s">
        <v>2</v>
      </c>
      <c r="E161" s="85" t="s">
        <v>877</v>
      </c>
      <c r="F161" s="80" t="s">
        <v>885</v>
      </c>
      <c r="G161" s="47"/>
      <c r="H161" s="18" t="s">
        <v>925</v>
      </c>
      <c r="I161" s="164" t="s">
        <v>698</v>
      </c>
      <c r="J161" s="16" t="s">
        <v>1043</v>
      </c>
      <c r="K161" s="47"/>
      <c r="L161" s="80"/>
      <c r="M161" s="47"/>
      <c r="N161" s="16" t="s">
        <v>891</v>
      </c>
      <c r="O161" s="80" t="s">
        <v>170</v>
      </c>
      <c r="P161" s="80" t="s">
        <v>868</v>
      </c>
      <c r="Q161" s="18"/>
      <c r="R161" s="16" t="s">
        <v>198</v>
      </c>
      <c r="S161" s="16" t="s">
        <v>62</v>
      </c>
      <c r="T161" s="16"/>
      <c r="U161" s="16"/>
      <c r="V161" s="16"/>
      <c r="W161" s="16">
        <f>ROUND(IF(D161=Table!$C$3,Y161*Table!$C$4/8,Y161*Table!$D$4/8),3)</f>
        <v>26</v>
      </c>
      <c r="X161" s="191">
        <f t="shared" si="33"/>
        <v>26</v>
      </c>
      <c r="Y161" s="259">
        <v>1.6</v>
      </c>
      <c r="Z161" s="191"/>
      <c r="AA161" s="16" t="s">
        <v>21</v>
      </c>
      <c r="AB161" s="81">
        <v>44071</v>
      </c>
      <c r="AC161" s="81">
        <v>44063</v>
      </c>
      <c r="AD161" s="81">
        <v>44074</v>
      </c>
      <c r="AE161" s="81">
        <v>44067</v>
      </c>
      <c r="AF161" s="81">
        <v>44067</v>
      </c>
      <c r="AG161" s="81" t="s">
        <v>155</v>
      </c>
      <c r="AH161" s="141">
        <v>1</v>
      </c>
      <c r="AI161" s="141">
        <v>1</v>
      </c>
      <c r="AJ161" s="141">
        <v>0.5</v>
      </c>
      <c r="AK161" s="87"/>
      <c r="AL161" s="14"/>
      <c r="AM161" s="15"/>
      <c r="AN161" s="15"/>
    </row>
    <row r="162" spans="2:40" hidden="1">
      <c r="B162" s="88">
        <f t="shared" ref="B162:B193" si="34">B161+1</f>
        <v>103</v>
      </c>
      <c r="C162" s="16">
        <v>20200819</v>
      </c>
      <c r="D162" s="16" t="s">
        <v>2</v>
      </c>
      <c r="E162" s="85" t="s">
        <v>877</v>
      </c>
      <c r="F162" s="80" t="s">
        <v>885</v>
      </c>
      <c r="G162" s="47"/>
      <c r="H162" s="16" t="s">
        <v>926</v>
      </c>
      <c r="I162" s="164" t="s">
        <v>699</v>
      </c>
      <c r="J162" s="16" t="s">
        <v>1043</v>
      </c>
      <c r="K162" s="47"/>
      <c r="L162" s="80"/>
      <c r="M162" s="47"/>
      <c r="N162" s="16" t="s">
        <v>891</v>
      </c>
      <c r="O162" s="80" t="s">
        <v>170</v>
      </c>
      <c r="P162" s="80" t="s">
        <v>868</v>
      </c>
      <c r="Q162" s="18"/>
      <c r="R162" s="16" t="s">
        <v>198</v>
      </c>
      <c r="S162" s="16" t="s">
        <v>62</v>
      </c>
      <c r="T162" s="16"/>
      <c r="U162" s="16"/>
      <c r="V162" s="16"/>
      <c r="W162" s="16">
        <f>ROUND(IF(D162=Table!$C$3,Y162*Table!$C$4/8,Y162*Table!$D$4/8),3)</f>
        <v>26</v>
      </c>
      <c r="X162" s="191">
        <f t="shared" si="33"/>
        <v>26</v>
      </c>
      <c r="Y162" s="259">
        <v>1.6</v>
      </c>
      <c r="Z162" s="191"/>
      <c r="AA162" s="16" t="s">
        <v>21</v>
      </c>
      <c r="AB162" s="81">
        <v>44071</v>
      </c>
      <c r="AC162" s="81">
        <v>44063</v>
      </c>
      <c r="AD162" s="81">
        <v>44074</v>
      </c>
      <c r="AE162" s="81">
        <v>44067</v>
      </c>
      <c r="AF162" s="81">
        <v>44067</v>
      </c>
      <c r="AG162" s="81" t="s">
        <v>155</v>
      </c>
      <c r="AH162" s="141">
        <v>1</v>
      </c>
      <c r="AI162" s="141">
        <v>1</v>
      </c>
      <c r="AJ162" s="141">
        <v>0.33300000000000002</v>
      </c>
      <c r="AK162" s="87"/>
      <c r="AL162" s="84"/>
      <c r="AM162" s="15"/>
      <c r="AN162" s="15"/>
    </row>
    <row r="163" spans="2:40" hidden="1">
      <c r="B163" s="88">
        <f t="shared" si="34"/>
        <v>104</v>
      </c>
      <c r="C163" s="16">
        <v>20200819</v>
      </c>
      <c r="D163" s="16" t="s">
        <v>2</v>
      </c>
      <c r="E163" s="85" t="s">
        <v>877</v>
      </c>
      <c r="F163" s="80" t="s">
        <v>885</v>
      </c>
      <c r="G163" s="47"/>
      <c r="H163" s="16" t="s">
        <v>927</v>
      </c>
      <c r="I163" s="164" t="s">
        <v>700</v>
      </c>
      <c r="J163" s="16" t="s">
        <v>1043</v>
      </c>
      <c r="K163" s="47"/>
      <c r="L163" s="80"/>
      <c r="M163" s="47"/>
      <c r="N163" s="16" t="s">
        <v>891</v>
      </c>
      <c r="O163" s="80" t="s">
        <v>170</v>
      </c>
      <c r="P163" s="80" t="s">
        <v>868</v>
      </c>
      <c r="Q163" s="18"/>
      <c r="R163" s="16" t="s">
        <v>198</v>
      </c>
      <c r="S163" s="16" t="s">
        <v>62</v>
      </c>
      <c r="T163" s="16"/>
      <c r="U163" s="16"/>
      <c r="V163" s="16"/>
      <c r="W163" s="16">
        <f>ROUND(IF(D163=Table!$C$3,Y163*Table!$C$4/8,Y163*Table!$D$4/8),3)</f>
        <v>26</v>
      </c>
      <c r="X163" s="191">
        <f t="shared" si="33"/>
        <v>26</v>
      </c>
      <c r="Y163" s="259">
        <v>1.6</v>
      </c>
      <c r="Z163" s="191"/>
      <c r="AA163" s="16" t="s">
        <v>21</v>
      </c>
      <c r="AB163" s="81">
        <v>44071</v>
      </c>
      <c r="AC163" s="81">
        <v>44063</v>
      </c>
      <c r="AD163" s="81">
        <v>44074</v>
      </c>
      <c r="AE163" s="81">
        <v>44067</v>
      </c>
      <c r="AF163" s="81">
        <v>44067</v>
      </c>
      <c r="AG163" s="81" t="s">
        <v>155</v>
      </c>
      <c r="AH163" s="141">
        <v>1</v>
      </c>
      <c r="AI163" s="141">
        <v>1</v>
      </c>
      <c r="AJ163" s="141">
        <v>0.5</v>
      </c>
      <c r="AK163" s="87"/>
      <c r="AL163" s="84"/>
      <c r="AM163" s="15"/>
      <c r="AN163" s="15"/>
    </row>
    <row r="164" spans="2:40" hidden="1">
      <c r="B164" s="88">
        <f t="shared" si="34"/>
        <v>105</v>
      </c>
      <c r="C164" s="16">
        <v>20200819</v>
      </c>
      <c r="D164" s="16" t="s">
        <v>2</v>
      </c>
      <c r="E164" s="85" t="s">
        <v>877</v>
      </c>
      <c r="F164" s="80" t="s">
        <v>885</v>
      </c>
      <c r="G164" s="47"/>
      <c r="H164" s="16" t="s">
        <v>928</v>
      </c>
      <c r="I164" s="164" t="s">
        <v>701</v>
      </c>
      <c r="J164" s="16" t="s">
        <v>1043</v>
      </c>
      <c r="K164" s="47"/>
      <c r="L164" s="80"/>
      <c r="M164" s="47"/>
      <c r="N164" s="16" t="s">
        <v>891</v>
      </c>
      <c r="O164" s="80" t="s">
        <v>831</v>
      </c>
      <c r="P164" s="80" t="s">
        <v>868</v>
      </c>
      <c r="Q164" s="18"/>
      <c r="R164" s="16" t="s">
        <v>198</v>
      </c>
      <c r="S164" s="16" t="s">
        <v>62</v>
      </c>
      <c r="T164" s="16"/>
      <c r="U164" s="16"/>
      <c r="V164" s="16"/>
      <c r="W164" s="16">
        <f>ROUND(IF(D164=Table!$C$3,Y164*Table!$C$4/8,Y164*Table!$D$4/8),3)</f>
        <v>26</v>
      </c>
      <c r="X164" s="191">
        <f t="shared" si="33"/>
        <v>26</v>
      </c>
      <c r="Y164" s="259">
        <v>1.6</v>
      </c>
      <c r="Z164" s="191"/>
      <c r="AA164" s="16" t="s">
        <v>21</v>
      </c>
      <c r="AB164" s="81">
        <v>44071</v>
      </c>
      <c r="AC164" s="81">
        <v>44063</v>
      </c>
      <c r="AD164" s="81">
        <v>44074</v>
      </c>
      <c r="AE164" s="81">
        <v>44067</v>
      </c>
      <c r="AF164" s="81">
        <v>44067</v>
      </c>
      <c r="AG164" s="81" t="s">
        <v>155</v>
      </c>
      <c r="AH164" s="141">
        <v>1</v>
      </c>
      <c r="AI164" s="141">
        <v>1</v>
      </c>
      <c r="AJ164" s="141">
        <v>0.33300000000000002</v>
      </c>
      <c r="AK164" s="87"/>
      <c r="AL164" s="84"/>
      <c r="AM164" s="15"/>
      <c r="AN164" s="15"/>
    </row>
    <row r="165" spans="2:40" hidden="1">
      <c r="B165" s="88">
        <f t="shared" si="34"/>
        <v>106</v>
      </c>
      <c r="C165" s="16">
        <v>20200819</v>
      </c>
      <c r="D165" s="16" t="s">
        <v>2</v>
      </c>
      <c r="E165" s="85" t="s">
        <v>877</v>
      </c>
      <c r="F165" s="80" t="s">
        <v>885</v>
      </c>
      <c r="G165" s="47"/>
      <c r="H165" s="16" t="s">
        <v>929</v>
      </c>
      <c r="I165" s="164" t="s">
        <v>702</v>
      </c>
      <c r="J165" s="16" t="s">
        <v>1043</v>
      </c>
      <c r="K165" s="47"/>
      <c r="L165" s="80"/>
      <c r="M165" s="47"/>
      <c r="N165" s="16" t="s">
        <v>891</v>
      </c>
      <c r="O165" s="80" t="s">
        <v>210</v>
      </c>
      <c r="P165" s="80" t="s">
        <v>868</v>
      </c>
      <c r="Q165" s="18"/>
      <c r="R165" s="16" t="s">
        <v>198</v>
      </c>
      <c r="S165" s="16" t="s">
        <v>62</v>
      </c>
      <c r="T165" s="16"/>
      <c r="U165" s="16"/>
      <c r="V165" s="16"/>
      <c r="W165" s="16">
        <f>ROUND(IF(D165=Table!$C$3,Y165*Table!$C$4/8,Y165*Table!$D$4/8),3)</f>
        <v>26</v>
      </c>
      <c r="X165" s="191">
        <f t="shared" si="33"/>
        <v>26</v>
      </c>
      <c r="Y165" s="259">
        <v>1.6</v>
      </c>
      <c r="Z165" s="191"/>
      <c r="AA165" s="16" t="s">
        <v>21</v>
      </c>
      <c r="AB165" s="81">
        <v>44071</v>
      </c>
      <c r="AC165" s="81">
        <v>44063</v>
      </c>
      <c r="AD165" s="81">
        <v>44074</v>
      </c>
      <c r="AE165" s="81">
        <v>44068</v>
      </c>
      <c r="AF165" s="81">
        <v>44068</v>
      </c>
      <c r="AG165" s="81" t="s">
        <v>155</v>
      </c>
      <c r="AH165" s="141">
        <v>1</v>
      </c>
      <c r="AI165" s="141">
        <v>1</v>
      </c>
      <c r="AJ165" s="141">
        <v>0.33300000000000002</v>
      </c>
      <c r="AK165" s="87"/>
      <c r="AL165" s="84"/>
      <c r="AM165" s="15"/>
      <c r="AN165" s="15"/>
    </row>
    <row r="166" spans="2:40" hidden="1">
      <c r="B166" s="88">
        <f t="shared" si="34"/>
        <v>107</v>
      </c>
      <c r="C166" s="16">
        <v>20200819</v>
      </c>
      <c r="D166" s="16" t="s">
        <v>2</v>
      </c>
      <c r="E166" s="85" t="s">
        <v>877</v>
      </c>
      <c r="F166" s="80" t="s">
        <v>885</v>
      </c>
      <c r="G166" s="47"/>
      <c r="H166" s="16" t="s">
        <v>930</v>
      </c>
      <c r="I166" s="164" t="s">
        <v>703</v>
      </c>
      <c r="J166" s="16" t="s">
        <v>1043</v>
      </c>
      <c r="K166" s="47"/>
      <c r="L166" s="80"/>
      <c r="M166" s="47"/>
      <c r="N166" s="16" t="s">
        <v>891</v>
      </c>
      <c r="O166" s="80" t="s">
        <v>831</v>
      </c>
      <c r="P166" s="80" t="s">
        <v>868</v>
      </c>
      <c r="Q166" s="18"/>
      <c r="R166" s="16" t="s">
        <v>198</v>
      </c>
      <c r="S166" s="16" t="s">
        <v>62</v>
      </c>
      <c r="T166" s="16"/>
      <c r="U166" s="16"/>
      <c r="V166" s="16"/>
      <c r="W166" s="16">
        <f>ROUND(IF(D166=Table!$C$3,Y166*Table!$C$4/8,Y166*Table!$D$4/8),3)</f>
        <v>26</v>
      </c>
      <c r="X166" s="191">
        <f t="shared" si="33"/>
        <v>26</v>
      </c>
      <c r="Y166" s="259">
        <v>1.6</v>
      </c>
      <c r="Z166" s="191"/>
      <c r="AA166" s="16" t="s">
        <v>21</v>
      </c>
      <c r="AB166" s="81">
        <v>44071</v>
      </c>
      <c r="AC166" s="81">
        <v>44063</v>
      </c>
      <c r="AD166" s="81">
        <v>44074</v>
      </c>
      <c r="AE166" s="81">
        <v>44068</v>
      </c>
      <c r="AF166" s="81">
        <v>44068</v>
      </c>
      <c r="AG166" s="81" t="s">
        <v>155</v>
      </c>
      <c r="AH166" s="141">
        <v>1</v>
      </c>
      <c r="AI166" s="141">
        <v>1</v>
      </c>
      <c r="AJ166" s="141">
        <v>0.75</v>
      </c>
      <c r="AK166" s="87"/>
      <c r="AL166" s="84"/>
      <c r="AM166" s="15"/>
      <c r="AN166" s="15"/>
    </row>
    <row r="167" spans="2:40" hidden="1">
      <c r="B167" s="88">
        <f t="shared" si="34"/>
        <v>108</v>
      </c>
      <c r="C167" s="16">
        <v>20200819</v>
      </c>
      <c r="D167" s="16" t="s">
        <v>2</v>
      </c>
      <c r="E167" s="85" t="s">
        <v>877</v>
      </c>
      <c r="F167" s="80" t="s">
        <v>885</v>
      </c>
      <c r="G167" s="47"/>
      <c r="H167" s="16" t="s">
        <v>931</v>
      </c>
      <c r="I167" s="164" t="s">
        <v>704</v>
      </c>
      <c r="J167" s="16" t="s">
        <v>1043</v>
      </c>
      <c r="K167" s="47"/>
      <c r="L167" s="80"/>
      <c r="M167" s="47"/>
      <c r="N167" s="16" t="s">
        <v>891</v>
      </c>
      <c r="O167" s="80" t="s">
        <v>210</v>
      </c>
      <c r="P167" s="80" t="s">
        <v>868</v>
      </c>
      <c r="Q167" s="18"/>
      <c r="R167" s="16" t="s">
        <v>198</v>
      </c>
      <c r="S167" s="16" t="s">
        <v>62</v>
      </c>
      <c r="T167" s="16"/>
      <c r="U167" s="16"/>
      <c r="V167" s="16"/>
      <c r="W167" s="16">
        <f>ROUND(IF(D167=Table!$C$3,Y167*Table!$C$4/8,Y167*Table!$D$4/8),3)</f>
        <v>26</v>
      </c>
      <c r="X167" s="191">
        <f t="shared" si="33"/>
        <v>26</v>
      </c>
      <c r="Y167" s="259">
        <v>1.6</v>
      </c>
      <c r="Z167" s="191"/>
      <c r="AA167" s="16" t="s">
        <v>21</v>
      </c>
      <c r="AB167" s="81">
        <v>44071</v>
      </c>
      <c r="AC167" s="81">
        <v>44063</v>
      </c>
      <c r="AD167" s="81">
        <v>44074</v>
      </c>
      <c r="AE167" s="81">
        <v>44068</v>
      </c>
      <c r="AF167" s="81">
        <v>44068</v>
      </c>
      <c r="AG167" s="81" t="s">
        <v>155</v>
      </c>
      <c r="AH167" s="141">
        <v>1</v>
      </c>
      <c r="AI167" s="141">
        <v>1</v>
      </c>
      <c r="AJ167" s="141" t="s">
        <v>213</v>
      </c>
      <c r="AK167" s="87"/>
      <c r="AL167" s="84"/>
      <c r="AM167" s="15"/>
      <c r="AN167" s="15"/>
    </row>
    <row r="168" spans="2:40" hidden="1">
      <c r="B168" s="88">
        <f t="shared" si="34"/>
        <v>109</v>
      </c>
      <c r="C168" s="16">
        <v>20200819</v>
      </c>
      <c r="D168" s="16" t="s">
        <v>2</v>
      </c>
      <c r="E168" s="85" t="s">
        <v>877</v>
      </c>
      <c r="F168" s="80" t="s">
        <v>885</v>
      </c>
      <c r="G168" s="47"/>
      <c r="H168" s="16" t="s">
        <v>932</v>
      </c>
      <c r="I168" s="18" t="s">
        <v>705</v>
      </c>
      <c r="J168" s="16" t="s">
        <v>208</v>
      </c>
      <c r="K168" s="47"/>
      <c r="L168" s="80"/>
      <c r="M168" s="47"/>
      <c r="N168" s="16" t="s">
        <v>891</v>
      </c>
      <c r="O168" s="80" t="s">
        <v>833</v>
      </c>
      <c r="P168" s="80" t="s">
        <v>868</v>
      </c>
      <c r="Q168" s="18"/>
      <c r="R168" s="16" t="s">
        <v>200</v>
      </c>
      <c r="S168" s="16" t="s">
        <v>63</v>
      </c>
      <c r="T168" s="236" t="s">
        <v>66</v>
      </c>
      <c r="U168" s="16" t="s">
        <v>0</v>
      </c>
      <c r="V168" s="16"/>
      <c r="W168" s="16">
        <f>ROUND(IF(D168=Table!$C$3,Y168*Table!$C$4/8,Y168*Table!$D$4/8),3)</f>
        <v>158.6</v>
      </c>
      <c r="X168" s="191">
        <f t="shared" si="33"/>
        <v>158.6</v>
      </c>
      <c r="Y168" s="203">
        <v>9.76</v>
      </c>
      <c r="Z168" s="191">
        <f>Y168</f>
        <v>9.76</v>
      </c>
      <c r="AA168" s="16" t="s">
        <v>21</v>
      </c>
      <c r="AB168" s="81">
        <v>44071</v>
      </c>
      <c r="AC168" s="81">
        <v>44063</v>
      </c>
      <c r="AD168" s="81">
        <v>44074</v>
      </c>
      <c r="AE168" s="81">
        <v>44064</v>
      </c>
      <c r="AF168" s="81">
        <v>44064</v>
      </c>
      <c r="AG168" s="81" t="s">
        <v>155</v>
      </c>
      <c r="AH168" s="82">
        <v>0.96199999999999997</v>
      </c>
      <c r="AI168" s="82">
        <v>0.96299999999999997</v>
      </c>
      <c r="AJ168" s="82">
        <v>0.6</v>
      </c>
      <c r="AK168" s="87" t="s">
        <v>140</v>
      </c>
      <c r="AL168" s="109" t="s">
        <v>1088</v>
      </c>
      <c r="AM168" s="15"/>
      <c r="AN168" s="17"/>
    </row>
    <row r="169" spans="2:40" hidden="1">
      <c r="B169" s="88">
        <f t="shared" si="34"/>
        <v>110</v>
      </c>
      <c r="C169" s="16">
        <v>20200819</v>
      </c>
      <c r="D169" s="16" t="s">
        <v>2</v>
      </c>
      <c r="E169" s="85" t="s">
        <v>877</v>
      </c>
      <c r="F169" s="80" t="s">
        <v>886</v>
      </c>
      <c r="G169" s="47"/>
      <c r="H169" s="16" t="s">
        <v>933</v>
      </c>
      <c r="I169" s="16" t="s">
        <v>706</v>
      </c>
      <c r="J169" s="16" t="s">
        <v>1044</v>
      </c>
      <c r="K169" s="47"/>
      <c r="L169" s="80"/>
      <c r="M169" s="47"/>
      <c r="N169" s="16" t="s">
        <v>891</v>
      </c>
      <c r="O169" s="80" t="s">
        <v>834</v>
      </c>
      <c r="P169" s="80" t="s">
        <v>869</v>
      </c>
      <c r="Q169" s="18"/>
      <c r="R169" s="16" t="s">
        <v>202</v>
      </c>
      <c r="S169" s="16" t="s">
        <v>133</v>
      </c>
      <c r="T169" s="16"/>
      <c r="U169" s="16" t="s">
        <v>578</v>
      </c>
      <c r="V169" s="16"/>
      <c r="W169" s="16">
        <f>ROUND(IF(D169=Table!$C$3,Y169*Table!$C$4/8,Y169*Table!$D$4/8),3)</f>
        <v>65</v>
      </c>
      <c r="X169" s="191">
        <v>65</v>
      </c>
      <c r="Y169" s="191">
        <v>4</v>
      </c>
      <c r="Z169" s="191">
        <v>2</v>
      </c>
      <c r="AA169" s="16" t="s">
        <v>21</v>
      </c>
      <c r="AB169" s="81">
        <v>44071</v>
      </c>
      <c r="AC169" s="81">
        <v>44063</v>
      </c>
      <c r="AD169" s="81">
        <v>44074</v>
      </c>
      <c r="AE169" s="81">
        <v>44069</v>
      </c>
      <c r="AF169" s="81">
        <v>44069</v>
      </c>
      <c r="AG169" s="81" t="s">
        <v>155</v>
      </c>
      <c r="AH169" s="82">
        <v>1</v>
      </c>
      <c r="AI169" s="82">
        <v>1</v>
      </c>
      <c r="AJ169" s="82" t="s">
        <v>213</v>
      </c>
      <c r="AK169" s="87" t="s">
        <v>140</v>
      </c>
      <c r="AL169" s="150" t="s">
        <v>58</v>
      </c>
      <c r="AM169" s="118" t="s">
        <v>58</v>
      </c>
      <c r="AN169" s="118" t="s">
        <v>58</v>
      </c>
    </row>
    <row r="170" spans="2:40" hidden="1">
      <c r="B170" s="88">
        <f t="shared" si="34"/>
        <v>111</v>
      </c>
      <c r="C170" s="16">
        <v>20200819</v>
      </c>
      <c r="D170" s="16" t="s">
        <v>2</v>
      </c>
      <c r="E170" s="85" t="s">
        <v>877</v>
      </c>
      <c r="F170" s="80" t="s">
        <v>886</v>
      </c>
      <c r="G170" s="47"/>
      <c r="H170" s="16" t="s">
        <v>934</v>
      </c>
      <c r="I170" s="16" t="s">
        <v>707</v>
      </c>
      <c r="J170" s="16" t="s">
        <v>1043</v>
      </c>
      <c r="K170" s="47"/>
      <c r="L170" s="80"/>
      <c r="M170" s="47"/>
      <c r="N170" s="16" t="s">
        <v>891</v>
      </c>
      <c r="O170" s="80" t="s">
        <v>831</v>
      </c>
      <c r="P170" s="80" t="s">
        <v>868</v>
      </c>
      <c r="Q170" s="18"/>
      <c r="R170" s="16" t="s">
        <v>202</v>
      </c>
      <c r="S170" s="16" t="s">
        <v>133</v>
      </c>
      <c r="T170" s="16"/>
      <c r="U170" s="16" t="s">
        <v>578</v>
      </c>
      <c r="V170" s="16"/>
      <c r="W170" s="16">
        <f>ROUND(IF(D170=Table!$C$3,Y170*Table!$C$4/8,Y170*Table!$D$4/8),3)</f>
        <v>26</v>
      </c>
      <c r="X170" s="191">
        <v>26</v>
      </c>
      <c r="Y170" s="191">
        <v>1.6</v>
      </c>
      <c r="Z170" s="191">
        <v>1</v>
      </c>
      <c r="AA170" s="16" t="s">
        <v>21</v>
      </c>
      <c r="AB170" s="81">
        <v>44071</v>
      </c>
      <c r="AC170" s="81">
        <v>44063</v>
      </c>
      <c r="AD170" s="81">
        <v>44074</v>
      </c>
      <c r="AE170" s="81">
        <v>44067</v>
      </c>
      <c r="AF170" s="81">
        <v>44067</v>
      </c>
      <c r="AG170" s="81" t="s">
        <v>155</v>
      </c>
      <c r="AH170" s="82">
        <v>1</v>
      </c>
      <c r="AI170" s="82">
        <v>1</v>
      </c>
      <c r="AJ170" s="82" t="s">
        <v>213</v>
      </c>
      <c r="AK170" s="87" t="s">
        <v>140</v>
      </c>
      <c r="AL170" s="84" t="s">
        <v>58</v>
      </c>
      <c r="AM170" s="118" t="s">
        <v>58</v>
      </c>
      <c r="AN170" s="118" t="s">
        <v>58</v>
      </c>
    </row>
    <row r="171" spans="2:40" hidden="1">
      <c r="B171" s="88">
        <f t="shared" si="34"/>
        <v>112</v>
      </c>
      <c r="C171" s="16">
        <v>20200819</v>
      </c>
      <c r="D171" s="16" t="s">
        <v>2</v>
      </c>
      <c r="E171" s="85" t="s">
        <v>877</v>
      </c>
      <c r="F171" s="80" t="s">
        <v>886</v>
      </c>
      <c r="G171" s="47"/>
      <c r="H171" s="16" t="s">
        <v>935</v>
      </c>
      <c r="I171" s="16" t="s">
        <v>708</v>
      </c>
      <c r="J171" s="16" t="s">
        <v>1043</v>
      </c>
      <c r="K171" s="47"/>
      <c r="L171" s="80"/>
      <c r="M171" s="47"/>
      <c r="N171" s="16" t="s">
        <v>891</v>
      </c>
      <c r="O171" s="80" t="s">
        <v>209</v>
      </c>
      <c r="P171" s="80" t="s">
        <v>865</v>
      </c>
      <c r="Q171" s="18"/>
      <c r="R171" s="16" t="s">
        <v>202</v>
      </c>
      <c r="S171" s="16" t="s">
        <v>133</v>
      </c>
      <c r="T171" s="16"/>
      <c r="U171" s="16" t="s">
        <v>578</v>
      </c>
      <c r="V171" s="16"/>
      <c r="W171" s="16">
        <f>ROUND(IF(D171=Table!$C$3,Y171*Table!$C$4/8,Y171*Table!$D$4/8),3)</f>
        <v>59.8</v>
      </c>
      <c r="X171" s="191">
        <v>59.8</v>
      </c>
      <c r="Y171" s="191">
        <v>3.68</v>
      </c>
      <c r="Z171" s="191">
        <v>2.5</v>
      </c>
      <c r="AA171" s="16" t="s">
        <v>21</v>
      </c>
      <c r="AB171" s="81">
        <v>44071</v>
      </c>
      <c r="AC171" s="81">
        <v>44063</v>
      </c>
      <c r="AD171" s="81">
        <v>44074</v>
      </c>
      <c r="AE171" s="81">
        <v>44063</v>
      </c>
      <c r="AF171" s="81">
        <v>44063</v>
      </c>
      <c r="AG171" s="81" t="s">
        <v>155</v>
      </c>
      <c r="AH171" s="82">
        <v>1</v>
      </c>
      <c r="AI171" s="82">
        <v>1</v>
      </c>
      <c r="AJ171" s="82">
        <v>0.61499999999999999</v>
      </c>
      <c r="AK171" s="87" t="s">
        <v>140</v>
      </c>
      <c r="AL171" s="84" t="s">
        <v>58</v>
      </c>
      <c r="AM171" s="118" t="s">
        <v>58</v>
      </c>
      <c r="AN171" s="118" t="s">
        <v>58</v>
      </c>
    </row>
    <row r="172" spans="2:40" hidden="1">
      <c r="B172" s="88">
        <f t="shared" si="34"/>
        <v>113</v>
      </c>
      <c r="C172" s="16">
        <v>20200819</v>
      </c>
      <c r="D172" s="16" t="s">
        <v>2</v>
      </c>
      <c r="E172" s="85" t="s">
        <v>877</v>
      </c>
      <c r="F172" s="80" t="s">
        <v>886</v>
      </c>
      <c r="G172" s="47"/>
      <c r="H172" s="16" t="s">
        <v>936</v>
      </c>
      <c r="I172" s="16" t="s">
        <v>709</v>
      </c>
      <c r="J172" s="16" t="s">
        <v>1043</v>
      </c>
      <c r="K172" s="47"/>
      <c r="L172" s="80"/>
      <c r="M172" s="47"/>
      <c r="N172" s="16" t="s">
        <v>891</v>
      </c>
      <c r="O172" s="80" t="s">
        <v>248</v>
      </c>
      <c r="P172" s="80" t="s">
        <v>865</v>
      </c>
      <c r="Q172" s="18"/>
      <c r="R172" s="16" t="s">
        <v>202</v>
      </c>
      <c r="S172" s="16" t="s">
        <v>133</v>
      </c>
      <c r="T172" s="16"/>
      <c r="U172" s="16" t="s">
        <v>578</v>
      </c>
      <c r="V172" s="16"/>
      <c r="W172" s="16">
        <f>ROUND(IF(D172=Table!$C$3,Y172*Table!$C$4/8,Y172*Table!$D$4/8),3)</f>
        <v>26</v>
      </c>
      <c r="X172" s="191">
        <v>26</v>
      </c>
      <c r="Y172" s="191">
        <v>1.6</v>
      </c>
      <c r="Z172" s="191">
        <v>1</v>
      </c>
      <c r="AA172" s="16" t="s">
        <v>21</v>
      </c>
      <c r="AB172" s="81">
        <v>44071</v>
      </c>
      <c r="AC172" s="81">
        <v>44063</v>
      </c>
      <c r="AD172" s="81">
        <v>44074</v>
      </c>
      <c r="AE172" s="81">
        <v>44063</v>
      </c>
      <c r="AF172" s="81">
        <v>44063</v>
      </c>
      <c r="AG172" s="81" t="s">
        <v>155</v>
      </c>
      <c r="AH172" s="82">
        <v>1</v>
      </c>
      <c r="AI172" s="82">
        <v>1</v>
      </c>
      <c r="AJ172" s="82">
        <v>0.66700000000000004</v>
      </c>
      <c r="AK172" s="87" t="s">
        <v>140</v>
      </c>
      <c r="AL172" s="84" t="s">
        <v>58</v>
      </c>
      <c r="AM172" s="118" t="s">
        <v>58</v>
      </c>
      <c r="AN172" s="118" t="s">
        <v>58</v>
      </c>
    </row>
    <row r="173" spans="2:40" hidden="1">
      <c r="B173" s="88">
        <f t="shared" si="34"/>
        <v>114</v>
      </c>
      <c r="C173" s="16">
        <v>20200819</v>
      </c>
      <c r="D173" s="16" t="s">
        <v>2</v>
      </c>
      <c r="E173" s="85" t="s">
        <v>877</v>
      </c>
      <c r="F173" s="80" t="s">
        <v>886</v>
      </c>
      <c r="G173" s="47"/>
      <c r="H173" s="16" t="s">
        <v>937</v>
      </c>
      <c r="I173" s="16" t="s">
        <v>710</v>
      </c>
      <c r="J173" s="16" t="s">
        <v>1043</v>
      </c>
      <c r="K173" s="47"/>
      <c r="L173" s="80"/>
      <c r="M173" s="47"/>
      <c r="N173" s="16" t="s">
        <v>891</v>
      </c>
      <c r="O173" s="80" t="s">
        <v>210</v>
      </c>
      <c r="P173" s="80" t="s">
        <v>870</v>
      </c>
      <c r="Q173" s="18"/>
      <c r="R173" s="16" t="s">
        <v>202</v>
      </c>
      <c r="S173" s="16" t="s">
        <v>133</v>
      </c>
      <c r="T173" s="16"/>
      <c r="U173" s="16" t="s">
        <v>578</v>
      </c>
      <c r="V173" s="16"/>
      <c r="W173" s="16">
        <f>ROUND(IF(D173=Table!$C$3,Y173*Table!$C$4/8,Y173*Table!$D$4/8),3)</f>
        <v>26</v>
      </c>
      <c r="X173" s="191">
        <v>26</v>
      </c>
      <c r="Y173" s="191">
        <v>1.6</v>
      </c>
      <c r="Z173" s="191">
        <v>1</v>
      </c>
      <c r="AA173" s="16" t="s">
        <v>21</v>
      </c>
      <c r="AB173" s="81">
        <v>44071</v>
      </c>
      <c r="AC173" s="81">
        <v>44063</v>
      </c>
      <c r="AD173" s="81">
        <v>44074</v>
      </c>
      <c r="AE173" s="81">
        <v>44067</v>
      </c>
      <c r="AF173" s="81">
        <v>44067</v>
      </c>
      <c r="AG173" s="81" t="s">
        <v>155</v>
      </c>
      <c r="AH173" s="82">
        <v>1</v>
      </c>
      <c r="AI173" s="82">
        <v>1</v>
      </c>
      <c r="AJ173" s="82" t="s">
        <v>213</v>
      </c>
      <c r="AK173" s="87" t="s">
        <v>140</v>
      </c>
      <c r="AL173" s="84" t="s">
        <v>58</v>
      </c>
      <c r="AM173" s="118" t="s">
        <v>58</v>
      </c>
      <c r="AN173" s="118" t="s">
        <v>58</v>
      </c>
    </row>
    <row r="174" spans="2:40" hidden="1">
      <c r="B174" s="88">
        <f t="shared" si="34"/>
        <v>115</v>
      </c>
      <c r="C174" s="16">
        <v>20200819</v>
      </c>
      <c r="D174" s="16" t="s">
        <v>2</v>
      </c>
      <c r="E174" s="85" t="s">
        <v>877</v>
      </c>
      <c r="F174" s="80" t="s">
        <v>886</v>
      </c>
      <c r="G174" s="47"/>
      <c r="H174" s="16" t="s">
        <v>938</v>
      </c>
      <c r="I174" s="164" t="s">
        <v>711</v>
      </c>
      <c r="J174" s="16" t="s">
        <v>208</v>
      </c>
      <c r="K174" s="47"/>
      <c r="L174" s="80"/>
      <c r="M174" s="47"/>
      <c r="N174" s="16" t="s">
        <v>891</v>
      </c>
      <c r="O174" s="80" t="s">
        <v>819</v>
      </c>
      <c r="P174" s="80" t="s">
        <v>865</v>
      </c>
      <c r="Q174" s="18"/>
      <c r="R174" s="16" t="s">
        <v>198</v>
      </c>
      <c r="S174" s="16" t="s">
        <v>62</v>
      </c>
      <c r="T174" s="16"/>
      <c r="U174" s="16"/>
      <c r="V174" s="16"/>
      <c r="W174" s="16">
        <f>ROUND(IF(D174=Table!$C$3,Y174*Table!$C$4/8,Y174*Table!$D$4/8),3)</f>
        <v>65</v>
      </c>
      <c r="X174" s="191">
        <f t="shared" ref="X174:X186" si="35">W174</f>
        <v>65</v>
      </c>
      <c r="Y174" s="191">
        <v>4</v>
      </c>
      <c r="Z174" s="191"/>
      <c r="AA174" s="16" t="s">
        <v>21</v>
      </c>
      <c r="AB174" s="81">
        <v>44071</v>
      </c>
      <c r="AC174" s="81">
        <v>44063</v>
      </c>
      <c r="AD174" s="81">
        <v>44074</v>
      </c>
      <c r="AE174" s="81">
        <v>44068</v>
      </c>
      <c r="AF174" s="81">
        <v>44068</v>
      </c>
      <c r="AG174" s="81" t="s">
        <v>155</v>
      </c>
      <c r="AH174" s="141">
        <v>0.93200000000000005</v>
      </c>
      <c r="AI174" s="141">
        <v>0.93200000000000005</v>
      </c>
      <c r="AJ174" s="141">
        <v>1</v>
      </c>
      <c r="AK174" s="87"/>
      <c r="AL174" s="122" t="s">
        <v>1316</v>
      </c>
      <c r="AM174" s="17"/>
      <c r="AN174" s="15"/>
    </row>
    <row r="175" spans="2:40" hidden="1">
      <c r="B175" s="88">
        <f t="shared" si="34"/>
        <v>116</v>
      </c>
      <c r="C175" s="16">
        <v>20200819</v>
      </c>
      <c r="D175" s="16" t="s">
        <v>2</v>
      </c>
      <c r="E175" s="85" t="s">
        <v>877</v>
      </c>
      <c r="F175" s="80" t="s">
        <v>886</v>
      </c>
      <c r="G175" s="47"/>
      <c r="H175" s="16" t="s">
        <v>939</v>
      </c>
      <c r="I175" s="164" t="s">
        <v>712</v>
      </c>
      <c r="J175" s="16" t="s">
        <v>1043</v>
      </c>
      <c r="K175" s="47"/>
      <c r="L175" s="80"/>
      <c r="M175" s="47"/>
      <c r="N175" s="16" t="s">
        <v>891</v>
      </c>
      <c r="O175" s="80" t="s">
        <v>831</v>
      </c>
      <c r="P175" s="80" t="s">
        <v>865</v>
      </c>
      <c r="Q175" s="18"/>
      <c r="R175" s="16" t="s">
        <v>198</v>
      </c>
      <c r="S175" s="16" t="s">
        <v>62</v>
      </c>
      <c r="T175" s="16"/>
      <c r="U175" s="16"/>
      <c r="V175" s="16"/>
      <c r="W175" s="16">
        <f>ROUND(IF(D175=Table!$C$3,Y175*Table!$C$4/8,Y175*Table!$D$4/8),3)</f>
        <v>48.1</v>
      </c>
      <c r="X175" s="191">
        <f t="shared" si="35"/>
        <v>48.1</v>
      </c>
      <c r="Y175" s="192">
        <v>2.96</v>
      </c>
      <c r="Z175" s="191"/>
      <c r="AA175" s="16" t="s">
        <v>21</v>
      </c>
      <c r="AB175" s="81">
        <v>44071</v>
      </c>
      <c r="AC175" s="81">
        <v>44063</v>
      </c>
      <c r="AD175" s="81">
        <v>44074</v>
      </c>
      <c r="AE175" s="81">
        <v>44064</v>
      </c>
      <c r="AF175" s="81">
        <v>44064</v>
      </c>
      <c r="AG175" s="81" t="s">
        <v>155</v>
      </c>
      <c r="AH175" s="141">
        <v>0.86699999999999999</v>
      </c>
      <c r="AI175" s="141">
        <v>0.86699999999999999</v>
      </c>
      <c r="AJ175" s="141">
        <v>0.33300000000000002</v>
      </c>
      <c r="AK175" s="87"/>
      <c r="AL175" s="14" t="s">
        <v>1317</v>
      </c>
      <c r="AM175" s="150"/>
      <c r="AN175" s="150"/>
    </row>
    <row r="176" spans="2:40" hidden="1">
      <c r="B176" s="88">
        <f t="shared" si="34"/>
        <v>117</v>
      </c>
      <c r="C176" s="16">
        <v>20200819</v>
      </c>
      <c r="D176" s="16" t="s">
        <v>2</v>
      </c>
      <c r="E176" s="85" t="s">
        <v>877</v>
      </c>
      <c r="F176" s="80" t="s">
        <v>886</v>
      </c>
      <c r="G176" s="47"/>
      <c r="H176" s="16" t="s">
        <v>940</v>
      </c>
      <c r="I176" s="164" t="s">
        <v>713</v>
      </c>
      <c r="J176" s="16" t="s">
        <v>1043</v>
      </c>
      <c r="K176" s="47"/>
      <c r="L176" s="80"/>
      <c r="M176" s="47"/>
      <c r="N176" s="16" t="s">
        <v>891</v>
      </c>
      <c r="O176" s="80" t="s">
        <v>210</v>
      </c>
      <c r="P176" s="80" t="s">
        <v>870</v>
      </c>
      <c r="Q176" s="18"/>
      <c r="R176" s="16" t="s">
        <v>198</v>
      </c>
      <c r="S176" s="16" t="s">
        <v>62</v>
      </c>
      <c r="T176" s="16"/>
      <c r="U176" s="16"/>
      <c r="V176" s="16"/>
      <c r="W176" s="16">
        <f>ROUND(IF(D176=Table!$C$3,Y176*Table!$C$4/8,Y176*Table!$D$4/8),3)</f>
        <v>37.700000000000003</v>
      </c>
      <c r="X176" s="191">
        <f t="shared" si="35"/>
        <v>37.700000000000003</v>
      </c>
      <c r="Y176" s="192">
        <v>2.3199999999999998</v>
      </c>
      <c r="Z176" s="191"/>
      <c r="AA176" s="16" t="s">
        <v>21</v>
      </c>
      <c r="AB176" s="81">
        <v>44071</v>
      </c>
      <c r="AC176" s="81">
        <v>44063</v>
      </c>
      <c r="AD176" s="81">
        <v>44074</v>
      </c>
      <c r="AE176" s="81">
        <v>44064</v>
      </c>
      <c r="AF176" s="81">
        <v>44064</v>
      </c>
      <c r="AG176" s="81" t="s">
        <v>155</v>
      </c>
      <c r="AH176" s="141">
        <v>1</v>
      </c>
      <c r="AI176" s="141">
        <v>1</v>
      </c>
      <c r="AJ176" s="141" t="s">
        <v>213</v>
      </c>
      <c r="AK176" s="87"/>
      <c r="AL176" s="14"/>
      <c r="AM176" s="17"/>
      <c r="AN176" s="17"/>
    </row>
    <row r="177" spans="2:40" hidden="1">
      <c r="B177" s="88">
        <f t="shared" si="34"/>
        <v>118</v>
      </c>
      <c r="C177" s="16">
        <v>20200819</v>
      </c>
      <c r="D177" s="16" t="s">
        <v>2</v>
      </c>
      <c r="E177" s="85" t="s">
        <v>877</v>
      </c>
      <c r="F177" s="80" t="s">
        <v>886</v>
      </c>
      <c r="G177" s="47"/>
      <c r="H177" s="16" t="s">
        <v>941</v>
      </c>
      <c r="I177" s="164" t="s">
        <v>714</v>
      </c>
      <c r="J177" s="16" t="s">
        <v>1043</v>
      </c>
      <c r="K177" s="47"/>
      <c r="L177" s="80"/>
      <c r="M177" s="47"/>
      <c r="N177" s="16" t="s">
        <v>891</v>
      </c>
      <c r="O177" s="80" t="s">
        <v>170</v>
      </c>
      <c r="P177" s="80" t="s">
        <v>870</v>
      </c>
      <c r="Q177" s="18"/>
      <c r="R177" s="16" t="s">
        <v>198</v>
      </c>
      <c r="S177" s="16" t="s">
        <v>62</v>
      </c>
      <c r="T177" s="16"/>
      <c r="U177" s="16"/>
      <c r="V177" s="16"/>
      <c r="W177" s="16">
        <f>ROUND(IF(D177=Table!$C$3,Y177*Table!$C$4/8,Y177*Table!$D$4/8),3)</f>
        <v>26</v>
      </c>
      <c r="X177" s="191">
        <f t="shared" si="35"/>
        <v>26</v>
      </c>
      <c r="Y177" s="259">
        <v>1.6</v>
      </c>
      <c r="Z177" s="191"/>
      <c r="AA177" s="16" t="s">
        <v>21</v>
      </c>
      <c r="AB177" s="81">
        <v>44071</v>
      </c>
      <c r="AC177" s="81">
        <v>44063</v>
      </c>
      <c r="AD177" s="81">
        <v>44074</v>
      </c>
      <c r="AE177" s="81">
        <v>44068</v>
      </c>
      <c r="AF177" s="81">
        <v>44068</v>
      </c>
      <c r="AG177" s="81" t="s">
        <v>155</v>
      </c>
      <c r="AH177" s="141">
        <v>1</v>
      </c>
      <c r="AI177" s="141">
        <v>1</v>
      </c>
      <c r="AJ177" s="141" t="s">
        <v>213</v>
      </c>
      <c r="AK177" s="171"/>
      <c r="AL177" s="84"/>
      <c r="AM177" s="150"/>
      <c r="AN177" s="193"/>
    </row>
    <row r="178" spans="2:40" hidden="1">
      <c r="B178" s="88">
        <f t="shared" si="34"/>
        <v>119</v>
      </c>
      <c r="C178" s="16">
        <v>20200819</v>
      </c>
      <c r="D178" s="16" t="s">
        <v>2</v>
      </c>
      <c r="E178" s="85" t="s">
        <v>877</v>
      </c>
      <c r="F178" s="80" t="s">
        <v>886</v>
      </c>
      <c r="G178" s="47"/>
      <c r="H178" s="16" t="s">
        <v>942</v>
      </c>
      <c r="I178" s="164" t="s">
        <v>715</v>
      </c>
      <c r="J178" s="16" t="s">
        <v>1043</v>
      </c>
      <c r="K178" s="47"/>
      <c r="L178" s="80"/>
      <c r="M178" s="47"/>
      <c r="N178" s="16" t="s">
        <v>891</v>
      </c>
      <c r="O178" s="80" t="s">
        <v>831</v>
      </c>
      <c r="P178" s="80" t="s">
        <v>866</v>
      </c>
      <c r="Q178" s="18"/>
      <c r="R178" s="16" t="s">
        <v>198</v>
      </c>
      <c r="S178" s="16" t="s">
        <v>62</v>
      </c>
      <c r="T178" s="16"/>
      <c r="U178" s="16"/>
      <c r="V178" s="16"/>
      <c r="W178" s="16">
        <f>ROUND(IF(D178=Table!$C$3,Y178*Table!$C$4/8,Y178*Table!$D$4/8),3)</f>
        <v>26</v>
      </c>
      <c r="X178" s="191">
        <f t="shared" si="35"/>
        <v>26</v>
      </c>
      <c r="Y178" s="259">
        <v>1.6</v>
      </c>
      <c r="Z178" s="191"/>
      <c r="AA178" s="16" t="s">
        <v>21</v>
      </c>
      <c r="AB178" s="81">
        <v>44071</v>
      </c>
      <c r="AC178" s="81">
        <v>44063</v>
      </c>
      <c r="AD178" s="81">
        <v>44074</v>
      </c>
      <c r="AE178" s="81">
        <v>44068</v>
      </c>
      <c r="AF178" s="81">
        <v>44068</v>
      </c>
      <c r="AG178" s="81" t="s">
        <v>155</v>
      </c>
      <c r="AH178" s="141">
        <v>1</v>
      </c>
      <c r="AI178" s="141">
        <v>1</v>
      </c>
      <c r="AJ178" s="141">
        <v>0.5</v>
      </c>
      <c r="AK178" s="168"/>
      <c r="AL178" s="84"/>
      <c r="AM178" s="150"/>
      <c r="AN178" s="150"/>
    </row>
    <row r="179" spans="2:40" hidden="1">
      <c r="B179" s="88">
        <f t="shared" si="34"/>
        <v>120</v>
      </c>
      <c r="C179" s="16">
        <v>20200819</v>
      </c>
      <c r="D179" s="16" t="s">
        <v>2</v>
      </c>
      <c r="E179" s="85" t="s">
        <v>877</v>
      </c>
      <c r="F179" s="80" t="s">
        <v>886</v>
      </c>
      <c r="G179" s="47"/>
      <c r="H179" s="16" t="s">
        <v>943</v>
      </c>
      <c r="I179" s="164" t="s">
        <v>716</v>
      </c>
      <c r="J179" s="16" t="s">
        <v>1043</v>
      </c>
      <c r="K179" s="47"/>
      <c r="L179" s="80"/>
      <c r="M179" s="47"/>
      <c r="N179" s="16" t="s">
        <v>891</v>
      </c>
      <c r="O179" s="80" t="s">
        <v>210</v>
      </c>
      <c r="P179" s="80" t="s">
        <v>870</v>
      </c>
      <c r="Q179" s="18"/>
      <c r="R179" s="16" t="s">
        <v>198</v>
      </c>
      <c r="S179" s="16" t="s">
        <v>62</v>
      </c>
      <c r="T179" s="16"/>
      <c r="U179" s="16"/>
      <c r="V179" s="16"/>
      <c r="W179" s="16">
        <f>ROUND(IF(D179=Table!$C$3,Y179*Table!$C$4/8,Y179*Table!$D$4/8),3)</f>
        <v>26</v>
      </c>
      <c r="X179" s="191">
        <f t="shared" si="35"/>
        <v>26</v>
      </c>
      <c r="Y179" s="259">
        <v>1.6</v>
      </c>
      <c r="Z179" s="191"/>
      <c r="AA179" s="16" t="s">
        <v>21</v>
      </c>
      <c r="AB179" s="81">
        <v>44071</v>
      </c>
      <c r="AC179" s="81">
        <v>44063</v>
      </c>
      <c r="AD179" s="81">
        <v>44074</v>
      </c>
      <c r="AE179" s="81">
        <v>44068</v>
      </c>
      <c r="AF179" s="81">
        <v>44068</v>
      </c>
      <c r="AG179" s="81" t="s">
        <v>155</v>
      </c>
      <c r="AH179" s="141">
        <v>0.88200000000000001</v>
      </c>
      <c r="AI179" s="141">
        <v>0.88200000000000001</v>
      </c>
      <c r="AJ179" s="141" t="s">
        <v>213</v>
      </c>
      <c r="AK179" s="87"/>
      <c r="AL179" s="84" t="s">
        <v>1318</v>
      </c>
      <c r="AM179" s="15"/>
      <c r="AN179" s="15"/>
    </row>
    <row r="180" spans="2:40" hidden="1">
      <c r="B180" s="88">
        <f t="shared" si="34"/>
        <v>121</v>
      </c>
      <c r="C180" s="16">
        <v>20200819</v>
      </c>
      <c r="D180" s="16" t="s">
        <v>2</v>
      </c>
      <c r="E180" s="85" t="s">
        <v>877</v>
      </c>
      <c r="F180" s="80" t="s">
        <v>886</v>
      </c>
      <c r="G180" s="47"/>
      <c r="H180" s="16" t="s">
        <v>944</v>
      </c>
      <c r="I180" s="164" t="s">
        <v>717</v>
      </c>
      <c r="J180" s="16" t="s">
        <v>1043</v>
      </c>
      <c r="K180" s="47"/>
      <c r="L180" s="80"/>
      <c r="M180" s="47"/>
      <c r="N180" s="16" t="s">
        <v>891</v>
      </c>
      <c r="O180" s="80" t="s">
        <v>831</v>
      </c>
      <c r="P180" s="80" t="s">
        <v>870</v>
      </c>
      <c r="Q180" s="18"/>
      <c r="R180" s="16" t="s">
        <v>198</v>
      </c>
      <c r="S180" s="16" t="s">
        <v>62</v>
      </c>
      <c r="T180" s="16"/>
      <c r="U180" s="16"/>
      <c r="V180" s="16"/>
      <c r="W180" s="16">
        <f>ROUND(IF(D180=Table!$C$3,Y180*Table!$C$4/8,Y180*Table!$D$4/8),3)</f>
        <v>26</v>
      </c>
      <c r="X180" s="191">
        <f t="shared" si="35"/>
        <v>26</v>
      </c>
      <c r="Y180" s="259">
        <v>1.6</v>
      </c>
      <c r="Z180" s="191"/>
      <c r="AA180" s="16" t="s">
        <v>21</v>
      </c>
      <c r="AB180" s="81">
        <v>44071</v>
      </c>
      <c r="AC180" s="81">
        <v>44063</v>
      </c>
      <c r="AD180" s="81">
        <v>44074</v>
      </c>
      <c r="AE180" s="81">
        <v>44068</v>
      </c>
      <c r="AF180" s="81">
        <v>44068</v>
      </c>
      <c r="AG180" s="81" t="s">
        <v>155</v>
      </c>
      <c r="AH180" s="141">
        <v>1</v>
      </c>
      <c r="AI180" s="141">
        <v>1</v>
      </c>
      <c r="AJ180" s="141">
        <v>0.5</v>
      </c>
      <c r="AK180" s="87"/>
      <c r="AL180" s="14"/>
      <c r="AM180" s="17"/>
      <c r="AN180" s="17"/>
    </row>
    <row r="181" spans="2:40" hidden="1">
      <c r="B181" s="88">
        <f t="shared" si="34"/>
        <v>122</v>
      </c>
      <c r="C181" s="16">
        <v>20200819</v>
      </c>
      <c r="D181" s="16" t="s">
        <v>2</v>
      </c>
      <c r="E181" s="85" t="s">
        <v>877</v>
      </c>
      <c r="F181" s="80" t="s">
        <v>886</v>
      </c>
      <c r="G181" s="47"/>
      <c r="H181" s="16" t="s">
        <v>945</v>
      </c>
      <c r="I181" s="164" t="s">
        <v>718</v>
      </c>
      <c r="J181" s="16" t="s">
        <v>1043</v>
      </c>
      <c r="K181" s="47"/>
      <c r="L181" s="80"/>
      <c r="M181" s="47"/>
      <c r="N181" s="16" t="s">
        <v>891</v>
      </c>
      <c r="O181" s="80" t="s">
        <v>835</v>
      </c>
      <c r="P181" s="80" t="s">
        <v>865</v>
      </c>
      <c r="Q181" s="18"/>
      <c r="R181" s="16" t="s">
        <v>198</v>
      </c>
      <c r="S181" s="16" t="s">
        <v>62</v>
      </c>
      <c r="T181" s="16"/>
      <c r="U181" s="16"/>
      <c r="V181" s="16"/>
      <c r="W181" s="16">
        <f>ROUND(IF(D181=Table!$C$3,Y181*Table!$C$4/8,Y181*Table!$D$4/8),3)</f>
        <v>53.3</v>
      </c>
      <c r="X181" s="191">
        <f t="shared" si="35"/>
        <v>53.3</v>
      </c>
      <c r="Y181" s="191">
        <v>3.28</v>
      </c>
      <c r="Z181" s="191"/>
      <c r="AA181" s="16" t="s">
        <v>21</v>
      </c>
      <c r="AB181" s="81">
        <v>44071</v>
      </c>
      <c r="AC181" s="81">
        <v>44063</v>
      </c>
      <c r="AD181" s="81">
        <v>44074</v>
      </c>
      <c r="AE181" s="81">
        <v>44068</v>
      </c>
      <c r="AF181" s="81">
        <v>44068</v>
      </c>
      <c r="AG181" s="81" t="s">
        <v>155</v>
      </c>
      <c r="AH181" s="141">
        <v>1</v>
      </c>
      <c r="AI181" s="141">
        <v>1</v>
      </c>
      <c r="AJ181" s="141">
        <v>0.78900000000000003</v>
      </c>
      <c r="AK181" s="87"/>
      <c r="AL181" s="84"/>
      <c r="AM181" s="17"/>
      <c r="AN181" s="17"/>
    </row>
    <row r="182" spans="2:40" hidden="1">
      <c r="B182" s="88">
        <f t="shared" si="34"/>
        <v>123</v>
      </c>
      <c r="C182" s="16">
        <v>20200819</v>
      </c>
      <c r="D182" s="16" t="s">
        <v>2</v>
      </c>
      <c r="E182" s="85" t="s">
        <v>877</v>
      </c>
      <c r="F182" s="80" t="s">
        <v>886</v>
      </c>
      <c r="G182" s="47"/>
      <c r="H182" s="16" t="s">
        <v>946</v>
      </c>
      <c r="I182" s="164" t="s">
        <v>719</v>
      </c>
      <c r="J182" s="16" t="s">
        <v>1043</v>
      </c>
      <c r="K182" s="47"/>
      <c r="L182" s="80"/>
      <c r="M182" s="47"/>
      <c r="N182" s="16" t="s">
        <v>891</v>
      </c>
      <c r="O182" s="80" t="s">
        <v>248</v>
      </c>
      <c r="P182" s="80" t="s">
        <v>866</v>
      </c>
      <c r="Q182" s="18"/>
      <c r="R182" s="16" t="s">
        <v>198</v>
      </c>
      <c r="S182" s="16" t="s">
        <v>62</v>
      </c>
      <c r="T182" s="16"/>
      <c r="U182" s="16"/>
      <c r="V182" s="16"/>
      <c r="W182" s="16">
        <f>ROUND(IF(D182=Table!$C$3,Y182*Table!$C$4/8,Y182*Table!$D$4/8),3)</f>
        <v>53.3</v>
      </c>
      <c r="X182" s="191">
        <f t="shared" si="35"/>
        <v>53.3</v>
      </c>
      <c r="Y182" s="191">
        <v>3.28</v>
      </c>
      <c r="Z182" s="191"/>
      <c r="AA182" s="16" t="s">
        <v>21</v>
      </c>
      <c r="AB182" s="81">
        <v>44071</v>
      </c>
      <c r="AC182" s="81">
        <v>44063</v>
      </c>
      <c r="AD182" s="81">
        <v>44074</v>
      </c>
      <c r="AE182" s="81">
        <v>44068</v>
      </c>
      <c r="AF182" s="81">
        <v>44068</v>
      </c>
      <c r="AG182" s="81" t="s">
        <v>155</v>
      </c>
      <c r="AH182" s="141">
        <v>1</v>
      </c>
      <c r="AI182" s="141">
        <v>1</v>
      </c>
      <c r="AJ182" s="141" t="s">
        <v>213</v>
      </c>
      <c r="AK182" s="87"/>
      <c r="AL182" s="84"/>
      <c r="AM182" s="17"/>
      <c r="AN182" s="17"/>
    </row>
    <row r="183" spans="2:40" hidden="1">
      <c r="B183" s="88">
        <f t="shared" si="34"/>
        <v>124</v>
      </c>
      <c r="C183" s="16">
        <v>20200819</v>
      </c>
      <c r="D183" s="16" t="s">
        <v>2</v>
      </c>
      <c r="E183" s="85" t="s">
        <v>877</v>
      </c>
      <c r="F183" s="80" t="s">
        <v>886</v>
      </c>
      <c r="G183" s="47"/>
      <c r="H183" s="16" t="s">
        <v>947</v>
      </c>
      <c r="I183" s="164" t="s">
        <v>720</v>
      </c>
      <c r="J183" s="16" t="s">
        <v>1043</v>
      </c>
      <c r="K183" s="47"/>
      <c r="L183" s="80"/>
      <c r="M183" s="47"/>
      <c r="N183" s="16" t="s">
        <v>891</v>
      </c>
      <c r="O183" s="80" t="s">
        <v>836</v>
      </c>
      <c r="P183" s="80" t="s">
        <v>871</v>
      </c>
      <c r="Q183" s="18"/>
      <c r="R183" s="16" t="s">
        <v>198</v>
      </c>
      <c r="S183" s="16" t="s">
        <v>62</v>
      </c>
      <c r="T183" s="16"/>
      <c r="U183" s="16"/>
      <c r="V183" s="16"/>
      <c r="W183" s="16">
        <f>ROUND(IF(D183=Table!$C$3,Y183*Table!$C$4/8,Y183*Table!$D$4/8),3)</f>
        <v>26</v>
      </c>
      <c r="X183" s="191">
        <f t="shared" si="35"/>
        <v>26</v>
      </c>
      <c r="Y183" s="259">
        <v>1.6</v>
      </c>
      <c r="Z183" s="191"/>
      <c r="AA183" s="16" t="s">
        <v>21</v>
      </c>
      <c r="AB183" s="81">
        <v>44071</v>
      </c>
      <c r="AC183" s="81">
        <v>44063</v>
      </c>
      <c r="AD183" s="81">
        <v>44074</v>
      </c>
      <c r="AE183" s="81">
        <v>44068</v>
      </c>
      <c r="AF183" s="81">
        <v>44068</v>
      </c>
      <c r="AG183" s="81" t="s">
        <v>155</v>
      </c>
      <c r="AH183" s="141">
        <v>1</v>
      </c>
      <c r="AI183" s="141">
        <v>1</v>
      </c>
      <c r="AJ183" s="141">
        <v>1</v>
      </c>
      <c r="AK183" s="87"/>
      <c r="AL183" s="14"/>
      <c r="AM183" s="17"/>
      <c r="AN183" s="17"/>
    </row>
    <row r="184" spans="2:40" hidden="1">
      <c r="B184" s="88">
        <f t="shared" si="34"/>
        <v>125</v>
      </c>
      <c r="C184" s="16">
        <v>20200819</v>
      </c>
      <c r="D184" s="16" t="s">
        <v>2</v>
      </c>
      <c r="E184" s="85" t="s">
        <v>877</v>
      </c>
      <c r="F184" s="80" t="s">
        <v>886</v>
      </c>
      <c r="G184" s="47"/>
      <c r="H184" s="16" t="s">
        <v>948</v>
      </c>
      <c r="I184" s="164" t="s">
        <v>721</v>
      </c>
      <c r="J184" s="16" t="s">
        <v>1043</v>
      </c>
      <c r="K184" s="47"/>
      <c r="L184" s="80"/>
      <c r="M184" s="47"/>
      <c r="N184" s="16" t="s">
        <v>891</v>
      </c>
      <c r="O184" s="80" t="s">
        <v>210</v>
      </c>
      <c r="P184" s="80" t="s">
        <v>865</v>
      </c>
      <c r="Q184" s="18"/>
      <c r="R184" s="16" t="s">
        <v>198</v>
      </c>
      <c r="S184" s="16" t="s">
        <v>62</v>
      </c>
      <c r="T184" s="16"/>
      <c r="U184" s="16"/>
      <c r="V184" s="16"/>
      <c r="W184" s="16">
        <f>ROUND(IF(D184=Table!$C$3,Y184*Table!$C$4/8,Y184*Table!$D$4/8),3)</f>
        <v>26</v>
      </c>
      <c r="X184" s="191">
        <f t="shared" si="35"/>
        <v>26</v>
      </c>
      <c r="Y184" s="259">
        <v>1.6</v>
      </c>
      <c r="Z184" s="191"/>
      <c r="AA184" s="16" t="s">
        <v>21</v>
      </c>
      <c r="AB184" s="81">
        <v>44071</v>
      </c>
      <c r="AC184" s="81">
        <v>44063</v>
      </c>
      <c r="AD184" s="81">
        <v>44074</v>
      </c>
      <c r="AE184" s="81">
        <v>44068</v>
      </c>
      <c r="AF184" s="81">
        <v>44068</v>
      </c>
      <c r="AG184" s="81" t="s">
        <v>155</v>
      </c>
      <c r="AH184" s="141">
        <v>1</v>
      </c>
      <c r="AI184" s="141">
        <v>1</v>
      </c>
      <c r="AJ184" s="141">
        <v>0.5</v>
      </c>
      <c r="AK184" s="87"/>
      <c r="AL184" s="14"/>
      <c r="AM184" s="17"/>
      <c r="AN184" s="17"/>
    </row>
    <row r="185" spans="2:40" hidden="1">
      <c r="B185" s="88">
        <f t="shared" si="34"/>
        <v>126</v>
      </c>
      <c r="C185" s="16">
        <v>20200819</v>
      </c>
      <c r="D185" s="16" t="s">
        <v>2</v>
      </c>
      <c r="E185" s="85" t="s">
        <v>877</v>
      </c>
      <c r="F185" s="80" t="s">
        <v>886</v>
      </c>
      <c r="G185" s="47"/>
      <c r="H185" s="16" t="s">
        <v>949</v>
      </c>
      <c r="I185" s="164" t="s">
        <v>722</v>
      </c>
      <c r="J185" s="16" t="s">
        <v>1043</v>
      </c>
      <c r="K185" s="47"/>
      <c r="L185" s="80"/>
      <c r="M185" s="47"/>
      <c r="N185" s="16" t="s">
        <v>891</v>
      </c>
      <c r="O185" s="80" t="s">
        <v>210</v>
      </c>
      <c r="P185" s="80" t="s">
        <v>865</v>
      </c>
      <c r="Q185" s="18"/>
      <c r="R185" s="16" t="s">
        <v>198</v>
      </c>
      <c r="S185" s="16" t="s">
        <v>62</v>
      </c>
      <c r="T185" s="16"/>
      <c r="U185" s="16"/>
      <c r="V185" s="16"/>
      <c r="W185" s="16">
        <f>ROUND(IF(D185=Table!$C$3,Y185*Table!$C$4/8,Y185*Table!$D$4/8),3)</f>
        <v>26</v>
      </c>
      <c r="X185" s="191">
        <f t="shared" si="35"/>
        <v>26</v>
      </c>
      <c r="Y185" s="259">
        <v>1.6</v>
      </c>
      <c r="Z185" s="191"/>
      <c r="AA185" s="16" t="s">
        <v>21</v>
      </c>
      <c r="AB185" s="81">
        <v>44071</v>
      </c>
      <c r="AC185" s="81">
        <v>44063</v>
      </c>
      <c r="AD185" s="81">
        <v>44074</v>
      </c>
      <c r="AE185" s="81">
        <v>44068</v>
      </c>
      <c r="AF185" s="81">
        <v>44068</v>
      </c>
      <c r="AG185" s="81" t="s">
        <v>155</v>
      </c>
      <c r="AH185" s="141">
        <v>1</v>
      </c>
      <c r="AI185" s="141">
        <v>1</v>
      </c>
      <c r="AJ185" s="141" t="s">
        <v>213</v>
      </c>
      <c r="AK185" s="87"/>
      <c r="AL185" s="14"/>
      <c r="AM185" s="17"/>
      <c r="AN185" s="17"/>
    </row>
    <row r="186" spans="2:40" hidden="1">
      <c r="B186" s="88">
        <f t="shared" si="34"/>
        <v>127</v>
      </c>
      <c r="C186" s="16">
        <v>20200819</v>
      </c>
      <c r="D186" s="16" t="s">
        <v>2</v>
      </c>
      <c r="E186" s="85" t="s">
        <v>877</v>
      </c>
      <c r="F186" s="80" t="s">
        <v>886</v>
      </c>
      <c r="G186" s="47"/>
      <c r="H186" s="16" t="s">
        <v>950</v>
      </c>
      <c r="I186" s="164" t="s">
        <v>723</v>
      </c>
      <c r="J186" s="16" t="s">
        <v>208</v>
      </c>
      <c r="K186" s="47"/>
      <c r="L186" s="80"/>
      <c r="M186" s="47"/>
      <c r="N186" s="16" t="s">
        <v>891</v>
      </c>
      <c r="O186" s="80" t="s">
        <v>834</v>
      </c>
      <c r="P186" s="80" t="s">
        <v>454</v>
      </c>
      <c r="Q186" s="18"/>
      <c r="R186" s="16" t="s">
        <v>198</v>
      </c>
      <c r="S186" s="16" t="s">
        <v>62</v>
      </c>
      <c r="T186" s="16"/>
      <c r="U186" s="16"/>
      <c r="V186" s="16"/>
      <c r="W186" s="16">
        <f>ROUND(IF(D186=Table!$C$3,Y186*Table!$C$4/8,Y186*Table!$D$4/8),3)</f>
        <v>148.19999999999999</v>
      </c>
      <c r="X186" s="191">
        <f t="shared" si="35"/>
        <v>148.19999999999999</v>
      </c>
      <c r="Y186" s="203">
        <v>9.1199999999999992</v>
      </c>
      <c r="Z186" s="191"/>
      <c r="AA186" s="16" t="s">
        <v>21</v>
      </c>
      <c r="AB186" s="81">
        <v>44071</v>
      </c>
      <c r="AC186" s="81">
        <v>44063</v>
      </c>
      <c r="AD186" s="81">
        <v>44074</v>
      </c>
      <c r="AE186" s="81">
        <v>44068</v>
      </c>
      <c r="AF186" s="81">
        <v>44068</v>
      </c>
      <c r="AG186" s="81" t="s">
        <v>155</v>
      </c>
      <c r="AH186" s="141">
        <v>1</v>
      </c>
      <c r="AI186" s="141">
        <v>1</v>
      </c>
      <c r="AJ186" s="141">
        <v>0.77</v>
      </c>
      <c r="AK186" s="87"/>
      <c r="AL186" s="14"/>
      <c r="AM186" s="17"/>
      <c r="AN186" s="17"/>
    </row>
    <row r="187" spans="2:40" hidden="1">
      <c r="B187" s="88">
        <f t="shared" si="34"/>
        <v>128</v>
      </c>
      <c r="C187" s="16">
        <v>20200819</v>
      </c>
      <c r="D187" s="16" t="s">
        <v>2</v>
      </c>
      <c r="E187" s="85" t="s">
        <v>877</v>
      </c>
      <c r="F187" s="80" t="s">
        <v>886</v>
      </c>
      <c r="G187" s="47"/>
      <c r="H187" s="16" t="s">
        <v>951</v>
      </c>
      <c r="I187" s="16" t="s">
        <v>724</v>
      </c>
      <c r="J187" s="16" t="s">
        <v>208</v>
      </c>
      <c r="K187" s="47"/>
      <c r="L187" s="80"/>
      <c r="M187" s="47"/>
      <c r="N187" s="16" t="s">
        <v>891</v>
      </c>
      <c r="O187" s="80" t="s">
        <v>209</v>
      </c>
      <c r="P187" s="80" t="s">
        <v>865</v>
      </c>
      <c r="Q187" s="18"/>
      <c r="R187" s="16" t="s">
        <v>202</v>
      </c>
      <c r="S187" s="16" t="s">
        <v>133</v>
      </c>
      <c r="T187" s="16"/>
      <c r="U187" s="16" t="s">
        <v>578</v>
      </c>
      <c r="V187" s="16"/>
      <c r="W187" s="16">
        <f>ROUND(IF(D187=Table!$C$3,Y187*Table!$C$4/8,Y187*Table!$D$4/8),3)</f>
        <v>65</v>
      </c>
      <c r="X187" s="191">
        <v>65</v>
      </c>
      <c r="Y187" s="191">
        <v>4</v>
      </c>
      <c r="Z187" s="191">
        <v>2</v>
      </c>
      <c r="AA187" s="16" t="s">
        <v>21</v>
      </c>
      <c r="AB187" s="81">
        <v>44071</v>
      </c>
      <c r="AC187" s="81">
        <v>44063</v>
      </c>
      <c r="AD187" s="81">
        <v>44074</v>
      </c>
      <c r="AE187" s="81">
        <v>44067</v>
      </c>
      <c r="AF187" s="81">
        <v>44067</v>
      </c>
      <c r="AG187" s="81" t="s">
        <v>155</v>
      </c>
      <c r="AH187" s="82">
        <v>0.93500000000000005</v>
      </c>
      <c r="AI187" s="82">
        <v>0.93500000000000005</v>
      </c>
      <c r="AJ187" s="82">
        <v>0.66700000000000004</v>
      </c>
      <c r="AK187" s="87" t="s">
        <v>140</v>
      </c>
      <c r="AL187" s="258" t="s">
        <v>1140</v>
      </c>
      <c r="AM187" s="17"/>
      <c r="AN187" s="17"/>
    </row>
    <row r="188" spans="2:40" hidden="1">
      <c r="B188" s="88">
        <f t="shared" si="34"/>
        <v>129</v>
      </c>
      <c r="C188" s="16">
        <v>20200819</v>
      </c>
      <c r="D188" s="16" t="s">
        <v>2</v>
      </c>
      <c r="E188" s="85" t="s">
        <v>877</v>
      </c>
      <c r="F188" s="80" t="s">
        <v>886</v>
      </c>
      <c r="G188" s="47"/>
      <c r="H188" s="16" t="s">
        <v>952</v>
      </c>
      <c r="I188" s="16" t="s">
        <v>725</v>
      </c>
      <c r="J188" s="16" t="s">
        <v>1043</v>
      </c>
      <c r="K188" s="47"/>
      <c r="L188" s="80"/>
      <c r="M188" s="47"/>
      <c r="N188" s="16" t="s">
        <v>891</v>
      </c>
      <c r="O188" s="80" t="s">
        <v>831</v>
      </c>
      <c r="P188" s="80" t="s">
        <v>866</v>
      </c>
      <c r="Q188" s="18"/>
      <c r="R188" s="16" t="s">
        <v>202</v>
      </c>
      <c r="S188" s="16" t="s">
        <v>133</v>
      </c>
      <c r="T188" s="16"/>
      <c r="U188" s="16" t="s">
        <v>578</v>
      </c>
      <c r="V188" s="16"/>
      <c r="W188" s="16">
        <f>ROUND(IF(D188=Table!$C$3,Y188*Table!$C$4/8,Y188*Table!$D$4/8),3)</f>
        <v>26</v>
      </c>
      <c r="X188" s="191">
        <v>26</v>
      </c>
      <c r="Y188" s="191">
        <v>1.6</v>
      </c>
      <c r="Z188" s="191">
        <v>1</v>
      </c>
      <c r="AA188" s="16" t="s">
        <v>21</v>
      </c>
      <c r="AB188" s="81">
        <v>44071</v>
      </c>
      <c r="AC188" s="81">
        <v>44063</v>
      </c>
      <c r="AD188" s="81">
        <v>44074</v>
      </c>
      <c r="AE188" s="81">
        <v>44064</v>
      </c>
      <c r="AF188" s="81">
        <v>44064</v>
      </c>
      <c r="AG188" s="81" t="s">
        <v>155</v>
      </c>
      <c r="AH188" s="82">
        <v>1</v>
      </c>
      <c r="AI188" s="82">
        <v>1</v>
      </c>
      <c r="AJ188" s="82">
        <v>0.57099999999999995</v>
      </c>
      <c r="AK188" s="87" t="s">
        <v>140</v>
      </c>
      <c r="AL188" s="84" t="s">
        <v>58</v>
      </c>
      <c r="AM188" s="17" t="s">
        <v>58</v>
      </c>
      <c r="AN188" s="17" t="s">
        <v>58</v>
      </c>
    </row>
    <row r="189" spans="2:40" hidden="1">
      <c r="B189" s="88">
        <f t="shared" si="34"/>
        <v>130</v>
      </c>
      <c r="C189" s="16">
        <v>20200819</v>
      </c>
      <c r="D189" s="16" t="s">
        <v>2</v>
      </c>
      <c r="E189" s="85" t="s">
        <v>877</v>
      </c>
      <c r="F189" s="80" t="s">
        <v>886</v>
      </c>
      <c r="G189" s="47"/>
      <c r="H189" s="16" t="s">
        <v>953</v>
      </c>
      <c r="I189" s="16" t="s">
        <v>726</v>
      </c>
      <c r="J189" s="16" t="s">
        <v>1043</v>
      </c>
      <c r="K189" s="47"/>
      <c r="L189" s="80"/>
      <c r="M189" s="47"/>
      <c r="N189" s="16" t="s">
        <v>891</v>
      </c>
      <c r="O189" s="80" t="s">
        <v>170</v>
      </c>
      <c r="P189" s="80" t="s">
        <v>866</v>
      </c>
      <c r="Q189" s="18"/>
      <c r="R189" s="16" t="s">
        <v>202</v>
      </c>
      <c r="S189" s="16" t="s">
        <v>133</v>
      </c>
      <c r="T189" s="16"/>
      <c r="U189" s="16" t="s">
        <v>578</v>
      </c>
      <c r="V189" s="16"/>
      <c r="W189" s="16">
        <f>ROUND(IF(D189=Table!$C$3,Y189*Table!$C$4/8,Y189*Table!$D$4/8),3)</f>
        <v>26</v>
      </c>
      <c r="X189" s="191">
        <v>26</v>
      </c>
      <c r="Y189" s="191">
        <v>1.6</v>
      </c>
      <c r="Z189" s="191">
        <v>1</v>
      </c>
      <c r="AA189" s="16" t="s">
        <v>21</v>
      </c>
      <c r="AB189" s="81">
        <v>44071</v>
      </c>
      <c r="AC189" s="81">
        <v>44063</v>
      </c>
      <c r="AD189" s="81">
        <v>44074</v>
      </c>
      <c r="AE189" s="81">
        <v>44067</v>
      </c>
      <c r="AF189" s="81">
        <v>44067</v>
      </c>
      <c r="AG189" s="81" t="s">
        <v>155</v>
      </c>
      <c r="AH189" s="82">
        <v>1</v>
      </c>
      <c r="AI189" s="82">
        <v>1</v>
      </c>
      <c r="AJ189" s="82">
        <v>0.33300000000000002</v>
      </c>
      <c r="AK189" s="87" t="s">
        <v>140</v>
      </c>
      <c r="AL189" s="84" t="s">
        <v>58</v>
      </c>
      <c r="AM189" s="17" t="s">
        <v>58</v>
      </c>
      <c r="AN189" s="17" t="s">
        <v>58</v>
      </c>
    </row>
    <row r="190" spans="2:40" hidden="1">
      <c r="B190" s="88">
        <f t="shared" si="34"/>
        <v>131</v>
      </c>
      <c r="C190" s="16">
        <v>20200819</v>
      </c>
      <c r="D190" s="16" t="s">
        <v>2</v>
      </c>
      <c r="E190" s="85" t="s">
        <v>877</v>
      </c>
      <c r="F190" s="80" t="s">
        <v>886</v>
      </c>
      <c r="G190" s="47"/>
      <c r="H190" s="16" t="s">
        <v>954</v>
      </c>
      <c r="I190" s="16" t="s">
        <v>727</v>
      </c>
      <c r="J190" s="16" t="s">
        <v>208</v>
      </c>
      <c r="K190" s="47"/>
      <c r="L190" s="80"/>
      <c r="M190" s="47"/>
      <c r="N190" s="16" t="s">
        <v>891</v>
      </c>
      <c r="O190" s="80" t="s">
        <v>837</v>
      </c>
      <c r="P190" s="80" t="s">
        <v>865</v>
      </c>
      <c r="Q190" s="18"/>
      <c r="R190" s="16" t="s">
        <v>202</v>
      </c>
      <c r="S190" s="16" t="s">
        <v>133</v>
      </c>
      <c r="T190" s="16"/>
      <c r="U190" s="16" t="s">
        <v>578</v>
      </c>
      <c r="V190" s="16"/>
      <c r="W190" s="16">
        <f>ROUND(IF(D190=Table!$C$3,Y190*Table!$C$4/8,Y190*Table!$D$4/8),3)</f>
        <v>92.3</v>
      </c>
      <c r="X190" s="191">
        <v>92.3</v>
      </c>
      <c r="Y190" s="211">
        <v>5.68</v>
      </c>
      <c r="Z190" s="191">
        <v>4</v>
      </c>
      <c r="AA190" s="16" t="s">
        <v>21</v>
      </c>
      <c r="AB190" s="81">
        <v>44071</v>
      </c>
      <c r="AC190" s="81">
        <v>44063</v>
      </c>
      <c r="AD190" s="81">
        <v>44074</v>
      </c>
      <c r="AE190" s="81">
        <v>44069</v>
      </c>
      <c r="AF190" s="81">
        <v>44069</v>
      </c>
      <c r="AG190" s="81" t="s">
        <v>155</v>
      </c>
      <c r="AH190" s="82">
        <v>0.95699999999999996</v>
      </c>
      <c r="AI190" s="82">
        <v>0.96699999999999997</v>
      </c>
      <c r="AJ190" s="82">
        <v>0.34499999999999997</v>
      </c>
      <c r="AK190" s="87" t="s">
        <v>140</v>
      </c>
      <c r="AL190" s="258" t="s">
        <v>1246</v>
      </c>
      <c r="AM190" s="84"/>
      <c r="AN190" s="84"/>
    </row>
    <row r="191" spans="2:40" hidden="1">
      <c r="B191" s="88">
        <f t="shared" si="34"/>
        <v>132</v>
      </c>
      <c r="C191" s="16">
        <v>20200819</v>
      </c>
      <c r="D191" s="16" t="s">
        <v>2</v>
      </c>
      <c r="E191" s="85" t="s">
        <v>877</v>
      </c>
      <c r="F191" s="80" t="s">
        <v>886</v>
      </c>
      <c r="G191" s="47"/>
      <c r="H191" s="16" t="s">
        <v>955</v>
      </c>
      <c r="I191" s="16" t="s">
        <v>728</v>
      </c>
      <c r="J191" s="16" t="s">
        <v>208</v>
      </c>
      <c r="K191" s="47"/>
      <c r="L191" s="80"/>
      <c r="M191" s="47"/>
      <c r="N191" s="16" t="s">
        <v>891</v>
      </c>
      <c r="O191" s="80" t="s">
        <v>834</v>
      </c>
      <c r="P191" s="80" t="s">
        <v>865</v>
      </c>
      <c r="Q191" s="18"/>
      <c r="R191" s="16" t="s">
        <v>202</v>
      </c>
      <c r="S191" s="16" t="s">
        <v>133</v>
      </c>
      <c r="T191" s="16"/>
      <c r="U191" s="16" t="s">
        <v>578</v>
      </c>
      <c r="V191" s="16"/>
      <c r="W191" s="16">
        <f>ROUND(IF(D191=Table!$C$3,Y191*Table!$C$4/8,Y191*Table!$D$4/8),3)</f>
        <v>104</v>
      </c>
      <c r="X191" s="191">
        <v>104</v>
      </c>
      <c r="Y191" s="211">
        <v>6.4</v>
      </c>
      <c r="Z191" s="191">
        <v>4</v>
      </c>
      <c r="AA191" s="16" t="s">
        <v>21</v>
      </c>
      <c r="AB191" s="81">
        <v>44071</v>
      </c>
      <c r="AC191" s="81">
        <v>44063</v>
      </c>
      <c r="AD191" s="81">
        <v>44074</v>
      </c>
      <c r="AE191" s="81">
        <v>44068</v>
      </c>
      <c r="AF191" s="81">
        <v>44068</v>
      </c>
      <c r="AG191" s="81" t="s">
        <v>155</v>
      </c>
      <c r="AH191" s="82">
        <v>1</v>
      </c>
      <c r="AI191" s="82">
        <v>1</v>
      </c>
      <c r="AJ191" s="82">
        <v>0.52300000000000002</v>
      </c>
      <c r="AK191" s="87" t="s">
        <v>140</v>
      </c>
      <c r="AL191" s="84" t="s">
        <v>58</v>
      </c>
      <c r="AM191" s="84" t="s">
        <v>58</v>
      </c>
      <c r="AN191" s="84" t="s">
        <v>58</v>
      </c>
    </row>
    <row r="192" spans="2:40" hidden="1">
      <c r="B192" s="88">
        <f t="shared" si="34"/>
        <v>133</v>
      </c>
      <c r="C192" s="16">
        <v>20200819</v>
      </c>
      <c r="D192" s="16" t="s">
        <v>2</v>
      </c>
      <c r="E192" s="85" t="s">
        <v>877</v>
      </c>
      <c r="F192" s="80" t="s">
        <v>886</v>
      </c>
      <c r="G192" s="47"/>
      <c r="H192" s="16" t="s">
        <v>956</v>
      </c>
      <c r="I192" s="16" t="s">
        <v>729</v>
      </c>
      <c r="J192" s="16" t="s">
        <v>1043</v>
      </c>
      <c r="K192" s="47"/>
      <c r="L192" s="80"/>
      <c r="M192" s="47"/>
      <c r="N192" s="16" t="s">
        <v>891</v>
      </c>
      <c r="O192" s="80" t="s">
        <v>210</v>
      </c>
      <c r="P192" s="80" t="s">
        <v>865</v>
      </c>
      <c r="Q192" s="18"/>
      <c r="R192" s="16" t="s">
        <v>202</v>
      </c>
      <c r="S192" s="16" t="s">
        <v>133</v>
      </c>
      <c r="T192" s="16"/>
      <c r="U192" s="16" t="s">
        <v>578</v>
      </c>
      <c r="V192" s="16"/>
      <c r="W192" s="16">
        <f>ROUND(IF(D192=Table!$C$3,Y192*Table!$C$4/8,Y192*Table!$D$4/8),3)</f>
        <v>42.9</v>
      </c>
      <c r="X192" s="191">
        <v>42.9</v>
      </c>
      <c r="Y192" s="191">
        <v>2.64</v>
      </c>
      <c r="Z192" s="191">
        <v>2</v>
      </c>
      <c r="AA192" s="16" t="s">
        <v>21</v>
      </c>
      <c r="AB192" s="81">
        <v>44071</v>
      </c>
      <c r="AC192" s="81">
        <v>44063</v>
      </c>
      <c r="AD192" s="81">
        <v>44074</v>
      </c>
      <c r="AE192" s="81">
        <v>44068</v>
      </c>
      <c r="AF192" s="81">
        <v>44068</v>
      </c>
      <c r="AG192" s="81" t="s">
        <v>155</v>
      </c>
      <c r="AH192" s="82">
        <v>1</v>
      </c>
      <c r="AI192" s="82">
        <v>1</v>
      </c>
      <c r="AJ192" s="82">
        <v>0.625</v>
      </c>
      <c r="AK192" s="87" t="s">
        <v>140</v>
      </c>
      <c r="AL192" s="84" t="s">
        <v>58</v>
      </c>
      <c r="AM192" s="118" t="s">
        <v>58</v>
      </c>
      <c r="AN192" s="118" t="s">
        <v>58</v>
      </c>
    </row>
    <row r="193" spans="2:40" hidden="1">
      <c r="B193" s="88">
        <f t="shared" si="34"/>
        <v>134</v>
      </c>
      <c r="C193" s="16">
        <v>20200819</v>
      </c>
      <c r="D193" s="16" t="s">
        <v>2</v>
      </c>
      <c r="E193" s="85" t="s">
        <v>877</v>
      </c>
      <c r="F193" s="80" t="s">
        <v>886</v>
      </c>
      <c r="G193" s="47"/>
      <c r="H193" s="16" t="s">
        <v>957</v>
      </c>
      <c r="I193" s="16" t="s">
        <v>730</v>
      </c>
      <c r="J193" s="16" t="s">
        <v>1043</v>
      </c>
      <c r="K193" s="47"/>
      <c r="L193" s="80"/>
      <c r="M193" s="47"/>
      <c r="N193" s="16" t="s">
        <v>891</v>
      </c>
      <c r="O193" s="80" t="s">
        <v>210</v>
      </c>
      <c r="P193" s="80" t="s">
        <v>865</v>
      </c>
      <c r="Q193" s="18"/>
      <c r="R193" s="16" t="s">
        <v>202</v>
      </c>
      <c r="S193" s="16" t="s">
        <v>133</v>
      </c>
      <c r="T193" s="16"/>
      <c r="U193" s="16" t="s">
        <v>578</v>
      </c>
      <c r="V193" s="16"/>
      <c r="W193" s="16">
        <f>ROUND(IF(D193=Table!$C$3,Y193*Table!$C$4/8,Y193*Table!$D$4/8),3)</f>
        <v>65</v>
      </c>
      <c r="X193" s="191">
        <v>65</v>
      </c>
      <c r="Y193" s="191">
        <v>4</v>
      </c>
      <c r="Z193" s="191">
        <v>2</v>
      </c>
      <c r="AA193" s="16" t="s">
        <v>21</v>
      </c>
      <c r="AB193" s="81">
        <v>44071</v>
      </c>
      <c r="AC193" s="81">
        <v>44063</v>
      </c>
      <c r="AD193" s="81">
        <v>44074</v>
      </c>
      <c r="AE193" s="81">
        <v>44068</v>
      </c>
      <c r="AF193" s="81">
        <v>44068</v>
      </c>
      <c r="AG193" s="81" t="s">
        <v>155</v>
      </c>
      <c r="AH193" s="82">
        <v>1</v>
      </c>
      <c r="AI193" s="82">
        <v>1</v>
      </c>
      <c r="AJ193" s="82">
        <v>0.5</v>
      </c>
      <c r="AK193" s="87" t="s">
        <v>140</v>
      </c>
      <c r="AL193" s="84" t="s">
        <v>58</v>
      </c>
      <c r="AM193" s="118" t="s">
        <v>58</v>
      </c>
      <c r="AN193" s="118" t="s">
        <v>58</v>
      </c>
    </row>
    <row r="194" spans="2:40" hidden="1">
      <c r="B194" s="88">
        <f t="shared" ref="B194:B225" si="36">B193+1</f>
        <v>135</v>
      </c>
      <c r="C194" s="16">
        <v>20200819</v>
      </c>
      <c r="D194" s="16" t="s">
        <v>2</v>
      </c>
      <c r="E194" s="85" t="s">
        <v>877</v>
      </c>
      <c r="F194" s="80" t="s">
        <v>886</v>
      </c>
      <c r="G194" s="47"/>
      <c r="H194" s="16" t="s">
        <v>958</v>
      </c>
      <c r="I194" s="16" t="s">
        <v>731</v>
      </c>
      <c r="J194" s="16" t="s">
        <v>1043</v>
      </c>
      <c r="K194" s="47"/>
      <c r="L194" s="80"/>
      <c r="M194" s="47"/>
      <c r="N194" s="16" t="s">
        <v>891</v>
      </c>
      <c r="O194" s="80" t="s">
        <v>838</v>
      </c>
      <c r="P194" s="80" t="s">
        <v>865</v>
      </c>
      <c r="Q194" s="18"/>
      <c r="R194" s="16" t="s">
        <v>202</v>
      </c>
      <c r="S194" s="16" t="s">
        <v>133</v>
      </c>
      <c r="T194" s="16"/>
      <c r="U194" s="16" t="s">
        <v>578</v>
      </c>
      <c r="V194" s="16"/>
      <c r="W194" s="16">
        <f>ROUND(IF(D194=Table!$C$3,Y194*Table!$C$4/8,Y194*Table!$D$4/8),3)</f>
        <v>65</v>
      </c>
      <c r="X194" s="191">
        <v>65</v>
      </c>
      <c r="Y194" s="191">
        <v>4</v>
      </c>
      <c r="Z194" s="191">
        <v>1</v>
      </c>
      <c r="AA194" s="16" t="s">
        <v>21</v>
      </c>
      <c r="AB194" s="81">
        <v>44071</v>
      </c>
      <c r="AC194" s="81">
        <v>44063</v>
      </c>
      <c r="AD194" s="81">
        <v>44074</v>
      </c>
      <c r="AE194" s="81">
        <v>44068</v>
      </c>
      <c r="AF194" s="81">
        <v>44068</v>
      </c>
      <c r="AG194" s="81" t="s">
        <v>155</v>
      </c>
      <c r="AH194" s="82">
        <v>1</v>
      </c>
      <c r="AI194" s="82">
        <v>1</v>
      </c>
      <c r="AJ194" s="82">
        <v>0.66700000000000004</v>
      </c>
      <c r="AK194" s="87" t="s">
        <v>140</v>
      </c>
      <c r="AL194" s="84" t="s">
        <v>58</v>
      </c>
      <c r="AM194" s="118" t="s">
        <v>58</v>
      </c>
      <c r="AN194" s="118" t="s">
        <v>58</v>
      </c>
    </row>
    <row r="195" spans="2:40" hidden="1">
      <c r="B195" s="88">
        <f t="shared" si="36"/>
        <v>136</v>
      </c>
      <c r="C195" s="16">
        <v>20200819</v>
      </c>
      <c r="D195" s="16" t="s">
        <v>2</v>
      </c>
      <c r="E195" s="85" t="s">
        <v>877</v>
      </c>
      <c r="F195" s="80" t="s">
        <v>886</v>
      </c>
      <c r="G195" s="47"/>
      <c r="H195" s="16" t="s">
        <v>959</v>
      </c>
      <c r="I195" s="16" t="s">
        <v>732</v>
      </c>
      <c r="J195" s="16" t="s">
        <v>1043</v>
      </c>
      <c r="K195" s="47"/>
      <c r="L195" s="80"/>
      <c r="M195" s="47"/>
      <c r="N195" s="16" t="s">
        <v>891</v>
      </c>
      <c r="O195" s="80" t="s">
        <v>819</v>
      </c>
      <c r="P195" s="80" t="s">
        <v>865</v>
      </c>
      <c r="Q195" s="18"/>
      <c r="R195" s="16" t="s">
        <v>202</v>
      </c>
      <c r="S195" s="16" t="s">
        <v>133</v>
      </c>
      <c r="T195" s="16"/>
      <c r="U195" s="16" t="s">
        <v>578</v>
      </c>
      <c r="V195" s="16"/>
      <c r="W195" s="16">
        <f>ROUND(IF(D195=Table!$C$3,Y195*Table!$C$4/8,Y195*Table!$D$4/8),3)</f>
        <v>26</v>
      </c>
      <c r="X195" s="191">
        <v>26</v>
      </c>
      <c r="Y195" s="191">
        <v>1.6</v>
      </c>
      <c r="Z195" s="191">
        <v>1</v>
      </c>
      <c r="AA195" s="16" t="s">
        <v>21</v>
      </c>
      <c r="AB195" s="81">
        <v>44071</v>
      </c>
      <c r="AC195" s="81">
        <v>44063</v>
      </c>
      <c r="AD195" s="81">
        <v>44074</v>
      </c>
      <c r="AE195" s="81">
        <v>44063</v>
      </c>
      <c r="AF195" s="81">
        <v>44063</v>
      </c>
      <c r="AG195" s="81" t="s">
        <v>155</v>
      </c>
      <c r="AH195" s="82">
        <v>1</v>
      </c>
      <c r="AI195" s="82">
        <v>1</v>
      </c>
      <c r="AJ195" s="82">
        <v>0.5</v>
      </c>
      <c r="AK195" s="87" t="s">
        <v>140</v>
      </c>
      <c r="AL195" s="84" t="s">
        <v>58</v>
      </c>
      <c r="AM195" s="17" t="s">
        <v>58</v>
      </c>
      <c r="AN195" s="17" t="s">
        <v>58</v>
      </c>
    </row>
    <row r="196" spans="2:40" hidden="1">
      <c r="B196" s="88">
        <f t="shared" si="36"/>
        <v>137</v>
      </c>
      <c r="C196" s="16">
        <v>20200819</v>
      </c>
      <c r="D196" s="16" t="s">
        <v>2</v>
      </c>
      <c r="E196" s="85" t="s">
        <v>877</v>
      </c>
      <c r="F196" s="80" t="s">
        <v>886</v>
      </c>
      <c r="G196" s="47"/>
      <c r="H196" s="16" t="s">
        <v>960</v>
      </c>
      <c r="I196" s="16" t="s">
        <v>733</v>
      </c>
      <c r="J196" s="16" t="s">
        <v>1043</v>
      </c>
      <c r="K196" s="47"/>
      <c r="L196" s="80"/>
      <c r="M196" s="47"/>
      <c r="N196" s="16" t="s">
        <v>891</v>
      </c>
      <c r="O196" s="80" t="s">
        <v>170</v>
      </c>
      <c r="P196" s="80" t="s">
        <v>870</v>
      </c>
      <c r="Q196" s="18"/>
      <c r="R196" s="16" t="s">
        <v>202</v>
      </c>
      <c r="S196" s="16" t="s">
        <v>133</v>
      </c>
      <c r="T196" s="16"/>
      <c r="U196" s="16" t="s">
        <v>578</v>
      </c>
      <c r="V196" s="16"/>
      <c r="W196" s="16">
        <f>ROUND(IF(D196=Table!$C$3,Y196*Table!$C$4/8,Y196*Table!$D$4/8),3)</f>
        <v>26</v>
      </c>
      <c r="X196" s="191">
        <v>26</v>
      </c>
      <c r="Y196" s="191">
        <v>1.6</v>
      </c>
      <c r="Z196" s="191">
        <v>1</v>
      </c>
      <c r="AA196" s="16" t="s">
        <v>21</v>
      </c>
      <c r="AB196" s="81">
        <v>44071</v>
      </c>
      <c r="AC196" s="81">
        <v>44063</v>
      </c>
      <c r="AD196" s="81">
        <v>44074</v>
      </c>
      <c r="AE196" s="81">
        <v>44063</v>
      </c>
      <c r="AF196" s="81">
        <v>44063</v>
      </c>
      <c r="AG196" s="81" t="s">
        <v>155</v>
      </c>
      <c r="AH196" s="82">
        <v>1</v>
      </c>
      <c r="AI196" s="82">
        <v>1</v>
      </c>
      <c r="AJ196" s="82">
        <v>1</v>
      </c>
      <c r="AK196" s="87" t="s">
        <v>140</v>
      </c>
      <c r="AL196" s="14" t="s">
        <v>58</v>
      </c>
      <c r="AM196" s="17" t="s">
        <v>58</v>
      </c>
      <c r="AN196" s="17" t="s">
        <v>58</v>
      </c>
    </row>
    <row r="197" spans="2:40" hidden="1">
      <c r="B197" s="88">
        <f t="shared" si="36"/>
        <v>138</v>
      </c>
      <c r="C197" s="16">
        <v>20200819</v>
      </c>
      <c r="D197" s="16" t="s">
        <v>2</v>
      </c>
      <c r="E197" s="85" t="s">
        <v>877</v>
      </c>
      <c r="F197" s="80" t="s">
        <v>886</v>
      </c>
      <c r="G197" s="47"/>
      <c r="H197" s="16" t="s">
        <v>961</v>
      </c>
      <c r="I197" s="16" t="s">
        <v>734</v>
      </c>
      <c r="J197" s="16" t="s">
        <v>1043</v>
      </c>
      <c r="K197" s="47"/>
      <c r="L197" s="80"/>
      <c r="M197" s="47"/>
      <c r="N197" s="16" t="s">
        <v>891</v>
      </c>
      <c r="O197" s="80" t="s">
        <v>170</v>
      </c>
      <c r="P197" s="80" t="s">
        <v>865</v>
      </c>
      <c r="Q197" s="18"/>
      <c r="R197" s="16" t="s">
        <v>202</v>
      </c>
      <c r="S197" s="16" t="s">
        <v>133</v>
      </c>
      <c r="T197" s="16"/>
      <c r="U197" s="16" t="s">
        <v>578</v>
      </c>
      <c r="V197" s="16"/>
      <c r="W197" s="16">
        <f>ROUND(IF(D197=Table!$C$3,Y197*Table!$C$4/8,Y197*Table!$D$4/8),3)</f>
        <v>26</v>
      </c>
      <c r="X197" s="191">
        <v>26</v>
      </c>
      <c r="Y197" s="191">
        <v>1.6</v>
      </c>
      <c r="Z197" s="191">
        <v>1</v>
      </c>
      <c r="AA197" s="16" t="s">
        <v>21</v>
      </c>
      <c r="AB197" s="81">
        <v>44071</v>
      </c>
      <c r="AC197" s="81">
        <v>44063</v>
      </c>
      <c r="AD197" s="81">
        <v>44074</v>
      </c>
      <c r="AE197" s="81">
        <v>44064</v>
      </c>
      <c r="AF197" s="81">
        <v>44064</v>
      </c>
      <c r="AG197" s="81" t="s">
        <v>155</v>
      </c>
      <c r="AH197" s="82">
        <v>1</v>
      </c>
      <c r="AI197" s="82">
        <v>1</v>
      </c>
      <c r="AJ197" s="82">
        <v>0.33300000000000002</v>
      </c>
      <c r="AK197" s="87" t="s">
        <v>140</v>
      </c>
      <c r="AL197" s="84" t="s">
        <v>58</v>
      </c>
      <c r="AM197" s="17" t="s">
        <v>58</v>
      </c>
      <c r="AN197" s="17" t="s">
        <v>58</v>
      </c>
    </row>
    <row r="198" spans="2:40" hidden="1">
      <c r="B198" s="88">
        <f t="shared" si="36"/>
        <v>139</v>
      </c>
      <c r="C198" s="16">
        <v>20200819</v>
      </c>
      <c r="D198" s="16" t="s">
        <v>2</v>
      </c>
      <c r="E198" s="85" t="s">
        <v>877</v>
      </c>
      <c r="F198" s="80" t="s">
        <v>886</v>
      </c>
      <c r="G198" s="47"/>
      <c r="H198" s="16" t="s">
        <v>962</v>
      </c>
      <c r="I198" s="16" t="s">
        <v>735</v>
      </c>
      <c r="J198" s="16" t="s">
        <v>1043</v>
      </c>
      <c r="K198" s="47"/>
      <c r="L198" s="80"/>
      <c r="M198" s="47"/>
      <c r="N198" s="16" t="s">
        <v>891</v>
      </c>
      <c r="O198" s="80" t="s">
        <v>839</v>
      </c>
      <c r="P198" s="80" t="s">
        <v>865</v>
      </c>
      <c r="Q198" s="18"/>
      <c r="R198" s="16" t="s">
        <v>202</v>
      </c>
      <c r="S198" s="16" t="s">
        <v>133</v>
      </c>
      <c r="T198" s="16"/>
      <c r="U198" s="16" t="s">
        <v>578</v>
      </c>
      <c r="V198" s="16"/>
      <c r="W198" s="16">
        <f>ROUND(IF(D198=Table!$C$3,Y198*Table!$C$4/8,Y198*Table!$D$4/8),3)</f>
        <v>31.2</v>
      </c>
      <c r="X198" s="191">
        <v>31.2</v>
      </c>
      <c r="Y198" s="191">
        <v>1.92</v>
      </c>
      <c r="Z198" s="191">
        <v>1</v>
      </c>
      <c r="AA198" s="16" t="s">
        <v>21</v>
      </c>
      <c r="AB198" s="81">
        <v>44071</v>
      </c>
      <c r="AC198" s="81">
        <v>44063</v>
      </c>
      <c r="AD198" s="81">
        <v>44074</v>
      </c>
      <c r="AE198" s="81">
        <v>44064</v>
      </c>
      <c r="AF198" s="81">
        <v>44064</v>
      </c>
      <c r="AG198" s="81" t="s">
        <v>155</v>
      </c>
      <c r="AH198" s="82">
        <v>1</v>
      </c>
      <c r="AI198" s="82">
        <v>1</v>
      </c>
      <c r="AJ198" s="82">
        <v>0.76500000000000001</v>
      </c>
      <c r="AK198" s="87" t="s">
        <v>140</v>
      </c>
      <c r="AL198" s="84" t="s">
        <v>58</v>
      </c>
      <c r="AM198" s="208" t="s">
        <v>58</v>
      </c>
      <c r="AN198" s="208" t="s">
        <v>58</v>
      </c>
    </row>
    <row r="199" spans="2:40" hidden="1">
      <c r="B199" s="88">
        <f t="shared" si="36"/>
        <v>140</v>
      </c>
      <c r="C199" s="16">
        <v>20200819</v>
      </c>
      <c r="D199" s="16" t="s">
        <v>2</v>
      </c>
      <c r="E199" s="85" t="s">
        <v>877</v>
      </c>
      <c r="F199" s="80" t="s">
        <v>886</v>
      </c>
      <c r="G199" s="47"/>
      <c r="H199" s="16" t="s">
        <v>963</v>
      </c>
      <c r="I199" s="16" t="s">
        <v>736</v>
      </c>
      <c r="J199" s="16" t="s">
        <v>208</v>
      </c>
      <c r="K199" s="47"/>
      <c r="L199" s="80"/>
      <c r="M199" s="47"/>
      <c r="N199" s="16" t="s">
        <v>891</v>
      </c>
      <c r="O199" s="80" t="s">
        <v>831</v>
      </c>
      <c r="P199" s="80" t="s">
        <v>865</v>
      </c>
      <c r="Q199" s="18"/>
      <c r="R199" s="16" t="s">
        <v>202</v>
      </c>
      <c r="S199" s="16" t="s">
        <v>133</v>
      </c>
      <c r="T199" s="16"/>
      <c r="U199" s="16" t="s">
        <v>578</v>
      </c>
      <c r="V199" s="16"/>
      <c r="W199" s="16">
        <f>ROUND(IF(D199=Table!$C$3,Y199*Table!$C$4/8,Y199*Table!$D$4/8),3)</f>
        <v>104</v>
      </c>
      <c r="X199" s="191">
        <v>104</v>
      </c>
      <c r="Y199" s="211">
        <v>6.4</v>
      </c>
      <c r="Z199" s="191">
        <v>3</v>
      </c>
      <c r="AA199" s="16" t="s">
        <v>21</v>
      </c>
      <c r="AB199" s="81">
        <v>44071</v>
      </c>
      <c r="AC199" s="81">
        <v>44063</v>
      </c>
      <c r="AD199" s="81">
        <v>44074</v>
      </c>
      <c r="AE199" s="81">
        <v>44069</v>
      </c>
      <c r="AF199" s="81">
        <v>44069</v>
      </c>
      <c r="AG199" s="81" t="s">
        <v>155</v>
      </c>
      <c r="AH199" s="82">
        <v>1</v>
      </c>
      <c r="AI199" s="82">
        <v>1</v>
      </c>
      <c r="AJ199" s="82">
        <v>0.45500000000000002</v>
      </c>
      <c r="AK199" s="87" t="s">
        <v>140</v>
      </c>
      <c r="AL199" s="84" t="s">
        <v>58</v>
      </c>
      <c r="AM199" s="84" t="s">
        <v>58</v>
      </c>
      <c r="AN199" s="84" t="s">
        <v>58</v>
      </c>
    </row>
    <row r="200" spans="2:40" hidden="1">
      <c r="B200" s="88">
        <f t="shared" si="36"/>
        <v>141</v>
      </c>
      <c r="C200" s="16">
        <v>20200819</v>
      </c>
      <c r="D200" s="16" t="s">
        <v>2</v>
      </c>
      <c r="E200" s="85" t="s">
        <v>877</v>
      </c>
      <c r="F200" s="80" t="s">
        <v>886</v>
      </c>
      <c r="G200" s="47"/>
      <c r="H200" s="16" t="s">
        <v>964</v>
      </c>
      <c r="I200" s="16" t="s">
        <v>737</v>
      </c>
      <c r="J200" s="16" t="s">
        <v>208</v>
      </c>
      <c r="K200" s="47"/>
      <c r="L200" s="80"/>
      <c r="M200" s="47"/>
      <c r="N200" s="16" t="s">
        <v>891</v>
      </c>
      <c r="O200" s="80" t="s">
        <v>831</v>
      </c>
      <c r="P200" s="80" t="s">
        <v>865</v>
      </c>
      <c r="Q200" s="18"/>
      <c r="R200" s="16" t="s">
        <v>202</v>
      </c>
      <c r="S200" s="16" t="s">
        <v>133</v>
      </c>
      <c r="T200" s="16"/>
      <c r="U200" s="16" t="s">
        <v>578</v>
      </c>
      <c r="V200" s="16"/>
      <c r="W200" s="16">
        <f>ROUND(IF(D200=Table!$C$3,Y200*Table!$C$4/8,Y200*Table!$D$4/8),3)</f>
        <v>75.400000000000006</v>
      </c>
      <c r="X200" s="191">
        <v>75.400000000000006</v>
      </c>
      <c r="Y200" s="191">
        <v>4.6399999999999997</v>
      </c>
      <c r="Z200" s="191">
        <v>2</v>
      </c>
      <c r="AA200" s="16" t="s">
        <v>21</v>
      </c>
      <c r="AB200" s="81">
        <v>44071</v>
      </c>
      <c r="AC200" s="81">
        <v>44063</v>
      </c>
      <c r="AD200" s="81">
        <v>44074</v>
      </c>
      <c r="AE200" s="81">
        <v>44067</v>
      </c>
      <c r="AF200" s="81">
        <v>44067</v>
      </c>
      <c r="AG200" s="81" t="s">
        <v>155</v>
      </c>
      <c r="AH200" s="82">
        <v>1</v>
      </c>
      <c r="AI200" s="82">
        <v>1</v>
      </c>
      <c r="AJ200" s="82">
        <v>0.33300000000000002</v>
      </c>
      <c r="AK200" s="87" t="s">
        <v>140</v>
      </c>
      <c r="AL200" s="258" t="s">
        <v>58</v>
      </c>
      <c r="AM200" s="17" t="s">
        <v>58</v>
      </c>
      <c r="AN200" s="17" t="s">
        <v>58</v>
      </c>
    </row>
    <row r="201" spans="2:40" hidden="1">
      <c r="B201" s="88">
        <f t="shared" si="36"/>
        <v>142</v>
      </c>
      <c r="C201" s="16">
        <v>20200819</v>
      </c>
      <c r="D201" s="16" t="s">
        <v>2</v>
      </c>
      <c r="E201" s="85" t="s">
        <v>877</v>
      </c>
      <c r="F201" s="80" t="s">
        <v>886</v>
      </c>
      <c r="G201" s="47"/>
      <c r="H201" s="16" t="s">
        <v>965</v>
      </c>
      <c r="I201" s="16" t="s">
        <v>738</v>
      </c>
      <c r="J201" s="16" t="s">
        <v>208</v>
      </c>
      <c r="K201" s="47"/>
      <c r="L201" s="80"/>
      <c r="M201" s="47"/>
      <c r="N201" s="16" t="s">
        <v>891</v>
      </c>
      <c r="O201" s="80" t="s">
        <v>209</v>
      </c>
      <c r="P201" s="80" t="s">
        <v>865</v>
      </c>
      <c r="Q201" s="18"/>
      <c r="R201" s="16" t="s">
        <v>202</v>
      </c>
      <c r="S201" s="16" t="s">
        <v>133</v>
      </c>
      <c r="T201" s="16"/>
      <c r="U201" s="16" t="s">
        <v>578</v>
      </c>
      <c r="V201" s="16"/>
      <c r="W201" s="16">
        <f>ROUND(IF(D201=Table!$C$3,Y201*Table!$C$4/8,Y201*Table!$D$4/8),3)</f>
        <v>75.400000000000006</v>
      </c>
      <c r="X201" s="191">
        <v>75.400000000000006</v>
      </c>
      <c r="Y201" s="191">
        <v>4.6399999999999997</v>
      </c>
      <c r="Z201" s="191">
        <v>2</v>
      </c>
      <c r="AA201" s="16" t="s">
        <v>21</v>
      </c>
      <c r="AB201" s="81">
        <v>44071</v>
      </c>
      <c r="AC201" s="81">
        <v>44063</v>
      </c>
      <c r="AD201" s="81">
        <v>44074</v>
      </c>
      <c r="AE201" s="81">
        <v>44067</v>
      </c>
      <c r="AF201" s="81">
        <v>44067</v>
      </c>
      <c r="AG201" s="81" t="s">
        <v>155</v>
      </c>
      <c r="AH201" s="89">
        <v>1</v>
      </c>
      <c r="AI201" s="89">
        <v>1</v>
      </c>
      <c r="AJ201" s="82">
        <v>0.47399999999999998</v>
      </c>
      <c r="AK201" s="87" t="s">
        <v>140</v>
      </c>
      <c r="AL201" s="109" t="s">
        <v>58</v>
      </c>
      <c r="AM201" s="17" t="s">
        <v>58</v>
      </c>
      <c r="AN201" s="17" t="s">
        <v>58</v>
      </c>
    </row>
    <row r="202" spans="2:40">
      <c r="B202" s="88">
        <f t="shared" si="36"/>
        <v>143</v>
      </c>
      <c r="C202" s="16">
        <v>20200819</v>
      </c>
      <c r="D202" s="16" t="s">
        <v>2</v>
      </c>
      <c r="E202" s="85" t="s">
        <v>877</v>
      </c>
      <c r="F202" s="80" t="s">
        <v>886</v>
      </c>
      <c r="G202" s="47"/>
      <c r="H202" s="16" t="s">
        <v>966</v>
      </c>
      <c r="I202" s="16" t="s">
        <v>739</v>
      </c>
      <c r="J202" s="16" t="s">
        <v>208</v>
      </c>
      <c r="K202" s="47"/>
      <c r="L202" s="80"/>
      <c r="M202" s="47"/>
      <c r="N202" s="16" t="s">
        <v>891</v>
      </c>
      <c r="O202" s="80" t="s">
        <v>834</v>
      </c>
      <c r="P202" s="80" t="s">
        <v>865</v>
      </c>
      <c r="Q202" s="18"/>
      <c r="R202" s="16" t="s">
        <v>197</v>
      </c>
      <c r="S202" s="16" t="s">
        <v>66</v>
      </c>
      <c r="T202" s="16" t="s">
        <v>63</v>
      </c>
      <c r="U202" s="16" t="s">
        <v>0</v>
      </c>
      <c r="V202" s="16"/>
      <c r="W202" s="16">
        <f>ROUND(IF(D202=Table!$C$3,Y202*Table!$C$4/8,Y202*Table!$D$4/8),3)</f>
        <v>136.5</v>
      </c>
      <c r="X202" s="191">
        <f>W202</f>
        <v>136.5</v>
      </c>
      <c r="Y202" s="203">
        <v>8.4</v>
      </c>
      <c r="Z202" s="191">
        <f>Y202</f>
        <v>8.4</v>
      </c>
      <c r="AA202" s="16" t="s">
        <v>21</v>
      </c>
      <c r="AB202" s="81">
        <v>44071</v>
      </c>
      <c r="AC202" s="81">
        <v>44063</v>
      </c>
      <c r="AD202" s="81">
        <v>44074</v>
      </c>
      <c r="AE202" s="81">
        <v>44069</v>
      </c>
      <c r="AF202" s="81">
        <v>44069</v>
      </c>
      <c r="AG202" s="81" t="s">
        <v>155</v>
      </c>
      <c r="AH202" s="82">
        <v>1</v>
      </c>
      <c r="AI202" s="82">
        <v>1</v>
      </c>
      <c r="AJ202" s="82">
        <v>0.217</v>
      </c>
      <c r="AK202" s="87" t="s">
        <v>140</v>
      </c>
      <c r="AL202" s="84"/>
      <c r="AM202" s="17"/>
      <c r="AN202" s="17"/>
    </row>
    <row r="203" spans="2:40" hidden="1">
      <c r="B203" s="88">
        <f t="shared" si="36"/>
        <v>144</v>
      </c>
      <c r="C203" s="16">
        <v>20200819</v>
      </c>
      <c r="D203" s="16" t="s">
        <v>2</v>
      </c>
      <c r="E203" s="85" t="s">
        <v>877</v>
      </c>
      <c r="F203" s="80" t="s">
        <v>886</v>
      </c>
      <c r="G203" s="47"/>
      <c r="H203" s="16" t="s">
        <v>967</v>
      </c>
      <c r="I203" s="301" t="s">
        <v>740</v>
      </c>
      <c r="J203" s="16" t="s">
        <v>1043</v>
      </c>
      <c r="K203" s="47"/>
      <c r="L203" s="80"/>
      <c r="M203" s="47"/>
      <c r="N203" s="16" t="s">
        <v>891</v>
      </c>
      <c r="O203" s="80" t="s">
        <v>248</v>
      </c>
      <c r="P203" s="80" t="s">
        <v>454</v>
      </c>
      <c r="Q203" s="18"/>
      <c r="R203" s="16" t="s">
        <v>200</v>
      </c>
      <c r="S203" s="16" t="s">
        <v>63</v>
      </c>
      <c r="T203" s="16" t="s">
        <v>66</v>
      </c>
      <c r="U203" s="16" t="s">
        <v>0</v>
      </c>
      <c r="V203" s="16"/>
      <c r="W203" s="16">
        <f>ROUND(IF(D203=Table!$C$3,Y203*Table!$C$4/8,Y203*Table!$D$4/8),3)</f>
        <v>26</v>
      </c>
      <c r="X203" s="191">
        <f>W203</f>
        <v>26</v>
      </c>
      <c r="Y203" s="191">
        <v>1.6</v>
      </c>
      <c r="Z203" s="191">
        <f>Y203</f>
        <v>1.6</v>
      </c>
      <c r="AA203" s="16" t="s">
        <v>21</v>
      </c>
      <c r="AB203" s="81">
        <v>44071</v>
      </c>
      <c r="AC203" s="81">
        <v>44063</v>
      </c>
      <c r="AD203" s="81">
        <v>44074</v>
      </c>
      <c r="AE203" s="81">
        <v>44068</v>
      </c>
      <c r="AF203" s="81">
        <v>44068</v>
      </c>
      <c r="AG203" s="81" t="s">
        <v>155</v>
      </c>
      <c r="AH203" s="82">
        <v>1</v>
      </c>
      <c r="AI203" s="82">
        <v>1</v>
      </c>
      <c r="AJ203" s="82">
        <v>0.222</v>
      </c>
      <c r="AK203" s="87" t="s">
        <v>140</v>
      </c>
      <c r="AL203" s="14"/>
      <c r="AM203" s="17"/>
      <c r="AN203" s="17"/>
    </row>
    <row r="204" spans="2:40" hidden="1">
      <c r="B204" s="88">
        <f t="shared" si="36"/>
        <v>145</v>
      </c>
      <c r="C204" s="16">
        <v>20200819</v>
      </c>
      <c r="D204" s="16" t="s">
        <v>2</v>
      </c>
      <c r="E204" s="85" t="s">
        <v>877</v>
      </c>
      <c r="F204" s="80" t="s">
        <v>886</v>
      </c>
      <c r="G204" s="47"/>
      <c r="H204" s="16" t="s">
        <v>968</v>
      </c>
      <c r="I204" s="301" t="s">
        <v>741</v>
      </c>
      <c r="J204" s="16" t="s">
        <v>1043</v>
      </c>
      <c r="K204" s="47"/>
      <c r="L204" s="80"/>
      <c r="M204" s="47"/>
      <c r="N204" s="16" t="s">
        <v>891</v>
      </c>
      <c r="O204" s="80" t="s">
        <v>831</v>
      </c>
      <c r="P204" s="80" t="s">
        <v>454</v>
      </c>
      <c r="Q204" s="18"/>
      <c r="R204" s="16" t="s">
        <v>200</v>
      </c>
      <c r="S204" s="16" t="s">
        <v>63</v>
      </c>
      <c r="T204" s="16" t="s">
        <v>66</v>
      </c>
      <c r="U204" s="16" t="s">
        <v>0</v>
      </c>
      <c r="V204" s="16"/>
      <c r="W204" s="16">
        <f>ROUND(IF(D204=Table!$C$3,Y204*Table!$C$4/8,Y204*Table!$D$4/8),3)</f>
        <v>26</v>
      </c>
      <c r="X204" s="191">
        <f>W204</f>
        <v>26</v>
      </c>
      <c r="Y204" s="191">
        <v>1.6</v>
      </c>
      <c r="Z204" s="191">
        <f>Y204</f>
        <v>1.6</v>
      </c>
      <c r="AA204" s="16" t="s">
        <v>21</v>
      </c>
      <c r="AB204" s="81">
        <v>44071</v>
      </c>
      <c r="AC204" s="81">
        <v>44063</v>
      </c>
      <c r="AD204" s="81">
        <v>44074</v>
      </c>
      <c r="AE204" s="81">
        <v>44068</v>
      </c>
      <c r="AF204" s="81">
        <v>44068</v>
      </c>
      <c r="AG204" s="81" t="s">
        <v>155</v>
      </c>
      <c r="AH204" s="82">
        <v>1</v>
      </c>
      <c r="AI204" s="82">
        <v>1</v>
      </c>
      <c r="AJ204" s="82">
        <v>0.16700000000000001</v>
      </c>
      <c r="AK204" s="87" t="s">
        <v>140</v>
      </c>
      <c r="AL204" s="84"/>
      <c r="AM204" s="17"/>
      <c r="AN204" s="17"/>
    </row>
    <row r="205" spans="2:40" hidden="1">
      <c r="B205" s="88">
        <f t="shared" si="36"/>
        <v>146</v>
      </c>
      <c r="C205" s="16">
        <v>20200819</v>
      </c>
      <c r="D205" s="16" t="s">
        <v>2</v>
      </c>
      <c r="E205" s="85" t="s">
        <v>877</v>
      </c>
      <c r="F205" s="80" t="s">
        <v>886</v>
      </c>
      <c r="G205" s="47"/>
      <c r="H205" s="16" t="s">
        <v>969</v>
      </c>
      <c r="I205" s="301" t="s">
        <v>742</v>
      </c>
      <c r="J205" s="16" t="s">
        <v>1043</v>
      </c>
      <c r="K205" s="47"/>
      <c r="L205" s="80"/>
      <c r="M205" s="47"/>
      <c r="N205" s="16" t="s">
        <v>891</v>
      </c>
      <c r="O205" s="80" t="s">
        <v>210</v>
      </c>
      <c r="P205" s="80" t="s">
        <v>866</v>
      </c>
      <c r="Q205" s="18"/>
      <c r="R205" s="16" t="s">
        <v>200</v>
      </c>
      <c r="S205" s="16" t="s">
        <v>63</v>
      </c>
      <c r="T205" s="16" t="s">
        <v>66</v>
      </c>
      <c r="U205" s="16" t="s">
        <v>0</v>
      </c>
      <c r="V205" s="16"/>
      <c r="W205" s="16">
        <f>ROUND(IF(D205=Table!$C$3,Y205*Table!$C$4/8,Y205*Table!$D$4/8),3)</f>
        <v>26</v>
      </c>
      <c r="X205" s="191">
        <f>W205</f>
        <v>26</v>
      </c>
      <c r="Y205" s="191">
        <v>1.6</v>
      </c>
      <c r="Z205" s="191">
        <f>Y205</f>
        <v>1.6</v>
      </c>
      <c r="AA205" s="16" t="s">
        <v>21</v>
      </c>
      <c r="AB205" s="81">
        <v>44071</v>
      </c>
      <c r="AC205" s="81">
        <v>44063</v>
      </c>
      <c r="AD205" s="81">
        <v>44074</v>
      </c>
      <c r="AE205" s="81">
        <v>44068</v>
      </c>
      <c r="AF205" s="81">
        <v>44068</v>
      </c>
      <c r="AG205" s="81" t="s">
        <v>155</v>
      </c>
      <c r="AH205" s="82">
        <v>1</v>
      </c>
      <c r="AI205" s="82">
        <v>1</v>
      </c>
      <c r="AJ205" s="82" t="s">
        <v>213</v>
      </c>
      <c r="AK205" s="87" t="s">
        <v>140</v>
      </c>
      <c r="AL205" s="122"/>
      <c r="AM205" s="118"/>
      <c r="AN205" s="118"/>
    </row>
    <row r="206" spans="2:40" hidden="1">
      <c r="B206" s="88">
        <f t="shared" si="36"/>
        <v>147</v>
      </c>
      <c r="C206" s="16">
        <v>20200819</v>
      </c>
      <c r="D206" s="16" t="s">
        <v>2</v>
      </c>
      <c r="E206" s="85" t="s">
        <v>877</v>
      </c>
      <c r="F206" s="80" t="s">
        <v>886</v>
      </c>
      <c r="G206" s="47"/>
      <c r="H206" s="16" t="s">
        <v>970</v>
      </c>
      <c r="I206" s="16" t="s">
        <v>743</v>
      </c>
      <c r="J206" s="16" t="s">
        <v>1043</v>
      </c>
      <c r="K206" s="47"/>
      <c r="L206" s="80"/>
      <c r="M206" s="47"/>
      <c r="N206" s="16" t="s">
        <v>891</v>
      </c>
      <c r="O206" s="80" t="s">
        <v>210</v>
      </c>
      <c r="P206" s="80" t="s">
        <v>865</v>
      </c>
      <c r="Q206" s="18"/>
      <c r="R206" s="16" t="s">
        <v>202</v>
      </c>
      <c r="S206" s="16" t="s">
        <v>133</v>
      </c>
      <c r="T206" s="16"/>
      <c r="U206" s="16" t="s">
        <v>578</v>
      </c>
      <c r="V206" s="16"/>
      <c r="W206" s="16">
        <f>ROUND(IF(D206=Table!$C$3,Y206*Table!$C$4/8,Y206*Table!$D$4/8),3)</f>
        <v>26</v>
      </c>
      <c r="X206" s="191">
        <v>26</v>
      </c>
      <c r="Y206" s="191">
        <v>1.6</v>
      </c>
      <c r="Z206" s="191">
        <v>1</v>
      </c>
      <c r="AA206" s="16" t="s">
        <v>21</v>
      </c>
      <c r="AB206" s="81">
        <v>44071</v>
      </c>
      <c r="AC206" s="81">
        <v>44063</v>
      </c>
      <c r="AD206" s="81">
        <v>44074</v>
      </c>
      <c r="AE206" s="81">
        <v>44063</v>
      </c>
      <c r="AF206" s="81">
        <v>44063</v>
      </c>
      <c r="AG206" s="81" t="s">
        <v>155</v>
      </c>
      <c r="AH206" s="82">
        <v>1</v>
      </c>
      <c r="AI206" s="82">
        <v>1</v>
      </c>
      <c r="AJ206" s="82">
        <v>1</v>
      </c>
      <c r="AK206" s="87" t="s">
        <v>140</v>
      </c>
      <c r="AL206" s="84" t="s">
        <v>58</v>
      </c>
      <c r="AM206" s="118" t="s">
        <v>58</v>
      </c>
      <c r="AN206" s="118" t="s">
        <v>58</v>
      </c>
    </row>
    <row r="207" spans="2:40" hidden="1">
      <c r="B207" s="88">
        <f t="shared" si="36"/>
        <v>148</v>
      </c>
      <c r="C207" s="16">
        <v>20200819</v>
      </c>
      <c r="D207" s="16" t="s">
        <v>2</v>
      </c>
      <c r="E207" s="85" t="s">
        <v>877</v>
      </c>
      <c r="F207" s="80" t="s">
        <v>886</v>
      </c>
      <c r="G207" s="47"/>
      <c r="H207" s="16" t="s">
        <v>971</v>
      </c>
      <c r="I207" s="16" t="s">
        <v>744</v>
      </c>
      <c r="J207" s="16" t="s">
        <v>1043</v>
      </c>
      <c r="K207" s="47"/>
      <c r="L207" s="80"/>
      <c r="M207" s="47"/>
      <c r="N207" s="16" t="s">
        <v>891</v>
      </c>
      <c r="O207" s="80" t="s">
        <v>210</v>
      </c>
      <c r="P207" s="80" t="s">
        <v>865</v>
      </c>
      <c r="Q207" s="18"/>
      <c r="R207" s="16" t="s">
        <v>202</v>
      </c>
      <c r="S207" s="16" t="s">
        <v>133</v>
      </c>
      <c r="T207" s="16"/>
      <c r="U207" s="16" t="s">
        <v>578</v>
      </c>
      <c r="V207" s="16"/>
      <c r="W207" s="16">
        <f>ROUND(IF(D207=Table!$C$3,Y207*Table!$C$4/8,Y207*Table!$D$4/8),3)</f>
        <v>26</v>
      </c>
      <c r="X207" s="191">
        <v>26</v>
      </c>
      <c r="Y207" s="191">
        <v>1.6</v>
      </c>
      <c r="Z207" s="191">
        <v>1</v>
      </c>
      <c r="AA207" s="16" t="s">
        <v>21</v>
      </c>
      <c r="AB207" s="81">
        <v>44071</v>
      </c>
      <c r="AC207" s="81">
        <v>44063</v>
      </c>
      <c r="AD207" s="81">
        <v>44074</v>
      </c>
      <c r="AE207" s="81">
        <v>44063</v>
      </c>
      <c r="AF207" s="81">
        <v>44063</v>
      </c>
      <c r="AG207" s="81" t="s">
        <v>155</v>
      </c>
      <c r="AH207" s="82">
        <v>1</v>
      </c>
      <c r="AI207" s="82">
        <v>1</v>
      </c>
      <c r="AJ207" s="82">
        <v>1</v>
      </c>
      <c r="AK207" s="87" t="s">
        <v>140</v>
      </c>
      <c r="AL207" s="84" t="s">
        <v>58</v>
      </c>
      <c r="AM207" s="17" t="s">
        <v>58</v>
      </c>
      <c r="AN207" s="17" t="s">
        <v>58</v>
      </c>
    </row>
    <row r="208" spans="2:40" hidden="1">
      <c r="B208" s="88">
        <f t="shared" si="36"/>
        <v>149</v>
      </c>
      <c r="C208" s="16">
        <v>20200819</v>
      </c>
      <c r="D208" s="16" t="s">
        <v>2</v>
      </c>
      <c r="E208" s="85" t="s">
        <v>877</v>
      </c>
      <c r="F208" s="80" t="s">
        <v>886</v>
      </c>
      <c r="G208" s="47"/>
      <c r="H208" s="16" t="s">
        <v>972</v>
      </c>
      <c r="I208" s="16" t="s">
        <v>745</v>
      </c>
      <c r="J208" s="16" t="s">
        <v>1043</v>
      </c>
      <c r="K208" s="47"/>
      <c r="L208" s="80"/>
      <c r="M208" s="47"/>
      <c r="N208" s="16" t="s">
        <v>891</v>
      </c>
      <c r="O208" s="80" t="s">
        <v>840</v>
      </c>
      <c r="P208" s="80" t="s">
        <v>449</v>
      </c>
      <c r="Q208" s="18"/>
      <c r="R208" s="16" t="s">
        <v>202</v>
      </c>
      <c r="S208" s="16" t="s">
        <v>133</v>
      </c>
      <c r="T208" s="16"/>
      <c r="U208" s="16" t="s">
        <v>578</v>
      </c>
      <c r="V208" s="16"/>
      <c r="W208" s="16">
        <f>ROUND(IF(D208=Table!$C$3,Y208*Table!$C$4/8,Y208*Table!$D$4/8),3)</f>
        <v>26</v>
      </c>
      <c r="X208" s="191">
        <v>26</v>
      </c>
      <c r="Y208" s="191">
        <v>1.6</v>
      </c>
      <c r="Z208" s="191">
        <v>1</v>
      </c>
      <c r="AA208" s="16" t="s">
        <v>21</v>
      </c>
      <c r="AB208" s="81">
        <v>44071</v>
      </c>
      <c r="AC208" s="81">
        <v>44063</v>
      </c>
      <c r="AD208" s="81">
        <v>44074</v>
      </c>
      <c r="AE208" s="81">
        <v>44063</v>
      </c>
      <c r="AF208" s="81">
        <v>44063</v>
      </c>
      <c r="AG208" s="81" t="s">
        <v>155</v>
      </c>
      <c r="AH208" s="82">
        <v>1</v>
      </c>
      <c r="AI208" s="82">
        <v>1</v>
      </c>
      <c r="AJ208" s="82" t="s">
        <v>213</v>
      </c>
      <c r="AK208" s="87" t="s">
        <v>140</v>
      </c>
      <c r="AL208" s="84" t="s">
        <v>58</v>
      </c>
      <c r="AM208" s="17" t="s">
        <v>58</v>
      </c>
      <c r="AN208" s="17" t="s">
        <v>58</v>
      </c>
    </row>
    <row r="209" spans="1:229" hidden="1">
      <c r="B209" s="88">
        <f t="shared" si="36"/>
        <v>150</v>
      </c>
      <c r="C209" s="16">
        <v>20200819</v>
      </c>
      <c r="D209" s="16" t="s">
        <v>2</v>
      </c>
      <c r="E209" s="85" t="s">
        <v>877</v>
      </c>
      <c r="F209" s="80" t="s">
        <v>886</v>
      </c>
      <c r="G209" s="47"/>
      <c r="H209" s="16" t="s">
        <v>973</v>
      </c>
      <c r="I209" s="18" t="s">
        <v>746</v>
      </c>
      <c r="J209" s="16" t="s">
        <v>208</v>
      </c>
      <c r="K209" s="47"/>
      <c r="L209" s="80"/>
      <c r="M209" s="47"/>
      <c r="N209" s="16" t="s">
        <v>891</v>
      </c>
      <c r="O209" s="80" t="s">
        <v>170</v>
      </c>
      <c r="P209" s="80" t="s">
        <v>865</v>
      </c>
      <c r="Q209" s="18"/>
      <c r="R209" s="16" t="s">
        <v>200</v>
      </c>
      <c r="S209" s="16" t="s">
        <v>63</v>
      </c>
      <c r="T209" s="16" t="s">
        <v>66</v>
      </c>
      <c r="U209" s="16" t="s">
        <v>0</v>
      </c>
      <c r="V209" s="16"/>
      <c r="W209" s="16">
        <f>ROUND(IF(D209=Table!$C$3,Y209*Table!$C$4/8,Y209*Table!$D$4/8),3)</f>
        <v>75.400000000000006</v>
      </c>
      <c r="X209" s="191">
        <f t="shared" ref="X209:X223" si="37">W209</f>
        <v>75.400000000000006</v>
      </c>
      <c r="Y209" s="191">
        <v>4.6399999999999997</v>
      </c>
      <c r="Z209" s="191">
        <f t="shared" ref="Z209:Z223" si="38">Y209</f>
        <v>4.6399999999999997</v>
      </c>
      <c r="AA209" s="16" t="s">
        <v>21</v>
      </c>
      <c r="AB209" s="81">
        <v>44071</v>
      </c>
      <c r="AC209" s="81">
        <v>44063</v>
      </c>
      <c r="AD209" s="81">
        <v>44074</v>
      </c>
      <c r="AE209" s="81">
        <v>44064</v>
      </c>
      <c r="AF209" s="81">
        <v>44064</v>
      </c>
      <c r="AG209" s="81" t="s">
        <v>155</v>
      </c>
      <c r="AH209" s="82">
        <v>1</v>
      </c>
      <c r="AI209" s="82">
        <v>1</v>
      </c>
      <c r="AJ209" s="82" t="s">
        <v>213</v>
      </c>
      <c r="AK209" s="87" t="s">
        <v>140</v>
      </c>
      <c r="AL209" s="84"/>
      <c r="AM209" s="17"/>
      <c r="AN209" s="17"/>
    </row>
    <row r="210" spans="1:229" hidden="1">
      <c r="B210" s="88">
        <f t="shared" si="36"/>
        <v>151</v>
      </c>
      <c r="C210" s="16">
        <v>20200819</v>
      </c>
      <c r="D210" s="16" t="s">
        <v>2</v>
      </c>
      <c r="E210" s="85" t="s">
        <v>877</v>
      </c>
      <c r="F210" s="80" t="s">
        <v>886</v>
      </c>
      <c r="G210" s="47"/>
      <c r="H210" s="16" t="s">
        <v>974</v>
      </c>
      <c r="I210" s="18" t="s">
        <v>747</v>
      </c>
      <c r="J210" s="16" t="s">
        <v>208</v>
      </c>
      <c r="K210" s="47"/>
      <c r="L210" s="80"/>
      <c r="M210" s="47"/>
      <c r="N210" s="16" t="s">
        <v>891</v>
      </c>
      <c r="O210" s="80" t="s">
        <v>819</v>
      </c>
      <c r="P210" s="80" t="s">
        <v>865</v>
      </c>
      <c r="Q210" s="18"/>
      <c r="R210" s="16" t="s">
        <v>200</v>
      </c>
      <c r="S210" s="16" t="s">
        <v>63</v>
      </c>
      <c r="T210" s="16" t="s">
        <v>66</v>
      </c>
      <c r="U210" s="16" t="s">
        <v>0</v>
      </c>
      <c r="V210" s="16"/>
      <c r="W210" s="16">
        <f>ROUND(IF(D210=Table!$C$3,Y210*Table!$C$4/8,Y210*Table!$D$4/8),3)</f>
        <v>92.3</v>
      </c>
      <c r="X210" s="191">
        <f t="shared" si="37"/>
        <v>92.3</v>
      </c>
      <c r="Y210" s="191">
        <v>5.68</v>
      </c>
      <c r="Z210" s="191">
        <f t="shared" si="38"/>
        <v>5.68</v>
      </c>
      <c r="AA210" s="16" t="s">
        <v>21</v>
      </c>
      <c r="AB210" s="81">
        <v>44071</v>
      </c>
      <c r="AC210" s="81">
        <v>44063</v>
      </c>
      <c r="AD210" s="81">
        <v>44074</v>
      </c>
      <c r="AE210" s="81">
        <v>44064</v>
      </c>
      <c r="AF210" s="81">
        <v>44064</v>
      </c>
      <c r="AG210" s="81" t="s">
        <v>155</v>
      </c>
      <c r="AH210" s="82">
        <v>1</v>
      </c>
      <c r="AI210" s="82">
        <v>1</v>
      </c>
      <c r="AJ210" s="82">
        <v>1</v>
      </c>
      <c r="AK210" s="87" t="s">
        <v>140</v>
      </c>
      <c r="AL210" s="84"/>
      <c r="AM210" s="17"/>
      <c r="AN210" s="17"/>
    </row>
    <row r="211" spans="1:229" s="149" customFormat="1" hidden="1">
      <c r="A211" s="111"/>
      <c r="B211" s="88">
        <f t="shared" si="36"/>
        <v>152</v>
      </c>
      <c r="C211" s="16">
        <v>20200819</v>
      </c>
      <c r="D211" s="16" t="s">
        <v>2</v>
      </c>
      <c r="E211" s="85" t="s">
        <v>877</v>
      </c>
      <c r="F211" s="80" t="s">
        <v>886</v>
      </c>
      <c r="G211" s="47"/>
      <c r="H211" s="16" t="s">
        <v>975</v>
      </c>
      <c r="I211" s="301" t="s">
        <v>386</v>
      </c>
      <c r="J211" s="16" t="s">
        <v>1044</v>
      </c>
      <c r="K211" s="80"/>
      <c r="L211" s="80"/>
      <c r="M211" s="80"/>
      <c r="N211" s="16" t="s">
        <v>891</v>
      </c>
      <c r="O211" s="80" t="s">
        <v>209</v>
      </c>
      <c r="P211" s="80" t="s">
        <v>455</v>
      </c>
      <c r="Q211" s="16"/>
      <c r="R211" s="16" t="s">
        <v>200</v>
      </c>
      <c r="S211" s="16" t="s">
        <v>63</v>
      </c>
      <c r="T211" s="16" t="s">
        <v>66</v>
      </c>
      <c r="U211" s="16" t="s">
        <v>0</v>
      </c>
      <c r="V211" s="16"/>
      <c r="W211" s="16">
        <f>ROUND(IF(D211=Table!$C$3,Y211*Table!$C$4/8,Y211*Table!$D$4/8),3)</f>
        <v>59.8</v>
      </c>
      <c r="X211" s="191">
        <f t="shared" si="37"/>
        <v>59.8</v>
      </c>
      <c r="Y211" s="211">
        <v>3.68</v>
      </c>
      <c r="Z211" s="191">
        <f t="shared" si="38"/>
        <v>3.68</v>
      </c>
      <c r="AA211" s="191" t="s">
        <v>21</v>
      </c>
      <c r="AB211" s="81">
        <v>44071</v>
      </c>
      <c r="AC211" s="81">
        <v>44063</v>
      </c>
      <c r="AD211" s="81">
        <v>44074</v>
      </c>
      <c r="AE211" s="81">
        <v>44068</v>
      </c>
      <c r="AF211" s="81">
        <v>44068</v>
      </c>
      <c r="AG211" s="81" t="s">
        <v>155</v>
      </c>
      <c r="AH211" s="82">
        <v>1</v>
      </c>
      <c r="AI211" s="82">
        <v>1</v>
      </c>
      <c r="AJ211" s="82">
        <v>0.308</v>
      </c>
      <c r="AK211" s="297" t="s">
        <v>140</v>
      </c>
      <c r="AL211" s="280"/>
      <c r="AM211" s="82"/>
      <c r="AN211" s="82"/>
      <c r="AO211" s="281"/>
      <c r="AP211" s="281"/>
      <c r="AQ211" s="281"/>
      <c r="AR211" s="281"/>
      <c r="AS211" s="281"/>
      <c r="AT211" s="281"/>
      <c r="AU211" s="281"/>
      <c r="AV211" s="281"/>
      <c r="AW211" s="281"/>
      <c r="AX211" s="281"/>
      <c r="AY211" s="281"/>
      <c r="AZ211" s="281"/>
      <c r="BA211" s="281"/>
      <c r="BB211" s="281"/>
      <c r="BC211" s="281"/>
      <c r="BD211" s="281"/>
      <c r="BE211" s="281"/>
      <c r="BF211" s="281"/>
      <c r="BG211" s="281"/>
      <c r="BH211" s="281"/>
      <c r="BI211" s="281"/>
      <c r="BJ211" s="281"/>
      <c r="BK211" s="281"/>
      <c r="BL211" s="281"/>
      <c r="BM211" s="281"/>
      <c r="BN211" s="281"/>
      <c r="BO211" s="281"/>
      <c r="BP211" s="281"/>
      <c r="BQ211" s="281"/>
      <c r="BR211" s="281"/>
      <c r="BS211" s="281"/>
      <c r="BT211" s="281"/>
      <c r="BU211" s="281"/>
      <c r="BV211" s="281"/>
      <c r="BW211" s="281"/>
      <c r="BX211" s="281"/>
      <c r="BY211" s="281"/>
      <c r="BZ211" s="281"/>
      <c r="CA211" s="281"/>
      <c r="CB211" s="281"/>
      <c r="CC211" s="281"/>
      <c r="CD211" s="281"/>
      <c r="CE211" s="281"/>
      <c r="CF211" s="281"/>
      <c r="CG211" s="281"/>
      <c r="CH211" s="281"/>
      <c r="CI211" s="281"/>
      <c r="CJ211" s="281"/>
      <c r="CK211" s="281"/>
      <c r="CL211" s="281"/>
      <c r="CM211" s="281"/>
      <c r="CN211" s="281"/>
      <c r="CO211" s="281"/>
      <c r="CP211" s="281"/>
      <c r="CQ211" s="281"/>
      <c r="CR211" s="281"/>
      <c r="CS211" s="281"/>
      <c r="CT211" s="281"/>
      <c r="CU211" s="281"/>
      <c r="CV211" s="281"/>
      <c r="CW211" s="281"/>
      <c r="CX211" s="281"/>
      <c r="CY211" s="281"/>
      <c r="CZ211" s="281"/>
      <c r="DA211" s="281"/>
      <c r="DB211" s="281"/>
      <c r="DC211" s="281"/>
      <c r="DD211" s="281"/>
      <c r="DE211" s="281"/>
      <c r="DF211" s="281"/>
      <c r="DG211" s="281"/>
      <c r="DH211" s="281"/>
      <c r="DI211" s="281"/>
      <c r="DJ211" s="281"/>
      <c r="DK211" s="281"/>
      <c r="DL211" s="281"/>
      <c r="DM211" s="281"/>
      <c r="DN211" s="281"/>
      <c r="DO211" s="281"/>
      <c r="DP211" s="281"/>
      <c r="DQ211" s="281"/>
      <c r="DR211" s="281"/>
      <c r="DS211" s="281"/>
      <c r="DT211" s="281"/>
      <c r="DU211" s="281"/>
      <c r="DV211" s="281"/>
      <c r="DW211" s="281"/>
      <c r="DX211" s="281"/>
      <c r="DY211" s="281"/>
      <c r="DZ211" s="281"/>
      <c r="EA211" s="281"/>
      <c r="EB211" s="281"/>
      <c r="EC211" s="281"/>
      <c r="ED211" s="281"/>
      <c r="EE211" s="281"/>
      <c r="EF211" s="281"/>
      <c r="EG211" s="281"/>
      <c r="EH211" s="281"/>
      <c r="EI211" s="281"/>
      <c r="EJ211" s="281"/>
      <c r="EK211" s="281"/>
      <c r="EL211" s="281"/>
      <c r="EM211" s="281"/>
      <c r="EN211" s="281"/>
      <c r="EO211" s="281"/>
      <c r="EP211" s="281"/>
      <c r="EQ211" s="281"/>
      <c r="ER211" s="281"/>
      <c r="ES211" s="281"/>
      <c r="ET211" s="281"/>
      <c r="EU211" s="281"/>
      <c r="EV211" s="281"/>
      <c r="EW211" s="281"/>
      <c r="EX211" s="281"/>
      <c r="EY211" s="281"/>
      <c r="EZ211" s="281"/>
      <c r="FA211" s="281"/>
      <c r="FB211" s="281"/>
      <c r="FC211" s="281"/>
      <c r="FD211" s="281"/>
      <c r="FE211" s="281"/>
      <c r="FF211" s="281"/>
      <c r="FG211" s="281"/>
      <c r="FH211" s="281"/>
      <c r="FI211" s="281"/>
      <c r="FJ211" s="281"/>
      <c r="FK211" s="281"/>
      <c r="FL211" s="281"/>
      <c r="FM211" s="281"/>
      <c r="FN211" s="281"/>
      <c r="FO211" s="281"/>
      <c r="FP211" s="281"/>
      <c r="FQ211" s="281"/>
      <c r="FR211" s="281"/>
      <c r="FS211" s="281"/>
      <c r="FT211" s="281"/>
      <c r="FU211" s="281"/>
      <c r="FV211" s="281"/>
      <c r="FW211" s="281"/>
      <c r="FX211" s="281"/>
      <c r="FY211" s="281"/>
      <c r="FZ211" s="281"/>
      <c r="GA211" s="281"/>
      <c r="GB211" s="281"/>
      <c r="GC211" s="281"/>
      <c r="GD211" s="281"/>
      <c r="GE211" s="281"/>
      <c r="GF211" s="281"/>
      <c r="GG211" s="281"/>
      <c r="GH211" s="281"/>
      <c r="GI211" s="281"/>
      <c r="GJ211" s="281"/>
      <c r="GK211" s="281"/>
      <c r="GL211" s="281"/>
      <c r="GM211" s="281"/>
      <c r="GN211" s="281"/>
      <c r="GO211" s="281"/>
      <c r="GP211" s="281"/>
      <c r="GQ211" s="281"/>
      <c r="GR211" s="281"/>
      <c r="GS211" s="281"/>
      <c r="GT211" s="281"/>
      <c r="GU211" s="281"/>
      <c r="GV211" s="281"/>
      <c r="GW211" s="281"/>
      <c r="GX211" s="281"/>
      <c r="GY211" s="281"/>
      <c r="GZ211" s="281"/>
      <c r="HA211" s="281"/>
      <c r="HB211" s="281"/>
      <c r="HC211" s="281"/>
      <c r="HD211" s="281"/>
      <c r="HE211" s="281"/>
      <c r="HF211" s="281"/>
      <c r="HG211" s="281"/>
      <c r="HH211" s="281"/>
      <c r="HI211" s="281"/>
      <c r="HJ211" s="281"/>
      <c r="HK211" s="281"/>
      <c r="HL211" s="281"/>
      <c r="HM211" s="281"/>
      <c r="HN211" s="281"/>
      <c r="HO211" s="281"/>
      <c r="HP211" s="281"/>
      <c r="HQ211" s="281"/>
      <c r="HR211" s="281"/>
      <c r="HS211" s="281"/>
      <c r="HT211" s="281"/>
      <c r="HU211" s="281"/>
    </row>
    <row r="212" spans="1:229" hidden="1">
      <c r="B212" s="88">
        <f t="shared" si="36"/>
        <v>153</v>
      </c>
      <c r="C212" s="16">
        <v>20200819</v>
      </c>
      <c r="D212" s="16" t="s">
        <v>2</v>
      </c>
      <c r="E212" s="85" t="s">
        <v>877</v>
      </c>
      <c r="F212" s="80" t="s">
        <v>886</v>
      </c>
      <c r="G212" s="47"/>
      <c r="H212" s="16" t="s">
        <v>976</v>
      </c>
      <c r="I212" s="301" t="s">
        <v>387</v>
      </c>
      <c r="J212" s="16" t="s">
        <v>1044</v>
      </c>
      <c r="K212" s="47"/>
      <c r="L212" s="80"/>
      <c r="M212" s="47"/>
      <c r="N212" s="16" t="s">
        <v>891</v>
      </c>
      <c r="O212" s="80" t="s">
        <v>831</v>
      </c>
      <c r="P212" s="80" t="s">
        <v>455</v>
      </c>
      <c r="Q212" s="18"/>
      <c r="R212" s="16" t="s">
        <v>200</v>
      </c>
      <c r="S212" s="16" t="s">
        <v>63</v>
      </c>
      <c r="T212" s="16" t="s">
        <v>66</v>
      </c>
      <c r="U212" s="16" t="s">
        <v>0</v>
      </c>
      <c r="V212" s="16"/>
      <c r="W212" s="16">
        <f>ROUND(IF(D212=Table!$C$3,Y212*Table!$C$4/8,Y212*Table!$D$4/8),3)</f>
        <v>59.8</v>
      </c>
      <c r="X212" s="191">
        <f t="shared" si="37"/>
        <v>59.8</v>
      </c>
      <c r="Y212" s="211">
        <v>3.68</v>
      </c>
      <c r="Z212" s="191">
        <f t="shared" si="38"/>
        <v>3.68</v>
      </c>
      <c r="AA212" s="191" t="s">
        <v>21</v>
      </c>
      <c r="AB212" s="81">
        <v>44071</v>
      </c>
      <c r="AC212" s="81">
        <v>44063</v>
      </c>
      <c r="AD212" s="81">
        <v>44074</v>
      </c>
      <c r="AE212" s="81">
        <v>44068</v>
      </c>
      <c r="AF212" s="81">
        <v>44068</v>
      </c>
      <c r="AG212" s="81" t="s">
        <v>155</v>
      </c>
      <c r="AH212" s="82">
        <v>1</v>
      </c>
      <c r="AI212" s="82">
        <v>1</v>
      </c>
      <c r="AJ212" s="82">
        <v>0.46200000000000002</v>
      </c>
      <c r="AK212" s="297" t="s">
        <v>140</v>
      </c>
      <c r="AL212" s="282"/>
      <c r="AM212" s="30"/>
      <c r="AN212" s="30"/>
      <c r="AO212" s="89"/>
      <c r="AP212" s="89"/>
      <c r="AQ212" s="89"/>
      <c r="AR212" s="89"/>
      <c r="AS212" s="89"/>
      <c r="AT212" s="89"/>
      <c r="AU212" s="89"/>
      <c r="AV212" s="89"/>
      <c r="AW212" s="89"/>
      <c r="AX212" s="89"/>
      <c r="AY212" s="89"/>
      <c r="AZ212" s="89"/>
      <c r="BA212" s="89"/>
      <c r="BB212" s="89"/>
      <c r="BC212" s="89"/>
      <c r="BD212" s="89"/>
      <c r="BE212" s="89"/>
      <c r="BF212" s="89"/>
      <c r="BG212" s="89"/>
      <c r="BH212" s="89"/>
      <c r="BI212" s="89"/>
      <c r="BJ212" s="89"/>
      <c r="BK212" s="89"/>
      <c r="BL212" s="89"/>
      <c r="BM212" s="89"/>
      <c r="BN212" s="89"/>
      <c r="BO212" s="89"/>
      <c r="BP212" s="89"/>
      <c r="BQ212" s="89"/>
      <c r="BR212" s="89"/>
      <c r="BS212" s="89"/>
      <c r="BT212" s="89"/>
      <c r="BU212" s="89"/>
      <c r="BV212" s="89"/>
      <c r="BW212" s="89"/>
      <c r="BX212" s="89"/>
      <c r="BY212" s="89"/>
      <c r="BZ212" s="89"/>
      <c r="CA212" s="89"/>
      <c r="CB212" s="89"/>
      <c r="CC212" s="89"/>
      <c r="CD212" s="89"/>
      <c r="CE212" s="89"/>
      <c r="CF212" s="89"/>
      <c r="CG212" s="89"/>
      <c r="CH212" s="89"/>
      <c r="CI212" s="89"/>
      <c r="CJ212" s="89"/>
      <c r="CK212" s="89"/>
      <c r="CL212" s="89"/>
      <c r="CM212" s="89"/>
      <c r="CN212" s="89"/>
      <c r="CO212" s="89"/>
      <c r="CP212" s="89"/>
      <c r="CQ212" s="89"/>
      <c r="CR212" s="89"/>
      <c r="CS212" s="89"/>
      <c r="CT212" s="89"/>
      <c r="CU212" s="89"/>
      <c r="CV212" s="89"/>
      <c r="CW212" s="89"/>
      <c r="CX212" s="89"/>
      <c r="CY212" s="89"/>
      <c r="CZ212" s="89"/>
      <c r="DA212" s="89"/>
      <c r="DB212" s="89"/>
      <c r="DC212" s="89"/>
      <c r="DD212" s="89"/>
      <c r="DE212" s="89"/>
      <c r="DF212" s="89"/>
      <c r="DG212" s="89"/>
      <c r="DH212" s="89"/>
      <c r="DI212" s="89"/>
      <c r="DJ212" s="89"/>
      <c r="DK212" s="89"/>
      <c r="DL212" s="89"/>
      <c r="DM212" s="89"/>
      <c r="DN212" s="89"/>
      <c r="DO212" s="89"/>
      <c r="DP212" s="89"/>
      <c r="DQ212" s="89"/>
      <c r="DR212" s="89"/>
      <c r="DS212" s="89"/>
      <c r="DT212" s="89"/>
      <c r="DU212" s="89"/>
      <c r="DV212" s="89"/>
      <c r="DW212" s="89"/>
      <c r="DX212" s="89"/>
      <c r="DY212" s="89"/>
      <c r="DZ212" s="89"/>
      <c r="EA212" s="89"/>
      <c r="EB212" s="89"/>
      <c r="EC212" s="89"/>
      <c r="ED212" s="89"/>
      <c r="EE212" s="89"/>
      <c r="EF212" s="89"/>
      <c r="EG212" s="89"/>
      <c r="EH212" s="89"/>
      <c r="EI212" s="89"/>
      <c r="EJ212" s="89"/>
      <c r="EK212" s="89"/>
      <c r="EL212" s="89"/>
      <c r="EM212" s="89"/>
      <c r="EN212" s="89"/>
      <c r="EO212" s="89"/>
      <c r="EP212" s="89"/>
      <c r="EQ212" s="89"/>
      <c r="ER212" s="89"/>
      <c r="ES212" s="89"/>
      <c r="ET212" s="89"/>
      <c r="EU212" s="89"/>
      <c r="EV212" s="89"/>
      <c r="EW212" s="89"/>
      <c r="EX212" s="89"/>
      <c r="EY212" s="89"/>
      <c r="EZ212" s="89"/>
      <c r="FA212" s="89"/>
      <c r="FB212" s="89"/>
      <c r="FC212" s="89"/>
      <c r="FD212" s="89"/>
      <c r="FE212" s="89"/>
      <c r="FF212" s="89"/>
      <c r="FG212" s="89"/>
      <c r="FH212" s="89"/>
      <c r="FI212" s="89"/>
      <c r="FJ212" s="89"/>
      <c r="FK212" s="89"/>
      <c r="FL212" s="89"/>
      <c r="FM212" s="89"/>
      <c r="FN212" s="89"/>
      <c r="FO212" s="89"/>
      <c r="FP212" s="89"/>
      <c r="FQ212" s="89"/>
      <c r="FR212" s="89"/>
      <c r="FS212" s="89"/>
      <c r="FT212" s="89"/>
      <c r="FU212" s="89"/>
      <c r="FV212" s="89"/>
      <c r="FW212" s="89"/>
      <c r="FX212" s="89"/>
      <c r="FY212" s="89"/>
      <c r="FZ212" s="89"/>
      <c r="GA212" s="89"/>
      <c r="GB212" s="89"/>
      <c r="GC212" s="89"/>
      <c r="GD212" s="89"/>
      <c r="GE212" s="89"/>
      <c r="GF212" s="89"/>
      <c r="GG212" s="89"/>
      <c r="GH212" s="89"/>
      <c r="GI212" s="89"/>
      <c r="GJ212" s="89"/>
      <c r="GK212" s="89"/>
      <c r="GL212" s="89"/>
      <c r="GM212" s="89"/>
      <c r="GN212" s="89"/>
      <c r="GO212" s="89"/>
      <c r="GP212" s="89"/>
      <c r="GQ212" s="89"/>
      <c r="GR212" s="89"/>
      <c r="GS212" s="89"/>
      <c r="GT212" s="89"/>
      <c r="GU212" s="89"/>
      <c r="GV212" s="89"/>
      <c r="GW212" s="89"/>
      <c r="GX212" s="89"/>
      <c r="GY212" s="89"/>
      <c r="GZ212" s="89"/>
      <c r="HA212" s="89"/>
      <c r="HB212" s="89"/>
      <c r="HC212" s="89"/>
      <c r="HD212" s="89"/>
      <c r="HE212" s="89"/>
      <c r="HF212" s="89"/>
      <c r="HG212" s="89"/>
      <c r="HH212" s="89"/>
      <c r="HI212" s="89"/>
      <c r="HJ212" s="89"/>
      <c r="HK212" s="89"/>
      <c r="HL212" s="89"/>
      <c r="HM212" s="89"/>
      <c r="HN212" s="89"/>
      <c r="HO212" s="89"/>
      <c r="HP212" s="89"/>
      <c r="HQ212" s="89"/>
      <c r="HR212" s="89"/>
      <c r="HS212" s="89"/>
      <c r="HT212" s="89"/>
      <c r="HU212" s="89"/>
    </row>
    <row r="213" spans="1:229" hidden="1">
      <c r="B213" s="88">
        <f t="shared" si="36"/>
        <v>154</v>
      </c>
      <c r="C213" s="16">
        <v>20200819</v>
      </c>
      <c r="D213" s="16" t="s">
        <v>2</v>
      </c>
      <c r="E213" s="85" t="s">
        <v>877</v>
      </c>
      <c r="F213" s="80" t="s">
        <v>886</v>
      </c>
      <c r="G213" s="47"/>
      <c r="H213" s="16" t="s">
        <v>977</v>
      </c>
      <c r="I213" s="301" t="s">
        <v>388</v>
      </c>
      <c r="J213" s="16" t="s">
        <v>1043</v>
      </c>
      <c r="K213" s="47"/>
      <c r="L213" s="80"/>
      <c r="M213" s="47"/>
      <c r="N213" s="16" t="s">
        <v>891</v>
      </c>
      <c r="O213" s="80" t="s">
        <v>209</v>
      </c>
      <c r="P213" s="80" t="s">
        <v>455</v>
      </c>
      <c r="Q213" s="18"/>
      <c r="R213" s="16" t="s">
        <v>200</v>
      </c>
      <c r="S213" s="16" t="s">
        <v>63</v>
      </c>
      <c r="T213" s="16" t="s">
        <v>66</v>
      </c>
      <c r="U213" s="16" t="s">
        <v>0</v>
      </c>
      <c r="V213" s="16"/>
      <c r="W213" s="16">
        <f>ROUND(IF(D213=Table!$C$3,Y213*Table!$C$4/8,Y213*Table!$D$4/8),3)</f>
        <v>26</v>
      </c>
      <c r="X213" s="191">
        <f t="shared" si="37"/>
        <v>26</v>
      </c>
      <c r="Y213" s="191">
        <v>1.6</v>
      </c>
      <c r="Z213" s="191">
        <f t="shared" si="38"/>
        <v>1.6</v>
      </c>
      <c r="AA213" s="191" t="s">
        <v>21</v>
      </c>
      <c r="AB213" s="81">
        <v>44071</v>
      </c>
      <c r="AC213" s="81">
        <v>44063</v>
      </c>
      <c r="AD213" s="81">
        <v>44074</v>
      </c>
      <c r="AE213" s="81">
        <v>44068</v>
      </c>
      <c r="AF213" s="81">
        <v>44068</v>
      </c>
      <c r="AG213" s="81" t="s">
        <v>155</v>
      </c>
      <c r="AH213" s="82">
        <v>1</v>
      </c>
      <c r="AI213" s="82">
        <v>1</v>
      </c>
      <c r="AJ213" s="82">
        <v>0.27800000000000002</v>
      </c>
      <c r="AK213" s="297" t="s">
        <v>140</v>
      </c>
      <c r="AL213" s="283"/>
      <c r="AM213" s="30"/>
      <c r="AN213" s="30"/>
      <c r="AO213" s="89"/>
      <c r="AP213" s="89"/>
      <c r="AQ213" s="89"/>
      <c r="AR213" s="89"/>
      <c r="AS213" s="89"/>
      <c r="AT213" s="89"/>
      <c r="AU213" s="89"/>
      <c r="AV213" s="89"/>
      <c r="AW213" s="89"/>
      <c r="AX213" s="89"/>
      <c r="AY213" s="89"/>
      <c r="AZ213" s="89"/>
      <c r="BA213" s="89"/>
      <c r="BB213" s="89"/>
      <c r="BC213" s="89"/>
      <c r="BD213" s="89"/>
      <c r="BE213" s="89"/>
      <c r="BF213" s="89"/>
      <c r="BG213" s="89"/>
      <c r="BH213" s="89"/>
      <c r="BI213" s="89"/>
      <c r="BJ213" s="89"/>
      <c r="BK213" s="89"/>
      <c r="BL213" s="89"/>
      <c r="BM213" s="89"/>
      <c r="BN213" s="89"/>
      <c r="BO213" s="89"/>
      <c r="BP213" s="89"/>
      <c r="BQ213" s="89"/>
      <c r="BR213" s="89"/>
      <c r="BS213" s="89"/>
      <c r="BT213" s="89"/>
      <c r="BU213" s="89"/>
      <c r="BV213" s="89"/>
      <c r="BW213" s="89"/>
      <c r="BX213" s="89"/>
      <c r="BY213" s="89"/>
      <c r="BZ213" s="89"/>
      <c r="CA213" s="89"/>
      <c r="CB213" s="89"/>
      <c r="CC213" s="89"/>
      <c r="CD213" s="89"/>
      <c r="CE213" s="89"/>
      <c r="CF213" s="89"/>
      <c r="CG213" s="89"/>
      <c r="CH213" s="89"/>
      <c r="CI213" s="89"/>
      <c r="CJ213" s="89"/>
      <c r="CK213" s="89"/>
      <c r="CL213" s="89"/>
      <c r="CM213" s="89"/>
      <c r="CN213" s="89"/>
      <c r="CO213" s="89"/>
      <c r="CP213" s="89"/>
      <c r="CQ213" s="89"/>
      <c r="CR213" s="89"/>
      <c r="CS213" s="89"/>
      <c r="CT213" s="89"/>
      <c r="CU213" s="89"/>
      <c r="CV213" s="89"/>
      <c r="CW213" s="89"/>
      <c r="CX213" s="89"/>
      <c r="CY213" s="89"/>
      <c r="CZ213" s="89"/>
      <c r="DA213" s="89"/>
      <c r="DB213" s="89"/>
      <c r="DC213" s="89"/>
      <c r="DD213" s="89"/>
      <c r="DE213" s="89"/>
      <c r="DF213" s="89"/>
      <c r="DG213" s="89"/>
      <c r="DH213" s="89"/>
      <c r="DI213" s="89"/>
      <c r="DJ213" s="89"/>
      <c r="DK213" s="89"/>
      <c r="DL213" s="89"/>
      <c r="DM213" s="89"/>
      <c r="DN213" s="89"/>
      <c r="DO213" s="89"/>
      <c r="DP213" s="89"/>
      <c r="DQ213" s="89"/>
      <c r="DR213" s="89"/>
      <c r="DS213" s="89"/>
      <c r="DT213" s="89"/>
      <c r="DU213" s="89"/>
      <c r="DV213" s="89"/>
      <c r="DW213" s="89"/>
      <c r="DX213" s="89"/>
      <c r="DY213" s="89"/>
      <c r="DZ213" s="89"/>
      <c r="EA213" s="89"/>
      <c r="EB213" s="89"/>
      <c r="EC213" s="89"/>
      <c r="ED213" s="89"/>
      <c r="EE213" s="89"/>
      <c r="EF213" s="89"/>
      <c r="EG213" s="89"/>
      <c r="EH213" s="89"/>
      <c r="EI213" s="89"/>
      <c r="EJ213" s="89"/>
      <c r="EK213" s="89"/>
      <c r="EL213" s="89"/>
      <c r="EM213" s="89"/>
      <c r="EN213" s="89"/>
      <c r="EO213" s="89"/>
      <c r="EP213" s="89"/>
      <c r="EQ213" s="89"/>
      <c r="ER213" s="89"/>
      <c r="ES213" s="89"/>
      <c r="ET213" s="89"/>
      <c r="EU213" s="89"/>
      <c r="EV213" s="89"/>
      <c r="EW213" s="89"/>
      <c r="EX213" s="89"/>
      <c r="EY213" s="89"/>
      <c r="EZ213" s="89"/>
      <c r="FA213" s="89"/>
      <c r="FB213" s="89"/>
      <c r="FC213" s="89"/>
      <c r="FD213" s="89"/>
      <c r="FE213" s="89"/>
      <c r="FF213" s="89"/>
      <c r="FG213" s="89"/>
      <c r="FH213" s="89"/>
      <c r="FI213" s="89"/>
      <c r="FJ213" s="89"/>
      <c r="FK213" s="89"/>
      <c r="FL213" s="89"/>
      <c r="FM213" s="89"/>
      <c r="FN213" s="89"/>
      <c r="FO213" s="89"/>
      <c r="FP213" s="89"/>
      <c r="FQ213" s="89"/>
      <c r="FR213" s="89"/>
      <c r="FS213" s="89"/>
      <c r="FT213" s="89"/>
      <c r="FU213" s="89"/>
      <c r="FV213" s="89"/>
      <c r="FW213" s="89"/>
      <c r="FX213" s="89"/>
      <c r="FY213" s="89"/>
      <c r="FZ213" s="89"/>
      <c r="GA213" s="89"/>
      <c r="GB213" s="89"/>
      <c r="GC213" s="89"/>
      <c r="GD213" s="89"/>
      <c r="GE213" s="89"/>
      <c r="GF213" s="89"/>
      <c r="GG213" s="89"/>
      <c r="GH213" s="89"/>
      <c r="GI213" s="89"/>
      <c r="GJ213" s="89"/>
      <c r="GK213" s="89"/>
      <c r="GL213" s="89"/>
      <c r="GM213" s="89"/>
      <c r="GN213" s="89"/>
      <c r="GO213" s="89"/>
      <c r="GP213" s="89"/>
      <c r="GQ213" s="89"/>
      <c r="GR213" s="89"/>
      <c r="GS213" s="89"/>
      <c r="GT213" s="89"/>
      <c r="GU213" s="89"/>
      <c r="GV213" s="89"/>
      <c r="GW213" s="89"/>
      <c r="GX213" s="89"/>
      <c r="GY213" s="89"/>
      <c r="GZ213" s="89"/>
      <c r="HA213" s="89"/>
      <c r="HB213" s="89"/>
      <c r="HC213" s="89"/>
      <c r="HD213" s="89"/>
      <c r="HE213" s="89"/>
      <c r="HF213" s="89"/>
      <c r="HG213" s="89"/>
      <c r="HH213" s="89"/>
      <c r="HI213" s="89"/>
      <c r="HJ213" s="89"/>
      <c r="HK213" s="89"/>
      <c r="HL213" s="89"/>
      <c r="HM213" s="89"/>
      <c r="HN213" s="89"/>
      <c r="HO213" s="89"/>
      <c r="HP213" s="89"/>
      <c r="HQ213" s="89"/>
      <c r="HR213" s="89"/>
      <c r="HS213" s="89"/>
      <c r="HT213" s="89"/>
      <c r="HU213" s="89"/>
    </row>
    <row r="214" spans="1:229" hidden="1">
      <c r="B214" s="88">
        <f t="shared" si="36"/>
        <v>155</v>
      </c>
      <c r="C214" s="16">
        <v>20200819</v>
      </c>
      <c r="D214" s="16" t="s">
        <v>2</v>
      </c>
      <c r="E214" s="85" t="s">
        <v>877</v>
      </c>
      <c r="F214" s="80" t="s">
        <v>886</v>
      </c>
      <c r="G214" s="47"/>
      <c r="H214" s="16" t="s">
        <v>978</v>
      </c>
      <c r="I214" s="301" t="s">
        <v>748</v>
      </c>
      <c r="J214" s="16" t="s">
        <v>1043</v>
      </c>
      <c r="K214" s="47"/>
      <c r="L214" s="80"/>
      <c r="M214" s="47"/>
      <c r="N214" s="16" t="s">
        <v>891</v>
      </c>
      <c r="O214" s="80" t="s">
        <v>209</v>
      </c>
      <c r="P214" s="80" t="s">
        <v>866</v>
      </c>
      <c r="Q214" s="18"/>
      <c r="R214" s="16" t="s">
        <v>200</v>
      </c>
      <c r="S214" s="16" t="s">
        <v>63</v>
      </c>
      <c r="T214" s="16" t="s">
        <v>66</v>
      </c>
      <c r="U214" s="16" t="s">
        <v>0</v>
      </c>
      <c r="V214" s="16"/>
      <c r="W214" s="16">
        <f>ROUND(IF(D214=Table!$C$3,Y214*Table!$C$4/8,Y214*Table!$D$4/8),3)</f>
        <v>26</v>
      </c>
      <c r="X214" s="191">
        <f t="shared" si="37"/>
        <v>26</v>
      </c>
      <c r="Y214" s="191">
        <v>1.6</v>
      </c>
      <c r="Z214" s="191">
        <f t="shared" si="38"/>
        <v>1.6</v>
      </c>
      <c r="AA214" s="191" t="s">
        <v>21</v>
      </c>
      <c r="AB214" s="81">
        <v>44071</v>
      </c>
      <c r="AC214" s="81">
        <v>44063</v>
      </c>
      <c r="AD214" s="81">
        <v>44074</v>
      </c>
      <c r="AE214" s="81">
        <v>44068</v>
      </c>
      <c r="AF214" s="81">
        <v>44068</v>
      </c>
      <c r="AG214" s="81" t="s">
        <v>155</v>
      </c>
      <c r="AH214" s="82">
        <v>1</v>
      </c>
      <c r="AI214" s="82">
        <v>1</v>
      </c>
      <c r="AJ214" s="82">
        <v>0.83299999999999996</v>
      </c>
      <c r="AK214" s="297" t="s">
        <v>140</v>
      </c>
      <c r="AL214" s="283"/>
      <c r="AM214" s="30"/>
      <c r="AN214" s="30"/>
      <c r="AO214" s="89"/>
      <c r="AP214" s="89"/>
      <c r="AQ214" s="89"/>
      <c r="AR214" s="89"/>
      <c r="AS214" s="89"/>
      <c r="AT214" s="89"/>
      <c r="AU214" s="89"/>
      <c r="AV214" s="89"/>
      <c r="AW214" s="89"/>
      <c r="AX214" s="89"/>
      <c r="AY214" s="89"/>
      <c r="AZ214" s="89"/>
      <c r="BA214" s="89"/>
      <c r="BB214" s="89"/>
      <c r="BC214" s="89"/>
      <c r="BD214" s="89"/>
      <c r="BE214" s="89"/>
      <c r="BF214" s="89"/>
      <c r="BG214" s="89"/>
      <c r="BH214" s="89"/>
      <c r="BI214" s="89"/>
      <c r="BJ214" s="89"/>
      <c r="BK214" s="89"/>
      <c r="BL214" s="89"/>
      <c r="BM214" s="89"/>
      <c r="BN214" s="89"/>
      <c r="BO214" s="89"/>
      <c r="BP214" s="89"/>
      <c r="BQ214" s="89"/>
      <c r="BR214" s="89"/>
      <c r="BS214" s="89"/>
      <c r="BT214" s="89"/>
      <c r="BU214" s="89"/>
      <c r="BV214" s="89"/>
      <c r="BW214" s="89"/>
      <c r="BX214" s="89"/>
      <c r="BY214" s="89"/>
      <c r="BZ214" s="89"/>
      <c r="CA214" s="89"/>
      <c r="CB214" s="89"/>
      <c r="CC214" s="89"/>
      <c r="CD214" s="89"/>
      <c r="CE214" s="89"/>
      <c r="CF214" s="89"/>
      <c r="CG214" s="89"/>
      <c r="CH214" s="89"/>
      <c r="CI214" s="89"/>
      <c r="CJ214" s="89"/>
      <c r="CK214" s="89"/>
      <c r="CL214" s="89"/>
      <c r="CM214" s="89"/>
      <c r="CN214" s="89"/>
      <c r="CO214" s="89"/>
      <c r="CP214" s="89"/>
      <c r="CQ214" s="89"/>
      <c r="CR214" s="89"/>
      <c r="CS214" s="89"/>
      <c r="CT214" s="89"/>
      <c r="CU214" s="89"/>
      <c r="CV214" s="89"/>
      <c r="CW214" s="89"/>
      <c r="CX214" s="89"/>
      <c r="CY214" s="89"/>
      <c r="CZ214" s="89"/>
      <c r="DA214" s="89"/>
      <c r="DB214" s="89"/>
      <c r="DC214" s="89"/>
      <c r="DD214" s="89"/>
      <c r="DE214" s="89"/>
      <c r="DF214" s="89"/>
      <c r="DG214" s="89"/>
      <c r="DH214" s="89"/>
      <c r="DI214" s="89"/>
      <c r="DJ214" s="89"/>
      <c r="DK214" s="89"/>
      <c r="DL214" s="89"/>
      <c r="DM214" s="89"/>
      <c r="DN214" s="89"/>
      <c r="DO214" s="89"/>
      <c r="DP214" s="89"/>
      <c r="DQ214" s="89"/>
      <c r="DR214" s="89"/>
      <c r="DS214" s="89"/>
      <c r="DT214" s="89"/>
      <c r="DU214" s="89"/>
      <c r="DV214" s="89"/>
      <c r="DW214" s="89"/>
      <c r="DX214" s="89"/>
      <c r="DY214" s="89"/>
      <c r="DZ214" s="89"/>
      <c r="EA214" s="89"/>
      <c r="EB214" s="89"/>
      <c r="EC214" s="89"/>
      <c r="ED214" s="89"/>
      <c r="EE214" s="89"/>
      <c r="EF214" s="89"/>
      <c r="EG214" s="89"/>
      <c r="EH214" s="89"/>
      <c r="EI214" s="89"/>
      <c r="EJ214" s="89"/>
      <c r="EK214" s="89"/>
      <c r="EL214" s="89"/>
      <c r="EM214" s="89"/>
      <c r="EN214" s="89"/>
      <c r="EO214" s="89"/>
      <c r="EP214" s="89"/>
      <c r="EQ214" s="89"/>
      <c r="ER214" s="89"/>
      <c r="ES214" s="89"/>
      <c r="ET214" s="89"/>
      <c r="EU214" s="89"/>
      <c r="EV214" s="89"/>
      <c r="EW214" s="89"/>
      <c r="EX214" s="89"/>
      <c r="EY214" s="89"/>
      <c r="EZ214" s="89"/>
      <c r="FA214" s="89"/>
      <c r="FB214" s="89"/>
      <c r="FC214" s="89"/>
      <c r="FD214" s="89"/>
      <c r="FE214" s="89"/>
      <c r="FF214" s="89"/>
      <c r="FG214" s="89"/>
      <c r="FH214" s="89"/>
      <c r="FI214" s="89"/>
      <c r="FJ214" s="89"/>
      <c r="FK214" s="89"/>
      <c r="FL214" s="89"/>
      <c r="FM214" s="89"/>
      <c r="FN214" s="89"/>
      <c r="FO214" s="89"/>
      <c r="FP214" s="89"/>
      <c r="FQ214" s="89"/>
      <c r="FR214" s="89"/>
      <c r="FS214" s="89"/>
      <c r="FT214" s="89"/>
      <c r="FU214" s="89"/>
      <c r="FV214" s="89"/>
      <c r="FW214" s="89"/>
      <c r="FX214" s="89"/>
      <c r="FY214" s="89"/>
      <c r="FZ214" s="89"/>
      <c r="GA214" s="89"/>
      <c r="GB214" s="89"/>
      <c r="GC214" s="89"/>
      <c r="GD214" s="89"/>
      <c r="GE214" s="89"/>
      <c r="GF214" s="89"/>
      <c r="GG214" s="89"/>
      <c r="GH214" s="89"/>
      <c r="GI214" s="89"/>
      <c r="GJ214" s="89"/>
      <c r="GK214" s="89"/>
      <c r="GL214" s="89"/>
      <c r="GM214" s="89"/>
      <c r="GN214" s="89"/>
      <c r="GO214" s="89"/>
      <c r="GP214" s="89"/>
      <c r="GQ214" s="89"/>
      <c r="GR214" s="89"/>
      <c r="GS214" s="89"/>
      <c r="GT214" s="89"/>
      <c r="GU214" s="89"/>
      <c r="GV214" s="89"/>
      <c r="GW214" s="89"/>
      <c r="GX214" s="89"/>
      <c r="GY214" s="89"/>
      <c r="GZ214" s="89"/>
      <c r="HA214" s="89"/>
      <c r="HB214" s="89"/>
      <c r="HC214" s="89"/>
      <c r="HD214" s="89"/>
      <c r="HE214" s="89"/>
      <c r="HF214" s="89"/>
      <c r="HG214" s="89"/>
      <c r="HH214" s="89"/>
      <c r="HI214" s="89"/>
      <c r="HJ214" s="89"/>
      <c r="HK214" s="89"/>
      <c r="HL214" s="89"/>
      <c r="HM214" s="89"/>
      <c r="HN214" s="89"/>
      <c r="HO214" s="89"/>
      <c r="HP214" s="89"/>
      <c r="HQ214" s="89"/>
      <c r="HR214" s="89"/>
      <c r="HS214" s="89"/>
      <c r="HT214" s="89"/>
      <c r="HU214" s="89"/>
    </row>
    <row r="215" spans="1:229" s="111" customFormat="1" hidden="1">
      <c r="B215" s="88">
        <f t="shared" si="36"/>
        <v>156</v>
      </c>
      <c r="C215" s="16">
        <v>20200819</v>
      </c>
      <c r="D215" s="16" t="s">
        <v>2</v>
      </c>
      <c r="E215" s="85" t="s">
        <v>877</v>
      </c>
      <c r="F215" s="80" t="s">
        <v>886</v>
      </c>
      <c r="G215" s="47"/>
      <c r="H215" s="236" t="s">
        <v>979</v>
      </c>
      <c r="I215" s="18" t="s">
        <v>749</v>
      </c>
      <c r="J215" s="16" t="s">
        <v>1043</v>
      </c>
      <c r="K215" s="47"/>
      <c r="L215" s="80"/>
      <c r="M215" s="47"/>
      <c r="N215" s="16" t="s">
        <v>891</v>
      </c>
      <c r="O215" s="80" t="s">
        <v>248</v>
      </c>
      <c r="P215" s="80" t="s">
        <v>866</v>
      </c>
      <c r="Q215" s="18"/>
      <c r="R215" s="16" t="s">
        <v>200</v>
      </c>
      <c r="S215" s="16" t="s">
        <v>63</v>
      </c>
      <c r="T215" s="16" t="s">
        <v>66</v>
      </c>
      <c r="U215" s="16" t="s">
        <v>0</v>
      </c>
      <c r="V215" s="16"/>
      <c r="W215" s="16">
        <f>ROUND(IF(D215=Table!$C$3,Y215*Table!$C$4/8,Y215*Table!$D$4/8),3)</f>
        <v>37.700000000000003</v>
      </c>
      <c r="X215" s="191">
        <f t="shared" si="37"/>
        <v>37.700000000000003</v>
      </c>
      <c r="Y215" s="191">
        <v>2.3199999999999998</v>
      </c>
      <c r="Z215" s="191">
        <f t="shared" si="38"/>
        <v>2.3199999999999998</v>
      </c>
      <c r="AA215" s="191" t="s">
        <v>21</v>
      </c>
      <c r="AB215" s="81">
        <v>44071</v>
      </c>
      <c r="AC215" s="81">
        <v>44063</v>
      </c>
      <c r="AD215" s="81">
        <v>44074</v>
      </c>
      <c r="AE215" s="81">
        <v>44068</v>
      </c>
      <c r="AF215" s="81">
        <v>44068</v>
      </c>
      <c r="AG215" s="81" t="s">
        <v>155</v>
      </c>
      <c r="AH215" s="82">
        <v>1</v>
      </c>
      <c r="AI215" s="82">
        <v>1</v>
      </c>
      <c r="AJ215" s="82" t="s">
        <v>213</v>
      </c>
      <c r="AK215" s="297" t="s">
        <v>140</v>
      </c>
      <c r="AL215" s="284"/>
      <c r="AM215" s="82"/>
      <c r="AN215" s="82"/>
      <c r="AO215" s="281"/>
      <c r="AP215" s="281"/>
      <c r="AQ215" s="281"/>
      <c r="AR215" s="281"/>
      <c r="AS215" s="281"/>
      <c r="AT215" s="281"/>
      <c r="AU215" s="281"/>
      <c r="AV215" s="281"/>
      <c r="AW215" s="281"/>
      <c r="AX215" s="281"/>
      <c r="AY215" s="281"/>
      <c r="AZ215" s="281"/>
      <c r="BA215" s="281"/>
      <c r="BB215" s="281"/>
      <c r="BC215" s="281"/>
      <c r="BD215" s="281"/>
      <c r="BE215" s="281"/>
      <c r="BF215" s="281"/>
      <c r="BG215" s="281"/>
      <c r="BH215" s="281"/>
      <c r="BI215" s="281"/>
      <c r="BJ215" s="281"/>
      <c r="BK215" s="281"/>
      <c r="BL215" s="281"/>
      <c r="BM215" s="281"/>
      <c r="BN215" s="281"/>
      <c r="BO215" s="281"/>
      <c r="BP215" s="281"/>
      <c r="BQ215" s="281"/>
      <c r="BR215" s="281"/>
      <c r="BS215" s="281"/>
      <c r="BT215" s="281"/>
      <c r="BU215" s="281"/>
      <c r="BV215" s="281"/>
      <c r="BW215" s="281"/>
      <c r="BX215" s="281"/>
      <c r="BY215" s="281"/>
      <c r="BZ215" s="281"/>
      <c r="CA215" s="281"/>
      <c r="CB215" s="281"/>
      <c r="CC215" s="281"/>
      <c r="CD215" s="281"/>
      <c r="CE215" s="281"/>
      <c r="CF215" s="281"/>
      <c r="CG215" s="281"/>
      <c r="CH215" s="281"/>
      <c r="CI215" s="281"/>
      <c r="CJ215" s="281"/>
      <c r="CK215" s="281"/>
      <c r="CL215" s="281"/>
      <c r="CM215" s="281"/>
      <c r="CN215" s="281"/>
      <c r="CO215" s="281"/>
      <c r="CP215" s="281"/>
      <c r="CQ215" s="281"/>
      <c r="CR215" s="281"/>
      <c r="CS215" s="281"/>
      <c r="CT215" s="281"/>
      <c r="CU215" s="281"/>
      <c r="CV215" s="281"/>
      <c r="CW215" s="281"/>
      <c r="CX215" s="281"/>
      <c r="CY215" s="281"/>
      <c r="CZ215" s="281"/>
      <c r="DA215" s="281"/>
      <c r="DB215" s="281"/>
      <c r="DC215" s="281"/>
      <c r="DD215" s="281"/>
      <c r="DE215" s="281"/>
      <c r="DF215" s="281"/>
      <c r="DG215" s="281"/>
      <c r="DH215" s="281"/>
      <c r="DI215" s="281"/>
      <c r="DJ215" s="281"/>
      <c r="DK215" s="281"/>
      <c r="DL215" s="281"/>
      <c r="DM215" s="281"/>
      <c r="DN215" s="281"/>
      <c r="DO215" s="281"/>
      <c r="DP215" s="281"/>
      <c r="DQ215" s="281"/>
      <c r="DR215" s="281"/>
      <c r="DS215" s="281"/>
      <c r="DT215" s="281"/>
      <c r="DU215" s="281"/>
      <c r="DV215" s="281"/>
      <c r="DW215" s="281"/>
      <c r="DX215" s="281"/>
      <c r="DY215" s="281"/>
      <c r="DZ215" s="281"/>
      <c r="EA215" s="281"/>
      <c r="EB215" s="281"/>
      <c r="EC215" s="281"/>
      <c r="ED215" s="281"/>
      <c r="EE215" s="281"/>
      <c r="EF215" s="281"/>
      <c r="EG215" s="281"/>
      <c r="EH215" s="281"/>
      <c r="EI215" s="281"/>
      <c r="EJ215" s="281"/>
      <c r="EK215" s="281"/>
      <c r="EL215" s="281"/>
      <c r="EM215" s="281"/>
      <c r="EN215" s="281"/>
      <c r="EO215" s="281"/>
      <c r="EP215" s="281"/>
      <c r="EQ215" s="281"/>
      <c r="ER215" s="281"/>
      <c r="ES215" s="281"/>
      <c r="ET215" s="281"/>
      <c r="EU215" s="281"/>
      <c r="EV215" s="281"/>
      <c r="EW215" s="281"/>
      <c r="EX215" s="281"/>
      <c r="EY215" s="281"/>
      <c r="EZ215" s="281"/>
      <c r="FA215" s="281"/>
      <c r="FB215" s="281"/>
      <c r="FC215" s="281"/>
      <c r="FD215" s="281"/>
      <c r="FE215" s="281"/>
      <c r="FF215" s="281"/>
      <c r="FG215" s="281"/>
      <c r="FH215" s="281"/>
      <c r="FI215" s="281"/>
      <c r="FJ215" s="281"/>
      <c r="FK215" s="281"/>
      <c r="FL215" s="281"/>
      <c r="FM215" s="281"/>
      <c r="FN215" s="281"/>
      <c r="FO215" s="281"/>
      <c r="FP215" s="281"/>
      <c r="FQ215" s="281"/>
      <c r="FR215" s="281"/>
      <c r="FS215" s="281"/>
      <c r="FT215" s="281"/>
      <c r="FU215" s="281"/>
      <c r="FV215" s="281"/>
      <c r="FW215" s="281"/>
      <c r="FX215" s="281"/>
      <c r="FY215" s="281"/>
      <c r="FZ215" s="281"/>
      <c r="GA215" s="281"/>
      <c r="GB215" s="281"/>
      <c r="GC215" s="281"/>
      <c r="GD215" s="281"/>
      <c r="GE215" s="281"/>
      <c r="GF215" s="281"/>
      <c r="GG215" s="281"/>
      <c r="GH215" s="281"/>
      <c r="GI215" s="281"/>
      <c r="GJ215" s="281"/>
      <c r="GK215" s="281"/>
      <c r="GL215" s="281"/>
      <c r="GM215" s="281"/>
      <c r="GN215" s="281"/>
      <c r="GO215" s="281"/>
      <c r="GP215" s="281"/>
      <c r="GQ215" s="281"/>
      <c r="GR215" s="281"/>
      <c r="GS215" s="281"/>
      <c r="GT215" s="281"/>
      <c r="GU215" s="281"/>
      <c r="GV215" s="281"/>
      <c r="GW215" s="281"/>
      <c r="GX215" s="281"/>
      <c r="GY215" s="281"/>
      <c r="GZ215" s="281"/>
      <c r="HA215" s="281"/>
      <c r="HB215" s="281"/>
      <c r="HC215" s="281"/>
      <c r="HD215" s="281"/>
      <c r="HE215" s="281"/>
      <c r="HF215" s="281"/>
      <c r="HG215" s="281"/>
      <c r="HH215" s="281"/>
      <c r="HI215" s="281"/>
      <c r="HJ215" s="281"/>
      <c r="HK215" s="281"/>
      <c r="HL215" s="281"/>
      <c r="HM215" s="281"/>
      <c r="HN215" s="281"/>
      <c r="HO215" s="281"/>
      <c r="HP215" s="281"/>
      <c r="HQ215" s="281"/>
      <c r="HR215" s="281"/>
      <c r="HS215" s="281"/>
      <c r="HT215" s="281"/>
      <c r="HU215" s="281"/>
    </row>
    <row r="216" spans="1:229" hidden="1">
      <c r="B216" s="88">
        <f t="shared" si="36"/>
        <v>157</v>
      </c>
      <c r="C216" s="16">
        <v>20200819</v>
      </c>
      <c r="D216" s="16" t="s">
        <v>2</v>
      </c>
      <c r="E216" s="85" t="s">
        <v>877</v>
      </c>
      <c r="F216" s="80" t="s">
        <v>886</v>
      </c>
      <c r="G216" s="47"/>
      <c r="H216" s="16" t="s">
        <v>980</v>
      </c>
      <c r="I216" s="301" t="s">
        <v>750</v>
      </c>
      <c r="J216" s="16" t="s">
        <v>1043</v>
      </c>
      <c r="K216" s="47"/>
      <c r="L216" s="80"/>
      <c r="M216" s="47"/>
      <c r="N216" s="16" t="s">
        <v>891</v>
      </c>
      <c r="O216" s="80" t="s">
        <v>210</v>
      </c>
      <c r="P216" s="80" t="s">
        <v>866</v>
      </c>
      <c r="Q216" s="18"/>
      <c r="R216" s="16" t="s">
        <v>200</v>
      </c>
      <c r="S216" s="16" t="s">
        <v>63</v>
      </c>
      <c r="T216" s="16" t="s">
        <v>66</v>
      </c>
      <c r="U216" s="16" t="s">
        <v>0</v>
      </c>
      <c r="V216" s="16"/>
      <c r="W216" s="16">
        <f>ROUND(IF(D216=Table!$C$3,Y216*Table!$C$4/8,Y216*Table!$D$4/8),3)</f>
        <v>26</v>
      </c>
      <c r="X216" s="191">
        <f t="shared" si="37"/>
        <v>26</v>
      </c>
      <c r="Y216" s="191">
        <v>1.6</v>
      </c>
      <c r="Z216" s="191">
        <f t="shared" si="38"/>
        <v>1.6</v>
      </c>
      <c r="AA216" s="191" t="s">
        <v>21</v>
      </c>
      <c r="AB216" s="81">
        <v>44071</v>
      </c>
      <c r="AC216" s="81">
        <v>44063</v>
      </c>
      <c r="AD216" s="81">
        <v>44074</v>
      </c>
      <c r="AE216" s="81">
        <v>44068</v>
      </c>
      <c r="AF216" s="81">
        <v>44068</v>
      </c>
      <c r="AG216" s="81" t="s">
        <v>155</v>
      </c>
      <c r="AH216" s="82">
        <v>0.90900000000000003</v>
      </c>
      <c r="AI216" s="82">
        <v>0.90900000000000003</v>
      </c>
      <c r="AJ216" s="82">
        <v>0.5</v>
      </c>
      <c r="AK216" s="280" t="s">
        <v>140</v>
      </c>
      <c r="AL216" s="296" t="s">
        <v>1193</v>
      </c>
      <c r="AM216" s="30"/>
      <c r="AN216" s="30"/>
      <c r="AO216" s="89"/>
      <c r="AP216" s="89"/>
      <c r="AQ216" s="89"/>
      <c r="AR216" s="89"/>
      <c r="AS216" s="89"/>
      <c r="AT216" s="89"/>
      <c r="AU216" s="89"/>
      <c r="AV216" s="89"/>
      <c r="AW216" s="89"/>
      <c r="AX216" s="89"/>
      <c r="AY216" s="89"/>
      <c r="AZ216" s="89"/>
      <c r="BA216" s="89"/>
      <c r="BB216" s="89"/>
      <c r="BC216" s="89"/>
      <c r="BD216" s="89"/>
      <c r="BE216" s="89"/>
      <c r="BF216" s="89"/>
      <c r="BG216" s="89"/>
      <c r="BH216" s="89"/>
      <c r="BI216" s="89"/>
      <c r="BJ216" s="89"/>
      <c r="BK216" s="89"/>
      <c r="BL216" s="89"/>
      <c r="BM216" s="89"/>
      <c r="BN216" s="89"/>
      <c r="BO216" s="89"/>
      <c r="BP216" s="89"/>
      <c r="BQ216" s="89"/>
      <c r="BR216" s="89"/>
      <c r="BS216" s="89"/>
      <c r="BT216" s="89"/>
      <c r="BU216" s="89"/>
      <c r="BV216" s="89"/>
      <c r="BW216" s="89"/>
      <c r="BX216" s="89"/>
      <c r="BY216" s="89"/>
      <c r="BZ216" s="89"/>
      <c r="CA216" s="89"/>
      <c r="CB216" s="89"/>
      <c r="CC216" s="89"/>
      <c r="CD216" s="89"/>
      <c r="CE216" s="89"/>
      <c r="CF216" s="89"/>
      <c r="CG216" s="89"/>
      <c r="CH216" s="89"/>
      <c r="CI216" s="89"/>
      <c r="CJ216" s="89"/>
      <c r="CK216" s="89"/>
      <c r="CL216" s="89"/>
      <c r="CM216" s="89"/>
      <c r="CN216" s="89"/>
      <c r="CO216" s="89"/>
      <c r="CP216" s="89"/>
      <c r="CQ216" s="89"/>
      <c r="CR216" s="89"/>
      <c r="CS216" s="89"/>
      <c r="CT216" s="89"/>
      <c r="CU216" s="89"/>
      <c r="CV216" s="89"/>
      <c r="CW216" s="89"/>
      <c r="CX216" s="89"/>
      <c r="CY216" s="89"/>
      <c r="CZ216" s="89"/>
      <c r="DA216" s="89"/>
      <c r="DB216" s="89"/>
      <c r="DC216" s="89"/>
      <c r="DD216" s="89"/>
      <c r="DE216" s="89"/>
      <c r="DF216" s="89"/>
      <c r="DG216" s="89"/>
      <c r="DH216" s="89"/>
      <c r="DI216" s="89"/>
      <c r="DJ216" s="89"/>
      <c r="DK216" s="89"/>
      <c r="DL216" s="89"/>
      <c r="DM216" s="89"/>
      <c r="DN216" s="89"/>
      <c r="DO216" s="89"/>
      <c r="DP216" s="89"/>
      <c r="DQ216" s="89"/>
      <c r="DR216" s="89"/>
      <c r="DS216" s="89"/>
      <c r="DT216" s="89"/>
      <c r="DU216" s="89"/>
      <c r="DV216" s="89"/>
      <c r="DW216" s="89"/>
      <c r="DX216" s="89"/>
      <c r="DY216" s="89"/>
      <c r="DZ216" s="89"/>
      <c r="EA216" s="89"/>
      <c r="EB216" s="89"/>
      <c r="EC216" s="89"/>
      <c r="ED216" s="89"/>
      <c r="EE216" s="89"/>
      <c r="EF216" s="89"/>
      <c r="EG216" s="89"/>
      <c r="EH216" s="89"/>
      <c r="EI216" s="89"/>
      <c r="EJ216" s="89"/>
      <c r="EK216" s="89"/>
      <c r="EL216" s="89"/>
      <c r="EM216" s="89"/>
      <c r="EN216" s="89"/>
      <c r="EO216" s="89"/>
      <c r="EP216" s="89"/>
      <c r="EQ216" s="89"/>
      <c r="ER216" s="89"/>
      <c r="ES216" s="89"/>
      <c r="ET216" s="89"/>
      <c r="EU216" s="89"/>
      <c r="EV216" s="89"/>
      <c r="EW216" s="89"/>
      <c r="EX216" s="89"/>
      <c r="EY216" s="89"/>
      <c r="EZ216" s="89"/>
      <c r="FA216" s="89"/>
      <c r="FB216" s="89"/>
      <c r="FC216" s="89"/>
      <c r="FD216" s="89"/>
      <c r="FE216" s="89"/>
      <c r="FF216" s="89"/>
      <c r="FG216" s="89"/>
      <c r="FH216" s="89"/>
      <c r="FI216" s="89"/>
      <c r="FJ216" s="89"/>
      <c r="FK216" s="89"/>
      <c r="FL216" s="89"/>
      <c r="FM216" s="89"/>
      <c r="FN216" s="89"/>
      <c r="FO216" s="89"/>
      <c r="FP216" s="89"/>
      <c r="FQ216" s="89"/>
      <c r="FR216" s="89"/>
      <c r="FS216" s="89"/>
      <c r="FT216" s="89"/>
      <c r="FU216" s="89"/>
      <c r="FV216" s="89"/>
      <c r="FW216" s="89"/>
      <c r="FX216" s="89"/>
      <c r="FY216" s="89"/>
      <c r="FZ216" s="89"/>
      <c r="GA216" s="89"/>
      <c r="GB216" s="89"/>
      <c r="GC216" s="89"/>
      <c r="GD216" s="89"/>
      <c r="GE216" s="89"/>
      <c r="GF216" s="89"/>
      <c r="GG216" s="89"/>
      <c r="GH216" s="89"/>
      <c r="GI216" s="89"/>
      <c r="GJ216" s="89"/>
      <c r="GK216" s="89"/>
      <c r="GL216" s="89"/>
      <c r="GM216" s="89"/>
      <c r="GN216" s="89"/>
      <c r="GO216" s="89"/>
      <c r="GP216" s="89"/>
      <c r="GQ216" s="89"/>
      <c r="GR216" s="89"/>
      <c r="GS216" s="89"/>
      <c r="GT216" s="89"/>
      <c r="GU216" s="89"/>
      <c r="GV216" s="89"/>
      <c r="GW216" s="89"/>
      <c r="GX216" s="89"/>
      <c r="GY216" s="89"/>
      <c r="GZ216" s="89"/>
      <c r="HA216" s="89"/>
      <c r="HB216" s="89"/>
      <c r="HC216" s="89"/>
      <c r="HD216" s="89"/>
      <c r="HE216" s="89"/>
      <c r="HF216" s="89"/>
      <c r="HG216" s="89"/>
      <c r="HH216" s="89"/>
      <c r="HI216" s="89"/>
      <c r="HJ216" s="89"/>
      <c r="HK216" s="89"/>
      <c r="HL216" s="89"/>
      <c r="HM216" s="89"/>
      <c r="HN216" s="89"/>
      <c r="HO216" s="89"/>
      <c r="HP216" s="89"/>
      <c r="HQ216" s="89"/>
      <c r="HR216" s="89"/>
      <c r="HS216" s="89"/>
      <c r="HT216" s="89"/>
      <c r="HU216" s="89"/>
    </row>
    <row r="217" spans="1:229" hidden="1">
      <c r="B217" s="88">
        <f t="shared" si="36"/>
        <v>158</v>
      </c>
      <c r="C217" s="16">
        <v>20200819</v>
      </c>
      <c r="D217" s="16" t="s">
        <v>2</v>
      </c>
      <c r="E217" s="85" t="s">
        <v>877</v>
      </c>
      <c r="F217" s="80" t="s">
        <v>886</v>
      </c>
      <c r="G217" s="47"/>
      <c r="H217" s="236" t="s">
        <v>981</v>
      </c>
      <c r="I217" s="301" t="s">
        <v>751</v>
      </c>
      <c r="J217" s="16" t="s">
        <v>1043</v>
      </c>
      <c r="K217" s="47"/>
      <c r="L217" s="80"/>
      <c r="M217" s="47"/>
      <c r="N217" s="16" t="s">
        <v>891</v>
      </c>
      <c r="O217" s="80" t="s">
        <v>170</v>
      </c>
      <c r="P217" s="80" t="s">
        <v>865</v>
      </c>
      <c r="Q217" s="18"/>
      <c r="R217" s="16" t="s">
        <v>200</v>
      </c>
      <c r="S217" s="16" t="s">
        <v>63</v>
      </c>
      <c r="T217" s="16" t="s">
        <v>66</v>
      </c>
      <c r="U217" s="16" t="s">
        <v>0</v>
      </c>
      <c r="V217" s="16"/>
      <c r="W217" s="16">
        <f>ROUND(IF(D217=Table!$C$3,Y217*Table!$C$4/8,Y217*Table!$D$4/8),3)</f>
        <v>26</v>
      </c>
      <c r="X217" s="191">
        <f t="shared" si="37"/>
        <v>26</v>
      </c>
      <c r="Y217" s="191">
        <v>1.6</v>
      </c>
      <c r="Z217" s="191">
        <f t="shared" si="38"/>
        <v>1.6</v>
      </c>
      <c r="AA217" s="191" t="s">
        <v>21</v>
      </c>
      <c r="AB217" s="81">
        <v>44071</v>
      </c>
      <c r="AC217" s="81">
        <v>44063</v>
      </c>
      <c r="AD217" s="81">
        <v>44074</v>
      </c>
      <c r="AE217" s="81">
        <v>44068</v>
      </c>
      <c r="AF217" s="81">
        <v>44068</v>
      </c>
      <c r="AG217" s="81" t="s">
        <v>155</v>
      </c>
      <c r="AH217" s="82">
        <v>1</v>
      </c>
      <c r="AI217" s="82">
        <v>1</v>
      </c>
      <c r="AJ217" s="82">
        <v>0.9</v>
      </c>
      <c r="AK217" s="297" t="s">
        <v>140</v>
      </c>
      <c r="AL217" s="283"/>
      <c r="AM217" s="30"/>
      <c r="AN217" s="30"/>
      <c r="AO217" s="89"/>
      <c r="AP217" s="89"/>
      <c r="AQ217" s="89"/>
      <c r="AR217" s="89"/>
      <c r="AS217" s="89"/>
      <c r="AT217" s="89"/>
      <c r="AU217" s="89"/>
      <c r="AV217" s="89"/>
      <c r="AW217" s="89"/>
      <c r="AX217" s="89"/>
      <c r="AY217" s="89"/>
      <c r="AZ217" s="89"/>
      <c r="BA217" s="89"/>
      <c r="BB217" s="89"/>
      <c r="BC217" s="89"/>
      <c r="BD217" s="89"/>
      <c r="BE217" s="89"/>
      <c r="BF217" s="89"/>
      <c r="BG217" s="89"/>
      <c r="BH217" s="89"/>
      <c r="BI217" s="89"/>
      <c r="BJ217" s="89"/>
      <c r="BK217" s="89"/>
      <c r="BL217" s="89"/>
      <c r="BM217" s="89"/>
      <c r="BN217" s="89"/>
      <c r="BO217" s="89"/>
      <c r="BP217" s="89"/>
      <c r="BQ217" s="89"/>
      <c r="BR217" s="89"/>
      <c r="BS217" s="89"/>
      <c r="BT217" s="89"/>
      <c r="BU217" s="89"/>
      <c r="BV217" s="89"/>
      <c r="BW217" s="89"/>
      <c r="BX217" s="89"/>
      <c r="BY217" s="89"/>
      <c r="BZ217" s="89"/>
      <c r="CA217" s="89"/>
      <c r="CB217" s="89"/>
      <c r="CC217" s="89"/>
      <c r="CD217" s="89"/>
      <c r="CE217" s="89"/>
      <c r="CF217" s="89"/>
      <c r="CG217" s="89"/>
      <c r="CH217" s="89"/>
      <c r="CI217" s="89"/>
      <c r="CJ217" s="89"/>
      <c r="CK217" s="89"/>
      <c r="CL217" s="89"/>
      <c r="CM217" s="89"/>
      <c r="CN217" s="89"/>
      <c r="CO217" s="89"/>
      <c r="CP217" s="89"/>
      <c r="CQ217" s="89"/>
      <c r="CR217" s="89"/>
      <c r="CS217" s="89"/>
      <c r="CT217" s="89"/>
      <c r="CU217" s="89"/>
      <c r="CV217" s="89"/>
      <c r="CW217" s="89"/>
      <c r="CX217" s="89"/>
      <c r="CY217" s="89"/>
      <c r="CZ217" s="89"/>
      <c r="DA217" s="89"/>
      <c r="DB217" s="89"/>
      <c r="DC217" s="89"/>
      <c r="DD217" s="89"/>
      <c r="DE217" s="89"/>
      <c r="DF217" s="89"/>
      <c r="DG217" s="89"/>
      <c r="DH217" s="89"/>
      <c r="DI217" s="89"/>
      <c r="DJ217" s="89"/>
      <c r="DK217" s="89"/>
      <c r="DL217" s="89"/>
      <c r="DM217" s="89"/>
      <c r="DN217" s="89"/>
      <c r="DO217" s="89"/>
      <c r="DP217" s="89"/>
      <c r="DQ217" s="89"/>
      <c r="DR217" s="89"/>
      <c r="DS217" s="89"/>
      <c r="DT217" s="89"/>
      <c r="DU217" s="89"/>
      <c r="DV217" s="89"/>
      <c r="DW217" s="89"/>
      <c r="DX217" s="89"/>
      <c r="DY217" s="89"/>
      <c r="DZ217" s="89"/>
      <c r="EA217" s="89"/>
      <c r="EB217" s="89"/>
      <c r="EC217" s="89"/>
      <c r="ED217" s="89"/>
      <c r="EE217" s="89"/>
      <c r="EF217" s="89"/>
      <c r="EG217" s="89"/>
      <c r="EH217" s="89"/>
      <c r="EI217" s="89"/>
      <c r="EJ217" s="89"/>
      <c r="EK217" s="89"/>
      <c r="EL217" s="89"/>
      <c r="EM217" s="89"/>
      <c r="EN217" s="89"/>
      <c r="EO217" s="89"/>
      <c r="EP217" s="89"/>
      <c r="EQ217" s="89"/>
      <c r="ER217" s="89"/>
      <c r="ES217" s="89"/>
      <c r="ET217" s="89"/>
      <c r="EU217" s="89"/>
      <c r="EV217" s="89"/>
      <c r="EW217" s="89"/>
      <c r="EX217" s="89"/>
      <c r="EY217" s="89"/>
      <c r="EZ217" s="89"/>
      <c r="FA217" s="89"/>
      <c r="FB217" s="89"/>
      <c r="FC217" s="89"/>
      <c r="FD217" s="89"/>
      <c r="FE217" s="89"/>
      <c r="FF217" s="89"/>
      <c r="FG217" s="89"/>
      <c r="FH217" s="89"/>
      <c r="FI217" s="89"/>
      <c r="FJ217" s="89"/>
      <c r="FK217" s="89"/>
      <c r="FL217" s="89"/>
      <c r="FM217" s="89"/>
      <c r="FN217" s="89"/>
      <c r="FO217" s="89"/>
      <c r="FP217" s="89"/>
      <c r="FQ217" s="89"/>
      <c r="FR217" s="89"/>
      <c r="FS217" s="89"/>
      <c r="FT217" s="89"/>
      <c r="FU217" s="89"/>
      <c r="FV217" s="89"/>
      <c r="FW217" s="89"/>
      <c r="FX217" s="89"/>
      <c r="FY217" s="89"/>
      <c r="FZ217" s="89"/>
      <c r="GA217" s="89"/>
      <c r="GB217" s="89"/>
      <c r="GC217" s="89"/>
      <c r="GD217" s="89"/>
      <c r="GE217" s="89"/>
      <c r="GF217" s="89"/>
      <c r="GG217" s="89"/>
      <c r="GH217" s="89"/>
      <c r="GI217" s="89"/>
      <c r="GJ217" s="89"/>
      <c r="GK217" s="89"/>
      <c r="GL217" s="89"/>
      <c r="GM217" s="89"/>
      <c r="GN217" s="89"/>
      <c r="GO217" s="89"/>
      <c r="GP217" s="89"/>
      <c r="GQ217" s="89"/>
      <c r="GR217" s="89"/>
      <c r="GS217" s="89"/>
      <c r="GT217" s="89"/>
      <c r="GU217" s="89"/>
      <c r="GV217" s="89"/>
      <c r="GW217" s="89"/>
      <c r="GX217" s="89"/>
      <c r="GY217" s="89"/>
      <c r="GZ217" s="89"/>
      <c r="HA217" s="89"/>
      <c r="HB217" s="89"/>
      <c r="HC217" s="89"/>
      <c r="HD217" s="89"/>
      <c r="HE217" s="89"/>
      <c r="HF217" s="89"/>
      <c r="HG217" s="89"/>
      <c r="HH217" s="89"/>
      <c r="HI217" s="89"/>
      <c r="HJ217" s="89"/>
      <c r="HK217" s="89"/>
      <c r="HL217" s="89"/>
      <c r="HM217" s="89"/>
      <c r="HN217" s="89"/>
      <c r="HO217" s="89"/>
      <c r="HP217" s="89"/>
      <c r="HQ217" s="89"/>
      <c r="HR217" s="89"/>
      <c r="HS217" s="89"/>
      <c r="HT217" s="89"/>
      <c r="HU217" s="89"/>
    </row>
    <row r="218" spans="1:229" s="149" customFormat="1" hidden="1">
      <c r="A218"/>
      <c r="B218" s="88">
        <f t="shared" si="36"/>
        <v>159</v>
      </c>
      <c r="C218" s="16">
        <v>20200819</v>
      </c>
      <c r="D218" s="16" t="s">
        <v>2</v>
      </c>
      <c r="E218" s="85" t="s">
        <v>877</v>
      </c>
      <c r="F218" s="80" t="s">
        <v>886</v>
      </c>
      <c r="G218" s="47"/>
      <c r="H218" s="16" t="s">
        <v>982</v>
      </c>
      <c r="I218" s="301" t="s">
        <v>752</v>
      </c>
      <c r="J218" s="16" t="s">
        <v>1043</v>
      </c>
      <c r="K218" s="80"/>
      <c r="L218" s="80"/>
      <c r="M218" s="80"/>
      <c r="N218" s="16" t="s">
        <v>891</v>
      </c>
      <c r="O218" s="80" t="s">
        <v>209</v>
      </c>
      <c r="P218" s="80" t="s">
        <v>865</v>
      </c>
      <c r="Q218" s="16"/>
      <c r="R218" s="16" t="s">
        <v>200</v>
      </c>
      <c r="S218" s="16" t="s">
        <v>63</v>
      </c>
      <c r="T218" s="16" t="s">
        <v>66</v>
      </c>
      <c r="U218" s="16" t="s">
        <v>0</v>
      </c>
      <c r="V218" s="16"/>
      <c r="W218" s="16">
        <f>ROUND(IF(D218=Table!$C$3,Y218*Table!$C$4/8,Y218*Table!$D$4/8),3)</f>
        <v>31.2</v>
      </c>
      <c r="X218" s="191">
        <f t="shared" si="37"/>
        <v>31.2</v>
      </c>
      <c r="Y218" s="191">
        <v>1.92</v>
      </c>
      <c r="Z218" s="191">
        <f t="shared" si="38"/>
        <v>1.92</v>
      </c>
      <c r="AA218" s="191" t="s">
        <v>21</v>
      </c>
      <c r="AB218" s="81">
        <v>44071</v>
      </c>
      <c r="AC218" s="81">
        <v>44063</v>
      </c>
      <c r="AD218" s="81">
        <v>44074</v>
      </c>
      <c r="AE218" s="81">
        <v>44068</v>
      </c>
      <c r="AF218" s="81">
        <v>44068</v>
      </c>
      <c r="AG218" s="81" t="s">
        <v>155</v>
      </c>
      <c r="AH218" s="82">
        <v>1</v>
      </c>
      <c r="AI218" s="82">
        <v>1</v>
      </c>
      <c r="AJ218" s="82">
        <v>0.9</v>
      </c>
      <c r="AK218" s="297" t="s">
        <v>140</v>
      </c>
      <c r="AL218" s="280"/>
      <c r="AM218" s="82"/>
      <c r="AN218" s="82"/>
      <c r="AO218" s="281"/>
      <c r="AP218" s="281"/>
      <c r="AQ218" s="281"/>
      <c r="AR218" s="281"/>
      <c r="AS218" s="281"/>
      <c r="AT218" s="281"/>
      <c r="AU218" s="281"/>
      <c r="AV218" s="281"/>
      <c r="AW218" s="281"/>
      <c r="AX218" s="281"/>
      <c r="AY218" s="281"/>
      <c r="AZ218" s="281"/>
      <c r="BA218" s="281"/>
      <c r="BB218" s="281"/>
      <c r="BC218" s="281"/>
      <c r="BD218" s="281"/>
      <c r="BE218" s="281"/>
      <c r="BF218" s="281"/>
      <c r="BG218" s="281"/>
      <c r="BH218" s="281"/>
      <c r="BI218" s="281"/>
      <c r="BJ218" s="281"/>
      <c r="BK218" s="281"/>
      <c r="BL218" s="281"/>
      <c r="BM218" s="281"/>
      <c r="BN218" s="281"/>
      <c r="BO218" s="281"/>
      <c r="BP218" s="281"/>
      <c r="BQ218" s="281"/>
      <c r="BR218" s="281"/>
      <c r="BS218" s="281"/>
      <c r="BT218" s="281"/>
      <c r="BU218" s="281"/>
      <c r="BV218" s="281"/>
      <c r="BW218" s="281"/>
      <c r="BX218" s="281"/>
      <c r="BY218" s="281"/>
      <c r="BZ218" s="281"/>
      <c r="CA218" s="281"/>
      <c r="CB218" s="281"/>
      <c r="CC218" s="281"/>
      <c r="CD218" s="281"/>
      <c r="CE218" s="281"/>
      <c r="CF218" s="281"/>
      <c r="CG218" s="281"/>
      <c r="CH218" s="281"/>
      <c r="CI218" s="281"/>
      <c r="CJ218" s="281"/>
      <c r="CK218" s="281"/>
      <c r="CL218" s="281"/>
      <c r="CM218" s="281"/>
      <c r="CN218" s="281"/>
      <c r="CO218" s="281"/>
      <c r="CP218" s="281"/>
      <c r="CQ218" s="281"/>
      <c r="CR218" s="281"/>
      <c r="CS218" s="281"/>
      <c r="CT218" s="281"/>
      <c r="CU218" s="281"/>
      <c r="CV218" s="281"/>
      <c r="CW218" s="281"/>
      <c r="CX218" s="281"/>
      <c r="CY218" s="281"/>
      <c r="CZ218" s="281"/>
      <c r="DA218" s="281"/>
      <c r="DB218" s="281"/>
      <c r="DC218" s="281"/>
      <c r="DD218" s="281"/>
      <c r="DE218" s="281"/>
      <c r="DF218" s="281"/>
      <c r="DG218" s="281"/>
      <c r="DH218" s="281"/>
      <c r="DI218" s="281"/>
      <c r="DJ218" s="281"/>
      <c r="DK218" s="281"/>
      <c r="DL218" s="281"/>
      <c r="DM218" s="281"/>
      <c r="DN218" s="281"/>
      <c r="DO218" s="281"/>
      <c r="DP218" s="281"/>
      <c r="DQ218" s="281"/>
      <c r="DR218" s="281"/>
      <c r="DS218" s="281"/>
      <c r="DT218" s="281"/>
      <c r="DU218" s="281"/>
      <c r="DV218" s="281"/>
      <c r="DW218" s="281"/>
      <c r="DX218" s="281"/>
      <c r="DY218" s="281"/>
      <c r="DZ218" s="281"/>
      <c r="EA218" s="281"/>
      <c r="EB218" s="281"/>
      <c r="EC218" s="281"/>
      <c r="ED218" s="281"/>
      <c r="EE218" s="281"/>
      <c r="EF218" s="281"/>
      <c r="EG218" s="281"/>
      <c r="EH218" s="281"/>
      <c r="EI218" s="281"/>
      <c r="EJ218" s="281"/>
      <c r="EK218" s="281"/>
      <c r="EL218" s="281"/>
      <c r="EM218" s="281"/>
      <c r="EN218" s="281"/>
      <c r="EO218" s="281"/>
      <c r="EP218" s="281"/>
      <c r="EQ218" s="281"/>
      <c r="ER218" s="281"/>
      <c r="ES218" s="281"/>
      <c r="ET218" s="281"/>
      <c r="EU218" s="281"/>
      <c r="EV218" s="281"/>
      <c r="EW218" s="281"/>
      <c r="EX218" s="281"/>
      <c r="EY218" s="281"/>
      <c r="EZ218" s="281"/>
      <c r="FA218" s="281"/>
      <c r="FB218" s="281"/>
      <c r="FC218" s="281"/>
      <c r="FD218" s="281"/>
      <c r="FE218" s="281"/>
      <c r="FF218" s="281"/>
      <c r="FG218" s="281"/>
      <c r="FH218" s="281"/>
      <c r="FI218" s="281"/>
      <c r="FJ218" s="281"/>
      <c r="FK218" s="281"/>
      <c r="FL218" s="281"/>
      <c r="FM218" s="281"/>
      <c r="FN218" s="281"/>
      <c r="FO218" s="281"/>
      <c r="FP218" s="281"/>
      <c r="FQ218" s="281"/>
      <c r="FR218" s="281"/>
      <c r="FS218" s="281"/>
      <c r="FT218" s="281"/>
      <c r="FU218" s="281"/>
      <c r="FV218" s="281"/>
      <c r="FW218" s="281"/>
      <c r="FX218" s="281"/>
      <c r="FY218" s="281"/>
      <c r="FZ218" s="281"/>
      <c r="GA218" s="281"/>
      <c r="GB218" s="281"/>
      <c r="GC218" s="281"/>
      <c r="GD218" s="281"/>
      <c r="GE218" s="281"/>
      <c r="GF218" s="281"/>
      <c r="GG218" s="281"/>
      <c r="GH218" s="281"/>
      <c r="GI218" s="281"/>
      <c r="GJ218" s="281"/>
      <c r="GK218" s="281"/>
      <c r="GL218" s="281"/>
      <c r="GM218" s="281"/>
      <c r="GN218" s="281"/>
      <c r="GO218" s="281"/>
      <c r="GP218" s="281"/>
      <c r="GQ218" s="281"/>
      <c r="GR218" s="281"/>
      <c r="GS218" s="281"/>
      <c r="GT218" s="281"/>
      <c r="GU218" s="281"/>
      <c r="GV218" s="281"/>
      <c r="GW218" s="281"/>
      <c r="GX218" s="281"/>
      <c r="GY218" s="281"/>
      <c r="GZ218" s="281"/>
      <c r="HA218" s="281"/>
      <c r="HB218" s="281"/>
      <c r="HC218" s="281"/>
      <c r="HD218" s="281"/>
      <c r="HE218" s="281"/>
      <c r="HF218" s="281"/>
      <c r="HG218" s="281"/>
      <c r="HH218" s="281"/>
      <c r="HI218" s="281"/>
      <c r="HJ218" s="281"/>
      <c r="HK218" s="281"/>
      <c r="HL218" s="281"/>
      <c r="HM218" s="281"/>
      <c r="HN218" s="281"/>
      <c r="HO218" s="281"/>
      <c r="HP218" s="281"/>
      <c r="HQ218" s="281"/>
      <c r="HR218" s="281"/>
      <c r="HS218" s="281"/>
      <c r="HT218" s="281"/>
      <c r="HU218" s="281"/>
    </row>
    <row r="219" spans="1:229" hidden="1">
      <c r="B219" s="88">
        <f t="shared" si="36"/>
        <v>160</v>
      </c>
      <c r="C219" s="16">
        <v>20200819</v>
      </c>
      <c r="D219" s="16" t="s">
        <v>2</v>
      </c>
      <c r="E219" s="85" t="s">
        <v>877</v>
      </c>
      <c r="F219" s="80" t="s">
        <v>886</v>
      </c>
      <c r="G219" s="47"/>
      <c r="H219" s="16" t="s">
        <v>983</v>
      </c>
      <c r="I219" s="18" t="s">
        <v>753</v>
      </c>
      <c r="J219" s="16" t="s">
        <v>1043</v>
      </c>
      <c r="K219" s="47"/>
      <c r="L219" s="80"/>
      <c r="M219" s="47"/>
      <c r="N219" s="16" t="s">
        <v>891</v>
      </c>
      <c r="O219" s="80" t="s">
        <v>819</v>
      </c>
      <c r="P219" s="80" t="s">
        <v>865</v>
      </c>
      <c r="Q219" s="18"/>
      <c r="R219" s="16" t="s">
        <v>200</v>
      </c>
      <c r="S219" s="16" t="s">
        <v>63</v>
      </c>
      <c r="T219" s="16" t="s">
        <v>66</v>
      </c>
      <c r="U219" s="16" t="s">
        <v>0</v>
      </c>
      <c r="V219" s="16"/>
      <c r="W219" s="16">
        <f>ROUND(IF(D219=Table!$C$3,Y219*Table!$C$4/8,Y219*Table!$D$4/8),3)</f>
        <v>31.2</v>
      </c>
      <c r="X219" s="191">
        <f t="shared" si="37"/>
        <v>31.2</v>
      </c>
      <c r="Y219" s="191">
        <v>1.92</v>
      </c>
      <c r="Z219" s="191">
        <f t="shared" si="38"/>
        <v>1.92</v>
      </c>
      <c r="AA219" s="191" t="s">
        <v>21</v>
      </c>
      <c r="AB219" s="81">
        <v>44071</v>
      </c>
      <c r="AC219" s="81">
        <v>44063</v>
      </c>
      <c r="AD219" s="81">
        <v>44074</v>
      </c>
      <c r="AE219" s="81">
        <v>44067</v>
      </c>
      <c r="AF219" s="81">
        <v>44067</v>
      </c>
      <c r="AG219" s="81" t="s">
        <v>155</v>
      </c>
      <c r="AH219" s="82">
        <v>1</v>
      </c>
      <c r="AI219" s="82">
        <v>1</v>
      </c>
      <c r="AJ219" s="82">
        <v>0.83299999999999996</v>
      </c>
      <c r="AK219" s="297" t="s">
        <v>140</v>
      </c>
      <c r="AL219" s="283"/>
      <c r="AM219" s="30"/>
      <c r="AN219" s="30"/>
      <c r="AO219" s="89"/>
      <c r="AP219" s="89"/>
      <c r="AQ219" s="89"/>
      <c r="AR219" s="89"/>
      <c r="AS219" s="89"/>
      <c r="AT219" s="89"/>
      <c r="AU219" s="89"/>
      <c r="AV219" s="89"/>
      <c r="AW219" s="89"/>
      <c r="AX219" s="89"/>
      <c r="AY219" s="89"/>
      <c r="AZ219" s="89"/>
      <c r="BA219" s="89"/>
      <c r="BB219" s="89"/>
      <c r="BC219" s="89"/>
      <c r="BD219" s="89"/>
      <c r="BE219" s="89"/>
      <c r="BF219" s="89"/>
      <c r="BG219" s="89"/>
      <c r="BH219" s="89"/>
      <c r="BI219" s="89"/>
      <c r="BJ219" s="89"/>
      <c r="BK219" s="89"/>
      <c r="BL219" s="89"/>
      <c r="BM219" s="89"/>
      <c r="BN219" s="89"/>
      <c r="BO219" s="89"/>
      <c r="BP219" s="89"/>
      <c r="BQ219" s="89"/>
      <c r="BR219" s="89"/>
      <c r="BS219" s="89"/>
      <c r="BT219" s="89"/>
      <c r="BU219" s="89"/>
      <c r="BV219" s="89"/>
      <c r="BW219" s="89"/>
      <c r="BX219" s="89"/>
      <c r="BY219" s="89"/>
      <c r="BZ219" s="89"/>
      <c r="CA219" s="89"/>
      <c r="CB219" s="89"/>
      <c r="CC219" s="89"/>
      <c r="CD219" s="89"/>
      <c r="CE219" s="89"/>
      <c r="CF219" s="89"/>
      <c r="CG219" s="89"/>
      <c r="CH219" s="89"/>
      <c r="CI219" s="89"/>
      <c r="CJ219" s="89"/>
      <c r="CK219" s="89"/>
      <c r="CL219" s="89"/>
      <c r="CM219" s="89"/>
      <c r="CN219" s="89"/>
      <c r="CO219" s="89"/>
      <c r="CP219" s="89"/>
      <c r="CQ219" s="89"/>
      <c r="CR219" s="89"/>
      <c r="CS219" s="89"/>
      <c r="CT219" s="89"/>
      <c r="CU219" s="89"/>
      <c r="CV219" s="89"/>
      <c r="CW219" s="89"/>
      <c r="CX219" s="89"/>
      <c r="CY219" s="89"/>
      <c r="CZ219" s="89"/>
      <c r="DA219" s="89"/>
      <c r="DB219" s="89"/>
      <c r="DC219" s="89"/>
      <c r="DD219" s="89"/>
      <c r="DE219" s="89"/>
      <c r="DF219" s="89"/>
      <c r="DG219" s="89"/>
      <c r="DH219" s="89"/>
      <c r="DI219" s="89"/>
      <c r="DJ219" s="89"/>
      <c r="DK219" s="89"/>
      <c r="DL219" s="89"/>
      <c r="DM219" s="89"/>
      <c r="DN219" s="89"/>
      <c r="DO219" s="89"/>
      <c r="DP219" s="89"/>
      <c r="DQ219" s="89"/>
      <c r="DR219" s="89"/>
      <c r="DS219" s="89"/>
      <c r="DT219" s="89"/>
      <c r="DU219" s="89"/>
      <c r="DV219" s="89"/>
      <c r="DW219" s="89"/>
      <c r="DX219" s="89"/>
      <c r="DY219" s="89"/>
      <c r="DZ219" s="89"/>
      <c r="EA219" s="89"/>
      <c r="EB219" s="89"/>
      <c r="EC219" s="89"/>
      <c r="ED219" s="89"/>
      <c r="EE219" s="89"/>
      <c r="EF219" s="89"/>
      <c r="EG219" s="89"/>
      <c r="EH219" s="89"/>
      <c r="EI219" s="89"/>
      <c r="EJ219" s="89"/>
      <c r="EK219" s="89"/>
      <c r="EL219" s="89"/>
      <c r="EM219" s="89"/>
      <c r="EN219" s="89"/>
      <c r="EO219" s="89"/>
      <c r="EP219" s="89"/>
      <c r="EQ219" s="89"/>
      <c r="ER219" s="89"/>
      <c r="ES219" s="89"/>
      <c r="ET219" s="89"/>
      <c r="EU219" s="89"/>
      <c r="EV219" s="89"/>
      <c r="EW219" s="89"/>
      <c r="EX219" s="89"/>
      <c r="EY219" s="89"/>
      <c r="EZ219" s="89"/>
      <c r="FA219" s="89"/>
      <c r="FB219" s="89"/>
      <c r="FC219" s="89"/>
      <c r="FD219" s="89"/>
      <c r="FE219" s="89"/>
      <c r="FF219" s="89"/>
      <c r="FG219" s="89"/>
      <c r="FH219" s="89"/>
      <c r="FI219" s="89"/>
      <c r="FJ219" s="89"/>
      <c r="FK219" s="89"/>
      <c r="FL219" s="89"/>
      <c r="FM219" s="89"/>
      <c r="FN219" s="89"/>
      <c r="FO219" s="89"/>
      <c r="FP219" s="89"/>
      <c r="FQ219" s="89"/>
      <c r="FR219" s="89"/>
      <c r="FS219" s="89"/>
      <c r="FT219" s="89"/>
      <c r="FU219" s="89"/>
      <c r="FV219" s="89"/>
      <c r="FW219" s="89"/>
      <c r="FX219" s="89"/>
      <c r="FY219" s="89"/>
      <c r="FZ219" s="89"/>
      <c r="GA219" s="89"/>
      <c r="GB219" s="89"/>
      <c r="GC219" s="89"/>
      <c r="GD219" s="89"/>
      <c r="GE219" s="89"/>
      <c r="GF219" s="89"/>
      <c r="GG219" s="89"/>
      <c r="GH219" s="89"/>
      <c r="GI219" s="89"/>
      <c r="GJ219" s="89"/>
      <c r="GK219" s="89"/>
      <c r="GL219" s="89"/>
      <c r="GM219" s="89"/>
      <c r="GN219" s="89"/>
      <c r="GO219" s="89"/>
      <c r="GP219" s="89"/>
      <c r="GQ219" s="89"/>
      <c r="GR219" s="89"/>
      <c r="GS219" s="89"/>
      <c r="GT219" s="89"/>
      <c r="GU219" s="89"/>
      <c r="GV219" s="89"/>
      <c r="GW219" s="89"/>
      <c r="GX219" s="89"/>
      <c r="GY219" s="89"/>
      <c r="GZ219" s="89"/>
      <c r="HA219" s="89"/>
      <c r="HB219" s="89"/>
      <c r="HC219" s="89"/>
      <c r="HD219" s="89"/>
      <c r="HE219" s="89"/>
      <c r="HF219" s="89"/>
      <c r="HG219" s="89"/>
      <c r="HH219" s="89"/>
      <c r="HI219" s="89"/>
      <c r="HJ219" s="89"/>
      <c r="HK219" s="89"/>
      <c r="HL219" s="89"/>
      <c r="HM219" s="89"/>
      <c r="HN219" s="89"/>
      <c r="HO219" s="89"/>
      <c r="HP219" s="89"/>
      <c r="HQ219" s="89"/>
      <c r="HR219" s="89"/>
      <c r="HS219" s="89"/>
      <c r="HT219" s="89"/>
      <c r="HU219" s="89"/>
    </row>
    <row r="220" spans="1:229" hidden="1">
      <c r="B220" s="88">
        <f t="shared" si="36"/>
        <v>161</v>
      </c>
      <c r="C220" s="16">
        <v>20200819</v>
      </c>
      <c r="D220" s="16" t="s">
        <v>2</v>
      </c>
      <c r="E220" s="85" t="s">
        <v>877</v>
      </c>
      <c r="F220" s="80" t="s">
        <v>886</v>
      </c>
      <c r="G220" s="47"/>
      <c r="H220" s="16" t="s">
        <v>984</v>
      </c>
      <c r="I220" s="18" t="s">
        <v>754</v>
      </c>
      <c r="J220" s="16" t="s">
        <v>1043</v>
      </c>
      <c r="K220" s="47"/>
      <c r="L220" s="80"/>
      <c r="M220" s="47"/>
      <c r="N220" s="16" t="s">
        <v>891</v>
      </c>
      <c r="O220" s="80" t="s">
        <v>170</v>
      </c>
      <c r="P220" s="80" t="s">
        <v>870</v>
      </c>
      <c r="Q220" s="18"/>
      <c r="R220" s="16" t="s">
        <v>200</v>
      </c>
      <c r="S220" s="16" t="s">
        <v>63</v>
      </c>
      <c r="T220" s="16" t="s">
        <v>66</v>
      </c>
      <c r="U220" s="16" t="s">
        <v>0</v>
      </c>
      <c r="V220" s="16"/>
      <c r="W220" s="16">
        <f>ROUND(IF(D220=Table!$C$3,Y220*Table!$C$4/8,Y220*Table!$D$4/8),3)</f>
        <v>26</v>
      </c>
      <c r="X220" s="191">
        <f t="shared" si="37"/>
        <v>26</v>
      </c>
      <c r="Y220" s="191">
        <v>1.6</v>
      </c>
      <c r="Z220" s="191">
        <f t="shared" si="38"/>
        <v>1.6</v>
      </c>
      <c r="AA220" s="16" t="s">
        <v>21</v>
      </c>
      <c r="AB220" s="81">
        <v>44071</v>
      </c>
      <c r="AC220" s="81">
        <v>44063</v>
      </c>
      <c r="AD220" s="81">
        <v>44074</v>
      </c>
      <c r="AE220" s="81">
        <v>44067</v>
      </c>
      <c r="AF220" s="81">
        <v>44067</v>
      </c>
      <c r="AG220" s="81" t="s">
        <v>155</v>
      </c>
      <c r="AH220" s="82">
        <v>0.9</v>
      </c>
      <c r="AI220" s="82">
        <v>0.9</v>
      </c>
      <c r="AJ220" s="82">
        <v>0.5</v>
      </c>
      <c r="AK220" s="280" t="s">
        <v>140</v>
      </c>
      <c r="AL220" s="296" t="s">
        <v>1145</v>
      </c>
      <c r="AM220" s="30"/>
      <c r="AN220" s="30"/>
      <c r="AO220" s="89"/>
      <c r="AP220" s="89"/>
      <c r="AQ220" s="89"/>
      <c r="AR220" s="89"/>
      <c r="AS220" s="89"/>
      <c r="AT220" s="89"/>
      <c r="AU220" s="89"/>
      <c r="AV220" s="89"/>
      <c r="AW220" s="89"/>
      <c r="AX220" s="89"/>
      <c r="AY220" s="89"/>
      <c r="AZ220" s="89"/>
      <c r="BA220" s="89"/>
      <c r="BB220" s="89"/>
      <c r="BC220" s="89"/>
      <c r="BD220" s="89"/>
      <c r="BE220" s="89"/>
      <c r="BF220" s="89"/>
      <c r="BG220" s="89"/>
      <c r="BH220" s="89"/>
      <c r="BI220" s="89"/>
      <c r="BJ220" s="89"/>
      <c r="BK220" s="89"/>
      <c r="BL220" s="89"/>
      <c r="BM220" s="89"/>
      <c r="BN220" s="89"/>
      <c r="BO220" s="89"/>
      <c r="BP220" s="89"/>
      <c r="BQ220" s="89"/>
      <c r="BR220" s="89"/>
      <c r="BS220" s="89"/>
      <c r="BT220" s="89"/>
      <c r="BU220" s="89"/>
      <c r="BV220" s="89"/>
      <c r="BW220" s="89"/>
      <c r="BX220" s="89"/>
      <c r="BY220" s="89"/>
      <c r="BZ220" s="89"/>
      <c r="CA220" s="89"/>
      <c r="CB220" s="89"/>
      <c r="CC220" s="89"/>
      <c r="CD220" s="89"/>
      <c r="CE220" s="89"/>
      <c r="CF220" s="89"/>
      <c r="CG220" s="89"/>
      <c r="CH220" s="89"/>
      <c r="CI220" s="89"/>
      <c r="CJ220" s="89"/>
      <c r="CK220" s="89"/>
      <c r="CL220" s="89"/>
      <c r="CM220" s="89"/>
      <c r="CN220" s="89"/>
      <c r="CO220" s="89"/>
      <c r="CP220" s="89"/>
      <c r="CQ220" s="89"/>
      <c r="CR220" s="89"/>
      <c r="CS220" s="89"/>
      <c r="CT220" s="89"/>
      <c r="CU220" s="89"/>
      <c r="CV220" s="89"/>
      <c r="CW220" s="89"/>
      <c r="CX220" s="89"/>
      <c r="CY220" s="89"/>
      <c r="CZ220" s="89"/>
      <c r="DA220" s="89"/>
      <c r="DB220" s="89"/>
      <c r="DC220" s="89"/>
      <c r="DD220" s="89"/>
      <c r="DE220" s="89"/>
      <c r="DF220" s="89"/>
      <c r="DG220" s="89"/>
      <c r="DH220" s="89"/>
      <c r="DI220" s="89"/>
      <c r="DJ220" s="89"/>
      <c r="DK220" s="89"/>
      <c r="DL220" s="89"/>
      <c r="DM220" s="89"/>
      <c r="DN220" s="89"/>
      <c r="DO220" s="89"/>
      <c r="DP220" s="89"/>
      <c r="DQ220" s="89"/>
      <c r="DR220" s="89"/>
      <c r="DS220" s="89"/>
      <c r="DT220" s="89"/>
      <c r="DU220" s="89"/>
      <c r="DV220" s="89"/>
      <c r="DW220" s="89"/>
      <c r="DX220" s="89"/>
      <c r="DY220" s="89"/>
      <c r="DZ220" s="89"/>
      <c r="EA220" s="89"/>
      <c r="EB220" s="89"/>
      <c r="EC220" s="89"/>
      <c r="ED220" s="89"/>
      <c r="EE220" s="89"/>
      <c r="EF220" s="89"/>
      <c r="EG220" s="89"/>
      <c r="EH220" s="89"/>
      <c r="EI220" s="89"/>
      <c r="EJ220" s="89"/>
      <c r="EK220" s="89"/>
      <c r="EL220" s="89"/>
      <c r="EM220" s="89"/>
      <c r="EN220" s="89"/>
      <c r="EO220" s="89"/>
      <c r="EP220" s="89"/>
      <c r="EQ220" s="89"/>
      <c r="ER220" s="89"/>
      <c r="ES220" s="89"/>
      <c r="ET220" s="89"/>
      <c r="EU220" s="89"/>
      <c r="EV220" s="89"/>
      <c r="EW220" s="89"/>
      <c r="EX220" s="89"/>
      <c r="EY220" s="89"/>
      <c r="EZ220" s="89"/>
      <c r="FA220" s="89"/>
      <c r="FB220" s="89"/>
      <c r="FC220" s="89"/>
      <c r="FD220" s="89"/>
      <c r="FE220" s="89"/>
      <c r="FF220" s="89"/>
      <c r="FG220" s="89"/>
      <c r="FH220" s="89"/>
      <c r="FI220" s="89"/>
      <c r="FJ220" s="89"/>
      <c r="FK220" s="89"/>
      <c r="FL220" s="89"/>
      <c r="FM220" s="89"/>
      <c r="FN220" s="89"/>
      <c r="FO220" s="89"/>
      <c r="FP220" s="89"/>
      <c r="FQ220" s="89"/>
      <c r="FR220" s="89"/>
      <c r="FS220" s="89"/>
      <c r="FT220" s="89"/>
      <c r="FU220" s="89"/>
      <c r="FV220" s="89"/>
      <c r="FW220" s="89"/>
      <c r="FX220" s="89"/>
      <c r="FY220" s="89"/>
      <c r="FZ220" s="89"/>
      <c r="GA220" s="89"/>
      <c r="GB220" s="89"/>
      <c r="GC220" s="89"/>
      <c r="GD220" s="89"/>
      <c r="GE220" s="89"/>
      <c r="GF220" s="89"/>
      <c r="GG220" s="89"/>
      <c r="GH220" s="89"/>
      <c r="GI220" s="89"/>
      <c r="GJ220" s="89"/>
      <c r="GK220" s="89"/>
      <c r="GL220" s="89"/>
      <c r="GM220" s="89"/>
      <c r="GN220" s="89"/>
      <c r="GO220" s="89"/>
      <c r="GP220" s="89"/>
      <c r="GQ220" s="89"/>
      <c r="GR220" s="89"/>
      <c r="GS220" s="89"/>
      <c r="GT220" s="89"/>
      <c r="GU220" s="89"/>
      <c r="GV220" s="89"/>
      <c r="GW220" s="89"/>
      <c r="GX220" s="89"/>
      <c r="GY220" s="89"/>
      <c r="GZ220" s="89"/>
      <c r="HA220" s="89"/>
      <c r="HB220" s="89"/>
      <c r="HC220" s="89"/>
      <c r="HD220" s="89"/>
      <c r="HE220" s="89"/>
      <c r="HF220" s="89"/>
      <c r="HG220" s="89"/>
      <c r="HH220" s="89"/>
      <c r="HI220" s="89"/>
      <c r="HJ220" s="89"/>
      <c r="HK220" s="89"/>
      <c r="HL220" s="89"/>
      <c r="HM220" s="89"/>
      <c r="HN220" s="89"/>
      <c r="HO220" s="89"/>
      <c r="HP220" s="89"/>
      <c r="HQ220" s="89"/>
      <c r="HR220" s="89"/>
      <c r="HS220" s="89"/>
      <c r="HT220" s="89"/>
      <c r="HU220" s="89"/>
    </row>
    <row r="221" spans="1:229" hidden="1">
      <c r="B221" s="88">
        <f t="shared" si="36"/>
        <v>162</v>
      </c>
      <c r="C221" s="16">
        <v>20200819</v>
      </c>
      <c r="D221" s="16" t="s">
        <v>2</v>
      </c>
      <c r="E221" s="85" t="s">
        <v>877</v>
      </c>
      <c r="F221" s="80" t="s">
        <v>886</v>
      </c>
      <c r="G221" s="47"/>
      <c r="H221" s="236" t="s">
        <v>985</v>
      </c>
      <c r="I221" s="18" t="s">
        <v>755</v>
      </c>
      <c r="J221" s="16" t="s">
        <v>1043</v>
      </c>
      <c r="K221" s="47"/>
      <c r="L221" s="80"/>
      <c r="M221" s="47"/>
      <c r="N221" s="16" t="s">
        <v>891</v>
      </c>
      <c r="O221" s="80" t="s">
        <v>839</v>
      </c>
      <c r="P221" s="80" t="s">
        <v>865</v>
      </c>
      <c r="Q221" s="18"/>
      <c r="R221" s="16" t="s">
        <v>200</v>
      </c>
      <c r="S221" s="16" t="s">
        <v>63</v>
      </c>
      <c r="T221" s="16" t="s">
        <v>66</v>
      </c>
      <c r="U221" s="16" t="s">
        <v>0</v>
      </c>
      <c r="V221" s="16"/>
      <c r="W221" s="16">
        <f>ROUND(IF(D221=Table!$C$3,Y221*Table!$C$4/8,Y221*Table!$D$4/8),3)</f>
        <v>26</v>
      </c>
      <c r="X221" s="191">
        <f t="shared" si="37"/>
        <v>26</v>
      </c>
      <c r="Y221" s="191">
        <v>1.6</v>
      </c>
      <c r="Z221" s="191">
        <f t="shared" si="38"/>
        <v>1.6</v>
      </c>
      <c r="AA221" s="16" t="s">
        <v>21</v>
      </c>
      <c r="AB221" s="81">
        <v>44071</v>
      </c>
      <c r="AC221" s="81">
        <v>44063</v>
      </c>
      <c r="AD221" s="81">
        <v>44074</v>
      </c>
      <c r="AE221" s="81">
        <v>44067</v>
      </c>
      <c r="AF221" s="81">
        <v>44067</v>
      </c>
      <c r="AG221" s="81" t="s">
        <v>155</v>
      </c>
      <c r="AH221" s="82">
        <v>1</v>
      </c>
      <c r="AI221" s="82">
        <v>1</v>
      </c>
      <c r="AJ221" s="82" t="s">
        <v>213</v>
      </c>
      <c r="AK221" s="87" t="s">
        <v>140</v>
      </c>
      <c r="AL221" s="14"/>
      <c r="AM221" s="15"/>
      <c r="AN221" s="15"/>
    </row>
    <row r="222" spans="1:229" hidden="1">
      <c r="B222" s="88">
        <f t="shared" si="36"/>
        <v>163</v>
      </c>
      <c r="C222" s="16">
        <v>20200819</v>
      </c>
      <c r="D222" s="16" t="s">
        <v>2</v>
      </c>
      <c r="E222" s="85" t="s">
        <v>877</v>
      </c>
      <c r="F222" s="80" t="s">
        <v>886</v>
      </c>
      <c r="G222" s="47"/>
      <c r="H222" s="236" t="s">
        <v>986</v>
      </c>
      <c r="I222" s="18" t="s">
        <v>756</v>
      </c>
      <c r="J222" s="16" t="s">
        <v>208</v>
      </c>
      <c r="K222" s="47"/>
      <c r="L222" s="80"/>
      <c r="M222" s="47"/>
      <c r="N222" s="16" t="s">
        <v>891</v>
      </c>
      <c r="O222" s="80" t="s">
        <v>819</v>
      </c>
      <c r="P222" s="80" t="s">
        <v>865</v>
      </c>
      <c r="Q222" s="18"/>
      <c r="R222" s="16" t="s">
        <v>200</v>
      </c>
      <c r="S222" s="16" t="s">
        <v>63</v>
      </c>
      <c r="T222" s="16" t="s">
        <v>66</v>
      </c>
      <c r="U222" s="16" t="s">
        <v>0</v>
      </c>
      <c r="V222" s="16"/>
      <c r="W222" s="16">
        <f>ROUND(IF(D222=Table!$C$3,Y222*Table!$C$4/8,Y222*Table!$D$4/8),3)</f>
        <v>26</v>
      </c>
      <c r="X222" s="191">
        <f t="shared" si="37"/>
        <v>26</v>
      </c>
      <c r="Y222" s="191">
        <v>1.6</v>
      </c>
      <c r="Z222" s="191">
        <f t="shared" si="38"/>
        <v>1.6</v>
      </c>
      <c r="AA222" s="16" t="s">
        <v>21</v>
      </c>
      <c r="AB222" s="81">
        <v>44071</v>
      </c>
      <c r="AC222" s="81">
        <v>44063</v>
      </c>
      <c r="AD222" s="81">
        <v>44074</v>
      </c>
      <c r="AE222" s="81">
        <v>44067</v>
      </c>
      <c r="AF222" s="81">
        <v>44067</v>
      </c>
      <c r="AG222" s="81" t="s">
        <v>155</v>
      </c>
      <c r="AH222" s="82">
        <v>1</v>
      </c>
      <c r="AI222" s="82">
        <v>1</v>
      </c>
      <c r="AJ222" s="82" t="s">
        <v>213</v>
      </c>
      <c r="AK222" s="87" t="s">
        <v>140</v>
      </c>
      <c r="AL222" s="150"/>
      <c r="AM222" s="15"/>
      <c r="AN222" s="15"/>
    </row>
    <row r="223" spans="1:229" hidden="1">
      <c r="B223" s="88">
        <f t="shared" si="36"/>
        <v>164</v>
      </c>
      <c r="C223" s="16">
        <v>20200819</v>
      </c>
      <c r="D223" s="16" t="s">
        <v>2</v>
      </c>
      <c r="E223" s="85" t="s">
        <v>877</v>
      </c>
      <c r="F223" s="80" t="s">
        <v>886</v>
      </c>
      <c r="G223" s="47"/>
      <c r="H223" s="16" t="s">
        <v>987</v>
      </c>
      <c r="I223" s="16" t="s">
        <v>757</v>
      </c>
      <c r="J223" s="16" t="s">
        <v>1043</v>
      </c>
      <c r="K223" s="47"/>
      <c r="L223" s="80"/>
      <c r="M223" s="47"/>
      <c r="N223" s="16" t="s">
        <v>891</v>
      </c>
      <c r="O223" s="80" t="s">
        <v>210</v>
      </c>
      <c r="P223" s="80" t="s">
        <v>865</v>
      </c>
      <c r="Q223" s="18"/>
      <c r="R223" s="16" t="s">
        <v>201</v>
      </c>
      <c r="S223" s="16" t="s">
        <v>132</v>
      </c>
      <c r="T223" s="16"/>
      <c r="U223" s="16" t="s">
        <v>578</v>
      </c>
      <c r="V223" s="16"/>
      <c r="W223" s="16">
        <f>ROUND(IF(D223=Table!$C$3,Y223*Table!$C$4/8,Y223*Table!$D$4/8),3)</f>
        <v>37.700000000000003</v>
      </c>
      <c r="X223" s="191">
        <f t="shared" si="37"/>
        <v>37.700000000000003</v>
      </c>
      <c r="Y223" s="191">
        <v>2.3199999999999998</v>
      </c>
      <c r="Z223" s="191">
        <f t="shared" si="38"/>
        <v>2.3199999999999998</v>
      </c>
      <c r="AA223" s="16" t="s">
        <v>21</v>
      </c>
      <c r="AB223" s="81">
        <v>44071</v>
      </c>
      <c r="AC223" s="81">
        <v>44063</v>
      </c>
      <c r="AD223" s="81">
        <v>44074</v>
      </c>
      <c r="AE223" s="81">
        <v>44063</v>
      </c>
      <c r="AF223" s="81">
        <v>44063</v>
      </c>
      <c r="AG223" s="81" t="s">
        <v>155</v>
      </c>
      <c r="AH223" s="82">
        <v>1</v>
      </c>
      <c r="AI223" s="82">
        <v>1</v>
      </c>
      <c r="AJ223" s="82" t="s">
        <v>213</v>
      </c>
      <c r="AK223" s="87" t="s">
        <v>140</v>
      </c>
      <c r="AL223" s="84"/>
      <c r="AM223" s="15"/>
      <c r="AN223" s="15"/>
    </row>
    <row r="224" spans="1:229" hidden="1">
      <c r="B224" s="88">
        <f t="shared" si="36"/>
        <v>165</v>
      </c>
      <c r="C224" s="16">
        <v>20200819</v>
      </c>
      <c r="D224" s="16" t="s">
        <v>2</v>
      </c>
      <c r="E224" s="85" t="s">
        <v>877</v>
      </c>
      <c r="F224" s="80" t="s">
        <v>886</v>
      </c>
      <c r="G224" s="47"/>
      <c r="H224" s="16" t="s">
        <v>988</v>
      </c>
      <c r="I224" s="16" t="s">
        <v>758</v>
      </c>
      <c r="J224" s="16" t="s">
        <v>1043</v>
      </c>
      <c r="K224" s="47"/>
      <c r="L224" s="80"/>
      <c r="M224" s="47"/>
      <c r="N224" s="16" t="s">
        <v>891</v>
      </c>
      <c r="O224" s="80" t="s">
        <v>819</v>
      </c>
      <c r="P224" s="80" t="s">
        <v>865</v>
      </c>
      <c r="Q224" s="18"/>
      <c r="R224" s="16" t="s">
        <v>201</v>
      </c>
      <c r="S224" s="16" t="s">
        <v>132</v>
      </c>
      <c r="T224" s="16"/>
      <c r="U224" s="16" t="s">
        <v>578</v>
      </c>
      <c r="V224" s="16"/>
      <c r="W224" s="16">
        <f>ROUND(IF(D224=Table!$C$3,Y224*Table!$C$4/8,Y224*Table!$D$4/8),3)</f>
        <v>26</v>
      </c>
      <c r="X224" s="191">
        <f t="shared" ref="X224:X225" si="39">W224</f>
        <v>26</v>
      </c>
      <c r="Y224" s="191">
        <v>1.6</v>
      </c>
      <c r="Z224" s="191">
        <f t="shared" ref="Z224:Z225" si="40">Y224</f>
        <v>1.6</v>
      </c>
      <c r="AA224" s="16" t="s">
        <v>21</v>
      </c>
      <c r="AB224" s="81">
        <v>44071</v>
      </c>
      <c r="AC224" s="81">
        <v>44063</v>
      </c>
      <c r="AD224" s="81">
        <v>44074</v>
      </c>
      <c r="AE224" s="81">
        <v>44063</v>
      </c>
      <c r="AF224" s="81">
        <v>44063</v>
      </c>
      <c r="AG224" s="81" t="s">
        <v>155</v>
      </c>
      <c r="AH224" s="82">
        <v>1</v>
      </c>
      <c r="AI224" s="82">
        <v>1</v>
      </c>
      <c r="AJ224" s="82">
        <v>0.14299999999999999</v>
      </c>
      <c r="AK224" s="87" t="s">
        <v>140</v>
      </c>
      <c r="AL224" s="84"/>
      <c r="AM224" s="15"/>
      <c r="AN224" s="15"/>
    </row>
    <row r="225" spans="2:40" hidden="1">
      <c r="B225" s="88">
        <f t="shared" si="36"/>
        <v>166</v>
      </c>
      <c r="C225" s="16">
        <v>20200819</v>
      </c>
      <c r="D225" s="16" t="s">
        <v>2</v>
      </c>
      <c r="E225" s="85" t="s">
        <v>877</v>
      </c>
      <c r="F225" s="80" t="s">
        <v>886</v>
      </c>
      <c r="G225" s="47"/>
      <c r="H225" s="16" t="s">
        <v>989</v>
      </c>
      <c r="I225" s="16" t="s">
        <v>759</v>
      </c>
      <c r="J225" s="16" t="s">
        <v>1043</v>
      </c>
      <c r="K225" s="47"/>
      <c r="L225" s="80"/>
      <c r="M225" s="47"/>
      <c r="N225" s="16" t="s">
        <v>891</v>
      </c>
      <c r="O225" s="80" t="s">
        <v>831</v>
      </c>
      <c r="P225" s="80" t="s">
        <v>865</v>
      </c>
      <c r="Q225" s="18"/>
      <c r="R225" s="16" t="s">
        <v>201</v>
      </c>
      <c r="S225" s="16" t="s">
        <v>132</v>
      </c>
      <c r="T225" s="16"/>
      <c r="U225" s="16" t="s">
        <v>578</v>
      </c>
      <c r="V225" s="16"/>
      <c r="W225" s="16">
        <f>ROUND(IF(D225=Table!$C$3,Y225*Table!$C$4/8,Y225*Table!$D$4/8),3)</f>
        <v>26</v>
      </c>
      <c r="X225" s="191">
        <f t="shared" si="39"/>
        <v>26</v>
      </c>
      <c r="Y225" s="191">
        <v>1.6</v>
      </c>
      <c r="Z225" s="191">
        <f t="shared" si="40"/>
        <v>1.6</v>
      </c>
      <c r="AA225" s="16" t="s">
        <v>21</v>
      </c>
      <c r="AB225" s="81">
        <v>44071</v>
      </c>
      <c r="AC225" s="81">
        <v>44063</v>
      </c>
      <c r="AD225" s="81">
        <v>44074</v>
      </c>
      <c r="AE225" s="81">
        <v>44063</v>
      </c>
      <c r="AF225" s="81">
        <v>44063</v>
      </c>
      <c r="AG225" s="81" t="s">
        <v>155</v>
      </c>
      <c r="AH225" s="82">
        <v>1</v>
      </c>
      <c r="AI225" s="82">
        <v>1</v>
      </c>
      <c r="AJ225" s="82">
        <v>0.71399999999999997</v>
      </c>
      <c r="AK225" s="87" t="s">
        <v>140</v>
      </c>
      <c r="AL225" s="150"/>
      <c r="AM225" s="15"/>
      <c r="AN225" s="15"/>
    </row>
    <row r="226" spans="2:40" hidden="1">
      <c r="B226" s="88">
        <f t="shared" ref="B226:B257" si="41">B225+1</f>
        <v>167</v>
      </c>
      <c r="C226" s="16">
        <v>20200819</v>
      </c>
      <c r="D226" s="16" t="s">
        <v>2</v>
      </c>
      <c r="E226" s="85" t="s">
        <v>877</v>
      </c>
      <c r="F226" s="80" t="s">
        <v>886</v>
      </c>
      <c r="G226" s="47"/>
      <c r="H226" s="16" t="s">
        <v>990</v>
      </c>
      <c r="I226" s="18" t="s">
        <v>760</v>
      </c>
      <c r="J226" s="16" t="s">
        <v>1043</v>
      </c>
      <c r="K226" s="47"/>
      <c r="L226" s="80"/>
      <c r="M226" s="47"/>
      <c r="N226" s="16" t="s">
        <v>891</v>
      </c>
      <c r="O226" s="80" t="s">
        <v>821</v>
      </c>
      <c r="P226" s="80" t="s">
        <v>865</v>
      </c>
      <c r="Q226" s="18"/>
      <c r="R226" s="16" t="s">
        <v>200</v>
      </c>
      <c r="S226" s="16" t="s">
        <v>63</v>
      </c>
      <c r="T226" s="16" t="s">
        <v>66</v>
      </c>
      <c r="U226" s="16" t="s">
        <v>0</v>
      </c>
      <c r="V226" s="16"/>
      <c r="W226" s="16">
        <f>ROUND(IF(D226=Table!$C$3,Y226*Table!$C$4/8,Y226*Table!$D$4/8),3)</f>
        <v>48.1</v>
      </c>
      <c r="X226" s="191">
        <f>W226</f>
        <v>48.1</v>
      </c>
      <c r="Y226" s="191">
        <v>2.96</v>
      </c>
      <c r="Z226" s="191">
        <f>Y226</f>
        <v>2.96</v>
      </c>
      <c r="AA226" s="16" t="s">
        <v>21</v>
      </c>
      <c r="AB226" s="81">
        <v>44071</v>
      </c>
      <c r="AC226" s="81">
        <v>44063</v>
      </c>
      <c r="AD226" s="81">
        <v>44074</v>
      </c>
      <c r="AE226" s="81">
        <v>44067</v>
      </c>
      <c r="AF226" s="81">
        <v>44067</v>
      </c>
      <c r="AG226" s="81" t="s">
        <v>155</v>
      </c>
      <c r="AH226" s="82">
        <v>1</v>
      </c>
      <c r="AI226" s="82">
        <v>1</v>
      </c>
      <c r="AJ226" s="82">
        <v>0.27800000000000002</v>
      </c>
      <c r="AK226" s="87" t="s">
        <v>140</v>
      </c>
      <c r="AL226" s="84"/>
      <c r="AM226" s="15"/>
      <c r="AN226" s="15"/>
    </row>
    <row r="227" spans="2:40" hidden="1">
      <c r="B227" s="88">
        <f t="shared" si="41"/>
        <v>168</v>
      </c>
      <c r="C227" s="16">
        <v>20200819</v>
      </c>
      <c r="D227" s="16" t="s">
        <v>2</v>
      </c>
      <c r="E227" s="85" t="s">
        <v>877</v>
      </c>
      <c r="F227" s="80" t="s">
        <v>886</v>
      </c>
      <c r="G227" s="47"/>
      <c r="H227" s="16" t="s">
        <v>991</v>
      </c>
      <c r="I227" s="301" t="s">
        <v>761</v>
      </c>
      <c r="J227" s="16" t="s">
        <v>1043</v>
      </c>
      <c r="K227" s="47"/>
      <c r="L227" s="80"/>
      <c r="M227" s="47"/>
      <c r="N227" s="16" t="s">
        <v>891</v>
      </c>
      <c r="O227" s="80" t="s">
        <v>819</v>
      </c>
      <c r="P227" s="80" t="s">
        <v>866</v>
      </c>
      <c r="Q227" s="18"/>
      <c r="R227" s="16" t="s">
        <v>200</v>
      </c>
      <c r="S227" s="16" t="s">
        <v>63</v>
      </c>
      <c r="T227" s="16" t="s">
        <v>66</v>
      </c>
      <c r="U227" s="16" t="s">
        <v>0</v>
      </c>
      <c r="V227" s="16"/>
      <c r="W227" s="16">
        <f>ROUND(IF(D227=Table!$C$3,Y227*Table!$C$4/8,Y227*Table!$D$4/8),3)</f>
        <v>26</v>
      </c>
      <c r="X227" s="191">
        <f>W227</f>
        <v>26</v>
      </c>
      <c r="Y227" s="191">
        <v>1.6</v>
      </c>
      <c r="Z227" s="191">
        <f>Y227</f>
        <v>1.6</v>
      </c>
      <c r="AA227" s="16" t="s">
        <v>21</v>
      </c>
      <c r="AB227" s="81">
        <v>44071</v>
      </c>
      <c r="AC227" s="81">
        <v>44063</v>
      </c>
      <c r="AD227" s="81">
        <v>44074</v>
      </c>
      <c r="AE227" s="81">
        <v>44068</v>
      </c>
      <c r="AF227" s="81">
        <v>44068</v>
      </c>
      <c r="AG227" s="81" t="s">
        <v>155</v>
      </c>
      <c r="AH227" s="82">
        <v>0.875</v>
      </c>
      <c r="AI227" s="82">
        <v>0.875</v>
      </c>
      <c r="AJ227" s="82">
        <v>0.25</v>
      </c>
      <c r="AK227" s="87" t="s">
        <v>140</v>
      </c>
      <c r="AL227" s="258" t="s">
        <v>1183</v>
      </c>
      <c r="AM227" s="15"/>
      <c r="AN227" s="15"/>
    </row>
    <row r="228" spans="2:40" hidden="1">
      <c r="B228" s="88">
        <f t="shared" si="41"/>
        <v>169</v>
      </c>
      <c r="C228" s="16">
        <v>20200819</v>
      </c>
      <c r="D228" s="16" t="s">
        <v>2</v>
      </c>
      <c r="E228" s="85" t="s">
        <v>877</v>
      </c>
      <c r="F228" s="80" t="s">
        <v>886</v>
      </c>
      <c r="G228" s="47"/>
      <c r="H228" s="16" t="s">
        <v>992</v>
      </c>
      <c r="I228" s="301" t="s">
        <v>762</v>
      </c>
      <c r="J228" s="16" t="s">
        <v>1043</v>
      </c>
      <c r="K228" s="47"/>
      <c r="L228" s="80"/>
      <c r="M228" s="47"/>
      <c r="N228" s="16" t="s">
        <v>891</v>
      </c>
      <c r="O228" s="80" t="s">
        <v>819</v>
      </c>
      <c r="P228" s="80" t="s">
        <v>865</v>
      </c>
      <c r="Q228" s="18"/>
      <c r="R228" s="16" t="s">
        <v>200</v>
      </c>
      <c r="S228" s="16" t="s">
        <v>63</v>
      </c>
      <c r="T228" s="16" t="s">
        <v>66</v>
      </c>
      <c r="U228" s="16" t="s">
        <v>0</v>
      </c>
      <c r="V228" s="16"/>
      <c r="W228" s="16">
        <f>ROUND(IF(D228=Table!$C$3,Y228*Table!$C$4/8,Y228*Table!$D$4/8),3)</f>
        <v>26</v>
      </c>
      <c r="X228" s="191">
        <f>W228</f>
        <v>26</v>
      </c>
      <c r="Y228" s="191">
        <v>1.6</v>
      </c>
      <c r="Z228" s="191">
        <f>Y228</f>
        <v>1.6</v>
      </c>
      <c r="AA228" s="16" t="s">
        <v>21</v>
      </c>
      <c r="AB228" s="81">
        <v>44071</v>
      </c>
      <c r="AC228" s="81">
        <v>44063</v>
      </c>
      <c r="AD228" s="81">
        <v>44074</v>
      </c>
      <c r="AE228" s="81">
        <v>44068</v>
      </c>
      <c r="AF228" s="81">
        <v>44068</v>
      </c>
      <c r="AG228" s="81" t="s">
        <v>155</v>
      </c>
      <c r="AH228" s="82">
        <v>1</v>
      </c>
      <c r="AI228" s="82">
        <v>1</v>
      </c>
      <c r="AJ228" s="82" t="s">
        <v>213</v>
      </c>
      <c r="AK228" s="87" t="s">
        <v>140</v>
      </c>
      <c r="AL228" s="14"/>
      <c r="AM228" s="15"/>
      <c r="AN228" s="15"/>
    </row>
    <row r="229" spans="2:40" hidden="1">
      <c r="B229" s="88">
        <f t="shared" si="41"/>
        <v>170</v>
      </c>
      <c r="C229" s="16">
        <v>20200819</v>
      </c>
      <c r="D229" s="16" t="s">
        <v>2</v>
      </c>
      <c r="E229" s="85" t="s">
        <v>877</v>
      </c>
      <c r="F229" s="80" t="s">
        <v>886</v>
      </c>
      <c r="G229" s="47"/>
      <c r="H229" s="16" t="s">
        <v>993</v>
      </c>
      <c r="I229" s="16" t="s">
        <v>763</v>
      </c>
      <c r="J229" s="16" t="s">
        <v>1043</v>
      </c>
      <c r="K229" s="47"/>
      <c r="L229" s="80"/>
      <c r="M229" s="47"/>
      <c r="N229" s="73" t="s">
        <v>891</v>
      </c>
      <c r="O229" s="80" t="s">
        <v>170</v>
      </c>
      <c r="P229" s="80" t="s">
        <v>870</v>
      </c>
      <c r="Q229" s="18"/>
      <c r="R229" s="16" t="s">
        <v>201</v>
      </c>
      <c r="S229" s="16" t="s">
        <v>132</v>
      </c>
      <c r="T229" s="16"/>
      <c r="U229" s="16" t="s">
        <v>578</v>
      </c>
      <c r="V229" s="16"/>
      <c r="W229" s="16">
        <f>ROUND(IF(D229=Table!$C$3,Y229*Table!$C$4/8,Y229*Table!$D$4/8),3)</f>
        <v>26</v>
      </c>
      <c r="X229" s="191">
        <f t="shared" ref="X229:X233" si="42">W229</f>
        <v>26</v>
      </c>
      <c r="Y229" s="191">
        <v>1.6</v>
      </c>
      <c r="Z229" s="191">
        <f t="shared" ref="Z229:Z233" si="43">Y229</f>
        <v>1.6</v>
      </c>
      <c r="AA229" s="16" t="s">
        <v>21</v>
      </c>
      <c r="AB229" s="81">
        <v>44071</v>
      </c>
      <c r="AC229" s="81">
        <v>44063</v>
      </c>
      <c r="AD229" s="81">
        <v>44074</v>
      </c>
      <c r="AE229" s="81">
        <v>44063</v>
      </c>
      <c r="AF229" s="81">
        <v>44063</v>
      </c>
      <c r="AG229" s="81" t="s">
        <v>155</v>
      </c>
      <c r="AH229" s="82">
        <v>1</v>
      </c>
      <c r="AI229" s="82">
        <v>1</v>
      </c>
      <c r="AJ229" s="82" t="s">
        <v>213</v>
      </c>
      <c r="AK229" s="87" t="s">
        <v>140</v>
      </c>
      <c r="AL229" s="109"/>
      <c r="AM229" s="15"/>
      <c r="AN229" s="15"/>
    </row>
    <row r="230" spans="2:40" hidden="1">
      <c r="B230" s="88">
        <f t="shared" si="41"/>
        <v>171</v>
      </c>
      <c r="C230" s="16">
        <v>20200819</v>
      </c>
      <c r="D230" s="16" t="s">
        <v>2</v>
      </c>
      <c r="E230" s="85" t="s">
        <v>877</v>
      </c>
      <c r="F230" s="80" t="s">
        <v>886</v>
      </c>
      <c r="G230" s="47"/>
      <c r="H230" s="16" t="s">
        <v>994</v>
      </c>
      <c r="I230" s="16" t="s">
        <v>764</v>
      </c>
      <c r="J230" s="16" t="s">
        <v>1043</v>
      </c>
      <c r="K230" s="47"/>
      <c r="L230" s="80"/>
      <c r="M230" s="47"/>
      <c r="N230" s="16" t="s">
        <v>891</v>
      </c>
      <c r="O230" s="80" t="s">
        <v>819</v>
      </c>
      <c r="P230" s="80" t="s">
        <v>865</v>
      </c>
      <c r="Q230" s="18"/>
      <c r="R230" s="16" t="s">
        <v>201</v>
      </c>
      <c r="S230" s="16" t="s">
        <v>132</v>
      </c>
      <c r="T230" s="16"/>
      <c r="U230" s="16" t="s">
        <v>578</v>
      </c>
      <c r="V230" s="16"/>
      <c r="W230" s="16">
        <f>ROUND(IF(D230=Table!$C$3,Y230*Table!$C$4/8,Y230*Table!$D$4/8),3)</f>
        <v>42.9</v>
      </c>
      <c r="X230" s="191">
        <f t="shared" si="42"/>
        <v>42.9</v>
      </c>
      <c r="Y230" s="191">
        <v>2.64</v>
      </c>
      <c r="Z230" s="191">
        <f t="shared" si="43"/>
        <v>2.64</v>
      </c>
      <c r="AA230" s="16" t="s">
        <v>21</v>
      </c>
      <c r="AB230" s="81">
        <v>44071</v>
      </c>
      <c r="AC230" s="81">
        <v>44063</v>
      </c>
      <c r="AD230" s="81">
        <v>44074</v>
      </c>
      <c r="AE230" s="81">
        <v>44063</v>
      </c>
      <c r="AF230" s="81">
        <v>44063</v>
      </c>
      <c r="AG230" s="81" t="s">
        <v>155</v>
      </c>
      <c r="AH230" s="82">
        <v>1</v>
      </c>
      <c r="AI230" s="82">
        <v>1</v>
      </c>
      <c r="AJ230" s="82">
        <v>0.3</v>
      </c>
      <c r="AK230" s="87" t="s">
        <v>140</v>
      </c>
      <c r="AL230" s="95"/>
      <c r="AM230" s="15"/>
      <c r="AN230" s="15"/>
    </row>
    <row r="231" spans="2:40" hidden="1">
      <c r="B231" s="88">
        <f t="shared" si="41"/>
        <v>172</v>
      </c>
      <c r="C231" s="16">
        <v>20200819</v>
      </c>
      <c r="D231" s="16" t="s">
        <v>2</v>
      </c>
      <c r="E231" s="85" t="s">
        <v>877</v>
      </c>
      <c r="F231" s="80" t="s">
        <v>886</v>
      </c>
      <c r="G231" s="47"/>
      <c r="H231" s="16" t="s">
        <v>995</v>
      </c>
      <c r="I231" s="16" t="s">
        <v>765</v>
      </c>
      <c r="J231" s="16" t="s">
        <v>1043</v>
      </c>
      <c r="K231" s="47"/>
      <c r="L231" s="80"/>
      <c r="M231" s="47"/>
      <c r="N231" s="16" t="s">
        <v>891</v>
      </c>
      <c r="O231" s="80" t="s">
        <v>831</v>
      </c>
      <c r="P231" s="80" t="s">
        <v>866</v>
      </c>
      <c r="Q231" s="18"/>
      <c r="R231" s="16" t="s">
        <v>201</v>
      </c>
      <c r="S231" s="16" t="s">
        <v>132</v>
      </c>
      <c r="T231" s="16"/>
      <c r="U231" s="16" t="s">
        <v>578</v>
      </c>
      <c r="V231" s="16"/>
      <c r="W231" s="16">
        <f>ROUND(IF(D231=Table!$C$3,Y231*Table!$C$4/8,Y231*Table!$D$4/8),3)</f>
        <v>26</v>
      </c>
      <c r="X231" s="191">
        <f t="shared" si="42"/>
        <v>26</v>
      </c>
      <c r="Y231" s="191">
        <v>1.6</v>
      </c>
      <c r="Z231" s="191">
        <f t="shared" si="43"/>
        <v>1.6</v>
      </c>
      <c r="AA231" s="16" t="s">
        <v>21</v>
      </c>
      <c r="AB231" s="81">
        <v>44071</v>
      </c>
      <c r="AC231" s="81">
        <v>44063</v>
      </c>
      <c r="AD231" s="81">
        <v>44074</v>
      </c>
      <c r="AE231" s="81">
        <v>44063</v>
      </c>
      <c r="AF231" s="81">
        <v>44063</v>
      </c>
      <c r="AG231" s="81" t="s">
        <v>155</v>
      </c>
      <c r="AH231" s="82">
        <v>1</v>
      </c>
      <c r="AI231" s="82">
        <v>1</v>
      </c>
      <c r="AJ231" s="82">
        <v>0.16700000000000001</v>
      </c>
      <c r="AK231" s="87" t="s">
        <v>140</v>
      </c>
      <c r="AL231" s="109"/>
      <c r="AM231" s="15"/>
      <c r="AN231" s="15"/>
    </row>
    <row r="232" spans="2:40" hidden="1">
      <c r="B232" s="88">
        <f t="shared" si="41"/>
        <v>173</v>
      </c>
      <c r="C232" s="16">
        <v>20200819</v>
      </c>
      <c r="D232" s="16" t="s">
        <v>2</v>
      </c>
      <c r="E232" s="85" t="s">
        <v>877</v>
      </c>
      <c r="F232" s="80" t="s">
        <v>886</v>
      </c>
      <c r="G232" s="47"/>
      <c r="H232" s="16" t="s">
        <v>996</v>
      </c>
      <c r="I232" s="16" t="s">
        <v>766</v>
      </c>
      <c r="J232" s="16" t="s">
        <v>1043</v>
      </c>
      <c r="K232" s="47"/>
      <c r="L232" s="80"/>
      <c r="M232" s="47"/>
      <c r="N232" s="16" t="s">
        <v>891</v>
      </c>
      <c r="O232" s="80" t="s">
        <v>819</v>
      </c>
      <c r="P232" s="80" t="s">
        <v>866</v>
      </c>
      <c r="Q232" s="18"/>
      <c r="R232" s="16" t="s">
        <v>201</v>
      </c>
      <c r="S232" s="16" t="s">
        <v>132</v>
      </c>
      <c r="T232" s="16"/>
      <c r="U232" s="16" t="s">
        <v>578</v>
      </c>
      <c r="V232" s="16"/>
      <c r="W232" s="16">
        <f>ROUND(IF(D232=Table!$C$3,Y232*Table!$C$4/8,Y232*Table!$D$4/8),3)</f>
        <v>37.700000000000003</v>
      </c>
      <c r="X232" s="191">
        <f t="shared" si="42"/>
        <v>37.700000000000003</v>
      </c>
      <c r="Y232" s="191">
        <v>2.3199999999999998</v>
      </c>
      <c r="Z232" s="191">
        <f t="shared" si="43"/>
        <v>2.3199999999999998</v>
      </c>
      <c r="AA232" s="16" t="s">
        <v>21</v>
      </c>
      <c r="AB232" s="81">
        <v>44071</v>
      </c>
      <c r="AC232" s="81">
        <v>44063</v>
      </c>
      <c r="AD232" s="81">
        <v>44074</v>
      </c>
      <c r="AE232" s="81">
        <v>44063</v>
      </c>
      <c r="AF232" s="81">
        <v>44063</v>
      </c>
      <c r="AG232" s="81" t="s">
        <v>155</v>
      </c>
      <c r="AH232" s="82">
        <v>1</v>
      </c>
      <c r="AI232" s="82">
        <v>1</v>
      </c>
      <c r="AJ232" s="82">
        <v>0.25</v>
      </c>
      <c r="AK232" s="87" t="s">
        <v>140</v>
      </c>
      <c r="AL232" s="109"/>
      <c r="AM232" s="15"/>
      <c r="AN232" s="15"/>
    </row>
    <row r="233" spans="2:40" hidden="1">
      <c r="B233" s="88">
        <f t="shared" si="41"/>
        <v>174</v>
      </c>
      <c r="C233" s="16">
        <v>20200819</v>
      </c>
      <c r="D233" s="16" t="s">
        <v>2</v>
      </c>
      <c r="E233" s="85" t="s">
        <v>877</v>
      </c>
      <c r="F233" s="80" t="s">
        <v>886</v>
      </c>
      <c r="G233" s="47"/>
      <c r="H233" s="16" t="s">
        <v>997</v>
      </c>
      <c r="I233" s="16" t="s">
        <v>767</v>
      </c>
      <c r="J233" s="16" t="s">
        <v>1043</v>
      </c>
      <c r="K233" s="47"/>
      <c r="L233" s="80"/>
      <c r="M233" s="47"/>
      <c r="N233" s="16" t="s">
        <v>891</v>
      </c>
      <c r="O233" s="80" t="s">
        <v>209</v>
      </c>
      <c r="P233" s="80" t="s">
        <v>866</v>
      </c>
      <c r="Q233" s="18"/>
      <c r="R233" s="16" t="s">
        <v>201</v>
      </c>
      <c r="S233" s="16" t="s">
        <v>132</v>
      </c>
      <c r="T233" s="16"/>
      <c r="U233" s="16" t="s">
        <v>578</v>
      </c>
      <c r="V233" s="16"/>
      <c r="W233" s="16">
        <f>ROUND(IF(D233=Table!$C$3,Y233*Table!$C$4/8,Y233*Table!$D$4/8),3)</f>
        <v>59.8</v>
      </c>
      <c r="X233" s="191">
        <f t="shared" si="42"/>
        <v>59.8</v>
      </c>
      <c r="Y233" s="191">
        <v>3.68</v>
      </c>
      <c r="Z233" s="191">
        <f t="shared" si="43"/>
        <v>3.68</v>
      </c>
      <c r="AA233" s="16" t="s">
        <v>21</v>
      </c>
      <c r="AB233" s="81">
        <v>44071</v>
      </c>
      <c r="AC233" s="81">
        <v>44063</v>
      </c>
      <c r="AD233" s="81">
        <v>44074</v>
      </c>
      <c r="AE233" s="81">
        <v>44063</v>
      </c>
      <c r="AF233" s="81">
        <v>44063</v>
      </c>
      <c r="AG233" s="81" t="s">
        <v>155</v>
      </c>
      <c r="AH233" s="82">
        <v>0.90600000000000003</v>
      </c>
      <c r="AI233" s="82">
        <v>0.90600000000000003</v>
      </c>
      <c r="AJ233" s="82">
        <v>0.8</v>
      </c>
      <c r="AK233" s="87" t="s">
        <v>140</v>
      </c>
      <c r="AL233" s="95" t="s">
        <v>1062</v>
      </c>
      <c r="AM233" s="15"/>
      <c r="AN233" s="15"/>
    </row>
    <row r="234" spans="2:40">
      <c r="B234" s="88">
        <f t="shared" si="41"/>
        <v>175</v>
      </c>
      <c r="C234" s="16">
        <v>20200819</v>
      </c>
      <c r="D234" s="16" t="s">
        <v>2</v>
      </c>
      <c r="E234" s="85" t="s">
        <v>877</v>
      </c>
      <c r="F234" s="80" t="s">
        <v>886</v>
      </c>
      <c r="G234" s="47"/>
      <c r="H234" s="16" t="s">
        <v>998</v>
      </c>
      <c r="I234" s="16" t="s">
        <v>768</v>
      </c>
      <c r="J234" s="16" t="s">
        <v>208</v>
      </c>
      <c r="K234" s="47"/>
      <c r="L234" s="80"/>
      <c r="M234" s="47"/>
      <c r="N234" s="16" t="s">
        <v>891</v>
      </c>
      <c r="O234" s="80" t="s">
        <v>841</v>
      </c>
      <c r="P234" s="80" t="s">
        <v>865</v>
      </c>
      <c r="Q234" s="18"/>
      <c r="R234" s="16" t="s">
        <v>197</v>
      </c>
      <c r="S234" s="16" t="s">
        <v>66</v>
      </c>
      <c r="T234" s="16" t="s">
        <v>63</v>
      </c>
      <c r="U234" s="16" t="s">
        <v>0</v>
      </c>
      <c r="V234" s="16"/>
      <c r="W234" s="16">
        <f>ROUND(IF(D234=Table!$C$3,Y234*Table!$C$4/8,Y234*Table!$D$4/8),3)</f>
        <v>214.5</v>
      </c>
      <c r="X234" s="191">
        <f>W234</f>
        <v>214.5</v>
      </c>
      <c r="Y234" s="203">
        <v>13.2</v>
      </c>
      <c r="Z234" s="191">
        <f>Y234</f>
        <v>13.2</v>
      </c>
      <c r="AA234" s="16" t="s">
        <v>21</v>
      </c>
      <c r="AB234" s="81">
        <v>44071</v>
      </c>
      <c r="AC234" s="81">
        <v>44063</v>
      </c>
      <c r="AD234" s="81">
        <v>44074</v>
      </c>
      <c r="AE234" s="81">
        <v>44067</v>
      </c>
      <c r="AF234" s="81">
        <v>44067</v>
      </c>
      <c r="AG234" s="81" t="s">
        <v>155</v>
      </c>
      <c r="AH234" s="82">
        <v>0.98499999999999999</v>
      </c>
      <c r="AI234" s="82">
        <v>0.98499999999999999</v>
      </c>
      <c r="AJ234" s="82">
        <v>0.54700000000000004</v>
      </c>
      <c r="AK234" s="87" t="s">
        <v>140</v>
      </c>
      <c r="AL234" s="95" t="s">
        <v>1130</v>
      </c>
      <c r="AM234" s="15"/>
      <c r="AN234" s="15"/>
    </row>
    <row r="235" spans="2:40" hidden="1">
      <c r="B235" s="88">
        <f t="shared" si="41"/>
        <v>176</v>
      </c>
      <c r="C235" s="16">
        <v>20200819</v>
      </c>
      <c r="D235" s="16" t="s">
        <v>2</v>
      </c>
      <c r="E235" s="85" t="s">
        <v>877</v>
      </c>
      <c r="F235" s="80" t="s">
        <v>886</v>
      </c>
      <c r="G235" s="47"/>
      <c r="H235" s="16" t="s">
        <v>999</v>
      </c>
      <c r="I235" s="16" t="s">
        <v>769</v>
      </c>
      <c r="J235" s="16" t="s">
        <v>1043</v>
      </c>
      <c r="K235" s="47"/>
      <c r="L235" s="80"/>
      <c r="M235" s="47"/>
      <c r="N235" s="16" t="s">
        <v>891</v>
      </c>
      <c r="O235" s="80" t="s">
        <v>821</v>
      </c>
      <c r="P235" s="80" t="s">
        <v>865</v>
      </c>
      <c r="Q235" s="18"/>
      <c r="R235" s="16" t="s">
        <v>201</v>
      </c>
      <c r="S235" s="16" t="s">
        <v>132</v>
      </c>
      <c r="T235" s="16"/>
      <c r="U235" s="16" t="s">
        <v>578</v>
      </c>
      <c r="V235" s="16"/>
      <c r="W235" s="16">
        <f>ROUND(IF(D235=Table!$C$3,Y235*Table!$C$4/8,Y235*Table!$D$4/8),3)</f>
        <v>81.900000000000006</v>
      </c>
      <c r="X235" s="191">
        <f t="shared" ref="X235:X241" si="44">W235</f>
        <v>81.900000000000006</v>
      </c>
      <c r="Y235" s="211">
        <v>5.04</v>
      </c>
      <c r="Z235" s="191">
        <f t="shared" ref="Z235:Z241" si="45">Y235</f>
        <v>5.04</v>
      </c>
      <c r="AA235" s="16" t="s">
        <v>21</v>
      </c>
      <c r="AB235" s="81">
        <v>44071</v>
      </c>
      <c r="AC235" s="81">
        <v>44063</v>
      </c>
      <c r="AD235" s="81">
        <v>44074</v>
      </c>
      <c r="AE235" s="81">
        <v>44063</v>
      </c>
      <c r="AF235" s="81">
        <v>44063</v>
      </c>
      <c r="AG235" s="81" t="s">
        <v>155</v>
      </c>
      <c r="AH235" s="82">
        <v>0.96099999999999997</v>
      </c>
      <c r="AI235" s="82">
        <v>0.96199999999999997</v>
      </c>
      <c r="AJ235" s="82">
        <v>1</v>
      </c>
      <c r="AK235" s="87" t="s">
        <v>140</v>
      </c>
      <c r="AL235" s="109" t="s">
        <v>1066</v>
      </c>
      <c r="AM235" s="15"/>
      <c r="AN235" s="15"/>
    </row>
    <row r="236" spans="2:40" hidden="1">
      <c r="B236" s="88">
        <f t="shared" si="41"/>
        <v>177</v>
      </c>
      <c r="C236" s="16">
        <v>20200819</v>
      </c>
      <c r="D236" s="16" t="s">
        <v>2</v>
      </c>
      <c r="E236" s="85" t="s">
        <v>877</v>
      </c>
      <c r="F236" s="80" t="s">
        <v>886</v>
      </c>
      <c r="G236" s="47"/>
      <c r="H236" s="16" t="s">
        <v>1000</v>
      </c>
      <c r="I236" s="16" t="s">
        <v>770</v>
      </c>
      <c r="J236" s="16" t="s">
        <v>1043</v>
      </c>
      <c r="K236" s="47"/>
      <c r="L236" s="80"/>
      <c r="M236" s="47"/>
      <c r="N236" s="16" t="s">
        <v>891</v>
      </c>
      <c r="O236" s="80" t="s">
        <v>170</v>
      </c>
      <c r="P236" s="80" t="s">
        <v>870</v>
      </c>
      <c r="Q236" s="18"/>
      <c r="R236" s="16" t="s">
        <v>201</v>
      </c>
      <c r="S236" s="16" t="s">
        <v>132</v>
      </c>
      <c r="T236" s="16"/>
      <c r="U236" s="16" t="s">
        <v>578</v>
      </c>
      <c r="V236" s="16"/>
      <c r="W236" s="16">
        <f>ROUND(IF(D236=Table!$C$3,Y236*Table!$C$4/8,Y236*Table!$D$4/8),3)</f>
        <v>31.2</v>
      </c>
      <c r="X236" s="191">
        <f t="shared" si="44"/>
        <v>31.2</v>
      </c>
      <c r="Y236" s="191">
        <v>1.92</v>
      </c>
      <c r="Z236" s="191">
        <f t="shared" si="45"/>
        <v>1.92</v>
      </c>
      <c r="AA236" s="16" t="s">
        <v>21</v>
      </c>
      <c r="AB236" s="81">
        <v>44071</v>
      </c>
      <c r="AC236" s="81">
        <v>44063</v>
      </c>
      <c r="AD236" s="81">
        <v>44074</v>
      </c>
      <c r="AE236" s="81">
        <v>44064</v>
      </c>
      <c r="AF236" s="81">
        <v>44064</v>
      </c>
      <c r="AG236" s="81" t="s">
        <v>155</v>
      </c>
      <c r="AH236" s="82">
        <v>1</v>
      </c>
      <c r="AI236" s="82">
        <v>1</v>
      </c>
      <c r="AJ236" s="82" t="s">
        <v>213</v>
      </c>
      <c r="AK236" s="87" t="s">
        <v>140</v>
      </c>
      <c r="AL236" s="109"/>
      <c r="AM236" s="15"/>
      <c r="AN236" s="15"/>
    </row>
    <row r="237" spans="2:40" hidden="1">
      <c r="B237" s="88">
        <f t="shared" si="41"/>
        <v>178</v>
      </c>
      <c r="C237" s="16">
        <v>20200819</v>
      </c>
      <c r="D237" s="16" t="s">
        <v>2</v>
      </c>
      <c r="E237" s="85" t="s">
        <v>877</v>
      </c>
      <c r="F237" s="80" t="s">
        <v>886</v>
      </c>
      <c r="G237" s="47"/>
      <c r="H237" s="16" t="s">
        <v>1001</v>
      </c>
      <c r="I237" s="16" t="s">
        <v>771</v>
      </c>
      <c r="J237" s="16" t="s">
        <v>1043</v>
      </c>
      <c r="K237" s="47"/>
      <c r="L237" s="80"/>
      <c r="M237" s="47"/>
      <c r="N237" s="16" t="s">
        <v>891</v>
      </c>
      <c r="O237" s="80" t="s">
        <v>170</v>
      </c>
      <c r="P237" s="80" t="s">
        <v>866</v>
      </c>
      <c r="Q237" s="18"/>
      <c r="R237" s="16" t="s">
        <v>201</v>
      </c>
      <c r="S237" s="16" t="s">
        <v>132</v>
      </c>
      <c r="T237" s="16"/>
      <c r="U237" s="16" t="s">
        <v>578</v>
      </c>
      <c r="V237" s="16"/>
      <c r="W237" s="16">
        <f>ROUND(IF(D237=Table!$C$3,Y237*Table!$C$4/8,Y237*Table!$D$4/8),3)</f>
        <v>26</v>
      </c>
      <c r="X237" s="191">
        <f t="shared" si="44"/>
        <v>26</v>
      </c>
      <c r="Y237" s="191">
        <v>1.6</v>
      </c>
      <c r="Z237" s="191">
        <f t="shared" si="45"/>
        <v>1.6</v>
      </c>
      <c r="AA237" s="16" t="s">
        <v>21</v>
      </c>
      <c r="AB237" s="81">
        <v>44071</v>
      </c>
      <c r="AC237" s="81">
        <v>44063</v>
      </c>
      <c r="AD237" s="81">
        <v>44074</v>
      </c>
      <c r="AE237" s="81">
        <v>44064</v>
      </c>
      <c r="AF237" s="81">
        <v>44064</v>
      </c>
      <c r="AG237" s="81" t="s">
        <v>155</v>
      </c>
      <c r="AH237" s="82">
        <v>1</v>
      </c>
      <c r="AI237" s="82">
        <v>1</v>
      </c>
      <c r="AJ237" s="82" t="s">
        <v>213</v>
      </c>
      <c r="AK237" s="87" t="s">
        <v>140</v>
      </c>
      <c r="AL237" s="109"/>
      <c r="AM237" s="15"/>
      <c r="AN237" s="15"/>
    </row>
    <row r="238" spans="2:40" hidden="1">
      <c r="B238" s="88">
        <f t="shared" si="41"/>
        <v>179</v>
      </c>
      <c r="C238" s="16">
        <v>20200819</v>
      </c>
      <c r="D238" s="16" t="s">
        <v>2</v>
      </c>
      <c r="E238" s="85" t="s">
        <v>877</v>
      </c>
      <c r="F238" s="80" t="s">
        <v>886</v>
      </c>
      <c r="G238" s="47"/>
      <c r="H238" s="16" t="s">
        <v>1002</v>
      </c>
      <c r="I238" s="16" t="s">
        <v>772</v>
      </c>
      <c r="J238" s="16" t="s">
        <v>1043</v>
      </c>
      <c r="K238" s="47"/>
      <c r="L238" s="80"/>
      <c r="M238" s="47"/>
      <c r="N238" s="16" t="s">
        <v>891</v>
      </c>
      <c r="O238" s="80" t="s">
        <v>209</v>
      </c>
      <c r="P238" s="80" t="s">
        <v>866</v>
      </c>
      <c r="Q238" s="18"/>
      <c r="R238" s="16" t="s">
        <v>201</v>
      </c>
      <c r="S238" s="16" t="s">
        <v>132</v>
      </c>
      <c r="T238" s="16"/>
      <c r="U238" s="16" t="s">
        <v>578</v>
      </c>
      <c r="V238" s="16"/>
      <c r="W238" s="16">
        <f>ROUND(IF(D238=Table!$C$3,Y238*Table!$C$4/8,Y238*Table!$D$4/8),3)</f>
        <v>26</v>
      </c>
      <c r="X238" s="191">
        <f t="shared" si="44"/>
        <v>26</v>
      </c>
      <c r="Y238" s="191">
        <v>1.6</v>
      </c>
      <c r="Z238" s="191">
        <f t="shared" si="45"/>
        <v>1.6</v>
      </c>
      <c r="AA238" s="16" t="s">
        <v>21</v>
      </c>
      <c r="AB238" s="81">
        <v>44071</v>
      </c>
      <c r="AC238" s="81">
        <v>44063</v>
      </c>
      <c r="AD238" s="81">
        <v>44074</v>
      </c>
      <c r="AE238" s="81">
        <v>44064</v>
      </c>
      <c r="AF238" s="81">
        <v>44064</v>
      </c>
      <c r="AG238" s="81" t="s">
        <v>155</v>
      </c>
      <c r="AH238" s="82">
        <v>1</v>
      </c>
      <c r="AI238" s="82">
        <v>1</v>
      </c>
      <c r="AJ238" s="82" t="s">
        <v>213</v>
      </c>
      <c r="AK238" s="87" t="s">
        <v>140</v>
      </c>
      <c r="AL238" s="109"/>
      <c r="AM238" s="15"/>
      <c r="AN238" s="15"/>
    </row>
    <row r="239" spans="2:40" hidden="1">
      <c r="B239" s="88">
        <f t="shared" si="41"/>
        <v>180</v>
      </c>
      <c r="C239" s="16">
        <v>20200819</v>
      </c>
      <c r="D239" s="16" t="s">
        <v>2</v>
      </c>
      <c r="E239" s="85" t="s">
        <v>877</v>
      </c>
      <c r="F239" s="80" t="s">
        <v>886</v>
      </c>
      <c r="G239" s="47"/>
      <c r="H239" s="16" t="s">
        <v>1003</v>
      </c>
      <c r="I239" s="16" t="s">
        <v>773</v>
      </c>
      <c r="J239" s="16" t="s">
        <v>1043</v>
      </c>
      <c r="K239" s="47"/>
      <c r="L239" s="80"/>
      <c r="M239" s="47"/>
      <c r="N239" s="16" t="s">
        <v>891</v>
      </c>
      <c r="O239" s="80" t="s">
        <v>210</v>
      </c>
      <c r="P239" s="80" t="s">
        <v>865</v>
      </c>
      <c r="Q239" s="18"/>
      <c r="R239" s="16" t="s">
        <v>201</v>
      </c>
      <c r="S239" s="16" t="s">
        <v>132</v>
      </c>
      <c r="T239" s="16"/>
      <c r="U239" s="16" t="s">
        <v>578</v>
      </c>
      <c r="V239" s="16"/>
      <c r="W239" s="16">
        <f>ROUND(IF(D239=Table!$C$3,Y239*Table!$C$4/8,Y239*Table!$D$4/8),3)</f>
        <v>59.8</v>
      </c>
      <c r="X239" s="191">
        <f t="shared" si="44"/>
        <v>59.8</v>
      </c>
      <c r="Y239" s="191">
        <v>3.68</v>
      </c>
      <c r="Z239" s="191">
        <f t="shared" si="45"/>
        <v>3.68</v>
      </c>
      <c r="AA239" s="16" t="s">
        <v>21</v>
      </c>
      <c r="AB239" s="81">
        <v>44071</v>
      </c>
      <c r="AC239" s="81">
        <v>44063</v>
      </c>
      <c r="AD239" s="81">
        <v>44074</v>
      </c>
      <c r="AE239" s="81">
        <v>44064</v>
      </c>
      <c r="AF239" s="81">
        <v>44064</v>
      </c>
      <c r="AG239" s="81" t="s">
        <v>155</v>
      </c>
      <c r="AH239" s="82">
        <v>1</v>
      </c>
      <c r="AI239" s="82">
        <v>1</v>
      </c>
      <c r="AJ239" s="82">
        <v>0.58299999999999996</v>
      </c>
      <c r="AK239" s="87" t="s">
        <v>140</v>
      </c>
      <c r="AL239" s="109"/>
      <c r="AM239" s="15"/>
      <c r="AN239" s="15"/>
    </row>
    <row r="240" spans="2:40" hidden="1">
      <c r="B240" s="88">
        <f t="shared" si="41"/>
        <v>181</v>
      </c>
      <c r="C240" s="16">
        <v>20200819</v>
      </c>
      <c r="D240" s="16" t="s">
        <v>2</v>
      </c>
      <c r="E240" s="85" t="s">
        <v>877</v>
      </c>
      <c r="F240" s="80" t="s">
        <v>886</v>
      </c>
      <c r="G240" s="47"/>
      <c r="H240" s="16" t="s">
        <v>1004</v>
      </c>
      <c r="I240" s="16" t="s">
        <v>774</v>
      </c>
      <c r="J240" s="16" t="s">
        <v>1043</v>
      </c>
      <c r="K240" s="47"/>
      <c r="L240" s="80"/>
      <c r="M240" s="47"/>
      <c r="N240" s="16" t="s">
        <v>891</v>
      </c>
      <c r="O240" s="80" t="s">
        <v>831</v>
      </c>
      <c r="P240" s="80" t="s">
        <v>866</v>
      </c>
      <c r="Q240" s="18"/>
      <c r="R240" s="16" t="s">
        <v>201</v>
      </c>
      <c r="S240" s="16" t="s">
        <v>132</v>
      </c>
      <c r="T240" s="16"/>
      <c r="U240" s="16" t="s">
        <v>578</v>
      </c>
      <c r="V240" s="16"/>
      <c r="W240" s="16">
        <f>ROUND(IF(D240=Table!$C$3,Y240*Table!$C$4/8,Y240*Table!$D$4/8),3)</f>
        <v>26</v>
      </c>
      <c r="X240" s="191">
        <f t="shared" si="44"/>
        <v>26</v>
      </c>
      <c r="Y240" s="191">
        <v>1.6</v>
      </c>
      <c r="Z240" s="191">
        <f t="shared" si="45"/>
        <v>1.6</v>
      </c>
      <c r="AA240" s="16" t="s">
        <v>21</v>
      </c>
      <c r="AB240" s="81">
        <v>44071</v>
      </c>
      <c r="AC240" s="81">
        <v>44063</v>
      </c>
      <c r="AD240" s="81">
        <v>44074</v>
      </c>
      <c r="AE240" s="81">
        <v>44064</v>
      </c>
      <c r="AF240" s="81">
        <v>44064</v>
      </c>
      <c r="AG240" s="81" t="s">
        <v>155</v>
      </c>
      <c r="AH240" s="82">
        <v>1</v>
      </c>
      <c r="AI240" s="82">
        <v>1</v>
      </c>
      <c r="AJ240" s="82">
        <v>0.63600000000000001</v>
      </c>
      <c r="AK240" s="87" t="s">
        <v>140</v>
      </c>
      <c r="AL240" s="109"/>
      <c r="AM240" s="15"/>
      <c r="AN240" s="15"/>
    </row>
    <row r="241" spans="2:40" hidden="1">
      <c r="B241" s="88">
        <f t="shared" si="41"/>
        <v>182</v>
      </c>
      <c r="C241" s="16">
        <v>20200819</v>
      </c>
      <c r="D241" s="16" t="s">
        <v>2</v>
      </c>
      <c r="E241" s="85" t="s">
        <v>877</v>
      </c>
      <c r="F241" s="80" t="s">
        <v>886</v>
      </c>
      <c r="G241" s="47"/>
      <c r="H241" s="16" t="s">
        <v>1005</v>
      </c>
      <c r="I241" s="16" t="s">
        <v>775</v>
      </c>
      <c r="J241" s="16" t="s">
        <v>1043</v>
      </c>
      <c r="K241" s="47"/>
      <c r="L241" s="80"/>
      <c r="M241" s="47"/>
      <c r="N241" s="16" t="s">
        <v>891</v>
      </c>
      <c r="O241" s="80" t="s">
        <v>831</v>
      </c>
      <c r="P241" s="80" t="s">
        <v>866</v>
      </c>
      <c r="Q241" s="18"/>
      <c r="R241" s="16" t="s">
        <v>201</v>
      </c>
      <c r="S241" s="16" t="s">
        <v>132</v>
      </c>
      <c r="T241" s="16"/>
      <c r="U241" s="16" t="s">
        <v>578</v>
      </c>
      <c r="V241" s="16"/>
      <c r="W241" s="16">
        <f>ROUND(IF(D241=Table!$C$3,Y241*Table!$C$4/8,Y241*Table!$D$4/8),3)</f>
        <v>26</v>
      </c>
      <c r="X241" s="191">
        <f t="shared" si="44"/>
        <v>26</v>
      </c>
      <c r="Y241" s="191">
        <v>1.6</v>
      </c>
      <c r="Z241" s="191">
        <f t="shared" si="45"/>
        <v>1.6</v>
      </c>
      <c r="AA241" s="16" t="s">
        <v>21</v>
      </c>
      <c r="AB241" s="81">
        <v>44071</v>
      </c>
      <c r="AC241" s="81">
        <v>44063</v>
      </c>
      <c r="AD241" s="81">
        <v>44074</v>
      </c>
      <c r="AE241" s="81">
        <v>44064</v>
      </c>
      <c r="AF241" s="81">
        <v>44064</v>
      </c>
      <c r="AG241" s="81" t="s">
        <v>155</v>
      </c>
      <c r="AH241" s="82">
        <v>1</v>
      </c>
      <c r="AI241" s="82">
        <v>1</v>
      </c>
      <c r="AJ241" s="82">
        <v>0.63600000000000001</v>
      </c>
      <c r="AK241" s="87" t="s">
        <v>140</v>
      </c>
      <c r="AL241" s="151"/>
      <c r="AM241" s="15"/>
      <c r="AN241" s="15"/>
    </row>
    <row r="242" spans="2:40" hidden="1">
      <c r="B242" s="88">
        <f t="shared" si="41"/>
        <v>183</v>
      </c>
      <c r="C242" s="16">
        <v>20200819</v>
      </c>
      <c r="D242" s="16" t="s">
        <v>2</v>
      </c>
      <c r="E242" s="85" t="s">
        <v>877</v>
      </c>
      <c r="F242" s="80" t="s">
        <v>886</v>
      </c>
      <c r="G242" s="47"/>
      <c r="H242" s="16" t="s">
        <v>1006</v>
      </c>
      <c r="I242" s="18" t="s">
        <v>776</v>
      </c>
      <c r="J242" s="16" t="s">
        <v>208</v>
      </c>
      <c r="K242" s="47"/>
      <c r="L242" s="80"/>
      <c r="M242" s="47"/>
      <c r="N242" s="16" t="s">
        <v>891</v>
      </c>
      <c r="O242" s="80" t="s">
        <v>248</v>
      </c>
      <c r="P242" s="158" t="s">
        <v>866</v>
      </c>
      <c r="Q242" s="18"/>
      <c r="R242" s="16" t="s">
        <v>200</v>
      </c>
      <c r="S242" s="16" t="s">
        <v>63</v>
      </c>
      <c r="T242" s="16" t="s">
        <v>66</v>
      </c>
      <c r="U242" s="16" t="s">
        <v>0</v>
      </c>
      <c r="V242" s="16"/>
      <c r="W242" s="16">
        <f>ROUND(IF(D242=Table!$C$3,Y242*Table!$C$4/8,Y242*Table!$D$4/8),3)</f>
        <v>92.3</v>
      </c>
      <c r="X242" s="191">
        <f>W242</f>
        <v>92.3</v>
      </c>
      <c r="Y242" s="211">
        <v>5.68</v>
      </c>
      <c r="Z242" s="191">
        <f>Y242</f>
        <v>5.68</v>
      </c>
      <c r="AA242" s="16" t="s">
        <v>21</v>
      </c>
      <c r="AB242" s="81">
        <v>44071</v>
      </c>
      <c r="AC242" s="81">
        <v>44063</v>
      </c>
      <c r="AD242" s="81">
        <v>44074</v>
      </c>
      <c r="AE242" s="81">
        <v>44064</v>
      </c>
      <c r="AF242" s="81">
        <v>44064</v>
      </c>
      <c r="AG242" s="81" t="s">
        <v>155</v>
      </c>
      <c r="AH242" s="82">
        <v>1</v>
      </c>
      <c r="AI242" s="82">
        <v>1</v>
      </c>
      <c r="AJ242" s="82" t="s">
        <v>213</v>
      </c>
      <c r="AK242" s="87" t="s">
        <v>140</v>
      </c>
      <c r="AL242" s="109"/>
      <c r="AM242" s="15"/>
      <c r="AN242" s="15"/>
    </row>
    <row r="243" spans="2:40" hidden="1">
      <c r="B243" s="88">
        <f t="shared" si="41"/>
        <v>184</v>
      </c>
      <c r="C243" s="16">
        <v>20200819</v>
      </c>
      <c r="D243" s="16" t="s">
        <v>2</v>
      </c>
      <c r="E243" s="85" t="s">
        <v>877</v>
      </c>
      <c r="F243" s="80" t="s">
        <v>886</v>
      </c>
      <c r="G243" s="47"/>
      <c r="H243" s="16" t="s">
        <v>1007</v>
      </c>
      <c r="I243" s="16" t="s">
        <v>777</v>
      </c>
      <c r="J243" s="16" t="s">
        <v>208</v>
      </c>
      <c r="K243" s="47"/>
      <c r="L243" s="80"/>
      <c r="M243" s="47"/>
      <c r="N243" s="16" t="s">
        <v>891</v>
      </c>
      <c r="O243" s="80" t="s">
        <v>209</v>
      </c>
      <c r="P243" s="80" t="s">
        <v>866</v>
      </c>
      <c r="Q243" s="18"/>
      <c r="R243" s="16" t="s">
        <v>201</v>
      </c>
      <c r="S243" s="16" t="s">
        <v>132</v>
      </c>
      <c r="T243" s="16"/>
      <c r="U243" s="16" t="s">
        <v>578</v>
      </c>
      <c r="V243" s="16"/>
      <c r="W243" s="16">
        <f>ROUND(IF(D243=Table!$C$3,Y243*Table!$C$4/8,Y243*Table!$D$4/8),3)</f>
        <v>48.1</v>
      </c>
      <c r="X243" s="191">
        <f t="shared" ref="X243:X251" si="46">W243</f>
        <v>48.1</v>
      </c>
      <c r="Y243" s="191">
        <v>2.96</v>
      </c>
      <c r="Z243" s="191">
        <f t="shared" ref="Z243:Z251" si="47">Y243</f>
        <v>2.96</v>
      </c>
      <c r="AA243" s="16" t="s">
        <v>21</v>
      </c>
      <c r="AB243" s="81">
        <v>44071</v>
      </c>
      <c r="AC243" s="81">
        <v>44063</v>
      </c>
      <c r="AD243" s="81">
        <v>44074</v>
      </c>
      <c r="AE243" s="81">
        <v>44064</v>
      </c>
      <c r="AF243" s="81">
        <v>44064</v>
      </c>
      <c r="AG243" s="81" t="s">
        <v>155</v>
      </c>
      <c r="AH243" s="82">
        <v>1</v>
      </c>
      <c r="AI243" s="82">
        <v>1</v>
      </c>
      <c r="AJ243" s="82" t="s">
        <v>213</v>
      </c>
      <c r="AK243" s="87" t="s">
        <v>140</v>
      </c>
      <c r="AL243" s="84"/>
      <c r="AM243" s="15"/>
      <c r="AN243" s="15"/>
    </row>
    <row r="244" spans="2:40" hidden="1">
      <c r="B244" s="88">
        <f t="shared" si="41"/>
        <v>185</v>
      </c>
      <c r="C244" s="16">
        <v>20200819</v>
      </c>
      <c r="D244" s="16" t="s">
        <v>2</v>
      </c>
      <c r="E244" s="85" t="s">
        <v>877</v>
      </c>
      <c r="F244" s="80" t="s">
        <v>886</v>
      </c>
      <c r="G244" s="47"/>
      <c r="H244" s="16" t="s">
        <v>1008</v>
      </c>
      <c r="I244" s="16" t="s">
        <v>778</v>
      </c>
      <c r="J244" s="16" t="s">
        <v>1043</v>
      </c>
      <c r="K244" s="47"/>
      <c r="L244" s="80"/>
      <c r="M244" s="47"/>
      <c r="N244" s="16" t="s">
        <v>891</v>
      </c>
      <c r="O244" s="80" t="s">
        <v>170</v>
      </c>
      <c r="P244" s="80" t="s">
        <v>870</v>
      </c>
      <c r="Q244" s="18"/>
      <c r="R244" s="16" t="s">
        <v>201</v>
      </c>
      <c r="S244" s="16" t="s">
        <v>132</v>
      </c>
      <c r="T244" s="16"/>
      <c r="U244" s="16" t="s">
        <v>578</v>
      </c>
      <c r="V244" s="16"/>
      <c r="W244" s="16">
        <f>ROUND(IF(D244=Table!$C$3,Y244*Table!$C$4/8,Y244*Table!$D$4/8),3)</f>
        <v>26</v>
      </c>
      <c r="X244" s="191">
        <f t="shared" si="46"/>
        <v>26</v>
      </c>
      <c r="Y244" s="191">
        <v>1.6</v>
      </c>
      <c r="Z244" s="191">
        <f t="shared" si="47"/>
        <v>1.6</v>
      </c>
      <c r="AA244" s="16" t="s">
        <v>21</v>
      </c>
      <c r="AB244" s="81">
        <v>44071</v>
      </c>
      <c r="AC244" s="81">
        <v>44063</v>
      </c>
      <c r="AD244" s="81">
        <v>44074</v>
      </c>
      <c r="AE244" s="81">
        <v>44064</v>
      </c>
      <c r="AF244" s="81">
        <v>44064</v>
      </c>
      <c r="AG244" s="81" t="s">
        <v>155</v>
      </c>
      <c r="AH244" s="82">
        <v>1</v>
      </c>
      <c r="AI244" s="82">
        <v>1</v>
      </c>
      <c r="AJ244" s="82">
        <v>1</v>
      </c>
      <c r="AK244" s="87" t="s">
        <v>140</v>
      </c>
      <c r="AL244" s="151"/>
      <c r="AM244" s="15"/>
      <c r="AN244" s="15"/>
    </row>
    <row r="245" spans="2:40" hidden="1">
      <c r="B245" s="88">
        <f t="shared" si="41"/>
        <v>186</v>
      </c>
      <c r="C245" s="16">
        <v>20200819</v>
      </c>
      <c r="D245" s="16" t="s">
        <v>2</v>
      </c>
      <c r="E245" s="85" t="s">
        <v>877</v>
      </c>
      <c r="F245" s="80" t="s">
        <v>886</v>
      </c>
      <c r="G245" s="47"/>
      <c r="H245" s="16" t="s">
        <v>1009</v>
      </c>
      <c r="I245" s="16" t="s">
        <v>779</v>
      </c>
      <c r="J245" s="16" t="s">
        <v>1043</v>
      </c>
      <c r="K245" s="47"/>
      <c r="L245" s="80"/>
      <c r="M245" s="47"/>
      <c r="N245" s="16" t="s">
        <v>891</v>
      </c>
      <c r="O245" s="80" t="s">
        <v>170</v>
      </c>
      <c r="P245" s="80" t="s">
        <v>870</v>
      </c>
      <c r="Q245" s="18"/>
      <c r="R245" s="16" t="s">
        <v>201</v>
      </c>
      <c r="S245" s="16" t="s">
        <v>132</v>
      </c>
      <c r="T245" s="16"/>
      <c r="U245" s="16" t="s">
        <v>578</v>
      </c>
      <c r="V245" s="16"/>
      <c r="W245" s="16">
        <f>ROUND(IF(D245=Table!$C$3,Y245*Table!$C$4/8,Y245*Table!$D$4/8),3)</f>
        <v>26</v>
      </c>
      <c r="X245" s="191">
        <f t="shared" si="46"/>
        <v>26</v>
      </c>
      <c r="Y245" s="191">
        <v>1.6</v>
      </c>
      <c r="Z245" s="191">
        <f t="shared" si="47"/>
        <v>1.6</v>
      </c>
      <c r="AA245" s="16" t="s">
        <v>21</v>
      </c>
      <c r="AB245" s="81">
        <v>44071</v>
      </c>
      <c r="AC245" s="81">
        <v>44063</v>
      </c>
      <c r="AD245" s="81">
        <v>44074</v>
      </c>
      <c r="AE245" s="81">
        <v>44064</v>
      </c>
      <c r="AF245" s="81">
        <v>44064</v>
      </c>
      <c r="AG245" s="81" t="s">
        <v>155</v>
      </c>
      <c r="AH245" s="82">
        <v>1</v>
      </c>
      <c r="AI245" s="82">
        <v>1</v>
      </c>
      <c r="AJ245" s="82" t="s">
        <v>213</v>
      </c>
      <c r="AK245" s="87" t="s">
        <v>140</v>
      </c>
      <c r="AL245" s="126"/>
      <c r="AM245" s="15"/>
      <c r="AN245" s="15"/>
    </row>
    <row r="246" spans="2:40" hidden="1">
      <c r="B246" s="88">
        <f t="shared" si="41"/>
        <v>187</v>
      </c>
      <c r="C246" s="16">
        <v>20200819</v>
      </c>
      <c r="D246" s="16" t="s">
        <v>2</v>
      </c>
      <c r="E246" s="85" t="s">
        <v>877</v>
      </c>
      <c r="F246" s="80" t="s">
        <v>886</v>
      </c>
      <c r="G246" s="47"/>
      <c r="H246" s="16" t="s">
        <v>1010</v>
      </c>
      <c r="I246" s="16" t="s">
        <v>780</v>
      </c>
      <c r="J246" s="16" t="s">
        <v>1043</v>
      </c>
      <c r="K246" s="47"/>
      <c r="L246" s="80"/>
      <c r="M246" s="47"/>
      <c r="N246" s="16" t="s">
        <v>891</v>
      </c>
      <c r="O246" s="80" t="s">
        <v>209</v>
      </c>
      <c r="P246" s="80" t="s">
        <v>865</v>
      </c>
      <c r="Q246" s="18"/>
      <c r="R246" s="16" t="s">
        <v>201</v>
      </c>
      <c r="S246" s="16" t="s">
        <v>132</v>
      </c>
      <c r="T246" s="16"/>
      <c r="U246" s="16" t="s">
        <v>578</v>
      </c>
      <c r="V246" s="16"/>
      <c r="W246" s="16">
        <f>ROUND(IF(D246=Table!$C$3,Y246*Table!$C$4/8,Y246*Table!$D$4/8),3)</f>
        <v>70.2</v>
      </c>
      <c r="X246" s="191">
        <f t="shared" si="46"/>
        <v>70.2</v>
      </c>
      <c r="Y246" s="191">
        <v>4.32</v>
      </c>
      <c r="Z246" s="191">
        <f t="shared" si="47"/>
        <v>4.32</v>
      </c>
      <c r="AA246" s="16" t="s">
        <v>21</v>
      </c>
      <c r="AB246" s="81">
        <v>44071</v>
      </c>
      <c r="AC246" s="81">
        <v>44063</v>
      </c>
      <c r="AD246" s="81">
        <v>44074</v>
      </c>
      <c r="AE246" s="81">
        <v>44064</v>
      </c>
      <c r="AF246" s="81">
        <v>44064</v>
      </c>
      <c r="AG246" s="81" t="s">
        <v>155</v>
      </c>
      <c r="AH246" s="82">
        <v>1</v>
      </c>
      <c r="AI246" s="82">
        <v>1</v>
      </c>
      <c r="AJ246" s="82">
        <v>0.54200000000000004</v>
      </c>
      <c r="AK246" s="87" t="s">
        <v>140</v>
      </c>
      <c r="AL246" s="109"/>
      <c r="AM246" s="15"/>
      <c r="AN246" s="15"/>
    </row>
    <row r="247" spans="2:40" hidden="1">
      <c r="B247" s="88">
        <f t="shared" si="41"/>
        <v>188</v>
      </c>
      <c r="C247" s="16">
        <v>20200819</v>
      </c>
      <c r="D247" s="16" t="s">
        <v>2</v>
      </c>
      <c r="E247" s="85" t="s">
        <v>877</v>
      </c>
      <c r="F247" s="80" t="s">
        <v>886</v>
      </c>
      <c r="G247" s="47"/>
      <c r="H247" s="16" t="s">
        <v>1011</v>
      </c>
      <c r="I247" s="16" t="s">
        <v>781</v>
      </c>
      <c r="J247" s="16" t="s">
        <v>208</v>
      </c>
      <c r="K247" s="47"/>
      <c r="L247" s="80"/>
      <c r="M247" s="47"/>
      <c r="N247" s="16" t="s">
        <v>891</v>
      </c>
      <c r="O247" s="80" t="s">
        <v>248</v>
      </c>
      <c r="P247" s="80" t="s">
        <v>865</v>
      </c>
      <c r="Q247" s="18"/>
      <c r="R247" s="16" t="s">
        <v>201</v>
      </c>
      <c r="S247" s="16" t="s">
        <v>132</v>
      </c>
      <c r="T247" s="16"/>
      <c r="U247" s="16" t="s">
        <v>578</v>
      </c>
      <c r="V247" s="16"/>
      <c r="W247" s="16">
        <f>ROUND(IF(D247=Table!$C$3,Y247*Table!$C$4/8,Y247*Table!$D$4/8),3)</f>
        <v>104</v>
      </c>
      <c r="X247" s="191">
        <f t="shared" si="46"/>
        <v>104</v>
      </c>
      <c r="Y247" s="211">
        <v>6.4</v>
      </c>
      <c r="Z247" s="191">
        <f t="shared" si="47"/>
        <v>6.4</v>
      </c>
      <c r="AA247" s="16" t="s">
        <v>21</v>
      </c>
      <c r="AB247" s="81">
        <v>44071</v>
      </c>
      <c r="AC247" s="81">
        <v>44063</v>
      </c>
      <c r="AD247" s="81">
        <v>44074</v>
      </c>
      <c r="AE247" s="81">
        <v>44067</v>
      </c>
      <c r="AF247" s="81">
        <v>44067</v>
      </c>
      <c r="AG247" s="81" t="s">
        <v>155</v>
      </c>
      <c r="AH247" s="82">
        <v>1</v>
      </c>
      <c r="AI247" s="82">
        <v>1</v>
      </c>
      <c r="AJ247" s="82">
        <v>0.56699999999999995</v>
      </c>
      <c r="AK247" s="87" t="s">
        <v>140</v>
      </c>
      <c r="AL247" s="126"/>
      <c r="AM247" s="16"/>
      <c r="AN247" s="15"/>
    </row>
    <row r="248" spans="2:40" hidden="1">
      <c r="B248" s="88">
        <f t="shared" si="41"/>
        <v>189</v>
      </c>
      <c r="C248" s="16">
        <v>20200819</v>
      </c>
      <c r="D248" s="16" t="s">
        <v>2</v>
      </c>
      <c r="E248" s="85" t="s">
        <v>877</v>
      </c>
      <c r="F248" s="80" t="s">
        <v>886</v>
      </c>
      <c r="G248" s="47"/>
      <c r="H248" s="16" t="s">
        <v>1012</v>
      </c>
      <c r="I248" s="16" t="s">
        <v>782</v>
      </c>
      <c r="J248" s="16" t="s">
        <v>1043</v>
      </c>
      <c r="K248" s="47"/>
      <c r="L248" s="80"/>
      <c r="M248" s="47"/>
      <c r="N248" s="16" t="s">
        <v>891</v>
      </c>
      <c r="O248" s="80" t="s">
        <v>210</v>
      </c>
      <c r="P248" s="80" t="s">
        <v>865</v>
      </c>
      <c r="Q248" s="18"/>
      <c r="R248" s="16" t="s">
        <v>201</v>
      </c>
      <c r="S248" s="16" t="s">
        <v>132</v>
      </c>
      <c r="T248" s="16"/>
      <c r="U248" s="16" t="s">
        <v>578</v>
      </c>
      <c r="V248" s="16"/>
      <c r="W248" s="16">
        <f>ROUND(IF(D248=Table!$C$3,Y248*Table!$C$4/8,Y248*Table!$D$4/8),3)</f>
        <v>26</v>
      </c>
      <c r="X248" s="191">
        <f t="shared" si="46"/>
        <v>26</v>
      </c>
      <c r="Y248" s="191">
        <v>1.6</v>
      </c>
      <c r="Z248" s="191">
        <f t="shared" si="47"/>
        <v>1.6</v>
      </c>
      <c r="AA248" s="16" t="s">
        <v>21</v>
      </c>
      <c r="AB248" s="81">
        <v>44071</v>
      </c>
      <c r="AC248" s="81">
        <v>44063</v>
      </c>
      <c r="AD248" s="81">
        <v>44074</v>
      </c>
      <c r="AE248" s="81">
        <v>44067</v>
      </c>
      <c r="AF248" s="81">
        <v>44067</v>
      </c>
      <c r="AG248" s="81" t="s">
        <v>155</v>
      </c>
      <c r="AH248" s="82">
        <v>1</v>
      </c>
      <c r="AI248" s="82">
        <v>1</v>
      </c>
      <c r="AJ248" s="82">
        <v>0.76900000000000002</v>
      </c>
      <c r="AK248" s="87" t="s">
        <v>140</v>
      </c>
      <c r="AL248" s="109"/>
      <c r="AM248" s="15"/>
      <c r="AN248" s="15"/>
    </row>
    <row r="249" spans="2:40" hidden="1">
      <c r="B249" s="88">
        <f t="shared" si="41"/>
        <v>190</v>
      </c>
      <c r="C249" s="16">
        <v>20200819</v>
      </c>
      <c r="D249" s="16" t="s">
        <v>2</v>
      </c>
      <c r="E249" s="85" t="s">
        <v>877</v>
      </c>
      <c r="F249" s="80" t="s">
        <v>886</v>
      </c>
      <c r="G249" s="47"/>
      <c r="H249" s="16" t="s">
        <v>1013</v>
      </c>
      <c r="I249" s="16" t="s">
        <v>783</v>
      </c>
      <c r="J249" s="16" t="s">
        <v>1043</v>
      </c>
      <c r="K249" s="47"/>
      <c r="L249" s="80"/>
      <c r="M249" s="47"/>
      <c r="N249" s="16" t="s">
        <v>891</v>
      </c>
      <c r="O249" s="80" t="s">
        <v>839</v>
      </c>
      <c r="P249" s="80" t="s">
        <v>865</v>
      </c>
      <c r="Q249" s="18"/>
      <c r="R249" s="16" t="s">
        <v>201</v>
      </c>
      <c r="S249" s="16" t="s">
        <v>132</v>
      </c>
      <c r="T249" s="16"/>
      <c r="U249" s="16" t="s">
        <v>578</v>
      </c>
      <c r="V249" s="16"/>
      <c r="W249" s="16">
        <f>ROUND(IF(D249=Table!$C$3,Y249*Table!$C$4/8,Y249*Table!$D$4/8),3)</f>
        <v>59.8</v>
      </c>
      <c r="X249" s="191">
        <f t="shared" si="46"/>
        <v>59.8</v>
      </c>
      <c r="Y249" s="191">
        <v>3.68</v>
      </c>
      <c r="Z249" s="191">
        <f t="shared" si="47"/>
        <v>3.68</v>
      </c>
      <c r="AA249" s="16" t="s">
        <v>21</v>
      </c>
      <c r="AB249" s="81">
        <v>44071</v>
      </c>
      <c r="AC249" s="81">
        <v>44063</v>
      </c>
      <c r="AD249" s="81">
        <v>44074</v>
      </c>
      <c r="AE249" s="81">
        <v>44067</v>
      </c>
      <c r="AF249" s="81">
        <v>44067</v>
      </c>
      <c r="AG249" s="81" t="s">
        <v>155</v>
      </c>
      <c r="AH249" s="82">
        <v>1</v>
      </c>
      <c r="AI249" s="82">
        <v>1</v>
      </c>
      <c r="AJ249" s="82">
        <v>0.21199999999999999</v>
      </c>
      <c r="AK249" s="87" t="s">
        <v>140</v>
      </c>
      <c r="AL249" s="126"/>
      <c r="AM249" s="15"/>
      <c r="AN249" s="15"/>
    </row>
    <row r="250" spans="2:40" hidden="1">
      <c r="B250" s="88">
        <f t="shared" si="41"/>
        <v>191</v>
      </c>
      <c r="C250" s="16">
        <v>20200819</v>
      </c>
      <c r="D250" s="16" t="s">
        <v>2</v>
      </c>
      <c r="E250" s="85" t="s">
        <v>877</v>
      </c>
      <c r="F250" s="80" t="s">
        <v>886</v>
      </c>
      <c r="G250" s="47"/>
      <c r="H250" s="16" t="s">
        <v>1014</v>
      </c>
      <c r="I250" s="16" t="s">
        <v>784</v>
      </c>
      <c r="J250" s="16" t="s">
        <v>1043</v>
      </c>
      <c r="K250" s="47"/>
      <c r="L250" s="80"/>
      <c r="M250" s="47"/>
      <c r="N250" s="16" t="s">
        <v>891</v>
      </c>
      <c r="O250" s="80" t="s">
        <v>210</v>
      </c>
      <c r="P250" s="80" t="s">
        <v>866</v>
      </c>
      <c r="Q250" s="18"/>
      <c r="R250" s="16" t="s">
        <v>201</v>
      </c>
      <c r="S250" s="16" t="s">
        <v>132</v>
      </c>
      <c r="T250" s="16"/>
      <c r="U250" s="16" t="s">
        <v>578</v>
      </c>
      <c r="V250" s="16"/>
      <c r="W250" s="16">
        <f>ROUND(IF(D250=Table!$C$3,Y250*Table!$C$4/8,Y250*Table!$D$4/8),3)</f>
        <v>26</v>
      </c>
      <c r="X250" s="191">
        <f t="shared" si="46"/>
        <v>26</v>
      </c>
      <c r="Y250" s="191">
        <v>1.6</v>
      </c>
      <c r="Z250" s="191">
        <f t="shared" si="47"/>
        <v>1.6</v>
      </c>
      <c r="AA250" s="16" t="s">
        <v>21</v>
      </c>
      <c r="AB250" s="81">
        <v>44071</v>
      </c>
      <c r="AC250" s="81">
        <v>44063</v>
      </c>
      <c r="AD250" s="81">
        <v>44074</v>
      </c>
      <c r="AE250" s="81">
        <v>44067</v>
      </c>
      <c r="AF250" s="81">
        <v>44067</v>
      </c>
      <c r="AG250" s="81" t="s">
        <v>155</v>
      </c>
      <c r="AH250" s="82">
        <v>0.85699999999999998</v>
      </c>
      <c r="AI250" s="82">
        <v>0.85699999999999998</v>
      </c>
      <c r="AJ250" s="82">
        <v>1</v>
      </c>
      <c r="AK250" s="87" t="s">
        <v>140</v>
      </c>
      <c r="AL250" s="126" t="s">
        <v>1141</v>
      </c>
      <c r="AM250" s="15"/>
      <c r="AN250" s="15"/>
    </row>
    <row r="251" spans="2:40" hidden="1">
      <c r="B251" s="88">
        <f t="shared" si="41"/>
        <v>192</v>
      </c>
      <c r="C251" s="16">
        <v>20200819</v>
      </c>
      <c r="D251" s="16" t="s">
        <v>2</v>
      </c>
      <c r="E251" s="85" t="s">
        <v>877</v>
      </c>
      <c r="F251" s="80" t="s">
        <v>886</v>
      </c>
      <c r="G251" s="47"/>
      <c r="H251" s="16" t="s">
        <v>1015</v>
      </c>
      <c r="I251" s="16" t="s">
        <v>785</v>
      </c>
      <c r="J251" s="16" t="s">
        <v>208</v>
      </c>
      <c r="K251" s="47"/>
      <c r="L251" s="80"/>
      <c r="M251" s="47"/>
      <c r="N251" s="16" t="s">
        <v>891</v>
      </c>
      <c r="O251" s="80" t="s">
        <v>838</v>
      </c>
      <c r="P251" s="80" t="s">
        <v>865</v>
      </c>
      <c r="Q251" s="18"/>
      <c r="R251" s="16" t="s">
        <v>201</v>
      </c>
      <c r="S251" s="16" t="s">
        <v>132</v>
      </c>
      <c r="T251" s="16"/>
      <c r="U251" s="16" t="s">
        <v>578</v>
      </c>
      <c r="V251" s="16"/>
      <c r="W251" s="16">
        <f>ROUND(IF(D251=Table!$C$3,Y251*Table!$C$4/8,Y251*Table!$D$4/8),3)</f>
        <v>214.5</v>
      </c>
      <c r="X251" s="191">
        <f t="shared" si="46"/>
        <v>214.5</v>
      </c>
      <c r="Y251" s="203">
        <v>13.2</v>
      </c>
      <c r="Z251" s="191">
        <f t="shared" si="47"/>
        <v>13.2</v>
      </c>
      <c r="AA251" s="16" t="s">
        <v>21</v>
      </c>
      <c r="AB251" s="81">
        <v>44071</v>
      </c>
      <c r="AC251" s="81">
        <v>44063</v>
      </c>
      <c r="AD251" s="81">
        <v>44074</v>
      </c>
      <c r="AE251" s="81">
        <v>44068</v>
      </c>
      <c r="AF251" s="81">
        <v>44068</v>
      </c>
      <c r="AG251" s="81" t="s">
        <v>155</v>
      </c>
      <c r="AH251" s="82">
        <v>0.97299999999999998</v>
      </c>
      <c r="AI251" s="82">
        <v>0.97299999999999998</v>
      </c>
      <c r="AJ251" s="82">
        <v>0.36099999999999999</v>
      </c>
      <c r="AK251" s="87" t="s">
        <v>140</v>
      </c>
      <c r="AL251" s="126" t="s">
        <v>1180</v>
      </c>
      <c r="AM251" s="15"/>
      <c r="AN251" s="15"/>
    </row>
    <row r="252" spans="2:40" hidden="1">
      <c r="B252" s="88">
        <f t="shared" si="41"/>
        <v>193</v>
      </c>
      <c r="C252" s="16">
        <v>20200819</v>
      </c>
      <c r="D252" s="16" t="s">
        <v>2</v>
      </c>
      <c r="E252" s="85" t="s">
        <v>877</v>
      </c>
      <c r="F252" s="80" t="s">
        <v>886</v>
      </c>
      <c r="G252" s="47"/>
      <c r="H252" s="16" t="s">
        <v>1016</v>
      </c>
      <c r="I252" s="300" t="s">
        <v>786</v>
      </c>
      <c r="J252" s="16" t="s">
        <v>1043</v>
      </c>
      <c r="K252" s="47"/>
      <c r="L252" s="72"/>
      <c r="M252" s="47"/>
      <c r="N252" s="16" t="s">
        <v>891</v>
      </c>
      <c r="O252" s="80" t="s">
        <v>170</v>
      </c>
      <c r="P252" s="80" t="s">
        <v>870</v>
      </c>
      <c r="Q252" s="18"/>
      <c r="R252" s="16" t="s">
        <v>205</v>
      </c>
      <c r="S252" s="16" t="s">
        <v>174</v>
      </c>
      <c r="T252" s="16"/>
      <c r="U252" s="16"/>
      <c r="V252" s="16"/>
      <c r="W252" s="16">
        <f>ROUND(IF(D252=Table!$C$3,Y252*Table!$C$4/8,Y252*Table!$D$4/8),3)</f>
        <v>53.3</v>
      </c>
      <c r="X252" s="191">
        <f t="shared" ref="X252:X264" si="48">W252</f>
        <v>53.3</v>
      </c>
      <c r="Y252" s="191">
        <v>3.28</v>
      </c>
      <c r="Z252" s="191">
        <f t="shared" ref="Z252:Z264" si="49">Y252</f>
        <v>3.28</v>
      </c>
      <c r="AA252" s="16" t="s">
        <v>21</v>
      </c>
      <c r="AB252" s="81">
        <v>44071</v>
      </c>
      <c r="AC252" s="81">
        <v>44063</v>
      </c>
      <c r="AD252" s="81">
        <v>44074</v>
      </c>
      <c r="AE252" s="81">
        <v>44068</v>
      </c>
      <c r="AF252" s="81">
        <v>44068</v>
      </c>
      <c r="AG252" s="81" t="s">
        <v>155</v>
      </c>
      <c r="AH252" s="82">
        <v>1</v>
      </c>
      <c r="AI252" s="82">
        <v>1</v>
      </c>
      <c r="AJ252" s="82">
        <v>0.66700000000000004</v>
      </c>
      <c r="AK252" s="87" t="s">
        <v>140</v>
      </c>
      <c r="AL252" s="84"/>
      <c r="AM252" s="15"/>
      <c r="AN252" s="15"/>
    </row>
    <row r="253" spans="2:40" hidden="1">
      <c r="B253" s="88">
        <f t="shared" si="41"/>
        <v>194</v>
      </c>
      <c r="C253" s="16">
        <v>20200819</v>
      </c>
      <c r="D253" s="16" t="s">
        <v>2</v>
      </c>
      <c r="E253" s="85" t="s">
        <v>877</v>
      </c>
      <c r="F253" s="80" t="s">
        <v>886</v>
      </c>
      <c r="G253" s="47"/>
      <c r="H253" s="16" t="s">
        <v>1017</v>
      </c>
      <c r="I253" s="300" t="s">
        <v>787</v>
      </c>
      <c r="J253" s="16" t="s">
        <v>1043</v>
      </c>
      <c r="K253" s="47"/>
      <c r="L253" s="72"/>
      <c r="M253" s="47"/>
      <c r="N253" s="16" t="s">
        <v>891</v>
      </c>
      <c r="O253" s="80" t="s">
        <v>248</v>
      </c>
      <c r="P253" s="80" t="s">
        <v>865</v>
      </c>
      <c r="Q253" s="18"/>
      <c r="R253" s="16" t="s">
        <v>205</v>
      </c>
      <c r="S253" s="16" t="s">
        <v>174</v>
      </c>
      <c r="T253" s="16"/>
      <c r="U253" s="16"/>
      <c r="V253" s="16"/>
      <c r="W253" s="16">
        <f>ROUND(IF(D253=Table!$C$3,Y253*Table!$C$4/8,Y253*Table!$D$4/8),3)</f>
        <v>37.700000000000003</v>
      </c>
      <c r="X253" s="191">
        <f t="shared" si="48"/>
        <v>37.700000000000003</v>
      </c>
      <c r="Y253" s="191">
        <v>2.3199999999999998</v>
      </c>
      <c r="Z253" s="191">
        <f t="shared" si="49"/>
        <v>2.3199999999999998</v>
      </c>
      <c r="AA253" s="16" t="s">
        <v>21</v>
      </c>
      <c r="AB253" s="81">
        <v>44071</v>
      </c>
      <c r="AC253" s="81">
        <v>44063</v>
      </c>
      <c r="AD253" s="81">
        <v>44074</v>
      </c>
      <c r="AE253" s="81">
        <v>44068</v>
      </c>
      <c r="AF253" s="81">
        <v>44068</v>
      </c>
      <c r="AG253" s="81" t="s">
        <v>155</v>
      </c>
      <c r="AH253" s="82">
        <v>1</v>
      </c>
      <c r="AI253" s="82">
        <v>1</v>
      </c>
      <c r="AJ253" s="82">
        <v>0.19</v>
      </c>
      <c r="AK253" s="87" t="s">
        <v>140</v>
      </c>
      <c r="AL253" s="109"/>
      <c r="AM253" s="15"/>
      <c r="AN253" s="15"/>
    </row>
    <row r="254" spans="2:40" hidden="1">
      <c r="B254" s="88">
        <f t="shared" si="41"/>
        <v>195</v>
      </c>
      <c r="C254" s="16">
        <v>20200819</v>
      </c>
      <c r="D254" s="16" t="s">
        <v>2</v>
      </c>
      <c r="E254" s="85" t="s">
        <v>877</v>
      </c>
      <c r="F254" s="80" t="s">
        <v>886</v>
      </c>
      <c r="G254" s="47"/>
      <c r="H254" s="16" t="s">
        <v>1018</v>
      </c>
      <c r="I254" s="300" t="s">
        <v>788</v>
      </c>
      <c r="J254" s="16" t="s">
        <v>208</v>
      </c>
      <c r="K254" s="47"/>
      <c r="L254" s="72"/>
      <c r="M254" s="47"/>
      <c r="N254" s="16" t="s">
        <v>891</v>
      </c>
      <c r="O254" s="80" t="s">
        <v>842</v>
      </c>
      <c r="P254" s="80" t="s">
        <v>865</v>
      </c>
      <c r="Q254" s="18"/>
      <c r="R254" s="16" t="s">
        <v>205</v>
      </c>
      <c r="S254" s="16" t="s">
        <v>174</v>
      </c>
      <c r="T254" s="16"/>
      <c r="U254" s="16"/>
      <c r="V254" s="16"/>
      <c r="W254" s="16">
        <f>ROUND(IF(D254=Table!$C$3,Y254*Table!$C$4/8,Y254*Table!$D$4/8),3)</f>
        <v>170.3</v>
      </c>
      <c r="X254" s="191">
        <f t="shared" si="48"/>
        <v>170.3</v>
      </c>
      <c r="Y254" s="203">
        <v>10.48</v>
      </c>
      <c r="Z254" s="191">
        <f t="shared" si="49"/>
        <v>10.48</v>
      </c>
      <c r="AA254" s="16" t="s">
        <v>21</v>
      </c>
      <c r="AB254" s="81">
        <v>44071</v>
      </c>
      <c r="AC254" s="81">
        <v>44063</v>
      </c>
      <c r="AD254" s="81">
        <v>44074</v>
      </c>
      <c r="AE254" s="81">
        <v>44069</v>
      </c>
      <c r="AF254" s="81">
        <v>44069</v>
      </c>
      <c r="AG254" s="81" t="s">
        <v>155</v>
      </c>
      <c r="AH254" s="82">
        <v>0.89300000000000002</v>
      </c>
      <c r="AI254" s="82">
        <v>0.90300000000000002</v>
      </c>
      <c r="AJ254" s="82">
        <v>0.32900000000000001</v>
      </c>
      <c r="AK254" s="87" t="s">
        <v>140</v>
      </c>
      <c r="AL254" s="258" t="s">
        <v>1239</v>
      </c>
      <c r="AM254" s="15"/>
      <c r="AN254" s="15"/>
    </row>
    <row r="255" spans="2:40" hidden="1">
      <c r="B255" s="88">
        <f t="shared" si="41"/>
        <v>196</v>
      </c>
      <c r="C255" s="16">
        <v>20200819</v>
      </c>
      <c r="D255" s="16" t="s">
        <v>2</v>
      </c>
      <c r="E255" s="85" t="s">
        <v>877</v>
      </c>
      <c r="F255" s="80" t="s">
        <v>886</v>
      </c>
      <c r="G255" s="47"/>
      <c r="H255" s="16" t="s">
        <v>1019</v>
      </c>
      <c r="I255" s="300" t="s">
        <v>789</v>
      </c>
      <c r="J255" s="16" t="s">
        <v>208</v>
      </c>
      <c r="K255" s="47"/>
      <c r="L255" s="72"/>
      <c r="M255" s="47"/>
      <c r="N255" s="16" t="s">
        <v>891</v>
      </c>
      <c r="O255" s="80" t="s">
        <v>843</v>
      </c>
      <c r="P255" s="80" t="s">
        <v>865</v>
      </c>
      <c r="Q255" s="18"/>
      <c r="R255" s="16" t="s">
        <v>205</v>
      </c>
      <c r="S255" s="16" t="s">
        <v>174</v>
      </c>
      <c r="T255" s="16"/>
      <c r="U255" s="16"/>
      <c r="V255" s="16"/>
      <c r="W255" s="16">
        <f>ROUND(IF(D255=Table!$C$3,Y255*Table!$C$4/8,Y255*Table!$D$4/8),3)</f>
        <v>214.5</v>
      </c>
      <c r="X255" s="191">
        <f t="shared" si="48"/>
        <v>214.5</v>
      </c>
      <c r="Y255" s="191">
        <v>13.2</v>
      </c>
      <c r="Z255" s="191">
        <f t="shared" si="49"/>
        <v>13.2</v>
      </c>
      <c r="AA255" s="16" t="s">
        <v>21</v>
      </c>
      <c r="AB255" s="81">
        <v>44071</v>
      </c>
      <c r="AC255" s="81">
        <v>44063</v>
      </c>
      <c r="AD255" s="81">
        <v>44074</v>
      </c>
      <c r="AE255" s="81">
        <v>44069</v>
      </c>
      <c r="AF255" s="81">
        <v>44069</v>
      </c>
      <c r="AG255" s="81" t="s">
        <v>155</v>
      </c>
      <c r="AH255" s="82">
        <v>0.86899999999999999</v>
      </c>
      <c r="AI255" s="82">
        <v>0.88500000000000001</v>
      </c>
      <c r="AJ255" s="82">
        <v>0.38100000000000001</v>
      </c>
      <c r="AK255" s="87" t="s">
        <v>140</v>
      </c>
      <c r="AL255" s="258" t="s">
        <v>1261</v>
      </c>
      <c r="AM255" s="15"/>
      <c r="AN255" s="15"/>
    </row>
    <row r="256" spans="2:40" hidden="1">
      <c r="B256" s="88">
        <f t="shared" si="41"/>
        <v>197</v>
      </c>
      <c r="C256" s="16">
        <v>20200819</v>
      </c>
      <c r="D256" s="16" t="s">
        <v>2</v>
      </c>
      <c r="E256" s="85" t="s">
        <v>877</v>
      </c>
      <c r="F256" s="80" t="s">
        <v>886</v>
      </c>
      <c r="G256" s="47"/>
      <c r="H256" s="16" t="s">
        <v>1020</v>
      </c>
      <c r="I256" s="16" t="s">
        <v>790</v>
      </c>
      <c r="J256" s="16" t="s">
        <v>208</v>
      </c>
      <c r="K256" s="47"/>
      <c r="L256" s="72"/>
      <c r="M256" s="47"/>
      <c r="N256" s="16" t="s">
        <v>891</v>
      </c>
      <c r="O256" s="80" t="s">
        <v>837</v>
      </c>
      <c r="P256" s="80" t="s">
        <v>865</v>
      </c>
      <c r="Q256" s="18"/>
      <c r="R256" s="16" t="s">
        <v>205</v>
      </c>
      <c r="S256" s="16" t="s">
        <v>174</v>
      </c>
      <c r="T256" s="16"/>
      <c r="U256" s="16"/>
      <c r="V256" s="16"/>
      <c r="W256" s="16">
        <f>ROUND(IF(D256=Table!$C$3,Y256*Table!$C$4/8,Y256*Table!$D$4/8),3)</f>
        <v>93.6</v>
      </c>
      <c r="X256" s="191">
        <f t="shared" si="48"/>
        <v>93.6</v>
      </c>
      <c r="Y256" s="211">
        <v>5.76</v>
      </c>
      <c r="Z256" s="191">
        <f t="shared" si="49"/>
        <v>5.76</v>
      </c>
      <c r="AA256" s="16" t="s">
        <v>21</v>
      </c>
      <c r="AB256" s="81">
        <v>44071</v>
      </c>
      <c r="AC256" s="81">
        <v>44063</v>
      </c>
      <c r="AD256" s="81">
        <v>44074</v>
      </c>
      <c r="AE256" s="81">
        <v>44067</v>
      </c>
      <c r="AF256" s="81">
        <v>44067</v>
      </c>
      <c r="AG256" s="81" t="s">
        <v>155</v>
      </c>
      <c r="AH256" s="82">
        <v>1</v>
      </c>
      <c r="AI256" s="82">
        <v>1</v>
      </c>
      <c r="AJ256" s="82">
        <v>0.58299999999999996</v>
      </c>
      <c r="AK256" s="87" t="s">
        <v>140</v>
      </c>
      <c r="AL256" s="84"/>
      <c r="AM256" s="15"/>
      <c r="AN256" s="15"/>
    </row>
    <row r="257" spans="2:40" hidden="1">
      <c r="B257" s="88">
        <f t="shared" si="41"/>
        <v>198</v>
      </c>
      <c r="C257" s="16">
        <v>20200819</v>
      </c>
      <c r="D257" s="16" t="s">
        <v>2</v>
      </c>
      <c r="E257" s="85" t="s">
        <v>877</v>
      </c>
      <c r="F257" s="80" t="s">
        <v>886</v>
      </c>
      <c r="G257" s="47"/>
      <c r="H257" s="16" t="s">
        <v>1021</v>
      </c>
      <c r="I257" s="16" t="s">
        <v>791</v>
      </c>
      <c r="J257" s="16" t="s">
        <v>1043</v>
      </c>
      <c r="K257" s="47"/>
      <c r="L257" s="72"/>
      <c r="M257" s="47"/>
      <c r="N257" s="16" t="s">
        <v>891</v>
      </c>
      <c r="O257" s="80" t="s">
        <v>831</v>
      </c>
      <c r="P257" s="80" t="s">
        <v>865</v>
      </c>
      <c r="Q257" s="18"/>
      <c r="R257" s="16" t="s">
        <v>205</v>
      </c>
      <c r="S257" s="16" t="s">
        <v>174</v>
      </c>
      <c r="T257" s="16"/>
      <c r="U257" s="16"/>
      <c r="V257" s="16"/>
      <c r="W257" s="16">
        <f>ROUND(IF(D257=Table!$C$3,Y257*Table!$C$4/8,Y257*Table!$D$4/8),3)</f>
        <v>42.9</v>
      </c>
      <c r="X257" s="191">
        <f t="shared" si="48"/>
        <v>42.9</v>
      </c>
      <c r="Y257" s="191">
        <v>2.64</v>
      </c>
      <c r="Z257" s="191">
        <f t="shared" si="49"/>
        <v>2.64</v>
      </c>
      <c r="AA257" s="16" t="s">
        <v>21</v>
      </c>
      <c r="AB257" s="81">
        <v>44071</v>
      </c>
      <c r="AC257" s="81">
        <v>44063</v>
      </c>
      <c r="AD257" s="81">
        <v>44074</v>
      </c>
      <c r="AE257" s="81">
        <v>44067</v>
      </c>
      <c r="AF257" s="81">
        <v>44067</v>
      </c>
      <c r="AG257" s="81" t="s">
        <v>155</v>
      </c>
      <c r="AH257" s="82">
        <v>1</v>
      </c>
      <c r="AI257" s="82">
        <v>1</v>
      </c>
      <c r="AJ257" s="82" t="s">
        <v>213</v>
      </c>
      <c r="AK257" s="87" t="s">
        <v>140</v>
      </c>
      <c r="AL257" s="84"/>
      <c r="AM257" s="15"/>
      <c r="AN257" s="15"/>
    </row>
    <row r="258" spans="2:40" hidden="1">
      <c r="B258" s="88">
        <f t="shared" ref="B258:B289" si="50">B257+1</f>
        <v>199</v>
      </c>
      <c r="C258" s="16">
        <v>20200819</v>
      </c>
      <c r="D258" s="16" t="s">
        <v>2</v>
      </c>
      <c r="E258" s="85" t="s">
        <v>877</v>
      </c>
      <c r="F258" s="80" t="s">
        <v>886</v>
      </c>
      <c r="G258" s="47"/>
      <c r="H258" s="16" t="s">
        <v>1022</v>
      </c>
      <c r="I258" s="16" t="s">
        <v>792</v>
      </c>
      <c r="J258" s="16" t="s">
        <v>1043</v>
      </c>
      <c r="K258" s="47"/>
      <c r="L258" s="72"/>
      <c r="M258" s="47"/>
      <c r="N258" s="16" t="s">
        <v>891</v>
      </c>
      <c r="O258" s="80" t="s">
        <v>831</v>
      </c>
      <c r="P258" s="80" t="s">
        <v>865</v>
      </c>
      <c r="Q258" s="18"/>
      <c r="R258" s="16" t="s">
        <v>205</v>
      </c>
      <c r="S258" s="16" t="s">
        <v>174</v>
      </c>
      <c r="T258" s="16"/>
      <c r="U258" s="16"/>
      <c r="V258" s="16"/>
      <c r="W258" s="16">
        <f>ROUND(IF(D258=Table!$C$3,Y258*Table!$C$4/8,Y258*Table!$D$4/8),3)</f>
        <v>26</v>
      </c>
      <c r="X258" s="191">
        <f t="shared" si="48"/>
        <v>26</v>
      </c>
      <c r="Y258" s="191">
        <v>1.6</v>
      </c>
      <c r="Z258" s="191">
        <f t="shared" si="49"/>
        <v>1.6</v>
      </c>
      <c r="AA258" s="16" t="s">
        <v>21</v>
      </c>
      <c r="AB258" s="81">
        <v>44071</v>
      </c>
      <c r="AC258" s="81">
        <v>44063</v>
      </c>
      <c r="AD258" s="81">
        <v>44074</v>
      </c>
      <c r="AE258" s="81">
        <v>44067</v>
      </c>
      <c r="AF258" s="81">
        <v>44067</v>
      </c>
      <c r="AG258" s="81" t="s">
        <v>155</v>
      </c>
      <c r="AH258" s="82">
        <v>1</v>
      </c>
      <c r="AI258" s="82">
        <v>1</v>
      </c>
      <c r="AJ258" s="82">
        <v>0.125</v>
      </c>
      <c r="AK258" s="87" t="s">
        <v>140</v>
      </c>
      <c r="AL258" s="14"/>
      <c r="AM258" s="15"/>
      <c r="AN258" s="15"/>
    </row>
    <row r="259" spans="2:40" hidden="1">
      <c r="B259" s="88">
        <f t="shared" si="50"/>
        <v>200</v>
      </c>
      <c r="C259" s="16">
        <v>20200819</v>
      </c>
      <c r="D259" s="16" t="s">
        <v>2</v>
      </c>
      <c r="E259" s="85" t="s">
        <v>877</v>
      </c>
      <c r="F259" s="80" t="s">
        <v>886</v>
      </c>
      <c r="G259" s="47"/>
      <c r="H259" s="16" t="s">
        <v>1023</v>
      </c>
      <c r="I259" s="16" t="s">
        <v>793</v>
      </c>
      <c r="J259" s="16" t="s">
        <v>1043</v>
      </c>
      <c r="K259" s="47"/>
      <c r="L259" s="72"/>
      <c r="M259" s="47"/>
      <c r="N259" s="16" t="s">
        <v>891</v>
      </c>
      <c r="O259" s="80" t="s">
        <v>831</v>
      </c>
      <c r="P259" s="80" t="s">
        <v>865</v>
      </c>
      <c r="Q259" s="18"/>
      <c r="R259" s="16" t="s">
        <v>205</v>
      </c>
      <c r="S259" s="16" t="s">
        <v>174</v>
      </c>
      <c r="T259" s="16"/>
      <c r="U259" s="16"/>
      <c r="V259" s="16"/>
      <c r="W259" s="16">
        <f>ROUND(IF(D259=Table!$C$3,Y259*Table!$C$4/8,Y259*Table!$D$4/8),3)</f>
        <v>26</v>
      </c>
      <c r="X259" s="191">
        <f t="shared" si="48"/>
        <v>26</v>
      </c>
      <c r="Y259" s="191">
        <v>1.6</v>
      </c>
      <c r="Z259" s="191">
        <f t="shared" si="49"/>
        <v>1.6</v>
      </c>
      <c r="AA259" s="16" t="s">
        <v>21</v>
      </c>
      <c r="AB259" s="81">
        <v>44071</v>
      </c>
      <c r="AC259" s="81">
        <v>44063</v>
      </c>
      <c r="AD259" s="81">
        <v>44074</v>
      </c>
      <c r="AE259" s="81">
        <v>44067</v>
      </c>
      <c r="AF259" s="81">
        <v>44067</v>
      </c>
      <c r="AG259" s="81" t="s">
        <v>155</v>
      </c>
      <c r="AH259" s="82">
        <v>1</v>
      </c>
      <c r="AI259" s="82">
        <v>1</v>
      </c>
      <c r="AJ259" s="82">
        <v>0.38500000000000001</v>
      </c>
      <c r="AK259" s="87" t="s">
        <v>140</v>
      </c>
      <c r="AL259" s="84"/>
      <c r="AM259" s="15"/>
      <c r="AN259" s="15"/>
    </row>
    <row r="260" spans="2:40" hidden="1">
      <c r="B260" s="88">
        <f t="shared" si="50"/>
        <v>201</v>
      </c>
      <c r="C260" s="16">
        <v>20200819</v>
      </c>
      <c r="D260" s="16" t="s">
        <v>2</v>
      </c>
      <c r="E260" s="85" t="s">
        <v>877</v>
      </c>
      <c r="F260" s="80" t="s">
        <v>886</v>
      </c>
      <c r="G260" s="47"/>
      <c r="H260" s="16" t="s">
        <v>1024</v>
      </c>
      <c r="I260" s="16" t="s">
        <v>794</v>
      </c>
      <c r="J260" s="16" t="s">
        <v>1043</v>
      </c>
      <c r="K260" s="47"/>
      <c r="L260" s="72"/>
      <c r="M260" s="47"/>
      <c r="N260" s="16" t="s">
        <v>891</v>
      </c>
      <c r="O260" s="80" t="s">
        <v>838</v>
      </c>
      <c r="P260" s="80" t="s">
        <v>865</v>
      </c>
      <c r="Q260" s="18"/>
      <c r="R260" s="16" t="s">
        <v>205</v>
      </c>
      <c r="S260" s="16" t="s">
        <v>174</v>
      </c>
      <c r="T260" s="16"/>
      <c r="U260" s="16"/>
      <c r="V260" s="16"/>
      <c r="W260" s="16">
        <f>ROUND(IF(D260=Table!$C$3,Y260*Table!$C$4/8,Y260*Table!$D$4/8),3)</f>
        <v>52</v>
      </c>
      <c r="X260" s="191">
        <f t="shared" si="48"/>
        <v>52</v>
      </c>
      <c r="Y260" s="191">
        <v>3.2</v>
      </c>
      <c r="Z260" s="191">
        <f t="shared" si="49"/>
        <v>3.2</v>
      </c>
      <c r="AA260" s="16" t="s">
        <v>21</v>
      </c>
      <c r="AB260" s="81">
        <v>44071</v>
      </c>
      <c r="AC260" s="81">
        <v>44063</v>
      </c>
      <c r="AD260" s="81">
        <v>44074</v>
      </c>
      <c r="AE260" s="81">
        <v>44067</v>
      </c>
      <c r="AF260" s="81">
        <v>44067</v>
      </c>
      <c r="AG260" s="81" t="s">
        <v>155</v>
      </c>
      <c r="AH260" s="82">
        <v>1</v>
      </c>
      <c r="AI260" s="82">
        <v>1</v>
      </c>
      <c r="AJ260" s="82">
        <v>0.44400000000000001</v>
      </c>
      <c r="AK260" s="87" t="s">
        <v>140</v>
      </c>
      <c r="AL260" s="84"/>
      <c r="AM260" s="15"/>
      <c r="AN260" s="15"/>
    </row>
    <row r="261" spans="2:40" hidden="1">
      <c r="B261" s="88">
        <f t="shared" si="50"/>
        <v>202</v>
      </c>
      <c r="C261" s="16">
        <v>20200819</v>
      </c>
      <c r="D261" s="16" t="s">
        <v>2</v>
      </c>
      <c r="E261" s="85" t="s">
        <v>877</v>
      </c>
      <c r="F261" s="80" t="s">
        <v>886</v>
      </c>
      <c r="G261" s="47"/>
      <c r="H261" s="16" t="s">
        <v>1025</v>
      </c>
      <c r="I261" s="16" t="s">
        <v>795</v>
      </c>
      <c r="J261" s="16" t="s">
        <v>1043</v>
      </c>
      <c r="K261" s="47"/>
      <c r="L261" s="72"/>
      <c r="M261" s="47"/>
      <c r="N261" s="16" t="s">
        <v>891</v>
      </c>
      <c r="O261" s="80" t="s">
        <v>839</v>
      </c>
      <c r="P261" s="80" t="s">
        <v>865</v>
      </c>
      <c r="Q261" s="18"/>
      <c r="R261" s="16" t="s">
        <v>205</v>
      </c>
      <c r="S261" s="16" t="s">
        <v>174</v>
      </c>
      <c r="T261" s="16"/>
      <c r="U261" s="16"/>
      <c r="V261" s="16"/>
      <c r="W261" s="16">
        <f>ROUND(IF(D261=Table!$C$3,Y261*Table!$C$4/8,Y261*Table!$D$4/8),3)</f>
        <v>65</v>
      </c>
      <c r="X261" s="191">
        <f t="shared" si="48"/>
        <v>65</v>
      </c>
      <c r="Y261" s="191">
        <v>4</v>
      </c>
      <c r="Z261" s="191">
        <f t="shared" si="49"/>
        <v>4</v>
      </c>
      <c r="AA261" s="16" t="s">
        <v>21</v>
      </c>
      <c r="AB261" s="81">
        <v>44071</v>
      </c>
      <c r="AC261" s="81">
        <v>44063</v>
      </c>
      <c r="AD261" s="81">
        <v>44074</v>
      </c>
      <c r="AE261" s="81">
        <v>44067</v>
      </c>
      <c r="AF261" s="81">
        <v>44067</v>
      </c>
      <c r="AG261" s="81" t="s">
        <v>155</v>
      </c>
      <c r="AH261" s="82">
        <v>1</v>
      </c>
      <c r="AI261" s="82">
        <v>1</v>
      </c>
      <c r="AJ261" s="82">
        <v>0.26500000000000001</v>
      </c>
      <c r="AK261" s="87" t="s">
        <v>140</v>
      </c>
      <c r="AL261" s="84"/>
      <c r="AM261" s="135"/>
      <c r="AN261" s="15"/>
    </row>
    <row r="262" spans="2:40" hidden="1">
      <c r="B262" s="88">
        <f t="shared" si="50"/>
        <v>203</v>
      </c>
      <c r="C262" s="16">
        <v>20200819</v>
      </c>
      <c r="D262" s="16" t="s">
        <v>2</v>
      </c>
      <c r="E262" s="85" t="s">
        <v>877</v>
      </c>
      <c r="F262" s="80" t="s">
        <v>886</v>
      </c>
      <c r="G262" s="47"/>
      <c r="H262" s="16" t="s">
        <v>1026</v>
      </c>
      <c r="I262" s="16" t="s">
        <v>796</v>
      </c>
      <c r="J262" s="16" t="s">
        <v>1043</v>
      </c>
      <c r="K262" s="47"/>
      <c r="L262" s="72"/>
      <c r="M262" s="47"/>
      <c r="N262" s="16" t="s">
        <v>891</v>
      </c>
      <c r="O262" s="80" t="s">
        <v>210</v>
      </c>
      <c r="P262" s="80" t="s">
        <v>865</v>
      </c>
      <c r="Q262" s="18"/>
      <c r="R262" s="16" t="s">
        <v>205</v>
      </c>
      <c r="S262" s="16" t="s">
        <v>174</v>
      </c>
      <c r="T262" s="16"/>
      <c r="U262" s="16"/>
      <c r="V262" s="16"/>
      <c r="W262" s="16">
        <f>ROUND(IF(D262=Table!$C$3,Y262*Table!$C$4/8,Y262*Table!$D$4/8),3)</f>
        <v>26</v>
      </c>
      <c r="X262" s="191">
        <f t="shared" si="48"/>
        <v>26</v>
      </c>
      <c r="Y262" s="191">
        <v>1.6</v>
      </c>
      <c r="Z262" s="191">
        <f t="shared" si="49"/>
        <v>1.6</v>
      </c>
      <c r="AA262" s="16" t="s">
        <v>21</v>
      </c>
      <c r="AB262" s="81">
        <v>44071</v>
      </c>
      <c r="AC262" s="81">
        <v>44063</v>
      </c>
      <c r="AD262" s="81">
        <v>44074</v>
      </c>
      <c r="AE262" s="81">
        <v>44067</v>
      </c>
      <c r="AF262" s="81">
        <v>44067</v>
      </c>
      <c r="AG262" s="81" t="s">
        <v>155</v>
      </c>
      <c r="AH262" s="82">
        <v>1</v>
      </c>
      <c r="AI262" s="82">
        <v>1</v>
      </c>
      <c r="AJ262" s="82">
        <v>0.45500000000000002</v>
      </c>
      <c r="AK262" s="87" t="s">
        <v>140</v>
      </c>
      <c r="AL262" s="84"/>
      <c r="AM262" s="15"/>
      <c r="AN262" s="15"/>
    </row>
    <row r="263" spans="2:40" hidden="1">
      <c r="B263" s="88">
        <f t="shared" si="50"/>
        <v>204</v>
      </c>
      <c r="C263" s="16">
        <v>20200819</v>
      </c>
      <c r="D263" s="16" t="s">
        <v>2</v>
      </c>
      <c r="E263" s="85" t="s">
        <v>877</v>
      </c>
      <c r="F263" s="80" t="s">
        <v>886</v>
      </c>
      <c r="G263" s="47"/>
      <c r="H263" s="16" t="s">
        <v>1027</v>
      </c>
      <c r="I263" s="16" t="s">
        <v>797</v>
      </c>
      <c r="J263" s="16" t="s">
        <v>1043</v>
      </c>
      <c r="K263" s="47"/>
      <c r="L263" s="72"/>
      <c r="M263" s="47"/>
      <c r="N263" s="16" t="s">
        <v>891</v>
      </c>
      <c r="O263" s="80" t="s">
        <v>210</v>
      </c>
      <c r="P263" s="80" t="s">
        <v>865</v>
      </c>
      <c r="Q263" s="18"/>
      <c r="R263" s="16" t="s">
        <v>205</v>
      </c>
      <c r="S263" s="16" t="s">
        <v>174</v>
      </c>
      <c r="T263" s="16"/>
      <c r="U263" s="16"/>
      <c r="V263" s="16"/>
      <c r="W263" s="16">
        <f>ROUND(IF(D263=Table!$C$3,Y263*Table!$C$4/8,Y263*Table!$D$4/8),3)</f>
        <v>59.8</v>
      </c>
      <c r="X263" s="191">
        <f t="shared" si="48"/>
        <v>59.8</v>
      </c>
      <c r="Y263" s="191">
        <v>3.68</v>
      </c>
      <c r="Z263" s="191">
        <f t="shared" si="49"/>
        <v>3.68</v>
      </c>
      <c r="AA263" s="16" t="s">
        <v>21</v>
      </c>
      <c r="AB263" s="81">
        <v>44071</v>
      </c>
      <c r="AC263" s="81">
        <v>44063</v>
      </c>
      <c r="AD263" s="81">
        <v>44074</v>
      </c>
      <c r="AE263" s="81">
        <v>44067</v>
      </c>
      <c r="AF263" s="81">
        <v>44067</v>
      </c>
      <c r="AG263" s="81" t="s">
        <v>155</v>
      </c>
      <c r="AH263" s="82">
        <v>0.77500000000000002</v>
      </c>
      <c r="AI263" s="82">
        <v>0.77500000000000002</v>
      </c>
      <c r="AJ263" s="82" t="s">
        <v>213</v>
      </c>
      <c r="AK263" s="87" t="s">
        <v>140</v>
      </c>
      <c r="AL263" s="84" t="s">
        <v>1138</v>
      </c>
      <c r="AM263" s="15"/>
      <c r="AN263" s="15"/>
    </row>
    <row r="264" spans="2:40" hidden="1">
      <c r="B264" s="88">
        <f t="shared" si="50"/>
        <v>205</v>
      </c>
      <c r="C264" s="16">
        <v>20200819</v>
      </c>
      <c r="D264" s="16" t="s">
        <v>2</v>
      </c>
      <c r="E264" s="85" t="s">
        <v>877</v>
      </c>
      <c r="F264" s="80" t="s">
        <v>886</v>
      </c>
      <c r="G264" s="47"/>
      <c r="H264" s="16" t="s">
        <v>1028</v>
      </c>
      <c r="I264" s="16" t="s">
        <v>798</v>
      </c>
      <c r="J264" s="16" t="s">
        <v>1043</v>
      </c>
      <c r="K264" s="47"/>
      <c r="L264" s="72"/>
      <c r="M264" s="47"/>
      <c r="N264" s="16" t="s">
        <v>891</v>
      </c>
      <c r="O264" s="80" t="s">
        <v>170</v>
      </c>
      <c r="P264" s="80" t="s">
        <v>866</v>
      </c>
      <c r="Q264" s="18"/>
      <c r="R264" s="16" t="s">
        <v>205</v>
      </c>
      <c r="S264" s="16" t="s">
        <v>174</v>
      </c>
      <c r="T264" s="16"/>
      <c r="U264" s="16"/>
      <c r="V264" s="16"/>
      <c r="W264" s="16">
        <f>ROUND(IF(D264=Table!$C$3,Y264*Table!$C$4/8,Y264*Table!$D$4/8),3)</f>
        <v>26</v>
      </c>
      <c r="X264" s="191">
        <f t="shared" si="48"/>
        <v>26</v>
      </c>
      <c r="Y264" s="191">
        <v>1.6</v>
      </c>
      <c r="Z264" s="191">
        <f t="shared" si="49"/>
        <v>1.6</v>
      </c>
      <c r="AA264" s="16" t="s">
        <v>21</v>
      </c>
      <c r="AB264" s="81">
        <v>44071</v>
      </c>
      <c r="AC264" s="81">
        <v>44063</v>
      </c>
      <c r="AD264" s="81">
        <v>44074</v>
      </c>
      <c r="AE264" s="81">
        <v>44067</v>
      </c>
      <c r="AF264" s="81">
        <v>44067</v>
      </c>
      <c r="AG264" s="81" t="s">
        <v>155</v>
      </c>
      <c r="AH264" s="82">
        <v>1</v>
      </c>
      <c r="AI264" s="82">
        <v>1</v>
      </c>
      <c r="AJ264" s="82" t="s">
        <v>213</v>
      </c>
      <c r="AK264" s="87" t="s">
        <v>140</v>
      </c>
      <c r="AL264" s="3"/>
      <c r="AM264" s="17"/>
      <c r="AN264" s="17"/>
    </row>
    <row r="265" spans="2:40" hidden="1">
      <c r="B265" s="88">
        <f t="shared" si="50"/>
        <v>206</v>
      </c>
      <c r="C265" s="16">
        <v>20200819</v>
      </c>
      <c r="D265" s="16" t="s">
        <v>2</v>
      </c>
      <c r="E265" s="85" t="s">
        <v>877</v>
      </c>
      <c r="F265" s="80" t="s">
        <v>886</v>
      </c>
      <c r="G265" s="47"/>
      <c r="H265" s="16" t="s">
        <v>1029</v>
      </c>
      <c r="I265" s="16" t="s">
        <v>799</v>
      </c>
      <c r="J265" s="16" t="s">
        <v>1044</v>
      </c>
      <c r="K265" s="47"/>
      <c r="L265" s="72"/>
      <c r="M265" s="47"/>
      <c r="N265" s="16" t="s">
        <v>891</v>
      </c>
      <c r="O265" s="80" t="s">
        <v>821</v>
      </c>
      <c r="P265" s="80" t="s">
        <v>456</v>
      </c>
      <c r="Q265" s="18"/>
      <c r="R265" s="16" t="s">
        <v>205</v>
      </c>
      <c r="S265" s="16" t="s">
        <v>174</v>
      </c>
      <c r="T265" s="16"/>
      <c r="U265" s="16"/>
      <c r="V265" s="16"/>
      <c r="W265" s="16">
        <f>ROUND(IF(D265=Table!$C$3,Y265*Table!$C$4/8,Y265*Table!$D$4/8),3)</f>
        <v>65</v>
      </c>
      <c r="X265" s="191">
        <f t="shared" ref="X265:X271" si="51">W265</f>
        <v>65</v>
      </c>
      <c r="Y265" s="191">
        <v>4</v>
      </c>
      <c r="Z265" s="191">
        <f t="shared" ref="Z265:Z271" si="52">Y265</f>
        <v>4</v>
      </c>
      <c r="AA265" s="16" t="s">
        <v>21</v>
      </c>
      <c r="AB265" s="81">
        <v>44071</v>
      </c>
      <c r="AC265" s="81">
        <v>44063</v>
      </c>
      <c r="AD265" s="81">
        <v>44074</v>
      </c>
      <c r="AE265" s="81">
        <v>44064</v>
      </c>
      <c r="AF265" s="81">
        <v>44064</v>
      </c>
      <c r="AG265" s="81" t="s">
        <v>155</v>
      </c>
      <c r="AH265" s="82">
        <v>0.81499999999999995</v>
      </c>
      <c r="AI265" s="82">
        <v>0.85699999999999998</v>
      </c>
      <c r="AJ265" s="82">
        <v>0.92300000000000004</v>
      </c>
      <c r="AK265" s="87" t="s">
        <v>140</v>
      </c>
      <c r="AL265" s="109" t="s">
        <v>1266</v>
      </c>
      <c r="AM265" s="17"/>
      <c r="AN265" s="17"/>
    </row>
    <row r="266" spans="2:40" hidden="1">
      <c r="B266" s="88">
        <f t="shared" si="50"/>
        <v>207</v>
      </c>
      <c r="C266" s="16">
        <v>20200819</v>
      </c>
      <c r="D266" s="16" t="s">
        <v>2</v>
      </c>
      <c r="E266" s="85" t="s">
        <v>877</v>
      </c>
      <c r="F266" s="80" t="s">
        <v>886</v>
      </c>
      <c r="G266" s="47"/>
      <c r="H266" s="16" t="s">
        <v>1030</v>
      </c>
      <c r="I266" s="16" t="s">
        <v>800</v>
      </c>
      <c r="J266" s="16" t="s">
        <v>1043</v>
      </c>
      <c r="K266" s="47"/>
      <c r="L266" s="72"/>
      <c r="M266" s="47"/>
      <c r="N266" s="16" t="s">
        <v>891</v>
      </c>
      <c r="O266" s="80" t="s">
        <v>170</v>
      </c>
      <c r="P266" s="80" t="s">
        <v>872</v>
      </c>
      <c r="Q266" s="18"/>
      <c r="R266" s="16" t="s">
        <v>205</v>
      </c>
      <c r="S266" s="16" t="s">
        <v>174</v>
      </c>
      <c r="T266" s="16"/>
      <c r="U266" s="16"/>
      <c r="V266" s="16"/>
      <c r="W266" s="16">
        <f>ROUND(IF(D266=Table!$C$3,Y266*Table!$C$4/8,Y266*Table!$D$4/8),3)</f>
        <v>26</v>
      </c>
      <c r="X266" s="191">
        <f t="shared" si="51"/>
        <v>26</v>
      </c>
      <c r="Y266" s="191">
        <v>1.6</v>
      </c>
      <c r="Z266" s="191">
        <f t="shared" si="52"/>
        <v>1.6</v>
      </c>
      <c r="AA266" s="16" t="s">
        <v>21</v>
      </c>
      <c r="AB266" s="81">
        <v>44071</v>
      </c>
      <c r="AC266" s="81">
        <v>44063</v>
      </c>
      <c r="AD266" s="81">
        <v>44074</v>
      </c>
      <c r="AE266" s="81">
        <v>44064</v>
      </c>
      <c r="AF266" s="81">
        <v>44064</v>
      </c>
      <c r="AG266" s="81" t="s">
        <v>155</v>
      </c>
      <c r="AH266" s="82">
        <v>1</v>
      </c>
      <c r="AI266" s="82">
        <v>1</v>
      </c>
      <c r="AJ266" s="82">
        <v>0</v>
      </c>
      <c r="AK266" s="87" t="s">
        <v>140</v>
      </c>
      <c r="AL266" s="84"/>
      <c r="AM266" s="15"/>
      <c r="AN266" s="15"/>
    </row>
    <row r="267" spans="2:40" hidden="1">
      <c r="B267" s="88">
        <f t="shared" si="50"/>
        <v>208</v>
      </c>
      <c r="C267" s="16">
        <v>20200819</v>
      </c>
      <c r="D267" s="16" t="s">
        <v>2</v>
      </c>
      <c r="E267" s="85" t="s">
        <v>877</v>
      </c>
      <c r="F267" s="80" t="s">
        <v>886</v>
      </c>
      <c r="G267" s="47"/>
      <c r="H267" s="16" t="s">
        <v>1031</v>
      </c>
      <c r="I267" s="16" t="s">
        <v>801</v>
      </c>
      <c r="J267" s="16" t="s">
        <v>1043</v>
      </c>
      <c r="K267" s="47"/>
      <c r="L267" s="72"/>
      <c r="M267" s="47"/>
      <c r="N267" s="16" t="s">
        <v>891</v>
      </c>
      <c r="O267" s="80" t="s">
        <v>839</v>
      </c>
      <c r="P267" s="80" t="s">
        <v>865</v>
      </c>
      <c r="Q267" s="18"/>
      <c r="R267" s="16" t="s">
        <v>205</v>
      </c>
      <c r="S267" s="16" t="s">
        <v>174</v>
      </c>
      <c r="T267" s="16"/>
      <c r="U267" s="16"/>
      <c r="V267" s="16"/>
      <c r="W267" s="16">
        <f>ROUND(IF(D267=Table!$C$3,Y267*Table!$C$4/8,Y267*Table!$D$4/8),3)</f>
        <v>37.700000000000003</v>
      </c>
      <c r="X267" s="191">
        <f t="shared" si="51"/>
        <v>37.700000000000003</v>
      </c>
      <c r="Y267" s="191">
        <v>2.3199999999999998</v>
      </c>
      <c r="Z267" s="191">
        <f t="shared" si="52"/>
        <v>2.3199999999999998</v>
      </c>
      <c r="AA267" s="16" t="s">
        <v>21</v>
      </c>
      <c r="AB267" s="81">
        <v>44071</v>
      </c>
      <c r="AC267" s="81">
        <v>44063</v>
      </c>
      <c r="AD267" s="81">
        <v>44074</v>
      </c>
      <c r="AE267" s="81">
        <v>44064</v>
      </c>
      <c r="AF267" s="81">
        <v>44064</v>
      </c>
      <c r="AG267" s="81" t="s">
        <v>155</v>
      </c>
      <c r="AH267" s="82">
        <v>1</v>
      </c>
      <c r="AI267" s="82">
        <v>1</v>
      </c>
      <c r="AJ267" s="82" t="s">
        <v>213</v>
      </c>
      <c r="AK267" s="87" t="s">
        <v>140</v>
      </c>
      <c r="AL267" s="84"/>
      <c r="AM267" s="15"/>
      <c r="AN267" s="15"/>
    </row>
    <row r="268" spans="2:40" hidden="1">
      <c r="B268" s="88">
        <f t="shared" si="50"/>
        <v>209</v>
      </c>
      <c r="C268" s="16">
        <v>20200819</v>
      </c>
      <c r="D268" s="16" t="s">
        <v>2</v>
      </c>
      <c r="E268" s="85" t="s">
        <v>877</v>
      </c>
      <c r="F268" s="80" t="s">
        <v>886</v>
      </c>
      <c r="G268" s="47"/>
      <c r="H268" s="16" t="s">
        <v>1032</v>
      </c>
      <c r="I268" s="16" t="s">
        <v>802</v>
      </c>
      <c r="J268" s="16" t="s">
        <v>1043</v>
      </c>
      <c r="K268" s="47"/>
      <c r="L268" s="72"/>
      <c r="M268" s="47"/>
      <c r="N268" s="16" t="s">
        <v>891</v>
      </c>
      <c r="O268" s="80" t="s">
        <v>412</v>
      </c>
      <c r="P268" s="80" t="s">
        <v>454</v>
      </c>
      <c r="Q268" s="18"/>
      <c r="R268" s="16" t="s">
        <v>205</v>
      </c>
      <c r="S268" s="16" t="s">
        <v>174</v>
      </c>
      <c r="T268" s="16"/>
      <c r="U268" s="16"/>
      <c r="V268" s="16"/>
      <c r="W268" s="16">
        <f>ROUND(IF(D268=Table!$C$3,Y268*Table!$C$4/8,Y268*Table!$D$4/8),3)</f>
        <v>26</v>
      </c>
      <c r="X268" s="191">
        <f t="shared" si="51"/>
        <v>26</v>
      </c>
      <c r="Y268" s="191">
        <v>1.6</v>
      </c>
      <c r="Z268" s="191">
        <f t="shared" si="52"/>
        <v>1.6</v>
      </c>
      <c r="AA268" s="16" t="s">
        <v>21</v>
      </c>
      <c r="AB268" s="81">
        <v>44071</v>
      </c>
      <c r="AC268" s="81">
        <v>44063</v>
      </c>
      <c r="AD268" s="81">
        <v>44074</v>
      </c>
      <c r="AE268" s="81">
        <v>44064</v>
      </c>
      <c r="AF268" s="81">
        <v>44064</v>
      </c>
      <c r="AG268" s="81" t="s">
        <v>155</v>
      </c>
      <c r="AH268" s="82">
        <v>1</v>
      </c>
      <c r="AI268" s="82">
        <v>1</v>
      </c>
      <c r="AJ268" s="82">
        <v>0.875</v>
      </c>
      <c r="AK268" s="87" t="s">
        <v>140</v>
      </c>
      <c r="AL268" s="84"/>
      <c r="AM268" s="15"/>
      <c r="AN268" s="15"/>
    </row>
    <row r="269" spans="2:40" hidden="1">
      <c r="B269" s="88">
        <f t="shared" si="50"/>
        <v>210</v>
      </c>
      <c r="C269" s="16">
        <v>20200819</v>
      </c>
      <c r="D269" s="16" t="s">
        <v>2</v>
      </c>
      <c r="E269" s="85" t="s">
        <v>877</v>
      </c>
      <c r="F269" s="80" t="s">
        <v>886</v>
      </c>
      <c r="G269" s="47"/>
      <c r="H269" s="165" t="s">
        <v>1033</v>
      </c>
      <c r="I269" s="16" t="s">
        <v>803</v>
      </c>
      <c r="J269" s="16" t="s">
        <v>1043</v>
      </c>
      <c r="K269" s="47"/>
      <c r="L269" s="72"/>
      <c r="M269" s="47"/>
      <c r="N269" s="16" t="s">
        <v>891</v>
      </c>
      <c r="O269" s="80" t="s">
        <v>844</v>
      </c>
      <c r="P269" s="80" t="s">
        <v>869</v>
      </c>
      <c r="Q269" s="18"/>
      <c r="R269" s="16" t="s">
        <v>205</v>
      </c>
      <c r="S269" s="16" t="s">
        <v>174</v>
      </c>
      <c r="T269" s="16"/>
      <c r="U269" s="16"/>
      <c r="V269" s="16"/>
      <c r="W269" s="16">
        <f>ROUND(IF(D269=Table!$C$3,Y269*Table!$C$4/8,Y269*Table!$D$4/8),3)</f>
        <v>26</v>
      </c>
      <c r="X269" s="191">
        <f t="shared" si="51"/>
        <v>26</v>
      </c>
      <c r="Y269" s="191">
        <v>1.6</v>
      </c>
      <c r="Z269" s="191">
        <f t="shared" si="52"/>
        <v>1.6</v>
      </c>
      <c r="AA269" s="16" t="s">
        <v>21</v>
      </c>
      <c r="AB269" s="81">
        <v>44071</v>
      </c>
      <c r="AC269" s="81">
        <v>44063</v>
      </c>
      <c r="AD269" s="81">
        <v>44074</v>
      </c>
      <c r="AE269" s="81">
        <v>44064</v>
      </c>
      <c r="AF269" s="81">
        <v>44064</v>
      </c>
      <c r="AG269" s="81" t="s">
        <v>155</v>
      </c>
      <c r="AH269" s="82">
        <v>1</v>
      </c>
      <c r="AI269" s="82">
        <v>1</v>
      </c>
      <c r="AJ269" s="117">
        <v>1</v>
      </c>
      <c r="AK269" s="87" t="s">
        <v>140</v>
      </c>
      <c r="AL269" s="84"/>
      <c r="AM269" s="118"/>
      <c r="AN269" s="118"/>
    </row>
    <row r="270" spans="2:40" hidden="1">
      <c r="B270" s="88">
        <f t="shared" si="50"/>
        <v>211</v>
      </c>
      <c r="C270" s="16">
        <v>20200819</v>
      </c>
      <c r="D270" s="16" t="s">
        <v>2</v>
      </c>
      <c r="E270" s="85" t="s">
        <v>877</v>
      </c>
      <c r="F270" s="80" t="s">
        <v>886</v>
      </c>
      <c r="G270" s="47"/>
      <c r="H270" s="166" t="s">
        <v>1034</v>
      </c>
      <c r="I270" s="16" t="s">
        <v>804</v>
      </c>
      <c r="J270" s="16" t="s">
        <v>1043</v>
      </c>
      <c r="K270" s="47"/>
      <c r="L270" s="72"/>
      <c r="M270" s="47"/>
      <c r="N270" s="16" t="s">
        <v>891</v>
      </c>
      <c r="O270" s="80" t="s">
        <v>845</v>
      </c>
      <c r="P270" s="80" t="s">
        <v>869</v>
      </c>
      <c r="Q270" s="18"/>
      <c r="R270" s="16" t="s">
        <v>205</v>
      </c>
      <c r="S270" s="16" t="s">
        <v>174</v>
      </c>
      <c r="T270" s="16"/>
      <c r="U270" s="16"/>
      <c r="V270" s="16"/>
      <c r="W270" s="16">
        <f>ROUND(IF(D270=Table!$C$3,Y270*Table!$C$4/8,Y270*Table!$D$4/8),3)</f>
        <v>26</v>
      </c>
      <c r="X270" s="191">
        <f t="shared" si="51"/>
        <v>26</v>
      </c>
      <c r="Y270" s="191">
        <v>1.6</v>
      </c>
      <c r="Z270" s="191">
        <f t="shared" si="52"/>
        <v>1.6</v>
      </c>
      <c r="AA270" s="16" t="s">
        <v>21</v>
      </c>
      <c r="AB270" s="81">
        <v>44071</v>
      </c>
      <c r="AC270" s="81">
        <v>44063</v>
      </c>
      <c r="AD270" s="81">
        <v>44074</v>
      </c>
      <c r="AE270" s="81">
        <v>44064</v>
      </c>
      <c r="AF270" s="81">
        <v>44064</v>
      </c>
      <c r="AG270" s="81" t="s">
        <v>155</v>
      </c>
      <c r="AH270" s="82">
        <v>1</v>
      </c>
      <c r="AI270" s="82">
        <v>1</v>
      </c>
      <c r="AJ270" s="82">
        <v>1</v>
      </c>
      <c r="AK270" s="87" t="s">
        <v>140</v>
      </c>
      <c r="AL270" s="109"/>
      <c r="AM270" s="15"/>
      <c r="AN270" s="15"/>
    </row>
    <row r="271" spans="2:40" hidden="1">
      <c r="B271" s="88">
        <f t="shared" si="50"/>
        <v>212</v>
      </c>
      <c r="C271" s="16">
        <v>20200819</v>
      </c>
      <c r="D271" s="16" t="s">
        <v>2</v>
      </c>
      <c r="E271" s="85" t="s">
        <v>877</v>
      </c>
      <c r="F271" s="80" t="s">
        <v>886</v>
      </c>
      <c r="G271" s="47"/>
      <c r="H271" s="16" t="s">
        <v>1035</v>
      </c>
      <c r="I271" s="16" t="s">
        <v>805</v>
      </c>
      <c r="J271" s="16" t="s">
        <v>1043</v>
      </c>
      <c r="K271" s="47"/>
      <c r="L271" s="72"/>
      <c r="M271" s="47"/>
      <c r="N271" s="16" t="s">
        <v>891</v>
      </c>
      <c r="O271" s="80" t="s">
        <v>421</v>
      </c>
      <c r="P271" s="80" t="s">
        <v>454</v>
      </c>
      <c r="Q271" s="18"/>
      <c r="R271" s="16" t="s">
        <v>205</v>
      </c>
      <c r="S271" s="16" t="s">
        <v>174</v>
      </c>
      <c r="T271" s="16"/>
      <c r="U271" s="16"/>
      <c r="V271" s="16"/>
      <c r="W271" s="16">
        <f>ROUND(IF(D271=Table!$C$3,Y271*Table!$C$4/8,Y271*Table!$D$4/8),3)</f>
        <v>42.9</v>
      </c>
      <c r="X271" s="191">
        <f t="shared" si="51"/>
        <v>42.9</v>
      </c>
      <c r="Y271" s="191">
        <v>2.64</v>
      </c>
      <c r="Z271" s="191">
        <f t="shared" si="52"/>
        <v>2.64</v>
      </c>
      <c r="AA271" s="16" t="s">
        <v>21</v>
      </c>
      <c r="AB271" s="81">
        <v>44071</v>
      </c>
      <c r="AC271" s="81">
        <v>44063</v>
      </c>
      <c r="AD271" s="81">
        <v>44074</v>
      </c>
      <c r="AE271" s="81">
        <v>44064</v>
      </c>
      <c r="AF271" s="81">
        <v>44064</v>
      </c>
      <c r="AG271" s="81" t="s">
        <v>155</v>
      </c>
      <c r="AH271" s="82">
        <v>0.875</v>
      </c>
      <c r="AI271" s="82">
        <v>0.88900000000000001</v>
      </c>
      <c r="AJ271" s="82">
        <v>1</v>
      </c>
      <c r="AK271" s="87" t="s">
        <v>140</v>
      </c>
      <c r="AL271" s="258" t="s">
        <v>1087</v>
      </c>
      <c r="AM271" s="15"/>
      <c r="AN271" s="15"/>
    </row>
    <row r="272" spans="2:40" hidden="1">
      <c r="B272" s="88">
        <f t="shared" si="50"/>
        <v>213</v>
      </c>
      <c r="C272" s="16">
        <v>20200819</v>
      </c>
      <c r="D272" s="16" t="s">
        <v>3</v>
      </c>
      <c r="E272" s="85" t="s">
        <v>877</v>
      </c>
      <c r="F272" s="80" t="s">
        <v>887</v>
      </c>
      <c r="G272" s="47"/>
      <c r="H272" s="16" t="s">
        <v>1036</v>
      </c>
      <c r="I272" s="16" t="s">
        <v>395</v>
      </c>
      <c r="J272" s="16" t="s">
        <v>1043</v>
      </c>
      <c r="K272" s="47"/>
      <c r="L272" s="72" t="s">
        <v>876</v>
      </c>
      <c r="M272" s="47"/>
      <c r="N272" s="16" t="s">
        <v>891</v>
      </c>
      <c r="O272" s="80" t="s">
        <v>846</v>
      </c>
      <c r="P272" s="80" t="s">
        <v>460</v>
      </c>
      <c r="Q272" s="18"/>
      <c r="R272" s="16" t="s">
        <v>199</v>
      </c>
      <c r="S272" s="16" t="s">
        <v>61</v>
      </c>
      <c r="T272" s="16"/>
      <c r="U272" s="16"/>
      <c r="V272" s="16"/>
      <c r="W272" s="16">
        <f>ROUND(IF(D272=Table!$C$3,Y272*Table!$C$4/8,Y272*Table!$D$4/8),3)</f>
        <v>90</v>
      </c>
      <c r="X272" s="191">
        <f>W272</f>
        <v>90</v>
      </c>
      <c r="Y272" s="204">
        <v>1.6</v>
      </c>
      <c r="Z272" s="191"/>
      <c r="AA272" s="16" t="s">
        <v>21</v>
      </c>
      <c r="AB272" s="81">
        <v>44071</v>
      </c>
      <c r="AC272" s="81">
        <v>44063</v>
      </c>
      <c r="AD272" s="81">
        <v>44074</v>
      </c>
      <c r="AE272" s="81">
        <v>44069</v>
      </c>
      <c r="AF272" s="81">
        <v>44069</v>
      </c>
      <c r="AG272" s="81" t="s">
        <v>155</v>
      </c>
      <c r="AH272" s="82">
        <v>1</v>
      </c>
      <c r="AI272" s="82">
        <v>1</v>
      </c>
      <c r="AJ272" s="82">
        <v>0</v>
      </c>
      <c r="AK272" s="87" t="s">
        <v>139</v>
      </c>
      <c r="AL272" s="109"/>
      <c r="AM272" s="15"/>
      <c r="AN272" s="15" t="s">
        <v>1483</v>
      </c>
    </row>
    <row r="273" spans="1:40" hidden="1">
      <c r="B273" s="88">
        <f t="shared" si="50"/>
        <v>214</v>
      </c>
      <c r="C273" s="16">
        <v>20200819</v>
      </c>
      <c r="D273" s="16" t="s">
        <v>3</v>
      </c>
      <c r="E273" s="85" t="s">
        <v>877</v>
      </c>
      <c r="F273" s="80" t="s">
        <v>887</v>
      </c>
      <c r="G273" s="47"/>
      <c r="H273" s="16" t="s">
        <v>1037</v>
      </c>
      <c r="I273" s="16" t="s">
        <v>806</v>
      </c>
      <c r="J273" s="16" t="s">
        <v>1043</v>
      </c>
      <c r="K273" s="47"/>
      <c r="L273" s="72" t="s">
        <v>876</v>
      </c>
      <c r="M273" s="47"/>
      <c r="N273" s="16" t="s">
        <v>891</v>
      </c>
      <c r="O273" s="80" t="s">
        <v>847</v>
      </c>
      <c r="P273" s="80" t="s">
        <v>460</v>
      </c>
      <c r="Q273" s="18"/>
      <c r="R273" s="16" t="s">
        <v>199</v>
      </c>
      <c r="S273" s="16" t="s">
        <v>61</v>
      </c>
      <c r="T273" s="16"/>
      <c r="U273" s="16"/>
      <c r="V273" s="16"/>
      <c r="W273" s="16">
        <f>ROUND(IF(D273=Table!$C$3,Y273*Table!$C$4/8,Y273*Table!$D$4/8),3)</f>
        <v>157.5</v>
      </c>
      <c r="X273" s="191">
        <f t="shared" ref="X273:X293" si="53">W273</f>
        <v>157.5</v>
      </c>
      <c r="Y273" s="204">
        <v>2.8000000000000003</v>
      </c>
      <c r="Z273" s="191"/>
      <c r="AA273" s="16" t="s">
        <v>21</v>
      </c>
      <c r="AB273" s="81">
        <v>44071</v>
      </c>
      <c r="AC273" s="81">
        <v>44063</v>
      </c>
      <c r="AD273" s="81">
        <v>44074</v>
      </c>
      <c r="AE273" s="81">
        <v>44064</v>
      </c>
      <c r="AF273" s="81">
        <v>44064</v>
      </c>
      <c r="AG273" s="81" t="s">
        <v>155</v>
      </c>
      <c r="AH273" s="82">
        <v>1</v>
      </c>
      <c r="AI273" s="82">
        <v>1</v>
      </c>
      <c r="AJ273" s="82">
        <v>0.7</v>
      </c>
      <c r="AK273" s="87" t="s">
        <v>140</v>
      </c>
      <c r="AL273" s="84"/>
      <c r="AM273" s="15"/>
      <c r="AN273" s="15"/>
    </row>
    <row r="274" spans="1:40" hidden="1">
      <c r="B274" s="88">
        <f t="shared" si="50"/>
        <v>215</v>
      </c>
      <c r="C274" s="16">
        <v>20200819</v>
      </c>
      <c r="D274" s="16" t="s">
        <v>3</v>
      </c>
      <c r="E274" s="85" t="s">
        <v>877</v>
      </c>
      <c r="F274" s="80" t="s">
        <v>887</v>
      </c>
      <c r="G274" s="47"/>
      <c r="H274" s="16" t="s">
        <v>222</v>
      </c>
      <c r="I274" s="16" t="s">
        <v>807</v>
      </c>
      <c r="J274" s="16" t="s">
        <v>1043</v>
      </c>
      <c r="K274" s="47"/>
      <c r="L274" s="72" t="s">
        <v>876</v>
      </c>
      <c r="M274" s="47"/>
      <c r="N274" s="16" t="s">
        <v>891</v>
      </c>
      <c r="O274" s="80" t="s">
        <v>848</v>
      </c>
      <c r="P274" s="80" t="s">
        <v>460</v>
      </c>
      <c r="Q274" s="18"/>
      <c r="R274" s="16" t="s">
        <v>199</v>
      </c>
      <c r="S274" s="16" t="s">
        <v>61</v>
      </c>
      <c r="U274" s="16"/>
      <c r="V274" s="16"/>
      <c r="W274" s="16">
        <f>ROUND(IF(D274=Table!$C$3,Y274*Table!$C$4/8,Y274*Table!$D$4/8),3)</f>
        <v>112.5</v>
      </c>
      <c r="X274" s="191">
        <f t="shared" si="53"/>
        <v>112.5</v>
      </c>
      <c r="Y274" s="204">
        <v>2</v>
      </c>
      <c r="Z274" s="191"/>
      <c r="AA274" s="16" t="s">
        <v>21</v>
      </c>
      <c r="AB274" s="81">
        <v>44071</v>
      </c>
      <c r="AC274" s="81">
        <v>44063</v>
      </c>
      <c r="AD274" s="81">
        <v>44074</v>
      </c>
      <c r="AE274" s="81">
        <v>44064</v>
      </c>
      <c r="AF274" s="81">
        <v>44064</v>
      </c>
      <c r="AG274" s="81" t="s">
        <v>155</v>
      </c>
      <c r="AH274" s="82">
        <v>1</v>
      </c>
      <c r="AI274" s="82">
        <v>1</v>
      </c>
      <c r="AJ274" s="82">
        <v>1</v>
      </c>
      <c r="AK274" s="87" t="s">
        <v>140</v>
      </c>
      <c r="AL274" s="109"/>
      <c r="AM274" s="15"/>
      <c r="AN274" s="15"/>
    </row>
    <row r="275" spans="1:40" hidden="1">
      <c r="B275" s="88">
        <f t="shared" si="50"/>
        <v>216</v>
      </c>
      <c r="C275" s="16">
        <v>20200819</v>
      </c>
      <c r="D275" s="16" t="s">
        <v>3</v>
      </c>
      <c r="E275" s="85" t="s">
        <v>877</v>
      </c>
      <c r="F275" s="80" t="s">
        <v>887</v>
      </c>
      <c r="G275" s="47"/>
      <c r="H275" s="16" t="s">
        <v>1038</v>
      </c>
      <c r="I275" s="16" t="s">
        <v>808</v>
      </c>
      <c r="J275" s="16" t="s">
        <v>1043</v>
      </c>
      <c r="K275" s="47"/>
      <c r="L275" s="80" t="s">
        <v>876</v>
      </c>
      <c r="M275" s="47"/>
      <c r="N275" s="16" t="s">
        <v>891</v>
      </c>
      <c r="O275" s="80" t="s">
        <v>849</v>
      </c>
      <c r="P275" s="80" t="s">
        <v>873</v>
      </c>
      <c r="Q275" s="18"/>
      <c r="R275" s="16" t="s">
        <v>199</v>
      </c>
      <c r="S275" s="16" t="s">
        <v>61</v>
      </c>
      <c r="T275" s="16"/>
      <c r="U275" s="16"/>
      <c r="V275" s="16"/>
      <c r="W275" s="16">
        <f>ROUND(IF(D275=Table!$C$3,Y275*Table!$C$4/8,Y275*Table!$D$4/8),3)</f>
        <v>121.5</v>
      </c>
      <c r="X275" s="191">
        <f t="shared" si="53"/>
        <v>121.5</v>
      </c>
      <c r="Y275" s="204">
        <v>2.16</v>
      </c>
      <c r="Z275" s="191"/>
      <c r="AA275" s="16" t="s">
        <v>21</v>
      </c>
      <c r="AB275" s="81">
        <v>44071</v>
      </c>
      <c r="AC275" s="81">
        <v>44063</v>
      </c>
      <c r="AD275" s="81">
        <v>44074</v>
      </c>
      <c r="AE275" s="81">
        <v>44064</v>
      </c>
      <c r="AF275" s="81">
        <v>44064</v>
      </c>
      <c r="AG275" s="81" t="s">
        <v>155</v>
      </c>
      <c r="AH275" s="82">
        <v>1</v>
      </c>
      <c r="AI275" s="82">
        <v>1</v>
      </c>
      <c r="AJ275" s="82">
        <v>1</v>
      </c>
      <c r="AK275" s="87" t="s">
        <v>140</v>
      </c>
      <c r="AL275" s="14"/>
      <c r="AM275" s="15"/>
      <c r="AN275" s="15"/>
    </row>
    <row r="276" spans="1:40" hidden="1">
      <c r="B276" s="88">
        <f t="shared" si="50"/>
        <v>217</v>
      </c>
      <c r="C276" s="16">
        <v>20200819</v>
      </c>
      <c r="D276" s="16" t="s">
        <v>3</v>
      </c>
      <c r="E276" s="85" t="s">
        <v>877</v>
      </c>
      <c r="F276" s="80" t="s">
        <v>888</v>
      </c>
      <c r="G276" s="47"/>
      <c r="H276" s="16" t="s">
        <v>610</v>
      </c>
      <c r="I276" s="260" t="s">
        <v>809</v>
      </c>
      <c r="J276" s="16" t="s">
        <v>1043</v>
      </c>
      <c r="K276" s="47"/>
      <c r="L276" s="80" t="s">
        <v>876</v>
      </c>
      <c r="M276" s="47"/>
      <c r="N276" s="16" t="s">
        <v>891</v>
      </c>
      <c r="O276" s="80" t="s">
        <v>850</v>
      </c>
      <c r="P276" s="80" t="s">
        <v>874</v>
      </c>
      <c r="Q276" s="18"/>
      <c r="R276" s="16" t="s">
        <v>199</v>
      </c>
      <c r="S276" s="16" t="s">
        <v>61</v>
      </c>
      <c r="T276" s="16"/>
      <c r="U276" s="16"/>
      <c r="V276" s="16"/>
      <c r="W276" s="16">
        <f>ROUND(IF(D276=Table!$C$3,Y276*Table!$C$4/8,Y276*Table!$D$4/8),3)</f>
        <v>157.5</v>
      </c>
      <c r="X276" s="191">
        <f t="shared" si="53"/>
        <v>157.5</v>
      </c>
      <c r="Y276" s="204">
        <v>2.8000000000000003</v>
      </c>
      <c r="Z276" s="191"/>
      <c r="AA276" s="16" t="s">
        <v>21</v>
      </c>
      <c r="AB276" s="81">
        <v>44071</v>
      </c>
      <c r="AC276" s="81">
        <v>44063</v>
      </c>
      <c r="AD276" s="81">
        <v>44074</v>
      </c>
      <c r="AE276" s="81">
        <v>44064</v>
      </c>
      <c r="AF276" s="81">
        <v>44064</v>
      </c>
      <c r="AG276" s="81" t="s">
        <v>155</v>
      </c>
      <c r="AH276" s="82">
        <v>1</v>
      </c>
      <c r="AI276" s="82">
        <v>1</v>
      </c>
      <c r="AJ276" s="82">
        <v>0.77</v>
      </c>
      <c r="AK276" s="87" t="s">
        <v>140</v>
      </c>
      <c r="AL276" s="109"/>
      <c r="AM276" s="15"/>
      <c r="AN276" s="15"/>
    </row>
    <row r="277" spans="1:40" hidden="1">
      <c r="B277" s="88">
        <f t="shared" si="50"/>
        <v>218</v>
      </c>
      <c r="C277" s="16">
        <v>20200819</v>
      </c>
      <c r="D277" s="16" t="s">
        <v>3</v>
      </c>
      <c r="E277" s="85" t="s">
        <v>877</v>
      </c>
      <c r="F277" s="80" t="s">
        <v>888</v>
      </c>
      <c r="G277" s="47"/>
      <c r="H277" s="16" t="s">
        <v>1039</v>
      </c>
      <c r="I277" s="16" t="s">
        <v>396</v>
      </c>
      <c r="J277" s="16" t="s">
        <v>1043</v>
      </c>
      <c r="K277" s="47"/>
      <c r="L277" s="80" t="s">
        <v>876</v>
      </c>
      <c r="M277" s="47"/>
      <c r="N277" s="16" t="s">
        <v>891</v>
      </c>
      <c r="O277" s="80" t="s">
        <v>851</v>
      </c>
      <c r="P277" s="80" t="s">
        <v>874</v>
      </c>
      <c r="Q277" s="18"/>
      <c r="R277" s="16" t="s">
        <v>199</v>
      </c>
      <c r="S277" s="16" t="s">
        <v>61</v>
      </c>
      <c r="T277" s="16"/>
      <c r="U277" s="16"/>
      <c r="V277" s="16"/>
      <c r="W277" s="16">
        <f>ROUND(IF(D277=Table!$C$3,Y277*Table!$C$4/8,Y277*Table!$D$4/8),3)</f>
        <v>193.5</v>
      </c>
      <c r="X277" s="191">
        <f t="shared" si="53"/>
        <v>193.5</v>
      </c>
      <c r="Y277" s="204">
        <v>3.44</v>
      </c>
      <c r="Z277" s="191"/>
      <c r="AA277" s="16" t="s">
        <v>21</v>
      </c>
      <c r="AB277" s="81">
        <v>44071</v>
      </c>
      <c r="AC277" s="81">
        <v>44063</v>
      </c>
      <c r="AD277" s="81">
        <v>44074</v>
      </c>
      <c r="AE277" s="81">
        <v>44064</v>
      </c>
      <c r="AF277" s="81">
        <v>44064</v>
      </c>
      <c r="AG277" s="81" t="s">
        <v>155</v>
      </c>
      <c r="AH277" s="82">
        <v>1</v>
      </c>
      <c r="AI277" s="82">
        <v>1</v>
      </c>
      <c r="AJ277" s="82">
        <v>1</v>
      </c>
      <c r="AK277" s="87" t="s">
        <v>140</v>
      </c>
      <c r="AL277" s="109"/>
      <c r="AM277" s="15"/>
      <c r="AN277" s="15"/>
    </row>
    <row r="278" spans="1:40" hidden="1">
      <c r="B278" s="88">
        <f t="shared" si="50"/>
        <v>219</v>
      </c>
      <c r="C278" s="16">
        <v>20200819</v>
      </c>
      <c r="D278" s="16" t="s">
        <v>3</v>
      </c>
      <c r="E278" s="85" t="s">
        <v>877</v>
      </c>
      <c r="F278" s="80" t="s">
        <v>889</v>
      </c>
      <c r="G278" s="47"/>
      <c r="H278" s="16" t="s">
        <v>1040</v>
      </c>
      <c r="I278" s="16" t="s">
        <v>397</v>
      </c>
      <c r="J278" s="16" t="s">
        <v>1043</v>
      </c>
      <c r="K278" s="47"/>
      <c r="L278" s="80" t="s">
        <v>876</v>
      </c>
      <c r="M278" s="47"/>
      <c r="N278" s="16" t="s">
        <v>891</v>
      </c>
      <c r="O278" s="80" t="s">
        <v>852</v>
      </c>
      <c r="P278" s="80" t="s">
        <v>463</v>
      </c>
      <c r="Q278" s="18"/>
      <c r="R278" s="16" t="s">
        <v>199</v>
      </c>
      <c r="S278" s="16" t="s">
        <v>61</v>
      </c>
      <c r="T278" s="16"/>
      <c r="U278" s="16"/>
      <c r="V278" s="16"/>
      <c r="W278" s="16">
        <f>ROUND(IF(D278=Table!$C$3,Y278*Table!$C$4/8,Y278*Table!$D$4/8),3)</f>
        <v>121.5</v>
      </c>
      <c r="X278" s="191">
        <f t="shared" si="53"/>
        <v>121.5</v>
      </c>
      <c r="Y278" s="204">
        <v>2.16</v>
      </c>
      <c r="Z278" s="191"/>
      <c r="AA278" s="16" t="s">
        <v>21</v>
      </c>
      <c r="AB278" s="81">
        <v>44071</v>
      </c>
      <c r="AC278" s="81">
        <v>44063</v>
      </c>
      <c r="AD278" s="81">
        <v>44074</v>
      </c>
      <c r="AE278" s="81">
        <v>44064</v>
      </c>
      <c r="AF278" s="81">
        <v>44064</v>
      </c>
      <c r="AG278" s="81" t="s">
        <v>155</v>
      </c>
      <c r="AH278" s="82">
        <v>1</v>
      </c>
      <c r="AI278" s="82">
        <v>1</v>
      </c>
      <c r="AJ278" s="82">
        <v>1</v>
      </c>
      <c r="AK278" s="87" t="s">
        <v>140</v>
      </c>
      <c r="AL278" s="109"/>
      <c r="AM278" s="15"/>
      <c r="AN278" s="15"/>
    </row>
    <row r="279" spans="1:40" s="78" customFormat="1" hidden="1">
      <c r="A279" s="111"/>
      <c r="B279" s="146">
        <f t="shared" si="50"/>
        <v>220</v>
      </c>
      <c r="C279" s="18">
        <v>20200819</v>
      </c>
      <c r="D279" s="18" t="s">
        <v>3</v>
      </c>
      <c r="E279" s="263" t="s">
        <v>877</v>
      </c>
      <c r="F279" s="264" t="s">
        <v>890</v>
      </c>
      <c r="G279" s="264"/>
      <c r="H279" s="285" t="s">
        <v>253</v>
      </c>
      <c r="I279" s="285" t="s">
        <v>810</v>
      </c>
      <c r="J279" s="18" t="s">
        <v>1043</v>
      </c>
      <c r="K279" s="264"/>
      <c r="L279" s="264" t="s">
        <v>876</v>
      </c>
      <c r="M279" s="264"/>
      <c r="N279" s="18" t="s">
        <v>891</v>
      </c>
      <c r="O279" s="264" t="s">
        <v>853</v>
      </c>
      <c r="P279" s="264" t="s">
        <v>875</v>
      </c>
      <c r="Q279" s="18"/>
      <c r="R279" s="16" t="s">
        <v>199</v>
      </c>
      <c r="S279" s="18" t="s">
        <v>61</v>
      </c>
      <c r="T279" s="18"/>
      <c r="U279" s="18"/>
      <c r="V279" s="18"/>
      <c r="W279" s="18">
        <f>ROUND(IF(D279=Table!$C$3,Y279*Table!$C$4/8,Y279*Table!$D$4/8),3)</f>
        <v>229.5</v>
      </c>
      <c r="X279" s="191">
        <f t="shared" si="53"/>
        <v>229.5</v>
      </c>
      <c r="Y279" s="203">
        <v>4.08</v>
      </c>
      <c r="Z279" s="203"/>
      <c r="AA279" s="16" t="s">
        <v>21</v>
      </c>
      <c r="AB279" s="81">
        <v>44071</v>
      </c>
      <c r="AC279" s="265">
        <v>44063</v>
      </c>
      <c r="AD279" s="265">
        <v>44074</v>
      </c>
      <c r="AE279" s="81">
        <v>44064</v>
      </c>
      <c r="AF279" s="81">
        <v>44064</v>
      </c>
      <c r="AG279" s="81" t="s">
        <v>155</v>
      </c>
      <c r="AH279" s="82">
        <v>0.98</v>
      </c>
      <c r="AI279" s="82">
        <v>0.96</v>
      </c>
      <c r="AJ279" s="82">
        <v>0.4</v>
      </c>
      <c r="AK279" s="87" t="s">
        <v>140</v>
      </c>
      <c r="AL279" s="267" t="s">
        <v>1069</v>
      </c>
      <c r="AM279" s="18"/>
      <c r="AN279" s="18"/>
    </row>
    <row r="280" spans="1:40" s="78" customFormat="1" hidden="1">
      <c r="A280" s="111"/>
      <c r="B280" s="146">
        <f t="shared" si="50"/>
        <v>221</v>
      </c>
      <c r="C280" s="18">
        <v>20200819</v>
      </c>
      <c r="D280" s="18" t="s">
        <v>3</v>
      </c>
      <c r="E280" s="263" t="s">
        <v>877</v>
      </c>
      <c r="F280" s="264" t="s">
        <v>890</v>
      </c>
      <c r="G280" s="264"/>
      <c r="H280" s="285" t="s">
        <v>254</v>
      </c>
      <c r="I280" s="285" t="s">
        <v>401</v>
      </c>
      <c r="J280" s="18" t="s">
        <v>1043</v>
      </c>
      <c r="K280" s="264"/>
      <c r="L280" s="264" t="s">
        <v>876</v>
      </c>
      <c r="M280" s="264"/>
      <c r="N280" s="18" t="s">
        <v>891</v>
      </c>
      <c r="O280" s="264" t="s">
        <v>854</v>
      </c>
      <c r="P280" s="264" t="s">
        <v>873</v>
      </c>
      <c r="Q280" s="18"/>
      <c r="R280" s="16" t="s">
        <v>199</v>
      </c>
      <c r="S280" s="18" t="s">
        <v>61</v>
      </c>
      <c r="T280" s="18"/>
      <c r="U280" s="18"/>
      <c r="V280" s="18"/>
      <c r="W280" s="18">
        <f>ROUND(IF(D280=Table!$C$3,Y280*Table!$C$4/8,Y280*Table!$D$4/8),3)</f>
        <v>157.5</v>
      </c>
      <c r="X280" s="191">
        <f t="shared" si="53"/>
        <v>157.5</v>
      </c>
      <c r="Y280" s="203">
        <v>2.8000000000000003</v>
      </c>
      <c r="Z280" s="203"/>
      <c r="AA280" s="16" t="s">
        <v>21</v>
      </c>
      <c r="AB280" s="81">
        <v>44071</v>
      </c>
      <c r="AC280" s="265">
        <v>44063</v>
      </c>
      <c r="AD280" s="265">
        <v>44074</v>
      </c>
      <c r="AE280" s="81">
        <v>44064</v>
      </c>
      <c r="AF280" s="81">
        <v>44064</v>
      </c>
      <c r="AG280" s="265" t="s">
        <v>155</v>
      </c>
      <c r="AH280" s="269">
        <v>0.96</v>
      </c>
      <c r="AI280" s="269">
        <v>0.94</v>
      </c>
      <c r="AJ280" s="269">
        <v>0.5</v>
      </c>
      <c r="AK280" s="266" t="s">
        <v>130</v>
      </c>
      <c r="AL280" s="267" t="s">
        <v>1082</v>
      </c>
      <c r="AM280" s="18"/>
      <c r="AN280" s="18"/>
    </row>
    <row r="281" spans="1:40" hidden="1">
      <c r="B281" s="88">
        <f t="shared" si="50"/>
        <v>222</v>
      </c>
      <c r="C281" s="16">
        <v>20200819</v>
      </c>
      <c r="D281" s="16" t="s">
        <v>3</v>
      </c>
      <c r="E281" s="85" t="s">
        <v>877</v>
      </c>
      <c r="F281" s="80" t="s">
        <v>890</v>
      </c>
      <c r="G281" s="47"/>
      <c r="H281" s="16" t="s">
        <v>287</v>
      </c>
      <c r="I281" s="16" t="s">
        <v>811</v>
      </c>
      <c r="J281" s="16" t="s">
        <v>1043</v>
      </c>
      <c r="K281" s="47"/>
      <c r="L281" s="80" t="s">
        <v>876</v>
      </c>
      <c r="M281" s="47"/>
      <c r="N281" s="16" t="s">
        <v>891</v>
      </c>
      <c r="O281" s="80" t="s">
        <v>855</v>
      </c>
      <c r="P281" s="80" t="s">
        <v>875</v>
      </c>
      <c r="Q281" s="18"/>
      <c r="R281" s="16" t="s">
        <v>199</v>
      </c>
      <c r="S281" s="16" t="s">
        <v>61</v>
      </c>
      <c r="T281" s="16"/>
      <c r="U281" s="16"/>
      <c r="V281" s="16"/>
      <c r="W281" s="16">
        <f>ROUND(IF(D281=Table!$C$3,Y281*Table!$C$4/8,Y281*Table!$D$4/8),3)</f>
        <v>193.5</v>
      </c>
      <c r="X281" s="191">
        <f t="shared" si="53"/>
        <v>193.5</v>
      </c>
      <c r="Y281" s="204">
        <v>3.44</v>
      </c>
      <c r="Z281" s="191"/>
      <c r="AA281" s="16" t="s">
        <v>21</v>
      </c>
      <c r="AB281" s="81">
        <v>44071</v>
      </c>
      <c r="AC281" s="81">
        <v>44063</v>
      </c>
      <c r="AD281" s="81">
        <v>44074</v>
      </c>
      <c r="AE281" s="81">
        <v>44064</v>
      </c>
      <c r="AF281" s="81">
        <v>44064</v>
      </c>
      <c r="AG281" s="81" t="s">
        <v>155</v>
      </c>
      <c r="AH281" s="82">
        <v>1</v>
      </c>
      <c r="AI281" s="82">
        <v>1</v>
      </c>
      <c r="AJ281" s="82">
        <v>1</v>
      </c>
      <c r="AK281" s="87" t="s">
        <v>140</v>
      </c>
      <c r="AL281" s="151"/>
      <c r="AM281" s="15"/>
      <c r="AN281" s="15"/>
    </row>
    <row r="282" spans="1:40" hidden="1">
      <c r="B282" s="88">
        <f t="shared" si="50"/>
        <v>223</v>
      </c>
      <c r="C282" s="16">
        <v>20200819</v>
      </c>
      <c r="D282" s="16" t="s">
        <v>3</v>
      </c>
      <c r="E282" s="85" t="s">
        <v>877</v>
      </c>
      <c r="F282" s="80" t="s">
        <v>890</v>
      </c>
      <c r="G282" s="47"/>
      <c r="H282" s="16" t="s">
        <v>226</v>
      </c>
      <c r="I282" s="16" t="s">
        <v>812</v>
      </c>
      <c r="J282" s="16" t="s">
        <v>1043</v>
      </c>
      <c r="K282" s="47"/>
      <c r="L282" s="80" t="s">
        <v>876</v>
      </c>
      <c r="M282" s="47"/>
      <c r="N282" s="16" t="s">
        <v>891</v>
      </c>
      <c r="O282" s="80" t="s">
        <v>856</v>
      </c>
      <c r="P282" s="80" t="s">
        <v>460</v>
      </c>
      <c r="Q282" s="18"/>
      <c r="R282" s="16" t="s">
        <v>199</v>
      </c>
      <c r="S282" s="16" t="s">
        <v>61</v>
      </c>
      <c r="T282" s="16"/>
      <c r="U282" s="16"/>
      <c r="V282" s="16"/>
      <c r="W282" s="16">
        <f>ROUND(IF(D282=Table!$C$3,Y282*Table!$C$4/8,Y282*Table!$D$4/8),3)</f>
        <v>90</v>
      </c>
      <c r="X282" s="191">
        <f t="shared" si="53"/>
        <v>90</v>
      </c>
      <c r="Y282" s="204">
        <v>1.6</v>
      </c>
      <c r="Z282" s="191"/>
      <c r="AA282" s="16" t="s">
        <v>21</v>
      </c>
      <c r="AB282" s="81">
        <v>44071</v>
      </c>
      <c r="AC282" s="81">
        <v>44063</v>
      </c>
      <c r="AD282" s="81">
        <v>44074</v>
      </c>
      <c r="AE282" s="81">
        <v>44064</v>
      </c>
      <c r="AF282" s="81">
        <v>44064</v>
      </c>
      <c r="AG282" s="81" t="s">
        <v>155</v>
      </c>
      <c r="AH282" s="82">
        <v>1</v>
      </c>
      <c r="AI282" s="82">
        <v>1</v>
      </c>
      <c r="AJ282" s="82">
        <v>1</v>
      </c>
      <c r="AK282" s="87" t="s">
        <v>140</v>
      </c>
      <c r="AL282" s="109"/>
      <c r="AM282" s="15"/>
      <c r="AN282" s="15"/>
    </row>
    <row r="283" spans="1:40" hidden="1">
      <c r="B283" s="88">
        <f t="shared" si="50"/>
        <v>224</v>
      </c>
      <c r="C283" s="16">
        <v>20200819</v>
      </c>
      <c r="D283" s="16" t="s">
        <v>3</v>
      </c>
      <c r="E283" s="85" t="s">
        <v>877</v>
      </c>
      <c r="F283" s="80" t="s">
        <v>890</v>
      </c>
      <c r="G283" s="47"/>
      <c r="H283" s="16" t="s">
        <v>227</v>
      </c>
      <c r="I283" s="16" t="s">
        <v>402</v>
      </c>
      <c r="J283" s="16" t="s">
        <v>1043</v>
      </c>
      <c r="K283" s="47"/>
      <c r="L283" s="80" t="s">
        <v>876</v>
      </c>
      <c r="M283" s="47"/>
      <c r="N283" s="16" t="s">
        <v>891</v>
      </c>
      <c r="O283" s="80" t="s">
        <v>857</v>
      </c>
      <c r="P283" s="80" t="s">
        <v>459</v>
      </c>
      <c r="Q283" s="18"/>
      <c r="R283" s="16" t="s">
        <v>199</v>
      </c>
      <c r="S283" s="16" t="s">
        <v>61</v>
      </c>
      <c r="T283" s="16"/>
      <c r="U283" s="16"/>
      <c r="V283" s="16"/>
      <c r="W283" s="16">
        <f>ROUND(IF(D283=Table!$C$3,Y283*Table!$C$4/8,Y283*Table!$D$4/8),3)</f>
        <v>193.5</v>
      </c>
      <c r="X283" s="191">
        <f t="shared" si="53"/>
        <v>193.5</v>
      </c>
      <c r="Y283" s="204">
        <v>3.44</v>
      </c>
      <c r="Z283" s="191"/>
      <c r="AA283" s="16" t="s">
        <v>21</v>
      </c>
      <c r="AB283" s="81">
        <v>44071</v>
      </c>
      <c r="AC283" s="81">
        <v>44063</v>
      </c>
      <c r="AD283" s="81">
        <v>44074</v>
      </c>
      <c r="AE283" s="81">
        <v>44064</v>
      </c>
      <c r="AF283" s="81">
        <v>44064</v>
      </c>
      <c r="AG283" s="81" t="s">
        <v>155</v>
      </c>
      <c r="AH283" s="82">
        <v>1</v>
      </c>
      <c r="AI283" s="82">
        <v>1</v>
      </c>
      <c r="AJ283" s="82">
        <v>0.8</v>
      </c>
      <c r="AK283" s="87" t="s">
        <v>140</v>
      </c>
      <c r="AL283" s="109"/>
      <c r="AM283" s="15"/>
      <c r="AN283" s="15"/>
    </row>
    <row r="284" spans="1:40" hidden="1">
      <c r="B284" s="88">
        <f t="shared" si="50"/>
        <v>225</v>
      </c>
      <c r="C284" s="16">
        <v>20200819</v>
      </c>
      <c r="D284" s="16" t="s">
        <v>3</v>
      </c>
      <c r="E284" s="85" t="s">
        <v>877</v>
      </c>
      <c r="F284" s="80" t="s">
        <v>890</v>
      </c>
      <c r="G284" s="47"/>
      <c r="H284" s="16" t="s">
        <v>233</v>
      </c>
      <c r="I284" s="16" t="s">
        <v>813</v>
      </c>
      <c r="J284" s="16" t="s">
        <v>1043</v>
      </c>
      <c r="K284" s="47"/>
      <c r="L284" s="80" t="s">
        <v>876</v>
      </c>
      <c r="M284" s="47"/>
      <c r="N284" s="16" t="s">
        <v>891</v>
      </c>
      <c r="O284" s="80" t="s">
        <v>858</v>
      </c>
      <c r="P284" s="80" t="s">
        <v>620</v>
      </c>
      <c r="Q284" s="18"/>
      <c r="R284" s="16" t="s">
        <v>199</v>
      </c>
      <c r="S284" s="16" t="s">
        <v>61</v>
      </c>
      <c r="T284" s="16"/>
      <c r="U284" s="16"/>
      <c r="V284" s="16"/>
      <c r="W284" s="16">
        <f>ROUND(IF(D284=Table!$C$3,Y284*Table!$C$4/8,Y284*Table!$D$4/8),3)</f>
        <v>193.5</v>
      </c>
      <c r="X284" s="191">
        <f t="shared" si="53"/>
        <v>193.5</v>
      </c>
      <c r="Y284" s="204">
        <v>3.44</v>
      </c>
      <c r="Z284" s="191"/>
      <c r="AA284" s="16" t="s">
        <v>21</v>
      </c>
      <c r="AB284" s="81">
        <v>44071</v>
      </c>
      <c r="AC284" s="81">
        <v>44063</v>
      </c>
      <c r="AD284" s="81">
        <v>44074</v>
      </c>
      <c r="AE284" s="81">
        <v>44064</v>
      </c>
      <c r="AF284" s="81">
        <v>44064</v>
      </c>
      <c r="AG284" s="81" t="s">
        <v>155</v>
      </c>
      <c r="AH284" s="82">
        <v>1</v>
      </c>
      <c r="AI284" s="82">
        <v>1</v>
      </c>
      <c r="AJ284" s="82">
        <v>0.26</v>
      </c>
      <c r="AK284" s="87" t="s">
        <v>140</v>
      </c>
      <c r="AL284" s="109"/>
      <c r="AM284" s="15"/>
      <c r="AN284" s="15"/>
    </row>
    <row r="285" spans="1:40" hidden="1">
      <c r="B285" s="88">
        <f t="shared" si="50"/>
        <v>226</v>
      </c>
      <c r="C285" s="16">
        <v>20200819</v>
      </c>
      <c r="D285" s="16" t="s">
        <v>3</v>
      </c>
      <c r="E285" s="85" t="s">
        <v>877</v>
      </c>
      <c r="F285" s="80" t="s">
        <v>890</v>
      </c>
      <c r="G285" s="47"/>
      <c r="H285" s="16" t="s">
        <v>235</v>
      </c>
      <c r="I285" s="16" t="s">
        <v>405</v>
      </c>
      <c r="J285" s="16" t="s">
        <v>1043</v>
      </c>
      <c r="K285" s="47"/>
      <c r="L285" s="80" t="s">
        <v>876</v>
      </c>
      <c r="M285" s="47"/>
      <c r="N285" s="16" t="s">
        <v>891</v>
      </c>
      <c r="O285" s="80" t="s">
        <v>859</v>
      </c>
      <c r="P285" s="80" t="s">
        <v>620</v>
      </c>
      <c r="Q285" s="18"/>
      <c r="R285" s="16" t="s">
        <v>199</v>
      </c>
      <c r="S285" s="16" t="s">
        <v>61</v>
      </c>
      <c r="T285" s="16"/>
      <c r="U285" s="16"/>
      <c r="V285" s="16"/>
      <c r="W285" s="16">
        <f>ROUND(IF(D285=Table!$C$3,Y285*Table!$C$4/8,Y285*Table!$D$4/8),3)</f>
        <v>211.5</v>
      </c>
      <c r="X285" s="191">
        <f t="shared" si="53"/>
        <v>211.5</v>
      </c>
      <c r="Y285" s="204">
        <v>3.7600000000000002</v>
      </c>
      <c r="Z285" s="191"/>
      <c r="AA285" s="16" t="s">
        <v>21</v>
      </c>
      <c r="AB285" s="81">
        <v>44071</v>
      </c>
      <c r="AC285" s="81">
        <v>44063</v>
      </c>
      <c r="AD285" s="81">
        <v>44074</v>
      </c>
      <c r="AE285" s="81">
        <v>44064</v>
      </c>
      <c r="AF285" s="81">
        <v>44064</v>
      </c>
      <c r="AG285" s="81" t="s">
        <v>155</v>
      </c>
      <c r="AH285" s="82">
        <v>1</v>
      </c>
      <c r="AI285" s="82">
        <v>1</v>
      </c>
      <c r="AJ285" s="82">
        <v>0.2</v>
      </c>
      <c r="AK285" s="87" t="s">
        <v>140</v>
      </c>
      <c r="AL285" s="109"/>
      <c r="AM285" s="15"/>
      <c r="AN285" s="15"/>
    </row>
    <row r="286" spans="1:40" hidden="1">
      <c r="B286" s="88">
        <f t="shared" si="50"/>
        <v>227</v>
      </c>
      <c r="C286" s="16">
        <v>20200819</v>
      </c>
      <c r="D286" s="16" t="s">
        <v>3</v>
      </c>
      <c r="E286" s="85" t="s">
        <v>877</v>
      </c>
      <c r="F286" s="80" t="s">
        <v>890</v>
      </c>
      <c r="G286" s="47"/>
      <c r="H286" s="16" t="s">
        <v>241</v>
      </c>
      <c r="I286" s="16" t="s">
        <v>814</v>
      </c>
      <c r="J286" s="16" t="s">
        <v>1043</v>
      </c>
      <c r="K286" s="47"/>
      <c r="L286" s="80" t="s">
        <v>876</v>
      </c>
      <c r="M286" s="47"/>
      <c r="N286" s="16" t="s">
        <v>891</v>
      </c>
      <c r="O286" s="80" t="s">
        <v>860</v>
      </c>
      <c r="P286" s="80" t="s">
        <v>620</v>
      </c>
      <c r="Q286" s="18"/>
      <c r="R286" s="16" t="s">
        <v>199</v>
      </c>
      <c r="S286" s="16" t="s">
        <v>61</v>
      </c>
      <c r="T286" s="16"/>
      <c r="U286" s="16"/>
      <c r="V286" s="16"/>
      <c r="W286" s="16">
        <f>ROUND(IF(D286=Table!$C$3,Y286*Table!$C$4/8,Y286*Table!$D$4/8),3)</f>
        <v>112.5</v>
      </c>
      <c r="X286" s="191">
        <f t="shared" si="53"/>
        <v>112.5</v>
      </c>
      <c r="Y286" s="204">
        <v>2</v>
      </c>
      <c r="Z286" s="191"/>
      <c r="AA286" s="16" t="s">
        <v>21</v>
      </c>
      <c r="AB286" s="81">
        <v>44071</v>
      </c>
      <c r="AC286" s="81">
        <v>44063</v>
      </c>
      <c r="AD286" s="81">
        <v>44074</v>
      </c>
      <c r="AE286" s="81">
        <v>44064</v>
      </c>
      <c r="AF286" s="81">
        <v>44064</v>
      </c>
      <c r="AG286" s="81" t="s">
        <v>155</v>
      </c>
      <c r="AH286" s="82">
        <v>1</v>
      </c>
      <c r="AI286" s="82">
        <v>1</v>
      </c>
      <c r="AJ286" s="82">
        <v>1</v>
      </c>
      <c r="AK286" s="87" t="s">
        <v>140</v>
      </c>
      <c r="AL286" s="109"/>
      <c r="AM286" s="15"/>
      <c r="AN286" s="15"/>
    </row>
    <row r="287" spans="1:40" hidden="1">
      <c r="B287" s="88">
        <f t="shared" si="50"/>
        <v>228</v>
      </c>
      <c r="C287" s="16">
        <v>20200819</v>
      </c>
      <c r="D287" s="16" t="s">
        <v>3</v>
      </c>
      <c r="E287" s="85" t="s">
        <v>877</v>
      </c>
      <c r="F287" s="80" t="s">
        <v>890</v>
      </c>
      <c r="G287" s="47"/>
      <c r="H287" s="16" t="s">
        <v>295</v>
      </c>
      <c r="I287" s="16" t="s">
        <v>815</v>
      </c>
      <c r="J287" s="16" t="s">
        <v>1043</v>
      </c>
      <c r="K287" s="47"/>
      <c r="L287" s="80" t="s">
        <v>876</v>
      </c>
      <c r="M287" s="47"/>
      <c r="N287" s="16" t="s">
        <v>891</v>
      </c>
      <c r="O287" s="80" t="s">
        <v>861</v>
      </c>
      <c r="P287" s="80" t="s">
        <v>620</v>
      </c>
      <c r="Q287" s="18"/>
      <c r="R287" s="16" t="s">
        <v>199</v>
      </c>
      <c r="S287" s="16" t="s">
        <v>61</v>
      </c>
      <c r="T287" s="16"/>
      <c r="U287" s="16"/>
      <c r="V287" s="16"/>
      <c r="W287" s="16">
        <f>ROUND(IF(D287=Table!$C$3,Y287*Table!$C$4/8,Y287*Table!$D$4/8),3)</f>
        <v>211.5</v>
      </c>
      <c r="X287" s="191">
        <f t="shared" si="53"/>
        <v>211.5</v>
      </c>
      <c r="Y287" s="204">
        <v>3.7600000000000002</v>
      </c>
      <c r="Z287" s="191"/>
      <c r="AA287" s="16" t="s">
        <v>21</v>
      </c>
      <c r="AB287" s="81">
        <v>44071</v>
      </c>
      <c r="AC287" s="81">
        <v>44063</v>
      </c>
      <c r="AD287" s="81">
        <v>44074</v>
      </c>
      <c r="AE287" s="81">
        <v>44067</v>
      </c>
      <c r="AF287" s="81">
        <v>44067</v>
      </c>
      <c r="AG287" s="81" t="s">
        <v>155</v>
      </c>
      <c r="AH287" s="82">
        <v>1</v>
      </c>
      <c r="AI287" s="82">
        <v>1</v>
      </c>
      <c r="AJ287" s="82">
        <v>0.75</v>
      </c>
      <c r="AK287" s="87" t="s">
        <v>140</v>
      </c>
      <c r="AL287" s="109"/>
      <c r="AM287" s="15"/>
      <c r="AN287" s="15"/>
    </row>
    <row r="288" spans="1:40" hidden="1">
      <c r="B288" s="88">
        <f t="shared" si="50"/>
        <v>229</v>
      </c>
      <c r="C288" s="16">
        <v>20200819</v>
      </c>
      <c r="D288" s="16" t="s">
        <v>3</v>
      </c>
      <c r="E288" s="85" t="s">
        <v>877</v>
      </c>
      <c r="F288" s="80" t="s">
        <v>890</v>
      </c>
      <c r="G288" s="47"/>
      <c r="H288" s="16" t="s">
        <v>1041</v>
      </c>
      <c r="I288" s="16" t="s">
        <v>406</v>
      </c>
      <c r="J288" s="16" t="s">
        <v>1043</v>
      </c>
      <c r="K288" s="47"/>
      <c r="L288" s="80" t="s">
        <v>876</v>
      </c>
      <c r="M288" s="47"/>
      <c r="N288" s="16" t="s">
        <v>891</v>
      </c>
      <c r="O288" s="80" t="s">
        <v>862</v>
      </c>
      <c r="P288" s="80" t="s">
        <v>620</v>
      </c>
      <c r="Q288" s="18"/>
      <c r="R288" s="16" t="s">
        <v>199</v>
      </c>
      <c r="S288" s="16" t="s">
        <v>61</v>
      </c>
      <c r="T288" s="16"/>
      <c r="U288" s="16"/>
      <c r="V288" s="16"/>
      <c r="W288" s="16">
        <f>ROUND(IF(D288=Table!$C$3,Y288*Table!$C$4/8,Y288*Table!$D$4/8),3)</f>
        <v>157.5</v>
      </c>
      <c r="X288" s="191">
        <f t="shared" si="53"/>
        <v>157.5</v>
      </c>
      <c r="Y288" s="204">
        <v>2.8000000000000003</v>
      </c>
      <c r="Z288" s="191"/>
      <c r="AA288" s="16" t="s">
        <v>21</v>
      </c>
      <c r="AB288" s="81">
        <v>44071</v>
      </c>
      <c r="AC288" s="81">
        <v>44063</v>
      </c>
      <c r="AD288" s="81">
        <v>44074</v>
      </c>
      <c r="AE288" s="81">
        <v>44067</v>
      </c>
      <c r="AF288" s="81">
        <v>44067</v>
      </c>
      <c r="AG288" s="81" t="s">
        <v>155</v>
      </c>
      <c r="AH288" s="82">
        <v>1</v>
      </c>
      <c r="AI288" s="82">
        <v>1</v>
      </c>
      <c r="AJ288" s="82">
        <v>0.5</v>
      </c>
      <c r="AK288" s="87" t="s">
        <v>140</v>
      </c>
      <c r="AL288" s="109"/>
      <c r="AM288" s="15"/>
      <c r="AN288" s="15"/>
    </row>
    <row r="289" spans="1:40" hidden="1">
      <c r="B289" s="88">
        <f t="shared" si="50"/>
        <v>230</v>
      </c>
      <c r="C289" s="16">
        <v>20200819</v>
      </c>
      <c r="D289" s="16" t="s">
        <v>3</v>
      </c>
      <c r="E289" s="85" t="s">
        <v>877</v>
      </c>
      <c r="F289" s="80" t="s">
        <v>890</v>
      </c>
      <c r="G289" s="47"/>
      <c r="H289" s="16" t="s">
        <v>1042</v>
      </c>
      <c r="I289" s="16" t="s">
        <v>408</v>
      </c>
      <c r="J289" s="16" t="s">
        <v>1043</v>
      </c>
      <c r="K289" s="47"/>
      <c r="L289" s="80" t="s">
        <v>876</v>
      </c>
      <c r="M289" s="47"/>
      <c r="N289" s="16" t="s">
        <v>891</v>
      </c>
      <c r="O289" s="80" t="s">
        <v>863</v>
      </c>
      <c r="P289" s="80" t="s">
        <v>460</v>
      </c>
      <c r="Q289" s="18"/>
      <c r="R289" s="16" t="s">
        <v>199</v>
      </c>
      <c r="S289" s="16" t="s">
        <v>61</v>
      </c>
      <c r="T289" s="16"/>
      <c r="U289" s="16"/>
      <c r="V289" s="16"/>
      <c r="W289" s="16">
        <f>ROUND(IF(D289=Table!$C$3,Y289*Table!$C$4/8,Y289*Table!$D$4/8),3)</f>
        <v>121.5</v>
      </c>
      <c r="X289" s="191">
        <f t="shared" si="53"/>
        <v>121.5</v>
      </c>
      <c r="Y289" s="204">
        <v>2.16</v>
      </c>
      <c r="Z289" s="191"/>
      <c r="AA289" s="16" t="s">
        <v>21</v>
      </c>
      <c r="AB289" s="81">
        <v>44071</v>
      </c>
      <c r="AC289" s="81">
        <v>44063</v>
      </c>
      <c r="AD289" s="81">
        <v>44074</v>
      </c>
      <c r="AE289" s="81">
        <v>44067</v>
      </c>
      <c r="AF289" s="81">
        <v>44067</v>
      </c>
      <c r="AG289" s="81" t="s">
        <v>155</v>
      </c>
      <c r="AH289" s="82">
        <v>1</v>
      </c>
      <c r="AI289" s="82">
        <v>1</v>
      </c>
      <c r="AJ289" s="82">
        <v>0.5</v>
      </c>
      <c r="AK289" s="87" t="s">
        <v>140</v>
      </c>
      <c r="AL289" s="109"/>
      <c r="AM289" s="15"/>
      <c r="AN289" s="15"/>
    </row>
    <row r="290" spans="1:40" s="277" customFormat="1" hidden="1">
      <c r="A290" s="111"/>
      <c r="B290" s="194">
        <f>B289+1</f>
        <v>231</v>
      </c>
      <c r="C290" s="270">
        <v>20200821</v>
      </c>
      <c r="D290" s="270" t="s">
        <v>2</v>
      </c>
      <c r="E290" s="271" t="s">
        <v>1093</v>
      </c>
      <c r="F290" s="272"/>
      <c r="G290" s="272"/>
      <c r="H290" s="270"/>
      <c r="I290" s="270" t="s">
        <v>1089</v>
      </c>
      <c r="J290" s="270"/>
      <c r="K290" s="272"/>
      <c r="L290" s="272"/>
      <c r="M290" s="272"/>
      <c r="N290" s="270"/>
      <c r="O290" s="272" t="s">
        <v>210</v>
      </c>
      <c r="P290" s="272"/>
      <c r="Q290" s="270"/>
      <c r="R290" s="270"/>
      <c r="S290" s="270" t="s">
        <v>61</v>
      </c>
      <c r="T290" s="270"/>
      <c r="U290" s="270"/>
      <c r="V290" s="270"/>
      <c r="W290" s="270">
        <f>ROUND(IF(D290=Table!$C$3,Y290*Table!$C$4/8,Y290*Table!$D$4/8),3)</f>
        <v>24.375</v>
      </c>
      <c r="X290" s="273">
        <f t="shared" si="53"/>
        <v>24.375</v>
      </c>
      <c r="Y290" s="273">
        <v>1.5</v>
      </c>
      <c r="Z290" s="273"/>
      <c r="AA290" s="270" t="s">
        <v>70</v>
      </c>
      <c r="AB290" s="274">
        <v>44064</v>
      </c>
      <c r="AC290" s="274">
        <v>44064</v>
      </c>
      <c r="AD290" s="274">
        <v>44064</v>
      </c>
      <c r="AE290" s="274">
        <v>44064</v>
      </c>
      <c r="AF290" s="274">
        <v>44064</v>
      </c>
      <c r="AG290" s="274" t="s">
        <v>155</v>
      </c>
      <c r="AH290" s="275">
        <v>1</v>
      </c>
      <c r="AI290" s="275">
        <v>1</v>
      </c>
      <c r="AJ290" s="276" t="s">
        <v>213</v>
      </c>
      <c r="AK290" s="87" t="s">
        <v>140</v>
      </c>
      <c r="AL290" s="279"/>
      <c r="AM290" s="270"/>
      <c r="AN290" s="270"/>
    </row>
    <row r="291" spans="1:40" s="277" customFormat="1" hidden="1">
      <c r="A291" s="111"/>
      <c r="B291" s="194">
        <f>B290+1</f>
        <v>232</v>
      </c>
      <c r="C291" s="270">
        <v>20200821</v>
      </c>
      <c r="D291" s="270" t="s">
        <v>2</v>
      </c>
      <c r="E291" s="271" t="s">
        <v>1093</v>
      </c>
      <c r="F291" s="272"/>
      <c r="G291" s="272"/>
      <c r="H291" s="270"/>
      <c r="I291" s="270" t="s">
        <v>1090</v>
      </c>
      <c r="J291" s="270"/>
      <c r="K291" s="272"/>
      <c r="L291" s="272"/>
      <c r="M291" s="272"/>
      <c r="N291" s="270"/>
      <c r="O291" s="272" t="s">
        <v>816</v>
      </c>
      <c r="P291" s="272"/>
      <c r="Q291" s="270"/>
      <c r="R291" s="270"/>
      <c r="S291" s="270" t="s">
        <v>61</v>
      </c>
      <c r="T291" s="270"/>
      <c r="U291" s="270"/>
      <c r="V291" s="270"/>
      <c r="W291" s="270">
        <f>ROUND(IF(D291=Table!$C$3,Y291*Table!$C$4/8,Y291*Table!$D$4/8),3)</f>
        <v>48.75</v>
      </c>
      <c r="X291" s="273">
        <f t="shared" si="53"/>
        <v>48.75</v>
      </c>
      <c r="Y291" s="273">
        <v>3</v>
      </c>
      <c r="Z291" s="273"/>
      <c r="AA291" s="270" t="s">
        <v>70</v>
      </c>
      <c r="AB291" s="274">
        <v>44064</v>
      </c>
      <c r="AC291" s="274">
        <v>44064</v>
      </c>
      <c r="AD291" s="274">
        <v>44064</v>
      </c>
      <c r="AE291" s="274">
        <v>44064</v>
      </c>
      <c r="AF291" s="274">
        <v>44064</v>
      </c>
      <c r="AG291" s="274" t="s">
        <v>155</v>
      </c>
      <c r="AH291" s="275">
        <v>1</v>
      </c>
      <c r="AI291" s="275">
        <v>1</v>
      </c>
      <c r="AJ291" s="275">
        <v>1</v>
      </c>
      <c r="AK291" s="87" t="s">
        <v>140</v>
      </c>
      <c r="AL291" s="279"/>
      <c r="AM291" s="270"/>
      <c r="AN291" s="270"/>
    </row>
    <row r="292" spans="1:40" s="277" customFormat="1" hidden="1">
      <c r="A292" s="111"/>
      <c r="B292" s="194">
        <f>B291+1</f>
        <v>233</v>
      </c>
      <c r="C292" s="270">
        <v>20200821</v>
      </c>
      <c r="D292" s="270" t="s">
        <v>2</v>
      </c>
      <c r="E292" s="271" t="s">
        <v>1093</v>
      </c>
      <c r="F292" s="272"/>
      <c r="G292" s="272"/>
      <c r="H292" s="270"/>
      <c r="I292" s="270" t="s">
        <v>1091</v>
      </c>
      <c r="J292" s="270"/>
      <c r="K292" s="272"/>
      <c r="L292" s="272"/>
      <c r="M292" s="272"/>
      <c r="N292" s="270"/>
      <c r="O292" s="272" t="s">
        <v>831</v>
      </c>
      <c r="P292" s="272"/>
      <c r="Q292" s="270"/>
      <c r="R292" s="270"/>
      <c r="S292" s="270" t="s">
        <v>61</v>
      </c>
      <c r="T292" s="270"/>
      <c r="U292" s="270"/>
      <c r="V292" s="270"/>
      <c r="W292" s="270">
        <f>ROUND(IF(D292=Table!$C$3,Y292*Table!$C$4/8,Y292*Table!$D$4/8),3)</f>
        <v>24.375</v>
      </c>
      <c r="X292" s="273">
        <f t="shared" si="53"/>
        <v>24.375</v>
      </c>
      <c r="Y292" s="273">
        <v>1.5</v>
      </c>
      <c r="Z292" s="273"/>
      <c r="AA292" s="270" t="s">
        <v>70</v>
      </c>
      <c r="AB292" s="274">
        <v>44064</v>
      </c>
      <c r="AC292" s="274">
        <v>44064</v>
      </c>
      <c r="AD292" s="274">
        <v>44064</v>
      </c>
      <c r="AE292" s="274">
        <v>44064</v>
      </c>
      <c r="AF292" s="274">
        <v>44064</v>
      </c>
      <c r="AG292" s="274" t="s">
        <v>155</v>
      </c>
      <c r="AH292" s="275">
        <v>1</v>
      </c>
      <c r="AI292" s="275">
        <v>1</v>
      </c>
      <c r="AJ292" s="276" t="s">
        <v>213</v>
      </c>
      <c r="AK292" s="87" t="s">
        <v>140</v>
      </c>
      <c r="AL292" s="279"/>
      <c r="AM292" s="270"/>
      <c r="AN292" s="270"/>
    </row>
    <row r="293" spans="1:40" s="277" customFormat="1" hidden="1">
      <c r="A293" s="111"/>
      <c r="B293" s="194">
        <f>B292+1</f>
        <v>234</v>
      </c>
      <c r="C293" s="270">
        <v>20200821</v>
      </c>
      <c r="D293" s="270" t="s">
        <v>2</v>
      </c>
      <c r="E293" s="271" t="s">
        <v>1093</v>
      </c>
      <c r="F293" s="272"/>
      <c r="G293" s="272"/>
      <c r="H293" s="270"/>
      <c r="I293" s="270" t="s">
        <v>1092</v>
      </c>
      <c r="J293" s="270"/>
      <c r="K293" s="272"/>
      <c r="L293" s="272"/>
      <c r="M293" s="272"/>
      <c r="N293" s="270"/>
      <c r="O293" s="272" t="s">
        <v>831</v>
      </c>
      <c r="P293" s="272"/>
      <c r="Q293" s="270"/>
      <c r="R293" s="270"/>
      <c r="S293" s="270" t="s">
        <v>61</v>
      </c>
      <c r="T293" s="270"/>
      <c r="U293" s="270"/>
      <c r="V293" s="270"/>
      <c r="W293" s="270">
        <f>ROUND(IF(D293=Table!$C$3,Y293*Table!$C$4/8,Y293*Table!$D$4/8),3)</f>
        <v>24.375</v>
      </c>
      <c r="X293" s="273">
        <f t="shared" si="53"/>
        <v>24.375</v>
      </c>
      <c r="Y293" s="273">
        <v>1.5</v>
      </c>
      <c r="Z293" s="273"/>
      <c r="AA293" s="270" t="s">
        <v>70</v>
      </c>
      <c r="AB293" s="274">
        <v>44064</v>
      </c>
      <c r="AC293" s="274">
        <v>44064</v>
      </c>
      <c r="AD293" s="274">
        <v>44064</v>
      </c>
      <c r="AE293" s="274">
        <v>44064</v>
      </c>
      <c r="AF293" s="274">
        <v>44064</v>
      </c>
      <c r="AG293" s="274" t="s">
        <v>155</v>
      </c>
      <c r="AH293" s="275">
        <v>1</v>
      </c>
      <c r="AI293" s="275">
        <v>1</v>
      </c>
      <c r="AJ293" s="275">
        <v>1</v>
      </c>
      <c r="AK293" s="87" t="s">
        <v>140</v>
      </c>
      <c r="AL293" s="279"/>
      <c r="AM293" s="270"/>
      <c r="AN293" s="270"/>
    </row>
    <row r="294" spans="1:40" hidden="1">
      <c r="B294" s="159">
        <f t="shared" ref="B294:B313" si="54">B293+1</f>
        <v>235</v>
      </c>
      <c r="C294" s="16">
        <v>20200825</v>
      </c>
      <c r="D294" s="270" t="s">
        <v>2</v>
      </c>
      <c r="E294" s="85" t="s">
        <v>1196</v>
      </c>
      <c r="F294" s="80"/>
      <c r="G294" s="47"/>
      <c r="H294" s="16"/>
      <c r="I294" s="16" t="s">
        <v>1197</v>
      </c>
      <c r="J294" s="16"/>
      <c r="K294" s="47"/>
      <c r="L294" s="80"/>
      <c r="M294" s="47"/>
      <c r="N294" s="16"/>
      <c r="O294" s="80">
        <v>1.1499999999999999</v>
      </c>
      <c r="P294" s="80"/>
      <c r="Q294" s="18"/>
      <c r="R294" s="16"/>
      <c r="S294" s="270" t="s">
        <v>61</v>
      </c>
      <c r="T294" s="16"/>
      <c r="U294" s="16"/>
      <c r="V294" s="16"/>
      <c r="W294" s="270">
        <f>ROUND(IF(D294=Table!$C$3,Y294*Table!$C$4/8,Y294*Table!$D$4/8),3)</f>
        <v>40.625</v>
      </c>
      <c r="X294" s="273">
        <f t="shared" ref="X294:X302" si="55">W294</f>
        <v>40.625</v>
      </c>
      <c r="Y294" s="191">
        <v>2.5</v>
      </c>
      <c r="Z294" s="191"/>
      <c r="AA294" s="270" t="s">
        <v>70</v>
      </c>
      <c r="AB294" s="81">
        <v>44068</v>
      </c>
      <c r="AC294" s="81">
        <v>44068</v>
      </c>
      <c r="AD294" s="81">
        <v>44068</v>
      </c>
      <c r="AE294" s="81">
        <v>44068</v>
      </c>
      <c r="AF294" s="81">
        <v>44068</v>
      </c>
      <c r="AG294" s="274" t="s">
        <v>155</v>
      </c>
      <c r="AH294" s="275">
        <v>1</v>
      </c>
      <c r="AI294" s="275">
        <v>1</v>
      </c>
      <c r="AJ294" s="275">
        <v>1</v>
      </c>
      <c r="AK294" s="87" t="s">
        <v>140</v>
      </c>
      <c r="AL294" s="109"/>
      <c r="AM294" s="15"/>
      <c r="AN294" s="15"/>
    </row>
    <row r="295" spans="1:40" hidden="1">
      <c r="B295" s="159">
        <f t="shared" si="54"/>
        <v>236</v>
      </c>
      <c r="C295" s="16">
        <v>20200825</v>
      </c>
      <c r="D295" s="270" t="s">
        <v>2</v>
      </c>
      <c r="E295" s="303" t="s">
        <v>1196</v>
      </c>
      <c r="F295" s="80"/>
      <c r="G295" s="47"/>
      <c r="H295" s="16"/>
      <c r="I295" s="16" t="s">
        <v>1198</v>
      </c>
      <c r="J295" s="16"/>
      <c r="K295" s="47"/>
      <c r="L295" s="80"/>
      <c r="M295" s="47"/>
      <c r="N295" s="16"/>
      <c r="O295" s="80">
        <v>1.1000000000000001</v>
      </c>
      <c r="P295" s="80"/>
      <c r="Q295" s="18"/>
      <c r="R295" s="16"/>
      <c r="S295" s="270" t="s">
        <v>61</v>
      </c>
      <c r="T295" s="16"/>
      <c r="U295" s="16"/>
      <c r="V295" s="16"/>
      <c r="W295" s="270">
        <f>ROUND(IF(D295=Table!$C$3,Y295*Table!$C$4/8,Y295*Table!$D$4/8),3)</f>
        <v>24.375</v>
      </c>
      <c r="X295" s="273">
        <f t="shared" si="55"/>
        <v>24.375</v>
      </c>
      <c r="Y295" s="191">
        <v>1.5</v>
      </c>
      <c r="Z295" s="191"/>
      <c r="AA295" s="270" t="s">
        <v>70</v>
      </c>
      <c r="AB295" s="81">
        <v>44068</v>
      </c>
      <c r="AC295" s="81">
        <v>44068</v>
      </c>
      <c r="AD295" s="81">
        <v>44068</v>
      </c>
      <c r="AE295" s="81">
        <v>44068</v>
      </c>
      <c r="AF295" s="81">
        <v>44068</v>
      </c>
      <c r="AG295" s="274" t="s">
        <v>155</v>
      </c>
      <c r="AH295" s="275">
        <v>1</v>
      </c>
      <c r="AI295" s="275">
        <v>1</v>
      </c>
      <c r="AJ295" s="275">
        <v>1</v>
      </c>
      <c r="AK295" s="87" t="s">
        <v>140</v>
      </c>
      <c r="AL295" s="109"/>
      <c r="AM295" s="15"/>
      <c r="AN295" s="15"/>
    </row>
    <row r="296" spans="1:40" hidden="1">
      <c r="B296" s="159">
        <f t="shared" si="54"/>
        <v>237</v>
      </c>
      <c r="C296" s="16">
        <v>20200826</v>
      </c>
      <c r="D296" s="270" t="s">
        <v>2</v>
      </c>
      <c r="E296" s="85" t="s">
        <v>1247</v>
      </c>
      <c r="F296" s="80"/>
      <c r="G296" s="47"/>
      <c r="H296" s="16"/>
      <c r="I296" s="16" t="s">
        <v>1248</v>
      </c>
      <c r="J296" s="16"/>
      <c r="K296" s="47"/>
      <c r="L296" s="80"/>
      <c r="M296" s="47"/>
      <c r="N296" s="16"/>
      <c r="O296" s="80">
        <v>1.1299999999999999</v>
      </c>
      <c r="P296" s="80"/>
      <c r="Q296" s="18"/>
      <c r="R296" s="16"/>
      <c r="S296" s="270" t="s">
        <v>61</v>
      </c>
      <c r="T296" s="16"/>
      <c r="U296" s="16"/>
      <c r="V296" s="16"/>
      <c r="W296" s="270">
        <f>ROUND(IF(D296=Table!$C$3,Y296*Table!$C$4/8,Y296*Table!$D$4/8),3)</f>
        <v>48.75</v>
      </c>
      <c r="X296" s="273">
        <f t="shared" si="55"/>
        <v>48.75</v>
      </c>
      <c r="Y296" s="191">
        <v>3</v>
      </c>
      <c r="Z296" s="191"/>
      <c r="AA296" s="270" t="s">
        <v>70</v>
      </c>
      <c r="AB296" s="81">
        <v>44069</v>
      </c>
      <c r="AC296" s="81">
        <v>44069</v>
      </c>
      <c r="AD296" s="81">
        <v>44069</v>
      </c>
      <c r="AE296" s="81">
        <v>44069</v>
      </c>
      <c r="AF296" s="81">
        <v>44069</v>
      </c>
      <c r="AG296" s="274" t="s">
        <v>155</v>
      </c>
      <c r="AH296" s="82">
        <v>0.95</v>
      </c>
      <c r="AI296" s="82">
        <v>0.95199999999999996</v>
      </c>
      <c r="AJ296" s="82" t="s">
        <v>213</v>
      </c>
      <c r="AK296" s="87" t="s">
        <v>140</v>
      </c>
      <c r="AL296" s="109" t="s">
        <v>1249</v>
      </c>
      <c r="AM296" s="15"/>
      <c r="AN296" s="15"/>
    </row>
    <row r="297" spans="1:40" hidden="1">
      <c r="B297" s="195">
        <f t="shared" si="54"/>
        <v>238</v>
      </c>
      <c r="C297" s="16">
        <v>20200828</v>
      </c>
      <c r="D297" s="270" t="s">
        <v>2</v>
      </c>
      <c r="E297" s="85" t="s">
        <v>1322</v>
      </c>
      <c r="F297" s="80"/>
      <c r="G297" s="47"/>
      <c r="H297" s="16"/>
      <c r="I297" s="16" t="s">
        <v>1323</v>
      </c>
      <c r="J297" s="16"/>
      <c r="K297" s="47"/>
      <c r="L297" s="80"/>
      <c r="M297" s="47"/>
      <c r="N297" s="16"/>
      <c r="O297" s="80">
        <v>1.1299999999999999</v>
      </c>
      <c r="P297" s="80"/>
      <c r="Q297" s="18"/>
      <c r="R297" s="16"/>
      <c r="S297" s="270" t="s">
        <v>61</v>
      </c>
      <c r="T297" s="16"/>
      <c r="U297" s="16"/>
      <c r="V297" s="16"/>
      <c r="W297" s="270">
        <f>ROUND(IF(D297=Table!$C$3,Y297*Table!$C$4/8,Y297*Table!$D$4/8),3)</f>
        <v>16.25</v>
      </c>
      <c r="X297" s="273">
        <f t="shared" si="55"/>
        <v>16.25</v>
      </c>
      <c r="Y297" s="191">
        <v>1</v>
      </c>
      <c r="Z297" s="191"/>
      <c r="AA297" s="270" t="s">
        <v>70</v>
      </c>
      <c r="AB297" s="81">
        <v>44074</v>
      </c>
      <c r="AC297" s="81">
        <v>44071</v>
      </c>
      <c r="AD297" s="81">
        <v>44074</v>
      </c>
      <c r="AE297" s="81">
        <v>44074</v>
      </c>
      <c r="AF297" s="81">
        <v>44074</v>
      </c>
      <c r="AG297" s="274" t="s">
        <v>155</v>
      </c>
      <c r="AH297" s="82">
        <v>1</v>
      </c>
      <c r="AI297" s="82">
        <v>1</v>
      </c>
      <c r="AJ297" s="82">
        <v>1</v>
      </c>
      <c r="AK297" s="87" t="s">
        <v>140</v>
      </c>
      <c r="AL297" s="109"/>
      <c r="AM297" s="15"/>
      <c r="AN297" s="15"/>
    </row>
    <row r="298" spans="1:40" hidden="1">
      <c r="B298" s="195">
        <f t="shared" si="54"/>
        <v>239</v>
      </c>
      <c r="C298" s="16">
        <v>20200828</v>
      </c>
      <c r="D298" s="270" t="s">
        <v>2</v>
      </c>
      <c r="E298" s="85" t="s">
        <v>1322</v>
      </c>
      <c r="F298" s="80"/>
      <c r="G298" s="47"/>
      <c r="H298" s="16"/>
      <c r="I298" s="16" t="s">
        <v>1324</v>
      </c>
      <c r="J298" s="16"/>
      <c r="K298" s="47"/>
      <c r="L298" s="80"/>
      <c r="M298" s="47"/>
      <c r="N298" s="16"/>
      <c r="O298" s="80">
        <v>1.1000000000000001</v>
      </c>
      <c r="P298" s="80"/>
      <c r="Q298" s="18"/>
      <c r="R298" s="16"/>
      <c r="S298" s="270" t="s">
        <v>61</v>
      </c>
      <c r="T298" s="16"/>
      <c r="U298" s="16"/>
      <c r="V298" s="16"/>
      <c r="W298" s="270">
        <f>ROUND(IF(D298=Table!$C$3,Y298*Table!$C$4/8,Y298*Table!$D$4/8),3)</f>
        <v>24.375</v>
      </c>
      <c r="X298" s="273">
        <f t="shared" si="55"/>
        <v>24.375</v>
      </c>
      <c r="Y298" s="191">
        <v>1.5</v>
      </c>
      <c r="Z298" s="203"/>
      <c r="AA298" s="270" t="s">
        <v>70</v>
      </c>
      <c r="AB298" s="81">
        <v>44074</v>
      </c>
      <c r="AC298" s="81">
        <v>44071</v>
      </c>
      <c r="AD298" s="81">
        <v>44074</v>
      </c>
      <c r="AE298" s="81">
        <v>44074</v>
      </c>
      <c r="AF298" s="81">
        <v>44074</v>
      </c>
      <c r="AG298" s="274" t="s">
        <v>155</v>
      </c>
      <c r="AH298" s="82">
        <v>1</v>
      </c>
      <c r="AI298" s="82">
        <v>1</v>
      </c>
      <c r="AJ298" s="82">
        <v>1</v>
      </c>
      <c r="AK298" s="87" t="s">
        <v>140</v>
      </c>
      <c r="AL298" s="109"/>
      <c r="AM298" s="15"/>
      <c r="AN298" s="15"/>
    </row>
    <row r="299" spans="1:40" hidden="1">
      <c r="B299" s="195">
        <f t="shared" si="54"/>
        <v>240</v>
      </c>
      <c r="C299" s="16">
        <v>20200828</v>
      </c>
      <c r="D299" s="270" t="s">
        <v>2</v>
      </c>
      <c r="E299" s="85" t="s">
        <v>1322</v>
      </c>
      <c r="F299" s="80"/>
      <c r="G299" s="47"/>
      <c r="H299" s="16"/>
      <c r="I299" s="16" t="s">
        <v>1325</v>
      </c>
      <c r="J299" s="16"/>
      <c r="K299" s="47"/>
      <c r="L299" s="80"/>
      <c r="M299" s="47"/>
      <c r="N299" s="16"/>
      <c r="O299" s="80">
        <v>1.3</v>
      </c>
      <c r="P299" s="80"/>
      <c r="Q299" s="18"/>
      <c r="R299" s="16"/>
      <c r="S299" s="270" t="s">
        <v>61</v>
      </c>
      <c r="T299" s="16"/>
      <c r="U299" s="16"/>
      <c r="V299" s="16"/>
      <c r="W299" s="270">
        <f>ROUND(IF(D299=Table!$C$3,Y299*Table!$C$4/8,Y299*Table!$D$4/8),3)</f>
        <v>24.375</v>
      </c>
      <c r="X299" s="273">
        <f t="shared" si="55"/>
        <v>24.375</v>
      </c>
      <c r="Y299" s="191">
        <v>1.5</v>
      </c>
      <c r="Z299" s="203"/>
      <c r="AA299" s="270" t="s">
        <v>70</v>
      </c>
      <c r="AB299" s="81">
        <v>44074</v>
      </c>
      <c r="AC299" s="81">
        <v>44071</v>
      </c>
      <c r="AD299" s="81">
        <v>44074</v>
      </c>
      <c r="AE299" s="81">
        <v>44074</v>
      </c>
      <c r="AF299" s="81">
        <v>44074</v>
      </c>
      <c r="AG299" s="274" t="s">
        <v>155</v>
      </c>
      <c r="AH299" s="82">
        <v>1</v>
      </c>
      <c r="AI299" s="82">
        <v>1</v>
      </c>
      <c r="AJ299" s="82">
        <v>0.875</v>
      </c>
      <c r="AK299" s="87" t="s">
        <v>140</v>
      </c>
      <c r="AL299" s="109" t="s">
        <v>1384</v>
      </c>
      <c r="AM299" s="15"/>
      <c r="AN299" s="15"/>
    </row>
    <row r="300" spans="1:40" hidden="1">
      <c r="B300" s="195">
        <f t="shared" si="54"/>
        <v>241</v>
      </c>
      <c r="C300" s="16">
        <v>20200828</v>
      </c>
      <c r="D300" s="270" t="s">
        <v>2</v>
      </c>
      <c r="E300" s="85" t="s">
        <v>1322</v>
      </c>
      <c r="F300" s="80"/>
      <c r="G300" s="47"/>
      <c r="H300" s="16"/>
      <c r="I300" s="16" t="s">
        <v>1326</v>
      </c>
      <c r="J300" s="16"/>
      <c r="K300" s="47"/>
      <c r="L300" s="80"/>
      <c r="M300" s="47"/>
      <c r="N300" s="16"/>
      <c r="O300" s="80">
        <v>1.2</v>
      </c>
      <c r="P300" s="80"/>
      <c r="Q300" s="18"/>
      <c r="R300" s="16"/>
      <c r="S300" s="270" t="s">
        <v>61</v>
      </c>
      <c r="T300" s="16"/>
      <c r="U300" s="16"/>
      <c r="V300" s="16"/>
      <c r="W300" s="270">
        <f>ROUND(IF(D300=Table!$C$3,Y300*Table!$C$4/8,Y300*Table!$D$4/8),3)</f>
        <v>24.375</v>
      </c>
      <c r="X300" s="273">
        <f t="shared" si="55"/>
        <v>24.375</v>
      </c>
      <c r="Y300" s="191">
        <v>1.5</v>
      </c>
      <c r="Z300" s="203"/>
      <c r="AA300" s="270" t="s">
        <v>70</v>
      </c>
      <c r="AB300" s="81">
        <v>44074</v>
      </c>
      <c r="AC300" s="81">
        <v>44071</v>
      </c>
      <c r="AD300" s="81">
        <v>44074</v>
      </c>
      <c r="AE300" s="81">
        <v>44074</v>
      </c>
      <c r="AF300" s="81">
        <v>44074</v>
      </c>
      <c r="AG300" s="274" t="s">
        <v>155</v>
      </c>
      <c r="AH300" s="82">
        <v>1</v>
      </c>
      <c r="AI300" s="82">
        <v>1</v>
      </c>
      <c r="AJ300" s="82">
        <v>1</v>
      </c>
      <c r="AK300" s="87" t="s">
        <v>140</v>
      </c>
      <c r="AL300" s="109"/>
      <c r="AM300" s="15"/>
      <c r="AN300" s="15"/>
    </row>
    <row r="301" spans="1:40" hidden="1">
      <c r="B301" s="195">
        <f t="shared" si="54"/>
        <v>242</v>
      </c>
      <c r="C301" s="16">
        <v>20200828</v>
      </c>
      <c r="D301" s="270" t="s">
        <v>2</v>
      </c>
      <c r="E301" s="85" t="s">
        <v>1322</v>
      </c>
      <c r="F301" s="80"/>
      <c r="G301" s="47"/>
      <c r="H301" s="166"/>
      <c r="I301" s="166" t="s">
        <v>1327</v>
      </c>
      <c r="J301" s="16"/>
      <c r="K301" s="47"/>
      <c r="L301" s="80"/>
      <c r="M301" s="47"/>
      <c r="N301" s="16"/>
      <c r="O301" s="80">
        <v>1.5</v>
      </c>
      <c r="P301" s="80"/>
      <c r="Q301" s="18"/>
      <c r="R301" s="16"/>
      <c r="S301" s="270" t="s">
        <v>61</v>
      </c>
      <c r="T301" s="16"/>
      <c r="U301" s="16"/>
      <c r="V301" s="16"/>
      <c r="W301" s="270">
        <f>ROUND(IF(D301=Table!$C$3,Y301*Table!$C$4/8,Y301*Table!$D$4/8),3)</f>
        <v>16.25</v>
      </c>
      <c r="X301" s="273">
        <f t="shared" si="55"/>
        <v>16.25</v>
      </c>
      <c r="Y301" s="191">
        <v>1</v>
      </c>
      <c r="Z301" s="191"/>
      <c r="AA301" s="270" t="s">
        <v>70</v>
      </c>
      <c r="AB301" s="81">
        <v>44074</v>
      </c>
      <c r="AC301" s="81">
        <v>44071</v>
      </c>
      <c r="AD301" s="81">
        <v>44074</v>
      </c>
      <c r="AE301" s="81">
        <v>44074</v>
      </c>
      <c r="AF301" s="81">
        <v>44074</v>
      </c>
      <c r="AG301" s="274" t="s">
        <v>155</v>
      </c>
      <c r="AH301" s="82">
        <v>1</v>
      </c>
      <c r="AI301" s="82">
        <v>1</v>
      </c>
      <c r="AJ301" s="82">
        <v>1</v>
      </c>
      <c r="AK301" s="87" t="s">
        <v>140</v>
      </c>
      <c r="AL301" s="161"/>
      <c r="AM301" s="15"/>
      <c r="AN301" s="15"/>
    </row>
    <row r="302" spans="1:40" hidden="1">
      <c r="B302" s="195">
        <f t="shared" si="54"/>
        <v>243</v>
      </c>
      <c r="C302" s="16">
        <v>20200828</v>
      </c>
      <c r="D302" s="270" t="s">
        <v>2</v>
      </c>
      <c r="E302" s="85" t="s">
        <v>1322</v>
      </c>
      <c r="F302" s="80"/>
      <c r="G302" s="47"/>
      <c r="H302" s="166"/>
      <c r="I302" s="166" t="s">
        <v>284</v>
      </c>
      <c r="J302" s="16"/>
      <c r="K302" s="47"/>
      <c r="L302" s="80"/>
      <c r="M302" s="47"/>
      <c r="N302" s="16"/>
      <c r="O302" s="80">
        <v>1.3</v>
      </c>
      <c r="P302" s="158"/>
      <c r="Q302" s="18"/>
      <c r="R302" s="16"/>
      <c r="S302" s="270" t="s">
        <v>61</v>
      </c>
      <c r="T302" s="16"/>
      <c r="U302" s="16"/>
      <c r="V302" s="16"/>
      <c r="W302" s="270">
        <f>ROUND(IF(D302=Table!$C$3,Y302*Table!$C$4/8,Y302*Table!$D$4/8),3)</f>
        <v>16.25</v>
      </c>
      <c r="X302" s="273">
        <f t="shared" si="55"/>
        <v>16.25</v>
      </c>
      <c r="Y302" s="191">
        <v>1</v>
      </c>
      <c r="Z302" s="191"/>
      <c r="AA302" s="270" t="s">
        <v>70</v>
      </c>
      <c r="AB302" s="81">
        <v>44074</v>
      </c>
      <c r="AC302" s="81">
        <v>44071</v>
      </c>
      <c r="AD302" s="81">
        <v>44074</v>
      </c>
      <c r="AE302" s="81">
        <v>44074</v>
      </c>
      <c r="AF302" s="81">
        <v>44074</v>
      </c>
      <c r="AG302" s="274" t="s">
        <v>155</v>
      </c>
      <c r="AH302" s="82">
        <v>1</v>
      </c>
      <c r="AI302" s="82">
        <v>1</v>
      </c>
      <c r="AJ302" s="82">
        <v>1</v>
      </c>
      <c r="AK302" s="87" t="s">
        <v>140</v>
      </c>
      <c r="AL302" s="109"/>
      <c r="AN302" s="15"/>
    </row>
    <row r="303" spans="1:40">
      <c r="B303" s="159">
        <f t="shared" si="54"/>
        <v>244</v>
      </c>
      <c r="C303" s="16">
        <v>20200831</v>
      </c>
      <c r="D303" s="270" t="s">
        <v>2</v>
      </c>
      <c r="E303" s="85" t="s">
        <v>1360</v>
      </c>
      <c r="F303" s="80"/>
      <c r="G303" s="47"/>
      <c r="H303" s="166" t="s">
        <v>1351</v>
      </c>
      <c r="I303" s="166" t="s">
        <v>1334</v>
      </c>
      <c r="J303" s="16" t="s">
        <v>208</v>
      </c>
      <c r="K303" s="47"/>
      <c r="L303" s="80"/>
      <c r="M303" s="47"/>
      <c r="N303" s="16"/>
      <c r="O303" s="80" t="s">
        <v>1344</v>
      </c>
      <c r="P303" s="80"/>
      <c r="Q303" s="18"/>
      <c r="R303" s="16" t="s">
        <v>197</v>
      </c>
      <c r="S303" s="16" t="s">
        <v>66</v>
      </c>
      <c r="T303" s="16"/>
      <c r="U303" s="16"/>
      <c r="V303" s="16"/>
      <c r="W303" s="16">
        <f>ROUND(IF(D303=Table!$C$3,Y303*Table!$C$4/8,Y303*Table!$D$4/8),3)</f>
        <v>26</v>
      </c>
      <c r="X303" s="191">
        <f>W303</f>
        <v>26</v>
      </c>
      <c r="Y303" s="191">
        <v>1.6</v>
      </c>
      <c r="Z303" s="191">
        <f>Y303</f>
        <v>1.6</v>
      </c>
      <c r="AA303" s="16" t="s">
        <v>21</v>
      </c>
      <c r="AB303" s="77">
        <v>44074</v>
      </c>
      <c r="AC303" s="81">
        <v>44074</v>
      </c>
      <c r="AD303" s="81">
        <v>44075</v>
      </c>
      <c r="AE303" s="81">
        <v>44074</v>
      </c>
      <c r="AF303" s="81">
        <v>44074</v>
      </c>
      <c r="AG303" s="81" t="s">
        <v>155</v>
      </c>
      <c r="AH303" s="82">
        <v>1</v>
      </c>
      <c r="AI303" s="82">
        <v>1</v>
      </c>
      <c r="AJ303" s="82" t="s">
        <v>213</v>
      </c>
      <c r="AK303" s="87" t="s">
        <v>140</v>
      </c>
      <c r="AL303" s="109"/>
      <c r="AM303" s="15"/>
      <c r="AN303" s="15"/>
    </row>
    <row r="304" spans="1:40" hidden="1">
      <c r="B304" s="159">
        <f t="shared" si="54"/>
        <v>245</v>
      </c>
      <c r="C304" s="16">
        <v>20200831</v>
      </c>
      <c r="D304" s="270" t="s">
        <v>2</v>
      </c>
      <c r="E304" s="85" t="s">
        <v>1360</v>
      </c>
      <c r="F304" s="80"/>
      <c r="G304" s="47"/>
      <c r="H304" s="166" t="s">
        <v>1352</v>
      </c>
      <c r="I304" s="166" t="s">
        <v>1335</v>
      </c>
      <c r="J304" s="16" t="s">
        <v>208</v>
      </c>
      <c r="K304" s="47" t="s">
        <v>1348</v>
      </c>
      <c r="L304" s="80"/>
      <c r="M304" s="47"/>
      <c r="N304" s="16"/>
      <c r="O304" s="80" t="s">
        <v>1345</v>
      </c>
      <c r="P304" s="80"/>
      <c r="Q304" s="18"/>
      <c r="R304" s="16" t="s">
        <v>198</v>
      </c>
      <c r="S304" s="16" t="s">
        <v>63</v>
      </c>
      <c r="T304" s="16"/>
      <c r="U304" s="16"/>
      <c r="V304" s="16"/>
      <c r="W304" s="16">
        <f>ROUND(IF(D304=Table!$C$3,Y304*Table!$C$4/8,Y304*Table!$D$4/8),3)</f>
        <v>130</v>
      </c>
      <c r="X304" s="191">
        <f>W304</f>
        <v>130</v>
      </c>
      <c r="Y304" s="191">
        <v>8</v>
      </c>
      <c r="Z304" s="191">
        <f>Y304</f>
        <v>8</v>
      </c>
      <c r="AA304" s="16" t="s">
        <v>21</v>
      </c>
      <c r="AB304" s="77">
        <v>44074</v>
      </c>
      <c r="AC304" s="81">
        <v>44074</v>
      </c>
      <c r="AD304" s="81">
        <v>44075</v>
      </c>
      <c r="AE304" s="81">
        <v>44074</v>
      </c>
      <c r="AF304" s="81">
        <v>44074</v>
      </c>
      <c r="AG304" s="81" t="s">
        <v>155</v>
      </c>
      <c r="AH304" s="82">
        <v>0.93799999999999994</v>
      </c>
      <c r="AI304" s="82">
        <v>0.93799999999999994</v>
      </c>
      <c r="AJ304" s="82">
        <v>1</v>
      </c>
      <c r="AK304" s="87" t="s">
        <v>140</v>
      </c>
      <c r="AL304" s="109" t="s">
        <v>1068</v>
      </c>
      <c r="AM304" s="15"/>
      <c r="AN304" s="15"/>
    </row>
    <row r="305" spans="2:40" hidden="1">
      <c r="B305" s="159">
        <f t="shared" si="54"/>
        <v>246</v>
      </c>
      <c r="C305" s="16">
        <v>20200831</v>
      </c>
      <c r="D305" s="270" t="s">
        <v>2</v>
      </c>
      <c r="E305" s="85" t="s">
        <v>1360</v>
      </c>
      <c r="F305" s="80"/>
      <c r="G305" s="47"/>
      <c r="H305" s="166" t="s">
        <v>1353</v>
      </c>
      <c r="I305" s="166" t="s">
        <v>1336</v>
      </c>
      <c r="J305" s="16" t="s">
        <v>1044</v>
      </c>
      <c r="K305" s="47">
        <v>1.4</v>
      </c>
      <c r="L305" s="80"/>
      <c r="M305" s="47"/>
      <c r="N305" s="16"/>
      <c r="O305" s="80" t="s">
        <v>1346</v>
      </c>
      <c r="P305" s="80"/>
      <c r="Q305" s="18"/>
      <c r="R305" s="16" t="s">
        <v>199</v>
      </c>
      <c r="S305" s="16" t="s">
        <v>133</v>
      </c>
      <c r="T305" s="16"/>
      <c r="U305" s="16"/>
      <c r="V305" s="16"/>
      <c r="W305" s="16">
        <f>ROUND(IF(D305=Table!$C$3,Y305*Table!$C$4/8,Y305*Table!$D$4/8),3)</f>
        <v>39</v>
      </c>
      <c r="X305" s="191">
        <v>39</v>
      </c>
      <c r="Y305" s="191">
        <v>2.4</v>
      </c>
      <c r="Z305" s="191">
        <v>1</v>
      </c>
      <c r="AA305" s="16" t="s">
        <v>21</v>
      </c>
      <c r="AB305" s="77">
        <v>44074</v>
      </c>
      <c r="AC305" s="81">
        <v>44074</v>
      </c>
      <c r="AD305" s="81">
        <v>44075</v>
      </c>
      <c r="AE305" s="81">
        <v>44074</v>
      </c>
      <c r="AF305" s="81">
        <v>44074</v>
      </c>
      <c r="AG305" s="81" t="s">
        <v>155</v>
      </c>
      <c r="AH305" s="82">
        <v>1</v>
      </c>
      <c r="AI305" s="82">
        <v>1</v>
      </c>
      <c r="AJ305" s="82">
        <v>0.88900000000000001</v>
      </c>
      <c r="AK305" s="87" t="s">
        <v>140</v>
      </c>
      <c r="AL305" s="109" t="s">
        <v>1511</v>
      </c>
      <c r="AM305" s="15"/>
      <c r="AN305" s="15"/>
    </row>
    <row r="306" spans="2:40" hidden="1">
      <c r="B306" s="159">
        <f t="shared" si="54"/>
        <v>247</v>
      </c>
      <c r="C306" s="16">
        <v>20200831</v>
      </c>
      <c r="D306" s="270" t="s">
        <v>2</v>
      </c>
      <c r="E306" s="85" t="s">
        <v>1360</v>
      </c>
      <c r="F306" s="80"/>
      <c r="G306" s="47"/>
      <c r="H306" s="166" t="s">
        <v>1354</v>
      </c>
      <c r="I306" s="166" t="s">
        <v>1337</v>
      </c>
      <c r="J306" s="16" t="s">
        <v>208</v>
      </c>
      <c r="K306" s="47" t="s">
        <v>1349</v>
      </c>
      <c r="L306" s="80"/>
      <c r="M306" s="47"/>
      <c r="N306" s="16"/>
      <c r="O306" s="80" t="s">
        <v>840</v>
      </c>
      <c r="P306" s="80"/>
      <c r="Q306" s="18"/>
      <c r="R306" s="16" t="s">
        <v>199</v>
      </c>
      <c r="S306" s="16" t="s">
        <v>133</v>
      </c>
      <c r="T306" s="16"/>
      <c r="U306" s="16"/>
      <c r="V306" s="16"/>
      <c r="W306" s="16">
        <f>ROUND(IF(D306=Table!$C$3,Y306*Table!$C$4/8,Y306*Table!$D$4/8),3)</f>
        <v>32.5</v>
      </c>
      <c r="X306" s="191">
        <v>32.5</v>
      </c>
      <c r="Y306" s="191">
        <v>2</v>
      </c>
      <c r="Z306" s="191">
        <v>1</v>
      </c>
      <c r="AA306" s="16" t="s">
        <v>21</v>
      </c>
      <c r="AB306" s="77">
        <v>44074</v>
      </c>
      <c r="AC306" s="81">
        <v>44074</v>
      </c>
      <c r="AD306" s="81">
        <v>44075</v>
      </c>
      <c r="AE306" s="81">
        <v>44074</v>
      </c>
      <c r="AF306" s="81">
        <v>44074</v>
      </c>
      <c r="AG306" s="81" t="s">
        <v>155</v>
      </c>
      <c r="AH306" s="82">
        <v>1</v>
      </c>
      <c r="AI306" s="82">
        <v>1</v>
      </c>
      <c r="AJ306" s="82" t="s">
        <v>213</v>
      </c>
      <c r="AK306" s="87" t="s">
        <v>140</v>
      </c>
      <c r="AL306" s="84" t="s">
        <v>58</v>
      </c>
      <c r="AM306" s="17" t="s">
        <v>58</v>
      </c>
      <c r="AN306" s="17" t="s">
        <v>58</v>
      </c>
    </row>
    <row r="307" spans="2:40" hidden="1">
      <c r="B307" s="159">
        <f t="shared" si="54"/>
        <v>248</v>
      </c>
      <c r="C307" s="16">
        <v>20200831</v>
      </c>
      <c r="D307" s="270" t="s">
        <v>2</v>
      </c>
      <c r="E307" s="85" t="s">
        <v>1360</v>
      </c>
      <c r="F307" s="80"/>
      <c r="G307" s="47"/>
      <c r="H307" s="166" t="s">
        <v>1355</v>
      </c>
      <c r="I307" s="166" t="s">
        <v>1338</v>
      </c>
      <c r="J307" s="16" t="s">
        <v>208</v>
      </c>
      <c r="K307" s="47" t="s">
        <v>1350</v>
      </c>
      <c r="L307" s="80"/>
      <c r="M307" s="47"/>
      <c r="N307" s="16"/>
      <c r="O307" s="80" t="s">
        <v>1347</v>
      </c>
      <c r="P307" s="80"/>
      <c r="Q307" s="18"/>
      <c r="R307" s="16" t="s">
        <v>200</v>
      </c>
      <c r="S307" s="16" t="s">
        <v>174</v>
      </c>
      <c r="T307" s="16"/>
      <c r="U307" s="16"/>
      <c r="V307" s="16"/>
      <c r="W307" s="16">
        <f>ROUND(IF(D307=Table!$C$3,Y307*Table!$C$4/8,Y307*Table!$D$4/8),3)</f>
        <v>26</v>
      </c>
      <c r="X307" s="191">
        <f>W307</f>
        <v>26</v>
      </c>
      <c r="Y307" s="191">
        <v>1.6</v>
      </c>
      <c r="Z307" s="191">
        <f>Y307</f>
        <v>1.6</v>
      </c>
      <c r="AA307" s="16" t="s">
        <v>21</v>
      </c>
      <c r="AB307" s="77">
        <v>44074</v>
      </c>
      <c r="AC307" s="81">
        <v>44074</v>
      </c>
      <c r="AD307" s="81">
        <v>44075</v>
      </c>
      <c r="AE307" s="81">
        <v>44074</v>
      </c>
      <c r="AF307" s="81">
        <v>44074</v>
      </c>
      <c r="AG307" s="81" t="s">
        <v>155</v>
      </c>
      <c r="AH307" s="82">
        <v>1</v>
      </c>
      <c r="AI307" s="82">
        <v>1</v>
      </c>
      <c r="AJ307" s="82" t="s">
        <v>213</v>
      </c>
      <c r="AK307" s="87" t="s">
        <v>140</v>
      </c>
      <c r="AL307" s="109"/>
      <c r="AM307" s="15"/>
      <c r="AN307" s="15"/>
    </row>
    <row r="308" spans="2:40" hidden="1">
      <c r="B308" s="159">
        <f t="shared" si="54"/>
        <v>249</v>
      </c>
      <c r="C308" s="16">
        <v>20200831</v>
      </c>
      <c r="D308" s="270" t="s">
        <v>2</v>
      </c>
      <c r="E308" s="85" t="s">
        <v>1360</v>
      </c>
      <c r="F308" s="80"/>
      <c r="G308" s="47"/>
      <c r="H308" s="166" t="s">
        <v>1356</v>
      </c>
      <c r="I308" s="166" t="s">
        <v>1339</v>
      </c>
      <c r="J308" s="16" t="s">
        <v>208</v>
      </c>
      <c r="K308" s="47"/>
      <c r="L308" s="80"/>
      <c r="M308" s="47"/>
      <c r="N308" s="16"/>
      <c r="O308" s="80" t="s">
        <v>831</v>
      </c>
      <c r="P308" s="80"/>
      <c r="Q308" s="18"/>
      <c r="R308" s="16" t="s">
        <v>200</v>
      </c>
      <c r="S308" s="16" t="s">
        <v>174</v>
      </c>
      <c r="T308" s="16"/>
      <c r="U308" s="16"/>
      <c r="V308" s="16"/>
      <c r="W308" s="16">
        <f>ROUND(IF(D308=Table!$C$3,Y308*Table!$C$4/8,Y308*Table!$D$4/8),3)</f>
        <v>49.4</v>
      </c>
      <c r="X308" s="191">
        <f>W308</f>
        <v>49.4</v>
      </c>
      <c r="Y308" s="191">
        <v>3.04</v>
      </c>
      <c r="Z308" s="191">
        <f>Y308</f>
        <v>3.04</v>
      </c>
      <c r="AA308" s="16" t="s">
        <v>21</v>
      </c>
      <c r="AB308" s="77">
        <v>44074</v>
      </c>
      <c r="AC308" s="81">
        <v>44074</v>
      </c>
      <c r="AD308" s="81">
        <v>44075</v>
      </c>
      <c r="AE308" s="81">
        <v>44074</v>
      </c>
      <c r="AF308" s="81">
        <v>44074</v>
      </c>
      <c r="AG308" s="81" t="s">
        <v>155</v>
      </c>
      <c r="AH308" s="82">
        <v>0.81</v>
      </c>
      <c r="AI308" s="82">
        <v>0.81</v>
      </c>
      <c r="AJ308" s="82">
        <v>1</v>
      </c>
      <c r="AK308" s="87" t="s">
        <v>140</v>
      </c>
      <c r="AL308" s="122" t="s">
        <v>1393</v>
      </c>
      <c r="AM308" s="15"/>
      <c r="AN308" s="15"/>
    </row>
    <row r="309" spans="2:40" hidden="1">
      <c r="B309" s="159">
        <f t="shared" si="54"/>
        <v>250</v>
      </c>
      <c r="C309" s="16">
        <v>20200831</v>
      </c>
      <c r="D309" s="270" t="s">
        <v>2</v>
      </c>
      <c r="E309" s="85" t="s">
        <v>1360</v>
      </c>
      <c r="F309" s="80"/>
      <c r="G309" s="47"/>
      <c r="H309" s="166" t="s">
        <v>1357</v>
      </c>
      <c r="I309" s="166" t="s">
        <v>1340</v>
      </c>
      <c r="J309" s="16" t="s">
        <v>208</v>
      </c>
      <c r="K309" s="47"/>
      <c r="L309" s="80"/>
      <c r="M309" s="47"/>
      <c r="N309" s="16"/>
      <c r="O309" s="80" t="s">
        <v>170</v>
      </c>
      <c r="P309" s="80"/>
      <c r="Q309" s="18"/>
      <c r="R309" s="16" t="s">
        <v>201</v>
      </c>
      <c r="S309" s="16" t="s">
        <v>132</v>
      </c>
      <c r="T309" s="16"/>
      <c r="U309" s="16"/>
      <c r="V309" s="16"/>
      <c r="W309" s="16">
        <f>ROUND(IF(D309=Table!$C$3,Y309*Table!$C$4/8,Y309*Table!$D$4/8),3)</f>
        <v>81.900000000000006</v>
      </c>
      <c r="X309" s="191">
        <v>81.900000000000006</v>
      </c>
      <c r="Y309" s="191">
        <v>5.04</v>
      </c>
      <c r="Z309" s="191">
        <v>5.04</v>
      </c>
      <c r="AA309" s="16" t="s">
        <v>21</v>
      </c>
      <c r="AB309" s="77">
        <v>44074</v>
      </c>
      <c r="AC309" s="81">
        <v>44074</v>
      </c>
      <c r="AD309" s="81">
        <v>44075</v>
      </c>
      <c r="AE309" s="81">
        <v>44074</v>
      </c>
      <c r="AF309" s="81">
        <v>44074</v>
      </c>
      <c r="AG309" s="81" t="s">
        <v>155</v>
      </c>
      <c r="AH309" s="82">
        <v>1</v>
      </c>
      <c r="AI309" s="82">
        <v>1</v>
      </c>
      <c r="AJ309" s="82">
        <v>1</v>
      </c>
      <c r="AK309" s="87" t="s">
        <v>140</v>
      </c>
      <c r="AL309" s="105"/>
      <c r="AM309" s="15"/>
      <c r="AN309" s="15"/>
    </row>
    <row r="310" spans="2:40" hidden="1">
      <c r="B310" s="159">
        <f t="shared" si="54"/>
        <v>251</v>
      </c>
      <c r="C310" s="16">
        <v>20200831</v>
      </c>
      <c r="D310" s="270" t="s">
        <v>2</v>
      </c>
      <c r="E310" s="85" t="s">
        <v>1360</v>
      </c>
      <c r="F310" s="80"/>
      <c r="G310" s="47"/>
      <c r="H310" s="166" t="s">
        <v>273</v>
      </c>
      <c r="I310" s="166" t="s">
        <v>1341</v>
      </c>
      <c r="J310" s="16" t="s">
        <v>208</v>
      </c>
      <c r="K310" s="47" t="s">
        <v>1350</v>
      </c>
      <c r="L310" s="80"/>
      <c r="M310" s="47"/>
      <c r="N310" s="16"/>
      <c r="O310" s="80" t="s">
        <v>210</v>
      </c>
      <c r="P310" s="80"/>
      <c r="Q310" s="18"/>
      <c r="R310" s="16" t="s">
        <v>201</v>
      </c>
      <c r="S310" s="16" t="s">
        <v>132</v>
      </c>
      <c r="T310" s="16"/>
      <c r="U310" s="16"/>
      <c r="V310" s="16"/>
      <c r="W310" s="16">
        <f>ROUND(IF(D310=Table!$C$3,Y310*Table!$C$4/8,Y310*Table!$D$4/8),3)</f>
        <v>26</v>
      </c>
      <c r="X310" s="191">
        <v>26</v>
      </c>
      <c r="Y310" s="191">
        <v>1.6</v>
      </c>
      <c r="Z310" s="191">
        <v>1.6</v>
      </c>
      <c r="AA310" s="16" t="s">
        <v>21</v>
      </c>
      <c r="AB310" s="77">
        <v>44074</v>
      </c>
      <c r="AC310" s="81">
        <v>44074</v>
      </c>
      <c r="AD310" s="81">
        <v>44075</v>
      </c>
      <c r="AE310" s="81">
        <v>44074</v>
      </c>
      <c r="AF310" s="81">
        <v>44074</v>
      </c>
      <c r="AG310" s="81" t="s">
        <v>155</v>
      </c>
      <c r="AH310" s="82">
        <v>1</v>
      </c>
      <c r="AI310" s="82">
        <v>1</v>
      </c>
      <c r="AJ310" s="82">
        <v>1</v>
      </c>
      <c r="AK310" s="87" t="s">
        <v>140</v>
      </c>
      <c r="AL310" s="84"/>
      <c r="AM310" s="15"/>
      <c r="AN310" s="15"/>
    </row>
    <row r="311" spans="2:40">
      <c r="B311" s="159">
        <f t="shared" si="54"/>
        <v>252</v>
      </c>
      <c r="C311" s="16">
        <v>20200831</v>
      </c>
      <c r="D311" s="270" t="s">
        <v>2</v>
      </c>
      <c r="E311" s="85" t="s">
        <v>1360</v>
      </c>
      <c r="F311" s="80"/>
      <c r="G311" s="47"/>
      <c r="H311" s="166" t="s">
        <v>1358</v>
      </c>
      <c r="I311" s="166" t="s">
        <v>1342</v>
      </c>
      <c r="J311" s="16" t="s">
        <v>208</v>
      </c>
      <c r="K311" s="47" t="s">
        <v>1350</v>
      </c>
      <c r="L311" s="80"/>
      <c r="M311" s="47"/>
      <c r="N311" s="16"/>
      <c r="O311" s="80" t="s">
        <v>210</v>
      </c>
      <c r="P311" s="80"/>
      <c r="Q311" s="18"/>
      <c r="R311" s="16" t="s">
        <v>197</v>
      </c>
      <c r="S311" s="16" t="s">
        <v>66</v>
      </c>
      <c r="T311" s="16"/>
      <c r="U311" s="16"/>
      <c r="V311" s="16"/>
      <c r="W311" s="16">
        <f>ROUND(IF(D311=Table!$C$3,Y311*Table!$C$4/8,Y311*Table!$D$4/8),3)</f>
        <v>26</v>
      </c>
      <c r="X311" s="191">
        <f t="shared" ref="X311:X323" si="56">W311</f>
        <v>26</v>
      </c>
      <c r="Y311" s="191">
        <v>1.6</v>
      </c>
      <c r="Z311" s="191">
        <f>Y311</f>
        <v>1.6</v>
      </c>
      <c r="AA311" s="16" t="s">
        <v>21</v>
      </c>
      <c r="AB311" s="77">
        <v>44074</v>
      </c>
      <c r="AC311" s="81">
        <v>44074</v>
      </c>
      <c r="AD311" s="81">
        <v>44075</v>
      </c>
      <c r="AE311" s="81">
        <v>44074</v>
      </c>
      <c r="AF311" s="81">
        <v>44074</v>
      </c>
      <c r="AG311" s="81" t="s">
        <v>155</v>
      </c>
      <c r="AH311" s="82">
        <v>1</v>
      </c>
      <c r="AI311" s="82">
        <v>1</v>
      </c>
      <c r="AJ311" s="82" t="s">
        <v>213</v>
      </c>
      <c r="AK311" s="87" t="s">
        <v>140</v>
      </c>
      <c r="AL311" s="84"/>
      <c r="AM311" s="15"/>
      <c r="AN311" s="15"/>
    </row>
    <row r="312" spans="2:40">
      <c r="B312" s="159">
        <f t="shared" si="54"/>
        <v>253</v>
      </c>
      <c r="C312" s="16">
        <v>20200831</v>
      </c>
      <c r="D312" s="270" t="s">
        <v>2</v>
      </c>
      <c r="E312" s="85" t="s">
        <v>1360</v>
      </c>
      <c r="F312" s="80"/>
      <c r="G312" s="47"/>
      <c r="H312" s="166" t="s">
        <v>1359</v>
      </c>
      <c r="I312" s="166" t="s">
        <v>1343</v>
      </c>
      <c r="J312" s="16" t="s">
        <v>208</v>
      </c>
      <c r="K312" s="47"/>
      <c r="L312" s="80"/>
      <c r="M312" s="47"/>
      <c r="N312" s="16"/>
      <c r="O312" s="80" t="s">
        <v>248</v>
      </c>
      <c r="P312" s="162"/>
      <c r="Q312" s="18"/>
      <c r="R312" s="16" t="s">
        <v>197</v>
      </c>
      <c r="S312" s="16" t="s">
        <v>66</v>
      </c>
      <c r="T312" s="16"/>
      <c r="U312" s="16"/>
      <c r="V312" s="16"/>
      <c r="W312" s="16">
        <f>ROUND(IF(D312=Table!$C$3,Y312*Table!$C$4/8,Y312*Table!$D$4/8),3)</f>
        <v>45.5</v>
      </c>
      <c r="X312" s="191">
        <f t="shared" si="56"/>
        <v>45.5</v>
      </c>
      <c r="Y312" s="191">
        <v>2.8</v>
      </c>
      <c r="Z312" s="192">
        <f>Y312</f>
        <v>2.8</v>
      </c>
      <c r="AA312" s="16" t="s">
        <v>21</v>
      </c>
      <c r="AB312" s="77">
        <v>44074</v>
      </c>
      <c r="AC312" s="81">
        <v>44074</v>
      </c>
      <c r="AD312" s="81">
        <v>44075</v>
      </c>
      <c r="AE312" s="81">
        <v>44074</v>
      </c>
      <c r="AF312" s="81">
        <v>44074</v>
      </c>
      <c r="AG312" s="81" t="s">
        <v>155</v>
      </c>
      <c r="AH312" s="82">
        <v>1</v>
      </c>
      <c r="AI312" s="82">
        <v>1</v>
      </c>
      <c r="AJ312" s="82">
        <v>0.90900000000000003</v>
      </c>
      <c r="AK312" s="87" t="s">
        <v>140</v>
      </c>
      <c r="AL312" s="258" t="s">
        <v>1392</v>
      </c>
      <c r="AM312" s="15"/>
      <c r="AN312" s="15"/>
    </row>
    <row r="313" spans="2:40" hidden="1">
      <c r="B313" s="159">
        <f t="shared" si="54"/>
        <v>254</v>
      </c>
      <c r="C313" s="16">
        <v>20200831</v>
      </c>
      <c r="D313" s="270" t="s">
        <v>2</v>
      </c>
      <c r="E313" s="85" t="s">
        <v>1361</v>
      </c>
      <c r="F313" s="80"/>
      <c r="G313" s="47"/>
      <c r="H313" s="166" t="s">
        <v>1351</v>
      </c>
      <c r="I313" s="166" t="s">
        <v>1343</v>
      </c>
      <c r="J313" s="16"/>
      <c r="K313" s="47"/>
      <c r="L313" s="80"/>
      <c r="M313" s="47"/>
      <c r="N313" s="16"/>
      <c r="O313" s="80">
        <v>1.3</v>
      </c>
      <c r="P313" s="80"/>
      <c r="Q313" s="18"/>
      <c r="R313" s="16" t="s">
        <v>197</v>
      </c>
      <c r="S313" s="16" t="s">
        <v>132</v>
      </c>
      <c r="T313" s="16"/>
      <c r="U313" s="16"/>
      <c r="V313" s="16"/>
      <c r="W313" s="16">
        <f>ROUND(IF(D313=Table!$C$3,Y313*Table!$C$4/8,Y313*Table!$D$4/8),3)</f>
        <v>71.5</v>
      </c>
      <c r="X313" s="191">
        <f t="shared" si="56"/>
        <v>71.5</v>
      </c>
      <c r="Y313" s="192">
        <v>4.4000000000000004</v>
      </c>
      <c r="Z313" s="191">
        <v>4.4000000000000004</v>
      </c>
      <c r="AA313" s="16" t="s">
        <v>21</v>
      </c>
      <c r="AB313" s="77">
        <v>44074</v>
      </c>
      <c r="AC313" s="81">
        <v>44074</v>
      </c>
      <c r="AD313" s="81">
        <v>44075</v>
      </c>
      <c r="AE313" s="81">
        <v>44074</v>
      </c>
      <c r="AF313" s="81">
        <v>44074</v>
      </c>
      <c r="AG313" s="81" t="s">
        <v>155</v>
      </c>
      <c r="AH313" s="82">
        <v>1</v>
      </c>
      <c r="AI313" s="82">
        <v>1</v>
      </c>
      <c r="AJ313" s="82">
        <v>0.90900000000000003</v>
      </c>
      <c r="AK313" s="87" t="s">
        <v>140</v>
      </c>
      <c r="AL313" s="258" t="s">
        <v>1387</v>
      </c>
      <c r="AM313" s="15"/>
      <c r="AN313" s="15"/>
    </row>
    <row r="314" spans="2:40" hidden="1">
      <c r="B314" s="123">
        <f>B313+1</f>
        <v>255</v>
      </c>
      <c r="C314" s="16">
        <v>20200901</v>
      </c>
      <c r="D314" s="270" t="s">
        <v>2</v>
      </c>
      <c r="E314" s="85" t="s">
        <v>1466</v>
      </c>
      <c r="F314" s="80"/>
      <c r="G314" s="47"/>
      <c r="H314" s="16" t="s">
        <v>1351</v>
      </c>
      <c r="I314" s="16" t="s">
        <v>1412</v>
      </c>
      <c r="J314" s="16" t="s">
        <v>208</v>
      </c>
      <c r="K314" s="47"/>
      <c r="L314" s="80"/>
      <c r="M314" s="47"/>
      <c r="N314" s="16"/>
      <c r="O314" s="80" t="s">
        <v>1437</v>
      </c>
      <c r="P314" s="80"/>
      <c r="Q314" s="18"/>
      <c r="R314" s="16" t="s">
        <v>475</v>
      </c>
      <c r="S314" s="16" t="s">
        <v>61</v>
      </c>
      <c r="T314" s="16"/>
      <c r="U314" s="16"/>
      <c r="V314" s="16"/>
      <c r="W314" s="16">
        <f>ROUND(IF(D314=Table!$C$3,Y314*Table!$C$4/8,Y314*Table!$D$4/8),3)</f>
        <v>130</v>
      </c>
      <c r="X314" s="191">
        <f t="shared" si="56"/>
        <v>130</v>
      </c>
      <c r="Y314" s="191">
        <v>8</v>
      </c>
      <c r="Z314" s="191"/>
      <c r="AA314" s="16" t="s">
        <v>70</v>
      </c>
      <c r="AB314" s="81"/>
      <c r="AC314" s="81">
        <v>44075</v>
      </c>
      <c r="AD314" s="81">
        <v>44078</v>
      </c>
      <c r="AE314" s="81">
        <v>44077</v>
      </c>
      <c r="AF314" s="81">
        <v>44077</v>
      </c>
      <c r="AG314" s="81" t="s">
        <v>155</v>
      </c>
      <c r="AH314" s="82">
        <v>0.879</v>
      </c>
      <c r="AI314" s="82">
        <v>0.89400000000000002</v>
      </c>
      <c r="AJ314" s="82">
        <v>1</v>
      </c>
      <c r="AK314" s="87" t="s">
        <v>140</v>
      </c>
      <c r="AL314" s="167" t="s">
        <v>1505</v>
      </c>
      <c r="AM314" s="15"/>
      <c r="AN314" s="15"/>
    </row>
    <row r="315" spans="2:40">
      <c r="B315" s="123">
        <f>B314+1</f>
        <v>256</v>
      </c>
      <c r="C315" s="16">
        <v>20200901</v>
      </c>
      <c r="D315" s="270" t="s">
        <v>2</v>
      </c>
      <c r="E315" s="85" t="s">
        <v>1466</v>
      </c>
      <c r="F315" s="80"/>
      <c r="G315" s="47"/>
      <c r="H315" s="16" t="s">
        <v>1352</v>
      </c>
      <c r="I315" s="16" t="s">
        <v>1413</v>
      </c>
      <c r="J315" s="16" t="s">
        <v>246</v>
      </c>
      <c r="K315" s="47" t="s">
        <v>1443</v>
      </c>
      <c r="L315" s="80"/>
      <c r="M315" s="47"/>
      <c r="N315" s="16"/>
      <c r="O315" s="80" t="s">
        <v>1438</v>
      </c>
      <c r="P315" s="80"/>
      <c r="Q315" s="18"/>
      <c r="R315" s="16" t="s">
        <v>476</v>
      </c>
      <c r="S315" s="16" t="s">
        <v>66</v>
      </c>
      <c r="T315" s="16"/>
      <c r="U315" s="16"/>
      <c r="V315" s="16"/>
      <c r="W315" s="16">
        <f>ROUND(IF(D315=Table!$C$3,Y315*Table!$C$4/8,Y315*Table!$D$4/8),3)</f>
        <v>39</v>
      </c>
      <c r="X315" s="191">
        <f t="shared" si="56"/>
        <v>39</v>
      </c>
      <c r="Y315" s="191">
        <v>2.4</v>
      </c>
      <c r="Z315" s="191">
        <f>Y315</f>
        <v>2.4</v>
      </c>
      <c r="AA315" s="16" t="s">
        <v>70</v>
      </c>
      <c r="AB315" s="81"/>
      <c r="AC315" s="81">
        <v>44075</v>
      </c>
      <c r="AD315" s="81">
        <v>44078</v>
      </c>
      <c r="AE315" s="81">
        <v>44075</v>
      </c>
      <c r="AF315" s="81">
        <v>44075</v>
      </c>
      <c r="AG315" s="81" t="s">
        <v>155</v>
      </c>
      <c r="AH315" s="82">
        <v>0.75800000000000001</v>
      </c>
      <c r="AI315" s="82">
        <v>0.81</v>
      </c>
      <c r="AJ315" s="82">
        <v>1</v>
      </c>
      <c r="AK315" s="87" t="s">
        <v>140</v>
      </c>
      <c r="AL315" s="109" t="s">
        <v>1470</v>
      </c>
      <c r="AM315" s="15"/>
      <c r="AN315" s="15"/>
    </row>
    <row r="316" spans="2:40">
      <c r="B316" s="123">
        <f t="shared" ref="B316:B331" si="57">B315+1</f>
        <v>257</v>
      </c>
      <c r="C316" s="16">
        <v>20200901</v>
      </c>
      <c r="D316" s="270" t="s">
        <v>2</v>
      </c>
      <c r="E316" s="85" t="s">
        <v>1466</v>
      </c>
      <c r="F316" s="80"/>
      <c r="G316" s="47"/>
      <c r="H316" s="16" t="s">
        <v>1353</v>
      </c>
      <c r="I316" s="16" t="s">
        <v>1414</v>
      </c>
      <c r="J316" s="16" t="s">
        <v>208</v>
      </c>
      <c r="K316" s="47"/>
      <c r="L316" s="80"/>
      <c r="M316" s="47"/>
      <c r="N316" s="16"/>
      <c r="O316" s="80" t="s">
        <v>1437</v>
      </c>
      <c r="P316" s="80"/>
      <c r="Q316" s="18"/>
      <c r="R316" s="16" t="s">
        <v>476</v>
      </c>
      <c r="S316" s="16" t="s">
        <v>66</v>
      </c>
      <c r="T316" s="16"/>
      <c r="U316" s="16"/>
      <c r="V316" s="16"/>
      <c r="W316" s="16">
        <f>ROUND(IF(D316=Table!$C$3,Y316*Table!$C$4/8,Y316*Table!$D$4/8),3)</f>
        <v>84.5</v>
      </c>
      <c r="X316" s="191">
        <f t="shared" si="56"/>
        <v>84.5</v>
      </c>
      <c r="Y316" s="191">
        <v>5.2</v>
      </c>
      <c r="Z316" s="191">
        <f>Y316</f>
        <v>5.2</v>
      </c>
      <c r="AA316" s="16" t="s">
        <v>70</v>
      </c>
      <c r="AB316" s="81"/>
      <c r="AC316" s="81">
        <v>44075</v>
      </c>
      <c r="AD316" s="81">
        <v>44078</v>
      </c>
      <c r="AE316" s="81">
        <v>44075</v>
      </c>
      <c r="AF316" s="81">
        <v>44075</v>
      </c>
      <c r="AG316" s="81" t="s">
        <v>155</v>
      </c>
      <c r="AH316" s="82">
        <v>0.875</v>
      </c>
      <c r="AI316" s="82">
        <v>0.89100000000000001</v>
      </c>
      <c r="AJ316" s="82">
        <v>1</v>
      </c>
      <c r="AK316" s="87" t="s">
        <v>140</v>
      </c>
      <c r="AL316" s="84" t="s">
        <v>1480</v>
      </c>
      <c r="AM316" s="118"/>
      <c r="AN316" s="118"/>
    </row>
    <row r="317" spans="2:40" hidden="1">
      <c r="B317" s="123">
        <f t="shared" si="57"/>
        <v>258</v>
      </c>
      <c r="C317" s="16">
        <v>20200901</v>
      </c>
      <c r="D317" s="270" t="s">
        <v>2</v>
      </c>
      <c r="E317" s="85" t="s">
        <v>1466</v>
      </c>
      <c r="F317" s="80"/>
      <c r="G317" s="47"/>
      <c r="H317" s="16" t="s">
        <v>1354</v>
      </c>
      <c r="I317" s="16" t="s">
        <v>1415</v>
      </c>
      <c r="J317" s="16" t="s">
        <v>208</v>
      </c>
      <c r="K317" s="47"/>
      <c r="L317" s="80"/>
      <c r="M317" s="47"/>
      <c r="N317" s="16"/>
      <c r="O317" s="80" t="s">
        <v>170</v>
      </c>
      <c r="P317" s="80"/>
      <c r="Q317" s="18"/>
      <c r="R317" s="16" t="s">
        <v>477</v>
      </c>
      <c r="S317" s="16" t="s">
        <v>133</v>
      </c>
      <c r="T317" s="16"/>
      <c r="U317" s="16"/>
      <c r="V317" s="16"/>
      <c r="W317" s="16">
        <f>ROUND(IF(D317=Table!$C$3,Y317*Table!$C$4/8,Y317*Table!$D$4/8),3)</f>
        <v>84.5</v>
      </c>
      <c r="X317" s="191">
        <f t="shared" si="56"/>
        <v>84.5</v>
      </c>
      <c r="Y317" s="191">
        <v>5.2</v>
      </c>
      <c r="Z317" s="191">
        <v>2</v>
      </c>
      <c r="AA317" s="16" t="s">
        <v>70</v>
      </c>
      <c r="AB317" s="81"/>
      <c r="AC317" s="81">
        <v>44075</v>
      </c>
      <c r="AD317" s="81">
        <v>44078</v>
      </c>
      <c r="AE317" s="81">
        <v>44077</v>
      </c>
      <c r="AF317" s="81">
        <v>44077</v>
      </c>
      <c r="AG317" s="81" t="s">
        <v>155</v>
      </c>
      <c r="AH317" s="82">
        <v>0.85199999999999998</v>
      </c>
      <c r="AI317" s="82">
        <v>0.86199999999999999</v>
      </c>
      <c r="AJ317" s="82">
        <v>1</v>
      </c>
      <c r="AK317" s="87" t="s">
        <v>140</v>
      </c>
      <c r="AL317" s="258" t="s">
        <v>1510</v>
      </c>
      <c r="AM317" s="118"/>
      <c r="AN317" s="118"/>
    </row>
    <row r="318" spans="2:40" hidden="1">
      <c r="B318" s="123">
        <f t="shared" si="57"/>
        <v>259</v>
      </c>
      <c r="C318" s="16">
        <v>20200901</v>
      </c>
      <c r="D318" s="270" t="s">
        <v>2</v>
      </c>
      <c r="E318" s="85" t="s">
        <v>1466</v>
      </c>
      <c r="F318" s="80"/>
      <c r="G318" s="47"/>
      <c r="H318" s="16" t="s">
        <v>1355</v>
      </c>
      <c r="I318" s="16" t="s">
        <v>1416</v>
      </c>
      <c r="J318" s="16" t="s">
        <v>246</v>
      </c>
      <c r="K318" s="47" t="s">
        <v>1444</v>
      </c>
      <c r="L318" s="80"/>
      <c r="M318" s="47"/>
      <c r="N318" s="16"/>
      <c r="O318" s="80" t="s">
        <v>1439</v>
      </c>
      <c r="P318" s="80"/>
      <c r="Q318" s="18"/>
      <c r="R318" s="16" t="s">
        <v>478</v>
      </c>
      <c r="S318" s="16" t="s">
        <v>174</v>
      </c>
      <c r="T318" s="16"/>
      <c r="U318" s="16"/>
      <c r="V318" s="16"/>
      <c r="W318" s="16">
        <f>ROUND(IF(D318=Table!$C$3,Y318*Table!$C$4/8,Y318*Table!$D$4/8),3)</f>
        <v>143</v>
      </c>
      <c r="X318" s="191">
        <f t="shared" si="56"/>
        <v>143</v>
      </c>
      <c r="Y318" s="191">
        <v>8.8000000000000007</v>
      </c>
      <c r="Z318" s="191">
        <f>Y318</f>
        <v>8.8000000000000007</v>
      </c>
      <c r="AA318" s="16" t="s">
        <v>70</v>
      </c>
      <c r="AB318" s="81"/>
      <c r="AC318" s="81">
        <v>44075</v>
      </c>
      <c r="AD318" s="81">
        <v>44078</v>
      </c>
      <c r="AE318" s="81">
        <v>44077</v>
      </c>
      <c r="AF318" s="81">
        <v>44077</v>
      </c>
      <c r="AG318" s="81" t="s">
        <v>155</v>
      </c>
      <c r="AH318" s="82">
        <v>0.86799999999999999</v>
      </c>
      <c r="AI318" s="82">
        <v>0.872</v>
      </c>
      <c r="AJ318" s="82">
        <v>0.89200000000000002</v>
      </c>
      <c r="AK318" s="87" t="s">
        <v>140</v>
      </c>
      <c r="AL318" s="258" t="s">
        <v>1513</v>
      </c>
      <c r="AM318" s="15"/>
      <c r="AN318" s="15"/>
    </row>
    <row r="319" spans="2:40">
      <c r="B319" s="123">
        <f t="shared" si="57"/>
        <v>260</v>
      </c>
      <c r="C319" s="16">
        <v>20200901</v>
      </c>
      <c r="D319" s="270" t="s">
        <v>2</v>
      </c>
      <c r="E319" s="85" t="s">
        <v>1466</v>
      </c>
      <c r="F319" s="80"/>
      <c r="G319" s="47"/>
      <c r="H319" s="16" t="s">
        <v>1356</v>
      </c>
      <c r="I319" s="16" t="s">
        <v>1417</v>
      </c>
      <c r="J319" s="16" t="s">
        <v>208</v>
      </c>
      <c r="K319" s="47" t="s">
        <v>1350</v>
      </c>
      <c r="L319" s="80"/>
      <c r="M319" s="47"/>
      <c r="N319" s="16"/>
      <c r="O319" s="80" t="s">
        <v>210</v>
      </c>
      <c r="P319" s="80"/>
      <c r="Q319" s="18"/>
      <c r="R319" s="16" t="s">
        <v>476</v>
      </c>
      <c r="S319" s="16" t="s">
        <v>66</v>
      </c>
      <c r="T319" s="16"/>
      <c r="U319" s="16"/>
      <c r="V319" s="16"/>
      <c r="W319" s="16">
        <f>ROUND(IF(D319=Table!$C$3,Y319*Table!$C$4/8,Y319*Table!$D$4/8),3)</f>
        <v>26</v>
      </c>
      <c r="X319" s="191">
        <f t="shared" si="56"/>
        <v>26</v>
      </c>
      <c r="Y319" s="191">
        <v>1.6</v>
      </c>
      <c r="Z319" s="191">
        <f>Y319</f>
        <v>1.6</v>
      </c>
      <c r="AA319" s="16" t="s">
        <v>70</v>
      </c>
      <c r="AB319" s="81"/>
      <c r="AC319" s="81">
        <v>44075</v>
      </c>
      <c r="AD319" s="81">
        <v>44078</v>
      </c>
      <c r="AE319" s="81">
        <v>44075</v>
      </c>
      <c r="AF319" s="81">
        <v>44075</v>
      </c>
      <c r="AG319" s="81" t="s">
        <v>155</v>
      </c>
      <c r="AH319" s="82">
        <v>1</v>
      </c>
      <c r="AI319" s="82">
        <v>1</v>
      </c>
      <c r="AJ319" s="82">
        <v>1</v>
      </c>
      <c r="AK319" s="87" t="s">
        <v>140</v>
      </c>
      <c r="AL319" s="163"/>
      <c r="AM319" s="15"/>
      <c r="AN319" s="15"/>
    </row>
    <row r="320" spans="2:40">
      <c r="B320" s="123">
        <f t="shared" si="57"/>
        <v>261</v>
      </c>
      <c r="C320" s="16">
        <v>20200901</v>
      </c>
      <c r="D320" s="270" t="s">
        <v>2</v>
      </c>
      <c r="E320" s="85" t="s">
        <v>1466</v>
      </c>
      <c r="F320" s="80"/>
      <c r="G320" s="47"/>
      <c r="H320" s="16" t="s">
        <v>1357</v>
      </c>
      <c r="I320" s="16" t="s">
        <v>1418</v>
      </c>
      <c r="J320" s="16" t="s">
        <v>208</v>
      </c>
      <c r="K320" s="47" t="s">
        <v>1350</v>
      </c>
      <c r="L320" s="80"/>
      <c r="M320" s="47"/>
      <c r="N320" s="16"/>
      <c r="O320" s="80" t="s">
        <v>1440</v>
      </c>
      <c r="P320" s="80"/>
      <c r="Q320" s="18"/>
      <c r="R320" s="16" t="s">
        <v>476</v>
      </c>
      <c r="S320" s="16" t="s">
        <v>66</v>
      </c>
      <c r="T320" s="16"/>
      <c r="U320" s="16"/>
      <c r="V320" s="16"/>
      <c r="W320" s="16">
        <f>ROUND(IF(D320=Table!$C$3,Y320*Table!$C$4/8,Y320*Table!$D$4/8),3)</f>
        <v>26</v>
      </c>
      <c r="X320" s="191">
        <f t="shared" si="56"/>
        <v>26</v>
      </c>
      <c r="Y320" s="191">
        <v>1.6</v>
      </c>
      <c r="Z320" s="191">
        <f>Y320</f>
        <v>1.6</v>
      </c>
      <c r="AA320" s="16" t="s">
        <v>70</v>
      </c>
      <c r="AB320" s="81"/>
      <c r="AC320" s="81">
        <v>44075</v>
      </c>
      <c r="AD320" s="81">
        <v>44078</v>
      </c>
      <c r="AE320" s="81">
        <v>44077</v>
      </c>
      <c r="AF320" s="81">
        <v>44077</v>
      </c>
      <c r="AG320" s="81" t="s">
        <v>155</v>
      </c>
      <c r="AH320" s="82">
        <v>1</v>
      </c>
      <c r="AI320" s="82">
        <v>1</v>
      </c>
      <c r="AJ320" s="82">
        <v>1</v>
      </c>
      <c r="AK320" s="87" t="s">
        <v>140</v>
      </c>
      <c r="AL320" s="84"/>
      <c r="AM320" s="118"/>
      <c r="AN320" s="118"/>
    </row>
    <row r="321" spans="2:40">
      <c r="B321" s="123">
        <f t="shared" si="57"/>
        <v>262</v>
      </c>
      <c r="C321" s="16">
        <v>20200901</v>
      </c>
      <c r="D321" s="270" t="s">
        <v>2</v>
      </c>
      <c r="E321" s="85" t="s">
        <v>1466</v>
      </c>
      <c r="F321" s="80"/>
      <c r="G321" s="47"/>
      <c r="H321" s="16" t="s">
        <v>273</v>
      </c>
      <c r="I321" s="16" t="s">
        <v>1419</v>
      </c>
      <c r="J321" s="16" t="s">
        <v>246</v>
      </c>
      <c r="K321" s="47" t="s">
        <v>1445</v>
      </c>
      <c r="L321" s="80"/>
      <c r="M321" s="47"/>
      <c r="N321" s="16"/>
      <c r="O321" s="80" t="s">
        <v>1441</v>
      </c>
      <c r="P321" s="80"/>
      <c r="Q321" s="18"/>
      <c r="R321" s="16" t="s">
        <v>476</v>
      </c>
      <c r="S321" s="16" t="s">
        <v>66</v>
      </c>
      <c r="T321" s="16"/>
      <c r="U321" s="16"/>
      <c r="V321" s="16"/>
      <c r="W321" s="16">
        <f>ROUND(IF(D321=Table!$C$3,Y321*Table!$C$4/8,Y321*Table!$D$4/8),3)</f>
        <v>26</v>
      </c>
      <c r="X321" s="191">
        <f t="shared" si="56"/>
        <v>26</v>
      </c>
      <c r="Y321" s="191">
        <v>1.6</v>
      </c>
      <c r="Z321" s="191">
        <f>Y321</f>
        <v>1.6</v>
      </c>
      <c r="AA321" s="16" t="s">
        <v>70</v>
      </c>
      <c r="AB321" s="81"/>
      <c r="AC321" s="81">
        <v>44075</v>
      </c>
      <c r="AD321" s="81">
        <v>44078</v>
      </c>
      <c r="AE321" s="81">
        <v>44077</v>
      </c>
      <c r="AF321" s="81">
        <v>44077</v>
      </c>
      <c r="AG321" s="81" t="s">
        <v>155</v>
      </c>
      <c r="AH321" s="82">
        <v>1</v>
      </c>
      <c r="AI321" s="82">
        <v>1</v>
      </c>
      <c r="AJ321" s="82" t="s">
        <v>213</v>
      </c>
      <c r="AK321" s="87" t="s">
        <v>140</v>
      </c>
      <c r="AL321" s="84"/>
      <c r="AM321" s="118"/>
      <c r="AN321" s="118"/>
    </row>
    <row r="322" spans="2:40" hidden="1">
      <c r="B322" s="123">
        <f t="shared" si="57"/>
        <v>263</v>
      </c>
      <c r="C322" s="16">
        <v>20200901</v>
      </c>
      <c r="D322" s="270" t="s">
        <v>2</v>
      </c>
      <c r="E322" s="85" t="s">
        <v>1466</v>
      </c>
      <c r="F322" s="80"/>
      <c r="G322" s="47"/>
      <c r="H322" s="16" t="s">
        <v>1358</v>
      </c>
      <c r="I322" s="16" t="s">
        <v>1420</v>
      </c>
      <c r="J322" s="16" t="s">
        <v>208</v>
      </c>
      <c r="K322" s="47" t="s">
        <v>1350</v>
      </c>
      <c r="L322" s="80"/>
      <c r="M322" s="47"/>
      <c r="N322" s="16"/>
      <c r="O322" s="80" t="s">
        <v>1442</v>
      </c>
      <c r="P322" s="80"/>
      <c r="Q322" s="18"/>
      <c r="R322" s="16" t="s">
        <v>477</v>
      </c>
      <c r="S322" s="16" t="s">
        <v>133</v>
      </c>
      <c r="T322" s="16"/>
      <c r="U322" s="16"/>
      <c r="V322" s="16"/>
      <c r="W322" s="16">
        <f>ROUND(IF(D322=Table!$C$3,Y322*Table!$C$4/8,Y322*Table!$D$4/8),3)</f>
        <v>26</v>
      </c>
      <c r="X322" s="191">
        <f t="shared" si="56"/>
        <v>26</v>
      </c>
      <c r="Y322" s="191">
        <v>1.6</v>
      </c>
      <c r="Z322" s="191">
        <v>1</v>
      </c>
      <c r="AA322" s="16" t="s">
        <v>70</v>
      </c>
      <c r="AB322" s="81"/>
      <c r="AC322" s="81">
        <v>44075</v>
      </c>
      <c r="AD322" s="81">
        <v>44078</v>
      </c>
      <c r="AE322" s="81">
        <v>44075</v>
      </c>
      <c r="AF322" s="81">
        <v>44075</v>
      </c>
      <c r="AG322" s="81" t="s">
        <v>155</v>
      </c>
      <c r="AH322" s="82">
        <v>1</v>
      </c>
      <c r="AI322" s="82">
        <v>1</v>
      </c>
      <c r="AJ322" s="82" t="s">
        <v>213</v>
      </c>
      <c r="AK322" s="168" t="s">
        <v>140</v>
      </c>
      <c r="AL322" s="84" t="s">
        <v>58</v>
      </c>
      <c r="AM322" s="322" t="s">
        <v>58</v>
      </c>
      <c r="AN322" s="322" t="s">
        <v>58</v>
      </c>
    </row>
    <row r="323" spans="2:40" hidden="1">
      <c r="B323" s="123">
        <f t="shared" si="57"/>
        <v>264</v>
      </c>
      <c r="C323" s="16">
        <v>20200901</v>
      </c>
      <c r="D323" s="270" t="s">
        <v>2</v>
      </c>
      <c r="E323" s="85" t="s">
        <v>1466</v>
      </c>
      <c r="F323" s="80"/>
      <c r="G323" s="47"/>
      <c r="H323" s="16" t="s">
        <v>1359</v>
      </c>
      <c r="I323" s="16" t="s">
        <v>1421</v>
      </c>
      <c r="J323" s="16" t="s">
        <v>246</v>
      </c>
      <c r="K323" s="47" t="s">
        <v>1446</v>
      </c>
      <c r="L323" s="80"/>
      <c r="M323" s="47"/>
      <c r="N323" s="16"/>
      <c r="O323" s="80" t="s">
        <v>248</v>
      </c>
      <c r="P323" s="80"/>
      <c r="Q323" s="18"/>
      <c r="R323" s="16" t="s">
        <v>477</v>
      </c>
      <c r="S323" s="16" t="s">
        <v>133</v>
      </c>
      <c r="T323" s="16"/>
      <c r="U323" s="16"/>
      <c r="V323" s="16"/>
      <c r="W323" s="16">
        <f>ROUND(IF(D323=Table!$C$3,Y323*Table!$C$4/8,Y323*Table!$D$4/8),3)</f>
        <v>26</v>
      </c>
      <c r="X323" s="191">
        <f t="shared" si="56"/>
        <v>26</v>
      </c>
      <c r="Y323" s="191">
        <v>1.6</v>
      </c>
      <c r="Z323" s="191">
        <v>1</v>
      </c>
      <c r="AA323" s="16" t="s">
        <v>70</v>
      </c>
      <c r="AB323" s="81"/>
      <c r="AC323" s="81">
        <v>44075</v>
      </c>
      <c r="AD323" s="81">
        <v>44078</v>
      </c>
      <c r="AE323" s="81">
        <v>44077</v>
      </c>
      <c r="AF323" s="81">
        <v>44077</v>
      </c>
      <c r="AG323" s="81" t="s">
        <v>155</v>
      </c>
      <c r="AH323" s="82">
        <v>1</v>
      </c>
      <c r="AI323" s="82">
        <v>1</v>
      </c>
      <c r="AJ323" s="82">
        <v>1</v>
      </c>
      <c r="AK323" s="168" t="s">
        <v>140</v>
      </c>
      <c r="AL323" s="84" t="s">
        <v>58</v>
      </c>
      <c r="AM323" s="322" t="s">
        <v>58</v>
      </c>
      <c r="AN323" s="322" t="s">
        <v>58</v>
      </c>
    </row>
    <row r="324" spans="2:40" hidden="1">
      <c r="B324" s="123">
        <f t="shared" si="57"/>
        <v>265</v>
      </c>
      <c r="C324" s="16">
        <v>20200901</v>
      </c>
      <c r="D324" s="270" t="s">
        <v>2</v>
      </c>
      <c r="E324" s="85" t="s">
        <v>1466</v>
      </c>
      <c r="F324" s="80"/>
      <c r="G324" s="47"/>
      <c r="H324" s="16" t="s">
        <v>274</v>
      </c>
      <c r="I324" s="16" t="s">
        <v>1422</v>
      </c>
      <c r="J324" s="16" t="s">
        <v>1454</v>
      </c>
      <c r="K324" s="47"/>
      <c r="L324" s="80"/>
      <c r="M324" s="47"/>
      <c r="N324" s="16"/>
      <c r="O324" s="80" t="s">
        <v>248</v>
      </c>
      <c r="P324" s="80"/>
      <c r="Q324" s="18"/>
      <c r="R324" s="16" t="s">
        <v>477</v>
      </c>
      <c r="S324" s="16" t="s">
        <v>133</v>
      </c>
      <c r="T324" s="16"/>
      <c r="U324" s="16"/>
      <c r="V324" s="16"/>
      <c r="W324" s="16">
        <f>ROUND(IF(D324=Table!$C$3,Y324*Table!$C$4/8,Y324*Table!$D$4/8),3)</f>
        <v>26</v>
      </c>
      <c r="X324" s="191">
        <v>26</v>
      </c>
      <c r="Y324" s="191">
        <v>1.6</v>
      </c>
      <c r="Z324" s="191">
        <v>1</v>
      </c>
      <c r="AA324" s="16" t="s">
        <v>70</v>
      </c>
      <c r="AB324" s="81"/>
      <c r="AC324" s="81">
        <v>44075</v>
      </c>
      <c r="AD324" s="81">
        <v>44078</v>
      </c>
      <c r="AE324" s="81">
        <v>44077</v>
      </c>
      <c r="AF324" s="81">
        <v>44077</v>
      </c>
      <c r="AG324" s="81" t="s">
        <v>155</v>
      </c>
      <c r="AH324" s="82">
        <v>0.81</v>
      </c>
      <c r="AI324" s="82">
        <v>0.81</v>
      </c>
      <c r="AJ324" s="82">
        <v>1</v>
      </c>
      <c r="AK324" s="168" t="s">
        <v>140</v>
      </c>
      <c r="AL324" s="258" t="s">
        <v>1508</v>
      </c>
      <c r="AM324" s="150"/>
      <c r="AN324" s="150"/>
    </row>
    <row r="325" spans="2:40" hidden="1">
      <c r="B325" s="123">
        <f t="shared" si="57"/>
        <v>266</v>
      </c>
      <c r="C325" s="16">
        <v>20200901</v>
      </c>
      <c r="D325" s="270" t="s">
        <v>2</v>
      </c>
      <c r="E325" s="85" t="s">
        <v>1466</v>
      </c>
      <c r="F325" s="80"/>
      <c r="G325" s="47"/>
      <c r="H325" s="16" t="s">
        <v>1036</v>
      </c>
      <c r="I325" s="16" t="s">
        <v>1423</v>
      </c>
      <c r="J325" s="16" t="s">
        <v>1454</v>
      </c>
      <c r="K325" s="47"/>
      <c r="L325" s="80"/>
      <c r="M325" s="47"/>
      <c r="N325" s="16"/>
      <c r="O325" s="80" t="s">
        <v>209</v>
      </c>
      <c r="P325" s="80"/>
      <c r="Q325" s="18"/>
      <c r="R325" s="16" t="s">
        <v>477</v>
      </c>
      <c r="S325" s="16" t="s">
        <v>133</v>
      </c>
      <c r="T325" s="16"/>
      <c r="U325" s="16"/>
      <c r="V325" s="16"/>
      <c r="W325" s="16">
        <f>ROUND(IF(D325=Table!$C$3,Y325*Table!$C$4/8,Y325*Table!$D$4/8),3)</f>
        <v>26</v>
      </c>
      <c r="X325" s="191">
        <f t="shared" ref="X325:X347" si="58">W325</f>
        <v>26</v>
      </c>
      <c r="Y325" s="191">
        <v>1.6</v>
      </c>
      <c r="Z325" s="191">
        <v>1</v>
      </c>
      <c r="AA325" s="16" t="s">
        <v>70</v>
      </c>
      <c r="AB325" s="81"/>
      <c r="AC325" s="81">
        <v>44075</v>
      </c>
      <c r="AD325" s="81">
        <v>44078</v>
      </c>
      <c r="AE325" s="81">
        <v>44075</v>
      </c>
      <c r="AF325" s="81">
        <v>44075</v>
      </c>
      <c r="AG325" s="81" t="s">
        <v>155</v>
      </c>
      <c r="AH325" s="82">
        <v>0.85699999999999998</v>
      </c>
      <c r="AI325" s="82">
        <v>0.85699999999999998</v>
      </c>
      <c r="AJ325" s="82">
        <v>1</v>
      </c>
      <c r="AK325" s="168" t="s">
        <v>140</v>
      </c>
      <c r="AL325" s="258" t="s">
        <v>1482</v>
      </c>
      <c r="AM325" s="150"/>
      <c r="AN325" s="150"/>
    </row>
    <row r="326" spans="2:40" hidden="1">
      <c r="B326" s="123">
        <f t="shared" si="57"/>
        <v>267</v>
      </c>
      <c r="C326" s="16">
        <v>20200901</v>
      </c>
      <c r="D326" s="270" t="s">
        <v>2</v>
      </c>
      <c r="E326" s="85" t="s">
        <v>1466</v>
      </c>
      <c r="F326" s="80"/>
      <c r="G326" s="47"/>
      <c r="H326" s="16" t="s">
        <v>275</v>
      </c>
      <c r="I326" s="16" t="s">
        <v>1424</v>
      </c>
      <c r="J326" s="16" t="s">
        <v>1454</v>
      </c>
      <c r="K326" s="47"/>
      <c r="L326" s="80"/>
      <c r="M326" s="47"/>
      <c r="N326" s="16"/>
      <c r="O326" s="80" t="s">
        <v>840</v>
      </c>
      <c r="P326" s="80"/>
      <c r="Q326" s="18"/>
      <c r="R326" s="16" t="s">
        <v>477</v>
      </c>
      <c r="S326" s="16" t="s">
        <v>133</v>
      </c>
      <c r="T326" s="16"/>
      <c r="U326" s="16"/>
      <c r="V326" s="16"/>
      <c r="W326" s="16">
        <f>ROUND(IF(D326=Table!$C$3,Y326*Table!$C$4/8,Y326*Table!$D$4/8),3)</f>
        <v>26</v>
      </c>
      <c r="X326" s="191">
        <f t="shared" si="58"/>
        <v>26</v>
      </c>
      <c r="Y326" s="191">
        <v>1.6</v>
      </c>
      <c r="Z326" s="191">
        <v>1</v>
      </c>
      <c r="AA326" s="16" t="s">
        <v>70</v>
      </c>
      <c r="AB326" s="81"/>
      <c r="AC326" s="81">
        <v>44075</v>
      </c>
      <c r="AD326" s="81">
        <v>44078</v>
      </c>
      <c r="AE326" s="81">
        <v>44075</v>
      </c>
      <c r="AF326" s="81">
        <v>44075</v>
      </c>
      <c r="AG326" s="81" t="s">
        <v>155</v>
      </c>
      <c r="AH326" s="82">
        <v>0.9</v>
      </c>
      <c r="AI326" s="82">
        <v>0.9</v>
      </c>
      <c r="AJ326" s="82">
        <v>1</v>
      </c>
      <c r="AK326" s="87" t="s">
        <v>140</v>
      </c>
      <c r="AL326" s="258" t="s">
        <v>1482</v>
      </c>
      <c r="AM326" s="118"/>
      <c r="AN326" s="118"/>
    </row>
    <row r="327" spans="2:40" hidden="1">
      <c r="B327" s="123">
        <f t="shared" si="57"/>
        <v>268</v>
      </c>
      <c r="C327" s="16">
        <v>20200901</v>
      </c>
      <c r="D327" s="270" t="s">
        <v>2</v>
      </c>
      <c r="E327" s="85" t="s">
        <v>1466</v>
      </c>
      <c r="F327" s="80"/>
      <c r="G327" s="47"/>
      <c r="H327" s="16" t="s">
        <v>1455</v>
      </c>
      <c r="I327" s="16" t="s">
        <v>1425</v>
      </c>
      <c r="J327" s="16" t="s">
        <v>246</v>
      </c>
      <c r="K327" s="47" t="s">
        <v>1447</v>
      </c>
      <c r="L327" s="80"/>
      <c r="M327" s="47"/>
      <c r="N327" s="16"/>
      <c r="O327" s="80" t="s">
        <v>819</v>
      </c>
      <c r="P327" s="80"/>
      <c r="Q327" s="18"/>
      <c r="R327" s="16" t="s">
        <v>479</v>
      </c>
      <c r="S327" s="16" t="s">
        <v>132</v>
      </c>
      <c r="T327" s="16"/>
      <c r="U327" s="16"/>
      <c r="V327" s="16"/>
      <c r="W327" s="16">
        <f>ROUND(IF(D327=Table!$C$3,Y327*Table!$C$4/8,Y327*Table!$D$4/8),3)</f>
        <v>26</v>
      </c>
      <c r="X327" s="191">
        <f t="shared" si="58"/>
        <v>26</v>
      </c>
      <c r="Y327" s="191">
        <v>1.6</v>
      </c>
      <c r="Z327" s="191">
        <v>1.6</v>
      </c>
      <c r="AA327" s="16" t="s">
        <v>70</v>
      </c>
      <c r="AB327" s="81"/>
      <c r="AC327" s="81">
        <v>44075</v>
      </c>
      <c r="AD327" s="81">
        <v>44078</v>
      </c>
      <c r="AE327" s="81">
        <v>44075</v>
      </c>
      <c r="AF327" s="81">
        <v>44075</v>
      </c>
      <c r="AG327" s="81" t="s">
        <v>155</v>
      </c>
      <c r="AH327" s="82">
        <v>0.85199999999999998</v>
      </c>
      <c r="AI327" s="82">
        <v>0.85199999999999998</v>
      </c>
      <c r="AJ327" s="82">
        <v>1</v>
      </c>
      <c r="AK327" s="87" t="s">
        <v>140</v>
      </c>
      <c r="AL327" s="84" t="s">
        <v>1469</v>
      </c>
      <c r="AM327" s="118"/>
      <c r="AN327" s="118"/>
    </row>
    <row r="328" spans="2:40" hidden="1">
      <c r="B328" s="123">
        <f t="shared" si="57"/>
        <v>269</v>
      </c>
      <c r="C328" s="16">
        <v>20200901</v>
      </c>
      <c r="D328" s="270" t="s">
        <v>2</v>
      </c>
      <c r="E328" s="85" t="s">
        <v>1466</v>
      </c>
      <c r="F328" s="80"/>
      <c r="G328" s="47"/>
      <c r="H328" s="16" t="s">
        <v>249</v>
      </c>
      <c r="I328" s="16" t="s">
        <v>1426</v>
      </c>
      <c r="J328" s="16" t="s">
        <v>246</v>
      </c>
      <c r="K328" s="47" t="s">
        <v>1448</v>
      </c>
      <c r="L328" s="80"/>
      <c r="M328" s="47"/>
      <c r="N328" s="16"/>
      <c r="O328" s="80" t="s">
        <v>817</v>
      </c>
      <c r="P328" s="80"/>
      <c r="Q328" s="18"/>
      <c r="R328" s="16" t="s">
        <v>479</v>
      </c>
      <c r="S328" s="16" t="s">
        <v>132</v>
      </c>
      <c r="T328" s="16"/>
      <c r="U328" s="16"/>
      <c r="V328" s="16"/>
      <c r="W328" s="16">
        <f>ROUND(IF(D328=Table!$C$3,Y328*Table!$C$4/8,Y328*Table!$D$4/8),3)</f>
        <v>84.5</v>
      </c>
      <c r="X328" s="191">
        <f t="shared" si="58"/>
        <v>84.5</v>
      </c>
      <c r="Y328" s="191">
        <v>5.2</v>
      </c>
      <c r="Z328" s="191">
        <v>5.2</v>
      </c>
      <c r="AA328" s="16" t="s">
        <v>70</v>
      </c>
      <c r="AB328" s="81"/>
      <c r="AC328" s="81">
        <v>44075</v>
      </c>
      <c r="AD328" s="81">
        <v>44078</v>
      </c>
      <c r="AE328" s="81">
        <v>44075</v>
      </c>
      <c r="AF328" s="81">
        <v>44075</v>
      </c>
      <c r="AG328" s="81" t="s">
        <v>155</v>
      </c>
      <c r="AH328" s="82">
        <v>0.94199999999999995</v>
      </c>
      <c r="AI328" s="82">
        <v>0.94399999999999995</v>
      </c>
      <c r="AJ328" s="82">
        <v>1</v>
      </c>
      <c r="AK328" s="87" t="s">
        <v>140</v>
      </c>
      <c r="AL328" s="258" t="s">
        <v>1472</v>
      </c>
      <c r="AM328" s="15"/>
      <c r="AN328" s="15"/>
    </row>
    <row r="329" spans="2:40" hidden="1">
      <c r="B329" s="123">
        <f t="shared" si="57"/>
        <v>270</v>
      </c>
      <c r="C329" s="16">
        <v>20200901</v>
      </c>
      <c r="D329" s="270" t="s">
        <v>2</v>
      </c>
      <c r="E329" s="85" t="s">
        <v>1466</v>
      </c>
      <c r="F329" s="80"/>
      <c r="G329" s="47"/>
      <c r="H329" s="16" t="s">
        <v>1456</v>
      </c>
      <c r="I329" s="16" t="s">
        <v>1427</v>
      </c>
      <c r="J329" s="16" t="s">
        <v>246</v>
      </c>
      <c r="K329" s="47" t="s">
        <v>1447</v>
      </c>
      <c r="L329" s="80"/>
      <c r="M329" s="47"/>
      <c r="N329" s="16"/>
      <c r="O329" s="80" t="s">
        <v>819</v>
      </c>
      <c r="P329" s="80"/>
      <c r="Q329" s="18"/>
      <c r="R329" s="16" t="s">
        <v>479</v>
      </c>
      <c r="S329" s="16" t="s">
        <v>132</v>
      </c>
      <c r="T329" s="16"/>
      <c r="U329" s="16"/>
      <c r="V329" s="16"/>
      <c r="W329" s="16">
        <f>ROUND(IF(D329=Table!$C$3,Y329*Table!$C$4/8,Y329*Table!$D$4/8),3)</f>
        <v>26</v>
      </c>
      <c r="X329" s="191">
        <f t="shared" si="58"/>
        <v>26</v>
      </c>
      <c r="Y329" s="191">
        <v>1.6</v>
      </c>
      <c r="Z329" s="191">
        <v>1.6</v>
      </c>
      <c r="AA329" s="16" t="s">
        <v>70</v>
      </c>
      <c r="AB329" s="81"/>
      <c r="AC329" s="81">
        <v>44075</v>
      </c>
      <c r="AD329" s="81">
        <v>44078</v>
      </c>
      <c r="AE329" s="81">
        <v>44075</v>
      </c>
      <c r="AF329" s="81">
        <v>44075</v>
      </c>
      <c r="AG329" s="81" t="s">
        <v>155</v>
      </c>
      <c r="AH329" s="82">
        <v>0.88200000000000001</v>
      </c>
      <c r="AI329" s="82">
        <v>0.88200000000000001</v>
      </c>
      <c r="AJ329" s="82">
        <v>1</v>
      </c>
      <c r="AK329" s="87" t="s">
        <v>140</v>
      </c>
      <c r="AL329" s="258" t="s">
        <v>1479</v>
      </c>
      <c r="AM329" s="118"/>
      <c r="AN329" s="118"/>
    </row>
    <row r="330" spans="2:40" hidden="1">
      <c r="B330" s="123">
        <f t="shared" si="57"/>
        <v>271</v>
      </c>
      <c r="C330" s="16">
        <v>20200901</v>
      </c>
      <c r="D330" s="270" t="s">
        <v>2</v>
      </c>
      <c r="E330" s="85" t="s">
        <v>1466</v>
      </c>
      <c r="F330" s="80"/>
      <c r="G330" s="47"/>
      <c r="H330" s="16" t="s">
        <v>1457</v>
      </c>
      <c r="I330" s="16" t="s">
        <v>1428</v>
      </c>
      <c r="J330" s="16" t="s">
        <v>246</v>
      </c>
      <c r="K330" s="47" t="s">
        <v>1449</v>
      </c>
      <c r="L330" s="80"/>
      <c r="M330" s="47"/>
      <c r="N330" s="16"/>
      <c r="O330" s="80" t="s">
        <v>831</v>
      </c>
      <c r="P330" s="80"/>
      <c r="Q330" s="18"/>
      <c r="R330" s="16" t="s">
        <v>479</v>
      </c>
      <c r="S330" s="16" t="s">
        <v>132</v>
      </c>
      <c r="T330" s="16"/>
      <c r="U330" s="16"/>
      <c r="V330" s="16"/>
      <c r="W330" s="16">
        <f>ROUND(IF(D330=Table!$C$3,Y330*Table!$C$4/8,Y330*Table!$D$4/8),3)</f>
        <v>26</v>
      </c>
      <c r="X330" s="191">
        <f t="shared" si="58"/>
        <v>26</v>
      </c>
      <c r="Y330" s="191">
        <v>1.6</v>
      </c>
      <c r="Z330" s="191">
        <v>1.6</v>
      </c>
      <c r="AA330" s="16" t="s">
        <v>70</v>
      </c>
      <c r="AB330" s="81"/>
      <c r="AC330" s="81">
        <v>44075</v>
      </c>
      <c r="AD330" s="81">
        <v>44078</v>
      </c>
      <c r="AE330" s="81">
        <v>44075</v>
      </c>
      <c r="AF330" s="81">
        <v>44075</v>
      </c>
      <c r="AG330" s="81" t="s">
        <v>155</v>
      </c>
      <c r="AH330" s="82">
        <v>0.93300000000000005</v>
      </c>
      <c r="AI330" s="82">
        <v>0.93500000000000005</v>
      </c>
      <c r="AJ330" s="82">
        <v>1</v>
      </c>
      <c r="AK330" s="87" t="s">
        <v>140</v>
      </c>
      <c r="AL330" s="258" t="s">
        <v>1253</v>
      </c>
      <c r="AM330" s="15"/>
      <c r="AN330" s="15"/>
    </row>
    <row r="331" spans="2:40" hidden="1">
      <c r="B331" s="123">
        <f t="shared" si="57"/>
        <v>272</v>
      </c>
      <c r="C331" s="16">
        <v>20200901</v>
      </c>
      <c r="D331" s="270" t="s">
        <v>2</v>
      </c>
      <c r="E331" s="85" t="s">
        <v>1466</v>
      </c>
      <c r="F331" s="80"/>
      <c r="G331" s="47"/>
      <c r="H331" s="16" t="s">
        <v>1037</v>
      </c>
      <c r="I331" s="18" t="s">
        <v>1429</v>
      </c>
      <c r="J331" s="16" t="s">
        <v>246</v>
      </c>
      <c r="K331" s="47" t="s">
        <v>1449</v>
      </c>
      <c r="L331" s="80"/>
      <c r="M331" s="47"/>
      <c r="N331" s="16"/>
      <c r="O331" s="80" t="s">
        <v>831</v>
      </c>
      <c r="P331" s="80"/>
      <c r="Q331" s="18"/>
      <c r="R331" s="16" t="s">
        <v>480</v>
      </c>
      <c r="S331" s="16" t="s">
        <v>63</v>
      </c>
      <c r="T331" s="16"/>
      <c r="U331" s="16"/>
      <c r="V331" s="16"/>
      <c r="W331" s="16">
        <f>ROUND(IF(D331=Table!$C$3,Y331*Table!$C$4/8,Y331*Table!$D$4/8),3)</f>
        <v>26</v>
      </c>
      <c r="X331" s="191">
        <f t="shared" si="58"/>
        <v>26</v>
      </c>
      <c r="Y331" s="191">
        <v>1.6</v>
      </c>
      <c r="Z331" s="191">
        <f t="shared" ref="Z331:Z337" si="59">Y331</f>
        <v>1.6</v>
      </c>
      <c r="AA331" s="16" t="s">
        <v>70</v>
      </c>
      <c r="AB331" s="81"/>
      <c r="AC331" s="81">
        <v>44075</v>
      </c>
      <c r="AD331" s="81">
        <v>44078</v>
      </c>
      <c r="AE331" s="81">
        <v>44075</v>
      </c>
      <c r="AF331" s="81">
        <v>44075</v>
      </c>
      <c r="AG331" s="81" t="s">
        <v>155</v>
      </c>
      <c r="AH331" s="82">
        <v>0.88200000000000001</v>
      </c>
      <c r="AI331" s="82">
        <v>0.89500000000000002</v>
      </c>
      <c r="AJ331" s="82">
        <v>1</v>
      </c>
      <c r="AK331" s="87" t="s">
        <v>140</v>
      </c>
      <c r="AL331" s="258" t="s">
        <v>1481</v>
      </c>
      <c r="AM331" s="118"/>
      <c r="AN331" s="118"/>
    </row>
    <row r="332" spans="2:40" hidden="1">
      <c r="B332" s="123">
        <f t="shared" ref="B332:B339" si="60">B331+1</f>
        <v>273</v>
      </c>
      <c r="C332" s="16">
        <v>20200901</v>
      </c>
      <c r="D332" s="270" t="s">
        <v>2</v>
      </c>
      <c r="E332" s="85" t="s">
        <v>1466</v>
      </c>
      <c r="F332" s="80"/>
      <c r="G332" s="47"/>
      <c r="H332" s="16" t="s">
        <v>1458</v>
      </c>
      <c r="I332" s="18" t="s">
        <v>1336</v>
      </c>
      <c r="J332" s="16" t="s">
        <v>246</v>
      </c>
      <c r="K332" s="47" t="s">
        <v>1450</v>
      </c>
      <c r="L332" s="80"/>
      <c r="M332" s="47"/>
      <c r="N332" s="16"/>
      <c r="O332" s="80" t="s">
        <v>1346</v>
      </c>
      <c r="P332" s="80"/>
      <c r="Q332" s="18"/>
      <c r="R332" s="16" t="s">
        <v>480</v>
      </c>
      <c r="S332" s="16" t="s">
        <v>63</v>
      </c>
      <c r="T332" s="16"/>
      <c r="U332" s="16"/>
      <c r="V332" s="16"/>
      <c r="W332" s="16">
        <f>ROUND(IF(D332=Table!$C$3,Y332*Table!$C$4/8,Y332*Table!$D$4/8),3)</f>
        <v>26</v>
      </c>
      <c r="X332" s="191">
        <f t="shared" si="58"/>
        <v>26</v>
      </c>
      <c r="Y332" s="191">
        <v>1.6</v>
      </c>
      <c r="Z332" s="191">
        <f t="shared" si="59"/>
        <v>1.6</v>
      </c>
      <c r="AA332" s="16" t="s">
        <v>70</v>
      </c>
      <c r="AB332" s="81"/>
      <c r="AC332" s="81">
        <v>44075</v>
      </c>
      <c r="AD332" s="81">
        <v>44078</v>
      </c>
      <c r="AE332" s="81">
        <v>44075</v>
      </c>
      <c r="AF332" s="81">
        <v>44075</v>
      </c>
      <c r="AG332" s="81" t="s">
        <v>155</v>
      </c>
      <c r="AH332" s="82">
        <v>1</v>
      </c>
      <c r="AI332" s="82">
        <v>1</v>
      </c>
      <c r="AJ332" s="82">
        <v>0.88900000000000001</v>
      </c>
      <c r="AK332" s="87" t="s">
        <v>140</v>
      </c>
      <c r="AL332" s="258" t="s">
        <v>1474</v>
      </c>
      <c r="AM332" s="15"/>
      <c r="AN332" s="15"/>
    </row>
    <row r="333" spans="2:40" hidden="1">
      <c r="B333" s="123">
        <f t="shared" si="60"/>
        <v>274</v>
      </c>
      <c r="C333" s="16">
        <v>20200901</v>
      </c>
      <c r="D333" s="270" t="s">
        <v>2</v>
      </c>
      <c r="E333" s="85" t="s">
        <v>1466</v>
      </c>
      <c r="F333" s="80"/>
      <c r="G333" s="47"/>
      <c r="H333" s="16" t="s">
        <v>1459</v>
      </c>
      <c r="I333" s="18" t="s">
        <v>1430</v>
      </c>
      <c r="J333" s="16" t="s">
        <v>1454</v>
      </c>
      <c r="K333" s="47"/>
      <c r="L333" s="80"/>
      <c r="M333" s="47"/>
      <c r="N333" s="16"/>
      <c r="O333" s="80" t="s">
        <v>821</v>
      </c>
      <c r="P333" s="80"/>
      <c r="Q333" s="18"/>
      <c r="R333" s="16" t="s">
        <v>480</v>
      </c>
      <c r="S333" s="16" t="s">
        <v>63</v>
      </c>
      <c r="T333" s="16"/>
      <c r="U333" s="16"/>
      <c r="V333" s="16"/>
      <c r="W333" s="16">
        <f>ROUND(IF(D333=Table!$C$3,Y333*Table!$C$4/8,Y333*Table!$D$4/8),3)</f>
        <v>61.1</v>
      </c>
      <c r="X333" s="191">
        <f t="shared" si="58"/>
        <v>61.1</v>
      </c>
      <c r="Y333" s="191">
        <v>3.76</v>
      </c>
      <c r="Z333" s="191">
        <f t="shared" si="59"/>
        <v>3.76</v>
      </c>
      <c r="AA333" s="16" t="s">
        <v>70</v>
      </c>
      <c r="AB333" s="81"/>
      <c r="AC333" s="81">
        <v>44075</v>
      </c>
      <c r="AD333" s="81">
        <v>44078</v>
      </c>
      <c r="AE333" s="81">
        <v>44075</v>
      </c>
      <c r="AF333" s="81">
        <v>44075</v>
      </c>
      <c r="AG333" s="81" t="s">
        <v>155</v>
      </c>
      <c r="AH333" s="82">
        <v>1</v>
      </c>
      <c r="AI333" s="82">
        <v>1</v>
      </c>
      <c r="AJ333" s="82">
        <v>1</v>
      </c>
      <c r="AK333" s="87" t="s">
        <v>140</v>
      </c>
      <c r="AL333" s="84"/>
      <c r="AM333" s="15"/>
      <c r="AN333" s="15"/>
    </row>
    <row r="334" spans="2:40" hidden="1">
      <c r="B334" s="123">
        <f t="shared" si="60"/>
        <v>275</v>
      </c>
      <c r="C334" s="16">
        <v>20200901</v>
      </c>
      <c r="D334" s="270" t="s">
        <v>2</v>
      </c>
      <c r="E334" s="85" t="s">
        <v>1466</v>
      </c>
      <c r="F334" s="80"/>
      <c r="G334" s="47"/>
      <c r="H334" s="16" t="s">
        <v>1460</v>
      </c>
      <c r="I334" s="321" t="s">
        <v>1431</v>
      </c>
      <c r="J334" s="16" t="s">
        <v>208</v>
      </c>
      <c r="K334" s="47" t="s">
        <v>1350</v>
      </c>
      <c r="L334" s="80"/>
      <c r="M334" s="47"/>
      <c r="N334" s="16"/>
      <c r="O334" s="80" t="s">
        <v>248</v>
      </c>
      <c r="P334" s="80"/>
      <c r="Q334" s="18"/>
      <c r="R334" s="16" t="s">
        <v>480</v>
      </c>
      <c r="S334" s="16" t="s">
        <v>63</v>
      </c>
      <c r="T334" s="16"/>
      <c r="U334" s="16"/>
      <c r="V334" s="16"/>
      <c r="W334" s="16">
        <f>ROUND(IF(D334=Table!$C$3,Y334*Table!$C$4/8,Y334*Table!$D$4/8),3)</f>
        <v>26</v>
      </c>
      <c r="X334" s="191">
        <f t="shared" si="58"/>
        <v>26</v>
      </c>
      <c r="Y334" s="191">
        <v>1.6</v>
      </c>
      <c r="Z334" s="191">
        <f t="shared" si="59"/>
        <v>1.6</v>
      </c>
      <c r="AA334" s="16" t="s">
        <v>70</v>
      </c>
      <c r="AB334" s="81"/>
      <c r="AC334" s="81">
        <v>44075</v>
      </c>
      <c r="AD334" s="81">
        <v>44078</v>
      </c>
      <c r="AE334" s="81">
        <v>44075</v>
      </c>
      <c r="AF334" s="81">
        <v>44075</v>
      </c>
      <c r="AG334" s="81" t="s">
        <v>155</v>
      </c>
      <c r="AH334" s="82">
        <v>1</v>
      </c>
      <c r="AI334" s="82">
        <v>1</v>
      </c>
      <c r="AJ334" s="82">
        <v>1</v>
      </c>
      <c r="AK334" s="87" t="s">
        <v>140</v>
      </c>
      <c r="AL334" s="163"/>
      <c r="AM334" s="15"/>
      <c r="AN334" s="15"/>
    </row>
    <row r="335" spans="2:40" hidden="1">
      <c r="B335" s="123">
        <f t="shared" si="60"/>
        <v>276</v>
      </c>
      <c r="C335" s="16">
        <v>20200901</v>
      </c>
      <c r="D335" s="270" t="s">
        <v>2</v>
      </c>
      <c r="E335" s="85" t="s">
        <v>1466</v>
      </c>
      <c r="F335" s="80"/>
      <c r="G335" s="47"/>
      <c r="H335" s="180" t="s">
        <v>1461</v>
      </c>
      <c r="I335" s="318" t="s">
        <v>1432</v>
      </c>
      <c r="J335" s="16" t="s">
        <v>208</v>
      </c>
      <c r="K335" s="47" t="s">
        <v>1350</v>
      </c>
      <c r="L335" s="80"/>
      <c r="M335" s="47"/>
      <c r="N335" s="16"/>
      <c r="O335" s="80" t="s">
        <v>831</v>
      </c>
      <c r="P335" s="80"/>
      <c r="Q335" s="18"/>
      <c r="R335" s="16" t="s">
        <v>480</v>
      </c>
      <c r="S335" s="16" t="s">
        <v>63</v>
      </c>
      <c r="T335" s="16"/>
      <c r="U335" s="16"/>
      <c r="V335" s="16"/>
      <c r="W335" s="16">
        <f>ROUND(IF(D335=Table!$C$3,Y335*Table!$C$4/8,Y335*Table!$D$4/8),3)</f>
        <v>26</v>
      </c>
      <c r="X335" s="191">
        <f t="shared" si="58"/>
        <v>26</v>
      </c>
      <c r="Y335" s="191">
        <v>1.6</v>
      </c>
      <c r="Z335" s="191">
        <f t="shared" si="59"/>
        <v>1.6</v>
      </c>
      <c r="AA335" s="16" t="s">
        <v>70</v>
      </c>
      <c r="AB335" s="81"/>
      <c r="AC335" s="81">
        <v>44075</v>
      </c>
      <c r="AD335" s="81">
        <v>44078</v>
      </c>
      <c r="AE335" s="81">
        <v>44075</v>
      </c>
      <c r="AF335" s="81">
        <v>44075</v>
      </c>
      <c r="AG335" s="81" t="s">
        <v>155</v>
      </c>
      <c r="AH335" s="82">
        <v>1</v>
      </c>
      <c r="AI335" s="82">
        <v>1</v>
      </c>
      <c r="AJ335" s="82">
        <v>1</v>
      </c>
      <c r="AK335" s="87" t="s">
        <v>140</v>
      </c>
      <c r="AL335" s="163"/>
      <c r="AM335" s="15"/>
      <c r="AN335" s="15"/>
    </row>
    <row r="336" spans="2:40" hidden="1">
      <c r="B336" s="123">
        <f t="shared" si="60"/>
        <v>277</v>
      </c>
      <c r="C336" s="16">
        <v>20200901</v>
      </c>
      <c r="D336" s="270" t="s">
        <v>2</v>
      </c>
      <c r="E336" s="315" t="s">
        <v>1466</v>
      </c>
      <c r="F336" s="80"/>
      <c r="G336" s="47"/>
      <c r="H336" s="16" t="s">
        <v>1462</v>
      </c>
      <c r="I336" s="320" t="s">
        <v>1433</v>
      </c>
      <c r="J336" s="16" t="s">
        <v>246</v>
      </c>
      <c r="K336" s="47" t="s">
        <v>1451</v>
      </c>
      <c r="L336" s="80"/>
      <c r="M336" s="47"/>
      <c r="N336" s="16"/>
      <c r="O336" s="169" t="s">
        <v>838</v>
      </c>
      <c r="P336" s="80"/>
      <c r="Q336" s="18"/>
      <c r="R336" s="16" t="s">
        <v>478</v>
      </c>
      <c r="S336" s="16" t="s">
        <v>174</v>
      </c>
      <c r="T336" s="16"/>
      <c r="U336" s="16"/>
      <c r="V336" s="16"/>
      <c r="W336" s="16">
        <f>ROUND(IF(D336=Table!$C$3,Y336*Table!$C$4/8,Y336*Table!$D$4/8),3)</f>
        <v>26</v>
      </c>
      <c r="X336" s="191">
        <f t="shared" si="58"/>
        <v>26</v>
      </c>
      <c r="Y336" s="191">
        <v>1.6</v>
      </c>
      <c r="Z336" s="191">
        <f t="shared" si="59"/>
        <v>1.6</v>
      </c>
      <c r="AA336" s="16" t="s">
        <v>70</v>
      </c>
      <c r="AB336" s="81"/>
      <c r="AC336" s="81">
        <v>44075</v>
      </c>
      <c r="AD336" s="81">
        <v>44078</v>
      </c>
      <c r="AE336" s="81">
        <v>44075</v>
      </c>
      <c r="AF336" s="81">
        <v>44075</v>
      </c>
      <c r="AG336" s="81" t="s">
        <v>155</v>
      </c>
      <c r="AH336" s="82">
        <v>0.98599999999999999</v>
      </c>
      <c r="AI336" s="82">
        <v>0.98599999999999999</v>
      </c>
      <c r="AJ336" s="82">
        <v>1</v>
      </c>
      <c r="AK336" s="87" t="s">
        <v>140</v>
      </c>
      <c r="AL336" s="258" t="s">
        <v>1473</v>
      </c>
      <c r="AM336" s="15"/>
      <c r="AN336" s="15"/>
    </row>
    <row r="337" spans="2:40" hidden="1">
      <c r="B337" s="123">
        <f t="shared" si="60"/>
        <v>278</v>
      </c>
      <c r="C337" s="16">
        <v>20200901</v>
      </c>
      <c r="D337" s="270" t="s">
        <v>2</v>
      </c>
      <c r="E337" s="316" t="s">
        <v>1466</v>
      </c>
      <c r="F337" s="80"/>
      <c r="G337" s="47"/>
      <c r="H337" s="16" t="s">
        <v>1463</v>
      </c>
      <c r="I337" s="319" t="s">
        <v>1434</v>
      </c>
      <c r="J337" s="16" t="s">
        <v>246</v>
      </c>
      <c r="K337" s="47" t="s">
        <v>1447</v>
      </c>
      <c r="L337" s="80"/>
      <c r="M337" s="47"/>
      <c r="N337" s="16"/>
      <c r="O337" s="169" t="s">
        <v>819</v>
      </c>
      <c r="P337" s="80"/>
      <c r="Q337" s="18"/>
      <c r="R337" s="16" t="s">
        <v>478</v>
      </c>
      <c r="S337" s="16" t="s">
        <v>174</v>
      </c>
      <c r="T337" s="16"/>
      <c r="U337" s="16"/>
      <c r="V337" s="16"/>
      <c r="W337" s="16">
        <f>ROUND(IF(D337=Table!$C$3,Y337*Table!$C$4/8,Y337*Table!$D$4/8),3)</f>
        <v>26</v>
      </c>
      <c r="X337" s="191">
        <f t="shared" si="58"/>
        <v>26</v>
      </c>
      <c r="Y337" s="191">
        <v>1.6</v>
      </c>
      <c r="Z337" s="191">
        <f t="shared" si="59"/>
        <v>1.6</v>
      </c>
      <c r="AA337" s="16" t="s">
        <v>70</v>
      </c>
      <c r="AB337" s="81"/>
      <c r="AC337" s="81">
        <v>44075</v>
      </c>
      <c r="AD337" s="81">
        <v>44078</v>
      </c>
      <c r="AE337" s="81">
        <v>44075</v>
      </c>
      <c r="AF337" s="81">
        <v>44075</v>
      </c>
      <c r="AG337" s="81" t="s">
        <v>155</v>
      </c>
      <c r="AH337" s="82">
        <v>0.91800000000000004</v>
      </c>
      <c r="AI337" s="82">
        <v>0.92500000000000004</v>
      </c>
      <c r="AJ337" s="82">
        <v>1</v>
      </c>
      <c r="AK337" s="87" t="s">
        <v>140</v>
      </c>
      <c r="AL337" s="109" t="s">
        <v>1471</v>
      </c>
      <c r="AM337" s="15"/>
      <c r="AN337" s="15"/>
    </row>
    <row r="338" spans="2:40" hidden="1">
      <c r="B338" s="123">
        <f t="shared" si="60"/>
        <v>279</v>
      </c>
      <c r="C338" s="16">
        <v>20200901</v>
      </c>
      <c r="D338" s="270" t="s">
        <v>2</v>
      </c>
      <c r="E338" s="85" t="s">
        <v>1466</v>
      </c>
      <c r="F338" s="80"/>
      <c r="G338" s="47"/>
      <c r="H338" s="16" t="s">
        <v>1464</v>
      </c>
      <c r="I338" s="16" t="s">
        <v>1435</v>
      </c>
      <c r="J338" s="16" t="s">
        <v>246</v>
      </c>
      <c r="K338" s="47" t="s">
        <v>1452</v>
      </c>
      <c r="L338" s="80"/>
      <c r="M338" s="47"/>
      <c r="N338" s="16"/>
      <c r="O338" s="80" t="s">
        <v>209</v>
      </c>
      <c r="P338" s="80"/>
      <c r="Q338" s="18"/>
      <c r="R338" s="16" t="s">
        <v>475</v>
      </c>
      <c r="S338" s="16" t="s">
        <v>61</v>
      </c>
      <c r="T338" s="16"/>
      <c r="U338" s="16"/>
      <c r="V338" s="16"/>
      <c r="W338" s="16">
        <f>ROUND(IF(D338=Table!$C$3,Y338*Table!$C$4/8,Y338*Table!$D$4/8),3)</f>
        <v>26</v>
      </c>
      <c r="X338" s="191">
        <f t="shared" si="58"/>
        <v>26</v>
      </c>
      <c r="Y338" s="191">
        <v>1.6</v>
      </c>
      <c r="Z338" s="191"/>
      <c r="AA338" s="16" t="s">
        <v>70</v>
      </c>
      <c r="AB338" s="81"/>
      <c r="AC338" s="81">
        <v>44075</v>
      </c>
      <c r="AD338" s="81">
        <v>44078</v>
      </c>
      <c r="AE338" s="81">
        <v>44077</v>
      </c>
      <c r="AF338" s="81">
        <v>44077</v>
      </c>
      <c r="AG338" s="81" t="s">
        <v>155</v>
      </c>
      <c r="AH338" s="82">
        <v>0.84599999999999997</v>
      </c>
      <c r="AI338" s="82">
        <v>0.84599999999999997</v>
      </c>
      <c r="AJ338" s="82">
        <v>1</v>
      </c>
      <c r="AK338" s="87" t="s">
        <v>140</v>
      </c>
      <c r="AL338" s="84" t="s">
        <v>1481</v>
      </c>
      <c r="AM338" s="15"/>
      <c r="AN338" s="15"/>
    </row>
    <row r="339" spans="2:40" hidden="1">
      <c r="B339" s="123">
        <f t="shared" si="60"/>
        <v>280</v>
      </c>
      <c r="C339" s="16">
        <v>20200901</v>
      </c>
      <c r="D339" s="270" t="s">
        <v>2</v>
      </c>
      <c r="E339" s="85" t="s">
        <v>1466</v>
      </c>
      <c r="F339" s="80"/>
      <c r="G339" s="47"/>
      <c r="H339" s="16" t="s">
        <v>222</v>
      </c>
      <c r="I339" s="16" t="s">
        <v>1436</v>
      </c>
      <c r="J339" s="16" t="s">
        <v>246</v>
      </c>
      <c r="K339" s="47" t="s">
        <v>1453</v>
      </c>
      <c r="L339" s="80"/>
      <c r="M339" s="47"/>
      <c r="N339" s="16"/>
      <c r="O339" s="80" t="s">
        <v>210</v>
      </c>
      <c r="P339" s="80"/>
      <c r="Q339" s="18"/>
      <c r="R339" s="16" t="s">
        <v>475</v>
      </c>
      <c r="S339" s="16" t="s">
        <v>61</v>
      </c>
      <c r="T339" s="16"/>
      <c r="U339" s="16"/>
      <c r="V339" s="16"/>
      <c r="W339" s="16">
        <f>ROUND(IF(D339=Table!$C$3,Y339*Table!$C$4/8,Y339*Table!$D$4/8),3)</f>
        <v>26</v>
      </c>
      <c r="X339" s="191">
        <f t="shared" si="58"/>
        <v>26</v>
      </c>
      <c r="Y339" s="191">
        <v>1.6</v>
      </c>
      <c r="Z339" s="191"/>
      <c r="AA339" s="16" t="s">
        <v>70</v>
      </c>
      <c r="AB339" s="81"/>
      <c r="AC339" s="81">
        <v>44075</v>
      </c>
      <c r="AD339" s="81">
        <v>44078</v>
      </c>
      <c r="AE339" s="81">
        <v>44077</v>
      </c>
      <c r="AF339" s="81">
        <v>44077</v>
      </c>
      <c r="AG339" s="81" t="s">
        <v>155</v>
      </c>
      <c r="AH339" s="82">
        <v>1</v>
      </c>
      <c r="AI339" s="82">
        <v>1</v>
      </c>
      <c r="AJ339" s="82">
        <v>1</v>
      </c>
      <c r="AK339" s="87" t="s">
        <v>140</v>
      </c>
      <c r="AL339" s="14"/>
      <c r="AM339" s="15"/>
      <c r="AN339" s="15"/>
    </row>
    <row r="340" spans="2:40" hidden="1">
      <c r="B340" s="182">
        <f t="shared" ref="B340:B342" si="61">B339+1</f>
        <v>281</v>
      </c>
      <c r="C340" s="16">
        <v>20200901</v>
      </c>
      <c r="D340" s="270" t="s">
        <v>2</v>
      </c>
      <c r="E340" s="85" t="s">
        <v>1484</v>
      </c>
      <c r="F340" s="80"/>
      <c r="G340" s="47"/>
      <c r="H340" s="16"/>
      <c r="I340" s="324" t="s">
        <v>1485</v>
      </c>
      <c r="J340" s="324" t="s">
        <v>246</v>
      </c>
      <c r="K340" s="47"/>
      <c r="L340" s="80"/>
      <c r="M340" s="47"/>
      <c r="N340" s="16"/>
      <c r="O340" s="325">
        <v>1.1399999999999999</v>
      </c>
      <c r="P340" s="80"/>
      <c r="Q340" s="18"/>
      <c r="R340" s="16"/>
      <c r="S340" s="16" t="s">
        <v>61</v>
      </c>
      <c r="T340" s="16"/>
      <c r="U340" s="16"/>
      <c r="V340" s="16"/>
      <c r="W340" s="16">
        <f>ROUND(IF(D340=Table!$C$3,Y340*Table!$C$4/8,Y340*Table!$D$4/8),3)</f>
        <v>32.5</v>
      </c>
      <c r="X340" s="191">
        <f t="shared" si="58"/>
        <v>32.5</v>
      </c>
      <c r="Y340" s="191">
        <v>2</v>
      </c>
      <c r="Z340" s="191"/>
      <c r="AA340" s="16" t="s">
        <v>70</v>
      </c>
      <c r="AB340" s="81"/>
      <c r="AC340" s="81">
        <v>44075</v>
      </c>
      <c r="AD340" s="81">
        <v>44075</v>
      </c>
      <c r="AE340" s="81">
        <v>44075</v>
      </c>
      <c r="AF340" s="81">
        <v>44075</v>
      </c>
      <c r="AG340" s="81" t="s">
        <v>155</v>
      </c>
      <c r="AH340" s="82">
        <v>1</v>
      </c>
      <c r="AI340" s="82">
        <v>1</v>
      </c>
      <c r="AJ340" s="82">
        <v>1</v>
      </c>
      <c r="AK340" s="87" t="s">
        <v>140</v>
      </c>
      <c r="AL340" s="84"/>
      <c r="AM340" s="15"/>
      <c r="AN340" s="15"/>
    </row>
    <row r="341" spans="2:40" hidden="1">
      <c r="B341" s="182">
        <f t="shared" si="61"/>
        <v>282</v>
      </c>
      <c r="C341" s="16">
        <v>20200901</v>
      </c>
      <c r="D341" s="270" t="s">
        <v>2</v>
      </c>
      <c r="E341" s="85" t="s">
        <v>1484</v>
      </c>
      <c r="F341" s="80"/>
      <c r="G341" s="47"/>
      <c r="H341" s="16"/>
      <c r="I341" s="324" t="s">
        <v>1486</v>
      </c>
      <c r="J341" s="324" t="s">
        <v>1488</v>
      </c>
      <c r="K341" s="47"/>
      <c r="L341" s="80"/>
      <c r="M341" s="47"/>
      <c r="N341" s="16"/>
      <c r="O341" s="326">
        <v>1.4</v>
      </c>
      <c r="P341" s="80"/>
      <c r="Q341" s="18"/>
      <c r="R341" s="16"/>
      <c r="S341" s="16" t="s">
        <v>61</v>
      </c>
      <c r="T341" s="16"/>
      <c r="U341" s="16"/>
      <c r="V341" s="16"/>
      <c r="W341" s="16">
        <f>ROUND(IF(D341=Table!$C$3,Y341*Table!$C$4/8,Y341*Table!$D$4/8),3)</f>
        <v>24.375</v>
      </c>
      <c r="X341" s="191">
        <f t="shared" si="58"/>
        <v>24.375</v>
      </c>
      <c r="Y341" s="191">
        <v>1.5</v>
      </c>
      <c r="Z341" s="191"/>
      <c r="AA341" s="16" t="s">
        <v>70</v>
      </c>
      <c r="AB341" s="81"/>
      <c r="AC341" s="81">
        <v>44075</v>
      </c>
      <c r="AD341" s="81">
        <v>44075</v>
      </c>
      <c r="AE341" s="81">
        <v>44075</v>
      </c>
      <c r="AF341" s="81">
        <v>44075</v>
      </c>
      <c r="AG341" s="81" t="s">
        <v>155</v>
      </c>
      <c r="AH341" s="82">
        <v>0.85</v>
      </c>
      <c r="AI341" s="82">
        <v>0.85099999999999998</v>
      </c>
      <c r="AJ341" s="82">
        <v>1</v>
      </c>
      <c r="AK341" s="87" t="s">
        <v>140</v>
      </c>
      <c r="AL341" s="208" t="s">
        <v>1489</v>
      </c>
      <c r="AM341" s="15"/>
      <c r="AN341" s="15"/>
    </row>
    <row r="342" spans="2:40" hidden="1">
      <c r="B342" s="182">
        <f t="shared" si="61"/>
        <v>283</v>
      </c>
      <c r="C342" s="16">
        <v>20200901</v>
      </c>
      <c r="D342" s="270" t="s">
        <v>2</v>
      </c>
      <c r="E342" s="85" t="s">
        <v>1484</v>
      </c>
      <c r="F342" s="80"/>
      <c r="G342" s="47"/>
      <c r="H342" s="16"/>
      <c r="I342" s="324" t="s">
        <v>1487</v>
      </c>
      <c r="J342" s="324" t="s">
        <v>208</v>
      </c>
      <c r="K342" s="47"/>
      <c r="L342" s="80"/>
      <c r="M342" s="47"/>
      <c r="N342" s="16"/>
      <c r="O342" s="325">
        <v>1.1000000000000001</v>
      </c>
      <c r="P342" s="80"/>
      <c r="Q342" s="18"/>
      <c r="R342" s="16"/>
      <c r="S342" s="16" t="s">
        <v>61</v>
      </c>
      <c r="T342" s="16"/>
      <c r="U342" s="16"/>
      <c r="V342" s="16"/>
      <c r="W342" s="16">
        <f>ROUND(IF(D342=Table!$C$3,Y342*Table!$C$4/8,Y342*Table!$D$4/8),3)</f>
        <v>32.5</v>
      </c>
      <c r="X342" s="191">
        <f t="shared" si="58"/>
        <v>32.5</v>
      </c>
      <c r="Y342" s="191">
        <v>2</v>
      </c>
      <c r="Z342" s="191"/>
      <c r="AA342" s="16" t="s">
        <v>70</v>
      </c>
      <c r="AB342" s="81"/>
      <c r="AC342" s="81">
        <v>44075</v>
      </c>
      <c r="AD342" s="81">
        <v>44075</v>
      </c>
      <c r="AE342" s="81">
        <v>44075</v>
      </c>
      <c r="AF342" s="81">
        <v>44075</v>
      </c>
      <c r="AG342" s="81" t="s">
        <v>155</v>
      </c>
      <c r="AH342" s="82">
        <v>1</v>
      </c>
      <c r="AI342" s="82">
        <v>1</v>
      </c>
      <c r="AJ342" s="82" t="s">
        <v>213</v>
      </c>
      <c r="AK342" s="87" t="s">
        <v>140</v>
      </c>
      <c r="AL342" s="84"/>
      <c r="AM342" s="15"/>
      <c r="AN342" s="15"/>
    </row>
    <row r="343" spans="2:40" hidden="1">
      <c r="B343" s="123">
        <f>B342+1</f>
        <v>284</v>
      </c>
      <c r="C343" s="16">
        <v>20200903</v>
      </c>
      <c r="D343" s="270" t="s">
        <v>2</v>
      </c>
      <c r="E343" s="184" t="s">
        <v>1536</v>
      </c>
      <c r="F343" s="80"/>
      <c r="G343" s="47"/>
      <c r="H343" s="16"/>
      <c r="I343" s="148" t="s">
        <v>1532</v>
      </c>
      <c r="J343" s="16"/>
      <c r="K343" s="47"/>
      <c r="L343" s="80"/>
      <c r="M343" s="47"/>
      <c r="N343" s="16"/>
      <c r="O343" s="80">
        <v>1.22</v>
      </c>
      <c r="P343" s="80"/>
      <c r="Q343" s="18"/>
      <c r="R343" s="16"/>
      <c r="S343" s="16" t="s">
        <v>61</v>
      </c>
      <c r="T343" s="16"/>
      <c r="U343" s="16"/>
      <c r="V343" s="16"/>
      <c r="W343" s="16">
        <f>ROUND(IF(D343=Table!$C$3,Y343*Table!$C$4/8,Y343*Table!$D$4/8),3)</f>
        <v>48.75</v>
      </c>
      <c r="X343" s="191">
        <f t="shared" si="58"/>
        <v>48.75</v>
      </c>
      <c r="Y343" s="191">
        <v>3</v>
      </c>
      <c r="Z343" s="191"/>
      <c r="AA343" s="16" t="s">
        <v>70</v>
      </c>
      <c r="AB343" s="81"/>
      <c r="AC343" s="81">
        <v>44077</v>
      </c>
      <c r="AD343" s="81">
        <v>44078</v>
      </c>
      <c r="AE343" s="81">
        <v>44078</v>
      </c>
      <c r="AF343" s="81">
        <v>44078</v>
      </c>
      <c r="AG343" s="81" t="s">
        <v>155</v>
      </c>
      <c r="AH343" s="82">
        <v>1</v>
      </c>
      <c r="AI343" s="82">
        <v>1</v>
      </c>
      <c r="AJ343" s="82">
        <v>1</v>
      </c>
      <c r="AK343" s="87" t="s">
        <v>140</v>
      </c>
      <c r="AL343" s="84"/>
      <c r="AM343" s="15"/>
      <c r="AN343" s="15"/>
    </row>
    <row r="344" spans="2:40" hidden="1">
      <c r="B344" s="123">
        <f t="shared" ref="B344:B351" si="62">B343+1</f>
        <v>285</v>
      </c>
      <c r="C344" s="16">
        <v>20200903</v>
      </c>
      <c r="D344" s="270" t="s">
        <v>2</v>
      </c>
      <c r="E344" s="184" t="s">
        <v>1536</v>
      </c>
      <c r="F344" s="80"/>
      <c r="G344" s="47"/>
      <c r="H344" s="16"/>
      <c r="I344" s="16" t="s">
        <v>1533</v>
      </c>
      <c r="J344" s="16"/>
      <c r="K344" s="47"/>
      <c r="L344" s="80"/>
      <c r="M344" s="47"/>
      <c r="N344" s="16"/>
      <c r="O344" s="80">
        <v>1.27</v>
      </c>
      <c r="P344" s="80"/>
      <c r="Q344" s="18"/>
      <c r="R344" s="16"/>
      <c r="S344" s="16" t="s">
        <v>61</v>
      </c>
      <c r="T344" s="16"/>
      <c r="U344" s="16"/>
      <c r="V344" s="16"/>
      <c r="W344" s="16">
        <f>ROUND(IF(D344=Table!$C$3,Y344*Table!$C$4/8,Y344*Table!$D$4/8),3)</f>
        <v>56.875</v>
      </c>
      <c r="X344" s="191">
        <f t="shared" si="58"/>
        <v>56.875</v>
      </c>
      <c r="Y344" s="191">
        <v>3.5</v>
      </c>
      <c r="Z344" s="191"/>
      <c r="AA344" s="16" t="s">
        <v>70</v>
      </c>
      <c r="AB344" s="81"/>
      <c r="AC344" s="81">
        <v>44077</v>
      </c>
      <c r="AD344" s="81">
        <v>44078</v>
      </c>
      <c r="AE344" s="81">
        <v>44078</v>
      </c>
      <c r="AF344" s="81">
        <v>44078</v>
      </c>
      <c r="AG344" s="81" t="s">
        <v>155</v>
      </c>
      <c r="AH344" s="82">
        <v>1</v>
      </c>
      <c r="AI344" s="82">
        <v>1</v>
      </c>
      <c r="AJ344" s="82">
        <v>0.94899999999999995</v>
      </c>
      <c r="AK344" s="87" t="s">
        <v>140</v>
      </c>
      <c r="AL344" s="188" t="s">
        <v>1591</v>
      </c>
      <c r="AM344" s="15"/>
      <c r="AN344" s="15"/>
    </row>
    <row r="345" spans="2:40" hidden="1">
      <c r="B345" s="123">
        <f t="shared" si="62"/>
        <v>286</v>
      </c>
      <c r="C345" s="16">
        <v>20200903</v>
      </c>
      <c r="D345" s="270" t="s">
        <v>2</v>
      </c>
      <c r="E345" s="184" t="s">
        <v>1536</v>
      </c>
      <c r="F345" s="80"/>
      <c r="G345" s="47"/>
      <c r="H345" s="16"/>
      <c r="I345" s="16" t="s">
        <v>1534</v>
      </c>
      <c r="J345" s="16"/>
      <c r="K345" s="47"/>
      <c r="L345" s="80"/>
      <c r="M345" s="47"/>
      <c r="N345" s="16"/>
      <c r="O345" s="80">
        <v>1.1000000000000001</v>
      </c>
      <c r="P345" s="80"/>
      <c r="Q345" s="18"/>
      <c r="R345" s="16"/>
      <c r="S345" s="16" t="s">
        <v>61</v>
      </c>
      <c r="T345" s="16"/>
      <c r="U345" s="16"/>
      <c r="V345" s="16"/>
      <c r="W345" s="16">
        <f>ROUND(IF(D345=Table!$C$3,Y345*Table!$C$4/8,Y345*Table!$D$4/8),3)</f>
        <v>56.875</v>
      </c>
      <c r="X345" s="191">
        <f t="shared" si="58"/>
        <v>56.875</v>
      </c>
      <c r="Y345" s="191">
        <v>3.5</v>
      </c>
      <c r="Z345" s="191"/>
      <c r="AA345" s="16" t="s">
        <v>70</v>
      </c>
      <c r="AB345" s="81"/>
      <c r="AC345" s="81">
        <v>44077</v>
      </c>
      <c r="AD345" s="81">
        <v>44078</v>
      </c>
      <c r="AE345" s="81">
        <v>44078</v>
      </c>
      <c r="AF345" s="81">
        <v>44078</v>
      </c>
      <c r="AG345" s="81" t="s">
        <v>155</v>
      </c>
      <c r="AH345" s="82">
        <v>1</v>
      </c>
      <c r="AI345" s="82">
        <v>1</v>
      </c>
      <c r="AJ345" s="82">
        <v>1</v>
      </c>
      <c r="AK345" s="87" t="s">
        <v>140</v>
      </c>
      <c r="AL345" s="84"/>
      <c r="AM345" s="118"/>
      <c r="AN345" s="118"/>
    </row>
    <row r="346" spans="2:40" hidden="1">
      <c r="B346" s="123">
        <f t="shared" si="62"/>
        <v>287</v>
      </c>
      <c r="C346" s="16">
        <v>20200903</v>
      </c>
      <c r="D346" s="270" t="s">
        <v>2</v>
      </c>
      <c r="E346" s="184" t="s">
        <v>1536</v>
      </c>
      <c r="F346" s="80"/>
      <c r="G346" s="47"/>
      <c r="H346" s="16"/>
      <c r="I346" s="16" t="s">
        <v>1535</v>
      </c>
      <c r="J346" s="16"/>
      <c r="K346" s="47"/>
      <c r="L346" s="80"/>
      <c r="M346" s="47"/>
      <c r="N346" s="16"/>
      <c r="O346" s="80">
        <v>1.1000000000000001</v>
      </c>
      <c r="P346" s="80"/>
      <c r="Q346" s="18"/>
      <c r="R346" s="16"/>
      <c r="S346" s="16" t="s">
        <v>61</v>
      </c>
      <c r="T346" s="16"/>
      <c r="U346" s="16"/>
      <c r="V346" s="16"/>
      <c r="W346" s="16">
        <f>ROUND(IF(D346=Table!$C$3,Y346*Table!$C$4/8,Y346*Table!$D$4/8),3)</f>
        <v>40.625</v>
      </c>
      <c r="X346" s="191">
        <f t="shared" si="58"/>
        <v>40.625</v>
      </c>
      <c r="Y346" s="191">
        <v>2.5</v>
      </c>
      <c r="Z346" s="191"/>
      <c r="AA346" s="16" t="s">
        <v>70</v>
      </c>
      <c r="AB346" s="81"/>
      <c r="AC346" s="81">
        <v>44077</v>
      </c>
      <c r="AD346" s="81">
        <v>44078</v>
      </c>
      <c r="AE346" s="81">
        <v>44078</v>
      </c>
      <c r="AF346" s="81">
        <v>44078</v>
      </c>
      <c r="AG346" s="81" t="s">
        <v>155</v>
      </c>
      <c r="AH346" s="82">
        <v>1</v>
      </c>
      <c r="AI346" s="82">
        <v>1</v>
      </c>
      <c r="AJ346" s="82">
        <v>0.5</v>
      </c>
      <c r="AK346" s="87" t="s">
        <v>140</v>
      </c>
      <c r="AL346" s="84" t="s">
        <v>1592</v>
      </c>
      <c r="AM346" s="15"/>
      <c r="AN346" s="15"/>
    </row>
    <row r="347" spans="2:40">
      <c r="B347" s="179">
        <f t="shared" si="62"/>
        <v>288</v>
      </c>
      <c r="C347" s="16">
        <v>20200904</v>
      </c>
      <c r="D347" s="16" t="s">
        <v>3</v>
      </c>
      <c r="E347" s="85" t="s">
        <v>1587</v>
      </c>
      <c r="F347" s="80"/>
      <c r="G347" s="47"/>
      <c r="H347" s="16" t="s">
        <v>1351</v>
      </c>
      <c r="I347" s="16" t="s">
        <v>1537</v>
      </c>
      <c r="J347" s="16" t="s">
        <v>208</v>
      </c>
      <c r="K347" s="47"/>
      <c r="L347" s="80" t="s">
        <v>1585</v>
      </c>
      <c r="M347" s="47"/>
      <c r="N347" s="16"/>
      <c r="O347" s="80" t="s">
        <v>1552</v>
      </c>
      <c r="P347" s="80" t="s">
        <v>1567</v>
      </c>
      <c r="Q347" s="18"/>
      <c r="R347" s="16" t="s">
        <v>197</v>
      </c>
      <c r="S347" s="16" t="s">
        <v>66</v>
      </c>
      <c r="T347" s="16"/>
      <c r="U347" s="16"/>
      <c r="V347" s="16"/>
      <c r="W347" s="16">
        <f>ROUND(IF(D347=Table!$C$3,Y347*Table!$C$4/8,Y347*Table!$D$4/8),3)</f>
        <v>90</v>
      </c>
      <c r="X347" s="191">
        <f t="shared" si="58"/>
        <v>90</v>
      </c>
      <c r="Y347" s="191">
        <v>1.6</v>
      </c>
      <c r="Z347" s="191">
        <f t="shared" ref="Z347:Z352" si="63">Y347</f>
        <v>1.6</v>
      </c>
      <c r="AA347" s="16" t="s">
        <v>21</v>
      </c>
      <c r="AB347" s="81"/>
      <c r="AC347" s="81">
        <v>44078</v>
      </c>
      <c r="AD347" s="81">
        <v>44081</v>
      </c>
      <c r="AE347" s="81">
        <v>44078</v>
      </c>
      <c r="AF347" s="81">
        <v>44078</v>
      </c>
      <c r="AG347" s="81" t="s">
        <v>155</v>
      </c>
      <c r="AH347" s="82">
        <v>1</v>
      </c>
      <c r="AI347" s="82">
        <v>1</v>
      </c>
      <c r="AJ347" s="82">
        <v>0.66</v>
      </c>
      <c r="AK347" s="87" t="s">
        <v>140</v>
      </c>
      <c r="AL347" s="84"/>
      <c r="AM347" s="15"/>
      <c r="AN347" s="15"/>
    </row>
    <row r="348" spans="2:40">
      <c r="B348" s="179">
        <f t="shared" si="62"/>
        <v>289</v>
      </c>
      <c r="C348" s="16">
        <v>20200904</v>
      </c>
      <c r="D348" s="16" t="s">
        <v>3</v>
      </c>
      <c r="E348" s="85" t="s">
        <v>1587</v>
      </c>
      <c r="F348" s="80"/>
      <c r="G348" s="47"/>
      <c r="H348" s="16" t="s">
        <v>1352</v>
      </c>
      <c r="I348" s="16" t="s">
        <v>1538</v>
      </c>
      <c r="J348" s="16" t="s">
        <v>246</v>
      </c>
      <c r="K348" s="47" t="s">
        <v>616</v>
      </c>
      <c r="L348" s="80" t="s">
        <v>1585</v>
      </c>
      <c r="M348" s="47"/>
      <c r="N348" s="16"/>
      <c r="O348" s="80" t="s">
        <v>1553</v>
      </c>
      <c r="P348" s="80" t="s">
        <v>1567</v>
      </c>
      <c r="Q348" s="18"/>
      <c r="R348" s="16" t="s">
        <v>197</v>
      </c>
      <c r="S348" s="16" t="s">
        <v>66</v>
      </c>
      <c r="T348" s="16"/>
      <c r="U348" s="16"/>
      <c r="V348" s="16"/>
      <c r="W348" s="16">
        <f>ROUND(IF(D348=Table!$C$3,Y348*Table!$C$4/8,Y348*Table!$D$4/8),3)</f>
        <v>67.5</v>
      </c>
      <c r="X348" s="191">
        <f>W348</f>
        <v>67.5</v>
      </c>
      <c r="Y348" s="191">
        <v>1.2</v>
      </c>
      <c r="Z348" s="191">
        <f t="shared" si="63"/>
        <v>1.2</v>
      </c>
      <c r="AA348" s="16" t="s">
        <v>21</v>
      </c>
      <c r="AB348" s="81"/>
      <c r="AC348" s="81">
        <v>44078</v>
      </c>
      <c r="AD348" s="81">
        <v>44081</v>
      </c>
      <c r="AE348" s="81">
        <v>44078</v>
      </c>
      <c r="AF348" s="81">
        <v>44078</v>
      </c>
      <c r="AG348" s="81" t="s">
        <v>155</v>
      </c>
      <c r="AH348" s="82">
        <v>1</v>
      </c>
      <c r="AI348" s="82">
        <v>1</v>
      </c>
      <c r="AJ348" s="82">
        <v>0.5</v>
      </c>
      <c r="AK348" s="87" t="s">
        <v>140</v>
      </c>
      <c r="AL348" s="84"/>
      <c r="AM348" s="15"/>
      <c r="AN348" s="15"/>
    </row>
    <row r="349" spans="2:40" hidden="1">
      <c r="B349" s="179">
        <f t="shared" si="62"/>
        <v>290</v>
      </c>
      <c r="C349" s="16">
        <v>20200904</v>
      </c>
      <c r="D349" s="16" t="s">
        <v>2</v>
      </c>
      <c r="E349" s="85" t="s">
        <v>1587</v>
      </c>
      <c r="F349" s="80"/>
      <c r="G349" s="47"/>
      <c r="H349" s="16" t="s">
        <v>1578</v>
      </c>
      <c r="I349" s="16" t="s">
        <v>1539</v>
      </c>
      <c r="J349" s="16" t="s">
        <v>246</v>
      </c>
      <c r="K349" s="47" t="s">
        <v>1575</v>
      </c>
      <c r="L349" s="80" t="s">
        <v>1585</v>
      </c>
      <c r="M349" s="47"/>
      <c r="N349" s="16"/>
      <c r="O349" s="80" t="s">
        <v>1554</v>
      </c>
      <c r="P349" s="80" t="s">
        <v>1568</v>
      </c>
      <c r="Q349" s="18"/>
      <c r="R349" s="16" t="s">
        <v>198</v>
      </c>
      <c r="S349" s="16" t="s">
        <v>132</v>
      </c>
      <c r="T349" s="16"/>
      <c r="U349" s="16"/>
      <c r="V349" s="16"/>
      <c r="W349" s="16">
        <f>ROUND(IF(D349=Table!$C$3,Y349*Table!$C$4/8,Y349*Table!$D$4/8),3)</f>
        <v>26</v>
      </c>
      <c r="X349" s="191">
        <f>W349</f>
        <v>26</v>
      </c>
      <c r="Y349" s="191">
        <v>1.6</v>
      </c>
      <c r="Z349" s="191">
        <f t="shared" si="63"/>
        <v>1.6</v>
      </c>
      <c r="AA349" s="16" t="s">
        <v>21</v>
      </c>
      <c r="AB349" s="81"/>
      <c r="AC349" s="81">
        <v>44078</v>
      </c>
      <c r="AD349" s="81">
        <v>44081</v>
      </c>
      <c r="AE349" s="81">
        <v>44078</v>
      </c>
      <c r="AF349" s="81">
        <v>44078</v>
      </c>
      <c r="AG349" s="81" t="s">
        <v>155</v>
      </c>
      <c r="AH349" s="82">
        <v>0.83299999999999996</v>
      </c>
      <c r="AI349" s="82">
        <v>0.83899999999999997</v>
      </c>
      <c r="AJ349" s="82">
        <v>1</v>
      </c>
      <c r="AK349" s="87" t="s">
        <v>140</v>
      </c>
      <c r="AL349" s="258" t="s">
        <v>1812</v>
      </c>
      <c r="AM349" s="15"/>
      <c r="AN349" s="15"/>
    </row>
    <row r="350" spans="2:40" hidden="1">
      <c r="B350" s="179">
        <f t="shared" si="62"/>
        <v>291</v>
      </c>
      <c r="C350" s="16">
        <v>20200904</v>
      </c>
      <c r="D350" s="16" t="s">
        <v>2</v>
      </c>
      <c r="E350" s="85" t="s">
        <v>1587</v>
      </c>
      <c r="F350" s="80"/>
      <c r="G350" s="47"/>
      <c r="H350" s="16" t="s">
        <v>1579</v>
      </c>
      <c r="I350" s="16" t="s">
        <v>1540</v>
      </c>
      <c r="J350" s="16" t="s">
        <v>246</v>
      </c>
      <c r="K350" s="47" t="s">
        <v>1576</v>
      </c>
      <c r="L350" s="80" t="s">
        <v>1585</v>
      </c>
      <c r="M350" s="47"/>
      <c r="N350" s="16"/>
      <c r="O350" s="80" t="s">
        <v>1555</v>
      </c>
      <c r="P350" s="80" t="s">
        <v>1568</v>
      </c>
      <c r="Q350" s="18"/>
      <c r="R350" s="16" t="s">
        <v>198</v>
      </c>
      <c r="S350" s="16" t="s">
        <v>132</v>
      </c>
      <c r="T350" s="16"/>
      <c r="U350" s="16"/>
      <c r="V350" s="16"/>
      <c r="W350" s="16">
        <f>ROUND(IF(D350=Table!$C$3,Y350*Table!$C$4/8,Y350*Table!$D$4/8),3)</f>
        <v>26</v>
      </c>
      <c r="X350" s="191">
        <f>W350</f>
        <v>26</v>
      </c>
      <c r="Y350" s="191">
        <v>1.6</v>
      </c>
      <c r="Z350" s="191">
        <f t="shared" si="63"/>
        <v>1.6</v>
      </c>
      <c r="AA350" s="16" t="s">
        <v>21</v>
      </c>
      <c r="AB350" s="81"/>
      <c r="AC350" s="81">
        <v>44078</v>
      </c>
      <c r="AD350" s="81">
        <v>44081</v>
      </c>
      <c r="AE350" s="81">
        <v>44078</v>
      </c>
      <c r="AF350" s="81">
        <v>44078</v>
      </c>
      <c r="AG350" s="81" t="s">
        <v>155</v>
      </c>
      <c r="AH350" s="82">
        <v>0.88700000000000001</v>
      </c>
      <c r="AI350" s="82">
        <v>0.89300000000000002</v>
      </c>
      <c r="AJ350" s="82">
        <v>1</v>
      </c>
      <c r="AK350" s="87" t="s">
        <v>140</v>
      </c>
      <c r="AL350" s="258" t="s">
        <v>1817</v>
      </c>
      <c r="AM350" s="15"/>
      <c r="AN350" s="15"/>
    </row>
    <row r="351" spans="2:40" hidden="1">
      <c r="B351" s="179">
        <f t="shared" si="62"/>
        <v>292</v>
      </c>
      <c r="C351" s="16">
        <v>20200904</v>
      </c>
      <c r="D351" s="16" t="s">
        <v>2</v>
      </c>
      <c r="E351" s="85" t="s">
        <v>1587</v>
      </c>
      <c r="F351" s="80"/>
      <c r="G351" s="47"/>
      <c r="H351" s="16" t="s">
        <v>1580</v>
      </c>
      <c r="I351" s="16" t="s">
        <v>1541</v>
      </c>
      <c r="J351" s="16" t="s">
        <v>246</v>
      </c>
      <c r="K351" s="47" t="s">
        <v>1577</v>
      </c>
      <c r="L351" s="80" t="s">
        <v>1585</v>
      </c>
      <c r="M351" s="47"/>
      <c r="N351" s="16"/>
      <c r="O351" s="80" t="s">
        <v>1556</v>
      </c>
      <c r="P351" s="80" t="s">
        <v>1568</v>
      </c>
      <c r="Q351" s="18"/>
      <c r="R351" s="16" t="s">
        <v>198</v>
      </c>
      <c r="S351" s="16" t="s">
        <v>132</v>
      </c>
      <c r="T351" s="16"/>
      <c r="U351" s="16"/>
      <c r="V351" s="16"/>
      <c r="W351" s="16">
        <f>ROUND(IF(D351=Table!$C$3,Y351*Table!$C$4/8,Y351*Table!$D$4/8),3)</f>
        <v>32.5</v>
      </c>
      <c r="X351" s="191">
        <f>W351</f>
        <v>32.5</v>
      </c>
      <c r="Y351" s="191">
        <v>2</v>
      </c>
      <c r="Z351" s="191">
        <f t="shared" si="63"/>
        <v>2</v>
      </c>
      <c r="AA351" s="16" t="s">
        <v>21</v>
      </c>
      <c r="AB351" s="81"/>
      <c r="AC351" s="81">
        <v>44078</v>
      </c>
      <c r="AD351" s="81">
        <v>44081</v>
      </c>
      <c r="AE351" s="81">
        <v>44081</v>
      </c>
      <c r="AF351" s="81">
        <v>44081</v>
      </c>
      <c r="AG351" s="81" t="s">
        <v>155</v>
      </c>
      <c r="AH351" s="82">
        <v>0.97299999999999998</v>
      </c>
      <c r="AI351" s="82">
        <v>0.97499999999999998</v>
      </c>
      <c r="AJ351" s="82">
        <v>0.66700000000000004</v>
      </c>
      <c r="AK351" s="87" t="s">
        <v>140</v>
      </c>
      <c r="AL351" s="258" t="s">
        <v>1834</v>
      </c>
      <c r="AM351" s="15"/>
      <c r="AN351" s="15"/>
    </row>
    <row r="352" spans="2:40">
      <c r="B352" s="179">
        <f t="shared" ref="B352:B383" si="64">B351+1</f>
        <v>293</v>
      </c>
      <c r="C352" s="16">
        <v>20200904</v>
      </c>
      <c r="D352" s="16" t="s">
        <v>3</v>
      </c>
      <c r="E352" s="85" t="s">
        <v>1587</v>
      </c>
      <c r="F352" s="80"/>
      <c r="G352" s="47"/>
      <c r="H352" s="16" t="s">
        <v>1359</v>
      </c>
      <c r="I352" s="16" t="s">
        <v>1542</v>
      </c>
      <c r="J352" s="16" t="s">
        <v>246</v>
      </c>
      <c r="K352" s="47"/>
      <c r="L352" s="80" t="s">
        <v>1585</v>
      </c>
      <c r="M352" s="47"/>
      <c r="N352" s="16"/>
      <c r="O352" s="80" t="s">
        <v>1557</v>
      </c>
      <c r="P352" s="80" t="s">
        <v>1569</v>
      </c>
      <c r="Q352" s="18"/>
      <c r="R352" s="16" t="s">
        <v>197</v>
      </c>
      <c r="S352" s="16" t="s">
        <v>66</v>
      </c>
      <c r="T352" s="16"/>
      <c r="U352" s="16"/>
      <c r="V352" s="16"/>
      <c r="W352" s="16">
        <f>ROUND(IF(D352=Table!$C$3,Y352*Table!$C$4/8,Y352*Table!$D$4/8),3)</f>
        <v>157.5</v>
      </c>
      <c r="X352" s="191">
        <f>W352</f>
        <v>157.5</v>
      </c>
      <c r="Y352" s="191">
        <v>2.8000000000000003</v>
      </c>
      <c r="Z352" s="191">
        <f t="shared" si="63"/>
        <v>2.8000000000000003</v>
      </c>
      <c r="AA352" s="16" t="s">
        <v>21</v>
      </c>
      <c r="AB352" s="81"/>
      <c r="AC352" s="81">
        <v>44078</v>
      </c>
      <c r="AD352" s="81">
        <v>44081</v>
      </c>
      <c r="AE352" s="81">
        <v>44078</v>
      </c>
      <c r="AF352" s="81">
        <v>44078</v>
      </c>
      <c r="AG352" s="81" t="s">
        <v>155</v>
      </c>
      <c r="AH352" s="82">
        <v>1</v>
      </c>
      <c r="AI352" s="82">
        <v>1</v>
      </c>
      <c r="AJ352" s="82">
        <v>0.9</v>
      </c>
      <c r="AK352" s="87" t="s">
        <v>140</v>
      </c>
      <c r="AL352" s="84"/>
      <c r="AM352" s="118"/>
      <c r="AN352" s="118"/>
    </row>
    <row r="353" spans="1:43" hidden="1">
      <c r="B353" s="179">
        <f t="shared" si="64"/>
        <v>294</v>
      </c>
      <c r="C353" s="16">
        <v>20200904</v>
      </c>
      <c r="D353" s="16" t="s">
        <v>3</v>
      </c>
      <c r="E353" s="85" t="s">
        <v>1587</v>
      </c>
      <c r="F353" s="80"/>
      <c r="G353" s="47"/>
      <c r="H353" s="16" t="s">
        <v>1455</v>
      </c>
      <c r="I353" s="16" t="s">
        <v>1543</v>
      </c>
      <c r="J353" s="16" t="s">
        <v>246</v>
      </c>
      <c r="K353" s="47" t="s">
        <v>616</v>
      </c>
      <c r="L353" s="80" t="s">
        <v>1585</v>
      </c>
      <c r="M353" s="47"/>
      <c r="N353" s="16"/>
      <c r="O353" s="80" t="s">
        <v>1558</v>
      </c>
      <c r="P353" s="80" t="s">
        <v>1570</v>
      </c>
      <c r="Q353" s="18"/>
      <c r="R353" s="16" t="s">
        <v>200</v>
      </c>
      <c r="S353" s="16" t="s">
        <v>133</v>
      </c>
      <c r="T353" s="16"/>
      <c r="U353" s="16"/>
      <c r="V353" s="16"/>
      <c r="W353" s="16">
        <f>ROUND(IF(D353=Table!$C$3,Y353*Table!$C$4/8,Y353*Table!$D$4/8),3)</f>
        <v>85.5</v>
      </c>
      <c r="X353" s="191">
        <v>85.5</v>
      </c>
      <c r="Y353" s="191">
        <v>1.52</v>
      </c>
      <c r="Z353" s="191">
        <v>1</v>
      </c>
      <c r="AA353" s="16" t="s">
        <v>21</v>
      </c>
      <c r="AB353" s="81"/>
      <c r="AC353" s="81">
        <v>44078</v>
      </c>
      <c r="AD353" s="81">
        <v>44081</v>
      </c>
      <c r="AE353" s="81">
        <v>44078</v>
      </c>
      <c r="AF353" s="81">
        <v>44078</v>
      </c>
      <c r="AG353" s="81" t="s">
        <v>155</v>
      </c>
      <c r="AH353" s="82">
        <v>1</v>
      </c>
      <c r="AI353" s="82">
        <v>1</v>
      </c>
      <c r="AJ353" s="82">
        <v>1</v>
      </c>
      <c r="AK353" s="87" t="s">
        <v>140</v>
      </c>
      <c r="AL353" s="84" t="s">
        <v>58</v>
      </c>
      <c r="AM353" s="17" t="s">
        <v>58</v>
      </c>
      <c r="AN353" s="17" t="s">
        <v>58</v>
      </c>
    </row>
    <row r="354" spans="1:43" s="187" customFormat="1" hidden="1">
      <c r="A354"/>
      <c r="B354" s="179">
        <f t="shared" si="64"/>
        <v>295</v>
      </c>
      <c r="C354" s="16">
        <v>20200904</v>
      </c>
      <c r="D354" s="16" t="s">
        <v>3</v>
      </c>
      <c r="E354" s="85" t="s">
        <v>1587</v>
      </c>
      <c r="F354" s="185"/>
      <c r="G354" s="185"/>
      <c r="H354" s="160" t="s">
        <v>1037</v>
      </c>
      <c r="I354" s="18" t="s">
        <v>1544</v>
      </c>
      <c r="J354" s="160" t="s">
        <v>246</v>
      </c>
      <c r="K354" s="185" t="s">
        <v>616</v>
      </c>
      <c r="L354" s="80" t="s">
        <v>1585</v>
      </c>
      <c r="M354" s="185"/>
      <c r="N354" s="160"/>
      <c r="O354" s="185" t="s">
        <v>1559</v>
      </c>
      <c r="P354" s="185" t="s">
        <v>1571</v>
      </c>
      <c r="Q354" s="160"/>
      <c r="R354" s="160" t="s">
        <v>201</v>
      </c>
      <c r="S354" s="160" t="s">
        <v>63</v>
      </c>
      <c r="T354" s="160"/>
      <c r="U354" s="160"/>
      <c r="V354" s="160"/>
      <c r="W354" s="16">
        <f>ROUND(IF(D354=Table!$C$3,Y354*Table!$C$4/8,Y354*Table!$D$4/8),3)</f>
        <v>337.5</v>
      </c>
      <c r="X354" s="191">
        <f t="shared" ref="X354" si="65">W354</f>
        <v>337.5</v>
      </c>
      <c r="Y354" s="191">
        <v>6</v>
      </c>
      <c r="Z354" s="191">
        <f t="shared" ref="Z354" si="66">Y354</f>
        <v>6</v>
      </c>
      <c r="AA354" s="16" t="s">
        <v>21</v>
      </c>
      <c r="AB354" s="186"/>
      <c r="AC354" s="81">
        <v>44078</v>
      </c>
      <c r="AD354" s="81">
        <v>44081</v>
      </c>
      <c r="AE354" s="81">
        <v>44079</v>
      </c>
      <c r="AF354" s="81">
        <v>44079</v>
      </c>
      <c r="AG354" s="81" t="s">
        <v>155</v>
      </c>
      <c r="AH354" s="82">
        <v>0.99</v>
      </c>
      <c r="AI354" s="82">
        <v>0.97</v>
      </c>
      <c r="AJ354" s="82">
        <v>0.94</v>
      </c>
      <c r="AK354" s="81" t="s">
        <v>140</v>
      </c>
      <c r="AL354" s="81" t="s">
        <v>1831</v>
      </c>
      <c r="AM354" s="81"/>
      <c r="AN354" s="81"/>
      <c r="AO354" s="336"/>
      <c r="AP354" s="336"/>
      <c r="AQ354" s="111"/>
    </row>
    <row r="355" spans="1:43" hidden="1">
      <c r="B355" s="179">
        <f t="shared" si="64"/>
        <v>296</v>
      </c>
      <c r="C355" s="16">
        <v>20200904</v>
      </c>
      <c r="D355" s="16" t="s">
        <v>3</v>
      </c>
      <c r="E355" s="85" t="s">
        <v>1587</v>
      </c>
      <c r="F355" s="80"/>
      <c r="G355" s="47"/>
      <c r="H355" t="s">
        <v>1581</v>
      </c>
      <c r="I355" s="16" t="s">
        <v>1545</v>
      </c>
      <c r="J355" s="16" t="s">
        <v>246</v>
      </c>
      <c r="K355" s="47" t="s">
        <v>616</v>
      </c>
      <c r="L355" s="80" t="s">
        <v>1585</v>
      </c>
      <c r="M355" s="47"/>
      <c r="N355" s="16"/>
      <c r="O355" s="80" t="s">
        <v>1560</v>
      </c>
      <c r="P355" s="80" t="s">
        <v>1572</v>
      </c>
      <c r="Q355" s="18"/>
      <c r="R355" s="16" t="s">
        <v>200</v>
      </c>
      <c r="S355" s="16" t="s">
        <v>133</v>
      </c>
      <c r="T355" s="16"/>
      <c r="U355" s="16"/>
      <c r="V355" s="16"/>
      <c r="W355" s="16">
        <f>ROUND(IF(D355=Table!$C$3,Y355*Table!$C$4/8,Y355*Table!$D$4/8),3)</f>
        <v>45</v>
      </c>
      <c r="X355" s="191">
        <v>45</v>
      </c>
      <c r="Y355" s="191">
        <v>0.8</v>
      </c>
      <c r="Z355" s="191">
        <v>0.5</v>
      </c>
      <c r="AA355" s="16" t="s">
        <v>21</v>
      </c>
      <c r="AB355" s="81"/>
      <c r="AC355" s="81">
        <v>44078</v>
      </c>
      <c r="AD355" s="81">
        <v>44081</v>
      </c>
      <c r="AE355" s="81">
        <v>44078</v>
      </c>
      <c r="AF355" s="81">
        <v>44078</v>
      </c>
      <c r="AG355" s="81" t="s">
        <v>155</v>
      </c>
      <c r="AH355" s="82">
        <v>1</v>
      </c>
      <c r="AI355" s="82">
        <v>1</v>
      </c>
      <c r="AJ355" s="82">
        <v>0.5</v>
      </c>
      <c r="AK355" s="333" t="s">
        <v>140</v>
      </c>
      <c r="AL355" s="333" t="s">
        <v>58</v>
      </c>
      <c r="AM355" s="191" t="s">
        <v>58</v>
      </c>
      <c r="AN355" s="191" t="s">
        <v>58</v>
      </c>
      <c r="AO355" s="336"/>
      <c r="AP355" s="336"/>
    </row>
    <row r="356" spans="1:43" hidden="1">
      <c r="B356" s="179">
        <f t="shared" si="64"/>
        <v>297</v>
      </c>
      <c r="C356" s="16">
        <v>20200904</v>
      </c>
      <c r="D356" s="16" t="s">
        <v>3</v>
      </c>
      <c r="E356" s="85" t="s">
        <v>1587</v>
      </c>
      <c r="F356" s="80"/>
      <c r="G356" s="47"/>
      <c r="H356" s="16" t="s">
        <v>1582</v>
      </c>
      <c r="I356" s="16" t="s">
        <v>1546</v>
      </c>
      <c r="J356" s="16" t="s">
        <v>246</v>
      </c>
      <c r="K356" s="47" t="s">
        <v>616</v>
      </c>
      <c r="L356" s="80" t="s">
        <v>1585</v>
      </c>
      <c r="M356" s="47"/>
      <c r="N356" s="16"/>
      <c r="O356" s="80" t="s">
        <v>1561</v>
      </c>
      <c r="P356" s="80" t="s">
        <v>1572</v>
      </c>
      <c r="Q356" s="18"/>
      <c r="R356" s="16" t="s">
        <v>200</v>
      </c>
      <c r="S356" s="16" t="s">
        <v>133</v>
      </c>
      <c r="T356" s="16"/>
      <c r="U356" s="81"/>
      <c r="V356" s="81"/>
      <c r="W356" s="191">
        <f>ROUND(IF(D356=Table!$C$3,Y356*Table!$C$4/8,Y356*Table!$D$4/8),3)</f>
        <v>85.5</v>
      </c>
      <c r="X356" s="191">
        <v>85.5</v>
      </c>
      <c r="Y356" s="191">
        <v>1.52</v>
      </c>
      <c r="Z356" s="191">
        <v>1</v>
      </c>
      <c r="AA356" s="191" t="s">
        <v>21</v>
      </c>
      <c r="AB356" s="81"/>
      <c r="AC356" s="81">
        <v>44078</v>
      </c>
      <c r="AD356" s="81">
        <v>44081</v>
      </c>
      <c r="AE356" s="81">
        <v>44078</v>
      </c>
      <c r="AF356" s="81">
        <v>44078</v>
      </c>
      <c r="AG356" s="81" t="s">
        <v>155</v>
      </c>
      <c r="AH356" s="82">
        <v>1</v>
      </c>
      <c r="AI356" s="82">
        <v>1</v>
      </c>
      <c r="AJ356" s="82">
        <v>0.8</v>
      </c>
      <c r="AK356" s="333" t="s">
        <v>140</v>
      </c>
      <c r="AL356" s="333" t="s">
        <v>58</v>
      </c>
      <c r="AM356" s="191" t="s">
        <v>58</v>
      </c>
      <c r="AN356" s="191" t="s">
        <v>58</v>
      </c>
      <c r="AO356" s="336"/>
      <c r="AP356" s="336"/>
    </row>
    <row r="357" spans="1:43" hidden="1">
      <c r="B357" s="179">
        <f t="shared" si="64"/>
        <v>298</v>
      </c>
      <c r="C357" s="16">
        <v>20200904</v>
      </c>
      <c r="D357" s="16" t="s">
        <v>3</v>
      </c>
      <c r="E357" s="85" t="s">
        <v>1587</v>
      </c>
      <c r="F357" s="80"/>
      <c r="G357" s="47"/>
      <c r="H357" s="16" t="s">
        <v>1583</v>
      </c>
      <c r="I357" s="16" t="s">
        <v>1547</v>
      </c>
      <c r="J357" s="16" t="s">
        <v>246</v>
      </c>
      <c r="K357" s="47" t="s">
        <v>616</v>
      </c>
      <c r="L357" s="80" t="s">
        <v>1585</v>
      </c>
      <c r="M357" s="47"/>
      <c r="N357" s="16"/>
      <c r="O357" s="80" t="s">
        <v>1562</v>
      </c>
      <c r="P357" s="80" t="s">
        <v>1573</v>
      </c>
      <c r="Q357" s="18"/>
      <c r="R357" s="16" t="s">
        <v>199</v>
      </c>
      <c r="S357" s="16" t="s">
        <v>174</v>
      </c>
      <c r="T357" s="16"/>
      <c r="U357" s="81"/>
      <c r="V357" s="81"/>
      <c r="W357" s="191">
        <f>ROUND(IF(D357=Table!$C$3,Y357*Table!$C$4/8,Y357*Table!$D$4/8),3)</f>
        <v>31.5</v>
      </c>
      <c r="X357" s="191">
        <f t="shared" ref="X357:X372" si="67">W357</f>
        <v>31.5</v>
      </c>
      <c r="Y357" s="191">
        <v>0.56000000000000005</v>
      </c>
      <c r="Z357" s="191">
        <f>Y357</f>
        <v>0.56000000000000005</v>
      </c>
      <c r="AA357" s="191" t="s">
        <v>21</v>
      </c>
      <c r="AB357" s="81"/>
      <c r="AC357" s="81">
        <v>44078</v>
      </c>
      <c r="AD357" s="81">
        <v>44081</v>
      </c>
      <c r="AE357" s="81">
        <v>44078</v>
      </c>
      <c r="AF357" s="81">
        <v>44078</v>
      </c>
      <c r="AG357" s="81" t="s">
        <v>155</v>
      </c>
      <c r="AH357" s="82">
        <v>0.97</v>
      </c>
      <c r="AI357" s="82">
        <v>0.79</v>
      </c>
      <c r="AJ357" s="82">
        <v>1</v>
      </c>
      <c r="AK357" s="81" t="s">
        <v>140</v>
      </c>
      <c r="AL357" s="81" t="s">
        <v>1586</v>
      </c>
      <c r="AM357" s="81"/>
      <c r="AN357" s="81"/>
      <c r="AO357" s="336"/>
      <c r="AP357" s="336"/>
    </row>
    <row r="358" spans="1:43" hidden="1">
      <c r="B358" s="179">
        <f t="shared" si="64"/>
        <v>299</v>
      </c>
      <c r="C358" s="16">
        <v>20200904</v>
      </c>
      <c r="D358" s="16" t="s">
        <v>3</v>
      </c>
      <c r="E358" s="85" t="s">
        <v>1587</v>
      </c>
      <c r="F358" s="80"/>
      <c r="G358" s="47"/>
      <c r="H358" s="16" t="s">
        <v>1584</v>
      </c>
      <c r="I358" s="16" t="s">
        <v>1548</v>
      </c>
      <c r="J358" s="16" t="s">
        <v>246</v>
      </c>
      <c r="K358" s="47" t="s">
        <v>616</v>
      </c>
      <c r="L358" s="80" t="s">
        <v>1585</v>
      </c>
      <c r="M358" s="47"/>
      <c r="N358" s="16"/>
      <c r="O358" s="80" t="s">
        <v>1563</v>
      </c>
      <c r="P358" s="80" t="s">
        <v>1572</v>
      </c>
      <c r="Q358" s="18"/>
      <c r="R358" s="16" t="s">
        <v>199</v>
      </c>
      <c r="S358" s="16" t="s">
        <v>174</v>
      </c>
      <c r="T358" s="16"/>
      <c r="U358" s="81"/>
      <c r="V358" s="81"/>
      <c r="W358" s="191">
        <f>ROUND(IF(D358=Table!$C$3,Y358*Table!$C$4/8,Y358*Table!$D$4/8),3)</f>
        <v>45</v>
      </c>
      <c r="X358" s="191">
        <f t="shared" si="67"/>
        <v>45</v>
      </c>
      <c r="Y358" s="191">
        <v>0.8</v>
      </c>
      <c r="Z358" s="191">
        <f>Y358</f>
        <v>0.8</v>
      </c>
      <c r="AA358" s="191" t="s">
        <v>21</v>
      </c>
      <c r="AB358" s="81"/>
      <c r="AC358" s="81">
        <v>44078</v>
      </c>
      <c r="AD358" s="81">
        <v>44081</v>
      </c>
      <c r="AE358" s="81">
        <v>44078</v>
      </c>
      <c r="AF358" s="81">
        <v>44078</v>
      </c>
      <c r="AG358" s="81" t="s">
        <v>155</v>
      </c>
      <c r="AH358" s="82">
        <v>1</v>
      </c>
      <c r="AI358" s="82">
        <v>1</v>
      </c>
      <c r="AJ358" s="82">
        <v>0.85</v>
      </c>
      <c r="AK358" s="81" t="s">
        <v>140</v>
      </c>
      <c r="AL358" s="81"/>
      <c r="AM358" s="81"/>
      <c r="AN358" s="81"/>
      <c r="AO358" s="336"/>
      <c r="AP358" s="336"/>
    </row>
    <row r="359" spans="1:43" hidden="1">
      <c r="B359" s="179">
        <f t="shared" si="64"/>
        <v>300</v>
      </c>
      <c r="C359" s="16">
        <v>20200904</v>
      </c>
      <c r="D359" s="16" t="s">
        <v>3</v>
      </c>
      <c r="E359" s="85" t="s">
        <v>1587</v>
      </c>
      <c r="F359" s="80"/>
      <c r="G359" s="47"/>
      <c r="H359" s="16" t="s">
        <v>253</v>
      </c>
      <c r="I359" s="16" t="s">
        <v>1549</v>
      </c>
      <c r="J359" s="16" t="s">
        <v>246</v>
      </c>
      <c r="K359" s="47" t="s">
        <v>616</v>
      </c>
      <c r="L359" s="80" t="s">
        <v>1585</v>
      </c>
      <c r="M359" s="47"/>
      <c r="N359" s="16"/>
      <c r="O359" s="80" t="s">
        <v>1564</v>
      </c>
      <c r="P359" s="80" t="s">
        <v>1571</v>
      </c>
      <c r="Q359" s="18"/>
      <c r="R359" s="16" t="s">
        <v>199</v>
      </c>
      <c r="S359" s="16" t="s">
        <v>174</v>
      </c>
      <c r="T359" s="16"/>
      <c r="U359" s="81"/>
      <c r="V359" s="81"/>
      <c r="W359" s="191">
        <f>ROUND(IF(D359=Table!$C$3,Y359*Table!$C$4/8,Y359*Table!$D$4/8),3)</f>
        <v>31.5</v>
      </c>
      <c r="X359" s="191">
        <f t="shared" si="67"/>
        <v>31.5</v>
      </c>
      <c r="Y359" s="191">
        <v>0.56000000000000005</v>
      </c>
      <c r="Z359" s="191">
        <f>Y359</f>
        <v>0.56000000000000005</v>
      </c>
      <c r="AA359" s="191" t="s">
        <v>21</v>
      </c>
      <c r="AB359" s="81"/>
      <c r="AC359" s="81">
        <v>44078</v>
      </c>
      <c r="AD359" s="81">
        <v>44081</v>
      </c>
      <c r="AE359" s="81">
        <v>44078</v>
      </c>
      <c r="AF359" s="81">
        <v>44078</v>
      </c>
      <c r="AG359" s="81" t="s">
        <v>155</v>
      </c>
      <c r="AH359" s="82">
        <v>1</v>
      </c>
      <c r="AI359" s="82">
        <v>1</v>
      </c>
      <c r="AJ359" s="82">
        <v>1</v>
      </c>
      <c r="AK359" s="81" t="s">
        <v>140</v>
      </c>
      <c r="AL359" s="81"/>
      <c r="AM359" s="81"/>
      <c r="AN359" s="81"/>
      <c r="AO359" s="336"/>
      <c r="AP359" s="336"/>
    </row>
    <row r="360" spans="1:43" hidden="1">
      <c r="B360" s="179">
        <f t="shared" si="64"/>
        <v>301</v>
      </c>
      <c r="C360" s="16">
        <v>20200904</v>
      </c>
      <c r="D360" s="16" t="s">
        <v>3</v>
      </c>
      <c r="E360" s="85" t="s">
        <v>1587</v>
      </c>
      <c r="F360" s="80"/>
      <c r="G360" s="47"/>
      <c r="H360" s="16" t="s">
        <v>292</v>
      </c>
      <c r="I360" s="16" t="s">
        <v>1550</v>
      </c>
      <c r="J360" s="16" t="s">
        <v>208</v>
      </c>
      <c r="K360" s="47"/>
      <c r="L360" s="80" t="s">
        <v>1585</v>
      </c>
      <c r="M360" s="47"/>
      <c r="N360" s="16"/>
      <c r="O360" s="80" t="s">
        <v>1565</v>
      </c>
      <c r="P360" s="80" t="s">
        <v>1574</v>
      </c>
      <c r="Q360" s="18"/>
      <c r="R360" s="16" t="s">
        <v>199</v>
      </c>
      <c r="S360" s="16" t="s">
        <v>174</v>
      </c>
      <c r="T360" s="16"/>
      <c r="U360" s="81"/>
      <c r="V360" s="81"/>
      <c r="W360" s="191">
        <f>ROUND(IF(D360=Table!$C$3,Y360*Table!$C$4/8,Y360*Table!$D$4/8),3)</f>
        <v>45</v>
      </c>
      <c r="X360" s="191">
        <f t="shared" si="67"/>
        <v>45</v>
      </c>
      <c r="Y360" s="191">
        <v>0.8</v>
      </c>
      <c r="Z360" s="191">
        <f>Y360</f>
        <v>0.8</v>
      </c>
      <c r="AA360" s="191" t="s">
        <v>21</v>
      </c>
      <c r="AB360" s="81"/>
      <c r="AC360" s="81">
        <v>44078</v>
      </c>
      <c r="AD360" s="81">
        <v>44081</v>
      </c>
      <c r="AE360" s="81">
        <v>44078</v>
      </c>
      <c r="AF360" s="81">
        <v>44078</v>
      </c>
      <c r="AG360" s="81" t="s">
        <v>155</v>
      </c>
      <c r="AH360" s="82">
        <v>0.92</v>
      </c>
      <c r="AI360" s="82">
        <v>0.57999999999999996</v>
      </c>
      <c r="AJ360" s="82">
        <v>0</v>
      </c>
      <c r="AK360" s="81" t="s">
        <v>140</v>
      </c>
      <c r="AL360" s="81" t="s">
        <v>1813</v>
      </c>
      <c r="AM360" s="81"/>
      <c r="AN360" s="81"/>
      <c r="AO360" s="336"/>
      <c r="AP360" s="336"/>
    </row>
    <row r="361" spans="1:43" hidden="1">
      <c r="B361" s="179">
        <f t="shared" si="64"/>
        <v>302</v>
      </c>
      <c r="C361" s="16">
        <v>20200904</v>
      </c>
      <c r="D361" s="16" t="s">
        <v>3</v>
      </c>
      <c r="E361" s="85" t="s">
        <v>1587</v>
      </c>
      <c r="F361" s="80"/>
      <c r="G361" s="47"/>
      <c r="H361" s="16" t="s">
        <v>255</v>
      </c>
      <c r="I361" s="16" t="s">
        <v>1551</v>
      </c>
      <c r="J361" s="16" t="s">
        <v>246</v>
      </c>
      <c r="K361" s="47" t="s">
        <v>616</v>
      </c>
      <c r="L361" s="80" t="s">
        <v>1585</v>
      </c>
      <c r="M361" s="47"/>
      <c r="N361" s="16"/>
      <c r="O361" s="80" t="s">
        <v>1566</v>
      </c>
      <c r="P361" s="80" t="s">
        <v>1574</v>
      </c>
      <c r="Q361" s="18"/>
      <c r="R361" s="16" t="s">
        <v>199</v>
      </c>
      <c r="S361" s="16" t="s">
        <v>174</v>
      </c>
      <c r="T361" s="16"/>
      <c r="U361" s="81"/>
      <c r="V361" s="81"/>
      <c r="W361" s="191">
        <f>ROUND(IF(D361=Table!$C$3,Y361*Table!$C$4/8,Y361*Table!$D$4/8),3)</f>
        <v>31.5</v>
      </c>
      <c r="X361" s="191">
        <f t="shared" si="67"/>
        <v>31.5</v>
      </c>
      <c r="Y361" s="191">
        <v>0.56000000000000005</v>
      </c>
      <c r="Z361" s="191">
        <f>Y361</f>
        <v>0.56000000000000005</v>
      </c>
      <c r="AA361" s="191" t="s">
        <v>21</v>
      </c>
      <c r="AB361" s="81"/>
      <c r="AC361" s="81">
        <v>44078</v>
      </c>
      <c r="AD361" s="81">
        <v>44081</v>
      </c>
      <c r="AE361" s="81">
        <v>44078</v>
      </c>
      <c r="AF361" s="81">
        <v>44078</v>
      </c>
      <c r="AG361" s="81" t="s">
        <v>155</v>
      </c>
      <c r="AH361" s="82">
        <v>1</v>
      </c>
      <c r="AI361" s="82">
        <v>1</v>
      </c>
      <c r="AJ361" s="82">
        <v>1</v>
      </c>
      <c r="AK361" s="81" t="s">
        <v>140</v>
      </c>
      <c r="AL361" s="81"/>
      <c r="AM361" s="81"/>
      <c r="AN361" s="81"/>
      <c r="AO361" s="336"/>
      <c r="AP361" s="336"/>
    </row>
    <row r="362" spans="1:43" s="187" customFormat="1" hidden="1">
      <c r="B362" s="159">
        <f t="shared" si="64"/>
        <v>303</v>
      </c>
      <c r="C362" s="160">
        <v>20200904</v>
      </c>
      <c r="D362" s="160" t="s">
        <v>3</v>
      </c>
      <c r="E362" s="184" t="s">
        <v>1811</v>
      </c>
      <c r="F362" s="185" t="s">
        <v>2091</v>
      </c>
      <c r="G362" s="185"/>
      <c r="H362" s="160" t="s">
        <v>1351</v>
      </c>
      <c r="I362" s="160" t="s">
        <v>1593</v>
      </c>
      <c r="J362" s="160" t="s">
        <v>1454</v>
      </c>
      <c r="K362" s="185"/>
      <c r="L362" s="185" t="s">
        <v>1810</v>
      </c>
      <c r="M362" s="185"/>
      <c r="N362" s="160"/>
      <c r="O362" s="185" t="s">
        <v>1677</v>
      </c>
      <c r="P362" s="185" t="s">
        <v>1735</v>
      </c>
      <c r="Q362" s="160"/>
      <c r="R362" s="160" t="s">
        <v>197</v>
      </c>
      <c r="S362" s="16" t="s">
        <v>61</v>
      </c>
      <c r="T362" s="160"/>
      <c r="U362" s="186"/>
      <c r="V362" s="186"/>
      <c r="W362" s="192">
        <f>ROUND(IF(D362=Table!$C$3,Y362*Table!$C$4/8,Y362*Table!$D$4/8),3)</f>
        <v>81</v>
      </c>
      <c r="X362" s="192">
        <f t="shared" si="67"/>
        <v>81</v>
      </c>
      <c r="Y362" s="192">
        <v>1.44</v>
      </c>
      <c r="Z362" s="192"/>
      <c r="AA362" s="191" t="s">
        <v>21</v>
      </c>
      <c r="AB362" s="186"/>
      <c r="AC362" s="186">
        <v>44081</v>
      </c>
      <c r="AD362" s="186">
        <v>44085</v>
      </c>
      <c r="AE362" s="186">
        <v>44078</v>
      </c>
      <c r="AF362" s="81">
        <v>44078</v>
      </c>
      <c r="AG362" s="81" t="s">
        <v>155</v>
      </c>
      <c r="AH362" s="82">
        <v>1</v>
      </c>
      <c r="AI362" s="82">
        <v>1</v>
      </c>
      <c r="AJ362" s="82">
        <v>1</v>
      </c>
      <c r="AK362" s="81" t="s">
        <v>140</v>
      </c>
      <c r="AL362" s="81"/>
      <c r="AM362" s="81"/>
      <c r="AN362" s="81"/>
      <c r="AO362" s="336"/>
      <c r="AP362" s="336"/>
      <c r="AQ362" s="111"/>
    </row>
    <row r="363" spans="1:43" hidden="1">
      <c r="B363" s="195">
        <f t="shared" si="64"/>
        <v>304</v>
      </c>
      <c r="C363" s="16">
        <v>20200904</v>
      </c>
      <c r="D363" s="16" t="s">
        <v>3</v>
      </c>
      <c r="E363" s="85" t="s">
        <v>1811</v>
      </c>
      <c r="F363" s="80" t="s">
        <v>2092</v>
      </c>
      <c r="G363" s="47"/>
      <c r="H363" s="16" t="s">
        <v>1353</v>
      </c>
      <c r="I363" s="16" t="s">
        <v>1594</v>
      </c>
      <c r="J363" s="16" t="s">
        <v>1454</v>
      </c>
      <c r="K363" s="47"/>
      <c r="L363" s="80" t="s">
        <v>1810</v>
      </c>
      <c r="M363" s="47"/>
      <c r="N363" s="16"/>
      <c r="O363" s="80" t="s">
        <v>1678</v>
      </c>
      <c r="P363" s="80" t="s">
        <v>1736</v>
      </c>
      <c r="Q363" s="18"/>
      <c r="R363" s="16" t="s">
        <v>197</v>
      </c>
      <c r="S363" s="16" t="s">
        <v>61</v>
      </c>
      <c r="T363" s="16"/>
      <c r="U363" s="81"/>
      <c r="V363" s="81"/>
      <c r="W363" s="191">
        <f>ROUND(IF(D363=Table!$C$3,Y363*Table!$C$4/8,Y363*Table!$D$4/8),3)</f>
        <v>54</v>
      </c>
      <c r="X363" s="191">
        <f t="shared" si="67"/>
        <v>54</v>
      </c>
      <c r="Y363" s="191">
        <v>0.96</v>
      </c>
      <c r="AA363" s="191" t="s">
        <v>21</v>
      </c>
      <c r="AB363" s="81"/>
      <c r="AC363" s="81">
        <v>44081</v>
      </c>
      <c r="AD363" s="81">
        <v>44085</v>
      </c>
      <c r="AE363" s="81">
        <v>44078</v>
      </c>
      <c r="AF363" s="81">
        <v>44078</v>
      </c>
      <c r="AG363" s="81" t="s">
        <v>155</v>
      </c>
      <c r="AH363" s="82">
        <v>1</v>
      </c>
      <c r="AI363" s="82">
        <v>1</v>
      </c>
      <c r="AJ363" s="82">
        <v>0.8</v>
      </c>
      <c r="AK363" s="81" t="s">
        <v>140</v>
      </c>
      <c r="AL363" s="81"/>
      <c r="AM363" s="81"/>
      <c r="AN363" s="81"/>
      <c r="AO363" s="336"/>
      <c r="AP363" s="336"/>
    </row>
    <row r="364" spans="1:43" hidden="1">
      <c r="B364" s="195">
        <f t="shared" si="64"/>
        <v>305</v>
      </c>
      <c r="C364" s="16">
        <v>20200904</v>
      </c>
      <c r="D364" s="16" t="s">
        <v>3</v>
      </c>
      <c r="E364" s="85" t="s">
        <v>1811</v>
      </c>
      <c r="F364" s="80" t="s">
        <v>2093</v>
      </c>
      <c r="G364" s="47"/>
      <c r="H364" s="16" t="s">
        <v>1354</v>
      </c>
      <c r="I364" s="16" t="s">
        <v>1595</v>
      </c>
      <c r="J364" s="16" t="s">
        <v>1454</v>
      </c>
      <c r="K364" s="47"/>
      <c r="L364" s="80" t="s">
        <v>1810</v>
      </c>
      <c r="M364" s="47"/>
      <c r="N364" s="16"/>
      <c r="O364" s="80" t="s">
        <v>1679</v>
      </c>
      <c r="P364" s="80" t="s">
        <v>1737</v>
      </c>
      <c r="Q364" s="18"/>
      <c r="R364" s="16" t="s">
        <v>197</v>
      </c>
      <c r="S364" s="16" t="s">
        <v>61</v>
      </c>
      <c r="T364" s="16"/>
      <c r="U364" s="81"/>
      <c r="V364" s="81"/>
      <c r="W364" s="191">
        <f>ROUND(IF(D364=Table!$C$3,Y364*Table!$C$4/8,Y364*Table!$D$4/8),3)</f>
        <v>54</v>
      </c>
      <c r="X364" s="191">
        <f t="shared" si="67"/>
        <v>54</v>
      </c>
      <c r="Y364" s="191">
        <v>0.96</v>
      </c>
      <c r="Z364" s="191"/>
      <c r="AA364" s="191" t="s">
        <v>21</v>
      </c>
      <c r="AB364" s="81"/>
      <c r="AC364" s="81">
        <v>44081</v>
      </c>
      <c r="AD364" s="81">
        <v>44085</v>
      </c>
      <c r="AE364" s="81">
        <v>44078</v>
      </c>
      <c r="AF364" s="81">
        <v>44078</v>
      </c>
      <c r="AG364" s="81" t="s">
        <v>155</v>
      </c>
      <c r="AH364" s="82">
        <v>1</v>
      </c>
      <c r="AI364" s="82">
        <v>1</v>
      </c>
      <c r="AJ364" s="82">
        <v>1</v>
      </c>
      <c r="AK364" s="81" t="s">
        <v>140</v>
      </c>
      <c r="AL364" s="81"/>
      <c r="AM364" s="81"/>
      <c r="AN364" s="81"/>
      <c r="AO364" s="336"/>
      <c r="AP364" s="336"/>
    </row>
    <row r="365" spans="1:43" hidden="1">
      <c r="B365" s="195">
        <f t="shared" si="64"/>
        <v>306</v>
      </c>
      <c r="C365" s="16">
        <v>20200904</v>
      </c>
      <c r="D365" s="16" t="s">
        <v>3</v>
      </c>
      <c r="E365" s="85" t="s">
        <v>1811</v>
      </c>
      <c r="F365" s="80" t="s">
        <v>2094</v>
      </c>
      <c r="G365" s="47"/>
      <c r="H365" s="16" t="s">
        <v>273</v>
      </c>
      <c r="I365" s="16" t="s">
        <v>1596</v>
      </c>
      <c r="J365" s="16" t="s">
        <v>1454</v>
      </c>
      <c r="K365" s="47"/>
      <c r="L365" s="80" t="s">
        <v>1810</v>
      </c>
      <c r="M365" s="47"/>
      <c r="N365" s="16"/>
      <c r="O365" s="80" t="s">
        <v>1680</v>
      </c>
      <c r="P365" s="80" t="s">
        <v>1738</v>
      </c>
      <c r="Q365" s="18"/>
      <c r="R365" s="16" t="s">
        <v>197</v>
      </c>
      <c r="S365" s="16" t="s">
        <v>61</v>
      </c>
      <c r="T365" s="16"/>
      <c r="U365" s="81"/>
      <c r="V365" s="81"/>
      <c r="W365" s="191">
        <f>ROUND(IF(D365=Table!$C$3,Y365*Table!$C$4/8,Y365*Table!$D$4/8),3)</f>
        <v>135</v>
      </c>
      <c r="X365" s="191">
        <f t="shared" si="67"/>
        <v>135</v>
      </c>
      <c r="Y365" s="191">
        <v>2.4</v>
      </c>
      <c r="Z365" s="191"/>
      <c r="AA365" s="191" t="s">
        <v>21</v>
      </c>
      <c r="AB365" s="81"/>
      <c r="AC365" s="81">
        <v>44081</v>
      </c>
      <c r="AD365" s="81">
        <v>44085</v>
      </c>
      <c r="AE365" s="81">
        <v>44078</v>
      </c>
      <c r="AF365" s="81">
        <v>44078</v>
      </c>
      <c r="AG365" s="81" t="s">
        <v>155</v>
      </c>
      <c r="AH365" s="82">
        <v>1</v>
      </c>
      <c r="AI365" s="82">
        <v>1</v>
      </c>
      <c r="AJ365" s="82">
        <v>1</v>
      </c>
      <c r="AK365" s="81" t="s">
        <v>140</v>
      </c>
      <c r="AL365" s="81"/>
      <c r="AM365" s="81"/>
      <c r="AN365" s="81"/>
      <c r="AO365" s="336"/>
      <c r="AP365" s="336"/>
    </row>
    <row r="366" spans="1:43" hidden="1">
      <c r="B366" s="195">
        <f t="shared" si="64"/>
        <v>307</v>
      </c>
      <c r="C366" s="16">
        <v>20200904</v>
      </c>
      <c r="D366" s="16" t="s">
        <v>3</v>
      </c>
      <c r="E366" s="85" t="s">
        <v>1811</v>
      </c>
      <c r="F366" s="80" t="s">
        <v>2095</v>
      </c>
      <c r="G366" s="47"/>
      <c r="H366" s="16" t="s">
        <v>274</v>
      </c>
      <c r="I366" s="16" t="s">
        <v>1597</v>
      </c>
      <c r="J366" s="16" t="s">
        <v>246</v>
      </c>
      <c r="K366" s="47"/>
      <c r="L366" s="80" t="s">
        <v>1810</v>
      </c>
      <c r="M366" s="47"/>
      <c r="N366" s="16"/>
      <c r="O366" s="80" t="s">
        <v>1681</v>
      </c>
      <c r="P366" s="80" t="s">
        <v>1739</v>
      </c>
      <c r="Q366" s="18"/>
      <c r="R366" s="16" t="s">
        <v>197</v>
      </c>
      <c r="S366" s="16" t="s">
        <v>61</v>
      </c>
      <c r="T366" s="16"/>
      <c r="U366" s="81"/>
      <c r="V366" s="81"/>
      <c r="W366" s="191">
        <f>ROUND(IF(D366=Table!$C$3,Y366*Table!$C$4/8,Y366*Table!$D$4/8),3)</f>
        <v>90</v>
      </c>
      <c r="X366" s="191">
        <f t="shared" si="67"/>
        <v>90</v>
      </c>
      <c r="Y366" s="191">
        <v>1.6</v>
      </c>
      <c r="Z366" s="191"/>
      <c r="AA366" s="191" t="s">
        <v>21</v>
      </c>
      <c r="AB366" s="191"/>
      <c r="AC366" s="81">
        <v>44081</v>
      </c>
      <c r="AD366" s="81">
        <v>44085</v>
      </c>
      <c r="AE366" s="81">
        <v>44078</v>
      </c>
      <c r="AF366" s="81">
        <v>44078</v>
      </c>
      <c r="AG366" s="81" t="s">
        <v>155</v>
      </c>
      <c r="AH366" s="82">
        <v>1</v>
      </c>
      <c r="AI366" s="82">
        <v>1</v>
      </c>
      <c r="AJ366" s="82">
        <v>1</v>
      </c>
      <c r="AK366" s="81" t="s">
        <v>140</v>
      </c>
      <c r="AL366" s="81"/>
      <c r="AM366" s="81"/>
      <c r="AN366" s="81"/>
      <c r="AO366" s="336"/>
      <c r="AP366" s="336"/>
    </row>
    <row r="367" spans="1:43" hidden="1">
      <c r="B367" s="195">
        <f t="shared" si="64"/>
        <v>308</v>
      </c>
      <c r="C367" s="16">
        <v>20200904</v>
      </c>
      <c r="D367" s="16" t="s">
        <v>3</v>
      </c>
      <c r="E367" s="85" t="s">
        <v>1811</v>
      </c>
      <c r="F367" s="80" t="s">
        <v>2096</v>
      </c>
      <c r="G367" s="47"/>
      <c r="H367" s="16" t="s">
        <v>1036</v>
      </c>
      <c r="I367" s="16" t="s">
        <v>1598</v>
      </c>
      <c r="J367" s="16" t="s">
        <v>246</v>
      </c>
      <c r="K367" s="47"/>
      <c r="L367" s="80" t="s">
        <v>1810</v>
      </c>
      <c r="M367" s="47"/>
      <c r="N367" s="16"/>
      <c r="O367" s="80" t="s">
        <v>1682</v>
      </c>
      <c r="P367" s="80" t="s">
        <v>1740</v>
      </c>
      <c r="Q367" s="18"/>
      <c r="R367" s="16" t="s">
        <v>197</v>
      </c>
      <c r="S367" s="16" t="s">
        <v>61</v>
      </c>
      <c r="T367" s="16"/>
      <c r="U367" s="81"/>
      <c r="V367" s="81"/>
      <c r="W367" s="191">
        <f>ROUND(IF(D367=Table!$C$3,Y367*Table!$C$4/8,Y367*Table!$D$4/8),3)</f>
        <v>58.5</v>
      </c>
      <c r="X367" s="191">
        <f t="shared" si="67"/>
        <v>58.5</v>
      </c>
      <c r="Y367" s="191">
        <v>1.04</v>
      </c>
      <c r="Z367" s="191"/>
      <c r="AA367" s="191" t="s">
        <v>21</v>
      </c>
      <c r="AB367" s="81"/>
      <c r="AC367" s="81">
        <v>44081</v>
      </c>
      <c r="AD367" s="81">
        <v>44085</v>
      </c>
      <c r="AE367" s="81">
        <v>44078</v>
      </c>
      <c r="AF367" s="81">
        <v>44078</v>
      </c>
      <c r="AG367" s="81" t="s">
        <v>155</v>
      </c>
      <c r="AH367" s="82">
        <v>1</v>
      </c>
      <c r="AI367" s="82">
        <v>1</v>
      </c>
      <c r="AJ367" s="82">
        <v>0.16</v>
      </c>
      <c r="AK367" s="81" t="s">
        <v>140</v>
      </c>
      <c r="AL367" s="81"/>
      <c r="AM367" s="81"/>
      <c r="AN367" s="81"/>
      <c r="AO367" s="336"/>
      <c r="AP367" s="336"/>
    </row>
    <row r="368" spans="1:43" hidden="1">
      <c r="B368" s="195">
        <f t="shared" si="64"/>
        <v>309</v>
      </c>
      <c r="C368" s="16">
        <v>20200904</v>
      </c>
      <c r="D368" s="16" t="s">
        <v>3</v>
      </c>
      <c r="E368" s="85" t="s">
        <v>1811</v>
      </c>
      <c r="F368" s="80" t="s">
        <v>2097</v>
      </c>
      <c r="G368" s="47"/>
      <c r="H368" s="16" t="s">
        <v>1455</v>
      </c>
      <c r="I368" s="16" t="s">
        <v>1599</v>
      </c>
      <c r="J368" s="16" t="s">
        <v>208</v>
      </c>
      <c r="K368" s="47"/>
      <c r="L368" s="80" t="s">
        <v>1810</v>
      </c>
      <c r="M368" s="47"/>
      <c r="N368" s="16"/>
      <c r="O368" s="80" t="s">
        <v>1683</v>
      </c>
      <c r="P368" s="80" t="s">
        <v>1739</v>
      </c>
      <c r="Q368" s="18"/>
      <c r="R368" s="16" t="s">
        <v>197</v>
      </c>
      <c r="S368" s="16" t="s">
        <v>61</v>
      </c>
      <c r="T368" s="16"/>
      <c r="U368" s="81"/>
      <c r="V368" s="81"/>
      <c r="W368" s="191">
        <f>ROUND(IF(D368=Table!$C$3,Y368*Table!$C$4/8,Y368*Table!$D$4/8),3)</f>
        <v>54</v>
      </c>
      <c r="X368" s="191">
        <f t="shared" si="67"/>
        <v>54</v>
      </c>
      <c r="Y368" s="191">
        <v>0.96</v>
      </c>
      <c r="Z368" s="191"/>
      <c r="AA368" s="191" t="s">
        <v>21</v>
      </c>
      <c r="AB368" s="81"/>
      <c r="AC368" s="81">
        <v>44081</v>
      </c>
      <c r="AD368" s="81">
        <v>44085</v>
      </c>
      <c r="AE368" s="81">
        <v>44082</v>
      </c>
      <c r="AF368" s="81">
        <v>44082</v>
      </c>
      <c r="AG368" s="81" t="s">
        <v>155</v>
      </c>
      <c r="AH368" s="82">
        <v>1</v>
      </c>
      <c r="AI368" s="82">
        <v>1</v>
      </c>
      <c r="AJ368" s="82">
        <v>0.72</v>
      </c>
      <c r="AK368" s="81" t="s">
        <v>140</v>
      </c>
      <c r="AL368" s="81"/>
      <c r="AM368" s="81"/>
      <c r="AN368" s="81"/>
      <c r="AO368" s="336"/>
      <c r="AP368" s="336"/>
    </row>
    <row r="369" spans="2:42" hidden="1">
      <c r="B369" s="195">
        <f t="shared" si="64"/>
        <v>310</v>
      </c>
      <c r="C369" s="16">
        <v>20200904</v>
      </c>
      <c r="D369" s="16" t="s">
        <v>3</v>
      </c>
      <c r="E369" s="85" t="s">
        <v>1811</v>
      </c>
      <c r="F369" s="80" t="s">
        <v>2098</v>
      </c>
      <c r="G369" s="47"/>
      <c r="H369" s="16" t="s">
        <v>1456</v>
      </c>
      <c r="I369" s="16" t="s">
        <v>1600</v>
      </c>
      <c r="J369" s="16" t="s">
        <v>1454</v>
      </c>
      <c r="K369" s="47"/>
      <c r="L369" s="80" t="s">
        <v>1810</v>
      </c>
      <c r="M369" s="47"/>
      <c r="N369" s="16"/>
      <c r="O369" s="80" t="s">
        <v>1684</v>
      </c>
      <c r="P369" s="80" t="s">
        <v>1741</v>
      </c>
      <c r="Q369" s="18"/>
      <c r="R369" s="16" t="s">
        <v>197</v>
      </c>
      <c r="S369" s="16" t="s">
        <v>61</v>
      </c>
      <c r="T369" s="16"/>
      <c r="U369" s="81"/>
      <c r="V369" s="81"/>
      <c r="W369" s="191">
        <f>ROUND(IF(D369=Table!$C$3,Y369*Table!$C$4/8,Y369*Table!$D$4/8),3)</f>
        <v>180</v>
      </c>
      <c r="X369" s="191">
        <f t="shared" si="67"/>
        <v>180</v>
      </c>
      <c r="Y369" s="191">
        <v>3.2</v>
      </c>
      <c r="Z369" s="191"/>
      <c r="AA369" s="191" t="s">
        <v>21</v>
      </c>
      <c r="AB369" s="81"/>
      <c r="AC369" s="81">
        <v>44081</v>
      </c>
      <c r="AD369" s="81">
        <v>44085</v>
      </c>
      <c r="AE369" s="81">
        <v>44082</v>
      </c>
      <c r="AF369" s="81">
        <v>44082</v>
      </c>
      <c r="AG369" s="81" t="s">
        <v>155</v>
      </c>
      <c r="AH369" s="82">
        <v>1</v>
      </c>
      <c r="AI369" s="82">
        <v>1</v>
      </c>
      <c r="AJ369" s="82">
        <v>0.16</v>
      </c>
      <c r="AK369" s="81" t="s">
        <v>140</v>
      </c>
      <c r="AL369" s="81"/>
      <c r="AM369" s="81"/>
      <c r="AN369" s="81"/>
      <c r="AO369" s="336"/>
      <c r="AP369" s="336"/>
    </row>
    <row r="370" spans="2:42" hidden="1">
      <c r="B370" s="195">
        <f t="shared" si="64"/>
        <v>311</v>
      </c>
      <c r="C370" s="16">
        <v>20200904</v>
      </c>
      <c r="D370" s="16" t="s">
        <v>3</v>
      </c>
      <c r="E370" s="85" t="s">
        <v>1811</v>
      </c>
      <c r="F370" s="80" t="s">
        <v>2099</v>
      </c>
      <c r="G370" s="47"/>
      <c r="H370" s="16" t="s">
        <v>1457</v>
      </c>
      <c r="I370" s="16" t="s">
        <v>1601</v>
      </c>
      <c r="J370" s="16" t="s">
        <v>1454</v>
      </c>
      <c r="K370" s="47"/>
      <c r="L370" s="80" t="s">
        <v>1810</v>
      </c>
      <c r="M370" s="47"/>
      <c r="N370" s="16"/>
      <c r="O370" s="80" t="s">
        <v>1685</v>
      </c>
      <c r="P370" s="80" t="s">
        <v>1742</v>
      </c>
      <c r="Q370" s="18"/>
      <c r="R370" s="16" t="s">
        <v>198</v>
      </c>
      <c r="S370" s="16" t="s">
        <v>174</v>
      </c>
      <c r="T370" s="16"/>
      <c r="U370" s="81"/>
      <c r="V370" s="81"/>
      <c r="W370" s="191">
        <f>ROUND(IF(D370=Table!$C$3,Y370*Table!$C$4/8,Y370*Table!$D$4/8),3)</f>
        <v>54</v>
      </c>
      <c r="X370" s="191">
        <f t="shared" si="67"/>
        <v>54</v>
      </c>
      <c r="Y370" s="191">
        <v>0.96</v>
      </c>
      <c r="Z370" s="191">
        <f>Y370</f>
        <v>0.96</v>
      </c>
      <c r="AA370" s="191" t="s">
        <v>21</v>
      </c>
      <c r="AB370" s="81"/>
      <c r="AC370" s="81">
        <v>44081</v>
      </c>
      <c r="AD370" s="81">
        <v>44085</v>
      </c>
      <c r="AE370" s="81">
        <v>44078</v>
      </c>
      <c r="AF370" s="81">
        <v>44078</v>
      </c>
      <c r="AG370" s="81" t="s">
        <v>155</v>
      </c>
      <c r="AH370" s="82">
        <v>1</v>
      </c>
      <c r="AI370" s="82">
        <v>1</v>
      </c>
      <c r="AJ370" s="82">
        <v>0.5</v>
      </c>
      <c r="AK370" s="81" t="s">
        <v>140</v>
      </c>
      <c r="AL370" s="81"/>
      <c r="AM370" s="81"/>
      <c r="AN370" s="81"/>
      <c r="AO370" s="336"/>
      <c r="AP370" s="336"/>
    </row>
    <row r="371" spans="2:42" hidden="1">
      <c r="B371" s="195">
        <f t="shared" si="64"/>
        <v>312</v>
      </c>
      <c r="C371" s="16">
        <v>20200904</v>
      </c>
      <c r="D371" s="16" t="s">
        <v>3</v>
      </c>
      <c r="E371" s="85" t="s">
        <v>1811</v>
      </c>
      <c r="F371" s="80" t="s">
        <v>2100</v>
      </c>
      <c r="G371" s="47"/>
      <c r="H371" s="16" t="s">
        <v>1037</v>
      </c>
      <c r="I371" s="16" t="s">
        <v>1602</v>
      </c>
      <c r="J371" s="16" t="s">
        <v>1454</v>
      </c>
      <c r="K371" s="47"/>
      <c r="L371" s="80" t="s">
        <v>1810</v>
      </c>
      <c r="M371" s="47"/>
      <c r="N371" s="16"/>
      <c r="O371" s="80" t="s">
        <v>1686</v>
      </c>
      <c r="P371" s="80" t="s">
        <v>1739</v>
      </c>
      <c r="Q371" s="18"/>
      <c r="R371" s="16" t="s">
        <v>198</v>
      </c>
      <c r="S371" s="16" t="s">
        <v>174</v>
      </c>
      <c r="T371" s="16"/>
      <c r="U371" s="81"/>
      <c r="V371" s="81"/>
      <c r="W371" s="191">
        <f>ROUND(IF(D371=Table!$C$3,Y371*Table!$C$4/8,Y371*Table!$D$4/8),3)</f>
        <v>54</v>
      </c>
      <c r="X371" s="191">
        <f t="shared" si="67"/>
        <v>54</v>
      </c>
      <c r="Y371" s="191">
        <v>0.96</v>
      </c>
      <c r="Z371" s="191">
        <f>Y371</f>
        <v>0.96</v>
      </c>
      <c r="AA371" s="191" t="s">
        <v>21</v>
      </c>
      <c r="AB371" s="81"/>
      <c r="AC371" s="81">
        <v>44081</v>
      </c>
      <c r="AD371" s="81">
        <v>44085</v>
      </c>
      <c r="AE371" s="81">
        <v>44078</v>
      </c>
      <c r="AF371" s="81">
        <v>44078</v>
      </c>
      <c r="AG371" s="81" t="s">
        <v>155</v>
      </c>
      <c r="AH371" s="82" t="s">
        <v>58</v>
      </c>
      <c r="AI371" s="82" t="s">
        <v>58</v>
      </c>
      <c r="AJ371" s="82" t="s">
        <v>58</v>
      </c>
      <c r="AK371" s="81" t="s">
        <v>140</v>
      </c>
      <c r="AL371" s="81" t="s">
        <v>1814</v>
      </c>
      <c r="AM371" s="81"/>
      <c r="AN371" s="81"/>
      <c r="AO371" s="336"/>
      <c r="AP371" s="336"/>
    </row>
    <row r="372" spans="2:42" hidden="1">
      <c r="B372" s="195">
        <f t="shared" si="64"/>
        <v>313</v>
      </c>
      <c r="C372" s="16">
        <v>20200904</v>
      </c>
      <c r="D372" s="16" t="s">
        <v>3</v>
      </c>
      <c r="E372" s="85" t="s">
        <v>1811</v>
      </c>
      <c r="F372" s="80" t="s">
        <v>2101</v>
      </c>
      <c r="G372" s="47"/>
      <c r="H372" s="16" t="s">
        <v>1458</v>
      </c>
      <c r="I372" s="16" t="s">
        <v>1603</v>
      </c>
      <c r="J372" s="16" t="s">
        <v>1454</v>
      </c>
      <c r="K372" s="47"/>
      <c r="L372" s="80" t="s">
        <v>1810</v>
      </c>
      <c r="M372" s="47"/>
      <c r="N372" s="16"/>
      <c r="O372" s="80" t="s">
        <v>1687</v>
      </c>
      <c r="P372" s="80" t="s">
        <v>1741</v>
      </c>
      <c r="Q372" s="18"/>
      <c r="R372" s="16" t="s">
        <v>198</v>
      </c>
      <c r="S372" s="16" t="s">
        <v>174</v>
      </c>
      <c r="T372" s="16"/>
      <c r="U372" s="81"/>
      <c r="V372" s="81"/>
      <c r="W372" s="191">
        <f>ROUND(IF(D372=Table!$C$3,Y372*Table!$C$4/8,Y372*Table!$D$4/8),3)</f>
        <v>54</v>
      </c>
      <c r="X372" s="191">
        <f t="shared" si="67"/>
        <v>54</v>
      </c>
      <c r="Y372" s="191">
        <v>0.96</v>
      </c>
      <c r="Z372" s="191">
        <f>Y372</f>
        <v>0.96</v>
      </c>
      <c r="AA372" s="191" t="s">
        <v>21</v>
      </c>
      <c r="AB372" s="81"/>
      <c r="AC372" s="81">
        <v>44081</v>
      </c>
      <c r="AD372" s="81">
        <v>44085</v>
      </c>
      <c r="AE372" s="81">
        <v>44078</v>
      </c>
      <c r="AF372" s="81">
        <v>44078</v>
      </c>
      <c r="AG372" s="81" t="s">
        <v>155</v>
      </c>
      <c r="AH372" s="82">
        <v>0.84</v>
      </c>
      <c r="AI372" s="82">
        <v>0.71</v>
      </c>
      <c r="AJ372" s="82">
        <v>1</v>
      </c>
      <c r="AK372" s="81" t="s">
        <v>140</v>
      </c>
      <c r="AL372" s="81" t="s">
        <v>1815</v>
      </c>
      <c r="AM372" s="81"/>
      <c r="AN372" s="81"/>
      <c r="AO372" s="336"/>
      <c r="AP372" s="336"/>
    </row>
    <row r="373" spans="2:42" hidden="1">
      <c r="B373" s="195">
        <f t="shared" si="64"/>
        <v>314</v>
      </c>
      <c r="C373" s="16">
        <v>20200904</v>
      </c>
      <c r="D373" s="16" t="s">
        <v>3</v>
      </c>
      <c r="E373" s="85" t="s">
        <v>1811</v>
      </c>
      <c r="F373" s="80" t="s">
        <v>2102</v>
      </c>
      <c r="G373" s="47"/>
      <c r="H373" s="16" t="s">
        <v>1459</v>
      </c>
      <c r="I373" s="16" t="s">
        <v>806</v>
      </c>
      <c r="J373" s="16" t="s">
        <v>246</v>
      </c>
      <c r="K373" s="47"/>
      <c r="L373" s="80" t="s">
        <v>1810</v>
      </c>
      <c r="M373" s="47"/>
      <c r="N373" s="16"/>
      <c r="O373" s="80" t="s">
        <v>1688</v>
      </c>
      <c r="P373" s="80" t="s">
        <v>1741</v>
      </c>
      <c r="Q373" s="18"/>
      <c r="R373" s="16" t="s">
        <v>198</v>
      </c>
      <c r="S373" s="16" t="s">
        <v>174</v>
      </c>
      <c r="T373" s="16"/>
      <c r="U373" s="81"/>
      <c r="V373" s="81"/>
      <c r="W373" s="191">
        <f>ROUND(IF(D373=Table!$C$3,Y373*Table!$C$4/8,Y373*Table!$D$4/8),3)</f>
        <v>180</v>
      </c>
      <c r="X373" s="191">
        <f>W373</f>
        <v>180</v>
      </c>
      <c r="Y373" s="191">
        <v>3.2</v>
      </c>
      <c r="Z373" s="191">
        <f>Y373</f>
        <v>3.2</v>
      </c>
      <c r="AA373" s="191" t="s">
        <v>21</v>
      </c>
      <c r="AB373" s="81"/>
      <c r="AC373" s="81">
        <v>44081</v>
      </c>
      <c r="AD373" s="81">
        <v>44085</v>
      </c>
      <c r="AE373" s="81">
        <v>44083</v>
      </c>
      <c r="AF373" s="81">
        <v>44083</v>
      </c>
      <c r="AG373" s="81" t="s">
        <v>155</v>
      </c>
      <c r="AH373" s="82">
        <v>1</v>
      </c>
      <c r="AI373" s="82">
        <v>0.83</v>
      </c>
      <c r="AJ373" s="82">
        <v>0</v>
      </c>
      <c r="AK373" s="81" t="s">
        <v>140</v>
      </c>
      <c r="AL373" s="77" t="s">
        <v>2027</v>
      </c>
      <c r="AM373" s="81"/>
      <c r="AN373" s="81"/>
      <c r="AO373" s="336"/>
      <c r="AP373" s="336"/>
    </row>
    <row r="374" spans="2:42" hidden="1">
      <c r="B374" s="195">
        <f t="shared" si="64"/>
        <v>315</v>
      </c>
      <c r="C374" s="16">
        <v>20200904</v>
      </c>
      <c r="D374" s="16" t="s">
        <v>3</v>
      </c>
      <c r="E374" s="85" t="s">
        <v>1811</v>
      </c>
      <c r="F374" s="80" t="s">
        <v>2103</v>
      </c>
      <c r="G374" s="47"/>
      <c r="H374" s="16" t="s">
        <v>280</v>
      </c>
      <c r="I374" s="196" t="s">
        <v>1604</v>
      </c>
      <c r="J374" s="16" t="s">
        <v>208</v>
      </c>
      <c r="K374" s="47"/>
      <c r="L374" s="80" t="s">
        <v>1810</v>
      </c>
      <c r="M374" s="47"/>
      <c r="N374" s="16"/>
      <c r="O374" s="80" t="s">
        <v>1689</v>
      </c>
      <c r="P374" s="80" t="s">
        <v>1743</v>
      </c>
      <c r="Q374" s="18"/>
      <c r="R374" s="16" t="s">
        <v>198</v>
      </c>
      <c r="S374" s="16" t="s">
        <v>174</v>
      </c>
      <c r="T374" s="16"/>
      <c r="U374" s="81"/>
      <c r="V374" s="81"/>
      <c r="W374" s="191">
        <f>ROUND(IF(D374=Table!$C$3,Y374*Table!$C$4/8,Y374*Table!$D$4/8),3)</f>
        <v>54</v>
      </c>
      <c r="X374" s="191">
        <f t="shared" ref="X374:X405" si="68">W374</f>
        <v>54</v>
      </c>
      <c r="Y374" s="191">
        <v>0.96</v>
      </c>
      <c r="Z374" s="191">
        <f t="shared" ref="Z374:Z380" si="69">Y374</f>
        <v>0.96</v>
      </c>
      <c r="AA374" s="191" t="s">
        <v>21</v>
      </c>
      <c r="AB374" s="81"/>
      <c r="AC374" s="81">
        <v>44081</v>
      </c>
      <c r="AD374" s="81">
        <v>44085</v>
      </c>
      <c r="AE374" s="81">
        <v>44078</v>
      </c>
      <c r="AF374" s="81">
        <v>44078</v>
      </c>
      <c r="AG374" s="81" t="s">
        <v>155</v>
      </c>
      <c r="AH374" s="82">
        <v>1</v>
      </c>
      <c r="AI374" s="82">
        <v>1</v>
      </c>
      <c r="AJ374" s="82">
        <v>1</v>
      </c>
      <c r="AK374" s="81" t="s">
        <v>140</v>
      </c>
      <c r="AL374" s="81"/>
      <c r="AM374" s="81"/>
      <c r="AN374" s="81"/>
      <c r="AO374" s="336"/>
      <c r="AP374" s="336"/>
    </row>
    <row r="375" spans="2:42" hidden="1">
      <c r="B375" s="195">
        <f t="shared" si="64"/>
        <v>316</v>
      </c>
      <c r="C375" s="16">
        <v>20200904</v>
      </c>
      <c r="D375" s="16" t="s">
        <v>3</v>
      </c>
      <c r="E375" s="85" t="s">
        <v>1811</v>
      </c>
      <c r="F375" s="80" t="s">
        <v>2104</v>
      </c>
      <c r="G375" s="47"/>
      <c r="H375" s="16" t="s">
        <v>252</v>
      </c>
      <c r="I375" s="196" t="s">
        <v>1605</v>
      </c>
      <c r="J375" s="16" t="s">
        <v>208</v>
      </c>
      <c r="K375" s="47"/>
      <c r="L375" s="80" t="s">
        <v>1810</v>
      </c>
      <c r="M375" s="47"/>
      <c r="N375" s="16"/>
      <c r="O375" s="80" t="s">
        <v>1690</v>
      </c>
      <c r="P375" s="80" t="s">
        <v>1743</v>
      </c>
      <c r="Q375" s="18"/>
      <c r="R375" s="16" t="s">
        <v>198</v>
      </c>
      <c r="S375" s="16" t="s">
        <v>174</v>
      </c>
      <c r="T375" s="16"/>
      <c r="U375" s="81"/>
      <c r="V375" s="81"/>
      <c r="W375" s="191">
        <f>ROUND(IF(D375=Table!$C$3,Y375*Table!$C$4/8,Y375*Table!$D$4/8),3)</f>
        <v>54</v>
      </c>
      <c r="X375" s="191">
        <f t="shared" si="68"/>
        <v>54</v>
      </c>
      <c r="Y375" s="191">
        <v>0.96</v>
      </c>
      <c r="Z375" s="191">
        <f t="shared" si="69"/>
        <v>0.96</v>
      </c>
      <c r="AA375" s="191" t="s">
        <v>21</v>
      </c>
      <c r="AB375" s="81"/>
      <c r="AC375" s="81">
        <v>44081</v>
      </c>
      <c r="AD375" s="81">
        <v>44085</v>
      </c>
      <c r="AE375" s="81">
        <v>44078</v>
      </c>
      <c r="AF375" s="81">
        <v>44078</v>
      </c>
      <c r="AG375" s="81" t="s">
        <v>155</v>
      </c>
      <c r="AH375" s="82">
        <v>1</v>
      </c>
      <c r="AI375" s="82">
        <v>1</v>
      </c>
      <c r="AJ375" s="82">
        <v>1</v>
      </c>
      <c r="AK375" s="81" t="s">
        <v>140</v>
      </c>
      <c r="AL375" s="81"/>
      <c r="AM375" s="81"/>
      <c r="AN375" s="81"/>
      <c r="AO375" s="336"/>
      <c r="AP375" s="336"/>
    </row>
    <row r="376" spans="2:42">
      <c r="B376" s="195">
        <f t="shared" si="64"/>
        <v>317</v>
      </c>
      <c r="C376" s="16">
        <v>20200904</v>
      </c>
      <c r="D376" s="16" t="s">
        <v>3</v>
      </c>
      <c r="E376" s="85" t="s">
        <v>1811</v>
      </c>
      <c r="F376" s="80" t="s">
        <v>2105</v>
      </c>
      <c r="G376" s="47"/>
      <c r="H376" s="16" t="s">
        <v>1756</v>
      </c>
      <c r="I376" s="196" t="s">
        <v>1606</v>
      </c>
      <c r="J376" s="16" t="s">
        <v>1454</v>
      </c>
      <c r="K376" s="47"/>
      <c r="L376" s="80" t="s">
        <v>1810</v>
      </c>
      <c r="M376" s="47"/>
      <c r="N376" s="16"/>
      <c r="O376" s="80" t="s">
        <v>1691</v>
      </c>
      <c r="P376" s="80" t="s">
        <v>1740</v>
      </c>
      <c r="Q376" s="18"/>
      <c r="R376" s="16" t="s">
        <v>199</v>
      </c>
      <c r="S376" s="16" t="s">
        <v>66</v>
      </c>
      <c r="T376" s="16"/>
      <c r="U376" s="81"/>
      <c r="V376" s="81"/>
      <c r="W376" s="191">
        <f>ROUND(IF(D376=Table!$C$3,Y376*Table!$C$4/8,Y376*Table!$D$4/8),3)</f>
        <v>54</v>
      </c>
      <c r="X376" s="191">
        <f t="shared" si="68"/>
        <v>54</v>
      </c>
      <c r="Y376" s="191">
        <v>0.96</v>
      </c>
      <c r="Z376" s="191">
        <f t="shared" si="69"/>
        <v>0.96</v>
      </c>
      <c r="AA376" s="191" t="s">
        <v>21</v>
      </c>
      <c r="AB376" s="81"/>
      <c r="AC376" s="81">
        <v>44081</v>
      </c>
      <c r="AD376" s="81">
        <v>44085</v>
      </c>
      <c r="AE376" s="81">
        <v>44081</v>
      </c>
      <c r="AF376" s="81">
        <v>44081</v>
      </c>
      <c r="AG376" s="81" t="s">
        <v>155</v>
      </c>
      <c r="AH376" s="82">
        <v>1</v>
      </c>
      <c r="AI376" s="82">
        <v>1</v>
      </c>
      <c r="AJ376" s="82">
        <v>0.09</v>
      </c>
      <c r="AK376" s="332" t="s">
        <v>140</v>
      </c>
      <c r="AL376" s="81"/>
      <c r="AM376" s="81"/>
      <c r="AN376" s="81"/>
      <c r="AO376" s="336"/>
      <c r="AP376" s="336"/>
    </row>
    <row r="377" spans="2:42">
      <c r="B377" s="195">
        <f t="shared" si="64"/>
        <v>318</v>
      </c>
      <c r="C377" s="16">
        <v>20200904</v>
      </c>
      <c r="D377" s="16" t="s">
        <v>3</v>
      </c>
      <c r="E377" s="85" t="s">
        <v>1811</v>
      </c>
      <c r="F377" s="80" t="s">
        <v>2106</v>
      </c>
      <c r="G377" s="47"/>
      <c r="H377" s="16" t="s">
        <v>1583</v>
      </c>
      <c r="I377" s="16" t="s">
        <v>1607</v>
      </c>
      <c r="J377" s="16" t="s">
        <v>246</v>
      </c>
      <c r="K377" s="47"/>
      <c r="L377" s="80" t="s">
        <v>1810</v>
      </c>
      <c r="M377" s="47"/>
      <c r="N377" s="16"/>
      <c r="O377" s="80" t="s">
        <v>1692</v>
      </c>
      <c r="P377" s="80" t="s">
        <v>1741</v>
      </c>
      <c r="Q377" s="18"/>
      <c r="R377" s="16" t="s">
        <v>199</v>
      </c>
      <c r="S377" s="16" t="s">
        <v>66</v>
      </c>
      <c r="T377" s="16"/>
      <c r="U377" s="81"/>
      <c r="V377" s="81"/>
      <c r="W377" s="191">
        <f>ROUND(IF(D377=Table!$C$3,Y377*Table!$C$4/8,Y377*Table!$D$4/8),3)</f>
        <v>54</v>
      </c>
      <c r="X377" s="191">
        <f t="shared" si="68"/>
        <v>54</v>
      </c>
      <c r="Y377" s="191">
        <v>0.96</v>
      </c>
      <c r="Z377" s="191">
        <f t="shared" si="69"/>
        <v>0.96</v>
      </c>
      <c r="AA377" s="191" t="s">
        <v>21</v>
      </c>
      <c r="AB377" s="81"/>
      <c r="AC377" s="81">
        <v>44081</v>
      </c>
      <c r="AD377" s="81">
        <v>44085</v>
      </c>
      <c r="AE377" s="81">
        <v>44081</v>
      </c>
      <c r="AF377" s="81">
        <v>44081</v>
      </c>
      <c r="AG377" s="81" t="s">
        <v>155</v>
      </c>
      <c r="AH377" s="82">
        <v>1</v>
      </c>
      <c r="AI377" s="82">
        <v>1</v>
      </c>
      <c r="AJ377" s="82">
        <v>0.33</v>
      </c>
      <c r="AK377" s="332" t="s">
        <v>140</v>
      </c>
      <c r="AL377" s="81"/>
      <c r="AM377" s="81"/>
      <c r="AN377" s="81"/>
      <c r="AO377" s="336"/>
      <c r="AP377" s="336"/>
    </row>
    <row r="378" spans="2:42">
      <c r="B378" s="195">
        <f t="shared" si="64"/>
        <v>319</v>
      </c>
      <c r="C378" s="16">
        <v>20200904</v>
      </c>
      <c r="D378" s="16" t="s">
        <v>3</v>
      </c>
      <c r="E378" s="85" t="s">
        <v>1811</v>
      </c>
      <c r="F378" s="80" t="s">
        <v>2107</v>
      </c>
      <c r="G378" s="47"/>
      <c r="H378" s="16" t="s">
        <v>286</v>
      </c>
      <c r="I378" s="16" t="s">
        <v>1608</v>
      </c>
      <c r="J378" s="16" t="s">
        <v>1454</v>
      </c>
      <c r="K378" s="47"/>
      <c r="L378" s="80" t="s">
        <v>1810</v>
      </c>
      <c r="M378" s="47"/>
      <c r="N378" s="16"/>
      <c r="O378" s="80" t="s">
        <v>1693</v>
      </c>
      <c r="P378" s="80" t="s">
        <v>1744</v>
      </c>
      <c r="Q378" s="18"/>
      <c r="R378" s="16" t="s">
        <v>199</v>
      </c>
      <c r="S378" s="16" t="s">
        <v>66</v>
      </c>
      <c r="T378" s="16"/>
      <c r="U378" s="81"/>
      <c r="V378" s="81"/>
      <c r="W378" s="191">
        <f>ROUND(IF(D378=Table!$C$3,Y378*Table!$C$4/8,Y378*Table!$D$4/8),3)</f>
        <v>135</v>
      </c>
      <c r="X378" s="191">
        <f t="shared" si="68"/>
        <v>135</v>
      </c>
      <c r="Y378" s="191">
        <v>2.4</v>
      </c>
      <c r="Z378" s="191">
        <f t="shared" si="69"/>
        <v>2.4</v>
      </c>
      <c r="AA378" s="191" t="s">
        <v>21</v>
      </c>
      <c r="AB378" s="81"/>
      <c r="AC378" s="81">
        <v>44081</v>
      </c>
      <c r="AD378" s="81">
        <v>44085</v>
      </c>
      <c r="AE378" s="81">
        <v>44081</v>
      </c>
      <c r="AF378" s="81">
        <v>44081</v>
      </c>
      <c r="AG378" s="81" t="s">
        <v>155</v>
      </c>
      <c r="AH378" s="82">
        <v>1</v>
      </c>
      <c r="AI378" s="82">
        <v>1</v>
      </c>
      <c r="AJ378" s="82">
        <v>1</v>
      </c>
      <c r="AK378" s="332" t="s">
        <v>140</v>
      </c>
      <c r="AL378" s="81"/>
      <c r="AM378" s="81"/>
      <c r="AN378" s="81"/>
      <c r="AO378" s="336"/>
      <c r="AP378" s="336"/>
    </row>
    <row r="379" spans="2:42">
      <c r="B379" s="195">
        <f t="shared" si="64"/>
        <v>320</v>
      </c>
      <c r="C379" s="16">
        <v>20200904</v>
      </c>
      <c r="D379" s="16" t="s">
        <v>3</v>
      </c>
      <c r="E379" s="85" t="s">
        <v>1811</v>
      </c>
      <c r="F379" s="80" t="s">
        <v>2108</v>
      </c>
      <c r="G379" s="47"/>
      <c r="H379" s="16" t="s">
        <v>225</v>
      </c>
      <c r="I379" s="16" t="s">
        <v>1609</v>
      </c>
      <c r="J379" s="16" t="s">
        <v>246</v>
      </c>
      <c r="K379" s="47"/>
      <c r="L379" s="80" t="s">
        <v>1810</v>
      </c>
      <c r="M379" s="47"/>
      <c r="N379" s="16"/>
      <c r="O379" s="80" t="s">
        <v>1694</v>
      </c>
      <c r="P379" s="80" t="s">
        <v>1739</v>
      </c>
      <c r="Q379" s="18"/>
      <c r="R379" s="16" t="s">
        <v>199</v>
      </c>
      <c r="S379" s="16" t="s">
        <v>66</v>
      </c>
      <c r="T379" s="16"/>
      <c r="U379" s="81"/>
      <c r="V379" s="81"/>
      <c r="W379" s="191">
        <f>ROUND(IF(D379=Table!$C$3,Y379*Table!$C$4/8,Y379*Table!$D$4/8),3)</f>
        <v>135</v>
      </c>
      <c r="X379" s="191">
        <f t="shared" si="68"/>
        <v>135</v>
      </c>
      <c r="Y379" s="191">
        <v>2.4</v>
      </c>
      <c r="Z379" s="191">
        <f t="shared" si="69"/>
        <v>2.4</v>
      </c>
      <c r="AA379" s="191" t="s">
        <v>21</v>
      </c>
      <c r="AB379" s="81"/>
      <c r="AC379" s="81">
        <v>44081</v>
      </c>
      <c r="AD379" s="81">
        <v>44085</v>
      </c>
      <c r="AE379" s="81">
        <v>44081</v>
      </c>
      <c r="AF379" s="81">
        <v>44081</v>
      </c>
      <c r="AG379" s="81" t="s">
        <v>155</v>
      </c>
      <c r="AH379" s="82">
        <v>1</v>
      </c>
      <c r="AI379" s="82">
        <v>1</v>
      </c>
      <c r="AJ379" s="82">
        <v>1</v>
      </c>
      <c r="AK379" s="332" t="s">
        <v>140</v>
      </c>
      <c r="AL379" s="81"/>
      <c r="AM379" s="81"/>
      <c r="AN379" s="81"/>
      <c r="AO379" s="336"/>
      <c r="AP379" s="336"/>
    </row>
    <row r="380" spans="2:42">
      <c r="B380" s="195">
        <f t="shared" si="64"/>
        <v>321</v>
      </c>
      <c r="C380" s="16">
        <v>20200904</v>
      </c>
      <c r="D380" s="16" t="s">
        <v>3</v>
      </c>
      <c r="E380" s="85" t="s">
        <v>1811</v>
      </c>
      <c r="F380" s="80" t="s">
        <v>2109</v>
      </c>
      <c r="G380" s="47"/>
      <c r="H380" s="16" t="s">
        <v>226</v>
      </c>
      <c r="I380" s="16" t="s">
        <v>1610</v>
      </c>
      <c r="J380" s="16" t="s">
        <v>1454</v>
      </c>
      <c r="K380" s="47"/>
      <c r="L380" s="80" t="s">
        <v>1810</v>
      </c>
      <c r="M380" s="47"/>
      <c r="N380" s="16"/>
      <c r="O380" s="80" t="s">
        <v>1695</v>
      </c>
      <c r="P380" s="80" t="s">
        <v>1739</v>
      </c>
      <c r="Q380" s="18"/>
      <c r="R380" s="16" t="s">
        <v>199</v>
      </c>
      <c r="S380" s="16" t="s">
        <v>66</v>
      </c>
      <c r="T380" s="16"/>
      <c r="U380" s="81"/>
      <c r="V380" s="81"/>
      <c r="W380" s="191">
        <f>ROUND(IF(D380=Table!$C$3,Y380*Table!$C$4/8,Y380*Table!$D$4/8),3)</f>
        <v>135</v>
      </c>
      <c r="X380" s="191">
        <f t="shared" si="68"/>
        <v>135</v>
      </c>
      <c r="Y380" s="191">
        <v>2.4</v>
      </c>
      <c r="Z380" s="191">
        <f t="shared" si="69"/>
        <v>2.4</v>
      </c>
      <c r="AA380" s="191" t="s">
        <v>21</v>
      </c>
      <c r="AB380" s="81"/>
      <c r="AC380" s="81">
        <v>44081</v>
      </c>
      <c r="AD380" s="81">
        <v>44085</v>
      </c>
      <c r="AE380" s="81">
        <v>44081</v>
      </c>
      <c r="AF380" s="81">
        <v>44081</v>
      </c>
      <c r="AG380" s="81" t="s">
        <v>155</v>
      </c>
      <c r="AH380" s="82">
        <v>0.98</v>
      </c>
      <c r="AI380" s="82">
        <v>0.98</v>
      </c>
      <c r="AJ380" s="82">
        <v>0.5</v>
      </c>
      <c r="AK380" s="332" t="s">
        <v>140</v>
      </c>
      <c r="AL380" s="332" t="s">
        <v>1838</v>
      </c>
      <c r="AM380" s="81"/>
      <c r="AN380" s="81"/>
      <c r="AO380" s="336"/>
      <c r="AP380" s="336"/>
    </row>
    <row r="381" spans="2:42" hidden="1">
      <c r="B381" s="195">
        <f t="shared" si="64"/>
        <v>322</v>
      </c>
      <c r="C381" s="16">
        <v>20200904</v>
      </c>
      <c r="D381" s="16" t="s">
        <v>3</v>
      </c>
      <c r="E381" s="85" t="s">
        <v>1811</v>
      </c>
      <c r="F381" s="80" t="s">
        <v>2110</v>
      </c>
      <c r="G381" s="47"/>
      <c r="H381" s="16" t="s">
        <v>228</v>
      </c>
      <c r="I381" s="16" t="s">
        <v>1611</v>
      </c>
      <c r="J381" s="16" t="s">
        <v>1454</v>
      </c>
      <c r="K381" s="47"/>
      <c r="L381" s="80" t="s">
        <v>1810</v>
      </c>
      <c r="M381" s="47"/>
      <c r="N381" s="16"/>
      <c r="O381" s="80" t="s">
        <v>1696</v>
      </c>
      <c r="P381" s="80" t="s">
        <v>1739</v>
      </c>
      <c r="Q381" s="18"/>
      <c r="R381" s="16" t="s">
        <v>200</v>
      </c>
      <c r="S381" s="16" t="s">
        <v>133</v>
      </c>
      <c r="T381" s="16"/>
      <c r="U381" s="81"/>
      <c r="V381" s="81"/>
      <c r="W381" s="191">
        <f>ROUND(IF(D381=Table!$C$3,Y381*Table!$C$4/8,Y381*Table!$D$4/8),3)</f>
        <v>54</v>
      </c>
      <c r="X381" s="191">
        <f t="shared" si="68"/>
        <v>54</v>
      </c>
      <c r="Y381" s="191">
        <v>0.96</v>
      </c>
      <c r="Z381" s="191">
        <v>0.5</v>
      </c>
      <c r="AA381" s="191" t="s">
        <v>21</v>
      </c>
      <c r="AB381" s="81"/>
      <c r="AC381" s="81">
        <v>44081</v>
      </c>
      <c r="AD381" s="81">
        <v>44085</v>
      </c>
      <c r="AE381" s="81">
        <v>44081</v>
      </c>
      <c r="AF381" s="81">
        <v>44081</v>
      </c>
      <c r="AG381" s="81" t="s">
        <v>155</v>
      </c>
      <c r="AH381" s="82">
        <v>0.84</v>
      </c>
      <c r="AI381" s="82">
        <v>0.76</v>
      </c>
      <c r="AJ381" s="82">
        <v>1</v>
      </c>
      <c r="AK381" s="332" t="s">
        <v>140</v>
      </c>
      <c r="AL381" s="332" t="s">
        <v>1835</v>
      </c>
      <c r="AM381" s="81"/>
      <c r="AN381" s="81"/>
      <c r="AO381" s="336"/>
      <c r="AP381" s="336"/>
    </row>
    <row r="382" spans="2:42" hidden="1">
      <c r="B382" s="195">
        <f t="shared" si="64"/>
        <v>323</v>
      </c>
      <c r="C382" s="16">
        <v>20200904</v>
      </c>
      <c r="D382" s="16" t="s">
        <v>3</v>
      </c>
      <c r="E382" s="85" t="s">
        <v>1811</v>
      </c>
      <c r="F382" s="80" t="s">
        <v>2111</v>
      </c>
      <c r="G382" s="47"/>
      <c r="H382" s="16" t="s">
        <v>232</v>
      </c>
      <c r="I382" s="16" t="s">
        <v>807</v>
      </c>
      <c r="J382" s="16" t="s">
        <v>1454</v>
      </c>
      <c r="K382" s="47"/>
      <c r="L382" s="80" t="s">
        <v>1810</v>
      </c>
      <c r="M382" s="47"/>
      <c r="N382" s="16"/>
      <c r="O382" s="80" t="s">
        <v>1697</v>
      </c>
      <c r="P382" s="80" t="s">
        <v>1741</v>
      </c>
      <c r="Q382" s="18"/>
      <c r="R382" s="16" t="s">
        <v>200</v>
      </c>
      <c r="S382" s="16" t="s">
        <v>133</v>
      </c>
      <c r="T382" s="16"/>
      <c r="U382" s="81"/>
      <c r="V382" s="81"/>
      <c r="W382" s="191">
        <f>ROUND(IF(D382=Table!$C$3,Y382*Table!$C$4/8,Y382*Table!$D$4/8),3)</f>
        <v>90</v>
      </c>
      <c r="X382" s="191">
        <f t="shared" si="68"/>
        <v>90</v>
      </c>
      <c r="Y382" s="191">
        <v>1.6</v>
      </c>
      <c r="Z382" s="191">
        <v>1</v>
      </c>
      <c r="AA382" s="191" t="s">
        <v>21</v>
      </c>
      <c r="AB382" s="81"/>
      <c r="AC382" s="81">
        <v>44081</v>
      </c>
      <c r="AD382" s="81">
        <v>44085</v>
      </c>
      <c r="AE382" s="81">
        <v>44081</v>
      </c>
      <c r="AF382" s="81">
        <v>44081</v>
      </c>
      <c r="AG382" s="81" t="s">
        <v>155</v>
      </c>
      <c r="AH382" s="82">
        <v>1</v>
      </c>
      <c r="AI382" s="82">
        <v>1</v>
      </c>
      <c r="AJ382" s="82">
        <v>1</v>
      </c>
      <c r="AK382" s="332" t="s">
        <v>140</v>
      </c>
      <c r="AL382" s="334" t="s">
        <v>58</v>
      </c>
      <c r="AM382" s="332" t="s">
        <v>58</v>
      </c>
      <c r="AN382" s="332" t="s">
        <v>58</v>
      </c>
      <c r="AO382" s="336"/>
      <c r="AP382" s="336"/>
    </row>
    <row r="383" spans="2:42" hidden="1">
      <c r="B383" s="195">
        <f t="shared" si="64"/>
        <v>324</v>
      </c>
      <c r="C383" s="16">
        <v>20200904</v>
      </c>
      <c r="D383" s="16" t="s">
        <v>3</v>
      </c>
      <c r="E383" s="85" t="s">
        <v>1811</v>
      </c>
      <c r="F383" s="80" t="s">
        <v>2112</v>
      </c>
      <c r="G383" s="47"/>
      <c r="H383" s="16" t="s">
        <v>233</v>
      </c>
      <c r="I383" s="16" t="s">
        <v>1612</v>
      </c>
      <c r="J383" s="16" t="s">
        <v>246</v>
      </c>
      <c r="K383" s="47"/>
      <c r="L383" s="80" t="s">
        <v>1810</v>
      </c>
      <c r="M383" s="47"/>
      <c r="N383" s="16"/>
      <c r="O383" s="80" t="s">
        <v>1698</v>
      </c>
      <c r="P383" s="80" t="s">
        <v>1737</v>
      </c>
      <c r="Q383" s="18"/>
      <c r="R383" s="16" t="s">
        <v>200</v>
      </c>
      <c r="S383" s="16" t="s">
        <v>133</v>
      </c>
      <c r="T383" s="16"/>
      <c r="U383" s="81"/>
      <c r="V383" s="81"/>
      <c r="W383" s="191">
        <f>ROUND(IF(D383=Table!$C$3,Y383*Table!$C$4/8,Y383*Table!$D$4/8),3)</f>
        <v>135</v>
      </c>
      <c r="X383" s="191">
        <f t="shared" si="68"/>
        <v>135</v>
      </c>
      <c r="Y383" s="191">
        <v>2.4</v>
      </c>
      <c r="Z383" s="191">
        <v>2</v>
      </c>
      <c r="AA383" s="191" t="s">
        <v>21</v>
      </c>
      <c r="AB383" s="81"/>
      <c r="AC383" s="81">
        <v>44081</v>
      </c>
      <c r="AD383" s="81">
        <v>44085</v>
      </c>
      <c r="AE383" s="81">
        <v>44081</v>
      </c>
      <c r="AF383" s="81">
        <v>44081</v>
      </c>
      <c r="AG383" s="81" t="s">
        <v>155</v>
      </c>
      <c r="AH383" s="82">
        <v>0.98</v>
      </c>
      <c r="AI383" s="82">
        <v>0.98</v>
      </c>
      <c r="AJ383" s="82">
        <v>0.56999999999999995</v>
      </c>
      <c r="AK383" s="332" t="s">
        <v>140</v>
      </c>
      <c r="AL383" s="332" t="s">
        <v>1839</v>
      </c>
      <c r="AM383" s="81"/>
      <c r="AN383" s="81"/>
      <c r="AO383" s="336"/>
      <c r="AP383" s="336"/>
    </row>
    <row r="384" spans="2:42" hidden="1">
      <c r="B384" s="195">
        <f t="shared" ref="B384:B416" si="70">B383+1</f>
        <v>325</v>
      </c>
      <c r="C384" s="16">
        <v>20200904</v>
      </c>
      <c r="D384" s="16" t="s">
        <v>3</v>
      </c>
      <c r="E384" s="85" t="s">
        <v>1811</v>
      </c>
      <c r="F384" s="80" t="s">
        <v>2113</v>
      </c>
      <c r="G384" s="47"/>
      <c r="H384" s="16" t="s">
        <v>234</v>
      </c>
      <c r="I384" s="16" t="s">
        <v>1613</v>
      </c>
      <c r="J384" s="16" t="s">
        <v>1454</v>
      </c>
      <c r="K384" s="47"/>
      <c r="L384" s="80" t="s">
        <v>1810</v>
      </c>
      <c r="M384" s="47"/>
      <c r="N384" s="16"/>
      <c r="O384" s="80" t="s">
        <v>1699</v>
      </c>
      <c r="P384" s="80" t="s">
        <v>1739</v>
      </c>
      <c r="Q384" s="18"/>
      <c r="R384" s="16" t="s">
        <v>200</v>
      </c>
      <c r="S384" s="16" t="s">
        <v>133</v>
      </c>
      <c r="T384" s="16"/>
      <c r="U384" s="81"/>
      <c r="V384" s="81"/>
      <c r="W384" s="191">
        <f>ROUND(IF(D384=Table!$C$3,Y384*Table!$C$4/8,Y384*Table!$D$4/8),3)</f>
        <v>54</v>
      </c>
      <c r="X384" s="191">
        <f t="shared" si="68"/>
        <v>54</v>
      </c>
      <c r="Y384" s="191">
        <v>0.96</v>
      </c>
      <c r="Z384" s="191">
        <v>0.5</v>
      </c>
      <c r="AA384" s="191" t="s">
        <v>21</v>
      </c>
      <c r="AB384" s="81"/>
      <c r="AC384" s="81">
        <v>44081</v>
      </c>
      <c r="AD384" s="81">
        <v>44085</v>
      </c>
      <c r="AE384" s="81">
        <v>44078</v>
      </c>
      <c r="AF384" s="81">
        <v>44078</v>
      </c>
      <c r="AG384" s="81" t="s">
        <v>155</v>
      </c>
      <c r="AH384" s="82">
        <v>0.94</v>
      </c>
      <c r="AI384" s="82">
        <v>0.88</v>
      </c>
      <c r="AJ384" s="82">
        <v>1</v>
      </c>
      <c r="AK384" s="81" t="s">
        <v>140</v>
      </c>
      <c r="AL384" s="81" t="s">
        <v>1820</v>
      </c>
      <c r="AM384" s="81" t="s">
        <v>58</v>
      </c>
      <c r="AN384" s="81" t="s">
        <v>58</v>
      </c>
      <c r="AO384" s="336"/>
      <c r="AP384" s="336"/>
    </row>
    <row r="385" spans="2:42" hidden="1">
      <c r="B385" s="195">
        <f t="shared" si="70"/>
        <v>326</v>
      </c>
      <c r="C385" s="16">
        <v>20200904</v>
      </c>
      <c r="D385" s="16" t="s">
        <v>3</v>
      </c>
      <c r="E385" s="85" t="s">
        <v>1811</v>
      </c>
      <c r="F385" s="80" t="s">
        <v>2114</v>
      </c>
      <c r="G385" s="47"/>
      <c r="H385" s="16" t="s">
        <v>235</v>
      </c>
      <c r="I385" s="16" t="s">
        <v>1614</v>
      </c>
      <c r="J385" s="16" t="s">
        <v>1454</v>
      </c>
      <c r="K385" s="47"/>
      <c r="L385" s="80" t="s">
        <v>1810</v>
      </c>
      <c r="M385" s="47"/>
      <c r="N385" s="16"/>
      <c r="O385" s="80" t="s">
        <v>1700</v>
      </c>
      <c r="P385" s="80" t="s">
        <v>1739</v>
      </c>
      <c r="Q385" s="18"/>
      <c r="R385" s="16" t="s">
        <v>200</v>
      </c>
      <c r="S385" s="16" t="s">
        <v>133</v>
      </c>
      <c r="T385" s="16"/>
      <c r="U385" s="81"/>
      <c r="V385" s="81"/>
      <c r="W385" s="191">
        <f>ROUND(IF(D385=Table!$C$3,Y385*Table!$C$4/8,Y385*Table!$D$4/8),3)</f>
        <v>225</v>
      </c>
      <c r="X385" s="191">
        <f t="shared" si="68"/>
        <v>225</v>
      </c>
      <c r="Y385" s="191">
        <v>4</v>
      </c>
      <c r="Z385" s="191">
        <v>1</v>
      </c>
      <c r="AA385" s="191" t="s">
        <v>21</v>
      </c>
      <c r="AB385" s="81"/>
      <c r="AC385" s="81">
        <v>44081</v>
      </c>
      <c r="AD385" s="81">
        <v>44085</v>
      </c>
      <c r="AE385" s="81">
        <v>44078</v>
      </c>
      <c r="AF385" s="81">
        <v>44078</v>
      </c>
      <c r="AG385" s="81" t="s">
        <v>155</v>
      </c>
      <c r="AH385" s="82">
        <v>1</v>
      </c>
      <c r="AI385" s="82">
        <v>1</v>
      </c>
      <c r="AJ385" s="82">
        <v>1</v>
      </c>
      <c r="AK385" s="81" t="s">
        <v>140</v>
      </c>
      <c r="AL385" s="81" t="s">
        <v>58</v>
      </c>
      <c r="AM385" s="81" t="s">
        <v>58</v>
      </c>
      <c r="AN385" s="81" t="s">
        <v>58</v>
      </c>
      <c r="AO385" s="336"/>
      <c r="AP385" s="336"/>
    </row>
    <row r="386" spans="2:42" hidden="1">
      <c r="B386" s="195">
        <f t="shared" si="70"/>
        <v>327</v>
      </c>
      <c r="C386" s="16">
        <v>20200904</v>
      </c>
      <c r="D386" s="16" t="s">
        <v>3</v>
      </c>
      <c r="E386" s="85" t="s">
        <v>1811</v>
      </c>
      <c r="F386" s="80" t="s">
        <v>2115</v>
      </c>
      <c r="G386" s="47"/>
      <c r="H386" s="16" t="s">
        <v>236</v>
      </c>
      <c r="I386" s="16" t="s">
        <v>1615</v>
      </c>
      <c r="J386" s="16" t="s">
        <v>1454</v>
      </c>
      <c r="K386" s="47"/>
      <c r="L386" s="80" t="s">
        <v>1810</v>
      </c>
      <c r="M386" s="47"/>
      <c r="N386" s="16"/>
      <c r="O386" s="80" t="s">
        <v>1701</v>
      </c>
      <c r="P386" s="80" t="s">
        <v>1745</v>
      </c>
      <c r="Q386" s="18"/>
      <c r="R386" s="16" t="s">
        <v>200</v>
      </c>
      <c r="S386" s="16" t="s">
        <v>133</v>
      </c>
      <c r="T386" s="16"/>
      <c r="U386" s="81"/>
      <c r="V386" s="81"/>
      <c r="W386" s="191">
        <f>ROUND(IF(D386=Table!$C$3,Y386*Table!$C$4/8,Y386*Table!$D$4/8),3)</f>
        <v>54</v>
      </c>
      <c r="X386" s="191">
        <f t="shared" si="68"/>
        <v>54</v>
      </c>
      <c r="Y386" s="191">
        <v>0.96</v>
      </c>
      <c r="Z386" s="191">
        <v>0.5</v>
      </c>
      <c r="AA386" s="191" t="s">
        <v>21</v>
      </c>
      <c r="AB386" s="81"/>
      <c r="AC386" s="81">
        <v>44081</v>
      </c>
      <c r="AD386" s="81">
        <v>44085</v>
      </c>
      <c r="AE386" s="81">
        <v>44078</v>
      </c>
      <c r="AF386" s="81">
        <v>44078</v>
      </c>
      <c r="AG386" s="81" t="s">
        <v>155</v>
      </c>
      <c r="AH386" s="82">
        <v>1</v>
      </c>
      <c r="AI386" s="82">
        <v>1</v>
      </c>
      <c r="AJ386" s="82">
        <v>1</v>
      </c>
      <c r="AK386" s="81" t="s">
        <v>140</v>
      </c>
      <c r="AL386" s="81" t="s">
        <v>58</v>
      </c>
      <c r="AM386" s="81" t="s">
        <v>58</v>
      </c>
      <c r="AN386" s="81" t="s">
        <v>58</v>
      </c>
      <c r="AO386" s="336"/>
      <c r="AP386" s="336"/>
    </row>
    <row r="387" spans="2:42" hidden="1">
      <c r="B387" s="195">
        <f t="shared" si="70"/>
        <v>328</v>
      </c>
      <c r="C387" s="16">
        <v>20200904</v>
      </c>
      <c r="D387" s="16" t="s">
        <v>3</v>
      </c>
      <c r="E387" s="85" t="s">
        <v>1811</v>
      </c>
      <c r="F387" s="80" t="s">
        <v>2116</v>
      </c>
      <c r="G387" s="47"/>
      <c r="H387" s="16" t="s">
        <v>238</v>
      </c>
      <c r="I387" s="16" t="s">
        <v>1616</v>
      </c>
      <c r="J387" s="16" t="s">
        <v>1454</v>
      </c>
      <c r="K387" s="47"/>
      <c r="L387" s="80" t="s">
        <v>1810</v>
      </c>
      <c r="M387" s="47"/>
      <c r="N387" s="16"/>
      <c r="O387" s="80" t="s">
        <v>1702</v>
      </c>
      <c r="P387" s="80" t="s">
        <v>1741</v>
      </c>
      <c r="Q387" s="18"/>
      <c r="R387" s="16" t="s">
        <v>200</v>
      </c>
      <c r="S387" s="16" t="s">
        <v>133</v>
      </c>
      <c r="T387" s="16"/>
      <c r="U387" s="81"/>
      <c r="V387" s="81"/>
      <c r="W387" s="191">
        <f>ROUND(IF(D387=Table!$C$3,Y387*Table!$C$4/8,Y387*Table!$D$4/8),3)</f>
        <v>135</v>
      </c>
      <c r="X387" s="191">
        <f t="shared" si="68"/>
        <v>135</v>
      </c>
      <c r="Y387" s="191">
        <v>2.4</v>
      </c>
      <c r="Z387" s="191">
        <v>1</v>
      </c>
      <c r="AA387" s="191" t="s">
        <v>21</v>
      </c>
      <c r="AB387" s="81"/>
      <c r="AC387" s="81">
        <v>44081</v>
      </c>
      <c r="AD387" s="81">
        <v>44085</v>
      </c>
      <c r="AE387" s="81">
        <v>44078</v>
      </c>
      <c r="AF387" s="81">
        <v>44078</v>
      </c>
      <c r="AG387" s="81" t="s">
        <v>155</v>
      </c>
      <c r="AH387" s="82">
        <v>1</v>
      </c>
      <c r="AI387" s="82">
        <v>1</v>
      </c>
      <c r="AJ387" s="82">
        <v>0.05</v>
      </c>
      <c r="AK387" s="81" t="s">
        <v>140</v>
      </c>
      <c r="AL387" s="81" t="s">
        <v>58</v>
      </c>
      <c r="AM387" s="81" t="s">
        <v>58</v>
      </c>
      <c r="AN387" s="81" t="s">
        <v>58</v>
      </c>
      <c r="AO387" s="336"/>
      <c r="AP387" s="336"/>
    </row>
    <row r="388" spans="2:42" hidden="1">
      <c r="B388" s="195">
        <f t="shared" si="70"/>
        <v>329</v>
      </c>
      <c r="C388" s="16">
        <v>20200904</v>
      </c>
      <c r="D388" s="16" t="s">
        <v>3</v>
      </c>
      <c r="E388" s="85" t="s">
        <v>1811</v>
      </c>
      <c r="F388" s="80" t="s">
        <v>2117</v>
      </c>
      <c r="G388" s="47"/>
      <c r="H388" s="16" t="s">
        <v>241</v>
      </c>
      <c r="I388" s="16" t="s">
        <v>1617</v>
      </c>
      <c r="J388" s="16" t="s">
        <v>246</v>
      </c>
      <c r="K388" s="47"/>
      <c r="L388" s="80" t="s">
        <v>1810</v>
      </c>
      <c r="M388" s="47"/>
      <c r="N388" s="16"/>
      <c r="O388" s="80" t="s">
        <v>1703</v>
      </c>
      <c r="P388" s="80" t="s">
        <v>1740</v>
      </c>
      <c r="Q388" s="18"/>
      <c r="R388" s="16" t="s">
        <v>197</v>
      </c>
      <c r="S388" s="16" t="s">
        <v>61</v>
      </c>
      <c r="T388" s="16"/>
      <c r="U388" s="81"/>
      <c r="V388" s="81"/>
      <c r="W388" s="191">
        <f>ROUND(IF(D388=Table!$C$3,Y388*Table!$C$4/8,Y388*Table!$D$4/8),3)</f>
        <v>54</v>
      </c>
      <c r="X388" s="191">
        <f t="shared" si="68"/>
        <v>54</v>
      </c>
      <c r="Y388" s="191">
        <v>0.96</v>
      </c>
      <c r="Z388" s="191"/>
      <c r="AA388" s="191" t="s">
        <v>21</v>
      </c>
      <c r="AB388" s="81"/>
      <c r="AC388" s="81">
        <v>44081</v>
      </c>
      <c r="AD388" s="81">
        <v>44085</v>
      </c>
      <c r="AE388" s="81">
        <v>44082</v>
      </c>
      <c r="AF388" s="81">
        <v>44082</v>
      </c>
      <c r="AG388" s="81" t="s">
        <v>155</v>
      </c>
      <c r="AH388" s="82">
        <v>0.97</v>
      </c>
      <c r="AI388" s="82">
        <v>0.94</v>
      </c>
      <c r="AJ388" s="82">
        <v>0.86</v>
      </c>
      <c r="AK388" s="81" t="s">
        <v>140</v>
      </c>
      <c r="AL388" s="81" t="s">
        <v>2146</v>
      </c>
      <c r="AM388" s="81"/>
      <c r="AN388" s="81"/>
      <c r="AO388" s="336"/>
      <c r="AP388" s="336"/>
    </row>
    <row r="389" spans="2:42" hidden="1">
      <c r="B389" s="195">
        <f t="shared" si="70"/>
        <v>330</v>
      </c>
      <c r="C389" s="16">
        <v>20200904</v>
      </c>
      <c r="D389" s="16" t="s">
        <v>3</v>
      </c>
      <c r="E389" s="85" t="s">
        <v>1811</v>
      </c>
      <c r="F389" s="80" t="s">
        <v>2118</v>
      </c>
      <c r="G389" s="47"/>
      <c r="H389" s="136" t="s">
        <v>295</v>
      </c>
      <c r="I389" s="136" t="s">
        <v>1618</v>
      </c>
      <c r="J389" s="16" t="s">
        <v>1454</v>
      </c>
      <c r="K389" s="47"/>
      <c r="L389" s="80" t="s">
        <v>1810</v>
      </c>
      <c r="M389" s="47"/>
      <c r="N389" s="16"/>
      <c r="O389" s="80" t="s">
        <v>1704</v>
      </c>
      <c r="P389" s="80" t="s">
        <v>1740</v>
      </c>
      <c r="Q389" s="18"/>
      <c r="R389" s="16" t="s">
        <v>197</v>
      </c>
      <c r="S389" s="16" t="s">
        <v>61</v>
      </c>
      <c r="T389" s="16"/>
      <c r="U389" s="81"/>
      <c r="V389" s="81"/>
      <c r="W389" s="191">
        <f>ROUND(IF(D389=Table!$C$3,Y389*Table!$C$4/8,Y389*Table!$D$4/8),3)</f>
        <v>54</v>
      </c>
      <c r="X389" s="191">
        <f t="shared" si="68"/>
        <v>54</v>
      </c>
      <c r="Y389" s="191">
        <v>0.96</v>
      </c>
      <c r="Z389" s="191"/>
      <c r="AA389" s="191" t="s">
        <v>21</v>
      </c>
      <c r="AB389" s="81"/>
      <c r="AC389" s="81">
        <v>44081</v>
      </c>
      <c r="AD389" s="81">
        <v>44085</v>
      </c>
      <c r="AE389" s="81">
        <v>44082</v>
      </c>
      <c r="AF389" s="81">
        <v>44082</v>
      </c>
      <c r="AG389" s="81" t="s">
        <v>156</v>
      </c>
      <c r="AH389" s="82">
        <v>0.98</v>
      </c>
      <c r="AI389" s="82">
        <v>0.96</v>
      </c>
      <c r="AJ389" s="82">
        <v>0.56999999999999995</v>
      </c>
      <c r="AK389" s="81" t="s">
        <v>140</v>
      </c>
      <c r="AL389" s="81" t="s">
        <v>2147</v>
      </c>
      <c r="AM389" s="81"/>
      <c r="AN389" s="81"/>
      <c r="AO389" s="336"/>
      <c r="AP389" s="336"/>
    </row>
    <row r="390" spans="2:42" hidden="1">
      <c r="B390" s="195">
        <f t="shared" si="70"/>
        <v>331</v>
      </c>
      <c r="C390" s="16">
        <v>20200904</v>
      </c>
      <c r="D390" s="16" t="s">
        <v>3</v>
      </c>
      <c r="E390" s="85" t="s">
        <v>1811</v>
      </c>
      <c r="F390" s="80" t="s">
        <v>2119</v>
      </c>
      <c r="G390" s="47"/>
      <c r="H390" s="16" t="s">
        <v>242</v>
      </c>
      <c r="I390" s="16" t="s">
        <v>1619</v>
      </c>
      <c r="J390" s="16" t="s">
        <v>208</v>
      </c>
      <c r="K390" s="47"/>
      <c r="L390" s="80" t="s">
        <v>1810</v>
      </c>
      <c r="M390" s="47"/>
      <c r="N390" s="16"/>
      <c r="O390" s="80" t="s">
        <v>1705</v>
      </c>
      <c r="P390" s="80" t="s">
        <v>1746</v>
      </c>
      <c r="Q390" s="18"/>
      <c r="R390" s="16" t="s">
        <v>197</v>
      </c>
      <c r="S390" s="16" t="s">
        <v>61</v>
      </c>
      <c r="T390" s="16"/>
      <c r="U390" s="81"/>
      <c r="V390" s="81"/>
      <c r="W390" s="191">
        <f>ROUND(IF(D390=Table!$C$3,Y390*Table!$C$4/8,Y390*Table!$D$4/8),3)</f>
        <v>540</v>
      </c>
      <c r="X390" s="191">
        <f t="shared" si="68"/>
        <v>540</v>
      </c>
      <c r="Y390" s="192">
        <v>9.6</v>
      </c>
      <c r="Z390" s="191"/>
      <c r="AA390" s="191" t="s">
        <v>21</v>
      </c>
      <c r="AB390" s="81"/>
      <c r="AC390" s="81">
        <v>44081</v>
      </c>
      <c r="AD390" s="81">
        <v>44085</v>
      </c>
      <c r="AE390" s="81">
        <v>44083</v>
      </c>
      <c r="AF390" s="81">
        <v>44083</v>
      </c>
      <c r="AG390" s="81" t="s">
        <v>156</v>
      </c>
      <c r="AH390" s="82">
        <v>0.97</v>
      </c>
      <c r="AI390" s="82">
        <v>0.87</v>
      </c>
      <c r="AJ390" s="82">
        <v>0.31</v>
      </c>
      <c r="AK390" s="81" t="s">
        <v>130</v>
      </c>
      <c r="AL390" s="81" t="s">
        <v>2148</v>
      </c>
      <c r="AM390" s="81"/>
      <c r="AN390" s="81"/>
      <c r="AO390" s="336"/>
      <c r="AP390" s="336"/>
    </row>
    <row r="391" spans="2:42">
      <c r="B391" s="195">
        <f t="shared" si="70"/>
        <v>332</v>
      </c>
      <c r="C391" s="16">
        <v>20200904</v>
      </c>
      <c r="D391" s="16" t="s">
        <v>3</v>
      </c>
      <c r="E391" s="85" t="s">
        <v>1811</v>
      </c>
      <c r="F391" s="80" t="s">
        <v>2120</v>
      </c>
      <c r="G391" s="47"/>
      <c r="H391" s="16" t="s">
        <v>1757</v>
      </c>
      <c r="I391" s="16" t="s">
        <v>1620</v>
      </c>
      <c r="J391" s="16" t="s">
        <v>1454</v>
      </c>
      <c r="K391" s="47"/>
      <c r="L391" s="80" t="s">
        <v>1810</v>
      </c>
      <c r="M391" s="47"/>
      <c r="N391" s="16"/>
      <c r="O391" s="80" t="s">
        <v>1706</v>
      </c>
      <c r="P391" s="80" t="s">
        <v>1747</v>
      </c>
      <c r="Q391" s="18"/>
      <c r="R391" s="16" t="s">
        <v>199</v>
      </c>
      <c r="S391" s="16" t="s">
        <v>66</v>
      </c>
      <c r="T391" s="16"/>
      <c r="U391" s="81"/>
      <c r="V391" s="81"/>
      <c r="W391" s="191">
        <f>ROUND(IF(D391=Table!$C$3,Y391*Table!$C$4/8,Y391*Table!$D$4/8),3)</f>
        <v>54</v>
      </c>
      <c r="X391" s="191">
        <f t="shared" si="68"/>
        <v>54</v>
      </c>
      <c r="Y391" s="191">
        <v>0.96</v>
      </c>
      <c r="Z391" s="191">
        <f t="shared" ref="Z391:Z398" si="71">Y391</f>
        <v>0.96</v>
      </c>
      <c r="AA391" s="191" t="s">
        <v>21</v>
      </c>
      <c r="AB391" s="81"/>
      <c r="AC391" s="81">
        <v>44081</v>
      </c>
      <c r="AD391" s="81">
        <v>44085</v>
      </c>
      <c r="AE391" s="81">
        <v>44081</v>
      </c>
      <c r="AF391" s="81">
        <v>44081</v>
      </c>
      <c r="AG391" s="81" t="s">
        <v>155</v>
      </c>
      <c r="AH391" s="82">
        <v>1</v>
      </c>
      <c r="AI391" s="82">
        <v>1</v>
      </c>
      <c r="AJ391" s="82">
        <v>1</v>
      </c>
      <c r="AK391" s="332" t="s">
        <v>140</v>
      </c>
      <c r="AL391" s="81"/>
      <c r="AM391" s="81"/>
      <c r="AN391" s="81"/>
      <c r="AO391" s="336"/>
      <c r="AP391" s="336"/>
    </row>
    <row r="392" spans="2:42">
      <c r="B392" s="195">
        <f t="shared" si="70"/>
        <v>333</v>
      </c>
      <c r="C392" s="16">
        <v>20200904</v>
      </c>
      <c r="D392" s="16" t="s">
        <v>3</v>
      </c>
      <c r="E392" s="85" t="s">
        <v>1811</v>
      </c>
      <c r="F392" s="80" t="s">
        <v>2121</v>
      </c>
      <c r="G392" s="47"/>
      <c r="H392" s="16" t="s">
        <v>1041</v>
      </c>
      <c r="I392" s="16" t="s">
        <v>1621</v>
      </c>
      <c r="J392" s="16" t="s">
        <v>1454</v>
      </c>
      <c r="K392" s="47"/>
      <c r="L392" s="80" t="s">
        <v>1810</v>
      </c>
      <c r="M392" s="47"/>
      <c r="N392" s="16"/>
      <c r="O392" s="80" t="s">
        <v>1707</v>
      </c>
      <c r="P392" s="80" t="s">
        <v>1748</v>
      </c>
      <c r="Q392" s="18"/>
      <c r="R392" s="16" t="s">
        <v>199</v>
      </c>
      <c r="S392" s="16" t="s">
        <v>66</v>
      </c>
      <c r="T392" s="16"/>
      <c r="U392" s="81"/>
      <c r="V392" s="81"/>
      <c r="W392" s="191">
        <f>ROUND(IF(D392=Table!$C$3,Y392*Table!$C$4/8,Y392*Table!$D$4/8),3)</f>
        <v>135</v>
      </c>
      <c r="X392" s="191">
        <f t="shared" si="68"/>
        <v>135</v>
      </c>
      <c r="Y392" s="191">
        <v>2.4</v>
      </c>
      <c r="Z392" s="191">
        <f t="shared" si="71"/>
        <v>2.4</v>
      </c>
      <c r="AA392" s="191" t="s">
        <v>21</v>
      </c>
      <c r="AB392" s="81"/>
      <c r="AC392" s="81">
        <v>44081</v>
      </c>
      <c r="AD392" s="81">
        <v>44085</v>
      </c>
      <c r="AE392" s="81">
        <v>44081</v>
      </c>
      <c r="AF392" s="81">
        <v>44081</v>
      </c>
      <c r="AG392" s="81" t="s">
        <v>155</v>
      </c>
      <c r="AH392" s="82">
        <v>1</v>
      </c>
      <c r="AI392" s="82">
        <v>1</v>
      </c>
      <c r="AJ392" s="82">
        <v>1</v>
      </c>
      <c r="AK392" s="332" t="s">
        <v>140</v>
      </c>
      <c r="AL392" s="81"/>
      <c r="AM392" s="81"/>
      <c r="AN392" s="81"/>
      <c r="AO392" s="336"/>
      <c r="AP392" s="336"/>
    </row>
    <row r="393" spans="2:42">
      <c r="B393" s="195">
        <f t="shared" si="70"/>
        <v>334</v>
      </c>
      <c r="C393" s="16">
        <v>20200904</v>
      </c>
      <c r="D393" s="16" t="s">
        <v>3</v>
      </c>
      <c r="E393" s="85" t="s">
        <v>1811</v>
      </c>
      <c r="F393" s="80" t="s">
        <v>2122</v>
      </c>
      <c r="G393" s="47"/>
      <c r="H393" s="16" t="s">
        <v>1758</v>
      </c>
      <c r="I393" s="16" t="s">
        <v>1622</v>
      </c>
      <c r="J393" s="16" t="s">
        <v>1454</v>
      </c>
      <c r="K393" s="47"/>
      <c r="L393" s="80" t="s">
        <v>1810</v>
      </c>
      <c r="M393" s="47"/>
      <c r="N393" s="16"/>
      <c r="O393" s="80" t="s">
        <v>1708</v>
      </c>
      <c r="P393" s="80" t="s">
        <v>1749</v>
      </c>
      <c r="Q393" s="18"/>
      <c r="R393" s="16" t="s">
        <v>199</v>
      </c>
      <c r="S393" s="16" t="s">
        <v>66</v>
      </c>
      <c r="T393" s="16"/>
      <c r="U393" s="81"/>
      <c r="V393" s="81"/>
      <c r="W393" s="191">
        <f>ROUND(IF(D393=Table!$C$3,Y393*Table!$C$4/8,Y393*Table!$D$4/8),3)</f>
        <v>54</v>
      </c>
      <c r="X393" s="191">
        <f t="shared" si="68"/>
        <v>54</v>
      </c>
      <c r="Y393" s="191">
        <v>0.96</v>
      </c>
      <c r="Z393" s="191">
        <f t="shared" si="71"/>
        <v>0.96</v>
      </c>
      <c r="AA393" s="191" t="s">
        <v>21</v>
      </c>
      <c r="AB393" s="81"/>
      <c r="AC393" s="81">
        <v>44081</v>
      </c>
      <c r="AD393" s="81">
        <v>44085</v>
      </c>
      <c r="AE393" s="81">
        <v>44081</v>
      </c>
      <c r="AF393" s="81">
        <v>44081</v>
      </c>
      <c r="AG393" s="81" t="s">
        <v>156</v>
      </c>
      <c r="AH393" s="82">
        <v>0.88</v>
      </c>
      <c r="AI393" s="82">
        <v>0.83</v>
      </c>
      <c r="AJ393" s="82">
        <v>1</v>
      </c>
      <c r="AK393" s="332" t="s">
        <v>140</v>
      </c>
      <c r="AL393" s="332" t="s">
        <v>2182</v>
      </c>
      <c r="AM393" s="81"/>
      <c r="AN393" s="81"/>
      <c r="AO393" s="336"/>
      <c r="AP393" s="336"/>
    </row>
    <row r="394" spans="2:42">
      <c r="B394" s="195">
        <f t="shared" si="70"/>
        <v>335</v>
      </c>
      <c r="C394" s="16">
        <v>20200904</v>
      </c>
      <c r="D394" s="16" t="s">
        <v>3</v>
      </c>
      <c r="E394" s="85" t="s">
        <v>1811</v>
      </c>
      <c r="F394" s="80" t="s">
        <v>2123</v>
      </c>
      <c r="G394" s="47"/>
      <c r="H394" s="16" t="s">
        <v>1759</v>
      </c>
      <c r="I394" s="16" t="s">
        <v>1623</v>
      </c>
      <c r="J394" s="16" t="s">
        <v>1454</v>
      </c>
      <c r="K394" s="47"/>
      <c r="L394" s="80" t="s">
        <v>1810</v>
      </c>
      <c r="M394" s="47"/>
      <c r="N394" s="16"/>
      <c r="O394" s="80" t="s">
        <v>1709</v>
      </c>
      <c r="P394" s="80" t="s">
        <v>1747</v>
      </c>
      <c r="Q394" s="18"/>
      <c r="R394" s="16" t="s">
        <v>199</v>
      </c>
      <c r="S394" s="16" t="s">
        <v>66</v>
      </c>
      <c r="T394" s="16"/>
      <c r="U394" s="81"/>
      <c r="V394" s="81"/>
      <c r="W394" s="191">
        <f>ROUND(IF(D394=Table!$C$3,Y394*Table!$C$4/8,Y394*Table!$D$4/8),3)</f>
        <v>90</v>
      </c>
      <c r="X394" s="191">
        <f t="shared" si="68"/>
        <v>90</v>
      </c>
      <c r="Y394" s="191">
        <v>1.6</v>
      </c>
      <c r="Z394" s="191">
        <f t="shared" si="71"/>
        <v>1.6</v>
      </c>
      <c r="AA394" s="191" t="s">
        <v>21</v>
      </c>
      <c r="AB394" s="81"/>
      <c r="AC394" s="81">
        <v>44081</v>
      </c>
      <c r="AD394" s="81">
        <v>44085</v>
      </c>
      <c r="AE394" s="81">
        <v>44082</v>
      </c>
      <c r="AF394" s="81">
        <v>44082</v>
      </c>
      <c r="AG394" s="81" t="s">
        <v>155</v>
      </c>
      <c r="AH394" s="82">
        <v>1</v>
      </c>
      <c r="AI394" s="82">
        <v>1</v>
      </c>
      <c r="AJ394" s="82">
        <v>1</v>
      </c>
      <c r="AK394" s="332" t="s">
        <v>140</v>
      </c>
      <c r="AL394" s="81"/>
      <c r="AM394" s="81"/>
      <c r="AN394" s="81"/>
      <c r="AO394" s="336"/>
      <c r="AP394" s="336"/>
    </row>
    <row r="395" spans="2:42">
      <c r="B395" s="195">
        <f t="shared" si="70"/>
        <v>336</v>
      </c>
      <c r="C395" s="16">
        <v>20200904</v>
      </c>
      <c r="D395" s="16" t="s">
        <v>3</v>
      </c>
      <c r="E395" s="85" t="s">
        <v>1811</v>
      </c>
      <c r="F395" s="80" t="s">
        <v>2124</v>
      </c>
      <c r="G395" s="47"/>
      <c r="H395" s="16" t="s">
        <v>1760</v>
      </c>
      <c r="I395" s="16" t="s">
        <v>1624</v>
      </c>
      <c r="J395" s="16" t="s">
        <v>1454</v>
      </c>
      <c r="K395" s="47"/>
      <c r="L395" s="80" t="s">
        <v>1810</v>
      </c>
      <c r="M395" s="47"/>
      <c r="N395" s="16"/>
      <c r="O395" s="80" t="s">
        <v>1710</v>
      </c>
      <c r="P395" s="80" t="s">
        <v>1750</v>
      </c>
      <c r="Q395" s="18"/>
      <c r="R395" s="16" t="s">
        <v>199</v>
      </c>
      <c r="S395" s="16" t="s">
        <v>66</v>
      </c>
      <c r="T395" s="16"/>
      <c r="U395" s="81"/>
      <c r="V395" s="81"/>
      <c r="W395" s="191">
        <f>ROUND(IF(D395=Table!$C$3,Y395*Table!$C$4/8,Y395*Table!$D$4/8),3)</f>
        <v>54</v>
      </c>
      <c r="X395" s="191">
        <f t="shared" si="68"/>
        <v>54</v>
      </c>
      <c r="Y395" s="191">
        <v>0.96</v>
      </c>
      <c r="Z395" s="191">
        <f t="shared" si="71"/>
        <v>0.96</v>
      </c>
      <c r="AA395" s="191" t="s">
        <v>21</v>
      </c>
      <c r="AB395" s="81"/>
      <c r="AC395" s="81">
        <v>44081</v>
      </c>
      <c r="AD395" s="81">
        <v>44085</v>
      </c>
      <c r="AE395" s="81">
        <v>44082</v>
      </c>
      <c r="AF395" s="81">
        <v>44082</v>
      </c>
      <c r="AG395" s="81" t="s">
        <v>155</v>
      </c>
      <c r="AH395" s="82">
        <v>1</v>
      </c>
      <c r="AI395" s="82">
        <v>1</v>
      </c>
      <c r="AJ395" s="82">
        <v>0.36</v>
      </c>
      <c r="AK395" s="332" t="s">
        <v>140</v>
      </c>
      <c r="AL395" s="81"/>
      <c r="AM395" s="81"/>
      <c r="AN395" s="81"/>
      <c r="AO395" s="336"/>
      <c r="AP395" s="336"/>
    </row>
    <row r="396" spans="2:42">
      <c r="B396" s="195">
        <f t="shared" si="70"/>
        <v>337</v>
      </c>
      <c r="C396" s="16">
        <v>20200904</v>
      </c>
      <c r="D396" s="16" t="s">
        <v>3</v>
      </c>
      <c r="E396" s="85" t="s">
        <v>1811</v>
      </c>
      <c r="F396" s="80" t="s">
        <v>2125</v>
      </c>
      <c r="G396" s="47"/>
      <c r="H396" s="16" t="s">
        <v>1761</v>
      </c>
      <c r="I396" s="16" t="s">
        <v>1625</v>
      </c>
      <c r="J396" s="16" t="s">
        <v>1454</v>
      </c>
      <c r="K396" s="47"/>
      <c r="L396" s="80" t="s">
        <v>1810</v>
      </c>
      <c r="M396" s="47"/>
      <c r="N396" s="16"/>
      <c r="O396" s="80" t="s">
        <v>1711</v>
      </c>
      <c r="P396" s="80" t="s">
        <v>1750</v>
      </c>
      <c r="Q396" s="18"/>
      <c r="R396" s="16" t="s">
        <v>199</v>
      </c>
      <c r="S396" s="16" t="s">
        <v>66</v>
      </c>
      <c r="T396" s="16"/>
      <c r="U396" s="81"/>
      <c r="V396" s="81"/>
      <c r="W396" s="191">
        <f>ROUND(IF(D396=Table!$C$3,Y396*Table!$C$4/8,Y396*Table!$D$4/8),3)</f>
        <v>54</v>
      </c>
      <c r="X396" s="191">
        <f t="shared" si="68"/>
        <v>54</v>
      </c>
      <c r="Y396" s="191">
        <v>0.96</v>
      </c>
      <c r="Z396" s="191">
        <f t="shared" si="71"/>
        <v>0.96</v>
      </c>
      <c r="AA396" s="191" t="s">
        <v>21</v>
      </c>
      <c r="AB396" s="81"/>
      <c r="AC396" s="81">
        <v>44081</v>
      </c>
      <c r="AD396" s="81">
        <v>44085</v>
      </c>
      <c r="AE396" s="81">
        <v>44082</v>
      </c>
      <c r="AF396" s="81">
        <v>44082</v>
      </c>
      <c r="AG396" s="81" t="s">
        <v>155</v>
      </c>
      <c r="AH396" s="82">
        <v>1</v>
      </c>
      <c r="AI396" s="82">
        <v>1</v>
      </c>
      <c r="AJ396" s="82">
        <v>1</v>
      </c>
      <c r="AK396" s="332" t="s">
        <v>140</v>
      </c>
      <c r="AL396" s="81"/>
      <c r="AM396" s="81"/>
      <c r="AN396" s="81"/>
      <c r="AO396" s="336"/>
      <c r="AP396" s="336"/>
    </row>
    <row r="397" spans="2:42">
      <c r="B397" s="195">
        <f t="shared" si="70"/>
        <v>338</v>
      </c>
      <c r="C397" s="16">
        <v>20200904</v>
      </c>
      <c r="D397" s="16" t="s">
        <v>3</v>
      </c>
      <c r="E397" s="85" t="s">
        <v>1811</v>
      </c>
      <c r="F397" s="80" t="s">
        <v>2126</v>
      </c>
      <c r="G397" s="47"/>
      <c r="H397" s="16" t="s">
        <v>1579</v>
      </c>
      <c r="I397" s="16" t="s">
        <v>1626</v>
      </c>
      <c r="J397" s="16" t="s">
        <v>1454</v>
      </c>
      <c r="K397" s="47"/>
      <c r="L397" s="80" t="s">
        <v>1810</v>
      </c>
      <c r="M397" s="47"/>
      <c r="N397" s="16"/>
      <c r="O397" s="80" t="s">
        <v>1712</v>
      </c>
      <c r="P397" s="80" t="s">
        <v>1747</v>
      </c>
      <c r="Q397" s="18"/>
      <c r="R397" s="16" t="s">
        <v>199</v>
      </c>
      <c r="S397" s="16" t="s">
        <v>66</v>
      </c>
      <c r="T397" s="16"/>
      <c r="U397" s="81"/>
      <c r="V397" s="81"/>
      <c r="W397" s="191">
        <f>ROUND(IF(D397=Table!$C$3,Y397*Table!$C$4/8,Y397*Table!$D$4/8),3)</f>
        <v>54</v>
      </c>
      <c r="X397" s="191">
        <f t="shared" si="68"/>
        <v>54</v>
      </c>
      <c r="Y397" s="191">
        <v>0.96</v>
      </c>
      <c r="Z397" s="191">
        <f t="shared" si="71"/>
        <v>0.96</v>
      </c>
      <c r="AA397" s="191" t="s">
        <v>21</v>
      </c>
      <c r="AB397" s="81"/>
      <c r="AC397" s="81">
        <v>44081</v>
      </c>
      <c r="AD397" s="81">
        <v>44085</v>
      </c>
      <c r="AE397" s="81">
        <v>44082</v>
      </c>
      <c r="AF397" s="81">
        <v>44082</v>
      </c>
      <c r="AG397" s="81" t="s">
        <v>155</v>
      </c>
      <c r="AH397" s="82">
        <v>0.96</v>
      </c>
      <c r="AI397" s="82">
        <v>0.93</v>
      </c>
      <c r="AJ397" s="82">
        <v>1</v>
      </c>
      <c r="AK397" s="332" t="s">
        <v>140</v>
      </c>
      <c r="AL397" s="332" t="s">
        <v>1897</v>
      </c>
      <c r="AM397" s="81"/>
      <c r="AN397" s="81"/>
      <c r="AO397" s="336"/>
      <c r="AP397" s="336"/>
    </row>
    <row r="398" spans="2:42" hidden="1">
      <c r="B398" s="195">
        <f t="shared" si="70"/>
        <v>339</v>
      </c>
      <c r="C398" s="16">
        <v>20200904</v>
      </c>
      <c r="D398" s="16" t="s">
        <v>3</v>
      </c>
      <c r="E398" s="85" t="s">
        <v>1811</v>
      </c>
      <c r="F398" s="80" t="s">
        <v>2127</v>
      </c>
      <c r="G398" s="47"/>
      <c r="H398" s="16" t="s">
        <v>1580</v>
      </c>
      <c r="I398" s="16" t="s">
        <v>1627</v>
      </c>
      <c r="J398" s="16" t="s">
        <v>208</v>
      </c>
      <c r="K398" s="47"/>
      <c r="L398" s="80" t="s">
        <v>1810</v>
      </c>
      <c r="M398" s="47"/>
      <c r="N398" s="16"/>
      <c r="O398" s="80" t="s">
        <v>1713</v>
      </c>
      <c r="P398" s="80" t="s">
        <v>1750</v>
      </c>
      <c r="Q398" s="18"/>
      <c r="R398" s="16" t="s">
        <v>198</v>
      </c>
      <c r="S398" s="16" t="s">
        <v>174</v>
      </c>
      <c r="T398" s="16"/>
      <c r="U398" s="81"/>
      <c r="V398" s="81"/>
      <c r="W398" s="191">
        <f>ROUND(IF(D398=Table!$C$3,Y398*Table!$C$4/8,Y398*Table!$D$4/8),3)</f>
        <v>720</v>
      </c>
      <c r="X398" s="191">
        <f t="shared" si="68"/>
        <v>720</v>
      </c>
      <c r="Y398" s="192">
        <v>12.8</v>
      </c>
      <c r="Z398" s="191">
        <f t="shared" si="71"/>
        <v>12.8</v>
      </c>
      <c r="AA398" s="191" t="s">
        <v>21</v>
      </c>
      <c r="AB398" s="81"/>
      <c r="AC398" s="81">
        <v>44081</v>
      </c>
      <c r="AD398" s="81">
        <v>44085</v>
      </c>
      <c r="AE398" s="81">
        <v>44078</v>
      </c>
      <c r="AF398" s="81">
        <v>44078</v>
      </c>
      <c r="AG398" s="81" t="s">
        <v>155</v>
      </c>
      <c r="AH398" s="82">
        <v>0.99</v>
      </c>
      <c r="AI398" s="82">
        <v>0.98</v>
      </c>
      <c r="AJ398" s="82">
        <v>0.98</v>
      </c>
      <c r="AK398" s="81" t="s">
        <v>140</v>
      </c>
      <c r="AL398" s="81" t="s">
        <v>1826</v>
      </c>
      <c r="AM398" s="81"/>
      <c r="AN398" s="81"/>
      <c r="AO398" s="336"/>
      <c r="AP398" s="336"/>
    </row>
    <row r="399" spans="2:42" hidden="1">
      <c r="B399" s="195">
        <f t="shared" si="70"/>
        <v>340</v>
      </c>
      <c r="C399" s="16">
        <v>20200904</v>
      </c>
      <c r="D399" s="16" t="s">
        <v>3</v>
      </c>
      <c r="E399" s="85" t="s">
        <v>1811</v>
      </c>
      <c r="F399" s="80" t="s">
        <v>2128</v>
      </c>
      <c r="G399" s="47"/>
      <c r="H399" s="16" t="s">
        <v>1762</v>
      </c>
      <c r="I399" s="16" t="s">
        <v>1628</v>
      </c>
      <c r="J399" s="16" t="s">
        <v>208</v>
      </c>
      <c r="K399" s="47"/>
      <c r="L399" s="80" t="s">
        <v>1810</v>
      </c>
      <c r="M399" s="47"/>
      <c r="N399" s="16"/>
      <c r="O399" s="80" t="s">
        <v>1714</v>
      </c>
      <c r="P399" s="80" t="s">
        <v>1747</v>
      </c>
      <c r="Q399" s="18"/>
      <c r="R399" s="16" t="s">
        <v>200</v>
      </c>
      <c r="S399" s="16" t="s">
        <v>133</v>
      </c>
      <c r="T399" s="16"/>
      <c r="U399" s="81"/>
      <c r="V399" s="81"/>
      <c r="W399" s="191">
        <f>ROUND(IF(D399=Table!$C$3,Y399*Table!$C$4/8,Y399*Table!$D$4/8),3)</f>
        <v>360</v>
      </c>
      <c r="X399" s="191">
        <f t="shared" si="68"/>
        <v>360</v>
      </c>
      <c r="Y399" s="192">
        <v>6.4</v>
      </c>
      <c r="Z399" s="191"/>
      <c r="AA399" s="191" t="s">
        <v>21</v>
      </c>
      <c r="AB399" s="81"/>
      <c r="AC399" s="81">
        <v>44081</v>
      </c>
      <c r="AD399" s="81">
        <v>44085</v>
      </c>
      <c r="AE399" s="81">
        <v>44078</v>
      </c>
      <c r="AF399" s="81">
        <v>44078</v>
      </c>
      <c r="AG399" s="81" t="s">
        <v>155</v>
      </c>
      <c r="AH399" s="82">
        <v>0.98</v>
      </c>
      <c r="AI399" s="82">
        <v>0.98</v>
      </c>
      <c r="AJ399" s="82">
        <v>0.94</v>
      </c>
      <c r="AK399" s="81" t="s">
        <v>140</v>
      </c>
      <c r="AL399" s="81" t="s">
        <v>1818</v>
      </c>
      <c r="AM399" s="81"/>
      <c r="AN399" s="81"/>
      <c r="AO399" s="336"/>
      <c r="AP399" s="336"/>
    </row>
    <row r="400" spans="2:42">
      <c r="B400" s="195">
        <f t="shared" si="70"/>
        <v>341</v>
      </c>
      <c r="C400" s="16">
        <v>20200904</v>
      </c>
      <c r="D400" s="16" t="s">
        <v>3</v>
      </c>
      <c r="E400" s="85" t="s">
        <v>1811</v>
      </c>
      <c r="F400" s="80" t="s">
        <v>2129</v>
      </c>
      <c r="G400" s="47"/>
      <c r="H400" s="16" t="s">
        <v>1763</v>
      </c>
      <c r="I400" s="16" t="s">
        <v>1629</v>
      </c>
      <c r="J400" s="16" t="s">
        <v>246</v>
      </c>
      <c r="K400" s="47"/>
      <c r="L400" s="80" t="s">
        <v>1810</v>
      </c>
      <c r="M400" s="47"/>
      <c r="N400" s="16"/>
      <c r="O400" s="80" t="s">
        <v>1715</v>
      </c>
      <c r="P400" s="80" t="s">
        <v>1750</v>
      </c>
      <c r="Q400" s="18"/>
      <c r="R400" s="16" t="s">
        <v>199</v>
      </c>
      <c r="S400" s="16" t="s">
        <v>66</v>
      </c>
      <c r="T400" s="16"/>
      <c r="U400" s="81"/>
      <c r="V400" s="81"/>
      <c r="W400" s="191">
        <f>ROUND(IF(D400=Table!$C$3,Y400*Table!$C$4/8,Y400*Table!$D$4/8),3)</f>
        <v>90</v>
      </c>
      <c r="X400" s="191">
        <f t="shared" si="68"/>
        <v>90</v>
      </c>
      <c r="Y400" s="191">
        <v>1.6</v>
      </c>
      <c r="Z400" s="191">
        <f t="shared" ref="Z400:Z405" si="72">Y400</f>
        <v>1.6</v>
      </c>
      <c r="AA400" s="191" t="s">
        <v>21</v>
      </c>
      <c r="AB400" s="81"/>
      <c r="AC400" s="81">
        <v>44081</v>
      </c>
      <c r="AD400" s="81">
        <v>44085</v>
      </c>
      <c r="AE400" s="81">
        <v>44082</v>
      </c>
      <c r="AF400" s="81">
        <v>44082</v>
      </c>
      <c r="AG400" s="81" t="s">
        <v>155</v>
      </c>
      <c r="AH400" s="82">
        <v>0.99</v>
      </c>
      <c r="AI400" s="82">
        <v>0.99</v>
      </c>
      <c r="AJ400" s="82">
        <v>1</v>
      </c>
      <c r="AK400" s="332" t="s">
        <v>140</v>
      </c>
      <c r="AL400" s="332" t="s">
        <v>1900</v>
      </c>
      <c r="AM400" s="81"/>
      <c r="AN400" s="81"/>
      <c r="AO400" s="336"/>
      <c r="AP400" s="336"/>
    </row>
    <row r="401" spans="1:43" s="202" customFormat="1">
      <c r="A401" s="111"/>
      <c r="B401" s="197">
        <f t="shared" si="70"/>
        <v>342</v>
      </c>
      <c r="C401" s="16">
        <v>20200904</v>
      </c>
      <c r="D401" s="16" t="s">
        <v>3</v>
      </c>
      <c r="E401" s="85" t="s">
        <v>1811</v>
      </c>
      <c r="F401" s="80" t="s">
        <v>2130</v>
      </c>
      <c r="G401" s="47"/>
      <c r="H401" s="198" t="s">
        <v>1764</v>
      </c>
      <c r="I401" s="16" t="s">
        <v>1630</v>
      </c>
      <c r="J401" s="198" t="s">
        <v>246</v>
      </c>
      <c r="K401" s="47"/>
      <c r="L401" s="80" t="s">
        <v>1810</v>
      </c>
      <c r="M401" s="47"/>
      <c r="N401" s="198"/>
      <c r="O401" s="199" t="s">
        <v>1716</v>
      </c>
      <c r="P401" s="199" t="s">
        <v>1750</v>
      </c>
      <c r="Q401" s="198"/>
      <c r="R401" s="16" t="s">
        <v>199</v>
      </c>
      <c r="S401" s="16" t="s">
        <v>66</v>
      </c>
      <c r="T401" s="198"/>
      <c r="U401" s="200"/>
      <c r="V401" s="200"/>
      <c r="W401" s="191">
        <f>ROUND(IF(D401=Table!$C$3,Y401*Table!$C$4/8,Y401*Table!$D$4/8),3)</f>
        <v>90</v>
      </c>
      <c r="X401" s="201">
        <f t="shared" si="68"/>
        <v>90</v>
      </c>
      <c r="Y401" s="191">
        <v>1.6</v>
      </c>
      <c r="Z401" s="191">
        <f t="shared" si="72"/>
        <v>1.6</v>
      </c>
      <c r="AA401" s="191" t="s">
        <v>21</v>
      </c>
      <c r="AB401" s="200"/>
      <c r="AC401" s="81">
        <v>44081</v>
      </c>
      <c r="AD401" s="81">
        <v>44085</v>
      </c>
      <c r="AE401" s="81">
        <v>44082</v>
      </c>
      <c r="AF401" s="81">
        <v>44082</v>
      </c>
      <c r="AG401" s="81" t="s">
        <v>155</v>
      </c>
      <c r="AH401" s="82">
        <v>0.99</v>
      </c>
      <c r="AI401" s="82">
        <v>0.99</v>
      </c>
      <c r="AJ401" s="82">
        <v>1</v>
      </c>
      <c r="AK401" s="332" t="s">
        <v>140</v>
      </c>
      <c r="AL401" s="382" t="s">
        <v>1903</v>
      </c>
      <c r="AM401" s="81"/>
      <c r="AN401" s="81"/>
      <c r="AO401" s="336"/>
      <c r="AP401" s="336"/>
      <c r="AQ401" s="111"/>
    </row>
    <row r="402" spans="1:43" s="202" customFormat="1" hidden="1">
      <c r="A402" s="111"/>
      <c r="B402" s="197">
        <f t="shared" si="70"/>
        <v>343</v>
      </c>
      <c r="C402" s="16">
        <v>20200904</v>
      </c>
      <c r="D402" s="16" t="s">
        <v>3</v>
      </c>
      <c r="E402" s="85" t="s">
        <v>1811</v>
      </c>
      <c r="F402" s="80" t="s">
        <v>2131</v>
      </c>
      <c r="G402" s="47"/>
      <c r="H402" s="16" t="s">
        <v>1765</v>
      </c>
      <c r="I402" s="16" t="s">
        <v>1631</v>
      </c>
      <c r="J402" s="16" t="s">
        <v>208</v>
      </c>
      <c r="K402" s="47"/>
      <c r="L402" s="80" t="s">
        <v>1810</v>
      </c>
      <c r="M402" s="47"/>
      <c r="N402" s="198"/>
      <c r="O402" s="199" t="s">
        <v>1717</v>
      </c>
      <c r="P402" s="199" t="s">
        <v>1747</v>
      </c>
      <c r="Q402" s="198"/>
      <c r="R402" s="198" t="s">
        <v>201</v>
      </c>
      <c r="S402" s="16" t="s">
        <v>63</v>
      </c>
      <c r="T402" s="198"/>
      <c r="U402" s="200"/>
      <c r="V402" s="200"/>
      <c r="W402" s="191">
        <f>ROUND(IF(D402=Table!$C$3,Y402*Table!$C$4/8,Y402*Table!$D$4/8),3)</f>
        <v>180</v>
      </c>
      <c r="X402" s="201">
        <f t="shared" si="68"/>
        <v>180</v>
      </c>
      <c r="Y402" s="191">
        <v>3.2</v>
      </c>
      <c r="Z402" s="191">
        <f t="shared" si="72"/>
        <v>3.2</v>
      </c>
      <c r="AA402" s="191" t="s">
        <v>21</v>
      </c>
      <c r="AB402" s="200"/>
      <c r="AC402" s="81">
        <v>44081</v>
      </c>
      <c r="AD402" s="81">
        <v>44085</v>
      </c>
      <c r="AE402" s="81">
        <v>44081</v>
      </c>
      <c r="AF402" s="81">
        <v>44081</v>
      </c>
      <c r="AG402" s="81" t="s">
        <v>155</v>
      </c>
      <c r="AH402" s="82">
        <v>0.98</v>
      </c>
      <c r="AI402" s="82">
        <v>0.96</v>
      </c>
      <c r="AJ402" s="82">
        <v>1</v>
      </c>
      <c r="AK402" s="168" t="s">
        <v>140</v>
      </c>
      <c r="AL402" s="332" t="s">
        <v>1844</v>
      </c>
      <c r="AM402" s="81"/>
      <c r="AN402" s="81"/>
      <c r="AO402" s="336"/>
      <c r="AP402" s="336"/>
      <c r="AQ402" s="111"/>
    </row>
    <row r="403" spans="1:43" s="202" customFormat="1" hidden="1">
      <c r="A403" s="111"/>
      <c r="B403" s="197">
        <f t="shared" si="70"/>
        <v>344</v>
      </c>
      <c r="C403" s="16">
        <v>20200904</v>
      </c>
      <c r="D403" s="16" t="s">
        <v>3</v>
      </c>
      <c r="E403" s="85" t="s">
        <v>1811</v>
      </c>
      <c r="F403" s="80" t="s">
        <v>2132</v>
      </c>
      <c r="G403" s="47"/>
      <c r="H403" s="16" t="s">
        <v>1766</v>
      </c>
      <c r="I403" s="18" t="s">
        <v>1632</v>
      </c>
      <c r="J403" s="16" t="s">
        <v>246</v>
      </c>
      <c r="K403" s="47"/>
      <c r="L403" s="80" t="s">
        <v>1810</v>
      </c>
      <c r="M403" s="47"/>
      <c r="N403" s="198"/>
      <c r="O403" s="199" t="s">
        <v>1718</v>
      </c>
      <c r="P403" s="199" t="s">
        <v>1749</v>
      </c>
      <c r="Q403" s="198"/>
      <c r="R403" s="198" t="s">
        <v>201</v>
      </c>
      <c r="S403" s="16" t="s">
        <v>63</v>
      </c>
      <c r="T403" s="198"/>
      <c r="U403" s="200"/>
      <c r="V403" s="200"/>
      <c r="W403" s="191">
        <f>ROUND(IF(D403=Table!$C$3,Y403*Table!$C$4/8,Y403*Table!$D$4/8),3)</f>
        <v>180</v>
      </c>
      <c r="X403" s="201">
        <f t="shared" si="68"/>
        <v>180</v>
      </c>
      <c r="Y403" s="191">
        <v>3.2</v>
      </c>
      <c r="Z403" s="191">
        <f t="shared" si="72"/>
        <v>3.2</v>
      </c>
      <c r="AA403" s="191" t="s">
        <v>21</v>
      </c>
      <c r="AB403" s="200"/>
      <c r="AC403" s="81">
        <v>44081</v>
      </c>
      <c r="AD403" s="81">
        <v>44085</v>
      </c>
      <c r="AE403" s="81">
        <v>44081</v>
      </c>
      <c r="AF403" s="81">
        <v>44081</v>
      </c>
      <c r="AG403" s="81" t="s">
        <v>155</v>
      </c>
      <c r="AH403" s="82">
        <v>0.98</v>
      </c>
      <c r="AI403" s="82">
        <v>0.97</v>
      </c>
      <c r="AJ403" s="82">
        <v>1</v>
      </c>
      <c r="AK403" s="168" t="s">
        <v>140</v>
      </c>
      <c r="AL403" s="332" t="s">
        <v>1842</v>
      </c>
      <c r="AM403" s="81"/>
      <c r="AN403" s="81"/>
      <c r="AO403" s="336"/>
      <c r="AP403" s="336"/>
      <c r="AQ403" s="111"/>
    </row>
    <row r="404" spans="1:43" hidden="1">
      <c r="B404" s="123">
        <f t="shared" si="70"/>
        <v>345</v>
      </c>
      <c r="C404" s="16">
        <v>20200904</v>
      </c>
      <c r="D404" s="16" t="s">
        <v>3</v>
      </c>
      <c r="E404" s="85" t="s">
        <v>1811</v>
      </c>
      <c r="F404" s="80" t="s">
        <v>2133</v>
      </c>
      <c r="G404" s="47"/>
      <c r="H404" s="16" t="s">
        <v>1767</v>
      </c>
      <c r="I404" s="18" t="s">
        <v>1633</v>
      </c>
      <c r="J404" s="16" t="s">
        <v>246</v>
      </c>
      <c r="K404" s="47"/>
      <c r="L404" s="72" t="s">
        <v>1810</v>
      </c>
      <c r="M404" s="47"/>
      <c r="N404" s="16"/>
      <c r="O404" s="80" t="s">
        <v>1719</v>
      </c>
      <c r="P404" s="80" t="s">
        <v>1748</v>
      </c>
      <c r="Q404" s="18"/>
      <c r="R404" s="16" t="s">
        <v>201</v>
      </c>
      <c r="S404" s="16" t="s">
        <v>63</v>
      </c>
      <c r="T404" s="16"/>
      <c r="U404" s="81"/>
      <c r="V404" s="81"/>
      <c r="W404" s="191">
        <f>ROUND(IF(D404=Table!$C$3,Y404*Table!$C$4/8,Y404*Table!$D$4/8),3)</f>
        <v>90</v>
      </c>
      <c r="X404" s="191">
        <f t="shared" si="68"/>
        <v>90</v>
      </c>
      <c r="Y404" s="191">
        <v>1.6</v>
      </c>
      <c r="Z404" s="191">
        <f t="shared" si="72"/>
        <v>1.6</v>
      </c>
      <c r="AA404" s="191" t="s">
        <v>21</v>
      </c>
      <c r="AB404" s="81"/>
      <c r="AC404" s="81">
        <v>44081</v>
      </c>
      <c r="AD404" s="81">
        <v>44085</v>
      </c>
      <c r="AE404" s="81">
        <v>44081</v>
      </c>
      <c r="AF404" s="81">
        <v>44081</v>
      </c>
      <c r="AG404" s="81" t="s">
        <v>155</v>
      </c>
      <c r="AH404" s="82">
        <v>0.97</v>
      </c>
      <c r="AI404" s="82">
        <v>0.97</v>
      </c>
      <c r="AJ404" s="335">
        <v>1</v>
      </c>
      <c r="AK404" s="168" t="s">
        <v>140</v>
      </c>
      <c r="AL404" s="334" t="s">
        <v>1841</v>
      </c>
      <c r="AM404" s="81"/>
      <c r="AN404" s="81"/>
      <c r="AO404" s="336"/>
      <c r="AP404" s="336"/>
    </row>
    <row r="405" spans="1:43" hidden="1">
      <c r="B405" s="123">
        <f t="shared" si="70"/>
        <v>346</v>
      </c>
      <c r="C405" s="16">
        <v>20200904</v>
      </c>
      <c r="D405" s="16" t="s">
        <v>3</v>
      </c>
      <c r="E405" s="85" t="s">
        <v>1811</v>
      </c>
      <c r="F405" s="80" t="s">
        <v>2134</v>
      </c>
      <c r="G405" s="47"/>
      <c r="H405" s="16" t="s">
        <v>1768</v>
      </c>
      <c r="I405" s="18" t="s">
        <v>1634</v>
      </c>
      <c r="J405" s="16" t="s">
        <v>246</v>
      </c>
      <c r="K405" s="47"/>
      <c r="L405" s="80" t="s">
        <v>1810</v>
      </c>
      <c r="M405" s="47"/>
      <c r="N405" s="16"/>
      <c r="O405" s="80" t="s">
        <v>1720</v>
      </c>
      <c r="P405" s="80" t="s">
        <v>1749</v>
      </c>
      <c r="Q405" s="18"/>
      <c r="R405" s="16" t="s">
        <v>201</v>
      </c>
      <c r="S405" s="16" t="s">
        <v>63</v>
      </c>
      <c r="T405" s="16"/>
      <c r="U405" s="81"/>
      <c r="V405" s="81"/>
      <c r="W405" s="191">
        <f>ROUND(IF(D405=Table!$C$3,Y405*Table!$C$4/8,Y405*Table!$D$4/8),3)</f>
        <v>180</v>
      </c>
      <c r="X405" s="191">
        <f t="shared" si="68"/>
        <v>180</v>
      </c>
      <c r="Y405" s="191">
        <v>3.2</v>
      </c>
      <c r="Z405" s="191">
        <f t="shared" si="72"/>
        <v>3.2</v>
      </c>
      <c r="AA405" s="191" t="s">
        <v>21</v>
      </c>
      <c r="AB405" s="81"/>
      <c r="AC405" s="81">
        <v>44081</v>
      </c>
      <c r="AD405" s="81">
        <v>44085</v>
      </c>
      <c r="AE405" s="81">
        <v>44081</v>
      </c>
      <c r="AF405" s="81">
        <v>44081</v>
      </c>
      <c r="AG405" s="81" t="s">
        <v>155</v>
      </c>
      <c r="AH405" s="82">
        <v>0.98</v>
      </c>
      <c r="AI405" s="82">
        <v>0.98</v>
      </c>
      <c r="AJ405" s="82">
        <v>1</v>
      </c>
      <c r="AK405" s="168" t="s">
        <v>140</v>
      </c>
      <c r="AL405" s="332" t="s">
        <v>1836</v>
      </c>
      <c r="AM405" s="81"/>
      <c r="AN405" s="81"/>
      <c r="AO405" s="336"/>
      <c r="AP405" s="336"/>
    </row>
    <row r="406" spans="1:43" hidden="1">
      <c r="B406" s="123">
        <f t="shared" si="70"/>
        <v>347</v>
      </c>
      <c r="C406" s="16">
        <v>20200904</v>
      </c>
      <c r="D406" s="16" t="s">
        <v>3</v>
      </c>
      <c r="E406" s="85" t="s">
        <v>1811</v>
      </c>
      <c r="F406" s="80" t="s">
        <v>2135</v>
      </c>
      <c r="G406" s="47"/>
      <c r="H406" s="16" t="s">
        <v>1769</v>
      </c>
      <c r="I406" s="85" t="s">
        <v>1635</v>
      </c>
      <c r="J406" s="16" t="s">
        <v>246</v>
      </c>
      <c r="K406" s="47"/>
      <c r="L406" s="80" t="s">
        <v>1810</v>
      </c>
      <c r="M406" s="47"/>
      <c r="N406" s="16"/>
      <c r="O406" s="80" t="s">
        <v>1721</v>
      </c>
      <c r="P406" s="80" t="s">
        <v>1748</v>
      </c>
      <c r="Q406" s="18"/>
      <c r="R406" s="16" t="s">
        <v>202</v>
      </c>
      <c r="S406" s="16" t="s">
        <v>132</v>
      </c>
      <c r="T406" s="16"/>
      <c r="U406" s="81"/>
      <c r="V406" s="81"/>
      <c r="W406" s="191">
        <f>ROUND(IF(D406=Table!$C$3,Y406*Table!$C$4/8,Y406*Table!$D$4/8),3)</f>
        <v>180</v>
      </c>
      <c r="X406" s="191">
        <f t="shared" ref="X406:X436" si="73">W406</f>
        <v>180</v>
      </c>
      <c r="Y406" s="191">
        <v>3.2</v>
      </c>
      <c r="Z406" s="191">
        <v>3.2</v>
      </c>
      <c r="AA406" s="191" t="s">
        <v>21</v>
      </c>
      <c r="AB406" s="81"/>
      <c r="AC406" s="81">
        <v>44081</v>
      </c>
      <c r="AD406" s="81">
        <v>44085</v>
      </c>
      <c r="AE406" s="81">
        <v>44082</v>
      </c>
      <c r="AF406" s="81">
        <v>44082</v>
      </c>
      <c r="AG406" s="81" t="s">
        <v>155</v>
      </c>
      <c r="AH406" s="82">
        <v>0.99</v>
      </c>
      <c r="AI406" s="82">
        <v>0.99</v>
      </c>
      <c r="AJ406" s="82">
        <v>0.89</v>
      </c>
      <c r="AK406" s="332" t="s">
        <v>140</v>
      </c>
      <c r="AL406" s="332" t="s">
        <v>1896</v>
      </c>
      <c r="AM406" s="81"/>
      <c r="AN406" s="81"/>
      <c r="AO406" s="336"/>
      <c r="AP406" s="336"/>
    </row>
    <row r="407" spans="1:43" hidden="1">
      <c r="B407" s="123">
        <f t="shared" si="70"/>
        <v>348</v>
      </c>
      <c r="C407" s="16">
        <v>20200904</v>
      </c>
      <c r="D407" s="16" t="s">
        <v>3</v>
      </c>
      <c r="E407" s="85" t="s">
        <v>1811</v>
      </c>
      <c r="F407" s="80" t="s">
        <v>2136</v>
      </c>
      <c r="G407" s="47"/>
      <c r="H407" s="16" t="s">
        <v>1770</v>
      </c>
      <c r="I407" s="16" t="s">
        <v>1636</v>
      </c>
      <c r="J407" s="16" t="s">
        <v>246</v>
      </c>
      <c r="K407" s="47"/>
      <c r="L407" s="80" t="s">
        <v>1810</v>
      </c>
      <c r="M407" s="47"/>
      <c r="N407" s="16"/>
      <c r="O407" s="80" t="s">
        <v>1722</v>
      </c>
      <c r="P407" s="80" t="s">
        <v>1748</v>
      </c>
      <c r="Q407" s="18"/>
      <c r="R407" s="16" t="s">
        <v>202</v>
      </c>
      <c r="S407" s="16" t="s">
        <v>132</v>
      </c>
      <c r="T407" s="16"/>
      <c r="U407" s="16"/>
      <c r="V407" s="16"/>
      <c r="W407" s="191">
        <f>ROUND(IF(D407=Table!$C$3,Y407*Table!$C$4/8,Y407*Table!$D$4/8),3)</f>
        <v>90</v>
      </c>
      <c r="X407" s="191">
        <f t="shared" si="73"/>
        <v>90</v>
      </c>
      <c r="Y407" s="191">
        <v>1.6</v>
      </c>
      <c r="Z407" s="191">
        <v>1.6</v>
      </c>
      <c r="AA407" s="16" t="s">
        <v>21</v>
      </c>
      <c r="AB407" s="81"/>
      <c r="AC407" s="81">
        <v>44081</v>
      </c>
      <c r="AD407" s="81">
        <v>44085</v>
      </c>
      <c r="AE407" s="81">
        <v>44082</v>
      </c>
      <c r="AF407" s="81">
        <v>44082</v>
      </c>
      <c r="AG407" s="81" t="s">
        <v>155</v>
      </c>
      <c r="AH407" s="82">
        <v>0.93</v>
      </c>
      <c r="AI407" s="82">
        <v>0.94</v>
      </c>
      <c r="AJ407" s="82">
        <v>0.95</v>
      </c>
      <c r="AK407" s="332" t="s">
        <v>140</v>
      </c>
      <c r="AL407" s="332" t="s">
        <v>1901</v>
      </c>
      <c r="AM407" s="81"/>
      <c r="AN407" s="81"/>
      <c r="AO407" s="336"/>
      <c r="AP407" s="336"/>
    </row>
    <row r="408" spans="1:43" hidden="1">
      <c r="B408" s="123">
        <f t="shared" si="70"/>
        <v>349</v>
      </c>
      <c r="C408" s="16">
        <v>20200904</v>
      </c>
      <c r="D408" s="16" t="s">
        <v>3</v>
      </c>
      <c r="E408" s="85" t="s">
        <v>1811</v>
      </c>
      <c r="F408" s="80" t="s">
        <v>2137</v>
      </c>
      <c r="G408" s="47"/>
      <c r="H408" s="16" t="s">
        <v>1771</v>
      </c>
      <c r="I408" s="16" t="s">
        <v>1637</v>
      </c>
      <c r="J408" s="16" t="s">
        <v>246</v>
      </c>
      <c r="K408" s="47"/>
      <c r="L408" s="80" t="s">
        <v>1810</v>
      </c>
      <c r="M408" s="47"/>
      <c r="N408" s="16"/>
      <c r="O408" s="80" t="s">
        <v>1723</v>
      </c>
      <c r="P408" s="80" t="s">
        <v>1747</v>
      </c>
      <c r="Q408" s="18"/>
      <c r="R408" s="16" t="s">
        <v>202</v>
      </c>
      <c r="S408" s="16" t="s">
        <v>132</v>
      </c>
      <c r="T408" s="16"/>
      <c r="U408" s="16"/>
      <c r="V408" s="16"/>
      <c r="W408" s="191">
        <f>ROUND(IF(D408=Table!$C$3,Y408*Table!$C$4/8,Y408*Table!$D$4/8),3)</f>
        <v>90</v>
      </c>
      <c r="X408" s="191">
        <f t="shared" si="73"/>
        <v>90</v>
      </c>
      <c r="Y408" s="191">
        <v>1.6</v>
      </c>
      <c r="Z408" s="191">
        <v>1.6</v>
      </c>
      <c r="AA408" s="16" t="s">
        <v>21</v>
      </c>
      <c r="AB408" s="81"/>
      <c r="AC408" s="81">
        <v>44081</v>
      </c>
      <c r="AD408" s="81">
        <v>44085</v>
      </c>
      <c r="AE408" s="81">
        <v>44082</v>
      </c>
      <c r="AF408" s="81">
        <v>44082</v>
      </c>
      <c r="AG408" s="81" t="s">
        <v>155</v>
      </c>
      <c r="AH408" s="82">
        <v>0.98</v>
      </c>
      <c r="AI408" s="82">
        <v>0.98</v>
      </c>
      <c r="AJ408" s="82">
        <v>1</v>
      </c>
      <c r="AK408" s="332" t="s">
        <v>140</v>
      </c>
      <c r="AL408" s="332" t="s">
        <v>1911</v>
      </c>
      <c r="AM408" s="81"/>
      <c r="AN408" s="81"/>
      <c r="AO408" s="336"/>
      <c r="AP408" s="336"/>
    </row>
    <row r="409" spans="1:43" hidden="1">
      <c r="B409" s="123">
        <f t="shared" si="70"/>
        <v>350</v>
      </c>
      <c r="C409" s="16">
        <v>20200904</v>
      </c>
      <c r="D409" s="16" t="s">
        <v>3</v>
      </c>
      <c r="E409" s="85" t="s">
        <v>1811</v>
      </c>
      <c r="F409" s="80" t="s">
        <v>2138</v>
      </c>
      <c r="G409" s="47"/>
      <c r="H409" s="16" t="s">
        <v>1772</v>
      </c>
      <c r="I409" s="16" t="s">
        <v>1638</v>
      </c>
      <c r="J409" s="16" t="s">
        <v>246</v>
      </c>
      <c r="K409" s="47"/>
      <c r="L409" s="80" t="s">
        <v>1810</v>
      </c>
      <c r="M409" s="47"/>
      <c r="N409" s="16"/>
      <c r="O409" s="80" t="s">
        <v>1724</v>
      </c>
      <c r="P409" s="80" t="s">
        <v>1748</v>
      </c>
      <c r="Q409" s="18"/>
      <c r="R409" s="16" t="s">
        <v>202</v>
      </c>
      <c r="S409" s="16" t="s">
        <v>132</v>
      </c>
      <c r="T409" s="16"/>
      <c r="U409" s="16"/>
      <c r="V409" s="16"/>
      <c r="W409" s="191">
        <f>ROUND(IF(D409=Table!$C$3,Y409*Table!$C$4/8,Y409*Table!$D$4/8),3)</f>
        <v>90</v>
      </c>
      <c r="X409" s="191">
        <f t="shared" si="73"/>
        <v>90</v>
      </c>
      <c r="Y409" s="191">
        <v>1.6</v>
      </c>
      <c r="Z409" s="191">
        <v>1.6</v>
      </c>
      <c r="AA409" s="16" t="s">
        <v>21</v>
      </c>
      <c r="AB409" s="81"/>
      <c r="AC409" s="81">
        <v>44081</v>
      </c>
      <c r="AD409" s="81">
        <v>44085</v>
      </c>
      <c r="AE409" s="81">
        <v>44082</v>
      </c>
      <c r="AF409" s="81">
        <v>44082</v>
      </c>
      <c r="AG409" s="81" t="s">
        <v>155</v>
      </c>
      <c r="AH409" s="82">
        <v>0.97</v>
      </c>
      <c r="AI409" s="82">
        <v>0.97</v>
      </c>
      <c r="AJ409" s="82">
        <v>1</v>
      </c>
      <c r="AK409" s="332" t="s">
        <v>140</v>
      </c>
      <c r="AL409" s="332" t="s">
        <v>1913</v>
      </c>
      <c r="AM409" s="81"/>
      <c r="AN409" s="81"/>
      <c r="AO409" s="336"/>
      <c r="AP409" s="336"/>
    </row>
    <row r="410" spans="1:43" hidden="1">
      <c r="B410" s="123">
        <f t="shared" si="70"/>
        <v>351</v>
      </c>
      <c r="C410" s="16">
        <v>20200904</v>
      </c>
      <c r="D410" s="16" t="s">
        <v>3</v>
      </c>
      <c r="E410" s="85" t="s">
        <v>1811</v>
      </c>
      <c r="F410" s="80" t="s">
        <v>2139</v>
      </c>
      <c r="G410" s="47"/>
      <c r="H410" s="16" t="s">
        <v>1773</v>
      </c>
      <c r="I410" s="16" t="s">
        <v>1639</v>
      </c>
      <c r="J410" s="16" t="s">
        <v>246</v>
      </c>
      <c r="K410" s="47"/>
      <c r="L410" s="80" t="s">
        <v>1810</v>
      </c>
      <c r="M410" s="47"/>
      <c r="N410" s="16"/>
      <c r="O410" s="80" t="s">
        <v>1725</v>
      </c>
      <c r="P410" s="80" t="s">
        <v>1749</v>
      </c>
      <c r="Q410" s="18"/>
      <c r="R410" s="16" t="s">
        <v>202</v>
      </c>
      <c r="S410" s="16" t="s">
        <v>132</v>
      </c>
      <c r="T410" s="16"/>
      <c r="U410" s="16"/>
      <c r="V410" s="16"/>
      <c r="W410" s="191">
        <f>ROUND(IF(D410=Table!$C$3,Y410*Table!$C$4/8,Y410*Table!$D$4/8),3)</f>
        <v>90</v>
      </c>
      <c r="X410" s="191">
        <f t="shared" si="73"/>
        <v>90</v>
      </c>
      <c r="Y410" s="191">
        <v>1.6</v>
      </c>
      <c r="Z410" s="191">
        <v>1.6</v>
      </c>
      <c r="AA410" s="16" t="s">
        <v>21</v>
      </c>
      <c r="AB410" s="81"/>
      <c r="AC410" s="81">
        <v>44081</v>
      </c>
      <c r="AD410" s="81">
        <v>44085</v>
      </c>
      <c r="AE410" s="81">
        <v>44082</v>
      </c>
      <c r="AF410" s="81">
        <v>44082</v>
      </c>
      <c r="AG410" s="81" t="s">
        <v>155</v>
      </c>
      <c r="AH410" s="82">
        <v>1</v>
      </c>
      <c r="AI410" s="82">
        <v>1</v>
      </c>
      <c r="AJ410" s="82">
        <v>1</v>
      </c>
      <c r="AK410" s="332" t="s">
        <v>140</v>
      </c>
      <c r="AL410" s="81"/>
      <c r="AM410" s="81"/>
      <c r="AN410" s="81"/>
      <c r="AO410" s="336"/>
      <c r="AP410" s="336"/>
    </row>
    <row r="411" spans="1:43" hidden="1">
      <c r="B411" s="123">
        <f t="shared" si="70"/>
        <v>352</v>
      </c>
      <c r="C411" s="16">
        <v>20200904</v>
      </c>
      <c r="D411" s="16" t="s">
        <v>3</v>
      </c>
      <c r="E411" s="85" t="s">
        <v>1811</v>
      </c>
      <c r="F411" s="80" t="s">
        <v>2140</v>
      </c>
      <c r="G411" s="47"/>
      <c r="H411" s="16" t="s">
        <v>1774</v>
      </c>
      <c r="I411" s="16" t="s">
        <v>1640</v>
      </c>
      <c r="J411" s="16" t="s">
        <v>1454</v>
      </c>
      <c r="K411" s="47"/>
      <c r="L411" s="80" t="s">
        <v>1810</v>
      </c>
      <c r="M411" s="47"/>
      <c r="N411" s="16"/>
      <c r="O411" s="80" t="s">
        <v>1726</v>
      </c>
      <c r="P411" s="80" t="s">
        <v>1747</v>
      </c>
      <c r="Q411" s="18"/>
      <c r="R411" s="16" t="s">
        <v>202</v>
      </c>
      <c r="S411" s="16" t="s">
        <v>132</v>
      </c>
      <c r="T411" s="16"/>
      <c r="U411" s="16"/>
      <c r="V411" s="16"/>
      <c r="W411" s="191">
        <f>ROUND(IF(D411=Table!$C$3,Y411*Table!$C$4/8,Y411*Table!$D$4/8),3)</f>
        <v>54</v>
      </c>
      <c r="X411" s="191">
        <f t="shared" si="73"/>
        <v>54</v>
      </c>
      <c r="Y411" s="191">
        <v>0.96</v>
      </c>
      <c r="Z411" s="191">
        <v>0.96</v>
      </c>
      <c r="AA411" s="16" t="s">
        <v>21</v>
      </c>
      <c r="AB411" s="81"/>
      <c r="AC411" s="81">
        <v>44081</v>
      </c>
      <c r="AD411" s="81">
        <v>44085</v>
      </c>
      <c r="AE411" s="81">
        <v>44082</v>
      </c>
      <c r="AF411" s="81">
        <v>44082</v>
      </c>
      <c r="AG411" s="81" t="s">
        <v>155</v>
      </c>
      <c r="AH411" s="82">
        <v>1</v>
      </c>
      <c r="AI411" s="82">
        <v>1</v>
      </c>
      <c r="AJ411" s="82">
        <v>1</v>
      </c>
      <c r="AK411" s="332" t="s">
        <v>140</v>
      </c>
      <c r="AL411" s="81"/>
      <c r="AM411" s="81"/>
      <c r="AN411" s="81"/>
      <c r="AO411" s="336"/>
      <c r="AP411" s="336"/>
    </row>
    <row r="412" spans="1:43" hidden="1">
      <c r="B412" s="123">
        <f t="shared" si="70"/>
        <v>353</v>
      </c>
      <c r="C412" s="16">
        <v>20200904</v>
      </c>
      <c r="D412" s="16" t="s">
        <v>3</v>
      </c>
      <c r="E412" s="85" t="s">
        <v>1811</v>
      </c>
      <c r="F412" s="80" t="s">
        <v>2141</v>
      </c>
      <c r="G412" s="47"/>
      <c r="H412" s="16" t="s">
        <v>1775</v>
      </c>
      <c r="I412" s="16" t="s">
        <v>1641</v>
      </c>
      <c r="J412" s="16" t="s">
        <v>1454</v>
      </c>
      <c r="K412" s="47"/>
      <c r="L412" s="80" t="s">
        <v>1810</v>
      </c>
      <c r="M412" s="47"/>
      <c r="N412" s="16"/>
      <c r="O412" s="80" t="s">
        <v>1727</v>
      </c>
      <c r="P412" s="80" t="s">
        <v>1749</v>
      </c>
      <c r="Q412" s="18"/>
      <c r="R412" s="16" t="s">
        <v>202</v>
      </c>
      <c r="S412" s="16" t="s">
        <v>132</v>
      </c>
      <c r="T412" s="16"/>
      <c r="U412" s="16"/>
      <c r="V412" s="16"/>
      <c r="W412" s="191">
        <f>ROUND(IF(D412=Table!$C$3,Y412*Table!$C$4/8,Y412*Table!$D$4/8),3)</f>
        <v>90</v>
      </c>
      <c r="X412" s="191">
        <f t="shared" si="73"/>
        <v>90</v>
      </c>
      <c r="Y412" s="191">
        <v>1.6</v>
      </c>
      <c r="Z412" s="191">
        <v>1.6</v>
      </c>
      <c r="AA412" s="16" t="s">
        <v>21</v>
      </c>
      <c r="AB412" s="81"/>
      <c r="AC412" s="81">
        <v>44081</v>
      </c>
      <c r="AD412" s="81">
        <v>44085</v>
      </c>
      <c r="AE412" s="81">
        <v>44082</v>
      </c>
      <c r="AF412" s="81">
        <v>44082</v>
      </c>
      <c r="AG412" s="81" t="s">
        <v>155</v>
      </c>
      <c r="AH412" s="82">
        <v>1</v>
      </c>
      <c r="AI412" s="82">
        <v>1</v>
      </c>
      <c r="AJ412" s="82">
        <v>1</v>
      </c>
      <c r="AK412" s="332" t="s">
        <v>140</v>
      </c>
      <c r="AL412" s="81"/>
      <c r="AM412" s="81"/>
      <c r="AN412" s="81"/>
      <c r="AO412" s="336"/>
      <c r="AP412" s="336"/>
    </row>
    <row r="413" spans="1:43" hidden="1">
      <c r="B413" s="123">
        <f t="shared" si="70"/>
        <v>354</v>
      </c>
      <c r="C413" s="16">
        <v>20200904</v>
      </c>
      <c r="D413" s="16" t="s">
        <v>3</v>
      </c>
      <c r="E413" s="85" t="s">
        <v>1811</v>
      </c>
      <c r="F413" s="80" t="s">
        <v>2142</v>
      </c>
      <c r="G413" s="47"/>
      <c r="H413" s="16" t="s">
        <v>1776</v>
      </c>
      <c r="I413" s="16" t="s">
        <v>1642</v>
      </c>
      <c r="J413" s="16" t="s">
        <v>246</v>
      </c>
      <c r="K413" s="47"/>
      <c r="L413" s="80" t="s">
        <v>1810</v>
      </c>
      <c r="M413" s="47"/>
      <c r="N413" s="16"/>
      <c r="O413" s="80" t="s">
        <v>1728</v>
      </c>
      <c r="P413" s="80" t="s">
        <v>1749</v>
      </c>
      <c r="Q413" s="18"/>
      <c r="R413" s="16" t="s">
        <v>202</v>
      </c>
      <c r="S413" s="16" t="s">
        <v>132</v>
      </c>
      <c r="T413" s="16"/>
      <c r="U413" s="16"/>
      <c r="V413" s="16"/>
      <c r="W413" s="191">
        <f>ROUND(IF(D413=Table!$C$3,Y413*Table!$C$4/8,Y413*Table!$D$4/8),3)</f>
        <v>315</v>
      </c>
      <c r="X413" s="191">
        <f t="shared" si="73"/>
        <v>315</v>
      </c>
      <c r="Y413" s="191">
        <v>5.6</v>
      </c>
      <c r="Z413" s="191">
        <v>5.6</v>
      </c>
      <c r="AA413" s="16" t="s">
        <v>21</v>
      </c>
      <c r="AB413" s="81"/>
      <c r="AC413" s="81">
        <v>44081</v>
      </c>
      <c r="AD413" s="81">
        <v>44085</v>
      </c>
      <c r="AE413" s="81">
        <v>44082</v>
      </c>
      <c r="AF413" s="81">
        <v>44082</v>
      </c>
      <c r="AG413" s="81" t="s">
        <v>155</v>
      </c>
      <c r="AH413" s="82">
        <v>1</v>
      </c>
      <c r="AI413" s="82">
        <v>1</v>
      </c>
      <c r="AJ413" s="82">
        <v>1</v>
      </c>
      <c r="AK413" s="332" t="s">
        <v>140</v>
      </c>
      <c r="AL413" s="81"/>
      <c r="AM413" s="81"/>
      <c r="AN413" s="81"/>
      <c r="AO413" s="336"/>
      <c r="AP413" s="336"/>
    </row>
    <row r="414" spans="1:43" hidden="1">
      <c r="B414" s="123">
        <f t="shared" si="70"/>
        <v>355</v>
      </c>
      <c r="C414" s="16">
        <v>20200904</v>
      </c>
      <c r="D414" s="16" t="s">
        <v>3</v>
      </c>
      <c r="E414" s="85" t="s">
        <v>1811</v>
      </c>
      <c r="F414" s="80" t="s">
        <v>2143</v>
      </c>
      <c r="G414" s="47"/>
      <c r="H414" s="16" t="s">
        <v>608</v>
      </c>
      <c r="I414" s="16" t="s">
        <v>1643</v>
      </c>
      <c r="J414" s="16" t="s">
        <v>246</v>
      </c>
      <c r="K414" s="47"/>
      <c r="L414" s="80" t="s">
        <v>1810</v>
      </c>
      <c r="M414" s="47"/>
      <c r="N414" s="16"/>
      <c r="O414" s="80" t="s">
        <v>1729</v>
      </c>
      <c r="P414" s="80" t="s">
        <v>1742</v>
      </c>
      <c r="Q414" s="18"/>
      <c r="R414" s="16" t="s">
        <v>202</v>
      </c>
      <c r="S414" s="16" t="s">
        <v>132</v>
      </c>
      <c r="T414" s="16"/>
      <c r="U414" s="16"/>
      <c r="V414" s="16"/>
      <c r="W414" s="191">
        <f>ROUND(IF(D414=Table!$C$3,Y414*Table!$C$4/8,Y414*Table!$D$4/8),3)</f>
        <v>270</v>
      </c>
      <c r="X414" s="191">
        <f t="shared" si="73"/>
        <v>270</v>
      </c>
      <c r="Y414" s="191">
        <v>4.8</v>
      </c>
      <c r="Z414" s="191">
        <v>4.8</v>
      </c>
      <c r="AA414" s="16" t="s">
        <v>21</v>
      </c>
      <c r="AB414" s="81"/>
      <c r="AC414" s="81">
        <v>44081</v>
      </c>
      <c r="AD414" s="81">
        <v>44085</v>
      </c>
      <c r="AE414" s="81">
        <v>44082</v>
      </c>
      <c r="AF414" s="81">
        <v>44082</v>
      </c>
      <c r="AG414" s="81" t="s">
        <v>155</v>
      </c>
      <c r="AH414" s="82">
        <v>1</v>
      </c>
      <c r="AI414" s="82">
        <v>1</v>
      </c>
      <c r="AJ414" s="82">
        <v>1</v>
      </c>
      <c r="AK414" s="332" t="s">
        <v>140</v>
      </c>
      <c r="AL414" s="81"/>
      <c r="AM414" s="81"/>
      <c r="AN414" s="81"/>
      <c r="AO414" s="336"/>
      <c r="AP414" s="336"/>
    </row>
    <row r="415" spans="1:43" hidden="1">
      <c r="B415" s="123">
        <f t="shared" si="70"/>
        <v>356</v>
      </c>
      <c r="C415" s="16">
        <v>20200904</v>
      </c>
      <c r="D415" s="16" t="s">
        <v>3</v>
      </c>
      <c r="E415" s="85" t="s">
        <v>1811</v>
      </c>
      <c r="F415" s="80" t="s">
        <v>2144</v>
      </c>
      <c r="G415" s="47"/>
      <c r="H415" s="16" t="s">
        <v>1777</v>
      </c>
      <c r="I415" s="18" t="s">
        <v>1644</v>
      </c>
      <c r="J415" s="16" t="s">
        <v>246</v>
      </c>
      <c r="K415" s="47"/>
      <c r="L415" s="80" t="s">
        <v>1810</v>
      </c>
      <c r="M415" s="47"/>
      <c r="N415" s="16"/>
      <c r="O415" s="80" t="s">
        <v>1730</v>
      </c>
      <c r="P415" s="80" t="s">
        <v>1750</v>
      </c>
      <c r="Q415" s="18"/>
      <c r="R415" s="16" t="s">
        <v>201</v>
      </c>
      <c r="S415" s="16" t="s">
        <v>63</v>
      </c>
      <c r="T415" s="16"/>
      <c r="U415" s="16"/>
      <c r="V415" s="16"/>
      <c r="W415" s="191">
        <f>ROUND(IF(D415=Table!$C$3,Y415*Table!$C$4/8,Y415*Table!$D$4/8),3)</f>
        <v>315</v>
      </c>
      <c r="X415" s="191">
        <f t="shared" si="73"/>
        <v>315</v>
      </c>
      <c r="Y415" s="191">
        <v>5.6</v>
      </c>
      <c r="Z415" s="191">
        <f>Y415</f>
        <v>5.6</v>
      </c>
      <c r="AA415" s="16" t="s">
        <v>21</v>
      </c>
      <c r="AB415" s="81"/>
      <c r="AC415" s="81">
        <v>44081</v>
      </c>
      <c r="AD415" s="81">
        <v>44085</v>
      </c>
      <c r="AE415" s="81">
        <v>44081</v>
      </c>
      <c r="AF415" s="81">
        <v>44081</v>
      </c>
      <c r="AG415" s="81" t="s">
        <v>155</v>
      </c>
      <c r="AH415" s="82">
        <v>1</v>
      </c>
      <c r="AI415" s="82">
        <v>1</v>
      </c>
      <c r="AJ415" s="82">
        <v>1</v>
      </c>
      <c r="AK415" s="168" t="s">
        <v>140</v>
      </c>
      <c r="AL415" s="81"/>
      <c r="AM415" s="81"/>
      <c r="AN415" s="81"/>
      <c r="AO415" s="336"/>
      <c r="AP415" s="336"/>
    </row>
    <row r="416" spans="1:43" hidden="1">
      <c r="B416" s="123">
        <f t="shared" si="70"/>
        <v>357</v>
      </c>
      <c r="C416" s="16">
        <v>20200904</v>
      </c>
      <c r="D416" s="16" t="s">
        <v>3</v>
      </c>
      <c r="E416" s="85" t="s">
        <v>1811</v>
      </c>
      <c r="F416" s="80" t="s">
        <v>2145</v>
      </c>
      <c r="G416" s="47"/>
      <c r="H416" s="16" t="s">
        <v>1778</v>
      </c>
      <c r="I416" s="18" t="s">
        <v>1645</v>
      </c>
      <c r="J416" s="16" t="s">
        <v>1454</v>
      </c>
      <c r="K416" s="47"/>
      <c r="L416" s="80" t="s">
        <v>1810</v>
      </c>
      <c r="M416" s="47"/>
      <c r="N416" s="16"/>
      <c r="O416" s="80" t="s">
        <v>1731</v>
      </c>
      <c r="P416" s="80" t="s">
        <v>1749</v>
      </c>
      <c r="Q416" s="18"/>
      <c r="R416" s="16" t="s">
        <v>201</v>
      </c>
      <c r="S416" s="16" t="s">
        <v>63</v>
      </c>
      <c r="T416" s="16"/>
      <c r="U416" s="16"/>
      <c r="V416" s="16"/>
      <c r="W416" s="191">
        <f>ROUND(IF(D416=Table!$C$3,Y416*Table!$C$4/8,Y416*Table!$D$4/8),3)</f>
        <v>270</v>
      </c>
      <c r="X416" s="191">
        <f t="shared" si="73"/>
        <v>270</v>
      </c>
      <c r="Y416" s="191">
        <v>4.8</v>
      </c>
      <c r="Z416" s="191">
        <f>Y416</f>
        <v>4.8</v>
      </c>
      <c r="AA416" s="16" t="s">
        <v>21</v>
      </c>
      <c r="AB416" s="81"/>
      <c r="AC416" s="81">
        <v>44081</v>
      </c>
      <c r="AD416" s="81">
        <v>44085</v>
      </c>
      <c r="AE416" s="81">
        <v>44081</v>
      </c>
      <c r="AF416" s="81">
        <v>44081</v>
      </c>
      <c r="AG416" s="81" t="s">
        <v>155</v>
      </c>
      <c r="AH416" s="82">
        <v>1</v>
      </c>
      <c r="AI416" s="82">
        <v>1</v>
      </c>
      <c r="AJ416" s="82">
        <v>1</v>
      </c>
      <c r="AK416" s="168" t="s">
        <v>140</v>
      </c>
      <c r="AL416" s="81"/>
      <c r="AM416" s="81"/>
      <c r="AN416" s="81"/>
      <c r="AO416" s="336"/>
      <c r="AP416" s="336"/>
    </row>
    <row r="417" spans="2:42" hidden="1">
      <c r="B417" s="159">
        <f t="shared" ref="B417:B462" si="74">B416+1</f>
        <v>358</v>
      </c>
      <c r="C417" s="16">
        <v>20200904</v>
      </c>
      <c r="D417" s="16" t="s">
        <v>2</v>
      </c>
      <c r="E417" s="85" t="s">
        <v>1811</v>
      </c>
      <c r="F417" s="80"/>
      <c r="G417" s="47"/>
      <c r="H417" s="16" t="s">
        <v>1779</v>
      </c>
      <c r="I417" s="16" t="s">
        <v>1646</v>
      </c>
      <c r="J417" s="16" t="s">
        <v>208</v>
      </c>
      <c r="K417" s="47"/>
      <c r="L417" s="80" t="s">
        <v>1810</v>
      </c>
      <c r="M417" s="47"/>
      <c r="N417" s="16"/>
      <c r="O417" s="80" t="s">
        <v>248</v>
      </c>
      <c r="P417" s="80" t="s">
        <v>1751</v>
      </c>
      <c r="Q417" s="18"/>
      <c r="R417" s="16" t="s">
        <v>202</v>
      </c>
      <c r="S417" s="16" t="s">
        <v>132</v>
      </c>
      <c r="T417" s="16"/>
      <c r="U417" s="16"/>
      <c r="V417" s="16"/>
      <c r="W417" s="191">
        <f>ROUND(IF(D417=Table!$C$3,Y417*Table!$C$4/8,Y417*Table!$D$4/8),3)</f>
        <v>55.9</v>
      </c>
      <c r="X417" s="191">
        <f t="shared" si="73"/>
        <v>55.9</v>
      </c>
      <c r="Y417" s="191">
        <v>3.44</v>
      </c>
      <c r="Z417" s="191">
        <v>3.44</v>
      </c>
      <c r="AA417" s="16" t="s">
        <v>21</v>
      </c>
      <c r="AB417" s="81"/>
      <c r="AC417" s="81">
        <v>44081</v>
      </c>
      <c r="AD417" s="81">
        <v>44085</v>
      </c>
      <c r="AE417" s="81">
        <v>44083</v>
      </c>
      <c r="AF417" s="81">
        <v>44083</v>
      </c>
      <c r="AG417" s="81" t="s">
        <v>155</v>
      </c>
      <c r="AH417" s="82">
        <v>1</v>
      </c>
      <c r="AI417" s="82">
        <v>1</v>
      </c>
      <c r="AJ417" s="82">
        <v>1</v>
      </c>
      <c r="AK417" s="332" t="s">
        <v>140</v>
      </c>
      <c r="AL417" s="81"/>
      <c r="AM417" s="81"/>
      <c r="AN417" s="81"/>
      <c r="AO417" s="336"/>
      <c r="AP417" s="336"/>
    </row>
    <row r="418" spans="2:42" hidden="1">
      <c r="B418" s="159">
        <f t="shared" si="74"/>
        <v>359</v>
      </c>
      <c r="C418" s="16">
        <v>20200904</v>
      </c>
      <c r="D418" s="16" t="s">
        <v>2</v>
      </c>
      <c r="E418" s="85" t="s">
        <v>1811</v>
      </c>
      <c r="F418" s="80"/>
      <c r="G418" s="47"/>
      <c r="H418" s="16" t="s">
        <v>1780</v>
      </c>
      <c r="I418" s="16" t="s">
        <v>1647</v>
      </c>
      <c r="J418" s="16" t="s">
        <v>208</v>
      </c>
      <c r="K418" s="47"/>
      <c r="L418" s="80" t="s">
        <v>1810</v>
      </c>
      <c r="M418" s="47"/>
      <c r="N418" s="16"/>
      <c r="O418" s="80" t="s">
        <v>1732</v>
      </c>
      <c r="P418" s="80" t="s">
        <v>1752</v>
      </c>
      <c r="Q418" s="18"/>
      <c r="R418" s="16" t="s">
        <v>202</v>
      </c>
      <c r="S418" s="16" t="s">
        <v>132</v>
      </c>
      <c r="T418" s="16"/>
      <c r="U418" s="16"/>
      <c r="V418" s="16"/>
      <c r="W418" s="191">
        <f>ROUND(IF(D418=Table!$C$3,Y418*Table!$C$4/8,Y418*Table!$D$4/8),3)</f>
        <v>33.799999999999997</v>
      </c>
      <c r="X418" s="191">
        <f t="shared" si="73"/>
        <v>33.799999999999997</v>
      </c>
      <c r="Y418" s="191">
        <v>2.08</v>
      </c>
      <c r="Z418" s="191">
        <v>2.08</v>
      </c>
      <c r="AA418" s="16" t="s">
        <v>21</v>
      </c>
      <c r="AB418" s="81"/>
      <c r="AC418" s="81">
        <v>44081</v>
      </c>
      <c r="AD418" s="81">
        <v>44085</v>
      </c>
      <c r="AE418" s="81">
        <v>44083</v>
      </c>
      <c r="AF418" s="81">
        <v>44083</v>
      </c>
      <c r="AG418" s="81" t="s">
        <v>155</v>
      </c>
      <c r="AH418" s="82">
        <v>1</v>
      </c>
      <c r="AI418" s="82">
        <v>0.88900000000000001</v>
      </c>
      <c r="AJ418" s="82">
        <v>0.5</v>
      </c>
      <c r="AK418" s="332" t="s">
        <v>140</v>
      </c>
      <c r="AL418" s="81" t="s">
        <v>1971</v>
      </c>
      <c r="AM418" s="81"/>
      <c r="AN418" s="81"/>
      <c r="AO418" s="336"/>
      <c r="AP418" s="336"/>
    </row>
    <row r="419" spans="2:42" hidden="1">
      <c r="B419" s="159">
        <f t="shared" si="74"/>
        <v>360</v>
      </c>
      <c r="C419" s="16">
        <v>20200904</v>
      </c>
      <c r="D419" s="16" t="s">
        <v>2</v>
      </c>
      <c r="E419" s="85" t="s">
        <v>1811</v>
      </c>
      <c r="F419" s="80"/>
      <c r="G419" s="47"/>
      <c r="H419" s="16" t="s">
        <v>1781</v>
      </c>
      <c r="I419" s="16" t="s">
        <v>1648</v>
      </c>
      <c r="J419" s="16" t="s">
        <v>208</v>
      </c>
      <c r="K419" s="47"/>
      <c r="L419" s="80" t="s">
        <v>1810</v>
      </c>
      <c r="M419" s="47"/>
      <c r="N419" s="16"/>
      <c r="O419" s="80" t="s">
        <v>831</v>
      </c>
      <c r="P419" s="80" t="s">
        <v>1752</v>
      </c>
      <c r="Q419" s="18"/>
      <c r="R419" s="16" t="s">
        <v>202</v>
      </c>
      <c r="S419" s="16" t="s">
        <v>132</v>
      </c>
      <c r="T419" s="16"/>
      <c r="U419" s="16"/>
      <c r="V419" s="16"/>
      <c r="W419" s="191">
        <f>ROUND(IF(D419=Table!$C$3,Y419*Table!$C$4/8,Y419*Table!$D$4/8),3)</f>
        <v>55.9</v>
      </c>
      <c r="X419" s="191">
        <f t="shared" si="73"/>
        <v>55.9</v>
      </c>
      <c r="Y419" s="191">
        <v>3.44</v>
      </c>
      <c r="Z419" s="191">
        <v>3.44</v>
      </c>
      <c r="AA419" s="16" t="s">
        <v>21</v>
      </c>
      <c r="AB419" s="81"/>
      <c r="AC419" s="81">
        <v>44081</v>
      </c>
      <c r="AD419" s="81">
        <v>44085</v>
      </c>
      <c r="AE419" s="81">
        <v>44083</v>
      </c>
      <c r="AF419" s="81">
        <v>44083</v>
      </c>
      <c r="AG419" s="81" t="s">
        <v>155</v>
      </c>
      <c r="AH419" s="82">
        <v>1</v>
      </c>
      <c r="AI419" s="82">
        <v>1</v>
      </c>
      <c r="AJ419" s="82">
        <v>1</v>
      </c>
      <c r="AK419" s="332" t="s">
        <v>140</v>
      </c>
      <c r="AL419" s="81"/>
      <c r="AM419" s="81"/>
      <c r="AN419" s="81"/>
      <c r="AO419" s="336"/>
      <c r="AP419" s="336"/>
    </row>
    <row r="420" spans="2:42" hidden="1">
      <c r="B420" s="159">
        <f t="shared" si="74"/>
        <v>361</v>
      </c>
      <c r="C420" s="16">
        <v>20200904</v>
      </c>
      <c r="D420" s="16" t="s">
        <v>2</v>
      </c>
      <c r="E420" s="85" t="s">
        <v>1811</v>
      </c>
      <c r="F420" s="80"/>
      <c r="G420" s="47"/>
      <c r="H420" s="16" t="s">
        <v>1782</v>
      </c>
      <c r="I420" s="16" t="s">
        <v>1649</v>
      </c>
      <c r="J420" s="16" t="s">
        <v>208</v>
      </c>
      <c r="K420" s="47"/>
      <c r="L420" s="80" t="s">
        <v>1810</v>
      </c>
      <c r="M420" s="47"/>
      <c r="N420" s="16"/>
      <c r="O420" s="80" t="s">
        <v>1733</v>
      </c>
      <c r="P420" s="80" t="s">
        <v>1752</v>
      </c>
      <c r="Q420" s="18"/>
      <c r="R420" s="16" t="s">
        <v>200</v>
      </c>
      <c r="S420" s="16" t="s">
        <v>133</v>
      </c>
      <c r="T420" s="16"/>
      <c r="U420" s="16"/>
      <c r="V420" s="16"/>
      <c r="W420" s="191">
        <f>ROUND(IF(D420=Table!$C$3,Y420*Table!$C$4/8,Y420*Table!$D$4/8),3)</f>
        <v>55.9</v>
      </c>
      <c r="X420" s="191">
        <f t="shared" si="73"/>
        <v>55.9</v>
      </c>
      <c r="Y420" s="191">
        <v>3.44</v>
      </c>
      <c r="Z420" s="191">
        <v>2</v>
      </c>
      <c r="AA420" s="16" t="s">
        <v>21</v>
      </c>
      <c r="AB420" s="81"/>
      <c r="AC420" s="81">
        <v>44081</v>
      </c>
      <c r="AD420" s="81">
        <v>44085</v>
      </c>
      <c r="AE420" s="81">
        <v>44082</v>
      </c>
      <c r="AF420" s="81">
        <v>44082</v>
      </c>
      <c r="AG420" s="81" t="s">
        <v>155</v>
      </c>
      <c r="AH420" s="82">
        <v>0.96299999999999997</v>
      </c>
      <c r="AI420" s="82">
        <v>0.96799999999999997</v>
      </c>
      <c r="AJ420" s="82">
        <v>1</v>
      </c>
      <c r="AK420" s="81" t="s">
        <v>140</v>
      </c>
      <c r="AL420" s="341" t="s">
        <v>1914</v>
      </c>
      <c r="AM420" s="81"/>
      <c r="AN420" s="81"/>
      <c r="AO420" s="336"/>
      <c r="AP420" s="336"/>
    </row>
    <row r="421" spans="2:42" hidden="1">
      <c r="B421" s="159">
        <f t="shared" si="74"/>
        <v>362</v>
      </c>
      <c r="C421" s="16">
        <v>20200904</v>
      </c>
      <c r="D421" s="16" t="s">
        <v>2</v>
      </c>
      <c r="E421" s="85" t="s">
        <v>1811</v>
      </c>
      <c r="F421" s="80"/>
      <c r="G421" s="47"/>
      <c r="H421" s="16" t="s">
        <v>1783</v>
      </c>
      <c r="I421" s="16" t="s">
        <v>1650</v>
      </c>
      <c r="J421" s="16" t="s">
        <v>208</v>
      </c>
      <c r="K421" s="47"/>
      <c r="L421" s="80" t="s">
        <v>1810</v>
      </c>
      <c r="M421" s="47"/>
      <c r="N421" s="16"/>
      <c r="O421" s="80" t="s">
        <v>831</v>
      </c>
      <c r="P421" s="80" t="s">
        <v>1753</v>
      </c>
      <c r="Q421" s="18"/>
      <c r="R421" s="16" t="s">
        <v>200</v>
      </c>
      <c r="S421" s="16" t="s">
        <v>133</v>
      </c>
      <c r="T421" s="16"/>
      <c r="U421" s="16"/>
      <c r="V421" s="16"/>
      <c r="W421" s="191">
        <f>ROUND(IF(D421=Table!$C$3,Y421*Table!$C$4/8,Y421*Table!$D$4/8),3)</f>
        <v>33.799999999999997</v>
      </c>
      <c r="X421" s="191">
        <f t="shared" si="73"/>
        <v>33.799999999999997</v>
      </c>
      <c r="Y421" s="191">
        <v>2.08</v>
      </c>
      <c r="Z421" s="191">
        <v>1.5</v>
      </c>
      <c r="AA421" s="16" t="s">
        <v>21</v>
      </c>
      <c r="AB421" s="81"/>
      <c r="AC421" s="81">
        <v>44081</v>
      </c>
      <c r="AD421" s="81">
        <v>44085</v>
      </c>
      <c r="AE421" s="332">
        <v>44083</v>
      </c>
      <c r="AF421" s="332">
        <v>44083</v>
      </c>
      <c r="AG421" s="81" t="s">
        <v>155</v>
      </c>
      <c r="AH421" s="117" t="s">
        <v>58</v>
      </c>
      <c r="AI421" s="117" t="s">
        <v>58</v>
      </c>
      <c r="AJ421" s="117" t="s">
        <v>58</v>
      </c>
      <c r="AK421" s="81" t="s">
        <v>140</v>
      </c>
      <c r="AL421" s="332" t="s">
        <v>58</v>
      </c>
      <c r="AM421" s="332" t="s">
        <v>58</v>
      </c>
      <c r="AN421" s="191" t="s">
        <v>1918</v>
      </c>
      <c r="AO421" s="336"/>
      <c r="AP421" s="336"/>
    </row>
    <row r="422" spans="2:42" hidden="1">
      <c r="B422" s="159">
        <f t="shared" si="74"/>
        <v>363</v>
      </c>
      <c r="C422" s="16">
        <v>20200904</v>
      </c>
      <c r="D422" s="16" t="s">
        <v>2</v>
      </c>
      <c r="E422" s="85" t="s">
        <v>1811</v>
      </c>
      <c r="F422" s="80"/>
      <c r="G422" s="47"/>
      <c r="H422" s="16" t="s">
        <v>1784</v>
      </c>
      <c r="I422" s="16" t="s">
        <v>1651</v>
      </c>
      <c r="J422" s="16" t="s">
        <v>208</v>
      </c>
      <c r="K422" s="47"/>
      <c r="L422" s="80" t="s">
        <v>1810</v>
      </c>
      <c r="M422" s="47"/>
      <c r="N422" s="16"/>
      <c r="O422" s="80" t="s">
        <v>1734</v>
      </c>
      <c r="P422" s="80" t="s">
        <v>1754</v>
      </c>
      <c r="Q422" s="18"/>
      <c r="R422" s="16" t="s">
        <v>198</v>
      </c>
      <c r="S422" s="16" t="s">
        <v>174</v>
      </c>
      <c r="T422" s="16"/>
      <c r="U422" s="16"/>
      <c r="V422" s="16"/>
      <c r="W422" s="191">
        <f>ROUND(IF(D422=Table!$C$3,Y422*Table!$C$4/8,Y422*Table!$D$4/8),3)</f>
        <v>221</v>
      </c>
      <c r="X422" s="191">
        <f t="shared" si="73"/>
        <v>221</v>
      </c>
      <c r="Y422" s="192">
        <v>13.6</v>
      </c>
      <c r="Z422" s="191">
        <v>2.08</v>
      </c>
      <c r="AA422" s="16" t="s">
        <v>21</v>
      </c>
      <c r="AB422" s="81"/>
      <c r="AC422" s="81">
        <v>44081</v>
      </c>
      <c r="AD422" s="81">
        <v>44085</v>
      </c>
      <c r="AE422" s="81">
        <v>44081</v>
      </c>
      <c r="AF422" s="81">
        <v>44081</v>
      </c>
      <c r="AG422" s="81" t="s">
        <v>155</v>
      </c>
      <c r="AH422" s="82">
        <v>0.85699999999999998</v>
      </c>
      <c r="AI422" s="82">
        <v>0.90500000000000003</v>
      </c>
      <c r="AJ422" s="82">
        <v>0.08</v>
      </c>
      <c r="AK422" s="332" t="s">
        <v>140</v>
      </c>
      <c r="AL422" s="337" t="s">
        <v>469</v>
      </c>
      <c r="AM422" s="81"/>
      <c r="AN422" s="81"/>
      <c r="AO422" s="336"/>
      <c r="AP422" s="336"/>
    </row>
    <row r="423" spans="2:42">
      <c r="B423" s="159">
        <f t="shared" si="74"/>
        <v>364</v>
      </c>
      <c r="C423" s="16">
        <v>20200904</v>
      </c>
      <c r="D423" s="16" t="s">
        <v>2</v>
      </c>
      <c r="E423" s="85" t="s">
        <v>1811</v>
      </c>
      <c r="F423" s="80"/>
      <c r="G423" s="47"/>
      <c r="H423" s="16" t="s">
        <v>1785</v>
      </c>
      <c r="I423" s="16" t="s">
        <v>1652</v>
      </c>
      <c r="J423" s="16" t="s">
        <v>208</v>
      </c>
      <c r="K423" s="47"/>
      <c r="L423" s="80" t="s">
        <v>1810</v>
      </c>
      <c r="M423" s="47"/>
      <c r="N423" s="16"/>
      <c r="O423" s="80" t="s">
        <v>839</v>
      </c>
      <c r="P423" s="80" t="s">
        <v>1754</v>
      </c>
      <c r="Q423" s="18"/>
      <c r="R423" s="16" t="s">
        <v>199</v>
      </c>
      <c r="S423" s="16" t="s">
        <v>66</v>
      </c>
      <c r="T423" s="16"/>
      <c r="U423" s="16"/>
      <c r="V423" s="16"/>
      <c r="W423" s="191">
        <f>ROUND(IF(D423=Table!$C$3,Y423*Table!$C$4/8,Y423*Table!$D$4/8),3)</f>
        <v>221</v>
      </c>
      <c r="X423" s="191">
        <f t="shared" si="73"/>
        <v>221</v>
      </c>
      <c r="Y423" s="192">
        <v>13.6</v>
      </c>
      <c r="Z423" s="191">
        <f>Y423</f>
        <v>13.6</v>
      </c>
      <c r="AA423" s="16" t="s">
        <v>21</v>
      </c>
      <c r="AB423" s="81"/>
      <c r="AC423" s="81">
        <v>44081</v>
      </c>
      <c r="AD423" s="81">
        <v>44085</v>
      </c>
      <c r="AE423" s="81">
        <v>44083</v>
      </c>
      <c r="AF423" s="81">
        <v>44083</v>
      </c>
      <c r="AG423" s="81" t="s">
        <v>155</v>
      </c>
      <c r="AH423" s="82">
        <v>0.71399999999999997</v>
      </c>
      <c r="AI423" s="82">
        <v>0.71399999999999997</v>
      </c>
      <c r="AJ423" s="82">
        <v>0.99</v>
      </c>
      <c r="AK423" s="332" t="s">
        <v>140</v>
      </c>
      <c r="AL423" s="168" t="s">
        <v>1253</v>
      </c>
      <c r="AM423" s="81"/>
      <c r="AN423" s="81"/>
      <c r="AO423" s="336"/>
      <c r="AP423" s="336"/>
    </row>
    <row r="424" spans="2:42" hidden="1">
      <c r="B424" s="159">
        <f t="shared" si="74"/>
        <v>365</v>
      </c>
      <c r="C424" s="16">
        <v>20200904</v>
      </c>
      <c r="D424" s="16" t="s">
        <v>2</v>
      </c>
      <c r="E424" s="85" t="s">
        <v>1811</v>
      </c>
      <c r="F424" s="80"/>
      <c r="G424" s="47"/>
      <c r="H424" s="16" t="s">
        <v>1786</v>
      </c>
      <c r="I424" s="16" t="s">
        <v>1653</v>
      </c>
      <c r="J424" s="16" t="s">
        <v>208</v>
      </c>
      <c r="K424" s="47"/>
      <c r="L424" s="80" t="s">
        <v>1810</v>
      </c>
      <c r="M424" s="47"/>
      <c r="N424" s="16"/>
      <c r="O424" s="80" t="s">
        <v>819</v>
      </c>
      <c r="P424" s="80" t="s">
        <v>1755</v>
      </c>
      <c r="Q424" s="18"/>
      <c r="R424" s="16" t="s">
        <v>200</v>
      </c>
      <c r="S424" s="16" t="s">
        <v>133</v>
      </c>
      <c r="T424" s="16"/>
      <c r="U424" s="16"/>
      <c r="V424" s="16"/>
      <c r="W424" s="191">
        <f>ROUND(IF(D424=Table!$C$3,Y424*Table!$C$4/8,Y424*Table!$D$4/8),3)</f>
        <v>66.3</v>
      </c>
      <c r="X424" s="191">
        <f t="shared" si="73"/>
        <v>66.3</v>
      </c>
      <c r="Y424" s="191">
        <v>4.08</v>
      </c>
      <c r="Z424" s="191">
        <v>3</v>
      </c>
      <c r="AA424" s="16" t="s">
        <v>21</v>
      </c>
      <c r="AB424" s="81"/>
      <c r="AC424" s="81">
        <v>44081</v>
      </c>
      <c r="AD424" s="81">
        <v>44085</v>
      </c>
      <c r="AE424" s="81">
        <v>44083</v>
      </c>
      <c r="AF424" s="81">
        <v>44083</v>
      </c>
      <c r="AG424" s="81" t="s">
        <v>155</v>
      </c>
      <c r="AH424" s="82">
        <v>0.93899999999999995</v>
      </c>
      <c r="AI424" s="82">
        <v>0.94599999999999995</v>
      </c>
      <c r="AJ424" s="82">
        <v>0.57099999999999995</v>
      </c>
      <c r="AK424" s="81" t="s">
        <v>140</v>
      </c>
      <c r="AL424" s="349" t="s">
        <v>2028</v>
      </c>
      <c r="AM424" s="81"/>
      <c r="AN424" s="81"/>
      <c r="AO424" s="336"/>
      <c r="AP424" s="336"/>
    </row>
    <row r="425" spans="2:42" hidden="1">
      <c r="B425" s="159">
        <f t="shared" si="74"/>
        <v>366</v>
      </c>
      <c r="C425" s="16">
        <v>20200904</v>
      </c>
      <c r="D425" s="16" t="s">
        <v>2</v>
      </c>
      <c r="E425" s="85" t="s">
        <v>1811</v>
      </c>
      <c r="F425" s="80"/>
      <c r="G425" s="47"/>
      <c r="H425" s="16" t="s">
        <v>1787</v>
      </c>
      <c r="I425" s="16" t="s">
        <v>1654</v>
      </c>
      <c r="J425" s="16" t="s">
        <v>208</v>
      </c>
      <c r="K425" s="47"/>
      <c r="L425" s="80" t="s">
        <v>1810</v>
      </c>
      <c r="M425" s="47"/>
      <c r="N425" s="16"/>
      <c r="O425" s="80" t="s">
        <v>170</v>
      </c>
      <c r="P425" s="80" t="s">
        <v>1755</v>
      </c>
      <c r="Q425" s="18"/>
      <c r="R425" s="16" t="s">
        <v>200</v>
      </c>
      <c r="S425" s="16" t="s">
        <v>133</v>
      </c>
      <c r="T425" s="16"/>
      <c r="U425" s="16"/>
      <c r="V425" s="16"/>
      <c r="W425" s="191">
        <f>ROUND(IF(D425=Table!$C$3,Y425*Table!$C$4/8,Y425*Table!$D$4/8),3)</f>
        <v>44.2</v>
      </c>
      <c r="X425" s="191">
        <f t="shared" si="73"/>
        <v>44.2</v>
      </c>
      <c r="Y425" s="191">
        <v>2.72</v>
      </c>
      <c r="Z425" s="191">
        <v>2</v>
      </c>
      <c r="AA425" s="16" t="s">
        <v>21</v>
      </c>
      <c r="AB425" s="81"/>
      <c r="AC425" s="81">
        <v>44081</v>
      </c>
      <c r="AD425" s="81">
        <v>44085</v>
      </c>
      <c r="AE425" s="81">
        <v>44082</v>
      </c>
      <c r="AF425" s="81">
        <v>44082</v>
      </c>
      <c r="AG425" s="81" t="s">
        <v>155</v>
      </c>
      <c r="AH425" s="82">
        <v>0.91700000000000004</v>
      </c>
      <c r="AI425" s="82">
        <v>0.92</v>
      </c>
      <c r="AJ425" s="82" t="s">
        <v>213</v>
      </c>
      <c r="AK425" s="81" t="s">
        <v>140</v>
      </c>
      <c r="AL425" s="81" t="s">
        <v>472</v>
      </c>
      <c r="AM425" s="350" t="s">
        <v>58</v>
      </c>
      <c r="AN425" s="81" t="s">
        <v>58</v>
      </c>
      <c r="AO425" s="336"/>
      <c r="AP425" s="336"/>
    </row>
    <row r="426" spans="2:42" hidden="1">
      <c r="B426" s="159">
        <f t="shared" si="74"/>
        <v>367</v>
      </c>
      <c r="C426" s="16">
        <v>20200904</v>
      </c>
      <c r="D426" s="16" t="s">
        <v>2</v>
      </c>
      <c r="E426" s="85" t="s">
        <v>1811</v>
      </c>
      <c r="F426" s="80"/>
      <c r="G426" s="47"/>
      <c r="H426" s="16" t="s">
        <v>1788</v>
      </c>
      <c r="I426" s="16" t="s">
        <v>1655</v>
      </c>
      <c r="J426" s="16" t="s">
        <v>208</v>
      </c>
      <c r="K426" s="47"/>
      <c r="L426" s="80" t="s">
        <v>1810</v>
      </c>
      <c r="M426" s="47"/>
      <c r="N426" s="16"/>
      <c r="O426" s="80" t="s">
        <v>838</v>
      </c>
      <c r="P426" s="80" t="s">
        <v>1755</v>
      </c>
      <c r="Q426" s="18"/>
      <c r="R426" s="16" t="s">
        <v>200</v>
      </c>
      <c r="S426" s="16" t="s">
        <v>133</v>
      </c>
      <c r="T426" s="16"/>
      <c r="U426" s="16"/>
      <c r="V426" s="16"/>
      <c r="W426" s="191">
        <f>ROUND(IF(D426=Table!$C$3,Y426*Table!$C$4/8,Y426*Table!$D$4/8),3)</f>
        <v>88.4</v>
      </c>
      <c r="X426" s="191">
        <f t="shared" si="73"/>
        <v>88.4</v>
      </c>
      <c r="Y426" s="192">
        <v>5.44</v>
      </c>
      <c r="Z426" s="191">
        <v>3</v>
      </c>
      <c r="AA426" s="16" t="s">
        <v>21</v>
      </c>
      <c r="AB426" s="81"/>
      <c r="AC426" s="81">
        <v>44081</v>
      </c>
      <c r="AD426" s="81">
        <v>44085</v>
      </c>
      <c r="AE426" s="81">
        <v>44082</v>
      </c>
      <c r="AF426" s="81">
        <v>44082</v>
      </c>
      <c r="AG426" s="81" t="s">
        <v>155</v>
      </c>
      <c r="AH426" s="82">
        <v>1</v>
      </c>
      <c r="AI426" s="82">
        <v>1</v>
      </c>
      <c r="AJ426" s="82">
        <v>0.312</v>
      </c>
      <c r="AK426" s="168" t="s">
        <v>140</v>
      </c>
      <c r="AL426" s="81" t="s">
        <v>58</v>
      </c>
      <c r="AM426" s="81" t="s">
        <v>58</v>
      </c>
      <c r="AN426" s="81" t="s">
        <v>58</v>
      </c>
      <c r="AO426" s="336"/>
      <c r="AP426" s="336"/>
    </row>
    <row r="427" spans="2:42" hidden="1">
      <c r="B427" s="159">
        <f t="shared" si="74"/>
        <v>368</v>
      </c>
      <c r="C427" s="16">
        <v>20200904</v>
      </c>
      <c r="D427" s="16" t="s">
        <v>2</v>
      </c>
      <c r="E427" s="85" t="s">
        <v>1811</v>
      </c>
      <c r="F427" s="80"/>
      <c r="G427" s="47"/>
      <c r="H427" s="16" t="s">
        <v>1789</v>
      </c>
      <c r="I427" s="330" t="s">
        <v>1656</v>
      </c>
      <c r="J427" s="16" t="s">
        <v>208</v>
      </c>
      <c r="K427" s="47"/>
      <c r="L427" s="80" t="s">
        <v>1810</v>
      </c>
      <c r="M427" s="47"/>
      <c r="N427" s="16"/>
      <c r="O427" s="80" t="s">
        <v>840</v>
      </c>
      <c r="P427" s="80" t="s">
        <v>1755</v>
      </c>
      <c r="Q427" s="18"/>
      <c r="R427" s="16" t="s">
        <v>201</v>
      </c>
      <c r="S427" s="16" t="s">
        <v>63</v>
      </c>
      <c r="T427" s="16"/>
      <c r="U427" s="16"/>
      <c r="V427" s="16"/>
      <c r="W427" s="191">
        <f>ROUND(IF(D427=Table!$C$3,Y427*Table!$C$4/8,Y427*Table!$D$4/8),3)</f>
        <v>33.799999999999997</v>
      </c>
      <c r="X427" s="191">
        <f t="shared" si="73"/>
        <v>33.799999999999997</v>
      </c>
      <c r="Y427" s="191">
        <v>2.08</v>
      </c>
      <c r="Z427" s="191">
        <f>Y427</f>
        <v>2.08</v>
      </c>
      <c r="AA427" s="16" t="s">
        <v>21</v>
      </c>
      <c r="AB427" s="81"/>
      <c r="AC427" s="81">
        <v>44081</v>
      </c>
      <c r="AD427" s="81">
        <v>44085</v>
      </c>
      <c r="AE427" s="81">
        <v>44082</v>
      </c>
      <c r="AF427" s="81">
        <v>44082</v>
      </c>
      <c r="AG427" s="81" t="s">
        <v>155</v>
      </c>
      <c r="AH427" s="82">
        <v>0.89500000000000002</v>
      </c>
      <c r="AI427" s="82">
        <v>0.89500000000000002</v>
      </c>
      <c r="AJ427" s="82" t="s">
        <v>213</v>
      </c>
      <c r="AK427" s="81" t="s">
        <v>140</v>
      </c>
      <c r="AL427" s="81" t="s">
        <v>1904</v>
      </c>
      <c r="AM427" s="81"/>
      <c r="AN427" s="81"/>
      <c r="AO427" s="336"/>
      <c r="AP427" s="336"/>
    </row>
    <row r="428" spans="2:42" hidden="1">
      <c r="B428" s="159">
        <f t="shared" si="74"/>
        <v>369</v>
      </c>
      <c r="C428" s="16">
        <v>20200904</v>
      </c>
      <c r="D428" s="16" t="s">
        <v>2</v>
      </c>
      <c r="E428" s="85" t="s">
        <v>1811</v>
      </c>
      <c r="F428" s="80"/>
      <c r="G428" s="47"/>
      <c r="H428" s="16" t="s">
        <v>1790</v>
      </c>
      <c r="I428" s="16" t="s">
        <v>1657</v>
      </c>
      <c r="J428" s="16" t="s">
        <v>208</v>
      </c>
      <c r="K428" s="47"/>
      <c r="L428" s="80" t="s">
        <v>1810</v>
      </c>
      <c r="M428" s="47"/>
      <c r="N428" s="16"/>
      <c r="O428" s="80" t="s">
        <v>840</v>
      </c>
      <c r="P428" s="80" t="s">
        <v>1755</v>
      </c>
      <c r="Q428" s="18"/>
      <c r="R428" s="16" t="s">
        <v>202</v>
      </c>
      <c r="S428" s="16" t="s">
        <v>132</v>
      </c>
      <c r="T428" s="16"/>
      <c r="U428" s="16"/>
      <c r="V428" s="16"/>
      <c r="W428" s="191">
        <f>ROUND(IF(D428=Table!$C$3,Y428*Table!$C$4/8,Y428*Table!$D$4/8),3)</f>
        <v>33.799999999999997</v>
      </c>
      <c r="X428" s="191">
        <f t="shared" si="73"/>
        <v>33.799999999999997</v>
      </c>
      <c r="Y428" s="191">
        <v>2.08</v>
      </c>
      <c r="Z428" s="191">
        <v>2.08</v>
      </c>
      <c r="AA428" s="16" t="s">
        <v>21</v>
      </c>
      <c r="AB428" s="81"/>
      <c r="AC428" s="81">
        <v>44081</v>
      </c>
      <c r="AD428" s="81">
        <v>44085</v>
      </c>
      <c r="AE428" s="81">
        <v>44083</v>
      </c>
      <c r="AF428" s="81">
        <v>44083</v>
      </c>
      <c r="AG428" s="81" t="s">
        <v>155</v>
      </c>
      <c r="AH428" s="82">
        <v>0.89500000000000002</v>
      </c>
      <c r="AI428" s="82">
        <v>0.89500000000000002</v>
      </c>
      <c r="AJ428" s="82" t="s">
        <v>213</v>
      </c>
      <c r="AK428" s="332" t="s">
        <v>140</v>
      </c>
      <c r="AL428" s="14" t="s">
        <v>1253</v>
      </c>
      <c r="AM428" s="17"/>
      <c r="AN428" s="17"/>
    </row>
    <row r="429" spans="2:42" hidden="1">
      <c r="B429" s="159">
        <f t="shared" si="74"/>
        <v>370</v>
      </c>
      <c r="C429" s="16">
        <v>20200904</v>
      </c>
      <c r="D429" s="16" t="s">
        <v>2</v>
      </c>
      <c r="E429" s="85" t="s">
        <v>1811</v>
      </c>
      <c r="F429" s="80"/>
      <c r="G429" s="47"/>
      <c r="H429" s="16" t="s">
        <v>1791</v>
      </c>
      <c r="I429" s="16" t="s">
        <v>1658</v>
      </c>
      <c r="J429" s="16" t="s">
        <v>208</v>
      </c>
      <c r="K429" s="47"/>
      <c r="L429" s="80" t="s">
        <v>1810</v>
      </c>
      <c r="M429" s="47"/>
      <c r="N429" s="16"/>
      <c r="O429" s="80" t="s">
        <v>840</v>
      </c>
      <c r="P429" s="80" t="s">
        <v>1755</v>
      </c>
      <c r="Q429" s="18"/>
      <c r="R429" s="16" t="s">
        <v>202</v>
      </c>
      <c r="S429" s="16" t="s">
        <v>132</v>
      </c>
      <c r="T429" s="16"/>
      <c r="U429" s="16"/>
      <c r="V429" s="16"/>
      <c r="W429" s="191">
        <f>ROUND(IF(D429=Table!$C$3,Y429*Table!$C$4/8,Y429*Table!$D$4/8),3)</f>
        <v>33.799999999999997</v>
      </c>
      <c r="X429" s="191">
        <f t="shared" si="73"/>
        <v>33.799999999999997</v>
      </c>
      <c r="Y429" s="191">
        <v>2.08</v>
      </c>
      <c r="Z429" s="191">
        <v>2.08</v>
      </c>
      <c r="AA429" s="16" t="s">
        <v>21</v>
      </c>
      <c r="AB429" s="81"/>
      <c r="AC429" s="81">
        <v>44081</v>
      </c>
      <c r="AD429" s="81">
        <v>44085</v>
      </c>
      <c r="AE429" s="81">
        <v>44083</v>
      </c>
      <c r="AF429" s="81">
        <v>44083</v>
      </c>
      <c r="AG429" s="81" t="s">
        <v>155</v>
      </c>
      <c r="AH429" s="82">
        <v>0.89500000000000002</v>
      </c>
      <c r="AI429" s="82">
        <v>0.89500000000000002</v>
      </c>
      <c r="AJ429" s="82" t="s">
        <v>213</v>
      </c>
      <c r="AK429" s="332" t="s">
        <v>140</v>
      </c>
      <c r="AL429" s="84" t="s">
        <v>1253</v>
      </c>
      <c r="AM429" s="17"/>
      <c r="AN429" s="17"/>
    </row>
    <row r="430" spans="2:42" hidden="1">
      <c r="B430" s="159">
        <f t="shared" si="74"/>
        <v>371</v>
      </c>
      <c r="C430" s="16">
        <v>20200904</v>
      </c>
      <c r="D430" s="16" t="s">
        <v>2</v>
      </c>
      <c r="E430" s="85" t="s">
        <v>1811</v>
      </c>
      <c r="F430" s="80"/>
      <c r="G430" s="47"/>
      <c r="H430" s="16" t="s">
        <v>1792</v>
      </c>
      <c r="I430" s="16" t="s">
        <v>1659</v>
      </c>
      <c r="J430" s="16" t="s">
        <v>208</v>
      </c>
      <c r="K430" s="47"/>
      <c r="L430" s="80" t="s">
        <v>1810</v>
      </c>
      <c r="M430" s="47"/>
      <c r="N430" s="16"/>
      <c r="O430" s="80" t="s">
        <v>840</v>
      </c>
      <c r="P430" s="80" t="s">
        <v>1755</v>
      </c>
      <c r="Q430" s="18"/>
      <c r="R430" s="16" t="s">
        <v>198</v>
      </c>
      <c r="S430" s="16" t="s">
        <v>174</v>
      </c>
      <c r="T430" s="16"/>
      <c r="U430" s="16"/>
      <c r="V430" s="16"/>
      <c r="W430" s="191">
        <f>ROUND(IF(D430=Table!$C$3,Y430*Table!$C$4/8,Y430*Table!$D$4/8),3)</f>
        <v>33.799999999999997</v>
      </c>
      <c r="X430" s="191">
        <f t="shared" si="73"/>
        <v>33.799999999999997</v>
      </c>
      <c r="Y430" s="191">
        <v>2.08</v>
      </c>
      <c r="Z430" s="191">
        <v>2.08</v>
      </c>
      <c r="AA430" s="16" t="s">
        <v>21</v>
      </c>
      <c r="AB430" s="81"/>
      <c r="AC430" s="81">
        <v>44081</v>
      </c>
      <c r="AD430" s="81">
        <v>44085</v>
      </c>
      <c r="AE430" s="81">
        <v>44083</v>
      </c>
      <c r="AF430" s="81">
        <v>44083</v>
      </c>
      <c r="AG430" s="81" t="s">
        <v>155</v>
      </c>
      <c r="AH430" s="82">
        <v>0.89500000000000002</v>
      </c>
      <c r="AI430" s="82">
        <v>0.89500000000000002</v>
      </c>
      <c r="AJ430" s="82" t="s">
        <v>213</v>
      </c>
      <c r="AK430" s="81" t="s">
        <v>140</v>
      </c>
      <c r="AL430" s="84" t="s">
        <v>469</v>
      </c>
      <c r="AM430" s="17"/>
      <c r="AN430" s="17"/>
    </row>
    <row r="431" spans="2:42" hidden="1">
      <c r="B431" s="159">
        <f t="shared" si="74"/>
        <v>372</v>
      </c>
      <c r="C431" s="16">
        <v>20200904</v>
      </c>
      <c r="D431" s="16" t="s">
        <v>2</v>
      </c>
      <c r="E431" s="85" t="s">
        <v>1811</v>
      </c>
      <c r="F431" s="80"/>
      <c r="G431" s="47"/>
      <c r="H431" s="16" t="s">
        <v>1793</v>
      </c>
      <c r="I431" s="217" t="s">
        <v>1660</v>
      </c>
      <c r="J431" s="16" t="s">
        <v>208</v>
      </c>
      <c r="K431" s="47"/>
      <c r="L431" s="80" t="s">
        <v>1810</v>
      </c>
      <c r="M431" s="47"/>
      <c r="N431" s="16"/>
      <c r="O431" s="80" t="s">
        <v>840</v>
      </c>
      <c r="P431" s="80" t="s">
        <v>1755</v>
      </c>
      <c r="Q431" s="18"/>
      <c r="R431" s="16" t="s">
        <v>197</v>
      </c>
      <c r="S431" s="16" t="s">
        <v>61</v>
      </c>
      <c r="T431" s="16"/>
      <c r="U431" s="16"/>
      <c r="V431" s="16"/>
      <c r="W431" s="191">
        <f>ROUND(IF(D431=Table!$C$3,Y431*Table!$C$4/8,Y431*Table!$D$4/8),3)</f>
        <v>33.799999999999997</v>
      </c>
      <c r="X431" s="191">
        <f t="shared" si="73"/>
        <v>33.799999999999997</v>
      </c>
      <c r="Y431" s="191">
        <v>2.08</v>
      </c>
      <c r="Z431" s="191"/>
      <c r="AA431" s="16" t="s">
        <v>21</v>
      </c>
      <c r="AB431" s="81"/>
      <c r="AC431" s="81">
        <v>44081</v>
      </c>
      <c r="AD431" s="81">
        <v>44085</v>
      </c>
      <c r="AE431" s="81">
        <v>44083</v>
      </c>
      <c r="AF431" s="81">
        <v>44083</v>
      </c>
      <c r="AG431" s="81" t="s">
        <v>155</v>
      </c>
      <c r="AH431" s="82">
        <v>0.89500000000000002</v>
      </c>
      <c r="AI431" s="82">
        <v>0.89500000000000002</v>
      </c>
      <c r="AJ431" s="82" t="s">
        <v>213</v>
      </c>
      <c r="AK431" s="81" t="s">
        <v>140</v>
      </c>
      <c r="AL431" s="258" t="s">
        <v>1829</v>
      </c>
      <c r="AM431" s="118"/>
      <c r="AN431" s="118"/>
    </row>
    <row r="432" spans="2:42" hidden="1">
      <c r="B432" s="159">
        <f t="shared" si="74"/>
        <v>373</v>
      </c>
      <c r="C432" s="16">
        <v>20200904</v>
      </c>
      <c r="D432" s="16" t="s">
        <v>2</v>
      </c>
      <c r="E432" s="85" t="s">
        <v>1811</v>
      </c>
      <c r="F432" s="80"/>
      <c r="G432" s="47"/>
      <c r="H432" s="16" t="s">
        <v>1794</v>
      </c>
      <c r="I432" s="16" t="s">
        <v>1661</v>
      </c>
      <c r="J432" s="16" t="s">
        <v>208</v>
      </c>
      <c r="K432" s="47"/>
      <c r="L432" s="80" t="s">
        <v>1810</v>
      </c>
      <c r="M432" s="47"/>
      <c r="N432" s="16"/>
      <c r="O432" s="80" t="s">
        <v>170</v>
      </c>
      <c r="P432" s="80" t="s">
        <v>1755</v>
      </c>
      <c r="Q432" s="18"/>
      <c r="R432" s="16" t="s">
        <v>197</v>
      </c>
      <c r="S432" s="16" t="s">
        <v>61</v>
      </c>
      <c r="T432" s="16"/>
      <c r="U432" s="16"/>
      <c r="V432" s="16"/>
      <c r="W432" s="191">
        <f>ROUND(IF(D432=Table!$C$3,Y432*Table!$C$4/8,Y432*Table!$D$4/8),3)</f>
        <v>33.799999999999997</v>
      </c>
      <c r="X432" s="191">
        <f t="shared" si="73"/>
        <v>33.799999999999997</v>
      </c>
      <c r="Y432" s="191">
        <v>2.08</v>
      </c>
      <c r="Z432" s="191"/>
      <c r="AA432" s="16" t="s">
        <v>21</v>
      </c>
      <c r="AB432" s="81"/>
      <c r="AC432" s="81">
        <v>44081</v>
      </c>
      <c r="AD432" s="81">
        <v>44085</v>
      </c>
      <c r="AE432" s="81">
        <v>44083</v>
      </c>
      <c r="AF432" s="81">
        <v>44083</v>
      </c>
      <c r="AG432" s="81" t="s">
        <v>155</v>
      </c>
      <c r="AH432" s="82">
        <v>0.89500000000000002</v>
      </c>
      <c r="AI432" s="82">
        <v>0.89500000000000002</v>
      </c>
      <c r="AJ432" s="82" t="s">
        <v>213</v>
      </c>
      <c r="AK432" s="81" t="s">
        <v>140</v>
      </c>
      <c r="AL432" s="258" t="s">
        <v>1829</v>
      </c>
      <c r="AM432" s="17"/>
      <c r="AN432" s="17"/>
    </row>
    <row r="433" spans="2:40" hidden="1">
      <c r="B433" s="159">
        <f t="shared" si="74"/>
        <v>374</v>
      </c>
      <c r="C433" s="16">
        <v>20200904</v>
      </c>
      <c r="D433" s="16" t="s">
        <v>2</v>
      </c>
      <c r="E433" s="85" t="s">
        <v>1811</v>
      </c>
      <c r="F433" s="80"/>
      <c r="G433" s="47"/>
      <c r="H433" s="16" t="s">
        <v>1795</v>
      </c>
      <c r="I433" s="16" t="s">
        <v>1662</v>
      </c>
      <c r="J433" s="16" t="s">
        <v>208</v>
      </c>
      <c r="K433" s="47"/>
      <c r="L433" s="80" t="s">
        <v>1810</v>
      </c>
      <c r="M433" s="47"/>
      <c r="N433" s="16"/>
      <c r="O433" s="80" t="s">
        <v>170</v>
      </c>
      <c r="P433" s="80" t="s">
        <v>1755</v>
      </c>
      <c r="Q433" s="18"/>
      <c r="R433" s="16" t="s">
        <v>197</v>
      </c>
      <c r="S433" s="16" t="s">
        <v>61</v>
      </c>
      <c r="T433" s="16"/>
      <c r="U433" s="16"/>
      <c r="V433" s="16"/>
      <c r="W433" s="191">
        <f>ROUND(IF(D433=Table!$C$3,Y433*Table!$C$4/8,Y433*Table!$D$4/8),3)</f>
        <v>33.799999999999997</v>
      </c>
      <c r="X433" s="191">
        <f t="shared" si="73"/>
        <v>33.799999999999997</v>
      </c>
      <c r="Y433" s="191">
        <v>2.08</v>
      </c>
      <c r="Z433" s="191"/>
      <c r="AA433" s="16" t="s">
        <v>21</v>
      </c>
      <c r="AB433" s="81"/>
      <c r="AC433" s="81">
        <v>44081</v>
      </c>
      <c r="AD433" s="81">
        <v>44085</v>
      </c>
      <c r="AE433" s="81">
        <v>44083</v>
      </c>
      <c r="AF433" s="81">
        <v>44083</v>
      </c>
      <c r="AG433" s="81" t="s">
        <v>155</v>
      </c>
      <c r="AH433" s="82">
        <v>0.89500000000000002</v>
      </c>
      <c r="AI433" s="82">
        <v>0.89500000000000002</v>
      </c>
      <c r="AJ433" s="82" t="s">
        <v>213</v>
      </c>
      <c r="AK433" s="81" t="s">
        <v>140</v>
      </c>
      <c r="AL433" s="109" t="s">
        <v>1829</v>
      </c>
      <c r="AM433" s="17"/>
      <c r="AN433" s="17"/>
    </row>
    <row r="434" spans="2:40" hidden="1">
      <c r="B434" s="159">
        <f t="shared" si="74"/>
        <v>375</v>
      </c>
      <c r="C434" s="16">
        <v>20200904</v>
      </c>
      <c r="D434" s="16" t="s">
        <v>2</v>
      </c>
      <c r="E434" s="85" t="s">
        <v>1811</v>
      </c>
      <c r="F434" s="80"/>
      <c r="G434" s="47"/>
      <c r="H434" s="16" t="s">
        <v>1796</v>
      </c>
      <c r="I434" s="16" t="s">
        <v>1663</v>
      </c>
      <c r="J434" s="16" t="s">
        <v>208</v>
      </c>
      <c r="K434" s="47"/>
      <c r="L434" s="80" t="s">
        <v>1810</v>
      </c>
      <c r="M434" s="47"/>
      <c r="N434" s="16"/>
      <c r="O434" s="80" t="s">
        <v>840</v>
      </c>
      <c r="P434" s="80" t="s">
        <v>1755</v>
      </c>
      <c r="Q434" s="18"/>
      <c r="R434" s="16" t="s">
        <v>197</v>
      </c>
      <c r="S434" s="16" t="s">
        <v>61</v>
      </c>
      <c r="T434" s="16"/>
      <c r="U434" s="16"/>
      <c r="V434" s="16"/>
      <c r="W434" s="191">
        <f>ROUND(IF(D434=Table!$C$3,Y434*Table!$C$4/8,Y434*Table!$D$4/8),3)</f>
        <v>33.799999999999997</v>
      </c>
      <c r="X434" s="191">
        <f t="shared" si="73"/>
        <v>33.799999999999997</v>
      </c>
      <c r="Y434" s="191">
        <v>2.08</v>
      </c>
      <c r="Z434" s="191"/>
      <c r="AA434" s="16" t="s">
        <v>21</v>
      </c>
      <c r="AB434" s="81"/>
      <c r="AC434" s="81">
        <v>44081</v>
      </c>
      <c r="AD434" s="81">
        <v>44085</v>
      </c>
      <c r="AE434" s="81">
        <v>44083</v>
      </c>
      <c r="AF434" s="81">
        <v>44083</v>
      </c>
      <c r="AG434" s="81" t="s">
        <v>155</v>
      </c>
      <c r="AH434" s="82">
        <v>0.89500000000000002</v>
      </c>
      <c r="AI434" s="82">
        <v>0.89500000000000002</v>
      </c>
      <c r="AJ434" s="82" t="s">
        <v>213</v>
      </c>
      <c r="AK434" s="81" t="s">
        <v>140</v>
      </c>
      <c r="AL434" s="140" t="s">
        <v>1829</v>
      </c>
      <c r="AM434" s="17"/>
      <c r="AN434" s="17"/>
    </row>
    <row r="435" spans="2:40" hidden="1">
      <c r="B435" s="159">
        <f t="shared" si="74"/>
        <v>376</v>
      </c>
      <c r="C435" s="16">
        <v>20200904</v>
      </c>
      <c r="D435" s="16" t="s">
        <v>2</v>
      </c>
      <c r="E435" s="85" t="s">
        <v>1811</v>
      </c>
      <c r="F435" s="80"/>
      <c r="G435" s="47"/>
      <c r="H435" s="16" t="s">
        <v>1797</v>
      </c>
      <c r="I435" s="16" t="s">
        <v>1664</v>
      </c>
      <c r="J435" s="16" t="s">
        <v>208</v>
      </c>
      <c r="K435" s="47"/>
      <c r="L435" s="80" t="s">
        <v>1810</v>
      </c>
      <c r="M435" s="47"/>
      <c r="N435" s="16"/>
      <c r="O435" s="80" t="s">
        <v>840</v>
      </c>
      <c r="P435" s="80" t="s">
        <v>1755</v>
      </c>
      <c r="Q435" s="18"/>
      <c r="R435" s="16" t="s">
        <v>197</v>
      </c>
      <c r="S435" s="16" t="s">
        <v>61</v>
      </c>
      <c r="T435" s="16"/>
      <c r="U435" s="16"/>
      <c r="V435" s="16"/>
      <c r="W435" s="191">
        <f>ROUND(IF(D435=Table!$C$3,Y435*Table!$C$4/8,Y435*Table!$D$4/8),3)</f>
        <v>33.799999999999997</v>
      </c>
      <c r="X435" s="191">
        <f t="shared" si="73"/>
        <v>33.799999999999997</v>
      </c>
      <c r="Y435" s="191">
        <v>2.08</v>
      </c>
      <c r="Z435" s="191"/>
      <c r="AA435" s="16" t="s">
        <v>21</v>
      </c>
      <c r="AB435" s="81"/>
      <c r="AC435" s="81">
        <v>44081</v>
      </c>
      <c r="AD435" s="81">
        <v>44085</v>
      </c>
      <c r="AE435" s="81">
        <v>44083</v>
      </c>
      <c r="AF435" s="81">
        <v>44083</v>
      </c>
      <c r="AG435" s="81" t="s">
        <v>155</v>
      </c>
      <c r="AH435" s="82">
        <v>0.89500000000000002</v>
      </c>
      <c r="AI435" s="82">
        <v>0.89500000000000002</v>
      </c>
      <c r="AJ435" s="82" t="s">
        <v>213</v>
      </c>
      <c r="AK435" s="81" t="s">
        <v>140</v>
      </c>
      <c r="AL435" s="109" t="s">
        <v>1829</v>
      </c>
      <c r="AM435" s="17"/>
      <c r="AN435" s="17"/>
    </row>
    <row r="436" spans="2:40" hidden="1">
      <c r="B436" s="159">
        <f t="shared" si="74"/>
        <v>377</v>
      </c>
      <c r="C436" s="16">
        <v>20200904</v>
      </c>
      <c r="D436" s="16" t="s">
        <v>2</v>
      </c>
      <c r="E436" s="85" t="s">
        <v>1811</v>
      </c>
      <c r="F436" s="80"/>
      <c r="G436" s="47"/>
      <c r="H436" s="16" t="s">
        <v>1798</v>
      </c>
      <c r="I436" s="16" t="s">
        <v>1665</v>
      </c>
      <c r="J436" s="16" t="s">
        <v>208</v>
      </c>
      <c r="K436" s="47"/>
      <c r="L436" s="80" t="s">
        <v>1810</v>
      </c>
      <c r="M436" s="47"/>
      <c r="N436" s="16"/>
      <c r="O436" s="80" t="s">
        <v>840</v>
      </c>
      <c r="P436" s="80" t="s">
        <v>1755</v>
      </c>
      <c r="Q436" s="18"/>
      <c r="R436" s="16" t="s">
        <v>197</v>
      </c>
      <c r="S436" s="16" t="s">
        <v>61</v>
      </c>
      <c r="T436" s="16"/>
      <c r="U436" s="16"/>
      <c r="V436" s="16"/>
      <c r="W436" s="191">
        <f>ROUND(IF(D436=Table!$C$3,Y436*Table!$C$4/8,Y436*Table!$D$4/8),3)</f>
        <v>33.799999999999997</v>
      </c>
      <c r="X436" s="191">
        <f t="shared" si="73"/>
        <v>33.799999999999997</v>
      </c>
      <c r="Y436" s="191">
        <v>2.08</v>
      </c>
      <c r="Z436" s="191"/>
      <c r="AA436" s="16" t="s">
        <v>21</v>
      </c>
      <c r="AB436" s="81"/>
      <c r="AC436" s="81">
        <v>44081</v>
      </c>
      <c r="AD436" s="81">
        <v>44085</v>
      </c>
      <c r="AE436" s="81">
        <v>44083</v>
      </c>
      <c r="AF436" s="81">
        <v>44083</v>
      </c>
      <c r="AG436" s="81" t="s">
        <v>155</v>
      </c>
      <c r="AH436" s="82">
        <v>0.89500000000000002</v>
      </c>
      <c r="AI436" s="82">
        <v>0.89500000000000002</v>
      </c>
      <c r="AJ436" s="82" t="s">
        <v>213</v>
      </c>
      <c r="AK436" s="81" t="s">
        <v>140</v>
      </c>
      <c r="AL436" s="109" t="s">
        <v>1829</v>
      </c>
      <c r="AM436" s="17"/>
      <c r="AN436" s="17"/>
    </row>
    <row r="437" spans="2:40" hidden="1">
      <c r="B437" s="159">
        <f t="shared" si="74"/>
        <v>378</v>
      </c>
      <c r="C437" s="16">
        <v>20200904</v>
      </c>
      <c r="D437" s="16" t="s">
        <v>2</v>
      </c>
      <c r="E437" s="85" t="s">
        <v>1811</v>
      </c>
      <c r="F437" s="80"/>
      <c r="G437" s="47"/>
      <c r="H437" s="16" t="s">
        <v>1799</v>
      </c>
      <c r="I437" s="330" t="s">
        <v>1666</v>
      </c>
      <c r="J437" s="16" t="s">
        <v>208</v>
      </c>
      <c r="K437" s="47"/>
      <c r="L437" s="80" t="s">
        <v>1810</v>
      </c>
      <c r="M437" s="47"/>
      <c r="N437" s="16"/>
      <c r="O437" s="80" t="s">
        <v>170</v>
      </c>
      <c r="P437" s="80" t="s">
        <v>1755</v>
      </c>
      <c r="Q437" s="18"/>
      <c r="R437" s="16" t="s">
        <v>198</v>
      </c>
      <c r="S437" s="16" t="s">
        <v>174</v>
      </c>
      <c r="T437" s="16"/>
      <c r="U437" s="16"/>
      <c r="V437" s="16"/>
      <c r="W437" s="191">
        <f>ROUND(IF(D437=Table!$C$3,Y437*Table!$C$4/8,Y437*Table!$D$4/8),3)</f>
        <v>33.799999999999997</v>
      </c>
      <c r="X437" s="191">
        <f t="shared" ref="X437:X444" si="75">W437</f>
        <v>33.799999999999997</v>
      </c>
      <c r="Y437" s="191">
        <v>2.08</v>
      </c>
      <c r="Z437" s="191">
        <f t="shared" ref="Z437:Z444" si="76">Y437</f>
        <v>2.08</v>
      </c>
      <c r="AA437" s="16" t="s">
        <v>21</v>
      </c>
      <c r="AB437" s="81"/>
      <c r="AC437" s="81">
        <v>44081</v>
      </c>
      <c r="AD437" s="81">
        <v>44085</v>
      </c>
      <c r="AE437" s="81">
        <v>44081</v>
      </c>
      <c r="AF437" s="81">
        <v>44081</v>
      </c>
      <c r="AG437" s="81" t="s">
        <v>155</v>
      </c>
      <c r="AH437" s="82">
        <v>0.89500000000000002</v>
      </c>
      <c r="AI437" s="82">
        <v>0.89500000000000002</v>
      </c>
      <c r="AJ437" s="82" t="s">
        <v>213</v>
      </c>
      <c r="AK437" s="81" t="s">
        <v>140</v>
      </c>
      <c r="AL437" s="14" t="s">
        <v>469</v>
      </c>
      <c r="AM437" s="17"/>
      <c r="AN437" s="17"/>
    </row>
    <row r="438" spans="2:40" hidden="1">
      <c r="B438" s="159">
        <f t="shared" si="74"/>
        <v>379</v>
      </c>
      <c r="C438" s="16">
        <v>20200904</v>
      </c>
      <c r="D438" s="16" t="s">
        <v>2</v>
      </c>
      <c r="E438" s="85" t="s">
        <v>1811</v>
      </c>
      <c r="F438" s="80"/>
      <c r="G438" s="47"/>
      <c r="H438" s="16" t="s">
        <v>1800</v>
      </c>
      <c r="I438" s="330" t="s">
        <v>1667</v>
      </c>
      <c r="J438" s="16" t="s">
        <v>208</v>
      </c>
      <c r="K438" s="47"/>
      <c r="L438" s="80" t="s">
        <v>1810</v>
      </c>
      <c r="M438" s="47"/>
      <c r="N438" s="16"/>
      <c r="O438" s="80" t="s">
        <v>170</v>
      </c>
      <c r="P438" s="80" t="s">
        <v>1755</v>
      </c>
      <c r="Q438" s="18"/>
      <c r="R438" s="16" t="s">
        <v>198</v>
      </c>
      <c r="S438" s="16" t="s">
        <v>174</v>
      </c>
      <c r="T438" s="16"/>
      <c r="U438" s="16"/>
      <c r="V438" s="16"/>
      <c r="W438" s="191">
        <f>ROUND(IF(D438=Table!$C$3,Y438*Table!$C$4/8,Y438*Table!$D$4/8),3)</f>
        <v>33.799999999999997</v>
      </c>
      <c r="X438" s="191">
        <f t="shared" si="75"/>
        <v>33.799999999999997</v>
      </c>
      <c r="Y438" s="191">
        <v>2.08</v>
      </c>
      <c r="Z438" s="191">
        <f t="shared" si="76"/>
        <v>2.08</v>
      </c>
      <c r="AA438" s="16" t="s">
        <v>21</v>
      </c>
      <c r="AB438" s="81"/>
      <c r="AC438" s="81">
        <v>44081</v>
      </c>
      <c r="AD438" s="81">
        <v>44085</v>
      </c>
      <c r="AE438" s="81">
        <v>44081</v>
      </c>
      <c r="AF438" s="81">
        <v>44081</v>
      </c>
      <c r="AG438" s="81" t="s">
        <v>155</v>
      </c>
      <c r="AH438" s="82">
        <v>0.89500000000000002</v>
      </c>
      <c r="AI438" s="82">
        <v>0.89500000000000002</v>
      </c>
      <c r="AJ438" s="82" t="s">
        <v>213</v>
      </c>
      <c r="AK438" s="81" t="s">
        <v>140</v>
      </c>
      <c r="AL438" s="84" t="s">
        <v>469</v>
      </c>
      <c r="AM438" s="17"/>
      <c r="AN438" s="17"/>
    </row>
    <row r="439" spans="2:40" hidden="1">
      <c r="B439" s="159">
        <f t="shared" si="74"/>
        <v>380</v>
      </c>
      <c r="C439" s="16">
        <v>20200904</v>
      </c>
      <c r="D439" s="16" t="s">
        <v>2</v>
      </c>
      <c r="E439" s="85" t="s">
        <v>1811</v>
      </c>
      <c r="F439" s="80"/>
      <c r="G439" s="47"/>
      <c r="H439" s="16" t="s">
        <v>1801</v>
      </c>
      <c r="I439" s="330" t="s">
        <v>1668</v>
      </c>
      <c r="J439" s="16" t="s">
        <v>208</v>
      </c>
      <c r="K439" s="47"/>
      <c r="L439" s="80" t="s">
        <v>1810</v>
      </c>
      <c r="M439" s="47"/>
      <c r="N439" s="16"/>
      <c r="O439" s="80" t="s">
        <v>840</v>
      </c>
      <c r="P439" s="80" t="s">
        <v>1755</v>
      </c>
      <c r="Q439" s="18"/>
      <c r="R439" s="16" t="s">
        <v>198</v>
      </c>
      <c r="S439" s="16" t="s">
        <v>174</v>
      </c>
      <c r="T439" s="16"/>
      <c r="U439" s="16"/>
      <c r="V439" s="16"/>
      <c r="W439" s="191">
        <f>ROUND(IF(D439=Table!$C$3,Y439*Table!$C$4/8,Y439*Table!$D$4/8),3)</f>
        <v>33.799999999999997</v>
      </c>
      <c r="X439" s="191">
        <f t="shared" si="75"/>
        <v>33.799999999999997</v>
      </c>
      <c r="Y439" s="191">
        <v>2.08</v>
      </c>
      <c r="Z439" s="191">
        <f t="shared" si="76"/>
        <v>2.08</v>
      </c>
      <c r="AA439" s="16" t="s">
        <v>21</v>
      </c>
      <c r="AB439" s="81"/>
      <c r="AC439" s="81">
        <v>44081</v>
      </c>
      <c r="AD439" s="81">
        <v>44085</v>
      </c>
      <c r="AE439" s="81">
        <v>44081</v>
      </c>
      <c r="AF439" s="81">
        <v>44081</v>
      </c>
      <c r="AG439" s="81" t="s">
        <v>155</v>
      </c>
      <c r="AH439" s="82">
        <v>0.89500000000000002</v>
      </c>
      <c r="AI439" s="82">
        <v>0.89500000000000002</v>
      </c>
      <c r="AJ439" s="82" t="s">
        <v>213</v>
      </c>
      <c r="AK439" s="81" t="s">
        <v>140</v>
      </c>
      <c r="AL439" s="84" t="s">
        <v>469</v>
      </c>
      <c r="AM439" s="17"/>
      <c r="AN439" s="17"/>
    </row>
    <row r="440" spans="2:40" hidden="1">
      <c r="B440" s="159">
        <f t="shared" si="74"/>
        <v>381</v>
      </c>
      <c r="C440" s="16">
        <v>20200904</v>
      </c>
      <c r="D440" s="16" t="s">
        <v>2</v>
      </c>
      <c r="E440" s="85" t="s">
        <v>1811</v>
      </c>
      <c r="F440" s="80"/>
      <c r="G440" s="47"/>
      <c r="H440" s="16" t="s">
        <v>1802</v>
      </c>
      <c r="I440" s="330" t="s">
        <v>1669</v>
      </c>
      <c r="J440" s="16" t="s">
        <v>208</v>
      </c>
      <c r="K440" s="47"/>
      <c r="L440" s="80" t="s">
        <v>1810</v>
      </c>
      <c r="M440" s="47"/>
      <c r="N440" s="16"/>
      <c r="O440" s="80" t="s">
        <v>840</v>
      </c>
      <c r="P440" s="80" t="s">
        <v>1755</v>
      </c>
      <c r="Q440" s="18"/>
      <c r="R440" s="16" t="s">
        <v>198</v>
      </c>
      <c r="S440" s="16" t="s">
        <v>174</v>
      </c>
      <c r="T440" s="16"/>
      <c r="U440" s="16"/>
      <c r="V440" s="16"/>
      <c r="W440" s="191">
        <f>ROUND(IF(D440=Table!$C$3,Y440*Table!$C$4/8,Y440*Table!$D$4/8),3)</f>
        <v>33.799999999999997</v>
      </c>
      <c r="X440" s="191">
        <f t="shared" si="75"/>
        <v>33.799999999999997</v>
      </c>
      <c r="Y440" s="191">
        <v>2.08</v>
      </c>
      <c r="Z440" s="191">
        <f t="shared" si="76"/>
        <v>2.08</v>
      </c>
      <c r="AA440" s="16" t="s">
        <v>21</v>
      </c>
      <c r="AB440" s="81"/>
      <c r="AC440" s="81">
        <v>44081</v>
      </c>
      <c r="AD440" s="81">
        <v>44085</v>
      </c>
      <c r="AE440" s="81">
        <v>44081</v>
      </c>
      <c r="AF440" s="81">
        <v>44081</v>
      </c>
      <c r="AG440" s="81" t="s">
        <v>155</v>
      </c>
      <c r="AH440" s="82">
        <v>0.89500000000000002</v>
      </c>
      <c r="AI440" s="82">
        <v>0.89500000000000002</v>
      </c>
      <c r="AJ440" s="82" t="s">
        <v>213</v>
      </c>
      <c r="AK440" s="81" t="s">
        <v>140</v>
      </c>
      <c r="AL440" s="84" t="s">
        <v>469</v>
      </c>
      <c r="AM440" s="17"/>
      <c r="AN440" s="17"/>
    </row>
    <row r="441" spans="2:40" hidden="1">
      <c r="B441" s="159">
        <f t="shared" si="74"/>
        <v>382</v>
      </c>
      <c r="C441" s="16">
        <v>20200904</v>
      </c>
      <c r="D441" s="16" t="s">
        <v>2</v>
      </c>
      <c r="E441" s="85" t="s">
        <v>1811</v>
      </c>
      <c r="F441" s="80"/>
      <c r="G441" s="47"/>
      <c r="H441" s="16" t="s">
        <v>1803</v>
      </c>
      <c r="I441" s="330" t="s">
        <v>1670</v>
      </c>
      <c r="J441" s="16" t="s">
        <v>208</v>
      </c>
      <c r="K441" s="47"/>
      <c r="L441" s="80" t="s">
        <v>1810</v>
      </c>
      <c r="M441" s="47"/>
      <c r="N441" s="16"/>
      <c r="O441" s="80" t="s">
        <v>840</v>
      </c>
      <c r="P441" s="80" t="s">
        <v>1755</v>
      </c>
      <c r="Q441" s="18"/>
      <c r="R441" s="16" t="s">
        <v>198</v>
      </c>
      <c r="S441" s="16" t="s">
        <v>174</v>
      </c>
      <c r="T441" s="16"/>
      <c r="U441" s="16"/>
      <c r="V441" s="16"/>
      <c r="W441" s="191">
        <f>ROUND(IF(D441=Table!$C$3,Y441*Table!$C$4/8,Y441*Table!$D$4/8),3)</f>
        <v>33.799999999999997</v>
      </c>
      <c r="X441" s="191">
        <f t="shared" si="75"/>
        <v>33.799999999999997</v>
      </c>
      <c r="Y441" s="191">
        <v>2.08</v>
      </c>
      <c r="Z441" s="191">
        <f t="shared" si="76"/>
        <v>2.08</v>
      </c>
      <c r="AA441" s="16" t="s">
        <v>21</v>
      </c>
      <c r="AB441" s="81"/>
      <c r="AC441" s="81">
        <v>44081</v>
      </c>
      <c r="AD441" s="81">
        <v>44085</v>
      </c>
      <c r="AE441" s="81">
        <v>44081</v>
      </c>
      <c r="AF441" s="81">
        <v>44081</v>
      </c>
      <c r="AG441" s="81" t="s">
        <v>155</v>
      </c>
      <c r="AH441" s="82">
        <v>0.89500000000000002</v>
      </c>
      <c r="AI441" s="82">
        <v>0.89500000000000002</v>
      </c>
      <c r="AJ441" s="82" t="s">
        <v>213</v>
      </c>
      <c r="AK441" s="81" t="s">
        <v>140</v>
      </c>
      <c r="AL441" s="84" t="s">
        <v>469</v>
      </c>
      <c r="AM441" s="17"/>
      <c r="AN441" s="17"/>
    </row>
    <row r="442" spans="2:40" hidden="1">
      <c r="B442" s="159">
        <f t="shared" si="74"/>
        <v>383</v>
      </c>
      <c r="C442" s="16">
        <v>20200904</v>
      </c>
      <c r="D442" s="16" t="s">
        <v>2</v>
      </c>
      <c r="E442" s="85" t="s">
        <v>1811</v>
      </c>
      <c r="F442" s="80"/>
      <c r="G442" s="47"/>
      <c r="H442" s="16" t="s">
        <v>1804</v>
      </c>
      <c r="I442" s="330" t="s">
        <v>1671</v>
      </c>
      <c r="J442" s="16" t="s">
        <v>208</v>
      </c>
      <c r="K442" s="47"/>
      <c r="L442" s="80" t="s">
        <v>1810</v>
      </c>
      <c r="M442" s="47"/>
      <c r="N442" s="16"/>
      <c r="O442" s="80" t="s">
        <v>170</v>
      </c>
      <c r="P442" s="80" t="s">
        <v>1755</v>
      </c>
      <c r="Q442" s="18"/>
      <c r="R442" s="16" t="s">
        <v>201</v>
      </c>
      <c r="S442" s="16" t="s">
        <v>63</v>
      </c>
      <c r="T442" s="16"/>
      <c r="U442" s="16"/>
      <c r="V442" s="16"/>
      <c r="W442" s="191">
        <f>ROUND(IF(D442=Table!$C$3,Y442*Table!$C$4/8,Y442*Table!$D$4/8),3)</f>
        <v>33.799999999999997</v>
      </c>
      <c r="X442" s="191">
        <f t="shared" si="75"/>
        <v>33.799999999999997</v>
      </c>
      <c r="Y442" s="191">
        <v>2.08</v>
      </c>
      <c r="Z442" s="191">
        <f t="shared" si="76"/>
        <v>2.08</v>
      </c>
      <c r="AA442" s="16" t="s">
        <v>21</v>
      </c>
      <c r="AB442" s="81"/>
      <c r="AC442" s="81">
        <v>44081</v>
      </c>
      <c r="AD442" s="81">
        <v>44085</v>
      </c>
      <c r="AE442" s="81">
        <v>44082</v>
      </c>
      <c r="AF442" s="81">
        <v>44082</v>
      </c>
      <c r="AG442" s="81" t="s">
        <v>155</v>
      </c>
      <c r="AH442" s="82">
        <v>0.89500000000000002</v>
      </c>
      <c r="AI442" s="82">
        <v>0.89500000000000002</v>
      </c>
      <c r="AJ442" s="82" t="s">
        <v>213</v>
      </c>
      <c r="AK442" s="81" t="s">
        <v>140</v>
      </c>
      <c r="AL442" s="340" t="s">
        <v>1904</v>
      </c>
      <c r="AM442" s="17"/>
      <c r="AN442" s="17"/>
    </row>
    <row r="443" spans="2:40" hidden="1">
      <c r="B443" s="159">
        <f t="shared" si="74"/>
        <v>384</v>
      </c>
      <c r="C443" s="16">
        <v>20200904</v>
      </c>
      <c r="D443" s="16" t="s">
        <v>2</v>
      </c>
      <c r="E443" s="85" t="s">
        <v>1811</v>
      </c>
      <c r="F443" s="80"/>
      <c r="G443" s="47"/>
      <c r="H443" s="16" t="s">
        <v>1805</v>
      </c>
      <c r="I443" s="330" t="s">
        <v>1672</v>
      </c>
      <c r="J443" s="16" t="s">
        <v>208</v>
      </c>
      <c r="K443" s="47"/>
      <c r="L443" s="80" t="s">
        <v>1810</v>
      </c>
      <c r="M443" s="47"/>
      <c r="N443" s="16"/>
      <c r="O443" s="80" t="s">
        <v>840</v>
      </c>
      <c r="P443" s="80" t="s">
        <v>1755</v>
      </c>
      <c r="Q443" s="18"/>
      <c r="R443" s="16" t="s">
        <v>201</v>
      </c>
      <c r="S443" s="16" t="s">
        <v>63</v>
      </c>
      <c r="T443" s="16"/>
      <c r="U443" s="16"/>
      <c r="V443" s="16"/>
      <c r="W443" s="191">
        <f>ROUND(IF(D443=Table!$C$3,Y443*Table!$C$4/8,Y443*Table!$D$4/8),3)</f>
        <v>33.799999999999997</v>
      </c>
      <c r="X443" s="191">
        <f t="shared" si="75"/>
        <v>33.799999999999997</v>
      </c>
      <c r="Y443" s="191">
        <v>2.08</v>
      </c>
      <c r="Z443" s="191">
        <f t="shared" si="76"/>
        <v>2.08</v>
      </c>
      <c r="AA443" s="16" t="s">
        <v>21</v>
      </c>
      <c r="AB443" s="81"/>
      <c r="AC443" s="81">
        <v>44081</v>
      </c>
      <c r="AD443" s="81">
        <v>44085</v>
      </c>
      <c r="AE443" s="81">
        <v>44082</v>
      </c>
      <c r="AF443" s="81">
        <v>44082</v>
      </c>
      <c r="AG443" s="81" t="s">
        <v>155</v>
      </c>
      <c r="AH443" s="82">
        <v>0.89500000000000002</v>
      </c>
      <c r="AI443" s="82">
        <v>0.89500000000000002</v>
      </c>
      <c r="AJ443" s="82" t="s">
        <v>213</v>
      </c>
      <c r="AK443" s="81" t="s">
        <v>140</v>
      </c>
      <c r="AL443" s="340" t="s">
        <v>1904</v>
      </c>
      <c r="AM443" s="17"/>
      <c r="AN443" s="17"/>
    </row>
    <row r="444" spans="2:40" hidden="1">
      <c r="B444" s="159">
        <f t="shared" si="74"/>
        <v>385</v>
      </c>
      <c r="C444" s="16">
        <v>20200904</v>
      </c>
      <c r="D444" s="16" t="s">
        <v>2</v>
      </c>
      <c r="E444" s="85" t="s">
        <v>1811</v>
      </c>
      <c r="F444" s="80"/>
      <c r="G444" s="47"/>
      <c r="H444" s="16" t="s">
        <v>1806</v>
      </c>
      <c r="I444" s="330" t="s">
        <v>1673</v>
      </c>
      <c r="J444" s="16" t="s">
        <v>208</v>
      </c>
      <c r="K444" s="47"/>
      <c r="L444" s="80" t="s">
        <v>1810</v>
      </c>
      <c r="M444" s="47"/>
      <c r="N444" s="16"/>
      <c r="O444" s="80" t="s">
        <v>840</v>
      </c>
      <c r="P444" s="80" t="s">
        <v>1755</v>
      </c>
      <c r="Q444" s="18"/>
      <c r="R444" s="16" t="s">
        <v>201</v>
      </c>
      <c r="S444" s="16" t="s">
        <v>63</v>
      </c>
      <c r="T444" s="16"/>
      <c r="U444" s="16"/>
      <c r="V444" s="16"/>
      <c r="W444" s="191">
        <f>ROUND(IF(D444=Table!$C$3,Y444*Table!$C$4/8,Y444*Table!$D$4/8),3)</f>
        <v>33.799999999999997</v>
      </c>
      <c r="X444" s="191">
        <f t="shared" si="75"/>
        <v>33.799999999999997</v>
      </c>
      <c r="Y444" s="191">
        <v>2.08</v>
      </c>
      <c r="Z444" s="191">
        <f t="shared" si="76"/>
        <v>2.08</v>
      </c>
      <c r="AA444" s="16" t="s">
        <v>21</v>
      </c>
      <c r="AB444" s="81"/>
      <c r="AC444" s="81">
        <v>44081</v>
      </c>
      <c r="AD444" s="81">
        <v>44085</v>
      </c>
      <c r="AE444" s="81">
        <v>44082</v>
      </c>
      <c r="AF444" s="81">
        <v>44082</v>
      </c>
      <c r="AG444" s="81" t="s">
        <v>155</v>
      </c>
      <c r="AH444" s="82">
        <v>0.89500000000000002</v>
      </c>
      <c r="AI444" s="82">
        <v>0.89500000000000002</v>
      </c>
      <c r="AJ444" s="82" t="s">
        <v>213</v>
      </c>
      <c r="AK444" s="81" t="s">
        <v>140</v>
      </c>
      <c r="AL444" s="340" t="s">
        <v>1904</v>
      </c>
      <c r="AM444" s="17"/>
      <c r="AN444" s="17"/>
    </row>
    <row r="445" spans="2:40" hidden="1">
      <c r="B445" s="159">
        <f t="shared" si="74"/>
        <v>386</v>
      </c>
      <c r="C445" s="16">
        <v>20200904</v>
      </c>
      <c r="D445" s="16" t="s">
        <v>2</v>
      </c>
      <c r="E445" s="85" t="s">
        <v>1811</v>
      </c>
      <c r="F445" s="80"/>
      <c r="G445" s="47"/>
      <c r="H445" s="16" t="s">
        <v>1807</v>
      </c>
      <c r="I445" s="16" t="s">
        <v>1674</v>
      </c>
      <c r="J445" s="16" t="s">
        <v>208</v>
      </c>
      <c r="K445" s="47"/>
      <c r="L445" s="80" t="s">
        <v>1810</v>
      </c>
      <c r="M445" s="47"/>
      <c r="N445" s="16"/>
      <c r="O445" s="80" t="s">
        <v>170</v>
      </c>
      <c r="P445" s="80" t="s">
        <v>1755</v>
      </c>
      <c r="Q445" s="18"/>
      <c r="R445" s="16" t="s">
        <v>200</v>
      </c>
      <c r="S445" s="16" t="s">
        <v>133</v>
      </c>
      <c r="T445" s="16"/>
      <c r="U445" s="16"/>
      <c r="V445" s="16"/>
      <c r="W445" s="191">
        <f>ROUND(IF(D445=Table!$C$3,Y445*Table!$C$4/8,Y445*Table!$D$4/8),3)</f>
        <v>33.799999999999997</v>
      </c>
      <c r="X445" s="191">
        <v>33.799999999999997</v>
      </c>
      <c r="Y445" s="191">
        <v>2.08</v>
      </c>
      <c r="Z445" s="191">
        <v>1</v>
      </c>
      <c r="AA445" s="16" t="s">
        <v>21</v>
      </c>
      <c r="AB445" s="81"/>
      <c r="AC445" s="81">
        <v>44081</v>
      </c>
      <c r="AD445" s="81">
        <v>44085</v>
      </c>
      <c r="AE445" s="81">
        <v>44082</v>
      </c>
      <c r="AF445" s="81">
        <v>44082</v>
      </c>
      <c r="AG445" s="81" t="s">
        <v>155</v>
      </c>
      <c r="AH445" s="82">
        <v>0.89500000000000002</v>
      </c>
      <c r="AI445" s="82">
        <v>0.89500000000000002</v>
      </c>
      <c r="AJ445" s="117" t="s">
        <v>213</v>
      </c>
      <c r="AK445" s="87" t="s">
        <v>140</v>
      </c>
      <c r="AL445" s="109" t="s">
        <v>472</v>
      </c>
      <c r="AM445" s="17" t="s">
        <v>58</v>
      </c>
      <c r="AN445" s="17" t="s">
        <v>58</v>
      </c>
    </row>
    <row r="446" spans="2:40">
      <c r="B446" s="159">
        <f t="shared" si="74"/>
        <v>387</v>
      </c>
      <c r="C446" s="16">
        <v>20200904</v>
      </c>
      <c r="D446" s="16" t="s">
        <v>2</v>
      </c>
      <c r="E446" s="85" t="s">
        <v>1811</v>
      </c>
      <c r="F446" s="80"/>
      <c r="G446" s="47"/>
      <c r="H446" s="16" t="s">
        <v>1808</v>
      </c>
      <c r="I446" s="16" t="s">
        <v>1675</v>
      </c>
      <c r="J446" s="16" t="s">
        <v>208</v>
      </c>
      <c r="K446" s="47"/>
      <c r="L446" s="80" t="s">
        <v>1810</v>
      </c>
      <c r="M446" s="47"/>
      <c r="N446" s="16"/>
      <c r="O446" s="80" t="s">
        <v>840</v>
      </c>
      <c r="P446" s="80" t="s">
        <v>1755</v>
      </c>
      <c r="Q446" s="18"/>
      <c r="R446" s="16" t="s">
        <v>199</v>
      </c>
      <c r="S446" s="16" t="s">
        <v>66</v>
      </c>
      <c r="T446" s="16"/>
      <c r="U446" s="16"/>
      <c r="V446" s="16"/>
      <c r="W446" s="191">
        <f>ROUND(IF(D446=Table!$C$3,Y446*Table!$C$4/8,Y446*Table!$D$4/8),3)</f>
        <v>33.799999999999997</v>
      </c>
      <c r="X446" s="191">
        <f>W446</f>
        <v>33.799999999999997</v>
      </c>
      <c r="Y446" s="191">
        <v>2.08</v>
      </c>
      <c r="Z446" s="191">
        <f>Y446</f>
        <v>2.08</v>
      </c>
      <c r="AA446" s="16" t="s">
        <v>21</v>
      </c>
      <c r="AB446" s="81"/>
      <c r="AC446" s="81">
        <v>44081</v>
      </c>
      <c r="AD446" s="81">
        <v>44085</v>
      </c>
      <c r="AE446" s="81">
        <v>44083</v>
      </c>
      <c r="AF446" s="81">
        <v>44083</v>
      </c>
      <c r="AG446" s="81" t="s">
        <v>155</v>
      </c>
      <c r="AH446" s="82">
        <v>0.89500000000000002</v>
      </c>
      <c r="AI446" s="82">
        <v>0.89500000000000002</v>
      </c>
      <c r="AJ446" s="345" t="s">
        <v>213</v>
      </c>
      <c r="AK446" s="87" t="s">
        <v>140</v>
      </c>
      <c r="AL446" s="84" t="s">
        <v>1253</v>
      </c>
      <c r="AM446" s="17"/>
      <c r="AN446" s="17"/>
    </row>
    <row r="447" spans="2:40">
      <c r="B447" s="159">
        <f t="shared" si="74"/>
        <v>388</v>
      </c>
      <c r="C447" s="16">
        <v>20200904</v>
      </c>
      <c r="D447" s="16" t="s">
        <v>2</v>
      </c>
      <c r="E447" s="85" t="s">
        <v>1811</v>
      </c>
      <c r="F447" s="80" t="s">
        <v>2038</v>
      </c>
      <c r="G447" s="47"/>
      <c r="H447" s="16" t="s">
        <v>1809</v>
      </c>
      <c r="I447" s="16" t="s">
        <v>1676</v>
      </c>
      <c r="J447" s="16" t="s">
        <v>208</v>
      </c>
      <c r="K447" s="47"/>
      <c r="L447" s="80" t="s">
        <v>1810</v>
      </c>
      <c r="M447" s="47"/>
      <c r="N447" s="16"/>
      <c r="O447" s="80" t="s">
        <v>819</v>
      </c>
      <c r="P447" s="80" t="s">
        <v>1755</v>
      </c>
      <c r="Q447" s="18"/>
      <c r="R447" s="16" t="s">
        <v>199</v>
      </c>
      <c r="S447" s="16" t="s">
        <v>66</v>
      </c>
      <c r="T447" s="16"/>
      <c r="U447" s="16"/>
      <c r="V447" s="16"/>
      <c r="W447" s="191">
        <f>ROUND(IF(D447=Table!$C$3,Y447*Table!$C$4/8,Y447*Table!$D$4/8),3)</f>
        <v>33.799999999999997</v>
      </c>
      <c r="X447" s="191">
        <f>W447</f>
        <v>33.799999999999997</v>
      </c>
      <c r="Y447" s="191">
        <v>2.08</v>
      </c>
      <c r="Z447" s="191">
        <f>Y447</f>
        <v>2.08</v>
      </c>
      <c r="AA447" s="16" t="s">
        <v>21</v>
      </c>
      <c r="AB447" s="81"/>
      <c r="AC447" s="81">
        <v>44081</v>
      </c>
      <c r="AD447" s="81">
        <v>44085</v>
      </c>
      <c r="AE447" s="81">
        <v>44083</v>
      </c>
      <c r="AF447" s="81">
        <v>44083</v>
      </c>
      <c r="AG447" s="81" t="s">
        <v>155</v>
      </c>
      <c r="AH447" s="82">
        <v>1</v>
      </c>
      <c r="AI447" s="82">
        <v>1</v>
      </c>
      <c r="AJ447" s="345">
        <v>0.5</v>
      </c>
      <c r="AK447" s="87" t="s">
        <v>140</v>
      </c>
      <c r="AL447" s="84"/>
      <c r="AM447" s="17"/>
      <c r="AN447" s="17"/>
    </row>
    <row r="448" spans="2:40" hidden="1">
      <c r="B448" s="159">
        <f t="shared" si="74"/>
        <v>389</v>
      </c>
      <c r="C448" s="16">
        <v>20200907</v>
      </c>
      <c r="D448" s="16" t="s">
        <v>2</v>
      </c>
      <c r="E448" s="85" t="s">
        <v>1905</v>
      </c>
      <c r="F448" s="80"/>
      <c r="G448" s="47"/>
      <c r="H448" s="16"/>
      <c r="I448" s="181" t="s">
        <v>1906</v>
      </c>
      <c r="J448" s="16" t="s">
        <v>208</v>
      </c>
      <c r="K448" s="47"/>
      <c r="L448" s="80"/>
      <c r="M448" s="47"/>
      <c r="N448" s="16"/>
      <c r="O448" s="80">
        <v>1.1000000000000001</v>
      </c>
      <c r="P448" s="80" t="s">
        <v>2015</v>
      </c>
      <c r="Q448" s="18"/>
      <c r="R448" s="16"/>
      <c r="S448" s="16" t="s">
        <v>61</v>
      </c>
      <c r="T448" s="16"/>
      <c r="U448" s="16"/>
      <c r="V448" s="16"/>
      <c r="W448" s="191">
        <f>ROUND(IF(D448=Table!$C$3,Y448*Table!$C$4/8,Y448*Table!$D$4/8),3)</f>
        <v>219.375</v>
      </c>
      <c r="X448" s="191">
        <f>W448</f>
        <v>219.375</v>
      </c>
      <c r="Y448" s="191">
        <v>13.5</v>
      </c>
      <c r="Z448" s="191"/>
      <c r="AA448" s="16" t="s">
        <v>70</v>
      </c>
      <c r="AB448" s="81">
        <v>44082</v>
      </c>
      <c r="AC448" s="81">
        <v>44081</v>
      </c>
      <c r="AD448" s="81">
        <v>44082</v>
      </c>
      <c r="AE448" s="81">
        <v>44082</v>
      </c>
      <c r="AF448" s="81">
        <v>44082</v>
      </c>
      <c r="AG448" s="81" t="s">
        <v>155</v>
      </c>
      <c r="AH448" s="82">
        <v>0.98399999999999999</v>
      </c>
      <c r="AI448" s="82">
        <v>0.98499999999999999</v>
      </c>
      <c r="AJ448" s="209">
        <v>0.78</v>
      </c>
      <c r="AK448" s="87"/>
      <c r="AL448" s="84" t="s">
        <v>1907</v>
      </c>
      <c r="AM448" s="17"/>
      <c r="AN448" s="17"/>
    </row>
    <row r="449" spans="1:40" hidden="1">
      <c r="B449" s="246">
        <f t="shared" si="74"/>
        <v>390</v>
      </c>
      <c r="C449" s="16">
        <v>20200908</v>
      </c>
      <c r="D449" s="16" t="s">
        <v>2</v>
      </c>
      <c r="E449" s="85" t="s">
        <v>2022</v>
      </c>
      <c r="F449" s="80" t="s">
        <v>878</v>
      </c>
      <c r="G449" s="47"/>
      <c r="H449" s="16" t="s">
        <v>279</v>
      </c>
      <c r="I449" s="181" t="s">
        <v>667</v>
      </c>
      <c r="J449" s="16" t="s">
        <v>246</v>
      </c>
      <c r="K449" s="47"/>
      <c r="L449" s="80" t="s">
        <v>2021</v>
      </c>
      <c r="M449" s="47"/>
      <c r="N449" s="16"/>
      <c r="O449" s="80" t="s">
        <v>1989</v>
      </c>
      <c r="P449" s="80" t="s">
        <v>449</v>
      </c>
      <c r="Q449" s="18"/>
      <c r="R449" s="16" t="s">
        <v>197</v>
      </c>
      <c r="S449" s="16" t="s">
        <v>174</v>
      </c>
      <c r="T449" s="16"/>
      <c r="U449" s="16"/>
      <c r="V449" s="16"/>
      <c r="W449" s="191">
        <f>ROUND(IF(D449=Table!$C$3,Y449*Table!$C$4/8,Y449*Table!$D$4/8),3)</f>
        <v>39</v>
      </c>
      <c r="X449" s="191">
        <f>W449</f>
        <v>39</v>
      </c>
      <c r="Y449" s="191">
        <v>2.4</v>
      </c>
      <c r="Z449" s="191">
        <f>Y449</f>
        <v>2.4</v>
      </c>
      <c r="AA449" s="16" t="s">
        <v>18</v>
      </c>
      <c r="AB449" s="81"/>
      <c r="AC449" s="81">
        <v>44084</v>
      </c>
      <c r="AD449" s="81">
        <v>44090</v>
      </c>
      <c r="AE449" s="81">
        <v>44084</v>
      </c>
      <c r="AF449" s="81">
        <v>44084</v>
      </c>
      <c r="AG449" s="81" t="s">
        <v>155</v>
      </c>
      <c r="AH449" s="82">
        <v>1</v>
      </c>
      <c r="AI449" s="82">
        <v>1</v>
      </c>
      <c r="AJ449" s="209">
        <v>0.23300000000000001</v>
      </c>
      <c r="AK449" s="87" t="s">
        <v>140</v>
      </c>
      <c r="AL449" s="84"/>
      <c r="AM449" s="17"/>
      <c r="AN449" s="17"/>
    </row>
    <row r="450" spans="1:40" hidden="1">
      <c r="B450" s="246">
        <f t="shared" si="74"/>
        <v>391</v>
      </c>
      <c r="C450" s="16">
        <v>20200908</v>
      </c>
      <c r="D450" s="16" t="s">
        <v>2</v>
      </c>
      <c r="E450" s="85" t="s">
        <v>2022</v>
      </c>
      <c r="F450" s="80" t="s">
        <v>879</v>
      </c>
      <c r="G450" s="47"/>
      <c r="H450" s="16" t="s">
        <v>250</v>
      </c>
      <c r="I450" s="18" t="s">
        <v>372</v>
      </c>
      <c r="J450" s="16" t="s">
        <v>246</v>
      </c>
      <c r="K450" s="47"/>
      <c r="L450" s="80" t="s">
        <v>2021</v>
      </c>
      <c r="M450" s="47"/>
      <c r="N450" s="16"/>
      <c r="O450" s="80" t="s">
        <v>1990</v>
      </c>
      <c r="P450" s="80" t="s">
        <v>449</v>
      </c>
      <c r="Q450" s="18"/>
      <c r="R450" s="16" t="s">
        <v>197</v>
      </c>
      <c r="S450" s="16" t="s">
        <v>174</v>
      </c>
      <c r="T450" s="16"/>
      <c r="U450" s="16"/>
      <c r="V450" s="16"/>
      <c r="W450" s="191">
        <f>ROUND(IF(D450=Table!$C$3,Y450*Table!$C$4/8,Y450*Table!$D$4/8),3)</f>
        <v>78</v>
      </c>
      <c r="X450" s="191">
        <f>W450</f>
        <v>78</v>
      </c>
      <c r="Y450" s="191">
        <v>4.8</v>
      </c>
      <c r="Z450" s="191">
        <f>Y450</f>
        <v>4.8</v>
      </c>
      <c r="AA450" s="16" t="s">
        <v>18</v>
      </c>
      <c r="AB450" s="81"/>
      <c r="AC450" s="81">
        <v>44084</v>
      </c>
      <c r="AD450" s="81">
        <v>44090</v>
      </c>
      <c r="AE450" s="81">
        <v>44085</v>
      </c>
      <c r="AF450" s="81">
        <v>44085</v>
      </c>
      <c r="AG450" s="81" t="s">
        <v>155</v>
      </c>
      <c r="AH450" s="82">
        <v>1</v>
      </c>
      <c r="AI450" s="82">
        <v>1</v>
      </c>
      <c r="AJ450" s="117">
        <v>0.73699999999999999</v>
      </c>
      <c r="AK450" s="87" t="s">
        <v>140</v>
      </c>
      <c r="AL450" s="84"/>
      <c r="AM450" s="17"/>
      <c r="AN450" s="17"/>
    </row>
    <row r="451" spans="1:40" hidden="1">
      <c r="B451" s="246">
        <f t="shared" si="74"/>
        <v>392</v>
      </c>
      <c r="C451" s="16">
        <v>20200908</v>
      </c>
      <c r="D451" s="16" t="s">
        <v>2</v>
      </c>
      <c r="E451" s="85" t="s">
        <v>2022</v>
      </c>
      <c r="F451" s="80" t="s">
        <v>879</v>
      </c>
      <c r="G451" s="47"/>
      <c r="H451" s="16" t="s">
        <v>280</v>
      </c>
      <c r="I451" s="16" t="s">
        <v>669</v>
      </c>
      <c r="J451" s="16" t="s">
        <v>246</v>
      </c>
      <c r="K451" s="47"/>
      <c r="L451" s="80" t="s">
        <v>2021</v>
      </c>
      <c r="M451" s="47"/>
      <c r="N451" s="16"/>
      <c r="O451" s="80" t="s">
        <v>821</v>
      </c>
      <c r="P451" s="80" t="s">
        <v>449</v>
      </c>
      <c r="Q451" s="18"/>
      <c r="R451" s="16" t="s">
        <v>197</v>
      </c>
      <c r="S451" s="16" t="s">
        <v>174</v>
      </c>
      <c r="T451" s="16"/>
      <c r="U451" s="16"/>
      <c r="V451" s="16"/>
      <c r="W451" s="191">
        <f>ROUND(IF(D451=Table!$C$3,Y451*Table!$C$4/8,Y451*Table!$D$4/8),3)</f>
        <v>26</v>
      </c>
      <c r="X451" s="191">
        <f t="shared" ref="X451:X467" si="77">W451</f>
        <v>26</v>
      </c>
      <c r="Y451" s="191">
        <v>1.6</v>
      </c>
      <c r="Z451" s="191">
        <f t="shared" ref="Z451:Z456" si="78">Y451</f>
        <v>1.6</v>
      </c>
      <c r="AA451" s="16" t="s">
        <v>18</v>
      </c>
      <c r="AB451" s="81"/>
      <c r="AC451" s="81">
        <v>44084</v>
      </c>
      <c r="AD451" s="81">
        <v>44090</v>
      </c>
      <c r="AE451" s="81">
        <v>44084</v>
      </c>
      <c r="AF451" s="81">
        <v>44084</v>
      </c>
      <c r="AG451" s="81" t="s">
        <v>155</v>
      </c>
      <c r="AH451" s="82">
        <v>1</v>
      </c>
      <c r="AI451" s="82">
        <v>1</v>
      </c>
      <c r="AJ451" s="117">
        <v>0</v>
      </c>
      <c r="AK451" s="87" t="s">
        <v>140</v>
      </c>
      <c r="AL451" s="14"/>
      <c r="AM451" s="17"/>
      <c r="AN451" s="17"/>
    </row>
    <row r="452" spans="1:40" hidden="1">
      <c r="B452" s="246">
        <f t="shared" si="74"/>
        <v>393</v>
      </c>
      <c r="C452" s="16">
        <v>20200908</v>
      </c>
      <c r="D452" s="16" t="s">
        <v>2</v>
      </c>
      <c r="E452" s="85" t="s">
        <v>2022</v>
      </c>
      <c r="F452" s="80" t="s">
        <v>879</v>
      </c>
      <c r="G452" s="47"/>
      <c r="H452" s="16" t="s">
        <v>252</v>
      </c>
      <c r="I452" s="16" t="s">
        <v>670</v>
      </c>
      <c r="J452" s="16" t="s">
        <v>246</v>
      </c>
      <c r="K452" s="47"/>
      <c r="L452" s="80" t="s">
        <v>2021</v>
      </c>
      <c r="M452" s="47"/>
      <c r="N452" s="16"/>
      <c r="O452" s="80" t="s">
        <v>821</v>
      </c>
      <c r="P452" s="80" t="s">
        <v>449</v>
      </c>
      <c r="Q452" s="18"/>
      <c r="R452" s="16" t="s">
        <v>197</v>
      </c>
      <c r="S452" s="16" t="s">
        <v>174</v>
      </c>
      <c r="T452" s="16"/>
      <c r="U452" s="16"/>
      <c r="V452" s="16"/>
      <c r="W452" s="191">
        <f>ROUND(IF(D452=Table!$C$3,Y452*Table!$C$4/8,Y452*Table!$D$4/8),3)</f>
        <v>36.4</v>
      </c>
      <c r="X452" s="191">
        <f t="shared" si="77"/>
        <v>36.4</v>
      </c>
      <c r="Y452" s="191">
        <v>2.2400000000000002</v>
      </c>
      <c r="Z452" s="191">
        <f t="shared" si="78"/>
        <v>2.2400000000000002</v>
      </c>
      <c r="AA452" s="16" t="s">
        <v>18</v>
      </c>
      <c r="AB452" s="81"/>
      <c r="AC452" s="81">
        <v>44084</v>
      </c>
      <c r="AD452" s="81">
        <v>44090</v>
      </c>
      <c r="AE452" s="81">
        <v>44084</v>
      </c>
      <c r="AF452" s="81">
        <v>44084</v>
      </c>
      <c r="AG452" s="81" t="s">
        <v>155</v>
      </c>
      <c r="AH452" s="82">
        <v>0.88900000000000001</v>
      </c>
      <c r="AI452" s="82">
        <v>0.88900000000000001</v>
      </c>
      <c r="AJ452" s="117">
        <v>0.4</v>
      </c>
      <c r="AK452" s="87" t="s">
        <v>140</v>
      </c>
      <c r="AL452" s="14" t="s">
        <v>2150</v>
      </c>
      <c r="AM452" s="17"/>
      <c r="AN452" s="17"/>
    </row>
    <row r="453" spans="1:40" hidden="1">
      <c r="B453" s="246">
        <f t="shared" si="74"/>
        <v>394</v>
      </c>
      <c r="C453" s="16">
        <v>20200908</v>
      </c>
      <c r="D453" s="16" t="s">
        <v>2</v>
      </c>
      <c r="E453" s="85" t="s">
        <v>2022</v>
      </c>
      <c r="F453" s="80" t="s">
        <v>879</v>
      </c>
      <c r="G453" s="47"/>
      <c r="H453" s="16" t="s">
        <v>224</v>
      </c>
      <c r="I453" s="16" t="s">
        <v>1972</v>
      </c>
      <c r="J453" s="16" t="s">
        <v>246</v>
      </c>
      <c r="K453" s="47"/>
      <c r="L453" s="80" t="s">
        <v>2021</v>
      </c>
      <c r="M453" s="47"/>
      <c r="N453" s="16"/>
      <c r="O453" s="80" t="s">
        <v>1991</v>
      </c>
      <c r="P453" s="80" t="s">
        <v>864</v>
      </c>
      <c r="Q453" s="18"/>
      <c r="R453" s="16" t="s">
        <v>197</v>
      </c>
      <c r="S453" s="16" t="s">
        <v>174</v>
      </c>
      <c r="T453" s="16"/>
      <c r="U453" s="16"/>
      <c r="V453" s="16"/>
      <c r="W453" s="191">
        <f>ROUND(IF(D453=Table!$C$3,Y453*Table!$C$4/8,Y453*Table!$D$4/8),3)</f>
        <v>42.9</v>
      </c>
      <c r="X453" s="191">
        <f t="shared" si="77"/>
        <v>42.9</v>
      </c>
      <c r="Y453" s="191">
        <v>2.64</v>
      </c>
      <c r="Z453" s="191">
        <f t="shared" si="78"/>
        <v>2.64</v>
      </c>
      <c r="AA453" s="16" t="s">
        <v>18</v>
      </c>
      <c r="AB453" s="81"/>
      <c r="AC453" s="81">
        <v>44084</v>
      </c>
      <c r="AD453" s="81">
        <v>44090</v>
      </c>
      <c r="AE453" s="81">
        <v>44084</v>
      </c>
      <c r="AF453" s="81">
        <v>44084</v>
      </c>
      <c r="AG453" s="81" t="s">
        <v>155</v>
      </c>
      <c r="AH453" s="82">
        <v>1</v>
      </c>
      <c r="AI453" s="82">
        <v>1</v>
      </c>
      <c r="AJ453" s="117">
        <v>1</v>
      </c>
      <c r="AK453" s="87" t="s">
        <v>140</v>
      </c>
      <c r="AL453" s="84"/>
      <c r="AM453" s="17"/>
      <c r="AN453" s="17"/>
    </row>
    <row r="454" spans="1:40" hidden="1">
      <c r="B454" s="246">
        <f t="shared" si="74"/>
        <v>395</v>
      </c>
      <c r="C454" s="16">
        <v>20200908</v>
      </c>
      <c r="D454" s="16" t="s">
        <v>2</v>
      </c>
      <c r="E454" s="85" t="s">
        <v>2022</v>
      </c>
      <c r="F454" s="80" t="s">
        <v>880</v>
      </c>
      <c r="G454" s="47"/>
      <c r="H454" s="16" t="s">
        <v>281</v>
      </c>
      <c r="I454" s="16" t="s">
        <v>671</v>
      </c>
      <c r="J454" s="16" t="s">
        <v>246</v>
      </c>
      <c r="K454" s="47"/>
      <c r="L454" s="80" t="s">
        <v>2021</v>
      </c>
      <c r="M454" s="47"/>
      <c r="N454" s="16"/>
      <c r="O454" s="80" t="s">
        <v>1992</v>
      </c>
      <c r="P454" s="80" t="s">
        <v>864</v>
      </c>
      <c r="Q454" s="18"/>
      <c r="R454" s="16" t="s">
        <v>197</v>
      </c>
      <c r="S454" s="16" t="s">
        <v>174</v>
      </c>
      <c r="T454" s="16"/>
      <c r="U454" s="16"/>
      <c r="V454" s="16"/>
      <c r="W454" s="191">
        <f>ROUND(IF(D454=Table!$C$3,Y454*Table!$C$4/8,Y454*Table!$D$4/8),3)</f>
        <v>52</v>
      </c>
      <c r="X454" s="191">
        <f t="shared" si="77"/>
        <v>52</v>
      </c>
      <c r="Y454" s="191">
        <v>3.2</v>
      </c>
      <c r="Z454" s="191">
        <f t="shared" si="78"/>
        <v>3.2</v>
      </c>
      <c r="AA454" s="16" t="s">
        <v>18</v>
      </c>
      <c r="AB454" s="81"/>
      <c r="AC454" s="81">
        <v>44084</v>
      </c>
      <c r="AD454" s="81">
        <v>44090</v>
      </c>
      <c r="AE454" s="81">
        <v>44084</v>
      </c>
      <c r="AF454" s="81">
        <v>44084</v>
      </c>
      <c r="AG454" s="81" t="s">
        <v>155</v>
      </c>
      <c r="AH454" s="82">
        <v>1</v>
      </c>
      <c r="AI454" s="82">
        <v>1</v>
      </c>
      <c r="AJ454" s="117">
        <v>0.25900000000000001</v>
      </c>
      <c r="AK454" s="87" t="s">
        <v>140</v>
      </c>
      <c r="AL454" s="84"/>
      <c r="AM454" s="17"/>
      <c r="AN454" s="17"/>
    </row>
    <row r="455" spans="1:40" hidden="1">
      <c r="B455" s="246">
        <f t="shared" si="74"/>
        <v>396</v>
      </c>
      <c r="C455" s="16">
        <v>20200908</v>
      </c>
      <c r="D455" s="16" t="s">
        <v>2</v>
      </c>
      <c r="E455" s="85" t="s">
        <v>2022</v>
      </c>
      <c r="F455" s="80" t="s">
        <v>880</v>
      </c>
      <c r="G455" s="47"/>
      <c r="H455" s="16" t="s">
        <v>613</v>
      </c>
      <c r="I455" s="16" t="s">
        <v>674</v>
      </c>
      <c r="J455" s="16" t="s">
        <v>246</v>
      </c>
      <c r="K455" s="47"/>
      <c r="L455" s="80" t="s">
        <v>2021</v>
      </c>
      <c r="M455" s="47"/>
      <c r="N455" s="16"/>
      <c r="O455" s="80" t="s">
        <v>831</v>
      </c>
      <c r="P455" s="80" t="s">
        <v>865</v>
      </c>
      <c r="Q455" s="18"/>
      <c r="R455" s="16" t="s">
        <v>197</v>
      </c>
      <c r="S455" s="16" t="s">
        <v>174</v>
      </c>
      <c r="T455" s="16"/>
      <c r="U455" s="16"/>
      <c r="V455" s="16"/>
      <c r="W455" s="191">
        <f>ROUND(IF(D455=Table!$C$3,Y455*Table!$C$4/8,Y455*Table!$D$4/8),3)</f>
        <v>26</v>
      </c>
      <c r="X455" s="191">
        <f t="shared" si="77"/>
        <v>26</v>
      </c>
      <c r="Y455" s="191">
        <v>1.6</v>
      </c>
      <c r="Z455" s="191">
        <f t="shared" si="78"/>
        <v>1.6</v>
      </c>
      <c r="AA455" s="16" t="s">
        <v>18</v>
      </c>
      <c r="AB455" s="81"/>
      <c r="AC455" s="81">
        <v>44084</v>
      </c>
      <c r="AD455" s="81">
        <v>44090</v>
      </c>
      <c r="AE455" s="81">
        <v>44084</v>
      </c>
      <c r="AF455" s="81">
        <v>44084</v>
      </c>
      <c r="AG455" s="81" t="s">
        <v>155</v>
      </c>
      <c r="AH455" s="82">
        <v>1</v>
      </c>
      <c r="AI455" s="82">
        <v>1</v>
      </c>
      <c r="AJ455" s="117">
        <v>0.5</v>
      </c>
      <c r="AK455" s="87" t="s">
        <v>140</v>
      </c>
      <c r="AL455" s="84"/>
      <c r="AM455" s="17"/>
      <c r="AN455" s="17"/>
    </row>
    <row r="456" spans="1:40">
      <c r="B456" s="246">
        <f t="shared" si="74"/>
        <v>397</v>
      </c>
      <c r="C456" s="16">
        <v>20200908</v>
      </c>
      <c r="D456" s="16" t="s">
        <v>2</v>
      </c>
      <c r="E456" s="85" t="s">
        <v>2022</v>
      </c>
      <c r="F456" s="80" t="s">
        <v>882</v>
      </c>
      <c r="G456" s="47"/>
      <c r="H456" s="16" t="s">
        <v>1756</v>
      </c>
      <c r="I456" s="16" t="s">
        <v>680</v>
      </c>
      <c r="J456" s="16" t="s">
        <v>246</v>
      </c>
      <c r="K456" s="47"/>
      <c r="L456" s="80" t="s">
        <v>2021</v>
      </c>
      <c r="M456" s="47"/>
      <c r="N456" s="16"/>
      <c r="O456" s="80" t="s">
        <v>829</v>
      </c>
      <c r="P456" s="80" t="s">
        <v>865</v>
      </c>
      <c r="Q456" s="18"/>
      <c r="R456" s="16" t="s">
        <v>198</v>
      </c>
      <c r="S456" s="16" t="s">
        <v>66</v>
      </c>
      <c r="T456" s="16"/>
      <c r="U456" s="16"/>
      <c r="V456" s="16"/>
      <c r="W456" s="191">
        <f>ROUND(IF(D456=Table!$C$3,Y456*Table!$C$4/8,Y456*Table!$D$4/8),3)</f>
        <v>52</v>
      </c>
      <c r="X456" s="191">
        <f t="shared" si="77"/>
        <v>52</v>
      </c>
      <c r="Y456" s="191">
        <v>3.2</v>
      </c>
      <c r="Z456" s="191">
        <f t="shared" si="78"/>
        <v>3.2</v>
      </c>
      <c r="AA456" s="16" t="s">
        <v>18</v>
      </c>
      <c r="AB456" s="81"/>
      <c r="AC456" s="81">
        <v>44084</v>
      </c>
      <c r="AD456" s="81">
        <v>44090</v>
      </c>
      <c r="AE456" s="81">
        <v>44083</v>
      </c>
      <c r="AF456" s="81">
        <v>44083</v>
      </c>
      <c r="AG456" s="81" t="s">
        <v>155</v>
      </c>
      <c r="AH456" s="82">
        <v>0.88900000000000001</v>
      </c>
      <c r="AI456" s="82">
        <v>0.89200000000000002</v>
      </c>
      <c r="AJ456" s="117">
        <v>1</v>
      </c>
      <c r="AK456" s="87" t="s">
        <v>140</v>
      </c>
      <c r="AL456" s="84" t="s">
        <v>1150</v>
      </c>
      <c r="AM456" s="17"/>
      <c r="AN456" s="17"/>
    </row>
    <row r="457" spans="1:40">
      <c r="B457" s="246">
        <f t="shared" si="74"/>
        <v>398</v>
      </c>
      <c r="C457" s="16">
        <v>20200908</v>
      </c>
      <c r="D457" s="16" t="s">
        <v>2</v>
      </c>
      <c r="E457" s="85" t="s">
        <v>2022</v>
      </c>
      <c r="F457" s="80" t="s">
        <v>882</v>
      </c>
      <c r="G457" s="47"/>
      <c r="H457" s="16" t="s">
        <v>1583</v>
      </c>
      <c r="I457" s="16" t="s">
        <v>683</v>
      </c>
      <c r="J457" s="16" t="s">
        <v>246</v>
      </c>
      <c r="K457" s="47"/>
      <c r="L457" s="80" t="s">
        <v>2021</v>
      </c>
      <c r="M457" s="47"/>
      <c r="N457" s="16"/>
      <c r="O457" s="80" t="s">
        <v>823</v>
      </c>
      <c r="P457" s="80" t="s">
        <v>865</v>
      </c>
      <c r="Q457" s="18"/>
      <c r="R457" s="16" t="s">
        <v>198</v>
      </c>
      <c r="S457" s="16" t="s">
        <v>66</v>
      </c>
      <c r="T457" s="16"/>
      <c r="U457" s="16"/>
      <c r="V457" s="16"/>
      <c r="W457" s="191">
        <f>ROUND(IF(D457=Table!$C$3,Y457*Table!$C$4/8,Y457*Table!$D$4/8),3)</f>
        <v>58.5</v>
      </c>
      <c r="X457" s="191">
        <f t="shared" si="77"/>
        <v>58.5</v>
      </c>
      <c r="Y457" s="191">
        <v>3.6</v>
      </c>
      <c r="Z457" s="191"/>
      <c r="AA457" s="136"/>
      <c r="AB457" s="81"/>
      <c r="AC457" s="81">
        <v>44084</v>
      </c>
      <c r="AD457" s="81">
        <v>44090</v>
      </c>
      <c r="AE457" s="81"/>
      <c r="AF457" s="81"/>
      <c r="AG457" s="81"/>
      <c r="AH457" s="82"/>
      <c r="AI457" s="82"/>
      <c r="AJ457" s="117"/>
      <c r="AK457" s="87"/>
      <c r="AL457" s="208"/>
      <c r="AM457" s="17"/>
      <c r="AN457" s="17"/>
    </row>
    <row r="458" spans="1:40">
      <c r="B458" s="246">
        <f t="shared" si="74"/>
        <v>399</v>
      </c>
      <c r="C458" s="16">
        <v>20200908</v>
      </c>
      <c r="D458" s="16" t="s">
        <v>2</v>
      </c>
      <c r="E458" s="85" t="s">
        <v>2022</v>
      </c>
      <c r="F458" s="80" t="s">
        <v>882</v>
      </c>
      <c r="G458" s="47"/>
      <c r="H458" s="16" t="s">
        <v>1584</v>
      </c>
      <c r="I458" s="16" t="s">
        <v>1973</v>
      </c>
      <c r="J458" s="16" t="s">
        <v>208</v>
      </c>
      <c r="K458" s="47"/>
      <c r="L458" s="80" t="s">
        <v>2021</v>
      </c>
      <c r="M458" s="47"/>
      <c r="N458" s="16"/>
      <c r="O458" s="80" t="s">
        <v>827</v>
      </c>
      <c r="P458" s="80" t="s">
        <v>452</v>
      </c>
      <c r="Q458" s="18"/>
      <c r="R458" s="16" t="s">
        <v>198</v>
      </c>
      <c r="S458" s="16" t="s">
        <v>66</v>
      </c>
      <c r="T458" s="16"/>
      <c r="U458" s="16"/>
      <c r="V458" s="16"/>
      <c r="W458" s="191">
        <f>ROUND(IF(D458=Table!$C$3,Y458*Table!$C$4/8,Y458*Table!$D$4/8),3)</f>
        <v>36.4</v>
      </c>
      <c r="X458" s="191">
        <f t="shared" si="77"/>
        <v>36.4</v>
      </c>
      <c r="Y458" s="191">
        <v>2.2400000000000002</v>
      </c>
      <c r="Z458" s="191"/>
      <c r="AA458" s="16"/>
      <c r="AB458" s="81"/>
      <c r="AC458" s="81">
        <v>44084</v>
      </c>
      <c r="AD458" s="81">
        <v>44090</v>
      </c>
      <c r="AE458" s="81"/>
      <c r="AF458" s="81"/>
      <c r="AG458" s="81"/>
      <c r="AH458" s="82"/>
      <c r="AI458" s="82"/>
      <c r="AJ458" s="117"/>
      <c r="AK458" s="87"/>
      <c r="AL458" s="208"/>
      <c r="AM458" s="17"/>
      <c r="AN458" s="17"/>
    </row>
    <row r="459" spans="1:40">
      <c r="B459" s="246">
        <f t="shared" si="74"/>
        <v>400</v>
      </c>
      <c r="C459" s="16">
        <v>20200908</v>
      </c>
      <c r="D459" s="16" t="s">
        <v>2</v>
      </c>
      <c r="E459" s="85" t="s">
        <v>2022</v>
      </c>
      <c r="F459" s="80" t="s">
        <v>2012</v>
      </c>
      <c r="G459" s="47"/>
      <c r="H459" s="16" t="s">
        <v>253</v>
      </c>
      <c r="I459" s="16" t="s">
        <v>1974</v>
      </c>
      <c r="J459" s="16" t="s">
        <v>208</v>
      </c>
      <c r="K459" s="47"/>
      <c r="L459" s="80" t="s">
        <v>2021</v>
      </c>
      <c r="M459" s="47"/>
      <c r="N459" s="16"/>
      <c r="O459" s="80" t="s">
        <v>1993</v>
      </c>
      <c r="P459" s="80" t="s">
        <v>2016</v>
      </c>
      <c r="Q459" s="18"/>
      <c r="R459" s="16" t="s">
        <v>198</v>
      </c>
      <c r="S459" s="16" t="s">
        <v>66</v>
      </c>
      <c r="T459" s="16"/>
      <c r="U459" s="16"/>
      <c r="V459" s="16"/>
      <c r="W459" s="191">
        <f>ROUND(IF(D459=Table!$C$3,Y459*Table!$C$4/8,Y459*Table!$D$4/8),3)</f>
        <v>33.799999999999997</v>
      </c>
      <c r="X459" s="191">
        <f t="shared" si="77"/>
        <v>33.799999999999997</v>
      </c>
      <c r="Y459" s="191">
        <v>2.08</v>
      </c>
      <c r="Z459" s="191"/>
      <c r="AA459" s="16"/>
      <c r="AB459" s="81"/>
      <c r="AC459" s="81">
        <v>44084</v>
      </c>
      <c r="AD459" s="81">
        <v>44090</v>
      </c>
      <c r="AE459" s="81"/>
      <c r="AF459" s="81"/>
      <c r="AG459" s="81"/>
      <c r="AH459" s="82"/>
      <c r="AI459" s="82"/>
      <c r="AJ459" s="117"/>
      <c r="AK459" s="87"/>
      <c r="AL459" s="208"/>
      <c r="AM459" s="17"/>
      <c r="AN459" s="17"/>
    </row>
    <row r="460" spans="1:40" s="358" customFormat="1" hidden="1">
      <c r="A460"/>
      <c r="B460" s="246">
        <f t="shared" si="74"/>
        <v>401</v>
      </c>
      <c r="C460" s="16">
        <v>20200908</v>
      </c>
      <c r="D460" s="16" t="s">
        <v>3</v>
      </c>
      <c r="E460" s="85" t="s">
        <v>2022</v>
      </c>
      <c r="F460" s="80" t="s">
        <v>2013</v>
      </c>
      <c r="G460" s="47"/>
      <c r="H460" s="217" t="s">
        <v>1351</v>
      </c>
      <c r="I460" s="217" t="s">
        <v>1975</v>
      </c>
      <c r="J460" s="217" t="s">
        <v>246</v>
      </c>
      <c r="K460" s="47"/>
      <c r="L460" s="351" t="s">
        <v>2021</v>
      </c>
      <c r="M460" s="47"/>
      <c r="N460" s="16"/>
      <c r="O460" s="351" t="s">
        <v>1994</v>
      </c>
      <c r="P460" s="80" t="s">
        <v>453</v>
      </c>
      <c r="Q460" s="18"/>
      <c r="R460" s="217" t="s">
        <v>199</v>
      </c>
      <c r="S460" s="16" t="s">
        <v>63</v>
      </c>
      <c r="T460" s="16"/>
      <c r="U460" s="16"/>
      <c r="V460" s="16"/>
      <c r="W460" s="191">
        <f>ROUND(IF(D460=Table!$C$3,Y460*Table!$C$4/8,Y460*Table!$D$4/8),3)</f>
        <v>67.5</v>
      </c>
      <c r="X460" s="191">
        <f t="shared" si="77"/>
        <v>67.5</v>
      </c>
      <c r="Y460" s="352">
        <v>1.2</v>
      </c>
      <c r="Z460" s="352">
        <f>Y460</f>
        <v>1.2</v>
      </c>
      <c r="AA460" s="217" t="s">
        <v>18</v>
      </c>
      <c r="AB460" s="81"/>
      <c r="AC460" s="81">
        <v>44084</v>
      </c>
      <c r="AD460" s="81">
        <v>44090</v>
      </c>
      <c r="AE460" s="353">
        <v>44083</v>
      </c>
      <c r="AF460" s="353">
        <v>44083</v>
      </c>
      <c r="AG460" s="353" t="s">
        <v>155</v>
      </c>
      <c r="AH460" s="354">
        <v>1</v>
      </c>
      <c r="AI460" s="354">
        <v>1</v>
      </c>
      <c r="AJ460" s="355">
        <v>1</v>
      </c>
      <c r="AK460" s="356" t="s">
        <v>140</v>
      </c>
      <c r="AL460" s="357"/>
      <c r="AM460" s="357"/>
      <c r="AN460" s="357"/>
    </row>
    <row r="461" spans="1:40" hidden="1">
      <c r="B461" s="246">
        <f t="shared" si="74"/>
        <v>402</v>
      </c>
      <c r="C461" s="16">
        <v>20200908</v>
      </c>
      <c r="D461" s="16" t="s">
        <v>3</v>
      </c>
      <c r="E461" s="85" t="s">
        <v>2022</v>
      </c>
      <c r="F461" s="80" t="s">
        <v>2014</v>
      </c>
      <c r="G461" s="47"/>
      <c r="H461" s="16" t="s">
        <v>1357</v>
      </c>
      <c r="I461" s="217" t="s">
        <v>1976</v>
      </c>
      <c r="J461" s="16" t="s">
        <v>246</v>
      </c>
      <c r="K461" s="47"/>
      <c r="L461" s="80" t="s">
        <v>2021</v>
      </c>
      <c r="M461" s="47"/>
      <c r="N461" s="16"/>
      <c r="O461" s="80" t="s">
        <v>1995</v>
      </c>
      <c r="P461" s="80" t="s">
        <v>868</v>
      </c>
      <c r="Q461" s="18"/>
      <c r="R461" s="16" t="s">
        <v>199</v>
      </c>
      <c r="S461" s="16" t="s">
        <v>63</v>
      </c>
      <c r="T461" s="16"/>
      <c r="U461" s="16"/>
      <c r="V461" s="16"/>
      <c r="W461" s="191">
        <f>ROUND(IF(D461=Table!$C$3,Y461*Table!$C$4/8,Y461*Table!$D$4/8),3)</f>
        <v>225</v>
      </c>
      <c r="X461" s="191">
        <f t="shared" si="77"/>
        <v>225</v>
      </c>
      <c r="Y461" s="191">
        <v>4</v>
      </c>
      <c r="Z461" s="191">
        <f>Y461</f>
        <v>4</v>
      </c>
      <c r="AA461" s="16" t="s">
        <v>18</v>
      </c>
      <c r="AB461" s="81"/>
      <c r="AC461" s="81">
        <v>44084</v>
      </c>
      <c r="AD461" s="81">
        <v>44090</v>
      </c>
      <c r="AE461" s="81">
        <v>44083</v>
      </c>
      <c r="AF461" s="81">
        <v>44083</v>
      </c>
      <c r="AG461" s="81" t="s">
        <v>155</v>
      </c>
      <c r="AH461" s="82">
        <v>0.97</v>
      </c>
      <c r="AI461" s="82">
        <v>0.95</v>
      </c>
      <c r="AJ461" s="117">
        <v>0.9</v>
      </c>
      <c r="AK461" s="87" t="s">
        <v>140</v>
      </c>
      <c r="AL461" s="207" t="s">
        <v>2033</v>
      </c>
      <c r="AM461" s="17"/>
      <c r="AN461" s="17"/>
    </row>
    <row r="462" spans="1:40">
      <c r="B462" s="246">
        <f t="shared" si="74"/>
        <v>403</v>
      </c>
      <c r="C462" s="16">
        <v>20200908</v>
      </c>
      <c r="D462" s="16" t="s">
        <v>2</v>
      </c>
      <c r="E462" s="85" t="s">
        <v>2022</v>
      </c>
      <c r="F462" s="80" t="s">
        <v>885</v>
      </c>
      <c r="G462" s="47"/>
      <c r="H462" s="16" t="s">
        <v>254</v>
      </c>
      <c r="I462" s="16" t="s">
        <v>696</v>
      </c>
      <c r="J462" s="16" t="s">
        <v>246</v>
      </c>
      <c r="K462" s="47"/>
      <c r="L462" s="80" t="s">
        <v>2021</v>
      </c>
      <c r="M462" s="47"/>
      <c r="N462" s="16"/>
      <c r="O462" s="80" t="s">
        <v>209</v>
      </c>
      <c r="P462" s="80" t="s">
        <v>2015</v>
      </c>
      <c r="Q462" s="18"/>
      <c r="R462" s="16" t="s">
        <v>198</v>
      </c>
      <c r="S462" s="16" t="s">
        <v>66</v>
      </c>
      <c r="T462" s="16"/>
      <c r="U462" s="16"/>
      <c r="V462" s="16"/>
      <c r="W462" s="191">
        <f>ROUND(IF(D462=Table!$C$3,Y462*Table!$C$4/8,Y462*Table!$D$4/8),3)</f>
        <v>26</v>
      </c>
      <c r="X462" s="191">
        <f t="shared" si="77"/>
        <v>26</v>
      </c>
      <c r="Y462" s="191">
        <v>1.6</v>
      </c>
      <c r="Z462" s="191">
        <f>Y462</f>
        <v>1.6</v>
      </c>
      <c r="AA462" s="16" t="s">
        <v>18</v>
      </c>
      <c r="AB462" s="81"/>
      <c r="AC462" s="81">
        <v>44084</v>
      </c>
      <c r="AD462" s="81">
        <v>44090</v>
      </c>
      <c r="AE462" s="81">
        <v>44084</v>
      </c>
      <c r="AF462" s="81">
        <v>44084</v>
      </c>
      <c r="AG462" s="81" t="s">
        <v>155</v>
      </c>
      <c r="AH462" s="82">
        <v>1</v>
      </c>
      <c r="AI462" s="82">
        <v>1</v>
      </c>
      <c r="AJ462" s="117">
        <v>0.41699999999999998</v>
      </c>
      <c r="AK462" s="87" t="s">
        <v>140</v>
      </c>
      <c r="AL462" s="208"/>
      <c r="AM462" s="17"/>
      <c r="AN462" s="17"/>
    </row>
    <row r="463" spans="1:40" s="111" customFormat="1">
      <c r="B463" s="246">
        <f>B462+1</f>
        <v>404</v>
      </c>
      <c r="C463" s="16">
        <v>20200908</v>
      </c>
      <c r="D463" s="16" t="s">
        <v>2</v>
      </c>
      <c r="E463" s="85" t="s">
        <v>2022</v>
      </c>
      <c r="F463" s="80" t="s">
        <v>886</v>
      </c>
      <c r="G463" s="47"/>
      <c r="H463" s="16" t="s">
        <v>292</v>
      </c>
      <c r="I463" s="16" t="s">
        <v>706</v>
      </c>
      <c r="J463" s="16" t="s">
        <v>246</v>
      </c>
      <c r="K463" s="47"/>
      <c r="L463" s="80" t="s">
        <v>2021</v>
      </c>
      <c r="M463" s="47"/>
      <c r="N463" s="16"/>
      <c r="O463" s="80" t="s">
        <v>1996</v>
      </c>
      <c r="P463" s="80" t="s">
        <v>868</v>
      </c>
      <c r="Q463" s="16"/>
      <c r="R463" s="16" t="s">
        <v>198</v>
      </c>
      <c r="S463" s="16" t="s">
        <v>66</v>
      </c>
      <c r="T463" s="16"/>
      <c r="U463" s="16"/>
      <c r="V463" s="16"/>
      <c r="W463" s="191">
        <f>ROUND(IF(D463=Table!$C$3,Y463*Table!$C$4/8,Y463*Table!$D$4/8),3)</f>
        <v>52</v>
      </c>
      <c r="X463" s="191">
        <f t="shared" si="77"/>
        <v>52</v>
      </c>
      <c r="Y463" s="191">
        <v>3.2</v>
      </c>
      <c r="Z463" s="191"/>
      <c r="AA463" s="16"/>
      <c r="AB463" s="81"/>
      <c r="AC463" s="81">
        <v>44084</v>
      </c>
      <c r="AD463" s="81">
        <v>44090</v>
      </c>
      <c r="AE463" s="81"/>
      <c r="AF463" s="81"/>
      <c r="AG463" s="81"/>
      <c r="AH463" s="82"/>
      <c r="AI463" s="82"/>
      <c r="AJ463" s="117"/>
      <c r="AK463" s="87"/>
      <c r="AL463" s="213"/>
      <c r="AM463" s="80"/>
      <c r="AN463" s="80"/>
    </row>
    <row r="464" spans="1:40">
      <c r="B464" s="246">
        <f t="shared" ref="B464:B498" si="79">B463+1</f>
        <v>405</v>
      </c>
      <c r="C464" s="16">
        <v>20200908</v>
      </c>
      <c r="D464" s="16" t="s">
        <v>2</v>
      </c>
      <c r="E464" s="85" t="s">
        <v>2022</v>
      </c>
      <c r="F464" s="80" t="s">
        <v>886</v>
      </c>
      <c r="G464" s="47"/>
      <c r="H464" s="16" t="s">
        <v>255</v>
      </c>
      <c r="I464" s="16" t="s">
        <v>707</v>
      </c>
      <c r="J464" s="16" t="s">
        <v>246</v>
      </c>
      <c r="K464" s="47"/>
      <c r="L464" s="80" t="s">
        <v>2021</v>
      </c>
      <c r="M464" s="47"/>
      <c r="N464" s="16"/>
      <c r="O464" s="80" t="s">
        <v>248</v>
      </c>
      <c r="P464" s="80" t="s">
        <v>865</v>
      </c>
      <c r="Q464" s="18"/>
      <c r="R464" s="16" t="s">
        <v>198</v>
      </c>
      <c r="S464" s="16" t="s">
        <v>66</v>
      </c>
      <c r="T464" s="16"/>
      <c r="U464" s="16"/>
      <c r="V464" s="16"/>
      <c r="W464" s="191">
        <f>ROUND(IF(D464=Table!$C$3,Y464*Table!$C$4/8,Y464*Table!$D$4/8),3)</f>
        <v>26</v>
      </c>
      <c r="X464" s="191">
        <f t="shared" si="77"/>
        <v>26</v>
      </c>
      <c r="Y464" s="191">
        <v>1.6</v>
      </c>
      <c r="Z464" s="191">
        <f>Y464</f>
        <v>1.6</v>
      </c>
      <c r="AA464" s="16" t="s">
        <v>18</v>
      </c>
      <c r="AB464" s="81"/>
      <c r="AC464" s="81">
        <v>44084</v>
      </c>
      <c r="AD464" s="81">
        <v>44090</v>
      </c>
      <c r="AE464" s="81">
        <v>44084</v>
      </c>
      <c r="AF464" s="81">
        <v>44084</v>
      </c>
      <c r="AG464" s="81" t="s">
        <v>155</v>
      </c>
      <c r="AH464" s="82">
        <v>1</v>
      </c>
      <c r="AI464" s="82">
        <v>1</v>
      </c>
      <c r="AJ464" s="117">
        <v>0.5</v>
      </c>
      <c r="AK464" s="87" t="s">
        <v>140</v>
      </c>
      <c r="AL464" s="84"/>
      <c r="AM464" s="17"/>
      <c r="AN464" s="17"/>
    </row>
    <row r="465" spans="2:40">
      <c r="B465" s="246">
        <f t="shared" si="79"/>
        <v>406</v>
      </c>
      <c r="C465" s="16">
        <v>20200908</v>
      </c>
      <c r="D465" s="16" t="s">
        <v>2</v>
      </c>
      <c r="E465" s="85" t="s">
        <v>2022</v>
      </c>
      <c r="F465" s="80" t="s">
        <v>886</v>
      </c>
      <c r="G465" s="47"/>
      <c r="H465" s="16" t="s">
        <v>256</v>
      </c>
      <c r="I465" s="16" t="s">
        <v>712</v>
      </c>
      <c r="J465" s="16" t="s">
        <v>246</v>
      </c>
      <c r="K465" s="47"/>
      <c r="L465" s="80" t="s">
        <v>2021</v>
      </c>
      <c r="M465" s="47"/>
      <c r="N465" s="16"/>
      <c r="O465" s="80" t="s">
        <v>248</v>
      </c>
      <c r="P465" s="80" t="s">
        <v>449</v>
      </c>
      <c r="Q465" s="18"/>
      <c r="R465" s="16" t="s">
        <v>198</v>
      </c>
      <c r="S465" s="16" t="s">
        <v>66</v>
      </c>
      <c r="T465" s="16"/>
      <c r="U465" s="16"/>
      <c r="V465" s="16"/>
      <c r="W465" s="191">
        <f>ROUND(IF(D465=Table!$C$3,Y465*Table!$C$4/8,Y465*Table!$D$4/8),3)</f>
        <v>39</v>
      </c>
      <c r="X465" s="191">
        <f t="shared" si="77"/>
        <v>39</v>
      </c>
      <c r="Y465" s="191">
        <v>2.4</v>
      </c>
      <c r="Z465" s="191">
        <f>Y465</f>
        <v>2.4</v>
      </c>
      <c r="AA465" s="16" t="s">
        <v>18</v>
      </c>
      <c r="AB465" s="81"/>
      <c r="AC465" s="81">
        <v>44084</v>
      </c>
      <c r="AD465" s="81">
        <v>44090</v>
      </c>
      <c r="AE465" s="81">
        <v>44084</v>
      </c>
      <c r="AF465" s="81">
        <v>44084</v>
      </c>
      <c r="AG465" s="81" t="s">
        <v>155</v>
      </c>
      <c r="AH465" s="82">
        <v>0.91300000000000003</v>
      </c>
      <c r="AI465" s="82">
        <v>0.91300000000000003</v>
      </c>
      <c r="AJ465" s="117">
        <v>0.72199999999999998</v>
      </c>
      <c r="AK465" s="87" t="s">
        <v>140</v>
      </c>
      <c r="AL465" s="84" t="s">
        <v>1253</v>
      </c>
      <c r="AM465" s="17"/>
      <c r="AN465" s="17"/>
    </row>
    <row r="466" spans="2:40">
      <c r="B466" s="246">
        <f t="shared" si="79"/>
        <v>407</v>
      </c>
      <c r="C466" s="16">
        <v>20200908</v>
      </c>
      <c r="D466" s="16" t="s">
        <v>2</v>
      </c>
      <c r="E466" s="85" t="s">
        <v>2022</v>
      </c>
      <c r="F466" s="80" t="s">
        <v>886</v>
      </c>
      <c r="G466" s="47"/>
      <c r="H466" s="16" t="s">
        <v>257</v>
      </c>
      <c r="I466" s="16" t="s">
        <v>1977</v>
      </c>
      <c r="J466" s="16" t="s">
        <v>246</v>
      </c>
      <c r="K466" s="47"/>
      <c r="L466" s="80" t="s">
        <v>2021</v>
      </c>
      <c r="M466" s="47"/>
      <c r="N466" s="16"/>
      <c r="O466" s="80" t="s">
        <v>1997</v>
      </c>
      <c r="P466" s="80" t="s">
        <v>449</v>
      </c>
      <c r="Q466" s="18"/>
      <c r="R466" s="16" t="s">
        <v>198</v>
      </c>
      <c r="S466" s="16" t="s">
        <v>66</v>
      </c>
      <c r="T466" s="16"/>
      <c r="U466" s="16"/>
      <c r="V466" s="16"/>
      <c r="W466" s="191">
        <f>ROUND(IF(D466=Table!$C$3,Y466*Table!$C$4/8,Y466*Table!$D$4/8),3)</f>
        <v>36.4</v>
      </c>
      <c r="X466" s="191">
        <f t="shared" si="77"/>
        <v>36.4</v>
      </c>
      <c r="Y466" s="191">
        <v>2.2400000000000002</v>
      </c>
      <c r="Z466" s="191">
        <f>Y466</f>
        <v>2.2400000000000002</v>
      </c>
      <c r="AA466" s="16" t="s">
        <v>18</v>
      </c>
      <c r="AB466" s="81"/>
      <c r="AC466" s="81">
        <v>44084</v>
      </c>
      <c r="AD466" s="81">
        <v>44090</v>
      </c>
      <c r="AE466" s="81">
        <v>44084</v>
      </c>
      <c r="AF466" s="81">
        <v>44084</v>
      </c>
      <c r="AG466" s="81" t="s">
        <v>155</v>
      </c>
      <c r="AH466" s="82">
        <v>0.90900000000000003</v>
      </c>
      <c r="AI466" s="82">
        <v>0.93300000000000005</v>
      </c>
      <c r="AJ466" s="117">
        <v>0.26400000000000001</v>
      </c>
      <c r="AK466" s="87" t="s">
        <v>140</v>
      </c>
      <c r="AL466" s="84" t="s">
        <v>2176</v>
      </c>
      <c r="AM466" s="17"/>
      <c r="AN466" s="17"/>
    </row>
    <row r="467" spans="2:40">
      <c r="B467" s="246">
        <f t="shared" si="79"/>
        <v>408</v>
      </c>
      <c r="C467" s="16">
        <v>20200908</v>
      </c>
      <c r="D467" s="16" t="s">
        <v>2</v>
      </c>
      <c r="E467" s="85" t="s">
        <v>2022</v>
      </c>
      <c r="F467" s="80" t="s">
        <v>886</v>
      </c>
      <c r="G467" s="47"/>
      <c r="H467" s="16" t="s">
        <v>282</v>
      </c>
      <c r="I467" s="16" t="s">
        <v>1978</v>
      </c>
      <c r="J467" s="16" t="s">
        <v>246</v>
      </c>
      <c r="K467" s="47"/>
      <c r="L467" s="80" t="s">
        <v>2021</v>
      </c>
      <c r="M467" s="47"/>
      <c r="N467" s="16"/>
      <c r="O467" s="80" t="s">
        <v>1998</v>
      </c>
      <c r="P467" s="80" t="s">
        <v>865</v>
      </c>
      <c r="Q467" s="18"/>
      <c r="R467" s="16" t="s">
        <v>198</v>
      </c>
      <c r="S467" s="16" t="s">
        <v>66</v>
      </c>
      <c r="T467" s="16"/>
      <c r="U467" s="16"/>
      <c r="V467" s="16"/>
      <c r="W467" s="191">
        <f>ROUND(IF(D467=Table!$C$3,Y467*Table!$C$4/8,Y467*Table!$D$4/8),3)</f>
        <v>29.9</v>
      </c>
      <c r="X467" s="191">
        <f t="shared" si="77"/>
        <v>29.9</v>
      </c>
      <c r="Y467" s="191">
        <v>1.84</v>
      </c>
      <c r="Z467" s="191">
        <f>Y467</f>
        <v>1.84</v>
      </c>
      <c r="AA467" s="16" t="s">
        <v>18</v>
      </c>
      <c r="AB467" s="81"/>
      <c r="AC467" s="81">
        <v>44084</v>
      </c>
      <c r="AD467" s="81">
        <v>44090</v>
      </c>
      <c r="AE467" s="81">
        <v>44085</v>
      </c>
      <c r="AF467" s="81">
        <v>44085</v>
      </c>
      <c r="AG467" s="81" t="s">
        <v>155</v>
      </c>
      <c r="AH467" s="82">
        <v>1</v>
      </c>
      <c r="AI467" s="82">
        <v>1</v>
      </c>
      <c r="AJ467" s="117">
        <v>0.5</v>
      </c>
      <c r="AK467" s="87" t="s">
        <v>140</v>
      </c>
      <c r="AL467" s="84"/>
      <c r="AM467" s="17"/>
      <c r="AN467" s="17"/>
    </row>
    <row r="468" spans="2:40" hidden="1">
      <c r="B468" s="246">
        <f t="shared" si="79"/>
        <v>409</v>
      </c>
      <c r="C468" s="16">
        <v>20200908</v>
      </c>
      <c r="D468" s="16" t="s">
        <v>2</v>
      </c>
      <c r="E468" s="85" t="s">
        <v>2022</v>
      </c>
      <c r="F468" s="80" t="s">
        <v>886</v>
      </c>
      <c r="G468" s="47"/>
      <c r="H468" s="16" t="s">
        <v>258</v>
      </c>
      <c r="I468" s="16" t="s">
        <v>728</v>
      </c>
      <c r="J468" s="16" t="s">
        <v>246</v>
      </c>
      <c r="K468" s="47"/>
      <c r="L468" s="80" t="s">
        <v>2021</v>
      </c>
      <c r="M468" s="47"/>
      <c r="N468" s="16"/>
      <c r="O468" s="80" t="s">
        <v>843</v>
      </c>
      <c r="P468" s="80" t="s">
        <v>865</v>
      </c>
      <c r="Q468" s="18"/>
      <c r="R468" s="16" t="s">
        <v>200</v>
      </c>
      <c r="S468" s="16" t="s">
        <v>133</v>
      </c>
      <c r="T468" s="16"/>
      <c r="U468" s="16"/>
      <c r="V468" s="16"/>
      <c r="W468" s="191">
        <f>ROUND(IF(D468=Table!$C$3,Y468*Table!$C$4/8,Y468*Table!$D$4/8),3)</f>
        <v>91</v>
      </c>
      <c r="X468" s="191">
        <v>91</v>
      </c>
      <c r="Y468" s="191">
        <v>5.6</v>
      </c>
      <c r="Z468" s="191">
        <v>4</v>
      </c>
      <c r="AA468" s="16" t="s">
        <v>18</v>
      </c>
      <c r="AB468" s="81"/>
      <c r="AC468" s="81">
        <v>44084</v>
      </c>
      <c r="AD468" s="81">
        <v>44090</v>
      </c>
      <c r="AE468" s="81">
        <v>44084</v>
      </c>
      <c r="AF468" s="81">
        <v>44084</v>
      </c>
      <c r="AG468" s="81" t="s">
        <v>155</v>
      </c>
      <c r="AH468" s="82">
        <v>1</v>
      </c>
      <c r="AI468" s="82">
        <v>1</v>
      </c>
      <c r="AJ468" s="117" t="s">
        <v>2169</v>
      </c>
      <c r="AK468" s="87" t="s">
        <v>140</v>
      </c>
      <c r="AL468" s="84" t="s">
        <v>58</v>
      </c>
      <c r="AM468" s="17" t="s">
        <v>58</v>
      </c>
      <c r="AN468" s="17" t="s">
        <v>58</v>
      </c>
    </row>
    <row r="469" spans="2:40" hidden="1">
      <c r="B469" s="246">
        <f t="shared" si="79"/>
        <v>410</v>
      </c>
      <c r="C469" s="16">
        <v>20200908</v>
      </c>
      <c r="D469" s="16" t="s">
        <v>2</v>
      </c>
      <c r="E469" s="85" t="s">
        <v>2022</v>
      </c>
      <c r="F469" s="80" t="s">
        <v>886</v>
      </c>
      <c r="G469" s="47"/>
      <c r="H469" s="16" t="s">
        <v>283</v>
      </c>
      <c r="I469" s="16" t="s">
        <v>729</v>
      </c>
      <c r="J469" s="16" t="s">
        <v>246</v>
      </c>
      <c r="K469" s="47"/>
      <c r="L469" s="80" t="s">
        <v>2021</v>
      </c>
      <c r="M469" s="47"/>
      <c r="N469" s="16"/>
      <c r="O469" s="80" t="s">
        <v>831</v>
      </c>
      <c r="P469" s="80" t="s">
        <v>449</v>
      </c>
      <c r="Q469" s="18"/>
      <c r="R469" s="16" t="s">
        <v>200</v>
      </c>
      <c r="S469" s="16" t="s">
        <v>133</v>
      </c>
      <c r="T469" s="16"/>
      <c r="U469" s="16"/>
      <c r="V469" s="16"/>
      <c r="W469" s="191">
        <f>ROUND(IF(D469=Table!$C$3,Y469*Table!$C$4/8,Y469*Table!$D$4/8),3)</f>
        <v>39</v>
      </c>
      <c r="X469" s="191">
        <v>39</v>
      </c>
      <c r="Y469" s="191">
        <v>2.4</v>
      </c>
      <c r="Z469" s="191">
        <v>1.8</v>
      </c>
      <c r="AA469" s="16" t="s">
        <v>18</v>
      </c>
      <c r="AB469" s="81"/>
      <c r="AC469" s="81">
        <v>44084</v>
      </c>
      <c r="AD469" s="81">
        <v>44090</v>
      </c>
      <c r="AE469" s="81">
        <v>44084</v>
      </c>
      <c r="AF469" s="81">
        <v>44084</v>
      </c>
      <c r="AG469" s="81" t="s">
        <v>155</v>
      </c>
      <c r="AH469" s="82">
        <v>1</v>
      </c>
      <c r="AI469" s="82">
        <v>1</v>
      </c>
      <c r="AJ469" s="117">
        <v>0.625</v>
      </c>
      <c r="AK469" s="87" t="s">
        <v>140</v>
      </c>
      <c r="AL469" s="84" t="s">
        <v>58</v>
      </c>
      <c r="AM469" s="17" t="s">
        <v>58</v>
      </c>
      <c r="AN469" s="17" t="s">
        <v>58</v>
      </c>
    </row>
    <row r="470" spans="2:40" hidden="1">
      <c r="B470" s="246">
        <f t="shared" si="79"/>
        <v>411</v>
      </c>
      <c r="C470" s="16">
        <v>20200908</v>
      </c>
      <c r="D470" s="16" t="s">
        <v>2</v>
      </c>
      <c r="E470" s="85" t="s">
        <v>2022</v>
      </c>
      <c r="F470" s="80" t="s">
        <v>886</v>
      </c>
      <c r="G470" s="47"/>
      <c r="H470" s="16" t="s">
        <v>286</v>
      </c>
      <c r="I470" s="16" t="s">
        <v>1979</v>
      </c>
      <c r="J470" s="16" t="s">
        <v>208</v>
      </c>
      <c r="K470" s="47"/>
      <c r="L470" s="80" t="s">
        <v>2021</v>
      </c>
      <c r="M470" s="47"/>
      <c r="N470" s="16"/>
      <c r="O470" s="80" t="s">
        <v>210</v>
      </c>
      <c r="P470" s="80" t="s">
        <v>449</v>
      </c>
      <c r="Q470" s="18"/>
      <c r="R470" s="16" t="s">
        <v>200</v>
      </c>
      <c r="S470" s="16" t="s">
        <v>133</v>
      </c>
      <c r="T470" s="16"/>
      <c r="U470" s="16"/>
      <c r="V470" s="16"/>
      <c r="W470" s="191">
        <f>ROUND(IF(D470=Table!$C$3,Y470*Table!$C$4/8,Y470*Table!$D$4/8),3)</f>
        <v>26</v>
      </c>
      <c r="X470" s="191">
        <v>26</v>
      </c>
      <c r="Y470" s="191">
        <v>1.6</v>
      </c>
      <c r="Z470" s="191">
        <v>0.7</v>
      </c>
      <c r="AA470" s="16" t="s">
        <v>18</v>
      </c>
      <c r="AB470" s="81"/>
      <c r="AC470" s="81">
        <v>44084</v>
      </c>
      <c r="AD470" s="81">
        <v>44090</v>
      </c>
      <c r="AE470" s="81">
        <v>44083</v>
      </c>
      <c r="AF470" s="81">
        <v>44083</v>
      </c>
      <c r="AG470" s="81" t="s">
        <v>155</v>
      </c>
      <c r="AH470" s="82">
        <v>1</v>
      </c>
      <c r="AI470" s="82">
        <v>1</v>
      </c>
      <c r="AJ470" s="117" t="s">
        <v>213</v>
      </c>
      <c r="AK470" s="87" t="s">
        <v>140</v>
      </c>
      <c r="AL470" s="84" t="s">
        <v>58</v>
      </c>
      <c r="AM470" s="17" t="s">
        <v>58</v>
      </c>
      <c r="AN470" s="17" t="s">
        <v>58</v>
      </c>
    </row>
    <row r="471" spans="2:40" hidden="1">
      <c r="B471" s="246">
        <f t="shared" si="79"/>
        <v>412</v>
      </c>
      <c r="C471" s="16">
        <v>20200908</v>
      </c>
      <c r="D471" s="16" t="s">
        <v>2</v>
      </c>
      <c r="E471" s="85" t="s">
        <v>2022</v>
      </c>
      <c r="F471" s="80" t="s">
        <v>886</v>
      </c>
      <c r="G471" s="47"/>
      <c r="H471" s="16" t="s">
        <v>287</v>
      </c>
      <c r="I471" s="16" t="s">
        <v>1980</v>
      </c>
      <c r="J471" s="16" t="s">
        <v>208</v>
      </c>
      <c r="K471" s="47"/>
      <c r="L471" s="80" t="s">
        <v>2021</v>
      </c>
      <c r="M471" s="47"/>
      <c r="N471" s="16"/>
      <c r="O471" s="80" t="s">
        <v>821</v>
      </c>
      <c r="P471" s="80" t="s">
        <v>865</v>
      </c>
      <c r="Q471" s="18"/>
      <c r="R471" s="16" t="s">
        <v>200</v>
      </c>
      <c r="S471" s="16" t="s">
        <v>133</v>
      </c>
      <c r="T471" s="16"/>
      <c r="U471" s="16"/>
      <c r="V471" s="16"/>
      <c r="W471" s="191">
        <f>ROUND(IF(D471=Table!$C$3,Y471*Table!$C$4/8,Y471*Table!$D$4/8),3)</f>
        <v>26</v>
      </c>
      <c r="X471" s="191">
        <v>26</v>
      </c>
      <c r="Y471" s="191">
        <v>1.6</v>
      </c>
      <c r="Z471" s="191">
        <v>0.5</v>
      </c>
      <c r="AA471" s="16" t="s">
        <v>18</v>
      </c>
      <c r="AB471" s="81"/>
      <c r="AC471" s="81">
        <v>44084</v>
      </c>
      <c r="AD471" s="81">
        <v>44090</v>
      </c>
      <c r="AE471" s="81">
        <v>44083</v>
      </c>
      <c r="AF471" s="81">
        <v>44083</v>
      </c>
      <c r="AG471" s="81" t="s">
        <v>155</v>
      </c>
      <c r="AH471" s="82">
        <v>1</v>
      </c>
      <c r="AI471" s="82">
        <v>1</v>
      </c>
      <c r="AJ471" s="117">
        <v>0.78600000000000003</v>
      </c>
      <c r="AK471" s="87" t="s">
        <v>140</v>
      </c>
      <c r="AL471" s="84" t="s">
        <v>58</v>
      </c>
      <c r="AM471" s="17" t="s">
        <v>58</v>
      </c>
      <c r="AN471" s="17" t="s">
        <v>58</v>
      </c>
    </row>
    <row r="472" spans="2:40" hidden="1">
      <c r="B472" s="246">
        <f t="shared" si="79"/>
        <v>413</v>
      </c>
      <c r="C472" s="16">
        <v>20200908</v>
      </c>
      <c r="D472" s="16" t="s">
        <v>2</v>
      </c>
      <c r="E472" s="85" t="s">
        <v>2022</v>
      </c>
      <c r="F472" s="80" t="s">
        <v>886</v>
      </c>
      <c r="G472" s="47"/>
      <c r="H472" s="16" t="s">
        <v>225</v>
      </c>
      <c r="I472" s="16" t="s">
        <v>733</v>
      </c>
      <c r="J472" s="16" t="s">
        <v>246</v>
      </c>
      <c r="K472" s="47"/>
      <c r="L472" s="80" t="s">
        <v>2021</v>
      </c>
      <c r="M472" s="47"/>
      <c r="N472" s="16"/>
      <c r="O472" s="80" t="s">
        <v>210</v>
      </c>
      <c r="P472" s="80" t="s">
        <v>865</v>
      </c>
      <c r="Q472" s="18"/>
      <c r="R472" s="16" t="s">
        <v>200</v>
      </c>
      <c r="S472" s="16" t="s">
        <v>133</v>
      </c>
      <c r="T472" s="16"/>
      <c r="U472" s="16"/>
      <c r="V472" s="16"/>
      <c r="W472" s="191">
        <f>ROUND(IF(D472=Table!$C$3,Y472*Table!$C$4/8,Y472*Table!$D$4/8),3)</f>
        <v>26</v>
      </c>
      <c r="X472" s="191">
        <v>26</v>
      </c>
      <c r="Y472" s="191">
        <v>1.6</v>
      </c>
      <c r="Z472" s="191">
        <v>0.5</v>
      </c>
      <c r="AA472" s="16" t="s">
        <v>18</v>
      </c>
      <c r="AB472" s="81"/>
      <c r="AC472" s="81">
        <v>44084</v>
      </c>
      <c r="AD472" s="81">
        <v>44090</v>
      </c>
      <c r="AE472" s="81">
        <v>44083</v>
      </c>
      <c r="AF472" s="81">
        <v>44083</v>
      </c>
      <c r="AG472" s="81" t="s">
        <v>155</v>
      </c>
      <c r="AH472" s="82">
        <v>1</v>
      </c>
      <c r="AI472" s="82">
        <v>1</v>
      </c>
      <c r="AJ472" s="117">
        <v>0.25</v>
      </c>
      <c r="AK472" s="87" t="s">
        <v>140</v>
      </c>
      <c r="AL472" s="84" t="s">
        <v>58</v>
      </c>
      <c r="AM472" s="17" t="s">
        <v>58</v>
      </c>
      <c r="AN472" s="17" t="s">
        <v>58</v>
      </c>
    </row>
    <row r="473" spans="2:40" hidden="1">
      <c r="B473" s="246">
        <f t="shared" si="79"/>
        <v>414</v>
      </c>
      <c r="C473" s="16">
        <v>20200908</v>
      </c>
      <c r="D473" s="16" t="s">
        <v>2</v>
      </c>
      <c r="E473" s="85" t="s">
        <v>2022</v>
      </c>
      <c r="F473" s="80" t="s">
        <v>886</v>
      </c>
      <c r="G473" s="47"/>
      <c r="H473" s="16" t="s">
        <v>226</v>
      </c>
      <c r="I473" s="16" t="s">
        <v>738</v>
      </c>
      <c r="J473" s="16" t="s">
        <v>246</v>
      </c>
      <c r="K473" s="47"/>
      <c r="L473" s="80" t="s">
        <v>2021</v>
      </c>
      <c r="M473" s="47"/>
      <c r="N473" s="16"/>
      <c r="O473" s="80" t="s">
        <v>248</v>
      </c>
      <c r="P473" s="80" t="s">
        <v>449</v>
      </c>
      <c r="Q473" s="18"/>
      <c r="R473" s="16" t="s">
        <v>200</v>
      </c>
      <c r="S473" s="16" t="s">
        <v>133</v>
      </c>
      <c r="T473" s="16"/>
      <c r="U473" s="16"/>
      <c r="V473" s="16"/>
      <c r="W473" s="191">
        <f>ROUND(IF(D473=Table!$C$3,Y473*Table!$C$4/8,Y473*Table!$D$4/8),3)</f>
        <v>65</v>
      </c>
      <c r="X473" s="191">
        <v>65</v>
      </c>
      <c r="Y473" s="191">
        <v>4</v>
      </c>
      <c r="Z473" s="191">
        <v>3</v>
      </c>
      <c r="AA473" s="16" t="s">
        <v>18</v>
      </c>
      <c r="AB473" s="81"/>
      <c r="AC473" s="81">
        <v>44084</v>
      </c>
      <c r="AD473" s="81">
        <v>44090</v>
      </c>
      <c r="AE473" s="81">
        <v>44084</v>
      </c>
      <c r="AF473" s="81">
        <v>44084</v>
      </c>
      <c r="AG473" s="81" t="s">
        <v>155</v>
      </c>
      <c r="AH473" s="82">
        <v>1</v>
      </c>
      <c r="AI473" s="82">
        <v>1</v>
      </c>
      <c r="AJ473" s="117">
        <v>0.45</v>
      </c>
      <c r="AK473" s="87" t="s">
        <v>140</v>
      </c>
      <c r="AL473" s="84" t="s">
        <v>58</v>
      </c>
      <c r="AM473" s="17" t="s">
        <v>58</v>
      </c>
      <c r="AN473" s="17" t="s">
        <v>58</v>
      </c>
    </row>
    <row r="474" spans="2:40" hidden="1">
      <c r="B474" s="246">
        <f t="shared" si="79"/>
        <v>415</v>
      </c>
      <c r="C474" s="16">
        <v>20200908</v>
      </c>
      <c r="D474" s="16" t="s">
        <v>2</v>
      </c>
      <c r="E474" s="85" t="s">
        <v>2022</v>
      </c>
      <c r="F474" s="80" t="s">
        <v>886</v>
      </c>
      <c r="G474" s="47"/>
      <c r="H474" s="16" t="s">
        <v>227</v>
      </c>
      <c r="I474" s="16" t="s">
        <v>1981</v>
      </c>
      <c r="J474" s="16" t="s">
        <v>246</v>
      </c>
      <c r="K474" s="47"/>
      <c r="L474" s="80" t="s">
        <v>2021</v>
      </c>
      <c r="M474" s="47"/>
      <c r="N474" s="16"/>
      <c r="O474" s="80" t="s">
        <v>1999</v>
      </c>
      <c r="P474" s="80" t="s">
        <v>865</v>
      </c>
      <c r="Q474" s="18"/>
      <c r="R474" s="16" t="s">
        <v>200</v>
      </c>
      <c r="S474" s="16" t="s">
        <v>133</v>
      </c>
      <c r="T474" s="16"/>
      <c r="U474" s="16"/>
      <c r="V474" s="16"/>
      <c r="W474" s="191">
        <f>ROUND(IF(D474=Table!$C$3,Y474*Table!$C$4/8,Y474*Table!$D$4/8),3)</f>
        <v>36.4</v>
      </c>
      <c r="X474" s="191">
        <v>36.4</v>
      </c>
      <c r="Y474" s="191">
        <v>2.2400000000000002</v>
      </c>
      <c r="Z474" s="191"/>
      <c r="AA474" s="16" t="s">
        <v>18</v>
      </c>
      <c r="AB474" s="81"/>
      <c r="AC474" s="81">
        <v>44084</v>
      </c>
      <c r="AD474" s="81">
        <v>44090</v>
      </c>
      <c r="AE474" s="81">
        <v>44084</v>
      </c>
      <c r="AF474" s="81">
        <v>44084</v>
      </c>
      <c r="AG474" s="81" t="s">
        <v>155</v>
      </c>
      <c r="AH474" s="82">
        <v>1</v>
      </c>
      <c r="AI474" s="82">
        <v>1</v>
      </c>
      <c r="AJ474" s="117">
        <v>0.94699999999999995</v>
      </c>
      <c r="AK474" s="87" t="s">
        <v>140</v>
      </c>
      <c r="AL474" s="84" t="s">
        <v>58</v>
      </c>
      <c r="AM474" s="17" t="s">
        <v>58</v>
      </c>
      <c r="AN474" s="17" t="s">
        <v>58</v>
      </c>
    </row>
    <row r="475" spans="2:40" hidden="1">
      <c r="B475" s="246">
        <f t="shared" si="79"/>
        <v>416</v>
      </c>
      <c r="C475" s="16">
        <v>20200908</v>
      </c>
      <c r="D475" s="16" t="s">
        <v>2</v>
      </c>
      <c r="E475" s="85" t="s">
        <v>2022</v>
      </c>
      <c r="F475" s="80" t="s">
        <v>886</v>
      </c>
      <c r="G475" s="47"/>
      <c r="H475" s="16" t="s">
        <v>228</v>
      </c>
      <c r="I475" s="16" t="s">
        <v>758</v>
      </c>
      <c r="J475" s="16" t="s">
        <v>246</v>
      </c>
      <c r="K475" s="47"/>
      <c r="L475" s="80" t="s">
        <v>2021</v>
      </c>
      <c r="M475" s="47"/>
      <c r="N475" s="16"/>
      <c r="O475" s="80" t="s">
        <v>821</v>
      </c>
      <c r="P475" s="80" t="s">
        <v>449</v>
      </c>
      <c r="Q475" s="18"/>
      <c r="R475" s="16" t="s">
        <v>200</v>
      </c>
      <c r="S475" s="16" t="s">
        <v>133</v>
      </c>
      <c r="T475" s="16"/>
      <c r="U475" s="16"/>
      <c r="V475" s="16"/>
      <c r="W475" s="191">
        <f>ROUND(IF(D475=Table!$C$3,Y475*Table!$C$4/8,Y475*Table!$D$4/8),3)</f>
        <v>26</v>
      </c>
      <c r="X475" s="191">
        <v>26</v>
      </c>
      <c r="Y475" s="191">
        <v>1.6</v>
      </c>
      <c r="Z475" s="191">
        <v>1</v>
      </c>
      <c r="AA475" s="16" t="s">
        <v>18</v>
      </c>
      <c r="AB475" s="81"/>
      <c r="AC475" s="81">
        <v>44084</v>
      </c>
      <c r="AD475" s="81">
        <v>44090</v>
      </c>
      <c r="AE475" s="81">
        <v>44084</v>
      </c>
      <c r="AF475" s="81">
        <v>44084</v>
      </c>
      <c r="AG475" s="81" t="s">
        <v>155</v>
      </c>
      <c r="AH475" s="82">
        <v>1</v>
      </c>
      <c r="AI475" s="82">
        <v>1</v>
      </c>
      <c r="AJ475" s="117">
        <v>0.5</v>
      </c>
      <c r="AK475" s="87" t="s">
        <v>140</v>
      </c>
      <c r="AL475" s="84" t="s">
        <v>58</v>
      </c>
      <c r="AM475" s="17" t="s">
        <v>58</v>
      </c>
      <c r="AN475" s="17" t="s">
        <v>58</v>
      </c>
    </row>
    <row r="476" spans="2:40" hidden="1">
      <c r="B476" s="246">
        <f t="shared" si="79"/>
        <v>417</v>
      </c>
      <c r="C476" s="16">
        <v>20200908</v>
      </c>
      <c r="D476" s="16" t="s">
        <v>2</v>
      </c>
      <c r="E476" s="85" t="s">
        <v>2022</v>
      </c>
      <c r="F476" s="80" t="s">
        <v>886</v>
      </c>
      <c r="G476" s="47"/>
      <c r="H476" s="16" t="s">
        <v>229</v>
      </c>
      <c r="I476" s="16" t="s">
        <v>1982</v>
      </c>
      <c r="J476" s="16" t="s">
        <v>246</v>
      </c>
      <c r="K476" s="47"/>
      <c r="L476" s="80" t="s">
        <v>2021</v>
      </c>
      <c r="M476" s="47"/>
      <c r="N476" s="16"/>
      <c r="O476" s="80" t="s">
        <v>2000</v>
      </c>
      <c r="P476" s="80" t="s">
        <v>449</v>
      </c>
      <c r="Q476" s="18"/>
      <c r="R476" s="16" t="s">
        <v>200</v>
      </c>
      <c r="S476" s="16" t="s">
        <v>133</v>
      </c>
      <c r="T476" s="16"/>
      <c r="U476" s="16"/>
      <c r="V476" s="16"/>
      <c r="W476" s="191">
        <f>ROUND(IF(D476=Table!$C$3,Y476*Table!$C$4/8,Y476*Table!$D$4/8),3)</f>
        <v>42.9</v>
      </c>
      <c r="X476" s="191">
        <v>42.9</v>
      </c>
      <c r="Y476" s="191">
        <v>2.64</v>
      </c>
      <c r="Z476" s="191">
        <v>2</v>
      </c>
      <c r="AA476" s="16" t="s">
        <v>18</v>
      </c>
      <c r="AB476" s="81"/>
      <c r="AC476" s="81">
        <v>44084</v>
      </c>
      <c r="AD476" s="81">
        <v>44090</v>
      </c>
      <c r="AE476" s="81">
        <v>44084</v>
      </c>
      <c r="AF476" s="81">
        <v>44084</v>
      </c>
      <c r="AG476" s="81" t="s">
        <v>155</v>
      </c>
      <c r="AH476" s="82">
        <v>0.93799999999999994</v>
      </c>
      <c r="AI476" s="82">
        <v>0.95199999999999996</v>
      </c>
      <c r="AJ476" s="117">
        <v>0.38500000000000001</v>
      </c>
      <c r="AK476" s="87" t="s">
        <v>140</v>
      </c>
      <c r="AL476" s="368" t="s">
        <v>2174</v>
      </c>
      <c r="AM476" s="17" t="s">
        <v>58</v>
      </c>
      <c r="AN476" s="17" t="s">
        <v>58</v>
      </c>
    </row>
    <row r="477" spans="2:40" hidden="1">
      <c r="B477" s="246">
        <f t="shared" si="79"/>
        <v>418</v>
      </c>
      <c r="C477" s="16">
        <v>20200908</v>
      </c>
      <c r="D477" s="16" t="s">
        <v>2</v>
      </c>
      <c r="E477" s="85" t="s">
        <v>2022</v>
      </c>
      <c r="F477" s="80" t="s">
        <v>886</v>
      </c>
      <c r="G477" s="47"/>
      <c r="H477" s="16" t="s">
        <v>230</v>
      </c>
      <c r="I477" s="16" t="s">
        <v>1983</v>
      </c>
      <c r="J477" s="16" t="s">
        <v>246</v>
      </c>
      <c r="K477" s="47"/>
      <c r="L477" s="80" t="s">
        <v>2021</v>
      </c>
      <c r="M477" s="47"/>
      <c r="N477" s="16"/>
      <c r="O477" s="80" t="s">
        <v>2001</v>
      </c>
      <c r="P477" s="80" t="s">
        <v>449</v>
      </c>
      <c r="Q477" s="18"/>
      <c r="R477" s="16" t="s">
        <v>201</v>
      </c>
      <c r="S477" s="16" t="s">
        <v>132</v>
      </c>
      <c r="T477" s="16"/>
      <c r="U477" s="16"/>
      <c r="V477" s="16"/>
      <c r="W477" s="191">
        <f>ROUND(IF(D477=Table!$C$3,Y477*Table!$C$4/8,Y477*Table!$D$4/8),3)</f>
        <v>42.9</v>
      </c>
      <c r="X477" s="191">
        <v>42.9</v>
      </c>
      <c r="Y477" s="191">
        <v>2.64</v>
      </c>
      <c r="Z477" s="191">
        <v>2.64</v>
      </c>
      <c r="AA477" s="16"/>
      <c r="AB477" s="81"/>
      <c r="AC477" s="81">
        <v>44084</v>
      </c>
      <c r="AD477" s="81">
        <v>44090</v>
      </c>
      <c r="AE477" s="81">
        <v>44084</v>
      </c>
      <c r="AF477" s="81">
        <v>44084</v>
      </c>
      <c r="AG477" s="81" t="s">
        <v>155</v>
      </c>
      <c r="AH477" s="82">
        <v>1</v>
      </c>
      <c r="AI477" s="82">
        <v>1</v>
      </c>
      <c r="AJ477" s="117">
        <v>0.66700000000000004</v>
      </c>
      <c r="AK477" s="365" t="s">
        <v>140</v>
      </c>
      <c r="AL477" s="14"/>
      <c r="AM477" s="17"/>
      <c r="AN477" s="17"/>
    </row>
    <row r="478" spans="2:40" hidden="1">
      <c r="B478" s="246">
        <f t="shared" si="79"/>
        <v>419</v>
      </c>
      <c r="C478" s="16">
        <v>20200908</v>
      </c>
      <c r="D478" s="16" t="s">
        <v>2</v>
      </c>
      <c r="E478" s="85" t="s">
        <v>2022</v>
      </c>
      <c r="F478" s="80" t="s">
        <v>886</v>
      </c>
      <c r="G478" s="47"/>
      <c r="H478" s="16" t="s">
        <v>231</v>
      </c>
      <c r="I478" s="16" t="s">
        <v>1984</v>
      </c>
      <c r="J478" s="16" t="s">
        <v>246</v>
      </c>
      <c r="K478" s="47"/>
      <c r="L478" s="80" t="s">
        <v>2021</v>
      </c>
      <c r="M478" s="47"/>
      <c r="N478" s="16"/>
      <c r="O478" s="80" t="s">
        <v>210</v>
      </c>
      <c r="P478" s="80" t="s">
        <v>865</v>
      </c>
      <c r="Q478" s="18"/>
      <c r="R478" s="16" t="s">
        <v>201</v>
      </c>
      <c r="S478" s="16" t="s">
        <v>132</v>
      </c>
      <c r="T478" s="16"/>
      <c r="U478" s="16"/>
      <c r="V478" s="16"/>
      <c r="W478" s="191">
        <f>ROUND(IF(D478=Table!$C$3,Y478*Table!$C$4/8,Y478*Table!$D$4/8),3)</f>
        <v>26</v>
      </c>
      <c r="X478" s="191">
        <v>26</v>
      </c>
      <c r="Y478" s="191">
        <v>1.6</v>
      </c>
      <c r="Z478" s="191">
        <v>1.6</v>
      </c>
      <c r="AA478" s="16"/>
      <c r="AB478" s="81"/>
      <c r="AC478" s="81">
        <v>44084</v>
      </c>
      <c r="AD478" s="81">
        <v>44090</v>
      </c>
      <c r="AE478" s="81">
        <v>44084</v>
      </c>
      <c r="AF478" s="81">
        <v>44084</v>
      </c>
      <c r="AG478" s="81" t="s">
        <v>155</v>
      </c>
      <c r="AH478" s="82">
        <v>1</v>
      </c>
      <c r="AI478" s="82">
        <v>1</v>
      </c>
      <c r="AJ478" s="117" t="s">
        <v>213</v>
      </c>
      <c r="AK478" s="365" t="s">
        <v>140</v>
      </c>
      <c r="AL478" s="14"/>
      <c r="AM478" s="17"/>
      <c r="AN478" s="17"/>
    </row>
    <row r="479" spans="2:40" hidden="1">
      <c r="B479" s="246">
        <f t="shared" si="79"/>
        <v>420</v>
      </c>
      <c r="C479" s="16">
        <v>20200908</v>
      </c>
      <c r="D479" s="16" t="s">
        <v>2</v>
      </c>
      <c r="E479" s="85" t="s">
        <v>2022</v>
      </c>
      <c r="F479" s="80" t="s">
        <v>886</v>
      </c>
      <c r="G479" s="47"/>
      <c r="H479" s="16" t="s">
        <v>232</v>
      </c>
      <c r="I479" s="16" t="s">
        <v>769</v>
      </c>
      <c r="J479" s="16" t="s">
        <v>246</v>
      </c>
      <c r="K479" s="47"/>
      <c r="L479" s="80" t="s">
        <v>2021</v>
      </c>
      <c r="M479" s="47"/>
      <c r="N479" s="16"/>
      <c r="O479" s="80" t="s">
        <v>839</v>
      </c>
      <c r="P479" s="80" t="s">
        <v>449</v>
      </c>
      <c r="Q479" s="18"/>
      <c r="R479" s="16" t="s">
        <v>201</v>
      </c>
      <c r="S479" s="16" t="s">
        <v>132</v>
      </c>
      <c r="T479" s="16"/>
      <c r="U479" s="16"/>
      <c r="V479" s="16"/>
      <c r="W479" s="191">
        <f>ROUND(IF(D479=Table!$C$3,Y479*Table!$C$4/8,Y479*Table!$D$4/8),3)</f>
        <v>78</v>
      </c>
      <c r="X479" s="191">
        <v>78</v>
      </c>
      <c r="Y479" s="191">
        <v>4.8</v>
      </c>
      <c r="Z479" s="191">
        <v>4.8</v>
      </c>
      <c r="AA479" s="16"/>
      <c r="AB479" s="81"/>
      <c r="AC479" s="81">
        <v>44084</v>
      </c>
      <c r="AD479" s="81">
        <v>44090</v>
      </c>
      <c r="AE479" s="81">
        <v>44084</v>
      </c>
      <c r="AF479" s="81">
        <v>44084</v>
      </c>
      <c r="AG479" s="81" t="s">
        <v>155</v>
      </c>
      <c r="AH479" s="82">
        <v>0.96199999999999997</v>
      </c>
      <c r="AI479" s="82">
        <v>0.96299999999999997</v>
      </c>
      <c r="AJ479" s="117">
        <v>1</v>
      </c>
      <c r="AK479" s="365" t="s">
        <v>140</v>
      </c>
      <c r="AL479" s="366" t="s">
        <v>1066</v>
      </c>
      <c r="AM479" s="17"/>
      <c r="AN479" s="17"/>
    </row>
    <row r="480" spans="2:40" s="111" customFormat="1" hidden="1">
      <c r="B480" s="20">
        <f>B479+1</f>
        <v>421</v>
      </c>
      <c r="C480" s="16">
        <v>20200908</v>
      </c>
      <c r="D480" s="16" t="s">
        <v>2</v>
      </c>
      <c r="E480" s="85" t="s">
        <v>2022</v>
      </c>
      <c r="F480" s="80" t="s">
        <v>886</v>
      </c>
      <c r="G480" s="80"/>
      <c r="H480" s="16" t="s">
        <v>233</v>
      </c>
      <c r="I480" s="16" t="s">
        <v>2020</v>
      </c>
      <c r="J480" s="16" t="s">
        <v>246</v>
      </c>
      <c r="K480" s="80"/>
      <c r="L480" s="80" t="s">
        <v>2021</v>
      </c>
      <c r="M480" s="80"/>
      <c r="N480" s="16"/>
      <c r="O480" s="80" t="s">
        <v>170</v>
      </c>
      <c r="P480" s="80" t="s">
        <v>865</v>
      </c>
      <c r="Q480" s="16"/>
      <c r="R480" s="16" t="s">
        <v>201</v>
      </c>
      <c r="S480" s="16" t="s">
        <v>132</v>
      </c>
      <c r="T480" s="16"/>
      <c r="U480" s="16"/>
      <c r="V480" s="16"/>
      <c r="W480" s="191">
        <f>ROUND(IF(D480=Table!$C$3,Y480*Table!$C$4/8,Y480*Table!$D$4/8),3)</f>
        <v>71.5</v>
      </c>
      <c r="X480" s="191">
        <v>71.5</v>
      </c>
      <c r="Y480" s="191">
        <v>4.4000000000000004</v>
      </c>
      <c r="Z480" s="191">
        <v>4.4000000000000004</v>
      </c>
      <c r="AA480" s="16"/>
      <c r="AB480" s="81"/>
      <c r="AC480" s="81">
        <v>44084</v>
      </c>
      <c r="AD480" s="81">
        <v>44090</v>
      </c>
      <c r="AE480" s="81">
        <v>44084</v>
      </c>
      <c r="AF480" s="81">
        <v>44084</v>
      </c>
      <c r="AG480" s="81" t="s">
        <v>155</v>
      </c>
      <c r="AH480" s="82">
        <v>0.95899999999999996</v>
      </c>
      <c r="AI480" s="82">
        <v>0.96199999999999997</v>
      </c>
      <c r="AJ480" s="117">
        <v>1</v>
      </c>
      <c r="AK480" s="365" t="s">
        <v>140</v>
      </c>
      <c r="AL480" s="367" t="s">
        <v>2171</v>
      </c>
      <c r="AM480" s="80"/>
      <c r="AN480" s="80"/>
    </row>
    <row r="481" spans="2:40" hidden="1">
      <c r="B481" s="246">
        <f t="shared" si="79"/>
        <v>422</v>
      </c>
      <c r="C481" s="16">
        <v>20200908</v>
      </c>
      <c r="D481" s="16" t="s">
        <v>2</v>
      </c>
      <c r="E481" s="85" t="s">
        <v>2022</v>
      </c>
      <c r="F481" s="80" t="s">
        <v>886</v>
      </c>
      <c r="G481" s="47"/>
      <c r="H481" s="16" t="s">
        <v>234</v>
      </c>
      <c r="I481" s="16" t="s">
        <v>788</v>
      </c>
      <c r="J481" s="16" t="s">
        <v>246</v>
      </c>
      <c r="K481" s="47"/>
      <c r="L481" s="80" t="s">
        <v>2021</v>
      </c>
      <c r="M481" s="47"/>
      <c r="N481" s="16"/>
      <c r="O481" s="80" t="s">
        <v>835</v>
      </c>
      <c r="P481" s="80" t="s">
        <v>865</v>
      </c>
      <c r="Q481" s="18"/>
      <c r="R481" s="16" t="s">
        <v>201</v>
      </c>
      <c r="S481" s="16" t="s">
        <v>132</v>
      </c>
      <c r="T481" s="16"/>
      <c r="U481" s="16"/>
      <c r="V481" s="16"/>
      <c r="W481" s="191">
        <f>ROUND(IF(D481=Table!$C$3,Y481*Table!$C$4/8,Y481*Table!$D$4/8),3)</f>
        <v>130</v>
      </c>
      <c r="X481" s="191">
        <v>130</v>
      </c>
      <c r="Y481" s="191">
        <v>8</v>
      </c>
      <c r="Z481" s="191">
        <v>8</v>
      </c>
      <c r="AA481" s="16"/>
      <c r="AB481" s="81"/>
      <c r="AC481" s="81">
        <v>44084</v>
      </c>
      <c r="AD481" s="81">
        <v>44090</v>
      </c>
      <c r="AE481" s="81"/>
      <c r="AF481" s="81"/>
      <c r="AG481" s="81"/>
      <c r="AH481" s="82"/>
      <c r="AI481" s="82"/>
      <c r="AJ481" s="117"/>
      <c r="AK481" s="87"/>
      <c r="AL481" s="84"/>
      <c r="AM481" s="17"/>
      <c r="AN481" s="17"/>
    </row>
    <row r="482" spans="2:40" hidden="1">
      <c r="B482" s="246">
        <f t="shared" si="79"/>
        <v>423</v>
      </c>
      <c r="C482" s="16">
        <v>20200908</v>
      </c>
      <c r="D482" s="16" t="s">
        <v>2</v>
      </c>
      <c r="E482" s="85" t="s">
        <v>2022</v>
      </c>
      <c r="F482" s="80" t="s">
        <v>886</v>
      </c>
      <c r="G482" s="47"/>
      <c r="H482" s="16" t="s">
        <v>235</v>
      </c>
      <c r="I482" s="217" t="s">
        <v>789</v>
      </c>
      <c r="J482" s="16" t="s">
        <v>246</v>
      </c>
      <c r="K482" s="47"/>
      <c r="L482" s="80" t="s">
        <v>2021</v>
      </c>
      <c r="M482" s="47"/>
      <c r="N482" s="16"/>
      <c r="O482" s="80" t="s">
        <v>2002</v>
      </c>
      <c r="P482" s="80" t="s">
        <v>865</v>
      </c>
      <c r="Q482" s="18"/>
      <c r="R482" s="16" t="s">
        <v>199</v>
      </c>
      <c r="S482" s="16" t="s">
        <v>63</v>
      </c>
      <c r="T482" s="16"/>
      <c r="U482" s="16"/>
      <c r="V482" s="16"/>
      <c r="W482" s="191">
        <f>ROUND(IF(D482=Table!$C$3,Y482*Table!$C$4/8,Y482*Table!$D$4/8),3)</f>
        <v>169</v>
      </c>
      <c r="X482" s="191">
        <f t="shared" ref="X482:X497" si="80">W482</f>
        <v>169</v>
      </c>
      <c r="Y482" s="191">
        <v>10.4</v>
      </c>
      <c r="Z482" s="191">
        <f>Y482</f>
        <v>10.4</v>
      </c>
      <c r="AA482" s="16" t="s">
        <v>18</v>
      </c>
      <c r="AB482" s="81"/>
      <c r="AC482" s="81">
        <v>44084</v>
      </c>
      <c r="AD482" s="81">
        <v>44090</v>
      </c>
      <c r="AE482" s="81">
        <v>44085</v>
      </c>
      <c r="AF482" s="81">
        <v>44085</v>
      </c>
      <c r="AG482" s="81" t="s">
        <v>155</v>
      </c>
      <c r="AH482" s="82">
        <v>1</v>
      </c>
      <c r="AI482" s="82">
        <v>1</v>
      </c>
      <c r="AJ482" s="117">
        <v>0.38800000000000001</v>
      </c>
      <c r="AK482" s="87" t="s">
        <v>140</v>
      </c>
      <c r="AL482" s="84"/>
      <c r="AM482" s="17"/>
      <c r="AN482" s="17"/>
    </row>
    <row r="483" spans="2:40" hidden="1">
      <c r="B483" s="246">
        <f t="shared" si="79"/>
        <v>424</v>
      </c>
      <c r="C483" s="16">
        <v>20200908</v>
      </c>
      <c r="D483" s="16" t="s">
        <v>2</v>
      </c>
      <c r="E483" s="85" t="s">
        <v>2022</v>
      </c>
      <c r="F483" s="80" t="s">
        <v>886</v>
      </c>
      <c r="G483" s="47"/>
      <c r="H483" s="217" t="s">
        <v>236</v>
      </c>
      <c r="I483" s="217" t="s">
        <v>790</v>
      </c>
      <c r="J483" s="16" t="s">
        <v>246</v>
      </c>
      <c r="K483" s="47"/>
      <c r="L483" s="80" t="s">
        <v>2021</v>
      </c>
      <c r="M483" s="47"/>
      <c r="N483" s="16"/>
      <c r="O483" s="80" t="s">
        <v>1734</v>
      </c>
      <c r="P483" s="80" t="s">
        <v>865</v>
      </c>
      <c r="Q483" s="18"/>
      <c r="R483" s="16" t="s">
        <v>199</v>
      </c>
      <c r="S483" s="16" t="s">
        <v>63</v>
      </c>
      <c r="T483" s="16"/>
      <c r="U483" s="16"/>
      <c r="V483" s="16"/>
      <c r="W483" s="191">
        <f>ROUND(IF(D483=Table!$C$3,Y483*Table!$C$4/8,Y483*Table!$D$4/8),3)</f>
        <v>84.5</v>
      </c>
      <c r="X483" s="191">
        <f t="shared" si="80"/>
        <v>84.5</v>
      </c>
      <c r="Y483" s="191">
        <v>5.2</v>
      </c>
      <c r="Z483" s="191">
        <f>Y483</f>
        <v>5.2</v>
      </c>
      <c r="AA483" s="16" t="s">
        <v>18</v>
      </c>
      <c r="AB483" s="81"/>
      <c r="AC483" s="81">
        <v>44084</v>
      </c>
      <c r="AD483" s="81">
        <v>44090</v>
      </c>
      <c r="AE483" s="81">
        <v>44084</v>
      </c>
      <c r="AF483" s="81">
        <v>44084</v>
      </c>
      <c r="AG483" s="81" t="s">
        <v>155</v>
      </c>
      <c r="AH483" s="82">
        <v>1</v>
      </c>
      <c r="AI483" s="82">
        <v>1</v>
      </c>
      <c r="AJ483" s="117">
        <v>0.30599999999999999</v>
      </c>
      <c r="AK483" s="87" t="s">
        <v>140</v>
      </c>
      <c r="AL483" s="84"/>
      <c r="AM483" s="17"/>
      <c r="AN483" s="17"/>
    </row>
    <row r="484" spans="2:40" hidden="1">
      <c r="B484" s="246">
        <f t="shared" si="79"/>
        <v>425</v>
      </c>
      <c r="C484" s="16">
        <v>20200908</v>
      </c>
      <c r="D484" s="16" t="s">
        <v>2</v>
      </c>
      <c r="E484" s="85" t="s">
        <v>2022</v>
      </c>
      <c r="F484" s="80" t="s">
        <v>886</v>
      </c>
      <c r="G484" s="47"/>
      <c r="H484" s="217" t="s">
        <v>237</v>
      </c>
      <c r="I484" s="217" t="s">
        <v>795</v>
      </c>
      <c r="J484" s="16" t="s">
        <v>246</v>
      </c>
      <c r="K484" s="47"/>
      <c r="L484" s="80" t="s">
        <v>2021</v>
      </c>
      <c r="M484" s="47"/>
      <c r="N484" s="16"/>
      <c r="O484" s="80" t="s">
        <v>842</v>
      </c>
      <c r="P484" s="80" t="s">
        <v>866</v>
      </c>
      <c r="Q484" s="18"/>
      <c r="R484" s="16" t="s">
        <v>199</v>
      </c>
      <c r="S484" s="16" t="s">
        <v>63</v>
      </c>
      <c r="T484" s="16"/>
      <c r="U484" s="16"/>
      <c r="V484" s="16"/>
      <c r="W484" s="191">
        <f>ROUND(IF(D484=Table!$C$3,Y484*Table!$C$4/8,Y484*Table!$D$4/8),3)</f>
        <v>52</v>
      </c>
      <c r="X484" s="191">
        <f t="shared" si="80"/>
        <v>52</v>
      </c>
      <c r="Y484" s="191">
        <v>3.2</v>
      </c>
      <c r="Z484" s="191">
        <v>5.2</v>
      </c>
      <c r="AA484" s="16" t="s">
        <v>18</v>
      </c>
      <c r="AB484" s="81">
        <v>44084</v>
      </c>
      <c r="AC484" s="81">
        <v>44084</v>
      </c>
      <c r="AD484" s="81">
        <v>44090</v>
      </c>
      <c r="AE484" s="81">
        <v>44084</v>
      </c>
      <c r="AF484" s="81">
        <v>44084</v>
      </c>
      <c r="AG484" s="81" t="s">
        <v>155</v>
      </c>
      <c r="AH484" s="82">
        <v>1</v>
      </c>
      <c r="AI484" s="82">
        <v>1</v>
      </c>
      <c r="AJ484" s="117">
        <v>0.24299999999999999</v>
      </c>
      <c r="AK484" s="87" t="s">
        <v>140</v>
      </c>
      <c r="AL484" s="84"/>
      <c r="AM484" s="17"/>
      <c r="AN484" s="17"/>
    </row>
    <row r="485" spans="2:40" hidden="1">
      <c r="B485" s="246">
        <f t="shared" si="79"/>
        <v>426</v>
      </c>
      <c r="C485" s="16">
        <v>20200908</v>
      </c>
      <c r="D485" s="16" t="s">
        <v>2</v>
      </c>
      <c r="E485" s="85" t="s">
        <v>2022</v>
      </c>
      <c r="F485" s="80" t="s">
        <v>886</v>
      </c>
      <c r="G485" s="47"/>
      <c r="H485" s="217" t="s">
        <v>238</v>
      </c>
      <c r="I485" s="217" t="s">
        <v>796</v>
      </c>
      <c r="J485" s="16" t="s">
        <v>246</v>
      </c>
      <c r="K485" s="47"/>
      <c r="L485" s="80" t="s">
        <v>2021</v>
      </c>
      <c r="M485" s="47"/>
      <c r="N485" s="16"/>
      <c r="O485" s="80" t="s">
        <v>209</v>
      </c>
      <c r="P485" s="80" t="s">
        <v>865</v>
      </c>
      <c r="Q485" s="18"/>
      <c r="R485" s="16" t="s">
        <v>199</v>
      </c>
      <c r="S485" s="16" t="s">
        <v>63</v>
      </c>
      <c r="T485" s="16"/>
      <c r="U485" s="16"/>
      <c r="V485" s="16"/>
      <c r="W485" s="191">
        <f>ROUND(IF(D485=Table!$C$3,Y485*Table!$C$4/8,Y485*Table!$D$4/8),3)</f>
        <v>26</v>
      </c>
      <c r="X485" s="191">
        <f t="shared" si="80"/>
        <v>26</v>
      </c>
      <c r="Y485" s="191">
        <v>1.6</v>
      </c>
      <c r="Z485" s="191">
        <v>5.2</v>
      </c>
      <c r="AA485" s="16" t="s">
        <v>18</v>
      </c>
      <c r="AB485" s="81">
        <v>44084</v>
      </c>
      <c r="AC485" s="81">
        <v>44084</v>
      </c>
      <c r="AD485" s="81">
        <v>44090</v>
      </c>
      <c r="AE485" s="81">
        <v>44084</v>
      </c>
      <c r="AF485" s="81">
        <v>44084</v>
      </c>
      <c r="AG485" s="81" t="s">
        <v>155</v>
      </c>
      <c r="AH485" s="82">
        <v>1</v>
      </c>
      <c r="AI485" s="82">
        <v>1</v>
      </c>
      <c r="AJ485" s="117">
        <v>0.121</v>
      </c>
      <c r="AK485" s="87" t="s">
        <v>140</v>
      </c>
      <c r="AL485" s="84"/>
      <c r="AM485" s="17"/>
      <c r="AN485" s="17"/>
    </row>
    <row r="486" spans="2:40" hidden="1">
      <c r="B486" s="246">
        <f t="shared" si="79"/>
        <v>427</v>
      </c>
      <c r="C486" s="16">
        <v>20200908</v>
      </c>
      <c r="D486" s="16" t="s">
        <v>2</v>
      </c>
      <c r="E486" s="85" t="s">
        <v>2022</v>
      </c>
      <c r="F486" s="80" t="s">
        <v>886</v>
      </c>
      <c r="G486" s="47"/>
      <c r="H486" s="217" t="s">
        <v>239</v>
      </c>
      <c r="I486" s="217" t="s">
        <v>1985</v>
      </c>
      <c r="J486" s="16" t="s">
        <v>208</v>
      </c>
      <c r="K486" s="47"/>
      <c r="L486" s="80" t="s">
        <v>2021</v>
      </c>
      <c r="M486" s="47"/>
      <c r="N486" s="16"/>
      <c r="O486" s="80" t="s">
        <v>170</v>
      </c>
      <c r="P486" s="80" t="s">
        <v>2015</v>
      </c>
      <c r="Q486" s="18"/>
      <c r="R486" s="16" t="s">
        <v>199</v>
      </c>
      <c r="S486" s="16" t="s">
        <v>63</v>
      </c>
      <c r="T486" s="16"/>
      <c r="U486" s="16"/>
      <c r="V486" s="16"/>
      <c r="W486" s="191">
        <f>ROUND(IF(D486=Table!$C$3,Y486*Table!$C$4/8,Y486*Table!$D$4/8),3)</f>
        <v>26</v>
      </c>
      <c r="X486" s="191">
        <f t="shared" si="80"/>
        <v>26</v>
      </c>
      <c r="Y486" s="191">
        <v>1.6</v>
      </c>
      <c r="Z486" s="191">
        <v>5.2</v>
      </c>
      <c r="AA486" s="16" t="s">
        <v>18</v>
      </c>
      <c r="AB486" s="81"/>
      <c r="AC486" s="81">
        <v>44084</v>
      </c>
      <c r="AD486" s="81">
        <v>44090</v>
      </c>
      <c r="AE486" s="81">
        <v>44084</v>
      </c>
      <c r="AF486" s="81">
        <v>44084</v>
      </c>
      <c r="AG486" s="81" t="s">
        <v>155</v>
      </c>
      <c r="AH486" s="82">
        <v>1</v>
      </c>
      <c r="AI486" s="82">
        <v>1</v>
      </c>
      <c r="AJ486" s="117">
        <v>0.5</v>
      </c>
      <c r="AK486" s="87" t="s">
        <v>140</v>
      </c>
      <c r="AL486" s="84"/>
      <c r="AM486" s="17"/>
      <c r="AN486" s="17"/>
    </row>
    <row r="487" spans="2:40" hidden="1">
      <c r="B487" s="246">
        <f t="shared" si="79"/>
        <v>428</v>
      </c>
      <c r="C487" s="16">
        <v>20200908</v>
      </c>
      <c r="D487" s="16" t="s">
        <v>2</v>
      </c>
      <c r="E487" s="85" t="s">
        <v>2022</v>
      </c>
      <c r="F487" s="80" t="s">
        <v>886</v>
      </c>
      <c r="G487" s="47"/>
      <c r="H487" s="217" t="s">
        <v>240</v>
      </c>
      <c r="I487" s="217" t="s">
        <v>802</v>
      </c>
      <c r="J487" s="16" t="s">
        <v>246</v>
      </c>
      <c r="K487" s="47"/>
      <c r="L487" s="80" t="s">
        <v>2021</v>
      </c>
      <c r="M487" s="47"/>
      <c r="N487" s="16"/>
      <c r="O487" s="80" t="s">
        <v>2003</v>
      </c>
      <c r="P487" s="80" t="s">
        <v>873</v>
      </c>
      <c r="Q487" s="18"/>
      <c r="R487" s="16" t="s">
        <v>199</v>
      </c>
      <c r="S487" s="16" t="s">
        <v>63</v>
      </c>
      <c r="T487" s="16"/>
      <c r="U487" s="16"/>
      <c r="V487" s="16"/>
      <c r="W487" s="191">
        <f>ROUND(IF(D487=Table!$C$3,Y487*Table!$C$4/8,Y487*Table!$D$4/8),3)</f>
        <v>26</v>
      </c>
      <c r="X487" s="191">
        <f t="shared" si="80"/>
        <v>26</v>
      </c>
      <c r="Y487" s="191">
        <v>1.6</v>
      </c>
      <c r="Z487" s="191">
        <v>5.2</v>
      </c>
      <c r="AA487" s="16" t="s">
        <v>18</v>
      </c>
      <c r="AB487" s="81">
        <v>44084</v>
      </c>
      <c r="AC487" s="81">
        <v>44084</v>
      </c>
      <c r="AD487" s="81" t="s">
        <v>155</v>
      </c>
      <c r="AE487" s="81">
        <v>44084</v>
      </c>
      <c r="AF487" s="81">
        <v>44084</v>
      </c>
      <c r="AG487" s="81" t="s">
        <v>155</v>
      </c>
      <c r="AH487" s="82">
        <v>1</v>
      </c>
      <c r="AI487" s="82">
        <v>1</v>
      </c>
      <c r="AJ487" s="117">
        <v>0</v>
      </c>
      <c r="AK487" s="87" t="s">
        <v>140</v>
      </c>
      <c r="AL487" s="84"/>
      <c r="AM487" s="17"/>
      <c r="AN487" s="17"/>
    </row>
    <row r="488" spans="2:40" hidden="1">
      <c r="B488" s="246">
        <f t="shared" si="79"/>
        <v>429</v>
      </c>
      <c r="C488" s="16">
        <v>20200908</v>
      </c>
      <c r="D488" s="16" t="s">
        <v>3</v>
      </c>
      <c r="E488" s="85" t="s">
        <v>2022</v>
      </c>
      <c r="F488" s="80" t="s">
        <v>887</v>
      </c>
      <c r="G488" s="47"/>
      <c r="H488" s="16" t="s">
        <v>1358</v>
      </c>
      <c r="I488" s="217" t="s">
        <v>395</v>
      </c>
      <c r="J488" s="16" t="s">
        <v>246</v>
      </c>
      <c r="K488" s="47"/>
      <c r="L488" s="80" t="s">
        <v>2021</v>
      </c>
      <c r="M488" s="47"/>
      <c r="N488" s="16"/>
      <c r="O488" s="80" t="s">
        <v>2004</v>
      </c>
      <c r="P488" s="80" t="s">
        <v>620</v>
      </c>
      <c r="Q488" s="18"/>
      <c r="R488" s="16" t="s">
        <v>199</v>
      </c>
      <c r="S488" s="16" t="s">
        <v>63</v>
      </c>
      <c r="T488" s="16"/>
      <c r="U488" s="16"/>
      <c r="V488" s="16"/>
      <c r="W488" s="191">
        <f>ROUND(IF(D488=Table!$C$3,Y488*Table!$C$4/8,Y488*Table!$D$4/8),3)</f>
        <v>112.5</v>
      </c>
      <c r="X488" s="191">
        <f t="shared" si="80"/>
        <v>112.5</v>
      </c>
      <c r="Y488" s="191">
        <v>2</v>
      </c>
      <c r="Z488" s="191"/>
      <c r="AA488" s="346" t="s">
        <v>18</v>
      </c>
      <c r="AB488" s="81">
        <v>44083</v>
      </c>
      <c r="AC488" s="81">
        <v>44083</v>
      </c>
      <c r="AD488" s="81" t="s">
        <v>155</v>
      </c>
      <c r="AE488" s="81">
        <v>44083</v>
      </c>
      <c r="AF488" s="81">
        <v>44083</v>
      </c>
      <c r="AG488" s="81" t="s">
        <v>155</v>
      </c>
      <c r="AH488" s="82">
        <v>1</v>
      </c>
      <c r="AI488" s="82">
        <v>1</v>
      </c>
      <c r="AJ488" s="117">
        <v>0.6</v>
      </c>
      <c r="AK488" s="87" t="s">
        <v>140</v>
      </c>
      <c r="AL488" s="84"/>
      <c r="AM488" s="17"/>
      <c r="AN488" s="17"/>
    </row>
    <row r="489" spans="2:40" hidden="1">
      <c r="B489" s="246">
        <f t="shared" si="79"/>
        <v>430</v>
      </c>
      <c r="C489" s="16">
        <v>20200908</v>
      </c>
      <c r="D489" s="16" t="s">
        <v>3</v>
      </c>
      <c r="E489" s="85" t="s">
        <v>2022</v>
      </c>
      <c r="F489" s="80" t="s">
        <v>887</v>
      </c>
      <c r="G489" s="47"/>
      <c r="H489" s="16" t="s">
        <v>1461</v>
      </c>
      <c r="I489" s="16" t="s">
        <v>592</v>
      </c>
      <c r="J489" s="16" t="s">
        <v>246</v>
      </c>
      <c r="K489" s="47"/>
      <c r="L489" s="80" t="s">
        <v>2021</v>
      </c>
      <c r="M489" s="47"/>
      <c r="N489" s="16"/>
      <c r="O489" s="80" t="s">
        <v>2005</v>
      </c>
      <c r="P489" s="80" t="s">
        <v>620</v>
      </c>
      <c r="Q489" s="18"/>
      <c r="R489" s="16" t="s">
        <v>202</v>
      </c>
      <c r="S489" s="16" t="s">
        <v>61</v>
      </c>
      <c r="T489" s="16"/>
      <c r="U489" s="16"/>
      <c r="V489" s="16"/>
      <c r="W489" s="191">
        <f>ROUND(IF(D489=Table!$C$3,Y489*Table!$C$4/8,Y489*Table!$D$4/8),3)</f>
        <v>54</v>
      </c>
      <c r="X489" s="191">
        <f t="shared" si="80"/>
        <v>54</v>
      </c>
      <c r="Y489" s="191">
        <v>0.96</v>
      </c>
      <c r="Z489" s="191"/>
      <c r="AA489" s="16" t="s">
        <v>18</v>
      </c>
      <c r="AB489" s="81"/>
      <c r="AC489" s="81">
        <v>44084</v>
      </c>
      <c r="AD489" s="81">
        <v>44090</v>
      </c>
      <c r="AE489" s="81">
        <v>44084</v>
      </c>
      <c r="AF489" s="81">
        <v>44084</v>
      </c>
      <c r="AG489" s="81" t="s">
        <v>155</v>
      </c>
      <c r="AH489" s="82">
        <v>1</v>
      </c>
      <c r="AI489" s="82">
        <v>1</v>
      </c>
      <c r="AJ489" s="117">
        <v>0.83</v>
      </c>
      <c r="AK489" s="87"/>
      <c r="AL489" s="84"/>
      <c r="AM489" s="17"/>
      <c r="AN489" s="17"/>
    </row>
    <row r="490" spans="2:40" hidden="1">
      <c r="B490" s="246">
        <f t="shared" si="79"/>
        <v>431</v>
      </c>
      <c r="C490" s="16">
        <v>20200908</v>
      </c>
      <c r="D490" s="16" t="s">
        <v>3</v>
      </c>
      <c r="E490" s="85" t="s">
        <v>2022</v>
      </c>
      <c r="F490" s="80" t="s">
        <v>887</v>
      </c>
      <c r="G490" s="47"/>
      <c r="H490" s="16" t="s">
        <v>1462</v>
      </c>
      <c r="I490" s="16" t="s">
        <v>807</v>
      </c>
      <c r="J490" s="16" t="s">
        <v>246</v>
      </c>
      <c r="K490" s="47"/>
      <c r="L490" s="80" t="s">
        <v>2021</v>
      </c>
      <c r="M490" s="47"/>
      <c r="N490" s="16"/>
      <c r="O490" s="80" t="s">
        <v>2006</v>
      </c>
      <c r="P490" s="80" t="s">
        <v>620</v>
      </c>
      <c r="Q490" s="18"/>
      <c r="R490" s="16" t="s">
        <v>202</v>
      </c>
      <c r="S490" s="16" t="s">
        <v>61</v>
      </c>
      <c r="T490" s="16"/>
      <c r="U490" s="16"/>
      <c r="V490" s="16"/>
      <c r="W490" s="191">
        <f>ROUND(IF(D490=Table!$C$3,Y490*Table!$C$4/8,Y490*Table!$D$4/8),3)</f>
        <v>67.5</v>
      </c>
      <c r="X490" s="191">
        <f t="shared" si="80"/>
        <v>67.5</v>
      </c>
      <c r="Y490" s="191">
        <v>1.2</v>
      </c>
      <c r="Z490" s="191"/>
      <c r="AA490" s="16" t="s">
        <v>18</v>
      </c>
      <c r="AB490" s="81"/>
      <c r="AC490" s="81">
        <v>44084</v>
      </c>
      <c r="AD490" s="81">
        <v>44090</v>
      </c>
      <c r="AE490" s="81">
        <v>44084</v>
      </c>
      <c r="AF490" s="81">
        <v>44084</v>
      </c>
      <c r="AG490" s="81" t="s">
        <v>155</v>
      </c>
      <c r="AH490" s="82">
        <v>1</v>
      </c>
      <c r="AI490" s="82">
        <v>1</v>
      </c>
      <c r="AJ490" s="117">
        <v>1</v>
      </c>
      <c r="AK490" s="87"/>
      <c r="AL490" s="84"/>
      <c r="AM490" s="17"/>
      <c r="AN490" s="17"/>
    </row>
    <row r="491" spans="2:40" hidden="1">
      <c r="B491" s="246">
        <f t="shared" si="79"/>
        <v>432</v>
      </c>
      <c r="C491" s="16">
        <v>20200908</v>
      </c>
      <c r="D491" s="16" t="s">
        <v>3</v>
      </c>
      <c r="E491" s="85" t="s">
        <v>2022</v>
      </c>
      <c r="F491" s="80" t="s">
        <v>887</v>
      </c>
      <c r="G491" s="47"/>
      <c r="H491" s="16" t="s">
        <v>1463</v>
      </c>
      <c r="I491" s="16" t="s">
        <v>808</v>
      </c>
      <c r="J491" s="16" t="s">
        <v>246</v>
      </c>
      <c r="K491" s="47"/>
      <c r="L491" s="80" t="s">
        <v>2021</v>
      </c>
      <c r="M491" s="47"/>
      <c r="N491" s="16"/>
      <c r="O491" s="80" t="s">
        <v>2007</v>
      </c>
      <c r="P491" s="80" t="s">
        <v>2017</v>
      </c>
      <c r="Q491" s="18"/>
      <c r="R491" s="16" t="s">
        <v>202</v>
      </c>
      <c r="S491" s="16" t="s">
        <v>61</v>
      </c>
      <c r="T491" s="16"/>
      <c r="U491" s="16"/>
      <c r="V491" s="16"/>
      <c r="W491" s="191">
        <f>ROUND(IF(D491=Table!$C$3,Y491*Table!$C$4/8,Y491*Table!$D$4/8),3)</f>
        <v>54</v>
      </c>
      <c r="X491" s="191">
        <f t="shared" si="80"/>
        <v>54</v>
      </c>
      <c r="Y491" s="191">
        <v>0.96</v>
      </c>
      <c r="Z491" s="191"/>
      <c r="AA491" s="16" t="s">
        <v>18</v>
      </c>
      <c r="AB491" s="81"/>
      <c r="AC491" s="81">
        <v>44084</v>
      </c>
      <c r="AD491" s="81">
        <v>44090</v>
      </c>
      <c r="AE491" s="81">
        <v>44084</v>
      </c>
      <c r="AF491" s="81">
        <v>44084</v>
      </c>
      <c r="AG491" s="81" t="s">
        <v>155</v>
      </c>
      <c r="AH491" s="82">
        <v>1</v>
      </c>
      <c r="AI491" s="82">
        <v>1</v>
      </c>
      <c r="AJ491" s="117">
        <v>1</v>
      </c>
      <c r="AK491" s="87"/>
      <c r="AL491" s="84"/>
      <c r="AM491" s="17"/>
      <c r="AN491" s="17"/>
    </row>
    <row r="492" spans="2:40" hidden="1">
      <c r="B492" s="246">
        <f t="shared" si="79"/>
        <v>433</v>
      </c>
      <c r="C492" s="16">
        <v>20200908</v>
      </c>
      <c r="D492" s="16" t="s">
        <v>3</v>
      </c>
      <c r="E492" s="85" t="s">
        <v>2022</v>
      </c>
      <c r="F492" s="80" t="s">
        <v>889</v>
      </c>
      <c r="G492" s="47"/>
      <c r="H492" s="16" t="s">
        <v>611</v>
      </c>
      <c r="I492" s="16" t="s">
        <v>1986</v>
      </c>
      <c r="J492" s="16" t="s">
        <v>246</v>
      </c>
      <c r="K492" s="47"/>
      <c r="L492" s="80" t="s">
        <v>2021</v>
      </c>
      <c r="M492" s="47"/>
      <c r="N492" s="16"/>
      <c r="O492" s="80" t="s">
        <v>2008</v>
      </c>
      <c r="P492" s="80" t="s">
        <v>873</v>
      </c>
      <c r="Q492" s="18"/>
      <c r="R492" s="16" t="s">
        <v>202</v>
      </c>
      <c r="S492" s="16" t="s">
        <v>61</v>
      </c>
      <c r="T492" s="16"/>
      <c r="U492" s="16"/>
      <c r="V492" s="16"/>
      <c r="W492" s="191">
        <f>ROUND(IF(D492=Table!$C$3,Y492*Table!$C$4/8,Y492*Table!$D$4/8),3)</f>
        <v>54</v>
      </c>
      <c r="X492" s="191">
        <f t="shared" si="80"/>
        <v>54</v>
      </c>
      <c r="Y492" s="191">
        <v>0.96</v>
      </c>
      <c r="Z492" s="191"/>
      <c r="AA492" s="16" t="s">
        <v>18</v>
      </c>
      <c r="AB492" s="81"/>
      <c r="AC492" s="81">
        <v>44084</v>
      </c>
      <c r="AD492" s="81">
        <v>44090</v>
      </c>
      <c r="AE492" s="81">
        <v>44084</v>
      </c>
      <c r="AF492" s="81">
        <v>44084</v>
      </c>
      <c r="AG492" s="81" t="s">
        <v>155</v>
      </c>
      <c r="AH492" s="82">
        <v>0.94</v>
      </c>
      <c r="AI492" s="82">
        <v>1</v>
      </c>
      <c r="AJ492" s="117">
        <v>1</v>
      </c>
      <c r="AK492" s="87"/>
      <c r="AL492" s="84" t="s">
        <v>2170</v>
      </c>
      <c r="AM492" s="17"/>
      <c r="AN492" s="17"/>
    </row>
    <row r="493" spans="2:40" hidden="1">
      <c r="B493" s="246">
        <f t="shared" si="79"/>
        <v>434</v>
      </c>
      <c r="C493" s="16">
        <v>20200908</v>
      </c>
      <c r="D493" s="16" t="s">
        <v>3</v>
      </c>
      <c r="E493" s="85" t="s">
        <v>2022</v>
      </c>
      <c r="F493" s="80" t="s">
        <v>890</v>
      </c>
      <c r="G493" s="47"/>
      <c r="H493" s="16" t="s">
        <v>1040</v>
      </c>
      <c r="I493" s="16" t="s">
        <v>400</v>
      </c>
      <c r="J493" s="16" t="s">
        <v>246</v>
      </c>
      <c r="K493" s="47"/>
      <c r="L493" s="80" t="s">
        <v>2021</v>
      </c>
      <c r="M493" s="47"/>
      <c r="N493" s="16"/>
      <c r="O493" s="80" t="s">
        <v>2009</v>
      </c>
      <c r="P493" s="80" t="s">
        <v>873</v>
      </c>
      <c r="Q493" s="18"/>
      <c r="R493" s="16" t="s">
        <v>202</v>
      </c>
      <c r="S493" s="16" t="s">
        <v>61</v>
      </c>
      <c r="T493" s="16"/>
      <c r="U493" s="16"/>
      <c r="V493" s="16"/>
      <c r="W493" s="191">
        <f>ROUND(IF(D493=Table!$C$3,Y493*Table!$C$4/8,Y493*Table!$D$4/8),3)</f>
        <v>54</v>
      </c>
      <c r="X493" s="191">
        <f t="shared" si="80"/>
        <v>54</v>
      </c>
      <c r="Y493" s="191">
        <v>0.96</v>
      </c>
      <c r="Z493" s="191"/>
      <c r="AA493" s="16" t="s">
        <v>18</v>
      </c>
      <c r="AB493" s="81"/>
      <c r="AC493" s="81">
        <v>44084</v>
      </c>
      <c r="AD493" s="81">
        <v>44090</v>
      </c>
      <c r="AE493" s="81">
        <v>44084</v>
      </c>
      <c r="AF493" s="81">
        <v>44084</v>
      </c>
      <c r="AG493" s="81" t="s">
        <v>155</v>
      </c>
      <c r="AH493" s="82">
        <v>1</v>
      </c>
      <c r="AI493" s="82">
        <v>1</v>
      </c>
      <c r="AJ493" s="117">
        <v>0.8</v>
      </c>
      <c r="AK493" s="87"/>
      <c r="AL493" s="84"/>
      <c r="AM493" s="17"/>
      <c r="AN493" s="17"/>
    </row>
    <row r="494" spans="2:40" hidden="1">
      <c r="B494" s="246">
        <f t="shared" si="79"/>
        <v>435</v>
      </c>
      <c r="C494" s="16">
        <v>20200908</v>
      </c>
      <c r="D494" s="16" t="s">
        <v>3</v>
      </c>
      <c r="E494" s="85" t="s">
        <v>2022</v>
      </c>
      <c r="F494" s="80" t="s">
        <v>890</v>
      </c>
      <c r="G494" s="47"/>
      <c r="H494" s="16" t="s">
        <v>223</v>
      </c>
      <c r="I494" s="16" t="s">
        <v>1987</v>
      </c>
      <c r="J494" s="16" t="s">
        <v>246</v>
      </c>
      <c r="K494" s="47"/>
      <c r="L494" s="80" t="s">
        <v>2021</v>
      </c>
      <c r="M494" s="47"/>
      <c r="N494" s="16"/>
      <c r="O494" s="80" t="s">
        <v>2010</v>
      </c>
      <c r="P494" s="80" t="s">
        <v>873</v>
      </c>
      <c r="Q494" s="18"/>
      <c r="R494" s="16" t="s">
        <v>202</v>
      </c>
      <c r="S494" s="16" t="s">
        <v>61</v>
      </c>
      <c r="T494" s="16"/>
      <c r="U494" s="16"/>
      <c r="V494" s="16"/>
      <c r="W494" s="191">
        <f>ROUND(IF(D494=Table!$C$3,Y494*Table!$C$4/8,Y494*Table!$D$4/8),3)</f>
        <v>54</v>
      </c>
      <c r="X494" s="191">
        <f t="shared" si="80"/>
        <v>54</v>
      </c>
      <c r="Y494" s="191">
        <v>0.96</v>
      </c>
      <c r="Z494" s="191"/>
      <c r="AA494" s="16" t="s">
        <v>18</v>
      </c>
      <c r="AB494" s="81"/>
      <c r="AC494" s="81">
        <v>44084</v>
      </c>
      <c r="AD494" s="81">
        <v>44090</v>
      </c>
      <c r="AE494" s="81">
        <v>44084</v>
      </c>
      <c r="AF494" s="81">
        <v>44084</v>
      </c>
      <c r="AG494" s="81" t="s">
        <v>155</v>
      </c>
      <c r="AH494" s="82">
        <v>1</v>
      </c>
      <c r="AI494" s="82">
        <v>1</v>
      </c>
      <c r="AJ494" s="117">
        <v>1</v>
      </c>
      <c r="AK494" s="87"/>
      <c r="AL494" s="208"/>
      <c r="AM494" s="17"/>
      <c r="AN494" s="17"/>
    </row>
    <row r="495" spans="2:40" hidden="1">
      <c r="B495" s="246">
        <f t="shared" si="79"/>
        <v>436</v>
      </c>
      <c r="C495" s="16">
        <v>20200908</v>
      </c>
      <c r="D495" s="16" t="s">
        <v>3</v>
      </c>
      <c r="E495" s="85" t="s">
        <v>2022</v>
      </c>
      <c r="F495" s="80" t="s">
        <v>890</v>
      </c>
      <c r="G495" s="47"/>
      <c r="H495" s="16" t="s">
        <v>2018</v>
      </c>
      <c r="I495" s="16" t="s">
        <v>813</v>
      </c>
      <c r="J495" s="16" t="s">
        <v>246</v>
      </c>
      <c r="K495" s="47"/>
      <c r="L495" s="80" t="s">
        <v>2021</v>
      </c>
      <c r="M495" s="47"/>
      <c r="N495" s="16"/>
      <c r="O495" s="80" t="s">
        <v>858</v>
      </c>
      <c r="P495" s="80" t="s">
        <v>873</v>
      </c>
      <c r="Q495" s="18"/>
      <c r="R495" s="16" t="s">
        <v>202</v>
      </c>
      <c r="S495" s="16" t="s">
        <v>61</v>
      </c>
      <c r="T495" s="16"/>
      <c r="U495" s="16"/>
      <c r="V495" s="16"/>
      <c r="W495" s="191">
        <f>ROUND(IF(D495=Table!$C$3,Y495*Table!$C$4/8,Y495*Table!$D$4/8),3)</f>
        <v>157.5</v>
      </c>
      <c r="X495" s="191">
        <f t="shared" si="80"/>
        <v>157.5</v>
      </c>
      <c r="Y495" s="191">
        <v>2.8</v>
      </c>
      <c r="Z495" s="191"/>
      <c r="AA495" s="16" t="s">
        <v>18</v>
      </c>
      <c r="AB495" s="81"/>
      <c r="AC495" s="81">
        <v>44084</v>
      </c>
      <c r="AD495" s="81">
        <v>44090</v>
      </c>
      <c r="AE495" s="77">
        <v>44084</v>
      </c>
      <c r="AF495" s="77">
        <v>44084</v>
      </c>
      <c r="AG495" s="77" t="s">
        <v>155</v>
      </c>
      <c r="AH495" s="89">
        <v>1</v>
      </c>
      <c r="AI495" s="89">
        <v>1</v>
      </c>
      <c r="AJ495" s="89">
        <v>0.3</v>
      </c>
      <c r="AK495" s="214"/>
      <c r="AL495" s="84"/>
      <c r="AM495" s="17"/>
      <c r="AN495" s="17"/>
    </row>
    <row r="496" spans="2:40" hidden="1">
      <c r="B496" s="246">
        <f t="shared" si="79"/>
        <v>437</v>
      </c>
      <c r="C496" s="16">
        <v>20200908</v>
      </c>
      <c r="D496" s="16" t="s">
        <v>3</v>
      </c>
      <c r="E496" s="85" t="s">
        <v>2022</v>
      </c>
      <c r="F496" s="80" t="s">
        <v>890</v>
      </c>
      <c r="G496" s="47"/>
      <c r="H496" s="16" t="s">
        <v>277</v>
      </c>
      <c r="I496" s="16" t="s">
        <v>405</v>
      </c>
      <c r="J496" s="16" t="s">
        <v>246</v>
      </c>
      <c r="K496" s="47"/>
      <c r="L496" s="80" t="s">
        <v>2021</v>
      </c>
      <c r="M496" s="47"/>
      <c r="N496" s="16"/>
      <c r="O496" s="80" t="s">
        <v>859</v>
      </c>
      <c r="P496" s="80" t="s">
        <v>620</v>
      </c>
      <c r="Q496" s="18"/>
      <c r="R496" s="16" t="s">
        <v>202</v>
      </c>
      <c r="S496" s="16" t="s">
        <v>61</v>
      </c>
      <c r="T496" s="16"/>
      <c r="U496" s="16"/>
      <c r="V496" s="16"/>
      <c r="W496" s="191">
        <f>ROUND(IF(D496=Table!$C$3,Y496*Table!$C$4/8,Y496*Table!$D$4/8),3)</f>
        <v>157.5</v>
      </c>
      <c r="X496" s="191">
        <f t="shared" si="80"/>
        <v>157.5</v>
      </c>
      <c r="Y496" s="191">
        <v>2.8</v>
      </c>
      <c r="Z496" s="191"/>
      <c r="AA496" s="16" t="s">
        <v>18</v>
      </c>
      <c r="AB496" s="81"/>
      <c r="AC496" s="81">
        <v>44084</v>
      </c>
      <c r="AD496" s="81">
        <v>44090</v>
      </c>
      <c r="AE496" s="81">
        <v>44084</v>
      </c>
      <c r="AF496" s="81">
        <v>44084</v>
      </c>
      <c r="AG496" s="81" t="s">
        <v>155</v>
      </c>
      <c r="AH496" s="82">
        <v>1</v>
      </c>
      <c r="AI496" s="82">
        <v>1</v>
      </c>
      <c r="AJ496" s="117">
        <v>0.21</v>
      </c>
      <c r="AK496" s="87"/>
      <c r="AL496" s="84"/>
      <c r="AM496" s="17"/>
      <c r="AN496" s="17"/>
    </row>
    <row r="497" spans="2:40" hidden="1">
      <c r="B497" s="246">
        <f t="shared" si="79"/>
        <v>438</v>
      </c>
      <c r="C497" s="16">
        <v>20200908</v>
      </c>
      <c r="D497" s="16" t="s">
        <v>3</v>
      </c>
      <c r="E497" s="85" t="s">
        <v>2022</v>
      </c>
      <c r="F497" s="80" t="s">
        <v>890</v>
      </c>
      <c r="G497" s="47"/>
      <c r="H497" s="16" t="s">
        <v>2019</v>
      </c>
      <c r="I497" s="16" t="s">
        <v>1988</v>
      </c>
      <c r="J497" s="16" t="s">
        <v>246</v>
      </c>
      <c r="K497" s="47"/>
      <c r="L497" s="80" t="s">
        <v>2021</v>
      </c>
      <c r="M497" s="47"/>
      <c r="N497" s="16"/>
      <c r="O497" s="80" t="s">
        <v>2011</v>
      </c>
      <c r="P497" s="80"/>
      <c r="Q497" s="18"/>
      <c r="R497" s="16" t="s">
        <v>202</v>
      </c>
      <c r="S497" s="16" t="s">
        <v>61</v>
      </c>
      <c r="T497" s="16"/>
      <c r="U497" s="16"/>
      <c r="V497" s="16"/>
      <c r="W497" s="191">
        <f>ROUND(IF(D497=Table!$C$3,Y497*Table!$C$4/8,Y497*Table!$D$4/8),3)</f>
        <v>90</v>
      </c>
      <c r="X497" s="191">
        <f t="shared" si="80"/>
        <v>90</v>
      </c>
      <c r="Y497" s="191">
        <v>1.6</v>
      </c>
      <c r="Z497" s="191"/>
      <c r="AA497" s="16" t="s">
        <v>18</v>
      </c>
      <c r="AB497" s="81"/>
      <c r="AC497" s="81">
        <v>44084</v>
      </c>
      <c r="AD497" s="81">
        <v>44090</v>
      </c>
      <c r="AE497" s="81">
        <v>44084</v>
      </c>
      <c r="AF497" s="81">
        <v>44084</v>
      </c>
      <c r="AG497" s="81" t="s">
        <v>155</v>
      </c>
      <c r="AH497" s="82">
        <v>1</v>
      </c>
      <c r="AI497" s="82">
        <v>1</v>
      </c>
      <c r="AJ497" s="117">
        <v>0.5</v>
      </c>
      <c r="AK497" s="87"/>
      <c r="AL497" s="84"/>
      <c r="AM497" s="17"/>
      <c r="AN497" s="17"/>
    </row>
    <row r="498" spans="2:40" hidden="1">
      <c r="B498" s="331">
        <f t="shared" si="79"/>
        <v>439</v>
      </c>
      <c r="C498" s="16">
        <v>20200909</v>
      </c>
      <c r="D498" s="16" t="s">
        <v>2</v>
      </c>
      <c r="E498" s="85" t="s">
        <v>2076</v>
      </c>
      <c r="F498" s="80"/>
      <c r="G498" s="47"/>
      <c r="H498" s="16" t="s">
        <v>1580</v>
      </c>
      <c r="I498" s="16" t="s">
        <v>668</v>
      </c>
      <c r="J498" s="16" t="s">
        <v>208</v>
      </c>
      <c r="K498" s="47"/>
      <c r="L498" s="80"/>
      <c r="M498" s="47"/>
      <c r="N498" s="16"/>
      <c r="O498" s="80" t="s">
        <v>2055</v>
      </c>
      <c r="P498" s="80" t="s">
        <v>2077</v>
      </c>
      <c r="Q498" s="18"/>
      <c r="R498" s="16" t="s">
        <v>197</v>
      </c>
      <c r="S498" s="16" t="s">
        <v>61</v>
      </c>
      <c r="T498" s="16"/>
      <c r="U498" s="16"/>
      <c r="V498" s="16"/>
      <c r="W498" s="191">
        <f>ROUND(IF(D498=Table!$C$3,Y498*Table!$C$4/8,Y498*Table!$D$4/8),3)</f>
        <v>26</v>
      </c>
      <c r="X498" s="191"/>
      <c r="Y498" s="191">
        <v>1.6</v>
      </c>
      <c r="Z498" s="191"/>
      <c r="AA498" s="16"/>
      <c r="AB498" s="81"/>
      <c r="AC498" s="81"/>
      <c r="AD498" s="81"/>
      <c r="AE498" s="81"/>
      <c r="AF498" s="81"/>
      <c r="AG498" s="81"/>
      <c r="AH498" s="82"/>
      <c r="AI498" s="82"/>
      <c r="AJ498" s="117"/>
      <c r="AK498" s="87"/>
      <c r="AL498" s="84"/>
      <c r="AM498" s="17"/>
      <c r="AN498" s="17"/>
    </row>
    <row r="499" spans="2:40" hidden="1">
      <c r="B499" s="331">
        <f t="shared" ref="B499:B530" si="81">B498+1</f>
        <v>440</v>
      </c>
      <c r="C499" s="16">
        <v>20200909</v>
      </c>
      <c r="D499" s="16" t="s">
        <v>2</v>
      </c>
      <c r="E499" s="85" t="s">
        <v>2076</v>
      </c>
      <c r="F499" s="80"/>
      <c r="G499" s="47"/>
      <c r="H499" s="16" t="s">
        <v>2085</v>
      </c>
      <c r="I499" s="16" t="s">
        <v>2039</v>
      </c>
      <c r="J499" s="16" t="s">
        <v>208</v>
      </c>
      <c r="K499" s="47"/>
      <c r="L499" s="80"/>
      <c r="M499" s="47"/>
      <c r="N499" s="16"/>
      <c r="O499" s="80" t="s">
        <v>2056</v>
      </c>
      <c r="P499" s="80" t="s">
        <v>2078</v>
      </c>
      <c r="Q499" s="18"/>
      <c r="R499" s="16" t="s">
        <v>197</v>
      </c>
      <c r="S499" s="16" t="s">
        <v>61</v>
      </c>
      <c r="T499" s="16"/>
      <c r="U499" s="16"/>
      <c r="V499" s="16"/>
      <c r="W499" s="191">
        <f>ROUND(IF(D499=Table!$C$3,Y499*Table!$C$4/8,Y499*Table!$D$4/8),3)</f>
        <v>81.900000000000006</v>
      </c>
      <c r="X499" s="191"/>
      <c r="Y499" s="191">
        <v>5.04</v>
      </c>
      <c r="Z499" s="191"/>
      <c r="AA499" s="16"/>
      <c r="AB499" s="81"/>
      <c r="AC499" s="81"/>
      <c r="AD499" s="81"/>
      <c r="AE499" s="81"/>
      <c r="AF499" s="81"/>
      <c r="AG499" s="81"/>
      <c r="AH499" s="82"/>
      <c r="AI499" s="82"/>
      <c r="AJ499" s="117"/>
      <c r="AK499" s="87"/>
      <c r="AL499" s="84"/>
      <c r="AM499" s="17"/>
      <c r="AN499" s="17"/>
    </row>
    <row r="500" spans="2:40" hidden="1">
      <c r="B500" s="331">
        <f t="shared" si="81"/>
        <v>441</v>
      </c>
      <c r="C500" s="16">
        <v>20200909</v>
      </c>
      <c r="D500" s="16" t="s">
        <v>2</v>
      </c>
      <c r="E500" s="85" t="s">
        <v>2076</v>
      </c>
      <c r="F500" s="80"/>
      <c r="G500" s="47"/>
      <c r="H500" s="16" t="s">
        <v>1762</v>
      </c>
      <c r="I500" s="16" t="s">
        <v>2040</v>
      </c>
      <c r="J500" s="16" t="s">
        <v>208</v>
      </c>
      <c r="K500" s="47"/>
      <c r="L500" s="80"/>
      <c r="M500" s="47"/>
      <c r="N500" s="16"/>
      <c r="O500" s="80" t="s">
        <v>2057</v>
      </c>
      <c r="P500" s="80" t="s">
        <v>2078</v>
      </c>
      <c r="Q500" s="18"/>
      <c r="R500" s="16" t="s">
        <v>198</v>
      </c>
      <c r="S500" s="16" t="s">
        <v>174</v>
      </c>
      <c r="T500" s="16"/>
      <c r="U500" s="16"/>
      <c r="V500" s="16"/>
      <c r="W500" s="191">
        <f>ROUND(IF(D500=Table!$C$3,Y500*Table!$C$4/8,Y500*Table!$D$4/8),3)</f>
        <v>70.2</v>
      </c>
      <c r="X500" s="191"/>
      <c r="Y500" s="191">
        <v>4.32</v>
      </c>
      <c r="Z500" s="191"/>
      <c r="AA500" s="16"/>
      <c r="AB500" s="81"/>
      <c r="AC500" s="81"/>
      <c r="AD500" s="81"/>
      <c r="AE500" s="81"/>
      <c r="AF500" s="81"/>
      <c r="AG500" s="81"/>
      <c r="AH500" s="82"/>
      <c r="AI500" s="82"/>
      <c r="AJ500" s="117"/>
      <c r="AK500" s="87"/>
      <c r="AL500" s="84"/>
      <c r="AM500" s="17"/>
      <c r="AN500" s="17"/>
    </row>
    <row r="501" spans="2:40" hidden="1">
      <c r="B501" s="331">
        <f t="shared" si="81"/>
        <v>442</v>
      </c>
      <c r="C501" s="16">
        <v>20200909</v>
      </c>
      <c r="D501" s="16" t="s">
        <v>2</v>
      </c>
      <c r="E501" s="85" t="s">
        <v>2076</v>
      </c>
      <c r="F501" s="80"/>
      <c r="G501" s="47"/>
      <c r="H501" s="16" t="s">
        <v>1763</v>
      </c>
      <c r="I501" s="16" t="s">
        <v>2041</v>
      </c>
      <c r="J501" s="16" t="s">
        <v>208</v>
      </c>
      <c r="K501" s="47"/>
      <c r="L501" s="80"/>
      <c r="M501" s="47"/>
      <c r="N501" s="16"/>
      <c r="O501" s="80" t="s">
        <v>2058</v>
      </c>
      <c r="P501" s="80" t="s">
        <v>2078</v>
      </c>
      <c r="Q501" s="18"/>
      <c r="R501" s="16" t="s">
        <v>198</v>
      </c>
      <c r="S501" s="16" t="s">
        <v>174</v>
      </c>
      <c r="T501" s="16"/>
      <c r="U501" s="16"/>
      <c r="V501" s="16"/>
      <c r="W501" s="191">
        <f>ROUND(IF(D501=Table!$C$3,Y501*Table!$C$4/8,Y501*Table!$D$4/8),3)</f>
        <v>26</v>
      </c>
      <c r="X501" s="191">
        <f>W501</f>
        <v>26</v>
      </c>
      <c r="Y501" s="191">
        <v>1.6</v>
      </c>
      <c r="Z501" s="191">
        <f>Y501</f>
        <v>1.6</v>
      </c>
      <c r="AA501" s="16" t="s">
        <v>18</v>
      </c>
      <c r="AB501" s="81"/>
      <c r="AC501" s="81"/>
      <c r="AD501" s="81"/>
      <c r="AE501" s="81">
        <v>44085</v>
      </c>
      <c r="AF501" s="81">
        <v>44085</v>
      </c>
      <c r="AG501" s="81" t="s">
        <v>155</v>
      </c>
      <c r="AH501" s="82">
        <v>0.94099999999999995</v>
      </c>
      <c r="AI501" s="82">
        <v>0.94399999999999995</v>
      </c>
      <c r="AJ501" s="117" t="s">
        <v>213</v>
      </c>
      <c r="AK501" s="87" t="s">
        <v>140</v>
      </c>
      <c r="AL501" s="84" t="s">
        <v>2183</v>
      </c>
      <c r="AM501" s="17"/>
      <c r="AN501" s="17"/>
    </row>
    <row r="502" spans="2:40" hidden="1">
      <c r="B502" s="331">
        <f t="shared" si="81"/>
        <v>443</v>
      </c>
      <c r="C502" s="16">
        <v>20200909</v>
      </c>
      <c r="D502" s="16" t="s">
        <v>2</v>
      </c>
      <c r="E502" s="85" t="s">
        <v>2076</v>
      </c>
      <c r="F502" s="80"/>
      <c r="G502" s="47"/>
      <c r="H502" s="16" t="s">
        <v>1764</v>
      </c>
      <c r="I502" s="16" t="s">
        <v>2042</v>
      </c>
      <c r="J502" s="16" t="s">
        <v>208</v>
      </c>
      <c r="K502" s="47"/>
      <c r="L502" s="80"/>
      <c r="M502" s="47"/>
      <c r="N502" s="16"/>
      <c r="O502" s="80" t="s">
        <v>2059</v>
      </c>
      <c r="P502" s="80" t="s">
        <v>2078</v>
      </c>
      <c r="Q502" s="18"/>
      <c r="R502" s="16" t="s">
        <v>198</v>
      </c>
      <c r="S502" s="16" t="s">
        <v>174</v>
      </c>
      <c r="T502" s="16"/>
      <c r="U502" s="16"/>
      <c r="V502" s="16"/>
      <c r="W502" s="191">
        <f>ROUND(IF(D502=Table!$C$3,Y502*Table!$C$4/8,Y502*Table!$D$4/8),3)</f>
        <v>26</v>
      </c>
      <c r="X502" s="191">
        <f>W502</f>
        <v>26</v>
      </c>
      <c r="Y502" s="191">
        <v>1.6</v>
      </c>
      <c r="Z502" s="191">
        <f>Y502</f>
        <v>1.6</v>
      </c>
      <c r="AA502" s="16" t="s">
        <v>18</v>
      </c>
      <c r="AB502" s="81"/>
      <c r="AC502" s="81"/>
      <c r="AD502" s="81"/>
      <c r="AE502" s="81">
        <v>44085</v>
      </c>
      <c r="AF502" s="81">
        <v>44085</v>
      </c>
      <c r="AG502" s="81" t="s">
        <v>155</v>
      </c>
      <c r="AH502" s="82">
        <v>0.94699999999999995</v>
      </c>
      <c r="AI502" s="82">
        <v>0.95</v>
      </c>
      <c r="AJ502" s="117">
        <v>1</v>
      </c>
      <c r="AK502" s="87" t="s">
        <v>140</v>
      </c>
      <c r="AL502" s="84" t="s">
        <v>2193</v>
      </c>
      <c r="AM502" s="17"/>
      <c r="AN502" s="17"/>
    </row>
    <row r="503" spans="2:40" hidden="1">
      <c r="B503" s="331">
        <f t="shared" si="81"/>
        <v>444</v>
      </c>
      <c r="C503" s="16">
        <v>20200909</v>
      </c>
      <c r="D503" s="16" t="s">
        <v>2</v>
      </c>
      <c r="E503" s="85" t="s">
        <v>2076</v>
      </c>
      <c r="F503" s="80"/>
      <c r="G503" s="47"/>
      <c r="H503" s="16" t="s">
        <v>2086</v>
      </c>
      <c r="I503" s="16" t="s">
        <v>2043</v>
      </c>
      <c r="J503" s="16" t="s">
        <v>208</v>
      </c>
      <c r="K503" s="47"/>
      <c r="L503" s="80"/>
      <c r="M503" s="47"/>
      <c r="N503" s="16"/>
      <c r="O503" s="80" t="s">
        <v>2060</v>
      </c>
      <c r="P503" s="80" t="s">
        <v>2078</v>
      </c>
      <c r="Q503" s="18"/>
      <c r="R503" s="16" t="s">
        <v>198</v>
      </c>
      <c r="S503" s="16" t="s">
        <v>174</v>
      </c>
      <c r="T503" s="16"/>
      <c r="U503" s="16"/>
      <c r="V503" s="16"/>
      <c r="W503" s="191">
        <f>ROUND(IF(D503=Table!$C$3,Y503*Table!$C$4/8,Y503*Table!$D$4/8),3)</f>
        <v>70.2</v>
      </c>
      <c r="X503" s="191"/>
      <c r="Y503" s="191">
        <v>4.32</v>
      </c>
      <c r="Z503" s="191"/>
      <c r="AA503" s="16"/>
      <c r="AB503" s="81"/>
      <c r="AC503" s="81"/>
      <c r="AD503" s="81"/>
      <c r="AE503" s="81"/>
      <c r="AF503" s="81"/>
      <c r="AG503" s="81"/>
      <c r="AH503" s="82"/>
      <c r="AI503" s="82"/>
      <c r="AJ503" s="117"/>
      <c r="AK503" s="87"/>
      <c r="AL503" s="84"/>
      <c r="AM503" s="17"/>
      <c r="AN503" s="17"/>
    </row>
    <row r="504" spans="2:40">
      <c r="B504" s="331">
        <f t="shared" si="81"/>
        <v>445</v>
      </c>
      <c r="C504" s="16">
        <v>20200909</v>
      </c>
      <c r="D504" s="16" t="s">
        <v>3</v>
      </c>
      <c r="E504" s="85" t="s">
        <v>2076</v>
      </c>
      <c r="F504" s="80"/>
      <c r="G504" s="47"/>
      <c r="H504" s="16" t="s">
        <v>1352</v>
      </c>
      <c r="I504" s="16" t="s">
        <v>1975</v>
      </c>
      <c r="J504" s="16" t="s">
        <v>1454</v>
      </c>
      <c r="K504" s="47"/>
      <c r="L504" s="80" t="s">
        <v>2090</v>
      </c>
      <c r="M504" s="47"/>
      <c r="N504" s="16"/>
      <c r="O504" s="80" t="s">
        <v>1994</v>
      </c>
      <c r="P504" s="80" t="s">
        <v>2079</v>
      </c>
      <c r="Q504" s="18"/>
      <c r="R504" s="16" t="s">
        <v>199</v>
      </c>
      <c r="S504" s="16" t="s">
        <v>66</v>
      </c>
      <c r="T504" s="16"/>
      <c r="U504" s="16"/>
      <c r="V504" s="16"/>
      <c r="W504" s="191">
        <f>ROUND(IF(D504=Table!$C$3,Y504*Table!$C$4/8,Y504*Table!$D$4/8),3)</f>
        <v>121.5</v>
      </c>
      <c r="X504" s="191">
        <f>W504</f>
        <v>121.5</v>
      </c>
      <c r="Y504" s="191">
        <v>2.16</v>
      </c>
      <c r="Z504" s="191">
        <f>Y504</f>
        <v>2.16</v>
      </c>
      <c r="AA504" s="16" t="s">
        <v>18</v>
      </c>
      <c r="AB504" s="81"/>
      <c r="AC504" s="81"/>
      <c r="AD504" s="81"/>
      <c r="AE504" s="81">
        <v>44085</v>
      </c>
      <c r="AF504" s="81">
        <v>44085</v>
      </c>
      <c r="AG504" s="81" t="s">
        <v>155</v>
      </c>
      <c r="AH504" s="82">
        <v>1</v>
      </c>
      <c r="AI504" s="82">
        <v>1</v>
      </c>
      <c r="AJ504" s="117">
        <v>1</v>
      </c>
      <c r="AK504" s="87" t="s">
        <v>140</v>
      </c>
      <c r="AL504" s="84"/>
      <c r="AM504" s="17"/>
      <c r="AN504" s="17"/>
    </row>
    <row r="505" spans="2:40">
      <c r="B505" s="331">
        <f t="shared" si="81"/>
        <v>446</v>
      </c>
      <c r="C505" s="16">
        <v>20200909</v>
      </c>
      <c r="D505" s="16" t="s">
        <v>3</v>
      </c>
      <c r="E505" s="85" t="s">
        <v>2076</v>
      </c>
      <c r="F505" s="80"/>
      <c r="G505" s="47"/>
      <c r="H505" s="16" t="s">
        <v>1356</v>
      </c>
      <c r="I505" s="16" t="s">
        <v>1544</v>
      </c>
      <c r="J505" s="16" t="s">
        <v>246</v>
      </c>
      <c r="K505" s="47"/>
      <c r="L505" s="80" t="s">
        <v>2090</v>
      </c>
      <c r="M505" s="47"/>
      <c r="N505" s="16"/>
      <c r="O505" s="80" t="s">
        <v>1559</v>
      </c>
      <c r="P505" s="80" t="s">
        <v>2080</v>
      </c>
      <c r="Q505" s="18"/>
      <c r="R505" s="16" t="s">
        <v>199</v>
      </c>
      <c r="S505" s="16" t="s">
        <v>66</v>
      </c>
      <c r="T505" s="16"/>
      <c r="U505" s="16"/>
      <c r="V505" s="16"/>
      <c r="W505" s="191">
        <f>ROUND(IF(D505=Table!$C$3,Y505*Table!$C$4/8,Y505*Table!$D$4/8),3)</f>
        <v>85.5</v>
      </c>
      <c r="X505" s="191"/>
      <c r="Y505" s="191">
        <v>1.52</v>
      </c>
      <c r="Z505" s="191"/>
      <c r="AA505" s="16"/>
      <c r="AB505" s="81"/>
      <c r="AC505" s="81"/>
      <c r="AD505" s="81"/>
      <c r="AE505" s="81"/>
      <c r="AF505" s="81"/>
      <c r="AG505" s="81"/>
      <c r="AH505" s="82"/>
      <c r="AI505" s="82"/>
      <c r="AJ505" s="117"/>
      <c r="AK505" s="87"/>
      <c r="AL505" s="84"/>
      <c r="AM505" s="17"/>
      <c r="AN505" s="17"/>
    </row>
    <row r="506" spans="2:40">
      <c r="B506" s="331">
        <f t="shared" si="81"/>
        <v>447</v>
      </c>
      <c r="C506" s="16">
        <v>20200909</v>
      </c>
      <c r="D506" s="16" t="s">
        <v>3</v>
      </c>
      <c r="E506" s="85" t="s">
        <v>2076</v>
      </c>
      <c r="F506" s="80"/>
      <c r="G506" s="47"/>
      <c r="H506" s="16" t="s">
        <v>1357</v>
      </c>
      <c r="I506" s="16" t="s">
        <v>2044</v>
      </c>
      <c r="J506" s="16" t="s">
        <v>1454</v>
      </c>
      <c r="K506" s="47"/>
      <c r="L506" s="80" t="s">
        <v>2090</v>
      </c>
      <c r="M506" s="47"/>
      <c r="N506" s="16"/>
      <c r="O506" s="80" t="s">
        <v>2061</v>
      </c>
      <c r="P506" s="80" t="s">
        <v>2081</v>
      </c>
      <c r="Q506" s="18"/>
      <c r="R506" s="16" t="s">
        <v>199</v>
      </c>
      <c r="S506" s="16" t="s">
        <v>66</v>
      </c>
      <c r="T506" s="16"/>
      <c r="U506" s="16"/>
      <c r="V506" s="16"/>
      <c r="W506" s="191">
        <f>ROUND(IF(D506=Table!$C$3,Y506*Table!$C$4/8,Y506*Table!$D$4/8),3)</f>
        <v>157.5</v>
      </c>
      <c r="X506" s="191"/>
      <c r="Y506" s="191">
        <v>2.8000000000000003</v>
      </c>
      <c r="Z506" s="191"/>
      <c r="AA506" s="16"/>
      <c r="AB506" s="81"/>
      <c r="AC506" s="81"/>
      <c r="AD506" s="81"/>
      <c r="AE506" s="81"/>
      <c r="AF506" s="81"/>
      <c r="AG506" s="81"/>
      <c r="AH506" s="82"/>
      <c r="AI506" s="82"/>
      <c r="AJ506" s="117"/>
      <c r="AK506" s="87"/>
      <c r="AL506" s="84"/>
      <c r="AM506" s="17"/>
      <c r="AN506" s="17"/>
    </row>
    <row r="507" spans="2:40">
      <c r="B507" s="331">
        <f t="shared" si="81"/>
        <v>448</v>
      </c>
      <c r="C507" s="16">
        <v>20200909</v>
      </c>
      <c r="D507" s="16" t="s">
        <v>3</v>
      </c>
      <c r="E507" s="85" t="s">
        <v>2076</v>
      </c>
      <c r="F507" s="80"/>
      <c r="G507" s="47"/>
      <c r="H507" s="16" t="s">
        <v>273</v>
      </c>
      <c r="I507" s="16" t="s">
        <v>2045</v>
      </c>
      <c r="J507" s="16" t="s">
        <v>1454</v>
      </c>
      <c r="K507" s="47"/>
      <c r="L507" s="80" t="s">
        <v>2090</v>
      </c>
      <c r="M507" s="47"/>
      <c r="N507" s="16"/>
      <c r="O507" s="80" t="s">
        <v>2062</v>
      </c>
      <c r="P507" s="80" t="s">
        <v>2081</v>
      </c>
      <c r="Q507" s="18"/>
      <c r="R507" s="16" t="s">
        <v>199</v>
      </c>
      <c r="S507" s="16" t="s">
        <v>66</v>
      </c>
      <c r="T507" s="16"/>
      <c r="U507" s="16"/>
      <c r="V507" s="16"/>
      <c r="W507" s="191">
        <f>ROUND(IF(D507=Table!$C$3,Y507*Table!$C$4/8,Y507*Table!$D$4/8),3)</f>
        <v>229.5</v>
      </c>
      <c r="X507" s="191"/>
      <c r="Y507" s="191">
        <v>4.08</v>
      </c>
      <c r="Z507" s="191"/>
      <c r="AA507" s="16"/>
      <c r="AB507" s="81"/>
      <c r="AC507" s="81"/>
      <c r="AD507" s="81"/>
      <c r="AE507" s="81"/>
      <c r="AF507" s="81"/>
      <c r="AG507" s="81"/>
      <c r="AH507" s="82"/>
      <c r="AI507" s="82"/>
      <c r="AJ507" s="117"/>
      <c r="AK507" s="87"/>
      <c r="AL507" s="84"/>
      <c r="AM507" s="17"/>
      <c r="AN507" s="17"/>
    </row>
    <row r="508" spans="2:40" hidden="1">
      <c r="B508" s="331">
        <f t="shared" si="81"/>
        <v>449</v>
      </c>
      <c r="C508" s="16">
        <v>20200909</v>
      </c>
      <c r="D508" s="16" t="s">
        <v>3</v>
      </c>
      <c r="E508" s="85" t="s">
        <v>2076</v>
      </c>
      <c r="F508" s="80"/>
      <c r="G508" s="47"/>
      <c r="H508" s="16" t="s">
        <v>1358</v>
      </c>
      <c r="I508" s="16" t="s">
        <v>2046</v>
      </c>
      <c r="J508" s="16" t="s">
        <v>1454</v>
      </c>
      <c r="K508" s="47"/>
      <c r="L508" s="80" t="s">
        <v>2090</v>
      </c>
      <c r="M508" s="47"/>
      <c r="N508" s="16"/>
      <c r="O508" s="80" t="s">
        <v>2063</v>
      </c>
      <c r="P508" s="80" t="s">
        <v>2082</v>
      </c>
      <c r="Q508" s="18"/>
      <c r="R508" s="16" t="s">
        <v>200</v>
      </c>
      <c r="S508" s="16" t="s">
        <v>133</v>
      </c>
      <c r="T508" s="16"/>
      <c r="U508" s="16"/>
      <c r="V508" s="16"/>
      <c r="W508" s="191">
        <f>ROUND(IF(D508=Table!$C$3,Y508*Table!$C$4/8,Y508*Table!$D$4/8),3)</f>
        <v>229.5</v>
      </c>
      <c r="X508" s="191">
        <v>229.5</v>
      </c>
      <c r="Y508" s="191">
        <v>4.08</v>
      </c>
      <c r="Z508" s="191">
        <v>3</v>
      </c>
      <c r="AA508" s="16" t="s">
        <v>18</v>
      </c>
      <c r="AB508" s="81"/>
      <c r="AC508" s="81"/>
      <c r="AD508" s="81"/>
      <c r="AE508" s="81">
        <v>44085</v>
      </c>
      <c r="AF508" s="81">
        <v>44085</v>
      </c>
      <c r="AG508" s="81" t="s">
        <v>155</v>
      </c>
      <c r="AH508" s="82">
        <v>1</v>
      </c>
      <c r="AI508" s="82">
        <v>1</v>
      </c>
      <c r="AJ508" s="117">
        <v>0.5</v>
      </c>
      <c r="AK508" s="87" t="s">
        <v>140</v>
      </c>
      <c r="AL508" s="84" t="s">
        <v>58</v>
      </c>
      <c r="AM508" s="17" t="s">
        <v>58</v>
      </c>
      <c r="AN508" s="17" t="s">
        <v>58</v>
      </c>
    </row>
    <row r="509" spans="2:40" hidden="1">
      <c r="B509" s="331">
        <f t="shared" si="81"/>
        <v>450</v>
      </c>
      <c r="C509" s="16">
        <v>20200909</v>
      </c>
      <c r="D509" s="16" t="s">
        <v>3</v>
      </c>
      <c r="E509" s="85" t="s">
        <v>2076</v>
      </c>
      <c r="F509" s="80"/>
      <c r="G509" s="47"/>
      <c r="H509" s="16" t="s">
        <v>1359</v>
      </c>
      <c r="I509" s="16" t="s">
        <v>2047</v>
      </c>
      <c r="J509" s="16" t="s">
        <v>208</v>
      </c>
      <c r="K509" s="47"/>
      <c r="L509" s="80" t="s">
        <v>2090</v>
      </c>
      <c r="M509" s="47"/>
      <c r="N509" s="16"/>
      <c r="O509" s="80" t="s">
        <v>2064</v>
      </c>
      <c r="P509" s="80" t="s">
        <v>2083</v>
      </c>
      <c r="Q509" s="18"/>
      <c r="R509" s="16" t="s">
        <v>200</v>
      </c>
      <c r="S509" s="16" t="s">
        <v>133</v>
      </c>
      <c r="T509" s="16"/>
      <c r="U509" s="16"/>
      <c r="V509" s="16"/>
      <c r="W509" s="191">
        <f>ROUND(IF(D509=Table!$C$3,Y509*Table!$C$4/8,Y509*Table!$D$4/8),3)</f>
        <v>337.5</v>
      </c>
      <c r="X509" s="191"/>
      <c r="Y509" s="191">
        <v>6</v>
      </c>
      <c r="Z509" s="191"/>
      <c r="AA509" s="16"/>
      <c r="AB509" s="81"/>
      <c r="AC509" s="81"/>
      <c r="AD509" s="81"/>
      <c r="AE509" s="81"/>
      <c r="AF509" s="81"/>
      <c r="AG509" s="81"/>
      <c r="AH509" s="82"/>
      <c r="AI509" s="82"/>
      <c r="AJ509" s="117"/>
      <c r="AK509" s="87"/>
      <c r="AL509" s="84"/>
      <c r="AM509" s="17"/>
      <c r="AN509" s="17"/>
    </row>
    <row r="510" spans="2:40" hidden="1">
      <c r="B510" s="331">
        <f t="shared" si="81"/>
        <v>451</v>
      </c>
      <c r="C510" s="16">
        <v>20200909</v>
      </c>
      <c r="D510" s="16" t="s">
        <v>2</v>
      </c>
      <c r="E510" s="85" t="s">
        <v>2076</v>
      </c>
      <c r="F510" s="80"/>
      <c r="G510" s="47"/>
      <c r="H510" s="16" t="s">
        <v>1769</v>
      </c>
      <c r="I510" s="16" t="s">
        <v>2048</v>
      </c>
      <c r="J510" s="16" t="s">
        <v>208</v>
      </c>
      <c r="K510" s="47"/>
      <c r="L510" s="80"/>
      <c r="M510" s="47"/>
      <c r="N510" s="16"/>
      <c r="O510" s="80" t="s">
        <v>2065</v>
      </c>
      <c r="P510" s="80" t="s">
        <v>458</v>
      </c>
      <c r="Q510" s="18"/>
      <c r="R510" s="16" t="s">
        <v>201</v>
      </c>
      <c r="S510" s="16" t="s">
        <v>63</v>
      </c>
      <c r="T510" s="16"/>
      <c r="U510" s="16"/>
      <c r="V510" s="16"/>
      <c r="W510" s="191">
        <f>ROUND(IF(D510=Table!$C$3,Y510*Table!$C$4/8,Y510*Table!$D$4/8),3)</f>
        <v>37.700000000000003</v>
      </c>
      <c r="X510" s="191"/>
      <c r="Y510" s="191">
        <v>2.3199999999999998</v>
      </c>
      <c r="Z510" s="191"/>
      <c r="AA510" s="16"/>
      <c r="AB510" s="81"/>
      <c r="AC510" s="81"/>
      <c r="AD510" s="81"/>
      <c r="AE510" s="81"/>
      <c r="AF510" s="81"/>
      <c r="AG510" s="81"/>
      <c r="AH510" s="82"/>
      <c r="AI510" s="82"/>
      <c r="AJ510" s="117"/>
      <c r="AK510" s="87"/>
      <c r="AL510" s="84"/>
      <c r="AM510" s="17"/>
      <c r="AN510" s="17"/>
    </row>
    <row r="511" spans="2:40" hidden="1">
      <c r="B511" s="331">
        <f t="shared" si="81"/>
        <v>452</v>
      </c>
      <c r="C511" s="16">
        <v>20200909</v>
      </c>
      <c r="D511" s="16" t="s">
        <v>2</v>
      </c>
      <c r="E511" s="85" t="s">
        <v>2076</v>
      </c>
      <c r="F511" s="80"/>
      <c r="G511" s="47"/>
      <c r="H511" s="16" t="s">
        <v>1770</v>
      </c>
      <c r="I511" s="16" t="s">
        <v>2049</v>
      </c>
      <c r="J511" s="16" t="s">
        <v>208</v>
      </c>
      <c r="K511" s="47"/>
      <c r="L511" s="80"/>
      <c r="M511" s="47"/>
      <c r="N511" s="16"/>
      <c r="O511" s="80" t="s">
        <v>170</v>
      </c>
      <c r="P511" s="80" t="s">
        <v>458</v>
      </c>
      <c r="Q511" s="18"/>
      <c r="R511" s="16" t="s">
        <v>201</v>
      </c>
      <c r="S511" s="16" t="s">
        <v>63</v>
      </c>
      <c r="T511" s="16"/>
      <c r="U511" s="16"/>
      <c r="V511" s="16"/>
      <c r="W511" s="191">
        <f>ROUND(IF(D511=Table!$C$3,Y511*Table!$C$4/8,Y511*Table!$D$4/8),3)</f>
        <v>26</v>
      </c>
      <c r="X511" s="191"/>
      <c r="Y511" s="191">
        <v>1.6</v>
      </c>
      <c r="Z511" s="191"/>
      <c r="AA511" s="16"/>
      <c r="AB511" s="81"/>
      <c r="AC511" s="81"/>
      <c r="AD511" s="81"/>
      <c r="AE511" s="81"/>
      <c r="AF511" s="81"/>
      <c r="AG511" s="81"/>
      <c r="AH511" s="82"/>
      <c r="AI511" s="82"/>
      <c r="AJ511" s="117"/>
      <c r="AK511" s="87"/>
      <c r="AL511" s="84"/>
      <c r="AM511" s="17"/>
      <c r="AN511" s="17"/>
    </row>
    <row r="512" spans="2:40" hidden="1">
      <c r="B512" s="331">
        <f t="shared" si="81"/>
        <v>453</v>
      </c>
      <c r="C512" s="16">
        <v>20200909</v>
      </c>
      <c r="D512" s="16" t="s">
        <v>2</v>
      </c>
      <c r="E512" s="85" t="s">
        <v>2076</v>
      </c>
      <c r="F512" s="80"/>
      <c r="G512" s="47"/>
      <c r="H512" s="16" t="s">
        <v>1772</v>
      </c>
      <c r="I512" s="16" t="s">
        <v>2050</v>
      </c>
      <c r="J512" s="16" t="s">
        <v>208</v>
      </c>
      <c r="K512" s="47"/>
      <c r="L512" s="80"/>
      <c r="M512" s="47"/>
      <c r="N512" s="16"/>
      <c r="O512" s="80" t="s">
        <v>170</v>
      </c>
      <c r="P512" s="80" t="s">
        <v>458</v>
      </c>
      <c r="Q512" s="18"/>
      <c r="R512" s="16" t="s">
        <v>201</v>
      </c>
      <c r="S512" s="16" t="s">
        <v>63</v>
      </c>
      <c r="T512" s="16"/>
      <c r="U512" s="16"/>
      <c r="V512" s="16"/>
      <c r="W512" s="191">
        <f>ROUND(IF(D512=Table!$C$3,Y512*Table!$C$4/8,Y512*Table!$D$4/8),3)</f>
        <v>26</v>
      </c>
      <c r="X512" s="191"/>
      <c r="Y512" s="191">
        <v>1.6</v>
      </c>
      <c r="Z512" s="191"/>
      <c r="AA512" s="16"/>
      <c r="AB512" s="81"/>
      <c r="AC512" s="81"/>
      <c r="AD512" s="81"/>
      <c r="AE512" s="81"/>
      <c r="AF512" s="81"/>
      <c r="AG512" s="81"/>
      <c r="AH512" s="82"/>
      <c r="AI512" s="82"/>
      <c r="AJ512" s="117"/>
      <c r="AK512" s="87"/>
      <c r="AL512" s="84"/>
      <c r="AM512" s="17"/>
      <c r="AN512" s="17"/>
    </row>
    <row r="513" spans="2:40" hidden="1">
      <c r="B513" s="331">
        <f t="shared" si="81"/>
        <v>454</v>
      </c>
      <c r="C513" s="16">
        <v>20200909</v>
      </c>
      <c r="D513" s="16" t="s">
        <v>2</v>
      </c>
      <c r="E513" s="85" t="s">
        <v>2076</v>
      </c>
      <c r="F513" s="80"/>
      <c r="G513" s="47"/>
      <c r="H513" s="16" t="s">
        <v>2087</v>
      </c>
      <c r="I513" s="16" t="s">
        <v>375</v>
      </c>
      <c r="J513" s="16" t="s">
        <v>208</v>
      </c>
      <c r="K513" s="47"/>
      <c r="L513" s="80"/>
      <c r="M513" s="47"/>
      <c r="N513" s="16"/>
      <c r="O513" s="80" t="s">
        <v>2066</v>
      </c>
      <c r="P513" s="80" t="s">
        <v>2084</v>
      </c>
      <c r="Q513" s="18"/>
      <c r="R513" s="16" t="s">
        <v>201</v>
      </c>
      <c r="S513" s="16" t="s">
        <v>63</v>
      </c>
      <c r="T513" s="16"/>
      <c r="U513" s="16"/>
      <c r="V513" s="16"/>
      <c r="W513" s="191">
        <f>ROUND(IF(D513=Table!$C$3,Y513*Table!$C$4/8,Y513*Table!$D$4/8),3)</f>
        <v>37.700000000000003</v>
      </c>
      <c r="X513" s="191"/>
      <c r="Y513" s="191">
        <v>2.3199999999999998</v>
      </c>
      <c r="Z513" s="191"/>
      <c r="AA513" s="16"/>
      <c r="AB513" s="81"/>
      <c r="AC513" s="81"/>
      <c r="AD513" s="81"/>
      <c r="AE513" s="81"/>
      <c r="AF513" s="81"/>
      <c r="AG513" s="81"/>
      <c r="AH513" s="82"/>
      <c r="AI513" s="82"/>
      <c r="AJ513" s="117"/>
      <c r="AK513" s="87"/>
      <c r="AL513" s="84"/>
      <c r="AM513" s="17"/>
      <c r="AN513" s="17"/>
    </row>
    <row r="514" spans="2:40" hidden="1">
      <c r="B514" s="331">
        <f t="shared" si="81"/>
        <v>455</v>
      </c>
      <c r="C514" s="16">
        <v>20200909</v>
      </c>
      <c r="D514" s="16" t="s">
        <v>2</v>
      </c>
      <c r="E514" s="85" t="s">
        <v>2076</v>
      </c>
      <c r="F514" s="80"/>
      <c r="G514" s="47"/>
      <c r="H514" s="16" t="s">
        <v>1776</v>
      </c>
      <c r="I514" s="16" t="s">
        <v>2051</v>
      </c>
      <c r="J514" s="16" t="s">
        <v>1454</v>
      </c>
      <c r="K514" s="47"/>
      <c r="L514" s="80"/>
      <c r="M514" s="47"/>
      <c r="N514" s="16"/>
      <c r="O514" s="80" t="s">
        <v>2067</v>
      </c>
      <c r="P514" s="80" t="s">
        <v>2084</v>
      </c>
      <c r="Q514" s="18"/>
      <c r="R514" s="16" t="s">
        <v>201</v>
      </c>
      <c r="S514" s="16" t="s">
        <v>63</v>
      </c>
      <c r="T514" s="16"/>
      <c r="U514" s="16"/>
      <c r="V514" s="16"/>
      <c r="W514" s="191">
        <f>ROUND(IF(D514=Table!$C$3,Y514*Table!$C$4/8,Y514*Table!$D$4/8),3)</f>
        <v>32.5</v>
      </c>
      <c r="X514" s="191"/>
      <c r="Y514" s="191">
        <v>2</v>
      </c>
      <c r="Z514" s="191"/>
      <c r="AA514" s="16"/>
      <c r="AB514" s="81"/>
      <c r="AC514" s="81"/>
      <c r="AD514" s="81"/>
      <c r="AE514" s="81"/>
      <c r="AF514" s="81"/>
      <c r="AG514" s="81"/>
      <c r="AH514" s="82"/>
      <c r="AI514" s="82"/>
      <c r="AJ514" s="117"/>
      <c r="AK514" s="87"/>
      <c r="AL514" s="84"/>
      <c r="AM514" s="17"/>
      <c r="AN514" s="17"/>
    </row>
    <row r="515" spans="2:40" hidden="1">
      <c r="B515" s="331">
        <f t="shared" si="81"/>
        <v>456</v>
      </c>
      <c r="C515" s="16">
        <v>20200909</v>
      </c>
      <c r="D515" s="16" t="s">
        <v>3</v>
      </c>
      <c r="E515" s="85" t="s">
        <v>2076</v>
      </c>
      <c r="F515" s="80"/>
      <c r="G515" s="47"/>
      <c r="H515" s="16" t="s">
        <v>222</v>
      </c>
      <c r="I515" s="16" t="s">
        <v>592</v>
      </c>
      <c r="J515" s="16" t="s">
        <v>246</v>
      </c>
      <c r="K515" s="47"/>
      <c r="L515" s="80" t="s">
        <v>2090</v>
      </c>
      <c r="M515" s="47"/>
      <c r="N515" s="16"/>
      <c r="O515" s="80" t="s">
        <v>2068</v>
      </c>
      <c r="P515" s="80" t="s">
        <v>462</v>
      </c>
      <c r="Q515" s="18"/>
      <c r="R515" s="16" t="s">
        <v>202</v>
      </c>
      <c r="S515" s="16" t="s">
        <v>132</v>
      </c>
      <c r="T515" s="16"/>
      <c r="U515" s="16"/>
      <c r="V515" s="16"/>
      <c r="W515" s="191">
        <f>ROUND(IF(D515=Table!$C$3,Y515*Table!$C$4/8,Y515*Table!$D$4/8),3)</f>
        <v>31.5</v>
      </c>
      <c r="X515" s="191">
        <v>31.5</v>
      </c>
      <c r="Y515" s="191">
        <v>0.55999999999999994</v>
      </c>
      <c r="Z515" s="191">
        <v>0.55999999999999994</v>
      </c>
      <c r="AA515" s="16"/>
      <c r="AB515" s="81"/>
      <c r="AC515" s="81"/>
      <c r="AD515" s="81"/>
      <c r="AE515" s="81">
        <v>44085</v>
      </c>
      <c r="AF515" s="81">
        <v>44085</v>
      </c>
      <c r="AG515" s="81" t="s">
        <v>155</v>
      </c>
      <c r="AH515" s="82">
        <v>1</v>
      </c>
      <c r="AI515" s="82">
        <v>1</v>
      </c>
      <c r="AJ515" s="117">
        <v>0.83</v>
      </c>
      <c r="AK515" s="365" t="s">
        <v>140</v>
      </c>
      <c r="AL515" s="84"/>
      <c r="AM515" s="17"/>
      <c r="AN515" s="17"/>
    </row>
    <row r="516" spans="2:40" hidden="1">
      <c r="B516" s="331">
        <f t="shared" si="81"/>
        <v>457</v>
      </c>
      <c r="C516" s="16">
        <v>20200909</v>
      </c>
      <c r="D516" s="16" t="s">
        <v>3</v>
      </c>
      <c r="E516" s="85" t="s">
        <v>2076</v>
      </c>
      <c r="F516" s="80"/>
      <c r="G516" s="47"/>
      <c r="H516" s="16" t="s">
        <v>1038</v>
      </c>
      <c r="I516" s="16" t="s">
        <v>807</v>
      </c>
      <c r="J516" s="16" t="s">
        <v>246</v>
      </c>
      <c r="K516" s="47"/>
      <c r="L516" s="80" t="s">
        <v>2090</v>
      </c>
      <c r="M516" s="47"/>
      <c r="N516" s="16"/>
      <c r="O516" s="80" t="s">
        <v>2069</v>
      </c>
      <c r="P516" s="80" t="s">
        <v>462</v>
      </c>
      <c r="Q516" s="18"/>
      <c r="R516" s="16" t="s">
        <v>202</v>
      </c>
      <c r="S516" s="16" t="s">
        <v>132</v>
      </c>
      <c r="T516" s="16"/>
      <c r="U516" s="16"/>
      <c r="V516" s="16"/>
      <c r="W516" s="191">
        <f>ROUND(IF(D516=Table!$C$3,Y516*Table!$C$4/8,Y516*Table!$D$4/8),3)</f>
        <v>31.5</v>
      </c>
      <c r="X516" s="191">
        <v>31.5</v>
      </c>
      <c r="Y516" s="191">
        <v>0.55999999999999994</v>
      </c>
      <c r="Z516" s="191">
        <v>0.55999999999999994</v>
      </c>
      <c r="AA516" s="16"/>
      <c r="AB516" s="81"/>
      <c r="AC516" s="81"/>
      <c r="AD516" s="81"/>
      <c r="AE516" s="81"/>
      <c r="AF516" s="81"/>
      <c r="AG516" s="81"/>
      <c r="AH516" s="82"/>
      <c r="AI516" s="82"/>
      <c r="AJ516" s="117"/>
      <c r="AK516" s="87"/>
      <c r="AL516" s="84"/>
      <c r="AM516" s="17"/>
      <c r="AN516" s="17"/>
    </row>
    <row r="517" spans="2:40" hidden="1">
      <c r="B517" s="331">
        <f t="shared" si="81"/>
        <v>458</v>
      </c>
      <c r="C517" s="16">
        <v>20200909</v>
      </c>
      <c r="D517" s="16" t="s">
        <v>3</v>
      </c>
      <c r="E517" s="85" t="s">
        <v>2076</v>
      </c>
      <c r="F517" s="80"/>
      <c r="G517" s="47"/>
      <c r="H517" s="16" t="s">
        <v>2088</v>
      </c>
      <c r="I517" s="16" t="s">
        <v>808</v>
      </c>
      <c r="J517" s="16" t="s">
        <v>246</v>
      </c>
      <c r="K517" s="47"/>
      <c r="L517" s="80" t="s">
        <v>2090</v>
      </c>
      <c r="M517" s="47"/>
      <c r="N517" s="16"/>
      <c r="O517" s="80" t="s">
        <v>2070</v>
      </c>
      <c r="P517" s="80" t="s">
        <v>462</v>
      </c>
      <c r="Q517" s="18"/>
      <c r="R517" s="16" t="s">
        <v>202</v>
      </c>
      <c r="S517" s="16" t="s">
        <v>132</v>
      </c>
      <c r="T517" s="16"/>
      <c r="U517" s="16"/>
      <c r="V517" s="16"/>
      <c r="W517" s="191">
        <f>ROUND(IF(D517=Table!$C$3,Y517*Table!$C$4/8,Y517*Table!$D$4/8),3)</f>
        <v>31.5</v>
      </c>
      <c r="X517" s="191">
        <v>31.5</v>
      </c>
      <c r="Y517" s="191">
        <v>0.55999999999999994</v>
      </c>
      <c r="Z517" s="191">
        <v>0.55999999999999994</v>
      </c>
      <c r="AA517" s="16"/>
      <c r="AB517" s="81"/>
      <c r="AC517" s="81"/>
      <c r="AD517" s="81"/>
      <c r="AE517" s="81">
        <v>44085</v>
      </c>
      <c r="AF517" s="81">
        <v>44085</v>
      </c>
      <c r="AG517" s="81" t="s">
        <v>155</v>
      </c>
      <c r="AH517" s="82">
        <v>1</v>
      </c>
      <c r="AI517" s="82">
        <v>1</v>
      </c>
      <c r="AJ517" s="117">
        <v>1</v>
      </c>
      <c r="AK517" s="365" t="s">
        <v>140</v>
      </c>
      <c r="AL517" s="84"/>
      <c r="AM517" s="17"/>
      <c r="AN517" s="17"/>
    </row>
    <row r="518" spans="2:40" hidden="1">
      <c r="B518" s="331">
        <f t="shared" si="81"/>
        <v>459</v>
      </c>
      <c r="C518" s="16">
        <v>20200909</v>
      </c>
      <c r="D518" s="16" t="s">
        <v>3</v>
      </c>
      <c r="E518" s="85" t="s">
        <v>2076</v>
      </c>
      <c r="F518" s="80"/>
      <c r="G518" s="47"/>
      <c r="H518" s="16" t="s">
        <v>1039</v>
      </c>
      <c r="I518" s="16" t="s">
        <v>244</v>
      </c>
      <c r="J518" s="16" t="s">
        <v>246</v>
      </c>
      <c r="K518" s="47"/>
      <c r="L518" s="80" t="s">
        <v>2090</v>
      </c>
      <c r="M518" s="47"/>
      <c r="N518" s="16"/>
      <c r="O518" s="80" t="s">
        <v>2071</v>
      </c>
      <c r="P518" s="80" t="s">
        <v>462</v>
      </c>
      <c r="Q518" s="18"/>
      <c r="R518" s="16" t="s">
        <v>202</v>
      </c>
      <c r="S518" s="16" t="s">
        <v>132</v>
      </c>
      <c r="T518" s="16"/>
      <c r="U518" s="16"/>
      <c r="V518" s="16"/>
      <c r="W518" s="191">
        <f>ROUND(IF(D518=Table!$C$3,Y518*Table!$C$4/8,Y518*Table!$D$4/8),3)</f>
        <v>31.5</v>
      </c>
      <c r="X518" s="191">
        <v>31.5</v>
      </c>
      <c r="Y518" s="191">
        <v>0.55999999999999994</v>
      </c>
      <c r="Z518" s="191">
        <v>0.55999999999999994</v>
      </c>
      <c r="AA518" s="16"/>
      <c r="AB518" s="81"/>
      <c r="AC518" s="81"/>
      <c r="AD518" s="81"/>
      <c r="AE518" s="81">
        <v>44085</v>
      </c>
      <c r="AF518" s="81">
        <v>44085</v>
      </c>
      <c r="AG518" s="81" t="s">
        <v>155</v>
      </c>
      <c r="AH518" s="82">
        <v>1</v>
      </c>
      <c r="AI518" s="82">
        <v>1</v>
      </c>
      <c r="AJ518" s="117">
        <v>1</v>
      </c>
      <c r="AK518" s="365" t="s">
        <v>140</v>
      </c>
      <c r="AL518" s="84"/>
      <c r="AM518" s="17"/>
      <c r="AN518" s="17"/>
    </row>
    <row r="519" spans="2:40" hidden="1">
      <c r="B519" s="331">
        <f t="shared" si="81"/>
        <v>460</v>
      </c>
      <c r="C519" s="16">
        <v>20200909</v>
      </c>
      <c r="D519" s="16" t="s">
        <v>3</v>
      </c>
      <c r="E519" s="85" t="s">
        <v>2076</v>
      </c>
      <c r="F519" s="80"/>
      <c r="G519" s="47"/>
      <c r="H519" s="16" t="s">
        <v>2089</v>
      </c>
      <c r="I519" s="16" t="s">
        <v>2052</v>
      </c>
      <c r="J519" s="16" t="s">
        <v>246</v>
      </c>
      <c r="K519" s="47"/>
      <c r="L519" s="80" t="s">
        <v>2090</v>
      </c>
      <c r="M519" s="47"/>
      <c r="N519" s="16"/>
      <c r="O519" s="80" t="s">
        <v>2072</v>
      </c>
      <c r="P519" s="80" t="s">
        <v>623</v>
      </c>
      <c r="Q519" s="18"/>
      <c r="R519" s="16" t="s">
        <v>202</v>
      </c>
      <c r="S519" s="16" t="s">
        <v>132</v>
      </c>
      <c r="T519" s="16"/>
      <c r="U519" s="16"/>
      <c r="V519" s="16"/>
      <c r="W519" s="191">
        <f>ROUND(IF(D519=Table!$C$3,Y519*Table!$C$4/8,Y519*Table!$D$4/8),3)</f>
        <v>31.5</v>
      </c>
      <c r="X519" s="191">
        <v>31.5</v>
      </c>
      <c r="Y519" s="191">
        <v>0.55999999999999994</v>
      </c>
      <c r="Z519" s="191">
        <v>0.55999999999999994</v>
      </c>
      <c r="AA519" s="16"/>
      <c r="AB519" s="81"/>
      <c r="AC519" s="81"/>
      <c r="AD519" s="81"/>
      <c r="AE519" s="81">
        <v>44085</v>
      </c>
      <c r="AF519" s="81">
        <v>44085</v>
      </c>
      <c r="AG519" s="81" t="s">
        <v>155</v>
      </c>
      <c r="AH519" s="82">
        <v>1</v>
      </c>
      <c r="AI519" s="82">
        <v>1</v>
      </c>
      <c r="AJ519" s="117">
        <v>0.04</v>
      </c>
      <c r="AK519" s="365" t="s">
        <v>140</v>
      </c>
      <c r="AL519" s="84"/>
      <c r="AM519" s="17"/>
      <c r="AN519" s="17"/>
    </row>
    <row r="520" spans="2:40" hidden="1">
      <c r="B520" s="331">
        <f t="shared" si="81"/>
        <v>461</v>
      </c>
      <c r="C520" s="16">
        <v>20200909</v>
      </c>
      <c r="D520" s="16" t="s">
        <v>3</v>
      </c>
      <c r="E520" s="85" t="s">
        <v>2076</v>
      </c>
      <c r="F520" s="80"/>
      <c r="G520" s="47"/>
      <c r="H520" s="16" t="s">
        <v>1581</v>
      </c>
      <c r="I520" s="16" t="s">
        <v>2053</v>
      </c>
      <c r="J520" s="16" t="s">
        <v>208</v>
      </c>
      <c r="K520" s="47"/>
      <c r="L520" s="80" t="s">
        <v>2090</v>
      </c>
      <c r="M520" s="47"/>
      <c r="N520" s="16"/>
      <c r="O520" s="80" t="s">
        <v>2073</v>
      </c>
      <c r="P520" s="80" t="s">
        <v>623</v>
      </c>
      <c r="Q520" s="18"/>
      <c r="R520" s="16" t="s">
        <v>202</v>
      </c>
      <c r="S520" s="16" t="s">
        <v>132</v>
      </c>
      <c r="T520" s="16"/>
      <c r="U520" s="16"/>
      <c r="V520" s="16"/>
      <c r="W520" s="191">
        <f>ROUND(IF(D520=Table!$C$3,Y520*Table!$C$4/8,Y520*Table!$D$4/8),3)</f>
        <v>49.5</v>
      </c>
      <c r="X520" s="191">
        <v>49.5</v>
      </c>
      <c r="Y520" s="191">
        <v>0.88000000000000012</v>
      </c>
      <c r="Z520" s="191">
        <v>0.88000000000000012</v>
      </c>
      <c r="AA520" s="16"/>
      <c r="AB520" s="81"/>
      <c r="AC520" s="81"/>
      <c r="AD520" s="81"/>
      <c r="AE520" s="81">
        <v>44085</v>
      </c>
      <c r="AF520" s="81">
        <v>44085</v>
      </c>
      <c r="AG520" s="81" t="s">
        <v>155</v>
      </c>
      <c r="AH520" s="82">
        <v>1</v>
      </c>
      <c r="AI520" s="82">
        <v>1</v>
      </c>
      <c r="AJ520" s="117">
        <v>0.5</v>
      </c>
      <c r="AK520" s="365" t="s">
        <v>140</v>
      </c>
      <c r="AL520" s="84"/>
      <c r="AM520" s="17"/>
      <c r="AN520" s="17"/>
    </row>
    <row r="521" spans="2:40" hidden="1">
      <c r="B521" s="331">
        <f t="shared" si="81"/>
        <v>462</v>
      </c>
      <c r="C521" s="16">
        <v>20200909</v>
      </c>
      <c r="D521" s="16" t="s">
        <v>3</v>
      </c>
      <c r="E521" s="85" t="s">
        <v>2076</v>
      </c>
      <c r="F521" s="80"/>
      <c r="G521" s="47"/>
      <c r="H521" s="16" t="s">
        <v>1582</v>
      </c>
      <c r="I521" s="16" t="s">
        <v>2054</v>
      </c>
      <c r="J521" s="16" t="s">
        <v>246</v>
      </c>
      <c r="K521" s="47"/>
      <c r="L521" s="80" t="s">
        <v>2090</v>
      </c>
      <c r="M521" s="47"/>
      <c r="N521" s="16"/>
      <c r="O521" s="80" t="s">
        <v>2074</v>
      </c>
      <c r="P521" s="80" t="s">
        <v>623</v>
      </c>
      <c r="Q521" s="18"/>
      <c r="R521" s="16" t="s">
        <v>202</v>
      </c>
      <c r="S521" s="16" t="s">
        <v>132</v>
      </c>
      <c r="T521" s="16"/>
      <c r="U521" s="16"/>
      <c r="V521" s="16"/>
      <c r="W521" s="191">
        <f>ROUND(IF(D521=Table!$C$3,Y521*Table!$C$4/8,Y521*Table!$D$4/8),3)</f>
        <v>157.5</v>
      </c>
      <c r="X521" s="191">
        <v>157.5</v>
      </c>
      <c r="Y521" s="191">
        <v>2.8000000000000003</v>
      </c>
      <c r="Z521" s="191">
        <v>2.8000000000000003</v>
      </c>
      <c r="AA521" s="16"/>
      <c r="AB521" s="81"/>
      <c r="AC521" s="81"/>
      <c r="AD521" s="81"/>
      <c r="AE521" s="81">
        <v>44085</v>
      </c>
      <c r="AF521" s="81">
        <v>44085</v>
      </c>
      <c r="AG521" s="81" t="s">
        <v>155</v>
      </c>
      <c r="AH521" s="82">
        <v>1</v>
      </c>
      <c r="AI521" s="82">
        <v>1</v>
      </c>
      <c r="AJ521" s="117">
        <v>0.89</v>
      </c>
      <c r="AK521" s="365" t="s">
        <v>140</v>
      </c>
      <c r="AL521" s="84"/>
      <c r="AM521" s="17"/>
      <c r="AN521" s="17"/>
    </row>
    <row r="522" spans="2:40" hidden="1">
      <c r="B522" s="331">
        <f t="shared" si="81"/>
        <v>463</v>
      </c>
      <c r="C522" s="16">
        <v>20200909</v>
      </c>
      <c r="D522" s="16" t="s">
        <v>3</v>
      </c>
      <c r="E522" s="85" t="s">
        <v>2076</v>
      </c>
      <c r="F522" s="80"/>
      <c r="G522" s="47"/>
      <c r="H522" s="16" t="s">
        <v>223</v>
      </c>
      <c r="I522" s="16" t="s">
        <v>402</v>
      </c>
      <c r="J522" s="16" t="s">
        <v>1454</v>
      </c>
      <c r="K522" s="47"/>
      <c r="L522" s="80" t="s">
        <v>2090</v>
      </c>
      <c r="M522" s="47"/>
      <c r="N522" s="16"/>
      <c r="O522" s="80" t="s">
        <v>2075</v>
      </c>
      <c r="P522" s="80" t="s">
        <v>620</v>
      </c>
      <c r="Q522" s="18"/>
      <c r="R522" s="16" t="s">
        <v>202</v>
      </c>
      <c r="S522" s="16" t="s">
        <v>132</v>
      </c>
      <c r="T522" s="16"/>
      <c r="U522" s="16"/>
      <c r="V522" s="16"/>
      <c r="W522" s="191">
        <f>ROUND(IF(D522=Table!$C$3,Y522*Table!$C$4/8,Y522*Table!$D$4/8),3)</f>
        <v>157.5</v>
      </c>
      <c r="X522" s="191">
        <v>157.5</v>
      </c>
      <c r="Y522" s="191">
        <v>2.8000000000000003</v>
      </c>
      <c r="Z522" s="191">
        <v>2.8000000000000003</v>
      </c>
      <c r="AA522" s="16"/>
      <c r="AB522" s="81"/>
      <c r="AC522" s="81"/>
      <c r="AD522" s="81"/>
      <c r="AE522" s="81"/>
      <c r="AF522" s="81"/>
      <c r="AG522" s="81"/>
      <c r="AH522" s="82"/>
      <c r="AI522" s="82"/>
      <c r="AJ522" s="117"/>
      <c r="AK522" s="87"/>
      <c r="AL522" s="84"/>
      <c r="AM522" s="17"/>
      <c r="AN522" s="17"/>
    </row>
    <row r="523" spans="2:40">
      <c r="B523" s="194">
        <f t="shared" si="81"/>
        <v>464</v>
      </c>
      <c r="C523" s="270">
        <v>20200909</v>
      </c>
      <c r="D523" s="270" t="s">
        <v>3</v>
      </c>
      <c r="E523" s="271" t="s">
        <v>2076</v>
      </c>
      <c r="F523" s="272"/>
      <c r="G523" s="272"/>
      <c r="H523" s="270" t="s">
        <v>1352</v>
      </c>
      <c r="I523" s="270" t="s">
        <v>1975</v>
      </c>
      <c r="J523" s="270" t="s">
        <v>1454</v>
      </c>
      <c r="K523" s="272"/>
      <c r="L523" s="379" t="s">
        <v>614</v>
      </c>
      <c r="M523" s="272"/>
      <c r="N523" s="270"/>
      <c r="O523" s="272" t="s">
        <v>1994</v>
      </c>
      <c r="P523" s="272" t="s">
        <v>2079</v>
      </c>
      <c r="Q523" s="270"/>
      <c r="R523" s="270" t="s">
        <v>199</v>
      </c>
      <c r="S523" s="270" t="s">
        <v>66</v>
      </c>
      <c r="T523" s="270"/>
      <c r="U523" s="270"/>
      <c r="V523" s="270"/>
      <c r="W523" s="273">
        <f>ROUND(IF(D523=Table!$C$3,Y523*Table!$C$4/8,Y523*Table!$D$4/8),3)</f>
        <v>0</v>
      </c>
      <c r="X523" s="273"/>
      <c r="Y523" s="273">
        <v>0</v>
      </c>
      <c r="Z523" s="273"/>
      <c r="AA523" s="270"/>
      <c r="AB523" s="274"/>
      <c r="AC523" s="274"/>
      <c r="AD523" s="274"/>
      <c r="AE523" s="274"/>
      <c r="AF523" s="274"/>
      <c r="AG523" s="274"/>
      <c r="AH523" s="275"/>
      <c r="AI523" s="275"/>
      <c r="AJ523" s="276"/>
      <c r="AK523" s="380"/>
      <c r="AL523" s="380"/>
      <c r="AM523" s="272"/>
      <c r="AN523" s="272"/>
    </row>
    <row r="524" spans="2:40">
      <c r="B524" s="194">
        <f t="shared" si="81"/>
        <v>465</v>
      </c>
      <c r="C524" s="270">
        <v>20200909</v>
      </c>
      <c r="D524" s="270" t="s">
        <v>3</v>
      </c>
      <c r="E524" s="271" t="s">
        <v>2076</v>
      </c>
      <c r="F524" s="272"/>
      <c r="G524" s="272"/>
      <c r="H524" s="270" t="s">
        <v>1356</v>
      </c>
      <c r="I524" s="270" t="s">
        <v>1544</v>
      </c>
      <c r="J524" s="270" t="s">
        <v>246</v>
      </c>
      <c r="K524" s="272"/>
      <c r="L524" s="379" t="s">
        <v>614</v>
      </c>
      <c r="M524" s="272"/>
      <c r="N524" s="270"/>
      <c r="O524" s="272" t="s">
        <v>1559</v>
      </c>
      <c r="P524" s="272" t="s">
        <v>2080</v>
      </c>
      <c r="Q524" s="270"/>
      <c r="R524" s="270" t="s">
        <v>199</v>
      </c>
      <c r="S524" s="270" t="s">
        <v>66</v>
      </c>
      <c r="T524" s="270"/>
      <c r="U524" s="270"/>
      <c r="V524" s="270"/>
      <c r="W524" s="273">
        <f>ROUND(IF(D524=Table!$C$3,Y524*Table!$C$4/8,Y524*Table!$D$4/8),3)</f>
        <v>0</v>
      </c>
      <c r="X524" s="273"/>
      <c r="Y524" s="273">
        <v>0</v>
      </c>
      <c r="Z524" s="273"/>
      <c r="AA524" s="270"/>
      <c r="AB524" s="274"/>
      <c r="AC524" s="274"/>
      <c r="AD524" s="274"/>
      <c r="AE524" s="274"/>
      <c r="AF524" s="274"/>
      <c r="AG524" s="274"/>
      <c r="AH524" s="275"/>
      <c r="AI524" s="275"/>
      <c r="AJ524" s="276"/>
      <c r="AK524" s="380"/>
      <c r="AL524" s="380"/>
      <c r="AM524" s="272"/>
      <c r="AN524" s="272"/>
    </row>
    <row r="525" spans="2:40">
      <c r="B525" s="194">
        <f t="shared" si="81"/>
        <v>466</v>
      </c>
      <c r="C525" s="270">
        <v>20200909</v>
      </c>
      <c r="D525" s="270" t="s">
        <v>3</v>
      </c>
      <c r="E525" s="271" t="s">
        <v>2076</v>
      </c>
      <c r="F525" s="272"/>
      <c r="G525" s="272"/>
      <c r="H525" s="270" t="s">
        <v>1357</v>
      </c>
      <c r="I525" s="270" t="s">
        <v>2044</v>
      </c>
      <c r="J525" s="270" t="s">
        <v>1454</v>
      </c>
      <c r="K525" s="272"/>
      <c r="L525" s="379" t="s">
        <v>614</v>
      </c>
      <c r="M525" s="272"/>
      <c r="N525" s="270"/>
      <c r="O525" s="272" t="s">
        <v>2061</v>
      </c>
      <c r="P525" s="272" t="s">
        <v>2081</v>
      </c>
      <c r="Q525" s="270"/>
      <c r="R525" s="270" t="s">
        <v>199</v>
      </c>
      <c r="S525" s="270" t="s">
        <v>66</v>
      </c>
      <c r="T525" s="270"/>
      <c r="U525" s="270"/>
      <c r="V525" s="270"/>
      <c r="W525" s="273">
        <f>ROUND(IF(D525=Table!$C$3,Y525*Table!$C$4/8,Y525*Table!$D$4/8),3)</f>
        <v>0</v>
      </c>
      <c r="X525" s="273"/>
      <c r="Y525" s="273">
        <v>0</v>
      </c>
      <c r="Z525" s="273"/>
      <c r="AA525" s="270"/>
      <c r="AB525" s="274"/>
      <c r="AC525" s="274"/>
      <c r="AD525" s="274"/>
      <c r="AE525" s="274"/>
      <c r="AF525" s="274"/>
      <c r="AG525" s="274"/>
      <c r="AH525" s="275"/>
      <c r="AI525" s="275"/>
      <c r="AJ525" s="276"/>
      <c r="AK525" s="380"/>
      <c r="AL525" s="380"/>
      <c r="AM525" s="272"/>
      <c r="AN525" s="272"/>
    </row>
    <row r="526" spans="2:40">
      <c r="B526" s="194">
        <f t="shared" si="81"/>
        <v>467</v>
      </c>
      <c r="C526" s="270">
        <v>20200909</v>
      </c>
      <c r="D526" s="270" t="s">
        <v>3</v>
      </c>
      <c r="E526" s="271" t="s">
        <v>2076</v>
      </c>
      <c r="F526" s="272"/>
      <c r="G526" s="272"/>
      <c r="H526" s="270" t="s">
        <v>273</v>
      </c>
      <c r="I526" s="270" t="s">
        <v>2045</v>
      </c>
      <c r="J526" s="270" t="s">
        <v>1454</v>
      </c>
      <c r="K526" s="272"/>
      <c r="L526" s="379" t="s">
        <v>614</v>
      </c>
      <c r="M526" s="272"/>
      <c r="N526" s="270"/>
      <c r="O526" s="272" t="s">
        <v>2062</v>
      </c>
      <c r="P526" s="272" t="s">
        <v>2081</v>
      </c>
      <c r="Q526" s="270"/>
      <c r="R526" s="270" t="s">
        <v>199</v>
      </c>
      <c r="S526" s="270" t="s">
        <v>66</v>
      </c>
      <c r="T526" s="270"/>
      <c r="U526" s="270"/>
      <c r="V526" s="270"/>
      <c r="W526" s="273">
        <f>ROUND(IF(D526=Table!$C$3,Y526*Table!$C$4/8,Y526*Table!$D$4/8),3)</f>
        <v>0</v>
      </c>
      <c r="X526" s="273"/>
      <c r="Y526" s="273">
        <v>0</v>
      </c>
      <c r="Z526" s="273"/>
      <c r="AA526" s="270"/>
      <c r="AB526" s="274"/>
      <c r="AC526" s="274"/>
      <c r="AD526" s="274"/>
      <c r="AE526" s="274"/>
      <c r="AF526" s="274"/>
      <c r="AG526" s="274"/>
      <c r="AH526" s="275"/>
      <c r="AI526" s="275"/>
      <c r="AJ526" s="276"/>
      <c r="AK526" s="380"/>
      <c r="AL526" s="380"/>
      <c r="AM526" s="272"/>
      <c r="AN526" s="272"/>
    </row>
    <row r="527" spans="2:40" hidden="1">
      <c r="B527" s="194">
        <f t="shared" si="81"/>
        <v>468</v>
      </c>
      <c r="C527" s="270">
        <v>20200909</v>
      </c>
      <c r="D527" s="270" t="s">
        <v>3</v>
      </c>
      <c r="E527" s="271" t="s">
        <v>2076</v>
      </c>
      <c r="F527" s="272"/>
      <c r="G527" s="272"/>
      <c r="H527" s="270" t="s">
        <v>1358</v>
      </c>
      <c r="I527" s="270" t="s">
        <v>2046</v>
      </c>
      <c r="J527" s="270" t="s">
        <v>1454</v>
      </c>
      <c r="K527" s="272"/>
      <c r="L527" s="379" t="s">
        <v>614</v>
      </c>
      <c r="M527" s="272"/>
      <c r="N527" s="270"/>
      <c r="O527" s="272" t="s">
        <v>2063</v>
      </c>
      <c r="P527" s="272" t="s">
        <v>2082</v>
      </c>
      <c r="Q527" s="270"/>
      <c r="R527" s="270" t="s">
        <v>200</v>
      </c>
      <c r="S527" s="270" t="s">
        <v>133</v>
      </c>
      <c r="T527" s="270"/>
      <c r="U527" s="270"/>
      <c r="V527" s="270"/>
      <c r="W527" s="273">
        <f>ROUND(IF(D527=Table!$C$3,Y527*Table!$C$4/8,Y527*Table!$D$4/8),3)</f>
        <v>0</v>
      </c>
      <c r="X527" s="273"/>
      <c r="Y527" s="273">
        <v>0</v>
      </c>
      <c r="Z527" s="273"/>
      <c r="AA527" s="270"/>
      <c r="AB527" s="274"/>
      <c r="AC527" s="274"/>
      <c r="AD527" s="274"/>
      <c r="AE527" s="274"/>
      <c r="AF527" s="274"/>
      <c r="AG527" s="274"/>
      <c r="AH527" s="275"/>
      <c r="AI527" s="275"/>
      <c r="AJ527" s="276"/>
      <c r="AK527" s="380"/>
      <c r="AL527" s="380"/>
      <c r="AM527" s="272"/>
      <c r="AN527" s="272"/>
    </row>
    <row r="528" spans="2:40" hidden="1">
      <c r="B528" s="194">
        <f t="shared" si="81"/>
        <v>469</v>
      </c>
      <c r="C528" s="270">
        <v>20200909</v>
      </c>
      <c r="D528" s="270" t="s">
        <v>3</v>
      </c>
      <c r="E528" s="271" t="s">
        <v>2076</v>
      </c>
      <c r="F528" s="272"/>
      <c r="G528" s="272"/>
      <c r="H528" s="270" t="s">
        <v>1359</v>
      </c>
      <c r="I528" s="270" t="s">
        <v>2047</v>
      </c>
      <c r="J528" s="270" t="s">
        <v>208</v>
      </c>
      <c r="K528" s="272"/>
      <c r="L528" s="379" t="s">
        <v>614</v>
      </c>
      <c r="M528" s="272"/>
      <c r="N528" s="270"/>
      <c r="O528" s="272" t="s">
        <v>2064</v>
      </c>
      <c r="P528" s="272" t="s">
        <v>2083</v>
      </c>
      <c r="Q528" s="270"/>
      <c r="R528" s="270" t="s">
        <v>200</v>
      </c>
      <c r="S528" s="270" t="s">
        <v>133</v>
      </c>
      <c r="T528" s="270"/>
      <c r="U528" s="270"/>
      <c r="V528" s="270"/>
      <c r="W528" s="273">
        <f>ROUND(IF(D528=Table!$C$3,Y528*Table!$C$4/8,Y528*Table!$D$4/8),3)</f>
        <v>0</v>
      </c>
      <c r="X528" s="273"/>
      <c r="Y528" s="273">
        <v>0</v>
      </c>
      <c r="Z528" s="273"/>
      <c r="AA528" s="270"/>
      <c r="AB528" s="274"/>
      <c r="AC528" s="274"/>
      <c r="AD528" s="274"/>
      <c r="AE528" s="274"/>
      <c r="AF528" s="274"/>
      <c r="AG528" s="274"/>
      <c r="AH528" s="275"/>
      <c r="AI528" s="275"/>
      <c r="AJ528" s="276"/>
      <c r="AK528" s="380"/>
      <c r="AL528" s="380"/>
      <c r="AM528" s="272"/>
      <c r="AN528" s="272"/>
    </row>
    <row r="529" spans="2:40" hidden="1">
      <c r="B529" s="369">
        <f t="shared" si="81"/>
        <v>470</v>
      </c>
      <c r="C529" s="370">
        <v>20200909</v>
      </c>
      <c r="D529" s="370" t="s">
        <v>3</v>
      </c>
      <c r="E529" s="371" t="s">
        <v>2076</v>
      </c>
      <c r="F529" s="372"/>
      <c r="G529" s="372"/>
      <c r="H529" s="370" t="s">
        <v>222</v>
      </c>
      <c r="I529" s="370" t="s">
        <v>592</v>
      </c>
      <c r="J529" s="370" t="s">
        <v>246</v>
      </c>
      <c r="K529" s="372"/>
      <c r="L529" s="378" t="s">
        <v>614</v>
      </c>
      <c r="M529" s="372"/>
      <c r="N529" s="370"/>
      <c r="O529" s="372" t="s">
        <v>2068</v>
      </c>
      <c r="P529" s="372" t="s">
        <v>462</v>
      </c>
      <c r="Q529" s="370"/>
      <c r="R529" s="370" t="s">
        <v>202</v>
      </c>
      <c r="S529" s="370" t="s">
        <v>132</v>
      </c>
      <c r="T529" s="370"/>
      <c r="U529" s="370"/>
      <c r="V529" s="370"/>
      <c r="W529" s="373">
        <f>ROUND(IF(D529=Table!$C$3,Y529*Table!$C$4/8,Y529*Table!$D$4/8),3)</f>
        <v>0</v>
      </c>
      <c r="X529" s="373"/>
      <c r="Y529" s="373">
        <v>0</v>
      </c>
      <c r="Z529" s="373"/>
      <c r="AA529" s="370"/>
      <c r="AB529" s="374"/>
      <c r="AC529" s="374"/>
      <c r="AD529" s="374"/>
      <c r="AE529" s="374"/>
      <c r="AF529" s="374"/>
      <c r="AG529" s="374"/>
      <c r="AH529" s="375"/>
      <c r="AI529" s="375"/>
      <c r="AJ529" s="376"/>
      <c r="AK529" s="377"/>
      <c r="AL529" s="377"/>
      <c r="AM529" s="372"/>
      <c r="AN529" s="372"/>
    </row>
    <row r="530" spans="2:40" hidden="1">
      <c r="B530" s="369">
        <f t="shared" si="81"/>
        <v>471</v>
      </c>
      <c r="C530" s="370">
        <v>20200909</v>
      </c>
      <c r="D530" s="370" t="s">
        <v>3</v>
      </c>
      <c r="E530" s="371" t="s">
        <v>2076</v>
      </c>
      <c r="F530" s="372"/>
      <c r="G530" s="372"/>
      <c r="H530" s="370" t="s">
        <v>1038</v>
      </c>
      <c r="I530" s="370" t="s">
        <v>807</v>
      </c>
      <c r="J530" s="370" t="s">
        <v>246</v>
      </c>
      <c r="K530" s="372"/>
      <c r="L530" s="378" t="s">
        <v>614</v>
      </c>
      <c r="M530" s="372"/>
      <c r="N530" s="370"/>
      <c r="O530" s="372" t="s">
        <v>2069</v>
      </c>
      <c r="P530" s="372" t="s">
        <v>462</v>
      </c>
      <c r="Q530" s="370"/>
      <c r="R530" s="370" t="s">
        <v>202</v>
      </c>
      <c r="S530" s="370" t="s">
        <v>132</v>
      </c>
      <c r="T530" s="370"/>
      <c r="U530" s="370"/>
      <c r="V530" s="370"/>
      <c r="W530" s="373">
        <f>ROUND(IF(D530=Table!$C$3,Y530*Table!$C$4/8,Y530*Table!$D$4/8),3)</f>
        <v>0</v>
      </c>
      <c r="X530" s="373"/>
      <c r="Y530" s="373">
        <v>0</v>
      </c>
      <c r="Z530" s="373"/>
      <c r="AA530" s="370"/>
      <c r="AB530" s="374"/>
      <c r="AC530" s="374"/>
      <c r="AD530" s="374"/>
      <c r="AE530" s="374"/>
      <c r="AF530" s="374"/>
      <c r="AG530" s="374"/>
      <c r="AH530" s="375"/>
      <c r="AI530" s="375"/>
      <c r="AJ530" s="376"/>
      <c r="AK530" s="377"/>
      <c r="AL530" s="377"/>
      <c r="AM530" s="372"/>
      <c r="AN530" s="372"/>
    </row>
    <row r="531" spans="2:40" hidden="1">
      <c r="B531" s="369">
        <f t="shared" ref="B531:B557" si="82">B530+1</f>
        <v>472</v>
      </c>
      <c r="C531" s="370">
        <v>20200909</v>
      </c>
      <c r="D531" s="370" t="s">
        <v>3</v>
      </c>
      <c r="E531" s="371" t="s">
        <v>2076</v>
      </c>
      <c r="F531" s="372"/>
      <c r="G531" s="372"/>
      <c r="H531" s="370" t="s">
        <v>2088</v>
      </c>
      <c r="I531" s="370" t="s">
        <v>808</v>
      </c>
      <c r="J531" s="370" t="s">
        <v>246</v>
      </c>
      <c r="K531" s="372"/>
      <c r="L531" s="378" t="s">
        <v>614</v>
      </c>
      <c r="M531" s="372"/>
      <c r="N531" s="370"/>
      <c r="O531" s="372" t="s">
        <v>2070</v>
      </c>
      <c r="P531" s="372" t="s">
        <v>462</v>
      </c>
      <c r="Q531" s="370"/>
      <c r="R531" s="370" t="s">
        <v>202</v>
      </c>
      <c r="S531" s="370" t="s">
        <v>132</v>
      </c>
      <c r="T531" s="370"/>
      <c r="U531" s="370"/>
      <c r="V531" s="370"/>
      <c r="W531" s="373">
        <f>ROUND(IF(D531=Table!$C$3,Y531*Table!$C$4/8,Y531*Table!$D$4/8),3)</f>
        <v>0</v>
      </c>
      <c r="X531" s="373"/>
      <c r="Y531" s="373">
        <v>0</v>
      </c>
      <c r="Z531" s="373"/>
      <c r="AA531" s="370"/>
      <c r="AB531" s="374"/>
      <c r="AC531" s="374"/>
      <c r="AD531" s="374"/>
      <c r="AE531" s="374"/>
      <c r="AF531" s="374"/>
      <c r="AG531" s="374"/>
      <c r="AH531" s="375"/>
      <c r="AI531" s="375"/>
      <c r="AJ531" s="376"/>
      <c r="AK531" s="377"/>
      <c r="AL531" s="377"/>
      <c r="AM531" s="372"/>
      <c r="AN531" s="372"/>
    </row>
    <row r="532" spans="2:40" hidden="1">
      <c r="B532" s="369">
        <f t="shared" si="82"/>
        <v>473</v>
      </c>
      <c r="C532" s="370">
        <v>20200909</v>
      </c>
      <c r="D532" s="370" t="s">
        <v>3</v>
      </c>
      <c r="E532" s="371" t="s">
        <v>2076</v>
      </c>
      <c r="F532" s="372"/>
      <c r="G532" s="372"/>
      <c r="H532" s="370" t="s">
        <v>1039</v>
      </c>
      <c r="I532" s="370" t="s">
        <v>244</v>
      </c>
      <c r="J532" s="370" t="s">
        <v>246</v>
      </c>
      <c r="K532" s="372"/>
      <c r="L532" s="378" t="s">
        <v>614</v>
      </c>
      <c r="M532" s="372"/>
      <c r="N532" s="370"/>
      <c r="O532" s="372" t="s">
        <v>2071</v>
      </c>
      <c r="P532" s="372" t="s">
        <v>462</v>
      </c>
      <c r="Q532" s="370"/>
      <c r="R532" s="370" t="s">
        <v>202</v>
      </c>
      <c r="S532" s="370" t="s">
        <v>132</v>
      </c>
      <c r="T532" s="370"/>
      <c r="U532" s="370"/>
      <c r="V532" s="370"/>
      <c r="W532" s="373">
        <f>ROUND(IF(D532=Table!$C$3,Y532*Table!$C$4/8,Y532*Table!$D$4/8),3)</f>
        <v>0</v>
      </c>
      <c r="X532" s="373"/>
      <c r="Y532" s="373">
        <v>0</v>
      </c>
      <c r="Z532" s="373"/>
      <c r="AA532" s="370"/>
      <c r="AB532" s="374"/>
      <c r="AC532" s="374"/>
      <c r="AD532" s="374"/>
      <c r="AE532" s="374"/>
      <c r="AF532" s="374"/>
      <c r="AG532" s="374"/>
      <c r="AH532" s="375"/>
      <c r="AI532" s="375"/>
      <c r="AJ532" s="376"/>
      <c r="AK532" s="377"/>
      <c r="AL532" s="377"/>
      <c r="AM532" s="372"/>
      <c r="AN532" s="372"/>
    </row>
    <row r="533" spans="2:40" s="111" customFormat="1" hidden="1">
      <c r="B533" s="369">
        <f t="shared" si="82"/>
        <v>474</v>
      </c>
      <c r="C533" s="370">
        <v>20200909</v>
      </c>
      <c r="D533" s="370" t="s">
        <v>3</v>
      </c>
      <c r="E533" s="371" t="s">
        <v>2076</v>
      </c>
      <c r="F533" s="372"/>
      <c r="G533" s="372"/>
      <c r="H533" s="370" t="s">
        <v>2089</v>
      </c>
      <c r="I533" s="370" t="s">
        <v>2054</v>
      </c>
      <c r="J533" s="370" t="s">
        <v>246</v>
      </c>
      <c r="K533" s="372"/>
      <c r="L533" s="378" t="s">
        <v>614</v>
      </c>
      <c r="M533" s="372"/>
      <c r="N533" s="370"/>
      <c r="O533" s="372" t="s">
        <v>2074</v>
      </c>
      <c r="P533" s="372" t="s">
        <v>623</v>
      </c>
      <c r="Q533" s="370"/>
      <c r="R533" s="370" t="s">
        <v>202</v>
      </c>
      <c r="S533" s="370" t="s">
        <v>132</v>
      </c>
      <c r="T533" s="370"/>
      <c r="U533" s="370"/>
      <c r="V533" s="370"/>
      <c r="W533" s="373">
        <f>ROUND(IF(D533=Table!$C$3,Y533*Table!$C$4/8,Y533*Table!$D$4/8),3)</f>
        <v>0</v>
      </c>
      <c r="X533" s="373"/>
      <c r="Y533" s="373">
        <v>0</v>
      </c>
      <c r="Z533" s="373"/>
      <c r="AA533" s="370"/>
      <c r="AB533" s="374"/>
      <c r="AC533" s="374"/>
      <c r="AD533" s="374"/>
      <c r="AE533" s="374"/>
      <c r="AF533" s="374"/>
      <c r="AG533" s="374"/>
      <c r="AH533" s="375"/>
      <c r="AI533" s="375"/>
      <c r="AJ533" s="376"/>
      <c r="AK533" s="377"/>
      <c r="AL533" s="377"/>
      <c r="AM533" s="372"/>
      <c r="AN533" s="372"/>
    </row>
    <row r="534" spans="2:40" s="111" customFormat="1" hidden="1">
      <c r="B534" s="369">
        <f t="shared" si="82"/>
        <v>475</v>
      </c>
      <c r="C534" s="370">
        <v>20200909</v>
      </c>
      <c r="D534" s="370" t="s">
        <v>3</v>
      </c>
      <c r="E534" s="371" t="s">
        <v>2076</v>
      </c>
      <c r="F534" s="372"/>
      <c r="G534" s="372"/>
      <c r="H534" s="370" t="s">
        <v>612</v>
      </c>
      <c r="I534" s="370" t="s">
        <v>402</v>
      </c>
      <c r="J534" s="370" t="s">
        <v>1454</v>
      </c>
      <c r="K534" s="372"/>
      <c r="L534" s="378" t="s">
        <v>614</v>
      </c>
      <c r="M534" s="372"/>
      <c r="N534" s="370"/>
      <c r="O534" s="372" t="s">
        <v>2075</v>
      </c>
      <c r="P534" s="372" t="s">
        <v>620</v>
      </c>
      <c r="Q534" s="370"/>
      <c r="R534" s="370" t="s">
        <v>202</v>
      </c>
      <c r="S534" s="370" t="s">
        <v>132</v>
      </c>
      <c r="T534" s="370"/>
      <c r="U534" s="370"/>
      <c r="V534" s="370"/>
      <c r="W534" s="373">
        <f>ROUND(IF(D534=Table!$C$3,Y534*Table!$C$4/8,Y534*Table!$D$4/8),3)</f>
        <v>0</v>
      </c>
      <c r="X534" s="373"/>
      <c r="Y534" s="373">
        <v>0</v>
      </c>
      <c r="Z534" s="373"/>
      <c r="AA534" s="370"/>
      <c r="AB534" s="374"/>
      <c r="AC534" s="374"/>
      <c r="AD534" s="374"/>
      <c r="AE534" s="374"/>
      <c r="AF534" s="374"/>
      <c r="AG534" s="374"/>
      <c r="AH534" s="375"/>
      <c r="AI534" s="375"/>
      <c r="AJ534" s="376"/>
      <c r="AK534" s="377"/>
      <c r="AL534" s="377"/>
      <c r="AM534" s="372"/>
      <c r="AN534" s="372"/>
    </row>
    <row r="535" spans="2:40" s="111" customFormat="1" hidden="1">
      <c r="B535" s="331">
        <f t="shared" si="82"/>
        <v>476</v>
      </c>
      <c r="C535" s="16"/>
      <c r="D535" s="16"/>
      <c r="E535" s="85"/>
      <c r="F535" s="80"/>
      <c r="G535" s="47"/>
      <c r="H535" s="16"/>
      <c r="I535" s="16"/>
      <c r="J535" s="16"/>
      <c r="K535" s="47"/>
      <c r="L535" s="80"/>
      <c r="M535" s="47"/>
      <c r="N535" s="16"/>
      <c r="O535" s="80"/>
      <c r="P535" s="80"/>
      <c r="Q535" s="18"/>
      <c r="R535" s="16"/>
      <c r="S535" s="16"/>
      <c r="T535" s="16"/>
      <c r="U535" s="16"/>
      <c r="V535" s="16"/>
      <c r="W535" s="191"/>
      <c r="X535" s="191">
        <f>58/6</f>
        <v>9.6666666666666661</v>
      </c>
      <c r="Y535" s="191"/>
      <c r="Z535" s="191"/>
      <c r="AA535" s="16"/>
      <c r="AB535" s="81"/>
      <c r="AC535" s="81"/>
      <c r="AD535" s="81"/>
      <c r="AE535" s="81"/>
      <c r="AF535" s="81"/>
      <c r="AG535" s="81"/>
      <c r="AH535" s="82"/>
      <c r="AI535" s="82"/>
      <c r="AJ535" s="117"/>
      <c r="AK535" s="87"/>
      <c r="AL535" s="87"/>
      <c r="AM535" s="80"/>
      <c r="AN535" s="80"/>
    </row>
    <row r="536" spans="2:40" s="111" customFormat="1" hidden="1">
      <c r="B536" s="331">
        <f t="shared" si="82"/>
        <v>477</v>
      </c>
      <c r="C536" s="16"/>
      <c r="D536" s="16"/>
      <c r="E536" s="85"/>
      <c r="F536" s="80"/>
      <c r="G536" s="47"/>
      <c r="H536" s="16"/>
      <c r="I536" s="16"/>
      <c r="J536" s="16"/>
      <c r="K536" s="47"/>
      <c r="L536" s="80"/>
      <c r="M536" s="47"/>
      <c r="N536" s="16"/>
      <c r="O536" s="80"/>
      <c r="P536" s="80"/>
      <c r="Q536" s="18"/>
      <c r="R536" s="16"/>
      <c r="S536" s="16"/>
      <c r="T536" s="16"/>
      <c r="U536" s="16"/>
      <c r="V536" s="16"/>
      <c r="W536" s="191"/>
      <c r="X536" s="191"/>
      <c r="Y536" s="191"/>
      <c r="Z536" s="191"/>
      <c r="AA536" s="16"/>
      <c r="AB536" s="81"/>
      <c r="AC536" s="81"/>
      <c r="AD536" s="81"/>
      <c r="AE536" s="81"/>
      <c r="AF536" s="81"/>
      <c r="AG536" s="81"/>
      <c r="AH536" s="82"/>
      <c r="AI536" s="82"/>
      <c r="AJ536" s="117"/>
      <c r="AK536" s="87"/>
      <c r="AL536" s="87"/>
      <c r="AM536" s="80"/>
      <c r="AN536" s="80"/>
    </row>
    <row r="537" spans="2:40" s="111" customFormat="1" hidden="1">
      <c r="B537" s="331">
        <f t="shared" si="82"/>
        <v>478</v>
      </c>
      <c r="C537" s="16"/>
      <c r="D537" s="16"/>
      <c r="E537" s="85"/>
      <c r="F537" s="80"/>
      <c r="G537" s="47"/>
      <c r="H537" s="16"/>
      <c r="I537" s="16"/>
      <c r="J537" s="16"/>
      <c r="K537" s="47"/>
      <c r="L537" s="80"/>
      <c r="M537" s="47"/>
      <c r="N537" s="16"/>
      <c r="O537" s="80"/>
      <c r="P537" s="80"/>
      <c r="Q537" s="18"/>
      <c r="R537" s="16"/>
      <c r="S537" s="16"/>
      <c r="T537" s="16"/>
      <c r="U537" s="16"/>
      <c r="V537" s="16"/>
      <c r="W537" s="191"/>
      <c r="X537" s="278">
        <f>X535*2</f>
        <v>19.333333333333332</v>
      </c>
      <c r="Y537" s="191"/>
      <c r="Z537" s="191"/>
      <c r="AA537" s="16"/>
      <c r="AB537" s="81"/>
      <c r="AC537" s="81"/>
      <c r="AD537" s="81"/>
      <c r="AE537" s="81"/>
      <c r="AF537" s="81"/>
      <c r="AG537" s="81"/>
      <c r="AH537" s="82"/>
      <c r="AI537" s="82"/>
      <c r="AJ537" s="117"/>
      <c r="AK537" s="87"/>
      <c r="AL537" s="87"/>
      <c r="AM537" s="80"/>
      <c r="AN537" s="80"/>
    </row>
    <row r="538" spans="2:40" s="111" customFormat="1" hidden="1">
      <c r="B538" s="331">
        <f t="shared" si="82"/>
        <v>479</v>
      </c>
      <c r="C538" s="16"/>
      <c r="D538" s="16"/>
      <c r="E538" s="85"/>
      <c r="F538" s="80"/>
      <c r="G538" s="47"/>
      <c r="H538" s="16"/>
      <c r="I538" s="16"/>
      <c r="J538" s="16"/>
      <c r="K538" s="47"/>
      <c r="L538" s="80"/>
      <c r="M538" s="47"/>
      <c r="N538" s="16"/>
      <c r="O538" s="80"/>
      <c r="P538" s="80"/>
      <c r="Q538" s="18"/>
      <c r="R538" s="16"/>
      <c r="S538" s="16"/>
      <c r="T538" s="16"/>
      <c r="U538" s="16"/>
      <c r="V538" s="16"/>
      <c r="W538" s="191"/>
      <c r="X538" s="191">
        <f>28-X537</f>
        <v>8.6666666666666679</v>
      </c>
      <c r="Y538" s="191"/>
      <c r="Z538" s="191"/>
      <c r="AA538" s="16"/>
      <c r="AB538" s="81"/>
      <c r="AC538" s="81"/>
      <c r="AD538" s="81"/>
      <c r="AE538" s="81"/>
      <c r="AF538" s="81"/>
      <c r="AG538" s="81"/>
      <c r="AH538" s="82"/>
      <c r="AI538" s="82"/>
      <c r="AJ538" s="117"/>
      <c r="AK538" s="87"/>
      <c r="AL538" s="87"/>
      <c r="AM538" s="80"/>
      <c r="AN538" s="80"/>
    </row>
    <row r="539" spans="2:40" hidden="1">
      <c r="B539" s="331">
        <f t="shared" si="82"/>
        <v>480</v>
      </c>
      <c r="C539" s="16"/>
      <c r="D539" s="16"/>
      <c r="E539" s="85"/>
      <c r="F539" s="80"/>
      <c r="G539" s="47"/>
      <c r="H539" s="16"/>
      <c r="I539" s="16"/>
      <c r="J539" s="16"/>
      <c r="K539" s="47"/>
      <c r="L539" s="80"/>
      <c r="M539" s="47"/>
      <c r="N539" s="16"/>
      <c r="O539" s="80"/>
      <c r="P539" s="80"/>
      <c r="Q539" s="18"/>
      <c r="R539" s="16"/>
      <c r="S539" s="16"/>
      <c r="T539" s="16"/>
      <c r="U539" s="16"/>
      <c r="V539" s="16"/>
      <c r="W539" s="191"/>
      <c r="X539" s="191"/>
      <c r="Y539" s="191"/>
      <c r="Z539" s="191"/>
      <c r="AA539" s="16"/>
      <c r="AB539" s="81"/>
      <c r="AC539" s="81"/>
      <c r="AD539" s="81"/>
      <c r="AE539" s="81"/>
      <c r="AF539" s="81"/>
      <c r="AG539" s="81"/>
      <c r="AH539" s="82"/>
      <c r="AI539" s="82"/>
      <c r="AJ539" s="117"/>
      <c r="AK539" s="87"/>
      <c r="AL539" s="84"/>
      <c r="AM539" s="17"/>
      <c r="AN539" s="17"/>
    </row>
    <row r="540" spans="2:40" hidden="1">
      <c r="B540" s="331">
        <f t="shared" si="82"/>
        <v>481</v>
      </c>
      <c r="C540" s="16"/>
      <c r="D540" s="16"/>
      <c r="E540" s="16"/>
      <c r="F540" s="16"/>
      <c r="G540" s="359"/>
      <c r="H540" s="16"/>
      <c r="I540" s="16"/>
      <c r="J540" s="16"/>
      <c r="K540" s="360"/>
      <c r="L540" s="191"/>
      <c r="M540" s="360"/>
      <c r="N540" s="191"/>
      <c r="O540" s="16"/>
      <c r="P540" s="191"/>
      <c r="Q540" s="18"/>
      <c r="R540" s="16"/>
      <c r="S540" s="16"/>
      <c r="T540" s="16"/>
      <c r="U540" s="16"/>
      <c r="V540" s="16"/>
      <c r="W540" s="191"/>
      <c r="X540" s="191"/>
      <c r="Y540" s="191"/>
      <c r="Z540" s="191"/>
      <c r="AA540" s="16"/>
      <c r="AB540" s="81"/>
      <c r="AC540" s="81"/>
      <c r="AD540" s="81"/>
      <c r="AE540" s="81"/>
      <c r="AF540" s="81"/>
      <c r="AG540" s="81"/>
      <c r="AH540" s="82"/>
      <c r="AI540" s="82"/>
      <c r="AJ540" s="117"/>
      <c r="AK540" s="87"/>
      <c r="AL540" s="84"/>
      <c r="AM540" s="17"/>
      <c r="AN540" s="17"/>
    </row>
    <row r="541" spans="2:40" hidden="1">
      <c r="B541" s="331">
        <f t="shared" si="82"/>
        <v>482</v>
      </c>
      <c r="C541" s="16"/>
      <c r="D541" s="16"/>
      <c r="E541" s="85"/>
      <c r="F541" s="80"/>
      <c r="G541" s="47"/>
      <c r="H541" s="16"/>
      <c r="I541" s="16"/>
      <c r="J541" s="16"/>
      <c r="K541" s="47"/>
      <c r="L541" s="80"/>
      <c r="M541" s="47"/>
      <c r="N541" s="16"/>
      <c r="O541" s="80"/>
      <c r="P541" s="80"/>
      <c r="Q541" s="18"/>
      <c r="R541" s="16"/>
      <c r="S541" s="16"/>
      <c r="T541" s="16"/>
      <c r="U541" s="16"/>
      <c r="V541" s="16"/>
      <c r="W541" s="191"/>
      <c r="X541" s="191"/>
      <c r="Y541" s="191"/>
      <c r="Z541" s="191"/>
      <c r="AA541" s="16"/>
      <c r="AB541" s="81"/>
      <c r="AC541" s="81"/>
      <c r="AD541" s="81"/>
      <c r="AE541" s="81"/>
      <c r="AF541" s="81"/>
      <c r="AG541" s="81"/>
      <c r="AH541" s="82"/>
      <c r="AI541" s="82"/>
      <c r="AJ541" s="117"/>
      <c r="AK541" s="87"/>
      <c r="AL541" s="84"/>
      <c r="AM541" s="17"/>
      <c r="AN541" s="17"/>
    </row>
    <row r="542" spans="2:40" hidden="1">
      <c r="B542" s="331">
        <f t="shared" si="82"/>
        <v>483</v>
      </c>
      <c r="C542" s="16"/>
      <c r="D542" s="16"/>
      <c r="E542" s="85"/>
      <c r="F542" s="80"/>
      <c r="G542" s="47"/>
      <c r="H542" s="16"/>
      <c r="I542" s="16"/>
      <c r="J542" s="16"/>
      <c r="K542" s="47"/>
      <c r="L542" s="80"/>
      <c r="M542" s="47"/>
      <c r="N542" s="16"/>
      <c r="O542" s="80"/>
      <c r="P542" s="80"/>
      <c r="Q542" s="263"/>
      <c r="R542" s="73"/>
      <c r="S542" s="73"/>
      <c r="T542" s="73"/>
      <c r="U542" s="73"/>
      <c r="V542" s="73"/>
      <c r="W542" s="361"/>
      <c r="X542" s="361"/>
      <c r="Y542" s="361"/>
      <c r="Z542" s="361"/>
      <c r="AA542" s="73"/>
      <c r="AB542" s="77"/>
      <c r="AC542" s="81"/>
      <c r="AD542" s="81"/>
      <c r="AE542" s="81"/>
      <c r="AF542" s="81"/>
      <c r="AG542" s="81"/>
      <c r="AH542" s="82"/>
      <c r="AI542" s="82"/>
      <c r="AJ542" s="117"/>
      <c r="AK542" s="87"/>
      <c r="AL542" s="84"/>
      <c r="AM542" s="17"/>
      <c r="AN542" s="17"/>
    </row>
    <row r="543" spans="2:40" hidden="1">
      <c r="B543" s="331">
        <f t="shared" si="82"/>
        <v>484</v>
      </c>
      <c r="C543" s="16"/>
      <c r="D543" s="16"/>
      <c r="E543" s="85"/>
      <c r="F543" s="80"/>
      <c r="G543" s="47"/>
      <c r="H543" s="16"/>
      <c r="I543" s="16"/>
      <c r="J543" s="16"/>
      <c r="K543" s="47"/>
      <c r="L543" s="80"/>
      <c r="M543" s="47"/>
      <c r="N543" s="16"/>
      <c r="O543" s="80"/>
      <c r="P543" s="80"/>
      <c r="Q543" s="18"/>
      <c r="R543" s="16"/>
      <c r="S543" s="16"/>
      <c r="T543" s="16"/>
      <c r="U543" s="16"/>
      <c r="V543" s="16"/>
      <c r="W543" s="191"/>
      <c r="X543" s="191"/>
      <c r="Y543" s="191"/>
      <c r="Z543" s="191"/>
      <c r="AA543" s="16"/>
      <c r="AB543" s="81"/>
      <c r="AC543" s="81"/>
      <c r="AD543" s="81"/>
      <c r="AE543" s="81"/>
      <c r="AF543" s="81"/>
      <c r="AG543" s="81"/>
      <c r="AH543" s="82"/>
      <c r="AI543" s="82"/>
      <c r="AJ543" s="117"/>
      <c r="AK543" s="87"/>
      <c r="AL543" s="84"/>
      <c r="AM543" s="17"/>
      <c r="AN543" s="17"/>
    </row>
    <row r="544" spans="2:40" hidden="1">
      <c r="B544" s="331">
        <f t="shared" si="82"/>
        <v>485</v>
      </c>
      <c r="C544" s="16"/>
      <c r="D544" s="16"/>
      <c r="E544" s="85"/>
      <c r="F544" s="80"/>
      <c r="G544" s="47"/>
      <c r="H544" s="16"/>
      <c r="I544" s="16"/>
      <c r="J544" s="16"/>
      <c r="K544" s="47"/>
      <c r="L544" s="80"/>
      <c r="M544" s="47"/>
      <c r="N544" s="16"/>
      <c r="O544" s="80"/>
      <c r="P544" s="80"/>
      <c r="Q544" s="18"/>
      <c r="R544" s="16"/>
      <c r="S544" s="16"/>
      <c r="T544" s="16"/>
      <c r="U544" s="16"/>
      <c r="V544" s="16"/>
      <c r="W544" s="191"/>
      <c r="X544" s="191"/>
      <c r="Y544" s="191"/>
      <c r="Z544" s="191"/>
      <c r="AA544" s="16"/>
      <c r="AB544" s="81"/>
      <c r="AC544" s="81"/>
      <c r="AD544" s="81"/>
      <c r="AE544" s="81"/>
      <c r="AF544" s="81"/>
      <c r="AG544" s="81"/>
      <c r="AH544" s="82"/>
      <c r="AI544" s="82"/>
      <c r="AJ544" s="117"/>
      <c r="AK544" s="87"/>
      <c r="AL544" s="84"/>
      <c r="AM544" s="17"/>
      <c r="AN544" s="17"/>
    </row>
    <row r="545" spans="2:40" hidden="1">
      <c r="B545" s="331">
        <f t="shared" si="82"/>
        <v>486</v>
      </c>
      <c r="C545" s="16"/>
      <c r="D545" s="16"/>
      <c r="E545" s="85"/>
      <c r="F545" s="80"/>
      <c r="G545" s="47"/>
      <c r="H545" s="16"/>
      <c r="I545" s="16"/>
      <c r="J545" s="16"/>
      <c r="K545" s="47"/>
      <c r="L545" s="80"/>
      <c r="M545" s="47"/>
      <c r="N545" s="16"/>
      <c r="O545" s="80"/>
      <c r="P545" s="80"/>
      <c r="Q545" s="18"/>
      <c r="R545" s="16"/>
      <c r="S545" s="16"/>
      <c r="T545" s="16"/>
      <c r="U545" s="16"/>
      <c r="V545" s="16"/>
      <c r="W545" s="191"/>
      <c r="X545" s="191"/>
      <c r="Y545" s="191"/>
      <c r="Z545" s="191"/>
      <c r="AA545" s="16"/>
      <c r="AB545" s="81"/>
      <c r="AC545" s="81"/>
      <c r="AD545" s="81"/>
      <c r="AE545" s="81"/>
      <c r="AF545" s="81"/>
      <c r="AG545" s="81"/>
      <c r="AH545" s="82"/>
      <c r="AI545" s="82"/>
      <c r="AJ545" s="117"/>
      <c r="AK545" s="87"/>
      <c r="AL545" s="84"/>
      <c r="AM545" s="17"/>
      <c r="AN545" s="17"/>
    </row>
    <row r="546" spans="2:40" hidden="1">
      <c r="B546" s="331">
        <f t="shared" si="82"/>
        <v>487</v>
      </c>
      <c r="C546" s="16"/>
      <c r="D546" s="16"/>
      <c r="E546" s="85"/>
      <c r="F546" s="80"/>
      <c r="G546" s="47"/>
      <c r="H546" s="16"/>
      <c r="I546" s="16"/>
      <c r="J546" s="16"/>
      <c r="K546" s="47"/>
      <c r="L546" s="80"/>
      <c r="M546" s="47"/>
      <c r="N546" s="16"/>
      <c r="O546" s="80"/>
      <c r="P546" s="80"/>
      <c r="Q546" s="18"/>
      <c r="R546" s="16"/>
      <c r="S546" s="16"/>
      <c r="T546" s="16"/>
      <c r="U546" s="16"/>
      <c r="V546" s="16"/>
      <c r="W546" s="191"/>
      <c r="X546" s="191"/>
      <c r="Y546" s="191"/>
      <c r="Z546" s="191"/>
      <c r="AA546" s="16"/>
      <c r="AB546" s="81"/>
      <c r="AC546" s="81"/>
      <c r="AD546" s="81"/>
      <c r="AE546" s="81"/>
      <c r="AF546" s="81"/>
      <c r="AG546" s="81"/>
      <c r="AH546" s="82"/>
      <c r="AI546" s="82"/>
      <c r="AJ546" s="117"/>
      <c r="AK546" s="87"/>
      <c r="AL546" s="84"/>
      <c r="AM546" s="17"/>
      <c r="AN546" s="17"/>
    </row>
    <row r="547" spans="2:40" hidden="1">
      <c r="B547" s="331">
        <f t="shared" si="82"/>
        <v>488</v>
      </c>
      <c r="C547" s="16"/>
      <c r="D547" s="16"/>
      <c r="E547" s="85"/>
      <c r="F547" s="80"/>
      <c r="G547" s="47"/>
      <c r="H547" s="16"/>
      <c r="I547" s="16"/>
      <c r="J547" s="16"/>
      <c r="K547" s="47"/>
      <c r="L547" s="80"/>
      <c r="M547" s="47"/>
      <c r="N547" s="16"/>
      <c r="O547" s="80"/>
      <c r="P547" s="80"/>
      <c r="Q547" s="18"/>
      <c r="R547" s="16"/>
      <c r="S547" s="16"/>
      <c r="T547" s="16"/>
      <c r="U547" s="16"/>
      <c r="V547" s="16"/>
      <c r="W547" s="191"/>
      <c r="X547" s="191"/>
      <c r="Y547" s="191"/>
      <c r="Z547" s="191"/>
      <c r="AA547" s="16"/>
      <c r="AB547" s="81"/>
      <c r="AC547" s="81"/>
      <c r="AD547" s="81"/>
      <c r="AE547" s="81"/>
      <c r="AF547" s="81"/>
      <c r="AG547" s="81"/>
      <c r="AH547" s="82"/>
      <c r="AI547" s="82"/>
      <c r="AJ547" s="117"/>
      <c r="AK547" s="87"/>
      <c r="AL547" s="84"/>
      <c r="AM547" s="17"/>
      <c r="AN547" s="17"/>
    </row>
    <row r="548" spans="2:40" hidden="1">
      <c r="B548" s="331">
        <f t="shared" si="82"/>
        <v>489</v>
      </c>
      <c r="C548" s="16"/>
      <c r="D548" s="16"/>
      <c r="E548" s="85"/>
      <c r="F548" s="80"/>
      <c r="G548" s="47"/>
      <c r="H548" s="16"/>
      <c r="I548" s="16"/>
      <c r="J548" s="16"/>
      <c r="K548" s="47"/>
      <c r="L548" s="80"/>
      <c r="M548" s="47"/>
      <c r="N548" s="16"/>
      <c r="O548" s="80"/>
      <c r="P548" s="80"/>
      <c r="Q548" s="18"/>
      <c r="R548" s="16"/>
      <c r="S548" s="16"/>
      <c r="T548" s="16"/>
      <c r="U548" s="16"/>
      <c r="V548" s="16"/>
      <c r="W548" s="191"/>
      <c r="X548" s="191"/>
      <c r="Y548" s="191"/>
      <c r="Z548" s="191"/>
      <c r="AA548" s="16"/>
      <c r="AB548" s="81"/>
      <c r="AC548" s="81"/>
      <c r="AD548" s="81"/>
      <c r="AE548" s="81"/>
      <c r="AF548" s="81"/>
      <c r="AG548" s="81"/>
      <c r="AH548" s="82"/>
      <c r="AI548" s="82"/>
      <c r="AJ548" s="117"/>
      <c r="AK548" s="87"/>
      <c r="AL548" s="84"/>
      <c r="AM548" s="17"/>
      <c r="AN548" s="17"/>
    </row>
    <row r="549" spans="2:40" hidden="1">
      <c r="B549" s="331">
        <f t="shared" si="82"/>
        <v>490</v>
      </c>
      <c r="C549" s="16"/>
      <c r="D549" s="16"/>
      <c r="E549" s="85"/>
      <c r="F549" s="80"/>
      <c r="G549" s="47"/>
      <c r="H549" s="16"/>
      <c r="I549" s="16"/>
      <c r="J549" s="73"/>
      <c r="K549" s="47"/>
      <c r="L549" s="80"/>
      <c r="M549" s="47"/>
      <c r="N549" s="16"/>
      <c r="O549" s="80"/>
      <c r="P549" s="80"/>
      <c r="Q549" s="18"/>
      <c r="R549" s="16"/>
      <c r="S549" s="16"/>
      <c r="T549" s="16"/>
      <c r="U549" s="16"/>
      <c r="V549" s="16"/>
      <c r="W549" s="191"/>
      <c r="X549" s="191"/>
      <c r="Y549" s="191"/>
      <c r="Z549" s="191"/>
      <c r="AA549" s="16"/>
      <c r="AB549" s="81"/>
      <c r="AC549" s="81"/>
      <c r="AD549" s="81"/>
      <c r="AE549" s="81"/>
      <c r="AF549" s="81"/>
      <c r="AG549" s="81"/>
      <c r="AH549" s="82"/>
      <c r="AI549" s="82"/>
      <c r="AJ549" s="117"/>
      <c r="AK549" s="87"/>
      <c r="AL549" s="84"/>
      <c r="AM549" s="17"/>
      <c r="AN549" s="17"/>
    </row>
    <row r="550" spans="2:40" hidden="1">
      <c r="B550" s="331">
        <f t="shared" si="82"/>
        <v>491</v>
      </c>
      <c r="C550" s="16"/>
      <c r="D550" s="16"/>
      <c r="E550" s="85"/>
      <c r="F550" s="80"/>
      <c r="G550" s="47"/>
      <c r="H550" s="16"/>
      <c r="I550" s="16"/>
      <c r="J550" s="16"/>
      <c r="K550" s="47"/>
      <c r="L550" s="80"/>
      <c r="M550" s="47"/>
      <c r="N550" s="16"/>
      <c r="O550" s="80"/>
      <c r="P550" s="80"/>
      <c r="Q550" s="18"/>
      <c r="R550" s="16"/>
      <c r="S550" s="16"/>
      <c r="T550" s="16"/>
      <c r="U550" s="16"/>
      <c r="V550" s="16"/>
      <c r="W550" s="191"/>
      <c r="X550" s="191"/>
      <c r="Y550" s="191"/>
      <c r="Z550" s="191"/>
      <c r="AA550" s="16"/>
      <c r="AB550" s="81"/>
      <c r="AC550" s="81"/>
      <c r="AD550" s="81"/>
      <c r="AE550" s="81"/>
      <c r="AF550" s="81"/>
      <c r="AG550" s="81"/>
      <c r="AH550" s="82"/>
      <c r="AI550" s="82"/>
      <c r="AJ550" s="117"/>
      <c r="AK550" s="87"/>
      <c r="AL550" s="84"/>
      <c r="AM550" s="17"/>
      <c r="AN550" s="17"/>
    </row>
    <row r="551" spans="2:40" hidden="1">
      <c r="B551" s="331">
        <f t="shared" si="82"/>
        <v>492</v>
      </c>
      <c r="C551" s="16"/>
      <c r="D551" s="16"/>
      <c r="E551" s="85"/>
      <c r="F551" s="80"/>
      <c r="G551" s="47"/>
      <c r="H551" s="16"/>
      <c r="I551" s="16"/>
      <c r="J551" s="16"/>
      <c r="K551" s="47"/>
      <c r="L551" s="80"/>
      <c r="M551" s="47"/>
      <c r="N551" s="16"/>
      <c r="O551" s="80"/>
      <c r="P551" s="80"/>
      <c r="Q551" s="18"/>
      <c r="R551" s="16"/>
      <c r="S551" s="16"/>
      <c r="T551" s="16"/>
      <c r="U551" s="16"/>
      <c r="V551" s="16"/>
      <c r="W551" s="191"/>
      <c r="X551" s="191"/>
      <c r="Y551" s="191"/>
      <c r="Z551" s="191"/>
      <c r="AA551" s="16"/>
      <c r="AB551" s="81"/>
      <c r="AC551" s="81"/>
      <c r="AD551" s="81"/>
      <c r="AE551" s="81"/>
      <c r="AF551" s="81"/>
      <c r="AG551" s="81"/>
      <c r="AH551" s="82"/>
      <c r="AI551" s="82"/>
      <c r="AJ551" s="117"/>
      <c r="AK551" s="87"/>
      <c r="AL551" s="84"/>
      <c r="AM551" s="17"/>
      <c r="AN551" s="17"/>
    </row>
    <row r="552" spans="2:40" hidden="1">
      <c r="B552" s="331">
        <f t="shared" si="82"/>
        <v>493</v>
      </c>
      <c r="C552" s="16"/>
      <c r="D552" s="16"/>
      <c r="E552" s="85"/>
      <c r="F552" s="80"/>
      <c r="G552" s="47"/>
      <c r="H552" s="16"/>
      <c r="I552" s="16"/>
      <c r="J552" s="16"/>
      <c r="K552" s="47"/>
      <c r="L552" s="80"/>
      <c r="M552" s="47"/>
      <c r="N552" s="16"/>
      <c r="O552" s="80"/>
      <c r="P552" s="80"/>
      <c r="Q552" s="18"/>
      <c r="R552" s="16"/>
      <c r="S552" s="16"/>
      <c r="T552" s="16"/>
      <c r="U552" s="16"/>
      <c r="V552" s="16"/>
      <c r="W552" s="191"/>
      <c r="X552" s="191"/>
      <c r="Y552" s="191"/>
      <c r="Z552" s="191"/>
      <c r="AA552" s="16"/>
      <c r="AB552" s="81"/>
      <c r="AC552" s="81"/>
      <c r="AD552" s="81"/>
      <c r="AE552" s="81"/>
      <c r="AF552" s="81"/>
      <c r="AG552" s="81"/>
      <c r="AH552" s="82"/>
      <c r="AI552" s="82"/>
      <c r="AJ552" s="117"/>
      <c r="AK552" s="87"/>
      <c r="AL552" s="84"/>
      <c r="AM552" s="17"/>
      <c r="AN552" s="17"/>
    </row>
    <row r="553" spans="2:40" hidden="1">
      <c r="B553" s="331">
        <f t="shared" si="82"/>
        <v>494</v>
      </c>
      <c r="C553" s="16"/>
      <c r="D553" s="16"/>
      <c r="E553" s="85"/>
      <c r="F553" s="80"/>
      <c r="G553" s="47"/>
      <c r="H553" s="16"/>
      <c r="I553" s="16"/>
      <c r="J553" s="16"/>
      <c r="K553" s="47"/>
      <c r="L553" s="80"/>
      <c r="M553" s="47"/>
      <c r="N553" s="16"/>
      <c r="O553" s="80"/>
      <c r="P553" s="80"/>
      <c r="Q553" s="18"/>
      <c r="R553" s="16"/>
      <c r="S553" s="16"/>
      <c r="T553" s="16"/>
      <c r="U553" s="16"/>
      <c r="V553" s="16"/>
      <c r="W553" s="191"/>
      <c r="X553" s="191"/>
      <c r="Y553" s="191"/>
      <c r="Z553" s="191"/>
      <c r="AA553" s="191"/>
      <c r="AB553" s="81"/>
      <c r="AC553" s="81"/>
      <c r="AD553" s="81"/>
      <c r="AE553" s="81"/>
      <c r="AF553" s="81"/>
      <c r="AG553" s="81"/>
      <c r="AH553" s="82"/>
      <c r="AI553" s="82"/>
      <c r="AJ553" s="82"/>
      <c r="AK553" s="87"/>
      <c r="AL553" s="84"/>
      <c r="AM553" s="17"/>
      <c r="AN553" s="17"/>
    </row>
    <row r="554" spans="2:40" hidden="1">
      <c r="B554" s="331">
        <f t="shared" si="82"/>
        <v>495</v>
      </c>
      <c r="C554" s="16"/>
      <c r="D554" s="16"/>
      <c r="E554" s="85"/>
      <c r="F554" s="80"/>
      <c r="G554" s="47"/>
      <c r="H554" s="16"/>
      <c r="I554" s="16"/>
      <c r="J554" s="16"/>
      <c r="K554" s="47"/>
      <c r="L554" s="80"/>
      <c r="M554" s="47"/>
      <c r="N554" s="16"/>
      <c r="O554" s="80"/>
      <c r="P554" s="80"/>
      <c r="Q554" s="18"/>
      <c r="R554" s="16"/>
      <c r="S554" s="16"/>
      <c r="T554" s="16"/>
      <c r="U554" s="16"/>
      <c r="V554" s="16"/>
      <c r="W554" s="191"/>
      <c r="X554" s="191"/>
      <c r="Y554" s="191"/>
      <c r="Z554" s="191"/>
      <c r="AA554" s="16"/>
      <c r="AB554" s="81"/>
      <c r="AC554" s="81"/>
      <c r="AD554" s="81"/>
      <c r="AE554" s="81"/>
      <c r="AF554" s="81"/>
      <c r="AG554" s="81"/>
      <c r="AH554" s="82"/>
      <c r="AI554" s="82"/>
      <c r="AJ554" s="117"/>
      <c r="AK554" s="87"/>
      <c r="AL554" s="84"/>
      <c r="AM554" s="17"/>
      <c r="AN554" s="17"/>
    </row>
    <row r="555" spans="2:40" hidden="1">
      <c r="B555" s="331">
        <f t="shared" si="82"/>
        <v>496</v>
      </c>
      <c r="C555" s="16"/>
      <c r="D555" s="16"/>
      <c r="E555" s="85"/>
      <c r="F555" s="80"/>
      <c r="G555" s="47"/>
      <c r="H555" s="16"/>
      <c r="I555" s="16"/>
      <c r="J555" s="16"/>
      <c r="K555" s="47"/>
      <c r="L555" s="80"/>
      <c r="M555" s="47"/>
      <c r="N555" s="16"/>
      <c r="O555" s="80"/>
      <c r="P555" s="80"/>
      <c r="Q555" s="18"/>
      <c r="R555" s="16"/>
      <c r="S555" s="16"/>
      <c r="T555" s="16"/>
      <c r="U555" s="16"/>
      <c r="V555" s="16"/>
      <c r="W555" s="191"/>
      <c r="X555" s="191"/>
      <c r="Y555" s="191"/>
      <c r="Z555" s="191"/>
      <c r="AA555" s="16"/>
      <c r="AB555" s="81"/>
      <c r="AC555" s="81"/>
      <c r="AD555" s="81"/>
      <c r="AE555" s="81"/>
      <c r="AF555" s="81"/>
      <c r="AG555" s="81"/>
      <c r="AH555" s="82"/>
      <c r="AI555" s="82"/>
      <c r="AJ555" s="117"/>
      <c r="AK555" s="87"/>
      <c r="AL555" s="84"/>
      <c r="AM555" s="17"/>
      <c r="AN555" s="17"/>
    </row>
    <row r="556" spans="2:40" hidden="1">
      <c r="B556" s="331">
        <f t="shared" si="82"/>
        <v>497</v>
      </c>
      <c r="C556" s="16"/>
      <c r="D556" s="16"/>
      <c r="E556" s="85"/>
      <c r="F556" s="80"/>
      <c r="G556" s="47"/>
      <c r="H556" s="16"/>
      <c r="I556" s="16"/>
      <c r="J556" s="16"/>
      <c r="K556" s="47"/>
      <c r="L556" s="80"/>
      <c r="M556" s="47"/>
      <c r="N556" s="16"/>
      <c r="O556" s="80"/>
      <c r="P556" s="80"/>
      <c r="Q556" s="18"/>
      <c r="R556" s="16"/>
      <c r="S556" s="16"/>
      <c r="T556" s="16"/>
      <c r="U556" s="16"/>
      <c r="V556" s="16"/>
      <c r="W556" s="191"/>
      <c r="X556" s="191"/>
      <c r="Y556" s="191"/>
      <c r="Z556" s="191"/>
      <c r="AA556" s="16"/>
      <c r="AB556" s="81"/>
      <c r="AC556" s="81"/>
      <c r="AD556" s="81"/>
      <c r="AE556" s="81"/>
      <c r="AF556" s="81"/>
      <c r="AG556" s="81"/>
      <c r="AH556" s="82"/>
      <c r="AI556" s="82"/>
      <c r="AJ556" s="82"/>
      <c r="AK556" s="87"/>
      <c r="AL556" s="84"/>
      <c r="AM556" s="17"/>
      <c r="AN556" s="17"/>
    </row>
    <row r="557" spans="2:40" hidden="1">
      <c r="B557" s="331">
        <f t="shared" si="82"/>
        <v>498</v>
      </c>
      <c r="C557" s="16"/>
      <c r="D557" s="16"/>
      <c r="E557" s="85"/>
      <c r="F557" s="80"/>
      <c r="G557" s="47"/>
      <c r="H557" s="16"/>
      <c r="I557" s="16"/>
      <c r="J557" s="16"/>
      <c r="K557" s="47"/>
      <c r="L557" s="80"/>
      <c r="M557" s="47"/>
      <c r="N557" s="16"/>
      <c r="O557" s="80"/>
      <c r="P557" s="80"/>
      <c r="Q557" s="18"/>
      <c r="R557" s="16"/>
      <c r="S557" s="16"/>
      <c r="T557" s="16"/>
      <c r="U557" s="16"/>
      <c r="V557" s="16"/>
      <c r="W557" s="191"/>
      <c r="X557" s="191"/>
      <c r="Y557" s="191"/>
      <c r="Z557" s="191"/>
      <c r="AA557" s="16"/>
      <c r="AB557" s="81"/>
      <c r="AC557" s="81"/>
      <c r="AD557" s="81"/>
      <c r="AE557" s="81"/>
      <c r="AF557" s="81"/>
      <c r="AG557" s="81"/>
      <c r="AH557" s="82"/>
      <c r="AI557" s="82"/>
      <c r="AJ557" s="82"/>
      <c r="AK557" s="87"/>
      <c r="AL557" s="84"/>
      <c r="AM557" s="17"/>
      <c r="AN557" s="17"/>
    </row>
    <row r="558" spans="2:40">
      <c r="B558" s="246"/>
      <c r="C558" s="16"/>
      <c r="D558" s="16"/>
      <c r="E558" s="85"/>
      <c r="F558" s="80"/>
      <c r="G558" s="47"/>
      <c r="H558" s="16"/>
      <c r="I558" s="16"/>
      <c r="J558" s="16"/>
      <c r="K558" s="47"/>
      <c r="L558" s="80"/>
      <c r="M558" s="47"/>
      <c r="N558" s="16"/>
      <c r="O558" s="80"/>
      <c r="P558" s="80"/>
      <c r="Q558" s="18"/>
      <c r="R558" s="16"/>
      <c r="S558" s="16"/>
      <c r="T558" s="16"/>
      <c r="U558" s="16"/>
      <c r="V558" s="16"/>
      <c r="W558" s="191"/>
      <c r="X558" s="191"/>
      <c r="Y558" s="191"/>
      <c r="Z558" s="191"/>
      <c r="AA558" s="16"/>
      <c r="AB558" s="81"/>
      <c r="AC558" s="81"/>
      <c r="AD558" s="81"/>
      <c r="AE558" s="81"/>
      <c r="AF558" s="81"/>
      <c r="AG558" s="81"/>
      <c r="AH558" s="82"/>
      <c r="AI558" s="82"/>
      <c r="AJ558" s="82"/>
      <c r="AK558" s="87"/>
      <c r="AL558" s="84"/>
      <c r="AM558" s="15"/>
      <c r="AN558" s="15"/>
    </row>
    <row r="559" spans="2:40">
      <c r="B559" s="246"/>
      <c r="C559" s="16"/>
      <c r="D559" s="16"/>
      <c r="E559" s="85"/>
      <c r="F559" s="80"/>
      <c r="G559" s="47"/>
      <c r="H559" s="16"/>
      <c r="I559" s="16"/>
      <c r="J559" s="16"/>
      <c r="K559" s="47"/>
      <c r="L559" s="80"/>
      <c r="M559" s="47"/>
      <c r="N559" s="16"/>
      <c r="O559" s="80"/>
      <c r="P559" s="80"/>
      <c r="Q559" s="18"/>
      <c r="R559" s="16"/>
      <c r="S559" s="16"/>
      <c r="T559" s="16"/>
      <c r="U559" s="16"/>
      <c r="V559" s="16"/>
      <c r="W559" s="191"/>
      <c r="X559" s="191"/>
      <c r="Y559" s="191"/>
      <c r="Z559" s="191"/>
      <c r="AA559" s="16"/>
      <c r="AB559" s="81"/>
      <c r="AC559" s="81"/>
      <c r="AD559" s="81"/>
      <c r="AE559" s="81"/>
      <c r="AF559" s="81"/>
      <c r="AG559" s="81"/>
      <c r="AH559" s="82"/>
      <c r="AI559" s="82"/>
      <c r="AJ559" s="82"/>
      <c r="AK559" s="87"/>
      <c r="AL559" s="84"/>
      <c r="AM559" s="15"/>
      <c r="AN559" s="15"/>
    </row>
    <row r="560" spans="2:40">
      <c r="B560" s="246"/>
      <c r="C560" s="16"/>
      <c r="D560" s="16"/>
      <c r="E560" s="85"/>
      <c r="F560" s="80"/>
      <c r="G560" s="47"/>
      <c r="H560" s="16"/>
      <c r="I560" s="73"/>
      <c r="J560" s="16"/>
      <c r="K560" s="47"/>
      <c r="L560" s="80"/>
      <c r="M560" s="47"/>
      <c r="N560" s="16"/>
      <c r="O560" s="73"/>
      <c r="P560" s="80"/>
      <c r="Q560" s="18"/>
      <c r="R560" s="16"/>
      <c r="S560" s="16"/>
      <c r="T560" s="16"/>
      <c r="U560" s="16"/>
      <c r="V560" s="16"/>
      <c r="W560" s="191"/>
      <c r="X560" s="191"/>
      <c r="Y560" s="191"/>
      <c r="Z560" s="191"/>
      <c r="AA560" s="16"/>
      <c r="AB560" s="81"/>
      <c r="AC560" s="81"/>
      <c r="AD560" s="81"/>
      <c r="AE560" s="81"/>
      <c r="AF560" s="81"/>
      <c r="AG560" s="81"/>
      <c r="AH560" s="82"/>
      <c r="AI560" s="82"/>
      <c r="AJ560" s="82"/>
      <c r="AK560" s="87"/>
      <c r="AL560" s="84"/>
      <c r="AM560" s="15"/>
      <c r="AN560" s="15"/>
    </row>
    <row r="561" spans="2:40">
      <c r="B561" s="246"/>
      <c r="C561" s="16"/>
      <c r="D561" s="16"/>
      <c r="E561" s="85"/>
      <c r="F561" s="80"/>
      <c r="G561" s="47"/>
      <c r="H561" s="16"/>
      <c r="I561" s="16"/>
      <c r="J561" s="16"/>
      <c r="K561" s="47"/>
      <c r="L561" s="80"/>
      <c r="M561" s="47"/>
      <c r="N561" s="16"/>
      <c r="O561" s="80"/>
      <c r="P561" s="80"/>
      <c r="Q561" s="18"/>
      <c r="R561" s="16"/>
      <c r="S561" s="16"/>
      <c r="T561" s="16"/>
      <c r="U561" s="16"/>
      <c r="V561" s="16"/>
      <c r="W561" s="191"/>
      <c r="X561" s="191"/>
      <c r="Y561" s="191"/>
      <c r="Z561" s="191"/>
      <c r="AA561" s="16"/>
      <c r="AB561" s="81"/>
      <c r="AC561" s="81"/>
      <c r="AD561" s="81"/>
      <c r="AE561" s="81"/>
      <c r="AF561" s="81"/>
      <c r="AG561" s="81"/>
      <c r="AH561" s="82"/>
      <c r="AI561" s="82"/>
      <c r="AJ561" s="82"/>
      <c r="AK561" s="87"/>
      <c r="AL561" s="84"/>
      <c r="AM561" s="15"/>
      <c r="AN561" s="15"/>
    </row>
    <row r="562" spans="2:40">
      <c r="B562" s="246"/>
      <c r="C562" s="16"/>
      <c r="D562" s="16"/>
      <c r="E562" s="85"/>
      <c r="F562" s="80"/>
      <c r="G562" s="47"/>
      <c r="H562" s="16"/>
      <c r="I562" s="16"/>
      <c r="J562" s="16"/>
      <c r="K562" s="47"/>
      <c r="L562" s="80"/>
      <c r="M562" s="47"/>
      <c r="N562" s="16"/>
      <c r="O562" s="80"/>
      <c r="P562" s="80"/>
      <c r="Q562" s="18"/>
      <c r="R562" s="16"/>
      <c r="S562" s="16"/>
      <c r="T562" s="16"/>
      <c r="U562" s="16"/>
      <c r="V562" s="16"/>
      <c r="W562" s="191"/>
      <c r="X562" s="191"/>
      <c r="Y562" s="191"/>
      <c r="Z562" s="191"/>
      <c r="AA562" s="16"/>
      <c r="AB562" s="81"/>
      <c r="AC562" s="81"/>
      <c r="AD562" s="81"/>
      <c r="AE562" s="81"/>
      <c r="AF562" s="81"/>
      <c r="AG562" s="81"/>
      <c r="AH562" s="82"/>
      <c r="AI562" s="82"/>
      <c r="AJ562" s="82"/>
      <c r="AK562" s="87"/>
      <c r="AL562" s="84"/>
      <c r="AM562" s="15"/>
      <c r="AN562" s="15"/>
    </row>
    <row r="563" spans="2:40">
      <c r="B563" s="246"/>
      <c r="C563" s="16"/>
      <c r="D563" s="16"/>
      <c r="E563" s="85"/>
      <c r="F563" s="80"/>
      <c r="G563" s="47"/>
      <c r="H563" s="16"/>
      <c r="I563" s="16"/>
      <c r="J563" s="16"/>
      <c r="K563" s="47"/>
      <c r="L563" s="80"/>
      <c r="M563" s="47"/>
      <c r="N563" s="16"/>
      <c r="O563" s="80"/>
      <c r="P563" s="80"/>
      <c r="Q563" s="18"/>
      <c r="R563" s="16"/>
      <c r="S563" s="16"/>
      <c r="T563" s="16"/>
      <c r="U563" s="16"/>
      <c r="V563" s="16"/>
      <c r="W563" s="191"/>
      <c r="X563" s="191"/>
      <c r="Y563" s="191"/>
      <c r="Z563" s="191"/>
      <c r="AA563" s="16"/>
      <c r="AB563" s="81"/>
      <c r="AC563" s="81"/>
      <c r="AD563" s="81"/>
      <c r="AE563" s="81"/>
      <c r="AF563" s="81"/>
      <c r="AG563" s="81"/>
      <c r="AH563" s="82"/>
      <c r="AI563" s="82"/>
      <c r="AJ563" s="82"/>
      <c r="AK563" s="87"/>
      <c r="AL563" s="84"/>
      <c r="AM563" s="15"/>
      <c r="AN563" s="15"/>
    </row>
    <row r="564" spans="2:40">
      <c r="B564" s="246"/>
      <c r="C564" s="16"/>
      <c r="D564" s="16"/>
      <c r="E564" s="85"/>
      <c r="F564" s="80"/>
      <c r="G564" s="47"/>
      <c r="H564" s="16"/>
      <c r="I564" s="16"/>
      <c r="J564" s="16"/>
      <c r="K564" s="47"/>
      <c r="L564" s="80"/>
      <c r="M564" s="47"/>
      <c r="N564" s="16"/>
      <c r="O564" s="80"/>
      <c r="P564" s="80"/>
      <c r="Q564" s="18"/>
      <c r="R564" s="16"/>
      <c r="S564" s="16"/>
      <c r="T564" s="16"/>
      <c r="U564" s="16"/>
      <c r="V564" s="16"/>
      <c r="W564" s="191"/>
      <c r="X564" s="191"/>
      <c r="Y564" s="191"/>
      <c r="Z564" s="191"/>
      <c r="AA564" s="16"/>
      <c r="AB564" s="81"/>
      <c r="AC564" s="81"/>
      <c r="AD564" s="81"/>
      <c r="AE564" s="81"/>
      <c r="AF564" s="81"/>
      <c r="AG564" s="81"/>
      <c r="AH564" s="82"/>
      <c r="AI564" s="82"/>
      <c r="AJ564" s="82"/>
      <c r="AK564" s="87"/>
      <c r="AL564" s="84"/>
      <c r="AM564" s="15"/>
      <c r="AN564" s="15"/>
    </row>
  </sheetData>
  <autoFilter ref="B59:AN557">
    <filterColumn colId="17">
      <filters>
        <filter val="chung.ly"/>
      </filters>
    </filterColumn>
  </autoFilter>
  <customSheetViews>
    <customSheetView guid="{7E0EA425-A420-4443-B9E0-CDF0AA9E5D09}" scale="70" filter="1" showAutoFilter="1" topLeftCell="A28">
      <selection activeCell="A499" sqref="A499:XFD526"/>
      <pageMargins left="0.7" right="0.7" top="0.75" bottom="0.75" header="0.3" footer="0.3"/>
      <pageSetup orientation="portrait" horizontalDpi="300" verticalDpi="0" r:id="rId1"/>
      <autoFilter ref="B59:AN557">
        <filterColumn colId="17">
          <filters>
            <filter val="chung.ly"/>
          </filters>
        </filterColumn>
      </autoFilter>
    </customSheetView>
    <customSheetView guid="{3B3E6719-EACB-4D2C-89C1-05FFAB6020FD}" scale="70" filter="1" showAutoFilter="1" topLeftCell="Q198">
      <selection activeCell="AQ473" sqref="AQ473"/>
      <pageMargins left="0.7" right="0.7" top="0.75" bottom="0.75" header="0.3" footer="0.3"/>
      <pageSetup orientation="portrait" horizontalDpi="300" r:id="rId2"/>
      <autoFilter ref="B59:AN557">
        <filterColumn colId="17">
          <filters>
            <filter val="phuong.nguyen-thanh"/>
          </filters>
        </filterColumn>
      </autoFilter>
    </customSheetView>
    <customSheetView guid="{89C03E1E-B6A8-49A1-B29C-5DC4FAB2FBC6}" scale="85" filter="1" showAutoFilter="1">
      <selection activeCell="A533" sqref="A533:XFD533"/>
      <pageMargins left="0.7" right="0.7" top="0.75" bottom="0.75" header="0.3" footer="0.3"/>
      <pageSetup orientation="portrait" horizontalDpi="300" verticalDpi="0" r:id="rId3"/>
      <autoFilter ref="B59:AN557">
        <filterColumn colId="17">
          <filters>
            <filter val="nam.phan-the"/>
          </filters>
        </filterColumn>
      </autoFilter>
    </customSheetView>
    <customSheetView guid="{FECB4C41-27E8-4A22-AFB3-4F54CDD4960E}" scale="85" filter="1" showAutoFilter="1" topLeftCell="A40">
      <selection activeCell="A533" sqref="A533:XFD533"/>
      <pageMargins left="0.7" right="0.7" top="0.75" bottom="0.75" header="0.3" footer="0.3"/>
      <pageSetup orientation="portrait" horizontalDpi="300" verticalDpi="0" r:id="rId4"/>
      <autoFilter ref="B59:AN557">
        <filterColumn colId="25">
          <filters blank="1"/>
        </filterColumn>
      </autoFilter>
    </customSheetView>
    <customSheetView guid="{7ECC2B8E-6A82-42F5-8AB0-4A51C54EA5EC}" scale="85" filter="1" showAutoFilter="1" topLeftCell="P50">
      <selection activeCell="AA365" sqref="AA365"/>
      <pageMargins left="0.7" right="0.7" top="0.75" bottom="0.75" header="0.3" footer="0.3"/>
      <pageSetup paperSize="9" orientation="portrait" r:id="rId5"/>
      <autoFilter ref="B59:AN557">
        <filterColumn colId="3">
          <filters>
            <filter val="Honda_CMP_BL12sp02_snapshot03"/>
          </filters>
        </filterColumn>
      </autoFilter>
    </customSheetView>
    <customSheetView guid="{99BC1C51-34DC-4BF2-906C-1E31B6171D71}" filter="1" showAutoFilter="1" topLeftCell="T59">
      <selection activeCell="A363" sqref="A363:XFD390"/>
      <pageMargins left="0.7" right="0.7" top="0.75" bottom="0.75" header="0.3" footer="0.3"/>
      <autoFilter ref="B59:AN557">
        <filterColumn colId="17">
          <filters>
            <filter val="huy.nguyen-hoang"/>
          </filters>
        </filterColumn>
      </autoFilter>
    </customSheetView>
    <customSheetView guid="{A2E8CE38-D15E-4374-89B2-69D9421C4465}" scale="85" showPageBreaks="1" filter="1" showAutoFilter="1" topLeftCell="W398">
      <selection activeCell="X503" sqref="X503"/>
      <pageMargins left="0.7" right="0.7" top="0.75" bottom="0.75" header="0.3" footer="0.3"/>
      <pageSetup orientation="portrait" horizontalDpi="300" r:id="rId6"/>
      <autoFilter ref="B59:AN557">
        <filterColumn colId="17">
          <filters>
            <filter val="khang.duong-chi"/>
          </filters>
        </filterColumn>
      </autoFilter>
    </customSheetView>
    <customSheetView guid="{336B6883-2145-4B58-921E-CEC7185A847E}" filter="1" showAutoFilter="1" hiddenColumns="1" topLeftCell="H242">
      <selection activeCell="I482" sqref="I482"/>
      <pageMargins left="0.7" right="0.7" top="0.75" bottom="0.75" header="0.3" footer="0.3"/>
      <pageSetup orientation="portrait" horizontalDpi="300" verticalDpi="0" r:id="rId7"/>
      <autoFilter ref="B59:AN557">
        <filterColumn colId="17">
          <filters>
            <filter val="dac.luu-cong"/>
          </filters>
        </filterColumn>
      </autoFilter>
    </customSheetView>
    <customSheetView guid="{60D2C030-4E31-4E07-8E1C-44D2EE84B177}" filter="1" showAutoFilter="1" topLeftCell="S44">
      <selection activeCell="AL504" sqref="AL504"/>
      <pageMargins left="0.7" right="0.7" top="0.75" bottom="0.75" header="0.3" footer="0.3"/>
      <pageSetup orientation="portrait" horizontalDpi="300" verticalDpi="0" r:id="rId8"/>
      <autoFilter ref="B59:AN557">
        <filterColumn colId="3">
          <filters>
            <filter val="TOY_PF19_CMP_BL17_Integration_7"/>
          </filters>
        </filterColumn>
        <filterColumn colId="17">
          <filters>
            <filter val="chung.ly"/>
          </filters>
        </filterColumn>
      </autoFilter>
    </customSheetView>
    <customSheetView guid="{C94451EF-7A3E-4D72-B5A4-3D1B193192CC}" scale="70" showAutoFilter="1" topLeftCell="K502">
      <selection activeCell="A533" sqref="A533:XFD533"/>
      <pageMargins left="0.7" right="0.7" top="0.75" bottom="0.75" header="0.3" footer="0.3"/>
      <autoFilter ref="B59:AN557"/>
    </customSheetView>
    <customSheetView guid="{D33AC7AF-C8AB-4CE9-94C7-9237011A5FC3}" scale="70" filter="1" showAutoFilter="1" topLeftCell="O238">
      <selection activeCell="AI520" sqref="AI520"/>
      <pageMargins left="0.7" right="0.7" top="0.75" bottom="0.75" header="0.3" footer="0.3"/>
      <autoFilter ref="B59:AN557">
        <filterColumn colId="17">
          <filters>
            <filter val="huy.do-anh"/>
          </filters>
        </filterColumn>
      </autoFilter>
    </customSheetView>
    <customSheetView guid="{A2C66332-A809-458E-971B-FDB6D62C74C3}" scale="115" filter="1" showAutoFilter="1" topLeftCell="H88">
      <pane xSplit="1" topLeftCell="AF1" activePane="topRight" state="frozen"/>
      <selection pane="topRight" activeCell="AJ154" sqref="AJ154"/>
      <pageMargins left="0.7" right="0.7" top="0.75" bottom="0.75" header="0.3" footer="0.3"/>
      <pageSetup orientation="portrait" horizontalDpi="300" verticalDpi="0" r:id="rId9"/>
      <autoFilter ref="B59:AN512">
        <filterColumn colId="17">
          <filters>
            <filter val="bang.nguyen-duy"/>
          </filters>
        </filterColumn>
      </autoFilter>
    </customSheetView>
    <customSheetView guid="{F96FC7D9-4F89-4FE0-8D00-C0083DEB0472}" scale="85" filter="1" showAutoFilter="1" topLeftCell="O50">
      <selection activeCell="Z78" sqref="Z78"/>
      <pageMargins left="0.7" right="0.7" top="0.75" bottom="0.75" header="0.3" footer="0.3"/>
      <pageSetup orientation="portrait" horizontalDpi="300" verticalDpi="0" r:id="rId10"/>
      <autoFilter ref="B59:AN326">
        <filterColumn colId="17">
          <filters>
            <filter val="phuc.le-hong"/>
          </filters>
        </filterColumn>
      </autoFilter>
    </customSheetView>
    <customSheetView guid="{970EE037-F5E5-47AF-896A-0F6222879EBC}" scale="85" topLeftCell="G55">
      <selection activeCell="I104" sqref="I104"/>
      <pageMargins left="0.7" right="0.7" top="0.75" bottom="0.75" header="0.3" footer="0.3"/>
      <pageSetup orientation="portrait" horizontalDpi="300" r:id="rId11"/>
    </customSheetView>
    <customSheetView guid="{4E06BDBF-2CED-473B-850B-2A6C7311FF41}" scale="70" showPageBreaks="1" filter="1" showAutoFilter="1" topLeftCell="A38">
      <selection activeCell="A52" sqref="A52:XFD52"/>
      <pageMargins left="0.7" right="0.7" top="0.75" bottom="0.75" header="0.3" footer="0.3"/>
      <pageSetup paperSize="9" orientation="portrait" r:id="rId12"/>
      <autoFilter ref="A59:AN508">
        <filterColumn colId="18">
          <filters>
            <filter val="thanh.nguyen-kim"/>
          </filters>
        </filterColumn>
      </autoFilter>
    </customSheetView>
  </customSheetViews>
  <conditionalFormatting sqref="H23:H37 H43:H55">
    <cfRule type="cellIs" dxfId="58" priority="67" operator="equal">
      <formula>1</formula>
    </cfRule>
    <cfRule type="cellIs" dxfId="57" priority="68" operator="lessThan">
      <formula>1</formula>
    </cfRule>
  </conditionalFormatting>
  <conditionalFormatting sqref="AG60:AG95 AK60:AK95 AK97:AK177 AK179:AK362 AL363 AG97:AG494 AK364:AK494 AG496:AG564 AK496:AK564">
    <cfRule type="cellIs" dxfId="56" priority="65" operator="equal">
      <formula>"OK"</formula>
    </cfRule>
    <cfRule type="cellIs" dxfId="55" priority="66" operator="equal">
      <formula>"NG"</formula>
    </cfRule>
  </conditionalFormatting>
  <conditionalFormatting sqref="P558:P560 O558:O559 O561:P564 O541:P557 O60:P539">
    <cfRule type="cellIs" dxfId="54" priority="64" operator="equal">
      <formula>"PUT_VERSION"</formula>
    </cfRule>
  </conditionalFormatting>
  <conditionalFormatting sqref="D18">
    <cfRule type="expression" dxfId="53" priority="63">
      <formula>$D$18=SUM($D$4:$D$17)</formula>
    </cfRule>
  </conditionalFormatting>
  <conditionalFormatting sqref="E18">
    <cfRule type="expression" dxfId="52" priority="62">
      <formula>$E$18=SUM($E$4:$E$17)</formula>
    </cfRule>
  </conditionalFormatting>
  <conditionalFormatting sqref="F18">
    <cfRule type="expression" dxfId="51" priority="61">
      <formula>$F$18=SUM($F$4:$F$17)</formula>
    </cfRule>
  </conditionalFormatting>
  <conditionalFormatting sqref="D37">
    <cfRule type="expression" dxfId="50" priority="60">
      <formula>$D$37=SUM($D$23:$D$36)</formula>
    </cfRule>
  </conditionalFormatting>
  <conditionalFormatting sqref="E37">
    <cfRule type="expression" dxfId="49" priority="59">
      <formula>$E$37=SUM($E$23:$E$36)</formula>
    </cfRule>
  </conditionalFormatting>
  <conditionalFormatting sqref="H42">
    <cfRule type="cellIs" dxfId="48" priority="49" operator="equal">
      <formula>1</formula>
    </cfRule>
    <cfRule type="cellIs" dxfId="47" priority="50" operator="lessThan">
      <formula>1</formula>
    </cfRule>
  </conditionalFormatting>
  <conditionalFormatting sqref="H56">
    <cfRule type="cellIs" dxfId="46" priority="45" operator="equal">
      <formula>1</formula>
    </cfRule>
    <cfRule type="cellIs" dxfId="45" priority="46" operator="lessThan">
      <formula>1</formula>
    </cfRule>
  </conditionalFormatting>
  <conditionalFormatting sqref="F37">
    <cfRule type="expression" dxfId="44" priority="73">
      <formula>$F$37=SUM($F$23:$F$36)</formula>
    </cfRule>
  </conditionalFormatting>
  <conditionalFormatting sqref="H4:H18">
    <cfRule type="cellIs" dxfId="43" priority="1" operator="equal">
      <formula>1</formula>
    </cfRule>
    <cfRule type="cellIs" dxfId="42" priority="2" operator="lessThan">
      <formula>1</formula>
    </cfRule>
  </conditionalFormatting>
  <dataValidations count="1">
    <dataValidation type="list" allowBlank="1" showInputMessage="1" showErrorMessage="1" sqref="U543:U564 I540 U60:U541">
      <formula1>"Yes,No"</formula1>
    </dataValidation>
  </dataValidations>
  <pageMargins left="0.7" right="0.7" top="0.75" bottom="0.75" header="0.3" footer="0.3"/>
  <pageSetup orientation="portrait" horizontalDpi="300" verticalDpi="0" r:id="rId13"/>
  <legacyDrawing r:id="rId14"/>
  <extLst>
    <ext xmlns:x14="http://schemas.microsoft.com/office/spreadsheetml/2009/9/main" uri="{78C0D931-6437-407d-A8EE-F0AAD7539E65}">
      <x14:conditionalFormattings>
        <x14:conditionalFormatting xmlns:xm="http://schemas.microsoft.com/office/excel/2006/main">
          <x14:cfRule type="cellIs" priority="69" operator="greaterThanOrEqual" id="{0E75E3B3-EDB5-45F5-833F-9302836CD5B4}">
            <xm:f>Table!$C$4</xm:f>
            <x14:dxf>
              <font>
                <color rgb="FF006100"/>
              </font>
              <fill>
                <patternFill>
                  <bgColor rgb="FFC6EFCE"/>
                </patternFill>
              </fill>
            </x14:dxf>
          </x14:cfRule>
          <x14:cfRule type="cellIs" priority="70" operator="lessThan" id="{5EDCB94B-7F83-46C9-97C1-081A0B02B98A}">
            <xm:f>Table!$C$4</xm:f>
            <x14:dxf>
              <font>
                <color rgb="FF9C0006"/>
              </font>
              <fill>
                <patternFill>
                  <bgColor rgb="FFFFC7CE"/>
                </patternFill>
              </fill>
            </x14:dxf>
          </x14:cfRule>
          <xm:sqref>G23:G37</xm:sqref>
        </x14:conditionalFormatting>
        <x14:conditionalFormatting xmlns:xm="http://schemas.microsoft.com/office/excel/2006/main">
          <x14:cfRule type="cellIs" priority="71" operator="greaterThanOrEqual" id="{A9231A75-2EB5-402E-97C4-323D56C068D8}">
            <xm:f>Table!$D$4</xm:f>
            <x14:dxf>
              <font>
                <color rgb="FF006100"/>
              </font>
              <fill>
                <patternFill>
                  <bgColor rgb="FFC6EFCE"/>
                </patternFill>
              </fill>
            </x14:dxf>
          </x14:cfRule>
          <x14:cfRule type="cellIs" priority="72" operator="lessThan" id="{A35A63F4-C373-4CDB-9228-9F67841E418C}">
            <xm:f>Table!$D$4</xm:f>
            <x14:dxf>
              <font>
                <color rgb="FF9C0006"/>
              </font>
              <fill>
                <patternFill>
                  <bgColor rgb="FFFFC7CE"/>
                </patternFill>
              </fill>
            </x14:dxf>
          </x14:cfRule>
          <xm:sqref>G4:G17 G43:G55</xm:sqref>
        </x14:conditionalFormatting>
        <x14:conditionalFormatting xmlns:xm="http://schemas.microsoft.com/office/excel/2006/main">
          <x14:cfRule type="cellIs" priority="57" operator="greaterThanOrEqual" id="{8F20301B-8681-44B2-92CC-21C4975A5416}">
            <xm:f>Table!$D$4</xm:f>
            <x14:dxf>
              <font>
                <color rgb="FF006100"/>
              </font>
              <fill>
                <patternFill>
                  <bgColor rgb="FFC6EFCE"/>
                </patternFill>
              </fill>
            </x14:dxf>
          </x14:cfRule>
          <x14:cfRule type="cellIs" priority="58" operator="lessThan" id="{2C7E4EDD-E31B-41EE-A2B8-F67241C142BF}">
            <xm:f>Table!$D$4</xm:f>
            <x14:dxf>
              <font>
                <color rgb="FF9C0006"/>
              </font>
              <fill>
                <patternFill>
                  <bgColor rgb="FFFFC7CE"/>
                </patternFill>
              </fill>
            </x14:dxf>
          </x14:cfRule>
          <xm:sqref>G18</xm:sqref>
        </x14:conditionalFormatting>
        <x14:conditionalFormatting xmlns:xm="http://schemas.microsoft.com/office/excel/2006/main">
          <x14:cfRule type="cellIs" priority="55" operator="greaterThanOrEqual" id="{204839CC-E17E-4053-9244-2AE05B7C201E}">
            <xm:f>Table!$D$4</xm:f>
            <x14:dxf>
              <font>
                <color rgb="FF006100"/>
              </font>
              <fill>
                <patternFill>
                  <bgColor rgb="FFC6EFCE"/>
                </patternFill>
              </fill>
            </x14:dxf>
          </x14:cfRule>
          <x14:cfRule type="cellIs" priority="56" operator="lessThan" id="{73361177-A4E2-41C7-AA2E-23A98DE24BE9}">
            <xm:f>Table!$D$4</xm:f>
            <x14:dxf>
              <font>
                <color rgb="FF9C0006"/>
              </font>
              <fill>
                <patternFill>
                  <bgColor rgb="FFFFC7CE"/>
                </patternFill>
              </fill>
            </x14:dxf>
          </x14:cfRule>
          <xm:sqref>G56</xm:sqref>
        </x14:conditionalFormatting>
        <x14:conditionalFormatting xmlns:xm="http://schemas.microsoft.com/office/excel/2006/main">
          <x14:cfRule type="cellIs" priority="53" operator="greaterThanOrEqual" id="{5955973F-691E-4017-996D-C9584C4AAF3E}">
            <xm:f>Table!$D$4</xm:f>
            <x14:dxf>
              <font>
                <color rgb="FF006100"/>
              </font>
              <fill>
                <patternFill>
                  <bgColor rgb="FFC6EFCE"/>
                </patternFill>
              </fill>
            </x14:dxf>
          </x14:cfRule>
          <x14:cfRule type="cellIs" priority="54" operator="lessThan" id="{AA433256-96E5-4BC8-B426-6A146C35C3CB}">
            <xm:f>Table!$D$4</xm:f>
            <x14:dxf>
              <font>
                <color rgb="FF9C0006"/>
              </font>
              <fill>
                <patternFill>
                  <bgColor rgb="FFFFC7CE"/>
                </patternFill>
              </fill>
            </x14:dxf>
          </x14:cfRule>
          <xm:sqref>G42</xm:sqref>
        </x14:conditionalFormatting>
        <x14:conditionalFormatting xmlns:xm="http://schemas.microsoft.com/office/excel/2006/main">
          <x14:cfRule type="expression" priority="42" id="{8014DC86-9045-4B22-9DB2-C6E76B610B95}">
            <xm:f>OR(AK60=Table!$C$41,AK60=Table!$C$42)</xm:f>
            <x14:dxf>
              <font>
                <color rgb="FF9C0006"/>
              </font>
              <fill>
                <patternFill>
                  <bgColor rgb="FFFFC7CE"/>
                </patternFill>
              </fill>
            </x14:dxf>
          </x14:cfRule>
          <xm:sqref>AK60:AK95 AK97:AK177 AK179:AK362 AL363 AK364:AK494 AK496:AK564</xm:sqref>
        </x14:conditionalFormatting>
        <x14:conditionalFormatting xmlns:xm="http://schemas.microsoft.com/office/excel/2006/main">
          <x14:cfRule type="cellIs" priority="21" operator="equal" id="{ADDC4DDA-5440-4D4C-8617-D143AC21CCE0}">
            <xm:f>Table!$C$3</xm:f>
            <x14:dxf>
              <fill>
                <patternFill>
                  <bgColor rgb="FF0066FF"/>
                </patternFill>
              </fill>
            </x14:dxf>
          </x14:cfRule>
          <x14:cfRule type="cellIs" priority="22" operator="equal" id="{D4667330-B974-40CE-84A6-3B1F1298C5FC}">
            <xm:f>Table!$D$3</xm:f>
            <x14:dxf>
              <fill>
                <patternFill>
                  <bgColor rgb="FF92D050"/>
                </patternFill>
              </fill>
            </x14:dxf>
          </x14:cfRule>
          <xm:sqref>D60:D564</xm:sqref>
        </x14:conditionalFormatting>
        <x14:conditionalFormatting xmlns:xm="http://schemas.microsoft.com/office/excel/2006/main">
          <x14:cfRule type="cellIs" priority="9" operator="greaterThanOrEqual" id="{3E0B3D80-83A2-4F83-B5A4-9CBE80A4AEA0}">
            <xm:f>Table!$C$4</xm:f>
            <x14:dxf>
              <font>
                <color rgb="FF006100"/>
              </font>
              <fill>
                <patternFill>
                  <bgColor rgb="FFC6EFCE"/>
                </patternFill>
              </fill>
            </x14:dxf>
          </x14:cfRule>
          <x14:cfRule type="cellIs" priority="10" operator="lessThan" id="{E7EAFFCE-585B-4923-8BE2-264F784E61AB}">
            <xm:f>Table!$C$4</xm:f>
            <x14:dxf>
              <font>
                <color rgb="FF9C0006"/>
              </font>
              <fill>
                <patternFill>
                  <bgColor rgb="FFFFC7CE"/>
                </patternFill>
              </fill>
            </x14:dxf>
          </x14:cfRule>
          <xm:sqref>K23:K37</xm:sqref>
        </x14:conditionalFormatting>
        <x14:conditionalFormatting xmlns:xm="http://schemas.microsoft.com/office/excel/2006/main">
          <x14:cfRule type="cellIs" priority="7" operator="greaterThanOrEqual" id="{5DEBD175-CF7F-404F-9B4C-E51898238746}">
            <xm:f>Table!$C$4</xm:f>
            <x14:dxf>
              <font>
                <color rgb="FF006100"/>
              </font>
              <fill>
                <patternFill>
                  <bgColor rgb="FFC6EFCE"/>
                </patternFill>
              </fill>
            </x14:dxf>
          </x14:cfRule>
          <x14:cfRule type="cellIs" priority="8" operator="lessThan" id="{CD79C4F9-E747-4F3C-A304-7CF547094D40}">
            <xm:f>Table!$C$4</xm:f>
            <x14:dxf>
              <font>
                <color rgb="FF9C0006"/>
              </font>
              <fill>
                <patternFill>
                  <bgColor rgb="FFFFC7CE"/>
                </patternFill>
              </fill>
            </x14:dxf>
          </x14:cfRule>
          <xm:sqref>K42:K56</xm:sqref>
        </x14:conditionalFormatting>
        <x14:conditionalFormatting xmlns:xm="http://schemas.microsoft.com/office/excel/2006/main">
          <x14:cfRule type="cellIs" priority="5" operator="greaterThanOrEqual" id="{E1C25EFC-661F-4876-9EF7-613214DE6AE3}">
            <xm:f>Table!$D$4</xm:f>
            <x14:dxf>
              <font>
                <color rgb="FF006100"/>
              </font>
              <fill>
                <patternFill>
                  <bgColor rgb="FFC6EFCE"/>
                </patternFill>
              </fill>
            </x14:dxf>
          </x14:cfRule>
          <x14:cfRule type="cellIs" priority="6" operator="lessThan" id="{3439B3E0-32AA-41ED-9607-F890CF950392}">
            <xm:f>Table!$D$4</xm:f>
            <x14:dxf>
              <font>
                <color rgb="FF9C0006"/>
              </font>
              <fill>
                <patternFill>
                  <bgColor rgb="FFFFC7CE"/>
                </patternFill>
              </fill>
            </x14:dxf>
          </x14:cfRule>
          <xm:sqref>K4:K17</xm:sqref>
        </x14:conditionalFormatting>
        <x14:conditionalFormatting xmlns:xm="http://schemas.microsoft.com/office/excel/2006/main">
          <x14:cfRule type="cellIs" priority="3" operator="greaterThanOrEqual" id="{989B3CB8-72B6-498B-A368-450A439C2CA4}">
            <xm:f>Table!$D$4</xm:f>
            <x14:dxf>
              <font>
                <color rgb="FF006100"/>
              </font>
              <fill>
                <patternFill>
                  <bgColor rgb="FFC6EFCE"/>
                </patternFill>
              </fill>
            </x14:dxf>
          </x14:cfRule>
          <x14:cfRule type="cellIs" priority="4" operator="lessThan" id="{30BC877D-6DF7-4FE0-89A2-A4F9CC316C0C}">
            <xm:f>Table!$D$4</xm:f>
            <x14:dxf>
              <font>
                <color rgb="FF9C0006"/>
              </font>
              <fill>
                <patternFill>
                  <bgColor rgb="FFFFC7CE"/>
                </patternFill>
              </fill>
            </x14:dxf>
          </x14:cfRule>
          <xm:sqref>K18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Table!$C$41:$C$43</xm:f>
          </x14:formula1>
          <xm:sqref>AK60:AK95 AL363 AK97:AK362 AK364:AK494 AK496:AK564</xm:sqref>
        </x14:dataValidation>
        <x14:dataValidation type="list" allowBlank="1" showInputMessage="1" showErrorMessage="1">
          <x14:formula1>
            <xm:f>Table!$C$31:$C$37</xm:f>
          </x14:formula1>
          <xm:sqref>AA60:AA95 AA97:AA242 Z396:Z405 AA244:AA358 O540 AA543:AA564 AA397:AA541</xm:sqref>
        </x14:dataValidation>
        <x14:dataValidation type="list" allowBlank="1" showInputMessage="1" showErrorMessage="1">
          <x14:formula1>
            <xm:f>Table!$C$47:$C$48</xm:f>
          </x14:formula1>
          <xm:sqref>AG60:AG95 AG97:AG494 AG496:AG564</xm:sqref>
        </x14:dataValidation>
        <x14:dataValidation type="list" allowBlank="1" showInputMessage="1" showErrorMessage="1">
          <x14:formula1>
            <xm:f>Table!$C$13:$C$27</xm:f>
          </x14:formula1>
          <xm:sqref>T60:T273 G540:H540 S543:T564 T275:T541 S60:S541</xm:sqref>
        </x14:dataValidation>
        <x14:dataValidation type="list" allowBlank="1" showInputMessage="1" showErrorMessage="1">
          <x14:formula1>
            <xm:f>Table!$C$8:$C$9</xm:f>
          </x14:formula1>
          <xm:sqref>D60:D564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E17" sqref="E17"/>
    </sheetView>
  </sheetViews>
  <sheetFormatPr defaultRowHeight="15"/>
  <sheetData/>
  <customSheetViews>
    <customSheetView guid="{7E0EA425-A420-4443-B9E0-CDF0AA9E5D09}">
      <selection activeCell="E17" sqref="E17"/>
      <pageMargins left="0.7" right="0.7" top="0.75" bottom="0.75" header="0.3" footer="0.3"/>
    </customSheetView>
    <customSheetView guid="{3B3E6719-EACB-4D2C-89C1-05FFAB6020FD}">
      <selection activeCell="J38" sqref="J38"/>
      <pageMargins left="0.7" right="0.7" top="0.75" bottom="0.75" header="0.3" footer="0.3"/>
    </customSheetView>
    <customSheetView guid="{89C03E1E-B6A8-49A1-B29C-5DC4FAB2FBC6}">
      <selection activeCell="J38" sqref="J38"/>
      <pageMargins left="0.7" right="0.7" top="0.75" bottom="0.75" header="0.3" footer="0.3"/>
    </customSheetView>
    <customSheetView guid="{FECB4C41-27E8-4A22-AFB3-4F54CDD4960E}">
      <selection activeCell="J38" sqref="J38"/>
      <pageMargins left="0.7" right="0.7" top="0.75" bottom="0.75" header="0.3" footer="0.3"/>
    </customSheetView>
    <customSheetView guid="{7ECC2B8E-6A82-42F5-8AB0-4A51C54EA5EC}">
      <selection activeCell="J38" sqref="J38"/>
      <pageMargins left="0.7" right="0.7" top="0.75" bottom="0.75" header="0.3" footer="0.3"/>
    </customSheetView>
    <customSheetView guid="{99BC1C51-34DC-4BF2-906C-1E31B6171D71}">
      <selection activeCell="C39" sqref="C39"/>
      <pageMargins left="0.7" right="0.7" top="0.75" bottom="0.75" header="0.3" footer="0.3"/>
    </customSheetView>
    <customSheetView guid="{A2E8CE38-D15E-4374-89B2-69D9421C4465}" showPageBreaks="1">
      <selection activeCell="J38" sqref="J38"/>
      <pageMargins left="0.7" right="0.7" top="0.75" bottom="0.75" header="0.3" footer="0.3"/>
      <pageSetup orientation="portrait" horizontalDpi="300" r:id="rId1"/>
    </customSheetView>
    <customSheetView guid="{336B6883-2145-4B58-921E-CEC7185A847E}">
      <selection activeCell="C39" sqref="C39"/>
      <pageMargins left="0.7" right="0.7" top="0.75" bottom="0.75" header="0.3" footer="0.3"/>
    </customSheetView>
    <customSheetView guid="{60D2C030-4E31-4E07-8E1C-44D2EE84B177}">
      <selection activeCell="C39" sqref="C39"/>
      <pageMargins left="0.7" right="0.7" top="0.75" bottom="0.75" header="0.3" footer="0.3"/>
    </customSheetView>
    <customSheetView guid="{C94451EF-7A3E-4D72-B5A4-3D1B193192CC}">
      <selection activeCell="J38" sqref="J38"/>
      <pageMargins left="0.7" right="0.7" top="0.75" bottom="0.75" header="0.3" footer="0.3"/>
    </customSheetView>
    <customSheetView guid="{D33AC7AF-C8AB-4CE9-94C7-9237011A5FC3}">
      <selection activeCell="J38" sqref="J38"/>
      <pageMargins left="0.7" right="0.7" top="0.75" bottom="0.75" header="0.3" footer="0.3"/>
    </customSheetView>
    <customSheetView guid="{A2C66332-A809-458E-971B-FDB6D62C74C3}">
      <selection activeCell="J38" sqref="J38"/>
      <pageMargins left="0.7" right="0.7" top="0.75" bottom="0.75" header="0.3" footer="0.3"/>
    </customSheetView>
    <customSheetView guid="{F96FC7D9-4F89-4FE0-8D00-C0083DEB0472}">
      <selection activeCell="J38" sqref="J38"/>
      <pageMargins left="0.7" right="0.7" top="0.75" bottom="0.75" header="0.3" footer="0.3"/>
    </customSheetView>
    <customSheetView guid="{970EE037-F5E5-47AF-896A-0F6222879EBC}">
      <selection activeCell="C39" sqref="C39"/>
      <pageMargins left="0.7" right="0.7" top="0.75" bottom="0.75" header="0.3" footer="0.3"/>
    </customSheetView>
    <customSheetView guid="{4E06BDBF-2CED-473B-850B-2A6C7311FF41}" showPageBreaks="1">
      <selection activeCell="J38" sqref="J38"/>
      <pageMargins left="0.7" right="0.7" top="0.75" bottom="0.75" header="0.3" footer="0.3"/>
      <pageSetup paperSize="9" orientation="portrait" r:id="rId2"/>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08"/>
  <sheetViews>
    <sheetView topLeftCell="A175" zoomScale="85" zoomScaleNormal="85" workbookViewId="0">
      <selection activeCell="C198" sqref="C198"/>
    </sheetView>
  </sheetViews>
  <sheetFormatPr defaultRowHeight="15"/>
  <cols>
    <col min="2" max="2" width="16.28515625" bestFit="1" customWidth="1"/>
    <col min="3" max="3" width="17.28515625" bestFit="1" customWidth="1"/>
    <col min="4" max="4" width="9.7109375" bestFit="1" customWidth="1"/>
    <col min="5" max="5" width="10" bestFit="1" customWidth="1"/>
    <col min="6" max="6" width="10.85546875" bestFit="1" customWidth="1"/>
    <col min="7" max="7" width="9" bestFit="1" customWidth="1"/>
    <col min="8" max="8" width="12" bestFit="1" customWidth="1"/>
    <col min="9" max="9" width="21.5703125" bestFit="1" customWidth="1"/>
  </cols>
  <sheetData>
    <row r="1" spans="1:11">
      <c r="A1" s="1"/>
    </row>
    <row r="2" spans="1:11">
      <c r="A2" s="1">
        <v>1</v>
      </c>
      <c r="B2" s="1" t="s">
        <v>53</v>
      </c>
      <c r="C2" s="1">
        <v>20200811</v>
      </c>
    </row>
    <row r="3" spans="1:11">
      <c r="A3" s="1"/>
      <c r="B3" s="1" t="s">
        <v>112</v>
      </c>
      <c r="C3">
        <f>SUM(G9:G10)</f>
        <v>11.738750000000001</v>
      </c>
      <c r="D3" t="s">
        <v>113</v>
      </c>
    </row>
    <row r="4" spans="1:11">
      <c r="A4" s="1"/>
      <c r="B4" s="1" t="s">
        <v>119</v>
      </c>
      <c r="C4">
        <f>SUM(INT((WEEKDAY(F4-{2,3,4,5,6})+H4-F4)/7))</f>
        <v>6</v>
      </c>
      <c r="D4" t="s">
        <v>113</v>
      </c>
      <c r="E4" t="s">
        <v>141</v>
      </c>
      <c r="F4" s="6">
        <v>44054</v>
      </c>
      <c r="G4" s="6" t="s">
        <v>111</v>
      </c>
      <c r="H4" s="6">
        <v>44061</v>
      </c>
    </row>
    <row r="5" spans="1:11">
      <c r="A5" s="1"/>
      <c r="B5" s="1" t="s">
        <v>120</v>
      </c>
      <c r="C5">
        <f>SUM(INT((WEEKDAY(F5-{2,3,4,5,6})+H5-F5)/7))</f>
        <v>6</v>
      </c>
      <c r="D5" t="s">
        <v>113</v>
      </c>
      <c r="E5" t="s">
        <v>141</v>
      </c>
      <c r="F5" s="6">
        <v>44054</v>
      </c>
      <c r="G5" s="6" t="s">
        <v>111</v>
      </c>
      <c r="H5" s="6">
        <v>44061</v>
      </c>
    </row>
    <row r="6" spans="1:11">
      <c r="A6" s="1"/>
      <c r="B6" s="1" t="s">
        <v>17</v>
      </c>
      <c r="C6" t="str">
        <f>IF(AND(F9=E9,F10=E10),IF(SUM(H9:H10)&gt;SUM(G9:G10),"Delayed",IF(SUM(H9:H10)&lt;SUM(G9:G10),"InAdvanced","Ontime")),"N/A")</f>
        <v>Delayed</v>
      </c>
      <c r="F6" s="6"/>
      <c r="G6" s="6"/>
      <c r="H6" s="6"/>
    </row>
    <row r="7" spans="1:11">
      <c r="A7" s="1"/>
    </row>
    <row r="8" spans="1:11" ht="45">
      <c r="A8" s="1"/>
      <c r="C8" s="49" t="s">
        <v>25</v>
      </c>
      <c r="D8" s="49" t="s">
        <v>26</v>
      </c>
      <c r="E8" s="8" t="s">
        <v>114</v>
      </c>
      <c r="F8" s="8" t="s">
        <v>115</v>
      </c>
      <c r="G8" s="8" t="s">
        <v>116</v>
      </c>
      <c r="H8" s="8" t="s">
        <v>117</v>
      </c>
      <c r="I8" s="8" t="s">
        <v>29</v>
      </c>
      <c r="J8" s="8" t="s">
        <v>130</v>
      </c>
      <c r="K8" s="8" t="s">
        <v>139</v>
      </c>
    </row>
    <row r="9" spans="1:11">
      <c r="A9" s="1"/>
      <c r="C9" s="40">
        <v>1</v>
      </c>
      <c r="D9" s="38" t="str">
        <f>Table!$D$3</f>
        <v>PSW</v>
      </c>
      <c r="E9" s="38">
        <f>SUMIFS(Merged_COEM!$W$60:$W$317,Merged_COEM!$D$60:$D$317,D9, Merged_COEM!$C$60:$C$317,C2)</f>
        <v>115</v>
      </c>
      <c r="F9" s="38">
        <f>SUMIFS(Merged_COEM!$X$60:$X$317,Merged_COEM!$D$60:$D$317,D9, Merged_COEM!$C$60:$C$317,C2)-SUM(SUMIFS(Merged_COEM!$X$60:$X$317,Merged_COEM!$D$60:$D$317,Table!$D$3,Merged_COEM!$AA$60:$AA$317,{"Ongoing","N/A",""},Merged_COEM!$C$60:$C$317,C2))</f>
        <v>115</v>
      </c>
      <c r="G9" s="38">
        <f>1/8*(SUMIFS(Merged_COEM!$Y$60:$Y$317,Merged_COEM!$D$60:$D$317,D9, Merged_COEM!$C$60:$C$317,C2))</f>
        <v>0.255</v>
      </c>
      <c r="H9" s="38">
        <f>1/8*(SUMIFS(Merged_COEM!$Z$60:$Z$317,Merged_COEM!$D$60:$D$317,D9, Merged_COEM!$C$60:$C$317,C2)-SUM(SUMIFS(Merged_COEM!$Z$60:$Z$317,Merged_COEM!$D$60:$D$317,D9,Merged_COEM!$AA$60:$AA$317,{"Ongoing","N/A",""},Merged_COEM!$C$60:$C$317,C2)))</f>
        <v>0.255</v>
      </c>
      <c r="I9" s="61">
        <f>IFERROR(F9/E9,"N/A")</f>
        <v>1</v>
      </c>
      <c r="J9" s="3">
        <f>COUNTIFS(Merged_COEM!$AK$60:$AK$317,J8,Merged_COEM!$D$60:$D$317,D9,Merged_COEM!$C$60:$C$317,C2)</f>
        <v>0</v>
      </c>
      <c r="K9" s="3">
        <f>COUNTIFS(Merged_COEM!$AK$60:$AK$317,K8,Merged_COEM!$D$60:$D$317,D9,Merged_COEM!$C$60:$C$317,C2)</f>
        <v>0</v>
      </c>
    </row>
    <row r="10" spans="1:11">
      <c r="A10" s="1"/>
      <c r="C10" s="40">
        <v>2</v>
      </c>
      <c r="D10" s="38" t="str">
        <f>Table!$C$3</f>
        <v>ASW</v>
      </c>
      <c r="E10" s="38">
        <f>SUMIFS(Merged_COEM!$W$60:$W$317,Merged_COEM!$D$60:$D$317,D10, Merged_COEM!$C$60:$C$317,C2)</f>
        <v>1494</v>
      </c>
      <c r="F10" s="38">
        <f>SUMIFS(Merged_COEM!$X$60:$X$317,Merged_COEM!$D$60:$D$317,D10, Merged_COEM!$C$60:$C$317,C2)-SUM(SUMIFS(Merged_COEM!$X$60:$X$317,Merged_COEM!$D$60:$D$317,D10,Merged_COEM!$AA$60:$AA$317,{"Ongoing","N/A",""},Merged_COEM!$C$60:$C$317,C2))</f>
        <v>1494</v>
      </c>
      <c r="G10" s="38">
        <f>1/8*(SUMIFS(Merged_COEM!$Y$60:$Y$317,Merged_COEM!$D$60:$D$317,D10, Merged_COEM!$C$60:$C$317,C2))</f>
        <v>11.483750000000001</v>
      </c>
      <c r="H10" s="38">
        <f>1/8*(SUMIFS(Merged_COEM!$Z$60:$Z$317,Merged_COEM!$D$60:$D$317,D10, Merged_COEM!$C$60:$C$317,C2)-SUM(SUMIFS(Merged_COEM!$Z$60:$Z$317,Merged_COEM!$D$60:$D$317,D10,Merged_COEM!$AA$60:$AA$317,{"Ongoing","N/A",""},Merged_COEM!$C$60:$C$317,C2)))</f>
        <v>22.7925</v>
      </c>
      <c r="I10" s="61">
        <f>IFERROR(F10/E10,"N/A")</f>
        <v>1</v>
      </c>
      <c r="J10" s="3">
        <f>COUNTIFS(Merged_COEM!$AK$60:$AK$317,J8,Merged_COEM!$D$60:$D$317,D10,Merged_COEM!$C$60:$C$317,C2)</f>
        <v>6</v>
      </c>
      <c r="K10" s="3">
        <f>COUNTIFS(Merged_COEM!$AK$60:$AK$317,K8,Merged_COEM!$D$60:$D$317,D10,Merged_COEM!$C$60:$C$317,C2)</f>
        <v>0</v>
      </c>
    </row>
    <row r="11" spans="1:11">
      <c r="A11" s="1"/>
    </row>
    <row r="12" spans="1:11">
      <c r="A12" s="1"/>
      <c r="C12" t="s">
        <v>118</v>
      </c>
    </row>
    <row r="13" spans="1:11">
      <c r="A13" s="1"/>
      <c r="D13" s="102" t="s">
        <v>121</v>
      </c>
    </row>
    <row r="14" spans="1:11">
      <c r="A14" s="1"/>
    </row>
    <row r="15" spans="1:11">
      <c r="A15" s="1">
        <v>2</v>
      </c>
      <c r="B15" s="1" t="s">
        <v>53</v>
      </c>
      <c r="C15" s="1">
        <v>20200817</v>
      </c>
    </row>
    <row r="16" spans="1:11">
      <c r="A16" s="1"/>
      <c r="B16" s="1" t="s">
        <v>112</v>
      </c>
      <c r="C16">
        <f>SUM(G22:G23)</f>
        <v>15.1</v>
      </c>
      <c r="D16" t="s">
        <v>113</v>
      </c>
    </row>
    <row r="17" spans="1:11">
      <c r="A17" s="1"/>
      <c r="B17" s="1" t="s">
        <v>119</v>
      </c>
      <c r="C17">
        <f>SUM(INT((WEEKDAY(F17-{2,3,4,5,6})+H17-F17)/7))</f>
        <v>5</v>
      </c>
      <c r="D17" t="s">
        <v>113</v>
      </c>
      <c r="E17" t="s">
        <v>141</v>
      </c>
      <c r="F17" s="6">
        <v>44060</v>
      </c>
      <c r="G17" s="6" t="s">
        <v>111</v>
      </c>
      <c r="H17" s="6">
        <v>44064</v>
      </c>
    </row>
    <row r="18" spans="1:11">
      <c r="A18" s="1"/>
      <c r="B18" s="1" t="s">
        <v>120</v>
      </c>
      <c r="C18">
        <f>SUM(INT((WEEKDAY(F18-{2,3,4,5,6})+H18-F18)/7))</f>
        <v>5</v>
      </c>
      <c r="D18" t="s">
        <v>113</v>
      </c>
      <c r="E18" t="s">
        <v>141</v>
      </c>
      <c r="F18" s="6">
        <v>44060</v>
      </c>
      <c r="G18" s="6" t="s">
        <v>111</v>
      </c>
      <c r="H18" s="6">
        <v>44064</v>
      </c>
    </row>
    <row r="19" spans="1:11">
      <c r="A19" s="1"/>
      <c r="B19" s="1" t="s">
        <v>17</v>
      </c>
      <c r="C19" t="str">
        <f>IF(AND(F22=E22,F23=E23),IF(SUM(H22:H23)&gt;SUM(G22:G23),"Delayed",IF(SUM(H22:H23)&lt;SUM(G22:G23),"InAdvanced","Ontime")),"N/A")</f>
        <v>InAdvanced</v>
      </c>
      <c r="F19" s="6"/>
      <c r="G19" s="6"/>
      <c r="H19" s="6"/>
    </row>
    <row r="20" spans="1:11">
      <c r="A20" s="1"/>
    </row>
    <row r="21" spans="1:11" ht="45">
      <c r="A21" s="1"/>
      <c r="C21" s="49" t="s">
        <v>25</v>
      </c>
      <c r="D21" s="49" t="s">
        <v>26</v>
      </c>
      <c r="E21" s="8" t="s">
        <v>114</v>
      </c>
      <c r="F21" s="8" t="s">
        <v>115</v>
      </c>
      <c r="G21" s="8" t="s">
        <v>116</v>
      </c>
      <c r="H21" s="8" t="s">
        <v>117</v>
      </c>
      <c r="I21" s="8" t="s">
        <v>29</v>
      </c>
      <c r="J21" s="8" t="s">
        <v>130</v>
      </c>
      <c r="K21" s="8" t="s">
        <v>139</v>
      </c>
    </row>
    <row r="22" spans="1:11">
      <c r="A22" s="1"/>
      <c r="C22" s="40">
        <v>1</v>
      </c>
      <c r="D22" s="38" t="str">
        <f>Table!$D$3</f>
        <v>PSW</v>
      </c>
      <c r="E22" s="38">
        <f>SUMIFS(Merged_COEM!$W$60:$W$317,Merged_COEM!$D$60:$D$317,D22, Merged_COEM!$C$60:$C$317,C15)</f>
        <v>6287</v>
      </c>
      <c r="F22" s="38">
        <f>SUMIFS(Merged_COEM!$X$60:$X$317,Merged_COEM!$D$60:$D$317,D22, Merged_COEM!$C$60:$C$317,C15)-SUM(SUMIFS(Merged_COEM!$X$60:$X$317,Merged_COEM!$D$60:$D$317,Table!$D$3,Merged_COEM!$AA$60:$AA$317,{"Ongoing","N/A",""},Merged_COEM!$C$60:$C$317,C15))</f>
        <v>6287</v>
      </c>
      <c r="G22" s="38">
        <f>1/8*(SUMIFS(Merged_COEM!$Y$60:$Y$317,Merged_COEM!$D$60:$D$317,D22, Merged_COEM!$C$60:$C$317,C15))</f>
        <v>13.946249999999999</v>
      </c>
      <c r="H22" s="38">
        <f>1/8*(SUMIFS(Merged_COEM!$Z$60:$Z$317,Merged_COEM!$D$60:$D$317,D22, Merged_COEM!$C$60:$C$317,C15)-SUM(SUMIFS(Merged_COEM!$Z$60:$Z$317,Merged_COEM!$D$60:$D$317,D22,Merged_COEM!$AA$60:$AA$317,{"Ongoing","N/A",""},Merged_COEM!$C$60:$C$317,C15)))</f>
        <v>13.623750000000001</v>
      </c>
      <c r="I22" s="61">
        <f>IFERROR(F22/E22,"N/A")</f>
        <v>1</v>
      </c>
      <c r="J22" s="3">
        <f>COUNTIFS(Merged_COEM!$AK$60:$AK$317,J21,Merged_COEM!$D$60:$D$317,D22,Merged_COEM!$C$60:$C$317,C15)</f>
        <v>7</v>
      </c>
      <c r="K22" s="3">
        <f>COUNTIFS(Merged_COEM!$AK$60:$AK$317,K21,Merged_COEM!$D$60:$D$317,D22,Merged_COEM!$C$60:$C$317,C15)</f>
        <v>0</v>
      </c>
    </row>
    <row r="23" spans="1:11">
      <c r="A23" s="1"/>
      <c r="C23" s="40">
        <v>2</v>
      </c>
      <c r="D23" s="38" t="str">
        <f>Table!$C$3</f>
        <v>ASW</v>
      </c>
      <c r="E23" s="38">
        <f>SUMIFS(Merged_COEM!$W$60:$W$317,Merged_COEM!$D$60:$D$317,D23, Merged_COEM!$C$60:$C$317,C15)</f>
        <v>150</v>
      </c>
      <c r="F23" s="38">
        <f>SUMIFS(Merged_COEM!$X$60:$X$317,Merged_COEM!$D$60:$D$317,D23, Merged_COEM!$C$60:$C$317,C15)-SUM(SUMIFS(Merged_COEM!$X$60:$X$317,Merged_COEM!$D$60:$D$317,D23,Merged_COEM!$AA$60:$AA$317,{"Ongoing","N/A",""},Merged_COEM!$C$60:$C$317,C15))</f>
        <v>150</v>
      </c>
      <c r="G23" s="38">
        <f>1/8*(SUMIFS(Merged_COEM!$Y$60:$Y$317,Merged_COEM!$D$60:$D$317,D23, Merged_COEM!$C$60:$C$317,C15))</f>
        <v>1.1537500000000001</v>
      </c>
      <c r="H23" s="38">
        <f>1/8*(SUMIFS(Merged_COEM!$Z$60:$Z$317,Merged_COEM!$D$60:$D$317,D23, Merged_COEM!$C$60:$C$317,C15)-SUM(SUMIFS(Merged_COEM!$Z$60:$Z$317,Merged_COEM!$D$60:$D$317,D23,Merged_COEM!$AA$60:$AA$317,{"Ongoing","N/A",""},Merged_COEM!$C$60:$C$317,C15)))</f>
        <v>1.25</v>
      </c>
      <c r="I23" s="61">
        <f>IFERROR(F23/E23,"N/A")</f>
        <v>1</v>
      </c>
      <c r="J23" s="3">
        <f>COUNTIFS(Merged_COEM!$AK$60:$AK$317,J21,Merged_COEM!$D$60:$D$317,D23,Merged_COEM!$C$60:$C$317,C15)</f>
        <v>1</v>
      </c>
      <c r="K23" s="3">
        <f>COUNTIFS(Merged_COEM!$AK$60:$AK$317,K21,Merged_COEM!$D$60:$D$317,D23,Merged_COEM!$C$60:$C$317,C15)</f>
        <v>0</v>
      </c>
    </row>
    <row r="24" spans="1:11">
      <c r="A24" s="1"/>
    </row>
    <row r="25" spans="1:11">
      <c r="A25" s="1"/>
      <c r="C25" t="s">
        <v>118</v>
      </c>
    </row>
    <row r="26" spans="1:11">
      <c r="A26" s="1"/>
      <c r="D26" s="102" t="s">
        <v>121</v>
      </c>
    </row>
    <row r="28" spans="1:11">
      <c r="A28" s="232">
        <v>3</v>
      </c>
      <c r="B28" s="232" t="s">
        <v>53</v>
      </c>
      <c r="C28" s="232">
        <v>20200818</v>
      </c>
    </row>
    <row r="29" spans="1:11">
      <c r="A29" s="232"/>
      <c r="B29" s="232" t="s">
        <v>112</v>
      </c>
      <c r="C29">
        <f>SUM(G35:G36)</f>
        <v>2.8412500000000001</v>
      </c>
      <c r="D29" t="s">
        <v>113</v>
      </c>
    </row>
    <row r="30" spans="1:11">
      <c r="A30" s="232"/>
      <c r="B30" s="232" t="s">
        <v>119</v>
      </c>
      <c r="C30">
        <f>SUM(INT((WEEKDAY(F30-{2,3,4,5,6})+H30-F30)/7))</f>
        <v>7</v>
      </c>
      <c r="D30" t="s">
        <v>113</v>
      </c>
      <c r="E30" t="s">
        <v>141</v>
      </c>
      <c r="F30" s="6">
        <v>44061</v>
      </c>
      <c r="G30" s="6" t="s">
        <v>111</v>
      </c>
      <c r="H30" s="6">
        <v>44069</v>
      </c>
    </row>
    <row r="31" spans="1:11">
      <c r="A31" s="232"/>
      <c r="B31" s="232" t="s">
        <v>120</v>
      </c>
      <c r="C31">
        <f>SUM(INT((WEEKDAY(F31-{2,3,4,5,6})+H31-F31)/7))</f>
        <v>7</v>
      </c>
      <c r="D31" t="s">
        <v>113</v>
      </c>
      <c r="E31" t="s">
        <v>141</v>
      </c>
      <c r="F31" s="6">
        <v>44061</v>
      </c>
      <c r="G31" s="6" t="s">
        <v>111</v>
      </c>
      <c r="H31" s="6">
        <v>44069</v>
      </c>
    </row>
    <row r="32" spans="1:11">
      <c r="A32" s="232"/>
      <c r="B32" s="232" t="s">
        <v>17</v>
      </c>
      <c r="C32" t="str">
        <f>IF(AND(F35=E35,F36=E36),IF(SUM(H35:H36)&gt;SUM(G35:G36),"Delayed",IF(SUM(H35:H36)&lt;SUM(G35:G36),"InAdvanced","Ontime")),"N/A")</f>
        <v>InAdvanced</v>
      </c>
      <c r="F32" s="6"/>
      <c r="G32" s="6"/>
      <c r="H32" s="6"/>
    </row>
    <row r="33" spans="1:11">
      <c r="A33" s="232"/>
    </row>
    <row r="34" spans="1:11" ht="45">
      <c r="A34" s="232"/>
      <c r="C34" s="233" t="s">
        <v>25</v>
      </c>
      <c r="D34" s="233" t="s">
        <v>26</v>
      </c>
      <c r="E34" s="234" t="s">
        <v>114</v>
      </c>
      <c r="F34" s="234" t="s">
        <v>115</v>
      </c>
      <c r="G34" s="234" t="s">
        <v>116</v>
      </c>
      <c r="H34" s="234" t="s">
        <v>117</v>
      </c>
      <c r="I34" s="234" t="s">
        <v>29</v>
      </c>
      <c r="J34" s="234" t="s">
        <v>130</v>
      </c>
      <c r="K34" s="234" t="s">
        <v>139</v>
      </c>
    </row>
    <row r="35" spans="1:11">
      <c r="A35" s="232"/>
      <c r="C35" s="40">
        <v>1</v>
      </c>
      <c r="D35" s="38" t="str">
        <f>Table!$D$3</f>
        <v>PSW</v>
      </c>
      <c r="E35" s="38">
        <f>SUMIFS(Merged_COEM!$W$60:$W$317,Merged_COEM!$D$60:$D$317,D35, Merged_COEM!$C$60:$C$317,C28)</f>
        <v>322</v>
      </c>
      <c r="F35" s="38">
        <f>SUMIFS(Merged_COEM!$X$60:$X$317,Merged_COEM!$D$60:$D$317,D35, Merged_COEM!$C$60:$C$317,C28)-SUM(SUMIFS(Merged_COEM!$X$60:$X$317,Merged_COEM!$D$60:$D$317,Table!$D$3,Merged_COEM!$AA$60:$AA$317,{"Ongoing","N/A",""},Merged_COEM!$C$60:$C$317,C28))</f>
        <v>322</v>
      </c>
      <c r="G35" s="38">
        <f>1/8*(SUMIFS(Merged_COEM!$Y$60:$Y$317,Merged_COEM!$D$60:$D$317,D35, Merged_COEM!$C$60:$C$317,C28))</f>
        <v>0.71375</v>
      </c>
      <c r="H35" s="38">
        <f>1/8*(SUMIFS(Merged_COEM!$Z$60:$Z$317,Merged_COEM!$D$60:$D$317,D35, Merged_COEM!$C$60:$C$317,C28)-SUM(SUMIFS(Merged_COEM!$Z$60:$Z$317,Merged_COEM!$D$60:$D$317,D35,Merged_COEM!$AA$60:$AA$317,{"Ongoing","N/A",""},Merged_COEM!$C$60:$C$317,C28)))</f>
        <v>0.625</v>
      </c>
      <c r="I35" s="61">
        <f>IFERROR(F35/E35,"N/A")</f>
        <v>1</v>
      </c>
      <c r="J35" s="3">
        <f>COUNTIFS(Merged_COEM!$AK$60:$AK$317,J34,Merged_COEM!$D$60:$D$317,D35,Merged_COEM!$C$60:$C$317,C28)</f>
        <v>0</v>
      </c>
      <c r="K35" s="3">
        <f>COUNTIFS(Merged_COEM!$AK$60:$AK$317,K34,Merged_COEM!$D$60:$D$317,D35,Merged_COEM!$C$60:$C$317,C28)</f>
        <v>0</v>
      </c>
    </row>
    <row r="36" spans="1:11">
      <c r="A36" s="232"/>
      <c r="C36" s="40">
        <v>2</v>
      </c>
      <c r="D36" s="38" t="str">
        <f>Table!$C$3</f>
        <v>ASW</v>
      </c>
      <c r="E36" s="38">
        <f>SUMIFS(Merged_COEM!$W$60:$W$317,Merged_COEM!$D$60:$D$317,D36, Merged_COEM!$C$60:$C$317,C28)</f>
        <v>277</v>
      </c>
      <c r="F36" s="38">
        <f>SUMIFS(Merged_COEM!$X$60:$X$317,Merged_COEM!$D$60:$D$317,D36, Merged_COEM!$C$60:$C$317,C28)-SUM(SUMIFS(Merged_COEM!$X$60:$X$317,Merged_COEM!$D$60:$D$317,D36,Merged_COEM!$AA$60:$AA$317,{"Ongoing","N/A",""},Merged_COEM!$C$60:$C$317,C28))</f>
        <v>277</v>
      </c>
      <c r="G36" s="38">
        <f>1/8*(SUMIFS(Merged_COEM!$Y$60:$Y$317,Merged_COEM!$D$60:$D$317,D36, Merged_COEM!$C$60:$C$317,C28))</f>
        <v>2.1274999999999999</v>
      </c>
      <c r="H36" s="38">
        <f>1/8*(SUMIFS(Merged_COEM!$Z$60:$Z$317,Merged_COEM!$D$60:$D$317,D36, Merged_COEM!$C$60:$C$317,C28)-SUM(SUMIFS(Merged_COEM!$Z$60:$Z$317,Merged_COEM!$D$60:$D$317,D36,Merged_COEM!$AA$60:$AA$317,{"Ongoing","N/A",""},Merged_COEM!$C$60:$C$317,C28)))</f>
        <v>1.52</v>
      </c>
      <c r="I36" s="61">
        <f>IFERROR(F36/E36,"N/A")</f>
        <v>1</v>
      </c>
      <c r="J36" s="3">
        <f>COUNTIFS(Merged_COEM!$AK$60:$AK$317,J34,Merged_COEM!$D$60:$D$317,D36,Merged_COEM!$C$60:$C$317,C28)</f>
        <v>2</v>
      </c>
      <c r="K36" s="3">
        <f>COUNTIFS(Merged_COEM!$AK$60:$AK$317,K34,Merged_COEM!$D$60:$D$317,D36,Merged_COEM!$C$60:$C$317,C28)</f>
        <v>1</v>
      </c>
    </row>
    <row r="37" spans="1:11">
      <c r="A37" s="232"/>
    </row>
    <row r="38" spans="1:11">
      <c r="A38" s="232"/>
      <c r="C38" t="s">
        <v>118</v>
      </c>
    </row>
    <row r="39" spans="1:11">
      <c r="A39" s="232"/>
      <c r="D39" s="245" t="s">
        <v>121</v>
      </c>
    </row>
    <row r="41" spans="1:11">
      <c r="A41" s="232">
        <v>4</v>
      </c>
      <c r="B41" s="232" t="s">
        <v>53</v>
      </c>
      <c r="C41" s="232">
        <v>20200819</v>
      </c>
    </row>
    <row r="42" spans="1:11">
      <c r="A42" s="232"/>
      <c r="B42" s="232" t="s">
        <v>112</v>
      </c>
      <c r="C42">
        <f>SUM(G48:G49)</f>
        <v>0.75875000000000004</v>
      </c>
      <c r="D42" t="s">
        <v>113</v>
      </c>
    </row>
    <row r="43" spans="1:11">
      <c r="A43" s="232"/>
      <c r="B43" s="232" t="s">
        <v>119</v>
      </c>
      <c r="C43">
        <f>SUM(INT((WEEKDAY(F43-{2,3,4,5,6})+H43-F43)/7))</f>
        <v>8</v>
      </c>
      <c r="D43" t="s">
        <v>113</v>
      </c>
      <c r="E43" t="s">
        <v>141</v>
      </c>
      <c r="F43" s="6">
        <v>44062</v>
      </c>
      <c r="G43" s="6" t="s">
        <v>111</v>
      </c>
      <c r="H43" s="6">
        <v>44071</v>
      </c>
    </row>
    <row r="44" spans="1:11">
      <c r="A44" s="232"/>
      <c r="B44" s="232" t="s">
        <v>120</v>
      </c>
      <c r="C44">
        <f>SUM(INT((WEEKDAY(F44-{2,3,4,5,6})+H44-F44)/7))</f>
        <v>8</v>
      </c>
      <c r="D44" t="s">
        <v>113</v>
      </c>
      <c r="E44" t="s">
        <v>141</v>
      </c>
      <c r="F44" s="6">
        <v>44062</v>
      </c>
      <c r="G44" s="6" t="s">
        <v>111</v>
      </c>
      <c r="H44" s="6">
        <v>44071</v>
      </c>
    </row>
    <row r="45" spans="1:11">
      <c r="A45" s="232"/>
      <c r="B45" s="232" t="s">
        <v>17</v>
      </c>
      <c r="C45" t="str">
        <f>IF(AND(F48=E48,F49=E49),IF(SUM(H48:H49)&gt;SUM(G48:G49),"Delayed",IF(SUM(H48:H49)&lt;SUM(G48:G49),"InAdvanced","Ontime")),"N/A")</f>
        <v>InAdvanced</v>
      </c>
      <c r="F45" s="6"/>
      <c r="G45" s="6"/>
      <c r="H45" s="6"/>
    </row>
    <row r="46" spans="1:11">
      <c r="A46" s="232"/>
    </row>
    <row r="47" spans="1:11" ht="45">
      <c r="A47" s="232"/>
      <c r="C47" s="233" t="s">
        <v>25</v>
      </c>
      <c r="D47" s="233" t="s">
        <v>26</v>
      </c>
      <c r="E47" s="234" t="s">
        <v>114</v>
      </c>
      <c r="F47" s="234" t="s">
        <v>115</v>
      </c>
      <c r="G47" s="234" t="s">
        <v>116</v>
      </c>
      <c r="H47" s="234" t="s">
        <v>117</v>
      </c>
      <c r="I47" s="234" t="s">
        <v>29</v>
      </c>
      <c r="J47" s="234" t="s">
        <v>130</v>
      </c>
      <c r="K47" s="234" t="s">
        <v>139</v>
      </c>
    </row>
    <row r="48" spans="1:11">
      <c r="A48" s="232"/>
      <c r="C48" s="40">
        <v>1</v>
      </c>
      <c r="D48" s="38" t="str">
        <f>Table!$D$3</f>
        <v>PSW</v>
      </c>
      <c r="E48" s="38">
        <f>SUMIFS(Merged_COEM!$W$60:$W$317,Merged_COEM!$D$60:$D$317,D48, Merged_COEM!$C$60:$C$317,C41)</f>
        <v>342</v>
      </c>
      <c r="F48" s="38">
        <f>SUMIFS(Merged_COEM!$X$60:$X$317,Merged_COEM!$D$60:$D$317,D48, Merged_COEM!$C$60:$C$317,C41)-SUM(SUMIFS(Merged_COEM!$X$60:$X$317,Merged_COEM!$D$60:$D$317,Table!$D$3,Merged_COEM!$AA$60:$AA$317,{"Ongoing","N/A",""},Merged_COEM!$C$60:$C$317,C41))</f>
        <v>342</v>
      </c>
      <c r="G48" s="38">
        <f>1/8*(SUMIFS(Merged_COEM!$Y$60:$Y$317,Merged_COEM!$D$60:$D$317,D48, Merged_COEM!$C$60:$C$317,C41))</f>
        <v>0.75875000000000004</v>
      </c>
      <c r="H48" s="38">
        <f>1/8*(SUMIFS(Merged_COEM!$Z$60:$Z$317,Merged_COEM!$D$60:$D$317,D48, Merged_COEM!$C$60:$C$317,C41)-SUM(SUMIFS(Merged_COEM!$Z$60:$Z$317,Merged_COEM!$D$60:$D$317,D48,Merged_COEM!$AA$60:$AA$317,{"Ongoing","N/A",""},Merged_COEM!$C$60:$C$317,C41)))</f>
        <v>0.4</v>
      </c>
      <c r="I48" s="61">
        <f>IFERROR(F48/E48,"N/A")</f>
        <v>1</v>
      </c>
      <c r="J48" s="3">
        <f>COUNTIFS(Merged_COEM!$AK$60:$AK$317,J47,Merged_COEM!$D$60:$D$317,D48,Merged_COEM!$C$60:$C$317,C41)</f>
        <v>1</v>
      </c>
      <c r="K48" s="3">
        <f>COUNTIFS(Merged_COEM!$AK$60:$AK$317,K47,Merged_COEM!$D$60:$D$317,D48,Merged_COEM!$C$60:$C$317,C41)</f>
        <v>0</v>
      </c>
    </row>
    <row r="49" spans="1:11">
      <c r="A49" s="232"/>
      <c r="C49" s="40">
        <v>2</v>
      </c>
      <c r="D49" s="38" t="str">
        <f>Table!$C$3</f>
        <v>ASW</v>
      </c>
      <c r="E49" s="38">
        <f>SUMIFS(Merged_COEM!$W$60:$W$317,Merged_COEM!$D$60:$D$317,D49, Merged_COEM!$C$60:$C$317,C41)</f>
        <v>0</v>
      </c>
      <c r="F49" s="38">
        <f>SUMIFS(Merged_COEM!$X$60:$X$317,Merged_COEM!$D$60:$D$317,D49, Merged_COEM!$C$60:$C$317,C41)-SUM(SUMIFS(Merged_COEM!$X$60:$X$317,Merged_COEM!$D$60:$D$317,D49,Merged_COEM!$AA$60:$AA$317,{"Ongoing","N/A",""},Merged_COEM!$C$60:$C$317,C41))</f>
        <v>0</v>
      </c>
      <c r="G49" s="38">
        <f>1/8*(SUMIFS(Merged_COEM!$Y$60:$Y$317,Merged_COEM!$D$60:$D$317,D49, Merged_COEM!$C$60:$C$317,C41))</f>
        <v>0</v>
      </c>
      <c r="H49" s="38">
        <f>1/8*(SUMIFS(Merged_COEM!$Z$60:$Z$317,Merged_COEM!$D$60:$D$317,D49, Merged_COEM!$C$60:$C$317,C41)-SUM(SUMIFS(Merged_COEM!$Z$60:$Z$317,Merged_COEM!$D$60:$D$317,D49,Merged_COEM!$AA$60:$AA$317,{"Ongoing","N/A",""},Merged_COEM!$C$60:$C$317,C41)))</f>
        <v>0</v>
      </c>
      <c r="I49" s="61" t="str">
        <f>IFERROR(F49/E49,"N/A")</f>
        <v>N/A</v>
      </c>
      <c r="J49" s="3">
        <f>COUNTIFS(Merged_COEM!$AK$60:$AK$317,J47,Merged_COEM!$D$60:$D$317,D49,Merged_COEM!$C$60:$C$317,C41)</f>
        <v>0</v>
      </c>
      <c r="K49" s="3">
        <f>COUNTIFS(Merged_COEM!$AK$60:$AK$317,K47,Merged_COEM!$D$60:$D$317,D49,Merged_COEM!$C$60:$C$317,C41)</f>
        <v>0</v>
      </c>
    </row>
    <row r="50" spans="1:11">
      <c r="A50" s="232"/>
    </row>
    <row r="51" spans="1:11">
      <c r="A51" s="232"/>
      <c r="C51" t="s">
        <v>118</v>
      </c>
    </row>
    <row r="52" spans="1:11">
      <c r="A52" s="232"/>
      <c r="D52" s="245" t="s">
        <v>121</v>
      </c>
    </row>
    <row r="54" spans="1:11">
      <c r="A54" s="232">
        <v>5</v>
      </c>
      <c r="B54" s="232" t="s">
        <v>53</v>
      </c>
      <c r="C54" s="232">
        <v>20200820</v>
      </c>
    </row>
    <row r="55" spans="1:11">
      <c r="A55" s="232"/>
      <c r="B55" s="232" t="s">
        <v>112</v>
      </c>
      <c r="C55">
        <f>SUM(G61:G62)</f>
        <v>0.60499999999999998</v>
      </c>
      <c r="D55" t="s">
        <v>113</v>
      </c>
    </row>
    <row r="56" spans="1:11">
      <c r="A56" s="232"/>
      <c r="B56" s="232" t="s">
        <v>119</v>
      </c>
      <c r="C56">
        <f>SUM(INT((WEEKDAY(F56-{2,3,4,5,6})+H56-F56)/7))</f>
        <v>2</v>
      </c>
      <c r="D56" t="s">
        <v>113</v>
      </c>
      <c r="E56" t="s">
        <v>141</v>
      </c>
      <c r="F56" s="6">
        <v>44063</v>
      </c>
      <c r="G56" s="6" t="s">
        <v>111</v>
      </c>
      <c r="H56" s="6">
        <v>44064</v>
      </c>
    </row>
    <row r="57" spans="1:11">
      <c r="A57" s="232"/>
      <c r="B57" s="232" t="s">
        <v>120</v>
      </c>
      <c r="C57">
        <f>SUM(INT((WEEKDAY(F57-{2,3,4,5,6})+H57-F57)/7))</f>
        <v>2</v>
      </c>
      <c r="D57" t="s">
        <v>113</v>
      </c>
      <c r="E57" t="s">
        <v>141</v>
      </c>
      <c r="F57" s="6">
        <v>44063</v>
      </c>
      <c r="G57" s="6" t="s">
        <v>111</v>
      </c>
      <c r="H57" s="6">
        <v>44064</v>
      </c>
    </row>
    <row r="58" spans="1:11">
      <c r="A58" s="232"/>
      <c r="B58" s="232" t="s">
        <v>17</v>
      </c>
      <c r="C58" t="str">
        <f>IF(AND(F61=E61,F62=E62),IF(SUM(H61:H62)&gt;SUM(G61:G62),"Delayed",IF(SUM(H61:H62)&lt;SUM(G61:G62),"InAdvanced","Ontime")),"N/A")</f>
        <v>Delayed</v>
      </c>
      <c r="F58" s="6"/>
      <c r="G58" s="6"/>
      <c r="H58" s="6"/>
    </row>
    <row r="59" spans="1:11">
      <c r="A59" s="232"/>
    </row>
    <row r="60" spans="1:11" ht="45">
      <c r="A60" s="232"/>
      <c r="C60" s="233" t="s">
        <v>25</v>
      </c>
      <c r="D60" s="233" t="s">
        <v>26</v>
      </c>
      <c r="E60" s="234" t="s">
        <v>114</v>
      </c>
      <c r="F60" s="234" t="s">
        <v>115</v>
      </c>
      <c r="G60" s="234" t="s">
        <v>116</v>
      </c>
      <c r="H60" s="234" t="s">
        <v>117</v>
      </c>
      <c r="I60" s="234" t="s">
        <v>29</v>
      </c>
      <c r="J60" s="234" t="s">
        <v>130</v>
      </c>
      <c r="K60" s="234" t="s">
        <v>139</v>
      </c>
    </row>
    <row r="61" spans="1:11">
      <c r="A61" s="232"/>
      <c r="C61" s="40">
        <v>1</v>
      </c>
      <c r="D61" s="38" t="str">
        <f>Table!$D$3</f>
        <v>PSW</v>
      </c>
      <c r="E61" s="38">
        <f>SUMIFS(Merged_COEM!$W$60:$W$317,Merged_COEM!$D$60:$D$317,D61, Merged_COEM!$C$60:$C$317,C54)</f>
        <v>58</v>
      </c>
      <c r="F61" s="38">
        <f>SUMIFS(Merged_COEM!$X$60:$X$317,Merged_COEM!$D$60:$D$317,D61, Merged_COEM!$C$60:$C$317,C54)-SUM(SUMIFS(Merged_COEM!$X$60:$X$317,Merged_COEM!$D$60:$D$317,Table!$D$3,Merged_COEM!$AA$60:$AA$317,{"Ongoing","N/A",""},Merged_COEM!$C$60:$C$317,C54))</f>
        <v>58</v>
      </c>
      <c r="G61" s="38">
        <f>1/8*(SUMIFS(Merged_COEM!$Y$60:$Y$317,Merged_COEM!$D$60:$D$317,D61, Merged_COEM!$C$60:$C$317,C54))</f>
        <v>0.12875</v>
      </c>
      <c r="H61" s="38">
        <f>1/8*(SUMIFS(Merged_COEM!$Z$60:$Z$317,Merged_COEM!$D$60:$D$317,D61, Merged_COEM!$C$60:$C$317,C54)-SUM(SUMIFS(Merged_COEM!$Z$60:$Z$317,Merged_COEM!$D$60:$D$317,D61,Merged_COEM!$AA$60:$AA$317,{"Ongoing","N/A",""},Merged_COEM!$C$60:$C$317,C54)))</f>
        <v>0.625</v>
      </c>
      <c r="I61" s="61">
        <f>IFERROR(F61/E61,"N/A")</f>
        <v>1</v>
      </c>
      <c r="J61" s="3">
        <f>COUNTIFS(Merged_COEM!$AK$60:$AK$317,J60,Merged_COEM!$D$60:$D$317,D61,Merged_COEM!$C$60:$C$317,C54)</f>
        <v>0</v>
      </c>
      <c r="K61" s="3">
        <f>COUNTIFS(Merged_COEM!$AK$60:$AK$317,K60,Merged_COEM!$D$60:$D$317,D61,Merged_COEM!$C$60:$C$317,C54)</f>
        <v>1</v>
      </c>
    </row>
    <row r="62" spans="1:11">
      <c r="A62" s="232"/>
      <c r="C62" s="40">
        <v>2</v>
      </c>
      <c r="D62" s="38" t="str">
        <f>Table!$C$3</f>
        <v>ASW</v>
      </c>
      <c r="E62" s="38">
        <f>SUMIFS(Merged_COEM!$W$60:$W$317,Merged_COEM!$D$60:$D$317,D62, Merged_COEM!$C$60:$C$317,C54)</f>
        <v>62</v>
      </c>
      <c r="F62" s="38">
        <f>SUMIFS(Merged_COEM!$X$60:$X$317,Merged_COEM!$D$60:$D$317,D62, Merged_COEM!$C$60:$C$317,C54)-SUM(SUMIFS(Merged_COEM!$X$60:$X$317,Merged_COEM!$D$60:$D$317,D62,Merged_COEM!$AA$60:$AA$317,{"Ongoing","N/A",""},Merged_COEM!$C$60:$C$317,C54))</f>
        <v>62</v>
      </c>
      <c r="G62" s="38">
        <f>1/8*(SUMIFS(Merged_COEM!$Y$60:$Y$317,Merged_COEM!$D$60:$D$317,D62, Merged_COEM!$C$60:$C$317,C54))</f>
        <v>0.47625000000000001</v>
      </c>
      <c r="H62" s="38">
        <f>1/8*(SUMIFS(Merged_COEM!$Z$60:$Z$317,Merged_COEM!$D$60:$D$317,D62, Merged_COEM!$C$60:$C$317,C54)-SUM(SUMIFS(Merged_COEM!$Z$60:$Z$317,Merged_COEM!$D$60:$D$317,D62,Merged_COEM!$AA$60:$AA$317,{"Ongoing","N/A",""},Merged_COEM!$C$60:$C$317,C54)))</f>
        <v>0.32250000000000001</v>
      </c>
      <c r="I62" s="61">
        <f>IFERROR(F62/E62,"N/A")</f>
        <v>1</v>
      </c>
      <c r="J62" s="3">
        <f>COUNTIFS(Merged_COEM!$AK$60:$AK$317,J60,Merged_COEM!$D$60:$D$317,D62,Merged_COEM!$C$60:$C$317,C54)</f>
        <v>0</v>
      </c>
      <c r="K62" s="3">
        <f>COUNTIFS(Merged_COEM!$AK$60:$AK$317,K60,Merged_COEM!$D$60:$D$317,D62,Merged_COEM!$C$60:$C$317,C54)</f>
        <v>2</v>
      </c>
    </row>
    <row r="63" spans="1:11">
      <c r="A63" s="232"/>
    </row>
    <row r="64" spans="1:11">
      <c r="A64" s="232"/>
      <c r="C64" t="s">
        <v>118</v>
      </c>
    </row>
    <row r="65" spans="1:11">
      <c r="A65" s="232"/>
      <c r="D65" s="245" t="s">
        <v>121</v>
      </c>
    </row>
    <row r="67" spans="1:11">
      <c r="A67" s="232">
        <v>6</v>
      </c>
      <c r="B67" s="232" t="s">
        <v>53</v>
      </c>
      <c r="C67" s="232">
        <v>20200821</v>
      </c>
    </row>
    <row r="68" spans="1:11">
      <c r="A68" s="232"/>
      <c r="B68" s="232" t="s">
        <v>112</v>
      </c>
      <c r="C68">
        <f>SUM(G74:G75)</f>
        <v>6.3025000000000002</v>
      </c>
      <c r="D68" t="s">
        <v>113</v>
      </c>
    </row>
    <row r="69" spans="1:11">
      <c r="A69" s="232"/>
      <c r="B69" s="232" t="s">
        <v>119</v>
      </c>
      <c r="C69">
        <f>SUM(INT((WEEKDAY(F69-{2,3,4,5,6})+H69-F69)/7))</f>
        <v>3</v>
      </c>
      <c r="D69" t="s">
        <v>113</v>
      </c>
      <c r="E69" t="s">
        <v>141</v>
      </c>
      <c r="F69" s="6">
        <v>44067</v>
      </c>
      <c r="G69" s="6" t="s">
        <v>111</v>
      </c>
      <c r="H69" s="6">
        <v>44069</v>
      </c>
    </row>
    <row r="70" spans="1:11">
      <c r="A70" s="232"/>
      <c r="B70" s="232" t="s">
        <v>120</v>
      </c>
      <c r="C70">
        <f>SUM(INT((WEEKDAY(F70-{2,3,4,5,6})+H70-F70)/7))</f>
        <v>3</v>
      </c>
      <c r="D70" t="s">
        <v>113</v>
      </c>
      <c r="E70" t="s">
        <v>141</v>
      </c>
      <c r="F70" s="6">
        <v>44067</v>
      </c>
      <c r="G70" s="6" t="s">
        <v>111</v>
      </c>
      <c r="H70" s="6">
        <v>44069</v>
      </c>
    </row>
    <row r="71" spans="1:11">
      <c r="A71" s="232"/>
      <c r="B71" s="232" t="s">
        <v>17</v>
      </c>
      <c r="C71" t="str">
        <f>IF(AND(F74=E74,F75=E75),IF(SUM(H74:H75)&gt;SUM(G74:G75),"Delayed",IF(SUM(H74:H75)&lt;SUM(G74:G75),"InAdvanced","Ontime")),"N/A")</f>
        <v>InAdvanced</v>
      </c>
      <c r="F71" s="6"/>
      <c r="G71" s="6"/>
      <c r="H71" s="6"/>
    </row>
    <row r="72" spans="1:11">
      <c r="A72" s="232"/>
    </row>
    <row r="73" spans="1:11" ht="45">
      <c r="A73" s="232"/>
      <c r="C73" s="233" t="s">
        <v>25</v>
      </c>
      <c r="D73" s="233" t="s">
        <v>26</v>
      </c>
      <c r="E73" s="234" t="s">
        <v>114</v>
      </c>
      <c r="F73" s="234" t="s">
        <v>115</v>
      </c>
      <c r="G73" s="234" t="s">
        <v>116</v>
      </c>
      <c r="H73" s="234" t="s">
        <v>117</v>
      </c>
      <c r="I73" s="234" t="s">
        <v>29</v>
      </c>
      <c r="J73" s="234" t="s">
        <v>130</v>
      </c>
      <c r="K73" s="234" t="s">
        <v>139</v>
      </c>
    </row>
    <row r="74" spans="1:11">
      <c r="A74" s="232"/>
      <c r="C74" s="40">
        <v>1</v>
      </c>
      <c r="D74" s="38" t="str">
        <f>Table!$D$3</f>
        <v>PSW</v>
      </c>
      <c r="E74" s="38">
        <f>SUMIFS(Merged_COEM!$W$60:$W$317,Merged_COEM!$D$60:$D$317,D74, Merged_COEM!$C$60:$C$317,C67)</f>
        <v>2724</v>
      </c>
      <c r="F74" s="38">
        <f>SUMIFS(Merged_COEM!$X$60:$X$317,Merged_COEM!$D$60:$D$317,D74, Merged_COEM!$C$60:$C$317,C67)-SUM(SUMIFS(Merged_COEM!$X$60:$X$317,Merged_COEM!$D$60:$D$317,Table!$D$3,Merged_COEM!$AA$60:$AA$317,{"Ongoing","N/A",""},Merged_COEM!$C$60:$C$317,C67))</f>
        <v>2724</v>
      </c>
      <c r="G74" s="38">
        <f>1/8*(SUMIFS(Merged_COEM!$Y$60:$Y$317,Merged_COEM!$D$60:$D$317,D74, Merged_COEM!$C$60:$C$317,C67))</f>
        <v>6.0487500000000001</v>
      </c>
      <c r="H74" s="38">
        <f>1/8*(SUMIFS(Merged_COEM!$Z$60:$Z$317,Merged_COEM!$D$60:$D$317,D74, Merged_COEM!$C$60:$C$317,C67)-SUM(SUMIFS(Merged_COEM!$Z$60:$Z$317,Merged_COEM!$D$60:$D$317,D74,Merged_COEM!$AA$60:$AA$317,{"Ongoing","N/A",""},Merged_COEM!$C$60:$C$317,C67)))</f>
        <v>2.835</v>
      </c>
      <c r="I74" s="61">
        <f>IFERROR(F74/E74,"N/A")</f>
        <v>1</v>
      </c>
      <c r="J74" s="3">
        <f>COUNTIFS(Merged_COEM!$AK$60:$AK$317,J73,Merged_COEM!$D$60:$D$317,D74,Merged_COEM!$C$60:$C$317,C67)</f>
        <v>1</v>
      </c>
      <c r="K74" s="3">
        <f>COUNTIFS(Merged_COEM!$AK$60:$AK$317,K73,Merged_COEM!$D$60:$D$317,D74,Merged_COEM!$C$60:$C$317,C67)</f>
        <v>0</v>
      </c>
    </row>
    <row r="75" spans="1:11">
      <c r="A75" s="232"/>
      <c r="C75" s="40">
        <v>2</v>
      </c>
      <c r="D75" s="38" t="str">
        <f>Table!$C$3</f>
        <v>ASW</v>
      </c>
      <c r="E75" s="38">
        <f>SUMIFS(Merged_COEM!$W$60:$W$317,Merged_COEM!$D$60:$D$317,D75, Merged_COEM!$C$60:$C$317,C67)</f>
        <v>33</v>
      </c>
      <c r="F75" s="38">
        <f>SUMIFS(Merged_COEM!$X$60:$X$317,Merged_COEM!$D$60:$D$317,D75, Merged_COEM!$C$60:$C$317,C67)-SUM(SUMIFS(Merged_COEM!$X$60:$X$317,Merged_COEM!$D$60:$D$317,D75,Merged_COEM!$AA$60:$AA$317,{"Ongoing","N/A",""},Merged_COEM!$C$60:$C$317,C67))</f>
        <v>33</v>
      </c>
      <c r="G75" s="38">
        <f>1/8*(SUMIFS(Merged_COEM!$Y$60:$Y$317,Merged_COEM!$D$60:$D$317,D75, Merged_COEM!$C$60:$C$317,C67))</f>
        <v>0.25374999999999998</v>
      </c>
      <c r="H75" s="38">
        <f>1/8*(SUMIFS(Merged_COEM!$Z$60:$Z$317,Merged_COEM!$D$60:$D$317,D75, Merged_COEM!$C$60:$C$317,C67)-SUM(SUMIFS(Merged_COEM!$Z$60:$Z$317,Merged_COEM!$D$60:$D$317,D75,Merged_COEM!$AA$60:$AA$317,{"Ongoing","N/A",""},Merged_COEM!$C$60:$C$317,C67)))</f>
        <v>1</v>
      </c>
      <c r="I75" s="61">
        <f>IFERROR(F75/E75,"N/A")</f>
        <v>1</v>
      </c>
      <c r="J75" s="3">
        <f>COUNTIFS(Merged_COEM!$AK$60:$AK$317,J73,Merged_COEM!$D$60:$D$317,D75,Merged_COEM!$C$60:$C$317,C67)</f>
        <v>0</v>
      </c>
      <c r="K75" s="3">
        <f>COUNTIFS(Merged_COEM!$AK$60:$AK$317,K73,Merged_COEM!$D$60:$D$317,D75,Merged_COEM!$C$60:$C$317,C67)</f>
        <v>0</v>
      </c>
    </row>
    <row r="76" spans="1:11">
      <c r="A76" s="232"/>
    </row>
    <row r="77" spans="1:11">
      <c r="A77" s="232"/>
      <c r="C77" t="s">
        <v>118</v>
      </c>
    </row>
    <row r="78" spans="1:11">
      <c r="A78" s="232"/>
      <c r="D78" s="245" t="s">
        <v>121</v>
      </c>
    </row>
    <row r="80" spans="1:11">
      <c r="A80" s="232">
        <v>7</v>
      </c>
      <c r="B80" s="232" t="s">
        <v>53</v>
      </c>
      <c r="C80" s="232">
        <v>20200824</v>
      </c>
    </row>
    <row r="81" spans="1:11">
      <c r="A81" s="232"/>
      <c r="B81" s="232" t="s">
        <v>112</v>
      </c>
      <c r="C81">
        <f>SUM(G87:G88)</f>
        <v>12.9925</v>
      </c>
      <c r="D81" t="s">
        <v>113</v>
      </c>
    </row>
    <row r="82" spans="1:11">
      <c r="A82" s="232"/>
      <c r="B82" s="232" t="s">
        <v>119</v>
      </c>
      <c r="C82">
        <f>SUM(INT((WEEKDAY(F82-{2,3,4,5,6})+H82-F82)/7))</f>
        <v>7</v>
      </c>
      <c r="D82" t="s">
        <v>113</v>
      </c>
      <c r="E82" t="s">
        <v>141</v>
      </c>
      <c r="F82" s="6">
        <v>44067</v>
      </c>
      <c r="G82" s="6" t="s">
        <v>111</v>
      </c>
      <c r="H82" s="6">
        <v>44075</v>
      </c>
    </row>
    <row r="83" spans="1:11">
      <c r="A83" s="232"/>
      <c r="B83" s="232" t="s">
        <v>120</v>
      </c>
      <c r="C83">
        <f>SUM(INT((WEEKDAY(F83-{2,3,4,5,6})+H83-F83)/7))</f>
        <v>7</v>
      </c>
      <c r="D83" t="s">
        <v>113</v>
      </c>
      <c r="E83" t="s">
        <v>141</v>
      </c>
      <c r="F83" s="6">
        <v>44067</v>
      </c>
      <c r="G83" s="6" t="s">
        <v>111</v>
      </c>
      <c r="H83" s="6">
        <v>44075</v>
      </c>
    </row>
    <row r="84" spans="1:11">
      <c r="A84" s="232"/>
      <c r="B84" s="232" t="s">
        <v>17</v>
      </c>
      <c r="C84" t="str">
        <f>IF(AND(F87=E87,F88=E88),IF(SUM(H87:H88)&gt;SUM(G87:G88),"Delayed",IF(SUM(H87:H88)&lt;SUM(G87:G88),"InAdvanced","Ontime")),"N/A")</f>
        <v>InAdvanced</v>
      </c>
      <c r="F84" s="6"/>
      <c r="G84" s="6"/>
      <c r="H84" s="6"/>
    </row>
    <row r="85" spans="1:11">
      <c r="A85" s="232"/>
    </row>
    <row r="86" spans="1:11" ht="45">
      <c r="A86" s="232"/>
      <c r="C86" s="233" t="s">
        <v>25</v>
      </c>
      <c r="D86" s="233" t="s">
        <v>26</v>
      </c>
      <c r="E86" s="234" t="s">
        <v>114</v>
      </c>
      <c r="F86" s="234" t="s">
        <v>115</v>
      </c>
      <c r="G86" s="234" t="s">
        <v>116</v>
      </c>
      <c r="H86" s="234" t="s">
        <v>117</v>
      </c>
      <c r="I86" s="234" t="s">
        <v>29</v>
      </c>
      <c r="J86" s="234" t="s">
        <v>130</v>
      </c>
      <c r="K86" s="234" t="s">
        <v>139</v>
      </c>
    </row>
    <row r="87" spans="1:11">
      <c r="A87" s="232"/>
      <c r="C87" s="40">
        <v>1</v>
      </c>
      <c r="D87" s="38" t="str">
        <f>Table!$D$3</f>
        <v>PSW</v>
      </c>
      <c r="E87" s="38">
        <f>SUMIFS(Merged_COEM!$W$60:$W$317,Merged_COEM!$D$60:$D$317,D87, Merged_COEM!$C$60:$C$317,C80)</f>
        <v>5334</v>
      </c>
      <c r="F87" s="38">
        <f>SUMIFS(Merged_COEM!$X$60:$X$317,Merged_COEM!$D$60:$D$317,D87, Merged_COEM!$C$60:$C$317,C80)-SUM(SUMIFS(Merged_COEM!$X$60:$X$317,Merged_COEM!$D$60:$D$317,Table!$D$3,Merged_COEM!$AA$60:$AA$317,{"Ongoing","N/A",""},Merged_COEM!$C$60:$C$317,C80))</f>
        <v>5334</v>
      </c>
      <c r="G87" s="38">
        <f>1/8*(SUMIFS(Merged_COEM!$Y$60:$Y$317,Merged_COEM!$D$60:$D$317,D87, Merged_COEM!$C$60:$C$317,C80))</f>
        <v>11.8475</v>
      </c>
      <c r="H87" s="38">
        <f>1/8*(SUMIFS(Merged_COEM!$Z$60:$Z$317,Merged_COEM!$D$60:$D$317,D87, Merged_COEM!$C$60:$C$317,C80)-SUM(SUMIFS(Merged_COEM!$Z$60:$Z$317,Merged_COEM!$D$60:$D$317,D87,Merged_COEM!$AA$60:$AA$317,{"Ongoing","N/A",""},Merged_COEM!$C$60:$C$317,C80)))</f>
        <v>10.4925</v>
      </c>
      <c r="I87" s="61">
        <f>IFERROR(F87/E87,"N/A")</f>
        <v>1</v>
      </c>
      <c r="J87" s="3">
        <f>COUNTIFS(Merged_COEM!$AK$60:$AK$317,J86,Merged_COEM!$D$60:$D$317,D87,Merged_COEM!$C$60:$C$317,C80)</f>
        <v>2</v>
      </c>
      <c r="K87" s="3">
        <f>COUNTIFS(Merged_COEM!$AK$60:$AK$317,K86,Merged_COEM!$D$60:$D$317,D87,Merged_COEM!$C$60:$C$317,C80)</f>
        <v>0</v>
      </c>
    </row>
    <row r="88" spans="1:11">
      <c r="A88" s="232"/>
      <c r="C88" s="40">
        <v>2</v>
      </c>
      <c r="D88" s="38" t="str">
        <f>Table!$C$3</f>
        <v>ASW</v>
      </c>
      <c r="E88" s="38">
        <f>SUMIFS(Merged_COEM!$W$60:$W$317,Merged_COEM!$D$60:$D$317,D88, Merged_COEM!$C$60:$C$317,C80)</f>
        <v>149</v>
      </c>
      <c r="F88" s="38">
        <f>SUMIFS(Merged_COEM!$X$60:$X$317,Merged_COEM!$D$60:$D$317,D88, Merged_COEM!$C$60:$C$317,C80)-SUM(SUMIFS(Merged_COEM!$X$60:$X$317,Merged_COEM!$D$60:$D$317,D88,Merged_COEM!$AA$60:$AA$317,{"Ongoing","N/A",""},Merged_COEM!$C$60:$C$317,C80))</f>
        <v>149</v>
      </c>
      <c r="G88" s="38">
        <f>1/8*(SUMIFS(Merged_COEM!$Y$60:$Y$317,Merged_COEM!$D$60:$D$317,D88, Merged_COEM!$C$60:$C$317,C80))</f>
        <v>1.145</v>
      </c>
      <c r="H88" s="38">
        <f>1/8*(SUMIFS(Merged_COEM!$Z$60:$Z$317,Merged_COEM!$D$60:$D$317,D88, Merged_COEM!$C$60:$C$317,C80)-SUM(SUMIFS(Merged_COEM!$Z$60:$Z$317,Merged_COEM!$D$60:$D$317,D88,Merged_COEM!$AA$60:$AA$317,{"Ongoing","N/A",""},Merged_COEM!$C$60:$C$317,C80)))</f>
        <v>1.00125</v>
      </c>
      <c r="I88" s="61">
        <f>IFERROR(F88/E88,"N/A")</f>
        <v>1</v>
      </c>
      <c r="J88" s="3">
        <f>COUNTIFS(Merged_COEM!$AK$60:$AK$317,J86,Merged_COEM!$D$60:$D$317,D88,Merged_COEM!$C$60:$C$317,C80)</f>
        <v>1</v>
      </c>
      <c r="K88" s="3">
        <f>COUNTIFS(Merged_COEM!$AK$60:$AK$317,K86,Merged_COEM!$D$60:$D$317,D88,Merged_COEM!$C$60:$C$317,C80)</f>
        <v>0</v>
      </c>
    </row>
    <row r="89" spans="1:11">
      <c r="A89" s="232"/>
    </row>
    <row r="90" spans="1:11">
      <c r="A90" s="232"/>
      <c r="C90" t="s">
        <v>118</v>
      </c>
    </row>
    <row r="91" spans="1:11">
      <c r="A91" s="232"/>
      <c r="D91" s="245" t="s">
        <v>121</v>
      </c>
    </row>
    <row r="93" spans="1:11">
      <c r="A93" s="232">
        <v>8</v>
      </c>
      <c r="B93" s="232" t="s">
        <v>53</v>
      </c>
      <c r="C93" s="232">
        <v>20200825</v>
      </c>
    </row>
    <row r="94" spans="1:11">
      <c r="A94" s="232"/>
      <c r="B94" s="232" t="s">
        <v>112</v>
      </c>
      <c r="C94">
        <f>SUM(G100:G101)</f>
        <v>7.3775000000000004</v>
      </c>
      <c r="D94" t="s">
        <v>113</v>
      </c>
    </row>
    <row r="95" spans="1:11">
      <c r="A95" s="232"/>
      <c r="B95" s="232" t="s">
        <v>119</v>
      </c>
      <c r="C95">
        <f>SUM(INT((WEEKDAY(F95-{2,3,4,5,6})+H95-F95)/7))</f>
        <v>11</v>
      </c>
      <c r="D95" t="s">
        <v>113</v>
      </c>
      <c r="E95" t="s">
        <v>141</v>
      </c>
      <c r="F95" s="6">
        <v>44068</v>
      </c>
      <c r="G95" s="6" t="s">
        <v>111</v>
      </c>
      <c r="H95" s="6">
        <v>44082</v>
      </c>
    </row>
    <row r="96" spans="1:11">
      <c r="A96" s="232"/>
      <c r="B96" s="232" t="s">
        <v>120</v>
      </c>
      <c r="C96">
        <f>SUM(INT((WEEKDAY(F96-{2,3,4,5,6})+H96-F96)/7))</f>
        <v>11</v>
      </c>
      <c r="D96" t="s">
        <v>113</v>
      </c>
      <c r="E96" t="s">
        <v>141</v>
      </c>
      <c r="F96" s="6">
        <v>44068</v>
      </c>
      <c r="G96" s="6" t="s">
        <v>111</v>
      </c>
      <c r="H96" s="6">
        <v>44082</v>
      </c>
    </row>
    <row r="97" spans="1:11">
      <c r="A97" s="232"/>
      <c r="B97" s="232" t="s">
        <v>17</v>
      </c>
      <c r="C97" t="str">
        <f>IF(AND(F100=E100,F101=E101),IF(SUM(H100:H101)&gt;SUM(G100:G101),"Delayed",IF(SUM(H100:H101)&lt;SUM(G100:G101),"InAdvanced","Ontime")),"N/A")</f>
        <v>InAdvanced</v>
      </c>
      <c r="F97" s="6"/>
      <c r="G97" s="6"/>
      <c r="H97" s="6"/>
    </row>
    <row r="98" spans="1:11">
      <c r="A98" s="232"/>
    </row>
    <row r="99" spans="1:11" ht="45">
      <c r="A99" s="232"/>
      <c r="C99" s="233" t="s">
        <v>25</v>
      </c>
      <c r="D99" s="233" t="s">
        <v>26</v>
      </c>
      <c r="E99" s="234" t="s">
        <v>114</v>
      </c>
      <c r="F99" s="234" t="s">
        <v>115</v>
      </c>
      <c r="G99" s="234" t="s">
        <v>116</v>
      </c>
      <c r="H99" s="234" t="s">
        <v>117</v>
      </c>
      <c r="I99" s="234" t="s">
        <v>29</v>
      </c>
      <c r="J99" s="234" t="s">
        <v>130</v>
      </c>
      <c r="K99" s="234" t="s">
        <v>139</v>
      </c>
    </row>
    <row r="100" spans="1:11">
      <c r="A100" s="232"/>
      <c r="C100" s="40">
        <v>1</v>
      </c>
      <c r="D100" s="38" t="str">
        <f>Table!$D$3</f>
        <v>PSW</v>
      </c>
      <c r="E100" s="38">
        <f>SUMIFS(Merged_COEM!$W$60:$W$317,Merged_COEM!$D$60:$D$317,D100, Merged_COEM!$C$60:$C$317,C93)</f>
        <v>3323</v>
      </c>
      <c r="F100" s="38">
        <f>SUMIFS(Merged_COEM!$X$60:$X$317,Merged_COEM!$D$60:$D$317,D100, Merged_COEM!$C$60:$C$317,C93)-SUM(SUMIFS(Merged_COEM!$X$60:$X$317,Merged_COEM!$D$60:$D$317,Table!$D$3,Merged_COEM!$AA$60:$AA$317,{"Ongoing","N/A",""},Merged_COEM!$C$60:$C$317,C93))</f>
        <v>3323</v>
      </c>
      <c r="G100" s="38">
        <f>1/8*(SUMIFS(Merged_COEM!$Y$60:$Y$317,Merged_COEM!$D$60:$D$317,D100, Merged_COEM!$C$60:$C$317,C93))</f>
        <v>7.3775000000000004</v>
      </c>
      <c r="H100" s="38">
        <f>1/8*(SUMIFS(Merged_COEM!$Z$60:$Z$317,Merged_COEM!$D$60:$D$317,D100, Merged_COEM!$C$60:$C$317,C93)-SUM(SUMIFS(Merged_COEM!$Z$60:$Z$317,Merged_COEM!$D$60:$D$317,D100,Merged_COEM!$AA$60:$AA$317,{"Ongoing","N/A",""},Merged_COEM!$C$60:$C$317,C93)))</f>
        <v>4.6750000000000007</v>
      </c>
      <c r="I100" s="61">
        <f>IFERROR(F100/E100,"N/A")</f>
        <v>1</v>
      </c>
      <c r="J100" s="3">
        <f>COUNTIFS(Merged_COEM!$AK$60:$AK$317,J99,Merged_COEM!$D$60:$D$317,D100,Merged_COEM!$C$60:$C$317,C93)</f>
        <v>0</v>
      </c>
      <c r="K100" s="3">
        <f>COUNTIFS(Merged_COEM!$AK$60:$AK$317,K99,Merged_COEM!$D$60:$D$317,D100,Merged_COEM!$C$60:$C$317,C93)</f>
        <v>0</v>
      </c>
    </row>
    <row r="101" spans="1:11">
      <c r="A101" s="232"/>
      <c r="C101" s="40">
        <v>2</v>
      </c>
      <c r="D101" s="38" t="str">
        <f>Table!$C$3</f>
        <v>ASW</v>
      </c>
      <c r="E101" s="38">
        <f>SUMIFS(Merged_COEM!$W$60:$W$317,Merged_COEM!$D$60:$D$317,D101, Merged_COEM!$C$60:$C$317,C93)</f>
        <v>0</v>
      </c>
      <c r="F101" s="38">
        <f>SUMIFS(Merged_COEM!$X$60:$X$317,Merged_COEM!$D$60:$D$317,D101, Merged_COEM!$C$60:$C$317,C93)-SUM(SUMIFS(Merged_COEM!$X$60:$X$317,Merged_COEM!$D$60:$D$317,D101,Merged_COEM!$AA$60:$AA$317,{"Ongoing","N/A",""},Merged_COEM!$C$60:$C$317,C93))</f>
        <v>0</v>
      </c>
      <c r="G101" s="38">
        <f>1/8*(SUMIFS(Merged_COEM!$Y$60:$Y$317,Merged_COEM!$D$60:$D$317,D101, Merged_COEM!$C$60:$C$317,C93))</f>
        <v>0</v>
      </c>
      <c r="H101" s="38">
        <f>1/8*(SUMIFS(Merged_COEM!$Z$60:$Z$317,Merged_COEM!$D$60:$D$317,D101, Merged_COEM!$C$60:$C$317,C93)-SUM(SUMIFS(Merged_COEM!$Z$60:$Z$317,Merged_COEM!$D$60:$D$317,D101,Merged_COEM!$AA$60:$AA$317,{"Ongoing","N/A",""},Merged_COEM!$C$60:$C$317,C93)))</f>
        <v>0</v>
      </c>
      <c r="I101" s="61" t="str">
        <f>IFERROR(F101/E101,"N/A")</f>
        <v>N/A</v>
      </c>
      <c r="J101" s="3">
        <f>COUNTIFS(Merged_COEM!$AK$60:$AK$317,J99,Merged_COEM!$D$60:$D$317,D101,Merged_COEM!$C$60:$C$317,C93)</f>
        <v>0</v>
      </c>
      <c r="K101" s="3">
        <f>COUNTIFS(Merged_COEM!$AK$60:$AK$317,K99,Merged_COEM!$D$60:$D$317,D101,Merged_COEM!$C$60:$C$317,C93)</f>
        <v>0</v>
      </c>
    </row>
    <row r="102" spans="1:11">
      <c r="A102" s="232"/>
    </row>
    <row r="103" spans="1:11">
      <c r="A103" s="232"/>
      <c r="C103" t="s">
        <v>118</v>
      </c>
    </row>
    <row r="104" spans="1:11">
      <c r="A104" s="232"/>
      <c r="D104" s="245" t="s">
        <v>121</v>
      </c>
    </row>
    <row r="106" spans="1:11">
      <c r="A106" s="232">
        <v>9</v>
      </c>
      <c r="B106" s="232" t="s">
        <v>53</v>
      </c>
      <c r="C106" s="232">
        <v>20200826</v>
      </c>
    </row>
    <row r="107" spans="1:11">
      <c r="A107" s="232"/>
      <c r="B107" s="232" t="s">
        <v>112</v>
      </c>
      <c r="C107">
        <f>SUM(G113:G114)</f>
        <v>1.7625</v>
      </c>
      <c r="D107" t="s">
        <v>113</v>
      </c>
    </row>
    <row r="108" spans="1:11">
      <c r="A108" s="232"/>
      <c r="B108" s="232" t="s">
        <v>119</v>
      </c>
      <c r="C108">
        <f>SUM(INT((WEEKDAY(F108-{2,3,4,5,6})+H108-F108)/7))</f>
        <v>2</v>
      </c>
      <c r="D108" t="s">
        <v>113</v>
      </c>
      <c r="E108" t="s">
        <v>141</v>
      </c>
      <c r="F108" s="6">
        <v>44069</v>
      </c>
      <c r="G108" s="6" t="s">
        <v>111</v>
      </c>
      <c r="H108" s="6">
        <v>44070</v>
      </c>
    </row>
    <row r="109" spans="1:11">
      <c r="A109" s="232"/>
      <c r="B109" s="232" t="s">
        <v>120</v>
      </c>
      <c r="C109">
        <f>SUM(INT((WEEKDAY(F109-{2,3,4,5,6})+H109-F109)/7))</f>
        <v>2</v>
      </c>
      <c r="D109" t="s">
        <v>113</v>
      </c>
      <c r="E109" t="s">
        <v>141</v>
      </c>
      <c r="F109" s="6">
        <v>44069</v>
      </c>
      <c r="G109" s="6" t="s">
        <v>111</v>
      </c>
      <c r="H109" s="6">
        <v>44070</v>
      </c>
    </row>
    <row r="110" spans="1:11">
      <c r="A110" s="232"/>
      <c r="B110" s="232" t="s">
        <v>17</v>
      </c>
      <c r="C110" t="str">
        <f>IF(AND(F113=E113,F114=E114),IF(SUM(H113:H114)&gt;SUM(G113:G114),"Delayed",IF(SUM(H113:H114)&lt;SUM(G113:G114),"InAdvanced","Ontime")),"N/A")</f>
        <v>Delayed</v>
      </c>
      <c r="F110" s="6"/>
      <c r="G110" s="6"/>
      <c r="H110" s="6"/>
    </row>
    <row r="111" spans="1:11">
      <c r="A111" s="232"/>
    </row>
    <row r="112" spans="1:11" ht="45">
      <c r="A112" s="232"/>
      <c r="C112" s="233" t="s">
        <v>25</v>
      </c>
      <c r="D112" s="233" t="s">
        <v>26</v>
      </c>
      <c r="E112" s="234" t="s">
        <v>114</v>
      </c>
      <c r="F112" s="234" t="s">
        <v>115</v>
      </c>
      <c r="G112" s="234" t="s">
        <v>116</v>
      </c>
      <c r="H112" s="234" t="s">
        <v>117</v>
      </c>
      <c r="I112" s="234" t="s">
        <v>29</v>
      </c>
      <c r="J112" s="234" t="s">
        <v>130</v>
      </c>
      <c r="K112" s="234" t="s">
        <v>139</v>
      </c>
    </row>
    <row r="113" spans="1:11">
      <c r="A113" s="232"/>
      <c r="C113" s="40">
        <v>1</v>
      </c>
      <c r="D113" s="38" t="str">
        <f>Table!$D$3</f>
        <v>PSW</v>
      </c>
      <c r="E113" s="38">
        <f>SUMIFS(Merged_COEM!$W$60:$W$317,Merged_COEM!$D$60:$D$317,D113, Merged_COEM!$C$60:$C$317,C106)</f>
        <v>794</v>
      </c>
      <c r="F113" s="38">
        <f>SUMIFS(Merged_COEM!$X$60:$X$317,Merged_COEM!$D$60:$D$317,D113, Merged_COEM!$C$60:$C$317,C106)-SUM(SUMIFS(Merged_COEM!$X$60:$X$317,Merged_COEM!$D$60:$D$317,Table!$D$3,Merged_COEM!$AA$60:$AA$317,{"Ongoing","N/A",""},Merged_COEM!$C$60:$C$317,C106))</f>
        <v>794</v>
      </c>
      <c r="G113" s="38">
        <f>1/8*(SUMIFS(Merged_COEM!$Y$60:$Y$317,Merged_COEM!$D$60:$D$317,D113, Merged_COEM!$C$60:$C$317,C106))</f>
        <v>1.7625</v>
      </c>
      <c r="H113" s="38">
        <f>1/8*(SUMIFS(Merged_COEM!$Z$60:$Z$317,Merged_COEM!$D$60:$D$317,D113, Merged_COEM!$C$60:$C$317,C106)-SUM(SUMIFS(Merged_COEM!$Z$60:$Z$317,Merged_COEM!$D$60:$D$317,D113,Merged_COEM!$AA$60:$AA$317,{"Ongoing","N/A",""},Merged_COEM!$C$60:$C$317,C106)))</f>
        <v>1.885</v>
      </c>
      <c r="I113" s="61">
        <f>IFERROR(F113/E113,"N/A")</f>
        <v>1</v>
      </c>
      <c r="J113" s="3">
        <f>COUNTIFS(Merged_COEM!$AK$60:$AK$317,J112,Merged_COEM!$D$60:$D$317,D113,Merged_COEM!$C$60:$C$317,C106)</f>
        <v>0</v>
      </c>
      <c r="K113" s="3">
        <f>COUNTIFS(Merged_COEM!$AK$60:$AK$317,K112,Merged_COEM!$D$60:$D$317,D113,Merged_COEM!$C$60:$C$317,C106)</f>
        <v>0</v>
      </c>
    </row>
    <row r="114" spans="1:11">
      <c r="A114" s="232"/>
      <c r="C114" s="40">
        <v>2</v>
      </c>
      <c r="D114" s="38" t="str">
        <f>Table!$C$3</f>
        <v>ASW</v>
      </c>
      <c r="E114" s="38">
        <f>SUMIFS(Merged_COEM!$W$60:$W$317,Merged_COEM!$D$60:$D$317,D114, Merged_COEM!$C$60:$C$317,C106)</f>
        <v>0</v>
      </c>
      <c r="F114" s="38">
        <f>SUMIFS(Merged_COEM!$X$60:$X$317,Merged_COEM!$D$60:$D$317,D114, Merged_COEM!$C$60:$C$317,C106)-SUM(SUMIFS(Merged_COEM!$X$60:$X$317,Merged_COEM!$D$60:$D$317,D114,Merged_COEM!$AA$60:$AA$317,{"Ongoing","N/A",""},Merged_COEM!$C$60:$C$317,C106))</f>
        <v>0</v>
      </c>
      <c r="G114" s="38">
        <f>1/8*(SUMIFS(Merged_COEM!$Y$60:$Y$317,Merged_COEM!$D$60:$D$317,D114, Merged_COEM!$C$60:$C$317,C106))</f>
        <v>0</v>
      </c>
      <c r="H114" s="38">
        <f>1/8*(SUMIFS(Merged_COEM!$Z$60:$Z$317,Merged_COEM!$D$60:$D$317,D114, Merged_COEM!$C$60:$C$317,C106)-SUM(SUMIFS(Merged_COEM!$Z$60:$Z$317,Merged_COEM!$D$60:$D$317,D114,Merged_COEM!$AA$60:$AA$317,{"Ongoing","N/A",""},Merged_COEM!$C$60:$C$317,C106)))</f>
        <v>0</v>
      </c>
      <c r="I114" s="61" t="str">
        <f>IFERROR(F114/E114,"N/A")</f>
        <v>N/A</v>
      </c>
      <c r="J114" s="3">
        <f>COUNTIFS(Merged_COEM!$AK$60:$AK$317,J112,Merged_COEM!$D$60:$D$317,D114,Merged_COEM!$C$60:$C$317,C106)</f>
        <v>0</v>
      </c>
      <c r="K114" s="3">
        <f>COUNTIFS(Merged_COEM!$AK$60:$AK$317,K112,Merged_COEM!$D$60:$D$317,D114,Merged_COEM!$C$60:$C$317,C106)</f>
        <v>0</v>
      </c>
    </row>
    <row r="115" spans="1:11">
      <c r="A115" s="232"/>
    </row>
    <row r="116" spans="1:11">
      <c r="A116" s="232"/>
      <c r="C116" t="s">
        <v>118</v>
      </c>
    </row>
    <row r="117" spans="1:11">
      <c r="A117" s="232"/>
      <c r="D117" s="245" t="s">
        <v>121</v>
      </c>
    </row>
    <row r="119" spans="1:11">
      <c r="A119" s="232">
        <v>10</v>
      </c>
      <c r="B119" s="232" t="s">
        <v>53</v>
      </c>
      <c r="C119" s="232">
        <v>20200827</v>
      </c>
    </row>
    <row r="120" spans="1:11">
      <c r="A120" s="232"/>
      <c r="B120" s="232" t="s">
        <v>112</v>
      </c>
      <c r="C120">
        <f>SUM(G126:G127)</f>
        <v>6.8724999999999996</v>
      </c>
      <c r="D120" t="s">
        <v>113</v>
      </c>
    </row>
    <row r="121" spans="1:11">
      <c r="A121" s="232"/>
      <c r="B121" s="232" t="s">
        <v>119</v>
      </c>
      <c r="C121">
        <f>SUM(INT((WEEKDAY(F121-{2,3,4,5,6})+H121-F121)/7))</f>
        <v>4</v>
      </c>
      <c r="D121" t="s">
        <v>113</v>
      </c>
      <c r="E121" t="s">
        <v>141</v>
      </c>
      <c r="F121" s="6">
        <v>44070</v>
      </c>
      <c r="G121" s="6" t="s">
        <v>111</v>
      </c>
      <c r="H121" s="6">
        <v>44075</v>
      </c>
    </row>
    <row r="122" spans="1:11">
      <c r="A122" s="232"/>
      <c r="B122" s="232" t="s">
        <v>120</v>
      </c>
      <c r="C122">
        <f>SUM(INT((WEEKDAY(F122-{2,3,4,5,6})+H122-F122)/7))</f>
        <v>4</v>
      </c>
      <c r="D122" t="s">
        <v>113</v>
      </c>
      <c r="E122" t="s">
        <v>141</v>
      </c>
      <c r="F122" s="6">
        <v>44070</v>
      </c>
      <c r="G122" s="6" t="s">
        <v>111</v>
      </c>
      <c r="H122" s="6">
        <v>44075</v>
      </c>
    </row>
    <row r="123" spans="1:11">
      <c r="A123" s="232"/>
      <c r="B123" s="232" t="s">
        <v>17</v>
      </c>
      <c r="C123" t="str">
        <f>IF(AND(F126=E126,F127=E127),IF(SUM(H126:H127)&gt;SUM(G126:G127),"Delayed",IF(SUM(H126:H127)&lt;SUM(G126:G127),"InAdvanced","Ontime")),"N/A")</f>
        <v>Delayed</v>
      </c>
      <c r="F123" s="6"/>
      <c r="G123" s="6"/>
      <c r="H123" s="6"/>
    </row>
    <row r="124" spans="1:11">
      <c r="A124" s="232"/>
    </row>
    <row r="125" spans="1:11" ht="45">
      <c r="A125" s="232"/>
      <c r="C125" s="233" t="s">
        <v>25</v>
      </c>
      <c r="D125" s="233" t="s">
        <v>26</v>
      </c>
      <c r="E125" s="234" t="s">
        <v>114</v>
      </c>
      <c r="F125" s="234" t="s">
        <v>115</v>
      </c>
      <c r="G125" s="234" t="s">
        <v>116</v>
      </c>
      <c r="H125" s="234" t="s">
        <v>117</v>
      </c>
      <c r="I125" s="234" t="s">
        <v>29</v>
      </c>
      <c r="J125" s="234" t="s">
        <v>130</v>
      </c>
      <c r="K125" s="234" t="s">
        <v>139</v>
      </c>
    </row>
    <row r="126" spans="1:11">
      <c r="A126" s="232"/>
      <c r="C126" s="40">
        <v>1</v>
      </c>
      <c r="D126" s="38" t="str">
        <f>Table!$D$3</f>
        <v>PSW</v>
      </c>
      <c r="E126" s="38">
        <f>SUMIFS(Merged_COEM!$W$60:$W$317,Merged_COEM!$D$60:$D$317,D126, Merged_COEM!$C$60:$C$317,C119)</f>
        <v>2788</v>
      </c>
      <c r="F126" s="38">
        <f>SUMIFS(Merged_COEM!$X$60:$X$317,Merged_COEM!$D$60:$D$317,D126, Merged_COEM!$C$60:$C$317,C119)-SUM(SUMIFS(Merged_COEM!$X$60:$X$317,Merged_COEM!$D$60:$D$317,Table!$D$3,Merged_COEM!$AA$60:$AA$317,{"Ongoing","N/A",""},Merged_COEM!$C$60:$C$317,C119))</f>
        <v>2788</v>
      </c>
      <c r="G126" s="38">
        <f>1/8*(SUMIFS(Merged_COEM!$Y$60:$Y$317,Merged_COEM!$D$60:$D$317,D126, Merged_COEM!$C$60:$C$317,C119))</f>
        <v>6.1899999999999995</v>
      </c>
      <c r="H126" s="38">
        <f>1/8*(SUMIFS(Merged_COEM!$Z$60:$Z$317,Merged_COEM!$D$60:$D$317,D126, Merged_COEM!$C$60:$C$317,C119)-SUM(SUMIFS(Merged_COEM!$Z$60:$Z$317,Merged_COEM!$D$60:$D$317,D126,Merged_COEM!$AA$60:$AA$317,{"Ongoing","N/A",""},Merged_COEM!$C$60:$C$317,C119)))</f>
        <v>6.6287500000000001</v>
      </c>
      <c r="I126" s="61">
        <f>IFERROR(F126/E126,"N/A")</f>
        <v>1</v>
      </c>
      <c r="J126" s="3">
        <f>COUNTIFS(Merged_COEM!$AK$60:$AK$317,J125,Merged_COEM!$D$60:$D$317,D126,Merged_COEM!$C$60:$C$317,C119)</f>
        <v>5</v>
      </c>
      <c r="K126" s="3">
        <f>COUNTIFS(Merged_COEM!$AK$60:$AK$317,K125,Merged_COEM!$D$60:$D$317,D126,Merged_COEM!$C$60:$C$317,C119)</f>
        <v>0</v>
      </c>
    </row>
    <row r="127" spans="1:11">
      <c r="A127" s="232"/>
      <c r="C127" s="40">
        <v>2</v>
      </c>
      <c r="D127" s="38" t="str">
        <f>Table!$C$3</f>
        <v>ASW</v>
      </c>
      <c r="E127" s="38">
        <f>SUMIFS(Merged_COEM!$W$60:$W$317,Merged_COEM!$D$60:$D$317,D127, Merged_COEM!$C$60:$C$317,C119)</f>
        <v>89</v>
      </c>
      <c r="F127" s="38">
        <f>SUMIFS(Merged_COEM!$X$60:$X$317,Merged_COEM!$D$60:$D$317,D127, Merged_COEM!$C$60:$C$317,C119)-SUM(SUMIFS(Merged_COEM!$X$60:$X$317,Merged_COEM!$D$60:$D$317,D127,Merged_COEM!$AA$60:$AA$317,{"Ongoing","N/A",""},Merged_COEM!$C$60:$C$317,C119))</f>
        <v>89</v>
      </c>
      <c r="G127" s="38">
        <f>1/8*(SUMIFS(Merged_COEM!$Y$60:$Y$317,Merged_COEM!$D$60:$D$317,D127, Merged_COEM!$C$60:$C$317,C119))</f>
        <v>0.6825</v>
      </c>
      <c r="H127" s="38">
        <f>1/8*(SUMIFS(Merged_COEM!$Z$60:$Z$317,Merged_COEM!$D$60:$D$317,D127, Merged_COEM!$C$60:$C$317,C119)-SUM(SUMIFS(Merged_COEM!$Z$60:$Z$317,Merged_COEM!$D$60:$D$317,D127,Merged_COEM!$AA$60:$AA$317,{"Ongoing","N/A",""},Merged_COEM!$C$60:$C$317,C119)))</f>
        <v>0.74124999999999996</v>
      </c>
      <c r="I127" s="61">
        <f>IFERROR(F127/E127,"N/A")</f>
        <v>1</v>
      </c>
      <c r="J127" s="3">
        <f>COUNTIFS(Merged_COEM!$AK$60:$AK$317,J125,Merged_COEM!$D$60:$D$317,D127,Merged_COEM!$C$60:$C$317,C119)</f>
        <v>0</v>
      </c>
      <c r="K127" s="3">
        <f>COUNTIFS(Merged_COEM!$AK$60:$AK$317,K125,Merged_COEM!$D$60:$D$317,D127,Merged_COEM!$C$60:$C$317,C119)</f>
        <v>0</v>
      </c>
    </row>
    <row r="128" spans="1:11">
      <c r="A128" s="232"/>
    </row>
    <row r="129" spans="1:11">
      <c r="A129" s="232"/>
      <c r="C129" t="s">
        <v>118</v>
      </c>
    </row>
    <row r="130" spans="1:11">
      <c r="A130" s="232"/>
      <c r="D130" s="245" t="s">
        <v>121</v>
      </c>
    </row>
    <row r="132" spans="1:11">
      <c r="A132" s="232">
        <v>11</v>
      </c>
      <c r="B132" s="232" t="s">
        <v>53</v>
      </c>
      <c r="C132" s="232">
        <v>20200831</v>
      </c>
    </row>
    <row r="133" spans="1:11">
      <c r="A133" s="232"/>
      <c r="B133" s="232" t="s">
        <v>112</v>
      </c>
      <c r="C133">
        <f>SUM(G139:G140)</f>
        <v>7.8125000000000009</v>
      </c>
      <c r="D133" t="s">
        <v>113</v>
      </c>
    </row>
    <row r="134" spans="1:11">
      <c r="A134" s="232"/>
      <c r="B134" s="232" t="s">
        <v>119</v>
      </c>
      <c r="C134">
        <f>SUM(INT((WEEKDAY(F134-{2,3,4,5,6})+H134-F134)/7))</f>
        <v>6</v>
      </c>
      <c r="D134" t="s">
        <v>113</v>
      </c>
      <c r="E134" t="s">
        <v>141</v>
      </c>
      <c r="F134" s="6">
        <v>44074</v>
      </c>
      <c r="G134" s="6" t="s">
        <v>111</v>
      </c>
      <c r="H134" s="6">
        <v>44081</v>
      </c>
    </row>
    <row r="135" spans="1:11">
      <c r="A135" s="232"/>
      <c r="B135" s="232" t="s">
        <v>120</v>
      </c>
      <c r="C135">
        <f>SUM(INT((WEEKDAY(F135-{2,3,4,5,6})+H135-F135)/7))</f>
        <v>6</v>
      </c>
      <c r="D135" t="s">
        <v>113</v>
      </c>
      <c r="E135" t="s">
        <v>141</v>
      </c>
      <c r="F135" s="6">
        <v>44074</v>
      </c>
      <c r="G135" s="6" t="s">
        <v>111</v>
      </c>
      <c r="H135" s="6">
        <v>44081</v>
      </c>
    </row>
    <row r="136" spans="1:11">
      <c r="A136" s="232"/>
      <c r="B136" s="232" t="s">
        <v>17</v>
      </c>
      <c r="C136" t="str">
        <f>IF(AND(F139=E139,F140=E140),IF(SUM(H139:H140)&gt;SUM(G139:G140),"Delayed",IF(SUM(H139:H140)&lt;SUM(G139:G140),"InAdvanced","Ontime")),"N/A")</f>
        <v>InAdvanced</v>
      </c>
      <c r="F136" s="6"/>
      <c r="G136" s="6"/>
      <c r="H136" s="6"/>
    </row>
    <row r="137" spans="1:11">
      <c r="A137" s="232"/>
    </row>
    <row r="138" spans="1:11" ht="45">
      <c r="A138" s="232"/>
      <c r="C138" s="233" t="s">
        <v>25</v>
      </c>
      <c r="D138" s="233" t="s">
        <v>26</v>
      </c>
      <c r="E138" s="234" t="s">
        <v>114</v>
      </c>
      <c r="F138" s="234" t="s">
        <v>115</v>
      </c>
      <c r="G138" s="234" t="s">
        <v>116</v>
      </c>
      <c r="H138" s="234" t="s">
        <v>117</v>
      </c>
      <c r="I138" s="234" t="s">
        <v>29</v>
      </c>
      <c r="J138" s="234" t="s">
        <v>130</v>
      </c>
      <c r="K138" s="234" t="s">
        <v>139</v>
      </c>
    </row>
    <row r="139" spans="1:11">
      <c r="A139" s="232"/>
      <c r="C139" s="40">
        <v>1</v>
      </c>
      <c r="D139" s="38" t="str">
        <f>Table!$D$3</f>
        <v>PSW</v>
      </c>
      <c r="E139" s="38">
        <f>SUMIFS(Merged_COEM!$W$60:$W$317,Merged_COEM!$D$60:$D$317,D139, Merged_COEM!$C$60:$C$317,C132)</f>
        <v>3329</v>
      </c>
      <c r="F139" s="38">
        <f>SUMIFS(Merged_COEM!$X$60:$X$317,Merged_COEM!$D$60:$D$317,D139, Merged_COEM!$C$60:$C$317,C132)-SUM(SUMIFS(Merged_COEM!$X$60:$X$317,Merged_COEM!$D$60:$D$317,Table!$D$3,Merged_COEM!$AA$60:$AA$317,{"Ongoing","N/A",""},Merged_COEM!$C$60:$C$317,C132))</f>
        <v>3329</v>
      </c>
      <c r="G139" s="38">
        <f>1/8*(SUMIFS(Merged_COEM!$Y$60:$Y$317,Merged_COEM!$D$60:$D$317,D139, Merged_COEM!$C$60:$C$317,C132))</f>
        <v>7.3900000000000006</v>
      </c>
      <c r="H139" s="38">
        <f>1/8*(SUMIFS(Merged_COEM!$Z$60:$Z$317,Merged_COEM!$D$60:$D$317,D139, Merged_COEM!$C$60:$C$317,C132)-SUM(SUMIFS(Merged_COEM!$Z$60:$Z$317,Merged_COEM!$D$60:$D$317,D139,Merged_COEM!$AA$60:$AA$317,{"Ongoing","N/A",""},Merged_COEM!$C$60:$C$317,C132)))</f>
        <v>6.21</v>
      </c>
      <c r="I139" s="61">
        <f>IFERROR(F139/E139,"N/A")</f>
        <v>1</v>
      </c>
      <c r="J139" s="3">
        <f>COUNTIFS(Merged_COEM!$AK$60:$AK$317,J138,Merged_COEM!$D$60:$D$317,D139,Merged_COEM!$C$60:$C$317,C132)</f>
        <v>0</v>
      </c>
      <c r="K139" s="3">
        <f>COUNTIFS(Merged_COEM!$AK$60:$AK$317,K138,Merged_COEM!$D$60:$D$317,D139,Merged_COEM!$C$60:$C$317,C132)</f>
        <v>0</v>
      </c>
    </row>
    <row r="140" spans="1:11">
      <c r="A140" s="232"/>
      <c r="C140" s="40">
        <v>2</v>
      </c>
      <c r="D140" s="38" t="str">
        <f>Table!$C$3</f>
        <v>ASW</v>
      </c>
      <c r="E140" s="38">
        <f>SUMIFS(Merged_COEM!$W$60:$W$317,Merged_COEM!$D$60:$D$317,D140, Merged_COEM!$C$60:$C$317,C132)</f>
        <v>55</v>
      </c>
      <c r="F140" s="38">
        <f>SUMIFS(Merged_COEM!$X$60:$X$317,Merged_COEM!$D$60:$D$317,D140, Merged_COEM!$C$60:$C$317,C132)-SUM(SUMIFS(Merged_COEM!$X$60:$X$317,Merged_COEM!$D$60:$D$317,D140,Merged_COEM!$AA$60:$AA$317,{"Ongoing","N/A",""},Merged_COEM!$C$60:$C$317,C132))</f>
        <v>55</v>
      </c>
      <c r="G140" s="38">
        <f>1/8*(SUMIFS(Merged_COEM!$Y$60:$Y$317,Merged_COEM!$D$60:$D$317,D140, Merged_COEM!$C$60:$C$317,C132))</f>
        <v>0.42249999999999999</v>
      </c>
      <c r="H140" s="38">
        <f>1/8*(SUMIFS(Merged_COEM!$Z$60:$Z$317,Merged_COEM!$D$60:$D$317,D140, Merged_COEM!$C$60:$C$317,C132)-SUM(SUMIFS(Merged_COEM!$Z$60:$Z$317,Merged_COEM!$D$60:$D$317,D140,Merged_COEM!$AA$60:$AA$317,{"Ongoing","N/A",""},Merged_COEM!$C$60:$C$317,C132)))</f>
        <v>0.375</v>
      </c>
      <c r="I140" s="61">
        <f>IFERROR(F140/E140,"N/A")</f>
        <v>1</v>
      </c>
      <c r="J140" s="3">
        <f>COUNTIFS(Merged_COEM!$AK$60:$AK$317,J138,Merged_COEM!$D$60:$D$317,D140,Merged_COEM!$C$60:$C$317,C132)</f>
        <v>1</v>
      </c>
      <c r="K140" s="3">
        <f>COUNTIFS(Merged_COEM!$AK$60:$AK$317,K138,Merged_COEM!$D$60:$D$317,D140,Merged_COEM!$C$60:$C$317,C132)</f>
        <v>0</v>
      </c>
    </row>
    <row r="141" spans="1:11">
      <c r="A141" s="232"/>
    </row>
    <row r="142" spans="1:11">
      <c r="A142" s="232"/>
      <c r="C142" t="s">
        <v>118</v>
      </c>
    </row>
    <row r="143" spans="1:11">
      <c r="A143" s="232"/>
      <c r="D143" s="245" t="s">
        <v>121</v>
      </c>
    </row>
    <row r="145" spans="1:11">
      <c r="A145" s="232">
        <v>12</v>
      </c>
      <c r="B145" s="232" t="s">
        <v>53</v>
      </c>
      <c r="C145" s="232">
        <v>20200901</v>
      </c>
    </row>
    <row r="146" spans="1:11">
      <c r="A146" s="232"/>
      <c r="B146" s="232" t="s">
        <v>112</v>
      </c>
      <c r="C146">
        <f>SUM(G152:G153)</f>
        <v>4.4550000000000001</v>
      </c>
      <c r="D146" t="s">
        <v>113</v>
      </c>
    </row>
    <row r="147" spans="1:11">
      <c r="A147" s="232"/>
      <c r="B147" s="232" t="s">
        <v>119</v>
      </c>
      <c r="C147">
        <f>SUM(INT((WEEKDAY(F147-{2,3,4,5,6})+H147-F147)/7))</f>
        <v>8</v>
      </c>
      <c r="D147" t="s">
        <v>113</v>
      </c>
      <c r="E147" t="s">
        <v>141</v>
      </c>
      <c r="F147" s="6">
        <v>44075</v>
      </c>
      <c r="G147" s="6" t="s">
        <v>111</v>
      </c>
      <c r="H147" s="6">
        <v>44084</v>
      </c>
    </row>
    <row r="148" spans="1:11">
      <c r="A148" s="232"/>
      <c r="B148" s="232" t="s">
        <v>120</v>
      </c>
      <c r="C148">
        <f>SUM(INT((WEEKDAY(F148-{2,3,4,5,6})+H148-F148)/7))</f>
        <v>8</v>
      </c>
      <c r="D148" t="s">
        <v>113</v>
      </c>
      <c r="E148" t="s">
        <v>141</v>
      </c>
      <c r="F148" s="6">
        <v>44075</v>
      </c>
      <c r="G148" s="6" t="s">
        <v>111</v>
      </c>
      <c r="H148" s="6">
        <v>44084</v>
      </c>
    </row>
    <row r="149" spans="1:11">
      <c r="A149" s="232"/>
      <c r="B149" s="232" t="s">
        <v>17</v>
      </c>
      <c r="C149" t="str">
        <f>IF(AND(F152=E152,F153=E153),IF(SUM(H152:H153)&gt;SUM(G152:G153),"Delayed",IF(SUM(H152:H153)&lt;SUM(G152:G153),"InAdvanced","Ontime")),"N/A")</f>
        <v>InAdvanced</v>
      </c>
      <c r="F149" s="6"/>
      <c r="G149" s="6"/>
      <c r="H149" s="6"/>
    </row>
    <row r="150" spans="1:11">
      <c r="A150" s="232"/>
    </row>
    <row r="151" spans="1:11" ht="45">
      <c r="A151" s="232"/>
      <c r="C151" s="233" t="s">
        <v>25</v>
      </c>
      <c r="D151" s="233" t="s">
        <v>26</v>
      </c>
      <c r="E151" s="234" t="s">
        <v>114</v>
      </c>
      <c r="F151" s="234" t="s">
        <v>115</v>
      </c>
      <c r="G151" s="234" t="s">
        <v>116</v>
      </c>
      <c r="H151" s="234" t="s">
        <v>117</v>
      </c>
      <c r="I151" s="234" t="s">
        <v>29</v>
      </c>
      <c r="J151" s="234" t="s">
        <v>130</v>
      </c>
      <c r="K151" s="234" t="s">
        <v>139</v>
      </c>
    </row>
    <row r="152" spans="1:11">
      <c r="A152" s="232"/>
      <c r="C152" s="40">
        <v>1</v>
      </c>
      <c r="D152" s="38" t="str">
        <f>Table!$D$3</f>
        <v>PSW</v>
      </c>
      <c r="E152" s="38">
        <f>SUMIFS(Merged_COEM!$W$60:$W$317,Merged_COEM!$D$60:$D$317,D152, Merged_COEM!$C$60:$C$317,C145)</f>
        <v>684</v>
      </c>
      <c r="F152" s="38">
        <f>SUMIFS(Merged_COEM!$X$60:$X$317,Merged_COEM!$D$60:$D$317,D152, Merged_COEM!$C$60:$C$317,C145)-SUM(SUMIFS(Merged_COEM!$X$60:$X$317,Merged_COEM!$D$60:$D$317,Table!$D$3,Merged_COEM!$AA$60:$AA$317,{"Ongoing","N/A",""},Merged_COEM!$C$60:$C$317,C145))</f>
        <v>684</v>
      </c>
      <c r="G152" s="38">
        <f>1/8*(SUMIFS(Merged_COEM!$Y$60:$Y$317,Merged_COEM!$D$60:$D$317,D152, Merged_COEM!$C$60:$C$317,C145))</f>
        <v>1.5175000000000001</v>
      </c>
      <c r="H152" s="38">
        <f>1/8*(SUMIFS(Merged_COEM!$Z$60:$Z$317,Merged_COEM!$D$60:$D$317,D152, Merged_COEM!$C$60:$C$317,C145)-SUM(SUMIFS(Merged_COEM!$Z$60:$Z$317,Merged_COEM!$D$60:$D$317,D152,Merged_COEM!$AA$60:$AA$317,{"Ongoing","N/A",""},Merged_COEM!$C$60:$C$317,C145)))</f>
        <v>1.625</v>
      </c>
      <c r="I152" s="61">
        <f>IFERROR(F152/E152,"N/A")</f>
        <v>1</v>
      </c>
      <c r="J152" s="3">
        <f>COUNTIFS(Merged_COEM!$AK$60:$AK$317,J151,Merged_COEM!$D$60:$D$317,D152,Merged_COEM!$C$60:$C$317,C145)</f>
        <v>0</v>
      </c>
      <c r="K152" s="3">
        <f>COUNTIFS(Merged_COEM!$AK$60:$AK$317,K151,Merged_COEM!$D$60:$D$317,D152,Merged_COEM!$C$60:$C$317,C145)</f>
        <v>0</v>
      </c>
    </row>
    <row r="153" spans="1:11">
      <c r="A153" s="232"/>
      <c r="C153" s="40">
        <v>2</v>
      </c>
      <c r="D153" s="38" t="str">
        <f>Table!$C$3</f>
        <v>ASW</v>
      </c>
      <c r="E153" s="38">
        <f>SUMIFS(Merged_COEM!$W$60:$W$317,Merged_COEM!$D$60:$D$317,D153, Merged_COEM!$C$60:$C$317,C145)</f>
        <v>382</v>
      </c>
      <c r="F153" s="38">
        <f>SUMIFS(Merged_COEM!$X$60:$X$317,Merged_COEM!$D$60:$D$317,D153, Merged_COEM!$C$60:$C$317,C145)-SUM(SUMIFS(Merged_COEM!$X$60:$X$317,Merged_COEM!$D$60:$D$317,D153,Merged_COEM!$AA$60:$AA$317,{"Ongoing","N/A",""},Merged_COEM!$C$60:$C$317,C145))</f>
        <v>382</v>
      </c>
      <c r="G153" s="38">
        <f>1/8*(SUMIFS(Merged_COEM!$Y$60:$Y$317,Merged_COEM!$D$60:$D$317,D153, Merged_COEM!$C$60:$C$317,C145))</f>
        <v>2.9375</v>
      </c>
      <c r="H153" s="38">
        <f>1/8*(SUMIFS(Merged_COEM!$Z$60:$Z$317,Merged_COEM!$D$60:$D$317,D153, Merged_COEM!$C$60:$C$317,C145)-SUM(SUMIFS(Merged_COEM!$Z$60:$Z$317,Merged_COEM!$D$60:$D$317,D153,Merged_COEM!$AA$60:$AA$317,{"Ongoing","N/A",""},Merged_COEM!$C$60:$C$317,C145)))</f>
        <v>2.2762500000000001</v>
      </c>
      <c r="I153" s="61">
        <f>IFERROR(F153/E153,"N/A")</f>
        <v>1</v>
      </c>
      <c r="J153" s="3">
        <f>COUNTIFS(Merged_COEM!$AK$60:$AK$317,J151,Merged_COEM!$D$60:$D$317,D153,Merged_COEM!$C$60:$C$317,C145)</f>
        <v>1</v>
      </c>
      <c r="K153" s="3">
        <f>COUNTIFS(Merged_COEM!$AK$60:$AK$317,K151,Merged_COEM!$D$60:$D$317,D153,Merged_COEM!$C$60:$C$317,C145)</f>
        <v>0</v>
      </c>
    </row>
    <row r="154" spans="1:11">
      <c r="A154" s="232"/>
    </row>
    <row r="155" spans="1:11">
      <c r="A155" s="232"/>
      <c r="C155" t="s">
        <v>118</v>
      </c>
    </row>
    <row r="156" spans="1:11">
      <c r="A156" s="232"/>
      <c r="D156" s="245" t="s">
        <v>121</v>
      </c>
    </row>
    <row r="158" spans="1:11">
      <c r="A158" s="232">
        <v>13</v>
      </c>
      <c r="B158" s="232" t="s">
        <v>53</v>
      </c>
      <c r="C158" s="232">
        <v>20200903</v>
      </c>
    </row>
    <row r="159" spans="1:11">
      <c r="A159" s="232"/>
      <c r="B159" s="232" t="s">
        <v>112</v>
      </c>
      <c r="C159">
        <f>SUM(G165:G166)</f>
        <v>5.3825000000000003</v>
      </c>
      <c r="D159" t="s">
        <v>113</v>
      </c>
    </row>
    <row r="160" spans="1:11">
      <c r="A160" s="232"/>
      <c r="B160" s="232" t="s">
        <v>119</v>
      </c>
      <c r="C160">
        <f>SUM(INT((WEEKDAY(F160-{2,3,4,5,6})+H160-F160)/7))</f>
        <v>16</v>
      </c>
      <c r="D160" t="s">
        <v>113</v>
      </c>
      <c r="E160" t="s">
        <v>141</v>
      </c>
      <c r="F160" s="6">
        <v>44078</v>
      </c>
      <c r="G160" s="6" t="s">
        <v>111</v>
      </c>
      <c r="H160" s="6">
        <v>44099</v>
      </c>
    </row>
    <row r="161" spans="1:11">
      <c r="A161" s="232"/>
      <c r="B161" s="232" t="s">
        <v>120</v>
      </c>
      <c r="C161">
        <f>SUM(INT((WEEKDAY(F161-{2,3,4,5,6})+H161-F161)/7))</f>
        <v>16</v>
      </c>
      <c r="D161" t="s">
        <v>113</v>
      </c>
      <c r="E161" t="s">
        <v>141</v>
      </c>
      <c r="F161" s="6">
        <v>44078</v>
      </c>
      <c r="G161" s="6" t="s">
        <v>111</v>
      </c>
      <c r="H161" s="6">
        <v>44099</v>
      </c>
    </row>
    <row r="162" spans="1:11">
      <c r="A162" s="232"/>
      <c r="B162" s="232" t="s">
        <v>17</v>
      </c>
      <c r="C162" t="str">
        <f>IF(AND(F165=E165,F166=E166),IF(SUM(H165:H166)&gt;SUM(G165:G166),"Delayed",IF(SUM(H165:H166)&lt;SUM(G165:G166),"InAdvanced","Ontime")),"N/A")</f>
        <v>Delayed</v>
      </c>
      <c r="F162" s="6"/>
      <c r="G162" s="6"/>
      <c r="H162" s="6"/>
    </row>
    <row r="163" spans="1:11">
      <c r="A163" s="232"/>
    </row>
    <row r="164" spans="1:11" ht="45">
      <c r="A164" s="232"/>
      <c r="C164" s="233" t="s">
        <v>25</v>
      </c>
      <c r="D164" s="233" t="s">
        <v>26</v>
      </c>
      <c r="E164" s="234" t="s">
        <v>114</v>
      </c>
      <c r="F164" s="234" t="s">
        <v>115</v>
      </c>
      <c r="G164" s="234" t="s">
        <v>116</v>
      </c>
      <c r="H164" s="234" t="s">
        <v>117</v>
      </c>
      <c r="I164" s="234" t="s">
        <v>29</v>
      </c>
      <c r="J164" s="234" t="s">
        <v>130</v>
      </c>
      <c r="K164" s="234" t="s">
        <v>139</v>
      </c>
    </row>
    <row r="165" spans="1:11">
      <c r="A165" s="232"/>
      <c r="C165" s="40">
        <v>1</v>
      </c>
      <c r="D165" s="38" t="str">
        <f>Table!$D$3</f>
        <v>PSW</v>
      </c>
      <c r="E165" s="38">
        <f>SUMIFS(Merged_COEM!$W$60:$W$317,Merged_COEM!$D$60:$D$317,D165, Merged_COEM!$C$60:$C$317,C158)</f>
        <v>1916</v>
      </c>
      <c r="F165" s="38">
        <f>SUMIFS(Merged_COEM!$X$60:$X$317,Merged_COEM!$D$60:$D$317,D165, Merged_COEM!$C$60:$C$317,C158)-SUM(SUMIFS(Merged_COEM!$X$60:$X$317,Merged_COEM!$D$60:$D$317,Table!$D$3,Merged_COEM!$AA$60:$AA$317,{"Ongoing","N/A",""},Merged_COEM!$C$60:$C$317,C158))</f>
        <v>1916</v>
      </c>
      <c r="G165" s="38">
        <f>1/8*(SUMIFS(Merged_COEM!$Y$60:$Y$317,Merged_COEM!$D$60:$D$317,D165, Merged_COEM!$C$60:$C$317,C158))</f>
        <v>4.2549999999999999</v>
      </c>
      <c r="H165" s="38">
        <f>1/8*(SUMIFS(Merged_COEM!$Z$60:$Z$317,Merged_COEM!$D$60:$D$317,D165, Merged_COEM!$C$60:$C$317,C158)-SUM(SUMIFS(Merged_COEM!$Z$60:$Z$317,Merged_COEM!$D$60:$D$317,D165,Merged_COEM!$AA$60:$AA$317,{"Ongoing","N/A",""},Merged_COEM!$C$60:$C$317,C158)))</f>
        <v>4.8075000000000001</v>
      </c>
      <c r="I165" s="61">
        <f>IFERROR(F165/E165,"N/A")</f>
        <v>1</v>
      </c>
      <c r="J165" s="3">
        <f>COUNTIFS(Merged_COEM!$AK$60:$AK$317,J164,Merged_COEM!$D$60:$D$317,D165,Merged_COEM!$C$60:$C$317,C158)</f>
        <v>3</v>
      </c>
      <c r="K165" s="3">
        <f>COUNTIFS(Merged_COEM!$AK$60:$AK$317,K164,Merged_COEM!$D$60:$D$317,D165,Merged_COEM!$C$60:$C$317,C158)</f>
        <v>0</v>
      </c>
    </row>
    <row r="166" spans="1:11">
      <c r="A166" s="232"/>
      <c r="C166" s="40">
        <v>2</v>
      </c>
      <c r="D166" s="38" t="str">
        <f>Table!$C$3</f>
        <v>ASW</v>
      </c>
      <c r="E166" s="38">
        <f>SUMIFS(Merged_COEM!$W$60:$W$317,Merged_COEM!$D$60:$D$317,D166, Merged_COEM!$C$60:$C$317,C158)</f>
        <v>147</v>
      </c>
      <c r="F166" s="38">
        <f>SUMIFS(Merged_COEM!$X$60:$X$317,Merged_COEM!$D$60:$D$317,D166, Merged_COEM!$C$60:$C$317,C158)-SUM(SUMIFS(Merged_COEM!$X$60:$X$317,Merged_COEM!$D$60:$D$317,D166,Merged_COEM!$AA$60:$AA$317,{"Ongoing","N/A",""},Merged_COEM!$C$60:$C$317,C158))</f>
        <v>147</v>
      </c>
      <c r="G166" s="38">
        <f>1/8*(SUMIFS(Merged_COEM!$Y$60:$Y$317,Merged_COEM!$D$60:$D$317,D166, Merged_COEM!$C$60:$C$317,C158))</f>
        <v>1.1274999999999999</v>
      </c>
      <c r="H166" s="38">
        <f>1/8*(SUMIFS(Merged_COEM!$Z$60:$Z$317,Merged_COEM!$D$60:$D$317,D166, Merged_COEM!$C$60:$C$317,C158)-SUM(SUMIFS(Merged_COEM!$Z$60:$Z$317,Merged_COEM!$D$60:$D$317,D166,Merged_COEM!$AA$60:$AA$317,{"Ongoing","N/A",""},Merged_COEM!$C$60:$C$317,C158)))</f>
        <v>2.125</v>
      </c>
      <c r="I166" s="61">
        <f>IFERROR(F166/E166,"N/A")</f>
        <v>1</v>
      </c>
      <c r="J166" s="3">
        <f>COUNTIFS(Merged_COEM!$AK$60:$AK$317,J164,Merged_COEM!$D$60:$D$317,D166,Merged_COEM!$C$60:$C$317,C158)</f>
        <v>1</v>
      </c>
      <c r="K166" s="3">
        <f>COUNTIFS(Merged_COEM!$AK$60:$AK$317,K164,Merged_COEM!$D$60:$D$317,D166,Merged_COEM!$C$60:$C$317,C158)</f>
        <v>0</v>
      </c>
    </row>
    <row r="167" spans="1:11">
      <c r="A167" s="232"/>
    </row>
    <row r="168" spans="1:11">
      <c r="A168" s="232"/>
      <c r="C168" t="s">
        <v>118</v>
      </c>
    </row>
    <row r="169" spans="1:11">
      <c r="A169" s="232"/>
      <c r="D169" s="245" t="s">
        <v>121</v>
      </c>
    </row>
    <row r="171" spans="1:11">
      <c r="A171" s="232">
        <v>14</v>
      </c>
      <c r="B171" s="232" t="s">
        <v>53</v>
      </c>
      <c r="C171" s="232">
        <v>20200904</v>
      </c>
    </row>
    <row r="172" spans="1:11">
      <c r="A172" s="232"/>
      <c r="B172" s="232" t="s">
        <v>112</v>
      </c>
      <c r="C172">
        <f>SUM(G178:G179)</f>
        <v>1.9950000000000001</v>
      </c>
      <c r="D172" t="s">
        <v>113</v>
      </c>
    </row>
    <row r="173" spans="1:11">
      <c r="A173" s="232"/>
      <c r="B173" s="232" t="s">
        <v>119</v>
      </c>
      <c r="C173">
        <f>SUM(INT((WEEKDAY(F173-{2,3,4,5,6})+H173-F173)/7))</f>
        <v>5</v>
      </c>
      <c r="D173" t="s">
        <v>113</v>
      </c>
      <c r="E173" t="s">
        <v>141</v>
      </c>
      <c r="F173" s="6">
        <v>44081</v>
      </c>
      <c r="G173" s="6" t="s">
        <v>111</v>
      </c>
      <c r="H173" s="6">
        <v>44085</v>
      </c>
    </row>
    <row r="174" spans="1:11">
      <c r="A174" s="232"/>
      <c r="B174" s="232" t="s">
        <v>120</v>
      </c>
      <c r="C174">
        <f>SUM(INT((WEEKDAY(F174-{2,3,4,5,6})+H174-F174)/7))</f>
        <v>5</v>
      </c>
      <c r="D174" t="s">
        <v>113</v>
      </c>
      <c r="E174" t="s">
        <v>141</v>
      </c>
      <c r="F174" s="6">
        <v>44081</v>
      </c>
      <c r="G174" s="6" t="s">
        <v>111</v>
      </c>
      <c r="H174" s="6">
        <v>44085</v>
      </c>
    </row>
    <row r="175" spans="1:11">
      <c r="A175" s="232"/>
      <c r="B175" s="232" t="s">
        <v>17</v>
      </c>
      <c r="C175" t="str">
        <f>IF(AND(F178=E178,F179=E179),IF(SUM(H178:H179)&gt;SUM(G178:G179),"Delayed",IF(SUM(H178:H179)&lt;SUM(G178:G179),"InAdvanced","Ontime")),"N/A")</f>
        <v>InAdvanced</v>
      </c>
      <c r="F175" s="6"/>
      <c r="G175" s="6"/>
      <c r="H175" s="6"/>
    </row>
    <row r="176" spans="1:11">
      <c r="A176" s="232"/>
    </row>
    <row r="177" spans="1:11" ht="45">
      <c r="A177" s="232"/>
      <c r="C177" s="233" t="s">
        <v>25</v>
      </c>
      <c r="D177" s="233" t="s">
        <v>26</v>
      </c>
      <c r="E177" s="234" t="s">
        <v>114</v>
      </c>
      <c r="F177" s="234" t="s">
        <v>115</v>
      </c>
      <c r="G177" s="234" t="s">
        <v>116</v>
      </c>
      <c r="H177" s="234" t="s">
        <v>117</v>
      </c>
      <c r="I177" s="234" t="s">
        <v>29</v>
      </c>
      <c r="J177" s="234" t="s">
        <v>130</v>
      </c>
      <c r="K177" s="234" t="s">
        <v>139</v>
      </c>
    </row>
    <row r="178" spans="1:11">
      <c r="A178" s="232"/>
      <c r="C178" s="40">
        <v>1</v>
      </c>
      <c r="D178" s="38" t="str">
        <f>Table!$D$3</f>
        <v>PSW</v>
      </c>
      <c r="E178" s="38">
        <f>SUMIFS(Merged_COEM!$W$60:$W$317,Merged_COEM!$D$60:$D$317,D178, Merged_COEM!$C$60:$C$317,C171)</f>
        <v>345</v>
      </c>
      <c r="F178" s="38">
        <f>SUMIFS(Merged_COEM!$X$60:$X$317,Merged_COEM!$D$60:$D$317,D178, Merged_COEM!$C$60:$C$317,C171)-SUM(SUMIFS(Merged_COEM!$X$60:$X$317,Merged_COEM!$D$60:$D$317,Table!$D$3,Merged_COEM!$AA$60:$AA$317,{"Ongoing","N/A",""},Merged_COEM!$C$60:$C$317,C171))</f>
        <v>345</v>
      </c>
      <c r="G178" s="38">
        <f>1/8*(SUMIFS(Merged_COEM!$Y$60:$Y$317,Merged_COEM!$D$60:$D$317,D178, Merged_COEM!$C$60:$C$317,C171))</f>
        <v>0.76624999999999999</v>
      </c>
      <c r="H178" s="38">
        <f>1/8*(SUMIFS(Merged_COEM!$Z$60:$Z$317,Merged_COEM!$D$60:$D$317,D178, Merged_COEM!$C$60:$C$317,C171)-SUM(SUMIFS(Merged_COEM!$Z$60:$Z$317,Merged_COEM!$D$60:$D$317,D178,Merged_COEM!$AA$60:$AA$317,{"Ongoing","N/A",""},Merged_COEM!$C$60:$C$317,C171)))</f>
        <v>0.76624999999999999</v>
      </c>
      <c r="I178" s="61">
        <f>IFERROR(F178/E178,"N/A")</f>
        <v>1</v>
      </c>
      <c r="J178" s="3">
        <f>COUNTIFS(Merged_COEM!$AK$60:$AK$317,J177,Merged_COEM!$D$60:$D$317,D178,Merged_COEM!$C$60:$C$317,C171)</f>
        <v>1</v>
      </c>
      <c r="K178" s="3">
        <f>COUNTIFS(Merged_COEM!$AK$60:$AK$317,K177,Merged_COEM!$D$60:$D$317,D178,Merged_COEM!$C$60:$C$317,C171)</f>
        <v>0</v>
      </c>
    </row>
    <row r="179" spans="1:11">
      <c r="A179" s="232"/>
      <c r="C179" s="40">
        <v>2</v>
      </c>
      <c r="D179" s="38" t="str">
        <f>Table!$C$3</f>
        <v>ASW</v>
      </c>
      <c r="E179" s="38">
        <f>SUMIFS(Merged_COEM!$W$60:$W$317,Merged_COEM!$D$60:$D$317,D179, Merged_COEM!$C$60:$C$317,C171)</f>
        <v>160</v>
      </c>
      <c r="F179" s="38">
        <f>SUMIFS(Merged_COEM!$X$60:$X$317,Merged_COEM!$D$60:$D$317,D179, Merged_COEM!$C$60:$C$317,C171)-SUM(SUMIFS(Merged_COEM!$X$60:$X$317,Merged_COEM!$D$60:$D$317,D179,Merged_COEM!$AA$60:$AA$317,{"Ongoing","N/A",""},Merged_COEM!$C$60:$C$317,C171))</f>
        <v>160</v>
      </c>
      <c r="G179" s="38">
        <f>1/8*(SUMIFS(Merged_COEM!$Y$60:$Y$317,Merged_COEM!$D$60:$D$317,D179, Merged_COEM!$C$60:$C$317,C171))</f>
        <v>1.22875</v>
      </c>
      <c r="H179" s="38">
        <f>1/8*(SUMIFS(Merged_COEM!$Z$60:$Z$317,Merged_COEM!$D$60:$D$317,D179, Merged_COEM!$C$60:$C$317,C171)-SUM(SUMIFS(Merged_COEM!$Z$60:$Z$317,Merged_COEM!$D$60:$D$317,D179,Merged_COEM!$AA$60:$AA$317,{"Ongoing","N/A",""},Merged_COEM!$C$60:$C$317,C171)))</f>
        <v>1.125</v>
      </c>
      <c r="I179" s="61">
        <f>IFERROR(F179/E179,"N/A")</f>
        <v>1</v>
      </c>
      <c r="J179" s="3">
        <f>COUNTIFS(Merged_COEM!$AK$60:$AK$317,J177,Merged_COEM!$D$60:$D$317,D179,Merged_COEM!$C$60:$C$317,C171)</f>
        <v>0</v>
      </c>
      <c r="K179" s="3">
        <f>COUNTIFS(Merged_COEM!$AK$60:$AK$317,K177,Merged_COEM!$D$60:$D$317,D179,Merged_COEM!$C$60:$C$317,C171)</f>
        <v>0</v>
      </c>
    </row>
    <row r="180" spans="1:11">
      <c r="A180" s="232"/>
    </row>
    <row r="181" spans="1:11">
      <c r="A181" s="232"/>
      <c r="C181" t="s">
        <v>118</v>
      </c>
    </row>
    <row r="182" spans="1:11">
      <c r="A182" s="232"/>
      <c r="D182" s="245" t="s">
        <v>121</v>
      </c>
    </row>
    <row r="184" spans="1:11">
      <c r="A184" s="232">
        <v>15</v>
      </c>
      <c r="B184" s="232" t="s">
        <v>53</v>
      </c>
      <c r="C184" s="232">
        <v>20200907</v>
      </c>
    </row>
    <row r="185" spans="1:11">
      <c r="A185" s="232"/>
      <c r="B185" s="232" t="s">
        <v>112</v>
      </c>
      <c r="C185">
        <f>SUM(G191:G192)</f>
        <v>13.635</v>
      </c>
      <c r="D185" t="s">
        <v>113</v>
      </c>
    </row>
    <row r="186" spans="1:11">
      <c r="A186" s="232"/>
      <c r="B186" s="232" t="s">
        <v>119</v>
      </c>
      <c r="C186">
        <f>SUM(INT((WEEKDAY(F186-{2,3,4,5,6})+H186-F186)/7))</f>
        <v>9</v>
      </c>
      <c r="D186" t="s">
        <v>113</v>
      </c>
      <c r="E186" t="s">
        <v>141</v>
      </c>
      <c r="F186" s="6">
        <v>44082</v>
      </c>
      <c r="G186" s="6" t="s">
        <v>111</v>
      </c>
      <c r="H186" s="6">
        <v>44094</v>
      </c>
    </row>
    <row r="187" spans="1:11">
      <c r="A187" s="232"/>
      <c r="B187" s="232" t="s">
        <v>120</v>
      </c>
      <c r="C187">
        <f>SUM(INT((WEEKDAY(F187-{2,3,4,5,6})+H187-F187)/7))</f>
        <v>9</v>
      </c>
      <c r="D187" t="s">
        <v>113</v>
      </c>
      <c r="E187" t="s">
        <v>141</v>
      </c>
      <c r="F187" s="6">
        <v>44082</v>
      </c>
      <c r="G187" s="6" t="s">
        <v>111</v>
      </c>
      <c r="H187" s="6">
        <v>44094</v>
      </c>
    </row>
    <row r="188" spans="1:11">
      <c r="A188" s="232"/>
      <c r="B188" s="232" t="s">
        <v>17</v>
      </c>
      <c r="C188" t="str">
        <f>IF(AND(F191=E191,F192=E192),IF(SUM(H191:H192)&gt;SUM(G191:G192),"Delayed",IF(SUM(H191:H192)&lt;SUM(G191:G192),"InAdvanced","Ontime")),"N/A")</f>
        <v>InAdvanced</v>
      </c>
      <c r="F188" s="6"/>
      <c r="G188" s="6"/>
      <c r="H188" s="6"/>
    </row>
    <row r="189" spans="1:11">
      <c r="A189" s="232"/>
    </row>
    <row r="190" spans="1:11" ht="45">
      <c r="A190" s="232"/>
      <c r="C190" s="233" t="s">
        <v>25</v>
      </c>
      <c r="D190" s="233" t="s">
        <v>26</v>
      </c>
      <c r="E190" s="234" t="s">
        <v>114</v>
      </c>
      <c r="F190" s="234" t="s">
        <v>115</v>
      </c>
      <c r="G190" s="234" t="s">
        <v>116</v>
      </c>
      <c r="H190" s="234" t="s">
        <v>117</v>
      </c>
      <c r="I190" s="234" t="s">
        <v>29</v>
      </c>
      <c r="J190" s="234" t="s">
        <v>130</v>
      </c>
      <c r="K190" s="234" t="s">
        <v>139</v>
      </c>
    </row>
    <row r="191" spans="1:11">
      <c r="A191" s="232"/>
      <c r="C191" s="40">
        <v>1</v>
      </c>
      <c r="D191" s="38" t="str">
        <f>Table!$D$3</f>
        <v>PSW</v>
      </c>
      <c r="E191" s="38">
        <f>SUMIFS(Merged_COEM!$W$60:$W$317,Merged_COEM!$D$60:$D$317,D191, Merged_COEM!$C$60:$C$317,C184)</f>
        <v>6141</v>
      </c>
      <c r="F191" s="38">
        <f>SUMIFS(Merged_COEM!$X$60:$X$317,Merged_COEM!$D$60:$D$317,D191, Merged_COEM!$C$60:$C$317,C184)-SUM(SUMIFS(Merged_COEM!$X$60:$X$317,Merged_COEM!$D$60:$D$317,Table!$D$3,Merged_COEM!$AA$60:$AA$317,{"Ongoing","N/A",""},Merged_COEM!$C$60:$C$317,C184))</f>
        <v>6141</v>
      </c>
      <c r="G191" s="38">
        <f>1/8*(SUMIFS(Merged_COEM!$Y$60:$Y$317,Merged_COEM!$D$60:$D$317,D191, Merged_COEM!$C$60:$C$317,C184))</f>
        <v>13.635</v>
      </c>
      <c r="H191" s="38">
        <f>1/8*(SUMIFS(Merged_COEM!$Z$60:$Z$317,Merged_COEM!$D$60:$D$317,D191, Merged_COEM!$C$60:$C$317,C184)-SUM(SUMIFS(Merged_COEM!$Z$60:$Z$317,Merged_COEM!$D$60:$D$317,D191,Merged_COEM!$AA$60:$AA$317,{"Ongoing","N/A",""},Merged_COEM!$C$60:$C$317,C184)))</f>
        <v>8.2587499999999991</v>
      </c>
      <c r="I191" s="61">
        <f>IFERROR(F191/E191,"N/A")</f>
        <v>1</v>
      </c>
      <c r="J191" s="3">
        <f>COUNTIFS(Merged_COEM!$AK$60:$AK$317,J190,Merged_COEM!$D$60:$D$317,D191,Merged_COEM!$C$60:$C$317,C184)</f>
        <v>3</v>
      </c>
      <c r="K191" s="3">
        <f>COUNTIFS(Merged_COEM!$AK$60:$AK$317,K190,Merged_COEM!$D$60:$D$317,D191,Merged_COEM!$C$60:$C$317,C184)</f>
        <v>0</v>
      </c>
    </row>
    <row r="192" spans="1:11">
      <c r="A192" s="232"/>
      <c r="C192" s="40">
        <v>2</v>
      </c>
      <c r="D192" s="38" t="str">
        <f>Table!$C$3</f>
        <v>ASW</v>
      </c>
      <c r="E192" s="38">
        <f>SUMIFS(Merged_COEM!$W$60:$W$317,Merged_COEM!$D$60:$D$317,D192, Merged_COEM!$C$60:$C$317,C184)</f>
        <v>0</v>
      </c>
      <c r="F192" s="38">
        <f>SUMIFS(Merged_COEM!$X$60:$X$317,Merged_COEM!$D$60:$D$317,D192, Merged_COEM!$C$60:$C$317,C184)-SUM(SUMIFS(Merged_COEM!$X$60:$X$317,Merged_COEM!$D$60:$D$317,D192,Merged_COEM!$AA$60:$AA$317,{"Ongoing","N/A",""},Merged_COEM!$C$60:$C$317,C184))</f>
        <v>0</v>
      </c>
      <c r="G192" s="38">
        <f>1/8*(SUMIFS(Merged_COEM!$Y$60:$Y$317,Merged_COEM!$D$60:$D$317,D192, Merged_COEM!$C$60:$C$317,C184))</f>
        <v>0</v>
      </c>
      <c r="H192" s="38">
        <f>1/8*(SUMIFS(Merged_COEM!$Z$60:$Z$317,Merged_COEM!$D$60:$D$317,D192, Merged_COEM!$C$60:$C$317,C184)-SUM(SUMIFS(Merged_COEM!$Z$60:$Z$317,Merged_COEM!$D$60:$D$317,D192,Merged_COEM!$AA$60:$AA$317,{"Ongoing","N/A",""},Merged_COEM!$C$60:$C$317,C184)))</f>
        <v>0</v>
      </c>
      <c r="I192" s="61" t="str">
        <f>IFERROR(F192/E192,"N/A")</f>
        <v>N/A</v>
      </c>
      <c r="J192" s="3">
        <f>COUNTIFS(Merged_COEM!$AK$60:$AK$317,J190,Merged_COEM!$D$60:$D$317,D192,Merged_COEM!$C$60:$C$317,C184)</f>
        <v>0</v>
      </c>
      <c r="K192" s="3">
        <f>COUNTIFS(Merged_COEM!$AK$60:$AK$317,K190,Merged_COEM!$D$60:$D$317,D192,Merged_COEM!$C$60:$C$317,C184)</f>
        <v>0</v>
      </c>
    </row>
    <row r="193" spans="1:11">
      <c r="A193" s="232"/>
    </row>
    <row r="194" spans="1:11">
      <c r="A194" s="232"/>
      <c r="C194" t="s">
        <v>118</v>
      </c>
    </row>
    <row r="195" spans="1:11">
      <c r="A195" s="232"/>
      <c r="D195" s="245" t="s">
        <v>121</v>
      </c>
    </row>
    <row r="197" spans="1:11">
      <c r="A197" s="232">
        <v>16</v>
      </c>
      <c r="B197" s="232" t="s">
        <v>53</v>
      </c>
      <c r="C197" s="232">
        <v>20200908</v>
      </c>
    </row>
    <row r="198" spans="1:11">
      <c r="A198" s="232"/>
      <c r="B198" s="232" t="s">
        <v>112</v>
      </c>
      <c r="C198">
        <f>SUM(G204:G205)</f>
        <v>15.862500000000002</v>
      </c>
      <c r="D198" t="s">
        <v>113</v>
      </c>
    </row>
    <row r="199" spans="1:11">
      <c r="A199" s="232"/>
      <c r="B199" s="232" t="s">
        <v>119</v>
      </c>
      <c r="C199">
        <f>SUM(INT((WEEKDAY(F199-{2,3,4,5,6})+H199-F199)/7))</f>
        <v>9</v>
      </c>
      <c r="D199" t="s">
        <v>113</v>
      </c>
      <c r="E199" t="s">
        <v>141</v>
      </c>
      <c r="F199" s="6">
        <v>44082</v>
      </c>
      <c r="G199" s="6" t="s">
        <v>111</v>
      </c>
      <c r="H199" s="6">
        <v>44094</v>
      </c>
    </row>
    <row r="200" spans="1:11">
      <c r="A200" s="232"/>
      <c r="B200" s="232" t="s">
        <v>120</v>
      </c>
      <c r="C200">
        <f>SUM(INT((WEEKDAY(F200-{2,3,4,5,6})+H200-F200)/7))</f>
        <v>9</v>
      </c>
      <c r="D200" t="s">
        <v>113</v>
      </c>
      <c r="E200" t="s">
        <v>141</v>
      </c>
      <c r="F200" s="6">
        <v>44082</v>
      </c>
      <c r="G200" s="6" t="s">
        <v>111</v>
      </c>
      <c r="H200" s="6">
        <v>44094</v>
      </c>
    </row>
    <row r="201" spans="1:11">
      <c r="A201" s="232"/>
      <c r="B201" s="232" t="s">
        <v>17</v>
      </c>
      <c r="C201" t="str">
        <f>IF(AND(F204=E204,F205=E205),IF(SUM(H204:H205)&gt;SUM(G204:G205),"Delayed",IF(SUM(H204:H205)&lt;SUM(G204:G205),"InAdvanced","Ontime")),"N/A")</f>
        <v>N/A</v>
      </c>
      <c r="F201" s="6"/>
      <c r="G201" s="6"/>
      <c r="H201" s="6"/>
    </row>
    <row r="202" spans="1:11">
      <c r="A202" s="232"/>
    </row>
    <row r="203" spans="1:11" ht="45">
      <c r="A203" s="232"/>
      <c r="C203" s="233" t="s">
        <v>25</v>
      </c>
      <c r="D203" s="233" t="s">
        <v>26</v>
      </c>
      <c r="E203" s="234" t="s">
        <v>114</v>
      </c>
      <c r="F203" s="234" t="s">
        <v>115</v>
      </c>
      <c r="G203" s="234" t="s">
        <v>116</v>
      </c>
      <c r="H203" s="234" t="s">
        <v>117</v>
      </c>
      <c r="I203" s="234" t="s">
        <v>29</v>
      </c>
      <c r="J203" s="234" t="s">
        <v>130</v>
      </c>
      <c r="K203" s="234" t="s">
        <v>139</v>
      </c>
    </row>
    <row r="204" spans="1:11">
      <c r="A204" s="232"/>
      <c r="C204" s="40">
        <v>1</v>
      </c>
      <c r="D204" s="38" t="str">
        <f>Table!$D$3</f>
        <v>PSW</v>
      </c>
      <c r="E204" s="38">
        <f>SUMIFS(Merged_COEM!$W$60:$W$317,Merged_COEM!$D$60:$D$317,D204, Merged_COEM!$C$60:$C$317,C197)</f>
        <v>7151</v>
      </c>
      <c r="F204" s="38">
        <f>SUMIFS(Merged_COEM!$X$60:$X$317,Merged_COEM!$D$60:$D$317,D204, Merged_COEM!$C$60:$C$317,C197)-SUM(SUMIFS(Merged_COEM!$X$60:$X$317,Merged_COEM!$D$60:$D$317,Table!$D$3,Merged_COEM!$AA$60:$AA$317,{"Ongoing","N/A",""},Merged_COEM!$C$60:$C$317,C197))</f>
        <v>5297</v>
      </c>
      <c r="G204" s="38">
        <f>1/8*(SUMIFS(Merged_COEM!$Y$60:$Y$317,Merged_COEM!$D$60:$D$317,D204, Merged_COEM!$C$60:$C$317,C197))</f>
        <v>15.862500000000002</v>
      </c>
      <c r="H204" s="38">
        <f>1/8*(SUMIFS(Merged_COEM!$Z$60:$Z$317,Merged_COEM!$D$60:$D$317,D204, Merged_COEM!$C$60:$C$317,C197)-SUM(SUMIFS(Merged_COEM!$Z$60:$Z$317,Merged_COEM!$D$60:$D$317,D204,Merged_COEM!$AA$60:$AA$317,{"Ongoing","N/A",""},Merged_COEM!$C$60:$C$317,C197)))</f>
        <v>11.811249999999998</v>
      </c>
      <c r="I204" s="61">
        <f>IFERROR(F204/E204,"N/A")</f>
        <v>0.74073556145993569</v>
      </c>
      <c r="J204" s="3">
        <f>COUNTIFS(Merged_COEM!$AK$60:$AK$317,J203,Merged_COEM!$D$60:$D$317,D204,Merged_COEM!$C$60:$C$317,C197)</f>
        <v>4</v>
      </c>
      <c r="K204" s="3">
        <f>COUNTIFS(Merged_COEM!$AK$60:$AK$317,K203,Merged_COEM!$D$60:$D$317,D204,Merged_COEM!$C$60:$C$317,C197)</f>
        <v>0</v>
      </c>
    </row>
    <row r="205" spans="1:11">
      <c r="A205" s="232"/>
      <c r="C205" s="40">
        <v>2</v>
      </c>
      <c r="D205" s="38" t="str">
        <f>Table!$C$3</f>
        <v>ASW</v>
      </c>
      <c r="E205" s="38">
        <f>SUMIFS(Merged_COEM!$W$60:$W$317,Merged_COEM!$D$60:$D$317,D205, Merged_COEM!$C$60:$C$317,C197)</f>
        <v>0</v>
      </c>
      <c r="F205" s="38">
        <f>SUMIFS(Merged_COEM!$X$60:$X$317,Merged_COEM!$D$60:$D$317,D205, Merged_COEM!$C$60:$C$317,C197)-SUM(SUMIFS(Merged_COEM!$X$60:$X$317,Merged_COEM!$D$60:$D$317,D205,Merged_COEM!$AA$60:$AA$317,{"Ongoing","N/A",""},Merged_COEM!$C$60:$C$317,C197))</f>
        <v>0</v>
      </c>
      <c r="G205" s="38">
        <f>1/8*(SUMIFS(Merged_COEM!$Y$60:$Y$317,Merged_COEM!$D$60:$D$317,D205, Merged_COEM!$C$60:$C$317,C197))</f>
        <v>0</v>
      </c>
      <c r="H205" s="38">
        <f>1/8*(SUMIFS(Merged_COEM!$Z$60:$Z$317,Merged_COEM!$D$60:$D$317,D205, Merged_COEM!$C$60:$C$317,C197)-SUM(SUMIFS(Merged_COEM!$Z$60:$Z$317,Merged_COEM!$D$60:$D$317,D205,Merged_COEM!$AA$60:$AA$317,{"Ongoing","N/A",""},Merged_COEM!$C$60:$C$317,C197)))</f>
        <v>0</v>
      </c>
      <c r="I205" s="61" t="str">
        <f>IFERROR(F205/E205,"N/A")</f>
        <v>N/A</v>
      </c>
      <c r="J205" s="3">
        <f>COUNTIFS(Merged_COEM!$AK$60:$AK$317,J203,Merged_COEM!$D$60:$D$317,D205,Merged_COEM!$C$60:$C$317,C197)</f>
        <v>0</v>
      </c>
      <c r="K205" s="3">
        <f>COUNTIFS(Merged_COEM!$AK$60:$AK$317,K203,Merged_COEM!$D$60:$D$317,D205,Merged_COEM!$C$60:$C$317,C197)</f>
        <v>0</v>
      </c>
    </row>
    <row r="206" spans="1:11">
      <c r="A206" s="232"/>
    </row>
    <row r="207" spans="1:11">
      <c r="A207" s="232"/>
      <c r="C207" t="s">
        <v>118</v>
      </c>
    </row>
    <row r="208" spans="1:11">
      <c r="A208" s="232"/>
      <c r="D208" s="245" t="s">
        <v>121</v>
      </c>
    </row>
  </sheetData>
  <customSheetViews>
    <customSheetView guid="{7E0EA425-A420-4443-B9E0-CDF0AA9E5D09}" scale="85" topLeftCell="A175">
      <selection activeCell="C198" sqref="C198"/>
      <pageMargins left="0.7" right="0.7" top="0.75" bottom="0.75" header="0.3" footer="0.3"/>
      <pageSetup orientation="portrait" r:id="rId1"/>
    </customSheetView>
    <customSheetView guid="{3B3E6719-EACB-4D2C-89C1-05FFAB6020FD}" scale="85">
      <selection activeCell="K212" sqref="K212"/>
      <pageMargins left="0.7" right="0.7" top="0.75" bottom="0.75" header="0.3" footer="0.3"/>
      <pageSetup orientation="portrait" r:id="rId2"/>
    </customSheetView>
    <customSheetView guid="{89C03E1E-B6A8-49A1-B29C-5DC4FAB2FBC6}" scale="85" topLeftCell="A11">
      <selection activeCell="A93" sqref="A93:XFD93"/>
      <pageMargins left="0.7" right="0.7" top="0.75" bottom="0.75" header="0.3" footer="0.3"/>
      <pageSetup orientation="portrait" r:id="rId3"/>
    </customSheetView>
    <customSheetView guid="{FECB4C41-27E8-4A22-AFB3-4F54CDD4960E}" scale="85" topLeftCell="A67">
      <selection activeCell="K212" sqref="K212"/>
      <pageMargins left="0.7" right="0.7" top="0.75" bottom="0.75" header="0.3" footer="0.3"/>
      <pageSetup orientation="portrait" r:id="rId4"/>
    </customSheetView>
    <customSheetView guid="{7ECC2B8E-6A82-42F5-8AB0-4A51C54EA5EC}" scale="85" topLeftCell="A10">
      <selection activeCell="A93" sqref="A93:XFD93"/>
      <pageMargins left="0.7" right="0.7" top="0.75" bottom="0.75" header="0.3" footer="0.3"/>
      <pageSetup orientation="portrait" r:id="rId5"/>
    </customSheetView>
    <customSheetView guid="{99BC1C51-34DC-4BF2-906C-1E31B6171D71}" scale="85" topLeftCell="A28">
      <selection activeCell="A93" sqref="A93:XFD93"/>
      <pageMargins left="0.7" right="0.7" top="0.75" bottom="0.75" header="0.3" footer="0.3"/>
      <pageSetup orientation="portrait" r:id="rId6"/>
    </customSheetView>
    <customSheetView guid="{A2E8CE38-D15E-4374-89B2-69D9421C4465}" scale="85" showPageBreaks="1" topLeftCell="A25">
      <selection activeCell="F58" sqref="F58"/>
      <pageMargins left="0.7" right="0.7" top="0.75" bottom="0.75" header="0.3" footer="0.3"/>
      <pageSetup orientation="portrait" r:id="rId7"/>
    </customSheetView>
    <customSheetView guid="{336B6883-2145-4B58-921E-CEC7185A847E}" topLeftCell="A10">
      <selection activeCell="L50" sqref="L50"/>
      <pageMargins left="0.7" right="0.7" top="0.75" bottom="0.75" header="0.3" footer="0.3"/>
    </customSheetView>
    <customSheetView guid="{60D2C030-4E31-4E07-8E1C-44D2EE84B177}" scale="85">
      <selection activeCell="A93" sqref="A93:XFD93"/>
      <pageMargins left="0.7" right="0.7" top="0.75" bottom="0.75" header="0.3" footer="0.3"/>
      <pageSetup orientation="portrait" r:id="rId8"/>
    </customSheetView>
    <customSheetView guid="{C94451EF-7A3E-4D72-B5A4-3D1B193192CC}" scale="85">
      <selection activeCell="G160" sqref="G160"/>
      <pageMargins left="0.7" right="0.7" top="0.75" bottom="0.75" header="0.3" footer="0.3"/>
      <pageSetup orientation="portrait" r:id="rId9"/>
    </customSheetView>
    <customSheetView guid="{D33AC7AF-C8AB-4CE9-94C7-9237011A5FC3}" scale="85" topLeftCell="A151">
      <selection activeCell="A93" sqref="A93:XFD93"/>
      <pageMargins left="0.7" right="0.7" top="0.75" bottom="0.75" header="0.3" footer="0.3"/>
      <pageSetup orientation="portrait" r:id="rId10"/>
    </customSheetView>
    <customSheetView guid="{A2C66332-A809-458E-971B-FDB6D62C74C3}" scale="85">
      <selection activeCell="K212" sqref="K212"/>
      <pageMargins left="0.7" right="0.7" top="0.75" bottom="0.75" header="0.3" footer="0.3"/>
      <pageSetup orientation="portrait" r:id="rId11"/>
    </customSheetView>
    <customSheetView guid="{F96FC7D9-4F89-4FE0-8D00-C0083DEB0472}" scale="85" topLeftCell="A43">
      <selection activeCell="G112" sqref="G112"/>
      <pageMargins left="0.7" right="0.7" top="0.75" bottom="0.75" header="0.3" footer="0.3"/>
      <pageSetup orientation="portrait" r:id="rId12"/>
    </customSheetView>
    <customSheetView guid="{970EE037-F5E5-47AF-896A-0F6222879EBC}" scale="85" topLeftCell="A37">
      <selection activeCell="C56" sqref="C56"/>
      <pageMargins left="0.7" right="0.7" top="0.75" bottom="0.75" header="0.3" footer="0.3"/>
      <pageSetup orientation="portrait" r:id="rId13"/>
    </customSheetView>
    <customSheetView guid="{4E06BDBF-2CED-473B-850B-2A6C7311FF41}" scale="85" showPageBreaks="1" topLeftCell="A4">
      <selection activeCell="A93" sqref="A93:XFD93"/>
      <pageMargins left="0.7" right="0.7" top="0.75" bottom="0.75" header="0.3" footer="0.3"/>
      <pageSetup orientation="portrait" r:id="rId14"/>
    </customSheetView>
  </customSheetViews>
  <conditionalFormatting sqref="I9:I256">
    <cfRule type="cellIs" dxfId="20" priority="2" operator="equal">
      <formula>1</formula>
    </cfRule>
  </conditionalFormatting>
  <pageMargins left="0.7" right="0.7" top="0.75" bottom="0.75" header="0.3" footer="0.3"/>
  <pageSetup orientation="portrait" r:id="rId1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P220"/>
  <sheetViews>
    <sheetView topLeftCell="A34" workbookViewId="0">
      <selection activeCell="I51" sqref="I51"/>
    </sheetView>
  </sheetViews>
  <sheetFormatPr defaultRowHeight="15"/>
  <cols>
    <col min="6" max="6" width="9.7109375" bestFit="1" customWidth="1"/>
    <col min="8" max="8" width="9.7109375" bestFit="1" customWidth="1"/>
  </cols>
  <sheetData>
    <row r="3" spans="1:11">
      <c r="A3">
        <v>1</v>
      </c>
      <c r="B3" s="132" t="s">
        <v>53</v>
      </c>
      <c r="C3" s="132" t="s">
        <v>447</v>
      </c>
    </row>
    <row r="4" spans="1:11">
      <c r="B4" s="132" t="s">
        <v>112</v>
      </c>
      <c r="C4">
        <f>SUM(G10:G11)</f>
        <v>19.350000000000001</v>
      </c>
      <c r="D4" t="s">
        <v>113</v>
      </c>
    </row>
    <row r="5" spans="1:11">
      <c r="B5" s="132" t="s">
        <v>119</v>
      </c>
      <c r="C5">
        <f>SUM(INT((WEEKDAY(F5-{2,3,4,5,6})+H5-F5)/7))</f>
        <v>4</v>
      </c>
      <c r="D5" t="s">
        <v>113</v>
      </c>
      <c r="E5" t="s">
        <v>141</v>
      </c>
      <c r="F5" s="6">
        <v>44026</v>
      </c>
      <c r="G5" s="6" t="s">
        <v>111</v>
      </c>
      <c r="H5" s="6">
        <v>44030</v>
      </c>
    </row>
    <row r="6" spans="1:11">
      <c r="B6" s="132" t="s">
        <v>120</v>
      </c>
      <c r="C6">
        <f>SUM(INT((WEEKDAY(F6-{2,3,4,5,6})+H6-F6)/7))</f>
        <v>4</v>
      </c>
      <c r="D6" t="s">
        <v>113</v>
      </c>
      <c r="E6" t="s">
        <v>212</v>
      </c>
      <c r="F6" s="6">
        <v>44026</v>
      </c>
      <c r="G6" s="6" t="s">
        <v>111</v>
      </c>
      <c r="H6" s="6">
        <v>44030</v>
      </c>
    </row>
    <row r="7" spans="1:11">
      <c r="B7" s="132" t="s">
        <v>17</v>
      </c>
      <c r="C7" t="str">
        <f>IF(AND(F10=E10,F11=E11),IF(SUM(H10:H11)&gt;SUM(G10:G11),"Delayed",IF(SUM(H10:H11)&lt;SUM(G10:G11),"InAdvanced","Ontime")),"N/A")</f>
        <v>InAdvanced</v>
      </c>
      <c r="F7" s="6"/>
      <c r="G7" s="6"/>
      <c r="H7" s="6"/>
    </row>
    <row r="9" spans="1:11" ht="75">
      <c r="C9" s="133" t="s">
        <v>25</v>
      </c>
      <c r="D9" s="133" t="s">
        <v>26</v>
      </c>
      <c r="E9" s="134" t="s">
        <v>114</v>
      </c>
      <c r="F9" s="134" t="s">
        <v>115</v>
      </c>
      <c r="G9" s="134" t="s">
        <v>116</v>
      </c>
      <c r="H9" s="134" t="s">
        <v>117</v>
      </c>
      <c r="I9" s="134" t="s">
        <v>29</v>
      </c>
      <c r="J9" s="134" t="str">
        <f>Table!$C$41</f>
        <v>OPL</v>
      </c>
      <c r="K9" s="134" t="str">
        <f>Table!$C$42</f>
        <v>Defect</v>
      </c>
    </row>
    <row r="10" spans="1:11">
      <c r="C10" s="40">
        <v>1</v>
      </c>
      <c r="D10" s="38" t="str">
        <f>Table!$D$3</f>
        <v>PSW</v>
      </c>
      <c r="E10" s="38">
        <f>SUMIFS(Merged_JOEM!$W$60:$W$564,Merged_JOEM!$D$60:$D$564,D10, Merged_JOEM!$E$60:$E$564,C3)</f>
        <v>2079</v>
      </c>
      <c r="F10" s="38">
        <f>SUMIFS(Merged_JOEM!$X$60:$X$564,Merged_JOEM!$D$60:$D$564,D10, Merged_JOEM!$E$60:$E$564,C3)-SUM(SUMIFS(Merged_JOEM!$X$60:$X$564,Merged_JOEM!$D$60:$D$564,D10,Merged_JOEM!$AA$60:$AA$564,{"Ongoing","N/A",""},Merged_JOEM!$E$60:$E$564,C3))</f>
        <v>2079</v>
      </c>
      <c r="G10" s="38">
        <f>1/8*(SUMIFS(Merged_JOEM!$Y$60:$Y$564,Merged_JOEM!$D$60:$D$564,D10, Merged_JOEM!$E$60:$E$564,C3))</f>
        <v>4.620000000000001</v>
      </c>
      <c r="H10" s="38">
        <f>1/8*(SUMIFS(Merged_JOEM!$Z$60:$Z$564,Merged_JOEM!$D$60:$D$564,D10, Merged_JOEM!$E$60:$E$564,C3)-SUM(SUMIFS(Merged_JOEM!$Z$60:$Z$564,Merged_JOEM!$D$60:$D$564,D10,Merged_JOEM!$AA$60:$AA$564,{"Ongoing","N/A",""},Merged_JOEM!$E$60:$E$564,C3)))</f>
        <v>3</v>
      </c>
      <c r="I10" s="235">
        <f>IFERROR(F10/E10,"N/A")</f>
        <v>1</v>
      </c>
      <c r="J10" s="3">
        <f>COUNTIFS(Merged_JOEM!$AK$60:$AK$564,J9,Merged_JOEM!$D$60:$D$564,D10,Merged_JOEM!$E$60:$E$564,C3)</f>
        <v>0</v>
      </c>
      <c r="K10" s="3">
        <f>COUNTIFS(Merged_JOEM!$AK$60:$AK$564,K9,Merged_JOEM!$D$60:$D$564,D10,Merged_JOEM!$E$60:$E$564,C3)</f>
        <v>0</v>
      </c>
    </row>
    <row r="11" spans="1:11">
      <c r="C11" s="40">
        <v>2</v>
      </c>
      <c r="D11" s="38" t="str">
        <f>Table!$C$3</f>
        <v>ASW</v>
      </c>
      <c r="E11" s="38">
        <f>SUMIFS(Merged_JOEM!$W$60:$W$564,Merged_JOEM!$D$60:$D$564,D11, Merged_JOEM!$E$60:$E$564,C3)</f>
        <v>1914.9</v>
      </c>
      <c r="F11" s="38">
        <f>SUMIFS(Merged_JOEM!$X$60:$X$564,Merged_JOEM!$D$60:$D$564,D11, Merged_JOEM!$E$60:$E$564,C3)-SUM(SUMIFS(Merged_JOEM!$X$60:$X$564,Merged_JOEM!$D$60:$D$564,D11,Merged_JOEM!$AA$60:$AA$564,{"Ongoing","N/A",""},Merged_JOEM!$E$60:$E$564,C3))</f>
        <v>1914.9</v>
      </c>
      <c r="G11" s="38">
        <f>1/8*(SUMIFS(Merged_JOEM!$Y$60:$Y$564,Merged_JOEM!$D$60:$D$564,D11,Merged_JOEM!$E$60:$E$564,C3))</f>
        <v>14.73</v>
      </c>
      <c r="H11" s="38">
        <f>1/8*(SUMIFS(Merged_JOEM!$Z$60:$Z$564,Merged_JOEM!$D$60:$D$564,D11,Merged_JOEM!$E$60:$E$564,C3)-SUM(SUMIFS(Merged_JOEM!$Z$60:$Z$564,Merged_JOEM!$D$60:$D$564,D11,Merged_JOEM!$AA$60:$AA$564,{"Ongoing","N/A",""},Merged_JOEM!$E$60:$E$564,C3)))</f>
        <v>9.5574999999999992</v>
      </c>
      <c r="I11" s="235">
        <f>IFERROR(F11/E11,"N/A")</f>
        <v>1</v>
      </c>
      <c r="J11" s="3">
        <f>COUNTIFS(Merged_JOEM!$AK$60:$AK$564,J9,Merged_JOEM!$D$60:$D$564,D11,Merged_JOEM!$E$60:$E$564,C3)</f>
        <v>0</v>
      </c>
      <c r="K11" s="3">
        <f>COUNTIFS(Merged_JOEM!$AK$60:$AK$564,K9,Merged_JOEM!$D$60:$D$564,D11,Merged_JOEM!$E$60:$E$564,C3)</f>
        <v>0</v>
      </c>
    </row>
    <row r="13" spans="1:11">
      <c r="C13" t="s">
        <v>118</v>
      </c>
    </row>
    <row r="14" spans="1:11">
      <c r="D14" s="34" t="s">
        <v>625</v>
      </c>
    </row>
    <row r="15" spans="1:11">
      <c r="D15" s="34"/>
    </row>
    <row r="16" spans="1:11">
      <c r="A16">
        <v>2</v>
      </c>
      <c r="B16" s="232" t="s">
        <v>53</v>
      </c>
      <c r="C16" s="232" t="s">
        <v>605</v>
      </c>
    </row>
    <row r="17" spans="1:16">
      <c r="B17" s="232" t="s">
        <v>112</v>
      </c>
      <c r="C17">
        <f>SUM(G23:G24)</f>
        <v>7.8900000000000015</v>
      </c>
      <c r="D17" t="s">
        <v>113</v>
      </c>
    </row>
    <row r="18" spans="1:16">
      <c r="B18" s="232" t="s">
        <v>119</v>
      </c>
      <c r="C18">
        <f>SUM(INT((WEEKDAY(F18-{2,3,4,5,6})+H18-F18)/7))</f>
        <v>2</v>
      </c>
      <c r="D18" t="s">
        <v>113</v>
      </c>
      <c r="E18" t="s">
        <v>141</v>
      </c>
      <c r="F18" s="6">
        <v>44061</v>
      </c>
      <c r="G18" s="6" t="s">
        <v>111</v>
      </c>
      <c r="H18" s="6">
        <v>44062</v>
      </c>
    </row>
    <row r="19" spans="1:16">
      <c r="B19" s="232" t="s">
        <v>120</v>
      </c>
      <c r="C19">
        <f>SUM(INT((WEEKDAY(F19-{2,3,4,5,6})+H19-F19)/7))</f>
        <v>2</v>
      </c>
      <c r="D19" t="s">
        <v>113</v>
      </c>
      <c r="E19" t="s">
        <v>212</v>
      </c>
      <c r="F19" s="6">
        <v>44061</v>
      </c>
      <c r="G19" s="6" t="s">
        <v>111</v>
      </c>
      <c r="H19" s="6">
        <v>44062</v>
      </c>
    </row>
    <row r="20" spans="1:16">
      <c r="B20" s="232" t="s">
        <v>17</v>
      </c>
      <c r="C20" t="str">
        <f>IF(AND(F23=E23,F24=E24),IF(SUM(H23:H24)&gt;SUM(G23:G24),"Delayed",IF(SUM(H23:H24)&lt;SUM(G23:G24),"InAdvanced","Ontime")),"N/A")</f>
        <v>InAdvanced</v>
      </c>
      <c r="F20" s="6"/>
      <c r="G20" s="6"/>
      <c r="H20" s="6"/>
    </row>
    <row r="22" spans="1:16" ht="75">
      <c r="C22" s="233" t="s">
        <v>25</v>
      </c>
      <c r="D22" s="233" t="s">
        <v>26</v>
      </c>
      <c r="E22" s="234" t="s">
        <v>114</v>
      </c>
      <c r="F22" s="234" t="s">
        <v>115</v>
      </c>
      <c r="G22" s="234" t="s">
        <v>116</v>
      </c>
      <c r="H22" s="234" t="s">
        <v>117</v>
      </c>
      <c r="I22" s="234" t="s">
        <v>29</v>
      </c>
      <c r="J22" s="234" t="str">
        <f>Table!$C$41</f>
        <v>OPL</v>
      </c>
      <c r="K22" s="234" t="str">
        <f>Table!$C$42</f>
        <v>Defect</v>
      </c>
    </row>
    <row r="23" spans="1:16">
      <c r="C23" s="40">
        <v>1</v>
      </c>
      <c r="D23" s="38" t="str">
        <f>Table!$D$3</f>
        <v>PSW</v>
      </c>
      <c r="E23" s="38">
        <f>SUMIFS(Merged_JOEM!$W$60:$W$564,Merged_JOEM!$D$60:$D$564,D23, Merged_JOEM!$E$60:$E$564,C16)</f>
        <v>3010.5</v>
      </c>
      <c r="F23" s="38">
        <f>SUMIFS(Merged_JOEM!$X$60:$X$564,Merged_JOEM!$D$60:$D$564,D23, Merged_JOEM!$E$60:$E$564,C16)-SUM(SUMIFS(Merged_JOEM!$X$60:$X$564,Merged_JOEM!$D$60:$D$564,D23,Merged_JOEM!$AA$60:$AA$564,{"Ongoing","N/A",""},Merged_JOEM!$E$60:$E$564,C16))</f>
        <v>3010.5</v>
      </c>
      <c r="G23" s="38">
        <f>1/8*(SUMIFS(Merged_JOEM!$Y$60:$Y$564,Merged_JOEM!$D$60:$D$564,D23, Merged_JOEM!$E$60:$E$564,C16))</f>
        <v>6.6900000000000013</v>
      </c>
      <c r="H23" s="38">
        <f>1/8*(SUMIFS(Merged_JOEM!$Z$60:$Z$564,Merged_JOEM!$D$60:$D$564,D23, Merged_JOEM!$E$60:$E$564,C16)-SUM(SUMIFS(Merged_JOEM!$Z$60:$Z$564,Merged_JOEM!$D$60:$D$564,D23,Merged_JOEM!$AA$60:$AA$564,{"Ongoing","N/A",""},Merged_JOEM!$E$60:$E$564,C16)))</f>
        <v>5.3349999999999991</v>
      </c>
      <c r="I23" s="235">
        <f>IFERROR(F23/E23,"N/A")</f>
        <v>1</v>
      </c>
      <c r="J23" s="3">
        <f>COUNTIFS(Merged_JOEM!$AK$60:$AK$564,J22,Merged_JOEM!$D$60:$D$564,D23,Merged_JOEM!$E$60:$E$564,C16)</f>
        <v>0</v>
      </c>
      <c r="K23" s="3">
        <f>COUNTIFS(Merged_JOEM!$AK$60:$AK$564,K22,Merged_JOEM!$D$60:$D$564,D23,Merged_JOEM!$E$60:$E$564,C16)</f>
        <v>0</v>
      </c>
    </row>
    <row r="24" spans="1:16">
      <c r="C24" s="40">
        <v>2</v>
      </c>
      <c r="D24" s="38" t="str">
        <f>Table!$C$3</f>
        <v>ASW</v>
      </c>
      <c r="E24" s="38">
        <f>SUMIFS(Merged_JOEM!$W$60:$W$564,Merged_JOEM!$D$60:$D$564,D24, Merged_JOEM!$E$60:$E$564,C16)</f>
        <v>156</v>
      </c>
      <c r="F24" s="38">
        <f>SUMIFS(Merged_JOEM!$X$60:$X$564,Merged_JOEM!$D$60:$D$564,D24, Merged_JOEM!$E$60:$E$564,C16)-SUM(SUMIFS(Merged_JOEM!$X$60:$X$564,Merged_JOEM!$D$60:$D$564,D24,Merged_JOEM!$AA$60:$AA$564,{"Ongoing","N/A",""},Merged_JOEM!$E$60:$E$564,C16))</f>
        <v>156</v>
      </c>
      <c r="G24" s="38">
        <f>1/8*(SUMIFS(Merged_JOEM!$Y$60:$Y$564,Merged_JOEM!$D$60:$D$564,D24,Merged_JOEM!$E$60:$E$564,C16))</f>
        <v>1.2000000000000002</v>
      </c>
      <c r="H24" s="38">
        <f>1/8*(SUMIFS(Merged_JOEM!$Z$60:$Z$564,Merged_JOEM!$D$60:$D$564,D24,Merged_JOEM!$E$60:$E$564,C16)-SUM(SUMIFS(Merged_JOEM!$Z$60:$Z$564,Merged_JOEM!$D$60:$D$564,D24,Merged_JOEM!$AA$60:$AA$564,{"Ongoing","N/A",""},Merged_JOEM!$E$60:$E$564,C16)))</f>
        <v>0</v>
      </c>
      <c r="I24" s="235">
        <f>IFERROR(F24/E24,"N/A")</f>
        <v>1</v>
      </c>
      <c r="J24" s="3">
        <f>COUNTIFS(Merged_JOEM!$AK$60:$AK$564,J22,Merged_JOEM!$D$60:$D$564,D24,Merged_JOEM!$E$60:$E$564,C16)</f>
        <v>0</v>
      </c>
      <c r="K24" s="3">
        <f>COUNTIFS(Merged_JOEM!$AK$60:$AK$564,K22,Merged_JOEM!$D$60:$D$564,D24,Merged_JOEM!$E$60:$E$564,C16)</f>
        <v>0</v>
      </c>
    </row>
    <row r="26" spans="1:16">
      <c r="C26" t="s">
        <v>118</v>
      </c>
    </row>
    <row r="27" spans="1:16">
      <c r="D27" s="34" t="s">
        <v>1054</v>
      </c>
    </row>
    <row r="30" spans="1:16">
      <c r="A30">
        <v>3</v>
      </c>
      <c r="B30" s="232" t="s">
        <v>53</v>
      </c>
      <c r="C30" s="232" t="s">
        <v>877</v>
      </c>
    </row>
    <row r="31" spans="1:16">
      <c r="B31" s="232" t="s">
        <v>112</v>
      </c>
      <c r="C31">
        <f>SUM(G37:G38)</f>
        <v>59.640000000000022</v>
      </c>
      <c r="D31" t="s">
        <v>113</v>
      </c>
    </row>
    <row r="32" spans="1:16">
      <c r="B32" s="232" t="s">
        <v>119</v>
      </c>
      <c r="C32">
        <f>SUM(INT((WEEKDAY(F32-{2,3,4,5,6})+H32-F32)/7))</f>
        <v>9</v>
      </c>
      <c r="D32" t="s">
        <v>113</v>
      </c>
      <c r="E32" t="s">
        <v>141</v>
      </c>
      <c r="F32" s="6">
        <v>44062</v>
      </c>
      <c r="G32" s="6" t="s">
        <v>111</v>
      </c>
      <c r="H32" s="6">
        <v>44074</v>
      </c>
      <c r="P32" s="7"/>
    </row>
    <row r="33" spans="1:11">
      <c r="B33" s="232" t="s">
        <v>120</v>
      </c>
      <c r="C33">
        <f>SUM(INT((WEEKDAY(F33-{2,3,4,5,6})+H33-F33)/7))</f>
        <v>9</v>
      </c>
      <c r="D33" t="s">
        <v>113</v>
      </c>
      <c r="E33" t="s">
        <v>212</v>
      </c>
      <c r="F33" s="6">
        <v>44062</v>
      </c>
      <c r="G33" s="6" t="s">
        <v>111</v>
      </c>
      <c r="H33" s="6">
        <v>44074</v>
      </c>
    </row>
    <row r="34" spans="1:11">
      <c r="B34" s="232" t="s">
        <v>17</v>
      </c>
      <c r="C34" t="str">
        <f>IF(AND(F37=E37,F38=E38),IF(SUM(H37:H38)&gt;SUM(G37:G38),"Delayed",IF(SUM(H37:H38)&lt;SUM(G37:G38),"InAdvanced","Ontime")),"N/A")</f>
        <v>InAdvanced</v>
      </c>
      <c r="F34" s="6"/>
      <c r="G34" s="6"/>
      <c r="H34" s="6"/>
    </row>
    <row r="36" spans="1:11" ht="75">
      <c r="C36" s="233" t="s">
        <v>25</v>
      </c>
      <c r="D36" s="233" t="s">
        <v>26</v>
      </c>
      <c r="E36" s="234" t="s">
        <v>114</v>
      </c>
      <c r="F36" s="234" t="s">
        <v>115</v>
      </c>
      <c r="G36" s="234" t="s">
        <v>116</v>
      </c>
      <c r="H36" s="234" t="s">
        <v>117</v>
      </c>
      <c r="I36" s="234" t="s">
        <v>29</v>
      </c>
      <c r="J36" s="234" t="str">
        <f>Table!$C$41</f>
        <v>OPL</v>
      </c>
      <c r="K36" s="234" t="str">
        <f>Table!$C$42</f>
        <v>Defect</v>
      </c>
    </row>
    <row r="37" spans="1:11">
      <c r="C37" s="40">
        <v>1</v>
      </c>
      <c r="D37" s="38" t="str">
        <f>Table!$D$3</f>
        <v>PSW</v>
      </c>
      <c r="E37" s="38">
        <f>SUMIFS(Merged_JOEM!$W$60:$W$564,Merged_JOEM!$D$60:$D$564,D37, Merged_JOEM!$E$60:$E$564,C30)</f>
        <v>2826</v>
      </c>
      <c r="F37" s="38">
        <f>SUMIFS(Merged_JOEM!$X$60:$X$564,Merged_JOEM!$D$60:$D$564,D37, Merged_JOEM!$E$60:$E$564,C30)-SUM(SUMIFS(Merged_JOEM!$X$60:$X$564,Merged_JOEM!$D$60:$D$564,D37,Merged_JOEM!$AA$60:$AA$564,{"Ongoing","N/A",""},Merged_JOEM!$E$60:$E$564,C30))</f>
        <v>2826</v>
      </c>
      <c r="G37" s="38">
        <f>1/8*(SUMIFS(Merged_JOEM!$Y$60:$Y$564,Merged_JOEM!$D$60:$D$564,D37, Merged_JOEM!$E$60:$E$564,C30))</f>
        <v>6.2799999999999994</v>
      </c>
      <c r="H37" s="38">
        <f>1/8*(SUMIFS(Merged_JOEM!$Z$60:$Z$564,Merged_JOEM!$D$60:$D$564,D37, Merged_JOEM!$E$60:$E$564,C30)-SUM(SUMIFS(Merged_JOEM!$Z$60:$Z$564,Merged_JOEM!$D$60:$D$564,D37,Merged_JOEM!$AA$60:$AA$564,{"Ongoing","N/A",""},Merged_JOEM!$E$60:$E$564,C30)))</f>
        <v>0</v>
      </c>
      <c r="I37" s="61">
        <f>IFERROR(F37/E37,"N/A")</f>
        <v>1</v>
      </c>
      <c r="J37" s="3">
        <f>COUNTIFS(Merged_JOEM!$AK$60:$AK$564,J36,Merged_JOEM!$D$60:$D$564,D37,Merged_JOEM!$E$60:$E$564,C30)</f>
        <v>1</v>
      </c>
      <c r="K37" s="3">
        <f>COUNTIFS(Merged_JOEM!$AK$60:$AK$564,K36,Merged_JOEM!$D$60:$D$564,D37,Merged_JOEM!$E$60:$E$564,C30)</f>
        <v>1</v>
      </c>
    </row>
    <row r="38" spans="1:11">
      <c r="C38" s="40">
        <v>2</v>
      </c>
      <c r="D38" s="38" t="str">
        <f>Table!$C$3</f>
        <v>ASW</v>
      </c>
      <c r="E38" s="38">
        <f>SUMIFS(Merged_JOEM!$W$60:$W$564,Merged_JOEM!$D$60:$D$564,D38, Merged_JOEM!$E$60:$E$564,C30)</f>
        <v>6936.8</v>
      </c>
      <c r="F38" s="38">
        <f>SUMIFS(Merged_JOEM!$X$60:$X$564,Merged_JOEM!$D$60:$D$564,D38, Merged_JOEM!$E$60:$E$564,C30)-SUM(SUMIFS(Merged_JOEM!$X$60:$X$564,Merged_JOEM!$D$60:$D$564,D38,Merged_JOEM!$AA$60:$AA$564,{"Ongoing","N/A",""},Merged_JOEM!$E$60:$E$564,C30))</f>
        <v>6936.8</v>
      </c>
      <c r="G38" s="38">
        <f>1/8*(SUMIFS(Merged_JOEM!$Y$60:$Y$564,Merged_JOEM!$D$60:$D$564,D38,Merged_JOEM!$E$60:$E$564,C30))</f>
        <v>53.360000000000021</v>
      </c>
      <c r="H38" s="38">
        <f>1/8*(SUMIFS(Merged_JOEM!$Z$60:$Z$564,Merged_JOEM!$D$60:$D$564,D38,Merged_JOEM!$E$60:$E$564,C30)-SUM(SUMIFS(Merged_JOEM!$Z$60:$Z$564,Merged_JOEM!$D$60:$D$564,D38,Merged_JOEM!$AA$60:$AA$564,{"Ongoing","N/A",""},Merged_JOEM!$E$60:$E$564,C30)))</f>
        <v>40.562499999999993</v>
      </c>
      <c r="I38" s="61">
        <f>IFERROR(F38/E38,"N/A")</f>
        <v>1</v>
      </c>
      <c r="J38" s="3">
        <f>COUNTIFS(Merged_JOEM!$AK$60:$AK$564,J36,Merged_JOEM!$D$60:$D$564,D38,Merged_JOEM!$E$60:$E$564,C30)</f>
        <v>2</v>
      </c>
      <c r="K38" s="3">
        <f>COUNTIFS(Merged_JOEM!$AK$60:$AK$564,K36,Merged_JOEM!$D$60:$D$564,D38,Merged_JOEM!$E$60:$E$564,C30)</f>
        <v>0</v>
      </c>
    </row>
    <row r="40" spans="1:11">
      <c r="C40" t="s">
        <v>118</v>
      </c>
    </row>
    <row r="41" spans="1:11">
      <c r="D41" s="34" t="s">
        <v>892</v>
      </c>
    </row>
    <row r="43" spans="1:11">
      <c r="A43">
        <v>4</v>
      </c>
      <c r="B43" s="232" t="s">
        <v>53</v>
      </c>
      <c r="C43" s="232" t="s">
        <v>1093</v>
      </c>
    </row>
    <row r="44" spans="1:11">
      <c r="B44" s="232" t="s">
        <v>112</v>
      </c>
      <c r="C44">
        <f>SUM(G50:G51)</f>
        <v>0.9375</v>
      </c>
      <c r="D44" t="s">
        <v>113</v>
      </c>
    </row>
    <row r="45" spans="1:11">
      <c r="B45" s="232" t="s">
        <v>119</v>
      </c>
      <c r="C45">
        <f>SUM(INT((WEEKDAY(F45-{2,3,4,5,6})+H45-F45)/7))</f>
        <v>1</v>
      </c>
      <c r="D45" t="s">
        <v>113</v>
      </c>
      <c r="E45" t="s">
        <v>141</v>
      </c>
      <c r="F45" s="6">
        <v>44064</v>
      </c>
      <c r="G45" s="6" t="s">
        <v>111</v>
      </c>
      <c r="H45" s="6">
        <v>44064</v>
      </c>
    </row>
    <row r="46" spans="1:11">
      <c r="B46" s="232" t="s">
        <v>120</v>
      </c>
      <c r="C46">
        <f>SUM(INT((WEEKDAY(F46-{2,3,4,5,6})+H46-F46)/7))</f>
        <v>1</v>
      </c>
      <c r="D46" t="s">
        <v>113</v>
      </c>
      <c r="E46" t="s">
        <v>212</v>
      </c>
      <c r="F46" s="6">
        <v>44064</v>
      </c>
      <c r="G46" s="6" t="s">
        <v>111</v>
      </c>
      <c r="H46" s="6">
        <v>44064</v>
      </c>
    </row>
    <row r="47" spans="1:11">
      <c r="B47" s="232" t="s">
        <v>17</v>
      </c>
      <c r="C47" t="str">
        <f>IF(AND(F50=E50,F51=E51),IF(SUM(H50:H51)&gt;SUM(G50:G51),"Delayed",IF(SUM(H50:H51)&lt;SUM(G50:G51),"InAdvanced","Ontime")),"N/A")</f>
        <v>InAdvanced</v>
      </c>
      <c r="F47" s="6"/>
      <c r="G47" s="6"/>
      <c r="H47" s="6"/>
    </row>
    <row r="49" spans="1:11" ht="75">
      <c r="C49" s="233" t="s">
        <v>25</v>
      </c>
      <c r="D49" s="233" t="s">
        <v>26</v>
      </c>
      <c r="E49" s="234" t="s">
        <v>114</v>
      </c>
      <c r="F49" s="234" t="s">
        <v>115</v>
      </c>
      <c r="G49" s="234" t="s">
        <v>116</v>
      </c>
      <c r="H49" s="234" t="s">
        <v>117</v>
      </c>
      <c r="I49" s="234" t="s">
        <v>29</v>
      </c>
      <c r="J49" s="234" t="str">
        <f>Table!$C$41</f>
        <v>OPL</v>
      </c>
      <c r="K49" s="234" t="str">
        <f>Table!$C$42</f>
        <v>Defect</v>
      </c>
    </row>
    <row r="50" spans="1:11">
      <c r="C50" s="40">
        <v>1</v>
      </c>
      <c r="D50" s="38" t="str">
        <f>Table!$D$3</f>
        <v>PSW</v>
      </c>
      <c r="E50" s="38">
        <f>SUMIFS(Merged_JOEM!$W$60:$W$564,Merged_JOEM!$D$60:$D$564,D50, Merged_JOEM!$E$60:$E$564,C43)</f>
        <v>0</v>
      </c>
      <c r="F50" s="38">
        <f>SUMIFS(Merged_JOEM!$X$60:$X$564,Merged_JOEM!$D$60:$D$564,D50, Merged_JOEM!$E$60:$E$564,C43)-SUM(SUMIFS(Merged_JOEM!$X$60:$X$564,Merged_JOEM!$D$60:$D$564,D50,Merged_JOEM!$AA$60:$AA$564,{"Ongoing","N/A",""},Merged_JOEM!$E$60:$E$564,C43))</f>
        <v>0</v>
      </c>
      <c r="G50" s="38">
        <f>1/8*(SUMIFS(Merged_JOEM!$Y$60:$Y$564,Merged_JOEM!$D$60:$D$564,D50, Merged_JOEM!$E$60:$E$564,C43))</f>
        <v>0</v>
      </c>
      <c r="H50" s="38">
        <f>1/8*(SUMIFS(Merged_JOEM!$Z$60:$Z$564,Merged_JOEM!$D$60:$D$564,D50, Merged_JOEM!$E$60:$E$564,C43)-SUM(SUMIFS(Merged_JOEM!$Z$60:$Z$564,Merged_JOEM!$D$60:$D$564,D50,Merged_JOEM!$AA$60:$AA$564,{"Ongoing","N/A",""},Merged_JOEM!$E$60:$E$564,C43)))</f>
        <v>0</v>
      </c>
      <c r="I50" s="235" t="str">
        <f>IFERROR(F50/E50,"N/A")</f>
        <v>N/A</v>
      </c>
      <c r="J50" s="3">
        <f>COUNTIFS(Merged_JOEM!$AK$60:$AK$564,J49,Merged_JOEM!$D$60:$D$564,D50,Merged_JOEM!$E$60:$E$564,C43)</f>
        <v>0</v>
      </c>
      <c r="K50" s="3">
        <f>COUNTIFS(Merged_JOEM!$AK$60:$AK$564,K49,Merged_JOEM!$D$60:$D$564,D50,Merged_JOEM!$E$60:$E$564,C43)</f>
        <v>0</v>
      </c>
    </row>
    <row r="51" spans="1:11">
      <c r="C51" s="40">
        <v>2</v>
      </c>
      <c r="D51" s="38" t="str">
        <f>Table!$C$3</f>
        <v>ASW</v>
      </c>
      <c r="E51" s="38">
        <f>SUMIFS(Merged_JOEM!$W$60:$W$564,Merged_JOEM!$D$60:$D$564,D51, Merged_JOEM!$E$60:$E$564,C43)</f>
        <v>121.875</v>
      </c>
      <c r="F51" s="38">
        <f>SUMIFS(Merged_JOEM!$X$60:$X$564,Merged_JOEM!$D$60:$D$564,D51, Merged_JOEM!$E$60:$E$564,C43)-SUM(SUMIFS(Merged_JOEM!$X$60:$X$564,Merged_JOEM!$D$60:$D$564,D51,Merged_JOEM!$AA$60:$AA$564,{"Ongoing","N/A",""},Merged_JOEM!$E$60:$E$564,C43))</f>
        <v>121.875</v>
      </c>
      <c r="G51" s="38">
        <f>1/8*(SUMIFS(Merged_JOEM!$Y$60:$Y$564,Merged_JOEM!$D$60:$D$564,D51,Merged_JOEM!$E$60:$E$564,C43))</f>
        <v>0.9375</v>
      </c>
      <c r="H51" s="38">
        <f>1/8*(SUMIFS(Merged_JOEM!$Z$60:$Z$564,Merged_JOEM!$D$60:$D$564,D51,Merged_JOEM!$E$60:$E$564,C43)-SUM(SUMIFS(Merged_JOEM!$Z$60:$Z$564,Merged_JOEM!$D$60:$D$564,D51,Merged_JOEM!$AA$60:$AA$564,{"Ongoing","N/A",""},Merged_JOEM!$E$60:$E$564,C43)))</f>
        <v>0</v>
      </c>
      <c r="I51" s="235">
        <f>IFERROR(F51/E51,"N/A")</f>
        <v>1</v>
      </c>
      <c r="J51" s="3">
        <f>COUNTIFS(Merged_JOEM!$AK$60:$AK$564,J49,Merged_JOEM!$D$60:$D$564,D51,Merged_JOEM!$E$60:$E$564,C43)</f>
        <v>0</v>
      </c>
      <c r="K51" s="3">
        <f>COUNTIFS(Merged_JOEM!$AK$60:$AK$564,K49,Merged_JOEM!$D$60:$D$564,D51,Merged_JOEM!$E$60:$E$564,C43)</f>
        <v>0</v>
      </c>
    </row>
    <row r="53" spans="1:11">
      <c r="C53" t="s">
        <v>118</v>
      </c>
    </row>
    <row r="54" spans="1:11">
      <c r="D54" s="34" t="s">
        <v>1094</v>
      </c>
    </row>
    <row r="56" spans="1:11">
      <c r="A56">
        <v>5</v>
      </c>
      <c r="B56" s="232" t="s">
        <v>53</v>
      </c>
      <c r="C56" s="232" t="s">
        <v>1196</v>
      </c>
    </row>
    <row r="57" spans="1:11">
      <c r="B57" s="232" t="s">
        <v>112</v>
      </c>
      <c r="C57">
        <f>SUM(G63:G64)</f>
        <v>0.5</v>
      </c>
      <c r="D57" t="s">
        <v>113</v>
      </c>
    </row>
    <row r="58" spans="1:11">
      <c r="B58" s="232" t="s">
        <v>119</v>
      </c>
      <c r="C58">
        <f>SUM(INT((WEEKDAY(F58-{2,3,4,5,6})+H58-F58)/7))</f>
        <v>1</v>
      </c>
      <c r="D58" t="s">
        <v>113</v>
      </c>
      <c r="E58" t="s">
        <v>141</v>
      </c>
      <c r="F58" s="6">
        <v>44068</v>
      </c>
      <c r="G58" s="6" t="s">
        <v>111</v>
      </c>
      <c r="H58" s="6">
        <v>44068</v>
      </c>
    </row>
    <row r="59" spans="1:11">
      <c r="B59" s="232" t="s">
        <v>120</v>
      </c>
      <c r="C59">
        <f>SUM(INT((WEEKDAY(F59-{2,3,4,5,6})+H59-F59)/7))</f>
        <v>1</v>
      </c>
      <c r="D59" t="s">
        <v>113</v>
      </c>
      <c r="E59" t="s">
        <v>212</v>
      </c>
      <c r="F59" s="6">
        <v>44068</v>
      </c>
      <c r="G59" s="6" t="s">
        <v>111</v>
      </c>
      <c r="H59" s="6">
        <v>44068</v>
      </c>
    </row>
    <row r="60" spans="1:11">
      <c r="B60" s="232" t="s">
        <v>17</v>
      </c>
      <c r="C60" t="str">
        <f>IF(AND(F63=E63,F64=E64),IF(SUM(H63:H64)&gt;SUM(G63:G64),"Delayed",IF(SUM(H63:H64)&lt;SUM(G63:G64),"InAdvanced","Ontime")),"N/A")</f>
        <v>InAdvanced</v>
      </c>
      <c r="F60" s="6"/>
      <c r="G60" s="6"/>
      <c r="H60" s="6"/>
    </row>
    <row r="62" spans="1:11" ht="75">
      <c r="C62" s="233" t="s">
        <v>25</v>
      </c>
      <c r="D62" s="233" t="s">
        <v>26</v>
      </c>
      <c r="E62" s="234" t="s">
        <v>114</v>
      </c>
      <c r="F62" s="234" t="s">
        <v>115</v>
      </c>
      <c r="G62" s="234" t="s">
        <v>116</v>
      </c>
      <c r="H62" s="234" t="s">
        <v>117</v>
      </c>
      <c r="I62" s="234" t="s">
        <v>29</v>
      </c>
      <c r="J62" s="234" t="str">
        <f>Table!$C$41</f>
        <v>OPL</v>
      </c>
      <c r="K62" s="234" t="str">
        <f>Table!$C$42</f>
        <v>Defect</v>
      </c>
    </row>
    <row r="63" spans="1:11">
      <c r="C63" s="40">
        <v>1</v>
      </c>
      <c r="D63" s="38" t="str">
        <f>Table!$D$3</f>
        <v>PSW</v>
      </c>
      <c r="E63" s="38">
        <f>SUMIFS(Merged_JOEM!$W$60:$W$564,Merged_JOEM!$D$60:$D$564,D63, Merged_JOEM!$E$60:$E$564,C56)</f>
        <v>0</v>
      </c>
      <c r="F63" s="38">
        <f>SUMIFS(Merged_JOEM!$X$60:$X$564,Merged_JOEM!$D$60:$D$564,D63, Merged_JOEM!$E$60:$E$564,C56)-SUM(SUMIFS(Merged_JOEM!$X$60:$X$564,Merged_JOEM!$D$60:$D$564,D63,Merged_JOEM!$AA$60:$AA$564,{"Ongoing","N/A",""},Merged_JOEM!$E$60:$E$564,C56))</f>
        <v>0</v>
      </c>
      <c r="G63" s="38">
        <f>1/8*(SUMIFS(Merged_JOEM!$Y$60:$Y$564,Merged_JOEM!$D$60:$D$564,D63, Merged_JOEM!$E$60:$E$564,C56))</f>
        <v>0</v>
      </c>
      <c r="H63" s="38">
        <f>1/8*(SUMIFS(Merged_JOEM!$Z$60:$Z$564,Merged_JOEM!$D$60:$D$564,D63, Merged_JOEM!$E$60:$E$564,C56)-SUM(SUMIFS(Merged_JOEM!$Z$60:$Z$564,Merged_JOEM!$D$60:$D$564,D63,Merged_JOEM!$AA$60:$AA$564,{"Ongoing","N/A",""},Merged_JOEM!$E$60:$E$564,C56)))</f>
        <v>0</v>
      </c>
      <c r="I63" s="235" t="str">
        <f>IFERROR(F63/E63,"N/A")</f>
        <v>N/A</v>
      </c>
      <c r="J63" s="3">
        <f>COUNTIFS(Merged_JOEM!$AK$60:$AK$564,J62,Merged_JOEM!$D$60:$D$564,D63,Merged_JOEM!$E$60:$E$564,C56)</f>
        <v>0</v>
      </c>
      <c r="K63" s="3">
        <f>COUNTIFS(Merged_JOEM!$AK$60:$AK$564,K62,Merged_JOEM!$D$60:$D$564,D63,Merged_JOEM!$E$60:$E$564,C56)</f>
        <v>0</v>
      </c>
    </row>
    <row r="64" spans="1:11">
      <c r="C64" s="40">
        <v>2</v>
      </c>
      <c r="D64" s="38" t="str">
        <f>Table!$C$3</f>
        <v>ASW</v>
      </c>
      <c r="E64" s="38">
        <f>SUMIFS(Merged_JOEM!$W$60:$W$564,Merged_JOEM!$D$60:$D$564,D64, Merged_JOEM!$E$60:$E$564,C56)</f>
        <v>65</v>
      </c>
      <c r="F64" s="38">
        <f>SUMIFS(Merged_JOEM!$X$60:$X$564,Merged_JOEM!$D$60:$D$564,D64, Merged_JOEM!$E$60:$E$564,C56)-SUM(SUMIFS(Merged_JOEM!$X$60:$X$564,Merged_JOEM!$D$60:$D$564,D64,Merged_JOEM!$AA$60:$AA$564,{"Ongoing","N/A",""},Merged_JOEM!$E$60:$E$564,C56))</f>
        <v>65</v>
      </c>
      <c r="G64" s="38">
        <f>1/8*(SUMIFS(Merged_JOEM!$Y$60:$Y$564,Merged_JOEM!$D$60:$D$564,D64,Merged_JOEM!$E$60:$E$564,C56))</f>
        <v>0.5</v>
      </c>
      <c r="H64" s="38">
        <f>1/8*(SUMIFS(Merged_JOEM!$Z$60:$Z$564,Merged_JOEM!$D$60:$D$564,D64,Merged_JOEM!$E$60:$E$564,C56)-SUM(SUMIFS(Merged_JOEM!$Z$60:$Z$564,Merged_JOEM!$D$60:$D$564,D64,Merged_JOEM!$AA$60:$AA$564,{"Ongoing","N/A",""},Merged_JOEM!$E$60:$E$564,C56)))</f>
        <v>0</v>
      </c>
      <c r="I64" s="235">
        <f>IFERROR(F64/E64,"N/A")</f>
        <v>1</v>
      </c>
      <c r="J64" s="3">
        <f>COUNTIFS(Merged_JOEM!$AK$60:$AK$564,J62,Merged_JOEM!$D$60:$D$564,D64,Merged_JOEM!$E$60:$E$564,C56)</f>
        <v>0</v>
      </c>
      <c r="K64" s="3">
        <f>COUNTIFS(Merged_JOEM!$AK$60:$AK$564,K62,Merged_JOEM!$D$60:$D$564,D64,Merged_JOEM!$E$60:$E$564,C56)</f>
        <v>0</v>
      </c>
    </row>
    <row r="66" spans="1:11">
      <c r="C66" t="s">
        <v>118</v>
      </c>
    </row>
    <row r="67" spans="1:11">
      <c r="D67" s="34" t="s">
        <v>1199</v>
      </c>
    </row>
    <row r="69" spans="1:11">
      <c r="A69">
        <v>6</v>
      </c>
      <c r="B69" s="232" t="s">
        <v>53</v>
      </c>
      <c r="C69" s="232" t="s">
        <v>1247</v>
      </c>
    </row>
    <row r="70" spans="1:11">
      <c r="B70" s="232" t="s">
        <v>112</v>
      </c>
      <c r="C70">
        <f>SUM(G76:G77)</f>
        <v>0.375</v>
      </c>
      <c r="D70" t="s">
        <v>113</v>
      </c>
    </row>
    <row r="71" spans="1:11">
      <c r="B71" s="232" t="s">
        <v>119</v>
      </c>
      <c r="C71">
        <f>SUM(INT((WEEKDAY(F71-{2,3,4,5,6})+H71-F71)/7))</f>
        <v>1</v>
      </c>
      <c r="D71" t="s">
        <v>113</v>
      </c>
      <c r="E71" t="s">
        <v>141</v>
      </c>
      <c r="F71" s="6">
        <v>44069</v>
      </c>
      <c r="G71" s="6" t="s">
        <v>111</v>
      </c>
      <c r="H71" s="6">
        <v>44069</v>
      </c>
    </row>
    <row r="72" spans="1:11">
      <c r="B72" s="232" t="s">
        <v>120</v>
      </c>
      <c r="C72">
        <f>SUM(INT((WEEKDAY(F72-{2,3,4,5,6})+H72-F72)/7))</f>
        <v>1</v>
      </c>
      <c r="D72" t="s">
        <v>113</v>
      </c>
      <c r="E72" t="s">
        <v>212</v>
      </c>
      <c r="F72" s="6">
        <v>44069</v>
      </c>
      <c r="G72" s="6" t="s">
        <v>111</v>
      </c>
      <c r="H72" s="6">
        <v>44069</v>
      </c>
    </row>
    <row r="73" spans="1:11">
      <c r="B73" s="232" t="s">
        <v>17</v>
      </c>
      <c r="C73" t="str">
        <f>IF(AND(F76=E76,F77=E77),IF(SUM(H76:H77)&gt;SUM(G76:G77),"Delayed",IF(SUM(H76:H77)&lt;SUM(G76:G77),"InAdvanced","Ontime")),"N/A")</f>
        <v>InAdvanced</v>
      </c>
      <c r="F73" s="6"/>
      <c r="G73" s="6"/>
      <c r="H73" s="6"/>
    </row>
    <row r="75" spans="1:11" ht="75">
      <c r="C75" s="233" t="s">
        <v>25</v>
      </c>
      <c r="D75" s="233" t="s">
        <v>26</v>
      </c>
      <c r="E75" s="234" t="s">
        <v>114</v>
      </c>
      <c r="F75" s="234" t="s">
        <v>115</v>
      </c>
      <c r="G75" s="234" t="s">
        <v>116</v>
      </c>
      <c r="H75" s="234" t="s">
        <v>117</v>
      </c>
      <c r="I75" s="234" t="s">
        <v>29</v>
      </c>
      <c r="J75" s="234" t="str">
        <f>Table!$C$41</f>
        <v>OPL</v>
      </c>
      <c r="K75" s="234" t="str">
        <f>Table!$C$42</f>
        <v>Defect</v>
      </c>
    </row>
    <row r="76" spans="1:11">
      <c r="C76" s="40">
        <v>1</v>
      </c>
      <c r="D76" s="38" t="str">
        <f>Table!$D$3</f>
        <v>PSW</v>
      </c>
      <c r="E76" s="38">
        <f>SUMIFS(Merged_JOEM!$W$60:$W$564,Merged_JOEM!$D$60:$D$564,D76, Merged_JOEM!$E$60:$E$564,C69)</f>
        <v>0</v>
      </c>
      <c r="F76" s="38">
        <f>SUMIFS(Merged_JOEM!$X$60:$X$564,Merged_JOEM!$D$60:$D$564,D76, Merged_JOEM!$E$60:$E$564,C69)-SUM(SUMIFS(Merged_JOEM!$X$60:$X$564,Merged_JOEM!$D$60:$D$564,D76,Merged_JOEM!$AA$60:$AA$564,{"Ongoing","N/A",""},Merged_JOEM!$E$60:$E$564,C69))</f>
        <v>0</v>
      </c>
      <c r="G76" s="38">
        <f>1/8*(SUMIFS(Merged_JOEM!$Y$60:$Y$564,Merged_JOEM!$D$60:$D$564,D76, Merged_JOEM!$E$60:$E$564,C69))</f>
        <v>0</v>
      </c>
      <c r="H76" s="38">
        <f>1/8*(SUMIFS(Merged_JOEM!$Z$60:$Z$564,Merged_JOEM!$D$60:$D$564,D76, Merged_JOEM!$E$60:$E$564,C69)-SUM(SUMIFS(Merged_JOEM!$Z$60:$Z$564,Merged_JOEM!$D$60:$D$564,D76,Merged_JOEM!$AA$60:$AA$564,{"Ongoing","N/A",""},Merged_JOEM!$E$60:$E$564,C69)))</f>
        <v>0</v>
      </c>
      <c r="I76" s="235" t="str">
        <f>IFERROR(F76/E76,"N/A")</f>
        <v>N/A</v>
      </c>
      <c r="J76" s="3">
        <f>COUNTIFS(Merged_JOEM!$AK$60:$AK$564,J75,Merged_JOEM!$D$60:$D$564,D76,Merged_JOEM!$E$60:$E$564,C69)</f>
        <v>0</v>
      </c>
      <c r="K76" s="3">
        <f>COUNTIFS(Merged_JOEM!$AK$60:$AK$564,K75,Merged_JOEM!$D$60:$D$564,D76,Merged_JOEM!$E$60:$E$564,C69)</f>
        <v>0</v>
      </c>
    </row>
    <row r="77" spans="1:11">
      <c r="C77" s="40">
        <v>2</v>
      </c>
      <c r="D77" s="38" t="str">
        <f>Table!$C$3</f>
        <v>ASW</v>
      </c>
      <c r="E77" s="38">
        <f>SUMIFS(Merged_JOEM!$W$60:$W$564,Merged_JOEM!$D$60:$D$564,D77, Merged_JOEM!$E$60:$E$564,C69)</f>
        <v>48.75</v>
      </c>
      <c r="F77" s="38">
        <f>SUMIFS(Merged_JOEM!$X$60:$X$564,Merged_JOEM!$D$60:$D$564,D77, Merged_JOEM!$E$60:$E$564,C69)-SUM(SUMIFS(Merged_JOEM!$X$60:$X$564,Merged_JOEM!$D$60:$D$564,D77,Merged_JOEM!$AA$60:$AA$564,{"Ongoing","N/A",""},Merged_JOEM!$E$60:$E$564,C69))</f>
        <v>48.75</v>
      </c>
      <c r="G77" s="38">
        <f>1/8*(SUMIFS(Merged_JOEM!$Y$60:$Y$564,Merged_JOEM!$D$60:$D$564,D77,Merged_JOEM!$E$60:$E$564,C69))</f>
        <v>0.375</v>
      </c>
      <c r="H77" s="38">
        <f>1/8*(SUMIFS(Merged_JOEM!$Z$60:$Z$564,Merged_JOEM!$D$60:$D$564,D77,Merged_JOEM!$E$60:$E$564,C69)-SUM(SUMIFS(Merged_JOEM!$Z$60:$Z$564,Merged_JOEM!$D$60:$D$564,D77,Merged_JOEM!$AA$60:$AA$564,{"Ongoing","N/A",""},Merged_JOEM!$E$60:$E$564,C69)))</f>
        <v>0</v>
      </c>
      <c r="I77" s="235">
        <f>IFERROR(F77/E77,"N/A")</f>
        <v>1</v>
      </c>
      <c r="J77" s="3">
        <f>COUNTIFS(Merged_JOEM!$AK$60:$AK$564,J75,Merged_JOEM!$D$60:$D$564,D77,Merged_JOEM!$E$60:$E$564,C69)</f>
        <v>0</v>
      </c>
      <c r="K77" s="3">
        <f>COUNTIFS(Merged_JOEM!$AK$60:$AK$564,K75,Merged_JOEM!$D$60:$D$564,D77,Merged_JOEM!$E$60:$E$564,C69)</f>
        <v>0</v>
      </c>
    </row>
    <row r="79" spans="1:11">
      <c r="C79" t="s">
        <v>118</v>
      </c>
    </row>
    <row r="80" spans="1:11">
      <c r="D80" s="34" t="s">
        <v>1250</v>
      </c>
    </row>
    <row r="82" spans="1:11">
      <c r="A82">
        <v>7</v>
      </c>
      <c r="B82" s="232" t="s">
        <v>53</v>
      </c>
      <c r="C82" s="232" t="s">
        <v>1322</v>
      </c>
    </row>
    <row r="83" spans="1:11">
      <c r="B83" s="232" t="s">
        <v>112</v>
      </c>
      <c r="C83">
        <f>SUM(G89:G90)</f>
        <v>0.9375</v>
      </c>
      <c r="D83" t="s">
        <v>113</v>
      </c>
    </row>
    <row r="84" spans="1:11">
      <c r="B84" s="232" t="s">
        <v>119</v>
      </c>
      <c r="C84">
        <f>SUM(INT((WEEKDAY(F84-{2,3,4,5,6})+H84-F84)/7))</f>
        <v>2</v>
      </c>
      <c r="D84" t="s">
        <v>113</v>
      </c>
      <c r="E84" t="s">
        <v>141</v>
      </c>
      <c r="F84" s="6">
        <v>44071</v>
      </c>
      <c r="G84" s="6" t="s">
        <v>111</v>
      </c>
      <c r="H84" s="6">
        <v>44074</v>
      </c>
    </row>
    <row r="85" spans="1:11">
      <c r="B85" s="232" t="s">
        <v>120</v>
      </c>
      <c r="C85">
        <f>SUM(INT((WEEKDAY(F85-{2,3,4,5,6})+H85-F85)/7))</f>
        <v>2</v>
      </c>
      <c r="D85" t="s">
        <v>113</v>
      </c>
      <c r="E85" t="s">
        <v>212</v>
      </c>
      <c r="F85" s="6">
        <v>44071</v>
      </c>
      <c r="G85" s="6" t="s">
        <v>111</v>
      </c>
      <c r="H85" s="6">
        <v>44074</v>
      </c>
    </row>
    <row r="86" spans="1:11">
      <c r="B86" s="232" t="s">
        <v>17</v>
      </c>
      <c r="C86" t="str">
        <f>IF(AND(F89=E89,F90=E90),IF(SUM(H89:H90)&gt;SUM(G89:G90),"Delayed",IF(SUM(H89:H90)&lt;SUM(G89:G90),"InAdvanced","Ontime")),"N/A")</f>
        <v>InAdvanced</v>
      </c>
      <c r="F86" s="6"/>
      <c r="G86" s="6"/>
      <c r="H86" s="6"/>
    </row>
    <row r="88" spans="1:11" ht="75">
      <c r="C88" s="233" t="s">
        <v>25</v>
      </c>
      <c r="D88" s="233" t="s">
        <v>26</v>
      </c>
      <c r="E88" s="234" t="s">
        <v>114</v>
      </c>
      <c r="F88" s="234" t="s">
        <v>115</v>
      </c>
      <c r="G88" s="234" t="s">
        <v>116</v>
      </c>
      <c r="H88" s="234" t="s">
        <v>117</v>
      </c>
      <c r="I88" s="234" t="s">
        <v>29</v>
      </c>
      <c r="J88" s="234" t="str">
        <f>Table!$C$41</f>
        <v>OPL</v>
      </c>
      <c r="K88" s="234" t="str">
        <f>Table!$C$42</f>
        <v>Defect</v>
      </c>
    </row>
    <row r="89" spans="1:11">
      <c r="C89" s="40">
        <v>1</v>
      </c>
      <c r="D89" s="38" t="str">
        <f>Table!$D$3</f>
        <v>PSW</v>
      </c>
      <c r="E89" s="38">
        <f>SUMIFS(Merged_JOEM!$W$60:$W$564,Merged_JOEM!$D$60:$D$564,D89, Merged_JOEM!$E$60:$E$564,C82)</f>
        <v>0</v>
      </c>
      <c r="F89" s="38">
        <f>SUMIFS(Merged_JOEM!$X$60:$X$564,Merged_JOEM!$D$60:$D$564,D89, Merged_JOEM!$E$60:$E$564,C82)-SUM(SUMIFS(Merged_JOEM!$X$60:$X$564,Merged_JOEM!$D$60:$D$564,D89,Merged_JOEM!$AA$60:$AA$564,{"Ongoing","N/A",""},Merged_JOEM!$E$60:$E$564,C82))</f>
        <v>0</v>
      </c>
      <c r="G89" s="38">
        <f>1/8*(SUMIFS(Merged_JOEM!$Y$60:$Y$564,Merged_JOEM!$D$60:$D$564,D89, Merged_JOEM!$E$60:$E$564,C82))</f>
        <v>0</v>
      </c>
      <c r="H89" s="38">
        <f>1/8*(SUMIFS(Merged_JOEM!$Z$60:$Z$564,Merged_JOEM!$D$60:$D$564,D89, Merged_JOEM!$E$60:$E$564,C82)-SUM(SUMIFS(Merged_JOEM!$Z$60:$Z$564,Merged_JOEM!$D$60:$D$564,D89,Merged_JOEM!$AA$60:$AA$564,{"Ongoing","N/A",""},Merged_JOEM!$E$60:$E$564,C82)))</f>
        <v>0</v>
      </c>
      <c r="I89" s="235" t="str">
        <f>IFERROR(F89/E89,"N/A")</f>
        <v>N/A</v>
      </c>
      <c r="J89" s="3">
        <f>COUNTIFS(Merged_JOEM!$AK$60:$AK$564,J88,Merged_JOEM!$D$60:$D$564,D89,Merged_JOEM!$E$60:$E$564,C82)</f>
        <v>0</v>
      </c>
      <c r="K89" s="3">
        <f>COUNTIFS(Merged_JOEM!$AK$60:$AK$564,K88,Merged_JOEM!$D$60:$D$564,D89,Merged_JOEM!$E$60:$E$564,C82)</f>
        <v>0</v>
      </c>
    </row>
    <row r="90" spans="1:11">
      <c r="C90" s="40">
        <v>2</v>
      </c>
      <c r="D90" s="38" t="str">
        <f>Table!$C$3</f>
        <v>ASW</v>
      </c>
      <c r="E90" s="38">
        <f>SUMIFS(Merged_JOEM!$W$60:$W$564,Merged_JOEM!$D$60:$D$564,D90, Merged_JOEM!$E$60:$E$564,C82)</f>
        <v>121.875</v>
      </c>
      <c r="F90" s="38">
        <f>SUMIFS(Merged_JOEM!$X$60:$X$564,Merged_JOEM!$D$60:$D$564,D90, Merged_JOEM!$E$60:$E$564,C82)-SUM(SUMIFS(Merged_JOEM!$X$60:$X$564,Merged_JOEM!$D$60:$D$564,D90,Merged_JOEM!$AA$60:$AA$564,{"Ongoing","N/A",""},Merged_JOEM!$E$60:$E$564,C82))</f>
        <v>121.875</v>
      </c>
      <c r="G90" s="38">
        <f>1/8*(SUMIFS(Merged_JOEM!$Y$60:$Y$564,Merged_JOEM!$D$60:$D$564,D90,Merged_JOEM!$E$60:$E$564,C82))</f>
        <v>0.9375</v>
      </c>
      <c r="H90" s="38">
        <f>1/8*(SUMIFS(Merged_JOEM!$Z$60:$Z$564,Merged_JOEM!$D$60:$D$564,D90,Merged_JOEM!$E$60:$E$564,C82)-SUM(SUMIFS(Merged_JOEM!$Z$60:$Z$564,Merged_JOEM!$D$60:$D$564,D90,Merged_JOEM!$AA$60:$AA$564,{"Ongoing","N/A",""},Merged_JOEM!$E$60:$E$564,C82)))</f>
        <v>0</v>
      </c>
      <c r="I90" s="235">
        <f>IFERROR(F90/E90,"N/A")</f>
        <v>1</v>
      </c>
      <c r="J90" s="3">
        <f>COUNTIFS(Merged_JOEM!$AK$60:$AK$564,J88,Merged_JOEM!$D$60:$D$564,D90,Merged_JOEM!$E$60:$E$564,C82)</f>
        <v>0</v>
      </c>
      <c r="K90" s="3">
        <f>COUNTIFS(Merged_JOEM!$AK$60:$AK$564,K88,Merged_JOEM!$D$60:$D$564,D90,Merged_JOEM!$E$60:$E$564,C82)</f>
        <v>0</v>
      </c>
    </row>
    <row r="92" spans="1:11">
      <c r="C92" t="s">
        <v>118</v>
      </c>
    </row>
    <row r="93" spans="1:11">
      <c r="D93" s="34" t="s">
        <v>1385</v>
      </c>
    </row>
    <row r="95" spans="1:11">
      <c r="A95">
        <v>8</v>
      </c>
      <c r="B95" s="232" t="s">
        <v>53</v>
      </c>
      <c r="C95" s="232" t="s">
        <v>1360</v>
      </c>
    </row>
    <row r="96" spans="1:11">
      <c r="B96" s="232" t="s">
        <v>112</v>
      </c>
      <c r="C96">
        <f>SUM(G102:G103)</f>
        <v>3.7100000000000004</v>
      </c>
      <c r="D96" t="s">
        <v>113</v>
      </c>
    </row>
    <row r="97" spans="1:11">
      <c r="B97" s="232" t="s">
        <v>119</v>
      </c>
      <c r="C97">
        <f>SUM(INT((WEEKDAY(F97-{2,3,4,5,6})+H97-F97)/7))</f>
        <v>2</v>
      </c>
      <c r="D97" t="s">
        <v>113</v>
      </c>
      <c r="E97" t="s">
        <v>141</v>
      </c>
      <c r="F97" s="6">
        <v>44074</v>
      </c>
      <c r="G97" s="6" t="s">
        <v>111</v>
      </c>
      <c r="H97" s="6">
        <v>44075</v>
      </c>
    </row>
    <row r="98" spans="1:11">
      <c r="B98" s="232" t="s">
        <v>120</v>
      </c>
      <c r="C98">
        <f>SUM(INT((WEEKDAY(F98-{2,3,4,5,6})+H98-F98)/7))</f>
        <v>2</v>
      </c>
      <c r="D98" t="s">
        <v>113</v>
      </c>
      <c r="E98" t="s">
        <v>212</v>
      </c>
      <c r="F98" s="6">
        <v>44074</v>
      </c>
      <c r="G98" s="6" t="s">
        <v>111</v>
      </c>
      <c r="H98" s="6">
        <v>44075</v>
      </c>
    </row>
    <row r="99" spans="1:11">
      <c r="B99" s="232" t="s">
        <v>17</v>
      </c>
      <c r="C99" t="str">
        <f>IF(AND(F102=E102,F103=E103),IF(SUM(H102:H103)&gt;SUM(G102:G103),"Delayed",IF(SUM(H102:H103)&lt;SUM(G102:G103),"InAdvanced","Ontime")),"N/A")</f>
        <v>InAdvanced</v>
      </c>
      <c r="F99" s="6"/>
      <c r="G99" s="6"/>
      <c r="H99" s="6"/>
    </row>
    <row r="101" spans="1:11" ht="75">
      <c r="C101" s="233" t="s">
        <v>25</v>
      </c>
      <c r="D101" s="233" t="s">
        <v>26</v>
      </c>
      <c r="E101" s="234" t="s">
        <v>114</v>
      </c>
      <c r="F101" s="234" t="s">
        <v>115</v>
      </c>
      <c r="G101" s="234" t="s">
        <v>116</v>
      </c>
      <c r="H101" s="234" t="s">
        <v>117</v>
      </c>
      <c r="I101" s="234" t="s">
        <v>29</v>
      </c>
      <c r="J101" s="234" t="str">
        <f>Table!$C$41</f>
        <v>OPL</v>
      </c>
      <c r="K101" s="234" t="str">
        <f>Table!$C$42</f>
        <v>Defect</v>
      </c>
    </row>
    <row r="102" spans="1:11">
      <c r="C102" s="40">
        <v>1</v>
      </c>
      <c r="D102" s="38" t="str">
        <f>Table!$D$3</f>
        <v>PSW</v>
      </c>
      <c r="E102" s="38">
        <f>SUMIFS(Merged_JOEM!$W$60:$W$564,Merged_JOEM!$D$60:$D$564,D102, Merged_JOEM!$E$60:$E$564,C95)</f>
        <v>0</v>
      </c>
      <c r="F102" s="38">
        <f>SUMIFS(Merged_JOEM!$X$60:$X$564,Merged_JOEM!$D$60:$D$564,D102, Merged_JOEM!$E$60:$E$564,C95)-SUM(SUMIFS(Merged_JOEM!$X$60:$X$564,Merged_JOEM!$D$60:$D$564,D102,Merged_JOEM!$AA$60:$AA$564,{"Ongoing","N/A",""},Merged_JOEM!$E$60:$E$564,C95))</f>
        <v>0</v>
      </c>
      <c r="G102" s="38">
        <f>1/8*(SUMIFS(Merged_JOEM!$Y$60:$Y$564,Merged_JOEM!$D$60:$D$564,D102, Merged_JOEM!$E$60:$E$564,C95))</f>
        <v>0</v>
      </c>
      <c r="H102" s="38">
        <f>1/8*(SUMIFS(Merged_JOEM!$Z$60:$Z$564,Merged_JOEM!$D$60:$D$564,D102, Merged_JOEM!$E$60:$E$564,C95)-SUM(SUMIFS(Merged_JOEM!$Z$60:$Z$564,Merged_JOEM!$D$60:$D$564,D102,Merged_JOEM!$AA$60:$AA$564,{"Ongoing","N/A",""},Merged_JOEM!$E$60:$E$564,C95)))</f>
        <v>0</v>
      </c>
      <c r="I102" s="235" t="str">
        <f>IFERROR(F102/E102,"N/A")</f>
        <v>N/A</v>
      </c>
      <c r="J102" s="3">
        <f>COUNTIFS(Merged_JOEM!$AK$60:$AK$564,J101,Merged_JOEM!$D$60:$D$564,D102,Merged_JOEM!$E$60:$E$564,C95)</f>
        <v>0</v>
      </c>
      <c r="K102" s="3">
        <f>COUNTIFS(Merged_JOEM!$AK$60:$AK$564,K101,Merged_JOEM!$D$60:$D$564,D102,Merged_JOEM!$E$60:$E$564,C95)</f>
        <v>0</v>
      </c>
    </row>
    <row r="103" spans="1:11">
      <c r="C103" s="40">
        <v>2</v>
      </c>
      <c r="D103" s="38" t="str">
        <f>Table!$C$3</f>
        <v>ASW</v>
      </c>
      <c r="E103" s="38">
        <f>SUMIFS(Merged_JOEM!$W$60:$W$564,Merged_JOEM!$D$60:$D$564,D103, Merged_JOEM!$E$60:$E$564,C95)</f>
        <v>482.29999999999995</v>
      </c>
      <c r="F103" s="38">
        <f>SUMIFS(Merged_JOEM!$X$60:$X$564,Merged_JOEM!$D$60:$D$564,D103, Merged_JOEM!$E$60:$E$564,C95)-SUM(SUMIFS(Merged_JOEM!$X$60:$X$564,Merged_JOEM!$D$60:$D$564,D103,Merged_JOEM!$AA$60:$AA$564,{"Ongoing","N/A",""},Merged_JOEM!$E$60:$E$564,C95))</f>
        <v>482.29999999999995</v>
      </c>
      <c r="G103" s="38">
        <f>1/8*(SUMIFS(Merged_JOEM!$Y$60:$Y$564,Merged_JOEM!$D$60:$D$564,D103,Merged_JOEM!$E$60:$E$564,C95))</f>
        <v>3.7100000000000004</v>
      </c>
      <c r="H103" s="38">
        <f>1/8*(SUMIFS(Merged_JOEM!$Z$60:$Z$564,Merged_JOEM!$D$60:$D$564,D103,Merged_JOEM!$E$60:$E$564,C95)-SUM(SUMIFS(Merged_JOEM!$Z$60:$Z$564,Merged_JOEM!$D$60:$D$564,D103,Merged_JOEM!$AA$60:$AA$564,{"Ongoing","N/A",""},Merged_JOEM!$E$60:$E$564,C95)))</f>
        <v>3.41</v>
      </c>
      <c r="I103" s="235">
        <f>IFERROR(F103/E103,"N/A")</f>
        <v>1</v>
      </c>
      <c r="J103" s="3">
        <f>COUNTIFS(Merged_JOEM!$AK$60:$AK$564,J101,Merged_JOEM!$D$60:$D$564,D103,Merged_JOEM!$E$60:$E$564,C95)</f>
        <v>0</v>
      </c>
      <c r="K103" s="3">
        <f>COUNTIFS(Merged_JOEM!$AK$60:$AK$564,K101,Merged_JOEM!$D$60:$D$564,D103,Merged_JOEM!$E$60:$E$564,C95)</f>
        <v>0</v>
      </c>
    </row>
    <row r="105" spans="1:11">
      <c r="C105" t="s">
        <v>118</v>
      </c>
    </row>
    <row r="106" spans="1:11">
      <c r="D106" s="34" t="s">
        <v>1386</v>
      </c>
    </row>
    <row r="108" spans="1:11">
      <c r="A108">
        <v>9</v>
      </c>
      <c r="B108" s="232" t="s">
        <v>53</v>
      </c>
      <c r="C108" s="232" t="s">
        <v>1361</v>
      </c>
    </row>
    <row r="109" spans="1:11">
      <c r="B109" s="232" t="s">
        <v>112</v>
      </c>
      <c r="C109">
        <f>SUM(G115:G116)</f>
        <v>0.55000000000000004</v>
      </c>
      <c r="D109" t="s">
        <v>113</v>
      </c>
    </row>
    <row r="110" spans="1:11">
      <c r="B110" s="232" t="s">
        <v>119</v>
      </c>
      <c r="C110">
        <f>SUM(INT((WEEKDAY(F110-{2,3,4,5,6})+H110-F110)/7))</f>
        <v>2</v>
      </c>
      <c r="D110" t="s">
        <v>113</v>
      </c>
      <c r="E110" t="s">
        <v>141</v>
      </c>
      <c r="F110" s="6">
        <v>44074</v>
      </c>
      <c r="G110" s="6" t="s">
        <v>111</v>
      </c>
      <c r="H110" s="6">
        <v>44075</v>
      </c>
    </row>
    <row r="111" spans="1:11">
      <c r="B111" s="232" t="s">
        <v>120</v>
      </c>
      <c r="C111">
        <f>SUM(INT((WEEKDAY(F111-{2,3,4,5,6})+H111-F111)/7))</f>
        <v>2</v>
      </c>
      <c r="D111" t="s">
        <v>113</v>
      </c>
      <c r="E111" t="s">
        <v>212</v>
      </c>
      <c r="F111" s="6">
        <v>44074</v>
      </c>
      <c r="G111" s="6" t="s">
        <v>111</v>
      </c>
      <c r="H111" s="6">
        <v>44075</v>
      </c>
    </row>
    <row r="112" spans="1:11">
      <c r="B112" s="232" t="s">
        <v>17</v>
      </c>
      <c r="C112" t="str">
        <f>IF(AND(F115=E115,F116=E116),IF(SUM(H115:H116)&gt;SUM(G115:G116),"Delayed",IF(SUM(H115:H116)&lt;SUM(G115:G116),"InAdvanced","Ontime")),"N/A")</f>
        <v>Ontime</v>
      </c>
      <c r="F112" s="6"/>
      <c r="G112" s="6"/>
      <c r="H112" s="6"/>
    </row>
    <row r="114" spans="1:11" ht="75">
      <c r="C114" s="233" t="s">
        <v>25</v>
      </c>
      <c r="D114" s="233" t="s">
        <v>26</v>
      </c>
      <c r="E114" s="234" t="s">
        <v>114</v>
      </c>
      <c r="F114" s="234" t="s">
        <v>115</v>
      </c>
      <c r="G114" s="234" t="s">
        <v>116</v>
      </c>
      <c r="H114" s="234" t="s">
        <v>117</v>
      </c>
      <c r="I114" s="234" t="s">
        <v>29</v>
      </c>
      <c r="J114" s="234" t="str">
        <f>Table!$C$41</f>
        <v>OPL</v>
      </c>
      <c r="K114" s="234" t="str">
        <f>Table!$C$42</f>
        <v>Defect</v>
      </c>
    </row>
    <row r="115" spans="1:11">
      <c r="C115" s="40">
        <v>1</v>
      </c>
      <c r="D115" s="38" t="str">
        <f>Table!$D$3</f>
        <v>PSW</v>
      </c>
      <c r="E115" s="38">
        <f>SUMIFS(Merged_JOEM!$W$60:$W$564,Merged_JOEM!$D$60:$D$564,D115, Merged_JOEM!$E$60:$E$564,C108)</f>
        <v>0</v>
      </c>
      <c r="F115" s="38">
        <f>SUMIFS(Merged_JOEM!$X$60:$X$564,Merged_JOEM!$D$60:$D$564,D115, Merged_JOEM!$E$60:$E$564,C108)-SUM(SUMIFS(Merged_JOEM!$X$60:$X$564,Merged_JOEM!$D$60:$D$564,D115,Merged_JOEM!$AA$60:$AA$564,{"Ongoing","N/A",""},Merged_JOEM!$E$60:$E$564,C108))</f>
        <v>0</v>
      </c>
      <c r="G115" s="38">
        <f>1/8*(SUMIFS(Merged_JOEM!$Y$60:$Y$564,Merged_JOEM!$D$60:$D$564,D115, Merged_JOEM!$E$60:$E$564,C108))</f>
        <v>0</v>
      </c>
      <c r="H115" s="38">
        <f>1/8*(SUMIFS(Merged_JOEM!$Z$60:$Z$564,Merged_JOEM!$D$60:$D$564,D115, Merged_JOEM!$E$60:$E$564,C108)-SUM(SUMIFS(Merged_JOEM!$Z$60:$Z$564,Merged_JOEM!$D$60:$D$564,D115,Merged_JOEM!$AA$60:$AA$564,{"Ongoing","N/A",""},Merged_JOEM!$E$60:$E$564,C108)))</f>
        <v>0</v>
      </c>
      <c r="I115" s="235" t="str">
        <f>IFERROR(F115/E115,"N/A")</f>
        <v>N/A</v>
      </c>
      <c r="J115" s="3">
        <f>COUNTIFS(Merged_JOEM!$AK$60:$AK$564,J114,Merged_JOEM!$D$60:$D$564,D115,Merged_JOEM!$E$60:$E$564,C108)</f>
        <v>0</v>
      </c>
      <c r="K115" s="3">
        <f>COUNTIFS(Merged_JOEM!$AK$60:$AK$564,K114,Merged_JOEM!$D$60:$D$564,D115,Merged_JOEM!$E$60:$E$564,C108)</f>
        <v>0</v>
      </c>
    </row>
    <row r="116" spans="1:11">
      <c r="C116" s="40">
        <v>2</v>
      </c>
      <c r="D116" s="38" t="str">
        <f>Table!$C$3</f>
        <v>ASW</v>
      </c>
      <c r="E116" s="38">
        <f>SUMIFS(Merged_JOEM!$W$60:$W$564,Merged_JOEM!$D$60:$D$564,D116, Merged_JOEM!$E$60:$E$564,C108)</f>
        <v>71.5</v>
      </c>
      <c r="F116" s="38">
        <f>SUMIFS(Merged_JOEM!$X$60:$X$564,Merged_JOEM!$D$60:$D$564,D116, Merged_JOEM!$E$60:$E$564,C108)-SUM(SUMIFS(Merged_JOEM!$X$60:$X$564,Merged_JOEM!$D$60:$D$564,D116,Merged_JOEM!$AA$60:$AA$564,{"Ongoing","N/A",""},Merged_JOEM!$E$60:$E$564,C108))</f>
        <v>71.5</v>
      </c>
      <c r="G116" s="38">
        <f>1/8*(SUMIFS(Merged_JOEM!$Y$60:$Y$564,Merged_JOEM!$D$60:$D$564,D116,Merged_JOEM!$E$60:$E$564,C108))</f>
        <v>0.55000000000000004</v>
      </c>
      <c r="H116" s="38">
        <f>1/8*(SUMIFS(Merged_JOEM!$Z$60:$Z$564,Merged_JOEM!$D$60:$D$564,D116,Merged_JOEM!$E$60:$E$564,C108)-SUM(SUMIFS(Merged_JOEM!$Z$60:$Z$564,Merged_JOEM!$D$60:$D$564,D116,Merged_JOEM!$AA$60:$AA$564,{"Ongoing","N/A",""},Merged_JOEM!$E$60:$E$564,C108)))</f>
        <v>0.55000000000000004</v>
      </c>
      <c r="I116" s="235">
        <f>IFERROR(F116/E116,"N/A")</f>
        <v>1</v>
      </c>
      <c r="J116" s="3">
        <f>COUNTIFS(Merged_JOEM!$AK$60:$AK$564,J114,Merged_JOEM!$D$60:$D$564,D116,Merged_JOEM!$E$60:$E$564,C108)</f>
        <v>0</v>
      </c>
      <c r="K116" s="3">
        <f>COUNTIFS(Merged_JOEM!$AK$60:$AK$564,K114,Merged_JOEM!$D$60:$D$564,D116,Merged_JOEM!$E$60:$E$564,C108)</f>
        <v>0</v>
      </c>
    </row>
    <row r="118" spans="1:11">
      <c r="C118" t="s">
        <v>118</v>
      </c>
    </row>
    <row r="119" spans="1:11">
      <c r="D119" s="34" t="s">
        <v>1386</v>
      </c>
    </row>
    <row r="120" spans="1:11">
      <c r="A120">
        <v>10</v>
      </c>
      <c r="B120" s="232" t="s">
        <v>53</v>
      </c>
      <c r="C120" s="232" t="s">
        <v>1466</v>
      </c>
    </row>
    <row r="121" spans="1:11">
      <c r="B121" s="232" t="s">
        <v>112</v>
      </c>
      <c r="C121">
        <f>SUM(G127:G128)</f>
        <v>8.620000000000001</v>
      </c>
      <c r="D121" t="s">
        <v>113</v>
      </c>
    </row>
    <row r="122" spans="1:11">
      <c r="B122" s="232" t="s">
        <v>119</v>
      </c>
      <c r="C122">
        <f>SUM(INT((WEEKDAY(F122-{2,3,4,5,6})+H122-F122)/7))</f>
        <v>4</v>
      </c>
      <c r="D122" t="s">
        <v>113</v>
      </c>
      <c r="E122" t="s">
        <v>141</v>
      </c>
      <c r="F122" s="6">
        <v>44075</v>
      </c>
      <c r="G122" s="6" t="s">
        <v>111</v>
      </c>
      <c r="H122" s="6">
        <v>44078</v>
      </c>
    </row>
    <row r="123" spans="1:11">
      <c r="B123" s="232" t="s">
        <v>120</v>
      </c>
      <c r="C123">
        <f>SUM(INT((WEEKDAY(F123-{2,3,4,5,6})+H123-F123)/7))</f>
        <v>4</v>
      </c>
      <c r="D123" t="s">
        <v>113</v>
      </c>
      <c r="E123" t="s">
        <v>212</v>
      </c>
      <c r="F123" s="6">
        <v>44075</v>
      </c>
      <c r="G123" s="6" t="s">
        <v>111</v>
      </c>
      <c r="H123" s="6">
        <v>44078</v>
      </c>
    </row>
    <row r="124" spans="1:11">
      <c r="B124" s="232" t="s">
        <v>17</v>
      </c>
      <c r="C124" t="str">
        <f>IF(AND(F127=E127,F128=E128),IF(SUM(H127:H128)&gt;SUM(G127:G128),"Delayed",IF(SUM(H127:H128)&lt;SUM(G127:G128),"InAdvanced","Ontime")),"N/A")</f>
        <v>InAdvanced</v>
      </c>
      <c r="F124" s="6"/>
      <c r="G124" s="6"/>
      <c r="H124" s="6"/>
    </row>
    <row r="126" spans="1:11" ht="75">
      <c r="C126" s="233" t="s">
        <v>25</v>
      </c>
      <c r="D126" s="233" t="s">
        <v>26</v>
      </c>
      <c r="E126" s="234" t="s">
        <v>114</v>
      </c>
      <c r="F126" s="234" t="s">
        <v>115</v>
      </c>
      <c r="G126" s="234" t="s">
        <v>116</v>
      </c>
      <c r="H126" s="234" t="s">
        <v>117</v>
      </c>
      <c r="I126" s="234" t="s">
        <v>29</v>
      </c>
      <c r="J126" s="234" t="str">
        <f>Table!$C$41</f>
        <v>OPL</v>
      </c>
      <c r="K126" s="234" t="str">
        <f>Table!$C$42</f>
        <v>Defect</v>
      </c>
    </row>
    <row r="127" spans="1:11">
      <c r="C127" s="40">
        <v>1</v>
      </c>
      <c r="D127" s="38" t="str">
        <f>Table!$D$3</f>
        <v>PSW</v>
      </c>
      <c r="E127" s="38">
        <f>SUMIFS(Merged_JOEM!$W$60:$W$564,Merged_JOEM!$D$60:$D$564,D127, Merged_JOEM!$E$60:$E$564,C120)</f>
        <v>0</v>
      </c>
      <c r="F127" s="38">
        <f>SUMIFS(Merged_JOEM!$X$60:$X$564,Merged_JOEM!$D$60:$D$564,D127, Merged_JOEM!$E$60:$E$564,C120)-SUM(SUMIFS(Merged_JOEM!$X$60:$X$564,Merged_JOEM!$D$60:$D$564,D127,Merged_JOEM!$AA$60:$AA$564,{"Ongoing","N/A",""},Merged_JOEM!$E$60:$E$564,C120))</f>
        <v>0</v>
      </c>
      <c r="G127" s="38">
        <f>1/8*(SUMIFS(Merged_JOEM!$Y$60:$Y$564,Merged_JOEM!$D$60:$D$564,D127, Merged_JOEM!$E$60:$E$564,C120))</f>
        <v>0</v>
      </c>
      <c r="H127" s="38">
        <f>1/8*(SUMIFS(Merged_JOEM!$Z$60:$Z$564,Merged_JOEM!$D$60:$D$564,D127, Merged_JOEM!$E$60:$E$564,C120)-SUM(SUMIFS(Merged_JOEM!$Z$60:$Z$564,Merged_JOEM!$D$60:$D$564,D127,Merged_JOEM!$AA$60:$AA$564,{"Ongoing","N/A",""},Merged_JOEM!$E$60:$E$564,C120)))</f>
        <v>0</v>
      </c>
      <c r="I127" s="235" t="str">
        <f>IFERROR(F127/E127,"N/A")</f>
        <v>N/A</v>
      </c>
      <c r="J127" s="3">
        <f>COUNTIFS(Merged_JOEM!$AK$60:$AK$564,J126,Merged_JOEM!$D$60:$D$564,D127,Merged_JOEM!$E$60:$E$564,C120)</f>
        <v>0</v>
      </c>
      <c r="K127" s="3">
        <f>COUNTIFS(Merged_JOEM!$AK$60:$AK$564,K126,Merged_JOEM!$D$60:$D$564,D127,Merged_JOEM!$E$60:$E$564,C120)</f>
        <v>0</v>
      </c>
    </row>
    <row r="128" spans="1:11">
      <c r="C128" s="40">
        <v>2</v>
      </c>
      <c r="D128" s="38" t="str">
        <f>Table!$C$3</f>
        <v>ASW</v>
      </c>
      <c r="E128" s="38">
        <f>SUMIFS(Merged_JOEM!$W$60:$W$564,Merged_JOEM!$D$60:$D$564,D128, Merged_JOEM!$E$60:$E$564,C120)</f>
        <v>1120.5999999999999</v>
      </c>
      <c r="F128" s="38">
        <f>SUMIFS(Merged_JOEM!$X$60:$X$564,Merged_JOEM!$D$60:$D$564,D128, Merged_JOEM!$E$60:$E$564,C120)-SUM(SUMIFS(Merged_JOEM!$X$60:$X$564,Merged_JOEM!$D$60:$D$564,D128,Merged_JOEM!$AA$60:$AA$564,{"Ongoing","N/A",""},Merged_JOEM!$E$60:$E$564,C120))</f>
        <v>1120.5999999999999</v>
      </c>
      <c r="G128" s="38">
        <f>1/8*(SUMIFS(Merged_JOEM!$Y$60:$Y$564,Merged_JOEM!$D$60:$D$564,D128,Merged_JOEM!$E$60:$E$564,C120))</f>
        <v>8.620000000000001</v>
      </c>
      <c r="H128" s="38">
        <f>1/8*(SUMIFS(Merged_JOEM!$Z$60:$Z$564,Merged_JOEM!$D$60:$D$564,D128,Merged_JOEM!$E$60:$E$564,C120)-SUM(SUMIFS(Merged_JOEM!$Z$60:$Z$564,Merged_JOEM!$D$60:$D$564,D128,Merged_JOEM!$AA$60:$AA$564,{"Ongoing","N/A",""},Merged_JOEM!$E$60:$E$564,C120)))</f>
        <v>6.4450000000000021</v>
      </c>
      <c r="I128" s="235">
        <f>IFERROR(F128/E128,"N/A")</f>
        <v>1</v>
      </c>
      <c r="J128" s="3">
        <f>COUNTIFS(Merged_JOEM!$AK$60:$AK$564,J126,Merged_JOEM!$D$60:$D$564,D128,Merged_JOEM!$E$60:$E$564,C120)</f>
        <v>0</v>
      </c>
      <c r="K128" s="3">
        <f>COUNTIFS(Merged_JOEM!$AK$60:$AK$564,K126,Merged_JOEM!$D$60:$D$564,D128,Merged_JOEM!$E$60:$E$564,C120)</f>
        <v>0</v>
      </c>
    </row>
    <row r="130" spans="1:11">
      <c r="C130" t="s">
        <v>118</v>
      </c>
    </row>
    <row r="131" spans="1:11">
      <c r="D131" s="34" t="s">
        <v>1468</v>
      </c>
    </row>
    <row r="133" spans="1:11">
      <c r="A133">
        <v>11</v>
      </c>
      <c r="B133" s="232" t="s">
        <v>53</v>
      </c>
      <c r="C133" s="232" t="s">
        <v>1484</v>
      </c>
    </row>
    <row r="134" spans="1:11">
      <c r="B134" s="232" t="s">
        <v>112</v>
      </c>
      <c r="C134">
        <f>SUM(G140:G141)</f>
        <v>0.6875</v>
      </c>
      <c r="D134" t="s">
        <v>113</v>
      </c>
    </row>
    <row r="135" spans="1:11">
      <c r="B135" s="232" t="s">
        <v>119</v>
      </c>
      <c r="C135">
        <f>SUM(INT((WEEKDAY(F135-{2,3,4,5,6})+H135-F135)/7))</f>
        <v>4</v>
      </c>
      <c r="D135" t="s">
        <v>113</v>
      </c>
      <c r="E135" t="s">
        <v>141</v>
      </c>
      <c r="F135" s="6">
        <v>44075</v>
      </c>
      <c r="G135" s="6" t="s">
        <v>111</v>
      </c>
      <c r="H135" s="6">
        <v>44078</v>
      </c>
    </row>
    <row r="136" spans="1:11">
      <c r="B136" s="232" t="s">
        <v>120</v>
      </c>
      <c r="C136">
        <f>SUM(INT((WEEKDAY(F136-{2,3,4,5,6})+H136-F136)/7))</f>
        <v>4</v>
      </c>
      <c r="D136" t="s">
        <v>113</v>
      </c>
      <c r="E136" t="s">
        <v>212</v>
      </c>
      <c r="F136" s="6">
        <v>44075</v>
      </c>
      <c r="G136" s="6" t="s">
        <v>111</v>
      </c>
      <c r="H136" s="6">
        <v>44078</v>
      </c>
    </row>
    <row r="137" spans="1:11">
      <c r="B137" s="232" t="s">
        <v>17</v>
      </c>
      <c r="C137" t="str">
        <f>IF(AND(F140=E140,F141=E141),IF(SUM(H140:H141)&gt;SUM(G140:G141),"Delayed",IF(SUM(H140:H141)&lt;SUM(G140:G141),"InAdvanced","Ontime")),"N/A")</f>
        <v>InAdvanced</v>
      </c>
      <c r="F137" s="6"/>
      <c r="G137" s="6"/>
      <c r="H137" s="6"/>
    </row>
    <row r="139" spans="1:11" ht="75">
      <c r="C139" s="233" t="s">
        <v>25</v>
      </c>
      <c r="D139" s="233" t="s">
        <v>26</v>
      </c>
      <c r="E139" s="234" t="s">
        <v>114</v>
      </c>
      <c r="F139" s="234" t="s">
        <v>115</v>
      </c>
      <c r="G139" s="234" t="s">
        <v>116</v>
      </c>
      <c r="H139" s="234" t="s">
        <v>117</v>
      </c>
      <c r="I139" s="234" t="s">
        <v>29</v>
      </c>
      <c r="J139" s="234" t="str">
        <f>Table!$C$41</f>
        <v>OPL</v>
      </c>
      <c r="K139" s="234" t="str">
        <f>Table!$C$42</f>
        <v>Defect</v>
      </c>
    </row>
    <row r="140" spans="1:11">
      <c r="C140" s="40">
        <v>1</v>
      </c>
      <c r="D140" s="38" t="str">
        <f>Table!$D$3</f>
        <v>PSW</v>
      </c>
      <c r="E140" s="38">
        <f>SUMIFS(Merged_JOEM!$W$60:$W$564,Merged_JOEM!$D$60:$D$564,D140, Merged_JOEM!$E$60:$E$564,C133)</f>
        <v>0</v>
      </c>
      <c r="F140" s="38">
        <f>SUMIFS(Merged_JOEM!$X$60:$X$564,Merged_JOEM!$D$60:$D$564,D140, Merged_JOEM!$E$60:$E$564,C133)-SUM(SUMIFS(Merged_JOEM!$X$60:$X$564,Merged_JOEM!$D$60:$D$564,D140,Merged_JOEM!$AA$60:$AA$564,{"Ongoing","N/A",""},Merged_JOEM!$E$60:$E$564,C133))</f>
        <v>0</v>
      </c>
      <c r="G140" s="38">
        <f>1/8*(SUMIFS(Merged_JOEM!$Y$60:$Y$564,Merged_JOEM!$D$60:$D$564,D140, Merged_JOEM!$E$60:$E$564,C133))</f>
        <v>0</v>
      </c>
      <c r="H140" s="38">
        <f>1/8*(SUMIFS(Merged_JOEM!$Z$60:$Z$564,Merged_JOEM!$D$60:$D$564,D140, Merged_JOEM!$E$60:$E$564,C133)-SUM(SUMIFS(Merged_JOEM!$Z$60:$Z$564,Merged_JOEM!$D$60:$D$564,D140,Merged_JOEM!$AA$60:$AA$564,{"Ongoing","N/A",""},Merged_JOEM!$E$60:$E$564,C133)))</f>
        <v>0</v>
      </c>
      <c r="I140" s="235" t="str">
        <f>IFERROR(F140/E140,"N/A")</f>
        <v>N/A</v>
      </c>
      <c r="J140" s="3">
        <f>COUNTIFS(Merged_JOEM!$AK$60:$AK$564,J139,Merged_JOEM!$D$60:$D$564,D140,Merged_JOEM!$E$60:$E$564,C133)</f>
        <v>0</v>
      </c>
      <c r="K140" s="3">
        <f>COUNTIFS(Merged_JOEM!$AK$60:$AK$564,K139,Merged_JOEM!$D$60:$D$564,D140,Merged_JOEM!$E$60:$E$564,C133)</f>
        <v>0</v>
      </c>
    </row>
    <row r="141" spans="1:11">
      <c r="C141" s="40">
        <v>2</v>
      </c>
      <c r="D141" s="38" t="str">
        <f>Table!$C$3</f>
        <v>ASW</v>
      </c>
      <c r="E141" s="38">
        <f>SUMIFS(Merged_JOEM!$W$60:$W$564,Merged_JOEM!$D$60:$D$564,D141, Merged_JOEM!$E$60:$E$564,C133)</f>
        <v>89.375</v>
      </c>
      <c r="F141" s="38">
        <f>SUMIFS(Merged_JOEM!$X$60:$X$564,Merged_JOEM!$D$60:$D$564,D141, Merged_JOEM!$E$60:$E$564,C133)-SUM(SUMIFS(Merged_JOEM!$X$60:$X$564,Merged_JOEM!$D$60:$D$564,D141,Merged_JOEM!$AA$60:$AA$564,{"Ongoing","N/A",""},Merged_JOEM!$E$60:$E$564,C133))</f>
        <v>89.375</v>
      </c>
      <c r="G141" s="38">
        <f>1/8*(SUMIFS(Merged_JOEM!$Y$60:$Y$564,Merged_JOEM!$D$60:$D$564,D141,Merged_JOEM!$E$60:$E$564,C133))</f>
        <v>0.6875</v>
      </c>
      <c r="H141" s="38">
        <f>1/8*(SUMIFS(Merged_JOEM!$Z$60:$Z$564,Merged_JOEM!$D$60:$D$564,D141,Merged_JOEM!$E$60:$E$564,C133)-SUM(SUMIFS(Merged_JOEM!$Z$60:$Z$564,Merged_JOEM!$D$60:$D$564,D141,Merged_JOEM!$AA$60:$AA$564,{"Ongoing","N/A",""},Merged_JOEM!$E$60:$E$564,C133)))</f>
        <v>0</v>
      </c>
      <c r="I141" s="235">
        <f>IFERROR(F141/E141,"N/A")</f>
        <v>1</v>
      </c>
      <c r="J141" s="3">
        <f>COUNTIFS(Merged_JOEM!$AK$60:$AK$564,J139,Merged_JOEM!$D$60:$D$564,D141,Merged_JOEM!$E$60:$E$564,C133)</f>
        <v>0</v>
      </c>
      <c r="K141" s="3">
        <f>COUNTIFS(Merged_JOEM!$AK$60:$AK$564,K139,Merged_JOEM!$D$60:$D$564,D141,Merged_JOEM!$E$60:$E$564,C133)</f>
        <v>0</v>
      </c>
    </row>
    <row r="143" spans="1:11">
      <c r="C143" t="s">
        <v>118</v>
      </c>
    </row>
    <row r="144" spans="1:11">
      <c r="D144" s="34" t="s">
        <v>1490</v>
      </c>
    </row>
    <row r="146" spans="1:11">
      <c r="A146">
        <v>12</v>
      </c>
      <c r="B146" s="232" t="s">
        <v>53</v>
      </c>
      <c r="C146" s="232" t="s">
        <v>1536</v>
      </c>
    </row>
    <row r="147" spans="1:11">
      <c r="B147" s="232" t="s">
        <v>112</v>
      </c>
      <c r="C147">
        <f>SUM(G153:G154)</f>
        <v>1.5625</v>
      </c>
      <c r="D147" t="s">
        <v>113</v>
      </c>
    </row>
    <row r="148" spans="1:11">
      <c r="B148" s="232" t="s">
        <v>119</v>
      </c>
      <c r="C148">
        <f>SUM(INT((WEEKDAY(F148-{2,3,4,5,6})+H148-F148)/7))</f>
        <v>2</v>
      </c>
      <c r="D148" t="s">
        <v>113</v>
      </c>
      <c r="E148" t="s">
        <v>141</v>
      </c>
      <c r="F148" s="6">
        <v>44077</v>
      </c>
      <c r="G148" s="6" t="s">
        <v>111</v>
      </c>
      <c r="H148" s="6">
        <v>44078</v>
      </c>
    </row>
    <row r="149" spans="1:11">
      <c r="B149" s="232" t="s">
        <v>120</v>
      </c>
      <c r="C149">
        <f>SUM(INT((WEEKDAY(F149-{2,3,4,5,6})+H149-F149)/7))</f>
        <v>2</v>
      </c>
      <c r="D149" t="s">
        <v>113</v>
      </c>
      <c r="E149" t="s">
        <v>212</v>
      </c>
      <c r="F149" s="6">
        <v>44077</v>
      </c>
      <c r="G149" s="6" t="s">
        <v>111</v>
      </c>
      <c r="H149" s="6">
        <v>44078</v>
      </c>
    </row>
    <row r="150" spans="1:11">
      <c r="B150" s="232" t="s">
        <v>17</v>
      </c>
      <c r="C150" t="str">
        <f>IF(AND(F153=E153,F154=E154),IF(SUM(H153:H154)&gt;SUM(G153:G154),"Delayed",IF(SUM(H153:H154)&lt;SUM(G153:G154),"InAdvanced","Ontime")),"N/A")</f>
        <v>InAdvanced</v>
      </c>
      <c r="F150" s="6"/>
      <c r="G150" s="6"/>
      <c r="H150" s="6"/>
    </row>
    <row r="152" spans="1:11" ht="75">
      <c r="C152" s="233" t="s">
        <v>25</v>
      </c>
      <c r="D152" s="233" t="s">
        <v>26</v>
      </c>
      <c r="E152" s="234" t="s">
        <v>114</v>
      </c>
      <c r="F152" s="234" t="s">
        <v>115</v>
      </c>
      <c r="G152" s="234" t="s">
        <v>116</v>
      </c>
      <c r="H152" s="234" t="s">
        <v>117</v>
      </c>
      <c r="I152" s="234" t="s">
        <v>29</v>
      </c>
      <c r="J152" s="234" t="str">
        <f>Table!$C$41</f>
        <v>OPL</v>
      </c>
      <c r="K152" s="234" t="str">
        <f>Table!$C$42</f>
        <v>Defect</v>
      </c>
    </row>
    <row r="153" spans="1:11">
      <c r="C153" s="40">
        <v>1</v>
      </c>
      <c r="D153" s="38" t="str">
        <f>Table!$D$3</f>
        <v>PSW</v>
      </c>
      <c r="E153" s="38">
        <f>SUMIFS(Merged_JOEM!$W$60:$W$564,Merged_JOEM!$D$60:$D$564,D153, Merged_JOEM!$E$60:$E$564,C146)</f>
        <v>0</v>
      </c>
      <c r="F153" s="38">
        <f>SUMIFS(Merged_JOEM!$X$60:$X$564,Merged_JOEM!$D$60:$D$564,D153, Merged_JOEM!$E$60:$E$564,C146)-SUM(SUMIFS(Merged_JOEM!$X$60:$X$564,Merged_JOEM!$D$60:$D$564,D153,Merged_JOEM!$AA$60:$AA$564,{"Ongoing","N/A",""},Merged_JOEM!$E$60:$E$564,C146))</f>
        <v>0</v>
      </c>
      <c r="G153" s="38">
        <f>1/8*(SUMIFS(Merged_JOEM!$Y$60:$Y$564,Merged_JOEM!$D$60:$D$564,D153, Merged_JOEM!$E$60:$E$564,C146))</f>
        <v>0</v>
      </c>
      <c r="H153" s="38">
        <f>1/8*(SUMIFS(Merged_JOEM!$Z$60:$Z$564,Merged_JOEM!$D$60:$D$564,D153, Merged_JOEM!$E$60:$E$564,C146)-SUM(SUMIFS(Merged_JOEM!$Z$60:$Z$564,Merged_JOEM!$D$60:$D$564,D153,Merged_JOEM!$AA$60:$AA$564,{"Ongoing","N/A",""},Merged_JOEM!$E$60:$E$564,C146)))</f>
        <v>0</v>
      </c>
      <c r="I153" s="235" t="str">
        <f>IFERROR(F153/E153,"N/A")</f>
        <v>N/A</v>
      </c>
      <c r="J153" s="3">
        <f>COUNTIFS(Merged_JOEM!$AK$60:$AK$564,J152,Merged_JOEM!$D$60:$D$564,D153,Merged_JOEM!$E$60:$E$564,C146)</f>
        <v>0</v>
      </c>
      <c r="K153" s="3">
        <f>COUNTIFS(Merged_JOEM!$AK$60:$AK$564,K152,Merged_JOEM!$D$60:$D$564,D153,Merged_JOEM!$E$60:$E$564,C146)</f>
        <v>0</v>
      </c>
    </row>
    <row r="154" spans="1:11">
      <c r="C154" s="40">
        <v>2</v>
      </c>
      <c r="D154" s="38" t="str">
        <f>Table!$C$3</f>
        <v>ASW</v>
      </c>
      <c r="E154" s="38">
        <f>SUMIFS(Merged_JOEM!$W$60:$W$564,Merged_JOEM!$D$60:$D$564,D154, Merged_JOEM!$E$60:$E$564,C146)</f>
        <v>203.125</v>
      </c>
      <c r="F154" s="38">
        <f>SUMIFS(Merged_JOEM!$X$60:$X$564,Merged_JOEM!$D$60:$D$564,D154, Merged_JOEM!$E$60:$E$564,C146)-SUM(SUMIFS(Merged_JOEM!$X$60:$X$564,Merged_JOEM!$D$60:$D$564,D154,Merged_JOEM!$AA$60:$AA$564,{"Ongoing","N/A",""},Merged_JOEM!$E$60:$E$564,C146))</f>
        <v>203.125</v>
      </c>
      <c r="G154" s="38">
        <f>1/8*(SUMIFS(Merged_JOEM!$Y$60:$Y$564,Merged_JOEM!$D$60:$D$564,D154,Merged_JOEM!$E$60:$E$564,C146))</f>
        <v>1.5625</v>
      </c>
      <c r="H154" s="38">
        <f>1/8*(SUMIFS(Merged_JOEM!$Z$60:$Z$564,Merged_JOEM!$D$60:$D$564,D154,Merged_JOEM!$E$60:$E$564,C146)-SUM(SUMIFS(Merged_JOEM!$Z$60:$Z$564,Merged_JOEM!$D$60:$D$564,D154,Merged_JOEM!$AA$60:$AA$564,{"Ongoing","N/A",""},Merged_JOEM!$E$60:$E$564,C146)))</f>
        <v>0</v>
      </c>
      <c r="I154" s="235">
        <f>IFERROR(F154/E154,"N/A")</f>
        <v>1</v>
      </c>
      <c r="J154" s="3">
        <f>COUNTIFS(Merged_JOEM!$AK$60:$AK$564,J152,Merged_JOEM!$D$60:$D$564,D154,Merged_JOEM!$E$60:$E$564,C146)</f>
        <v>0</v>
      </c>
      <c r="K154" s="3">
        <f>COUNTIFS(Merged_JOEM!$AK$60:$AK$564,K152,Merged_JOEM!$D$60:$D$564,D154,Merged_JOEM!$E$60:$E$564,C146)</f>
        <v>0</v>
      </c>
    </row>
    <row r="156" spans="1:11">
      <c r="C156" t="s">
        <v>118</v>
      </c>
    </row>
    <row r="157" spans="1:11">
      <c r="D157" s="34" t="s">
        <v>1588</v>
      </c>
    </row>
    <row r="159" spans="1:11">
      <c r="A159">
        <v>13</v>
      </c>
      <c r="B159" s="232" t="s">
        <v>53</v>
      </c>
      <c r="C159" s="232" t="s">
        <v>1587</v>
      </c>
    </row>
    <row r="160" spans="1:11">
      <c r="B160" s="232" t="s">
        <v>112</v>
      </c>
      <c r="C160">
        <f>SUM(G166:G167)</f>
        <v>2.9899999999999998</v>
      </c>
      <c r="D160" t="s">
        <v>113</v>
      </c>
    </row>
    <row r="161" spans="1:11">
      <c r="B161" s="232" t="s">
        <v>119</v>
      </c>
      <c r="C161">
        <f>SUM(INT((WEEKDAY(F161-{2,3,4,5,6})+H161-F161)/7))</f>
        <v>2</v>
      </c>
      <c r="D161" t="s">
        <v>113</v>
      </c>
      <c r="E161" t="s">
        <v>141</v>
      </c>
      <c r="F161" s="6">
        <v>44078</v>
      </c>
      <c r="G161" s="6" t="s">
        <v>111</v>
      </c>
      <c r="H161" s="6">
        <v>44081</v>
      </c>
    </row>
    <row r="162" spans="1:11">
      <c r="B162" s="232" t="s">
        <v>120</v>
      </c>
      <c r="C162">
        <f>SUM(INT((WEEKDAY(F162-{2,3,4,5,6})+H162-F162)/7))</f>
        <v>2</v>
      </c>
      <c r="D162" t="s">
        <v>113</v>
      </c>
      <c r="E162" t="s">
        <v>212</v>
      </c>
      <c r="F162" s="6">
        <v>44078</v>
      </c>
      <c r="G162" s="6" t="s">
        <v>111</v>
      </c>
      <c r="H162" s="6">
        <v>44081</v>
      </c>
    </row>
    <row r="163" spans="1:11">
      <c r="B163" s="232" t="s">
        <v>17</v>
      </c>
      <c r="C163" t="str">
        <f>IF(AND(F166=E166,F167=E167),IF(SUM(H166:H167)&gt;SUM(G166:G167),"Delayed",IF(SUM(H166:H167)&lt;SUM(G166:G167),"InAdvanced","Ontime")),"N/A")</f>
        <v>InAdvanced</v>
      </c>
      <c r="F163" s="6"/>
      <c r="G163" s="6"/>
      <c r="H163" s="6"/>
    </row>
    <row r="165" spans="1:11" ht="75">
      <c r="C165" s="233" t="s">
        <v>25</v>
      </c>
      <c r="D165" s="233" t="s">
        <v>26</v>
      </c>
      <c r="E165" s="234" t="s">
        <v>114</v>
      </c>
      <c r="F165" s="234" t="s">
        <v>115</v>
      </c>
      <c r="G165" s="234" t="s">
        <v>116</v>
      </c>
      <c r="H165" s="234" t="s">
        <v>117</v>
      </c>
      <c r="I165" s="234" t="s">
        <v>29</v>
      </c>
      <c r="J165" s="234" t="str">
        <f>Table!$C$41</f>
        <v>OPL</v>
      </c>
      <c r="K165" s="234" t="str">
        <f>Table!$C$42</f>
        <v>Defect</v>
      </c>
    </row>
    <row r="166" spans="1:11">
      <c r="C166" s="40">
        <v>1</v>
      </c>
      <c r="D166" s="38" t="str">
        <f>Table!$D$3</f>
        <v>PSW</v>
      </c>
      <c r="E166" s="38">
        <f>SUMIFS(Merged_JOEM!$W$60:$W$564,Merged_JOEM!$D$60:$D$564,D166, Merged_JOEM!$E$60:$E$564,C159)</f>
        <v>1053</v>
      </c>
      <c r="F166" s="38">
        <f>SUMIFS(Merged_JOEM!$X$60:$X$564,Merged_JOEM!$D$60:$D$564,D166, Merged_JOEM!$E$60:$E$564,C159)-SUM(SUMIFS(Merged_JOEM!$X$60:$X$564,Merged_JOEM!$D$60:$D$564,D166,Merged_JOEM!$AA$60:$AA$564,{"Ongoing","N/A",""},Merged_JOEM!$E$60:$E$564,C159))</f>
        <v>1053</v>
      </c>
      <c r="G166" s="38">
        <f>1/8*(SUMIFS(Merged_JOEM!$Y$60:$Y$564,Merged_JOEM!$D$60:$D$564,D166, Merged_JOEM!$E$60:$E$564,C159))</f>
        <v>2.34</v>
      </c>
      <c r="H166" s="38">
        <f>1/8*(SUMIFS(Merged_JOEM!$Z$60:$Z$564,Merged_JOEM!$D$60:$D$564,D166, Merged_JOEM!$E$60:$E$564,C159)-SUM(SUMIFS(Merged_JOEM!$Z$60:$Z$564,Merged_JOEM!$D$60:$D$564,D166,Merged_JOEM!$AA$60:$AA$564,{"Ongoing","N/A",""},Merged_JOEM!$E$60:$E$564,C159)))</f>
        <v>2.1724999999999999</v>
      </c>
      <c r="I166" s="347">
        <f>IFERROR(F166/E166,"N/A")</f>
        <v>1</v>
      </c>
      <c r="J166" s="3">
        <f>COUNTIFS(Merged_JOEM!$AK$60:$AK$564,J165,Merged_JOEM!$D$60:$D$564,D166,Merged_JOEM!$E$60:$E$564,C159)</f>
        <v>0</v>
      </c>
      <c r="K166" s="3">
        <f>COUNTIFS(Merged_JOEM!$AK$60:$AK$564,K165,Merged_JOEM!$D$60:$D$564,D166,Merged_JOEM!$E$60:$E$564,C159)</f>
        <v>0</v>
      </c>
    </row>
    <row r="167" spans="1:11">
      <c r="C167" s="40">
        <v>2</v>
      </c>
      <c r="D167" s="38" t="str">
        <f>Table!$C$3</f>
        <v>ASW</v>
      </c>
      <c r="E167" s="38">
        <f>SUMIFS(Merged_JOEM!$W$60:$W$564,Merged_JOEM!$D$60:$D$564,D167, Merged_JOEM!$E$60:$E$564,C159)</f>
        <v>84.5</v>
      </c>
      <c r="F167" s="38">
        <f>SUMIFS(Merged_JOEM!$X$60:$X$564,Merged_JOEM!$D$60:$D$564,D167, Merged_JOEM!$E$60:$E$564,C159)-SUM(SUMIFS(Merged_JOEM!$X$60:$X$564,Merged_JOEM!$D$60:$D$564,D167,Merged_JOEM!$AA$60:$AA$564,{"Ongoing","N/A",""},Merged_JOEM!$E$60:$E$564,C159))</f>
        <v>84.5</v>
      </c>
      <c r="G167" s="38">
        <f>1/8*(SUMIFS(Merged_JOEM!$Y$60:$Y$564,Merged_JOEM!$D$60:$D$564,D167,Merged_JOEM!$E$60:$E$564,C159))</f>
        <v>0.65</v>
      </c>
      <c r="H167" s="38">
        <f>1/8*(SUMIFS(Merged_JOEM!$Z$60:$Z$564,Merged_JOEM!$D$60:$D$564,D167,Merged_JOEM!$E$60:$E$564,C159)-SUM(SUMIFS(Merged_JOEM!$Z$60:$Z$564,Merged_JOEM!$D$60:$D$564,D167,Merged_JOEM!$AA$60:$AA$564,{"Ongoing","N/A",""},Merged_JOEM!$E$60:$E$564,C159)))</f>
        <v>0.65</v>
      </c>
      <c r="I167" s="347">
        <f>IFERROR(F167/E167,"N/A")</f>
        <v>1</v>
      </c>
      <c r="J167" s="3">
        <f>COUNTIFS(Merged_JOEM!$AK$60:$AK$564,J165,Merged_JOEM!$D$60:$D$564,D167,Merged_JOEM!$E$60:$E$564,C159)</f>
        <v>0</v>
      </c>
      <c r="K167" s="3">
        <f>COUNTIFS(Merged_JOEM!$AK$60:$AK$564,K165,Merged_JOEM!$D$60:$D$564,D167,Merged_JOEM!$E$60:$E$564,C159)</f>
        <v>0</v>
      </c>
    </row>
    <row r="169" spans="1:11">
      <c r="C169" t="s">
        <v>118</v>
      </c>
    </row>
    <row r="170" spans="1:11">
      <c r="D170" s="34" t="s">
        <v>1843</v>
      </c>
    </row>
    <row r="172" spans="1:11">
      <c r="A172">
        <v>14</v>
      </c>
      <c r="B172" s="232" t="s">
        <v>53</v>
      </c>
      <c r="C172" s="232" t="s">
        <v>1811</v>
      </c>
    </row>
    <row r="173" spans="1:11">
      <c r="B173" s="232" t="s">
        <v>112</v>
      </c>
      <c r="C173">
        <f>SUM(G179:G180)</f>
        <v>28.429999999999993</v>
      </c>
      <c r="D173" t="s">
        <v>113</v>
      </c>
    </row>
    <row r="174" spans="1:11">
      <c r="B174" s="232" t="s">
        <v>119</v>
      </c>
      <c r="C174">
        <f>SUM(INT((WEEKDAY(F174-{2,3,4,5,6})+H174-F174)/7))</f>
        <v>5</v>
      </c>
      <c r="D174" t="s">
        <v>113</v>
      </c>
      <c r="E174" t="s">
        <v>141</v>
      </c>
      <c r="F174" s="6">
        <v>44081</v>
      </c>
      <c r="G174" s="6" t="s">
        <v>111</v>
      </c>
      <c r="H174" s="6">
        <v>44085</v>
      </c>
    </row>
    <row r="175" spans="1:11">
      <c r="B175" s="232" t="s">
        <v>120</v>
      </c>
      <c r="C175">
        <f>SUM(INT((WEEKDAY(F175-{2,3,4,5,6})+H175-F175)/7))</f>
        <v>5</v>
      </c>
      <c r="D175" t="s">
        <v>113</v>
      </c>
      <c r="E175" t="s">
        <v>212</v>
      </c>
      <c r="F175" s="6">
        <v>44081</v>
      </c>
      <c r="G175" s="6" t="s">
        <v>111</v>
      </c>
      <c r="H175" s="6">
        <v>44085</v>
      </c>
    </row>
    <row r="176" spans="1:11">
      <c r="B176" s="232" t="s">
        <v>17</v>
      </c>
      <c r="C176" t="str">
        <f>IF(AND(F179=E179,F180=E180),IF(SUM(H179:H180)&gt;SUM(G179:G180),"Delayed",IF(SUM(H179:H180)&lt;SUM(G179:G180),"InAdvanced","Ontime")),"N/A")</f>
        <v>InAdvanced</v>
      </c>
      <c r="F176" s="6"/>
      <c r="G176" s="6"/>
      <c r="H176" s="6"/>
    </row>
    <row r="178" spans="1:11" ht="75">
      <c r="C178" s="233" t="s">
        <v>25</v>
      </c>
      <c r="D178" s="233" t="s">
        <v>26</v>
      </c>
      <c r="E178" s="234" t="s">
        <v>114</v>
      </c>
      <c r="F178" s="234" t="s">
        <v>115</v>
      </c>
      <c r="G178" s="234" t="s">
        <v>116</v>
      </c>
      <c r="H178" s="234" t="s">
        <v>117</v>
      </c>
      <c r="I178" s="234" t="s">
        <v>29</v>
      </c>
      <c r="J178" s="234" t="str">
        <f>Table!$C$41</f>
        <v>OPL</v>
      </c>
      <c r="K178" s="234" t="str">
        <f>Table!$C$42</f>
        <v>Defect</v>
      </c>
    </row>
    <row r="179" spans="1:11">
      <c r="C179" s="40">
        <v>1</v>
      </c>
      <c r="D179" s="38" t="str">
        <f>Table!$D$3</f>
        <v>PSW</v>
      </c>
      <c r="E179" s="38">
        <f>SUMIFS(Merged_JOEM!$W$60:$W$564,Merged_JOEM!$D$60:$D$564,D179, Merged_JOEM!$E$60:$E$564,C172)</f>
        <v>7303.5</v>
      </c>
      <c r="F179" s="38">
        <f>SUMIFS(Merged_JOEM!$X$60:$X$564,Merged_JOEM!$D$60:$D$564,D179, Merged_JOEM!$E$60:$E$564,C172)-SUM(SUMIFS(Merged_JOEM!$X$60:$X$564,Merged_JOEM!$D$60:$D$564,D179,Merged_JOEM!$AA$60:$AA$564,{"Ongoing","N/A",""},Merged_JOEM!$E$60:$E$564,C172))</f>
        <v>7303.5</v>
      </c>
      <c r="G179" s="38">
        <f>1/8*(SUMIFS(Merged_JOEM!$Y$60:$Y$564,Merged_JOEM!$D$60:$D$564,D179, Merged_JOEM!$E$60:$E$564,C172))</f>
        <v>16.229999999999997</v>
      </c>
      <c r="H179" s="38">
        <f>1/8*(SUMIFS(Merged_JOEM!$Z$60:$Z$564,Merged_JOEM!$D$60:$D$564,D179, Merged_JOEM!$E$60:$E$564,C172)-SUM(SUMIFS(Merged_JOEM!$Z$60:$Z$564,Merged_JOEM!$D$60:$D$564,D179,Merged_JOEM!$AA$60:$AA$564,{"Ongoing","N/A",""},Merged_JOEM!$E$60:$E$564,C172)))</f>
        <v>11.572499999999996</v>
      </c>
      <c r="I179" s="347">
        <f>IFERROR(F179/E179,"N/A")</f>
        <v>1</v>
      </c>
      <c r="J179" s="3">
        <f>COUNTIFS(Merged_JOEM!$AK$60:$AK$564,J178,Merged_JOEM!$D$60:$D$564,D179,Merged_JOEM!$E$60:$E$564,C172)</f>
        <v>1</v>
      </c>
      <c r="K179" s="3">
        <f>COUNTIFS(Merged_JOEM!$AK$60:$AK$564,K178,Merged_JOEM!$D$60:$D$564,D179,Merged_JOEM!$E$60:$E$564,C172)</f>
        <v>0</v>
      </c>
    </row>
    <row r="180" spans="1:11">
      <c r="C180" s="40">
        <v>2</v>
      </c>
      <c r="D180" s="38" t="str">
        <f>Table!$C$3</f>
        <v>ASW</v>
      </c>
      <c r="E180" s="38">
        <f>SUMIFS(Merged_JOEM!$W$60:$W$564,Merged_JOEM!$D$60:$D$564,D180, Merged_JOEM!$E$60:$E$564,C172)</f>
        <v>1585.9999999999991</v>
      </c>
      <c r="F180" s="38">
        <f>SUMIFS(Merged_JOEM!$X$60:$X$564,Merged_JOEM!$D$60:$D$564,D180, Merged_JOEM!$E$60:$E$564,C172)-SUM(SUMIFS(Merged_JOEM!$X$60:$X$564,Merged_JOEM!$D$60:$D$564,D180,Merged_JOEM!$AA$60:$AA$564,{"Ongoing","N/A",""},Merged_JOEM!$E$60:$E$564,C172))</f>
        <v>1585.9999999999991</v>
      </c>
      <c r="G180" s="38">
        <f>1/8*(SUMIFS(Merged_JOEM!$Y$60:$Y$564,Merged_JOEM!$D$60:$D$564,D180,Merged_JOEM!$E$60:$E$564,C172))</f>
        <v>12.199999999999996</v>
      </c>
      <c r="H180" s="38">
        <f>1/8*(SUMIFS(Merged_JOEM!$Z$60:$Z$564,Merged_JOEM!$D$60:$D$564,D180,Merged_JOEM!$E$60:$E$564,C172)-SUM(SUMIFS(Merged_JOEM!$Z$60:$Z$564,Merged_JOEM!$D$60:$D$564,D180,Merged_JOEM!$AA$60:$AA$564,{"Ongoing","N/A",""},Merged_JOEM!$E$60:$E$564,C172)))</f>
        <v>8.2824999999999971</v>
      </c>
      <c r="I180" s="347">
        <f>IFERROR(F180/E180,"N/A")</f>
        <v>1</v>
      </c>
      <c r="J180" s="3">
        <f>COUNTIFS(Merged_JOEM!$AK$60:$AK$564,J178,Merged_JOEM!$D$60:$D$564,D180,Merged_JOEM!$E$60:$E$564,C172)</f>
        <v>0</v>
      </c>
      <c r="K180" s="3">
        <f>COUNTIFS(Merged_JOEM!$AK$60:$AK$564,K178,Merged_JOEM!$D$60:$D$564,D180,Merged_JOEM!$E$60:$E$564,C172)</f>
        <v>0</v>
      </c>
    </row>
    <row r="182" spans="1:11">
      <c r="C182" t="s">
        <v>118</v>
      </c>
    </row>
    <row r="183" spans="1:11">
      <c r="D183" s="34" t="s">
        <v>1589</v>
      </c>
    </row>
    <row r="185" spans="1:11">
      <c r="A185">
        <v>15</v>
      </c>
      <c r="B185" s="1" t="s">
        <v>53</v>
      </c>
      <c r="C185" s="1" t="s">
        <v>1905</v>
      </c>
    </row>
    <row r="186" spans="1:11">
      <c r="B186" s="1" t="s">
        <v>112</v>
      </c>
      <c r="C186">
        <f>SUM(G192:G193)</f>
        <v>1.6875</v>
      </c>
      <c r="D186" t="s">
        <v>113</v>
      </c>
    </row>
    <row r="187" spans="1:11">
      <c r="B187" s="1" t="s">
        <v>119</v>
      </c>
      <c r="C187">
        <f>SUM(INT((WEEKDAY(F187-{2,3,4,5,6})+H187-F187)/7))</f>
        <v>2</v>
      </c>
      <c r="D187" t="s">
        <v>113</v>
      </c>
      <c r="E187" t="s">
        <v>141</v>
      </c>
      <c r="F187" s="6">
        <v>44081</v>
      </c>
      <c r="G187" s="6" t="s">
        <v>111</v>
      </c>
      <c r="H187" s="6">
        <v>44082</v>
      </c>
    </row>
    <row r="188" spans="1:11">
      <c r="B188" s="1" t="s">
        <v>120</v>
      </c>
      <c r="C188">
        <f>SUM(INT((WEEKDAY(F188-{2,3,4,5,6})+H188-F188)/7))</f>
        <v>2</v>
      </c>
      <c r="D188" t="s">
        <v>113</v>
      </c>
      <c r="E188" t="s">
        <v>212</v>
      </c>
      <c r="F188" s="6">
        <v>44081</v>
      </c>
      <c r="G188" s="6" t="s">
        <v>111</v>
      </c>
      <c r="H188" s="6">
        <v>44082</v>
      </c>
    </row>
    <row r="189" spans="1:11">
      <c r="B189" s="1" t="s">
        <v>17</v>
      </c>
      <c r="C189" t="str">
        <f>IF(AND(F192=E192,F193=E193),IF(SUM(H192:H193)&gt;SUM(G192:G193),"Delayed",IF(SUM(H192:H193)&lt;SUM(G192:G193),"InAdvanced","Ontime")),"N/A")</f>
        <v>InAdvanced</v>
      </c>
      <c r="F189" s="6"/>
      <c r="G189" s="6"/>
      <c r="H189" s="6"/>
    </row>
    <row r="191" spans="1:11" ht="75">
      <c r="C191" s="49" t="s">
        <v>25</v>
      </c>
      <c r="D191" s="49" t="s">
        <v>26</v>
      </c>
      <c r="E191" s="8" t="s">
        <v>114</v>
      </c>
      <c r="F191" s="8" t="s">
        <v>115</v>
      </c>
      <c r="G191" s="8" t="s">
        <v>116</v>
      </c>
      <c r="H191" s="8" t="s">
        <v>117</v>
      </c>
      <c r="I191" s="8" t="s">
        <v>29</v>
      </c>
      <c r="J191" s="8" t="str">
        <f>Table!$C$41</f>
        <v>OPL</v>
      </c>
      <c r="K191" s="8" t="str">
        <f>Table!$C$42</f>
        <v>Defect</v>
      </c>
    </row>
    <row r="192" spans="1:11">
      <c r="C192" s="40">
        <v>1</v>
      </c>
      <c r="D192" s="38" t="str">
        <f>Table!$D$3</f>
        <v>PSW</v>
      </c>
      <c r="E192" s="38">
        <f>SUMIFS(Merged_JOEM!$W$60:$W$564,Merged_JOEM!$D$60:$D$564,D192, Merged_JOEM!$E$60:$E$564,C185)</f>
        <v>0</v>
      </c>
      <c r="F192" s="38">
        <f>SUMIFS(Merged_JOEM!$X$60:$X$564,Merged_JOEM!$D$60:$D$564,D192, Merged_JOEM!$E$60:$E$564,C185)-SUM(SUMIFS(Merged_JOEM!$X$60:$X$564,Merged_JOEM!$D$60:$D$564,D192,Merged_JOEM!$AA$60:$AA$564,{"Ongoing","N/A",""},Merged_JOEM!$E$60:$E$564,C185))</f>
        <v>0</v>
      </c>
      <c r="G192" s="38">
        <f>1/8*(SUMIFS(Merged_JOEM!$Y$60:$Y$564,Merged_JOEM!$D$60:$D$564,D192, Merged_JOEM!$E$60:$E$564,C185))</f>
        <v>0</v>
      </c>
      <c r="H192" s="38">
        <f>1/8*(SUMIFS(Merged_JOEM!$Z$60:$Z$564,Merged_JOEM!$D$60:$D$564,D192, Merged_JOEM!$E$60:$E$564,C185)-SUM(SUMIFS(Merged_JOEM!$Z$60:$Z$564,Merged_JOEM!$D$60:$D$564,D192,Merged_JOEM!$AA$60:$AA$564,{"Ongoing","N/A",""},Merged_JOEM!$E$60:$E$564,C185)))</f>
        <v>0</v>
      </c>
      <c r="I192" s="347" t="str">
        <f>IFERROR(F192/E192,"N/A")</f>
        <v>N/A</v>
      </c>
      <c r="J192" s="3">
        <f>COUNTIFS(Merged_JOEM!$AK$60:$AK$564,J191,Merged_JOEM!$D$60:$D$564,D192,Merged_JOEM!$E$60:$E$564,C185)</f>
        <v>0</v>
      </c>
      <c r="K192" s="3">
        <f>COUNTIFS(Merged_JOEM!$AK$60:$AK$564,K191,Merged_JOEM!$D$60:$D$564,D192,Merged_JOEM!$E$60:$E$564,C185)</f>
        <v>0</v>
      </c>
    </row>
    <row r="193" spans="1:11">
      <c r="C193" s="40">
        <v>2</v>
      </c>
      <c r="D193" s="38" t="str">
        <f>Table!$C$3</f>
        <v>ASW</v>
      </c>
      <c r="E193" s="38">
        <f>SUMIFS(Merged_JOEM!$W$60:$W$564,Merged_JOEM!$D$60:$D$564,D193, Merged_JOEM!$E$60:$E$564,C185)</f>
        <v>219.375</v>
      </c>
      <c r="F193" s="38">
        <f>SUMIFS(Merged_JOEM!$X$60:$X$564,Merged_JOEM!$D$60:$D$564,D193, Merged_JOEM!$E$60:$E$564,C185)-SUM(SUMIFS(Merged_JOEM!$X$60:$X$564,Merged_JOEM!$D$60:$D$564,D193,Merged_JOEM!$AA$60:$AA$564,{"Ongoing","N/A",""},Merged_JOEM!$E$60:$E$564,C185))</f>
        <v>219.375</v>
      </c>
      <c r="G193" s="38">
        <f>1/8*(SUMIFS(Merged_JOEM!$Y$60:$Y$564,Merged_JOEM!$D$60:$D$564,D193,Merged_JOEM!$E$60:$E$564,C185))</f>
        <v>1.6875</v>
      </c>
      <c r="H193" s="38">
        <f>1/8*(SUMIFS(Merged_JOEM!$Z$60:$Z$564,Merged_JOEM!$D$60:$D$564,D193,Merged_JOEM!$E$60:$E$564,C185)-SUM(SUMIFS(Merged_JOEM!$Z$60:$Z$564,Merged_JOEM!$D$60:$D$564,D193,Merged_JOEM!$AA$60:$AA$564,{"Ongoing","N/A",""},Merged_JOEM!$E$60:$E$564,C185)))</f>
        <v>0</v>
      </c>
      <c r="I193" s="347">
        <f>IFERROR(F193/E193,"N/A")</f>
        <v>1</v>
      </c>
      <c r="J193" s="3">
        <f>COUNTIFS(Merged_JOEM!$AK$60:$AK$564,J191,Merged_JOEM!$D$60:$D$564,D193,Merged_JOEM!$E$60:$E$564,C185)</f>
        <v>0</v>
      </c>
      <c r="K193" s="3">
        <f>COUNTIFS(Merged_JOEM!$AK$60:$AK$564,K191,Merged_JOEM!$D$60:$D$564,D193,Merged_JOEM!$E$60:$E$564,C185)</f>
        <v>0</v>
      </c>
    </row>
    <row r="195" spans="1:11">
      <c r="C195" t="s">
        <v>118</v>
      </c>
    </row>
    <row r="196" spans="1:11">
      <c r="D196" s="34" t="s">
        <v>1923</v>
      </c>
    </row>
    <row r="198" spans="1:11">
      <c r="A198">
        <v>16</v>
      </c>
      <c r="B198" s="1" t="s">
        <v>53</v>
      </c>
      <c r="C198" s="1" t="s">
        <v>2022</v>
      </c>
    </row>
    <row r="199" spans="1:11">
      <c r="B199" s="1" t="s">
        <v>112</v>
      </c>
      <c r="C199">
        <f>SUM(G205:G206)</f>
        <v>16.400000000000002</v>
      </c>
      <c r="D199" t="s">
        <v>113</v>
      </c>
    </row>
    <row r="200" spans="1:11">
      <c r="B200" s="1" t="s">
        <v>119</v>
      </c>
      <c r="C200">
        <f>SUM(INT((WEEKDAY(F200-{2,3,4,5,6})+H200-F200)/7))</f>
        <v>6</v>
      </c>
      <c r="D200" t="s">
        <v>113</v>
      </c>
      <c r="E200" t="s">
        <v>141</v>
      </c>
      <c r="F200" s="6">
        <v>44083</v>
      </c>
      <c r="G200" s="6" t="s">
        <v>111</v>
      </c>
      <c r="H200" s="6">
        <v>44090</v>
      </c>
    </row>
    <row r="201" spans="1:11">
      <c r="B201" s="1" t="s">
        <v>120</v>
      </c>
      <c r="C201">
        <f>SUM(INT((WEEKDAY(F201-{2,3,4,5,6})+H201-F201)/7))</f>
        <v>6</v>
      </c>
      <c r="D201" t="s">
        <v>113</v>
      </c>
      <c r="E201" t="s">
        <v>212</v>
      </c>
      <c r="F201" s="6">
        <v>44083</v>
      </c>
      <c r="G201" s="6" t="s">
        <v>111</v>
      </c>
      <c r="H201" s="6">
        <v>44090</v>
      </c>
    </row>
    <row r="202" spans="1:11">
      <c r="B202" s="1" t="s">
        <v>17</v>
      </c>
      <c r="C202" t="str">
        <f>IF(AND(F205=E205,F206=E206),IF(SUM(H205:H206)&gt;SUM(G205:G206),"Delayed",IF(SUM(H205:H206)&lt;SUM(G205:G206),"InAdvanced","Ontime")),"N/A")</f>
        <v>N/A</v>
      </c>
      <c r="F202" s="6"/>
      <c r="G202" s="6"/>
      <c r="H202" s="6"/>
    </row>
    <row r="204" spans="1:11" ht="75">
      <c r="C204" s="49" t="s">
        <v>25</v>
      </c>
      <c r="D204" s="49" t="s">
        <v>26</v>
      </c>
      <c r="E204" s="8" t="s">
        <v>114</v>
      </c>
      <c r="F204" s="8" t="s">
        <v>115</v>
      </c>
      <c r="G204" s="8" t="s">
        <v>116</v>
      </c>
      <c r="H204" s="8" t="s">
        <v>117</v>
      </c>
      <c r="I204" s="8" t="s">
        <v>29</v>
      </c>
      <c r="J204" s="8" t="str">
        <f>Table!$C$41</f>
        <v>OPL</v>
      </c>
      <c r="K204" s="8" t="str">
        <f>Table!$C$42</f>
        <v>Defect</v>
      </c>
    </row>
    <row r="205" spans="1:11">
      <c r="C205" s="40">
        <v>1</v>
      </c>
      <c r="D205" s="38" t="str">
        <f>Table!$D$3</f>
        <v>PSW</v>
      </c>
      <c r="E205" s="38">
        <f>SUMIFS(Merged_JOEM!$W$60:$W$564,Merged_JOEM!$D$60:$D$564,D205, Merged_JOEM!$E$60:$E$564,C198)</f>
        <v>1147.5</v>
      </c>
      <c r="F205" s="38">
        <f>SUMIFS(Merged_JOEM!$X$60:$X$564,Merged_JOEM!$D$60:$D$564,D205, Merged_JOEM!$E$60:$E$564,C198)-SUM(SUMIFS(Merged_JOEM!$X$60:$X$564,Merged_JOEM!$D$60:$D$564,D205,Merged_JOEM!$AA$60:$AA$564,{"Ongoing","N/A",""},Merged_JOEM!$E$60:$E$564,C198))</f>
        <v>1147.5</v>
      </c>
      <c r="G205" s="38">
        <f>1/8*(SUMIFS(Merged_JOEM!$Y$60:$Y$564,Merged_JOEM!$D$60:$D$564,D205, Merged_JOEM!$E$60:$E$564,C198))</f>
        <v>2.5500000000000007</v>
      </c>
      <c r="H205" s="38">
        <f>1/8*(SUMIFS(Merged_JOEM!$Z$60:$Z$564,Merged_JOEM!$D$60:$D$564,D205, Merged_JOEM!$E$60:$E$564,C198)-SUM(SUMIFS(Merged_JOEM!$Z$60:$Z$564,Merged_JOEM!$D$60:$D$564,D205,Merged_JOEM!$AA$60:$AA$564,{"Ongoing","N/A",""},Merged_JOEM!$E$60:$E$564,C198)))</f>
        <v>0.65</v>
      </c>
      <c r="I205" s="329">
        <f>IFERROR(F205/E205,"N/A")</f>
        <v>1</v>
      </c>
      <c r="J205" s="3">
        <f>COUNTIFS(Merged_JOEM!$AK$60:$AK$564,J204,Merged_JOEM!$D$60:$D$564,D205,Merged_JOEM!$E$60:$E$564,C198)</f>
        <v>0</v>
      </c>
      <c r="K205" s="3">
        <f>COUNTIFS(Merged_JOEM!$AK$60:$AK$564,K204,Merged_JOEM!$D$60:$D$564,D205,Merged_JOEM!$E$60:$E$564,C198)</f>
        <v>0</v>
      </c>
    </row>
    <row r="206" spans="1:11">
      <c r="C206" s="40">
        <v>2</v>
      </c>
      <c r="D206" s="38" t="str">
        <f>Table!$C$3</f>
        <v>ASW</v>
      </c>
      <c r="E206" s="38">
        <f>SUMIFS(Merged_JOEM!$W$60:$W$564,Merged_JOEM!$D$60:$D$564,D206, Merged_JOEM!$E$60:$E$564,C198)</f>
        <v>1800.5</v>
      </c>
      <c r="F206" s="38">
        <f>SUMIFS(Merged_JOEM!$X$60:$X$564,Merged_JOEM!$D$60:$D$564,D206, Merged_JOEM!$E$60:$E$564,C198)-SUM(SUMIFS(Merged_JOEM!$X$60:$X$564,Merged_JOEM!$D$60:$D$564,D206,Merged_JOEM!$AA$60:$AA$564,{"Ongoing","N/A",""},Merged_JOEM!$E$60:$E$564,C198))</f>
        <v>1271.4000000000001</v>
      </c>
      <c r="G206" s="38">
        <f>1/8*(SUMIFS(Merged_JOEM!$Y$60:$Y$564,Merged_JOEM!$D$60:$D$564,D206,Merged_JOEM!$E$60:$E$564,C198))</f>
        <v>13.850000000000001</v>
      </c>
      <c r="H206" s="38">
        <f>1/8*(SUMIFS(Merged_JOEM!$Z$60:$Z$564,Merged_JOEM!$D$60:$D$564,D206,Merged_JOEM!$E$60:$E$564,C198)-SUM(SUMIFS(Merged_JOEM!$Z$60:$Z$564,Merged_JOEM!$D$60:$D$564,D206,Merged_JOEM!$AA$60:$AA$564,{"Ongoing","N/A",""},Merged_JOEM!$E$60:$E$564,C198)))</f>
        <v>10.157500000000002</v>
      </c>
      <c r="I206" s="329">
        <f>IFERROR(F206/E206,"N/A")</f>
        <v>0.70613718411552351</v>
      </c>
      <c r="J206" s="3">
        <f>COUNTIFS(Merged_JOEM!$AK$60:$AK$564,J204,Merged_JOEM!$D$60:$D$564,D206,Merged_JOEM!$E$60:$E$564,C198)</f>
        <v>0</v>
      </c>
      <c r="K206" s="3">
        <f>COUNTIFS(Merged_JOEM!$AK$60:$AK$564,K204,Merged_JOEM!$D$60:$D$564,D206,Merged_JOEM!$E$60:$E$564,C198)</f>
        <v>0</v>
      </c>
    </row>
    <row r="208" spans="1:11">
      <c r="C208" t="s">
        <v>118</v>
      </c>
    </row>
    <row r="210" spans="1:11">
      <c r="A210">
        <v>17</v>
      </c>
      <c r="B210" s="362" t="s">
        <v>53</v>
      </c>
      <c r="C210" s="362" t="s">
        <v>2076</v>
      </c>
    </row>
    <row r="211" spans="1:11">
      <c r="B211" s="362" t="s">
        <v>112</v>
      </c>
      <c r="C211">
        <f>SUM(G217:G218)</f>
        <v>7.2799999999999994</v>
      </c>
      <c r="D211" t="s">
        <v>113</v>
      </c>
    </row>
    <row r="212" spans="1:11">
      <c r="B212" s="362" t="s">
        <v>119</v>
      </c>
      <c r="C212">
        <f>SUM(INT((WEEKDAY(F212-{2,3,4,5,6})+H212-F212)/7))</f>
        <v>6</v>
      </c>
      <c r="D212" t="s">
        <v>113</v>
      </c>
      <c r="E212" t="s">
        <v>141</v>
      </c>
      <c r="F212" s="6">
        <v>44083</v>
      </c>
      <c r="G212" s="6" t="s">
        <v>111</v>
      </c>
      <c r="H212" s="6">
        <v>44090</v>
      </c>
    </row>
    <row r="213" spans="1:11">
      <c r="B213" s="362" t="s">
        <v>120</v>
      </c>
      <c r="C213">
        <f>SUM(INT((WEEKDAY(F213-{2,3,4,5,6})+H213-F213)/7))</f>
        <v>6</v>
      </c>
      <c r="D213" t="s">
        <v>113</v>
      </c>
      <c r="E213" t="s">
        <v>212</v>
      </c>
      <c r="F213" s="6">
        <v>44083</v>
      </c>
      <c r="G213" s="6" t="s">
        <v>111</v>
      </c>
      <c r="H213" s="6">
        <v>44090</v>
      </c>
    </row>
    <row r="214" spans="1:11">
      <c r="B214" s="362" t="s">
        <v>17</v>
      </c>
      <c r="C214" t="str">
        <f>IF(AND(F217=E217,F218=E218),IF(SUM(H217:H218)&gt;SUM(G217:G218),"Delayed",IF(SUM(H217:H218)&lt;SUM(G217:G218),"InAdvanced","Ontime")),"N/A")</f>
        <v>N/A</v>
      </c>
      <c r="F214" s="6"/>
      <c r="G214" s="6"/>
      <c r="H214" s="6"/>
    </row>
    <row r="216" spans="1:11" ht="75">
      <c r="C216" s="363" t="s">
        <v>25</v>
      </c>
      <c r="D216" s="363" t="s">
        <v>26</v>
      </c>
      <c r="E216" s="364" t="s">
        <v>114</v>
      </c>
      <c r="F216" s="364" t="s">
        <v>115</v>
      </c>
      <c r="G216" s="364" t="s">
        <v>116</v>
      </c>
      <c r="H216" s="364" t="s">
        <v>117</v>
      </c>
      <c r="I216" s="364" t="s">
        <v>29</v>
      </c>
      <c r="J216" s="364" t="str">
        <f>Table!$C$41</f>
        <v>OPL</v>
      </c>
      <c r="K216" s="364" t="str">
        <f>Table!$C$42</f>
        <v>Defect</v>
      </c>
    </row>
    <row r="217" spans="1:11">
      <c r="C217" s="40">
        <v>1</v>
      </c>
      <c r="D217" s="38" t="str">
        <f>Table!$D$3</f>
        <v>PSW</v>
      </c>
      <c r="E217" s="38">
        <f>SUMIFS(Merged_JOEM!$W$60:$W$564,Merged_JOEM!$D$60:$D$564,D217, Merged_JOEM!$E$60:$E$564,C210)</f>
        <v>1683</v>
      </c>
      <c r="F217" s="38">
        <f>SUMIFS(Merged_JOEM!$X$60:$X$564,Merged_JOEM!$D$60:$D$564,D217, Merged_JOEM!$E$60:$E$564,C210)-SUM(SUMIFS(Merged_JOEM!$X$60:$X$564,Merged_JOEM!$D$60:$D$564,D217,Merged_JOEM!$AA$60:$AA$564,{"Ongoing","N/A",""},Merged_JOEM!$E$60:$E$564,C210))</f>
        <v>351</v>
      </c>
      <c r="G217" s="38">
        <f>1/8*(SUMIFS(Merged_JOEM!$Y$60:$Y$564,Merged_JOEM!$D$60:$D$564,D217, Merged_JOEM!$E$60:$E$564,C210))</f>
        <v>3.7399999999999993</v>
      </c>
      <c r="H217" s="38">
        <f>1/8*(SUMIFS(Merged_JOEM!$Z$60:$Z$564,Merged_JOEM!$D$60:$D$564,D217, Merged_JOEM!$E$60:$E$564,C210)-SUM(SUMIFS(Merged_JOEM!$Z$60:$Z$564,Merged_JOEM!$D$60:$D$564,D217,Merged_JOEM!$AA$60:$AA$564,{"Ongoing","N/A",""},Merged_JOEM!$E$60:$E$564,C210)))</f>
        <v>0.6449999999999998</v>
      </c>
      <c r="I217" s="61">
        <f>IFERROR(F217/E217,"N/A")</f>
        <v>0.20855614973262032</v>
      </c>
      <c r="J217" s="3">
        <f>COUNTIFS(Merged_JOEM!$AK$60:$AK$564,J216,Merged_JOEM!$D$60:$D$564,D217,Merged_JOEM!$E$60:$E$564,C210)</f>
        <v>0</v>
      </c>
      <c r="K217" s="3">
        <f>COUNTIFS(Merged_JOEM!$AK$60:$AK$564,K216,Merged_JOEM!$D$60:$D$564,D217,Merged_JOEM!$E$60:$E$564,C210)</f>
        <v>0</v>
      </c>
    </row>
    <row r="218" spans="1:11">
      <c r="C218" s="40">
        <v>2</v>
      </c>
      <c r="D218" s="38" t="str">
        <f>Table!$C$3</f>
        <v>ASW</v>
      </c>
      <c r="E218" s="38">
        <f>SUMIFS(Merged_JOEM!$W$60:$W$564,Merged_JOEM!$D$60:$D$564,D218, Merged_JOEM!$E$60:$E$564,C210)</f>
        <v>460.2</v>
      </c>
      <c r="F218" s="38">
        <f>SUMIFS(Merged_JOEM!$X$60:$X$564,Merged_JOEM!$D$60:$D$564,D218, Merged_JOEM!$E$60:$E$564,C210)-SUM(SUMIFS(Merged_JOEM!$X$60:$X$564,Merged_JOEM!$D$60:$D$564,D218,Merged_JOEM!$AA$60:$AA$564,{"Ongoing","N/A",""},Merged_JOEM!$E$60:$E$564,C210))</f>
        <v>52</v>
      </c>
      <c r="G218" s="38">
        <f>1/8*(SUMIFS(Merged_JOEM!$Y$60:$Y$564,Merged_JOEM!$D$60:$D$564,D218,Merged_JOEM!$E$60:$E$564,C210))</f>
        <v>3.5400000000000005</v>
      </c>
      <c r="H218" s="38">
        <f>1/8*(SUMIFS(Merged_JOEM!$Z$60:$Z$564,Merged_JOEM!$D$60:$D$564,D218,Merged_JOEM!$E$60:$E$564,C210)-SUM(SUMIFS(Merged_JOEM!$Z$60:$Z$564,Merged_JOEM!$D$60:$D$564,D218,Merged_JOEM!$AA$60:$AA$564,{"Ongoing","N/A",""},Merged_JOEM!$E$60:$E$564,C210)))</f>
        <v>0.4</v>
      </c>
      <c r="I218" s="61">
        <f>IFERROR(F218/E218,"N/A")</f>
        <v>0.11299435028248588</v>
      </c>
      <c r="J218" s="3">
        <f>COUNTIFS(Merged_JOEM!$AK$60:$AK$564,J216,Merged_JOEM!$D$60:$D$564,D218,Merged_JOEM!$E$60:$E$564,C210)</f>
        <v>0</v>
      </c>
      <c r="K218" s="3">
        <f>COUNTIFS(Merged_JOEM!$AK$60:$AK$564,K216,Merged_JOEM!$D$60:$D$564,D218,Merged_JOEM!$E$60:$E$564,C210)</f>
        <v>0</v>
      </c>
    </row>
    <row r="220" spans="1:11">
      <c r="C220" t="s">
        <v>118</v>
      </c>
    </row>
  </sheetData>
  <customSheetViews>
    <customSheetView guid="{7E0EA425-A420-4443-B9E0-CDF0AA9E5D09}" topLeftCell="A34">
      <selection activeCell="I51" sqref="I51"/>
      <pageMargins left="0.7" right="0.7" top="0.75" bottom="0.75" header="0.3" footer="0.3"/>
    </customSheetView>
    <customSheetView guid="{3B3E6719-EACB-4D2C-89C1-05FFAB6020FD}" topLeftCell="A22">
      <selection activeCell="A186" sqref="A186:XFD186"/>
      <pageMargins left="0.7" right="0.7" top="0.75" bottom="0.75" header="0.3" footer="0.3"/>
    </customSheetView>
    <customSheetView guid="{89C03E1E-B6A8-49A1-B29C-5DC4FAB2FBC6}">
      <selection activeCell="A186" sqref="A186:XFD186"/>
      <pageMargins left="0.7" right="0.7" top="0.75" bottom="0.75" header="0.3" footer="0.3"/>
    </customSheetView>
    <customSheetView guid="{FECB4C41-27E8-4A22-AFB3-4F54CDD4960E}" topLeftCell="A10">
      <selection activeCell="A186" sqref="A186:XFD186"/>
      <pageMargins left="0.7" right="0.7" top="0.75" bottom="0.75" header="0.3" footer="0.3"/>
    </customSheetView>
    <customSheetView guid="{7ECC2B8E-6A82-42F5-8AB0-4A51C54EA5EC}" topLeftCell="A193">
      <selection activeCell="A198" sqref="A198:L220"/>
      <pageMargins left="0.7" right="0.7" top="0.75" bottom="0.75" header="0.3" footer="0.3"/>
      <pageSetup orientation="portrait" horizontalDpi="300" verticalDpi="0" r:id="rId1"/>
    </customSheetView>
    <customSheetView guid="{99BC1C51-34DC-4BF2-906C-1E31B6171D71}">
      <selection activeCell="A81" sqref="A81:XFD81"/>
      <pageMargins left="0.7" right="0.7" top="0.75" bottom="0.75" header="0.3" footer="0.3"/>
    </customSheetView>
    <customSheetView guid="{A2E8CE38-D15E-4374-89B2-69D9421C4465}" showPageBreaks="1">
      <selection activeCell="A17" sqref="A17:XFD17"/>
      <pageMargins left="0.7" right="0.7" top="0.75" bottom="0.75" header="0.3" footer="0.3"/>
      <pageSetup orientation="portrait" horizontalDpi="300" r:id="rId2"/>
    </customSheetView>
    <customSheetView guid="{336B6883-2145-4B58-921E-CEC7185A847E}">
      <selection activeCell="A186" sqref="A186:XFD186"/>
      <pageMargins left="0.7" right="0.7" top="0.75" bottom="0.75" header="0.3" footer="0.3"/>
    </customSheetView>
    <customSheetView guid="{60D2C030-4E31-4E07-8E1C-44D2EE84B177}">
      <selection activeCell="A186" sqref="A186:XFD186"/>
      <pageMargins left="0.7" right="0.7" top="0.75" bottom="0.75" header="0.3" footer="0.3"/>
    </customSheetView>
    <customSheetView guid="{C94451EF-7A3E-4D72-B5A4-3D1B193192CC}">
      <selection activeCell="A186" sqref="A186:XFD186"/>
      <pageMargins left="0.7" right="0.7" top="0.75" bottom="0.75" header="0.3" footer="0.3"/>
    </customSheetView>
    <customSheetView guid="{D33AC7AF-C8AB-4CE9-94C7-9237011A5FC3}" topLeftCell="A127">
      <selection activeCell="A186" sqref="A186:XFD186"/>
      <pageMargins left="0.7" right="0.7" top="0.75" bottom="0.75" header="0.3" footer="0.3"/>
    </customSheetView>
    <customSheetView guid="{A2C66332-A809-458E-971B-FDB6D62C74C3}" topLeftCell="A10">
      <selection activeCell="A43" sqref="A43:XFD43"/>
      <pageMargins left="0.7" right="0.7" top="0.75" bottom="0.75" header="0.3" footer="0.3"/>
    </customSheetView>
    <customSheetView guid="{F96FC7D9-4F89-4FE0-8D00-C0083DEB0472}">
      <selection activeCell="C2" sqref="C2"/>
      <pageMargins left="0.7" right="0.7" top="0.75" bottom="0.75" header="0.3" footer="0.3"/>
    </customSheetView>
    <customSheetView guid="{970EE037-F5E5-47AF-896A-0F6222879EBC}">
      <selection activeCell="D2" sqref="D2"/>
      <pageMargins left="0.7" right="0.7" top="0.75" bottom="0.75" header="0.3" footer="0.3"/>
      <pageSetup paperSize="9" orientation="portrait" r:id="rId3"/>
    </customSheetView>
    <customSheetView guid="{4E06BDBF-2CED-473B-850B-2A6C7311FF41}" showPageBreaks="1">
      <selection activeCell="A43" sqref="A43:XFD43"/>
      <pageMargins left="0.7" right="0.7" top="0.75" bottom="0.75" header="0.3" footer="0.3"/>
      <pageSetup paperSize="9" orientation="portrait" r:id="rId4"/>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X153"/>
  <sheetViews>
    <sheetView zoomScale="85" zoomScaleNormal="85" workbookViewId="0">
      <selection activeCell="K29" sqref="K29"/>
    </sheetView>
  </sheetViews>
  <sheetFormatPr defaultRowHeight="15"/>
  <cols>
    <col min="1" max="1" width="10" customWidth="1"/>
    <col min="2" max="2" width="12.42578125" customWidth="1"/>
    <col min="3" max="3" width="34.7109375" bestFit="1" customWidth="1"/>
    <col min="4" max="4" width="22" customWidth="1"/>
    <col min="5" max="5" width="14.85546875" bestFit="1" customWidth="1"/>
    <col min="6" max="6" width="28.5703125" bestFit="1" customWidth="1"/>
    <col min="7" max="7" width="13.140625" customWidth="1"/>
    <col min="8" max="8" width="23" customWidth="1"/>
    <col min="11" max="11" width="10" bestFit="1" customWidth="1"/>
    <col min="12" max="12" width="13.28515625" customWidth="1"/>
    <col min="13" max="13" width="8.7109375" customWidth="1"/>
    <col min="14" max="14" width="27.85546875" bestFit="1" customWidth="1"/>
    <col min="15" max="15" width="14.85546875" bestFit="1" customWidth="1"/>
    <col min="16" max="16" width="21.42578125" bestFit="1" customWidth="1"/>
    <col min="17" max="17" width="33" bestFit="1" customWidth="1"/>
    <col min="18" max="18" width="20.5703125" customWidth="1"/>
  </cols>
  <sheetData>
    <row r="2" spans="2:20">
      <c r="B2" s="63" t="s">
        <v>183</v>
      </c>
      <c r="Q2" s="1" t="s">
        <v>100</v>
      </c>
    </row>
    <row r="3" spans="2:20">
      <c r="B3" s="56" t="s">
        <v>0</v>
      </c>
      <c r="C3" s="56" t="s">
        <v>8</v>
      </c>
      <c r="D3" s="56" t="s">
        <v>175</v>
      </c>
      <c r="E3" s="56" t="s">
        <v>50</v>
      </c>
      <c r="F3" s="56" t="s">
        <v>92</v>
      </c>
      <c r="G3" s="56" t="s">
        <v>22</v>
      </c>
      <c r="H3" s="57" t="s">
        <v>24</v>
      </c>
      <c r="I3" s="57" t="s">
        <v>130</v>
      </c>
      <c r="J3" s="57" t="s">
        <v>139</v>
      </c>
      <c r="K3" s="98"/>
      <c r="L3" s="99"/>
      <c r="Q3" s="2" t="s">
        <v>184</v>
      </c>
      <c r="R3" s="2" t="s">
        <v>22</v>
      </c>
      <c r="S3" s="2" t="s">
        <v>177</v>
      </c>
      <c r="T3" s="2" t="s">
        <v>178</v>
      </c>
    </row>
    <row r="4" spans="2:20">
      <c r="B4" s="58">
        <v>1</v>
      </c>
      <c r="C4" s="71" t="s">
        <v>6</v>
      </c>
      <c r="D4" s="60">
        <f>SUM(Merged_COEM!D42,Merged_JOEM!D42)</f>
        <v>0</v>
      </c>
      <c r="E4" s="60">
        <f>SUM(Merged_COEM!E42,Merged_JOEM!E42)</f>
        <v>0</v>
      </c>
      <c r="F4" s="60">
        <v>0</v>
      </c>
      <c r="G4" s="60" t="str">
        <f t="shared" ref="G4" si="0">IF(ISERROR(E4/(F4)),"N/A",E4/F4)</f>
        <v>N/A</v>
      </c>
      <c r="H4" s="61" t="str">
        <f t="shared" ref="H4:H19" si="1">IF(ISERROR(E4/D4),"N/A",E4/D4)</f>
        <v>N/A</v>
      </c>
      <c r="I4" s="3">
        <f>SUM(Merged_COEM!L42,Merged_JOEM!L42)</f>
        <v>0</v>
      </c>
      <c r="J4" s="3">
        <f>SUM(Merged_COEM!M42,Merged_JOEM!M42)</f>
        <v>0</v>
      </c>
      <c r="P4" t="str">
        <f>C4</f>
        <v>hieu.nguyen-trung</v>
      </c>
      <c r="Q4" s="3"/>
      <c r="R4" s="60"/>
      <c r="S4" s="3"/>
      <c r="T4" s="3"/>
    </row>
    <row r="5" spans="2:20">
      <c r="B5" s="58">
        <v>2</v>
      </c>
      <c r="C5" s="71" t="s">
        <v>61</v>
      </c>
      <c r="D5" s="60">
        <f>SUM(Merged_COEM!D43,Merged_JOEM!D43)</f>
        <v>11419.875</v>
      </c>
      <c r="E5" s="60">
        <f>SUM(Merged_COEM!E43,Merged_JOEM!E43)</f>
        <v>11046.375</v>
      </c>
      <c r="F5" s="60">
        <f t="shared" ref="F5:F17" ca="1" si="2">$B$26</f>
        <v>19</v>
      </c>
      <c r="G5" s="60">
        <f t="shared" ref="G5:G17" ca="1" si="3">IF(ISERROR(E5/(F5)),"N/A",E5/F5)</f>
        <v>581.38815789473688</v>
      </c>
      <c r="H5" s="61">
        <f t="shared" ref="H5:H17" si="4">IF(ISERROR(E5/D5),"N/A",E5/D5)</f>
        <v>0.96729386267362827</v>
      </c>
      <c r="I5" s="3">
        <f>SUM(Merged_COEM!L43,Merged_JOEM!L43)</f>
        <v>2</v>
      </c>
      <c r="J5" s="3">
        <f>SUM(Merged_COEM!M43,Merged_JOEM!M43)</f>
        <v>1</v>
      </c>
      <c r="P5" t="str">
        <f t="shared" ref="P5:P17" si="5">C5</f>
        <v>hau.nguyen-tai</v>
      </c>
      <c r="Q5" s="3">
        <f>SUM(Merged_COEM!J43,Merged_JOEM!J43)</f>
        <v>11046.375</v>
      </c>
      <c r="R5" s="60">
        <f t="shared" ref="R5:R17" ca="1" si="6">Q5/F5</f>
        <v>581.38815789473688</v>
      </c>
      <c r="S5" s="3">
        <f t="shared" ref="S5:S17" si="7">RANK(Q5,$Q$4:$Q$17)</f>
        <v>3</v>
      </c>
      <c r="T5" s="3">
        <f t="shared" ref="T5:T17" ca="1" si="8">RANK(R5,$R$5:$R$17)</f>
        <v>4</v>
      </c>
    </row>
    <row r="6" spans="2:20">
      <c r="B6" s="58">
        <v>3</v>
      </c>
      <c r="C6" s="71" t="s">
        <v>62</v>
      </c>
      <c r="D6" s="60">
        <f>SUM(Merged_COEM!D44,Merged_JOEM!D44)</f>
        <v>5944.5000000000009</v>
      </c>
      <c r="E6" s="60">
        <f>SUM(Merged_COEM!E44,Merged_JOEM!E44)</f>
        <v>5944.5000000000009</v>
      </c>
      <c r="F6" s="60">
        <f ca="1">$B$153</f>
        <v>10</v>
      </c>
      <c r="G6" s="60">
        <f t="shared" ca="1" si="3"/>
        <v>594.45000000000005</v>
      </c>
      <c r="H6" s="61">
        <f t="shared" si="4"/>
        <v>1</v>
      </c>
      <c r="I6" s="3">
        <f>SUM(Merged_COEM!L44,Merged_JOEM!L44)</f>
        <v>0</v>
      </c>
      <c r="J6" s="3">
        <f>SUM(Merged_COEM!M44,Merged_JOEM!M44)</f>
        <v>0</v>
      </c>
      <c r="P6" t="str">
        <f t="shared" si="5"/>
        <v>bang.nguyen-duy</v>
      </c>
      <c r="Q6" s="3">
        <f>SUM(Merged_COEM!J44,Merged_JOEM!J44)</f>
        <v>5944.5000000000009</v>
      </c>
      <c r="R6" s="60">
        <f t="shared" ca="1" si="6"/>
        <v>594.45000000000005</v>
      </c>
      <c r="S6" s="3">
        <f t="shared" si="7"/>
        <v>12</v>
      </c>
      <c r="T6" s="3">
        <f t="shared" ca="1" si="8"/>
        <v>2</v>
      </c>
    </row>
    <row r="7" spans="2:20">
      <c r="B7" s="58">
        <v>4</v>
      </c>
      <c r="C7" s="71" t="s">
        <v>63</v>
      </c>
      <c r="D7" s="60">
        <f>SUM(Merged_COEM!D45,Merged_JOEM!D45)</f>
        <v>11272.499999999998</v>
      </c>
      <c r="E7" s="60">
        <f>SUM(Merged_COEM!E45,Merged_JOEM!E45)</f>
        <v>10719</v>
      </c>
      <c r="F7" s="60">
        <f t="shared" ca="1" si="2"/>
        <v>19</v>
      </c>
      <c r="G7" s="60">
        <f t="shared" ca="1" si="3"/>
        <v>564.15789473684208</v>
      </c>
      <c r="H7" s="61">
        <f t="shared" si="4"/>
        <v>0.95089820359281452</v>
      </c>
      <c r="I7" s="3">
        <f>SUM(Merged_COEM!L45,Merged_JOEM!L45)</f>
        <v>0</v>
      </c>
      <c r="J7" s="3">
        <f>SUM(Merged_COEM!M45,Merged_JOEM!M45)</f>
        <v>0</v>
      </c>
      <c r="P7" t="str">
        <f t="shared" si="5"/>
        <v>dac.luu-cong</v>
      </c>
      <c r="Q7" s="3">
        <f>SUM(Merged_COEM!J45,Merged_JOEM!J45)</f>
        <v>10719</v>
      </c>
      <c r="R7" s="60">
        <f t="shared" ca="1" si="6"/>
        <v>564.15789473684208</v>
      </c>
      <c r="S7" s="3">
        <f t="shared" si="7"/>
        <v>4</v>
      </c>
      <c r="T7" s="3">
        <f t="shared" ca="1" si="8"/>
        <v>5</v>
      </c>
    </row>
    <row r="8" spans="2:20">
      <c r="B8" s="58">
        <v>5</v>
      </c>
      <c r="C8" s="71" t="s">
        <v>179</v>
      </c>
      <c r="D8" s="60">
        <f>SUM(Merged_COEM!D46,Merged_JOEM!D46)</f>
        <v>12559.692307692309</v>
      </c>
      <c r="E8" s="60">
        <f>SUM(Merged_COEM!E46,Merged_JOEM!E46)</f>
        <v>11792.692307692309</v>
      </c>
      <c r="F8" s="60">
        <f ca="1">$B$26</f>
        <v>19</v>
      </c>
      <c r="G8" s="60">
        <f t="shared" ca="1" si="3"/>
        <v>620.66801619433204</v>
      </c>
      <c r="H8" s="61">
        <f t="shared" si="4"/>
        <v>0.93893162497856386</v>
      </c>
      <c r="I8" s="3">
        <f>SUM(Merged_COEM!L46,Merged_JOEM!L46)</f>
        <v>7</v>
      </c>
      <c r="J8" s="3">
        <f>SUM(Merged_COEM!M46,Merged_JOEM!M46)</f>
        <v>1</v>
      </c>
      <c r="P8" t="str">
        <f t="shared" si="5"/>
        <v>duong.nguyen-tuan</v>
      </c>
      <c r="Q8" s="3">
        <f>SUM(Merged_COEM!J46,Merged_JOEM!J46)</f>
        <v>11654.23076923077</v>
      </c>
      <c r="R8" s="60">
        <f t="shared" ca="1" si="6"/>
        <v>613.38056680161947</v>
      </c>
      <c r="S8" s="3">
        <f t="shared" si="7"/>
        <v>1</v>
      </c>
      <c r="T8" s="3">
        <f t="shared" ca="1" si="8"/>
        <v>1</v>
      </c>
    </row>
    <row r="9" spans="2:20">
      <c r="B9" s="58">
        <v>6</v>
      </c>
      <c r="C9" s="71" t="s">
        <v>64</v>
      </c>
      <c r="D9" s="60">
        <f>SUM(Merged_COEM!D47,Merged_JOEM!D47)</f>
        <v>9243.7692307692305</v>
      </c>
      <c r="E9" s="60">
        <f>SUM(Merged_COEM!E47,Merged_JOEM!E47)</f>
        <v>8381.7692307692305</v>
      </c>
      <c r="F9" s="60">
        <f t="shared" ca="1" si="2"/>
        <v>19</v>
      </c>
      <c r="G9" s="60">
        <f t="shared" ca="1" si="3"/>
        <v>441.14574898785423</v>
      </c>
      <c r="H9" s="61">
        <f t="shared" si="4"/>
        <v>0.90674799657149519</v>
      </c>
      <c r="I9" s="3">
        <f>SUM(Merged_COEM!L47,Merged_JOEM!L47)</f>
        <v>8</v>
      </c>
      <c r="J9" s="3">
        <f>SUM(Merged_COEM!M47,Merged_JOEM!M47)</f>
        <v>1</v>
      </c>
      <c r="P9" t="str">
        <f t="shared" si="5"/>
        <v>loc.do-phu</v>
      </c>
      <c r="Q9" s="3">
        <f>SUM(Merged_COEM!J47,Merged_JOEM!J47)</f>
        <v>7651.3846153846152</v>
      </c>
      <c r="R9" s="60">
        <f t="shared" ca="1" si="6"/>
        <v>402.70445344129553</v>
      </c>
      <c r="S9" s="3">
        <f t="shared" si="7"/>
        <v>10</v>
      </c>
      <c r="T9" s="3">
        <f t="shared" ca="1" si="8"/>
        <v>11</v>
      </c>
    </row>
    <row r="10" spans="2:20">
      <c r="B10" s="58">
        <v>7</v>
      </c>
      <c r="C10" s="71" t="s">
        <v>65</v>
      </c>
      <c r="D10" s="60">
        <f>SUM(Merged_COEM!D48,Merged_JOEM!D48)</f>
        <v>3778.3076923076924</v>
      </c>
      <c r="E10" s="60">
        <f>SUM(Merged_COEM!E48,Merged_JOEM!E48)</f>
        <v>3778.3076923076924</v>
      </c>
      <c r="F10" s="60">
        <f ca="1">$B$153</f>
        <v>10</v>
      </c>
      <c r="G10" s="60">
        <f t="shared" ca="1" si="3"/>
        <v>377.83076923076925</v>
      </c>
      <c r="H10" s="61">
        <f t="shared" si="4"/>
        <v>1</v>
      </c>
      <c r="I10" s="3">
        <f>SUM(Merged_COEM!L48,Merged_JOEM!L48)</f>
        <v>5</v>
      </c>
      <c r="J10" s="3">
        <f>SUM(Merged_COEM!M48,Merged_JOEM!M48)</f>
        <v>1</v>
      </c>
      <c r="P10" t="str">
        <f t="shared" si="5"/>
        <v>thanh.nguyen-kim</v>
      </c>
      <c r="Q10" s="3">
        <f>SUM(Merged_COEM!J48,Merged_JOEM!J48)</f>
        <v>2507.9230769230771</v>
      </c>
      <c r="R10" s="60">
        <f t="shared" ca="1" si="6"/>
        <v>250.7923076923077</v>
      </c>
      <c r="S10" s="3">
        <f t="shared" si="7"/>
        <v>13</v>
      </c>
      <c r="T10" s="3">
        <f t="shared" ca="1" si="8"/>
        <v>13</v>
      </c>
    </row>
    <row r="11" spans="2:20">
      <c r="B11" s="58">
        <v>8</v>
      </c>
      <c r="C11" s="71" t="s">
        <v>66</v>
      </c>
      <c r="D11" s="60">
        <f>SUM(Merged_COEM!D49,Merged_JOEM!D49)</f>
        <v>10946.76923076923</v>
      </c>
      <c r="E11" s="60">
        <f>SUM(Merged_COEM!E49,Merged_JOEM!E49)</f>
        <v>9848.7692307692323</v>
      </c>
      <c r="F11" s="60">
        <f t="shared" ca="1" si="2"/>
        <v>19</v>
      </c>
      <c r="G11" s="60">
        <f t="shared" ca="1" si="3"/>
        <v>518.35627530364377</v>
      </c>
      <c r="H11" s="61">
        <f t="shared" si="4"/>
        <v>0.89969643308879343</v>
      </c>
      <c r="I11" s="3">
        <f>SUM(Merged_COEM!L49,Merged_JOEM!L49)</f>
        <v>3</v>
      </c>
      <c r="J11" s="3">
        <f>SUM(Merged_COEM!M49,Merged_JOEM!M49)</f>
        <v>0</v>
      </c>
      <c r="P11" t="str">
        <f t="shared" si="5"/>
        <v>chung.ly</v>
      </c>
      <c r="Q11" s="3">
        <f>SUM(Merged_COEM!J49,Merged_JOEM!J49)</f>
        <v>9468.0000000000018</v>
      </c>
      <c r="R11" s="60">
        <f t="shared" ca="1" si="6"/>
        <v>498.31578947368433</v>
      </c>
      <c r="S11" s="3">
        <f t="shared" si="7"/>
        <v>6</v>
      </c>
      <c r="T11" s="3">
        <f t="shared" ca="1" si="8"/>
        <v>7</v>
      </c>
    </row>
    <row r="12" spans="2:20">
      <c r="B12" s="58">
        <v>9</v>
      </c>
      <c r="C12" s="71" t="s">
        <v>132</v>
      </c>
      <c r="D12" s="60">
        <f>SUM(Merged_COEM!D50,Merged_JOEM!D50)</f>
        <v>10975.500000000002</v>
      </c>
      <c r="E12" s="60">
        <f>SUM(Merged_COEM!E50,Merged_JOEM!E50)</f>
        <v>9247.5000000000018</v>
      </c>
      <c r="F12" s="60">
        <f t="shared" ca="1" si="2"/>
        <v>19</v>
      </c>
      <c r="G12" s="60">
        <f t="shared" ca="1" si="3"/>
        <v>486.71052631578959</v>
      </c>
      <c r="H12" s="61">
        <f t="shared" si="4"/>
        <v>0.84255842558425587</v>
      </c>
      <c r="I12" s="3">
        <f>SUM(Merged_COEM!L50,Merged_JOEM!L50)</f>
        <v>0</v>
      </c>
      <c r="J12" s="3">
        <f>SUM(Merged_COEM!M50,Merged_JOEM!M50)</f>
        <v>0</v>
      </c>
      <c r="P12" t="str">
        <f t="shared" si="5"/>
        <v>huy.do-anh</v>
      </c>
      <c r="Q12" s="3">
        <f>SUM(Merged_COEM!J50,Merged_JOEM!J50)</f>
        <v>9247.5000000000018</v>
      </c>
      <c r="R12" s="60">
        <f t="shared" ca="1" si="6"/>
        <v>486.71052631578959</v>
      </c>
      <c r="S12" s="3">
        <f t="shared" si="7"/>
        <v>7</v>
      </c>
      <c r="T12" s="3">
        <f t="shared" ca="1" si="8"/>
        <v>8</v>
      </c>
    </row>
    <row r="13" spans="2:20">
      <c r="B13" s="58">
        <v>10</v>
      </c>
      <c r="C13" s="71" t="s">
        <v>133</v>
      </c>
      <c r="D13" s="60">
        <f>SUM(Merged_COEM!D51,Merged_JOEM!D51)</f>
        <v>10975.500000000002</v>
      </c>
      <c r="E13" s="60">
        <f>SUM(Merged_COEM!E51,Merged_JOEM!E51)</f>
        <v>10638.000000000002</v>
      </c>
      <c r="F13" s="60">
        <f ca="1">$B$26</f>
        <v>19</v>
      </c>
      <c r="G13" s="60">
        <f t="shared" ca="1" si="3"/>
        <v>559.89473684210532</v>
      </c>
      <c r="H13" s="61">
        <f t="shared" si="4"/>
        <v>0.96924969249692494</v>
      </c>
      <c r="I13" s="3">
        <f>SUM(Merged_COEM!L51,Merged_JOEM!L51)</f>
        <v>0</v>
      </c>
      <c r="J13" s="3">
        <f>SUM(Merged_COEM!M51,Merged_JOEM!M51)</f>
        <v>0</v>
      </c>
      <c r="P13" t="str">
        <f t="shared" si="5"/>
        <v>phuong.nguyen-thanh</v>
      </c>
      <c r="Q13" s="3">
        <f>SUM(Merged_COEM!J51,Merged_JOEM!J51)</f>
        <v>10638.000000000002</v>
      </c>
      <c r="R13" s="60">
        <f t="shared" ca="1" si="6"/>
        <v>559.89473684210532</v>
      </c>
      <c r="S13" s="3">
        <f t="shared" si="7"/>
        <v>5</v>
      </c>
      <c r="T13" s="3">
        <f t="shared" ca="1" si="8"/>
        <v>6</v>
      </c>
    </row>
    <row r="14" spans="2:20">
      <c r="B14" s="58">
        <v>11</v>
      </c>
      <c r="C14" s="71" t="s">
        <v>174</v>
      </c>
      <c r="D14" s="60">
        <f>SUM(Merged_COEM!D52,Merged_JOEM!D52)</f>
        <v>11542.500000000002</v>
      </c>
      <c r="E14" s="60">
        <f>SUM(Merged_COEM!E52,Merged_JOEM!E52)</f>
        <v>11056.500000000004</v>
      </c>
      <c r="F14" s="60">
        <f t="shared" ca="1" si="2"/>
        <v>19</v>
      </c>
      <c r="G14" s="60">
        <f t="shared" ca="1" si="3"/>
        <v>581.92105263157919</v>
      </c>
      <c r="H14" s="61">
        <f t="shared" si="4"/>
        <v>0.95789473684210547</v>
      </c>
      <c r="I14" s="3">
        <f>SUM(Merged_COEM!L52,Merged_JOEM!L52)</f>
        <v>0</v>
      </c>
      <c r="J14" s="3">
        <f>SUM(Merged_COEM!M52,Merged_JOEM!M52)</f>
        <v>0</v>
      </c>
      <c r="P14" t="str">
        <f t="shared" si="5"/>
        <v>khang.duong-chi</v>
      </c>
      <c r="Q14" s="3">
        <f>SUM(Merged_COEM!J52,Merged_JOEM!J52)</f>
        <v>11056.500000000004</v>
      </c>
      <c r="R14" s="60">
        <f t="shared" ca="1" si="6"/>
        <v>581.92105263157919</v>
      </c>
      <c r="S14" s="3">
        <f t="shared" si="7"/>
        <v>2</v>
      </c>
      <c r="T14" s="3">
        <f t="shared" ca="1" si="8"/>
        <v>3</v>
      </c>
    </row>
    <row r="15" spans="2:20">
      <c r="B15" s="58">
        <v>12</v>
      </c>
      <c r="C15" s="71" t="s">
        <v>167</v>
      </c>
      <c r="D15" s="60">
        <f>SUM(Merged_COEM!D53,Merged_JOEM!D53)</f>
        <v>10023.538461538461</v>
      </c>
      <c r="E15" s="60">
        <f>SUM(Merged_COEM!E53,Merged_JOEM!E53)</f>
        <v>9122.3076923076915</v>
      </c>
      <c r="F15" s="60">
        <f t="shared" ca="1" si="2"/>
        <v>19</v>
      </c>
      <c r="G15" s="60">
        <f t="shared" ca="1" si="3"/>
        <v>480.12145748987848</v>
      </c>
      <c r="H15" s="61">
        <f t="shared" si="4"/>
        <v>0.91008856077233591</v>
      </c>
      <c r="I15" s="3">
        <f>SUM(Merged_COEM!L53,Merged_JOEM!L53)</f>
        <v>7</v>
      </c>
      <c r="J15" s="3">
        <f>SUM(Merged_COEM!M53,Merged_JOEM!M53)</f>
        <v>1</v>
      </c>
      <c r="M15" s="83"/>
      <c r="P15" t="str">
        <f t="shared" si="5"/>
        <v>chuong.nguyen-minh</v>
      </c>
      <c r="Q15" s="3">
        <f>SUM(Merged_COEM!J53,Merged_JOEM!J53)</f>
        <v>8083.8461538461543</v>
      </c>
      <c r="R15" s="60">
        <f t="shared" ca="1" si="6"/>
        <v>425.46558704453446</v>
      </c>
      <c r="S15" s="3">
        <f t="shared" si="7"/>
        <v>8</v>
      </c>
      <c r="T15" s="3">
        <f t="shared" ca="1" si="8"/>
        <v>9</v>
      </c>
    </row>
    <row r="16" spans="2:20">
      <c r="B16" s="58">
        <v>13</v>
      </c>
      <c r="C16" s="71" t="s">
        <v>168</v>
      </c>
      <c r="D16" s="60">
        <f>SUM(Merged_COEM!D54,Merged_JOEM!D54)</f>
        <v>9468.3076923076915</v>
      </c>
      <c r="E16" s="60">
        <f>SUM(Merged_COEM!E54,Merged_JOEM!E54)</f>
        <v>8733.3076923076915</v>
      </c>
      <c r="F16" s="60">
        <f t="shared" ca="1" si="2"/>
        <v>19</v>
      </c>
      <c r="G16" s="60">
        <f t="shared" ca="1" si="3"/>
        <v>459.64777327935218</v>
      </c>
      <c r="H16" s="61">
        <f t="shared" si="4"/>
        <v>0.92237261146496818</v>
      </c>
      <c r="I16" s="3">
        <f>SUM(Merged_COEM!L54,Merged_JOEM!L54)</f>
        <v>7</v>
      </c>
      <c r="J16" s="3">
        <f>SUM(Merged_COEM!M54,Merged_JOEM!M54)</f>
        <v>0</v>
      </c>
      <c r="M16" s="83"/>
      <c r="P16" t="str">
        <f t="shared" si="5"/>
        <v>nam.phan-the</v>
      </c>
      <c r="Q16" s="3">
        <f>SUM(Merged_COEM!J54,Merged_JOEM!J54)</f>
        <v>7989.0769230769229</v>
      </c>
      <c r="R16" s="60">
        <f t="shared" ca="1" si="6"/>
        <v>420.47773279352225</v>
      </c>
      <c r="S16" s="3">
        <f t="shared" si="7"/>
        <v>9</v>
      </c>
      <c r="T16" s="3">
        <f t="shared" ca="1" si="8"/>
        <v>10</v>
      </c>
    </row>
    <row r="17" spans="1:24">
      <c r="B17" s="58">
        <v>14</v>
      </c>
      <c r="C17" s="71" t="s">
        <v>169</v>
      </c>
      <c r="D17" s="60">
        <f>SUM(Merged_COEM!D55,Merged_JOEM!D55)</f>
        <v>9246.538461538461</v>
      </c>
      <c r="E17" s="60">
        <f>SUM(Merged_COEM!E55,Merged_JOEM!E55)</f>
        <v>7987.538461538461</v>
      </c>
      <c r="F17" s="60">
        <f t="shared" ca="1" si="2"/>
        <v>19</v>
      </c>
      <c r="G17" s="60">
        <f t="shared" ca="1" si="3"/>
        <v>420.39676113360321</v>
      </c>
      <c r="H17" s="61">
        <f t="shared" si="4"/>
        <v>0.86384093839690523</v>
      </c>
      <c r="I17" s="3">
        <f>SUM(Merged_COEM!L55,Merged_JOEM!L55)</f>
        <v>5</v>
      </c>
      <c r="J17" s="3">
        <f>SUM(Merged_COEM!M55,Merged_JOEM!M55)</f>
        <v>0</v>
      </c>
      <c r="L17" s="1" t="s">
        <v>185</v>
      </c>
      <c r="M17" s="83"/>
      <c r="N17" s="1" t="s">
        <v>186</v>
      </c>
      <c r="P17" t="str">
        <f t="shared" si="5"/>
        <v>huy.nguyen-hoang</v>
      </c>
      <c r="Q17" s="3">
        <f>SUM(Merged_COEM!J55,Merged_JOEM!J55)</f>
        <v>7101.3846153846152</v>
      </c>
      <c r="R17" s="60">
        <f t="shared" ca="1" si="6"/>
        <v>373.75708502024293</v>
      </c>
      <c r="S17" s="3">
        <f t="shared" si="7"/>
        <v>11</v>
      </c>
      <c r="T17" s="3">
        <f t="shared" ca="1" si="8"/>
        <v>12</v>
      </c>
    </row>
    <row r="18" spans="1:24">
      <c r="A18" s="83"/>
      <c r="B18" s="56" t="s">
        <v>99</v>
      </c>
      <c r="C18" s="62"/>
      <c r="D18" s="60">
        <f>SUM(D5:D17)</f>
        <v>127397.29807692309</v>
      </c>
      <c r="E18" s="60">
        <f>SUM(E5:E17)</f>
        <v>118296.56730769231</v>
      </c>
      <c r="F18" s="60">
        <f ca="1">$B$26*(COUNTA($C$5:$C$17))</f>
        <v>247</v>
      </c>
      <c r="G18" s="60">
        <f ca="1">IF(ISERROR(E18/(F18)),"N/A",E18/F18)</f>
        <v>478.93347088134539</v>
      </c>
      <c r="H18" s="61">
        <f t="shared" si="1"/>
        <v>0.92856417752489762</v>
      </c>
      <c r="I18" s="3">
        <f>SUM(I5:I17)</f>
        <v>44</v>
      </c>
      <c r="J18" s="3">
        <f>SUM(J5:J17)</f>
        <v>5</v>
      </c>
      <c r="K18">
        <f ca="1">F18*Table!$D$4</f>
        <v>111150</v>
      </c>
      <c r="L18" s="78">
        <f ca="1">E18-K18</f>
        <v>7146.5673076923122</v>
      </c>
      <c r="M18" s="7">
        <f>(COUNTA($C$4:$C$17))*Table!$D$4</f>
        <v>6300</v>
      </c>
      <c r="N18">
        <f ca="1">L18/Table!$D$4</f>
        <v>15.881260683760694</v>
      </c>
      <c r="P18" s="1" t="s">
        <v>99</v>
      </c>
      <c r="Q18" s="60">
        <f>SUM(Q5:Q17)</f>
        <v>113107.72115384616</v>
      </c>
      <c r="R18" s="60">
        <f ca="1">AVERAGE(R5:R17)</f>
        <v>488.72429928371218</v>
      </c>
    </row>
    <row r="19" spans="1:24">
      <c r="D19" s="11">
        <f>SUM(D5:D17)</f>
        <v>127397.29807692309</v>
      </c>
      <c r="E19" s="11">
        <f>SUM(E5:E17)</f>
        <v>118296.56730769231</v>
      </c>
      <c r="F19" s="339">
        <f ca="1">SUM(F5:F17)</f>
        <v>229</v>
      </c>
      <c r="G19" s="60">
        <f ca="1">IF(ISERROR(E19/(F19)),"N/A",E19/F19)</f>
        <v>516.57889654014105</v>
      </c>
      <c r="H19" s="61">
        <f t="shared" si="1"/>
        <v>0.92856417752489762</v>
      </c>
      <c r="K19">
        <f ca="1">F19*Table!$D$4</f>
        <v>103050</v>
      </c>
      <c r="L19" s="78">
        <f ca="1">E19-K19</f>
        <v>15246.567307692312</v>
      </c>
      <c r="M19" s="7">
        <f>(COUNTA($C$4:$C$17))*Table!$D$4</f>
        <v>6300</v>
      </c>
      <c r="N19">
        <f ca="1">L19/Table!$D$4</f>
        <v>33.881260683760694</v>
      </c>
    </row>
    <row r="20" spans="1:24">
      <c r="G20" s="215"/>
    </row>
    <row r="21" spans="1:24">
      <c r="A21" s="69" t="s">
        <v>157</v>
      </c>
      <c r="B21" s="69" t="s">
        <v>146</v>
      </c>
      <c r="J21" s="70"/>
      <c r="K21" s="69" t="s">
        <v>157</v>
      </c>
      <c r="L21" s="69" t="s">
        <v>145</v>
      </c>
    </row>
    <row r="22" spans="1:24">
      <c r="J22" s="70"/>
    </row>
    <row r="23" spans="1:24">
      <c r="A23" s="1" t="s">
        <v>38</v>
      </c>
      <c r="B23" s="33">
        <v>44059</v>
      </c>
      <c r="D23" s="33">
        <f ca="1">TODAY()</f>
        <v>44085</v>
      </c>
      <c r="E23" s="33"/>
      <c r="F23" s="7"/>
      <c r="J23" s="70"/>
      <c r="K23" s="1" t="s">
        <v>38</v>
      </c>
      <c r="L23" s="33">
        <f>B23</f>
        <v>44059</v>
      </c>
      <c r="N23" s="33">
        <f ca="1">D23</f>
        <v>44085</v>
      </c>
      <c r="P23" s="6"/>
    </row>
    <row r="24" spans="1:24">
      <c r="A24" s="1" t="s">
        <v>30</v>
      </c>
      <c r="B24" s="7">
        <f ca="1">SUM(INT((WEEKDAY(B23-{2,3,4,5,6}) +D23-B23)/7))</f>
        <v>20</v>
      </c>
      <c r="J24" s="70"/>
      <c r="K24" s="1" t="s">
        <v>30</v>
      </c>
      <c r="L24" s="7">
        <f ca="1">B24</f>
        <v>20</v>
      </c>
    </row>
    <row r="25" spans="1:24">
      <c r="A25" s="1" t="s">
        <v>127</v>
      </c>
      <c r="B25" s="307">
        <v>1</v>
      </c>
      <c r="C25" s="308" t="s">
        <v>1331</v>
      </c>
      <c r="J25" s="70"/>
      <c r="K25" s="1" t="s">
        <v>127</v>
      </c>
      <c r="L25" s="7">
        <f>B25</f>
        <v>1</v>
      </c>
    </row>
    <row r="26" spans="1:24">
      <c r="A26" s="1" t="s">
        <v>101</v>
      </c>
      <c r="B26">
        <f ca="1">IF(TODAY()&lt;D23,SUM(INT((WEEKDAY(B23-{2,3,4,5,6})+TODAY()-B23)/7)),SUM(INT((WEEKDAY(B23-{2,3,4,5,6})+D23-B23)/7)))-B25</f>
        <v>19</v>
      </c>
      <c r="J26" s="70"/>
      <c r="K26" s="1" t="s">
        <v>101</v>
      </c>
      <c r="L26">
        <f ca="1">B26</f>
        <v>19</v>
      </c>
    </row>
    <row r="27" spans="1:24">
      <c r="A27" s="1"/>
      <c r="J27" s="70"/>
      <c r="K27" s="1"/>
    </row>
    <row r="28" spans="1:24">
      <c r="B28" s="1" t="s">
        <v>158</v>
      </c>
      <c r="J28" s="70"/>
      <c r="L28" s="1" t="s">
        <v>158</v>
      </c>
    </row>
    <row r="29" spans="1:24" ht="45">
      <c r="C29" s="41" t="s">
        <v>25</v>
      </c>
      <c r="D29" s="41" t="s">
        <v>26</v>
      </c>
      <c r="E29" s="41" t="s">
        <v>27</v>
      </c>
      <c r="F29" s="41" t="s">
        <v>28</v>
      </c>
      <c r="G29" s="8" t="s">
        <v>92</v>
      </c>
      <c r="H29" s="8" t="s">
        <v>29</v>
      </c>
      <c r="J29" s="70"/>
      <c r="M29" s="49" t="s">
        <v>25</v>
      </c>
      <c r="N29" s="49" t="s">
        <v>26</v>
      </c>
      <c r="O29" s="49" t="s">
        <v>27</v>
      </c>
      <c r="P29" s="49" t="s">
        <v>28</v>
      </c>
      <c r="Q29" s="8" t="s">
        <v>92</v>
      </c>
      <c r="R29" s="8" t="s">
        <v>29</v>
      </c>
    </row>
    <row r="30" spans="1:24">
      <c r="C30" s="43">
        <v>1</v>
      </c>
      <c r="D30" s="43" t="s">
        <v>3</v>
      </c>
      <c r="E30" s="43">
        <f>SUM(Merged_COEM!D18)</f>
        <v>44254</v>
      </c>
      <c r="F30" s="43">
        <f>SUM(Merged_COEM!E18)</f>
        <v>39799</v>
      </c>
      <c r="G30" s="43">
        <f>E30/Table!$D$4</f>
        <v>98.342222222222219</v>
      </c>
      <c r="H30" s="39">
        <f>IFERROR(F30/E30,"N/A")</f>
        <v>0.89933113390879915</v>
      </c>
      <c r="J30" s="70"/>
      <c r="M30" s="54">
        <v>1</v>
      </c>
      <c r="N30" s="54" t="s">
        <v>3</v>
      </c>
      <c r="O30" s="54">
        <f>SUM(Merged_JOEM!D18)</f>
        <v>19102.5</v>
      </c>
      <c r="P30" s="54">
        <f>SUM(Merged_JOEM!E18)</f>
        <v>17770.5</v>
      </c>
      <c r="Q30" s="54">
        <f>O30/Table!$D$4</f>
        <v>42.45</v>
      </c>
      <c r="R30" s="39">
        <f>IFERROR(P30/O30,"N/A")</f>
        <v>0.93027090694935222</v>
      </c>
      <c r="V30">
        <v>23.68</v>
      </c>
    </row>
    <row r="31" spans="1:24">
      <c r="C31" s="43">
        <v>2</v>
      </c>
      <c r="D31" s="43" t="s">
        <v>2</v>
      </c>
      <c r="E31" s="50">
        <f>SUM(Merged_COEM!D37)</f>
        <v>3018</v>
      </c>
      <c r="F31" s="54">
        <f>SUM(Merged_COEM!E37)</f>
        <v>2998</v>
      </c>
      <c r="G31" s="43">
        <f>E31/Table!$C$4</f>
        <v>23.215384615384615</v>
      </c>
      <c r="H31" s="39">
        <f>IFERROR(F31/E31,"N/A")</f>
        <v>0.99337309476474489</v>
      </c>
      <c r="J31" s="70"/>
      <c r="M31" s="54">
        <v>2</v>
      </c>
      <c r="N31" s="54" t="s">
        <v>2</v>
      </c>
      <c r="O31" s="54">
        <f>SUM(Merged_JOEM!D37)</f>
        <v>15482.674999999999</v>
      </c>
      <c r="P31" s="54">
        <f>SUM(Merged_JOEM!E37)</f>
        <v>14545.375</v>
      </c>
      <c r="Q31" s="54">
        <f>O31/Table!$C$4</f>
        <v>119.0975</v>
      </c>
      <c r="R31" s="39">
        <f>IFERROR(P31/O31,"N/A")</f>
        <v>0.93946136568777683</v>
      </c>
      <c r="V31">
        <f>Q30+Q31</f>
        <v>161.54750000000001</v>
      </c>
    </row>
    <row r="32" spans="1:24">
      <c r="C32" s="31"/>
      <c r="D32" s="29"/>
      <c r="E32" s="29"/>
      <c r="F32" s="29"/>
      <c r="G32" s="32"/>
      <c r="J32" s="70"/>
      <c r="M32" s="31"/>
      <c r="N32" s="29"/>
      <c r="O32" s="29"/>
      <c r="P32" s="29"/>
      <c r="Q32" s="32"/>
      <c r="V32">
        <f>V31-V30</f>
        <v>137.86750000000001</v>
      </c>
      <c r="X32">
        <f>6*21+10</f>
        <v>136</v>
      </c>
    </row>
    <row r="33" spans="2:19">
      <c r="B33" s="1" t="s">
        <v>159</v>
      </c>
      <c r="J33" s="70"/>
      <c r="L33" s="1" t="s">
        <v>159</v>
      </c>
    </row>
    <row r="34" spans="2:19" ht="30">
      <c r="C34" s="41" t="s">
        <v>25</v>
      </c>
      <c r="D34" s="41" t="s">
        <v>31</v>
      </c>
      <c r="E34" s="8" t="s">
        <v>32</v>
      </c>
      <c r="F34" s="8" t="s">
        <v>33</v>
      </c>
      <c r="G34" s="8" t="s">
        <v>125</v>
      </c>
      <c r="H34" s="8" t="s">
        <v>126</v>
      </c>
      <c r="J34" s="70"/>
      <c r="M34" s="49" t="s">
        <v>25</v>
      </c>
      <c r="N34" s="49" t="s">
        <v>31</v>
      </c>
      <c r="O34" s="8" t="s">
        <v>32</v>
      </c>
      <c r="P34" s="8" t="s">
        <v>33</v>
      </c>
      <c r="Q34" s="8" t="s">
        <v>125</v>
      </c>
      <c r="R34" s="8" t="s">
        <v>126</v>
      </c>
    </row>
    <row r="35" spans="2:19">
      <c r="C35" s="287">
        <v>1</v>
      </c>
      <c r="D35" s="288" t="s">
        <v>107</v>
      </c>
      <c r="E35" s="287">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Chuong","chuong.nguyen-minh"),Merged_COEM!$C$4:$K$17,8,0)</f>
        <v>0</v>
      </c>
      <c r="F35" s="287">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Chuong","chuong.nguyen-minh"),Merged_COEM!$C$23:$K$36,8,0)</f>
        <v>0</v>
      </c>
      <c r="G35" s="287">
        <f>E35/Table!$D$4</f>
        <v>0</v>
      </c>
      <c r="H35" s="287">
        <f>F35/Table!$C$4</f>
        <v>0</v>
      </c>
      <c r="J35" s="70"/>
      <c r="M35" s="287">
        <v>1</v>
      </c>
      <c r="N35" s="288" t="s">
        <v>107</v>
      </c>
      <c r="O35" s="287">
        <f>VLOOKUP(SUBSTITUTE(SUBSTITUTE(SUBSTITUTE(SUBSTITUTE(SUBSTITUTE(SUBSTITUTE(SUBSTITUTE(SUBSTITUTE(SUBSTITUTE(SUBSTITUTE(SUBSTITUTE(SUBSTITUTE(SUBSTITUTE(SUBSTITUTE(N35,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Chuong","chuong.nguyen-minh"),Merged_JOEM!$C$4:$K$17,8,0)</f>
        <v>0</v>
      </c>
      <c r="P35" s="287">
        <f>VLOOKUP(SUBSTITUTE(SUBSTITUTE(SUBSTITUTE(SUBSTITUTE(SUBSTITUTE(SUBSTITUTE(SUBSTITUTE(SUBSTITUTE(SUBSTITUTE(SUBSTITUTE(SUBSTITUTE(SUBSTITUTE(SUBSTITUTE(SUBSTITUTE(N35,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Chuong","chuong.nguyen-minh"),Merged_JOEM!$C$23:$K$36,8,0)</f>
        <v>0</v>
      </c>
      <c r="Q35" s="287">
        <f>O35/Table!$D$4</f>
        <v>0</v>
      </c>
      <c r="R35" s="287">
        <f>P35/Table!$C$4</f>
        <v>0</v>
      </c>
    </row>
    <row r="36" spans="2:19">
      <c r="C36" s="43">
        <v>2</v>
      </c>
      <c r="D36" s="27" t="s">
        <v>108</v>
      </c>
      <c r="E36" s="54">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Chuong","chuong.nguyen-minh"),Merged_COEM!$C$4:$K$17,8,0)</f>
        <v>0</v>
      </c>
      <c r="F36" s="54">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Chuong","chuong.nguyen-minh"),Merged_COEM!$C$23:$K$36,8,0)</f>
        <v>0</v>
      </c>
      <c r="G36" s="54">
        <f>E36/Table!$D$4</f>
        <v>0</v>
      </c>
      <c r="H36" s="54">
        <f>F36/Table!$C$4</f>
        <v>0</v>
      </c>
      <c r="J36" s="70"/>
      <c r="M36" s="54">
        <v>2</v>
      </c>
      <c r="N36" s="27" t="s">
        <v>108</v>
      </c>
      <c r="O36" s="54">
        <f>VLOOKUP(SUBSTITUTE(SUBSTITUTE(SUBSTITUTE(SUBSTITUTE(SUBSTITUTE(SUBSTITUTE(SUBSTITUTE(SUBSTITUTE(SUBSTITUTE(SUBSTITUTE(SUBSTITUTE(SUBSTITUTE(SUBSTITUTE(SUBSTITUTE(N36,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Chuong","chuong.nguyen-minh"),Merged_JOEM!$C$4:$K$17,8,0)</f>
        <v>5805</v>
      </c>
      <c r="P36" s="54">
        <f>VLOOKUP(SUBSTITUTE(SUBSTITUTE(SUBSTITUTE(SUBSTITUTE(SUBSTITUTE(SUBSTITUTE(SUBSTITUTE(SUBSTITUTE(SUBSTITUTE(SUBSTITUTE(SUBSTITUTE(SUBSTITUTE(SUBSTITUTE(SUBSTITUTE(N36,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Chuong","chuong.nguyen-minh"),Merged_JOEM!$C$23:$K$36,8,0)</f>
        <v>1514.1749999999997</v>
      </c>
      <c r="Q36" s="54">
        <f>O36/Table!$D$4</f>
        <v>12.9</v>
      </c>
      <c r="R36" s="54">
        <f>P36/Table!$C$4</f>
        <v>11.647499999999997</v>
      </c>
    </row>
    <row r="37" spans="2:19">
      <c r="C37" s="43">
        <v>3</v>
      </c>
      <c r="D37" s="27" t="s">
        <v>109</v>
      </c>
      <c r="E37" s="54">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Chuong","chuong.nguyen-minh"),Merged_COEM!$C$4:$K$17,8,0)</f>
        <v>0</v>
      </c>
      <c r="F37" s="54">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Chuong","chuong.nguyen-minh"),Merged_COEM!$C$23:$K$36,8,0)</f>
        <v>0</v>
      </c>
      <c r="G37" s="54">
        <f>E37/Table!$D$4</f>
        <v>0</v>
      </c>
      <c r="H37" s="54">
        <f>F37/Table!$C$4</f>
        <v>0</v>
      </c>
      <c r="J37" s="70"/>
      <c r="M37" s="54">
        <v>3</v>
      </c>
      <c r="N37" s="27" t="s">
        <v>109</v>
      </c>
      <c r="O37" s="54">
        <f>VLOOKUP(SUBSTITUTE(SUBSTITUTE(SUBSTITUTE(SUBSTITUTE(SUBSTITUTE(SUBSTITUTE(SUBSTITUTE(SUBSTITUTE(SUBSTITUTE(SUBSTITUTE(SUBSTITUTE(SUBSTITUTE(SUBSTITUTE(SUBSTITUTE(N37,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Chuong","chuong.nguyen-minh"),Merged_JOEM!$C$4:$K$17,8,0)</f>
        <v>247.5</v>
      </c>
      <c r="P37" s="54">
        <f>VLOOKUP(SUBSTITUTE(SUBSTITUTE(SUBSTITUTE(SUBSTITUTE(SUBSTITUTE(SUBSTITUTE(SUBSTITUTE(SUBSTITUTE(SUBSTITUTE(SUBSTITUTE(SUBSTITUTE(SUBSTITUTE(SUBSTITUTE(SUBSTITUTE(N37,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Chuong","chuong.nguyen-minh"),Merged_JOEM!$C$23:$K$36,8,0)</f>
        <v>1645.8000000000002</v>
      </c>
      <c r="Q37" s="54">
        <f>O37/Table!$D$4</f>
        <v>0.55000000000000004</v>
      </c>
      <c r="R37" s="54">
        <f>P37/Table!$C$4</f>
        <v>12.660000000000002</v>
      </c>
      <c r="S37" t="s">
        <v>1329</v>
      </c>
    </row>
    <row r="38" spans="2:19">
      <c r="C38" s="54">
        <v>4</v>
      </c>
      <c r="D38" s="27" t="s">
        <v>110</v>
      </c>
      <c r="E38" s="54">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Chuong","chuong.nguyen-minh"),Merged_COEM!$C$4:$K$17,8,0)</f>
        <v>0</v>
      </c>
      <c r="F38" s="54">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Chuong","chuong.nguyen-minh"),Merged_COEM!$C$23:$K$36,8,0)</f>
        <v>0</v>
      </c>
      <c r="G38" s="54">
        <f>E38/Table!$D$4</f>
        <v>0</v>
      </c>
      <c r="H38" s="54">
        <f>F38/Table!$C$4</f>
        <v>0</v>
      </c>
      <c r="J38" s="70"/>
      <c r="M38" s="54">
        <v>4</v>
      </c>
      <c r="N38" s="27" t="s">
        <v>110</v>
      </c>
      <c r="O38" s="54">
        <f>VLOOKUP(SUBSTITUTE(SUBSTITUTE(SUBSTITUTE(SUBSTITUTE(SUBSTITUTE(SUBSTITUTE(SUBSTITUTE(SUBSTITUTE(SUBSTITUTE(SUBSTITUTE(SUBSTITUTE(SUBSTITUTE(SUBSTITUTE(SUBSTITUTE(N38,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Chuong","chuong.nguyen-minh"),Merged_JOEM!$C$4:$K$17,8,0)</f>
        <v>2893.5</v>
      </c>
      <c r="P38" s="54">
        <f>VLOOKUP(SUBSTITUTE(SUBSTITUTE(SUBSTITUTE(SUBSTITUTE(SUBSTITUTE(SUBSTITUTE(SUBSTITUTE(SUBSTITUTE(SUBSTITUTE(SUBSTITUTE(SUBSTITUTE(SUBSTITUTE(SUBSTITUTE(SUBSTITUTE(N38,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Chuong","chuong.nguyen-minh"),Merged_JOEM!$C$23:$K$36,8,0)</f>
        <v>2260.6999999999998</v>
      </c>
      <c r="Q38" s="54">
        <f>O38/Table!$D$4</f>
        <v>6.43</v>
      </c>
      <c r="R38" s="54">
        <f>P38/Table!$C$4</f>
        <v>17.389999999999997</v>
      </c>
    </row>
    <row r="39" spans="2:19">
      <c r="C39" s="54">
        <v>5</v>
      </c>
      <c r="D39" s="27" t="s">
        <v>150</v>
      </c>
      <c r="E39" s="54">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Chuong","chuong.nguyen-minh"),Merged_COEM!$C$4:$K$17,8,0)</f>
        <v>8975</v>
      </c>
      <c r="F39" s="54">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Chuong","chuong.nguyen-minh"),Merged_COEM!$C$23:$K$36,8,0)</f>
        <v>774</v>
      </c>
      <c r="G39" s="54">
        <f>E39/Table!$D$4</f>
        <v>19.944444444444443</v>
      </c>
      <c r="H39" s="54">
        <f>F39/Table!$C$4</f>
        <v>5.953846153846154</v>
      </c>
      <c r="J39" s="70"/>
      <c r="M39" s="54">
        <v>5</v>
      </c>
      <c r="N39" s="27" t="s">
        <v>150</v>
      </c>
      <c r="O39" s="54">
        <f>VLOOKUP(SUBSTITUTE(SUBSTITUTE(SUBSTITUTE(SUBSTITUTE(SUBSTITUTE(SUBSTITUTE(SUBSTITUTE(SUBSTITUTE(SUBSTITUTE(SUBSTITUTE(SUBSTITUTE(SUBSTITUTE(SUBSTITUTE(SUBSTITUTE(N39,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Chuong","chuong.nguyen-minh"),Merged_JOEM!$C$4:$K$17,8,0)</f>
        <v>0</v>
      </c>
      <c r="P39" s="54">
        <f>VLOOKUP(SUBSTITUTE(SUBSTITUTE(SUBSTITUTE(SUBSTITUTE(SUBSTITUTE(SUBSTITUTE(SUBSTITUTE(SUBSTITUTE(SUBSTITUTE(SUBSTITUTE(SUBSTITUTE(SUBSTITUTE(SUBSTITUTE(SUBSTITUTE(N39,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Chuong","chuong.nguyen-minh"),Merged_JOEM!$C$23:$K$36,8,0)</f>
        <v>0</v>
      </c>
      <c r="Q39" s="54">
        <f>O39/Table!$D$4</f>
        <v>0</v>
      </c>
      <c r="R39" s="54">
        <f>P39/Table!$C$4</f>
        <v>0</v>
      </c>
    </row>
    <row r="40" spans="2:19">
      <c r="C40" s="54">
        <v>6</v>
      </c>
      <c r="D40" s="27" t="s">
        <v>151</v>
      </c>
      <c r="E40" s="5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Chuong","chuong.nguyen-minh"),Merged_COEM!$C$4:$K$17,8,0)</f>
        <v>7146</v>
      </c>
      <c r="F40" s="5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Chuong","chuong.nguyen-minh"),Merged_COEM!$C$23:$K$36,8,0)</f>
        <v>146</v>
      </c>
      <c r="G40" s="54">
        <f>E40/Table!$D$4</f>
        <v>15.88</v>
      </c>
      <c r="H40" s="54">
        <f>F40/Table!$C$4</f>
        <v>1.1230769230769231</v>
      </c>
      <c r="J40" s="70"/>
      <c r="M40" s="54">
        <v>6</v>
      </c>
      <c r="N40" s="27" t="s">
        <v>151</v>
      </c>
      <c r="O40" s="54">
        <f>VLOOKUP(SUBSTITUTE(SUBSTITUTE(SUBSTITUTE(SUBSTITUTE(SUBSTITUTE(SUBSTITUTE(SUBSTITUTE(SUBSTITUTE(SUBSTITUTE(SUBSTITUTE(SUBSTITUTE(SUBSTITUTE(SUBSTITUTE(SUBSTITUTE(N40,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Chuong","chuong.nguyen-minh"),Merged_JOEM!$C$4:$K$17,8,0)</f>
        <v>0</v>
      </c>
      <c r="P40" s="54">
        <f>VLOOKUP(SUBSTITUTE(SUBSTITUTE(SUBSTITUTE(SUBSTITUTE(SUBSTITUTE(SUBSTITUTE(SUBSTITUTE(SUBSTITUTE(SUBSTITUTE(SUBSTITUTE(SUBSTITUTE(SUBSTITUTE(SUBSTITUTE(SUBSTITUTE(N40,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Chuong","chuong.nguyen-minh"),Merged_JOEM!$C$23:$K$36,8,0)</f>
        <v>0</v>
      </c>
      <c r="Q40" s="54">
        <f>O40/Table!$D$4</f>
        <v>0</v>
      </c>
      <c r="R40" s="54">
        <f>P40/Table!$C$4</f>
        <v>0</v>
      </c>
    </row>
    <row r="41" spans="2:19">
      <c r="C41" s="54">
        <v>7</v>
      </c>
      <c r="D41" s="27" t="s">
        <v>152</v>
      </c>
      <c r="E41" s="54">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Chuong","chuong.nguyen-minh"),Merged_COEM!$C$4:$K$17,8,0)</f>
        <v>2366</v>
      </c>
      <c r="F41" s="54">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Chuong","chuong.nguyen-minh"),Merged_COEM!$C$23:$K$36,8,0)</f>
        <v>41</v>
      </c>
      <c r="G41" s="54">
        <f>E41/Table!$D$4</f>
        <v>5.2577777777777781</v>
      </c>
      <c r="H41" s="54">
        <f>F41/Table!$C$4</f>
        <v>0.31538461538461537</v>
      </c>
      <c r="I41" t="s">
        <v>1329</v>
      </c>
      <c r="J41" s="70"/>
      <c r="M41" s="54">
        <v>7</v>
      </c>
      <c r="N41" s="27" t="s">
        <v>152</v>
      </c>
      <c r="O41" s="54">
        <f>VLOOKUP(SUBSTITUTE(SUBSTITUTE(SUBSTITUTE(SUBSTITUTE(SUBSTITUTE(SUBSTITUTE(SUBSTITUTE(SUBSTITUTE(SUBSTITUTE(SUBSTITUTE(SUBSTITUTE(SUBSTITUTE(SUBSTITUTE(SUBSTITUTE(N41,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Chuong","chuong.nguyen-minh"),Merged_JOEM!$C$4:$K$17,8,0)</f>
        <v>0</v>
      </c>
      <c r="P41" s="54">
        <f>VLOOKUP(SUBSTITUTE(SUBSTITUTE(SUBSTITUTE(SUBSTITUTE(SUBSTITUTE(SUBSTITUTE(SUBSTITUTE(SUBSTITUTE(SUBSTITUTE(SUBSTITUTE(SUBSTITUTE(SUBSTITUTE(SUBSTITUTE(SUBSTITUTE(N41,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Chuong","chuong.nguyen-minh"),Merged_JOEM!$C$23:$K$36,8,0)</f>
        <v>0</v>
      </c>
      <c r="Q41" s="54">
        <f>O41/Table!$D$4</f>
        <v>0</v>
      </c>
      <c r="R41" s="54">
        <f>P41/Table!$C$4</f>
        <v>0</v>
      </c>
    </row>
    <row r="42" spans="2:19">
      <c r="C42" s="54">
        <v>8</v>
      </c>
      <c r="D42" s="27" t="s">
        <v>153</v>
      </c>
      <c r="E42" s="54">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Chuong","chuong.nguyen-minh"),Merged_COEM!$C$4:$K$17,8,0)</f>
        <v>0</v>
      </c>
      <c r="F42" s="54">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Chuong","chuong.nguyen-minh"),Merged_COEM!$C$23:$K$36,8,0)</f>
        <v>0</v>
      </c>
      <c r="G42" s="54">
        <f>E42/Table!$D$4</f>
        <v>0</v>
      </c>
      <c r="H42" s="54">
        <f>F42/Table!$C$4</f>
        <v>0</v>
      </c>
      <c r="J42" s="70"/>
      <c r="M42" s="54">
        <v>8</v>
      </c>
      <c r="N42" s="27" t="s">
        <v>153</v>
      </c>
      <c r="O42" s="54">
        <f>VLOOKUP(SUBSTITUTE(SUBSTITUTE(SUBSTITUTE(SUBSTITUTE(SUBSTITUTE(SUBSTITUTE(SUBSTITUTE(SUBSTITUTE(SUBSTITUTE(SUBSTITUTE(SUBSTITUTE(SUBSTITUTE(SUBSTITUTE(SUBSTITUTE(N42,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Chuong","chuong.nguyen-minh"),Merged_JOEM!$C$4:$K$17,8,0)</f>
        <v>2277</v>
      </c>
      <c r="P42" s="54">
        <f>VLOOKUP(SUBSTITUTE(SUBSTITUTE(SUBSTITUTE(SUBSTITUTE(SUBSTITUTE(SUBSTITUTE(SUBSTITUTE(SUBSTITUTE(SUBSTITUTE(SUBSTITUTE(SUBSTITUTE(SUBSTITUTE(SUBSTITUTE(SUBSTITUTE(N42,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Chuong","chuong.nguyen-minh"),Merged_JOEM!$C$23:$K$36,8,0)</f>
        <v>2077.4000000000005</v>
      </c>
      <c r="Q42" s="54">
        <f>O42/Table!$D$4</f>
        <v>5.0599999999999996</v>
      </c>
      <c r="R42" s="54">
        <f>P42/Table!$C$4</f>
        <v>15.980000000000004</v>
      </c>
    </row>
    <row r="43" spans="2:19">
      <c r="C43" s="54">
        <v>9</v>
      </c>
      <c r="D43" s="27" t="s">
        <v>143</v>
      </c>
      <c r="E43" s="54">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Chuong","chuong.nguyen-minh"),Merged_COEM!$C$4:$K$17,8,0)</f>
        <v>0</v>
      </c>
      <c r="F43" s="54">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Chuong","chuong.nguyen-minh"),Merged_COEM!$C$23:$K$36,8,0)</f>
        <v>0</v>
      </c>
      <c r="G43" s="54">
        <f>E43/Table!$D$4</f>
        <v>0</v>
      </c>
      <c r="H43" s="54">
        <f>F43/Table!$C$4</f>
        <v>0</v>
      </c>
      <c r="J43" s="70"/>
      <c r="M43" s="54">
        <v>9</v>
      </c>
      <c r="N43" s="27" t="s">
        <v>143</v>
      </c>
      <c r="O43" s="54">
        <f>VLOOKUP(SUBSTITUTE(SUBSTITUTE(SUBSTITUTE(SUBSTITUTE(SUBSTITUTE(SUBSTITUTE(SUBSTITUTE(SUBSTITUTE(SUBSTITUTE(SUBSTITUTE(SUBSTITUTE(SUBSTITUTE(SUBSTITUTE(SUBSTITUTE(N43,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Chuong","chuong.nguyen-minh"),Merged_JOEM!$C$4:$K$17,8,0)</f>
        <v>2020.5</v>
      </c>
      <c r="P43" s="54">
        <f>VLOOKUP(SUBSTITUTE(SUBSTITUTE(SUBSTITUTE(SUBSTITUTE(SUBSTITUTE(SUBSTITUTE(SUBSTITUTE(SUBSTITUTE(SUBSTITUTE(SUBSTITUTE(SUBSTITUTE(SUBSTITUTE(SUBSTITUTE(SUBSTITUTE(N43,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Chuong","chuong.nguyen-minh"),Merged_JOEM!$C$23:$K$36,8,0)</f>
        <v>2087.8000000000006</v>
      </c>
      <c r="Q43" s="54">
        <f>O43/Table!$D$4</f>
        <v>4.49</v>
      </c>
      <c r="R43" s="54">
        <f>P43/Table!$C$4</f>
        <v>16.060000000000006</v>
      </c>
    </row>
    <row r="44" spans="2:19">
      <c r="C44" s="54">
        <v>10</v>
      </c>
      <c r="D44" s="27" t="s">
        <v>142</v>
      </c>
      <c r="E44" s="5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Chuong","chuong.nguyen-minh"),Merged_COEM!$C$4:$K$17,8,0)</f>
        <v>0</v>
      </c>
      <c r="F44" s="5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Chuong","chuong.nguyen-minh"),Merged_COEM!$C$23:$K$36,8,0)</f>
        <v>0</v>
      </c>
      <c r="G44" s="54">
        <f>E44/Table!$D$4</f>
        <v>0</v>
      </c>
      <c r="H44" s="54">
        <f>F44/Table!$C$4</f>
        <v>0</v>
      </c>
      <c r="J44" s="70"/>
      <c r="M44" s="54">
        <v>10</v>
      </c>
      <c r="N44" s="27" t="s">
        <v>142</v>
      </c>
      <c r="O44" s="54">
        <f>VLOOKUP(SUBSTITUTE(SUBSTITUTE(SUBSTITUTE(SUBSTITUTE(SUBSTITUTE(SUBSTITUTE(SUBSTITUTE(SUBSTITUTE(SUBSTITUTE(SUBSTITUTE(SUBSTITUTE(SUBSTITUTE(SUBSTITUTE(SUBSTITUTE(N44,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Chuong","chuong.nguyen-minh"),Merged_JOEM!$C$4:$K$17,8,0)</f>
        <v>2268</v>
      </c>
      <c r="P44" s="54">
        <f>VLOOKUP(SUBSTITUTE(SUBSTITUTE(SUBSTITUTE(SUBSTITUTE(SUBSTITUTE(SUBSTITUTE(SUBSTITUTE(SUBSTITUTE(SUBSTITUTE(SUBSTITUTE(SUBSTITUTE(SUBSTITUTE(SUBSTITUTE(SUBSTITUTE(N44,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Chuong","chuong.nguyen-minh"),Merged_JOEM!$C$23:$K$36,8,0)</f>
        <v>2418.0000000000005</v>
      </c>
      <c r="Q44" s="54">
        <f>O44/Table!$D$4</f>
        <v>5.04</v>
      </c>
      <c r="R44" s="54">
        <f>P44/Table!$C$4</f>
        <v>18.600000000000005</v>
      </c>
    </row>
    <row r="45" spans="2:19">
      <c r="C45" s="54">
        <v>11</v>
      </c>
      <c r="D45" s="27" t="s">
        <v>172</v>
      </c>
      <c r="E45" s="54">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Chuong","chuong.nguyen-minh"),Merged_COEM!$C$4:$K$17,8,0)</f>
        <v>0</v>
      </c>
      <c r="F45" s="54">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Chuong","chuong.nguyen-minh"),Merged_COEM!$C$23:$K$36,8,0)</f>
        <v>0</v>
      </c>
      <c r="G45" s="54">
        <f>E45/Table!$D$4</f>
        <v>0</v>
      </c>
      <c r="H45" s="54">
        <f>F45/Table!$C$4</f>
        <v>0</v>
      </c>
      <c r="J45" s="70"/>
      <c r="M45" s="54">
        <v>11</v>
      </c>
      <c r="N45" s="27" t="s">
        <v>172</v>
      </c>
      <c r="O45" s="54">
        <f>VLOOKUP(SUBSTITUTE(SUBSTITUTE(SUBSTITUTE(SUBSTITUTE(SUBSTITUTE(SUBSTITUTE(SUBSTITUTE(SUBSTITUTE(SUBSTITUTE(SUBSTITUTE(SUBSTITUTE(SUBSTITUTE(SUBSTITUTE(SUBSTITUTE(N45,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Chuong","chuong.nguyen-minh"),Merged_JOEM!$C$4:$K$17,8,0)</f>
        <v>2259</v>
      </c>
      <c r="P45" s="54">
        <f>VLOOKUP(SUBSTITUTE(SUBSTITUTE(SUBSTITUTE(SUBSTITUTE(SUBSTITUTE(SUBSTITUTE(SUBSTITUTE(SUBSTITUTE(SUBSTITUTE(SUBSTITUTE(SUBSTITUTE(SUBSTITUTE(SUBSTITUTE(SUBSTITUTE(N45,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Chuong","chuong.nguyen-minh"),Merged_JOEM!$C$23:$K$36,8,0)</f>
        <v>2541.5000000000009</v>
      </c>
      <c r="Q45" s="54">
        <f>O45/Table!$D$4</f>
        <v>5.0199999999999996</v>
      </c>
      <c r="R45" s="54">
        <f>P45/Table!$C$4</f>
        <v>19.550000000000008</v>
      </c>
    </row>
    <row r="46" spans="2:19">
      <c r="C46" s="54">
        <v>12</v>
      </c>
      <c r="D46" s="27" t="s">
        <v>166</v>
      </c>
      <c r="E46" s="54">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Chuong","chuong.nguyen-minh"),Merged_COEM!$C$4:$K$17,8,0)</f>
        <v>7890</v>
      </c>
      <c r="F46" s="54">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Chuong","chuong.nguyen-minh"),Merged_COEM!$C$23:$K$36,8,0)</f>
        <v>56</v>
      </c>
      <c r="G46" s="54">
        <f>E46/Table!$D$4</f>
        <v>17.533333333333335</v>
      </c>
      <c r="H46" s="54">
        <f>F46/Table!$C$4</f>
        <v>0.43076923076923079</v>
      </c>
      <c r="J46" s="70"/>
      <c r="M46" s="54">
        <v>12</v>
      </c>
      <c r="N46" s="27" t="s">
        <v>166</v>
      </c>
      <c r="O46" s="54">
        <f>VLOOKUP(SUBSTITUTE(SUBSTITUTE(SUBSTITUTE(SUBSTITUTE(SUBSTITUTE(SUBSTITUTE(SUBSTITUTE(SUBSTITUTE(SUBSTITUTE(SUBSTITUTE(SUBSTITUTE(SUBSTITUTE(SUBSTITUTE(SUBSTITUTE(N46,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Chuong","chuong.nguyen-minh"),Merged_JOEM!$C$4:$K$17,8,0)</f>
        <v>0</v>
      </c>
      <c r="P46" s="54">
        <f>VLOOKUP(SUBSTITUTE(SUBSTITUTE(SUBSTITUTE(SUBSTITUTE(SUBSTITUTE(SUBSTITUTE(SUBSTITUTE(SUBSTITUTE(SUBSTITUTE(SUBSTITUTE(SUBSTITUTE(SUBSTITUTE(SUBSTITUTE(SUBSTITUTE(N46,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Chuong","chuong.nguyen-minh"),Merged_JOEM!$C$23:$K$36,8,0)</f>
        <v>0</v>
      </c>
      <c r="Q46" s="54">
        <f>O46/Table!$D$4</f>
        <v>0</v>
      </c>
      <c r="R46" s="54">
        <f>P46/Table!$C$4</f>
        <v>0</v>
      </c>
    </row>
    <row r="47" spans="2:19">
      <c r="C47" s="54">
        <v>13</v>
      </c>
      <c r="D47" s="27" t="s">
        <v>164</v>
      </c>
      <c r="E47" s="54">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Chuong","chuong.nguyen-minh"),Merged_COEM!$C$4:$K$17,8,0)</f>
        <v>7366</v>
      </c>
      <c r="F47" s="54">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Chuong","chuong.nguyen-minh"),Merged_COEM!$C$23:$K$36,8,0)</f>
        <v>180</v>
      </c>
      <c r="G47" s="54">
        <f>E47/Table!$D$4</f>
        <v>16.36888888888889</v>
      </c>
      <c r="H47" s="54">
        <f>F47/Table!$C$4</f>
        <v>1.3846153846153846</v>
      </c>
      <c r="J47" s="70"/>
      <c r="M47" s="54">
        <v>13</v>
      </c>
      <c r="N47" s="27" t="s">
        <v>164</v>
      </c>
      <c r="O47" s="54">
        <f>VLOOKUP(SUBSTITUTE(SUBSTITUTE(SUBSTITUTE(SUBSTITUTE(SUBSTITUTE(SUBSTITUTE(SUBSTITUTE(SUBSTITUTE(SUBSTITUTE(SUBSTITUTE(SUBSTITUTE(SUBSTITUTE(SUBSTITUTE(SUBSTITUTE(N47,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Chuong","chuong.nguyen-minh"),Merged_JOEM!$C$4:$K$17,8,0)</f>
        <v>0</v>
      </c>
      <c r="P47" s="54">
        <f>VLOOKUP(SUBSTITUTE(SUBSTITUTE(SUBSTITUTE(SUBSTITUTE(SUBSTITUTE(SUBSTITUTE(SUBSTITUTE(SUBSTITUTE(SUBSTITUTE(SUBSTITUTE(SUBSTITUTE(SUBSTITUTE(SUBSTITUTE(SUBSTITUTE(N47,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Chuong","chuong.nguyen-minh"),Merged_JOEM!$C$23:$K$36,8,0)</f>
        <v>0</v>
      </c>
      <c r="Q47" s="54">
        <f>O47/Table!$D$4</f>
        <v>0</v>
      </c>
      <c r="R47" s="54">
        <f>P47/Table!$C$4</f>
        <v>0</v>
      </c>
    </row>
    <row r="48" spans="2:19">
      <c r="C48" s="54">
        <v>14</v>
      </c>
      <c r="D48" s="27" t="s">
        <v>165</v>
      </c>
      <c r="E48" s="54">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Chuong","chuong.nguyen-minh"),Merged_COEM!$C$4:$K$17,8,0)</f>
        <v>6056</v>
      </c>
      <c r="F48" s="54">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Chuong","chuong.nguyen-minh"),Merged_COEM!$C$23:$K$36,8,0)</f>
        <v>302</v>
      </c>
      <c r="G48" s="54">
        <f>E48/Table!$D$4</f>
        <v>13.457777777777778</v>
      </c>
      <c r="H48" s="54">
        <f>F48/Table!$C$4</f>
        <v>2.3230769230769233</v>
      </c>
      <c r="J48" s="70"/>
      <c r="M48" s="54">
        <v>14</v>
      </c>
      <c r="N48" s="27" t="s">
        <v>165</v>
      </c>
      <c r="O48" s="54">
        <f>VLOOKUP(SUBSTITUTE(SUBSTITUTE(SUBSTITUTE(SUBSTITUTE(SUBSTITUTE(SUBSTITUTE(SUBSTITUTE(SUBSTITUTE(SUBSTITUTE(SUBSTITUTE(SUBSTITUTE(SUBSTITUTE(SUBSTITUTE(SUBSTITUTE(N48,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Chuong","chuong.nguyen-minh"),Merged_JOEM!$C$4:$K$17,8,0)</f>
        <v>0</v>
      </c>
      <c r="P48" s="54">
        <f>VLOOKUP(SUBSTITUTE(SUBSTITUTE(SUBSTITUTE(SUBSTITUTE(SUBSTITUTE(SUBSTITUTE(SUBSTITUTE(SUBSTITUTE(SUBSTITUTE(SUBSTITUTE(SUBSTITUTE(SUBSTITUTE(SUBSTITUTE(SUBSTITUTE(N48,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Chuong","chuong.nguyen-minh"),Merged_JOEM!$C$23:$K$36,8,0)</f>
        <v>0</v>
      </c>
      <c r="Q48" s="54">
        <f>O48/Table!$D$4</f>
        <v>0</v>
      </c>
      <c r="R48" s="54">
        <f>P48/Table!$C$4</f>
        <v>0</v>
      </c>
    </row>
    <row r="49" spans="2:19">
      <c r="C49" s="29"/>
      <c r="D49" s="28"/>
      <c r="E49" s="29"/>
      <c r="F49" s="29"/>
      <c r="G49" s="29"/>
      <c r="H49" s="29"/>
      <c r="J49" s="70"/>
      <c r="M49" s="29"/>
      <c r="N49" s="28"/>
      <c r="O49" s="29"/>
      <c r="P49" s="29"/>
      <c r="Q49" s="29"/>
      <c r="R49" s="29"/>
    </row>
    <row r="50" spans="2:19">
      <c r="B50" s="1" t="s">
        <v>182</v>
      </c>
      <c r="C50" s="29"/>
      <c r="D50" s="28"/>
      <c r="E50" s="29"/>
      <c r="F50" s="29"/>
      <c r="G50" s="29"/>
      <c r="H50" s="29"/>
      <c r="J50" s="70"/>
      <c r="L50" s="1" t="s">
        <v>182</v>
      </c>
      <c r="M50" s="29"/>
      <c r="N50" s="28"/>
      <c r="O50" s="29"/>
      <c r="P50" s="29"/>
      <c r="Q50" s="29"/>
      <c r="R50" s="29"/>
    </row>
    <row r="51" spans="2:19">
      <c r="C51" s="29"/>
      <c r="D51" s="28"/>
      <c r="E51" s="29"/>
      <c r="F51" s="29"/>
      <c r="G51" s="29"/>
      <c r="H51" s="29"/>
      <c r="J51" s="70"/>
      <c r="M51" s="29"/>
      <c r="N51" s="28"/>
      <c r="O51" s="29"/>
      <c r="P51" s="29"/>
      <c r="Q51" s="29"/>
      <c r="R51" s="29"/>
    </row>
    <row r="52" spans="2:19" ht="30">
      <c r="C52" s="49" t="s">
        <v>25</v>
      </c>
      <c r="D52" s="49" t="s">
        <v>31</v>
      </c>
      <c r="E52" s="8" t="s">
        <v>32</v>
      </c>
      <c r="F52" s="8" t="s">
        <v>33</v>
      </c>
      <c r="G52" s="8" t="s">
        <v>125</v>
      </c>
      <c r="H52" s="8" t="s">
        <v>126</v>
      </c>
      <c r="J52" s="70"/>
      <c r="M52" s="49" t="s">
        <v>25</v>
      </c>
      <c r="N52" s="49" t="s">
        <v>31</v>
      </c>
      <c r="O52" s="8" t="s">
        <v>32</v>
      </c>
      <c r="P52" s="8" t="s">
        <v>33</v>
      </c>
      <c r="Q52" s="8" t="s">
        <v>125</v>
      </c>
      <c r="R52" s="8" t="s">
        <v>126</v>
      </c>
    </row>
    <row r="53" spans="2:19">
      <c r="C53" s="288">
        <v>1</v>
      </c>
      <c r="D53" s="288" t="s">
        <v>107</v>
      </c>
      <c r="E53" s="287">
        <f>VLOOKUP(SUBSTITUTE(SUBSTITUTE(SUBSTITUTE(SUBSTITUTE(SUBSTITUTE(SUBSTITUTE(SUBSTITUTE(SUBSTITUTE(SUBSTITUTE(SUBSTITUTE(SUBSTITUTE(SUBSTITUTE(SUBSTITUTE(SUBSTITUTE(D53,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Chuong","chuong.nguyen-minh"),Merged_COEM!$C$4:$K$17,7,0)</f>
        <v>0</v>
      </c>
      <c r="F53" s="287">
        <f>VLOOKUP(SUBSTITUTE(SUBSTITUTE(SUBSTITUTE(SUBSTITUTE(SUBSTITUTE(SUBSTITUTE(SUBSTITUTE(SUBSTITUTE(SUBSTITUTE(SUBSTITUTE(SUBSTITUTE(SUBSTITUTE(SUBSTITUTE(SUBSTITUTE(D53,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Chuong","chuong.nguyen-minh"),Merged_COEM!$C$23:$K$36,7,0)</f>
        <v>0</v>
      </c>
      <c r="G53" s="287">
        <f>E53/Table!$D$4</f>
        <v>0</v>
      </c>
      <c r="H53" s="287">
        <f>F53/Table!$C$4</f>
        <v>0</v>
      </c>
      <c r="I53" t="s">
        <v>288</v>
      </c>
      <c r="J53" s="70"/>
      <c r="M53" s="287">
        <v>1</v>
      </c>
      <c r="N53" s="288" t="s">
        <v>107</v>
      </c>
      <c r="O53" s="287">
        <f>VLOOKUP(SUBSTITUTE(SUBSTITUTE(SUBSTITUTE(SUBSTITUTE(SUBSTITUTE(SUBSTITUTE(SUBSTITUTE(SUBSTITUTE(SUBSTITUTE(SUBSTITUTE(SUBSTITUTE(SUBSTITUTE(SUBSTITUTE(SUBSTITUTE(N53,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Chuong","chuong.nguyen-minh"),Merged_JOEM!$C$4:$K$17,7,0)</f>
        <v>0</v>
      </c>
      <c r="P53" s="287">
        <f>VLOOKUP(SUBSTITUTE(SUBSTITUTE(SUBSTITUTE(SUBSTITUTE(SUBSTITUTE(SUBSTITUTE(SUBSTITUTE(SUBSTITUTE(SUBSTITUTE(SUBSTITUTE(SUBSTITUTE(SUBSTITUTE(SUBSTITUTE(SUBSTITUTE(N53,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Chuong","chuong.nguyen-minh"),Merged_JOEM!$C$23:$K$36,7,0)</f>
        <v>0</v>
      </c>
      <c r="Q53" s="287">
        <f>O53/Table!$D$4</f>
        <v>0</v>
      </c>
      <c r="R53" s="287">
        <f>P53/Table!$C$4</f>
        <v>0</v>
      </c>
    </row>
    <row r="54" spans="2:19">
      <c r="C54" s="54">
        <v>2</v>
      </c>
      <c r="D54" s="27" t="s">
        <v>108</v>
      </c>
      <c r="E54" s="54">
        <f>VLOOKUP(SUBSTITUTE(SUBSTITUTE(SUBSTITUTE(SUBSTITUTE(SUBSTITUTE(SUBSTITUTE(SUBSTITUTE(SUBSTITUTE(SUBSTITUTE(SUBSTITUTE(SUBSTITUTE(SUBSTITUTE(SUBSTITUTE(SUBSTITUTE(D54,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Chuong","chuong.nguyen-minh"),Merged_COEM!$C$4:$K$17,7,0)</f>
        <v>0</v>
      </c>
      <c r="F54" s="54">
        <f>VLOOKUP(SUBSTITUTE(SUBSTITUTE(SUBSTITUTE(SUBSTITUTE(SUBSTITUTE(SUBSTITUTE(SUBSTITUTE(SUBSTITUTE(SUBSTITUTE(SUBSTITUTE(SUBSTITUTE(SUBSTITUTE(SUBSTITUTE(SUBSTITUTE(D54,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Chuong","chuong.nguyen-minh"),Merged_COEM!$C$23:$K$36,7,0)</f>
        <v>0</v>
      </c>
      <c r="G54" s="54">
        <f>E54/Table!$D$4</f>
        <v>0</v>
      </c>
      <c r="H54" s="54">
        <f>F54/Table!$C$4</f>
        <v>0</v>
      </c>
      <c r="J54" s="70"/>
      <c r="M54" s="54">
        <v>2</v>
      </c>
      <c r="N54" s="27" t="s">
        <v>108</v>
      </c>
      <c r="O54" s="54">
        <f>VLOOKUP(SUBSTITUTE(SUBSTITUTE(SUBSTITUTE(SUBSTITUTE(SUBSTITUTE(SUBSTITUTE(SUBSTITUTE(SUBSTITUTE(SUBSTITUTE(SUBSTITUTE(SUBSTITUTE(SUBSTITUTE(SUBSTITUTE(SUBSTITUTE(N54,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Chuong","chuong.nguyen-minh"),Merged_JOEM!$C$4:$K$17,7,0)</f>
        <v>0</v>
      </c>
      <c r="P54" s="54">
        <f>VLOOKUP(SUBSTITUTE(SUBSTITUTE(SUBSTITUTE(SUBSTITUTE(SUBSTITUTE(SUBSTITUTE(SUBSTITUTE(SUBSTITUTE(SUBSTITUTE(SUBSTITUTE(SUBSTITUTE(SUBSTITUTE(SUBSTITUTE(SUBSTITUTE(N54,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Chuong","chuong.nguyen-minh"),Merged_JOEM!$C$23:$K$36,7,0)</f>
        <v>0</v>
      </c>
      <c r="Q54" s="54">
        <f>O54/Table!$D$4</f>
        <v>0</v>
      </c>
      <c r="R54" s="54">
        <f>P54/Table!$C$4</f>
        <v>0</v>
      </c>
    </row>
    <row r="55" spans="2:19">
      <c r="C55" s="54">
        <v>3</v>
      </c>
      <c r="D55" s="27" t="s">
        <v>109</v>
      </c>
      <c r="E55" s="54">
        <f>VLOOKUP(SUBSTITUTE(SUBSTITUTE(SUBSTITUTE(SUBSTITUTE(SUBSTITUTE(SUBSTITUTE(SUBSTITUTE(SUBSTITUTE(SUBSTITUTE(SUBSTITUTE(SUBSTITUTE(SUBSTITUTE(SUBSTITUTE(SUBSTITUTE(D55,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Chuong","chuong.nguyen-minh"),Merged_COEM!$C$4:$K$17,7,0)</f>
        <v>0</v>
      </c>
      <c r="F55" s="54">
        <f>VLOOKUP(SUBSTITUTE(SUBSTITUTE(SUBSTITUTE(SUBSTITUTE(SUBSTITUTE(SUBSTITUTE(SUBSTITUTE(SUBSTITUTE(SUBSTITUTE(SUBSTITUTE(SUBSTITUTE(SUBSTITUTE(SUBSTITUTE(SUBSTITUTE(D55,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Chuong","chuong.nguyen-minh"),Merged_COEM!$C$23:$K$36,7,0)</f>
        <v>0</v>
      </c>
      <c r="G55" s="54">
        <f>E55/Table!$D$4</f>
        <v>0</v>
      </c>
      <c r="H55" s="54">
        <f>F55/Table!$C$4</f>
        <v>0</v>
      </c>
      <c r="I55" t="s">
        <v>1329</v>
      </c>
      <c r="J55" s="70"/>
      <c r="M55" s="54">
        <v>3</v>
      </c>
      <c r="N55" s="27" t="s">
        <v>109</v>
      </c>
      <c r="O55" s="54">
        <f>VLOOKUP(SUBSTITUTE(SUBSTITUTE(SUBSTITUTE(SUBSTITUTE(SUBSTITUTE(SUBSTITUTE(SUBSTITUTE(SUBSTITUTE(SUBSTITUTE(SUBSTITUTE(SUBSTITUTE(SUBSTITUTE(SUBSTITUTE(SUBSTITUTE(N55,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Chuong","chuong.nguyen-minh"),Merged_JOEM!$C$4:$K$17,7,0)</f>
        <v>0</v>
      </c>
      <c r="P55" s="54">
        <f>VLOOKUP(SUBSTITUTE(SUBSTITUTE(SUBSTITUTE(SUBSTITUTE(SUBSTITUTE(SUBSTITUTE(SUBSTITUTE(SUBSTITUTE(SUBSTITUTE(SUBSTITUTE(SUBSTITUTE(SUBSTITUTE(SUBSTITUTE(SUBSTITUTE(N55,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Chuong","chuong.nguyen-minh"),Merged_JOEM!$C$23:$K$36,7,0)</f>
        <v>0</v>
      </c>
      <c r="Q55" s="54">
        <f>O55/Table!$D$4</f>
        <v>0</v>
      </c>
      <c r="R55" s="54">
        <f>P55/Table!$C$4</f>
        <v>0</v>
      </c>
      <c r="S55" t="s">
        <v>1329</v>
      </c>
    </row>
    <row r="56" spans="2:19">
      <c r="C56" s="54">
        <v>4</v>
      </c>
      <c r="D56" s="27" t="s">
        <v>110</v>
      </c>
      <c r="E56" s="54">
        <f>VLOOKUP(SUBSTITUTE(SUBSTITUTE(SUBSTITUTE(SUBSTITUTE(SUBSTITUTE(SUBSTITUTE(SUBSTITUTE(SUBSTITUTE(SUBSTITUTE(SUBSTITUTE(SUBSTITUTE(SUBSTITUTE(SUBSTITUTE(SUBSTITUTE(D56,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Chuong","chuong.nguyen-minh"),Merged_COEM!$C$4:$K$17,7,0)</f>
        <v>0</v>
      </c>
      <c r="F56" s="54">
        <f>VLOOKUP(SUBSTITUTE(SUBSTITUTE(SUBSTITUTE(SUBSTITUTE(SUBSTITUTE(SUBSTITUTE(SUBSTITUTE(SUBSTITUTE(SUBSTITUTE(SUBSTITUTE(SUBSTITUTE(SUBSTITUTE(SUBSTITUTE(SUBSTITUTE(D56,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Chuong","chuong.nguyen-minh"),Merged_COEM!$C$23:$K$36,7,0)</f>
        <v>0</v>
      </c>
      <c r="G56" s="54">
        <f>E56/Table!$D$4</f>
        <v>0</v>
      </c>
      <c r="H56" s="54">
        <f>F56/Table!$C$4</f>
        <v>0</v>
      </c>
      <c r="J56" s="70"/>
      <c r="M56" s="54">
        <v>4</v>
      </c>
      <c r="N56" s="27" t="s">
        <v>110</v>
      </c>
      <c r="O56" s="54">
        <f>VLOOKUP(SUBSTITUTE(SUBSTITUTE(SUBSTITUTE(SUBSTITUTE(SUBSTITUTE(SUBSTITUTE(SUBSTITUTE(SUBSTITUTE(SUBSTITUTE(SUBSTITUTE(SUBSTITUTE(SUBSTITUTE(SUBSTITUTE(SUBSTITUTE(N56,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Chuong","chuong.nguyen-minh"),Merged_JOEM!$C$4:$K$17,7,0)</f>
        <v>0</v>
      </c>
      <c r="P56" s="54">
        <f>VLOOKUP(SUBSTITUTE(SUBSTITUTE(SUBSTITUTE(SUBSTITUTE(SUBSTITUTE(SUBSTITUTE(SUBSTITUTE(SUBSTITUTE(SUBSTITUTE(SUBSTITUTE(SUBSTITUTE(SUBSTITUTE(SUBSTITUTE(SUBSTITUTE(N56,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Chuong","chuong.nguyen-minh"),Merged_JOEM!$C$23:$K$36,7,0)</f>
        <v>0</v>
      </c>
      <c r="Q56" s="54">
        <f>O56/Table!$D$4</f>
        <v>0</v>
      </c>
      <c r="R56" s="54">
        <f>P56/Table!$C$4</f>
        <v>0</v>
      </c>
    </row>
    <row r="57" spans="2:19">
      <c r="C57" s="54">
        <v>5</v>
      </c>
      <c r="D57" s="27" t="s">
        <v>150</v>
      </c>
      <c r="E57" s="54">
        <f>VLOOKUP(SUBSTITUTE(SUBSTITUTE(SUBSTITUTE(SUBSTITUTE(SUBSTITUTE(SUBSTITUTE(SUBSTITUTE(SUBSTITUTE(SUBSTITUTE(SUBSTITUTE(SUBSTITUTE(SUBSTITUTE(SUBSTITUTE(SUBSTITUTE(D57,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Chuong","chuong.nguyen-minh"),Merged_COEM!$C$4:$K$17,7,0)</f>
        <v>0</v>
      </c>
      <c r="F57" s="54">
        <f>VLOOKUP(SUBSTITUTE(SUBSTITUTE(SUBSTITUTE(SUBSTITUTE(SUBSTITUTE(SUBSTITUTE(SUBSTITUTE(SUBSTITUTE(SUBSTITUTE(SUBSTITUTE(SUBSTITUTE(SUBSTITUTE(SUBSTITUTE(SUBSTITUTE(D57,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Chuong","chuong.nguyen-minh"),Merged_COEM!$C$23:$K$36,7,0)</f>
        <v>40</v>
      </c>
      <c r="G57" s="54">
        <f>E57/Table!$D$4</f>
        <v>0</v>
      </c>
      <c r="H57" s="54">
        <f>F57/Table!$C$4</f>
        <v>0.30769230769230771</v>
      </c>
      <c r="J57" s="70"/>
      <c r="M57" s="54">
        <v>5</v>
      </c>
      <c r="N57" s="27" t="s">
        <v>150</v>
      </c>
      <c r="O57" s="54">
        <f>VLOOKUP(SUBSTITUTE(SUBSTITUTE(SUBSTITUTE(SUBSTITUTE(SUBSTITUTE(SUBSTITUTE(SUBSTITUTE(SUBSTITUTE(SUBSTITUTE(SUBSTITUTE(SUBSTITUTE(SUBSTITUTE(SUBSTITUTE(SUBSTITUTE(N57,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Chuong","chuong.nguyen-minh"),Merged_JOEM!$C$4:$K$17,7,0)</f>
        <v>0</v>
      </c>
      <c r="P57" s="54">
        <f>VLOOKUP(SUBSTITUTE(SUBSTITUTE(SUBSTITUTE(SUBSTITUTE(SUBSTITUTE(SUBSTITUTE(SUBSTITUTE(SUBSTITUTE(SUBSTITUTE(SUBSTITUTE(SUBSTITUTE(SUBSTITUTE(SUBSTITUTE(SUBSTITUTE(N57,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Chuong","chuong.nguyen-minh"),Merged_JOEM!$C$23:$K$36,7,0)</f>
        <v>0</v>
      </c>
      <c r="Q57" s="54">
        <f>O57/Table!$D$4</f>
        <v>0</v>
      </c>
      <c r="R57" s="54">
        <f>P57/Table!$C$4</f>
        <v>0</v>
      </c>
    </row>
    <row r="58" spans="2:19">
      <c r="C58" s="54">
        <v>6</v>
      </c>
      <c r="D58" s="27" t="s">
        <v>151</v>
      </c>
      <c r="E58" s="54">
        <f>VLOOKUP(SUBSTITUTE(SUBSTITUTE(SUBSTITUTE(SUBSTITUTE(SUBSTITUTE(SUBSTITUTE(SUBSTITUTE(SUBSTITUTE(SUBSTITUTE(SUBSTITUTE(SUBSTITUTE(SUBSTITUTE(SUBSTITUTE(SUBSTITUTE(D58,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Chuong","chuong.nguyen-minh"),Merged_COEM!$C$4:$K$17,7,0)</f>
        <v>0</v>
      </c>
      <c r="F58" s="54">
        <f>VLOOKUP(SUBSTITUTE(SUBSTITUTE(SUBSTITUTE(SUBSTITUTE(SUBSTITUTE(SUBSTITUTE(SUBSTITUTE(SUBSTITUTE(SUBSTITUTE(SUBSTITUTE(SUBSTITUTE(SUBSTITUTE(SUBSTITUTE(SUBSTITUTE(D58,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Chuong","chuong.nguyen-minh"),Merged_COEM!$C$23:$K$36,7,0)</f>
        <v>211</v>
      </c>
      <c r="G58" s="54">
        <f>E58/Table!$D$4</f>
        <v>0</v>
      </c>
      <c r="H58" s="54">
        <f>F58/Table!$C$4</f>
        <v>1.6230769230769231</v>
      </c>
      <c r="J58" s="70"/>
      <c r="M58" s="54">
        <v>6</v>
      </c>
      <c r="N58" s="27" t="s">
        <v>151</v>
      </c>
      <c r="O58" s="54">
        <f>VLOOKUP(SUBSTITUTE(SUBSTITUTE(SUBSTITUTE(SUBSTITUTE(SUBSTITUTE(SUBSTITUTE(SUBSTITUTE(SUBSTITUTE(SUBSTITUTE(SUBSTITUTE(SUBSTITUTE(SUBSTITUTE(SUBSTITUTE(SUBSTITUTE(N58,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Chuong","chuong.nguyen-minh"),Merged_JOEM!$C$4:$K$17,7,0)</f>
        <v>0</v>
      </c>
      <c r="P58" s="54">
        <f>VLOOKUP(SUBSTITUTE(SUBSTITUTE(SUBSTITUTE(SUBSTITUTE(SUBSTITUTE(SUBSTITUTE(SUBSTITUTE(SUBSTITUTE(SUBSTITUTE(SUBSTITUTE(SUBSTITUTE(SUBSTITUTE(SUBSTITUTE(SUBSTITUTE(N58,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Chuong","chuong.nguyen-minh"),Merged_JOEM!$C$23:$K$36,7,0)</f>
        <v>0</v>
      </c>
      <c r="Q58" s="54">
        <f>O58/Table!$D$4</f>
        <v>0</v>
      </c>
      <c r="R58" s="54">
        <f>P58/Table!$C$4</f>
        <v>0</v>
      </c>
    </row>
    <row r="59" spans="2:19">
      <c r="C59" s="54">
        <v>7</v>
      </c>
      <c r="D59" s="27" t="s">
        <v>152</v>
      </c>
      <c r="E59" s="54">
        <f>VLOOKUP(SUBSTITUTE(SUBSTITUTE(SUBSTITUTE(SUBSTITUTE(SUBSTITUTE(SUBSTITUTE(SUBSTITUTE(SUBSTITUTE(SUBSTITUTE(SUBSTITUTE(SUBSTITUTE(SUBSTITUTE(SUBSTITUTE(SUBSTITUTE(D59,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Chuong","chuong.nguyen-minh"),Merged_COEM!$C$4:$K$17,7,0)</f>
        <v>0</v>
      </c>
      <c r="F59" s="54">
        <f>VLOOKUP(SUBSTITUTE(SUBSTITUTE(SUBSTITUTE(SUBSTITUTE(SUBSTITUTE(SUBSTITUTE(SUBSTITUTE(SUBSTITUTE(SUBSTITUTE(SUBSTITUTE(SUBSTITUTE(SUBSTITUTE(SUBSTITUTE(SUBSTITUTE(D59,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Chuong","chuong.nguyen-minh"),Merged_COEM!$C$23:$K$36,7,0)</f>
        <v>367</v>
      </c>
      <c r="G59" s="54">
        <f>E59/Table!$D$4</f>
        <v>0</v>
      </c>
      <c r="H59" s="54">
        <f>F59/Table!$C$4</f>
        <v>2.8230769230769233</v>
      </c>
      <c r="I59" t="s">
        <v>1329</v>
      </c>
      <c r="J59" s="70"/>
      <c r="M59" s="54">
        <v>7</v>
      </c>
      <c r="N59" s="27" t="s">
        <v>152</v>
      </c>
      <c r="O59" s="54">
        <f>VLOOKUP(SUBSTITUTE(SUBSTITUTE(SUBSTITUTE(SUBSTITUTE(SUBSTITUTE(SUBSTITUTE(SUBSTITUTE(SUBSTITUTE(SUBSTITUTE(SUBSTITUTE(SUBSTITUTE(SUBSTITUTE(SUBSTITUTE(SUBSTITUTE(N59,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Chuong","chuong.nguyen-minh"),Merged_JOEM!$C$4:$K$17,7,0)</f>
        <v>0</v>
      </c>
      <c r="P59" s="54">
        <f>VLOOKUP(SUBSTITUTE(SUBSTITUTE(SUBSTITUTE(SUBSTITUTE(SUBSTITUTE(SUBSTITUTE(SUBSTITUTE(SUBSTITUTE(SUBSTITUTE(SUBSTITUTE(SUBSTITUTE(SUBSTITUTE(SUBSTITUTE(SUBSTITUTE(N59,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Chuong","chuong.nguyen-minh"),Merged_JOEM!$C$23:$K$36,7,0)</f>
        <v>0</v>
      </c>
      <c r="Q59" s="54">
        <f>O59/Table!$D$4</f>
        <v>0</v>
      </c>
      <c r="R59" s="54">
        <f>P59/Table!$C$4</f>
        <v>0</v>
      </c>
      <c r="S59" t="s">
        <v>1329</v>
      </c>
    </row>
    <row r="60" spans="2:19">
      <c r="C60" s="54">
        <v>8</v>
      </c>
      <c r="D60" s="27" t="s">
        <v>153</v>
      </c>
      <c r="E60" s="54">
        <f>VLOOKUP(SUBSTITUTE(SUBSTITUTE(SUBSTITUTE(SUBSTITUTE(SUBSTITUTE(SUBSTITUTE(SUBSTITUTE(SUBSTITUTE(SUBSTITUTE(SUBSTITUTE(SUBSTITUTE(SUBSTITUTE(SUBSTITUTE(SUBSTITUTE(D60,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Chuong","chuong.nguyen-minh"),Merged_COEM!$C$4:$K$17,7,0)</f>
        <v>0</v>
      </c>
      <c r="F60" s="54">
        <f>VLOOKUP(SUBSTITUTE(SUBSTITUTE(SUBSTITUTE(SUBSTITUTE(SUBSTITUTE(SUBSTITUTE(SUBSTITUTE(SUBSTITUTE(SUBSTITUTE(SUBSTITUTE(SUBSTITUTE(SUBSTITUTE(SUBSTITUTE(SUBSTITUTE(D60,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Chuong","chuong.nguyen-minh"),Merged_COEM!$C$23:$K$36,7,0)</f>
        <v>110</v>
      </c>
      <c r="G60" s="54">
        <f>E60/Table!$D$4</f>
        <v>0</v>
      </c>
      <c r="H60" s="54">
        <f>F60/Table!$C$4</f>
        <v>0.84615384615384615</v>
      </c>
      <c r="J60" s="70"/>
      <c r="M60" s="54">
        <v>8</v>
      </c>
      <c r="N60" s="27" t="s">
        <v>153</v>
      </c>
      <c r="O60" s="54">
        <f>VLOOKUP(SUBSTITUTE(SUBSTITUTE(SUBSTITUTE(SUBSTITUTE(SUBSTITUTE(SUBSTITUTE(SUBSTITUTE(SUBSTITUTE(SUBSTITUTE(SUBSTITUTE(SUBSTITUTE(SUBSTITUTE(SUBSTITUTE(SUBSTITUTE(N60,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Chuong","chuong.nguyen-minh"),Merged_JOEM!$C$4:$K$17,7,0)</f>
        <v>0</v>
      </c>
      <c r="P60" s="54">
        <f>VLOOKUP(SUBSTITUTE(SUBSTITUTE(SUBSTITUTE(SUBSTITUTE(SUBSTITUTE(SUBSTITUTE(SUBSTITUTE(SUBSTITUTE(SUBSTITUTE(SUBSTITUTE(SUBSTITUTE(SUBSTITUTE(SUBSTITUTE(SUBSTITUTE(N60,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Chuong","chuong.nguyen-minh"),Merged_JOEM!$C$23:$K$36,7,0)</f>
        <v>0</v>
      </c>
      <c r="Q60" s="54">
        <f>O60/Table!$D$4</f>
        <v>0</v>
      </c>
      <c r="R60" s="54">
        <f>P60/Table!$C$4</f>
        <v>0</v>
      </c>
    </row>
    <row r="61" spans="2:19">
      <c r="C61" s="54">
        <v>9</v>
      </c>
      <c r="D61" s="27" t="s">
        <v>143</v>
      </c>
      <c r="E61" s="54">
        <f>VLOOKUP(SUBSTITUTE(SUBSTITUTE(SUBSTITUTE(SUBSTITUTE(SUBSTITUTE(SUBSTITUTE(SUBSTITUTE(SUBSTITUTE(SUBSTITUTE(SUBSTITUTE(SUBSTITUTE(SUBSTITUTE(SUBSTITUTE(SUBSTITUTE(D61,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Chuong","chuong.nguyen-minh"),Merged_COEM!$C$4:$K$17,7,0)</f>
        <v>0</v>
      </c>
      <c r="F61" s="54">
        <f>VLOOKUP(SUBSTITUTE(SUBSTITUTE(SUBSTITUTE(SUBSTITUTE(SUBSTITUTE(SUBSTITUTE(SUBSTITUTE(SUBSTITUTE(SUBSTITUTE(SUBSTITUTE(SUBSTITUTE(SUBSTITUTE(SUBSTITUTE(SUBSTITUTE(D61,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Chuong","chuong.nguyen-minh"),Merged_COEM!$C$23:$K$36,7,0)</f>
        <v>0</v>
      </c>
      <c r="G61" s="54">
        <f>E61/Table!$D$4</f>
        <v>0</v>
      </c>
      <c r="H61" s="54">
        <f>F61/Table!$C$4</f>
        <v>0</v>
      </c>
      <c r="J61" s="70"/>
      <c r="M61" s="54">
        <v>9</v>
      </c>
      <c r="N61" s="27" t="s">
        <v>143</v>
      </c>
      <c r="O61" s="54">
        <f>VLOOKUP(SUBSTITUTE(SUBSTITUTE(SUBSTITUTE(SUBSTITUTE(SUBSTITUTE(SUBSTITUTE(SUBSTITUTE(SUBSTITUTE(SUBSTITUTE(SUBSTITUTE(SUBSTITUTE(SUBSTITUTE(SUBSTITUTE(SUBSTITUTE(N61,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Chuong","chuong.nguyen-minh"),Merged_JOEM!$C$4:$K$17,7,0)</f>
        <v>0</v>
      </c>
      <c r="P61" s="54">
        <f>VLOOKUP(SUBSTITUTE(SUBSTITUTE(SUBSTITUTE(SUBSTITUTE(SUBSTITUTE(SUBSTITUTE(SUBSTITUTE(SUBSTITUTE(SUBSTITUTE(SUBSTITUTE(SUBSTITUTE(SUBSTITUTE(SUBSTITUTE(SUBSTITUTE(N61,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Chuong","chuong.nguyen-minh"),Merged_JOEM!$C$23:$K$36,7,0)</f>
        <v>0</v>
      </c>
      <c r="Q61" s="54">
        <f>O61/Table!$D$4</f>
        <v>0</v>
      </c>
      <c r="R61" s="54">
        <f>P61/Table!$C$4</f>
        <v>0</v>
      </c>
    </row>
    <row r="62" spans="2:19">
      <c r="C62" s="54">
        <v>10</v>
      </c>
      <c r="D62" s="27" t="s">
        <v>142</v>
      </c>
      <c r="E62" s="54">
        <f>VLOOKUP(SUBSTITUTE(SUBSTITUTE(SUBSTITUTE(SUBSTITUTE(SUBSTITUTE(SUBSTITUTE(SUBSTITUTE(SUBSTITUTE(SUBSTITUTE(SUBSTITUTE(SUBSTITUTE(SUBSTITUTE(SUBSTITUTE(SUBSTITUTE(D62,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Chuong","chuong.nguyen-minh"),Merged_COEM!$C$4:$K$17,7,0)</f>
        <v>0</v>
      </c>
      <c r="F62" s="54">
        <f>VLOOKUP(SUBSTITUTE(SUBSTITUTE(SUBSTITUTE(SUBSTITUTE(SUBSTITUTE(SUBSTITUTE(SUBSTITUTE(SUBSTITUTE(SUBSTITUTE(SUBSTITUTE(SUBSTITUTE(SUBSTITUTE(SUBSTITUTE(SUBSTITUTE(D62,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Chuong","chuong.nguyen-minh"),Merged_COEM!$C$23:$K$36,7,0)</f>
        <v>0</v>
      </c>
      <c r="G62" s="54">
        <f>E62/Table!$D$4</f>
        <v>0</v>
      </c>
      <c r="H62" s="54">
        <f>F62/Table!$C$4</f>
        <v>0</v>
      </c>
      <c r="J62" s="70"/>
      <c r="M62" s="54">
        <v>10</v>
      </c>
      <c r="N62" s="27" t="s">
        <v>142</v>
      </c>
      <c r="O62" s="54">
        <f>VLOOKUP(SUBSTITUTE(SUBSTITUTE(SUBSTITUTE(SUBSTITUTE(SUBSTITUTE(SUBSTITUTE(SUBSTITUTE(SUBSTITUTE(SUBSTITUTE(SUBSTITUTE(SUBSTITUTE(SUBSTITUTE(SUBSTITUTE(SUBSTITUTE(N62,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Chuong","chuong.nguyen-minh"),Merged_JOEM!$C$4:$K$17,7,0)</f>
        <v>0</v>
      </c>
      <c r="P62" s="54">
        <f>VLOOKUP(SUBSTITUTE(SUBSTITUTE(SUBSTITUTE(SUBSTITUTE(SUBSTITUTE(SUBSTITUTE(SUBSTITUTE(SUBSTITUTE(SUBSTITUTE(SUBSTITUTE(SUBSTITUTE(SUBSTITUTE(SUBSTITUTE(SUBSTITUTE(N62,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Chuong","chuong.nguyen-minh"),Merged_JOEM!$C$23:$K$36,7,0)</f>
        <v>0</v>
      </c>
      <c r="Q62" s="54">
        <f>O62/Table!$D$4</f>
        <v>0</v>
      </c>
      <c r="R62" s="54">
        <f>P62/Table!$C$4</f>
        <v>0</v>
      </c>
    </row>
    <row r="63" spans="2:19">
      <c r="C63" s="54">
        <v>11</v>
      </c>
      <c r="D63" s="27" t="s">
        <v>172</v>
      </c>
      <c r="E63" s="54">
        <f>VLOOKUP(SUBSTITUTE(SUBSTITUTE(SUBSTITUTE(SUBSTITUTE(SUBSTITUTE(SUBSTITUTE(SUBSTITUTE(SUBSTITUTE(SUBSTITUTE(SUBSTITUTE(SUBSTITUTE(SUBSTITUTE(SUBSTITUTE(SUBSTITUTE(D63,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Chuong","chuong.nguyen-minh"),Merged_COEM!$C$4:$K$17,7,0)</f>
        <v>0</v>
      </c>
      <c r="F63" s="54">
        <f>VLOOKUP(SUBSTITUTE(SUBSTITUTE(SUBSTITUTE(SUBSTITUTE(SUBSTITUTE(SUBSTITUTE(SUBSTITUTE(SUBSTITUTE(SUBSTITUTE(SUBSTITUTE(SUBSTITUTE(SUBSTITUTE(SUBSTITUTE(SUBSTITUTE(D63,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Chuong","chuong.nguyen-minh"),Merged_COEM!$C$23:$K$36,7,0)</f>
        <v>0</v>
      </c>
      <c r="G63" s="54">
        <f>E63/Table!$D$4</f>
        <v>0</v>
      </c>
      <c r="H63" s="54">
        <f>F63/Table!$C$4</f>
        <v>0</v>
      </c>
      <c r="J63" s="70"/>
      <c r="M63" s="54">
        <v>11</v>
      </c>
      <c r="N63" s="27" t="s">
        <v>172</v>
      </c>
      <c r="O63" s="54">
        <f>VLOOKUP(SUBSTITUTE(SUBSTITUTE(SUBSTITUTE(SUBSTITUTE(SUBSTITUTE(SUBSTITUTE(SUBSTITUTE(SUBSTITUTE(SUBSTITUTE(SUBSTITUTE(SUBSTITUTE(SUBSTITUTE(SUBSTITUTE(SUBSTITUTE(N63,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Chuong","chuong.nguyen-minh"),Merged_JOEM!$C$4:$K$17,7,0)</f>
        <v>0</v>
      </c>
      <c r="P63" s="54">
        <f>VLOOKUP(SUBSTITUTE(SUBSTITUTE(SUBSTITUTE(SUBSTITUTE(SUBSTITUTE(SUBSTITUTE(SUBSTITUTE(SUBSTITUTE(SUBSTITUTE(SUBSTITUTE(SUBSTITUTE(SUBSTITUTE(SUBSTITUTE(SUBSTITUTE(N63,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Chuong","chuong.nguyen-minh"),Merged_JOEM!$C$23:$K$36,7,0)</f>
        <v>0</v>
      </c>
      <c r="Q63" s="54">
        <f>O63/Table!$D$4</f>
        <v>0</v>
      </c>
      <c r="R63" s="54">
        <f>P63/Table!$C$4</f>
        <v>0</v>
      </c>
    </row>
    <row r="64" spans="2:19">
      <c r="C64" s="54">
        <v>12</v>
      </c>
      <c r="D64" s="27" t="s">
        <v>166</v>
      </c>
      <c r="E64" s="54">
        <f>VLOOKUP(SUBSTITUTE(SUBSTITUTE(SUBSTITUTE(SUBSTITUTE(SUBSTITUTE(SUBSTITUTE(SUBSTITUTE(SUBSTITUTE(SUBSTITUTE(SUBSTITUTE(SUBSTITUTE(SUBSTITUTE(SUBSTITUTE(SUBSTITUTE(D64,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Chuong","chuong.nguyen-minh"),Merged_COEM!$C$4:$K$17,7,0)</f>
        <v>0</v>
      </c>
      <c r="F64" s="54">
        <f>VLOOKUP(SUBSTITUTE(SUBSTITUTE(SUBSTITUTE(SUBSTITUTE(SUBSTITUTE(SUBSTITUTE(SUBSTITUTE(SUBSTITUTE(SUBSTITUTE(SUBSTITUTE(SUBSTITUTE(SUBSTITUTE(SUBSTITUTE(SUBSTITUTE(D64,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Chuong","chuong.nguyen-minh"),Merged_COEM!$C$23:$K$36,7,0)</f>
        <v>300</v>
      </c>
      <c r="G64" s="54">
        <f>E64/Table!$D$4</f>
        <v>0</v>
      </c>
      <c r="H64" s="54">
        <f>F64/Table!$C$4</f>
        <v>2.3076923076923075</v>
      </c>
      <c r="J64" s="70"/>
      <c r="M64" s="54">
        <v>12</v>
      </c>
      <c r="N64" s="27" t="s">
        <v>166</v>
      </c>
      <c r="O64" s="54">
        <f>VLOOKUP(SUBSTITUTE(SUBSTITUTE(SUBSTITUTE(SUBSTITUTE(SUBSTITUTE(SUBSTITUTE(SUBSTITUTE(SUBSTITUTE(SUBSTITUTE(SUBSTITUTE(SUBSTITUTE(SUBSTITUTE(SUBSTITUTE(SUBSTITUTE(N64,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Chuong","chuong.nguyen-minh"),Merged_JOEM!$C$4:$K$17,7,0)</f>
        <v>0</v>
      </c>
      <c r="P64" s="54">
        <f>VLOOKUP(SUBSTITUTE(SUBSTITUTE(SUBSTITUTE(SUBSTITUTE(SUBSTITUTE(SUBSTITUTE(SUBSTITUTE(SUBSTITUTE(SUBSTITUTE(SUBSTITUTE(SUBSTITUTE(SUBSTITUTE(SUBSTITUTE(SUBSTITUTE(N64,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Chuong","chuong.nguyen-minh"),Merged_JOEM!$C$23:$K$36,7,0)</f>
        <v>0</v>
      </c>
      <c r="Q64" s="54">
        <f>O64/Table!$D$4</f>
        <v>0</v>
      </c>
      <c r="R64" s="54">
        <f>P64/Table!$C$4</f>
        <v>0</v>
      </c>
    </row>
    <row r="65" spans="2:18">
      <c r="C65" s="54">
        <v>13</v>
      </c>
      <c r="D65" s="27" t="s">
        <v>164</v>
      </c>
      <c r="E65" s="54">
        <f>VLOOKUP(SUBSTITUTE(SUBSTITUTE(SUBSTITUTE(SUBSTITUTE(SUBSTITUTE(SUBSTITUTE(SUBSTITUTE(SUBSTITUTE(SUBSTITUTE(SUBSTITUTE(SUBSTITUTE(SUBSTITUTE(SUBSTITUTE(SUBSTITUTE(D65,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Chuong","chuong.nguyen-minh"),Merged_COEM!$C$4:$K$17,7,0)</f>
        <v>0</v>
      </c>
      <c r="F65" s="54">
        <f>VLOOKUP(SUBSTITUTE(SUBSTITUTE(SUBSTITUTE(SUBSTITUTE(SUBSTITUTE(SUBSTITUTE(SUBSTITUTE(SUBSTITUTE(SUBSTITUTE(SUBSTITUTE(SUBSTITUTE(SUBSTITUTE(SUBSTITUTE(SUBSTITUTE(D65,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Chuong","chuong.nguyen-minh"),Merged_COEM!$C$23:$K$36,7,0)</f>
        <v>215</v>
      </c>
      <c r="G65" s="54">
        <f>E65/Table!$D$4</f>
        <v>0</v>
      </c>
      <c r="H65" s="54">
        <f>F65/Table!$C$4</f>
        <v>1.6538461538461537</v>
      </c>
      <c r="J65" s="70"/>
      <c r="M65" s="54">
        <v>13</v>
      </c>
      <c r="N65" s="27" t="s">
        <v>164</v>
      </c>
      <c r="O65" s="54">
        <f>VLOOKUP(SUBSTITUTE(SUBSTITUTE(SUBSTITUTE(SUBSTITUTE(SUBSTITUTE(SUBSTITUTE(SUBSTITUTE(SUBSTITUTE(SUBSTITUTE(SUBSTITUTE(SUBSTITUTE(SUBSTITUTE(SUBSTITUTE(SUBSTITUTE(N65,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Chuong","chuong.nguyen-minh"),Merged_JOEM!$C$4:$K$17,7,0)</f>
        <v>0</v>
      </c>
      <c r="P65" s="54">
        <f>VLOOKUP(SUBSTITUTE(SUBSTITUTE(SUBSTITUTE(SUBSTITUTE(SUBSTITUTE(SUBSTITUTE(SUBSTITUTE(SUBSTITUTE(SUBSTITUTE(SUBSTITUTE(SUBSTITUTE(SUBSTITUTE(SUBSTITUTE(SUBSTITUTE(N65,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Chuong","chuong.nguyen-minh"),Merged_JOEM!$C$23:$K$36,7,0)</f>
        <v>0</v>
      </c>
      <c r="Q65" s="54">
        <f>O65/Table!$D$4</f>
        <v>0</v>
      </c>
      <c r="R65" s="54">
        <f>P65/Table!$C$4</f>
        <v>0</v>
      </c>
    </row>
    <row r="66" spans="2:18">
      <c r="C66" s="54">
        <v>14</v>
      </c>
      <c r="D66" s="27" t="s">
        <v>165</v>
      </c>
      <c r="E66" s="54">
        <f>VLOOKUP(SUBSTITUTE(SUBSTITUTE(SUBSTITUTE(SUBSTITUTE(SUBSTITUTE(SUBSTITUTE(SUBSTITUTE(SUBSTITUTE(SUBSTITUTE(SUBSTITUTE(SUBSTITUTE(SUBSTITUTE(SUBSTITUTE(SUBSTITUTE(D66,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Chuong","chuong.nguyen-minh"),Merged_COEM!$C$4:$K$17,7,0)</f>
        <v>0</v>
      </c>
      <c r="F66" s="54">
        <f>VLOOKUP(SUBSTITUTE(SUBSTITUTE(SUBSTITUTE(SUBSTITUTE(SUBSTITUTE(SUBSTITUTE(SUBSTITUTE(SUBSTITUTE(SUBSTITUTE(SUBSTITUTE(SUBSTITUTE(SUBSTITUTE(SUBSTITUTE(SUBSTITUTE(D66,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Chuong","chuong.nguyen-minh"),Merged_COEM!$C$23:$K$36,7,0)</f>
        <v>256</v>
      </c>
      <c r="G66" s="54">
        <f>E66/Table!$D$4</f>
        <v>0</v>
      </c>
      <c r="H66" s="54">
        <f>F66/Table!$C$4</f>
        <v>1.9692307692307693</v>
      </c>
      <c r="J66" s="70"/>
      <c r="M66" s="54">
        <v>14</v>
      </c>
      <c r="N66" s="27" t="s">
        <v>165</v>
      </c>
      <c r="O66" s="54">
        <f>VLOOKUP(SUBSTITUTE(SUBSTITUTE(SUBSTITUTE(SUBSTITUTE(SUBSTITUTE(SUBSTITUTE(SUBSTITUTE(SUBSTITUTE(SUBSTITUTE(SUBSTITUTE(SUBSTITUTE(SUBSTITUTE(SUBSTITUTE(SUBSTITUTE(N66,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Chuong","chuong.nguyen-minh"),Merged_JOEM!$C$4:$K$17,7,0)</f>
        <v>0</v>
      </c>
      <c r="P66" s="54">
        <f>VLOOKUP(SUBSTITUTE(SUBSTITUTE(SUBSTITUTE(SUBSTITUTE(SUBSTITUTE(SUBSTITUTE(SUBSTITUTE(SUBSTITUTE(SUBSTITUTE(SUBSTITUTE(SUBSTITUTE(SUBSTITUTE(SUBSTITUTE(SUBSTITUTE(N66,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Chuong","chuong.nguyen-minh"),Merged_JOEM!$C$23:$K$36,7,0)</f>
        <v>0</v>
      </c>
      <c r="Q66" s="54">
        <f>O66/Table!$D$4</f>
        <v>0</v>
      </c>
      <c r="R66" s="54">
        <f>P66/Table!$C$4</f>
        <v>0</v>
      </c>
    </row>
    <row r="67" spans="2:18">
      <c r="C67" s="29"/>
      <c r="D67" s="28"/>
      <c r="E67" s="29"/>
      <c r="F67" s="29"/>
      <c r="G67" s="29"/>
      <c r="H67" s="29"/>
      <c r="J67" s="70"/>
      <c r="M67" s="29"/>
      <c r="N67" s="28"/>
      <c r="O67" s="29"/>
      <c r="P67" s="29"/>
      <c r="Q67" s="29"/>
      <c r="R67" s="29"/>
    </row>
    <row r="68" spans="2:18">
      <c r="C68" s="29"/>
      <c r="D68" s="28"/>
      <c r="E68" s="29"/>
      <c r="F68" s="29"/>
      <c r="G68" s="29"/>
      <c r="H68" s="29"/>
      <c r="J68" s="70"/>
      <c r="M68" s="29"/>
      <c r="N68" s="28"/>
      <c r="O68" s="29"/>
      <c r="P68" s="29"/>
      <c r="Q68" s="29"/>
      <c r="R68" s="29"/>
    </row>
    <row r="69" spans="2:18">
      <c r="B69" s="1" t="s">
        <v>34</v>
      </c>
      <c r="J69" s="70"/>
      <c r="L69" s="1" t="s">
        <v>34</v>
      </c>
    </row>
    <row r="70" spans="2:18">
      <c r="C70" s="49" t="s">
        <v>25</v>
      </c>
      <c r="D70" s="44" t="s">
        <v>35</v>
      </c>
      <c r="E70" s="45"/>
      <c r="F70" s="46"/>
      <c r="J70" s="70"/>
      <c r="M70" s="49" t="s">
        <v>25</v>
      </c>
      <c r="N70" s="44" t="s">
        <v>35</v>
      </c>
      <c r="O70" s="45"/>
      <c r="P70" s="46"/>
    </row>
    <row r="71" spans="2:18">
      <c r="C71" s="54">
        <v>1</v>
      </c>
      <c r="D71" s="35" t="s">
        <v>58</v>
      </c>
      <c r="E71" s="36"/>
      <c r="F71" s="37"/>
      <c r="J71" s="70"/>
      <c r="M71" s="54">
        <v>1</v>
      </c>
      <c r="N71" s="35" t="s">
        <v>58</v>
      </c>
      <c r="O71" s="36"/>
      <c r="P71" s="37"/>
    </row>
    <row r="72" spans="2:18">
      <c r="C72" s="54">
        <v>2</v>
      </c>
      <c r="D72" s="35" t="s">
        <v>58</v>
      </c>
      <c r="E72" s="36"/>
      <c r="F72" s="37"/>
      <c r="J72" s="70"/>
      <c r="M72" s="54">
        <v>2</v>
      </c>
      <c r="N72" s="35" t="s">
        <v>58</v>
      </c>
      <c r="O72" s="36"/>
      <c r="P72" s="37"/>
    </row>
    <row r="73" spans="2:18">
      <c r="C73" s="54">
        <v>3</v>
      </c>
      <c r="D73" s="35" t="s">
        <v>58</v>
      </c>
      <c r="E73" s="36"/>
      <c r="F73" s="37"/>
      <c r="J73" s="70"/>
      <c r="M73" s="54">
        <v>3</v>
      </c>
      <c r="N73" s="35" t="s">
        <v>58</v>
      </c>
      <c r="O73" s="36"/>
      <c r="P73" s="37"/>
    </row>
    <row r="74" spans="2:18">
      <c r="C74" s="54">
        <v>4</v>
      </c>
      <c r="D74" s="35" t="s">
        <v>58</v>
      </c>
      <c r="E74" s="36"/>
      <c r="F74" s="37"/>
      <c r="J74" s="70"/>
      <c r="M74" s="54">
        <v>4</v>
      </c>
      <c r="N74" s="35" t="s">
        <v>58</v>
      </c>
      <c r="O74" s="36"/>
      <c r="P74" s="37"/>
    </row>
    <row r="75" spans="2:18">
      <c r="J75" s="70"/>
    </row>
    <row r="76" spans="2:18">
      <c r="B76" s="1" t="s">
        <v>160</v>
      </c>
      <c r="J76" s="70"/>
      <c r="L76" s="1" t="s">
        <v>160</v>
      </c>
    </row>
    <row r="77" spans="2:18">
      <c r="C77" s="41" t="s">
        <v>25</v>
      </c>
      <c r="D77" s="41" t="s">
        <v>31</v>
      </c>
      <c r="E77" s="8" t="s">
        <v>123</v>
      </c>
      <c r="F77" s="8" t="s">
        <v>124</v>
      </c>
      <c r="J77" s="70"/>
      <c r="M77" s="49" t="s">
        <v>25</v>
      </c>
      <c r="N77" s="49" t="s">
        <v>31</v>
      </c>
      <c r="O77" s="8" t="s">
        <v>123</v>
      </c>
      <c r="P77" s="8" t="s">
        <v>124</v>
      </c>
    </row>
    <row r="78" spans="2:18">
      <c r="C78" s="287">
        <v>1</v>
      </c>
      <c r="D78" s="288" t="s">
        <v>107</v>
      </c>
      <c r="E78" s="28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Chuong","chuong.nguyen-minh"),Merged_COEM!$C$42:$M$55,10,0)</f>
        <v>0</v>
      </c>
      <c r="F78" s="287">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Chuong","chuong.nguyen-minh"),Merged_COEM!$C$42:$M$55,11,0)</f>
        <v>0</v>
      </c>
      <c r="J78" s="70"/>
      <c r="M78" s="287">
        <v>1</v>
      </c>
      <c r="N78" s="288" t="s">
        <v>107</v>
      </c>
      <c r="O78" s="28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Chuong","chuong.nguyen-minh"),Merged_JOEM!$C$42:$M$55,10,0)</f>
        <v>0</v>
      </c>
      <c r="P78" s="287">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Chuong","chuong.nguyen-minh"),Merged_JOEM!$C$42:$M$55,11,0)</f>
        <v>0</v>
      </c>
    </row>
    <row r="79" spans="2:18">
      <c r="C79" s="54">
        <v>2</v>
      </c>
      <c r="D79" s="27" t="s">
        <v>108</v>
      </c>
      <c r="E79" s="53">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Chuong","chuong.nguyen-minh"),Merged_COEM!$C$42:$M$55,10,0)</f>
        <v>0</v>
      </c>
      <c r="F79" s="54">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Chuong","chuong.nguyen-minh"),Merged_COEM!$C$42:$M$55,11,0)</f>
        <v>0</v>
      </c>
      <c r="J79" s="70"/>
      <c r="M79" s="54">
        <v>2</v>
      </c>
      <c r="N79" s="27" t="s">
        <v>108</v>
      </c>
      <c r="O79" s="53">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Chuong","chuong.nguyen-minh"),Merged_JOEM!$C$42:$M$55,10,0)</f>
        <v>2</v>
      </c>
      <c r="P79" s="54">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Chuong","chuong.nguyen-minh"),Merged_JOEM!$C$42:$M$55,11,0)</f>
        <v>1</v>
      </c>
    </row>
    <row r="80" spans="2:18">
      <c r="C80" s="54">
        <v>3</v>
      </c>
      <c r="D80" s="27" t="s">
        <v>109</v>
      </c>
      <c r="E80" s="53">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Chuong","chuong.nguyen-minh"),Merged_COEM!$C$42:$M$55,10,0)</f>
        <v>0</v>
      </c>
      <c r="F80" s="54">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Chuong","chuong.nguyen-minh"),Merged_COEM!$C$42:$M$55,11,0)</f>
        <v>0</v>
      </c>
      <c r="J80" s="70"/>
      <c r="M80" s="54">
        <v>3</v>
      </c>
      <c r="N80" s="27" t="s">
        <v>109</v>
      </c>
      <c r="O80" s="53">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Chuong","chuong.nguyen-minh"),Merged_JOEM!$C$42:$M$55,10,0)</f>
        <v>0</v>
      </c>
      <c r="P80" s="54">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Chuong","chuong.nguyen-minh"),Merged_JOEM!$C$42:$M$55,11,0)</f>
        <v>0</v>
      </c>
    </row>
    <row r="81" spans="2:16">
      <c r="C81" s="54">
        <v>4</v>
      </c>
      <c r="D81" s="27" t="s">
        <v>110</v>
      </c>
      <c r="E81" s="53">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Chuong","chuong.nguyen-minh"),Merged_COEM!$C$42:$M$55,10,0)</f>
        <v>0</v>
      </c>
      <c r="F81" s="54">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Chuong","chuong.nguyen-minh"),Merged_COEM!$C$42:$M$55,11,0)</f>
        <v>0</v>
      </c>
      <c r="J81" s="70"/>
      <c r="M81" s="54">
        <v>4</v>
      </c>
      <c r="N81" s="27" t="s">
        <v>110</v>
      </c>
      <c r="O81" s="53">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Chuong","chuong.nguyen-minh"),Merged_JOEM!$C$42:$M$55,10,0)</f>
        <v>0</v>
      </c>
      <c r="P81" s="54">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Chuong","chuong.nguyen-minh"),Merged_JOEM!$C$42:$M$55,11,0)</f>
        <v>0</v>
      </c>
    </row>
    <row r="82" spans="2:16">
      <c r="C82" s="54">
        <v>5</v>
      </c>
      <c r="D82" s="27" t="s">
        <v>150</v>
      </c>
      <c r="E82" s="5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Chuong","chuong.nguyen-minh"),Merged_COEM!$C$42:$M$55,10,0)</f>
        <v>7</v>
      </c>
      <c r="F82" s="54">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Chuong","chuong.nguyen-minh"),Merged_COEM!$C$42:$M$55,11,0)</f>
        <v>1</v>
      </c>
      <c r="J82" s="70"/>
      <c r="M82" s="54">
        <v>5</v>
      </c>
      <c r="N82" s="27" t="s">
        <v>150</v>
      </c>
      <c r="O82" s="5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Chuong","chuong.nguyen-minh"),Merged_JOEM!$C$42:$M$55,10,0)</f>
        <v>0</v>
      </c>
      <c r="P82" s="54">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Chuong","chuong.nguyen-minh"),Merged_JOEM!$C$42:$M$55,11,0)</f>
        <v>0</v>
      </c>
    </row>
    <row r="83" spans="2:16">
      <c r="C83" s="54">
        <v>6</v>
      </c>
      <c r="D83" s="27" t="s">
        <v>151</v>
      </c>
      <c r="E83" s="53">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Chuong","chuong.nguyen-minh"),Merged_COEM!$C$42:$M$55,10,0)</f>
        <v>8</v>
      </c>
      <c r="F83" s="5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Chuong","chuong.nguyen-minh"),Merged_COEM!$C$42:$M$55,11,0)</f>
        <v>1</v>
      </c>
      <c r="J83" s="70"/>
      <c r="M83" s="54">
        <v>6</v>
      </c>
      <c r="N83" s="27" t="s">
        <v>151</v>
      </c>
      <c r="O83" s="53">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Chuong","chuong.nguyen-minh"),Merged_JOEM!$C$42:$M$55,10,0)</f>
        <v>0</v>
      </c>
      <c r="P83" s="5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Chuong","chuong.nguyen-minh"),Merged_JOEM!$C$42:$M$55,11,0)</f>
        <v>0</v>
      </c>
    </row>
    <row r="84" spans="2:16">
      <c r="C84" s="54">
        <v>7</v>
      </c>
      <c r="D84" s="27" t="s">
        <v>152</v>
      </c>
      <c r="E84" s="53">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Chuong","chuong.nguyen-minh"),Merged_COEM!$C$42:$M$55,10,0)</f>
        <v>5</v>
      </c>
      <c r="F84" s="54">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Chuong","chuong.nguyen-minh"),Merged_COEM!$C$42:$M$55,11,0)</f>
        <v>1</v>
      </c>
      <c r="J84" s="70"/>
      <c r="M84" s="54">
        <v>7</v>
      </c>
      <c r="N84" s="27" t="s">
        <v>152</v>
      </c>
      <c r="O84" s="53">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Chuong","chuong.nguyen-minh"),Merged_JOEM!$C$42:$M$55,10,0)</f>
        <v>0</v>
      </c>
      <c r="P84" s="54">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Chuong","chuong.nguyen-minh"),Merged_JOEM!$C$42:$M$55,11,0)</f>
        <v>0</v>
      </c>
    </row>
    <row r="85" spans="2:16">
      <c r="C85" s="54">
        <v>8</v>
      </c>
      <c r="D85" s="27" t="s">
        <v>153</v>
      </c>
      <c r="E85" s="53">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Chuong","chuong.nguyen-minh"),Merged_COEM!$C$42:$M$55,10,0)</f>
        <v>1</v>
      </c>
      <c r="F85" s="54">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Chuong","chuong.nguyen-minh"),Merged_COEM!$C$42:$M$55,11,0)</f>
        <v>0</v>
      </c>
      <c r="J85" s="70"/>
      <c r="M85" s="54">
        <v>8</v>
      </c>
      <c r="N85" s="27" t="s">
        <v>153</v>
      </c>
      <c r="O85" s="53">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Chuong","chuong.nguyen-minh"),Merged_JOEM!$C$42:$M$55,10,0)</f>
        <v>2</v>
      </c>
      <c r="P85" s="54">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Chuong","chuong.nguyen-minh"),Merged_JOEM!$C$42:$M$55,11,0)</f>
        <v>0</v>
      </c>
    </row>
    <row r="86" spans="2:16">
      <c r="C86" s="54">
        <v>9</v>
      </c>
      <c r="D86" s="27" t="s">
        <v>143</v>
      </c>
      <c r="E86" s="5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Chuong","chuong.nguyen-minh"),Merged_COEM!$C$42:$M$55,10,0)</f>
        <v>0</v>
      </c>
      <c r="F86" s="54">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Chuong","chuong.nguyen-minh"),Merged_COEM!$C$42:$M$55,11,0)</f>
        <v>0</v>
      </c>
      <c r="J86" s="70"/>
      <c r="M86" s="54">
        <v>9</v>
      </c>
      <c r="N86" s="27" t="s">
        <v>143</v>
      </c>
      <c r="O86" s="5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Chuong","chuong.nguyen-minh"),Merged_JOEM!$C$42:$M$55,10,0)</f>
        <v>0</v>
      </c>
      <c r="P86" s="54">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Chuong","chuong.nguyen-minh"),Merged_JOEM!$C$42:$M$55,11,0)</f>
        <v>0</v>
      </c>
    </row>
    <row r="87" spans="2:16">
      <c r="C87" s="54">
        <v>10</v>
      </c>
      <c r="D87" s="27" t="s">
        <v>142</v>
      </c>
      <c r="E87" s="53">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Chuong","chuong.nguyen-minh"),Merged_COEM!$C$42:$M$55,10,0)</f>
        <v>0</v>
      </c>
      <c r="F87" s="5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Chuong","chuong.nguyen-minh"),Merged_COEM!$C$42:$M$55,11,0)</f>
        <v>0</v>
      </c>
      <c r="J87" s="70"/>
      <c r="M87" s="54">
        <v>10</v>
      </c>
      <c r="N87" s="27" t="s">
        <v>142</v>
      </c>
      <c r="O87" s="53">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Chuong","chuong.nguyen-minh"),Merged_JOEM!$C$42:$M$55,10,0)</f>
        <v>0</v>
      </c>
      <c r="P87" s="5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Chuong","chuong.nguyen-minh"),Merged_JOEM!$C$42:$M$55,11,0)</f>
        <v>0</v>
      </c>
    </row>
    <row r="88" spans="2:16">
      <c r="C88" s="54">
        <v>11</v>
      </c>
      <c r="D88" s="27" t="s">
        <v>172</v>
      </c>
      <c r="E88" s="53">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Chuong","chuong.nguyen-minh"),Merged_COEM!$C$42:$M$55,10,0)</f>
        <v>0</v>
      </c>
      <c r="F88" s="54">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Chuong","chuong.nguyen-minh"),Merged_COEM!$C$42:$M$55,11,0)</f>
        <v>0</v>
      </c>
      <c r="J88" s="70"/>
      <c r="M88" s="54">
        <v>11</v>
      </c>
      <c r="N88" s="27" t="s">
        <v>172</v>
      </c>
      <c r="O88" s="53">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Chuong","chuong.nguyen-minh"),Merged_JOEM!$C$42:$M$55,10,0)</f>
        <v>0</v>
      </c>
      <c r="P88" s="54">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Chuong","chuong.nguyen-minh"),Merged_JOEM!$C$42:$M$55,11,0)</f>
        <v>0</v>
      </c>
    </row>
    <row r="89" spans="2:16">
      <c r="C89" s="54">
        <v>12</v>
      </c>
      <c r="D89" s="27" t="s">
        <v>166</v>
      </c>
      <c r="E89" s="53">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Chuong","chuong.nguyen-minh"),Merged_COEM!$C$42:$M$55,10,0)</f>
        <v>7</v>
      </c>
      <c r="F89" s="54">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Chuong","chuong.nguyen-minh"),Merged_COEM!$C$42:$M$55,11,0)</f>
        <v>1</v>
      </c>
      <c r="J89" s="70"/>
      <c r="M89" s="54">
        <v>12</v>
      </c>
      <c r="N89" s="27" t="s">
        <v>166</v>
      </c>
      <c r="O89" s="53">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Chuong","chuong.nguyen-minh"),Merged_JOEM!$C$42:$M$55,10,0)</f>
        <v>0</v>
      </c>
      <c r="P89" s="54">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Chuong","chuong.nguyen-minh"),Merged_JOEM!$C$42:$M$55,11,0)</f>
        <v>0</v>
      </c>
    </row>
    <row r="90" spans="2:16">
      <c r="C90" s="54">
        <v>13</v>
      </c>
      <c r="D90" s="27" t="s">
        <v>164</v>
      </c>
      <c r="E90" s="53">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Chuong","chuong.nguyen-minh"),Merged_COEM!$C$42:$M$55,10,0)</f>
        <v>7</v>
      </c>
      <c r="F90" s="54">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Chuong","chuong.nguyen-minh"),Merged_COEM!$C$42:$M$55,11,0)</f>
        <v>0</v>
      </c>
      <c r="J90" s="70"/>
      <c r="M90" s="54">
        <v>13</v>
      </c>
      <c r="N90" s="27" t="s">
        <v>164</v>
      </c>
      <c r="O90" s="53">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Chuong","chuong.nguyen-minh"),Merged_JOEM!$C$42:$M$55,10,0)</f>
        <v>0</v>
      </c>
      <c r="P90" s="54">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Chuong","chuong.nguyen-minh"),Merged_JOEM!$C$42:$M$55,11,0)</f>
        <v>0</v>
      </c>
    </row>
    <row r="91" spans="2:16">
      <c r="C91" s="54">
        <v>14</v>
      </c>
      <c r="D91" s="27" t="s">
        <v>165</v>
      </c>
      <c r="E91" s="53">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Chuong","chuong.nguyen-minh"),Merged_COEM!$C$42:$M$55,10,0)</f>
        <v>5</v>
      </c>
      <c r="F91" s="54">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Chuong","chuong.nguyen-minh"),Merged_COEM!$C$42:$M$55,11,0)</f>
        <v>0</v>
      </c>
      <c r="J91" s="70"/>
      <c r="M91" s="54">
        <v>14</v>
      </c>
      <c r="N91" s="27" t="s">
        <v>165</v>
      </c>
      <c r="O91" s="53">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Chuong","chuong.nguyen-minh"),Merged_JOEM!$C$42:$M$55,10,0)</f>
        <v>0</v>
      </c>
      <c r="P91" s="54">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Duong","duong.nguyen-tuan"),
"Do Phu Loc","loc.do-phu"),
"Nguyen Kim Thanh","thanh.nguyen-kim"),
"Ly Chung","chung.ly"),
"Do Anh Huy","huy.do-anh"),
"Nguyen Thanh Phuong","phuong.nguyen-thanh"),
"Phan The Nam","nam.phan-the"),
"Duong Chi Khang","khang.duong-chi"),
"Nguyen Tran Hoang Huy","huy.nguyen-hoang"),
"Nguyen Minh Chuong","chuong.nguyen-minh"),Merged_JOEM!$C$42:$M$55,11,0)</f>
        <v>0</v>
      </c>
    </row>
    <row r="92" spans="2:16">
      <c r="C92" s="29"/>
      <c r="D92" s="28"/>
      <c r="E92" s="55"/>
      <c r="F92" s="29"/>
      <c r="J92" s="70"/>
      <c r="M92" s="29"/>
      <c r="N92" s="28"/>
      <c r="O92" s="55"/>
      <c r="P92" s="29"/>
    </row>
    <row r="93" spans="2:16">
      <c r="B93" s="1" t="s">
        <v>161</v>
      </c>
      <c r="J93" s="70"/>
      <c r="L93" s="1" t="s">
        <v>161</v>
      </c>
    </row>
    <row r="94" spans="2:16">
      <c r="C94" s="41" t="s">
        <v>25</v>
      </c>
      <c r="D94" s="41" t="s">
        <v>31</v>
      </c>
      <c r="E94" s="8" t="s">
        <v>36</v>
      </c>
      <c r="F94" s="8" t="s">
        <v>37</v>
      </c>
      <c r="J94" s="70"/>
      <c r="M94" s="49" t="s">
        <v>25</v>
      </c>
      <c r="N94" s="49" t="s">
        <v>31</v>
      </c>
      <c r="O94" s="8" t="s">
        <v>36</v>
      </c>
      <c r="P94" s="8" t="s">
        <v>37</v>
      </c>
    </row>
    <row r="95" spans="2:16">
      <c r="C95" s="287">
        <v>1</v>
      </c>
      <c r="D95" s="288" t="s">
        <v>107</v>
      </c>
      <c r="E95" s="289" t="s">
        <v>58</v>
      </c>
      <c r="F95" s="302" t="s">
        <v>58</v>
      </c>
      <c r="J95" s="70"/>
      <c r="M95" s="287">
        <v>1</v>
      </c>
      <c r="N95" s="288" t="s">
        <v>107</v>
      </c>
      <c r="O95" s="289" t="s">
        <v>58</v>
      </c>
      <c r="P95" s="289" t="s">
        <v>58</v>
      </c>
    </row>
    <row r="96" spans="2:16">
      <c r="C96" s="54">
        <v>2</v>
      </c>
      <c r="D96" s="27" t="s">
        <v>108</v>
      </c>
      <c r="E96" s="42" t="s">
        <v>58</v>
      </c>
      <c r="F96" s="90" t="s">
        <v>58</v>
      </c>
      <c r="J96" s="70"/>
      <c r="M96" s="54">
        <v>2</v>
      </c>
      <c r="N96" s="27" t="s">
        <v>108</v>
      </c>
      <c r="O96" s="53" t="s">
        <v>58</v>
      </c>
      <c r="P96" s="53" t="s">
        <v>58</v>
      </c>
    </row>
    <row r="97" spans="2:16">
      <c r="C97" s="54">
        <v>3</v>
      </c>
      <c r="D97" s="27" t="s">
        <v>109</v>
      </c>
      <c r="E97" s="42" t="s">
        <v>58</v>
      </c>
      <c r="F97" s="90" t="s">
        <v>58</v>
      </c>
      <c r="J97" s="70"/>
      <c r="M97" s="54">
        <v>3</v>
      </c>
      <c r="N97" s="27" t="s">
        <v>109</v>
      </c>
      <c r="O97" s="53" t="s">
        <v>58</v>
      </c>
      <c r="P97" s="53" t="s">
        <v>58</v>
      </c>
    </row>
    <row r="98" spans="2:16">
      <c r="C98" s="54">
        <v>4</v>
      </c>
      <c r="D98" s="27" t="s">
        <v>110</v>
      </c>
      <c r="E98" s="42" t="s">
        <v>58</v>
      </c>
      <c r="F98" s="90" t="s">
        <v>58</v>
      </c>
      <c r="J98" s="70"/>
      <c r="M98" s="54">
        <v>4</v>
      </c>
      <c r="N98" s="27" t="s">
        <v>110</v>
      </c>
      <c r="O98" s="53" t="s">
        <v>58</v>
      </c>
      <c r="P98" s="53" t="s">
        <v>58</v>
      </c>
    </row>
    <row r="99" spans="2:16">
      <c r="C99" s="54">
        <v>5</v>
      </c>
      <c r="D99" s="27" t="s">
        <v>150</v>
      </c>
      <c r="E99" s="53" t="s">
        <v>58</v>
      </c>
      <c r="F99" s="90" t="s">
        <v>58</v>
      </c>
      <c r="J99" s="70"/>
      <c r="M99" s="54">
        <v>5</v>
      </c>
      <c r="N99" s="27" t="s">
        <v>150</v>
      </c>
      <c r="O99" s="53" t="s">
        <v>58</v>
      </c>
      <c r="P99" s="53" t="s">
        <v>58</v>
      </c>
    </row>
    <row r="100" spans="2:16">
      <c r="C100" s="54">
        <v>6</v>
      </c>
      <c r="D100" s="27" t="s">
        <v>151</v>
      </c>
      <c r="E100" s="53" t="s">
        <v>58</v>
      </c>
      <c r="F100" s="90" t="s">
        <v>58</v>
      </c>
      <c r="J100" s="70"/>
      <c r="M100" s="54">
        <v>6</v>
      </c>
      <c r="N100" s="27" t="s">
        <v>151</v>
      </c>
      <c r="O100" s="53" t="s">
        <v>58</v>
      </c>
      <c r="P100" s="53" t="s">
        <v>58</v>
      </c>
    </row>
    <row r="101" spans="2:16">
      <c r="C101" s="54">
        <v>7</v>
      </c>
      <c r="D101" s="27" t="s">
        <v>152</v>
      </c>
      <c r="E101" s="53" t="s">
        <v>58</v>
      </c>
      <c r="F101" s="90" t="s">
        <v>58</v>
      </c>
      <c r="J101" s="70"/>
      <c r="M101" s="54">
        <v>7</v>
      </c>
      <c r="N101" s="27" t="s">
        <v>152</v>
      </c>
      <c r="O101" s="53" t="s">
        <v>58</v>
      </c>
      <c r="P101" s="53" t="s">
        <v>58</v>
      </c>
    </row>
    <row r="102" spans="2:16">
      <c r="C102" s="54">
        <v>8</v>
      </c>
      <c r="D102" s="27" t="s">
        <v>153</v>
      </c>
      <c r="E102" s="53" t="s">
        <v>58</v>
      </c>
      <c r="F102" s="90" t="s">
        <v>58</v>
      </c>
      <c r="J102" s="70"/>
      <c r="M102" s="54">
        <v>8</v>
      </c>
      <c r="N102" s="27" t="s">
        <v>153</v>
      </c>
      <c r="O102" s="53" t="s">
        <v>58</v>
      </c>
      <c r="P102" s="53" t="s">
        <v>58</v>
      </c>
    </row>
    <row r="103" spans="2:16">
      <c r="C103" s="54">
        <v>9</v>
      </c>
      <c r="D103" s="27" t="s">
        <v>143</v>
      </c>
      <c r="E103" s="53" t="s">
        <v>58</v>
      </c>
      <c r="F103" s="90" t="s">
        <v>58</v>
      </c>
      <c r="J103" s="70"/>
      <c r="M103" s="54">
        <v>9</v>
      </c>
      <c r="N103" s="27" t="s">
        <v>143</v>
      </c>
      <c r="O103" s="53" t="s">
        <v>58</v>
      </c>
      <c r="P103" s="53" t="s">
        <v>58</v>
      </c>
    </row>
    <row r="104" spans="2:16">
      <c r="C104" s="54">
        <v>10</v>
      </c>
      <c r="D104" s="27" t="s">
        <v>142</v>
      </c>
      <c r="E104" s="53" t="s">
        <v>58</v>
      </c>
      <c r="F104" s="90" t="s">
        <v>58</v>
      </c>
      <c r="J104" s="70"/>
      <c r="M104" s="54">
        <v>10</v>
      </c>
      <c r="N104" s="27" t="s">
        <v>142</v>
      </c>
      <c r="O104" s="53" t="s">
        <v>58</v>
      </c>
      <c r="P104" s="53" t="s">
        <v>58</v>
      </c>
    </row>
    <row r="105" spans="2:16">
      <c r="C105" s="54">
        <v>11</v>
      </c>
      <c r="D105" s="27" t="s">
        <v>172</v>
      </c>
      <c r="E105" s="53" t="s">
        <v>58</v>
      </c>
      <c r="F105" s="90" t="s">
        <v>58</v>
      </c>
      <c r="J105" s="70"/>
      <c r="M105" s="54">
        <v>11</v>
      </c>
      <c r="N105" s="27" t="s">
        <v>172</v>
      </c>
      <c r="O105" s="53" t="s">
        <v>58</v>
      </c>
      <c r="P105" s="53" t="s">
        <v>58</v>
      </c>
    </row>
    <row r="106" spans="2:16">
      <c r="C106" s="54">
        <v>12</v>
      </c>
      <c r="D106" s="27" t="s">
        <v>166</v>
      </c>
      <c r="E106" s="53" t="s">
        <v>58</v>
      </c>
      <c r="F106" s="90" t="s">
        <v>58</v>
      </c>
      <c r="J106" s="70"/>
      <c r="M106" s="54">
        <v>12</v>
      </c>
      <c r="N106" s="27" t="s">
        <v>166</v>
      </c>
      <c r="O106" s="53" t="s">
        <v>58</v>
      </c>
      <c r="P106" s="53" t="s">
        <v>58</v>
      </c>
    </row>
    <row r="107" spans="2:16">
      <c r="C107" s="54">
        <v>13</v>
      </c>
      <c r="D107" s="27" t="s">
        <v>164</v>
      </c>
      <c r="E107" s="53" t="s">
        <v>58</v>
      </c>
      <c r="F107" s="90" t="s">
        <v>58</v>
      </c>
      <c r="J107" s="70"/>
      <c r="M107" s="54">
        <v>13</v>
      </c>
      <c r="N107" s="27" t="s">
        <v>164</v>
      </c>
      <c r="O107" s="53" t="s">
        <v>58</v>
      </c>
      <c r="P107" s="53" t="s">
        <v>58</v>
      </c>
    </row>
    <row r="108" spans="2:16">
      <c r="C108" s="54">
        <v>14</v>
      </c>
      <c r="D108" s="27" t="s">
        <v>165</v>
      </c>
      <c r="E108" s="53" t="s">
        <v>58</v>
      </c>
      <c r="F108" s="90" t="s">
        <v>58</v>
      </c>
      <c r="J108" s="70"/>
      <c r="M108" s="54">
        <v>14</v>
      </c>
      <c r="N108" s="27" t="s">
        <v>165</v>
      </c>
      <c r="O108" s="53" t="s">
        <v>58</v>
      </c>
      <c r="P108" s="53" t="s">
        <v>58</v>
      </c>
    </row>
    <row r="109" spans="2:16">
      <c r="C109" s="29"/>
      <c r="D109" s="28"/>
      <c r="E109" s="55"/>
      <c r="F109" s="55"/>
      <c r="J109" s="70"/>
      <c r="M109" s="29"/>
      <c r="N109" s="28"/>
      <c r="O109" s="55"/>
      <c r="P109" s="55"/>
    </row>
    <row r="110" spans="2:16">
      <c r="C110" s="29"/>
      <c r="D110" s="28"/>
      <c r="E110" s="55"/>
      <c r="F110" s="55"/>
      <c r="J110" s="70"/>
      <c r="M110" s="29"/>
      <c r="N110" s="28"/>
      <c r="O110" s="55"/>
      <c r="P110" s="55"/>
    </row>
    <row r="111" spans="2:16">
      <c r="B111" s="1" t="s">
        <v>39</v>
      </c>
      <c r="J111" s="70"/>
      <c r="L111" s="1" t="s">
        <v>39</v>
      </c>
    </row>
    <row r="112" spans="2:16">
      <c r="C112" s="1" t="s">
        <v>41</v>
      </c>
      <c r="J112" s="70"/>
      <c r="M112" s="1" t="s">
        <v>41</v>
      </c>
    </row>
    <row r="113" spans="2:14">
      <c r="D113" t="s">
        <v>40</v>
      </c>
      <c r="J113" s="70"/>
      <c r="N113" t="s">
        <v>40</v>
      </c>
    </row>
    <row r="114" spans="2:14">
      <c r="D114" t="s">
        <v>90</v>
      </c>
      <c r="J114" s="70"/>
      <c r="N114" t="s">
        <v>90</v>
      </c>
    </row>
    <row r="115" spans="2:14">
      <c r="C115" s="1" t="s">
        <v>147</v>
      </c>
      <c r="J115" s="70"/>
      <c r="M115" s="1" t="s">
        <v>147</v>
      </c>
    </row>
    <row r="116" spans="2:14">
      <c r="D116" t="s">
        <v>148</v>
      </c>
      <c r="J116" s="70"/>
      <c r="N116" t="s">
        <v>148</v>
      </c>
    </row>
    <row r="117" spans="2:14">
      <c r="D117" t="s">
        <v>149</v>
      </c>
      <c r="J117" s="70"/>
      <c r="N117" t="s">
        <v>149</v>
      </c>
    </row>
    <row r="118" spans="2:14">
      <c r="J118" s="70"/>
    </row>
    <row r="119" spans="2:14">
      <c r="J119" s="70"/>
    </row>
    <row r="120" spans="2:14">
      <c r="B120" t="s">
        <v>154</v>
      </c>
      <c r="C120" t="s">
        <v>146</v>
      </c>
      <c r="J120" s="70"/>
      <c r="K120" t="s">
        <v>145</v>
      </c>
    </row>
    <row r="121" spans="2:14">
      <c r="D121" s="27" t="s">
        <v>107</v>
      </c>
      <c r="J121" s="70"/>
      <c r="L121" s="96" t="s">
        <v>108</v>
      </c>
    </row>
    <row r="122" spans="2:14">
      <c r="D122" s="27" t="s">
        <v>150</v>
      </c>
      <c r="J122" s="70"/>
      <c r="L122" s="27" t="s">
        <v>109</v>
      </c>
    </row>
    <row r="123" spans="2:14">
      <c r="D123" s="27" t="s">
        <v>151</v>
      </c>
      <c r="J123" s="70"/>
      <c r="L123" s="27" t="s">
        <v>110</v>
      </c>
      <c r="M123" s="33"/>
    </row>
    <row r="124" spans="2:14">
      <c r="D124" s="27" t="s">
        <v>152</v>
      </c>
      <c r="J124" s="70"/>
      <c r="L124" s="27" t="s">
        <v>143</v>
      </c>
    </row>
    <row r="125" spans="2:14">
      <c r="D125" s="27" t="s">
        <v>153</v>
      </c>
      <c r="J125" s="70"/>
      <c r="L125" s="27" t="s">
        <v>172</v>
      </c>
    </row>
    <row r="126" spans="2:14">
      <c r="D126" s="27" t="s">
        <v>142</v>
      </c>
      <c r="J126" s="70"/>
      <c r="L126" s="114" t="s">
        <v>150</v>
      </c>
    </row>
    <row r="127" spans="2:14">
      <c r="D127" s="27" t="s">
        <v>166</v>
      </c>
      <c r="J127" s="70"/>
      <c r="L127" s="114" t="s">
        <v>142</v>
      </c>
    </row>
    <row r="128" spans="2:14">
      <c r="D128" s="27" t="s">
        <v>164</v>
      </c>
      <c r="J128" s="70"/>
    </row>
    <row r="129" spans="4:10">
      <c r="D129" s="27" t="s">
        <v>165</v>
      </c>
      <c r="J129" s="70"/>
    </row>
    <row r="130" spans="4:10">
      <c r="D130" s="28"/>
      <c r="J130" s="70"/>
    </row>
    <row r="131" spans="4:10">
      <c r="D131" s="28"/>
      <c r="E131" s="108" t="s">
        <v>146</v>
      </c>
      <c r="G131" s="107" t="s">
        <v>145</v>
      </c>
    </row>
    <row r="132" spans="4:10">
      <c r="D132" s="221" t="s">
        <v>107</v>
      </c>
      <c r="E132" s="222"/>
      <c r="F132" s="222"/>
      <c r="G132" s="221"/>
    </row>
    <row r="133" spans="4:10">
      <c r="D133" s="310" t="s">
        <v>108</v>
      </c>
      <c r="E133" t="s">
        <v>140</v>
      </c>
      <c r="G133" s="106">
        <v>44059</v>
      </c>
      <c r="H133" t="s">
        <v>173</v>
      </c>
    </row>
    <row r="134" spans="4:10">
      <c r="D134" t="s">
        <v>109</v>
      </c>
      <c r="E134" t="s">
        <v>140</v>
      </c>
      <c r="G134" s="106">
        <v>44059</v>
      </c>
      <c r="H134" s="106">
        <v>44074</v>
      </c>
    </row>
    <row r="135" spans="4:10">
      <c r="D135" s="310" t="s">
        <v>110</v>
      </c>
      <c r="E135" t="s">
        <v>140</v>
      </c>
      <c r="G135" s="106">
        <v>44059</v>
      </c>
      <c r="H135" t="s">
        <v>173</v>
      </c>
    </row>
    <row r="136" spans="4:10">
      <c r="D136" s="317" t="s">
        <v>150</v>
      </c>
      <c r="E136" s="241">
        <v>44059</v>
      </c>
      <c r="F136" s="242" t="s">
        <v>173</v>
      </c>
      <c r="G136" s="106">
        <v>44059</v>
      </c>
      <c r="H136" t="s">
        <v>173</v>
      </c>
    </row>
    <row r="137" spans="4:10">
      <c r="D137" s="317" t="s">
        <v>151</v>
      </c>
      <c r="E137" s="106">
        <v>44059</v>
      </c>
      <c r="F137" t="s">
        <v>173</v>
      </c>
      <c r="G137" t="s">
        <v>140</v>
      </c>
    </row>
    <row r="138" spans="4:10">
      <c r="D138" t="s">
        <v>152</v>
      </c>
      <c r="E138" s="106">
        <v>44059</v>
      </c>
      <c r="F138" s="106">
        <v>44074</v>
      </c>
      <c r="G138" t="s">
        <v>140</v>
      </c>
    </row>
    <row r="139" spans="4:10">
      <c r="D139" s="310" t="s">
        <v>153</v>
      </c>
      <c r="E139" t="s">
        <v>140</v>
      </c>
      <c r="G139" s="106">
        <v>44059</v>
      </c>
      <c r="H139" t="s">
        <v>173</v>
      </c>
    </row>
    <row r="140" spans="4:10">
      <c r="D140" s="310" t="s">
        <v>143</v>
      </c>
      <c r="E140" t="s">
        <v>140</v>
      </c>
      <c r="G140" s="106">
        <v>44059</v>
      </c>
      <c r="H140" t="s">
        <v>173</v>
      </c>
    </row>
    <row r="141" spans="4:10">
      <c r="D141" s="310" t="s">
        <v>142</v>
      </c>
      <c r="E141" t="s">
        <v>140</v>
      </c>
      <c r="F141" s="106"/>
      <c r="G141" s="106">
        <v>44059</v>
      </c>
      <c r="H141" t="s">
        <v>173</v>
      </c>
    </row>
    <row r="142" spans="4:10">
      <c r="D142" s="310" t="s">
        <v>172</v>
      </c>
      <c r="E142" t="s">
        <v>140</v>
      </c>
      <c r="G142" s="106">
        <v>44059</v>
      </c>
      <c r="H142" t="s">
        <v>173</v>
      </c>
    </row>
    <row r="143" spans="4:10">
      <c r="D143" s="317" t="s">
        <v>166</v>
      </c>
      <c r="E143" s="106">
        <v>44059</v>
      </c>
      <c r="F143" t="s">
        <v>173</v>
      </c>
      <c r="G143" t="s">
        <v>140</v>
      </c>
    </row>
    <row r="144" spans="4:10">
      <c r="D144" s="317" t="s">
        <v>164</v>
      </c>
      <c r="E144" s="106">
        <v>44059</v>
      </c>
      <c r="F144" t="s">
        <v>173</v>
      </c>
      <c r="G144" t="s">
        <v>140</v>
      </c>
    </row>
    <row r="145" spans="2:7">
      <c r="D145" s="317" t="s">
        <v>165</v>
      </c>
      <c r="E145" s="106">
        <v>44059</v>
      </c>
      <c r="F145" t="s">
        <v>173</v>
      </c>
      <c r="G145" t="s">
        <v>140</v>
      </c>
    </row>
    <row r="147" spans="2:7">
      <c r="B147" t="s">
        <v>216</v>
      </c>
    </row>
    <row r="150" spans="2:7">
      <c r="B150" s="33">
        <v>44059</v>
      </c>
      <c r="D150" s="33">
        <v>44074</v>
      </c>
    </row>
    <row r="151" spans="2:7">
      <c r="B151" s="7">
        <f>SUM(INT((WEEKDAY(B150-{2,3,4,5,6}) +D150-B150)/7))</f>
        <v>11</v>
      </c>
    </row>
    <row r="152" spans="2:7">
      <c r="B152" s="307">
        <v>1</v>
      </c>
      <c r="C152" s="308">
        <v>44076</v>
      </c>
    </row>
    <row r="153" spans="2:7">
      <c r="B153">
        <f ca="1">IF(TODAY()&lt;D150,SUM(INT((WEEKDAY(B150-{2,3,4,5,6})+TODAY()-B150)/7)),SUM(INT((WEEKDAY(B150-{2,3,4,5,6})+D150-B150)/7)))-B152</f>
        <v>10</v>
      </c>
    </row>
  </sheetData>
  <customSheetViews>
    <customSheetView guid="{7E0EA425-A420-4443-B9E0-CDF0AA9E5D09}" scale="85">
      <selection activeCell="K29" sqref="K29"/>
      <pageMargins left="0.7" right="0.7" top="0.75" bottom="0.75" header="0.3" footer="0.3"/>
      <pageSetup orientation="portrait" horizontalDpi="300" verticalDpi="0" r:id="rId1"/>
    </customSheetView>
    <customSheetView guid="{3B3E6719-EACB-4D2C-89C1-05FFAB6020FD}" scale="85" topLeftCell="A10">
      <selection activeCell="A148" sqref="A148:XFD148"/>
      <pageMargins left="0.7" right="0.7" top="0.75" bottom="0.75" header="0.3" footer="0.3"/>
      <pageSetup orientation="portrait" horizontalDpi="300" verticalDpi="0" r:id="rId2"/>
    </customSheetView>
    <customSheetView guid="{89C03E1E-B6A8-49A1-B29C-5DC4FAB2FBC6}" scale="85" topLeftCell="A22">
      <selection activeCell="I16" sqref="I16"/>
      <pageMargins left="0.7" right="0.7" top="0.75" bottom="0.75" header="0.3" footer="0.3"/>
      <pageSetup orientation="portrait" horizontalDpi="300" verticalDpi="0" r:id="rId3"/>
    </customSheetView>
    <customSheetView guid="{FECB4C41-27E8-4A22-AFB3-4F54CDD4960E}" scale="85" topLeftCell="D1">
      <selection activeCell="Q14" sqref="Q14"/>
      <pageMargins left="0.7" right="0.7" top="0.75" bottom="0.75" header="0.3" footer="0.3"/>
      <pageSetup orientation="portrait" horizontalDpi="300" verticalDpi="0" r:id="rId4"/>
    </customSheetView>
    <customSheetView guid="{7ECC2B8E-6A82-42F5-8AB0-4A51C54EA5EC}" scale="85">
      <selection activeCell="F25" sqref="F25"/>
      <pageMargins left="0.7" right="0.7" top="0.75" bottom="0.75" header="0.3" footer="0.3"/>
      <pageSetup orientation="portrait" horizontalDpi="300" verticalDpi="0" r:id="rId5"/>
    </customSheetView>
    <customSheetView guid="{99BC1C51-34DC-4BF2-906C-1E31B6171D71}" scale="85" topLeftCell="C1">
      <selection activeCell="Q12" sqref="Q12"/>
      <pageMargins left="0.7" right="0.7" top="0.75" bottom="0.75" header="0.3" footer="0.3"/>
      <pageSetup orientation="portrait" horizontalDpi="300" verticalDpi="0" r:id="rId6"/>
    </customSheetView>
    <customSheetView guid="{A2E8CE38-D15E-4374-89B2-69D9421C4465}" scale="85" showPageBreaks="1">
      <selection activeCell="A69" sqref="A69:XFD69"/>
      <pageMargins left="0.7" right="0.7" top="0.75" bottom="0.75" header="0.3" footer="0.3"/>
      <pageSetup orientation="portrait" horizontalDpi="300" r:id="rId7"/>
    </customSheetView>
    <customSheetView guid="{336B6883-2145-4B58-921E-CEC7185A847E}" scale="85">
      <selection activeCell="A96" sqref="A96:XFD96"/>
      <pageMargins left="0.7" right="0.7" top="0.75" bottom="0.75" header="0.3" footer="0.3"/>
      <pageSetup orientation="portrait" horizontalDpi="300" verticalDpi="0" r:id="rId8"/>
    </customSheetView>
    <customSheetView guid="{60D2C030-4E31-4E07-8E1C-44D2EE84B177}" scale="85" topLeftCell="D1">
      <selection activeCell="T23" sqref="T23"/>
      <pageMargins left="0.7" right="0.7" top="0.75" bottom="0.75" header="0.3" footer="0.3"/>
      <pageSetup orientation="portrait" horizontalDpi="300" verticalDpi="0" r:id="rId9"/>
    </customSheetView>
    <customSheetView guid="{C94451EF-7A3E-4D72-B5A4-3D1B193192CC}" scale="85">
      <selection activeCell="D9" sqref="D9"/>
      <pageMargins left="0.7" right="0.7" top="0.75" bottom="0.75" header="0.3" footer="0.3"/>
      <pageSetup orientation="portrait" horizontalDpi="300" verticalDpi="0" r:id="rId10"/>
    </customSheetView>
    <customSheetView guid="{D33AC7AF-C8AB-4CE9-94C7-9237011A5FC3}" scale="85" topLeftCell="A25">
      <selection activeCell="A8" sqref="A8:XFD8"/>
      <pageMargins left="0.7" right="0.7" top="0.75" bottom="0.75" header="0.3" footer="0.3"/>
      <pageSetup orientation="portrait" horizontalDpi="300" verticalDpi="0" r:id="rId11"/>
    </customSheetView>
    <customSheetView guid="{A2C66332-A809-458E-971B-FDB6D62C74C3}" scale="85" topLeftCell="A34">
      <selection activeCell="K9" sqref="K9"/>
      <pageMargins left="0.7" right="0.7" top="0.75" bottom="0.75" header="0.3" footer="0.3"/>
      <pageSetup orientation="portrait" horizontalDpi="300" verticalDpi="0" r:id="rId12"/>
    </customSheetView>
    <customSheetView guid="{F96FC7D9-4F89-4FE0-8D00-C0083DEB0472}" scale="85">
      <selection activeCell="G8" sqref="G8"/>
      <pageMargins left="0.7" right="0.7" top="0.75" bottom="0.75" header="0.3" footer="0.3"/>
      <pageSetup orientation="portrait" horizontalDpi="300" verticalDpi="0" r:id="rId13"/>
    </customSheetView>
    <customSheetView guid="{970EE037-F5E5-47AF-896A-0F6222879EBC}" scale="85">
      <selection activeCell="K9" sqref="K9"/>
      <pageMargins left="0.7" right="0.7" top="0.75" bottom="0.75" header="0.3" footer="0.3"/>
      <pageSetup orientation="portrait" horizontalDpi="300" r:id="rId14"/>
    </customSheetView>
    <customSheetView guid="{4E06BDBF-2CED-473B-850B-2A6C7311FF41}" scale="85" showPageBreaks="1" topLeftCell="A40">
      <selection activeCell="A96" sqref="A96:XFD96"/>
      <pageMargins left="0.7" right="0.7" top="0.75" bottom="0.75" header="0.3" footer="0.3"/>
      <pageSetup orientation="portrait" horizontalDpi="300" r:id="rId15"/>
    </customSheetView>
  </customSheetViews>
  <conditionalFormatting sqref="H30:H31 H5:H17">
    <cfRule type="cellIs" dxfId="19" priority="33" operator="equal">
      <formula>1</formula>
    </cfRule>
    <cfRule type="cellIs" dxfId="18" priority="34" operator="lessThan">
      <formula>1</formula>
    </cfRule>
  </conditionalFormatting>
  <conditionalFormatting sqref="R30:R31">
    <cfRule type="cellIs" dxfId="17" priority="23" operator="equal">
      <formula>1</formula>
    </cfRule>
    <cfRule type="cellIs" dxfId="16" priority="24" operator="lessThan">
      <formula>1</formula>
    </cfRule>
  </conditionalFormatting>
  <conditionalFormatting sqref="H18">
    <cfRule type="cellIs" dxfId="15" priority="11" operator="equal">
      <formula>1</formula>
    </cfRule>
    <cfRule type="cellIs" dxfId="14" priority="12" operator="lessThan">
      <formula>1</formula>
    </cfRule>
  </conditionalFormatting>
  <conditionalFormatting sqref="H4">
    <cfRule type="cellIs" dxfId="13" priority="15" operator="equal">
      <formula>1</formula>
    </cfRule>
    <cfRule type="cellIs" dxfId="12" priority="16" operator="lessThan">
      <formula>1</formula>
    </cfRule>
  </conditionalFormatting>
  <conditionalFormatting sqref="H19">
    <cfRule type="cellIs" dxfId="11" priority="1" operator="equal">
      <formula>1</formula>
    </cfRule>
    <cfRule type="cellIs" dxfId="10" priority="2" operator="lessThan">
      <formula>1</formula>
    </cfRule>
  </conditionalFormatting>
  <pageMargins left="0.7" right="0.7" top="0.75" bottom="0.75" header="0.3" footer="0.3"/>
  <pageSetup orientation="portrait" horizontalDpi="300" verticalDpi="0" r:id="rId16"/>
  <ignoredErrors>
    <ignoredError sqref="F6 F10" formula="1"/>
  </ignoredErrors>
  <extLst>
    <ext xmlns:x14="http://schemas.microsoft.com/office/spreadsheetml/2009/9/main" uri="{78C0D931-6437-407d-A8EE-F0AAD7539E65}">
      <x14:conditionalFormattings>
        <x14:conditionalFormatting xmlns:xm="http://schemas.microsoft.com/office/excel/2006/main">
          <x14:cfRule type="cellIs" priority="21" operator="greaterThanOrEqual" id="{AB332625-2C78-42D1-BCBA-02B5FD48AA05}">
            <xm:f>Table!$D$4</xm:f>
            <x14:dxf>
              <font>
                <color rgb="FF006100"/>
              </font>
              <fill>
                <patternFill>
                  <bgColor rgb="FFC6EFCE"/>
                </patternFill>
              </fill>
            </x14:dxf>
          </x14:cfRule>
          <x14:cfRule type="cellIs" priority="22" operator="lessThan" id="{1E93C942-BB2F-462A-A99C-2305A078DAA8}">
            <xm:f>Table!$D$4</xm:f>
            <x14:dxf>
              <font>
                <color rgb="FF9C0006"/>
              </font>
              <fill>
                <patternFill>
                  <bgColor rgb="FFFFC7CE"/>
                </patternFill>
              </fill>
            </x14:dxf>
          </x14:cfRule>
          <xm:sqref>G5:G18</xm:sqref>
        </x14:conditionalFormatting>
        <x14:conditionalFormatting xmlns:xm="http://schemas.microsoft.com/office/excel/2006/main">
          <x14:cfRule type="cellIs" priority="19" operator="greaterThanOrEqual" id="{4B346809-FC6E-4052-825C-9EECC10D071B}">
            <xm:f>Table!$D$4</xm:f>
            <x14:dxf>
              <font>
                <color rgb="FF006100"/>
              </font>
              <fill>
                <patternFill>
                  <bgColor rgb="FFC6EFCE"/>
                </patternFill>
              </fill>
            </x14:dxf>
          </x14:cfRule>
          <x14:cfRule type="cellIs" priority="20" operator="lessThan" id="{5CFD224B-CAA0-4685-8DB1-64A0D653A763}">
            <xm:f>Table!$D$4</xm:f>
            <x14:dxf>
              <font>
                <color rgb="FF9C0006"/>
              </font>
              <fill>
                <patternFill>
                  <bgColor rgb="FFFFC7CE"/>
                </patternFill>
              </fill>
            </x14:dxf>
          </x14:cfRule>
          <xm:sqref>G4</xm:sqref>
        </x14:conditionalFormatting>
        <x14:conditionalFormatting xmlns:xm="http://schemas.microsoft.com/office/excel/2006/main">
          <x14:cfRule type="cellIs" priority="7" operator="greaterThanOrEqual" id="{C011E296-8F90-48A5-B5F6-BAE4553040CB}">
            <xm:f>Table!$D$4</xm:f>
            <x14:dxf>
              <font>
                <color rgb="FF006100"/>
              </font>
              <fill>
                <patternFill>
                  <bgColor rgb="FFC6EFCE"/>
                </patternFill>
              </fill>
            </x14:dxf>
          </x14:cfRule>
          <x14:cfRule type="cellIs" priority="8" operator="lessThan" id="{7A60D980-883F-4C6F-9D29-FAE543DA4C10}">
            <xm:f>Table!$D$4</xm:f>
            <x14:dxf>
              <font>
                <color rgb="FF9C0006"/>
              </font>
              <fill>
                <patternFill>
                  <bgColor rgb="FFFFC7CE"/>
                </patternFill>
              </fill>
            </x14:dxf>
          </x14:cfRule>
          <xm:sqref>R5:R18</xm:sqref>
        </x14:conditionalFormatting>
        <x14:conditionalFormatting xmlns:xm="http://schemas.microsoft.com/office/excel/2006/main">
          <x14:cfRule type="cellIs" priority="5" operator="greaterThanOrEqual" id="{87905D9E-2FE8-481D-8C6A-7E4A5FAB2647}">
            <xm:f>Table!$D$4</xm:f>
            <x14:dxf>
              <font>
                <color rgb="FF006100"/>
              </font>
              <fill>
                <patternFill>
                  <bgColor rgb="FFC6EFCE"/>
                </patternFill>
              </fill>
            </x14:dxf>
          </x14:cfRule>
          <x14:cfRule type="cellIs" priority="6" operator="lessThan" id="{2A79EE14-C664-42E0-868A-6B5BC4BBF422}">
            <xm:f>Table!$D$4</xm:f>
            <x14:dxf>
              <font>
                <color rgb="FF9C0006"/>
              </font>
              <fill>
                <patternFill>
                  <bgColor rgb="FFFFC7CE"/>
                </patternFill>
              </fill>
            </x14:dxf>
          </x14:cfRule>
          <xm:sqref>R4</xm:sqref>
        </x14:conditionalFormatting>
        <x14:conditionalFormatting xmlns:xm="http://schemas.microsoft.com/office/excel/2006/main">
          <x14:cfRule type="cellIs" priority="3" operator="greaterThanOrEqual" id="{BAA16ED2-1FCF-44FF-B3F3-06EDE6579B0C}">
            <xm:f>Table!$D$4</xm:f>
            <x14:dxf>
              <font>
                <color rgb="FF006100"/>
              </font>
              <fill>
                <patternFill>
                  <bgColor rgb="FFC6EFCE"/>
                </patternFill>
              </fill>
            </x14:dxf>
          </x14:cfRule>
          <x14:cfRule type="cellIs" priority="4" operator="lessThan" id="{D3E08642-BAFA-4A19-81EB-5F7B0DB9B7A7}">
            <xm:f>Table!$D$4</xm:f>
            <x14:dxf>
              <font>
                <color rgb="FF9C0006"/>
              </font>
              <fill>
                <patternFill>
                  <bgColor rgb="FFFFC7CE"/>
                </patternFill>
              </fill>
            </x14:dxf>
          </x14:cfRule>
          <xm:sqref>G19</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65"/>
  <sheetViews>
    <sheetView workbookViewId="0">
      <selection activeCell="D4" sqref="D4"/>
    </sheetView>
  </sheetViews>
  <sheetFormatPr defaultRowHeight="15"/>
  <cols>
    <col min="2" max="2" width="11.7109375" bestFit="1" customWidth="1"/>
    <col min="3" max="3" width="24.85546875" bestFit="1" customWidth="1"/>
    <col min="4" max="4" width="20.140625" customWidth="1"/>
    <col min="5" max="5" width="33.85546875" customWidth="1"/>
  </cols>
  <sheetData>
    <row r="2" spans="2:5">
      <c r="B2" s="9" t="s">
        <v>11</v>
      </c>
    </row>
    <row r="3" spans="2:5">
      <c r="B3" s="2" t="s">
        <v>4</v>
      </c>
      <c r="C3" s="10" t="s">
        <v>2</v>
      </c>
      <c r="D3" s="10" t="s">
        <v>3</v>
      </c>
    </row>
    <row r="4" spans="2:5">
      <c r="B4" s="10">
        <v>1</v>
      </c>
      <c r="C4" s="11">
        <v>130</v>
      </c>
      <c r="D4" s="11">
        <v>450</v>
      </c>
    </row>
    <row r="6" spans="2:5">
      <c r="B6" s="1" t="s">
        <v>42</v>
      </c>
    </row>
    <row r="7" spans="2:5">
      <c r="B7" s="2" t="s">
        <v>0</v>
      </c>
      <c r="C7" s="2" t="s">
        <v>1</v>
      </c>
      <c r="D7" s="2" t="s">
        <v>47</v>
      </c>
      <c r="E7" s="4" t="s">
        <v>44</v>
      </c>
    </row>
    <row r="8" spans="2:5" ht="60">
      <c r="B8" s="12">
        <v>1</v>
      </c>
      <c r="C8" s="12" t="s">
        <v>2</v>
      </c>
      <c r="D8" s="12" t="s">
        <v>45</v>
      </c>
      <c r="E8" s="13" t="s">
        <v>9</v>
      </c>
    </row>
    <row r="9" spans="2:5" ht="75">
      <c r="B9" s="12">
        <v>2</v>
      </c>
      <c r="C9" s="12" t="s">
        <v>3</v>
      </c>
      <c r="D9" s="12" t="s">
        <v>46</v>
      </c>
      <c r="E9" s="13" t="s">
        <v>10</v>
      </c>
    </row>
    <row r="11" spans="2:5">
      <c r="B11" s="1" t="s">
        <v>43</v>
      </c>
    </row>
    <row r="12" spans="2:5">
      <c r="B12" s="2" t="s">
        <v>0</v>
      </c>
      <c r="C12" s="2" t="s">
        <v>5</v>
      </c>
    </row>
    <row r="13" spans="2:5">
      <c r="B13" s="3">
        <v>1</v>
      </c>
      <c r="C13" s="3" t="s">
        <v>6</v>
      </c>
    </row>
    <row r="14" spans="2:5">
      <c r="B14" s="3">
        <v>2</v>
      </c>
      <c r="C14" s="3" t="s">
        <v>61</v>
      </c>
    </row>
    <row r="15" spans="2:5">
      <c r="B15" s="3">
        <v>3</v>
      </c>
      <c r="C15" s="3" t="s">
        <v>62</v>
      </c>
    </row>
    <row r="16" spans="2:5">
      <c r="B16" s="3">
        <v>4</v>
      </c>
      <c r="C16" s="3" t="s">
        <v>63</v>
      </c>
    </row>
    <row r="17" spans="2:5">
      <c r="B17" s="3">
        <v>5</v>
      </c>
      <c r="C17" s="3" t="s">
        <v>179</v>
      </c>
    </row>
    <row r="18" spans="2:5">
      <c r="B18" s="3">
        <v>6</v>
      </c>
      <c r="C18" s="3" t="s">
        <v>64</v>
      </c>
    </row>
    <row r="19" spans="2:5">
      <c r="B19" s="3">
        <v>7</v>
      </c>
      <c r="C19" s="3" t="s">
        <v>65</v>
      </c>
    </row>
    <row r="20" spans="2:5">
      <c r="B20" s="3">
        <v>8</v>
      </c>
      <c r="C20" s="3" t="s">
        <v>66</v>
      </c>
    </row>
    <row r="21" spans="2:5">
      <c r="B21" s="3">
        <v>9</v>
      </c>
      <c r="C21" s="3" t="s">
        <v>132</v>
      </c>
    </row>
    <row r="22" spans="2:5">
      <c r="B22" s="3">
        <v>10</v>
      </c>
      <c r="C22" s="3" t="s">
        <v>133</v>
      </c>
    </row>
    <row r="23" spans="2:5">
      <c r="B23" s="3">
        <v>11</v>
      </c>
      <c r="C23" s="3" t="s">
        <v>174</v>
      </c>
    </row>
    <row r="24" spans="2:5">
      <c r="B24" s="3">
        <v>12</v>
      </c>
      <c r="C24" s="3" t="s">
        <v>167</v>
      </c>
    </row>
    <row r="25" spans="2:5">
      <c r="B25" s="3">
        <v>13</v>
      </c>
      <c r="C25" s="3" t="s">
        <v>168</v>
      </c>
    </row>
    <row r="26" spans="2:5">
      <c r="B26" s="3">
        <v>14</v>
      </c>
      <c r="C26" s="3" t="s">
        <v>169</v>
      </c>
    </row>
    <row r="27" spans="2:5">
      <c r="B27" s="3">
        <v>15</v>
      </c>
      <c r="C27" s="3"/>
    </row>
    <row r="29" spans="2:5">
      <c r="B29" s="9" t="s">
        <v>19</v>
      </c>
    </row>
    <row r="30" spans="2:5">
      <c r="B30" s="2" t="s">
        <v>0</v>
      </c>
      <c r="C30" s="2" t="s">
        <v>17</v>
      </c>
    </row>
    <row r="31" spans="2:5">
      <c r="B31" s="2">
        <v>1</v>
      </c>
      <c r="C31" s="3" t="s">
        <v>20</v>
      </c>
      <c r="E31" s="23"/>
    </row>
    <row r="32" spans="2:5">
      <c r="B32" s="2">
        <v>2</v>
      </c>
      <c r="C32" s="3" t="s">
        <v>23</v>
      </c>
    </row>
    <row r="33" spans="2:3">
      <c r="B33" s="2">
        <v>3</v>
      </c>
      <c r="C33" s="3" t="s">
        <v>18</v>
      </c>
    </row>
    <row r="34" spans="2:3">
      <c r="B34" s="2">
        <v>4</v>
      </c>
      <c r="C34" s="3" t="s">
        <v>69</v>
      </c>
    </row>
    <row r="35" spans="2:3">
      <c r="B35" s="2">
        <v>5</v>
      </c>
      <c r="C35" s="3" t="s">
        <v>21</v>
      </c>
    </row>
    <row r="36" spans="2:3">
      <c r="B36" s="2">
        <v>6</v>
      </c>
      <c r="C36" s="3" t="s">
        <v>89</v>
      </c>
    </row>
    <row r="37" spans="2:3">
      <c r="B37" s="2">
        <v>7</v>
      </c>
      <c r="C37" s="3" t="s">
        <v>70</v>
      </c>
    </row>
    <row r="39" spans="2:3">
      <c r="B39" s="9" t="s">
        <v>138</v>
      </c>
    </row>
    <row r="40" spans="2:3">
      <c r="B40" s="2" t="s">
        <v>0</v>
      </c>
      <c r="C40" s="2" t="s">
        <v>17</v>
      </c>
    </row>
    <row r="41" spans="2:3">
      <c r="B41" s="2">
        <v>1</v>
      </c>
      <c r="C41" s="3" t="s">
        <v>130</v>
      </c>
    </row>
    <row r="42" spans="2:3">
      <c r="B42" s="2">
        <v>2</v>
      </c>
      <c r="C42" s="3" t="s">
        <v>139</v>
      </c>
    </row>
    <row r="43" spans="2:3">
      <c r="B43" s="2">
        <v>3</v>
      </c>
      <c r="C43" s="3" t="s">
        <v>140</v>
      </c>
    </row>
    <row r="45" spans="2:3">
      <c r="B45" s="1" t="s">
        <v>73</v>
      </c>
    </row>
    <row r="46" spans="2:3">
      <c r="B46" s="2" t="s">
        <v>0</v>
      </c>
      <c r="C46" s="2" t="s">
        <v>17</v>
      </c>
    </row>
    <row r="47" spans="2:3">
      <c r="B47" s="2">
        <v>1</v>
      </c>
      <c r="C47" s="3" t="s">
        <v>155</v>
      </c>
    </row>
    <row r="48" spans="2:3">
      <c r="B48" s="2">
        <v>2</v>
      </c>
      <c r="C48" s="3" t="s">
        <v>156</v>
      </c>
    </row>
    <row r="50" spans="2:4">
      <c r="B50" s="1" t="s">
        <v>135</v>
      </c>
    </row>
    <row r="51" spans="2:4">
      <c r="B51" s="2" t="s">
        <v>0</v>
      </c>
      <c r="C51" s="2" t="s">
        <v>17</v>
      </c>
    </row>
    <row r="52" spans="2:4">
      <c r="B52" s="2">
        <v>1</v>
      </c>
      <c r="C52" s="3" t="s">
        <v>191</v>
      </c>
      <c r="D52" t="s">
        <v>187</v>
      </c>
    </row>
    <row r="53" spans="2:4">
      <c r="B53" s="2">
        <v>2</v>
      </c>
      <c r="C53" s="3" t="s">
        <v>192</v>
      </c>
      <c r="D53" t="s">
        <v>188</v>
      </c>
    </row>
    <row r="54" spans="2:4">
      <c r="B54" s="2">
        <v>3</v>
      </c>
      <c r="C54" s="3" t="s">
        <v>193</v>
      </c>
      <c r="D54" t="s">
        <v>189</v>
      </c>
    </row>
    <row r="55" spans="2:4">
      <c r="B55" s="2">
        <v>4</v>
      </c>
      <c r="C55" s="3" t="s">
        <v>194</v>
      </c>
      <c r="D55" t="s">
        <v>190</v>
      </c>
    </row>
    <row r="59" spans="2:4">
      <c r="B59" s="147" t="s">
        <v>38</v>
      </c>
      <c r="C59" s="33">
        <v>44028</v>
      </c>
      <c r="D59" s="33">
        <v>44058</v>
      </c>
    </row>
    <row r="60" spans="2:4">
      <c r="B60" s="147" t="s">
        <v>30</v>
      </c>
      <c r="C60">
        <f>SUM(INT((WEEKDAY(C59-{2,3,4,5,6}) +D59-C59)/7))</f>
        <v>22</v>
      </c>
    </row>
    <row r="61" spans="2:4">
      <c r="B61" s="147" t="s">
        <v>127</v>
      </c>
      <c r="C61">
        <v>0</v>
      </c>
    </row>
    <row r="62" spans="2:4">
      <c r="B62" s="147" t="s">
        <v>101</v>
      </c>
      <c r="C62" s="147">
        <f>C60-C61</f>
        <v>22</v>
      </c>
      <c r="D62" s="147" t="s">
        <v>219</v>
      </c>
    </row>
    <row r="64" spans="2:4">
      <c r="B64" s="147" t="s">
        <v>220</v>
      </c>
      <c r="C64">
        <v>7</v>
      </c>
    </row>
    <row r="65" spans="2:3">
      <c r="B65" s="147" t="s">
        <v>221</v>
      </c>
      <c r="C65">
        <f>C64*C62*450</f>
        <v>69300</v>
      </c>
    </row>
  </sheetData>
  <customSheetViews>
    <customSheetView guid="{7E0EA425-A420-4443-B9E0-CDF0AA9E5D09}">
      <selection activeCell="D4" sqref="D4"/>
      <pageMargins left="0.7" right="0.7" top="0.75" bottom="0.75" header="0.3" footer="0.3"/>
      <pageSetup orientation="portrait" horizontalDpi="300" verticalDpi="0" r:id="rId1"/>
    </customSheetView>
    <customSheetView guid="{3B3E6719-EACB-4D2C-89C1-05FFAB6020FD}">
      <selection activeCell="D4" sqref="D4"/>
      <pageMargins left="0.7" right="0.7" top="0.75" bottom="0.75" header="0.3" footer="0.3"/>
      <pageSetup orientation="portrait" horizontalDpi="300" verticalDpi="0" r:id="rId2"/>
    </customSheetView>
    <customSheetView guid="{89C03E1E-B6A8-49A1-B29C-5DC4FAB2FBC6}" topLeftCell="A61">
      <selection activeCell="D4" sqref="D4"/>
      <pageMargins left="0.7" right="0.7" top="0.75" bottom="0.75" header="0.3" footer="0.3"/>
      <pageSetup orientation="portrait" horizontalDpi="300" verticalDpi="0" r:id="rId3"/>
    </customSheetView>
    <customSheetView guid="{FECB4C41-27E8-4A22-AFB3-4F54CDD4960E}">
      <selection activeCell="D4" sqref="D4"/>
      <pageMargins left="0.7" right="0.7" top="0.75" bottom="0.75" header="0.3" footer="0.3"/>
      <pageSetup orientation="portrait" horizontalDpi="300" verticalDpi="0" r:id="rId4"/>
    </customSheetView>
    <customSheetView guid="{7ECC2B8E-6A82-42F5-8AB0-4A51C54EA5EC}" topLeftCell="A31">
      <selection activeCell="C65" sqref="C65"/>
      <pageMargins left="0.7" right="0.7" top="0.75" bottom="0.75" header="0.3" footer="0.3"/>
    </customSheetView>
    <customSheetView guid="{99BC1C51-34DC-4BF2-906C-1E31B6171D71}">
      <selection activeCell="E40" sqref="E40"/>
      <pageMargins left="0.7" right="0.7" top="0.75" bottom="0.75" header="0.3" footer="0.3"/>
    </customSheetView>
    <customSheetView guid="{A2E8CE38-D15E-4374-89B2-69D9421C4465}" showPageBreaks="1">
      <selection activeCell="D4" sqref="D4"/>
      <pageMargins left="0.7" right="0.7" top="0.75" bottom="0.75" header="0.3" footer="0.3"/>
      <pageSetup orientation="portrait" horizontalDpi="300" r:id="rId5"/>
    </customSheetView>
    <customSheetView guid="{336B6883-2145-4B58-921E-CEC7185A847E}" topLeftCell="A13">
      <selection activeCell="B24" sqref="B24:C29"/>
      <pageMargins left="0.7" right="0.7" top="0.75" bottom="0.75" header="0.3" footer="0.3"/>
    </customSheetView>
    <customSheetView guid="{60D2C030-4E31-4E07-8E1C-44D2EE84B177}">
      <selection activeCell="H26" sqref="G26:H26"/>
      <pageMargins left="0.7" right="0.7" top="0.75" bottom="0.75" header="0.3" footer="0.3"/>
    </customSheetView>
    <customSheetView guid="{C94451EF-7A3E-4D72-B5A4-3D1B193192CC}" topLeftCell="A28">
      <selection activeCell="A27" sqref="A27:XFD27"/>
      <pageMargins left="0.7" right="0.7" top="0.75" bottom="0.75" header="0.3" footer="0.3"/>
    </customSheetView>
    <customSheetView guid="{D33AC7AF-C8AB-4CE9-94C7-9237011A5FC3}" topLeftCell="A31">
      <selection activeCell="C12" sqref="C12"/>
      <pageMargins left="0.7" right="0.7" top="0.75" bottom="0.75" header="0.3" footer="0.3"/>
    </customSheetView>
    <customSheetView guid="{A2C66332-A809-458E-971B-FDB6D62C74C3}">
      <selection activeCell="D4" sqref="D4"/>
      <pageMargins left="0.7" right="0.7" top="0.75" bottom="0.75" header="0.3" footer="0.3"/>
      <pageSetup orientation="portrait" horizontalDpi="300" verticalDpi="0" r:id="rId6"/>
    </customSheetView>
    <customSheetView guid="{F96FC7D9-4F89-4FE0-8D00-C0083DEB0472}">
      <selection activeCell="D4" sqref="D4"/>
      <pageMargins left="0.7" right="0.7" top="0.75" bottom="0.75" header="0.3" footer="0.3"/>
      <pageSetup orientation="portrait" horizontalDpi="300" verticalDpi="0" r:id="rId7"/>
    </customSheetView>
    <customSheetView guid="{970EE037-F5E5-47AF-896A-0F6222879EBC}">
      <selection activeCell="C26" sqref="C26"/>
      <pageMargins left="0.7" right="0.7" top="0.75" bottom="0.75" header="0.3" footer="0.3"/>
      <pageSetup orientation="portrait" horizontalDpi="300" verticalDpi="0" r:id="rId8"/>
    </customSheetView>
    <customSheetView guid="{4E06BDBF-2CED-473B-850B-2A6C7311FF41}" showPageBreaks="1">
      <selection activeCell="C13" sqref="C13:C22"/>
      <pageMargins left="0.7" right="0.7" top="0.75" bottom="0.75" header="0.3" footer="0.3"/>
      <pageSetup orientation="portrait" horizontalDpi="300" r:id="rId9"/>
    </customSheetView>
  </customSheetViews>
  <pageMargins left="0.7" right="0.7" top="0.75" bottom="0.75" header="0.3" footer="0.3"/>
  <pageSetup orientation="portrait" horizontalDpi="300" verticalDpi="0"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84"/>
  <sheetViews>
    <sheetView workbookViewId="0">
      <selection activeCell="A75" sqref="A75:XFD76"/>
    </sheetView>
  </sheetViews>
  <sheetFormatPr defaultRowHeight="15"/>
  <cols>
    <col min="2" max="2" width="33.42578125" customWidth="1"/>
    <col min="3" max="3" width="82.140625" bestFit="1" customWidth="1"/>
    <col min="4" max="4" width="11.28515625" bestFit="1" customWidth="1"/>
    <col min="5" max="5" width="11.5703125" bestFit="1" customWidth="1"/>
  </cols>
  <sheetData>
    <row r="1" spans="1:9">
      <c r="A1" s="1" t="s">
        <v>80</v>
      </c>
    </row>
    <row r="2" spans="1:9">
      <c r="B2" s="22" t="s">
        <v>82</v>
      </c>
      <c r="C2" t="s">
        <v>83</v>
      </c>
    </row>
    <row r="3" spans="1:9">
      <c r="B3" s="22" t="s">
        <v>85</v>
      </c>
      <c r="C3" t="s">
        <v>84</v>
      </c>
    </row>
    <row r="4" spans="1:9">
      <c r="B4" s="22"/>
    </row>
    <row r="5" spans="1:9">
      <c r="B5" s="21" t="s">
        <v>78</v>
      </c>
    </row>
    <row r="6" spans="1:9">
      <c r="B6" s="22" t="s">
        <v>86</v>
      </c>
      <c r="C6" t="s">
        <v>87</v>
      </c>
    </row>
    <row r="7" spans="1:9">
      <c r="B7" s="22"/>
    </row>
    <row r="8" spans="1:9">
      <c r="B8" s="21" t="s">
        <v>79</v>
      </c>
      <c r="C8" t="s">
        <v>81</v>
      </c>
    </row>
    <row r="11" spans="1:9">
      <c r="B11" s="24" t="s">
        <v>53</v>
      </c>
      <c r="C11" s="24" t="s">
        <v>8</v>
      </c>
      <c r="D11" s="24" t="s">
        <v>91</v>
      </c>
      <c r="E11" s="24" t="s">
        <v>92</v>
      </c>
      <c r="F11" s="24" t="s">
        <v>93</v>
      </c>
    </row>
    <row r="12" spans="1:9">
      <c r="B12" s="25" t="s">
        <v>214</v>
      </c>
      <c r="C12" s="92" t="s">
        <v>195</v>
      </c>
      <c r="D12" s="3" t="s">
        <v>197</v>
      </c>
      <c r="E12" s="138">
        <f t="shared" ref="E12:E18" si="0">INDEX($I$41:$I$54,MATCH(C12,$M$41:$M$55,0))/8</f>
        <v>0</v>
      </c>
      <c r="F12" s="3" t="s">
        <v>95</v>
      </c>
      <c r="I12" t="s">
        <v>94</v>
      </c>
    </row>
    <row r="13" spans="1:9">
      <c r="B13" s="26"/>
      <c r="C13" s="142" t="s">
        <v>98</v>
      </c>
      <c r="D13" s="14" t="s">
        <v>198</v>
      </c>
      <c r="E13" s="138">
        <f t="shared" si="0"/>
        <v>0</v>
      </c>
      <c r="F13" s="3" t="s">
        <v>95</v>
      </c>
      <c r="I13" t="s">
        <v>96</v>
      </c>
    </row>
    <row r="14" spans="1:9">
      <c r="B14" s="116"/>
      <c r="C14" s="142" t="s">
        <v>163</v>
      </c>
      <c r="D14" s="14" t="s">
        <v>199</v>
      </c>
      <c r="E14" s="138">
        <f t="shared" si="0"/>
        <v>0</v>
      </c>
      <c r="F14" s="3" t="s">
        <v>95</v>
      </c>
      <c r="I14" t="s">
        <v>97</v>
      </c>
    </row>
    <row r="15" spans="1:9">
      <c r="B15" s="26"/>
      <c r="C15" s="142" t="s">
        <v>97</v>
      </c>
      <c r="D15" s="14" t="s">
        <v>200</v>
      </c>
      <c r="E15" s="138">
        <f t="shared" si="0"/>
        <v>0</v>
      </c>
      <c r="F15" s="3" t="s">
        <v>95</v>
      </c>
      <c r="I15" t="s">
        <v>98</v>
      </c>
    </row>
    <row r="16" spans="1:9">
      <c r="B16" s="26"/>
      <c r="C16" s="142" t="s">
        <v>96</v>
      </c>
      <c r="D16" s="3" t="s">
        <v>201</v>
      </c>
      <c r="E16" s="138">
        <f t="shared" si="0"/>
        <v>0</v>
      </c>
      <c r="F16" s="3" t="s">
        <v>95</v>
      </c>
      <c r="I16" t="s">
        <v>163</v>
      </c>
    </row>
    <row r="17" spans="2:9">
      <c r="B17" s="26"/>
      <c r="C17" s="142" t="s">
        <v>204</v>
      </c>
      <c r="D17" s="3" t="s">
        <v>202</v>
      </c>
      <c r="E17" s="138">
        <f t="shared" si="0"/>
        <v>0</v>
      </c>
      <c r="F17" s="3" t="s">
        <v>95</v>
      </c>
      <c r="I17" t="s">
        <v>195</v>
      </c>
    </row>
    <row r="18" spans="2:9">
      <c r="B18" s="125"/>
      <c r="C18" s="142" t="s">
        <v>203</v>
      </c>
      <c r="D18" s="3" t="s">
        <v>205</v>
      </c>
      <c r="E18" s="138">
        <f t="shared" si="0"/>
        <v>0</v>
      </c>
      <c r="F18" s="3" t="s">
        <v>95</v>
      </c>
      <c r="I18" t="s">
        <v>203</v>
      </c>
    </row>
    <row r="19" spans="2:9">
      <c r="B19" s="145"/>
      <c r="C19" s="5"/>
      <c r="D19" s="5"/>
      <c r="E19" s="144"/>
      <c r="F19" s="5"/>
      <c r="I19" t="s">
        <v>204</v>
      </c>
    </row>
    <row r="20" spans="2:9">
      <c r="B20" s="145"/>
      <c r="C20" s="5"/>
      <c r="D20" s="5"/>
      <c r="E20" s="144"/>
      <c r="F20" s="5"/>
    </row>
    <row r="21" spans="2:9">
      <c r="B21" s="145"/>
      <c r="C21" s="5"/>
      <c r="D21" s="5"/>
      <c r="E21" s="144"/>
      <c r="F21" s="5"/>
    </row>
    <row r="22" spans="2:9">
      <c r="B22" s="145"/>
      <c r="C22" s="5"/>
      <c r="D22" s="5"/>
      <c r="E22" s="144"/>
      <c r="F22" s="5"/>
    </row>
    <row r="23" spans="2:9">
      <c r="B23" s="145"/>
      <c r="C23" s="5"/>
      <c r="D23" s="5"/>
      <c r="E23" s="144"/>
      <c r="F23" s="5"/>
    </row>
    <row r="24" spans="2:9">
      <c r="B24" s="145"/>
      <c r="C24" s="5"/>
      <c r="D24" s="5"/>
      <c r="E24" s="144"/>
      <c r="F24" s="5"/>
    </row>
    <row r="25" spans="2:9">
      <c r="B25" s="145"/>
      <c r="C25" s="5"/>
      <c r="D25" s="5"/>
      <c r="E25" s="144"/>
      <c r="F25" s="5"/>
    </row>
    <row r="26" spans="2:9">
      <c r="B26" s="113"/>
      <c r="C26" s="5"/>
      <c r="D26" s="5"/>
      <c r="E26" s="119"/>
      <c r="F26" s="5"/>
    </row>
    <row r="27" spans="2:9">
      <c r="B27" s="120" t="s">
        <v>53</v>
      </c>
      <c r="C27" s="120" t="s">
        <v>8</v>
      </c>
      <c r="D27" s="120" t="s">
        <v>91</v>
      </c>
      <c r="E27" s="121" t="s">
        <v>92</v>
      </c>
      <c r="F27" s="120" t="s">
        <v>93</v>
      </c>
    </row>
    <row r="28" spans="2:9">
      <c r="B28" s="25" t="s">
        <v>196</v>
      </c>
      <c r="C28" s="3" t="s">
        <v>96</v>
      </c>
      <c r="D28" s="3" t="s">
        <v>197</v>
      </c>
      <c r="E28" s="115">
        <f>H42/8</f>
        <v>0</v>
      </c>
      <c r="F28" s="3" t="s">
        <v>95</v>
      </c>
    </row>
    <row r="29" spans="2:9">
      <c r="B29" s="26"/>
      <c r="C29" s="3" t="s">
        <v>195</v>
      </c>
      <c r="D29" s="3" t="s">
        <v>198</v>
      </c>
      <c r="E29" s="115">
        <f>H51/8</f>
        <v>0</v>
      </c>
      <c r="F29" s="3" t="s">
        <v>95</v>
      </c>
    </row>
    <row r="30" spans="2:9">
      <c r="B30" s="113"/>
      <c r="C30" s="5"/>
      <c r="D30" s="5"/>
      <c r="E30" s="119"/>
      <c r="F30" s="5"/>
    </row>
    <row r="31" spans="2:9">
      <c r="B31" s="113"/>
      <c r="C31" s="5"/>
      <c r="D31" s="5"/>
      <c r="E31" s="119"/>
      <c r="F31" s="5"/>
    </row>
    <row r="32" spans="2:9">
      <c r="B32" s="113"/>
      <c r="C32" s="5"/>
      <c r="D32" s="5"/>
      <c r="E32" s="119"/>
      <c r="F32" s="5"/>
    </row>
    <row r="33" spans="1:13">
      <c r="B33" s="113"/>
      <c r="C33" s="5"/>
      <c r="D33" s="5"/>
      <c r="E33" s="119"/>
      <c r="F33" s="5"/>
    </row>
    <row r="34" spans="1:13">
      <c r="B34" s="113"/>
      <c r="C34" s="5"/>
      <c r="D34" s="5"/>
      <c r="E34" s="119"/>
      <c r="F34" s="5"/>
    </row>
    <row r="35" spans="1:13">
      <c r="B35" s="113"/>
      <c r="C35" s="5"/>
      <c r="D35" s="5"/>
      <c r="E35" s="119"/>
      <c r="F35" s="5"/>
    </row>
    <row r="36" spans="1:13">
      <c r="B36" s="113"/>
      <c r="C36" s="5"/>
      <c r="D36" s="5"/>
      <c r="E36" s="119"/>
      <c r="F36" s="5"/>
    </row>
    <row r="37" spans="1:13">
      <c r="B37" s="113"/>
      <c r="C37" s="5"/>
      <c r="D37" s="5"/>
      <c r="E37" s="119"/>
      <c r="F37" s="5"/>
    </row>
    <row r="39" spans="1:13">
      <c r="A39" s="1" t="s">
        <v>104</v>
      </c>
    </row>
    <row r="41" spans="1:13">
      <c r="H41">
        <f>SUMIFS(Merged_JOEM!$Y$60:$Y$564, Merged_JOEM!$E$60:$E$564, $B$28,Merged_JOEM!$S$60:$S$564,Table!C13)</f>
        <v>0</v>
      </c>
      <c r="I41">
        <f>SUMIFS(Merged_JOEM!$Y$60:$Y$564, Merged_JOEM!$E$60:$E$564, Check_List!$B$12,Merged_JOEM!$S$60:$S$564,Table!C13)</f>
        <v>0</v>
      </c>
      <c r="K41" s="3" t="s">
        <v>6</v>
      </c>
    </row>
    <row r="42" spans="1:13">
      <c r="H42">
        <f>SUMIFS(Merged_JOEM!$Y$60:$Y$564, Merged_JOEM!$E$60:$E$564, $B$28,Merged_JOEM!$S$60:$S$564,Table!C14)</f>
        <v>0</v>
      </c>
      <c r="I42">
        <f>SUMIFS(Merged_JOEM!$Y$60:$Y$564, Merged_JOEM!$E$60:$E$564, Check_List!$B$12,Merged_JOEM!$S$60:$S$564,Table!C14)</f>
        <v>0</v>
      </c>
      <c r="K42" s="3" t="s">
        <v>61</v>
      </c>
      <c r="M42" t="s">
        <v>96</v>
      </c>
    </row>
    <row r="43" spans="1:13">
      <c r="H43">
        <f>SUMIFS(Merged_JOEM!$Y$60:$Y$564, Merged_JOEM!$E$60:$E$564, $B$28,Merged_JOEM!$S$60:$S$564,Table!C15)</f>
        <v>0</v>
      </c>
      <c r="I43">
        <f>SUMIFS(Merged_JOEM!$Y$60:$Y$564, Merged_JOEM!$E$60:$E$564, Check_List!$B$12,Merged_JOEM!$S$60:$S$564,Table!C15)</f>
        <v>0</v>
      </c>
      <c r="K43" s="3" t="s">
        <v>62</v>
      </c>
      <c r="M43" t="s">
        <v>97</v>
      </c>
    </row>
    <row r="44" spans="1:13">
      <c r="H44">
        <f>SUMIFS(Merged_JOEM!$Y$60:$Y$564, Merged_JOEM!$E$60:$E$564, $B$28,Merged_JOEM!$S$60:$S$564,Table!C16)</f>
        <v>0</v>
      </c>
      <c r="I44">
        <f>SUMIFS(Merged_JOEM!$Y$60:$Y$564, Merged_JOEM!$E$60:$E$564, Check_List!$B$12,Merged_JOEM!$S$60:$S$564,Table!C16)</f>
        <v>0</v>
      </c>
      <c r="K44" s="3" t="s">
        <v>63</v>
      </c>
      <c r="M44" t="s">
        <v>98</v>
      </c>
    </row>
    <row r="45" spans="1:13">
      <c r="H45">
        <f>SUMIFS(Merged_JOEM!$Y$60:$Y$564, Merged_JOEM!$E$60:$E$564, $B$28,Merged_JOEM!$S$60:$S$564,Table!C17)</f>
        <v>0</v>
      </c>
      <c r="I45">
        <f>SUMIFS(Merged_JOEM!$Y$60:$Y$564, Merged_JOEM!$E$60:$E$564, Check_List!$B$12,Merged_JOEM!$S$60:$S$564,Table!C17)</f>
        <v>0</v>
      </c>
      <c r="K45" s="3" t="s">
        <v>179</v>
      </c>
      <c r="M45" t="s">
        <v>203</v>
      </c>
    </row>
    <row r="46" spans="1:13">
      <c r="H46">
        <f>SUMIFS(Merged_JOEM!$Y$60:$Y$564, Merged_JOEM!$E$60:$E$564, $B$28,Merged_JOEM!$S$60:$S$564,Table!C18)</f>
        <v>0</v>
      </c>
      <c r="I46">
        <f>SUMIFS(Merged_JOEM!$Y$60:$Y$564, Merged_JOEM!$E$60:$E$564, Check_List!$B$12,Merged_JOEM!$S$60:$S$564,Table!C18)</f>
        <v>0</v>
      </c>
      <c r="K46" s="3" t="s">
        <v>64</v>
      </c>
    </row>
    <row r="47" spans="1:13">
      <c r="H47">
        <f>SUMIFS(Merged_JOEM!$Y$60:$Y$564, Merged_JOEM!$E$60:$E$564, $B$28,Merged_JOEM!$S$60:$S$564,Table!C19)</f>
        <v>0</v>
      </c>
      <c r="I47">
        <f>SUMIFS(Merged_JOEM!$Y$60:$Y$564, Merged_JOEM!$E$60:$E$564, Check_List!$B$12,Merged_JOEM!$S$60:$S$564,Table!C19)</f>
        <v>0</v>
      </c>
      <c r="K47" s="3" t="s">
        <v>65</v>
      </c>
    </row>
    <row r="48" spans="1:13">
      <c r="H48">
        <f>SUMIFS(Merged_JOEM!$Y$60:$Y$564, Merged_JOEM!$E$60:$E$564, $B$28,Merged_JOEM!$S$60:$S$564,Table!C20)</f>
        <v>0</v>
      </c>
      <c r="I48">
        <f>SUMIFS(Merged_JOEM!$Y$60:$Y$564, Merged_JOEM!$E$60:$E$564, Check_List!$B$12,Merged_JOEM!$S$60:$S$564,Table!C20)</f>
        <v>0</v>
      </c>
      <c r="K48" s="3" t="s">
        <v>66</v>
      </c>
      <c r="M48" t="s">
        <v>587</v>
      </c>
    </row>
    <row r="49" spans="2:22">
      <c r="H49">
        <f>SUMIFS(Merged_JOEM!$Y$60:$Y$564, Merged_JOEM!$E$60:$E$564, $B$28,Merged_JOEM!$S$60:$S$564,Table!C21)</f>
        <v>0</v>
      </c>
      <c r="I49">
        <f>SUMIFS(Merged_JOEM!$Y$60:$Y$564, Merged_JOEM!$E$60:$E$564, Check_List!$B$12,Merged_JOEM!$S$60:$S$564,Table!C21)</f>
        <v>0</v>
      </c>
      <c r="K49" s="3" t="s">
        <v>132</v>
      </c>
      <c r="M49" t="s">
        <v>163</v>
      </c>
    </row>
    <row r="50" spans="2:22">
      <c r="H50">
        <f>SUMIFS(Merged_JOEM!$Y$60:$Y$564, Merged_JOEM!$E$60:$E$564, $B$28,Merged_JOEM!$S$60:$S$564,Table!C22)</f>
        <v>0</v>
      </c>
      <c r="I50">
        <f>SUMIFS(Merged_JOEM!$Y$60:$Y$564, Merged_JOEM!$E$60:$E$564, Check_List!$B$12,Merged_JOEM!$S$60:$S$564,Table!C22)</f>
        <v>0</v>
      </c>
      <c r="K50" s="3" t="s">
        <v>133</v>
      </c>
      <c r="M50" t="s">
        <v>204</v>
      </c>
    </row>
    <row r="51" spans="2:22">
      <c r="H51">
        <f>SUMIFS(Merged_JOEM!$Y$60:$Y$564, Merged_JOEM!$E$60:$E$564, $B$28,Merged_JOEM!$S$60:$S$564,Table!C23)</f>
        <v>0</v>
      </c>
      <c r="I51">
        <f>SUMIFS(Merged_JOEM!$Y$60:$Y$564, Merged_JOEM!$E$60:$E$564, Check_List!$B$12,Merged_JOEM!$S$60:$S$564,Table!C23)</f>
        <v>0</v>
      </c>
      <c r="K51" s="3" t="s">
        <v>174</v>
      </c>
      <c r="M51" t="s">
        <v>195</v>
      </c>
    </row>
    <row r="52" spans="2:22">
      <c r="H52">
        <f>SUMIFS(Merged_JOEM!$Y$60:$Y$564, Merged_JOEM!$E$60:$E$564, $B$28,Merged_JOEM!$S$60:$S$564,Table!C24)</f>
        <v>0</v>
      </c>
      <c r="I52">
        <f>SUMIFS(Merged_JOEM!$Y$60:$Y$564, Merged_JOEM!$E$60:$E$564, Check_List!$B$12,Merged_JOEM!$S$60:$S$564,Table!C24)</f>
        <v>0</v>
      </c>
      <c r="K52" s="3" t="s">
        <v>167</v>
      </c>
    </row>
    <row r="53" spans="2:22">
      <c r="H53">
        <f>SUMIFS(Merged_JOEM!$Y$60:$Y$564, Merged_JOEM!$E$60:$E$564, $B$28,Merged_JOEM!$S$60:$S$564,Table!C25)</f>
        <v>0</v>
      </c>
      <c r="I53">
        <f>SUMIFS(Merged_JOEM!$Y$60:$Y$564, Merged_JOEM!$E$60:$E$564, Check_List!$B$12,Merged_JOEM!$S$60:$S$564,Table!C25)</f>
        <v>0</v>
      </c>
      <c r="K53" s="3" t="s">
        <v>168</v>
      </c>
    </row>
    <row r="54" spans="2:22">
      <c r="H54">
        <f>SUMIFS(Merged_JOEM!$Y$60:$Y$564, Merged_JOEM!$E$60:$E$564, $B$28,Merged_JOEM!$S$60:$S$564,Table!C26)</f>
        <v>0</v>
      </c>
      <c r="I54">
        <f>SUMIFS(Merged_JOEM!$Y$60:$Y$564, Merged_JOEM!$E$60:$E$564, Check_List!$B$12,Merged_JOEM!$S$60:$S$564,Table!C26)</f>
        <v>0</v>
      </c>
      <c r="K54" s="3" t="s">
        <v>169</v>
      </c>
    </row>
    <row r="59" spans="2:22">
      <c r="B59" t="s">
        <v>105</v>
      </c>
    </row>
    <row r="60" spans="2:22">
      <c r="B60" t="s">
        <v>106</v>
      </c>
    </row>
    <row r="62" spans="2:22">
      <c r="K62" t="s">
        <v>272</v>
      </c>
    </row>
    <row r="64" spans="2:22" ht="38.25">
      <c r="K64" s="152" t="s">
        <v>259</v>
      </c>
      <c r="L64" s="152" t="s">
        <v>260</v>
      </c>
      <c r="M64" s="153" t="s">
        <v>261</v>
      </c>
      <c r="N64" s="152" t="s">
        <v>262</v>
      </c>
      <c r="O64" s="152" t="s">
        <v>263</v>
      </c>
      <c r="P64" s="152" t="s">
        <v>1</v>
      </c>
      <c r="Q64" s="152" t="s">
        <v>264</v>
      </c>
      <c r="R64" s="152" t="s">
        <v>265</v>
      </c>
      <c r="S64" s="152" t="s">
        <v>266</v>
      </c>
      <c r="T64" s="152"/>
      <c r="U64" s="152"/>
      <c r="V64" s="152"/>
    </row>
    <row r="65" spans="2:22" ht="25.5">
      <c r="K65" s="152"/>
      <c r="L65" s="152"/>
      <c r="M65" s="153"/>
      <c r="N65" s="152"/>
      <c r="O65" s="152"/>
      <c r="P65" s="152"/>
      <c r="Q65" s="152"/>
      <c r="R65" s="152"/>
      <c r="S65" s="152" t="s">
        <v>267</v>
      </c>
      <c r="T65" s="152" t="s">
        <v>268</v>
      </c>
      <c r="U65" s="153" t="s">
        <v>269</v>
      </c>
      <c r="V65" s="153" t="s">
        <v>270</v>
      </c>
    </row>
    <row r="66" spans="2:22">
      <c r="K66" s="172">
        <v>1</v>
      </c>
      <c r="L66" s="173" t="s">
        <v>284</v>
      </c>
      <c r="M66" s="172">
        <v>1.1000000000000001</v>
      </c>
      <c r="N66" s="172">
        <v>1</v>
      </c>
      <c r="O66" s="174" t="s">
        <v>271</v>
      </c>
      <c r="P66" s="174" t="s">
        <v>246</v>
      </c>
      <c r="Q66" s="172">
        <v>2</v>
      </c>
      <c r="R66" s="155"/>
      <c r="S66" s="3">
        <v>100</v>
      </c>
      <c r="T66" s="3">
        <v>100</v>
      </c>
      <c r="U66" s="3">
        <v>100</v>
      </c>
      <c r="V66" s="3"/>
    </row>
    <row r="67" spans="2:22">
      <c r="K67" s="175">
        <v>3</v>
      </c>
      <c r="L67" s="176" t="s">
        <v>285</v>
      </c>
      <c r="M67" s="175">
        <v>1.1200000000000001</v>
      </c>
      <c r="N67" s="175">
        <v>1.1100000000000001</v>
      </c>
      <c r="O67" s="177" t="s">
        <v>271</v>
      </c>
      <c r="P67" s="177" t="s">
        <v>246</v>
      </c>
      <c r="Q67" s="178">
        <v>2</v>
      </c>
      <c r="R67" s="155"/>
      <c r="S67" s="3">
        <v>100</v>
      </c>
      <c r="T67" s="3">
        <v>100</v>
      </c>
      <c r="U67" s="3">
        <v>100</v>
      </c>
      <c r="V67" s="3"/>
    </row>
    <row r="68" spans="2:22">
      <c r="B68" s="113"/>
      <c r="C68" s="5"/>
      <c r="D68" s="5"/>
      <c r="E68" s="170"/>
      <c r="F68" s="5"/>
      <c r="K68" s="154"/>
      <c r="L68" s="155"/>
      <c r="M68" s="156"/>
      <c r="N68" s="154"/>
      <c r="O68" s="154"/>
      <c r="P68" s="154"/>
      <c r="Q68" s="157"/>
      <c r="R68" s="155"/>
      <c r="S68" s="3"/>
      <c r="T68" s="3"/>
      <c r="U68" s="3"/>
      <c r="V68" s="3"/>
    </row>
    <row r="69" spans="2:22">
      <c r="B69" s="113"/>
      <c r="C69" s="5"/>
      <c r="D69" s="5"/>
      <c r="E69" s="170"/>
      <c r="F69" s="5"/>
      <c r="K69" s="154"/>
      <c r="L69" s="155"/>
      <c r="M69" s="156"/>
      <c r="N69" s="154"/>
      <c r="O69" s="154"/>
      <c r="P69" s="154"/>
      <c r="Q69" s="157"/>
      <c r="R69" s="155"/>
      <c r="S69" s="3"/>
      <c r="T69" s="3"/>
      <c r="U69" s="3"/>
      <c r="V69" s="3"/>
    </row>
    <row r="70" spans="2:22">
      <c r="B70" s="120" t="s">
        <v>53</v>
      </c>
      <c r="C70" s="120" t="s">
        <v>8</v>
      </c>
      <c r="D70" s="120" t="s">
        <v>91</v>
      </c>
      <c r="E70" s="120" t="s">
        <v>92</v>
      </c>
      <c r="F70" s="120" t="s">
        <v>93</v>
      </c>
      <c r="K70" s="154"/>
      <c r="L70" s="155"/>
      <c r="M70" s="156"/>
      <c r="N70" s="154"/>
      <c r="O70" s="154"/>
      <c r="P70" s="154"/>
      <c r="Q70" s="157"/>
      <c r="R70" s="155"/>
      <c r="S70" s="3"/>
      <c r="T70" s="3"/>
      <c r="U70" s="3"/>
      <c r="V70" s="3"/>
    </row>
    <row r="71" spans="2:22">
      <c r="B71" s="230" t="s">
        <v>1811</v>
      </c>
      <c r="C71" s="313" t="s">
        <v>96</v>
      </c>
      <c r="D71" s="3" t="s">
        <v>197</v>
      </c>
      <c r="E71" s="138">
        <f>SUMIFS(Merged_JOEM!$Y$60:$Y$564,Merged_JOEM!$E$60:$E$564,Check_List!$B$71,Merged_JOEM!$R$60:$R$564,Check_List!D71)/8</f>
        <v>4.5699999999999985</v>
      </c>
      <c r="F71" s="3" t="s">
        <v>95</v>
      </c>
      <c r="H71">
        <v>20200730</v>
      </c>
      <c r="K71" s="154"/>
      <c r="L71" s="155"/>
      <c r="M71" s="156"/>
      <c r="N71" s="154"/>
      <c r="O71" s="154"/>
      <c r="P71" s="154"/>
      <c r="Q71" s="157"/>
      <c r="R71" s="155"/>
      <c r="S71" s="3"/>
      <c r="T71" s="3"/>
      <c r="U71" s="3"/>
      <c r="V71" s="3"/>
    </row>
    <row r="72" spans="2:22">
      <c r="B72" s="26"/>
      <c r="C72" s="313" t="s">
        <v>195</v>
      </c>
      <c r="D72" s="3" t="s">
        <v>198</v>
      </c>
      <c r="E72" s="138">
        <f>SUMIFS(Merged_JOEM!$Y$60:$Y$564,Merged_JOEM!$E$60:$E$564,Check_List!$B$71,Merged_JOEM!$R$60:$R$564,Check_List!D72)/8</f>
        <v>5.8599999999999985</v>
      </c>
      <c r="F72" s="3" t="s">
        <v>95</v>
      </c>
      <c r="K72" s="154"/>
      <c r="L72" s="155"/>
      <c r="M72" s="156"/>
      <c r="N72" s="154"/>
      <c r="O72" s="154"/>
      <c r="P72" s="154"/>
      <c r="Q72" s="157"/>
      <c r="R72" s="155"/>
      <c r="S72" s="3"/>
      <c r="T72" s="3"/>
      <c r="U72" s="3"/>
      <c r="V72" s="3"/>
    </row>
    <row r="73" spans="2:22">
      <c r="B73" s="26"/>
      <c r="C73" s="313" t="s">
        <v>587</v>
      </c>
      <c r="D73" s="3" t="s">
        <v>199</v>
      </c>
      <c r="E73" s="138">
        <f>SUMIFS(Merged_JOEM!$Y$60:$Y$564,Merged_JOEM!$E$60:$E$564,Check_List!$B$71,Merged_JOEM!$R$60:$R$564,Check_List!D73)/8</f>
        <v>4.8600000000000003</v>
      </c>
      <c r="F73" s="3" t="s">
        <v>95</v>
      </c>
      <c r="K73" s="154"/>
      <c r="L73" s="155"/>
      <c r="M73" s="156"/>
      <c r="N73" s="154"/>
      <c r="O73" s="154"/>
      <c r="P73" s="154"/>
      <c r="Q73" s="157"/>
      <c r="R73" s="155"/>
      <c r="S73" s="3"/>
      <c r="T73" s="3"/>
      <c r="U73" s="3"/>
      <c r="V73" s="3"/>
    </row>
    <row r="74" spans="2:22">
      <c r="B74" s="26"/>
      <c r="C74" s="313" t="s">
        <v>204</v>
      </c>
      <c r="D74" s="3" t="s">
        <v>200</v>
      </c>
      <c r="E74" s="138">
        <f>SUMIFS(Merged_JOEM!$Y$60:$Y$564,Merged_JOEM!$E$60:$E$564,Check_List!$B$71,Merged_JOEM!$R$60:$R$564,Check_List!D74)/8</f>
        <v>4.9399999999999995</v>
      </c>
      <c r="F74" s="3" t="s">
        <v>95</v>
      </c>
    </row>
    <row r="75" spans="2:22">
      <c r="B75" s="205"/>
      <c r="C75" s="206" t="s">
        <v>98</v>
      </c>
      <c r="D75" s="3" t="s">
        <v>201</v>
      </c>
      <c r="E75" s="138">
        <f>SUMIFS(Merged_JOEM!$Y$60:$Y$564,Merged_JOEM!$E$60:$E$564,Check_List!$B$71,Merged_JOEM!$R$60:$R$564,Check_List!D75)/8</f>
        <v>3.7399999999999993</v>
      </c>
      <c r="F75" s="3" t="s">
        <v>95</v>
      </c>
    </row>
    <row r="76" spans="2:22">
      <c r="B76" s="205"/>
      <c r="C76" s="206" t="s">
        <v>163</v>
      </c>
      <c r="D76" s="3" t="s">
        <v>202</v>
      </c>
      <c r="E76" s="138">
        <f>SUMIFS(Merged_JOEM!$Y$60:$Y$564,Merged_JOEM!$E$60:$E$564,Check_List!$B$71,Merged_JOEM!$R$60:$R$564,Check_List!D76)/8</f>
        <v>4.46</v>
      </c>
      <c r="F76" s="3" t="s">
        <v>95</v>
      </c>
    </row>
    <row r="77" spans="2:22">
      <c r="B77" s="231"/>
      <c r="C77" s="206"/>
      <c r="D77" s="3" t="s">
        <v>205</v>
      </c>
      <c r="E77" s="138">
        <f>SUMIFS(Merged_JOEM!$Y$60:$Y$564,Merged_JOEM!$E$60:$E$564,Check_List!$B$71,Merged_JOEM!$R$60:$R$564,Check_List!D77)/8</f>
        <v>0</v>
      </c>
      <c r="F77" s="3" t="s">
        <v>95</v>
      </c>
    </row>
    <row r="78" spans="2:22">
      <c r="D78" s="3" t="s">
        <v>1319</v>
      </c>
      <c r="E78" s="138">
        <f>SUMIFS(Merged_JOEM!$Y$60:$Y$564,Merged_JOEM!$E$60:$E$564,Check_List!$B$71,Merged_JOEM!$R$60:$R$564,Check_List!D78)/8</f>
        <v>0</v>
      </c>
      <c r="F78" s="3" t="s">
        <v>95</v>
      </c>
    </row>
    <row r="79" spans="2:22">
      <c r="B79" s="120" t="s">
        <v>53</v>
      </c>
      <c r="C79" s="120" t="s">
        <v>8</v>
      </c>
      <c r="D79" s="120" t="s">
        <v>91</v>
      </c>
      <c r="E79" s="120" t="s">
        <v>92</v>
      </c>
      <c r="F79" s="120" t="s">
        <v>93</v>
      </c>
      <c r="K79">
        <v>5944.5000000000009</v>
      </c>
      <c r="L79">
        <v>5944.5000000000009</v>
      </c>
    </row>
    <row r="80" spans="2:22">
      <c r="B80" s="25" t="s">
        <v>289</v>
      </c>
      <c r="C80" s="92" t="s">
        <v>96</v>
      </c>
      <c r="D80" s="3" t="s">
        <v>197</v>
      </c>
      <c r="E80" s="183">
        <f>SUMIFS(Merged_JOEM!$Y$60:$Y$564,Merged_JOEM!$E$60:$E$564,$B$80,Merged_JOEM!$R$60:$R$564,D80)/8</f>
        <v>0</v>
      </c>
      <c r="F80" s="3" t="s">
        <v>95</v>
      </c>
    </row>
    <row r="83" spans="2:6">
      <c r="B83" s="311" t="s">
        <v>53</v>
      </c>
      <c r="C83" s="311" t="s">
        <v>8</v>
      </c>
      <c r="D83" s="311" t="s">
        <v>91</v>
      </c>
      <c r="E83" s="311" t="s">
        <v>92</v>
      </c>
      <c r="F83" s="311" t="s">
        <v>93</v>
      </c>
    </row>
    <row r="84" spans="2:6">
      <c r="B84" s="312" t="s">
        <v>1361</v>
      </c>
      <c r="C84" s="3" t="s">
        <v>163</v>
      </c>
      <c r="D84" s="3" t="s">
        <v>197</v>
      </c>
      <c r="E84" s="138">
        <f>SUMIFS(Merged_JOEM!$Y$60:$Y$564,Merged_JOEM!$E$60:$E$564,B84,Merged_JOEM!$R$60:$R$564,Check_List!D84)/8</f>
        <v>0.55000000000000004</v>
      </c>
      <c r="F84" s="3" t="s">
        <v>95</v>
      </c>
    </row>
  </sheetData>
  <customSheetViews>
    <customSheetView guid="{7E0EA425-A420-4443-B9E0-CDF0AA9E5D09}">
      <selection activeCell="A75" sqref="A75:XFD76"/>
      <pageMargins left="0.7" right="0.7" top="0.75" bottom="0.75" header="0.3" footer="0.3"/>
    </customSheetView>
    <customSheetView guid="{3B3E6719-EACB-4D2C-89C1-05FFAB6020FD}">
      <selection activeCell="G37" sqref="G37"/>
      <pageMargins left="0.7" right="0.7" top="0.75" bottom="0.75" header="0.3" footer="0.3"/>
    </customSheetView>
    <customSheetView guid="{89C03E1E-B6A8-49A1-B29C-5DC4FAB2FBC6}" topLeftCell="A11">
      <selection activeCell="A75" sqref="A75:XFD76"/>
      <pageMargins left="0.7" right="0.7" top="0.75" bottom="0.75" header="0.3" footer="0.3"/>
    </customSheetView>
    <customSheetView guid="{FECB4C41-27E8-4A22-AFB3-4F54CDD4960E}">
      <selection activeCell="A75" sqref="A75:XFD76"/>
      <pageMargins left="0.7" right="0.7" top="0.75" bottom="0.75" header="0.3" footer="0.3"/>
    </customSheetView>
    <customSheetView guid="{7ECC2B8E-6A82-42F5-8AB0-4A51C54EA5EC}" topLeftCell="A55">
      <selection activeCell="B70" sqref="B70:F76"/>
      <pageMargins left="0.7" right="0.7" top="0.75" bottom="0.75" header="0.3" footer="0.3"/>
      <pageSetup orientation="portrait" horizontalDpi="300" verticalDpi="0" r:id="rId1"/>
    </customSheetView>
    <customSheetView guid="{99BC1C51-34DC-4BF2-906C-1E31B6171D71}">
      <selection activeCell="A80" sqref="A80:XFD80"/>
      <pageMargins left="0.7" right="0.7" top="0.75" bottom="0.75" header="0.3" footer="0.3"/>
    </customSheetView>
    <customSheetView guid="{A2E8CE38-D15E-4374-89B2-69D9421C4465}" showPageBreaks="1">
      <selection activeCell="A75" sqref="A75:XFD76"/>
      <pageMargins left="0.7" right="0.7" top="0.75" bottom="0.75" header="0.3" footer="0.3"/>
      <pageSetup orientation="portrait" horizontalDpi="300" r:id="rId2"/>
    </customSheetView>
    <customSheetView guid="{336B6883-2145-4B58-921E-CEC7185A847E}">
      <selection activeCell="B6" sqref="B6:C6"/>
      <pageMargins left="0.7" right="0.7" top="0.75" bottom="0.75" header="0.3" footer="0.3"/>
    </customSheetView>
    <customSheetView guid="{60D2C030-4E31-4E07-8E1C-44D2EE84B177}">
      <selection activeCell="A75" sqref="A75:XFD76"/>
      <pageMargins left="0.7" right="0.7" top="0.75" bottom="0.75" header="0.3" footer="0.3"/>
    </customSheetView>
    <customSheetView guid="{C94451EF-7A3E-4D72-B5A4-3D1B193192CC}">
      <selection activeCell="A75" sqref="A75:XFD76"/>
      <pageMargins left="0.7" right="0.7" top="0.75" bottom="0.75" header="0.3" footer="0.3"/>
    </customSheetView>
    <customSheetView guid="{D33AC7AF-C8AB-4CE9-94C7-9237011A5FC3}">
      <selection activeCell="A79" sqref="A79:XFD79"/>
      <pageMargins left="0.7" right="0.7" top="0.75" bottom="0.75" header="0.3" footer="0.3"/>
    </customSheetView>
    <customSheetView guid="{A2C66332-A809-458E-971B-FDB6D62C74C3}">
      <selection activeCell="C12" sqref="C12"/>
      <pageMargins left="0.7" right="0.7" top="0.75" bottom="0.75" header="0.3" footer="0.3"/>
    </customSheetView>
    <customSheetView guid="{F96FC7D9-4F89-4FE0-8D00-C0083DEB0472}">
      <selection activeCell="C12" sqref="C12"/>
      <pageMargins left="0.7" right="0.7" top="0.75" bottom="0.75" header="0.3" footer="0.3"/>
    </customSheetView>
    <customSheetView guid="{970EE037-F5E5-47AF-896A-0F6222879EBC}">
      <selection activeCell="B6" sqref="B6:C6"/>
      <pageMargins left="0.7" right="0.7" top="0.75" bottom="0.75" header="0.3" footer="0.3"/>
    </customSheetView>
    <customSheetView guid="{4E06BDBF-2CED-473B-850B-2A6C7311FF41}" showPageBreaks="1">
      <selection activeCell="A75" sqref="A75:XFD76"/>
      <pageMargins left="0.7" right="0.7" top="0.75" bottom="0.75" header="0.3" footer="0.3"/>
      <pageSetup paperSize="9" orientation="portrait" r:id="rId3"/>
    </customSheetView>
  </customSheetView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P30" sqref="P30"/>
    </sheetView>
  </sheetViews>
  <sheetFormatPr defaultRowHeight="15"/>
  <sheetData/>
  <customSheetViews>
    <customSheetView guid="{7E0EA425-A420-4443-B9E0-CDF0AA9E5D09}">
      <selection activeCell="P30" sqref="P30"/>
      <pageMargins left="0.7" right="0.7" top="0.75" bottom="0.75" header="0.3" footer="0.3"/>
    </customSheetView>
    <customSheetView guid="{3B3E6719-EACB-4D2C-89C1-05FFAB6020FD}">
      <selection activeCell="P30" sqref="P30"/>
      <pageMargins left="0.7" right="0.7" top="0.75" bottom="0.75" header="0.3" footer="0.3"/>
    </customSheetView>
    <customSheetView guid="{89C03E1E-B6A8-49A1-B29C-5DC4FAB2FBC6}">
      <selection activeCell="P30" sqref="P30"/>
      <pageMargins left="0.7" right="0.7" top="0.75" bottom="0.75" header="0.3" footer="0.3"/>
    </customSheetView>
    <customSheetView guid="{FECB4C41-27E8-4A22-AFB3-4F54CDD4960E}">
      <selection activeCell="P30" sqref="P30"/>
      <pageMargins left="0.7" right="0.7" top="0.75" bottom="0.75" header="0.3" footer="0.3"/>
    </customSheetView>
    <customSheetView guid="{7ECC2B8E-6A82-42F5-8AB0-4A51C54EA5EC}">
      <selection activeCell="P30" sqref="P30"/>
      <pageMargins left="0.7" right="0.7" top="0.75" bottom="0.75" header="0.3" footer="0.3"/>
    </customSheetView>
    <customSheetView guid="{99BC1C51-34DC-4BF2-906C-1E31B6171D71}">
      <selection activeCell="P30" sqref="P30"/>
      <pageMargins left="0.7" right="0.7" top="0.75" bottom="0.75" header="0.3" footer="0.3"/>
    </customSheetView>
    <customSheetView guid="{A2E8CE38-D15E-4374-89B2-69D9421C4465}" showPageBreaks="1">
      <selection activeCell="P30" sqref="P30"/>
      <pageMargins left="0.7" right="0.7" top="0.75" bottom="0.75" header="0.3" footer="0.3"/>
      <pageSetup orientation="portrait" horizontalDpi="300" r:id="rId1"/>
    </customSheetView>
    <customSheetView guid="{336B6883-2145-4B58-921E-CEC7185A847E}">
      <selection activeCell="P30" sqref="P30"/>
      <pageMargins left="0.7" right="0.7" top="0.75" bottom="0.75" header="0.3" footer="0.3"/>
    </customSheetView>
    <customSheetView guid="{60D2C030-4E31-4E07-8E1C-44D2EE84B177}">
      <selection activeCell="P30" sqref="P30"/>
      <pageMargins left="0.7" right="0.7" top="0.75" bottom="0.75" header="0.3" footer="0.3"/>
    </customSheetView>
    <customSheetView guid="{C94451EF-7A3E-4D72-B5A4-3D1B193192CC}">
      <selection activeCell="P30" sqref="P30"/>
      <pageMargins left="0.7" right="0.7" top="0.75" bottom="0.75" header="0.3" footer="0.3"/>
    </customSheetView>
    <customSheetView guid="{D33AC7AF-C8AB-4CE9-94C7-9237011A5FC3}">
      <selection activeCell="P30" sqref="P30"/>
      <pageMargins left="0.7" right="0.7" top="0.75" bottom="0.75" header="0.3" footer="0.3"/>
    </customSheetView>
    <customSheetView guid="{A2C66332-A809-458E-971B-FDB6D62C74C3}">
      <selection activeCell="P30" sqref="P30"/>
      <pageMargins left="0.7" right="0.7" top="0.75" bottom="0.75" header="0.3" footer="0.3"/>
    </customSheetView>
    <customSheetView guid="{F96FC7D9-4F89-4FE0-8D00-C0083DEB0472}">
      <selection activeCell="P30" sqref="P30"/>
      <pageMargins left="0.7" right="0.7" top="0.75" bottom="0.75" header="0.3" footer="0.3"/>
    </customSheetView>
    <customSheetView guid="{970EE037-F5E5-47AF-896A-0F6222879EBC}">
      <selection activeCell="P30" sqref="P30"/>
      <pageMargins left="0.7" right="0.7" top="0.75" bottom="0.75" header="0.3" footer="0.3"/>
    </customSheetView>
    <customSheetView guid="{4E06BDBF-2CED-473B-850B-2A6C7311FF41}" showPageBreaks="1">
      <selection activeCell="P30" sqref="P30"/>
      <pageMargins left="0.7" right="0.7" top="0.75" bottom="0.75" header="0.3" footer="0.3"/>
      <pageSetup paperSize="9" orientation="portrait" r:id="rId2"/>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Merged_COEM</vt:lpstr>
      <vt:lpstr>Merged_JOEM</vt:lpstr>
      <vt:lpstr>|-&gt;</vt:lpstr>
      <vt:lpstr>Report_For_Each_Project_COEM</vt:lpstr>
      <vt:lpstr>Report_For_Each_Project_JOEM</vt:lpstr>
      <vt:lpstr>Template_Total_Report</vt:lpstr>
      <vt:lpstr>Table</vt:lpstr>
      <vt:lpstr>Check_List</vt:lpstr>
      <vt:lpstr>|--&gt;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EXTERNAL Nguyen Trung Hieu (Ban Vien, RBVH/EPS45)</dc:creator>
  <cp:lastModifiedBy>EXTERNAL Nguyen Tuan Duong (Ban Vien, RBVH/EPS45)</cp:lastModifiedBy>
  <dcterms:created xsi:type="dcterms:W3CDTF">2006-09-16T00:00:00Z</dcterms:created>
  <dcterms:modified xsi:type="dcterms:W3CDTF">2020-09-11T11:19:44Z</dcterms:modified>
</cp:coreProperties>
</file>