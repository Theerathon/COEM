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Mr.TD\Desktop\git\script_collect_load_tracking\sample\"/>
    </mc:Choice>
  </mc:AlternateContent>
  <xr:revisionPtr revIDLastSave="0" documentId="13_ncr:1_{54990F2A-B996-42D1-9AB2-4A4506A92CC6}" xr6:coauthVersionLast="45" xr6:coauthVersionMax="45" xr10:uidLastSave="{00000000-0000-0000-0000-000000000000}"/>
  <bookViews>
    <workbookView xWindow="-120" yWindow="-120" windowWidth="29040" windowHeight="15840" activeTab="2" xr2:uid="{00000000-000D-0000-FFFF-FFFF00000000}"/>
  </bookViews>
  <sheets>
    <sheet name="Merged_COEM" sheetId="4" r:id="rId1"/>
    <sheet name="RAW" sheetId="10" r:id="rId2"/>
    <sheet name="RAW_remove_BL" sheetId="11" r:id="rId3"/>
    <sheet name="Table" sheetId="6" r:id="rId4"/>
    <sheet name="Sheet1" sheetId="5" r:id="rId5"/>
    <sheet name="List" sheetId="7" r:id="rId6"/>
    <sheet name="Output" sheetId="8" r:id="rId7"/>
    <sheet name="Sheet5" sheetId="9" r:id="rId8"/>
  </sheets>
  <externalReferences>
    <externalReference r:id="rId9"/>
    <externalReference r:id="rId10"/>
    <externalReference r:id="rId11"/>
    <externalReference r:id="rId12"/>
    <externalReference r:id="rId13"/>
  </externalReferences>
  <definedNames>
    <definedName name="_xlnm._FilterDatabase" localSheetId="0" hidden="1">Merged_COEM!$B$47:$AN$599</definedName>
    <definedName name="_xlnm._FilterDatabase" localSheetId="4" hidden="1">Sheet1!$B$1:$J$523</definedName>
  </definedNames>
  <calcPr calcId="18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 i="8" l="1"/>
  <c r="F4" i="9" l="1"/>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3" i="9"/>
  <c r="D781" i="8" l="1"/>
  <c r="D780" i="8"/>
  <c r="D779" i="8"/>
  <c r="D778" i="8"/>
  <c r="D777" i="8"/>
  <c r="D776" i="8"/>
  <c r="D775" i="8"/>
  <c r="D774" i="8"/>
  <c r="D773" i="8"/>
  <c r="D772" i="8"/>
  <c r="D771" i="8"/>
  <c r="D770" i="8"/>
  <c r="D769" i="8"/>
  <c r="D768" i="8"/>
  <c r="D767" i="8"/>
  <c r="D766" i="8"/>
  <c r="D765" i="8"/>
  <c r="D764" i="8"/>
  <c r="D763" i="8"/>
  <c r="D762" i="8"/>
  <c r="D761" i="8"/>
  <c r="D760" i="8"/>
  <c r="D759" i="8"/>
  <c r="D758" i="8"/>
  <c r="D757" i="8"/>
  <c r="D756" i="8"/>
  <c r="D755" i="8"/>
  <c r="D754" i="8"/>
  <c r="D753" i="8"/>
  <c r="D752" i="8"/>
  <c r="D751" i="8"/>
  <c r="D750" i="8"/>
  <c r="D749" i="8"/>
  <c r="D748" i="8"/>
  <c r="D747" i="8"/>
  <c r="D746" i="8"/>
  <c r="D745" i="8"/>
  <c r="D744" i="8"/>
  <c r="D743" i="8"/>
  <c r="D742" i="8"/>
  <c r="D741" i="8"/>
  <c r="D740" i="8"/>
  <c r="D739" i="8"/>
  <c r="D738" i="8"/>
  <c r="D737" i="8"/>
  <c r="D736" i="8"/>
  <c r="D735" i="8"/>
  <c r="D734" i="8"/>
  <c r="D733" i="8"/>
  <c r="D732" i="8"/>
  <c r="D731" i="8"/>
  <c r="D730" i="8"/>
  <c r="D729" i="8"/>
  <c r="D728" i="8"/>
  <c r="D727" i="8"/>
  <c r="D726" i="8"/>
  <c r="D725" i="8"/>
  <c r="D724" i="8"/>
  <c r="D723" i="8"/>
  <c r="D722" i="8"/>
  <c r="D721" i="8"/>
  <c r="D720" i="8"/>
  <c r="D719" i="8"/>
  <c r="D718" i="8"/>
  <c r="D717" i="8"/>
  <c r="D716" i="8"/>
  <c r="D715" i="8"/>
  <c r="D714" i="8"/>
  <c r="D713" i="8"/>
  <c r="D712" i="8"/>
  <c r="D711" i="8"/>
  <c r="D710" i="8"/>
  <c r="D709" i="8"/>
  <c r="D708" i="8"/>
  <c r="D707" i="8"/>
  <c r="D706" i="8"/>
  <c r="D705" i="8"/>
  <c r="D704" i="8"/>
  <c r="D703" i="8"/>
  <c r="D702" i="8"/>
  <c r="D701" i="8"/>
  <c r="D700" i="8"/>
  <c r="D699" i="8"/>
  <c r="D698" i="8"/>
  <c r="D697" i="8"/>
  <c r="D696" i="8"/>
  <c r="D695" i="8"/>
  <c r="D694" i="8"/>
  <c r="D693" i="8"/>
  <c r="D692" i="8"/>
  <c r="D691" i="8"/>
  <c r="D690" i="8"/>
  <c r="D689" i="8"/>
  <c r="D688" i="8"/>
  <c r="D687" i="8"/>
  <c r="D686" i="8"/>
  <c r="D685" i="8"/>
  <c r="D684" i="8"/>
  <c r="D683" i="8"/>
  <c r="D682" i="8"/>
  <c r="D681" i="8"/>
  <c r="D680" i="8"/>
  <c r="D679" i="8"/>
  <c r="D678" i="8"/>
  <c r="D677" i="8"/>
  <c r="D676" i="8"/>
  <c r="D675" i="8"/>
  <c r="D674" i="8"/>
  <c r="D673" i="8"/>
  <c r="D672" i="8"/>
  <c r="D671" i="8"/>
  <c r="D670" i="8"/>
  <c r="D669" i="8"/>
  <c r="D668" i="8"/>
  <c r="D667" i="8"/>
  <c r="D666" i="8"/>
  <c r="D665" i="8"/>
  <c r="D664" i="8"/>
  <c r="D663" i="8"/>
  <c r="D662" i="8"/>
  <c r="D661" i="8"/>
  <c r="D660" i="8"/>
  <c r="D659" i="8"/>
  <c r="D658" i="8"/>
  <c r="D657" i="8"/>
  <c r="D656" i="8"/>
  <c r="D655" i="8"/>
  <c r="D654" i="8"/>
  <c r="D653" i="8"/>
  <c r="D652" i="8"/>
  <c r="D651" i="8"/>
  <c r="D650" i="8"/>
  <c r="D649" i="8"/>
  <c r="D648" i="8"/>
  <c r="D647" i="8"/>
  <c r="D646" i="8"/>
  <c r="D645" i="8"/>
  <c r="D644" i="8"/>
  <c r="D643" i="8"/>
  <c r="D642" i="8"/>
  <c r="D641" i="8"/>
  <c r="D640" i="8"/>
  <c r="D639" i="8"/>
  <c r="D638" i="8"/>
  <c r="D637" i="8"/>
  <c r="D636" i="8"/>
  <c r="D635" i="8"/>
  <c r="D634" i="8"/>
  <c r="D633" i="8"/>
  <c r="D632" i="8"/>
  <c r="D631" i="8"/>
  <c r="D630" i="8"/>
  <c r="D629" i="8"/>
  <c r="D628" i="8"/>
  <c r="D627" i="8"/>
  <c r="D626" i="8"/>
  <c r="D625" i="8"/>
  <c r="D624" i="8"/>
  <c r="D623" i="8"/>
  <c r="D622" i="8"/>
  <c r="D621" i="8"/>
  <c r="D620" i="8"/>
  <c r="D619" i="8"/>
  <c r="D618" i="8"/>
  <c r="D617" i="8"/>
  <c r="D616" i="8"/>
  <c r="D615" i="8"/>
  <c r="D614" i="8"/>
  <c r="D613" i="8"/>
  <c r="D612" i="8"/>
  <c r="D611" i="8"/>
  <c r="D610" i="8"/>
  <c r="D609" i="8"/>
  <c r="D608" i="8"/>
  <c r="D607" i="8"/>
  <c r="D606" i="8"/>
  <c r="D605" i="8"/>
  <c r="D604" i="8"/>
  <c r="D603" i="8"/>
  <c r="D602" i="8"/>
  <c r="D601" i="8"/>
  <c r="D600" i="8"/>
  <c r="D599" i="8"/>
  <c r="D598" i="8"/>
  <c r="D597" i="8"/>
  <c r="D596" i="8"/>
  <c r="D595" i="8"/>
  <c r="D594" i="8"/>
  <c r="D593" i="8"/>
  <c r="D592" i="8"/>
  <c r="D591" i="8"/>
  <c r="D590" i="8"/>
  <c r="D589" i="8"/>
  <c r="D588" i="8"/>
  <c r="D587" i="8"/>
  <c r="D586" i="8"/>
  <c r="D585" i="8"/>
  <c r="D584" i="8"/>
  <c r="D583" i="8"/>
  <c r="D582" i="8"/>
  <c r="D581" i="8"/>
  <c r="D580" i="8"/>
  <c r="D579" i="8"/>
  <c r="D578" i="8"/>
  <c r="D577" i="8"/>
  <c r="D576" i="8"/>
  <c r="D575" i="8"/>
  <c r="D574" i="8"/>
  <c r="D573" i="8"/>
  <c r="D572" i="8"/>
  <c r="D571" i="8"/>
  <c r="D570" i="8"/>
  <c r="D569" i="8"/>
  <c r="D568" i="8"/>
  <c r="D567" i="8"/>
  <c r="D566" i="8"/>
  <c r="D565" i="8"/>
  <c r="D564" i="8"/>
  <c r="D563" i="8"/>
  <c r="D562" i="8"/>
  <c r="D561" i="8"/>
  <c r="D560" i="8"/>
  <c r="D559" i="8"/>
  <c r="D558" i="8"/>
  <c r="D557" i="8"/>
  <c r="D556" i="8"/>
  <c r="D555" i="8"/>
  <c r="D554" i="8"/>
  <c r="D553" i="8"/>
  <c r="D552" i="8"/>
  <c r="D551" i="8"/>
  <c r="D550" i="8"/>
  <c r="D549" i="8"/>
  <c r="D548" i="8"/>
  <c r="D547" i="8"/>
  <c r="D546" i="8"/>
  <c r="D545" i="8"/>
  <c r="D544" i="8"/>
  <c r="D543" i="8"/>
  <c r="D542" i="8"/>
  <c r="D541" i="8"/>
  <c r="D540" i="8"/>
  <c r="D539" i="8"/>
  <c r="D538" i="8"/>
  <c r="D537" i="8"/>
  <c r="D536" i="8"/>
  <c r="D535" i="8"/>
  <c r="D534" i="8"/>
  <c r="D533" i="8"/>
  <c r="D532" i="8"/>
  <c r="D531" i="8"/>
  <c r="D530" i="8"/>
  <c r="D529" i="8"/>
  <c r="D528" i="8"/>
  <c r="D527" i="8"/>
  <c r="D526" i="8"/>
  <c r="D525" i="8"/>
  <c r="D524" i="8"/>
  <c r="D523" i="8"/>
  <c r="D522" i="8"/>
  <c r="D521" i="8"/>
  <c r="D520" i="8"/>
  <c r="D519" i="8"/>
  <c r="D518" i="8"/>
  <c r="D517" i="8"/>
  <c r="D516" i="8"/>
  <c r="D515" i="8"/>
  <c r="D514" i="8"/>
  <c r="D513" i="8"/>
  <c r="D512" i="8"/>
  <c r="D511" i="8"/>
  <c r="D510" i="8"/>
  <c r="D509" i="8"/>
  <c r="D508" i="8"/>
  <c r="D507" i="8"/>
  <c r="D506" i="8"/>
  <c r="D505" i="8"/>
  <c r="D504" i="8"/>
  <c r="D503" i="8"/>
  <c r="D502" i="8"/>
  <c r="D501" i="8"/>
  <c r="D500" i="8"/>
  <c r="D499" i="8"/>
  <c r="D498" i="8"/>
  <c r="D497" i="8"/>
  <c r="D496" i="8"/>
  <c r="D495" i="8"/>
  <c r="D494" i="8"/>
  <c r="D493" i="8"/>
  <c r="D492" i="8"/>
  <c r="D491" i="8"/>
  <c r="D490" i="8"/>
  <c r="D489" i="8"/>
  <c r="D488" i="8"/>
  <c r="D487" i="8"/>
  <c r="D486" i="8"/>
  <c r="D485" i="8"/>
  <c r="D484" i="8"/>
  <c r="D483" i="8"/>
  <c r="D482" i="8"/>
  <c r="D481" i="8"/>
  <c r="D480" i="8"/>
  <c r="D479" i="8"/>
  <c r="D478" i="8"/>
  <c r="D477" i="8"/>
  <c r="D476" i="8"/>
  <c r="D475" i="8"/>
  <c r="D474" i="8"/>
  <c r="D473" i="8"/>
  <c r="D472" i="8"/>
  <c r="D471" i="8"/>
  <c r="D470" i="8"/>
  <c r="D469" i="8"/>
  <c r="D468" i="8"/>
  <c r="D467" i="8"/>
  <c r="D466" i="8"/>
  <c r="D465" i="8"/>
  <c r="D464" i="8"/>
  <c r="D463" i="8"/>
  <c r="D462" i="8"/>
  <c r="D461" i="8"/>
  <c r="D460" i="8"/>
  <c r="D459" i="8"/>
  <c r="D458" i="8"/>
  <c r="D457" i="8"/>
  <c r="D456" i="8"/>
  <c r="D455" i="8"/>
  <c r="D454" i="8"/>
  <c r="D453" i="8"/>
  <c r="D452" i="8"/>
  <c r="D451" i="8"/>
  <c r="D450" i="8"/>
  <c r="D449" i="8"/>
  <c r="D448" i="8"/>
  <c r="D447" i="8"/>
  <c r="D446" i="8"/>
  <c r="D445" i="8"/>
  <c r="D444" i="8"/>
  <c r="D443" i="8"/>
  <c r="D442" i="8"/>
  <c r="D441" i="8"/>
  <c r="D440" i="8"/>
  <c r="D439" i="8"/>
  <c r="D438" i="8"/>
  <c r="D437" i="8"/>
  <c r="D436" i="8"/>
  <c r="D435" i="8"/>
  <c r="D434" i="8"/>
  <c r="D433" i="8"/>
  <c r="D432" i="8"/>
  <c r="D431" i="8"/>
  <c r="D430" i="8"/>
  <c r="D429" i="8"/>
  <c r="D428" i="8"/>
  <c r="D427" i="8"/>
  <c r="D426" i="8"/>
  <c r="D425" i="8"/>
  <c r="D424" i="8"/>
  <c r="D423" i="8"/>
  <c r="D422" i="8"/>
  <c r="D421" i="8"/>
  <c r="D420" i="8"/>
  <c r="D419" i="8"/>
  <c r="D418" i="8"/>
  <c r="D417" i="8"/>
  <c r="D416" i="8"/>
  <c r="D415" i="8"/>
  <c r="D414" i="8"/>
  <c r="D413" i="8"/>
  <c r="D412" i="8"/>
  <c r="D411" i="8"/>
  <c r="D410" i="8"/>
  <c r="D409" i="8"/>
  <c r="D408"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25" i="8"/>
  <c r="D324" i="8"/>
  <c r="D323" i="8"/>
  <c r="D322" i="8"/>
  <c r="D321" i="8"/>
  <c r="D320" i="8"/>
  <c r="D319" i="8"/>
  <c r="D318" i="8"/>
  <c r="D317" i="8"/>
  <c r="D316" i="8"/>
  <c r="D315"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4"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W599" i="4" l="1"/>
  <c r="W598" i="4"/>
  <c r="W597" i="4"/>
  <c r="W596" i="4"/>
  <c r="W595" i="4"/>
  <c r="Y594" i="4"/>
  <c r="X594" i="4"/>
  <c r="W593" i="4"/>
  <c r="X593" i="4" s="1"/>
  <c r="W592" i="4"/>
  <c r="Y592" i="4" s="1"/>
  <c r="W591" i="4"/>
  <c r="Y591" i="4" s="1"/>
  <c r="W590" i="4"/>
  <c r="Y590" i="4" s="1"/>
  <c r="W589" i="4"/>
  <c r="X589" i="4" s="1"/>
  <c r="W588" i="4"/>
  <c r="X588" i="4" s="1"/>
  <c r="W587" i="4"/>
  <c r="Y587" i="4" s="1"/>
  <c r="W586" i="4"/>
  <c r="Y586" i="4" s="1"/>
  <c r="W585" i="4"/>
  <c r="X585" i="4" s="1"/>
  <c r="W584" i="4"/>
  <c r="Y584" i="4" s="1"/>
  <c r="W583" i="4"/>
  <c r="X583" i="4" s="1"/>
  <c r="W582" i="4"/>
  <c r="Y582" i="4" s="1"/>
  <c r="W581" i="4"/>
  <c r="Y581" i="4" s="1"/>
  <c r="W580" i="4"/>
  <c r="Y580" i="4" s="1"/>
  <c r="W579" i="4"/>
  <c r="Y579" i="4" s="1"/>
  <c r="W578" i="4"/>
  <c r="Y578" i="4" s="1"/>
  <c r="W577" i="4"/>
  <c r="Y577" i="4" s="1"/>
  <c r="W576" i="4"/>
  <c r="X576" i="4" s="1"/>
  <c r="W575" i="4"/>
  <c r="Y575" i="4" s="1"/>
  <c r="W574" i="4"/>
  <c r="Y574" i="4" s="1"/>
  <c r="W573" i="4"/>
  <c r="Y573" i="4" s="1"/>
  <c r="W572" i="4"/>
  <c r="X572" i="4" s="1"/>
  <c r="X571" i="4"/>
  <c r="W571" i="4"/>
  <c r="Y571" i="4" s="1"/>
  <c r="W570" i="4"/>
  <c r="Y570" i="4" s="1"/>
  <c r="W569" i="4"/>
  <c r="Y569" i="4" s="1"/>
  <c r="W568" i="4"/>
  <c r="W567" i="4"/>
  <c r="W566" i="4"/>
  <c r="W565" i="4"/>
  <c r="W564" i="4"/>
  <c r="W563" i="4"/>
  <c r="W562" i="4"/>
  <c r="W561" i="4"/>
  <c r="W560" i="4"/>
  <c r="W559" i="4"/>
  <c r="W558" i="4"/>
  <c r="W557" i="4"/>
  <c r="Y557" i="4" s="1"/>
  <c r="W556" i="4"/>
  <c r="Y556" i="4" s="1"/>
  <c r="W555" i="4"/>
  <c r="Y555" i="4" s="1"/>
  <c r="W554" i="4"/>
  <c r="Y554" i="4" s="1"/>
  <c r="W553" i="4"/>
  <c r="Y553" i="4" s="1"/>
  <c r="W552" i="4"/>
  <c r="Y552" i="4" s="1"/>
  <c r="W551" i="4"/>
  <c r="Y551" i="4" s="1"/>
  <c r="W550" i="4"/>
  <c r="Y550" i="4" s="1"/>
  <c r="W549" i="4"/>
  <c r="Y549" i="4" s="1"/>
  <c r="W548" i="4"/>
  <c r="Y548" i="4" s="1"/>
  <c r="W547" i="4"/>
  <c r="Y547" i="4" s="1"/>
  <c r="W546" i="4"/>
  <c r="Y546" i="4" s="1"/>
  <c r="W545" i="4"/>
  <c r="Y545" i="4" s="1"/>
  <c r="W544" i="4"/>
  <c r="Y544" i="4" s="1"/>
  <c r="W543" i="4"/>
  <c r="Y543" i="4" s="1"/>
  <c r="W542" i="4"/>
  <c r="Y542" i="4" s="1"/>
  <c r="W541" i="4"/>
  <c r="Y541" i="4" s="1"/>
  <c r="W539" i="4"/>
  <c r="W538" i="4"/>
  <c r="W537" i="4"/>
  <c r="W536" i="4"/>
  <c r="W535" i="4"/>
  <c r="W534" i="4"/>
  <c r="Y533" i="4"/>
  <c r="X533" i="4"/>
  <c r="W532" i="4"/>
  <c r="Y532" i="4" s="1"/>
  <c r="Y531" i="4"/>
  <c r="X531" i="4"/>
  <c r="W530" i="4"/>
  <c r="Y530" i="4" s="1"/>
  <c r="Y529" i="4"/>
  <c r="X529" i="4"/>
  <c r="Y528" i="4"/>
  <c r="X528" i="4"/>
  <c r="W527" i="4"/>
  <c r="W526" i="4"/>
  <c r="Y525" i="4"/>
  <c r="X525" i="4"/>
  <c r="W524" i="4"/>
  <c r="Y524" i="4" s="1"/>
  <c r="W523" i="4"/>
  <c r="Y523" i="4" s="1"/>
  <c r="W522" i="4"/>
  <c r="X522" i="4" s="1"/>
  <c r="W521" i="4"/>
  <c r="Y521" i="4" s="1"/>
  <c r="W520" i="4"/>
  <c r="Y520" i="4" s="1"/>
  <c r="W519" i="4"/>
  <c r="Y519" i="4" s="1"/>
  <c r="W518" i="4"/>
  <c r="X518" i="4" s="1"/>
  <c r="W517" i="4"/>
  <c r="Y517" i="4" s="1"/>
  <c r="W516" i="4"/>
  <c r="Y516" i="4" s="1"/>
  <c r="W515" i="4"/>
  <c r="Y515" i="4" s="1"/>
  <c r="W514" i="4"/>
  <c r="X514" i="4" s="1"/>
  <c r="W513" i="4"/>
  <c r="Y513" i="4" s="1"/>
  <c r="W512" i="4"/>
  <c r="Y512" i="4" s="1"/>
  <c r="W511" i="4"/>
  <c r="Y511" i="4" s="1"/>
  <c r="W510" i="4"/>
  <c r="X510" i="4" s="1"/>
  <c r="W509" i="4"/>
  <c r="Y509" i="4" s="1"/>
  <c r="W508" i="4"/>
  <c r="Y508" i="4" s="1"/>
  <c r="Y507" i="4"/>
  <c r="X507" i="4"/>
  <c r="W506" i="4"/>
  <c r="Y506" i="4" s="1"/>
  <c r="W505" i="4"/>
  <c r="Y505" i="4" s="1"/>
  <c r="W504" i="4"/>
  <c r="Y504" i="4" s="1"/>
  <c r="W503" i="4"/>
  <c r="X503" i="4" s="1"/>
  <c r="W502" i="4"/>
  <c r="Y502" i="4" s="1"/>
  <c r="W501" i="4"/>
  <c r="Y501" i="4" s="1"/>
  <c r="W500" i="4"/>
  <c r="Y500" i="4" s="1"/>
  <c r="W499" i="4"/>
  <c r="X499" i="4" s="1"/>
  <c r="W498" i="4"/>
  <c r="Y498" i="4" s="1"/>
  <c r="W497" i="4"/>
  <c r="Y497" i="4" s="1"/>
  <c r="W496" i="4"/>
  <c r="Y496" i="4" s="1"/>
  <c r="Y495" i="4"/>
  <c r="X495" i="4"/>
  <c r="W494" i="4"/>
  <c r="Y494" i="4" s="1"/>
  <c r="W493" i="4"/>
  <c r="Y493" i="4" s="1"/>
  <c r="W492" i="4"/>
  <c r="Y492" i="4" s="1"/>
  <c r="W491" i="4"/>
  <c r="Y491" i="4" s="1"/>
  <c r="W490" i="4"/>
  <c r="Y490" i="4" s="1"/>
  <c r="Y489" i="4"/>
  <c r="W488" i="4"/>
  <c r="X488" i="4" s="1"/>
  <c r="W487" i="4"/>
  <c r="X487" i="4" s="1"/>
  <c r="W486" i="4"/>
  <c r="X486" i="4" s="1"/>
  <c r="W485" i="4"/>
  <c r="W484" i="4"/>
  <c r="X484" i="4" s="1"/>
  <c r="W483" i="4"/>
  <c r="X483" i="4" s="1"/>
  <c r="W482" i="4"/>
  <c r="X482" i="4" s="1"/>
  <c r="W481" i="4"/>
  <c r="Y480" i="4"/>
  <c r="X480" i="4"/>
  <c r="W479" i="4"/>
  <c r="Y479" i="4" s="1"/>
  <c r="W478" i="4"/>
  <c r="X478" i="4" s="1"/>
  <c r="W477" i="4"/>
  <c r="Y477" i="4" s="1"/>
  <c r="W476" i="4"/>
  <c r="Y476" i="4" s="1"/>
  <c r="W475" i="4"/>
  <c r="Y475" i="4" s="1"/>
  <c r="W474" i="4"/>
  <c r="X474" i="4" s="1"/>
  <c r="W473" i="4"/>
  <c r="Y473" i="4" s="1"/>
  <c r="W472" i="4"/>
  <c r="Y472" i="4" s="1"/>
  <c r="W471" i="4"/>
  <c r="Y471" i="4" s="1"/>
  <c r="W470" i="4"/>
  <c r="X470" i="4" s="1"/>
  <c r="W469" i="4"/>
  <c r="Y469" i="4" s="1"/>
  <c r="W468" i="4"/>
  <c r="Y468" i="4" s="1"/>
  <c r="W467" i="4"/>
  <c r="Y467" i="4" s="1"/>
  <c r="W466" i="4"/>
  <c r="X466" i="4" s="1"/>
  <c r="W465" i="4"/>
  <c r="Y465" i="4" s="1"/>
  <c r="W464" i="4"/>
  <c r="Y464" i="4" s="1"/>
  <c r="W463" i="4"/>
  <c r="Y463" i="4" s="1"/>
  <c r="W462" i="4"/>
  <c r="X462" i="4" s="1"/>
  <c r="W461" i="4"/>
  <c r="Y461" i="4" s="1"/>
  <c r="W460" i="4"/>
  <c r="Y460" i="4" s="1"/>
  <c r="W459" i="4"/>
  <c r="Y459" i="4" s="1"/>
  <c r="W458" i="4"/>
  <c r="X458" i="4" s="1"/>
  <c r="W457" i="4"/>
  <c r="Y457" i="4" s="1"/>
  <c r="W456" i="4"/>
  <c r="Y456" i="4" s="1"/>
  <c r="W455" i="4"/>
  <c r="Y455" i="4" s="1"/>
  <c r="W454" i="4"/>
  <c r="X454" i="4" s="1"/>
  <c r="W453" i="4"/>
  <c r="Y453" i="4" s="1"/>
  <c r="W452" i="4"/>
  <c r="Y452" i="4" s="1"/>
  <c r="W451" i="4"/>
  <c r="Y451" i="4" s="1"/>
  <c r="W450" i="4"/>
  <c r="Y450" i="4" s="1"/>
  <c r="W449" i="4"/>
  <c r="Y449" i="4" s="1"/>
  <c r="W448" i="4"/>
  <c r="X448" i="4" s="1"/>
  <c r="W447" i="4"/>
  <c r="Y447" i="4" s="1"/>
  <c r="W446" i="4"/>
  <c r="X446" i="4" s="1"/>
  <c r="W445" i="4"/>
  <c r="Y445" i="4" s="1"/>
  <c r="W444" i="4"/>
  <c r="X444" i="4" s="1"/>
  <c r="W443" i="4"/>
  <c r="Y443" i="4" s="1"/>
  <c r="W442" i="4"/>
  <c r="Y442" i="4" s="1"/>
  <c r="W441" i="4"/>
  <c r="Y441" i="4" s="1"/>
  <c r="W440" i="4"/>
  <c r="X440" i="4" s="1"/>
  <c r="W439" i="4"/>
  <c r="X439" i="4" s="1"/>
  <c r="W438" i="4"/>
  <c r="X438" i="4" s="1"/>
  <c r="W437" i="4"/>
  <c r="Y437" i="4" s="1"/>
  <c r="W436" i="4"/>
  <c r="X436" i="4" s="1"/>
  <c r="W435" i="4"/>
  <c r="X435" i="4" s="1"/>
  <c r="W434" i="4"/>
  <c r="Y434" i="4" s="1"/>
  <c r="W433" i="4"/>
  <c r="Y433" i="4" s="1"/>
  <c r="W432" i="4"/>
  <c r="X432" i="4" s="1"/>
  <c r="W431" i="4"/>
  <c r="Y431" i="4" s="1"/>
  <c r="W430" i="4"/>
  <c r="X430" i="4" s="1"/>
  <c r="W429" i="4"/>
  <c r="Y429" i="4" s="1"/>
  <c r="W428" i="4"/>
  <c r="X428" i="4" s="1"/>
  <c r="W427" i="4"/>
  <c r="X427" i="4" s="1"/>
  <c r="W426" i="4"/>
  <c r="Y426" i="4" s="1"/>
  <c r="W425" i="4"/>
  <c r="Y425" i="4" s="1"/>
  <c r="W424" i="4"/>
  <c r="X424" i="4" s="1"/>
  <c r="X423" i="4"/>
  <c r="W423" i="4"/>
  <c r="Y423" i="4" s="1"/>
  <c r="W422" i="4"/>
  <c r="X422" i="4" s="1"/>
  <c r="W421" i="4"/>
  <c r="Y421" i="4" s="1"/>
  <c r="W420" i="4"/>
  <c r="X420" i="4" s="1"/>
  <c r="W419" i="4"/>
  <c r="Y419" i="4" s="1"/>
  <c r="W418" i="4"/>
  <c r="Y418" i="4" s="1"/>
  <c r="W417" i="4"/>
  <c r="Y417" i="4" s="1"/>
  <c r="W416" i="4"/>
  <c r="X416" i="4" s="1"/>
  <c r="W415" i="4"/>
  <c r="Y415" i="4" s="1"/>
  <c r="W414" i="4"/>
  <c r="X414" i="4" s="1"/>
  <c r="W413" i="4"/>
  <c r="Y413" i="4" s="1"/>
  <c r="W412" i="4"/>
  <c r="X412" i="4" s="1"/>
  <c r="W411" i="4"/>
  <c r="Y411" i="4" s="1"/>
  <c r="W410" i="4"/>
  <c r="Y410" i="4" s="1"/>
  <c r="W409" i="4"/>
  <c r="Y409" i="4" s="1"/>
  <c r="W408" i="4"/>
  <c r="Y408" i="4" s="1"/>
  <c r="W403" i="4"/>
  <c r="Y403" i="4" s="1"/>
  <c r="W402" i="4"/>
  <c r="Y402" i="4" s="1"/>
  <c r="W401" i="4"/>
  <c r="X401" i="4" s="1"/>
  <c r="W400" i="4"/>
  <c r="Y400" i="4" s="1"/>
  <c r="W399" i="4"/>
  <c r="Y399" i="4" s="1"/>
  <c r="W398" i="4"/>
  <c r="Y398" i="4" s="1"/>
  <c r="W397" i="4"/>
  <c r="X397" i="4" s="1"/>
  <c r="W396" i="4"/>
  <c r="Y396" i="4" s="1"/>
  <c r="W395" i="4"/>
  <c r="Y395" i="4" s="1"/>
  <c r="W394" i="4"/>
  <c r="Y394" i="4" s="1"/>
  <c r="W393" i="4"/>
  <c r="X393" i="4" s="1"/>
  <c r="W392" i="4"/>
  <c r="Y392" i="4" s="1"/>
  <c r="W391" i="4"/>
  <c r="Y391" i="4" s="1"/>
  <c r="W390" i="4"/>
  <c r="Y390" i="4" s="1"/>
  <c r="W389" i="4"/>
  <c r="X389" i="4" s="1"/>
  <c r="W388" i="4"/>
  <c r="X388" i="4" s="1"/>
  <c r="W387" i="4"/>
  <c r="Y387" i="4" s="1"/>
  <c r="W386" i="4"/>
  <c r="Y386" i="4" s="1"/>
  <c r="W385" i="4"/>
  <c r="Y385" i="4" s="1"/>
  <c r="W384" i="4"/>
  <c r="X384" i="4" s="1"/>
  <c r="W383" i="4"/>
  <c r="Y383" i="4" s="1"/>
  <c r="W382" i="4"/>
  <c r="Y382" i="4" s="1"/>
  <c r="W381" i="4"/>
  <c r="Y381" i="4" s="1"/>
  <c r="W380" i="4"/>
  <c r="X380" i="4" s="1"/>
  <c r="W379" i="4"/>
  <c r="Y379" i="4" s="1"/>
  <c r="W378" i="4"/>
  <c r="Y378" i="4" s="1"/>
  <c r="W377" i="4"/>
  <c r="Y377" i="4" s="1"/>
  <c r="W376" i="4"/>
  <c r="X376" i="4" s="1"/>
  <c r="W375" i="4"/>
  <c r="Y375" i="4" s="1"/>
  <c r="B375" i="4"/>
  <c r="B376" i="4" s="1"/>
  <c r="B377" i="4" s="1"/>
  <c r="B378" i="4" s="1"/>
  <c r="B379" i="4" s="1"/>
  <c r="B380" i="4" s="1"/>
  <c r="B381" i="4" s="1"/>
  <c r="B382" i="4" s="1"/>
  <c r="B383" i="4" s="1"/>
  <c r="B384" i="4" s="1"/>
  <c r="B385" i="4" s="1"/>
  <c r="B386" i="4" s="1"/>
  <c r="B387" i="4" s="1"/>
  <c r="B388" i="4" s="1"/>
  <c r="B389" i="4" s="1"/>
  <c r="B390" i="4" s="1"/>
  <c r="B391" i="4" s="1"/>
  <c r="B392" i="4" s="1"/>
  <c r="B393" i="4" s="1"/>
  <c r="B394" i="4" s="1"/>
  <c r="B395" i="4" s="1"/>
  <c r="B396" i="4" s="1"/>
  <c r="B397" i="4" s="1"/>
  <c r="B398" i="4" s="1"/>
  <c r="B399" i="4" s="1"/>
  <c r="B400" i="4" s="1"/>
  <c r="B401" i="4" s="1"/>
  <c r="B402" i="4" s="1"/>
  <c r="B403" i="4" s="1"/>
  <c r="B404" i="4" s="1"/>
  <c r="B405" i="4" s="1"/>
  <c r="B406" i="4" s="1"/>
  <c r="B407" i="4" s="1"/>
  <c r="B408" i="4" s="1"/>
  <c r="B409" i="4" s="1"/>
  <c r="B410" i="4" s="1"/>
  <c r="B411" i="4" s="1"/>
  <c r="B412" i="4" s="1"/>
  <c r="B413" i="4" s="1"/>
  <c r="B414" i="4" s="1"/>
  <c r="B415" i="4" s="1"/>
  <c r="B416" i="4" s="1"/>
  <c r="B417" i="4" s="1"/>
  <c r="B418" i="4" s="1"/>
  <c r="B419" i="4" s="1"/>
  <c r="B420" i="4" s="1"/>
  <c r="B421" i="4" s="1"/>
  <c r="B422" i="4" s="1"/>
  <c r="B423" i="4" s="1"/>
  <c r="B424" i="4" s="1"/>
  <c r="B425" i="4" s="1"/>
  <c r="B426" i="4" s="1"/>
  <c r="B427" i="4" s="1"/>
  <c r="B428" i="4" s="1"/>
  <c r="B429" i="4" s="1"/>
  <c r="B430" i="4" s="1"/>
  <c r="B431" i="4" s="1"/>
  <c r="B432" i="4" s="1"/>
  <c r="B433" i="4" s="1"/>
  <c r="B434" i="4" s="1"/>
  <c r="B435" i="4" s="1"/>
  <c r="B436" i="4" s="1"/>
  <c r="B437" i="4" s="1"/>
  <c r="B438" i="4" s="1"/>
  <c r="B439" i="4" s="1"/>
  <c r="B440" i="4" s="1"/>
  <c r="B441" i="4" s="1"/>
  <c r="B442" i="4" s="1"/>
  <c r="B443" i="4" s="1"/>
  <c r="B444" i="4" s="1"/>
  <c r="B445" i="4" s="1"/>
  <c r="B446" i="4" s="1"/>
  <c r="B447" i="4" s="1"/>
  <c r="B448" i="4" s="1"/>
  <c r="B449" i="4" s="1"/>
  <c r="B450" i="4" s="1"/>
  <c r="B451" i="4" s="1"/>
  <c r="B452" i="4" s="1"/>
  <c r="B453" i="4" s="1"/>
  <c r="B454" i="4" s="1"/>
  <c r="B455" i="4" s="1"/>
  <c r="B456" i="4" s="1"/>
  <c r="B457" i="4" s="1"/>
  <c r="B458" i="4" s="1"/>
  <c r="B459" i="4" s="1"/>
  <c r="B460" i="4" s="1"/>
  <c r="B461" i="4" s="1"/>
  <c r="B462" i="4" s="1"/>
  <c r="B463" i="4" s="1"/>
  <c r="B464" i="4" s="1"/>
  <c r="B465" i="4" s="1"/>
  <c r="B466" i="4" s="1"/>
  <c r="B467" i="4" s="1"/>
  <c r="B468" i="4" s="1"/>
  <c r="B469" i="4" s="1"/>
  <c r="B470" i="4" s="1"/>
  <c r="B471" i="4" s="1"/>
  <c r="B472" i="4" s="1"/>
  <c r="B473" i="4" s="1"/>
  <c r="B474" i="4" s="1"/>
  <c r="B475" i="4" s="1"/>
  <c r="B476" i="4" s="1"/>
  <c r="B477" i="4" s="1"/>
  <c r="B478" i="4" s="1"/>
  <c r="B479" i="4" s="1"/>
  <c r="B480" i="4" s="1"/>
  <c r="B481" i="4" s="1"/>
  <c r="B482" i="4" s="1"/>
  <c r="B483" i="4" s="1"/>
  <c r="B484" i="4" s="1"/>
  <c r="B485" i="4" s="1"/>
  <c r="B486" i="4" s="1"/>
  <c r="B487" i="4" s="1"/>
  <c r="B488" i="4" s="1"/>
  <c r="B489" i="4" s="1"/>
  <c r="B490" i="4" s="1"/>
  <c r="B491" i="4" s="1"/>
  <c r="B492" i="4" s="1"/>
  <c r="B493" i="4" s="1"/>
  <c r="B494" i="4" s="1"/>
  <c r="B495" i="4" s="1"/>
  <c r="B496" i="4" s="1"/>
  <c r="B497" i="4" s="1"/>
  <c r="B498" i="4" s="1"/>
  <c r="B499" i="4" s="1"/>
  <c r="B500" i="4" s="1"/>
  <c r="B501" i="4" s="1"/>
  <c r="B502" i="4" s="1"/>
  <c r="B503" i="4" s="1"/>
  <c r="B504" i="4" s="1"/>
  <c r="B505" i="4" s="1"/>
  <c r="B506" i="4" s="1"/>
  <c r="B507" i="4" s="1"/>
  <c r="B508" i="4" s="1"/>
  <c r="B509" i="4" s="1"/>
  <c r="B510" i="4" s="1"/>
  <c r="B511" i="4" s="1"/>
  <c r="B512" i="4" s="1"/>
  <c r="B513" i="4" s="1"/>
  <c r="B514" i="4" s="1"/>
  <c r="B515" i="4" s="1"/>
  <c r="B516" i="4" s="1"/>
  <c r="B517" i="4" s="1"/>
  <c r="B518" i="4" s="1"/>
  <c r="B519" i="4" s="1"/>
  <c r="B520" i="4" s="1"/>
  <c r="B521" i="4" s="1"/>
  <c r="B522" i="4" s="1"/>
  <c r="B523" i="4" s="1"/>
  <c r="B524" i="4" s="1"/>
  <c r="B525" i="4" s="1"/>
  <c r="B526" i="4" s="1"/>
  <c r="B527" i="4" s="1"/>
  <c r="B528" i="4" s="1"/>
  <c r="B529" i="4" s="1"/>
  <c r="B530" i="4" s="1"/>
  <c r="B531" i="4" s="1"/>
  <c r="B532" i="4" s="1"/>
  <c r="B533" i="4" s="1"/>
  <c r="B534" i="4" s="1"/>
  <c r="B535" i="4" s="1"/>
  <c r="B536" i="4" s="1"/>
  <c r="B537" i="4" s="1"/>
  <c r="B538" i="4" s="1"/>
  <c r="B539" i="4" s="1"/>
  <c r="B540" i="4" s="1"/>
  <c r="B541" i="4" s="1"/>
  <c r="B542" i="4" s="1"/>
  <c r="B543" i="4" s="1"/>
  <c r="B544" i="4" s="1"/>
  <c r="B545" i="4" s="1"/>
  <c r="B546" i="4" s="1"/>
  <c r="B547" i="4" s="1"/>
  <c r="B548" i="4" s="1"/>
  <c r="B549" i="4" s="1"/>
  <c r="B550" i="4" s="1"/>
  <c r="B551" i="4" s="1"/>
  <c r="B552" i="4" s="1"/>
  <c r="B553" i="4" s="1"/>
  <c r="B554" i="4" s="1"/>
  <c r="B555" i="4" s="1"/>
  <c r="B556" i="4" s="1"/>
  <c r="B557" i="4" s="1"/>
  <c r="B558" i="4" s="1"/>
  <c r="B559" i="4" s="1"/>
  <c r="B560" i="4" s="1"/>
  <c r="B561" i="4" s="1"/>
  <c r="B562" i="4" s="1"/>
  <c r="B563" i="4" s="1"/>
  <c r="B564" i="4" s="1"/>
  <c r="B565" i="4" s="1"/>
  <c r="B566" i="4" s="1"/>
  <c r="B567" i="4" s="1"/>
  <c r="B568" i="4" s="1"/>
  <c r="B569" i="4" s="1"/>
  <c r="B570" i="4" s="1"/>
  <c r="B571" i="4" s="1"/>
  <c r="B572" i="4" s="1"/>
  <c r="B573" i="4" s="1"/>
  <c r="B574" i="4" s="1"/>
  <c r="B575" i="4" s="1"/>
  <c r="B576" i="4" s="1"/>
  <c r="B577" i="4" s="1"/>
  <c r="B578" i="4" s="1"/>
  <c r="B579" i="4" s="1"/>
  <c r="B580" i="4" s="1"/>
  <c r="B581" i="4" s="1"/>
  <c r="B582" i="4" s="1"/>
  <c r="B583" i="4" s="1"/>
  <c r="B584" i="4" s="1"/>
  <c r="B585" i="4" s="1"/>
  <c r="B586" i="4" s="1"/>
  <c r="B587" i="4" s="1"/>
  <c r="B588" i="4" s="1"/>
  <c r="B589" i="4" s="1"/>
  <c r="B590" i="4" s="1"/>
  <c r="B591" i="4" s="1"/>
  <c r="B592" i="4" s="1"/>
  <c r="B593" i="4" s="1"/>
  <c r="B594" i="4" s="1"/>
  <c r="B595" i="4" s="1"/>
  <c r="B596" i="4" s="1"/>
  <c r="B597" i="4" s="1"/>
  <c r="B598" i="4" s="1"/>
  <c r="B599" i="4" s="1"/>
  <c r="Y583" i="4" l="1"/>
  <c r="X573" i="4"/>
  <c r="X377" i="4"/>
  <c r="Y503" i="4"/>
  <c r="Y389" i="4"/>
  <c r="X379" i="4"/>
  <c r="Y393" i="4"/>
  <c r="X396" i="4"/>
  <c r="Y499" i="4"/>
  <c r="X524" i="4"/>
  <c r="X582" i="4"/>
  <c r="Y588" i="4"/>
  <c r="X591" i="4"/>
  <c r="X530" i="4"/>
  <c r="X592" i="4"/>
  <c r="X375" i="4"/>
  <c r="Y397" i="4"/>
  <c r="X400" i="4"/>
  <c r="Y427" i="4"/>
  <c r="Y430" i="4"/>
  <c r="X447" i="4"/>
  <c r="X453" i="4"/>
  <c r="Y458" i="4"/>
  <c r="X461" i="4"/>
  <c r="Y466" i="4"/>
  <c r="X469" i="4"/>
  <c r="Y474" i="4"/>
  <c r="X477" i="4"/>
  <c r="X497" i="4"/>
  <c r="X505" i="4"/>
  <c r="Y510" i="4"/>
  <c r="X513" i="4"/>
  <c r="Y518" i="4"/>
  <c r="X521" i="4"/>
  <c r="X575" i="4"/>
  <c r="X587" i="4"/>
  <c r="X391" i="4"/>
  <c r="Y401" i="4"/>
  <c r="X411" i="4"/>
  <c r="Y435" i="4"/>
  <c r="Y438" i="4"/>
  <c r="Y454" i="4"/>
  <c r="X457" i="4"/>
  <c r="Y462" i="4"/>
  <c r="X465" i="4"/>
  <c r="Y470" i="4"/>
  <c r="X473" i="4"/>
  <c r="Y478" i="4"/>
  <c r="X501" i="4"/>
  <c r="X509" i="4"/>
  <c r="Y514" i="4"/>
  <c r="X517" i="4"/>
  <c r="Y522" i="4"/>
  <c r="X385" i="4"/>
  <c r="X387" i="4"/>
  <c r="X415" i="4"/>
  <c r="Y439" i="4"/>
  <c r="X493" i="4"/>
  <c r="X498" i="4"/>
  <c r="X502" i="4"/>
  <c r="X506" i="4"/>
  <c r="X532" i="4"/>
  <c r="X574" i="4"/>
  <c r="X584" i="4"/>
  <c r="X586" i="4"/>
  <c r="X381" i="4"/>
  <c r="X383" i="4"/>
  <c r="X395" i="4"/>
  <c r="X399" i="4"/>
  <c r="X403" i="4"/>
  <c r="X443" i="4"/>
  <c r="X452" i="4"/>
  <c r="X456" i="4"/>
  <c r="X460" i="4"/>
  <c r="X464" i="4"/>
  <c r="X468" i="4"/>
  <c r="X472" i="4"/>
  <c r="X476" i="4"/>
  <c r="X491" i="4"/>
  <c r="X508" i="4"/>
  <c r="X512" i="4"/>
  <c r="X516" i="4"/>
  <c r="X520" i="4"/>
  <c r="X590" i="4"/>
  <c r="Y572" i="4"/>
  <c r="Y576" i="4"/>
  <c r="Y585" i="4"/>
  <c r="Y589" i="4"/>
  <c r="Y593" i="4"/>
  <c r="Y376" i="4"/>
  <c r="Y380" i="4"/>
  <c r="Y384" i="4"/>
  <c r="Y388" i="4"/>
  <c r="X394" i="4"/>
  <c r="X398" i="4"/>
  <c r="X402" i="4"/>
  <c r="Y414" i="4"/>
  <c r="X419" i="4"/>
  <c r="X431" i="4"/>
  <c r="Y446" i="4"/>
  <c r="X451" i="4"/>
  <c r="X455" i="4"/>
  <c r="X459" i="4"/>
  <c r="X463" i="4"/>
  <c r="X467" i="4"/>
  <c r="X471" i="4"/>
  <c r="X475" i="4"/>
  <c r="X479" i="4"/>
  <c r="Y484" i="4"/>
  <c r="X490" i="4"/>
  <c r="X492" i="4"/>
  <c r="X494" i="4"/>
  <c r="X496" i="4"/>
  <c r="X500" i="4"/>
  <c r="X504" i="4"/>
  <c r="X511" i="4"/>
  <c r="X515" i="4"/>
  <c r="X519" i="4"/>
  <c r="X523" i="4"/>
  <c r="Y422" i="4"/>
  <c r="Y488" i="4"/>
  <c r="X485" i="4"/>
  <c r="Y485" i="4"/>
  <c r="Y535" i="4"/>
  <c r="X535" i="4"/>
  <c r="Y561" i="4"/>
  <c r="X561" i="4"/>
  <c r="X378" i="4"/>
  <c r="X382" i="4"/>
  <c r="X386" i="4"/>
  <c r="X390" i="4"/>
  <c r="X413" i="4"/>
  <c r="Y416" i="4"/>
  <c r="X418" i="4"/>
  <c r="X421" i="4"/>
  <c r="Y424" i="4"/>
  <c r="X426" i="4"/>
  <c r="X429" i="4"/>
  <c r="Y432" i="4"/>
  <c r="X434" i="4"/>
  <c r="X437" i="4"/>
  <c r="Y440" i="4"/>
  <c r="X442" i="4"/>
  <c r="X445" i="4"/>
  <c r="Y448" i="4"/>
  <c r="Y482" i="4"/>
  <c r="Y487" i="4"/>
  <c r="Y559" i="4"/>
  <c r="X559" i="4"/>
  <c r="Y567" i="4"/>
  <c r="X567" i="4"/>
  <c r="X481" i="4"/>
  <c r="Y481" i="4"/>
  <c r="Y527" i="4"/>
  <c r="X527" i="4"/>
  <c r="Y539" i="4"/>
  <c r="X539" i="4"/>
  <c r="Y565" i="4"/>
  <c r="X565" i="4"/>
  <c r="Y412" i="4"/>
  <c r="X417" i="4"/>
  <c r="Y420" i="4"/>
  <c r="X425" i="4"/>
  <c r="Y428" i="4"/>
  <c r="X433" i="4"/>
  <c r="Y436" i="4"/>
  <c r="X441" i="4"/>
  <c r="Y444" i="4"/>
  <c r="X449" i="4"/>
  <c r="Y483" i="4"/>
  <c r="Y486" i="4"/>
  <c r="Y537" i="4"/>
  <c r="X537" i="4"/>
  <c r="Y563" i="4"/>
  <c r="X563" i="4"/>
  <c r="Y526" i="4"/>
  <c r="X526" i="4"/>
  <c r="Y534" i="4"/>
  <c r="X534" i="4"/>
  <c r="Y536" i="4"/>
  <c r="X536" i="4"/>
  <c r="Y538" i="4"/>
  <c r="X538" i="4"/>
  <c r="Y558" i="4"/>
  <c r="X558" i="4"/>
  <c r="Y560" i="4"/>
  <c r="X560" i="4"/>
  <c r="Y562" i="4"/>
  <c r="X562" i="4"/>
  <c r="Y564" i="4"/>
  <c r="X564" i="4"/>
  <c r="Y566" i="4"/>
  <c r="X566" i="4"/>
  <c r="Y568" i="4"/>
  <c r="X568" i="4"/>
  <c r="Y596" i="4"/>
  <c r="X596" i="4"/>
  <c r="Y598" i="4"/>
  <c r="X598" i="4"/>
  <c r="Y595" i="4"/>
  <c r="X595" i="4"/>
  <c r="Y597" i="4"/>
  <c r="X597" i="4"/>
  <c r="Y599" i="4"/>
  <c r="X599" i="4"/>
  <c r="W374" i="4" l="1"/>
  <c r="Y374" i="4" s="1"/>
  <c r="W373" i="4"/>
  <c r="X373" i="4" s="1"/>
  <c r="W372" i="4"/>
  <c r="X372" i="4" s="1"/>
  <c r="W371" i="4"/>
  <c r="Y371" i="4" s="1"/>
  <c r="W370" i="4"/>
  <c r="X370" i="4" s="1"/>
  <c r="W369" i="4"/>
  <c r="Y369" i="4" s="1"/>
  <c r="W368" i="4"/>
  <c r="X368" i="4" s="1"/>
  <c r="W367" i="4"/>
  <c r="Y367" i="4" s="1"/>
  <c r="W366" i="4"/>
  <c r="Y366" i="4" s="1"/>
  <c r="W365" i="4"/>
  <c r="Y365" i="4" s="1"/>
  <c r="W364" i="4"/>
  <c r="Y364" i="4" s="1"/>
  <c r="W363" i="4"/>
  <c r="Y363" i="4" s="1"/>
  <c r="W362" i="4"/>
  <c r="Y362" i="4" s="1"/>
  <c r="W361" i="4"/>
  <c r="Y361" i="4" s="1"/>
  <c r="W360" i="4"/>
  <c r="Y360" i="4" s="1"/>
  <c r="W359" i="4"/>
  <c r="Y359" i="4" s="1"/>
  <c r="W358" i="4"/>
  <c r="Y358" i="4" s="1"/>
  <c r="W357" i="4"/>
  <c r="Y357" i="4" s="1"/>
  <c r="W356" i="4"/>
  <c r="Y356" i="4" s="1"/>
  <c r="W355" i="4"/>
  <c r="Y355" i="4" s="1"/>
  <c r="W354" i="4"/>
  <c r="Y354" i="4" s="1"/>
  <c r="W353" i="4"/>
  <c r="Y353" i="4" s="1"/>
  <c r="W352" i="4"/>
  <c r="X352" i="4" s="1"/>
  <c r="W351" i="4"/>
  <c r="X351" i="4" s="1"/>
  <c r="W350" i="4"/>
  <c r="X350" i="4" s="1"/>
  <c r="W349" i="4"/>
  <c r="X349" i="4" s="1"/>
  <c r="W348" i="4"/>
  <c r="X348" i="4" s="1"/>
  <c r="Y342" i="4"/>
  <c r="W332" i="4"/>
  <c r="X332" i="4" s="1"/>
  <c r="W331" i="4"/>
  <c r="X331" i="4" s="1"/>
  <c r="W330" i="4"/>
  <c r="X330" i="4" s="1"/>
  <c r="W329" i="4"/>
  <c r="X329" i="4" s="1"/>
  <c r="W328" i="4"/>
  <c r="X328" i="4" s="1"/>
  <c r="W327" i="4"/>
  <c r="X327" i="4" s="1"/>
  <c r="W326" i="4"/>
  <c r="X326" i="4" s="1"/>
  <c r="W325" i="4"/>
  <c r="X325" i="4" s="1"/>
  <c r="W324" i="4"/>
  <c r="X324" i="4" s="1"/>
  <c r="W323" i="4"/>
  <c r="X323" i="4" s="1"/>
  <c r="W322" i="4"/>
  <c r="X322" i="4" s="1"/>
  <c r="W321" i="4"/>
  <c r="X321" i="4" s="1"/>
  <c r="W320" i="4"/>
  <c r="X320" i="4" s="1"/>
  <c r="W319" i="4"/>
  <c r="X319" i="4" s="1"/>
  <c r="W318" i="4"/>
  <c r="X318" i="4" s="1"/>
  <c r="W317" i="4"/>
  <c r="X317" i="4" s="1"/>
  <c r="W316" i="4"/>
  <c r="X316" i="4" s="1"/>
  <c r="W315" i="4"/>
  <c r="X315" i="4" s="1"/>
  <c r="W314" i="4"/>
  <c r="X314" i="4" s="1"/>
  <c r="W313" i="4"/>
  <c r="X313" i="4" s="1"/>
  <c r="W312" i="4"/>
  <c r="X312" i="4" s="1"/>
  <c r="W311" i="4"/>
  <c r="X311" i="4" s="1"/>
  <c r="W310" i="4"/>
  <c r="X310" i="4" s="1"/>
  <c r="W309" i="4"/>
  <c r="X309" i="4" s="1"/>
  <c r="W308" i="4"/>
  <c r="X308" i="4" s="1"/>
  <c r="W307" i="4"/>
  <c r="X307" i="4" s="1"/>
  <c r="W306" i="4"/>
  <c r="X306" i="4" s="1"/>
  <c r="W305" i="4"/>
  <c r="X305" i="4" s="1"/>
  <c r="W304" i="4"/>
  <c r="X304" i="4" s="1"/>
  <c r="W303" i="4"/>
  <c r="X303" i="4" s="1"/>
  <c r="W302" i="4"/>
  <c r="X302" i="4" s="1"/>
  <c r="W301" i="4"/>
  <c r="X301" i="4" s="1"/>
  <c r="W300" i="4"/>
  <c r="X300" i="4" s="1"/>
  <c r="W299" i="4"/>
  <c r="X299" i="4" s="1"/>
  <c r="W298" i="4"/>
  <c r="X298" i="4" s="1"/>
  <c r="W297" i="4"/>
  <c r="X297" i="4" s="1"/>
  <c r="W296" i="4"/>
  <c r="X296" i="4" s="1"/>
  <c r="W295" i="4"/>
  <c r="X295" i="4" s="1"/>
  <c r="W294" i="4"/>
  <c r="X294" i="4" s="1"/>
  <c r="W293" i="4"/>
  <c r="Y293" i="4" s="1"/>
  <c r="W292" i="4"/>
  <c r="Y292" i="4" s="1"/>
  <c r="W291" i="4"/>
  <c r="Y291" i="4" s="1"/>
  <c r="W290" i="4"/>
  <c r="X290" i="4" s="1"/>
  <c r="W289" i="4"/>
  <c r="Y289" i="4" s="1"/>
  <c r="W288" i="4"/>
  <c r="Y288" i="4" s="1"/>
  <c r="W287" i="4"/>
  <c r="Y287" i="4" s="1"/>
  <c r="W286" i="4"/>
  <c r="X286" i="4" s="1"/>
  <c r="W285" i="4"/>
  <c r="X285" i="4" s="1"/>
  <c r="W284" i="4"/>
  <c r="Y284" i="4" s="1"/>
  <c r="W283" i="4"/>
  <c r="Y283" i="4" s="1"/>
  <c r="W282" i="4"/>
  <c r="X282" i="4" s="1"/>
  <c r="W281" i="4"/>
  <c r="X281" i="4" s="1"/>
  <c r="W280" i="4"/>
  <c r="Y280" i="4" s="1"/>
  <c r="W279" i="4"/>
  <c r="Y279" i="4" s="1"/>
  <c r="W278" i="4"/>
  <c r="X278" i="4" s="1"/>
  <c r="W277" i="4"/>
  <c r="Y277" i="4" s="1"/>
  <c r="W276" i="4"/>
  <c r="Y276" i="4" s="1"/>
  <c r="W275" i="4"/>
  <c r="Y275" i="4" s="1"/>
  <c r="W274" i="4"/>
  <c r="X274" i="4" s="1"/>
  <c r="W273" i="4"/>
  <c r="Y273" i="4" s="1"/>
  <c r="W272" i="4"/>
  <c r="Y272" i="4" s="1"/>
  <c r="W271" i="4"/>
  <c r="Y271" i="4" s="1"/>
  <c r="W270" i="4"/>
  <c r="X270" i="4" s="1"/>
  <c r="Z269" i="4"/>
  <c r="W269" i="4"/>
  <c r="X269" i="4" s="1"/>
  <c r="W268" i="4"/>
  <c r="X268" i="4" s="1"/>
  <c r="W267" i="4"/>
  <c r="X267" i="4" s="1"/>
  <c r="W266" i="4"/>
  <c r="W265" i="4"/>
  <c r="X265" i="4" s="1"/>
  <c r="W264" i="4"/>
  <c r="X264" i="4" s="1"/>
  <c r="W263" i="4"/>
  <c r="X263" i="4" s="1"/>
  <c r="W262" i="4"/>
  <c r="W261" i="4"/>
  <c r="X261" i="4" s="1"/>
  <c r="W260" i="4"/>
  <c r="X260" i="4" s="1"/>
  <c r="W259" i="4"/>
  <c r="X259" i="4" s="1"/>
  <c r="W258" i="4"/>
  <c r="Y257" i="4"/>
  <c r="W256" i="4"/>
  <c r="Y256" i="4" s="1"/>
  <c r="W255" i="4"/>
  <c r="Y255" i="4" s="1"/>
  <c r="V254" i="4"/>
  <c r="W254" i="4" s="1"/>
  <c r="Y254" i="4" s="1"/>
  <c r="W253" i="4"/>
  <c r="Y253" i="4" s="1"/>
  <c r="V252" i="4"/>
  <c r="W252" i="4" s="1"/>
  <c r="V251" i="4"/>
  <c r="W251" i="4" s="1"/>
  <c r="V250" i="4"/>
  <c r="W250" i="4" s="1"/>
  <c r="Y250" i="4" s="1"/>
  <c r="V249" i="4"/>
  <c r="W249" i="4" s="1"/>
  <c r="V248" i="4"/>
  <c r="W248" i="4" s="1"/>
  <c r="W247" i="4"/>
  <c r="Y246" i="4"/>
  <c r="X246" i="4"/>
  <c r="W245" i="4"/>
  <c r="Y245" i="4" s="1"/>
  <c r="W244" i="4"/>
  <c r="W243" i="4"/>
  <c r="W242" i="4"/>
  <c r="Y241" i="4"/>
  <c r="X241" i="4"/>
  <c r="W240" i="4"/>
  <c r="X240" i="4" s="1"/>
  <c r="W239" i="4"/>
  <c r="X239" i="4" s="1"/>
  <c r="W238" i="4"/>
  <c r="X238" i="4" s="1"/>
  <c r="W237" i="4"/>
  <c r="X237" i="4" s="1"/>
  <c r="W236" i="4"/>
  <c r="X236" i="4" s="1"/>
  <c r="W235" i="4"/>
  <c r="X235" i="4" s="1"/>
  <c r="W234" i="4"/>
  <c r="X234" i="4" s="1"/>
  <c r="W233" i="4"/>
  <c r="X233" i="4" s="1"/>
  <c r="W232" i="4"/>
  <c r="Y232" i="4" s="1"/>
  <c r="W231" i="4"/>
  <c r="X231" i="4" s="1"/>
  <c r="W230" i="4"/>
  <c r="X230" i="4" s="1"/>
  <c r="W229" i="4"/>
  <c r="X229" i="4" s="1"/>
  <c r="B229" i="4"/>
  <c r="B230" i="4" s="1"/>
  <c r="B231" i="4" s="1"/>
  <c r="B232" i="4" s="1"/>
  <c r="B233" i="4" s="1"/>
  <c r="B234" i="4" s="1"/>
  <c r="B235" i="4" s="1"/>
  <c r="B236" i="4" s="1"/>
  <c r="B237" i="4" s="1"/>
  <c r="B238" i="4" s="1"/>
  <c r="B239" i="4" s="1"/>
  <c r="B240" i="4" s="1"/>
  <c r="B241" i="4" s="1"/>
  <c r="B242" i="4" s="1"/>
  <c r="B243" i="4" s="1"/>
  <c r="B244" i="4" s="1"/>
  <c r="B245" i="4" s="1"/>
  <c r="B246" i="4" s="1"/>
  <c r="B247" i="4" s="1"/>
  <c r="B248" i="4" s="1"/>
  <c r="B249" i="4" s="1"/>
  <c r="B250" i="4" s="1"/>
  <c r="B251" i="4" s="1"/>
  <c r="B252" i="4" s="1"/>
  <c r="B253" i="4" s="1"/>
  <c r="B254" i="4" s="1"/>
  <c r="B255" i="4" s="1"/>
  <c r="B256" i="4" s="1"/>
  <c r="B257" i="4" s="1"/>
  <c r="B258" i="4" s="1"/>
  <c r="B259" i="4" s="1"/>
  <c r="B260" i="4" s="1"/>
  <c r="B261" i="4" s="1"/>
  <c r="B262" i="4" s="1"/>
  <c r="B263" i="4" s="1"/>
  <c r="B264" i="4" s="1"/>
  <c r="B265" i="4" s="1"/>
  <c r="B266" i="4" s="1"/>
  <c r="B267" i="4" s="1"/>
  <c r="B268" i="4" s="1"/>
  <c r="B269" i="4" s="1"/>
  <c r="B270" i="4" s="1"/>
  <c r="B271" i="4" s="1"/>
  <c r="B272" i="4" s="1"/>
  <c r="B273" i="4" s="1"/>
  <c r="B274" i="4" s="1"/>
  <c r="B275" i="4" s="1"/>
  <c r="B276" i="4" s="1"/>
  <c r="B277" i="4" s="1"/>
  <c r="B278" i="4" s="1"/>
  <c r="B279" i="4" s="1"/>
  <c r="B280" i="4" s="1"/>
  <c r="B281" i="4" s="1"/>
  <c r="B282" i="4" s="1"/>
  <c r="B283" i="4" s="1"/>
  <c r="B284" i="4" s="1"/>
  <c r="B285" i="4" s="1"/>
  <c r="B286" i="4" s="1"/>
  <c r="B287" i="4" s="1"/>
  <c r="B288" i="4" s="1"/>
  <c r="B289" i="4" s="1"/>
  <c r="B290" i="4" s="1"/>
  <c r="B291" i="4" s="1"/>
  <c r="B292" i="4" s="1"/>
  <c r="B293" i="4" s="1"/>
  <c r="B294" i="4" s="1"/>
  <c r="B295" i="4" s="1"/>
  <c r="B296" i="4" s="1"/>
  <c r="B297" i="4" s="1"/>
  <c r="B298" i="4" s="1"/>
  <c r="B299" i="4" s="1"/>
  <c r="B300" i="4" s="1"/>
  <c r="B301" i="4" s="1"/>
  <c r="B302" i="4" s="1"/>
  <c r="B303" i="4" s="1"/>
  <c r="B304" i="4" s="1"/>
  <c r="B305" i="4" s="1"/>
  <c r="B306" i="4" s="1"/>
  <c r="B307" i="4" s="1"/>
  <c r="B308" i="4" s="1"/>
  <c r="B309" i="4" s="1"/>
  <c r="B310" i="4" s="1"/>
  <c r="B311" i="4" s="1"/>
  <c r="B312" i="4" s="1"/>
  <c r="B313" i="4" s="1"/>
  <c r="B314" i="4" s="1"/>
  <c r="B315" i="4" s="1"/>
  <c r="B316" i="4" s="1"/>
  <c r="B317" i="4" s="1"/>
  <c r="B318" i="4" s="1"/>
  <c r="B319" i="4" s="1"/>
  <c r="B320" i="4" s="1"/>
  <c r="B321" i="4" s="1"/>
  <c r="B322" i="4" s="1"/>
  <c r="B323" i="4" s="1"/>
  <c r="B324" i="4" s="1"/>
  <c r="B325" i="4" s="1"/>
  <c r="B326" i="4" s="1"/>
  <c r="B327" i="4" s="1"/>
  <c r="B328" i="4" s="1"/>
  <c r="B329" i="4" s="1"/>
  <c r="B330" i="4" s="1"/>
  <c r="B331" i="4" s="1"/>
  <c r="B332" i="4" s="1"/>
  <c r="B333" i="4" s="1"/>
  <c r="B334" i="4" s="1"/>
  <c r="B335" i="4" s="1"/>
  <c r="B336" i="4" s="1"/>
  <c r="B337" i="4" s="1"/>
  <c r="B338" i="4" s="1"/>
  <c r="B339" i="4" s="1"/>
  <c r="B340" i="4" s="1"/>
  <c r="B341" i="4" s="1"/>
  <c r="B342" i="4" s="1"/>
  <c r="B343" i="4" s="1"/>
  <c r="B344" i="4" s="1"/>
  <c r="B345" i="4" s="1"/>
  <c r="B346" i="4" s="1"/>
  <c r="B347" i="4" s="1"/>
  <c r="B348" i="4" s="1"/>
  <c r="B349" i="4" s="1"/>
  <c r="B350" i="4" s="1"/>
  <c r="B351" i="4" s="1"/>
  <c r="B352" i="4" s="1"/>
  <c r="B353" i="4" s="1"/>
  <c r="B354" i="4" s="1"/>
  <c r="B355" i="4" s="1"/>
  <c r="B356" i="4" s="1"/>
  <c r="B357" i="4" s="1"/>
  <c r="B358" i="4" s="1"/>
  <c r="B359" i="4" s="1"/>
  <c r="B360" i="4" s="1"/>
  <c r="B361" i="4" s="1"/>
  <c r="B362" i="4" s="1"/>
  <c r="B363" i="4" s="1"/>
  <c r="B364" i="4" s="1"/>
  <c r="B365" i="4" s="1"/>
  <c r="B366" i="4" s="1"/>
  <c r="B367" i="4" s="1"/>
  <c r="B368" i="4" s="1"/>
  <c r="B369" i="4" s="1"/>
  <c r="B370" i="4" s="1"/>
  <c r="B371" i="4" s="1"/>
  <c r="B372" i="4" s="1"/>
  <c r="B373" i="4" s="1"/>
  <c r="W228" i="4"/>
  <c r="Y228" i="4" s="1"/>
  <c r="Y281" i="4" l="1"/>
  <c r="Y372" i="4"/>
  <c r="Y286" i="4"/>
  <c r="Y278" i="4"/>
  <c r="X289" i="4"/>
  <c r="Y229" i="4"/>
  <c r="Y285" i="4"/>
  <c r="Y373" i="4"/>
  <c r="Y370" i="4"/>
  <c r="Z370" i="4" s="1"/>
  <c r="Y237" i="4"/>
  <c r="Y274" i="4"/>
  <c r="X277" i="4"/>
  <c r="Y290" i="4"/>
  <c r="Y235" i="4"/>
  <c r="Y270" i="4"/>
  <c r="X273" i="4"/>
  <c r="Y233" i="4"/>
  <c r="Y231" i="4"/>
  <c r="Y239" i="4"/>
  <c r="Y282" i="4"/>
  <c r="Y352" i="4"/>
  <c r="Y230" i="4"/>
  <c r="Y236" i="4"/>
  <c r="Y240" i="4"/>
  <c r="X276" i="4"/>
  <c r="X280" i="4"/>
  <c r="X284" i="4"/>
  <c r="X288" i="4"/>
  <c r="X292" i="4"/>
  <c r="Y296" i="4"/>
  <c r="Y299" i="4"/>
  <c r="Y304" i="4"/>
  <c r="Y307" i="4"/>
  <c r="Y312" i="4"/>
  <c r="Y315" i="4"/>
  <c r="Y320" i="4"/>
  <c r="Y323" i="4"/>
  <c r="Y328" i="4"/>
  <c r="Y331" i="4"/>
  <c r="Y368" i="4"/>
  <c r="Y234" i="4"/>
  <c r="Y238" i="4"/>
  <c r="Y259" i="4"/>
  <c r="Y264" i="4"/>
  <c r="Y267" i="4"/>
  <c r="X272" i="4"/>
  <c r="X271" i="4"/>
  <c r="X275" i="4"/>
  <c r="X279" i="4"/>
  <c r="X283" i="4"/>
  <c r="X287" i="4"/>
  <c r="X291" i="4"/>
  <c r="Y348" i="4"/>
  <c r="Y351" i="4"/>
  <c r="X367" i="4"/>
  <c r="X374" i="4"/>
  <c r="X232" i="4"/>
  <c r="X228" i="4"/>
  <c r="Y260" i="4"/>
  <c r="Y263" i="4"/>
  <c r="Y268" i="4"/>
  <c r="Y295" i="4"/>
  <c r="Y300" i="4"/>
  <c r="Y303" i="4"/>
  <c r="Y308" i="4"/>
  <c r="Y311" i="4"/>
  <c r="Y316" i="4"/>
  <c r="Y319" i="4"/>
  <c r="Y324" i="4"/>
  <c r="Y327" i="4"/>
  <c r="Y332" i="4"/>
  <c r="Y248" i="4"/>
  <c r="X248" i="4"/>
  <c r="X249" i="4"/>
  <c r="Y249" i="4"/>
  <c r="Y252" i="4"/>
  <c r="X252" i="4"/>
  <c r="Y242" i="4"/>
  <c r="X242" i="4"/>
  <c r="Y244" i="4"/>
  <c r="X244" i="4"/>
  <c r="X266" i="4"/>
  <c r="Y266" i="4"/>
  <c r="Y247" i="4"/>
  <c r="X247" i="4"/>
  <c r="Y251" i="4"/>
  <c r="X251" i="4"/>
  <c r="X253" i="4"/>
  <c r="X262" i="4"/>
  <c r="Y262" i="4"/>
  <c r="Y243" i="4"/>
  <c r="X243" i="4"/>
  <c r="X245" i="4"/>
  <c r="X258" i="4"/>
  <c r="Y258" i="4"/>
  <c r="X250" i="4"/>
  <c r="Y294" i="4"/>
  <c r="Y298" i="4"/>
  <c r="Y302" i="4"/>
  <c r="Y306" i="4"/>
  <c r="Y310" i="4"/>
  <c r="Y314" i="4"/>
  <c r="Y318" i="4"/>
  <c r="Y322" i="4"/>
  <c r="Y326" i="4"/>
  <c r="Y330" i="4"/>
  <c r="Y350" i="4"/>
  <c r="X371" i="4"/>
  <c r="X255" i="4"/>
  <c r="Y261" i="4"/>
  <c r="Y265" i="4"/>
  <c r="Y269" i="4"/>
  <c r="Y297" i="4"/>
  <c r="Y301" i="4"/>
  <c r="Y305" i="4"/>
  <c r="Y309" i="4"/>
  <c r="Y313" i="4"/>
  <c r="Y317" i="4"/>
  <c r="Y321" i="4"/>
  <c r="Y325" i="4"/>
  <c r="Y329" i="4"/>
  <c r="Y34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EXTERNAL Nguyen Tuan Duong (Ban Vien, RBVH/EPS45)</author>
    <author>EXTERNAL Nguyen Trung Hieu (Ban Vien, RBVH/EPS45)</author>
    <author>EXTERNAL Do Anh Huy (Ban Vien Company, RBVH/EPS45)</author>
  </authors>
  <commentList>
    <comment ref="V249" authorId="0" shapeId="0" xr:uid="{00000000-0006-0000-0000-000001000000}">
      <text>
        <r>
          <rPr>
            <b/>
            <sz val="9"/>
            <color indexed="81"/>
            <rFont val="Tahoma"/>
            <family val="2"/>
          </rPr>
          <t>EXTERNAL Nguyen Tuan Duong (Ban Vien, RBVH/EPS45):</t>
        </r>
        <r>
          <rPr>
            <sz val="9"/>
            <color indexed="81"/>
            <rFont val="Tahoma"/>
            <family val="2"/>
          </rPr>
          <t xml:space="preserve">
Prj China mainstream -&gt; double effort
</t>
        </r>
      </text>
    </comment>
    <comment ref="I298" authorId="1" shapeId="0" xr:uid="{00000000-0006-0000-0000-000002000000}">
      <text>
        <r>
          <rPr>
            <b/>
            <sz val="9"/>
            <color indexed="81"/>
            <rFont val="Tahoma"/>
            <family val="2"/>
          </rPr>
          <t>EXTERNAL Nguyen Trung Hieu (Ban Vien, RBVH/EPS45):</t>
        </r>
        <r>
          <rPr>
            <sz val="9"/>
            <color indexed="81"/>
            <rFont val="Tahoma"/>
            <family val="2"/>
          </rPr>
          <t xml:space="preserve">
Support for Mr Hai 20200511
</t>
        </r>
      </text>
    </comment>
    <comment ref="I370" authorId="1" shapeId="0" xr:uid="{00000000-0006-0000-0000-000003000000}">
      <text>
        <r>
          <rPr>
            <b/>
            <sz val="9"/>
            <color indexed="81"/>
            <rFont val="Tahoma"/>
            <family val="2"/>
          </rPr>
          <t>EXTERNAL Nguyen Trung Hieu (Ban Vien, RBVH/EPS45):</t>
        </r>
        <r>
          <rPr>
            <sz val="9"/>
            <color indexed="81"/>
            <rFont val="Tahoma"/>
            <family val="2"/>
          </rPr>
          <t xml:space="preserve">
Please get high priory for CNMS_UT task because it need to release on 12.May.2020
</t>
        </r>
      </text>
    </comment>
    <comment ref="G471" authorId="1" shapeId="0" xr:uid="{00000000-0006-0000-0000-000004000000}">
      <text>
        <r>
          <rPr>
            <b/>
            <sz val="9"/>
            <color indexed="81"/>
            <rFont val="Tahoma"/>
            <family val="2"/>
          </rPr>
          <t>EXTERNAL Nguyen Trung Hieu (Ban Vien, RBVH/EPS45):</t>
        </r>
        <r>
          <rPr>
            <sz val="9"/>
            <color indexed="81"/>
            <rFont val="Tahoma"/>
            <family val="2"/>
          </rPr>
          <t xml:space="preserve">
//10.184.143.103/d/vivi/BV/DB/urgent/SGMW_ESP93_Carbon_Int.zip</t>
        </r>
        <r>
          <rPr>
            <sz val="9"/>
            <color indexed="81"/>
            <rFont val="Tahoma"/>
            <family val="2"/>
          </rPr>
          <t xml:space="preserve">
</t>
        </r>
      </text>
    </comment>
    <comment ref="G472" authorId="1" shapeId="0" xr:uid="{00000000-0006-0000-0000-000005000000}">
      <text>
        <r>
          <rPr>
            <b/>
            <sz val="9"/>
            <color indexed="81"/>
            <rFont val="Tahoma"/>
            <family val="2"/>
          </rPr>
          <t>EXTERNAL Nguyen Trung Hieu (Ban Vien, RBVH/EPS45):</t>
        </r>
        <r>
          <rPr>
            <sz val="9"/>
            <color indexed="81"/>
            <rFont val="Tahoma"/>
            <family val="2"/>
          </rPr>
          <t xml:space="preserve">
\\10.184.143.103\d\vivi\BV\DB\16Apr\Geely_ESP93_Carbon_Int
</t>
        </r>
      </text>
    </comment>
    <comment ref="G476" authorId="1" shapeId="0" xr:uid="{00000000-0006-0000-0000-000006000000}">
      <text>
        <r>
          <rPr>
            <b/>
            <sz val="9"/>
            <color indexed="81"/>
            <rFont val="Tahoma"/>
            <family val="2"/>
          </rPr>
          <t>EXTERNAL Nguyen Trung Hieu (Ban Vien, RBVH/EPS45):</t>
        </r>
        <r>
          <rPr>
            <sz val="9"/>
            <color indexed="81"/>
            <rFont val="Tahoma"/>
            <family val="2"/>
          </rPr>
          <t xml:space="preserve">
\\10.184.143.103\d\vivi\BV\DB\16Apr\FAW_Beryllium_D090HighG6_&amp;__D090LowG6_RC_INT
</t>
        </r>
      </text>
    </comment>
    <comment ref="G480" authorId="1" shapeId="0" xr:uid="{00000000-0006-0000-0000-000007000000}">
      <text>
        <r>
          <rPr>
            <b/>
            <sz val="9"/>
            <color indexed="81"/>
            <rFont val="Tahoma"/>
            <family val="2"/>
          </rPr>
          <t>EXTERNAL Nguyen Trung Hieu (Ban Vien, RBVH/EPS45):</t>
        </r>
        <r>
          <rPr>
            <sz val="9"/>
            <color indexed="81"/>
            <rFont val="Tahoma"/>
            <family val="2"/>
          </rPr>
          <t xml:space="preserve">
\\10.184.143.103\d\vivi\BV\DB\16Apr\SAIC_A_ARCH_CMP_ESP93_Carbon_Int
</t>
        </r>
      </text>
    </comment>
    <comment ref="C485" authorId="1" shapeId="0" xr:uid="{00000000-0006-0000-0000-000008000000}">
      <text>
        <r>
          <rPr>
            <b/>
            <sz val="9"/>
            <color indexed="81"/>
            <rFont val="Tahoma"/>
            <family val="2"/>
          </rPr>
          <t>EXTERNAL Nguyen Trung Hieu (Ban Vien, RBVH/EPS45):</t>
        </r>
        <r>
          <rPr>
            <sz val="9"/>
            <color indexed="81"/>
            <rFont val="Tahoma"/>
            <family val="2"/>
          </rPr>
          <t xml:space="preserve">
Count for 21Apr
</t>
        </r>
      </text>
    </comment>
    <comment ref="G485" authorId="1" shapeId="0" xr:uid="{00000000-0006-0000-0000-000009000000}">
      <text>
        <r>
          <rPr>
            <b/>
            <sz val="9"/>
            <color indexed="81"/>
            <rFont val="Tahoma"/>
            <family val="2"/>
          </rPr>
          <t>EXTERNAL Nguyen Trung Hieu (Ban Vien, RBVH/EPS45):</t>
        </r>
        <r>
          <rPr>
            <sz val="9"/>
            <color indexed="81"/>
            <rFont val="Tahoma"/>
            <family val="2"/>
          </rPr>
          <t xml:space="preserve">
\\10.184.143.103\d\vivi\BV\DB\16Apr
</t>
        </r>
      </text>
    </comment>
    <comment ref="N489" authorId="1" shapeId="0" xr:uid="{00000000-0006-0000-0000-00000A000000}">
      <text>
        <r>
          <rPr>
            <b/>
            <sz val="9"/>
            <color indexed="81"/>
            <rFont val="Tahoma"/>
            <family val="2"/>
          </rPr>
          <t>EXTERNAL Nguyen Trung Hieu (Ban Vien, RBVH/EPS45):</t>
        </r>
        <r>
          <rPr>
            <sz val="9"/>
            <color indexed="81"/>
            <rFont val="Tahoma"/>
            <family val="2"/>
          </rPr>
          <t xml:space="preserve">
CEVT_GEEA_SMART_Deuterium_Int is changed to GEEA2.0
</t>
        </r>
      </text>
    </comment>
    <comment ref="N490" authorId="1" shapeId="0" xr:uid="{00000000-0006-0000-0000-00000B000000}">
      <text>
        <r>
          <rPr>
            <b/>
            <sz val="9"/>
            <color indexed="81"/>
            <rFont val="Tahoma"/>
            <family val="2"/>
          </rPr>
          <t>EXTERNAL Nguyen Trung Hieu (Ban Vien, RBVH/EPS45):</t>
        </r>
        <r>
          <rPr>
            <sz val="9"/>
            <color indexed="81"/>
            <rFont val="Tahoma"/>
            <family val="2"/>
          </rPr>
          <t xml:space="preserve">
RE: [JOEM] [COEM_UT][TASK ASSIGNMENT][16_APR]: BYD_IPB_SR_HC is the same with BYD_IPB_BL05_Int
</t>
        </r>
      </text>
    </comment>
    <comment ref="F493" authorId="2" shapeId="0" xr:uid="{00000000-0006-0000-0000-00000C000000}">
      <text>
        <r>
          <rPr>
            <b/>
            <sz val="9"/>
            <color indexed="81"/>
            <rFont val="Tahoma"/>
            <family val="2"/>
          </rPr>
          <t>EXTERNAL Do Anh Huy (Ban Vien Company, RBVH/EPS45):</t>
        </r>
        <r>
          <rPr>
            <sz val="9"/>
            <color indexed="81"/>
            <rFont val="Tahoma"/>
            <family val="2"/>
          </rPr>
          <t xml:space="preserve">
Confirm by  Pham Quoc Bao
</t>
        </r>
      </text>
    </comment>
    <comment ref="C558" authorId="1" shapeId="0" xr:uid="{00000000-0006-0000-0000-00000D000000}">
      <text>
        <r>
          <rPr>
            <b/>
            <sz val="9"/>
            <color indexed="81"/>
            <rFont val="Tahoma"/>
            <family val="2"/>
          </rPr>
          <t>EXTERNAL Nguyen Trung Hieu (Ban Vien, RBVH/EPS45):</t>
        </r>
        <r>
          <rPr>
            <sz val="9"/>
            <color indexed="81"/>
            <rFont val="Tahoma"/>
            <family val="2"/>
          </rPr>
          <t xml:space="preserve">
\\10.184.143.103\d\vivi\BV\DB\18Apr
</t>
        </r>
        <r>
          <rPr>
            <b/>
            <sz val="9"/>
            <color indexed="81"/>
            <rFont val="Tahoma"/>
            <family val="2"/>
          </rPr>
          <t>EXTERNAL Nguyen Trung Hieu (Ban Vien, RBVH/EPS45):</t>
        </r>
        <r>
          <rPr>
            <sz val="9"/>
            <color indexed="81"/>
            <rFont val="Tahoma"/>
            <family val="2"/>
          </rPr>
          <t xml:space="preserve">
Wrong name: Int is correct
Geely_Beryllium2_In
Geely_Beryllium2_OBD_China6_In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EXTERNAL Nguyen Trung Hieu (Ban Vien, RBVH/EPS45)</author>
    <author>EXTERNAL Nguyen Tai Hau (Ban Vien, RBVH/EPS45)</author>
    <author>EXTERNAL Nguyen Tuan Duong (Ban Vien, RBVH/EPS45)</author>
  </authors>
  <commentList>
    <comment ref="AD48" authorId="0" shapeId="0" xr:uid="{33EF53DA-422D-437B-A965-8099676936BB}">
      <text>
        <r>
          <rPr>
            <b/>
            <sz val="9"/>
            <color indexed="81"/>
            <rFont val="Tahoma"/>
            <family val="2"/>
          </rPr>
          <t>EXTERNAL Nguyen Trung Hieu (Ban Vien, RBVH/EPS45):</t>
        </r>
        <r>
          <rPr>
            <sz val="9"/>
            <color indexed="81"/>
            <rFont val="Tahoma"/>
            <family val="2"/>
          </rPr>
          <t xml:space="preserve">
Shift date, confirm by Mr. Hai
</t>
        </r>
      </text>
    </comment>
    <comment ref="I49" authorId="0" shapeId="0" xr:uid="{BD1C760E-3D58-4002-B4AB-E63B11FAA81B}">
      <text>
        <r>
          <rPr>
            <b/>
            <sz val="9"/>
            <color indexed="81"/>
            <rFont val="Tahoma"/>
            <family val="2"/>
          </rPr>
          <t>EXTERNAL Nguyen Trung Hieu (Ban Vien, RBVH/EPS45):</t>
        </r>
        <r>
          <rPr>
            <sz val="9"/>
            <color indexed="81"/>
            <rFont val="Tahoma"/>
            <family val="2"/>
          </rPr>
          <t xml:space="preserve">
support Mr. Hai test. Assign task 16h00 20200515
</t>
        </r>
      </text>
    </comment>
    <comment ref="AD49" authorId="0" shapeId="0" xr:uid="{51305913-1330-4BBB-A125-A4F8DE384FE4}">
      <text>
        <r>
          <rPr>
            <b/>
            <sz val="9"/>
            <color indexed="81"/>
            <rFont val="Tahoma"/>
            <family val="2"/>
          </rPr>
          <t>EXTERNAL Nguyen Trung Hieu (Ban Vien, RBVH/EPS45):</t>
        </r>
        <r>
          <rPr>
            <sz val="9"/>
            <color indexed="81"/>
            <rFont val="Tahoma"/>
            <family val="2"/>
          </rPr>
          <t xml:space="preserve">
Shift date confirm by Mr. Hai
</t>
        </r>
      </text>
    </comment>
    <comment ref="N50" authorId="1" shapeId="0" xr:uid="{8C3DF318-11EC-4773-A29C-EE1FCBEB8242}">
      <text>
        <r>
          <rPr>
            <b/>
            <sz val="9"/>
            <color indexed="81"/>
            <rFont val="Tahoma"/>
            <family val="2"/>
          </rPr>
          <t>EXTERNAL Nguyen Tai Hau (Ban Vien, RBVH/EPS45):</t>
        </r>
        <r>
          <rPr>
            <sz val="9"/>
            <color indexed="81"/>
            <rFont val="Tahoma"/>
            <family val="2"/>
          </rPr>
          <t xml:space="preserve">
FAW_L3_MainPath_HevX_Int_N confirm with Tran Hoang Hai
</t>
        </r>
      </text>
    </comment>
    <comment ref="N158" authorId="0" shapeId="0" xr:uid="{18E86825-42F1-4DDA-B831-EBB54989D89B}">
      <text>
        <r>
          <rPr>
            <b/>
            <sz val="9"/>
            <color indexed="81"/>
            <rFont val="Tahoma"/>
            <family val="2"/>
          </rPr>
          <t>EXTERNAL Nguyen Trung Hieu (Ban Vien, RBVH/EPS45):</t>
        </r>
        <r>
          <rPr>
            <sz val="9"/>
            <color indexed="81"/>
            <rFont val="Tahoma"/>
            <family val="2"/>
          </rPr>
          <t xml:space="preserve">
Wrong database =&gt; Fixed
</t>
        </r>
      </text>
    </comment>
    <comment ref="E187" authorId="0" shapeId="0" xr:uid="{3A4FA773-29ED-45F2-A45E-8CB57B336C2E}">
      <text>
        <r>
          <rPr>
            <b/>
            <sz val="9"/>
            <color indexed="81"/>
            <rFont val="Tahoma"/>
            <family val="2"/>
          </rPr>
          <t>EXTERNAL Nguyen Trung Hieu (Ban Vien, RBVH/EPS45):</t>
        </r>
        <r>
          <rPr>
            <sz val="9"/>
            <color indexed="81"/>
            <rFont val="Tahoma"/>
            <family val="2"/>
          </rPr>
          <t xml:space="preserve">
Please comment follow ASPICE Standard 
</t>
        </r>
      </text>
    </comment>
    <comment ref="AD351" authorId="0" shapeId="0" xr:uid="{E8191EA8-ED12-4C64-BACD-93EF3C6980C2}">
      <text>
        <r>
          <rPr>
            <b/>
            <sz val="9"/>
            <color indexed="81"/>
            <rFont val="Tahoma"/>
            <family val="2"/>
          </rPr>
          <t>EXTERNAL Nguyen Trung Hieu (Ban Vien, RBVH/EPS45):</t>
        </r>
        <r>
          <rPr>
            <sz val="9"/>
            <color indexed="81"/>
            <rFont val="Tahoma"/>
            <family val="2"/>
          </rPr>
          <t xml:space="preserve">
Shift duedate because OPL is response late
</t>
        </r>
      </text>
    </comment>
    <comment ref="AD352" authorId="0" shapeId="0" xr:uid="{9947E1CC-98CF-4DB6-AEB7-BB9927E05512}">
      <text>
        <r>
          <rPr>
            <b/>
            <sz val="9"/>
            <color indexed="81"/>
            <rFont val="Tahoma"/>
            <family val="2"/>
          </rPr>
          <t>EXTERNAL Nguyen Trung Hieu (Ban Vien, RBVH/EPS45):</t>
        </r>
        <r>
          <rPr>
            <sz val="9"/>
            <color indexed="81"/>
            <rFont val="Tahoma"/>
            <family val="2"/>
          </rPr>
          <t xml:space="preserve">
Shift duedate because OPL is response late
</t>
        </r>
      </text>
    </comment>
    <comment ref="N390" authorId="0" shapeId="0" xr:uid="{2285B4AD-E7D3-4C47-90B2-EE41BD3B6515}">
      <text>
        <r>
          <rPr>
            <b/>
            <sz val="9"/>
            <color indexed="81"/>
            <rFont val="Tahoma"/>
            <family val="2"/>
          </rPr>
          <t>EXTERNAL Nguyen Trung Hieu (Ban Vien, RBVH/EPS45):</t>
        </r>
        <r>
          <rPr>
            <sz val="9"/>
            <color indexed="81"/>
            <rFont val="Tahoma"/>
            <family val="2"/>
          </rPr>
          <t xml:space="preserve">
Wrong database =&gt; GAC_ESPHevX_HADHAP =&gt; GAC_ESPHevX_HADHAP_Int
</t>
        </r>
      </text>
    </comment>
    <comment ref="V488" authorId="2" shapeId="0" xr:uid="{08419827-7DE9-4E19-97E0-DE93D754DB1A}">
      <text>
        <r>
          <rPr>
            <b/>
            <sz val="9"/>
            <color indexed="81"/>
            <rFont val="Tahoma"/>
            <family val="2"/>
          </rPr>
          <t>EXTERNAL Nguyen Tuan Duong (Ban Vien, RBVH/EPS45):</t>
        </r>
        <r>
          <rPr>
            <sz val="9"/>
            <color indexed="81"/>
            <rFont val="Tahoma"/>
            <family val="2"/>
          </rPr>
          <t xml:space="preserve">
Re-use old result, don't need to test
</t>
        </r>
      </text>
    </comment>
    <comment ref="V489" authorId="2" shapeId="0" xr:uid="{F2FB61E7-3469-4E1D-975E-049B5FCFF814}">
      <text>
        <r>
          <rPr>
            <b/>
            <sz val="9"/>
            <color indexed="81"/>
            <rFont val="Tahoma"/>
            <family val="2"/>
          </rPr>
          <t>EXTERNAL Nguyen Tuan Duong (Ban Vien, RBVH/EPS45):</t>
        </r>
        <r>
          <rPr>
            <sz val="9"/>
            <color indexed="81"/>
            <rFont val="Tahoma"/>
            <family val="2"/>
          </rPr>
          <t xml:space="preserve">
Re-use old result, don't need to test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EXTERNAL Nguyen Trung Hieu (Ban Vien, RBVH/EPS45)</author>
    <author>EXTERNAL Nguyen Tai Hau (Ban Vien, RBVH/EPS45)</author>
    <author>EXTERNAL Nguyen Tuan Duong (Ban Vien, RBVH/EPS45)</author>
  </authors>
  <commentList>
    <comment ref="AD48" authorId="0" shapeId="0" xr:uid="{4CB732DE-57DD-4F29-ACAC-5878EC510FA3}">
      <text>
        <r>
          <rPr>
            <b/>
            <sz val="9"/>
            <color indexed="81"/>
            <rFont val="Tahoma"/>
            <family val="2"/>
          </rPr>
          <t>EXTERNAL Nguyen Trung Hieu (Ban Vien, RBVH/EPS45):</t>
        </r>
        <r>
          <rPr>
            <sz val="9"/>
            <color indexed="81"/>
            <rFont val="Tahoma"/>
            <family val="2"/>
          </rPr>
          <t xml:space="preserve">
Shift date, confirm by Mr. Hai
</t>
        </r>
      </text>
    </comment>
    <comment ref="I49" authorId="0" shapeId="0" xr:uid="{9E62B3BD-433A-4280-B993-B4828E929EE7}">
      <text>
        <r>
          <rPr>
            <b/>
            <sz val="9"/>
            <color indexed="81"/>
            <rFont val="Tahoma"/>
            <family val="2"/>
          </rPr>
          <t>EXTERNAL Nguyen Trung Hieu (Ban Vien, RBVH/EPS45):</t>
        </r>
        <r>
          <rPr>
            <sz val="9"/>
            <color indexed="81"/>
            <rFont val="Tahoma"/>
            <family val="2"/>
          </rPr>
          <t xml:space="preserve">
support Mr. Hai test. Assign task 16h00 20200515
</t>
        </r>
      </text>
    </comment>
    <comment ref="AD49" authorId="0" shapeId="0" xr:uid="{7714CB1B-39CD-4B15-A2F3-99E4E9012487}">
      <text>
        <r>
          <rPr>
            <b/>
            <sz val="9"/>
            <color indexed="81"/>
            <rFont val="Tahoma"/>
            <family val="2"/>
          </rPr>
          <t>EXTERNAL Nguyen Trung Hieu (Ban Vien, RBVH/EPS45):</t>
        </r>
        <r>
          <rPr>
            <sz val="9"/>
            <color indexed="81"/>
            <rFont val="Tahoma"/>
            <family val="2"/>
          </rPr>
          <t xml:space="preserve">
Shift date confirm by Mr. Hai
</t>
        </r>
      </text>
    </comment>
    <comment ref="N50" authorId="1" shapeId="0" xr:uid="{682F03F5-5F7B-4093-B59B-384E4917F3F4}">
      <text>
        <r>
          <rPr>
            <b/>
            <sz val="9"/>
            <color indexed="81"/>
            <rFont val="Tahoma"/>
            <family val="2"/>
          </rPr>
          <t>EXTERNAL Nguyen Tai Hau (Ban Vien, RBVH/EPS45):</t>
        </r>
        <r>
          <rPr>
            <sz val="9"/>
            <color indexed="81"/>
            <rFont val="Tahoma"/>
            <family val="2"/>
          </rPr>
          <t xml:space="preserve">
FAW_L3_MainPath_HevX_Int_N confirm with Tran Hoang Hai
</t>
        </r>
      </text>
    </comment>
    <comment ref="N158" authorId="0" shapeId="0" xr:uid="{4FFEBA62-6256-4046-A4DA-D0C0C97B52F3}">
      <text>
        <r>
          <rPr>
            <b/>
            <sz val="9"/>
            <color indexed="81"/>
            <rFont val="Tahoma"/>
            <family val="2"/>
          </rPr>
          <t>EXTERNAL Nguyen Trung Hieu (Ban Vien, RBVH/EPS45):</t>
        </r>
        <r>
          <rPr>
            <sz val="9"/>
            <color indexed="81"/>
            <rFont val="Tahoma"/>
            <family val="2"/>
          </rPr>
          <t xml:space="preserve">
Wrong database =&gt; Fixed
</t>
        </r>
      </text>
    </comment>
    <comment ref="E187" authorId="0" shapeId="0" xr:uid="{378A2E3B-52F5-4F9D-9D9F-69D9098D34B1}">
      <text>
        <r>
          <rPr>
            <b/>
            <sz val="9"/>
            <color indexed="81"/>
            <rFont val="Tahoma"/>
            <family val="2"/>
          </rPr>
          <t>EXTERNAL Nguyen Trung Hieu (Ban Vien, RBVH/EPS45):</t>
        </r>
        <r>
          <rPr>
            <sz val="9"/>
            <color indexed="81"/>
            <rFont val="Tahoma"/>
            <family val="2"/>
          </rPr>
          <t xml:space="preserve">
Please comment follow ASPICE Standard 
</t>
        </r>
      </text>
    </comment>
    <comment ref="AD351" authorId="0" shapeId="0" xr:uid="{DA93FD1C-7646-43F3-9185-04A78D7E36A8}">
      <text>
        <r>
          <rPr>
            <b/>
            <sz val="9"/>
            <color indexed="81"/>
            <rFont val="Tahoma"/>
            <family val="2"/>
          </rPr>
          <t>EXTERNAL Nguyen Trung Hieu (Ban Vien, RBVH/EPS45):</t>
        </r>
        <r>
          <rPr>
            <sz val="9"/>
            <color indexed="81"/>
            <rFont val="Tahoma"/>
            <family val="2"/>
          </rPr>
          <t xml:space="preserve">
Shift duedate because OPL is response late
</t>
        </r>
      </text>
    </comment>
    <comment ref="AD352" authorId="0" shapeId="0" xr:uid="{B6B859EC-670B-4E36-BBD2-BC66AB51954C}">
      <text>
        <r>
          <rPr>
            <b/>
            <sz val="9"/>
            <color indexed="81"/>
            <rFont val="Tahoma"/>
            <family val="2"/>
          </rPr>
          <t>EXTERNAL Nguyen Trung Hieu (Ban Vien, RBVH/EPS45):</t>
        </r>
        <r>
          <rPr>
            <sz val="9"/>
            <color indexed="81"/>
            <rFont val="Tahoma"/>
            <family val="2"/>
          </rPr>
          <t xml:space="preserve">
Shift duedate because OPL is response late
</t>
        </r>
      </text>
    </comment>
    <comment ref="N390" authorId="0" shapeId="0" xr:uid="{7B4985AA-90E1-4FFF-A01A-F1CDCB49CCA0}">
      <text>
        <r>
          <rPr>
            <b/>
            <sz val="9"/>
            <color indexed="81"/>
            <rFont val="Tahoma"/>
            <family val="2"/>
          </rPr>
          <t>EXTERNAL Nguyen Trung Hieu (Ban Vien, RBVH/EPS45):</t>
        </r>
        <r>
          <rPr>
            <sz val="9"/>
            <color indexed="81"/>
            <rFont val="Tahoma"/>
            <family val="2"/>
          </rPr>
          <t xml:space="preserve">
Wrong database =&gt; GAC_ESPHevX_HADHAP =&gt; GAC_ESPHevX_HADHAP_Int
</t>
        </r>
      </text>
    </comment>
    <comment ref="V488" authorId="2" shapeId="0" xr:uid="{DF5096C3-D834-4364-B29B-C1D17306B7B2}">
      <text>
        <r>
          <rPr>
            <b/>
            <sz val="9"/>
            <color indexed="81"/>
            <rFont val="Tahoma"/>
            <family val="2"/>
          </rPr>
          <t>EXTERNAL Nguyen Tuan Duong (Ban Vien, RBVH/EPS45):</t>
        </r>
        <r>
          <rPr>
            <sz val="9"/>
            <color indexed="81"/>
            <rFont val="Tahoma"/>
            <family val="2"/>
          </rPr>
          <t xml:space="preserve">
Re-use old result, don't need to test
</t>
        </r>
      </text>
    </comment>
    <comment ref="V489" authorId="2" shapeId="0" xr:uid="{4A525BBF-F279-4A94-87E1-70D3F696126E}">
      <text>
        <r>
          <rPr>
            <b/>
            <sz val="9"/>
            <color indexed="81"/>
            <rFont val="Tahoma"/>
            <family val="2"/>
          </rPr>
          <t>EXTERNAL Nguyen Tuan Duong (Ban Vien, RBVH/EPS45):</t>
        </r>
        <r>
          <rPr>
            <sz val="9"/>
            <color indexed="81"/>
            <rFont val="Tahoma"/>
            <family val="2"/>
          </rPr>
          <t xml:space="preserve">
Re-use old result, don't need to test
</t>
        </r>
      </text>
    </comment>
  </commentList>
</comments>
</file>

<file path=xl/sharedStrings.xml><?xml version="1.0" encoding="utf-8"?>
<sst xmlns="http://schemas.openxmlformats.org/spreadsheetml/2006/main" count="35709" uniqueCount="2386">
  <si>
    <t>BB</t>
  </si>
  <si>
    <t>BAO Eric (CC-AS/EVA-SW32-CN)</t>
  </si>
  <si>
    <t>BB81377</t>
  </si>
  <si>
    <t>SGMW_ESP93_Carbon_Int</t>
  </si>
  <si>
    <t>ZHANG Yu (CC-AS/EVA-SW31-CN)</t>
  </si>
  <si>
    <t>BB81116 / BB81175</t>
  </si>
  <si>
    <t>GAC_ESP93CP_Carbon_Int</t>
  </si>
  <si>
    <t>ZHOU Xiaoxi (CC-AS/EVA-SW31-CN)</t>
  </si>
  <si>
    <t>None</t>
  </si>
  <si>
    <t>GAC_ESPHevX_HADHAP_Int</t>
  </si>
  <si>
    <t>Project</t>
  </si>
  <si>
    <t>Baseline</t>
  </si>
  <si>
    <t>ComponentName</t>
  </si>
  <si>
    <t>ItemName</t>
  </si>
  <si>
    <t>MC_239507_SGMW_CN210S_PHEV_ESP9.3CPi_BSS03_SP1</t>
  </si>
  <si>
    <t>BSS03_SP1</t>
  </si>
  <si>
    <t>SGMW_RBA_NDS_SystemInfo_Callout.c</t>
  </si>
  <si>
    <t>NET_SCL_Rx_SGMW_RemoteControl.c</t>
  </si>
  <si>
    <t>GAC_Carbon_Stream_ESPCP_BL05</t>
  </si>
  <si>
    <t>BL05</t>
  </si>
  <si>
    <t>NET_SCL_Rx_GearBox.c</t>
  </si>
  <si>
    <t>GAC_220680_Carbon_A18_ESPHevx_FPA/RPA_BL04</t>
  </si>
  <si>
    <t>BL04</t>
  </si>
  <si>
    <t>RBNET_ESPiB_Monitoring.c</t>
  </si>
  <si>
    <t>PSW</t>
  </si>
  <si>
    <t>Nguyen Hiep Thanh (RBVH/EAS11)</t>
  </si>
  <si>
    <t>DFSK_ESP93_EV_Mainstream_Int</t>
  </si>
  <si>
    <t>BB99308</t>
  </si>
  <si>
    <t>BB81449</t>
  </si>
  <si>
    <t>CHEN Xiaomin (CC-AS/EVA-SW31-CN)</t>
  </si>
  <si>
    <t>RC_242264_SOKON_S513EVR_ESP9.3</t>
  </si>
  <si>
    <t>RBAPLCUST_DFSK_RoutineControl_CheckProgrammingPrecondition.c</t>
  </si>
  <si>
    <t>RBAPLCUST_DiagnosticSessionControl.c</t>
  </si>
  <si>
    <t>RBAPLCUST_RBDI_CustomerHardwareVersion.c</t>
  </si>
  <si>
    <t>RBAPLCUST_RBDI_CustomerSoftwareVersion.c</t>
  </si>
  <si>
    <t>RBAPLCUST_RBDI_NVMData.c</t>
  </si>
  <si>
    <t>RBAPLCUST_RBDI_VariandCode.c</t>
  </si>
  <si>
    <t>RBAPLCUST_SecurityAccess.c</t>
  </si>
  <si>
    <t>RBAPLCUST_WDBI_NVMData.c</t>
  </si>
  <si>
    <t>NET_MonitoringClasses_F30.c</t>
  </si>
  <si>
    <t>NET_SCL_InitPrc_CNMS.c</t>
  </si>
  <si>
    <t>NET_SCL_Rx_VAM_SOKON.c</t>
  </si>
  <si>
    <t>rba_StartStopAndCranking.c</t>
  </si>
  <si>
    <t>TestEnvironment_Fee_S513.c</t>
  </si>
  <si>
    <t xml:space="preserve">rba\Bldr_dfsk\config\ApplicationLayer\rba_BldrCmp\src\ </t>
  </si>
  <si>
    <t>rba_BldrCmp_Cfg_NvmIf.c</t>
  </si>
  <si>
    <t>rba\Bldr_dfsk\config\ApplicationLayer\rba_BldrCmp\src\</t>
  </si>
  <si>
    <t>rba_BldrCmp_Cfg_PrjFunctions.c</t>
  </si>
  <si>
    <t>GAC_Carbon_RPA_ESPHevx_Mainpath_BL04</t>
  </si>
  <si>
    <t>NET_SCL_GAC_Complex_function.c</t>
  </si>
  <si>
    <t>RBA_NDS_YAWRATE_Callout.c</t>
  </si>
  <si>
    <t>MC_237270_GAC_A55CP_Carbon_ESP_BL02</t>
  </si>
  <si>
    <t>BL02</t>
  </si>
  <si>
    <t>RBNetSAS_Functions.c</t>
  </si>
  <si>
    <t>SAS_LWS_Standard.c</t>
  </si>
  <si>
    <t>GAC_220680_Carbon_A18_ESPHevx_FPA/RPA_BL05</t>
  </si>
  <si>
    <t>RBHMI_ESPiB_WarningLamp_GAC.c</t>
  </si>
  <si>
    <t>TaskID</t>
  </si>
  <si>
    <t>Type of Comment</t>
  </si>
  <si>
    <t>Database</t>
  </si>
  <si>
    <t>Tester</t>
  </si>
  <si>
    <t>ELOC Assigned</t>
  </si>
  <si>
    <t>Planned End</t>
  </si>
  <si>
    <t>Status Result</t>
  </si>
  <si>
    <t>C0</t>
  </si>
  <si>
    <t>C1</t>
  </si>
  <si>
    <t>MCDC</t>
  </si>
  <si>
    <t>OPL/Defect</t>
  </si>
  <si>
    <t>Reason For code coverage</t>
  </si>
  <si>
    <t>Reason for Fail Testcase</t>
  </si>
  <si>
    <t>Remark</t>
  </si>
  <si>
    <t>GAC_ESPHevX_HADHAP_Int\CNMSHevXHADHAP\rb\as\gaig\core\app\net\RBScl\src\NET_SCL_GAC_Complex_function.c</t>
  </si>
  <si>
    <t>-</t>
  </si>
  <si>
    <t>Auto</t>
  </si>
  <si>
    <t>hieu.nguyen-trung</t>
  </si>
  <si>
    <t>OK</t>
  </si>
  <si>
    <t>OPL</t>
  </si>
  <si>
    <t>phuong.nguyen-thanh</t>
  </si>
  <si>
    <t>bang.nguyen-duy</t>
  </si>
  <si>
    <t>NG</t>
  </si>
  <si>
    <t>No</t>
  </si>
  <si>
    <t>Package</t>
  </si>
  <si>
    <t>Type</t>
  </si>
  <si>
    <t>MT_Number</t>
  </si>
  <si>
    <t>MT_Needed</t>
  </si>
  <si>
    <t>ItemReVision</t>
  </si>
  <si>
    <t>Task Jira</t>
  </si>
  <si>
    <t>TaskGroup</t>
  </si>
  <si>
    <t>PeerReviewer</t>
  </si>
  <si>
    <t>Status Review</t>
  </si>
  <si>
    <t>ELOC Recheck by Tool</t>
  </si>
  <si>
    <t>LOC Complete</t>
  </si>
  <si>
    <t>Estimation base TOOL</t>
  </si>
  <si>
    <t>Actual hour</t>
  </si>
  <si>
    <t>Status</t>
  </si>
  <si>
    <t>Release Date</t>
  </si>
  <si>
    <t>Planned Start</t>
  </si>
  <si>
    <t>Start</t>
  </si>
  <si>
    <t>End</t>
  </si>
  <si>
    <t>241595_GAC_A27_ESP9.3CP</t>
  </si>
  <si>
    <t>rb\as\cnms_core\app\net\scl\Controllers\RBC\src\</t>
  </si>
  <si>
    <t>NET_SCL_Rx_RBC.c</t>
  </si>
  <si>
    <t>BB81650/BB81651</t>
  </si>
  <si>
    <t>GAC_ESP93CP_A26HD_Int</t>
  </si>
  <si>
    <t>235149_FAW_HS7_RC_BL02</t>
  </si>
  <si>
    <t>rb\as\faw\fawcore\app\dcom\RBAPLCust\src\</t>
  </si>
  <si>
    <t>Manual</t>
  </si>
  <si>
    <t>FAW_Beryllium_TypeA_For_RBVH_Int</t>
  </si>
  <si>
    <t>T_C-309</t>
  </si>
  <si>
    <t>chung.ly</t>
  </si>
  <si>
    <t>Complete &amp; Closed</t>
  </si>
  <si>
    <t>N/A</t>
  </si>
  <si>
    <t>T_C-310</t>
  </si>
  <si>
    <t>loc.do-phu</t>
  </si>
  <si>
    <r>
      <t xml:space="preserve">Can’t cover false case of </t>
    </r>
    <r>
      <rPr>
        <sz val="10"/>
        <color rgb="FFFFBB00"/>
        <rFont val="Consolas"/>
        <family val="3"/>
      </rPr>
      <t>if</t>
    </r>
    <r>
      <rPr>
        <sz val="10"/>
        <color rgb="FF009A00"/>
        <rFont val="Consolas"/>
        <family val="3"/>
      </rPr>
      <t>(1 == DCM_CFG_DSP_NUMSECURITY) because DCM_CFG_DSP_NUMSECURITY is defined by 1.</t>
    </r>
  </si>
  <si>
    <t>- Owner said its OK like usual</t>
  </si>
  <si>
    <t>T_C-311</t>
  </si>
  <si>
    <t>duong.nguyen</t>
  </si>
  <si>
    <t>GWM_B30HP ESP</t>
  </si>
  <si>
    <t>rb\as\gwm\core\app\dsm\RBVAR\BB80432\src\</t>
  </si>
  <si>
    <t>RBVAR_VarCode_PROJECT.c</t>
  </si>
  <si>
    <t>GWM_B30_HP_Int</t>
  </si>
  <si>
    <t xml:space="preserve">rb\as\gwm\core\app\dsm\RBVAR\BB80432\src\ </t>
  </si>
  <si>
    <t>RBVAR_OutputDriver_PROJECT.c</t>
  </si>
  <si>
    <t>rb\as\gwm\core\app\dsm\RBVAR\BB81558\src\</t>
  </si>
  <si>
    <t xml:space="preserve">rb\as\gwm\core\app\dsm\RBHMI\src\        </t>
  </si>
  <si>
    <t>RBHMI_StatesDefinitionTable_PRJ.c</t>
  </si>
  <si>
    <t xml:space="preserve">rb\as\gwm\core\app\dsm\RBHMI\src\     </t>
  </si>
  <si>
    <t>RBHMI_ConfigOutputDriver_PRJ.c</t>
  </si>
  <si>
    <t>rb\as\gwm\hp\dsmpr\src</t>
  </si>
  <si>
    <t>RBPduHandler_Callouts.c</t>
  </si>
  <si>
    <t>rb\as\gwm\core\app\net\RbNetPrj\RBNet_Can\src</t>
  </si>
  <si>
    <t>ComScl_CalcCRC8.c</t>
  </si>
  <si>
    <t>80432</t>
  </si>
  <si>
    <t>rb\as\gwm\core\app\net\RBScl\src</t>
  </si>
  <si>
    <t>ComScl_Scl_Complex_proc.c</t>
  </si>
  <si>
    <t>rb\as\gwm\core\app\net</t>
  </si>
  <si>
    <t>GWM_DNCIF_EngineTorque.c</t>
  </si>
  <si>
    <t>rb\as\gwm\core\app\net\SclCallout\src</t>
  </si>
  <si>
    <t>GWM_NET_Gear_Callout.c</t>
  </si>
  <si>
    <t>rb\as\gwm\core\app\net\SpecialStrategy\src</t>
  </si>
  <si>
    <t>GWM_NET_HMIStrategy.c</t>
  </si>
  <si>
    <t>GWM_NET_LowVoltageStrategy.c</t>
  </si>
  <si>
    <t>GWM_NET_NodeSuppressStrategy.c</t>
  </si>
  <si>
    <t>GWM_NET_PBCDevelopMessage_Callout.c</t>
  </si>
  <si>
    <t>GWM_NET_PBCMessageStrategy.c</t>
  </si>
  <si>
    <t>GWM_NET_SAS_Callout.c</t>
  </si>
  <si>
    <t>GWM_NET_SpecialStrategy.c</t>
  </si>
  <si>
    <t>GWM_NET_SystemInfo_Callout.c</t>
  </si>
  <si>
    <t>GWM_NET_Torque_Callout.c</t>
  </si>
  <si>
    <t>\rb\as\gwm\core\app\net\SclCallout\src</t>
  </si>
  <si>
    <t>GWM_NET_Yrs_Callout.c</t>
  </si>
  <si>
    <t>T_C-317</t>
  </si>
  <si>
    <t>T_C-318</t>
  </si>
  <si>
    <t>T_C-319</t>
  </si>
  <si>
    <t>T_C-320</t>
  </si>
  <si>
    <t>T_C-321</t>
  </si>
  <si>
    <t>-No have function for test</t>
  </si>
  <si>
    <t>T_C-322</t>
  </si>
  <si>
    <t>T_C-323</t>
  </si>
  <si>
    <t>T_C-324</t>
  </si>
  <si>
    <t>thanh.nguyen-kim</t>
  </si>
  <si>
    <t>T_C-325</t>
  </si>
  <si>
    <t>T_C-326</t>
  </si>
  <si>
    <t>T_C-327</t>
  </si>
  <si>
    <t>T_C-328</t>
  </si>
  <si>
    <t>T_C-329</t>
  </si>
  <si>
    <t>T_C-330</t>
  </si>
  <si>
    <t>T_C-331</t>
  </si>
  <si>
    <t>T_C-332</t>
  </si>
  <si>
    <t>T_C-333</t>
  </si>
  <si>
    <t>T_C-334</t>
  </si>
  <si>
    <t>T_C-335</t>
  </si>
  <si>
    <t>T_C-336</t>
  </si>
  <si>
    <t>T_C-337</t>
  </si>
  <si>
    <t>T_C-338</t>
  </si>
  <si>
    <t>Suzuki_XE431RC ABS10.3ME</t>
  </si>
  <si>
    <t>rb\as\twp\core\app\dcom\rbaplcust</t>
  </si>
  <si>
    <t>FFD_EEPROMHandling_SMC.c</t>
  </si>
  <si>
    <t>2WP_ABS10.3ME_SUZUKI_XE431_Carbon_Migration_Stream.zip</t>
  </si>
  <si>
    <t>FFD_Update_SMC.c</t>
  </si>
  <si>
    <t>FreezeFrameDataDelete_SMC.c</t>
  </si>
  <si>
    <t>FreezeFrameDataStore_SMC.c</t>
  </si>
  <si>
    <t>RBAPLCUST_ClearDiagnosticInformation.c</t>
  </si>
  <si>
    <t>RBAPLCUST_ControlIDTCSetting.c</t>
  </si>
  <si>
    <t>RBAPLCUST_DCOMGenericNvMWriteFunctions.c</t>
  </si>
  <si>
    <t>RBAPLCUST_GeneralFunctions.c</t>
  </si>
  <si>
    <t>RBAPLCUST_InputOutputControl_GeneralFunctions.c</t>
  </si>
  <si>
    <t>RBAPLCUST_MC_DiagnosticSessionControl.c</t>
  </si>
  <si>
    <t>RBAPLCUST_MC_EcuReset.c</t>
  </si>
  <si>
    <t>RBAPLCUST_MC_PDM_INTERFACES.c</t>
  </si>
  <si>
    <t>RBAPLCUST_MC_ReadDataByIdentifier.c</t>
  </si>
  <si>
    <t>RBAPLCUST_MC_RoutineControl.c</t>
  </si>
  <si>
    <t>RBAPLCUST_MC_SecurityAccess.c</t>
  </si>
  <si>
    <t>RBAPLCUST_MC_WriteDataByIdentifier.c</t>
  </si>
  <si>
    <t>RBAPLCUST_ProjectSpecific_Routines.c</t>
  </si>
  <si>
    <t>RBAPLCUST_RDBI_BatteryVoltage.c</t>
  </si>
  <si>
    <t>RBAPLCUST_RDBI_VehicleSpeed.c</t>
  </si>
  <si>
    <t>RBAPLCUST_RoutineControl_EOLTable.c</t>
  </si>
  <si>
    <t>RBAPLCUST_RoutineControl_MC_ABSSilaTest.c</t>
  </si>
  <si>
    <t>RBAPLCUST_RoutineControl_MC_ActuatorTest.c</t>
  </si>
  <si>
    <t>RBAPLCUST_RoutineControl_MC_EvacAndFill.c</t>
  </si>
  <si>
    <t>RBAPLCUST_RoutineControl_MC_RepairBleeding.c</t>
  </si>
  <si>
    <t>RBAPLCUST_RoutineControl_MC_SensorMountingTest.c</t>
  </si>
  <si>
    <t>RBAPLCUST_RoutineControl_MC_WheelSpeedSensorTest.c</t>
  </si>
  <si>
    <t>RBAPLCUST_ValvesToggling.c</t>
  </si>
  <si>
    <t>ABS_103_ME_SMC\rb\as\twp\core\app\dcom\RBAPLCust\src\SMC_MC</t>
  </si>
  <si>
    <t>RBAPLCUST_XE431_ActuationConditionCheck.c</t>
  </si>
  <si>
    <t>RBAPLCUST_XE431_ActuationFunctions.c</t>
  </si>
  <si>
    <t>RBAPLCUST_XE431_ActuationSettings.c</t>
  </si>
  <si>
    <t>RBAPLCUST_XE431_ClearDiagnosticInformation.c</t>
  </si>
  <si>
    <t>RBAPLCUST_XE431_DTCFunctions.c</t>
  </si>
  <si>
    <t>RBAPLCUST_XE431_EcuReset.c</t>
  </si>
  <si>
    <t>RBAPLCUST_XE431_EOLFunction.c</t>
  </si>
  <si>
    <t>RBAPLCUST_XE431_InputOutputControlByIdentifier.c</t>
  </si>
  <si>
    <t>RBAPLCUST_XE431_ReadDataByLocalIdentifier.c</t>
  </si>
  <si>
    <t>RBAPLCUST_XE431_ReadDTCByStatus.c</t>
  </si>
  <si>
    <t>RBAPLCUST_XE431_ReadEcuIdentification.c</t>
  </si>
  <si>
    <t>RBAPLCUST_XE431_RequestDownload.c</t>
  </si>
  <si>
    <t>RBAPLCUST_XE431_RequestTransferExit.c</t>
  </si>
  <si>
    <t>RBAPLCUST_XE431_SecurityAccess.c</t>
  </si>
  <si>
    <t>RBAPLCUST_XE431_ServiceStateHandler.c</t>
  </si>
  <si>
    <t>RBAPLCUST_XE431_StartDiagnosticSession.c</t>
  </si>
  <si>
    <t>RBAPLCUST_XE431_StopDiagnosticSession.c</t>
  </si>
  <si>
    <t>RBAPLCUST_XE431_TesterPresent.c</t>
  </si>
  <si>
    <t>RBAPLCUST_XE431_TransferData.c</t>
  </si>
  <si>
    <t>RBAPLCUST_XE431_UtilityFunctions.c</t>
  </si>
  <si>
    <t>RBAPLCUST_XE431_WriteDataByIdentifier.c</t>
  </si>
  <si>
    <t>\rb\as\twp\global\cus\hhcoff\src</t>
  </si>
  <si>
    <t>CUS_HHCOff.c</t>
  </si>
  <si>
    <t>rb\as\twp\global\cus\modes\src</t>
  </si>
  <si>
    <t>CUS_ModesSwitching.c</t>
  </si>
  <si>
    <t>\rb\as\twp\global\cus\variant\src</t>
  </si>
  <si>
    <t>Variant_MC_Platform.c</t>
  </si>
  <si>
    <t>BYD_Carbon_Mainstream_BL02spr02</t>
  </si>
  <si>
    <t>rb\as\byd\core\app\dcom\RBAPLCust\src\common</t>
  </si>
  <si>
    <t>RBAPLCUST_BYD_RBDI_AnalogData.c</t>
  </si>
  <si>
    <t>BYD_Carbon_ESP93_Int</t>
  </si>
  <si>
    <t>RBAPLCUST_BYD_RBDI_BootSoftwareVersion.c</t>
  </si>
  <si>
    <t>RBAPLCUST_BYD_RBDI_DigitalData.c</t>
  </si>
  <si>
    <t>RBAPLCUST_BYD_RBDI_SpeedLimitMonitoring.c</t>
  </si>
  <si>
    <t>RBAPLCUST_BYD_RDBI_NVMData.c</t>
  </si>
  <si>
    <t>RBAPLCUST_BYD_RDBI_SpeedInfo.c</t>
  </si>
  <si>
    <t>RBAPLCUST_BYD_RDBI_TPMS.c</t>
  </si>
  <si>
    <t>RBAPLCUST_BYD_WDBI_NVMData.c</t>
  </si>
  <si>
    <t>RBAPLCUST_BYD_WDBI_TPMS.c</t>
  </si>
  <si>
    <t>RBAPLCUST_ClearDiagnosticInformation_CheckFnc.c</t>
  </si>
  <si>
    <t>RBAPLCUST_CNMSCORE_CallbackFun.c</t>
  </si>
  <si>
    <t>RBAPLCUST_RDBI_InputData.c</t>
  </si>
  <si>
    <t>RBAPLCUST_RoutineControl.c</t>
  </si>
  <si>
    <t>RBAPLCUST_RoutineControl_PedalTravelSensorCalibration.c</t>
  </si>
  <si>
    <t>RBAPLCUST_RoutineControl_TPMSReset.c</t>
  </si>
  <si>
    <t>RBAPLCUST_VariandCode.c</t>
  </si>
  <si>
    <t>rb\as\byd\core\app\dcom\RBAPLCust\src\ESP</t>
  </si>
  <si>
    <t>RBAPLCUST_InputOutputControl.c</t>
  </si>
  <si>
    <t>RBAPLCUST_RDBI_ActuationState.c</t>
  </si>
  <si>
    <t>RBAPLCUST_RDBI_IOCtrlState.c</t>
  </si>
  <si>
    <t>RBAPLCUST_RDBI_PBC.c</t>
  </si>
  <si>
    <t>RBAPLCUST_RDBI_SystemSensor.c</t>
  </si>
  <si>
    <t>RBAPLCUST_RoutineControl_ActuatorTest.c</t>
  </si>
  <si>
    <t>RBAPLCUST_RoutineControl_APBMi.c</t>
  </si>
  <si>
    <t>RBAPLCUST_RoutineControl_ConditionCheck.c</t>
  </si>
  <si>
    <t>RBAPLCUST_RoutineControl_DelayControl.c</t>
  </si>
  <si>
    <t>RBAPLCUST_RoutineControl_DynamicTest.c</t>
  </si>
  <si>
    <t>RBAPLCUST_RoutineControl_EvacAndFill.c</t>
  </si>
  <si>
    <t>RBAPLCUST_RoutineControl_INSCalibration.c</t>
  </si>
  <si>
    <t>RBAPLCUST_RoutineControl_RepairBleeding.c</t>
  </si>
  <si>
    <t>RBAPLCUST_RoutineControl_SteeringAngleSensorCalibration.c</t>
  </si>
  <si>
    <t>RBAPLCUST_RoutineControl_WheelSpeedSensorTest.c</t>
  </si>
  <si>
    <t>rb\as\byd\core\app\dcom\RBAPLCust\src\iBooster</t>
  </si>
  <si>
    <t>RBAPLCUST_RDBI_AnalogData.c</t>
  </si>
  <si>
    <t>RBAPLCUST_RDBI_StatusInformation.c</t>
  </si>
  <si>
    <t>RBAPLCUST_RoutineControl_iBoosterActuatorTest.c</t>
  </si>
  <si>
    <t>rb\as\cnms_core\app\dcom\RBAPLCust\src\common</t>
  </si>
  <si>
    <t>RBAPLCUST_ConversionSignalParam.c</t>
  </si>
  <si>
    <t>RBAPLCUST_EcuReset.c</t>
  </si>
  <si>
    <t>RBAPLCUST_NVMGeneric.c</t>
  </si>
  <si>
    <t>RBAPLCUST_RBDI_NVMData_Common.c</t>
  </si>
  <si>
    <t>RBAPLCUST_RBDI_SWVersionNumber.c</t>
  </si>
  <si>
    <t>RBAPLCUST_RDBI_SpeedInfo.c</t>
  </si>
  <si>
    <t>rb\as\cnms_core\app\dcom\RBAPLCust\src\ESP</t>
  </si>
  <si>
    <t>RBAPLCUST_EOLDelayCtrlOrAPBMi.c</t>
  </si>
  <si>
    <t>RBAPLCUST_RBDI_NVMData_ESP.c</t>
  </si>
  <si>
    <t>RBAPLCUST_RoutineControl_LTCResetProcessYRS.c</t>
  </si>
  <si>
    <t>RBAPLCUST_RoutineControl_SpeedLimit.c</t>
  </si>
  <si>
    <t>RBAPLCUST_RoutineControl_VRShutdown.c</t>
  </si>
  <si>
    <t>GWM_ABS9.3_EC01</t>
  </si>
  <si>
    <t>GWM_EC01_ABS9.3_Stream_Int\GWM_EC01\rb\as\gwm\core\app\dcom\RBAPLCust\src\RBAPLCUST_DiagnosticSessionControl.c</t>
  </si>
  <si>
    <t>GWM_EC01_ABS9.3_Stream_Int\GWM_EC01\rb\as\gwm\core\app\dcom\RBAPLCust\src\RBAPLCUST_EngineSpeed.c</t>
  </si>
  <si>
    <t>RBAPLCUST_EngineSpeed.c</t>
  </si>
  <si>
    <t>GWM_EC01_ABS9.3_Stream_Int\GWM_EC01\rb\as\gwm\core\app\dcom\RBAPLCust\src\RBAPLCUST_InputOutputControl_GeneralFunctions.c</t>
  </si>
  <si>
    <t>GWM_EC01_ABS9.3_Stream_Int\GWM_EC01\rb\as\gwm\core\app\dcom\RBAPLCust\src\RBAPLCUST_RBDI_NVMData.c</t>
  </si>
  <si>
    <t>GWM_EC01_ABS9.3_Stream_Int\GWM_EC01\rb\as\gwm\core\app\dcom\RBAPLCust\src\RBAPLCUST_RDBI_ActuationState.c</t>
  </si>
  <si>
    <t>GWM_EC01_ABS9.3_Stream_Int\GWM_EC01\rb\as\gwm\core\app\dcom\RBAPLCust\src\RBAPLCUST_RDBI_BatteryVoltage.c</t>
  </si>
  <si>
    <t>GWM_EC01_ABS9.3_Stream_Int\GWM_EC01\rb\as\gwm\core\app\dcom\RBAPLCust\src\RBAPLCUST_RDBI_IOCtrlState.c</t>
  </si>
  <si>
    <t>GWM_EC01_ABS9.3_Stream_Int\GWM_EC01\rb\as\gwm\core\app\dcom\RBAPLCust\src\RBAPLCUST_RDBI_Odometer.c</t>
  </si>
  <si>
    <t>RBAPLCUST_RDBI_Odometer.c</t>
  </si>
  <si>
    <t>GWM_EC01_ABS9.3_Stream_Int\GWM_EC01\rb\as\gwm\core\app\dcom\RBAPLCust\src\RBAPLCUST_RoutineControl.c</t>
  </si>
  <si>
    <t>GWM_EC01_ABS9.3_Stream_Int\GWM_EC01\rb\as\gwm\core\app\dcom\RBAPLCust\src\RBAPLCUST_RoutineControl_WheelSpeedSensorTest.c</t>
  </si>
  <si>
    <t>GWM_EC01_ABS9.3_Stream_Int\GWM_EC01\rb\as\gwm\core\app\dcom\RBAPLCust\src\RBAPLCUST_SecurityAccess.c</t>
  </si>
  <si>
    <t>GWM_EC01_ABS9.3_Stream_Int\GWM_EC01\rb\as\gwm\core\app\dcom\RBAPLCust\src\RBAPLCUST_WDBI_NVMData.c</t>
  </si>
  <si>
    <t>GWM_EC01_ABS9.3_Stream_Int\GWM_EC01\rb\as\gwm\ec01\app\net\RBNetPrj\RBNet_Can\src\NET_CheckSumLib_GWM.c</t>
  </si>
  <si>
    <t>NET_CheckSumLib_GWM.c</t>
  </si>
  <si>
    <t>GWM_EC01_ABS9.3_Stream_Int\GWM_EC01\rb\as\gwm\ec01\app\net\RBNetPrj\RBNet_Can\src\NET_MonitoringClasses_F30.c</t>
  </si>
  <si>
    <t>GWM_EC01_ABS9.3_Stream_Int\GWM_EC01\rb\as\gwm\ec01\app\net\RBScl\src\rba_ComScl_Scl_Init.c</t>
  </si>
  <si>
    <t>rba_ComScl_Scl_Init.c</t>
  </si>
  <si>
    <t>GWM_EC01_ABS9.3_Stream_Int\GWM_EC01\rb\as\gwm\ec01\app\dsm\RBWarningIndicator\src\Dem_PrjSpecificIndiHandling.c</t>
  </si>
  <si>
    <t>Dem_PrjSpecificIndiHandling.c</t>
  </si>
  <si>
    <t>GWM_EC01_ABS9.3_Stream_Int\GWM_EC01\rb\as\gwm\ec01\app\dsm\rbhmi\src\RBHMI_ConfigOutputDriver_PRJ.c</t>
  </si>
  <si>
    <t>GWM_EC01_ABS9.3_Stream_Int\GWM_EC01\rb\as\gwm\ec01\dsmpr\src\Cubas\ESM\EcuM\src\EcuM_stub.c</t>
  </si>
  <si>
    <t>EcuM_stub.c</t>
  </si>
  <si>
    <t>ASW</t>
  </si>
  <si>
    <t>HHT_VX1_ESPHevX_BL2</t>
  </si>
  <si>
    <t>HHT_CampingMode_ChargingSt_VDCMAutoLock</t>
  </si>
  <si>
    <t>CM_APB_hevX_BB80426</t>
  </si>
  <si>
    <t>1.1</t>
  </si>
  <si>
    <t>HHT_WarmMessage_Pbc</t>
  </si>
  <si>
    <t>MC_225750_Geely_KC2A_ESP9.3HB_BB80336_BL04SP03</t>
  </si>
  <si>
    <t>rba\Bldr\comps\ApplicationLayer\rba_BldrCmp\src\</t>
  </si>
  <si>
    <t>rba_BldrCmp_36TransferData.c</t>
  </si>
  <si>
    <t>Geely_Beryllium2_OBD_China6_Int.zip</t>
  </si>
  <si>
    <t>Geely_Beryllium2_Int.zip</t>
  </si>
  <si>
    <t>224752_GAC_A18_CarbonESP9.3CP_BL06</t>
  </si>
  <si>
    <t>AcmVs_VelocityCheck</t>
  </si>
  <si>
    <t>1413019.zip</t>
  </si>
  <si>
    <t>4.3.315.0</t>
  </si>
  <si>
    <t>BYD_IPB_SW_Mainstream_BL05_SP11</t>
  </si>
  <si>
    <t xml:space="preserve">CRB_EndRamp_PreShaping_IPB </t>
  </si>
  <si>
    <t>1423192.zip</t>
  </si>
  <si>
    <t>1.3.147301.0.1.3</t>
  </si>
  <si>
    <t>GEELY_BX11_ESP9.3HD_BL06_SP02</t>
  </si>
  <si>
    <t>HDC_InvalidThrPos</t>
  </si>
  <si>
    <t>1424050.zip</t>
  </si>
  <si>
    <t>3.3.147303.5.3.0</t>
  </si>
  <si>
    <t>rb\as\geely\CpiwAPB\app\net\RBScl\src\Rcv\</t>
  </si>
  <si>
    <t>NET_SCL_Rx_MMI_Status_Info.c</t>
  </si>
  <si>
    <t>Geely_ESP93_Carbon_Int</t>
  </si>
  <si>
    <t>NET_SCL_Rx_DCOM.c</t>
  </si>
  <si>
    <t>HAIMA_238525_VF00_ESP_RC2_BSS01_BSS01.x_Workitems_closure</t>
  </si>
  <si>
    <t>HMI_ApbFunctionLamp</t>
  </si>
  <si>
    <t>1405925.zip</t>
  </si>
  <si>
    <t>1.3.146318.1.146316.1</t>
  </si>
  <si>
    <t>BYD_IPB_SW_Mainstream_BL05_SP12</t>
  </si>
  <si>
    <t xml:space="preserve">APA_FailureMode </t>
  </si>
  <si>
    <t>1369164.zip</t>
  </si>
  <si>
    <t>1.5.147303.1.301.0</t>
  </si>
  <si>
    <t>AB30IB2</t>
  </si>
  <si>
    <t>rb\as\gwm\core\app\dcom\RBAPLCust\src\common</t>
  </si>
  <si>
    <t>RBAPLCUST_RBDI_FBL.c</t>
  </si>
  <si>
    <t>GWM_B30_IB2_Int</t>
  </si>
  <si>
    <t>AB30IB3</t>
  </si>
  <si>
    <t>RBAPLCUST_RoutineControl_FBL.c</t>
  </si>
  <si>
    <t>AB30IB4</t>
  </si>
  <si>
    <t>AB30IB5</t>
  </si>
  <si>
    <t>RBAPLCUST_WDBI_NVM.c</t>
  </si>
  <si>
    <t>RBAPLCUST_RBDI_NVM.c</t>
  </si>
  <si>
    <t>GWM_B30_HP</t>
  </si>
  <si>
    <t>RBAPLCUST_RDBI_PBCData.c</t>
  </si>
  <si>
    <t>RBAPLCUST_WDBI_NVMData_Prj.c</t>
  </si>
  <si>
    <t>rb\as\gwm\core\app\dcom\RBAPLCust\src\ESP</t>
  </si>
  <si>
    <t>GAC_Carbon_RPA_iBooster_Mainpath_BL04</t>
  </si>
  <si>
    <t>PFA_ISC_SituationSupport</t>
  </si>
  <si>
    <t>RPAiBoosterG2EncapSWCust_ECU_CSW_BB99724</t>
  </si>
  <si>
    <t>1.0.147.2.1.3.147315.2</t>
  </si>
  <si>
    <t xml:space="preserve">RMI_CON_front_inside </t>
  </si>
  <si>
    <t>RMI_CON_front_inside</t>
  </si>
  <si>
    <t>6.0.315.1</t>
  </si>
  <si>
    <t>CNMS_226528_IB2_RPA_BL03SP06</t>
  </si>
  <si>
    <t>EBR_Request_Active</t>
  </si>
  <si>
    <t>1439139.axl</t>
  </si>
  <si>
    <t>15.3.147.0</t>
  </si>
  <si>
    <t>CNMS_226528_IB2_RPA_BL03SP07</t>
  </si>
  <si>
    <t>EBR_EnableEBR</t>
  </si>
  <si>
    <t>2.9.147.1</t>
  </si>
  <si>
    <t xml:space="preserve">APBTextMesg_GAC </t>
  </si>
  <si>
    <t xml:space="preserve">APBFunctionLamp_GAC </t>
  </si>
  <si>
    <t>T_C-344</t>
  </si>
  <si>
    <t>T_C-345</t>
  </si>
  <si>
    <t>Defect</t>
  </si>
  <si>
    <t>-g_FFD_Info_ST[l_RecID_u8].FFD_CrankAxisTorque_u16 is a un-sign object but it’s assigned by a sign object at line #172
Defect ID 1425601</t>
  </si>
  <si>
    <t>T_C-346</t>
  </si>
  <si>
    <t>-Tool error at line #272: Catata can't discriminate whether we call Dem_EvMemGetEventMemStatus at condition 1 or 2</t>
  </si>
  <si>
    <t>T_C-347</t>
  </si>
  <si>
    <t>-: Fun_FFDRecIDTobeReplaced is call at line #487 while It’s defined at line #543. Owner said This function is declared in “FD_Config_SMC.h” and header file is included at line #17. Hence there is no issue.</t>
  </si>
  <si>
    <t>T_C-348</t>
  </si>
  <si>
    <t>T_C-349</t>
  </si>
  <si>
    <t>T_C-350</t>
  </si>
  <si>
    <t>T_C-351</t>
  </si>
  <si>
    <t>T_C-352</t>
  </si>
  <si>
    <t>T_C-353</t>
  </si>
  <si>
    <t>T_C-354</t>
  </si>
  <si>
    <t>T_C-355</t>
  </si>
  <si>
    <t>-dataRetReadFunc_u8 may be used uninitialized in function FUN_CustomerPartNumberNvMResultCB. Owner said he don’t use that function</t>
  </si>
  <si>
    <t>T_C-356</t>
  </si>
  <si>
    <t>T_C-357</t>
  </si>
  <si>
    <t>T_C-358</t>
  </si>
  <si>
    <t>-just loop do while(l_ZeroCount == Seedlen_u) at #line 151 once , because if l_ZeroCount equal Seedlen_u it will loop forever.
- can’t cover MCDC for conditions at #line605 ,625, 632. Because it have 2 case to test for these conditions : 0  and 0xFFFFFFFFu.</t>
  </si>
  <si>
    <t>T_C-359</t>
  </si>
  <si>
    <t>T_C-360</t>
  </si>
  <si>
    <t>T_C-361</t>
  </si>
  <si>
    <t>T_C-362</t>
  </si>
  <si>
    <t>T_C-363</t>
  </si>
  <si>
    <t>-Don't have function for test</t>
  </si>
  <si>
    <t>T_C-364</t>
  </si>
  <si>
    <t>T_C-365</t>
  </si>
  <si>
    <t xml:space="preserve">Issue of cantata display not correct MCDC. </t>
  </si>
  <si>
    <t>T_C-366</t>
  </si>
  <si>
    <t xml:space="preserve">-can’t cover for MCDC of condition at #line123 as bellow picture, because when pumpctrlstate equal 0xFF, pumpflag will change value. So it will affect for MCDC of pumpflag instead of pumpctrlstate.
- 'Issue of cantata display not correct MCDC. </t>
  </si>
  <si>
    <t>T_C-367</t>
  </si>
  <si>
    <t>-'Issue of cantata display not correct MCDC. 
-can’t cover for case default of swith(dataIn1), because it out of range.</t>
  </si>
  <si>
    <t>T_C-368</t>
  </si>
  <si>
    <t>T_C-369</t>
  </si>
  <si>
    <t>T_C-370</t>
  </si>
  <si>
    <t>T_C-371</t>
  </si>
  <si>
    <t>-Owner confirm it could be ignore</t>
  </si>
  <si>
    <t>T_C-372</t>
  </si>
  <si>
    <t>-rb\as\twp\core\app\dcom\RBAPLCust\src\SMC_MC</t>
  </si>
  <si>
    <t>T_C-373</t>
  </si>
  <si>
    <t>-No have function to test</t>
  </si>
  <si>
    <t>T_C-374</t>
  </si>
  <si>
    <t>T_C-375</t>
  </si>
  <si>
    <t>T_C-376</t>
  </si>
  <si>
    <t>T_C-377</t>
  </si>
  <si>
    <t>T_C-378</t>
  </si>
  <si>
    <t>T_C-379</t>
  </si>
  <si>
    <t>-Defect ID 1430681</t>
  </si>
  <si>
    <t>T_C-380</t>
  </si>
  <si>
    <t>T_C-381</t>
  </si>
  <si>
    <t>T_C-382</t>
  </si>
  <si>
    <t>T_C-383</t>
  </si>
  <si>
    <t>T_C-384</t>
  </si>
  <si>
    <t>T_C-385</t>
  </si>
  <si>
    <t>T_C-386</t>
  </si>
  <si>
    <t>T_C-387</t>
  </si>
  <si>
    <t>T_C-388</t>
  </si>
  <si>
    <t>T_C-389</t>
  </si>
  <si>
    <t>T_C-390</t>
  </si>
  <si>
    <t>T_C-391</t>
  </si>
  <si>
    <t>T_C-392</t>
  </si>
  <si>
    <t>T_C-393</t>
  </si>
  <si>
    <t>T_C-394</t>
  </si>
  <si>
    <t>T_C-395</t>
  </si>
  <si>
    <t>T_C-396</t>
  </si>
  <si>
    <t>T_C-397</t>
  </si>
  <si>
    <t>T_C-398</t>
  </si>
  <si>
    <t>T_C-399</t>
  </si>
  <si>
    <t>T_C-400</t>
  </si>
  <si>
    <t>T_C-401</t>
  </si>
  <si>
    <t>T_C-402</t>
  </si>
  <si>
    <t>T_C-403</t>
  </si>
  <si>
    <t>T_C-404</t>
  </si>
  <si>
    <t>T_C-405</t>
  </si>
  <si>
    <t>T_C-406</t>
  </si>
  <si>
    <t>T_C-407</t>
  </si>
  <si>
    <t>T_C-408</t>
  </si>
  <si>
    <t>-Don't have function to test</t>
  </si>
  <si>
    <t>T_C-409</t>
  </si>
  <si>
    <t>T_C-410</t>
  </si>
  <si>
    <t>T_C-411</t>
  </si>
  <si>
    <t>T_C-412</t>
  </si>
  <si>
    <t>T_C-413</t>
  </si>
  <si>
    <t>T_C-414</t>
  </si>
  <si>
    <t>T_C-415</t>
  </si>
  <si>
    <t>-No effect</t>
  </si>
  <si>
    <t>T_C-416</t>
  </si>
  <si>
    <t>T_C-417</t>
  </si>
  <si>
    <t>T_C-418</t>
  </si>
  <si>
    <t>T_C-419</t>
  </si>
  <si>
    <t>T_C-420</t>
  </si>
  <si>
    <t>T_C-421</t>
  </si>
  <si>
    <t>T_C-422</t>
  </si>
  <si>
    <t>T_C-423</t>
  </si>
  <si>
    <t>T_C-424</t>
  </si>
  <si>
    <t>T_C-425</t>
  </si>
  <si>
    <t>T_C-426</t>
  </si>
  <si>
    <t>T_C-427</t>
  </si>
  <si>
    <t>T_C-428</t>
  </si>
  <si>
    <t>- condition always false</t>
  </si>
  <si>
    <t>T_C-429</t>
  </si>
  <si>
    <t>-Waiting owner confirm</t>
  </si>
  <si>
    <t>T_C-430</t>
  </si>
  <si>
    <t>-Already confirm as previous phase</t>
  </si>
  <si>
    <t>T_C-431</t>
  </si>
  <si>
    <t>T_C-432</t>
  </si>
  <si>
    <t>T_C-433</t>
  </si>
  <si>
    <t>T_C-434</t>
  </si>
  <si>
    <t>T_C-435</t>
  </si>
  <si>
    <t>T_C-436</t>
  </si>
  <si>
    <t>T_C-437</t>
  </si>
  <si>
    <t>T_C-438</t>
  </si>
  <si>
    <t>T_C-439</t>
  </si>
  <si>
    <t>T_C-440</t>
  </si>
  <si>
    <t>T_C-441</t>
  </si>
  <si>
    <t>T_C-442</t>
  </si>
  <si>
    <t>T_C-443</t>
  </si>
  <si>
    <t>T_C-444</t>
  </si>
  <si>
    <t>T_C-445</t>
  </si>
  <si>
    <t>T_C-446</t>
  </si>
  <si>
    <t>T_C-447</t>
  </si>
  <si>
    <t>T_C-448</t>
  </si>
  <si>
    <t>T_C-449</t>
  </si>
  <si>
    <t>T_C-450</t>
  </si>
  <si>
    <t>T_C-451</t>
  </si>
  <si>
    <t>T_C-452</t>
  </si>
  <si>
    <t>T_C-453</t>
  </si>
  <si>
    <t>Ready for review</t>
  </si>
  <si>
    <t>- Cannot cover some point, already have confirm by oiwner as previous phase</t>
  </si>
  <si>
    <t>T_C-454</t>
  </si>
  <si>
    <t>T_C-455</t>
  </si>
  <si>
    <t>T_C-456</t>
  </si>
  <si>
    <t>T_C-457</t>
  </si>
  <si>
    <t>T_C-458</t>
  </si>
  <si>
    <t>T_C-459</t>
  </si>
  <si>
    <t>T_C-460</t>
  </si>
  <si>
    <t>T_C-461</t>
  </si>
  <si>
    <t>T_C-462</t>
  </si>
  <si>
    <t>T_C-463</t>
  </si>
  <si>
    <t>-Can't cover for false case of if(1 == DCM_CFG_DSP_NUMSECURITY) at line#147 because condition is always true.</t>
  </si>
  <si>
    <t>T_C-464</t>
  </si>
  <si>
    <t>T_C-465</t>
  </si>
  <si>
    <t>T_C-466</t>
  </si>
  <si>
    <t>T_C-467</t>
  </si>
  <si>
    <t>T_C-468</t>
  </si>
  <si>
    <t>T_C-469</t>
  </si>
  <si>
    <t>T_C-470</t>
  </si>
  <si>
    <t>T_C-471</t>
  </si>
  <si>
    <t>T_C-472</t>
  </si>
  <si>
    <t>T_C-473</t>
  </si>
  <si>
    <t>-Cannot cover false case of decision if (0x00 == NRC_u8) at line #119, because the value of NRC_u8 is set to 0x00 at line 65.</t>
  </si>
  <si>
    <t>T_C-474</t>
  </si>
  <si>
    <t>T_C-475</t>
  </si>
  <si>
    <t xml:space="preserve">-ignore </t>
  </si>
  <si>
    <t>T_C-476</t>
  </si>
  <si>
    <t>T_C-477</t>
  </si>
  <si>
    <t>T_C-478</t>
  </si>
  <si>
    <t>T_C-479</t>
  </si>
  <si>
    <t>T_C-480</t>
  </si>
  <si>
    <t>T_C-481</t>
  </si>
  <si>
    <t>T_C-482</t>
  </si>
  <si>
    <t>T_C-483</t>
  </si>
  <si>
    <t>T_C-484</t>
  </si>
  <si>
    <t>T_C-485</t>
  </si>
  <si>
    <t>T_C-486</t>
  </si>
  <si>
    <t>T_C-487</t>
  </si>
  <si>
    <t>T_C-488</t>
  </si>
  <si>
    <t>T_C-489</t>
  </si>
  <si>
    <t>T_C-490</t>
  </si>
  <si>
    <t>T_C-491</t>
  </si>
  <si>
    <t>T_C-492</t>
  </si>
  <si>
    <t>T_C-493</t>
  </si>
  <si>
    <t>Ready for PLC</t>
  </si>
  <si>
    <t>T_C-494</t>
  </si>
  <si>
    <t>T_C-495</t>
  </si>
  <si>
    <t>T_C-496</t>
  </si>
  <si>
    <t>T_C-497</t>
  </si>
  <si>
    <t>T_C-498</t>
  </si>
  <si>
    <t>GEELY_FE-3AH_CB_CSIS241976_BSS03</t>
  </si>
  <si>
    <t>Geely_FE3AH_CB_Carbon_Int\MainstreamF30\rba\Bldr\config\ApplicationLayer\rba_BldrCmp\src\rba_BldrCmp_Cfg_CheckMem.c</t>
  </si>
  <si>
    <t>rba_BldrCmp_Cfg_CheckMem.c</t>
  </si>
  <si>
    <t>BB81720</t>
  </si>
  <si>
    <t>BSS03</t>
  </si>
  <si>
    <t>Geely_FE3AH_CB_Carbon_Int</t>
  </si>
  <si>
    <t>Deepika Rangarajan (RBEI/EBB7)</t>
  </si>
  <si>
    <t>Geely_FE3AH_CB_Carbon_Int\MainstreamF30\rba\Bldr\config\ApplicationLayer\rba_BldrCmp\src\rba_BldrCmp_Cfg_FlashIf.c</t>
  </si>
  <si>
    <t>rba_BldrCmp_Cfg_FlashIf.c</t>
  </si>
  <si>
    <t>Geely_FE3AH_CB_Carbon_Int\MainstreamF30\rba\Bldr\config\ApplicationLayer\rba_BldrCmp\src\rba_BldrCmp_Cfg_Functions.c</t>
  </si>
  <si>
    <t>rba_BldrCmp_Cfg_Functions.c</t>
  </si>
  <si>
    <t>Can’t cover C0, C1 for case TRUE of condition at line#112, because it always FALSE</t>
  </si>
  <si>
    <t>Owner confirm it's OK (There is no impact for project functionality)</t>
  </si>
  <si>
    <t>Geely_FE3AH_CB_Carbon_Int\MainstreamF30\rba\Bldr\config\ApplicationLayer\rba_BldrCmp\src\rba_BldrCmp_Cfg_NvmIf.c</t>
  </si>
  <si>
    <t>Can’t cover C0, C1 for case FALSE of condition at line#357, because it always TRUE when variable Direction_u8 pass through if statement at line #272</t>
  </si>
  <si>
    <t>Owner confirm it's no impact</t>
  </si>
  <si>
    <t>Geely_FE3AH_CB_Carbon_Int\MainstreamF30\rba\Bldr\config\ApplicationLayer\rba_BldrCmp\src\rba_BldrCmp_Cfg_PrjFunctions.c</t>
  </si>
  <si>
    <t>hau.nguyen-tai</t>
  </si>
  <si>
    <t>No function to test</t>
  </si>
  <si>
    <t>Geely_FE3AH_CB_Carbon_Int\MainstreamF30\rba\Bldr\config\ApplicationLayer\rba_BldrCmp\src\rba_BldrCmp_Cfg_SecA.c</t>
  </si>
  <si>
    <t>rba_BldrCmp_Cfg_SecA.c</t>
  </si>
  <si>
    <t>Owner confirm this file will be remove in the task</t>
  </si>
  <si>
    <t>Geely_FE3AH_CB_Carbon_Int\MainstreamF30\rba\Bldr\sbl\src\rba_sbl_main.c</t>
  </si>
  <si>
    <t>rba_sbl_main.c</t>
  </si>
  <si>
    <t>can’t cover function Chec_reprog_req() at line #75. Because it have a forever loop at line #99.</t>
  </si>
  <si>
    <t>206370_BYD_ESP9.3_New_Hybrid_MS15.1_BSS18</t>
  </si>
  <si>
    <t>BYD_ESP93_Int\MainstreamF30\rb\as\BYD\Mainstream151\app\dsm\RBVAR\src\RBVAR_IDDefinitionTable_PROJECT.c</t>
  </si>
  <si>
    <t>RBVAR_IDDefinitionTable_PROJECT.c</t>
  </si>
  <si>
    <t>BB80912</t>
  </si>
  <si>
    <t>BSS18</t>
  </si>
  <si>
    <t>BYD_ESP93_Int</t>
  </si>
  <si>
    <t>MA Python (CC-AS/EVA-SW31-CN)</t>
  </si>
  <si>
    <t>BYD_ESP93_Int\MainstreamF30\rb\as\BYD\Mainstream151\app\dsm\RBVAR\src\RBVAR_OutputDriver_PROJECT.c</t>
  </si>
  <si>
    <t>BYD_ESP93_Int\MainstreamF30\rb\as\BYD\Mainstream151\app\dsm\RBVAR\src\RBVAR_SystemStateManagement_PROJECT.c</t>
  </si>
  <si>
    <t>RBVAR_SystemStateManagement_PROJECT.c</t>
  </si>
  <si>
    <t>BYD_ESP93_Int\MainstreamF30\rb\as\BYD\Mainstream151\app\dsm\RBVAR\src\RBVAR_VarCode_PROJECT.c</t>
  </si>
  <si>
    <t>228771_SAIC EP22 X1 &amp; IP31E w/o_DA ESPHevX BSS04_SP01</t>
  </si>
  <si>
    <t>SAIC_EP_CMP_ESPHevX_Int\ESPhevXSAICEP\rb\as\ESPhevX\saicep\app\dsm\RBVAR\src\RBVAR_IDDefinitionTable_PROJECT.c</t>
  </si>
  <si>
    <t>BB81182</t>
  </si>
  <si>
    <t>BSS04_SP01</t>
  </si>
  <si>
    <t>SAIC_EP_CMP_ESPHevX_Int</t>
  </si>
  <si>
    <t>SONG Yaping (CC-AS/EVA-SW3-CN)</t>
  </si>
  <si>
    <t>SAIC_EP_CMP_ESPHevX_Int\ESPhevXSAICEP\rb\as\ESPhevX\saicep\app\dsm\RBVAR\src\RBVAR_SystemStateManagement_PROJECT.c</t>
  </si>
  <si>
    <t>SAIC_EP_CMP_ESPHevX_Int\ESPhevXSAICEP\rb\as\ESPhevX\saicep\app\dsm\RBVAR\src\RBVAR_VarCode_PROJECT.c</t>
  </si>
  <si>
    <t>Actual LOC is 278, not 34</t>
  </si>
  <si>
    <t>GAC_ESPHevX_HADHAP_Int\CNMSHevXHADHAP\rb\as\gaig\core\app\dsm\RBVAR\BB99308A18FPA\src\RBVAR_OutputDriver_PROJECT.c</t>
  </si>
  <si>
    <t>GAC_ESPHevX_HADHAP_Int\CNMSHevXHADHAP\rb\as\gaig\core\app\dsm\RBVAR\BB99308A18FPA\src\RBVAR_VarCode_PROJECT.c</t>
  </si>
  <si>
    <t>SGMW_ESP93_Carbon_Int\MainstreamF30\rb\as\sgmw\CN210S\app\net\RBScl\RBScl_SGMW\src\SGMW_RBA_NDS_SystemInfo_Callout.c</t>
  </si>
  <si>
    <t>SGMW_ESP93_Carbon_Int\MainstreamF30\rb\as\sgmw\CN210S\app\net\RBScl\RBScl_SGMW\src\NET_SCL_Rx_SGMW_RemoteControl.c</t>
  </si>
  <si>
    <t>GAC_ESP93CP_Carbon_Int\MainstreamF30\rb\as\gaig\A12ESP\app\net\RBScl\RBScl_GAC\src\NET_SCL_Rx_GearBox.c</t>
  </si>
  <si>
    <t>Actual LOC is 636, not 332</t>
  </si>
  <si>
    <t>GAC_ESPHevX_HADHAP_Int\CNMSHevXHADHAP\rb\as\core\app\espibooster_interface\net\src\RBNET_ESPiB_Monitoring.c</t>
  </si>
  <si>
    <t>Can't cover full MCDCs at line #102, line #112 and #133 because all of them are macros, thus if statements are always TRUE</t>
  </si>
  <si>
    <t>Owner confirm it isn't need to do UT
It’s OK, this part is followed CNMS
WT was updated</t>
  </si>
  <si>
    <t>216916_FAW_E115_L3_ESPhev_APB(CBi)_BL60</t>
  </si>
  <si>
    <t>FAW_RBF_usedBrakeChannel</t>
  </si>
  <si>
    <t>RBF_Main_ECU_CSW_BB00001.axl</t>
  </si>
  <si>
    <t>1.0</t>
  </si>
  <si>
    <t>JI Xin (CC-AS/EYB1-CN)</t>
  </si>
  <si>
    <t>- Tool issue.</t>
  </si>
  <si>
    <t>Carbon RPA</t>
  </si>
  <si>
    <t>CNMS_ESP_Carbon_Int\MainstreamF30\rb\as\rbcn\core\app\dcom\RBAPLCust\src\ESP\</t>
  </si>
  <si>
    <t>CNMS_ESP_Carbon_Int</t>
  </si>
  <si>
    <t>LU Martin (CC-AS/ESW2-CN)</t>
  </si>
  <si>
    <t>e</t>
  </si>
  <si>
    <t>CNMS_226315_HevX_RPA_BL03SP03</t>
  </si>
  <si>
    <t xml:space="preserve">VlcLsm_InitialMnvrStartIndcn_ReleasePLock </t>
  </si>
  <si>
    <t>YU Yichi (CC/PJ-AD-EYM-CN)</t>
  </si>
  <si>
    <t>Can’t cover MCDC for case T-F-X of condition at line#12, because it conflict with condition at line#4.</t>
  </si>
  <si>
    <t>Owner confirm it not affect.
- dSD not update.</t>
  </si>
  <si>
    <t xml:space="preserve">VlcLsm_DrvDirChangeSftyEval </t>
  </si>
  <si>
    <t>1.2.147.1</t>
  </si>
  <si>
    <t>- dSD not update.</t>
  </si>
  <si>
    <t xml:space="preserve">VlcLsm_InitialMnvrStartIndcn </t>
  </si>
  <si>
    <t>1.0.147.1</t>
  </si>
  <si>
    <t xml:space="preserve">1. Condition (VlcLsmMainReq == ReqMainState_Standstill) at line #14 cant show its influence due to it conflicts with decision at line #6.
2. Condition (VlcLsmMainReq == ReqMainState_Standstill) at line #29 cant show its influence due to it conflicts with decision at line #25.
</t>
  </si>
  <si>
    <t>VlcLsm_ParkLockSafetyEval</t>
  </si>
  <si>
    <t>1.5.147.0</t>
  </si>
  <si>
    <t>XE431RC ABS10.3ME</t>
  </si>
  <si>
    <t>2WP_ABS10.3ME_SUZUKI_XE431_Carbon_Migration_Stream\ABS_103_ME_SMC\rba\Bldr\config\Infrastruct\CubasAdapter\src\</t>
  </si>
  <si>
    <t>CubasAdapter.c</t>
  </si>
  <si>
    <t>2WP_ABS10.3ME_SUZUKI_XE431_Carbon_Migration_Stream</t>
  </si>
  <si>
    <t>Nguyen Minh Khoi (RBVH/EJV42)</t>
  </si>
  <si>
    <t>2WP_ABS10.3ME_SUZUKI_XE431_Carbon_Migration_Stream\ABS_103_ME_SMC\rba\Bldr\config\MemStack\Fls\src\</t>
  </si>
  <si>
    <t>Fls_Cfg.c</t>
  </si>
  <si>
    <t>2WP_ABS10.3ME_SUZUKI_XE431_Carbon_Migration_Stream\ABS_103_ME_SMC\rba\Bldr\config\Infrastruct\Stubs\src\</t>
  </si>
  <si>
    <t>HWPStubs.c</t>
  </si>
  <si>
    <t>2WP_ABS10.3ME_SUZUKI_XE431_Carbon_Migration_Stream\ABS_103_ME_SMC\rba\Bldr\bldr\src\</t>
  </si>
  <si>
    <t>rba_Bldr_main.c</t>
  </si>
  <si>
    <t>Can’t cover for true case of condition at line#88, because it have a forever loop at line#167.</t>
  </si>
  <si>
    <t>2WP_ABS10.3ME_SUZUKI_XE431_Carbon_Migration_Stream\ABS_103_ME_SMC\rba\Bldr\comps\ApplicationLayer\rba_BldrCmp\src\</t>
  </si>
  <si>
    <t>rba_BldrCmp_10DiagnosticSessionControl.c</t>
  </si>
  <si>
    <t>rba_BldrCmp_11EcuReset.c</t>
  </si>
  <si>
    <t>rba_BldrCmp_18ReadDTCByStatus.c</t>
  </si>
  <si>
    <t>rba_BldrCmp_1AReadECUIdentification.c</t>
  </si>
  <si>
    <t>-Duplicate Condition</t>
  </si>
  <si>
    <t>rba_BldrCmp_20StopDiagnosticSessionControl.c</t>
  </si>
  <si>
    <t>rba_BldrCMP_27SecurityAccess.c</t>
  </si>
  <si>
    <t>rba_BldrCmp_34RequestDownload.c</t>
  </si>
  <si>
    <t>- Condition always true</t>
  </si>
  <si>
    <t>Cannot cover branch "else" at line #155</t>
  </si>
  <si>
    <t>rba_BldrCmp_37RequestTransferExit.c</t>
  </si>
  <si>
    <t>rba_BldrCmp_3BWriteDataByLocalIdentifier.c</t>
  </si>
  <si>
    <t xml:space="preserve">Can’t cover MCDC for case T-F of condition line#132 because func_b is always equa tol FALSE (line#102).
Can’t cover MCDC for case F- X of condition at line#142 because func_b is always equal to FALSE, so when nvmif_b is equal  to FALSE , condition at line#132 is true , NRC_u8 is equal to DCM_E_SUBFUNCTIONNOTSUPPORTED (0x12).
Condition at line#138 is false , we can’t reach to condition at line#142.
Similar to MCDC case T-F of condition at line#142. nvmif_b is equal  to TRUE when condition at line#87 is true .  rba_BldrCmp_WDBI_ListIdx_u8 equal i and i is less than RBA_BLDRCMP_WDBI_NoWriteDidByNvmidListEntries (0x02).
</t>
  </si>
  <si>
    <t>rba_BldrCmp_3ETesterPresent.c</t>
  </si>
  <si>
    <t>rba_BldrCmp_4D4NMHandler.c</t>
  </si>
  <si>
    <t>rba_BldrCmp.c</t>
  </si>
  <si>
    <t>- Can't cover for function Std_ReturnType rba_BldrCmp_Cfg_CheckMem_Init(rba_BldrCmp_Check_tst* rba_BldrCmp_Check_pst).
- Owner confirms that we can ignore it.</t>
  </si>
  <si>
    <t>rba_BldrCmp_Cfg_Com.c</t>
  </si>
  <si>
    <t>Cannot cover branch if (*length_pu16 &gt; maxLength_u16) at line #93, 
Cannot cover branch if (retValue == E_OK) at line #229</t>
  </si>
  <si>
    <t>rba_BldrCmp_Cfg_SyncEaWrapper.c</t>
  </si>
  <si>
    <t>rba_BldrCmp_Cfg_SyncFEEWrapper.c</t>
  </si>
  <si>
    <t>2WP_ABS10.3ME_SUZUKI_XE431_Carbon_Migration_Stream\ABS_103_ME_SMC\rba\Bldr\config\Infrastruct\TestEnv\src\</t>
  </si>
  <si>
    <t>rba_BldrCmp_Cfg_TestServices.c</t>
  </si>
  <si>
    <t>rba_BldrCmp_Cfg_TestServices_SVM.c</t>
  </si>
  <si>
    <t>rba_BldrCmp_Cfg_TestServices_TaskMon.c</t>
  </si>
  <si>
    <t>rba_BldrCmp_CheckMemTask.c</t>
  </si>
  <si>
    <t>rba_BldrCmp_DataHdl.c</t>
  </si>
  <si>
    <t>rba_BldrCmp_LogBlkHdl.c</t>
  </si>
  <si>
    <t>rba_BldrCmp_ServiceCondCheck.c</t>
  </si>
  <si>
    <t>rba_BldrCmp_Task_SADelayTimer.c</t>
  </si>
  <si>
    <t>2WP_ABS10.3ME_SUZUKI_XE431_Carbon_Migration_Stream\ABS_103_ME_SMC\rba\Bldr\config\ComplexDeviceDriver\rba_BldrFlsDrv\src\</t>
  </si>
  <si>
    <t>rba_BldrFlsDrv_Cfg.c</t>
  </si>
  <si>
    <t>- Can't cover for function Std_ReturnType rba_BldrFlsDrv_Cfg_Write (void) because address of canCore_pvst and  txbufflocal_pvst are fixed.</t>
  </si>
  <si>
    <t>2WP_ABS10.3ME_SUZUKI_XE431_Carbon_Migration_Stream\ABS_103_ME_SMC\rba\Bldr\comps\ApplicationLayer\rba_BldrMemCpy\src\</t>
  </si>
  <si>
    <t>rba_BldrMemCpy.c</t>
  </si>
  <si>
    <t>2WP_ABS10.3ME_SUZUKI_XE431_Carbon_Migration_Stream\ABS_103_ME_SMC\rba\Bldr\comps\ComplexDeviceDriver\rba_BldrSVM\src\</t>
  </si>
  <si>
    <t>rba_BldrSVM.c</t>
  </si>
  <si>
    <t>- Can't cover for function rba_BldrSVM_state_tst rba_BldrSVM_GetValidity(void) because address of (uint8 *)RBA_BLDRSVM_CFG_BLOCKADDRESS is fixed.</t>
  </si>
  <si>
    <t>2WP_ABS10.3ME_SUZUKI_XE431_Carbon_Migration_Stream\ABS_103_ME_SMC\rba\Bldr\bmgr\src\</t>
  </si>
  <si>
    <t>rba_Bmgr_main.c</t>
  </si>
  <si>
    <t>- Can’t cover endless loop at line #64.</t>
  </si>
  <si>
    <t>GWM CHB027 RC3 ESP9.3</t>
  </si>
  <si>
    <t>GWM_CP_RBVH_Stream_Int\rb\as\gwm\core\app\net\scl\LDMFunctions\SCM\src\</t>
  </si>
  <si>
    <t>GWM_NET_SCL_Rx_SCM.c</t>
  </si>
  <si>
    <t>BSS04SP4</t>
  </si>
  <si>
    <t>GWM_CP_RBVH_Stream_Int</t>
  </si>
  <si>
    <t>Ngo Nhat Tan (RBVH/EAS12)</t>
  </si>
  <si>
    <t>DFN_ESP_Gen9.3_534_238307_BS03SP03</t>
  </si>
  <si>
    <t>AEB_DriverAccelerates</t>
  </si>
  <si>
    <t>BB81615</t>
  </si>
  <si>
    <t>BL03</t>
  </si>
  <si>
    <t>AEB_ECU_CSW_BB00001</t>
  </si>
  <si>
    <t>4.2.1.0</t>
  </si>
  <si>
    <t>LI Ranran (CC-AS/EVA-SW2-CN)</t>
  </si>
  <si>
    <t>SAIC ZS12MCE withDA ESP9.3 BSS03SP01</t>
  </si>
  <si>
    <t>SAIC_A_ARCH_CMP_ESP93_RBVH_Carbon_Int\MainstreamF30\rba\Bldr\config\ApplicationLayer\rba_BldrCmp\src\rba_BldrCmp_Cfg_FlashIf.c</t>
  </si>
  <si>
    <t>BB81403</t>
  </si>
  <si>
    <t>BSS03SP01</t>
  </si>
  <si>
    <t>SAIC_A_ARCH_CMP_ESP93_RBVH_Carbon_Int</t>
  </si>
  <si>
    <t>Thangamani Shanmugam (RBEI/EBB7)</t>
  </si>
  <si>
    <t>SAIC_A_ARCH_CMP_ESP93_RBVH_Carbon_Int\MainstreamF30\rba\Bldr\config\Infrastruct\rba_AS_HWProt\src\rba_AS_HWProt.c</t>
  </si>
  <si>
    <t>rba_AS_HWProt.c</t>
  </si>
  <si>
    <t>MC_239446_Geely_FE6AB_ESP9.3HD_BB81527_BL04</t>
  </si>
  <si>
    <t>Geely_Beryllium2_Int\MainstreamF30\rb\as\geely\project\app\dsm\RBHMI\src\RBHMI_Synchronisation_F30.C</t>
  </si>
  <si>
    <t>RBHMI_Synchronisation_F30.c</t>
  </si>
  <si>
    <t>Geely_Beryllium2_Int</t>
  </si>
  <si>
    <t>ZHANG Guorong (CC-AS/EVA-SW32-CN)</t>
  </si>
  <si>
    <t>217437_FAW_C229_BL43</t>
  </si>
  <si>
    <t>FAW_MainPath_Int\MainstreamFAW\rba\Bldr\config\ApplicationLayer\rba_BldrCmp\src\rba_BldrCmp_Cfg_CheckMem.c</t>
  </si>
  <si>
    <t>BB99860</t>
  </si>
  <si>
    <t>BL43</t>
  </si>
  <si>
    <t>FAW_MainPath_Int</t>
  </si>
  <si>
    <t>NGUYEN LY THINH QUANG (RBVH/EAS12)</t>
  </si>
  <si>
    <t>Can’t cover FALSE case at line #246. Because of when the condition at line #200 is FALSE, the condition at line #246 cannot be the FALSE case.</t>
  </si>
  <si>
    <t>FAW_MainPath_Int\MainstreamFAW\rb\as\fawMP\fawcore\app\dcom\RBAPLCust\src\RBAPLCUST_RBDI_NVMData.c</t>
  </si>
  <si>
    <t>Support testing on 20200511</t>
  </si>
  <si>
    <t>BAIC_C62X_RC_APA_BL01</t>
  </si>
  <si>
    <t>BAIC_ESP93CPi_RC_Init\MainstreamF30\rb\as\baic\core\app\dcom\RBAPLCust\src\RBAPLCUST_RBDI_NVMData.c</t>
  </si>
  <si>
    <t>BB82308</t>
  </si>
  <si>
    <t>BL01</t>
  </si>
  <si>
    <t>BAIC_ESP93CPi_RC_Init</t>
  </si>
  <si>
    <t>Nguyen Minh Phi (RBVH/EAS12)</t>
  </si>
  <si>
    <t>BAIC_ESP93CPi_RC_Init\MainstreamF30\rb\as\baic\core\app\dcom\RBAPLCust\src\RBAPLCUST_WDBI_NVMData.c</t>
  </si>
  <si>
    <t>BAIC_ESP93CPi_RC_Init\MainstreamF30\rb\as\baic\CpiwAPB\app\dsm\RBVAR\src\RBVAR_OutputDriver_PROJECT.c</t>
  </si>
  <si>
    <t>BAIC_ESP93CPi_RC_Init\MainstreamF30\rb\as\baic\CpiwAPB\app\net\RbNetPrj\RBNet_Can\src\NET_AliveCounterLib_CNMS.c</t>
  </si>
  <si>
    <t>NET_AliveCounterLib_CNMS.c</t>
  </si>
  <si>
    <t>BAIC_ESP93CPi_RC_Init\MainstreamF30\rb\as\baic\CpiwAPB\app\net\RbNetPrj\RBNet_Can\src\NET_CheckSumLib_CNMS.c</t>
  </si>
  <si>
    <t>NET_CheckSumLib_CNMS.c</t>
  </si>
  <si>
    <t>BAIC_ESP93CPi_RC_Init\MainstreamF30\rb\as\baic\CpiwAPB\app\net\RbNetPrj\RBNet_Can\src\NET_MonitoringClasses_F30.c</t>
  </si>
  <si>
    <t>BAIC_ESP93CPi_RC_Init\MainstreamF30\rb\as\baic\CpiwAPB\app\net\RBScl\src\NET_SCL_Rx.c</t>
  </si>
  <si>
    <t>NET_SCL_Rx.c</t>
  </si>
  <si>
    <t>BAIC_ESP93CPi_RC_Init\MainstreamF30\rb\as\baic\CpiwAPB\app\net\RBScl\src\NET_SCL_Tx_APA.c</t>
  </si>
  <si>
    <t>NET_SCL_Tx_APA.c</t>
  </si>
  <si>
    <t>BAIC_ESP93CPi_RC_Init\MainstreamF30\rb\as\baic\CpiwAPB\app\net\RBScl\src\NET_SCL_Tx_APBMi_PRJ.c</t>
  </si>
  <si>
    <t>NET_SCL_Tx_APBMi_PRJ.c</t>
  </si>
  <si>
    <t>BAIC_ESP93CPi_RC_Init\MainstreamF30\rb\as\baic\CpiwAPB\app\net\RBScl\src\NET_SCL_Tx_WheelPulse_APA.c</t>
  </si>
  <si>
    <t>NET_SCL_Tx_WheelPulse_APA.c</t>
  </si>
  <si>
    <t>BAIC_ESP93CPi_RC_Init\MainstreamF30\rb\as\baic\CpiwAPB\dsmpr\src\RBPduHandler_Callouts.c</t>
  </si>
  <si>
    <t>GAC_ESPHevX_HADHAP_Int\CNMSHevXHADHAP\rb\as\gaig\core\app\net\RBScl\src\</t>
  </si>
  <si>
    <t>Cannot cover branch if at line #1290 and line #1339</t>
  </si>
  <si>
    <t xml:space="preserve">Owner confirm it's could be ignore </t>
  </si>
  <si>
    <t>GAC_Carbon_RPA_ESPHevx_Mainpath_BL05</t>
  </si>
  <si>
    <t>GAC_ESPHevX_HADHAP_Int\CNMSHevXHADHAP\rb\as\cnms_core\app\net\scl_callout\src\</t>
  </si>
  <si>
    <t>RBA_NDS_SystemInfo.c</t>
  </si>
  <si>
    <t>NET_SCL_EngineIntervention_Torq_GAC.c</t>
  </si>
  <si>
    <t>-I can’t coverage the false case of l_MMotRedFast_SW &lt; 0   and l_MMotRedSlow_SW &lt; 0   because NETBOUND always make l_MMotRedFast_SW and l_MMotRedSlow_SW     into 0x00 and 0xff</t>
  </si>
  <si>
    <t>GAC_ESPHevX_HADHAP_Int\rb\as\gaig\core\app\net\RBScl\src</t>
  </si>
  <si>
    <t>GAC_ESP93CP_Carbon_Int\MainstreamF30\rb\as\gaig\A12ESP\app\net\RBScl\RBScl_GAC\src\</t>
  </si>
  <si>
    <t>BB81262 / BB81708</t>
  </si>
  <si>
    <t>CAI Tantan (CC-AS/EVA-SW31-CN)</t>
  </si>
  <si>
    <t>NET_SCL_GAC_OBD.c</t>
  </si>
  <si>
    <t>BB81262 / BB81709</t>
  </si>
  <si>
    <t>RB_DNC_SCL_RX_TPMF.c</t>
  </si>
  <si>
    <t>BB81262 / BB81710</t>
  </si>
  <si>
    <t>BB81262 / BB81711</t>
  </si>
  <si>
    <t>GAC_ESP93CP_Carbon_Int\MainstreamF30\rb\as\cnms_core\app\net\scl_callout\src\</t>
  </si>
  <si>
    <t>BB81262 / BB81712</t>
  </si>
  <si>
    <t>GAC_ESP93CP_Carbon_Int\MainstreamF30\rb\as\cnms_core\app\net\scl\Sensors\Steering\src\</t>
  </si>
  <si>
    <t>BB81262 / BB81713</t>
  </si>
  <si>
    <t>GAC_ESP93CP_Carbon_Int\MainstreamF30\rb\as\gaig\core\app\itpms\TPMS_Common_CN\SRC\</t>
  </si>
  <si>
    <t>TPMS_PSW_Interface_COMMON_CN.c</t>
  </si>
  <si>
    <t>BB81262 / BB81714</t>
  </si>
  <si>
    <t>TPMS_Handler_COMMON_CN.c</t>
  </si>
  <si>
    <t>BB81262 / BB81715</t>
  </si>
  <si>
    <t>-Tool issue at line #4015, #4031, #4063, #3632 and #3633</t>
  </si>
  <si>
    <t>GAC_ESP93CP_Carbon_Int\MainstreamF30\rb\as\gaig\core\app\itpms\TPMS_Common_CN\SIM\SRC\</t>
  </si>
  <si>
    <t>WSSALLTIMESTMPS_SIM_CN.c</t>
  </si>
  <si>
    <t>BB81262 / BB81716</t>
  </si>
  <si>
    <t>EC_245950_NIO_ESX_ESPHevX_DTC</t>
  </si>
  <si>
    <t>NextEV_ESPHevX_Int\CNMSESPHevX\rb\as\nio\prj\dsmpr\tst\Sim\STMComponents\src\RBDSM_SWT_DTC.c</t>
  </si>
  <si>
    <t>RBDSM_SWT_DTC.c</t>
  </si>
  <si>
    <t>BB82090</t>
  </si>
  <si>
    <t>BSS04_SP02</t>
  </si>
  <si>
    <t>NextEV_ESPHevX_Int</t>
  </si>
  <si>
    <t>LI Joe (CC-AS/EVA-SW32-CN)</t>
  </si>
  <si>
    <t>Missing "src" at Component Name</t>
  </si>
  <si>
    <t>NextEV_ESPHevX_Int\CNMSESPHevX\rb\as\nio\core\app\net\RBScl\src\NET_SCL_Rx_PEUF_VCU_84_NextEV.c</t>
  </si>
  <si>
    <t>NET_SCL_Rx_PEUF_VCU_84_NextEV.c</t>
  </si>
  <si>
    <t>LI Jiaxing (CC-AS/EVA-SW32-CN)</t>
  </si>
  <si>
    <t>NextEV_ESPHevX_Int\CNMSESPHevX\rb\as\nio\core\app\net\RBScl\src\NET_SCL_Rx_PEUR_VCU_8C_NextEV.c</t>
  </si>
  <si>
    <t>NET_SCL_Rx_PEUR_VCU_8C_NextEV.c</t>
  </si>
  <si>
    <t>DFN_Venucia_ESP93_Carbon_Int\MainstreamF30\rb\as\core\app\dcom\RBAPLEOL\src\RBAPLEOL_ActuatorTest.c</t>
  </si>
  <si>
    <t>RBAPLEOL_ActuatorTest.c</t>
  </si>
  <si>
    <t>BS03SP03</t>
  </si>
  <si>
    <t>DFN_Venucia_ESP93_Carbon_Int</t>
  </si>
  <si>
    <t>VENKATESAN Azhaku Sathya Narayanan (CC-AS/EVA-SW32-CN)</t>
  </si>
  <si>
    <t>DFN_Venucia_ESP93_Carbon_Int\MainstreamF30\rb\as\core\app\dcom\RBAPLEOL\src\RBAPLEOL_ESPDynamicTest.c</t>
  </si>
  <si>
    <t>RBAPLEOL_ESPDynamicTest.c</t>
  </si>
  <si>
    <t>DFN_Venucia_ESP93_Carbon_Int\MainstreamF30\rb\as\core\app\dcom\RBAPLEOL\src\RBAPLEOL_ExtendedDynamicTest.c</t>
  </si>
  <si>
    <t>RBAPLEOL_ExtendedDynamicTest.c</t>
  </si>
  <si>
    <t xml:space="preserve">At line #485 cannot cover MCDC because l_LoopCnt &lt; g_EOLParamBuffer_PUB[4] at line 485 &amp; line 489 have been conflict.
At line #486cannot cover MCDC because l_LoopCnt &lt; 10] at line 486 &amp; line 490 have been conflict.
</t>
  </si>
  <si>
    <t>DFN_Venucia_ESP93_Carbon_Int\MainstreamF30\rb\as\core\app\dcom\RBAPLEOL\src\RBAPLEOL_PumpMotorErrorState.c</t>
  </si>
  <si>
    <t>RBAPLEOL_PumpMotorErrorState.c</t>
  </si>
  <si>
    <t>DFN_Venucia_ESP93_Carbon_Int\MainstreamF30\rb\as\core\app\dcom\RBAPLEOL\src\RBAPLEOL_PumpSDTimeTest.c</t>
  </si>
  <si>
    <t>RBAPLEOL_PumpSDTimeTest.c</t>
  </si>
  <si>
    <t>DFN_Venucia_ESP93_Carbon_Int\MainstreamF30\rb\as\core\app\dcom\RBAPLEOL\src\RBAPLEOL_ValvesToggling.c</t>
  </si>
  <si>
    <t>RBAPLEOL_ValvesToggling.c</t>
  </si>
  <si>
    <t>BYD_ESP93_Int\MainstreamF30\rb\as\BYD\Mainstream151\app\net\RbNetPrj\RBNet_Can\src\rba_SCL_Settings.c</t>
  </si>
  <si>
    <t>rba_SCL_Settings.c</t>
  </si>
  <si>
    <t>LI Zhiyuan (CC-AS/EVA-SW31-CN)</t>
  </si>
  <si>
    <t>DFSK_ESP93_EV_Mainstream_Int\MainstreamF30\rb\as\dfsk\core\app\dcom\RBAPLCust\src\RBAPLCUST_DFSK_RoutineControl_CheckProgrammingPrecondition.c</t>
  </si>
  <si>
    <t>Remove. Cancel UT</t>
  </si>
  <si>
    <t>DFSK_ESP93_EV_Mainstream_Int\MainstreamF30\rb\as\dfsk\core\app\dcom\RBAPLCust\src\RBAPLCUST_RBDI_CustomerHardwareVersion.c</t>
  </si>
  <si>
    <t>DFSK_ESP93_EV_Mainstream_Int\MainstreamF30\rb\as\dfsk\core\app\dcom\RBAPLCust\src\RBAPLCUST_RBDI_CustomerSoftwareVersion.c</t>
  </si>
  <si>
    <t>DFSK_ESP93_EV_Mainstream_Int\MainstreamF30\rb\as\dfsk\core\app\dcom\RBAPLCust\src\RBAPLCUST_RBDI_NVMData.c</t>
  </si>
  <si>
    <t>DFSK_ESP93_EV_Mainstream_Int\MainstreamF30\rb\as\dfsk\core\app\dcom\RBAPLCust\src\RBAPLCUST_RBDI_VariandCode.c</t>
  </si>
  <si>
    <t>DFSK_ESP93_EV_Mainstream_Int\MainstreamF30\rb\as\dfsk\core\app\dcom\RBAPLCust\src\RBAPLCUST_SecurityAccess.c</t>
  </si>
  <si>
    <r>
      <t xml:space="preserve">Can’t cover FALSE case at line #301. Because of the macro </t>
    </r>
    <r>
      <rPr>
        <sz val="10"/>
        <color rgb="FF000000"/>
        <rFont val="Courier New"/>
        <family val="3"/>
      </rPr>
      <t xml:space="preserve">DCM_CFG_DSP_NUMSECURITY </t>
    </r>
    <r>
      <rPr>
        <sz val="10"/>
        <color rgb="FF000000"/>
        <rFont val="Arial"/>
        <family val="2"/>
      </rPr>
      <t>is defined as 1.</t>
    </r>
  </si>
  <si>
    <t>DFSK_ESP93_EV_Mainstream_Int\MainstreamF30\rb\as\dfsk\core\app\dcom\RBAPLCust\src\RBAPLCUST_WDBI_NVMData.c</t>
  </si>
  <si>
    <t>DFSK_ESP93_EV_Mainstream_Int\MainstreamF30\rb\as\dfsk\CpiwAPB\app\net\RbNetPrj\RBNet_Can\src\NET_MonitoringClasses_F30.c</t>
  </si>
  <si>
    <t>DFSK_ESP93_EV_Mainstream_Int\MainstreamF30\rb\as\dfsk\CpiwAPB\app\net\RbNetPrj\RBNet_Can\src\NET_SCL_InitPrc_CNMS.c</t>
  </si>
  <si>
    <t>DFSK_ESP93_EV_Mainstream_Int\MainstreamF30\rb\as\dfsk\CpiwAPB\app\net\RBScl_BB99581\src\NET_SCL_Rx_VAM_SOKON.c</t>
  </si>
  <si>
    <t>DFSK_ESP93_EV_Mainstream_Int\MainstreamF30\rb\as\dfsk\CpiwAPB\app\net\RBSTSP_Crank\RBCN\SRC\rba_StartStopAndCranking.c</t>
  </si>
  <si>
    <t>DFSK_ESP93_EV_Mainstream_Int\MainstreamF30\rb\as\dfsk\CpiwAPB\hswpr\tst\hswsim\src\TestEnvironment_Fee_S513.c</t>
  </si>
  <si>
    <t>[No1]: Line 236, 281, 423, 435, 456 can not cover false condition if(ls_PreSig_Value_UB == ls_CurSig_Value_UB) because: ls_PreSig_Value_UB is static variable, and it is always set at line 420 by “case 1”.
[No2] Missing key word break at line 589 case C_State_Init_UB
[No3]: Condition line 1291 can not cover true case because the limit assignment from line 1284 with C_MMotRedMin_UW = 0x00. There for the value of l_MMotRedFastFA_SW is never lower than “0”.</t>
  </si>
  <si>
    <t>Lack component. Owner confirm it's no impact</t>
  </si>
  <si>
    <t>GAC_ESPHevX_HADHAP_Int\CNMSHevXHADHAP\rb\as\cnms_core\app\net\scl_callout\src\RBA_NDS_YAWRATE_Callout.c</t>
  </si>
  <si>
    <t>Lack component.</t>
  </si>
  <si>
    <t>GAC_ESP93CP_Carbon_Int\MainstreamF30\rb\as\core\app\net\RBNetSAS\src\RBNetSAS_Functions.c</t>
  </si>
  <si>
    <t>GAC_ESP93CP_Carbon_Int\MainstreamF30\rb\as\cnms_core\app\net\scl\Sensors\Steering\src\SAS_LWS_Standard.c</t>
  </si>
  <si>
    <t>GAC_ESPHevX_HADHAP_Int\CNMSHevXHADHAP\rb\as\gaig\prj\dsmpr\src\RBHMI\src\RBHMI_ESPiB_WarningLamp_GAC.c</t>
  </si>
  <si>
    <t>FAW_E115_ESPhev_BSL60</t>
  </si>
  <si>
    <t xml:space="preserve">AD_ShutDown </t>
  </si>
  <si>
    <t>ESPiBVmcESPDeploymentInputStubs_ECU_CSW_BB95473.axl</t>
  </si>
  <si>
    <t>V 1.0</t>
  </si>
  <si>
    <t>LI Jiaojiao (CC/PJ-AD-EYM-CN)</t>
  </si>
  <si>
    <t>ACC_ShutDown</t>
  </si>
  <si>
    <t>`</t>
  </si>
  <si>
    <t xml:space="preserve">VLC_ADSignalsChoice </t>
  </si>
  <si>
    <t>(0.1.146314.4)</t>
  </si>
  <si>
    <t>BJEV_N60_2WD_4WD</t>
  </si>
  <si>
    <t>BAIC_MainPath_HevX_Int\BAICHevX\rba\Bldr\comps\ComplexDeviceDriver\rba_BldrBCLSigChk\src\rba_BldrBCLSigChk.c</t>
  </si>
  <si>
    <t>rba_BldrBCLSigChk.c</t>
  </si>
  <si>
    <t>BL73_SP02</t>
  </si>
  <si>
    <t>BAIC_MainPath_HevX_Int</t>
  </si>
  <si>
    <t>Nageswara Reddy Tindi (RBEI/EBB7)</t>
  </si>
  <si>
    <t>BAIC_MainPath_HevX_Int\BAICHevX\rba\Bldr\comps\ComplexDeviceDriver\rba_BldrFlsDrv\src\rba_BldrFlsDrv.c</t>
  </si>
  <si>
    <t>rba_BldrFlsDrv.c</t>
  </si>
  <si>
    <t>BAIC_MainPath_HevX_Int\BAICHevX\rba\Bldr\config\ApplicationLayer\rba_BldrCmp\src\rba_BldrCmp_Cfg_CheckMem.c</t>
  </si>
  <si>
    <t>BAIC_MainPath_HevX_Int\BAICHevX\rba\Bldr\config\ApplicationLayer\rba_BldrCmp\src\rba_BldrCmp_Cfg_FlashIf.c</t>
  </si>
  <si>
    <t>BAIC_MainPath_HevX_Int\BAICHevX\rba\Bldr\config\ApplicationLayer\rba_BldrCmp\src\rba_BldrCmp_Cfg_Functions.c</t>
  </si>
  <si>
    <t>BAIC_MainPath_HevX_Int\BAICHevX\rba\Bldr\config\ApplicationLayer\rba_BldrCmp\src\rba_BldrCmp_Cfg_SecA.c</t>
  </si>
  <si>
    <t>BAIC_MainPath_HevX_Int\BAICHevX\rba\Bldr\config\ComplexDeviceDriver\rba_BldrFlsDrv\src\rba_BldrFlsDrv_Cfg.c</t>
  </si>
  <si>
    <t>BAIC_MainPath_HevX_Int\BAICHevX\rba\Bldr\config\Infrastruct\CubasAdapter\src\CubasAdapter.c</t>
  </si>
  <si>
    <t>BAIC_MainPath_HevX_Int\BAICHevX\rba\Bldr\bldr\src\rba_Bldr_main.c</t>
  </si>
  <si>
    <t>BAIC_MainPath_HevX_Int\BAICHevX\rba\Bldr\sbl\src\rba_sbl_main.c</t>
  </si>
  <si>
    <t>BAIC_MainPath_HevX_Int\BAICHevX\rba\BldrCmp\src\rba_BldrCMP_27SecurityAccess.c</t>
  </si>
  <si>
    <t>BAIC_MainPath_HevX_Int\BAICHevX\rb\as\baic\prj\cswpr\src\RBLCF_Customized_Hexblocks_Allocation_Signature.c</t>
  </si>
  <si>
    <t>RBLCF_Customized_Hexblocks_Allocation_Signature.c</t>
  </si>
  <si>
    <t>BAIC_MainPath_HevX_Int\BAICHevX\rba\FBL\AS\SW\rba_Bmgr\src\rba_Bmgr_main.c</t>
  </si>
  <si>
    <t>+ Can’t cover function rba_Bmgr_main() at line #75. Because It has a forever loop at line #90
+ Can’t cover MCDC for condition at line #237. Because of the address of integer variable can’t be adjusted.</t>
  </si>
  <si>
    <t xml:space="preserve">RTN_MOTO][RT750-J] </t>
  </si>
  <si>
    <t>ABS9.1MB_Corona_Projects_COEM_DiagCAN__1_6\Psw\DNC\DNC09_BB91153\HMI09_BB91153\SRC\HMI09_ConfigOutputDriver_BB91102.C</t>
  </si>
  <si>
    <t>HMI09_ConfigOutputDriver_BB91102.C</t>
  </si>
  <si>
    <t>ABS9.1MB_Corona_Projects_COEM_DiagCAN__1_6</t>
  </si>
  <si>
    <t>1.4.1.1.0.1</t>
  </si>
  <si>
    <t>CNMS_226528_IB2_RPA</t>
  </si>
  <si>
    <t>APBSysState_Mockup</t>
  </si>
  <si>
    <t>BL03SP05</t>
  </si>
  <si>
    <t>1404916.axl</t>
  </si>
  <si>
    <t>SUN Kai (CC/PJ-AD-EYM-CN)</t>
  </si>
  <si>
    <t>NA</t>
  </si>
  <si>
    <t>CMNS Standard</t>
  </si>
  <si>
    <t>MC_239507_SGMW_CN210S_PHEV_ESP9.3CPi_BSS02_SP2</t>
  </si>
  <si>
    <t>SGMW_ESP93_Carbon_Int\MainstreamF30\rb\as\sgmw\core\app\dcom\RBAPLCust\src\common\RBAPLCUST_VariandCode.c</t>
  </si>
  <si>
    <t>BSS02_SP2</t>
  </si>
  <si>
    <t>SUN Yun (CC-AS/EVA-SW31-CN)</t>
  </si>
  <si>
    <t>237281_GAC_A76_CarbonESP9.3CP_BL04</t>
  </si>
  <si>
    <t>GAC_ESP93CP_Carbon_Int\MainstreamF30\rb\as\gaig\A12ESP\app\dsm\RBVAR\BB_81116A76CP\src\RBVAR_VarCode_PROJECT.c</t>
  </si>
  <si>
    <t>FENG Yinfei (CC-AS/EVA-SW31-CN)</t>
  </si>
  <si>
    <t>238493_GAC_A36_CarbonESP9.3CP_BL04</t>
  </si>
  <si>
    <t>GAC_ESP93CP_Carbon_Int\MainstreamF30\rb\as\gaig\A12ESP\app\dsm\RBVAR\BB_81175A36CP\src\RBVAR_OutputDriver_PROJECT.c</t>
  </si>
  <si>
    <t>PT_ModelTransAxletoBody_C</t>
  </si>
  <si>
    <t>1435036.zip</t>
  </si>
  <si>
    <t>1.5.147308.0</t>
  </si>
  <si>
    <t>YANG Qingliu (CC-AS/EVA-SW1-CN)</t>
  </si>
  <si>
    <t>GWM_B30_CP</t>
  </si>
  <si>
    <t>rb\as\core\app\asw\apbmi\host\PBC\SRC</t>
  </si>
  <si>
    <t>PbcWrapper.c</t>
  </si>
  <si>
    <t>BSSL07</t>
  </si>
  <si>
    <t>GWM_AB30_CP_Int</t>
  </si>
  <si>
    <t>ZHANG Wenjia (CC-AS/EVA-SW33-CN)</t>
  </si>
  <si>
    <t>rb\as\gwm\core\app\dcom\Cubas\src\Dcm_CNMS</t>
  </si>
  <si>
    <t>DcmAppl_DcmCommControlConditionCheck.c</t>
  </si>
  <si>
    <t>rb\as\gwm\core\app\dcom\Cubas\src\Dcm</t>
  </si>
  <si>
    <t>DcmAppl_DcmNotification.c</t>
  </si>
  <si>
    <t>rb\as\gwm\core\app\dcom\RBAPLCust\src\iBooster</t>
  </si>
  <si>
    <t>Can't cover case default for switch at line #116. Because of the conditon "if ((RBAPLCUST_PHASESEQUENCE_MINIMUM &gt; dataIn1) || (RBAPLCUST_PHASESEQUENCE_MAXIMUM &lt; dataIn1))" at line #87 false when range vaule of dataIn1 to 1 from 4.</t>
  </si>
  <si>
    <t>Owner said it's OK "no impact"</t>
  </si>
  <si>
    <t>rb\as\gwm\cp\app\asw\apbmi\host\PDM\APBHostData_Project_C\SRC</t>
  </si>
  <si>
    <t>ApbHostData_Project.c</t>
  </si>
  <si>
    <t>rb\as\gwm\cp\app\dsm\RBWarningIndicator\src</t>
  </si>
  <si>
    <t>rb\as\gwm\cp\app\obd\ObdCvnCalId\src</t>
  </si>
  <si>
    <t>Obd_CalId.c</t>
  </si>
  <si>
    <t>rb\as\gwm\cp\varcode</t>
  </si>
  <si>
    <t>CNMS_Var_DcmRead.c</t>
  </si>
  <si>
    <t>dac.luu-cong</t>
  </si>
  <si>
    <t>CNMS_Var_Global.c</t>
  </si>
  <si>
    <t>rb\as\gwm\cp\dsmpr\src\Cubas\ESM\EcuM\src</t>
  </si>
  <si>
    <t>HHT_VX1_ESPHevX_BL2_Sprint4</t>
  </si>
  <si>
    <t>rb\as\hht\core\app\net\RBScl\src</t>
  </si>
  <si>
    <t>ComScl_UserDefinedProcessing.c</t>
  </si>
  <si>
    <t>BL2_Sprint4</t>
  </si>
  <si>
    <t>HHT_VX1_ESPHevX_Carbon_Int</t>
  </si>
  <si>
    <t>YAN Jiebing (BEG/ESW-CN)</t>
  </si>
  <si>
    <t>rb\as\hht\core\app\dcom\RBAPLCust\src\ESP</t>
  </si>
  <si>
    <t>RBAPLCUST_ActualServiceLife_ReadData.c</t>
  </si>
  <si>
    <t>BL2</t>
  </si>
  <si>
    <t>LI Jianming (BEG/ESW-CN)</t>
  </si>
  <si>
    <t>RBAPLCUST_DateTime_ReadData.c</t>
  </si>
  <si>
    <t>RBAPLCUST_InputDataBattery_Snapshot_ReadData.c</t>
  </si>
  <si>
    <t>RBAPLCUST_VSOInformation_Snapshot_ReadData.c</t>
  </si>
  <si>
    <t>RBAPLCUST_HHT_RBDI_NVM.c</t>
  </si>
  <si>
    <t>RBAPLCUST_HHT_WBDI_NVM.c</t>
  </si>
  <si>
    <t>rb\as\hht\vx1\dcompr\esp\src</t>
  </si>
  <si>
    <t>RBFSWBootInterface_HHT.c</t>
  </si>
  <si>
    <t>HHT_VX1_IBooster_Gen2_BL2</t>
  </si>
  <si>
    <t>rb\as\hht\core\app\dcom\RBAPLCust\src\iBooster</t>
  </si>
  <si>
    <t>HHT_VX1_IB2_Carbon_Int</t>
  </si>
  <si>
    <t>rb\as\hht\vx1\dcompr\ib2\src</t>
  </si>
  <si>
    <t>iBoosterGen2\rb\as\hht\vx1\netpr\src</t>
  </si>
  <si>
    <t>YUAN Jessica(BEG/ESW-CN)</t>
  </si>
  <si>
    <t>iBoosterGen2\rb\as\hht\vx1\netpr\gen\Cubas\CAN_OBD_Off</t>
  </si>
  <si>
    <t>ComScl_Scl_ADCM_BU_2_Rx.c</t>
  </si>
  <si>
    <t>ComScl_Scl_ADCM_FD_1_Rx.c</t>
  </si>
  <si>
    <t>ComScl_Scl_IFV300_1_Rx.c</t>
  </si>
  <si>
    <t>EC_245950_NIO_ESX_ESPHevX_DTC_BSS01_SP01</t>
  </si>
  <si>
    <t>rba\BldrCmp\src</t>
  </si>
  <si>
    <t>BSS01_SP01</t>
  </si>
  <si>
    <t>NextEV_IB2_Int</t>
  </si>
  <si>
    <t>Nguyen Van Tam (RBVH/EJV42)</t>
  </si>
  <si>
    <t>rba_BldrCmp_22ReadDataByIdentifier.c</t>
  </si>
  <si>
    <t xml:space="preserve">Line 374: RBA_BLDRSRVSTHDL_SERVICE_DCM_END(): Missing ";" at the end of line
Line 84: RBA_BLDRSRVSTHDL_SERVICE_DCM_BEGIN(pMsgContext,&amp;rba_BldrCmp_ReadDataByIdentifier,NULL_PTR): Missing ";" at the end of line
Line 349: Can’t cover case default because the value of rba_BldrCmp_RDBI_StateMachine_tst has only 3 elements 
Line 273, 274: Cannot false for line 273 and line 274 because rba_BldrCmp_RDBI_ListIdx_u8 is always set with value “0xFF” at line 208 
Line 290: Can not cover line 290 because rba_BldrCmp_RDBI_DidByFuncList_pst is constant variable and is set to define “RBA_BLDRCMP_RDBI_Read_DidByFuncList”;
+ static const rba_BldrCmp_RDBI_DidByFuncList_tst rba_BldrCmp_RDBI_DidByFuncList_pst[RBA_BLDRCMP_RDBI_NoReadDidByFuncList_Arraylen] = RBA_BLDRCMP_RDBI_Read_DidByFuncList;
</t>
  </si>
  <si>
    <t>rba_BldrCmp_28CommunicationControl.c</t>
  </si>
  <si>
    <t>rba_BldrCmp_2EWriteDataByIdentifier.c</t>
  </si>
  <si>
    <t>[No1]: cannot cover false case at line 228 because rba_BldrCmp_WDBI_DidByFuncList_pst[rba_BldrCmp_WDBI_ListIdx_u8].rba_BldrCmp_Write_pfct always be assigned address pointer at line 51
[No2]:  cannot cover case false at line 128 because never reach it case
[No3]: cannot cover true case (rba_BldrCmp_WDBI_DidByFuncList_pst[rba_BldrCmp_WDBI_ListIdx_u8].Length_u16 != 0) at line 182 because it is constant 
[No4]: cannot cover MCDC at line 178 because it is depended on condition at line 128</t>
  </si>
  <si>
    <t>rba_BldrCmp_31RoutineControl_Chkpd.c</t>
  </si>
  <si>
    <t>rba_BldrCmp_31RoutineControl_Er.c</t>
  </si>
  <si>
    <t>rba_BldrCmp_31RoutineControl.c</t>
  </si>
  <si>
    <r>
      <t xml:space="preserve">Can’t cover at line #164 and #188 because cannot happen case </t>
    </r>
    <r>
      <rPr>
        <b/>
        <sz val="10"/>
        <color theme="1"/>
        <rFont val="Arial"/>
        <family val="2"/>
      </rPr>
      <t xml:space="preserve">T </t>
    </r>
    <r>
      <rPr>
        <b/>
        <sz val="10"/>
        <color rgb="FF548235"/>
        <rFont val="Arial"/>
        <family val="2"/>
      </rPr>
      <t>&amp;&amp;</t>
    </r>
    <r>
      <rPr>
        <b/>
        <sz val="10"/>
        <color theme="1"/>
        <rFont val="Arial"/>
        <family val="2"/>
      </rPr>
      <t xml:space="preserve"> F</t>
    </r>
    <r>
      <rPr>
        <sz val="10"/>
        <color theme="1"/>
        <rFont val="Arial"/>
        <family val="2"/>
      </rPr>
      <t xml:space="preserve"> (NRC_u8 = 0x00 </t>
    </r>
    <r>
      <rPr>
        <b/>
        <sz val="10"/>
        <color rgb="FF548235"/>
        <rFont val="Arial"/>
        <family val="2"/>
      </rPr>
      <t>&amp;&amp;</t>
    </r>
    <r>
      <rPr>
        <sz val="10"/>
        <color theme="1"/>
        <rFont val="Arial"/>
        <family val="2"/>
      </rPr>
      <t xml:space="preserve"> blockIndex = RBA_BLDRCMP_LOGICALBLOCK_NOT_FOUND).
When entering branch at line #131 
If NRC_u8 = 0x00 then blockIndex != RBA_BLDRCMP_LOGICALBLOCK_NOT_FOUND
If not entering line #131, go on line #158 then NRC_u8 = DCM_E_REQUESTOUTOFRANGE
</t>
    </r>
  </si>
  <si>
    <t>GWM_AB30_CP</t>
  </si>
  <si>
    <t>rb\as\gwm\core\app\dcom</t>
  </si>
  <si>
    <t>DcmAppl_DcmSwitchCommunicationControl.c</t>
  </si>
  <si>
    <t>BSS07</t>
  </si>
  <si>
    <t>XU Zhuofan (CC-AS/EVA-SW33-CN)</t>
  </si>
  <si>
    <t>Can't cover full MCDC ((F &amp;&amp; ?) || (F &amp;&amp; ?)) at line #134. Because of can't create case "RBAPLCUST_RollerBenchSessionState = RBAPLCUST_RollerBenchSessionState_NOT_ACTIVE" and "RBAPLCUST_RollerBenchSessionState != RBAPLCUST_RollerBenchSessionState_NOT_ACTIVE".
Can't cover full MCDC (T &amp;&amp; F) at line #140. Because of when create case "(RBAPLCUST_RollerBenchSessionState == RBAPLCUST_RollerBenchSessionState_NOT_ACTIVE) &amp;&amp; (l_Active == FALSE)" =&gt; condition at line #134 is true.</t>
  </si>
  <si>
    <t>RBAPLCUST_RBDI_NVMData_Prj.c</t>
  </si>
  <si>
    <t>Lack of round brackets for if at line #116.</t>
  </si>
  <si>
    <t>RBAPLOBD_Data.c</t>
  </si>
  <si>
    <t>RBAPLOBD_Global.c</t>
  </si>
  <si>
    <t>rb\as\byd\Bydcarbon\dcompr\tst\rba_SimDcmCfg\src</t>
  </si>
  <si>
    <t>rba_SimDcm_Cfg_MergeProcTarget.c</t>
  </si>
  <si>
    <t>huy.do-anh</t>
  </si>
  <si>
    <t>rb\as\byd\Bydcarbon\dcompr\tst\rba_SimDcmCfg\Stubs\ASW\src</t>
  </si>
  <si>
    <t>ASWIF_CommonConfig.c</t>
  </si>
  <si>
    <t>RBIRS_IRSCalc.c</t>
  </si>
  <si>
    <t>rb\as\byd\Bydcarbon\dcompr\tst\rba_SimDcmCfg\Stubs\CUBAS\src</t>
  </si>
  <si>
    <t>DemCSMosar_StoreEvtImm_Cfg.c</t>
  </si>
  <si>
    <t>Det.c</t>
  </si>
  <si>
    <t>Net_Stubs.c</t>
  </si>
  <si>
    <t>PduR_UpTp.c</t>
  </si>
  <si>
    <t>rb\as\byd\Bydcarbon\dcompr\tst\rba_SimDcmCfg\Stubs\DEM\src</t>
  </si>
  <si>
    <t>Dem_Cfg_FWClass.c</t>
  </si>
  <si>
    <t>Dem_Cfg_HWShutdown.c</t>
  </si>
  <si>
    <t>Dem_EventFHandling.c</t>
  </si>
  <si>
    <t>Can’t cover false case if(Dem_ErrorQueueControl.isQueueEnabled) at line #518 and the true case if (callSetEventStatus) at line #532</t>
  </si>
  <si>
    <t>rba_STM_Component_Cfg.c</t>
  </si>
  <si>
    <t>RBBUTSWI_BLS_Ana.c</t>
  </si>
  <si>
    <t>RBDSM_EraseAllNvMBlock.c</t>
  </si>
  <si>
    <t>RBEnvData_OBD.c</t>
  </si>
  <si>
    <t>RBHMI_ImmediateAccess.c</t>
  </si>
  <si>
    <t>rb\as\byd\Bydcarbon\dcompr\tst\rba_SimDcmCfg\Stubs\HSW\src</t>
  </si>
  <si>
    <t>RBSUPPLYVLV_UBVRVoltage.c</t>
  </si>
  <si>
    <t>RBTSI_RbDiagInit.c</t>
  </si>
  <si>
    <t>RBVLV_UVRActuation.c</t>
  </si>
  <si>
    <t>rb\as\byd\Bydcarbon\dcompr\tst\rba_SimDcmCfg\Stubs\NVM\src</t>
  </si>
  <si>
    <t>NvM_GetErrorStatus.c</t>
  </si>
  <si>
    <t>NvM_ReadBlock.c</t>
  </si>
  <si>
    <t>NvM_WriteBlock.c</t>
  </si>
  <si>
    <t>rb\as\byd\Bydcarbon\dcompr\tst\rba_SimDcmCfg\Stubs\OBD\src</t>
  </si>
  <si>
    <t>Obd_Cvn_CalId.c</t>
  </si>
  <si>
    <t>rb\as\byd\Bydcarbon\dcompr\tst\rba_SimDcmCfg\Stubs\OTHERS\src</t>
  </si>
  <si>
    <t>PbcInterface.c</t>
  </si>
  <si>
    <t>Can't cover False case of if (ret == E_OK ) at line #26. Because of that it's always TRUE</t>
  </si>
  <si>
    <t>Owner said it's OK "no impact" ("So This code for CT test Change Status ret code")
Walkthrough updated</t>
  </si>
  <si>
    <t>stubPara.c</t>
  </si>
  <si>
    <t>rb\as\byd\Bydcarbon\dcompr\tst\rba_SimDcmCfg\Stubs\rba_STM\src</t>
  </si>
  <si>
    <t>rba_STM_Component.c</t>
  </si>
  <si>
    <t>Can't cover False case of if (newDR != DegradationReason_Available) at line #59. Because of that variable newDR can't reach value of DegradationReason_Available.</t>
  </si>
  <si>
    <t>Owner said it's OK (this is Diamantpro tools online build Generate code)
Walkthrough updated</t>
  </si>
  <si>
    <t>rba_STM_ComponentStructure.c</t>
  </si>
  <si>
    <t>rba_STM_Processing.c</t>
  </si>
  <si>
    <t>rba_STM_SSC_ComponentGoodcheck.c</t>
  </si>
  <si>
    <t>rba_STM_SystemStateCalculator.c</t>
  </si>
  <si>
    <t>rba_STM_VirtualNode.c</t>
  </si>
  <si>
    <t>MC_245411_SGMW_CN202C_ESPCP_BSS01_SP01</t>
  </si>
  <si>
    <t>rb\as\sgmw\core\app\dcom\RBAPLCust\src\ESP</t>
  </si>
  <si>
    <t>RBAPLCUST_RBDI_NVMData_SGMW_ESP.c</t>
  </si>
  <si>
    <t>99885; 82188</t>
  </si>
  <si>
    <t>SGWM_ESP93_Carbon_Int</t>
  </si>
  <si>
    <t>GEELY_SS11ESP9.3CP_BL02_SP02</t>
  </si>
  <si>
    <t>rb\as\geely\core\app\dcom\RBAPLCust\src\ESP\RBAPLCUST_RDBI_AccelerationPedal.c</t>
  </si>
  <si>
    <t>RBAPLCUST_RDBI_AccelerationPedal.c</t>
  </si>
  <si>
    <t>BL02_SP02</t>
  </si>
  <si>
    <t>KASIVASAKAM Murugananth (CC-AS/EVA-SW32-CN)</t>
  </si>
  <si>
    <t>rb\as\geely\core\app\dcom\RBAPLCust\src\ESP\RBAPLCUST_RDBI_GearPosition.c</t>
  </si>
  <si>
    <t>RBAPLCUST_RDBI_GearPosition.c</t>
  </si>
  <si>
    <t>rb\as\geely\core\app\dcom\RBAPLCust\src\ESP\RBAPLCUST_RDBI_HandBrake.c</t>
  </si>
  <si>
    <t>RBAPLCUST_RDBI_HandBrake.c</t>
  </si>
  <si>
    <t>rb\as\geely\core\app\dcom\RBAPLCust\src\ESP\RBAPLCUST_RDBI_PTState.c</t>
  </si>
  <si>
    <t>RBAPLCUST_RDBI_PTState.c</t>
  </si>
  <si>
    <t>FAW D090 High/Low G6 ECR</t>
  </si>
  <si>
    <t>rb\as\core\app\net</t>
  </si>
  <si>
    <t>RBCAN_CanSMBusOffRecovery.c</t>
  </si>
  <si>
    <t>BSS01_SP02</t>
  </si>
  <si>
    <t>FAW_Beryllium_D090HighG6_&amp;__D090LowG6_RC_INT</t>
  </si>
  <si>
    <t>JIN Li (CC-AS/EVA-SW33-CN)</t>
  </si>
  <si>
    <t>rb\as\cnms_core\app\net\scl</t>
  </si>
  <si>
    <t>UnderVoltage.c</t>
  </si>
  <si>
    <t>GAC_Common_Task_Record_Sprint07</t>
  </si>
  <si>
    <t>CNMSESPHevX\rb\as\gaig\core\app\dcom\RBAPLCust\src\ESP\RBAPLCUST_RoutineControl_SteeringAngleSensorCalibration.c</t>
  </si>
  <si>
    <t>GAC_ESPHevX_Carbon_Int</t>
  </si>
  <si>
    <t>PAN Qi (CC-AS/EVA-SW31-CN)</t>
  </si>
  <si>
    <t>CNMSESPHevX\rb\as\gaig\core\app\dcom\RBAPLCust\src\ESP\RBAPLCUST_RoutineControl_INSCalibration.c</t>
  </si>
  <si>
    <t>SAIC_ZS11E_MCE_withDA_ESP9.3_241859_BSS01</t>
  </si>
  <si>
    <t>rb\as\saic\CpiwAPB\app\dsm\RBVAR\src</t>
  </si>
  <si>
    <t>BSS01</t>
  </si>
  <si>
    <t>SAIC_A_ARCH_CMP_ESP93_Carbon_Int</t>
  </si>
  <si>
    <t>FANG Amanda (CC-AS/EVA-SW31-CN)</t>
  </si>
  <si>
    <t>Actual LOC is 394</t>
  </si>
  <si>
    <t>rb\as\cnms_core\app\dsm\RBVAR\src\</t>
  </si>
  <si>
    <t>RBVAR_SystemStateManagement_COMMON.c</t>
  </si>
  <si>
    <t>BAIC_C62XP_IB2</t>
  </si>
  <si>
    <t>rb\as\ib2_baic\core\app\dcom</t>
  </si>
  <si>
    <t>BL50</t>
  </si>
  <si>
    <t>BAIC_C62XP_IBooster_Int</t>
  </si>
  <si>
    <t>LIANG Xin (CC-AS/EVA-SW33-CN)</t>
  </si>
  <si>
    <t>20200416_1</t>
  </si>
  <si>
    <t>Adapt_236246_SMART_BBM_Ibooster_E2_SP3</t>
  </si>
  <si>
    <t>GEEA2_0_IB2_SMART_Deuterium_Int\iBoosterGen2\rb\as\ms\core\app\dcom\RBAPLCust\src\DcmAppl_22_rdbi.c</t>
  </si>
  <si>
    <t>DcmAppl_22_rdbi.c</t>
  </si>
  <si>
    <t>GEEA2_0_IB2_SMART_Deuterium_Int</t>
  </si>
  <si>
    <r>
      <t xml:space="preserve">I cannot cover case FASLE for branch this because </t>
    </r>
    <r>
      <rPr>
        <b/>
        <i/>
        <sz val="10"/>
        <color theme="1"/>
        <rFont val="Arial"/>
        <family val="2"/>
      </rPr>
      <t xml:space="preserve">syntax if—else </t>
    </r>
    <r>
      <rPr>
        <sz val="10"/>
        <color theme="1"/>
        <rFont val="Arial"/>
        <family val="2"/>
      </rPr>
      <t xml:space="preserve">.
I cannot cover case FASLE for MCDC this because l_Read_Counter is local variable &amp; uint8 l_Read_Counter = 0;
Before entering this branch it is always equal to 0.
</t>
    </r>
  </si>
  <si>
    <t>GEEA2_0_IB2_SMART_Deuterium_Int\iBoosterGen2\rb\as\ms\core\app\dcom\RBAPLCust\src\RBAPLCUST_RDBI_WheelSpeedInformation.c</t>
  </si>
  <si>
    <t>RBAPLCUST_RDBI_WheelSpeedInformation.c</t>
  </si>
  <si>
    <t>GEEA2_0_IB2_SMART_Deuterium_Int\iBoosterGen2\rb\as\ms\core\app\dcom\Cubas\src\Dcm\DcmAppl_DcmGetRxPermission.c</t>
  </si>
  <si>
    <t>DcmAppl_DcmGetRxPermission.c</t>
  </si>
  <si>
    <t>GEEA2_0_IB2_SMART_Deuterium_Int\iBoosterGen2\rb\as\ms\core\app\dcom\Cubas\src\Dcm\DcmAppl_Switch_DcmExecuteReset.c</t>
  </si>
  <si>
    <t>DcmAppl_Switch_DcmExecuteReset.c</t>
  </si>
  <si>
    <t>Adapt_236234_SMART_VDDM_ESPHevX_BSS02_E2_SP3</t>
  </si>
  <si>
    <t>GEEA2.0\rb\as\cevt\core\app\dcom\Cubas\src\Dcm\DcmAppl_Switch_DcmExecuteReset.c</t>
  </si>
  <si>
    <t>BSS02</t>
  </si>
  <si>
    <t>GEEA2.0</t>
  </si>
  <si>
    <t>Actual LOC is 60</t>
  </si>
  <si>
    <t>BYD_IPB_SW_Mainstream_BL05_SP10</t>
  </si>
  <si>
    <t>BYD_IPB_BL05_Int\BYDIPB\rb\as\BYD\ipb\app\net\RBScl_TPMS\src\NET_SCL_Tx_TPMS.c</t>
  </si>
  <si>
    <t>NET_SCL_Tx_TPMS.c</t>
  </si>
  <si>
    <t>BL05_SP10</t>
  </si>
  <si>
    <t>BYD_IPB_BL05_Int</t>
  </si>
  <si>
    <t>GUO Sasa (CC-AS/EVA-SW3-CN)</t>
  </si>
  <si>
    <t>BYD_IPB_BL05_Int\BYDIPB\rb\as\BYD\ipb\app\net\RBScl_TPMS\src\NET_SCL_Rx_TPMS.c</t>
  </si>
  <si>
    <t>NET_SCL_Rx_TPMS.c</t>
  </si>
  <si>
    <t>Line 1023: MCDC can not cover false case “ls_SCL_TotalOdometer_UL &gt;= 0” because ls_SCL_TotalOdometer_UL is static ULONG</t>
  </si>
  <si>
    <t>BYD_ESP93_Int\MainstreamF30\rb\as\BYD\core\app\dcom\RBAPLCust\src\RBAPLCUST_BYD_RDBI_NVMData.c</t>
  </si>
  <si>
    <t>BYD_ESP93_INT</t>
  </si>
  <si>
    <t>TAO Frank (CC-AS/EVA-SW31-CN)</t>
  </si>
  <si>
    <t>ComponentName confirm by Pham Quoc Bao</t>
  </si>
  <si>
    <t xml:space="preserve">BYD_ESP93_Int\MainstreamF30\rb\as\BYD\Mainstream151\dcompr\src\RBFSWBootInterface_BYD.c </t>
  </si>
  <si>
    <t>RBFSWBootInterface_BYD.c</t>
  </si>
  <si>
    <t>GWM_B30_IB2_Int\iBoosterGen2\rb\as\gwm\core\app\dcom\Cubas\src\Dcm_CNMS\DcmAppl_DcmSwitchCommunicationControl.c</t>
  </si>
  <si>
    <t>B30_9DCT_IB2: 80722; A30_DHT_IB2: 81556</t>
  </si>
  <si>
    <t>BSS06</t>
  </si>
  <si>
    <t>GWM_B30_IB2_Int\iBoosterGen2\rb\as\gwm\core\app\dcom\RBAPLCust\src\common\DCOMIF.c</t>
  </si>
  <si>
    <t>DCOMIF.c</t>
  </si>
  <si>
    <t>No fuction to test</t>
  </si>
  <si>
    <t>GWM_B30_IB2_Int\iBoosterGen2\rb\as\gwm\core\app\dcom\RBAPLCust\src\common\RBAPLCUST_DiagnosticSessionControl.c</t>
  </si>
  <si>
    <t xml:space="preserve">Can’t cover MCDC at line #134 and #140 </t>
  </si>
  <si>
    <t>GWM_B30_IB2_Int\iBoosterGen2\rb\as\gwm\core\app\dcom\RBAPLCust\src\common\RBAPLCUST_RBDI_NVM.c</t>
  </si>
  <si>
    <t>GWM_B30_IB2_Int\iBoosterGen2\rb\as\gwm\core\app\dcom\RBAPLCust\src\ESP\RBAPLCUST_RDBI_ActuationState.c</t>
  </si>
  <si>
    <t>GWM_B30_IB2_Int\iBoosterGen2\rb\as\gwm\core\app\dcom\RBAPLCust\src\iBooster\RBAPLCUST_RDBI_AnalogData.c</t>
  </si>
  <si>
    <t>GWM_B30_IB2_Int\iBoosterGen2\rb\as\gwm\core\app\dcom\RBAPLCust\src\common\RBAPLCUST_RDBI_InputData.c</t>
  </si>
  <si>
    <t>GWM_B30_IB2_Int\iBoosterGen2\rb\as\gwm\core\app\dcom\RBAPLCust\src\ESP\RBAPLCUST_RDBI_IOCtrlState.c</t>
  </si>
  <si>
    <t>GWM_B30_IB2_Int\iBoosterGen2\rb\as\gwm\core\app\dcom\RBAPLCust\src\common\RBAPLCUST_ReadDTCInformation.c</t>
  </si>
  <si>
    <t>RBAPLCUST_ReadDTCInformation.c</t>
  </si>
  <si>
    <t>GWM_B30_IB2_Int\iBoosterGen2\rb\as\gwm\core\app\dcom\RBAPLCust\src\ESP\RBAPLCUST_RoutineControl_APBMi.c</t>
  </si>
  <si>
    <t>GWM_B30_IB2_Int\iBoosterGen2\rb\as\gwm\core\app\dcom\RBAPLCust\src\iBooster\RBAPLCUST_RoutineControl_iBoosterActuatorTest.c</t>
  </si>
  <si>
    <t>GWM_B30_IB2_Int\iBoosterGen2\rb\as\gwm\core\app\dcom\RBAPLCust\src\common\RBAPLCUST_VariandCode.c</t>
  </si>
  <si>
    <t>GWM_B30_IB2_Int\iBoosterGen2\rb\as\gwm\core\app\dcom\RBAPLOBD\src\RBAPLOBD_Data.c</t>
  </si>
  <si>
    <t>GWM_B30_IB2_Int\iBoosterGen2\rb\as\gwm\core\app\dcom\RBAPLOBD\src\RBAPLOBD_Global.c</t>
  </si>
  <si>
    <t>GWM_B30_HP_Int\CNMSESPHevX\rb\as\gwm\core\app\dcom\Cubas\src\Dcm_CNMS\DcmAppl_DcmSwitchCommunicationControl.c</t>
  </si>
  <si>
    <t>B30_8DCT_HP: 80432; A30_DHT_HP: 81558</t>
  </si>
  <si>
    <t>GWM_B30_HP_Int\CNMSESPHevX\rb\as\gwm\core\app\dcom\RBAPLCust\src\common\DCOMIF.c</t>
  </si>
  <si>
    <t>GWM_B30_HP_Int\CNMSESPHevX\rb\as\gwm\core\app\dcom\RBAPLCust\src\common\RBAPLCUST_DiagnosticSessionControl.c</t>
  </si>
  <si>
    <t>At function “static boolean RBAPLCUST_RequestRollerBenchSession(boolean l_Active)”
Cannot cover MCDC.</t>
  </si>
  <si>
    <t>GWM_B30_HP_Int\CNMSESPHevX\rb\as\gwm\core\app\dcom\RBAPLCust\src\common\RBAPLCUST_RBDI_NVMData_Prj.c</t>
  </si>
  <si>
    <t>GWM_B30_HP_Int\CNMSESPHevX\rb\as\gwm\core\app\dcom\RBAPLCust\src\iBooster\RBAPLCUST_RDBI_AnalogData.c</t>
  </si>
  <si>
    <t>GWM_B30_HP_Int\CNMSESPHevX\rb\as\gwm\core\app\dcom\RBAPLCust\src\ESP\RBAPLCUST_RDBI_IOCtrlState.c</t>
  </si>
  <si>
    <t>GWM_B30_HP_Int\CNMSESPHevX\rb\as\gwm\core\app\dcom\RBAPLCust\src\common\RBAPLCUST_ReadDTCInformation.c</t>
  </si>
  <si>
    <t>GWM_B30_HP_Int\CNMSESPHevX\rb\as\gwm\core\app\dcom\RBAPLCust\src\ESP\RBAPLCUST_RoutineControl_APBMi.c</t>
  </si>
  <si>
    <t>GWM_B30_HP_Int\CNMSESPHevX\rb\as\gwm\core\app\dcom\RBAPLCust\src\iBooster\RBAPLCUST_RoutineControl_iBoosterActuatorTest.c</t>
  </si>
  <si>
    <t>GWM_B30_HP_Int\CNMSESPHevX\rb\as\gwm\core\app\dcom\RBAPLCust\src\common\RBAPLCUST_VariandCode.c</t>
  </si>
  <si>
    <t>GWM_B30_HP_Int\CNMSESPHevX\rb\as\gwm\core\app\dcom\RBAPLOBD\src\RBAPLOBD_Data.c</t>
  </si>
  <si>
    <t>GWM_B30_HP_Int\CNMSESPHevX\rb\as\gwm\core\app\dcom\RBAPLOBD\src\RBAPLOBD_Global.c</t>
  </si>
  <si>
    <t>HAIMA_238525_VF00_ESP_RC2_BSS01.1_BSS02_Workitems_closure</t>
  </si>
  <si>
    <t>HAIMA_VF00_ESP93_Int\MainstreamF30\rb\as\cnms_core\app\dsm\RBVAR\src\RBVAR_VarCode_COMMON.c</t>
  </si>
  <si>
    <t>RBVAR_VarCode_COMMON.c</t>
  </si>
  <si>
    <t>HAIMA_VF00_ESP93_Int</t>
  </si>
  <si>
    <t>Revathi Sundaram (RBEI/ESC1)</t>
  </si>
  <si>
    <t>HAIMA_VF00_ESP93_Int\MainstreamF30\rb\as\cnms_core\app\net\scl\Sensors\Steering\src\SAS_LWS_Standard.c</t>
  </si>
  <si>
    <t>HAIMA_VF00_ESP93_Int\MainstreamF30\rb\as\cnms_core\app\net\scl_callout\src\RBA_NDS_Engine_Callout.c</t>
  </si>
  <si>
    <t>RBA_NDS_Engine_Callout.c</t>
  </si>
  <si>
    <t>HAIMA_VF00_ESP93_Int\MainstreamF30\rb\as\cnms_core\app\net\scl_callout\src\RBA_NDS_SystemInfo.c</t>
  </si>
  <si>
    <t>HAIMA_VF00_ESP93_Int\MainstreamF30\rb\as\cnms_core\app\net\scl_callout\src\RBA_NDS_TCUAvaliable_Callout.c</t>
  </si>
  <si>
    <t>RBA_NDS_TCUAvaliable_Callout.c</t>
  </si>
  <si>
    <t>HAIMA_VF00_ESP93_Int\MainstreamF30\rb\as\haimabmp\CpiwAPB\app\dsm\RBVAR\src\RBVAR_VarCode_PROJECT.c</t>
  </si>
  <si>
    <t>Actual LOC is 30</t>
  </si>
  <si>
    <t>HAIMA_VF00_ESP93_Int\MainstreamF30\rb\as\haimabmp\CpiwAPB\app\net\RbNetPrj\RBNet_Can\src\NET_CheckSumLib_CNMS.c</t>
  </si>
  <si>
    <t>GAC_ESP93CP_Carbon_Int\MainstreamF30\rb\as\gaig\A12ESP\app\net\RBScl\RBScl_GAC\src\NET_SCL_EngineIntervention_Torq_GAC.c</t>
  </si>
  <si>
    <t>81116; 81175</t>
  </si>
  <si>
    <t>Actual LOC is 636</t>
  </si>
  <si>
    <t>GAC_ESP93CP_Carbon_Int\MainstreamF30\rb\as\gaig\core\app\dcom\RBAPLCust\src\ESP\RBAPLCUST_RoutineControl_INSCalibration.c</t>
  </si>
  <si>
    <t>GAC_ESP93CP_Carbon_Int\MainstreamF30\rb\as\gaig\core\app\dcom\RBAPLCust\src\ESP\RBAPLCUST_RoutineControl_SteeringAngleSensorCalibration.c</t>
  </si>
  <si>
    <t>GAC_ESP93CP_Carbon_Int\MainstreamF30\rb\as\gaig\core\app\dcom\RBAPLCust\src\ESP\RBAPLCUST_RoutineControl_TPMSReset.c</t>
  </si>
  <si>
    <t>Actual LOC is 489</t>
  </si>
  <si>
    <t>GAC_ESP93CP_Carbon_Int\MainstreamF30\rb\as\cnms_core\app\dcom\RBAPLCust\src\common\RBAPLCUST_ClearDiagnosticInformation.c</t>
  </si>
  <si>
    <t>GAC_ESP93CP_Carbon_Int\MainstreamF30\rb\as\cnms_core\app\dcom\RBAPLCust\src\ESP\RBAPLCUST_EOLDelayCtrlOrAPBMi.c</t>
  </si>
  <si>
    <t>GAC_219651_Carbon_A18_iB2_FPA/RPA_BL04</t>
  </si>
  <si>
    <t>GAC_IB2_HADHAP_Int\iBoosterGen2\rb\as\gaig\core\app\dsm\RBVAR\A12FPA\src\RBVAR_VarCode_PROJECT.c</t>
  </si>
  <si>
    <t>81614; 99300</t>
  </si>
  <si>
    <t>GAC_IB2_HADHAP_Int</t>
  </si>
  <si>
    <t>RUBAGAN Varunidhan (CC-AS/EVA-SW2-CN)</t>
  </si>
  <si>
    <t>GAC_IB2_HADHAP_Int\iBoosterGen2\rb\as\gaig\core\app\dsm\RBVAR\A18FPA\src\RBVAR_VarCode_PROJECT.c</t>
  </si>
  <si>
    <t>GAC_IB2_HADHAP_Int\iBoosterGen2\rb\as\gaig\core\app\dsm\RBVAR\A20FPA\src\RBVAR_VarCode_PROJECT.c</t>
  </si>
  <si>
    <t>GAC_212111_Carbon_A12_iB2_FPA/RPA_BL02</t>
  </si>
  <si>
    <t>GAC_IB2_HADHAP_Int\iBoosterGen2\rb\as\gaig\core\app\net\net_OBD_Off\RBScl\src\RBRIS_MainHandler.c</t>
  </si>
  <si>
    <t>RBRIS_MainHandler.c</t>
  </si>
  <si>
    <t>GAC_IB2_HADHAP_Int\iBoosterGen2\rb\as\gaig\core\app\net\net_OBD_Off\RBScl\src\RB_SCL_GAC_RX.c</t>
  </si>
  <si>
    <t>RB_SCL_GAC_RX.c</t>
  </si>
  <si>
    <t>BYD_IPB_SW_Mainstream_BL05_Defect</t>
  </si>
  <si>
    <t>RBA_NDS_Complex_Callout.c</t>
  </si>
  <si>
    <t xml:space="preserve">At line #508 &amp; line #512 cannot cover MCDC because variable l_DriverPresent_B.  
At line 479 BOOL l_DriverPresent_B = true;
</t>
  </si>
  <si>
    <t>NET_SCL_Rx_VAF_Complex.c</t>
  </si>
  <si>
    <t>Duplicate 1 source C with same path. Developer confirm: it is mistake, please remove duplicate function at task id 1405296</t>
  </si>
  <si>
    <t>BL05_SP11</t>
  </si>
  <si>
    <t xml:space="preserve">1. The first “else if” condition has the  variant [22, 23] condition.
The second “else if” condition has the  variant [24, 31] condition.
These are the customer variant requirement.
2. This is a bug, need to be fix. You can create one defect to me. thanks
</t>
  </si>
  <si>
    <t>Ownwer confirm it's "Defect"</t>
  </si>
  <si>
    <t>NET_SCL_Tx_VAF_Complex.c</t>
  </si>
  <si>
    <t>Duplicate 1 source C with same path</t>
  </si>
  <si>
    <t>BYD_Carbon_Mainstream_BL02spr04</t>
  </si>
  <si>
    <t>BYD_Carbon_ESP93_Int\MainstreamF30\rb\as\core\app\net\RBNetSAS\src\RBNetSAS_Rx_Lws_Standard.c</t>
  </si>
  <si>
    <t>RBNetSAS_Rx_Lws_Standard.c</t>
  </si>
  <si>
    <t>BL02spr04</t>
  </si>
  <si>
    <t>GAC_220680_Carbon_A18_ESPHevx_FPA/RPA_BL04_TestExecution</t>
  </si>
  <si>
    <t>GAC_ESPHevX_HADHAP_Int\CNMSHevXHADHAP\rb\as\gaig\core\app\dcom\RBAPLCust\src\ESP\RBAPLCUST_RoutineControl_SteeringAngleSensorCalibration.c</t>
  </si>
  <si>
    <t>GAC_ESPHevX_HADHAP_Int\CNMSHevXHADHAP\rb\as\gaig\core\app\dcom\RBAPLCust\src\ESP\RBAPLCUST_RoutineControl_INSCalibration.c</t>
  </si>
  <si>
    <t>KX63_FL_ACC_232961_BSS03</t>
  </si>
  <si>
    <t>CHERY_ESP93_CMP_RBEI_INTEGRATION\MainstreamF30\rb\as\core\app\dhp\src\RBDHP_HighSystemPressureProtection.c</t>
  </si>
  <si>
    <t>RBDHP_HighSystemPressureProtection.c</t>
  </si>
  <si>
    <t>CHERY_ESP93_CMP_RBEI_INTEGRATION</t>
  </si>
  <si>
    <t>Resmi George (RBEI/ESC1)</t>
  </si>
  <si>
    <t>CHERY_ESP93_CMP_RBEI_INTEGRATION\MainstreamF30\rb\as\core\app\dhp\src\RBDHP_PumpMotorActuationTimeLimitation.c</t>
  </si>
  <si>
    <t>RBDHP_PumpMotorActuationTimeLimitation.c</t>
  </si>
  <si>
    <t>[No1]: cannot cover false case MCDC at line 124 
[No2]: cannot cover false case at line 155 because limited at condition line 135
[No3]: Cannot cover false case at line 188 because limited at condition line 168</t>
  </si>
  <si>
    <t>CHERY_ESP93_CMP_RBEI_INTEGRATION\MainstreamF30\rb\as\core\app\dhp\src\RBDHP_StateMachine.c</t>
  </si>
  <si>
    <t>RBDHP_StateMachine.c</t>
  </si>
  <si>
    <r>
      <t xml:space="preserve">[No1]: cannot cover condition at line 178 because cannot control local variable </t>
    </r>
    <r>
      <rPr>
        <sz val="10"/>
        <color rgb="FFFF0000"/>
        <rFont val="Arial"/>
        <family val="2"/>
      </rPr>
      <t>TimeOutForinitialPlungerPosition</t>
    </r>
    <r>
      <rPr>
        <sz val="10"/>
        <color theme="1"/>
        <rFont val="Arial"/>
        <family val="2"/>
      </rPr>
      <t xml:space="preserve">, </t>
    </r>
    <r>
      <rPr>
        <sz val="10"/>
        <color rgb="FFFF0000"/>
        <rFont val="Arial"/>
        <family val="2"/>
      </rPr>
      <t xml:space="preserve">TimeOutForinitialPlungerPosition </t>
    </r>
    <r>
      <rPr>
        <sz val="10"/>
        <color theme="1"/>
        <rFont val="Arial"/>
        <family val="2"/>
      </rPr>
      <t>always equal to 1</t>
    </r>
  </si>
  <si>
    <t>CHERY_ESP93_CMP_RBEI_INTEGRATION\MainstreamF30\rb\as\core\app\dhp\src\RBDHP_ValveActuationTimeLimitation.c</t>
  </si>
  <si>
    <t>RBDHP_ValveActuationTimeLimitation.c</t>
  </si>
  <si>
    <t>[No1]: cannot cover false case at line 684 because limited by condition at line 675
[No2]: cannot cover false case MCDC at line 449 because limited with condition at line 440</t>
  </si>
  <si>
    <t>CHERY_ESP93_CMP_RBEI_INTEGRATION\MainstreamF30\rb\as\cnms_core\app\dsm\DemVar\src\Dem_VarCode_PRJ.c</t>
  </si>
  <si>
    <t>Dem_VarCode_PRJ.c</t>
  </si>
  <si>
    <t>CHERY_ESP93_CMP_RBEI_INTEGRATION\MainstreamF30\rb\as\cnms_core\app\dsm\DemVar\src\Dem_VarCodeHandling.c</t>
  </si>
  <si>
    <t>Dem_VarCodeHandling.c</t>
  </si>
  <si>
    <t>CHERY_ESP93_CMP_RBEI_INTEGRATION\MainstreamF30\rb\as\cherycmp\core\app\dcom\RBAPLCust\src\ESP\RBAPLCUST_RoutineControl_ConditionCheck.c</t>
  </si>
  <si>
    <t>BYD_IPB_SW_Mainstream_BL05</t>
  </si>
  <si>
    <t>BYD_IPB_BL05_Int\BYDIPB\rba\Bldr\config\ApplicationLayer\rba_BldrCmp\src\rba_BldrCmp_Cfg_FlashIf.c</t>
  </si>
  <si>
    <t>Priyanka Perumal (RBEI/EBB7)</t>
  </si>
  <si>
    <t>At line 57 cannot cover MCDC case False because absoluteAddress_u32 always is greater than rba_BldrCmp_Logical…….segment_begin.</t>
  </si>
  <si>
    <t>BYD_IPB_BL05_Int\BYDIPB\rba\Bldr\config\ApplicationLayer\rba_BldrCmp\src\rba_BldrCmp_Cfg_Functions.c</t>
  </si>
  <si>
    <t xml:space="preserve">[No1] at line 308 cannot cover false case because retValue always is set equal to E_OK
[No2] at line 98 can not cover case true because switch case always jump to default case and *length_pu16 always is set equal to Zero =&gt; Line 98 always false
</t>
  </si>
  <si>
    <t>BYD_IPB_BL05_Int\BYDIPB\rba\Bldr\config\ApplicationLayer\rba_BldrCmp\src\rba_BldrCmp_Cfg_SecA.c</t>
  </si>
  <si>
    <t xml:space="preserve">[No1] at line 34 switch case always jump to default case, please recheck </t>
  </si>
  <si>
    <t>231839_DearCC_IC321_ESP9.3_BSS02_CAN_MATRIX_VARTABLE</t>
  </si>
  <si>
    <t>DearCC_RBEI_ESP93CP_Carbon_Int\MainstreamF30\rb\as\cnms_core\app\dsm\RBVAR\src\RBVAR_SystemStateManagement_COMMON.c</t>
  </si>
  <si>
    <t>DearCC_RBEI_ESP93CP_Carbon_Int</t>
  </si>
  <si>
    <t>MC_223517_Geely_KC2A_ESP9.3CP_BB80335_BL04SP03</t>
  </si>
  <si>
    <t>Geely_Beryllium2_Int\MainstreamF30\rb\as\core\app\dcom\RBAPLEOL\src\RBAPLEOL_ActuatorDynamicTest.c</t>
  </si>
  <si>
    <t>RBAPLEOL_ActuatorDynamicTest.c</t>
  </si>
  <si>
    <t>BL04SP03</t>
  </si>
  <si>
    <t>Geely_Beryllium2_Int\MainstreamF30\rb\as\core\app\dcom\RBAPLEOL\src\RBAPLEOL_ExtendedDynamicTest.c</t>
  </si>
  <si>
    <t>Can't cover full MCDC (((F &amp;&amp; ?) &amp;&amp; ?) || (T &amp;&amp; T)) at line #427. Because of condition "(l_LoopCnt &lt; g_EOLParamBuffer_PUB[4])" at line #427 and condition "(l_LoopCnt &lt; g_EOLParamBuffer_PUB[4])" at line #431 can’t be concurrent with false or true</t>
  </si>
  <si>
    <t>Geely_Beryllium2_Int\MainstreamF30\rb\as\core\app\dcom\RBAPLEOL\src\RBAPLEOL_PumpMotorErrorState.c</t>
  </si>
  <si>
    <t>Geely_Beryllium2_Int\MainstreamF30\rb\as\core\app\dcom\RBAPLEOL\src\RBAPLEOL_PumpSDTimeTest.c</t>
  </si>
  <si>
    <t>Geely_Beryllium2_Int\MainstreamF30\rb\as\core\app\dcom\RBAPLEOL\src\RBAPLEOL_ValvesToggling.c</t>
  </si>
  <si>
    <t>Geely_Beryllium2_OBD_China6_Int\MainstreamF30\rb\as\core\app\dcom\RBAPLEOL\src\RBAPLEOL_ActuatorDynamicTest.c</t>
  </si>
  <si>
    <t>Geely_Beryllium2_OBD_China6_Int</t>
  </si>
  <si>
    <t>Geely_Beryllium2_OBD_China6_Int\MainstreamF30\rb\as\core\app\dcom\RBAPLEOL\src\RBAPLEOL_ExtendedDynamicTest.c</t>
  </si>
  <si>
    <t>Can't cover full MCDC at line #314 because RBAPLHELP_isExtSessionActive_B() is not show to be effective.
Can't cover full MCDC at line #426 because Operand l_LoopCnt &lt; (g_EOLParamBuffer_PUB)[4] was not shown to be effective in expression.</t>
  </si>
  <si>
    <t>Owner said it's OK (This is not an issue)
Walkthrough updated</t>
  </si>
  <si>
    <t>Geely_Beryllium2_OBD_China6_Int\MainstreamF30\rb\as\core\app\dcom\RBAPLEOL\src\RBAPLEOL_PumpMotorErrorState.c</t>
  </si>
  <si>
    <t>Geely_Beryllium2_OBD_China6_Int\MainstreamF30\rb\as\core\app\dcom\RBAPLEOL\src\RBAPLEOL_PumpSDTimeTest.c</t>
  </si>
  <si>
    <t>Geely_Beryllium2_OBD_China6_Int\MainstreamF30\rb\as\core\app\dcom\RBAPLEOL\src\RBAPLEOL_ValvesToggling.c</t>
  </si>
  <si>
    <t>218053_CA_CD569_ESP9.3CP_BL6_SP2</t>
  </si>
  <si>
    <t>ChangAn_ESP_Carbon_Int\MainstreamF30\rb\as\ca\core\app\dcom\RBAPLCust\src\ESP\RBAPLCUST_CA_RDBI_WDBI_VAFFncSwitch.c</t>
  </si>
  <si>
    <t>RBAPLCUST_CA_RDBI_WDBI_VAFFncSwitch.c</t>
  </si>
  <si>
    <t>BL6_SP2</t>
  </si>
  <si>
    <t>ChangAn_ESP_Carbon_Int</t>
  </si>
  <si>
    <t>ZHANG Chao (CC-AS/EVA-SW32-CN)</t>
  </si>
  <si>
    <t>233324_JAC_P843_ESP9.3_BSS05</t>
  </si>
  <si>
    <t>JAC_ESP93_Carbon_Int\MainstreamF30\rba\Bldr\config\ApplicationLayer\rba_BldrCmp\src\rba_BldrCmp_Cfg_CheckMem.c</t>
  </si>
  <si>
    <t>BSS05</t>
  </si>
  <si>
    <t>JAC_ESP93_Carbon_Int</t>
  </si>
  <si>
    <t>Devi Priya Premkumar (RBEI/EBB7)</t>
  </si>
  <si>
    <t>JAC_ESP93_Carbon_Int\MainstreamF30\rba\Bldr\config\ApplicationLayer\rba_BldrCmp\src\rba_BldrCmp_Cfg_Com.c</t>
  </si>
  <si>
    <t>JAC_ESP93_Carbon_Int\MainstreamF30\rba\Bldr\config\ApplicationLayer\rba_BldrCmp\src\rba_BldrCMP_Cfg_CRC.c</t>
  </si>
  <si>
    <t>rba_BldrCMP_Cfg_CRC.c</t>
  </si>
  <si>
    <t>JAC_ESP93_Carbon_Int\MainstreamF30\rba\Bldr\config\Infrastruct\TestEnv\src\rba_BldrCmp_Cfg_DebugSupport.c</t>
  </si>
  <si>
    <t>rba_BldrCmp_Cfg_DebugSupport.c</t>
  </si>
  <si>
    <t>JAC_ESP93_Carbon_Int\MainstreamF30\rba\Bldr\config\ApplicationLayer\rba_BldrCmp\src\rba_BldrCmp_Cfg_FlashIf.c</t>
  </si>
  <si>
    <t>Can’t cover full MCDCs at line #46 Because absoluteAddress_u32 &gt;= rba_BldrCmp_LogicalBlockTable_pst[rba_BldrCmp_BootCtrl_st.LogicalBlockIdx].BlockSegTable[rba_BldrCmp_BootCtrl_st.LogBlkCurSegment_u8].segment_begin is always TRUE</t>
  </si>
  <si>
    <t>JAC_ESP93_Carbon_Int\MainstreamF30\rba\Bldr\config\ApplicationLayer\rba_BldrCmp\src\rba_BldrCmp_Cfg_Functions.c</t>
  </si>
  <si>
    <t>Can’t cover TRUE case of MCDCs at line #46 Because it’s always FALSE.
Can’t cover full MCDCs at line #275 Because it’s always TRUE.</t>
  </si>
  <si>
    <t>JAC_ESP93_Carbon_Int\MainstreamF30\rba\Bldr\config\ApplicationLayer\rba_BldrCmp\src\rba_BldrCmp_Cfg_NvmIf.c</t>
  </si>
  <si>
    <t>JAC_ESP93_Carbon_Int\MainstreamF30\rba\Bldr\config\ApplicationLayer\rba_BldrCmp\src\rba_BldrCmp_Cfg_PrjFunctions.c</t>
  </si>
  <si>
    <t>JAC_ESP93_Carbon_Int\MainstreamF30\rba\Bldr\config\ApplicationLayer\rba_BldrCmp\src\rba_BldrCmp_Cfg_SecA.c</t>
  </si>
  <si>
    <t>JAC_ESP93_Carbon_Int\MainstreamF30\rba\Bldr\config\Infrastruct\TestEnv\src\rba_BldrCmp_Cfg_TestServices.c</t>
  </si>
  <si>
    <t>JAC_ESP93_Carbon_Int\MainstreamF30\rba\Bldr\config\Infrastruct\TestEnv\src\rba_BldrCmp_Cfg_TestServices_TaskMon.c</t>
  </si>
  <si>
    <t>JAC_ESP93_Carbon_Int\MainstreamF30\rba\Bldr\config\Infrastruct\TestEnv\src\rba_BldrCmp_Cfg_TestStackEval.c</t>
  </si>
  <si>
    <t>rba_BldrCmp_Cfg_TestStackEval.c</t>
  </si>
  <si>
    <t>[No1]: can not cover false case at line 96 and line 108 because limited at line 93 and line 105
[No2]: cannot cover false case at line 173 because limited at line 167
[No3]: Cannot cover false case at line 179 because cannot control value at line 150 and 155</t>
  </si>
  <si>
    <t>FAW_E115_ESPhev</t>
  </si>
  <si>
    <t>FAW_L3_MainPath_HevX_Int\CNMSESPHevX\rb\as\fawesphevx\fawcore\app\dsm\RBHMI\src\RBHMI_ConfigOutputDriver_PRJ.c</t>
  </si>
  <si>
    <t>BSL60</t>
  </si>
  <si>
    <t>FAW_L3_MainPath_HevX_Int</t>
  </si>
  <si>
    <t>YANG Zhongjian (CC-AS/EVA-SW2-CN)</t>
  </si>
  <si>
    <t>FAW_L3_MainPath_HevX_Int\CNMSESPHevX\rb\as\fawesphevx\fawcore\app\dsm\RBHMI\src\RBHMI_ExtStateCalculation_PRJ.c</t>
  </si>
  <si>
    <t>RBHMI_ExtStateCalculation_PRJ.c</t>
  </si>
  <si>
    <t>GAC_ESP93CP_Carbon_Int\MainstreamF30\rb\as\gaig\A12ESP\app\dsm\RBVAR\BB_81262A20CP\src\RBVAR_OutputDriver_PROJECT.c</t>
  </si>
  <si>
    <t>99503; 81262; 81565; 81708</t>
  </si>
  <si>
    <t>WANG Shuaishuai (CC-AS/EVA-SW31-CN)</t>
  </si>
  <si>
    <t>GAC_ESP93CP_Carbon_Int\MainstreamF30\rb\as\gaig\A12ESP\app\dsm\RBVAR\BB_81708A20HD\src\RBVAR_OutputDriver_PROJECT.c</t>
  </si>
  <si>
    <t>GAC_ESP93CP_Carbon_Int\MainstreamF30\rb\as\gaig\A12ESP\app\dsm\RBVAR\BB_81565XR5\src\RBVAR_OutputDriver_PROJECT.c</t>
  </si>
  <si>
    <t>GAC_ESP93CP_Carbon_Int\MainstreamF30\rb\as\gaig\A12ESP\app\dsm\RBVAR\BB_99503A18CP\src\RBVAR_OutputDriver_PROJECT.c</t>
  </si>
  <si>
    <t>242899_GAC_A39_ESP9.3CPHD_RC4_BL011</t>
  </si>
  <si>
    <t>GAC_ESP93CP_Int\MainstreamF30\rb\as\gaig\A10\app\dsm\RBVAR\src\RBVAR_IDDefinitionTable_PROJECT.c</t>
  </si>
  <si>
    <t>BL011</t>
  </si>
  <si>
    <t>GAC_ESP93CP_Int</t>
  </si>
  <si>
    <t>MIAO Huafeng (CC-AS/EVA-SW32-CN)</t>
  </si>
  <si>
    <t>GAC_ESP93CP_Int\MainstreamF30\rb\as\gaig\A10\app\dsm\RBVAR\src\RBVAR_SystemStateManagement_PROJECT.c</t>
  </si>
  <si>
    <t>BYD_IPB_BL05_Int\BYDIPB\rb\as\BYD\ipb\app\net\RBScl_CBS\src\RBScl_CBS_prjCalculation.c</t>
  </si>
  <si>
    <t>RBScl_CBS_prjCalculation.c</t>
  </si>
  <si>
    <t>BL05_SP12</t>
  </si>
  <si>
    <t>BYD_IPB_BL05_Int\BYDIPB\rb\as\BYD\ipb\app\net\RBScl_CBS\src\RBScl_CBDS_prjDataPool.c</t>
  </si>
  <si>
    <t>RBScl_CBDS_prjDataPool.c</t>
  </si>
  <si>
    <t>BYD_IPB_BL05_Int\BYDIPB\rb\as\BYD\ipb\app\net\RBScl_CBS\src\RBScl_CBS_DemInterface.c</t>
  </si>
  <si>
    <t>RBScl_CBS_DemInterface.c</t>
  </si>
  <si>
    <t xml:space="preserve">- Cannot cover case 1 1 1 0 1 0 1 of MCDC at line 94. Because this case requires HSH_TTI is different with 6 and equal to 6 at the same time
</t>
  </si>
  <si>
    <t>FAW_E111_ESPhev</t>
  </si>
  <si>
    <t>FAW_E111_ESPHevX_Int\CNMSESPHevX\rb\as\faw\core\app\net\RBScl\src\ComScl_Scl_ComlexSignal_Callout.c</t>
  </si>
  <si>
    <t>ComScl_Scl_ComlexSignal_Callout.c</t>
  </si>
  <si>
    <t>BSL31</t>
  </si>
  <si>
    <t>FAW_E111_ESPHevX_Int</t>
  </si>
  <si>
    <t xml:space="preserve">WANG Yicheng (CC-AS/EVA-SW33-CN) </t>
  </si>
  <si>
    <t>Lacking ComponentName</t>
  </si>
  <si>
    <t>FAW_E111_ESPHevX_Int\CNMSESPHevX\rb\as\faw\core\app\net\RBScl\src\NET_Monitoring.c</t>
  </si>
  <si>
    <t>NET_Monitoring.c</t>
  </si>
  <si>
    <t>Actual LOC is 303; Lacking ComponentName</t>
  </si>
  <si>
    <t>FAW_E111_ESPHevX_Int\CNMSESPHevX\rb\as\faw\core\app\net\RBScl\src\NET_PostrunHMIStrategy_FAW.c</t>
  </si>
  <si>
    <t>NET_PostrunHMIStrategy_FAW.c</t>
  </si>
  <si>
    <t>FAW_E111_ESPHevX_Int\CNMSESPHevX\rb\as\cnms_core\app\dcom\RBAPLCust\src\common\RBAPLCUST_RBDI_NVMData_FAW.c</t>
  </si>
  <si>
    <t>RBAPLCUST_RBDI_NVMData_FAW.c</t>
  </si>
  <si>
    <t>ZHENG Fangfang (CC-AS/EVA-SW33-CN)</t>
  </si>
  <si>
    <t>FAW_E111_ESPHevX_Int\CNMSESPHevX\rb\as\cnms_core\app\dcom\RBAPLCust\src\common\RBAPLCUST_WDBI_NVMData.c</t>
  </si>
  <si>
    <t>FAW_E111_ESPHevX_Int\CNMSESPHevX\rb\as\faw\core\app\dsm\RBHMI\src\RBHMI_ConfigOutputDriver_PRJ.c</t>
  </si>
  <si>
    <t>LIU Felix (CC-AS/EVA-SW33-CN)</t>
  </si>
  <si>
    <t>FAW_E111_ESPHevX_Int\CNMSESPHevX\rb\as\faw\prj\dsmpr\src\RBHMI\src\RBHMI_LDMLamp_FAW.C</t>
  </si>
  <si>
    <t>RBHMI_LDMLamp_FAW.C</t>
  </si>
  <si>
    <t>Owner Contact</t>
  </si>
  <si>
    <t>Nguyen Duc Huong Quynh (RBVH/EAS12)</t>
  </si>
  <si>
    <t>CHEN Steve (CC-AS/EVA-SW33-CN)</t>
  </si>
  <si>
    <t>ZHANG Jun (CC-AS/EVA-SW33-CN)</t>
  </si>
  <si>
    <t>Dao Tu Giang (RBVH/EAS32)</t>
  </si>
  <si>
    <t>Le Duy Thang (RBVH/EAS32)</t>
  </si>
  <si>
    <t>Ha Nguyen Diep (RBVH/EAS12)</t>
  </si>
  <si>
    <t>Nguyen Quang Vinh (RBVH/EAS15)</t>
  </si>
  <si>
    <t>CHEN Xu (BEG/ECA1-CN)</t>
  </si>
  <si>
    <t>LIU Qiang (CC-AS/EVA-SW2-CN)</t>
  </si>
  <si>
    <t>YANG Caogang (CC-AS/EVA-M-CN)</t>
  </si>
  <si>
    <t>ZHANG Lucy (CC-AS/EVA-SW2-CN)</t>
  </si>
  <si>
    <t>VELLAISAMY Senthil Kumar (CC-AS/EVA-SW32-CN)</t>
  </si>
  <si>
    <t>Abinaya Valluvan (RBEI/ESC)</t>
  </si>
  <si>
    <t>ZHANG Allen (CC-AS/EVA-SW2-CN)</t>
  </si>
  <si>
    <t>CUI Jin (CC-AS/EVA-SW1-CN)</t>
  </si>
  <si>
    <t>HUANG Shuai (CC-AS/EVA-SW1-CN)</t>
  </si>
  <si>
    <t>HUANG Chongxi (CC-AS/ESW5-CN)</t>
  </si>
  <si>
    <t>Summary</t>
  </si>
  <si>
    <t>Table KPI PSW</t>
  </si>
  <si>
    <t>Loc Assigned</t>
  </si>
  <si>
    <t>Actual Effort (days)</t>
  </si>
  <si>
    <t>KPI\days</t>
  </si>
  <si>
    <t>Status (%)</t>
  </si>
  <si>
    <t>Note:</t>
  </si>
  <si>
    <t>Productivity of each Member per Day</t>
  </si>
  <si>
    <t>PSW: 450 ELOCs</t>
  </si>
  <si>
    <t>ASW: 130 ELOCs</t>
  </si>
  <si>
    <t>Total Productivity per Month</t>
  </si>
  <si>
    <t>Date</t>
  </si>
  <si>
    <t>Total</t>
  </si>
  <si>
    <t>Total Days</t>
  </si>
  <si>
    <t>Holidays</t>
  </si>
  <si>
    <t>1st May</t>
  </si>
  <si>
    <t>Duration</t>
  </si>
  <si>
    <t>Table KPI ASW</t>
  </si>
  <si>
    <t>KPI/days</t>
  </si>
  <si>
    <t>Refer</t>
  </si>
  <si>
    <t>Judge Total KPI</t>
  </si>
  <si>
    <t>Effort (days)</t>
  </si>
  <si>
    <t>PSW: 450x4x20 = 36;000 ELOCs</t>
  </si>
  <si>
    <t>ASW: 130x4x20 = 10;400 ELOCs</t>
  </si>
  <si>
    <t>80432; 81558</t>
  </si>
  <si>
    <t>80722; 81556</t>
  </si>
  <si>
    <t>80432; 81559</t>
  </si>
  <si>
    <t>80432; 81560</t>
  </si>
  <si>
    <t>80432; 81561</t>
  </si>
  <si>
    <t>80432; 81562</t>
  </si>
  <si>
    <t>80432; 81563</t>
  </si>
  <si>
    <t>Nguyen Nhat; Canh</t>
  </si>
  <si>
    <t>Prj</t>
  </si>
  <si>
    <t>a</t>
  </si>
  <si>
    <t>KPI Table</t>
  </si>
  <si>
    <t>No\Type</t>
  </si>
  <si>
    <t>Table Type of Testing</t>
  </si>
  <si>
    <t>Tool</t>
  </si>
  <si>
    <t>Detail Output</t>
  </si>
  <si>
    <t>ATT</t>
  </si>
  <si>
    <t>1. Test Design (.xls)
2. Plot File (.plt)
3. ATT project
4. Coverage Log</t>
  </si>
  <si>
    <t>Cantata</t>
  </si>
  <si>
    <t>1. TPA file (.tpa)
2. test report (.html)
3. test report (.xml)
4. test summary (.html)
5. File Coverage Fail Reason (.xls)</t>
  </si>
  <si>
    <t>Table Tester</t>
  </si>
  <si>
    <t>Member</t>
  </si>
  <si>
    <t>Status Table</t>
  </si>
  <si>
    <t>Ongoing</t>
  </si>
  <si>
    <t>Ready for delivery</t>
  </si>
  <si>
    <t>Pending for OPL</t>
  </si>
  <si>
    <t>Type of OPL/Defect</t>
  </si>
  <si>
    <t>Resource Name</t>
  </si>
  <si>
    <t>Team</t>
  </si>
  <si>
    <t>Domain</t>
  </si>
  <si>
    <t>Region</t>
  </si>
  <si>
    <t>BM Number</t>
  </si>
  <si>
    <t>Project Name</t>
  </si>
  <si>
    <t>SW PCM</t>
  </si>
  <si>
    <t>Efforts (Hours)</t>
  </si>
  <si>
    <t>note</t>
  </si>
  <si>
    <t>Do Anh Huy</t>
  </si>
  <si>
    <t>External</t>
  </si>
  <si>
    <t>COEM-ESP-UT</t>
  </si>
  <si>
    <t>M</t>
  </si>
  <si>
    <t>BM-00053759_004</t>
  </si>
  <si>
    <t>BYD_Carbon_Mainstream</t>
  </si>
  <si>
    <t>E</t>
  </si>
  <si>
    <t>BM-00051278_004</t>
  </si>
  <si>
    <t>Adapt_236234_SMART_VDDM_ESPHevX</t>
  </si>
  <si>
    <t>COEM-iBooster-UT</t>
  </si>
  <si>
    <t>BM-00051691-005</t>
  </si>
  <si>
    <t>BM-00040400_003</t>
  </si>
  <si>
    <t>BYD_IPB_SW_Mainstream</t>
  </si>
  <si>
    <t>BM-00027762_003</t>
  </si>
  <si>
    <t>206370_BYD_ESP9.3_New_Hybrid_MS15.1</t>
  </si>
  <si>
    <t>N</t>
  </si>
  <si>
    <t>B30_9DCT_IB2: MCR BM-00022611_004, BB80722
A30_DHT_IB2: MCR BM-00049368_003,  BB81556</t>
  </si>
  <si>
    <t>BM-00024808_007</t>
  </si>
  <si>
    <t>HAIMA_238525_VF00_ESP_RC2</t>
  </si>
  <si>
    <t>BM-00044592_003</t>
  </si>
  <si>
    <t>GAC_Carbon_Stream_ESPCP</t>
  </si>
  <si>
    <t xml:space="preserve">Do Phu Loc </t>
  </si>
  <si>
    <t>BEG-UT</t>
  </si>
  <si>
    <t>RG-000949-00-01-12</t>
  </si>
  <si>
    <t>HHT_VX1_ESPHevX</t>
  </si>
  <si>
    <t>BM-00031018_003</t>
  </si>
  <si>
    <t>216916_FAW_E115_L3_ESPhev_APB(CBi)</t>
  </si>
  <si>
    <t>BM-00011763_003</t>
  </si>
  <si>
    <t>BM-00041598_006</t>
  </si>
  <si>
    <t>MC_225750_Geely_KC2A_ESP9.3HB_BB80336</t>
  </si>
  <si>
    <t>BM-00052994_003</t>
  </si>
  <si>
    <t>242899_GAC_A39_ESP9.3CPHD_RC4</t>
  </si>
  <si>
    <t>BM-00044444_004</t>
  </si>
  <si>
    <t>BM-00011083_007</t>
  </si>
  <si>
    <t>235149_FAW_HS7_RC</t>
  </si>
  <si>
    <t>2WP-UT</t>
  </si>
  <si>
    <t>BM-00034660_005</t>
  </si>
  <si>
    <t>COEM-CNMS-UT</t>
  </si>
  <si>
    <t>CNMS_226315_HevX_RPA</t>
  </si>
  <si>
    <t>Luu Cong Dac</t>
  </si>
  <si>
    <t>BM-00045327_003</t>
  </si>
  <si>
    <t>RG-000952-00-08-20-08</t>
  </si>
  <si>
    <t>HHT_VX1_IBooster_Gen2</t>
  </si>
  <si>
    <t>W</t>
  </si>
  <si>
    <t>BM-00045267_004</t>
  </si>
  <si>
    <t xml:space="preserve">BM-00033117_003 </t>
  </si>
  <si>
    <t>218053_CA_CD569_ESP9.3CP</t>
  </si>
  <si>
    <t>BM-00041400_003</t>
  </si>
  <si>
    <t>BM-00037542_002</t>
  </si>
  <si>
    <t>GAC_220680_Carbon_A18_ESPHevx_FPA/RPA</t>
  </si>
  <si>
    <t>KX63_FL_ACC_232961</t>
  </si>
  <si>
    <t>BM-00049327_004   BB81260
BM-00047518_004   BB81315</t>
  </si>
  <si>
    <t>233324_JAC_P843_ESP9.3</t>
  </si>
  <si>
    <t>Ly Chung</t>
  </si>
  <si>
    <t>BM-00052215_003</t>
  </si>
  <si>
    <t>BM-00037540_003</t>
  </si>
  <si>
    <t>224752_GAC_A18_CarbonESP9.3CP</t>
  </si>
  <si>
    <t>BM-00047863_003</t>
  </si>
  <si>
    <t>BM-00040123_003</t>
  </si>
  <si>
    <t>GEELY_BX11_ESP9.3HD</t>
  </si>
  <si>
    <t>BM-00046341_005</t>
  </si>
  <si>
    <t>GAC_Carbon_RPA_ESPHevx_Mainpath</t>
  </si>
  <si>
    <t>Nguyen Duy Bang</t>
  </si>
  <si>
    <t xml:space="preserve">Nguyen Duy Bang </t>
  </si>
  <si>
    <t>BM-00043732_003</t>
  </si>
  <si>
    <t>231839_DearCC_IC321_ESP9.3</t>
  </si>
  <si>
    <t>BM-00053104_003</t>
  </si>
  <si>
    <t>BM-00054035_003</t>
  </si>
  <si>
    <t>MC_239507_SGMW_CN210S_PHEV_ESP9.3CPi</t>
  </si>
  <si>
    <t xml:space="preserve">BM-00046265_003 </t>
  </si>
  <si>
    <t>DFN_ESP_Gen9.3_534_238307</t>
  </si>
  <si>
    <t>BM-00010473_008</t>
  </si>
  <si>
    <t>BAIC_C62X_RC_APA</t>
  </si>
  <si>
    <t>BM-00047884_005</t>
  </si>
  <si>
    <t>MC_237270_GAC_A55CP_Carbon_ESP</t>
  </si>
  <si>
    <t>Nguyen Kim Thanh</t>
  </si>
  <si>
    <t>BM-00040456_006</t>
  </si>
  <si>
    <t xml:space="preserve">Nguyen Tai Hau </t>
  </si>
  <si>
    <t>Nguyen Tai Hau</t>
  </si>
  <si>
    <t>BM-00047857_003</t>
  </si>
  <si>
    <t>BM-00050407_003</t>
  </si>
  <si>
    <t>MC_239446_Geely_FE6AB_ESP9.3HD_BB81527</t>
  </si>
  <si>
    <t>BM-00043629_005</t>
  </si>
  <si>
    <t>BM-00055767_003</t>
  </si>
  <si>
    <t>SAIC_ZS11E_MCE_withDA_ESP9.3_241859</t>
  </si>
  <si>
    <t>BM-00041603_004</t>
  </si>
  <si>
    <t>MC_223517_Geely_KC2A_ESP9.3CP_BB80335</t>
  </si>
  <si>
    <t xml:space="preserve">BM-00054378_003  </t>
  </si>
  <si>
    <t>GEELY_FE-3AH_CB_CSIS241976</t>
  </si>
  <si>
    <t>BM-00050353_003</t>
  </si>
  <si>
    <t>SAIC ZS12MCE withDA ESP9.3</t>
  </si>
  <si>
    <t>BM-00031442_003</t>
  </si>
  <si>
    <t>217437_FAW_C229</t>
  </si>
  <si>
    <t>Nguyen Thanh Phuong</t>
  </si>
  <si>
    <t>BM-00055504_004</t>
  </si>
  <si>
    <t>MC_245411_SGMW_CN202C_ESPCP</t>
  </si>
  <si>
    <t>BM-00044138_004</t>
  </si>
  <si>
    <t>GEELY_SS11ESP9.3CP</t>
  </si>
  <si>
    <t>D090 High G6 ECR                 BM-00056303_001
D090 Low G6 ECR                  BM-00056313_001</t>
  </si>
  <si>
    <t>BM-00046343_003</t>
  </si>
  <si>
    <t>GAC_219651_Carbon_A18_iB2_FPA/RPA</t>
  </si>
  <si>
    <t>BM-00048597_003</t>
  </si>
  <si>
    <t>GAC_212111_Carbon_A12_iB2_FPA/RPA</t>
  </si>
  <si>
    <t>BM-00048366_003</t>
  </si>
  <si>
    <t>228771_SAIC EP22 X1 &amp; IP31E w/o_DA ESPHevX</t>
  </si>
  <si>
    <t>Nguyen Trung Hieu</t>
  </si>
  <si>
    <t>Nguyen Tuan Duong</t>
  </si>
  <si>
    <t>BM_00046343_003</t>
  </si>
  <si>
    <t>GAC_Carbon_RPA_iBooster_Mainpath</t>
  </si>
  <si>
    <t>Do Phu Loc</t>
  </si>
  <si>
    <t>237281_GAC_A76_CarbonESP9.3CP</t>
  </si>
  <si>
    <t>238493_GAC_A36_CarbonESP9.3CP</t>
  </si>
  <si>
    <t>BAIC_MainPath_HevX_Int\BAICHevX\rba\Bldr\bldr\src\rba_Bldr_Backdoor.c</t>
  </si>
  <si>
    <t>rba_Bldr_Backdoor.c</t>
  </si>
  <si>
    <t>Support Mr Hai Testing this funciton. Assign 16h00 20200515, but function got issue about controlling address of "local variable". So it need to confirm with developer for next step. Shift due date to 20200518, confirm by Mr. Hai</t>
  </si>
  <si>
    <t>FAW_E115_ESPhev_BSS60</t>
  </si>
  <si>
    <t>FAW_L3_MainPath_HevX_Int_N\CNMSESPHevX\rb\as\core\app\asw\common\cfg\Diamant_Spec_STM\VirtualNodes_CallBackFunctions\src\SSI_Signal2State_CallbackFunction_ESPHEV_VirtualNode_PMcForAbsMeasured.c</t>
  </si>
  <si>
    <t>SSI_Signal2State_CallbackFunction_ESPHEV_VirtualNode_PMcForAbsMeasured.c</t>
  </si>
  <si>
    <t>BB99180</t>
  </si>
  <si>
    <t>BSS60</t>
  </si>
  <si>
    <t>FAW_L3_MainPath_HevX_Int_N</t>
  </si>
  <si>
    <t>Miss src in componentname.</t>
  </si>
  <si>
    <t>FAW_L3_MainPath_HevX_Int_N\CNMSESPHevX\rb\as\fawesphevx\fawcore\app\dsm\RBHMI\src\RBHMI_ConfigOutputDriver_PRJ.c</t>
  </si>
  <si>
    <t>FAW_L3_MainPath_HevX_Int_N\CNMSESPHevX\rb\as\fawesphevx\fawcore\app\dsm\RBHMI\src\RBHMI_ExtStateCalculation_PRJ.c</t>
  </si>
  <si>
    <t>FAW_L3_MainPath_HevX_Int_N\CNMSESPHevX\rb\as\fawesphevx\fawprj\dsmpr\src\RBPduHandler_Callouts.c</t>
  </si>
  <si>
    <t>FAW_L3_MainPath_HevX_Int_N\CNMSESPHevX\rb\as\fawesphevx\fawprj\dsmpr\src\RBEMM\CCM_Callbacks_Project.c</t>
  </si>
  <si>
    <t>CCM_Callbacks_Project.c</t>
  </si>
  <si>
    <t>FAW_L3_MainPath_HevX_Int_N\CNMSESPHevX\rb\as\fawesphevx\fawprj\dsmpr\src\RBVAR\RBVAR_PROJECT.c</t>
  </si>
  <si>
    <t>RBVAR_PROJECT.c</t>
  </si>
  <si>
    <t>GWM AB30 7DCT</t>
  </si>
  <si>
    <t>GWM_AB30_CP_Int\MainstreamF30\rb\as\gwm\core\app\dcom\RBAPLCust\src\common\RBAPLCUST_RBDI_NVMData_Prj.c</t>
  </si>
  <si>
    <t>BB80433 BB80431 BB81003</t>
  </si>
  <si>
    <t>BSS08</t>
  </si>
  <si>
    <t>GWM_AB30_CP_Int\MainstreamF30\rb\as\gwm\core\app\dcom\RBAPLCust\src\common\RBAPLCUST_RDBI_BOM.c</t>
  </si>
  <si>
    <t>RBAPLCUST_RDBI_BOM.c</t>
  </si>
  <si>
    <t>GWM_AB30_CP_Int\MainstreamF30\rb\as\gwm\core\app\dcom\RBAPLCust\src\ESP\RBAPLCUST_RDBI_IOCtrlState.c</t>
  </si>
  <si>
    <t>GWM_AB30_CP_Int\MainstreamF30\rb\as\gwm\core\app\dcom\RBAPLCust\src\common\RBAPLCUST_ReadDTCInformation.c</t>
  </si>
  <si>
    <t>GWM_AB30_CP_Int\MainstreamF30\rb\as\gwm\cp\app\net\RbNetPrj\RBNet_Can\src\ComScl_CalcCRC8.c</t>
  </si>
  <si>
    <t>LI Chengcheng (CC-AS/EVA-SW33-CN)</t>
  </si>
  <si>
    <t>GWM_AB30_CP_Int\MainstreamF30\rb\as\gwm\cp\app\net\RBScl\src\ComScl_Scl_Complex_proc.c</t>
  </si>
  <si>
    <t>GWM_AB30_CP_Int\MainstreamF30\rb\as\gwm\cp\app\net\SclCallout\src\NET_ATM_Callout_GWM.c</t>
  </si>
  <si>
    <t>NET_ATM_Callout_GWM.c</t>
  </si>
  <si>
    <t>-Can't cover for default of switch case at line #99</t>
  </si>
  <si>
    <t>GWM_AB30_CP_Int\MainstreamF30\rb\as\gwm\cp\app\net\RbNetPrj\RBNet_Can\src\NET_CheckSumLib_CNMS.c</t>
  </si>
  <si>
    <t>GWM_AB30_CP_Int\MainstreamF30\rb\as\gwm\cp\app\net\SclCallout\src\NET_DST_Callout_GWM.c</t>
  </si>
  <si>
    <t>NET_DST_Callout_GWM.c</t>
  </si>
  <si>
    <t>GWM_AB30_CP_Int\MainstreamF30\rb\as\gwm\cp\app\net\RBNm\src\NET_Monitoring.c</t>
  </si>
  <si>
    <t>GWM_AB30_CP_Int\MainstreamF30\rb\as\gwm\cp\app\net\SpecialStrategy\src\NET_NetBLSStrategy_GWM.c</t>
  </si>
  <si>
    <t>NET_NetBLSStrategy_GWM.c</t>
  </si>
  <si>
    <t>GWM_AB30_CP_Int\MainstreamF30\rb\as\gwm\cp\app\net\SpecialStrategy\src\NET_PBCMessageStrategy_GWM.c</t>
  </si>
  <si>
    <t>NET_PBCMessageStrategy_GWM.c</t>
  </si>
  <si>
    <t>GWM_AB30_CP_Int\MainstreamF30\rb\as\gwm\cp\app\net\SclCallout\src\NET_SAS_Callout_GWM.c</t>
  </si>
  <si>
    <t>NET_SAS_Callout_GWM.c</t>
  </si>
  <si>
    <t>GWM_AB30_CP_Int\MainstreamF30\rb\as\gwm\cp\app\net\SpecialStrategy\src\NET_SpecialStrategy_GWM.c</t>
  </si>
  <si>
    <t>NET_SpecialStrategy_GWM.c</t>
  </si>
  <si>
    <t>GWM_AB30_CP_Int\MainstreamF30\rb\as\gwm\cp\app\net\SclCallout\src\NET_SystemInfo_Callout_GWM.c</t>
  </si>
  <si>
    <t>NET_SystemInfo_Callout_GWM.c</t>
  </si>
  <si>
    <t>GWM_AB30_CP_Int\MainstreamF30\rb\as\gwm\cp\app\net\SclCallout\src\NET_Torque_Callout_GWM.c</t>
  </si>
  <si>
    <t>NET_Torque_Callout_GWM.c</t>
  </si>
  <si>
    <t>GWM_AB30_CP_Int\MainstreamF30\rb\as\gwm\cp\app\net\SclCallout\src\NET_WSSensorFault_Callout_GWM.c</t>
  </si>
  <si>
    <t>NET_WSSensorFault_Callout_GWM.c</t>
  </si>
  <si>
    <t>GWM_AB30_CP_Int\MainstreamF30\rb\as\gwm\cp\app\net\SclCallout\src\NET_Yrs_Callout_GWM.c</t>
  </si>
  <si>
    <t>NET_Yrs_Callout_GWM.c</t>
  </si>
  <si>
    <t>GWM_AB30_CP_Int\MainstreamF30\rb\as\gwm\cp\app\net\RBNetGlobal\src\rba_NET_Global_variable.c</t>
  </si>
  <si>
    <t>rba_NET_Global_variable.c</t>
  </si>
  <si>
    <t>GWM_AB30_CP_Int\MainstreamF30\rb\as\cnms_core\app\dsm\DemVar\src\Dem_VarCode_PRJ.c</t>
  </si>
  <si>
    <t>BB80433</t>
  </si>
  <si>
    <t>GWM_AB30_CP_Int\MainstreamF30\rb\as\cnms_core\app\dsm\RBVAR\src\RBVAR_StateMachine_COMMON.c</t>
  </si>
  <si>
    <t>RBVAR_StateMachine_COMMON.c</t>
  </si>
  <si>
    <t>GWM_AB30_CP_Int\MainstreamF30\rb\as\cnms_core\app\dsm\RBVAR\src\RBVAR_VarCode_COMMON.c</t>
  </si>
  <si>
    <t>GWM_AB30_CP_Int\MainstreamF30\rb\as\gwm\cp\app\dsm\RBVAR\BB80433\src\RBVAR_VarCode_PROJECT.c</t>
  </si>
  <si>
    <t>GWM_AB30_CP_Int\MainstreamF30\rb\as\gwm\cp\app\dsm\RBVAR\BB80431\src\RBVAR_VarCode_PROJECT.c</t>
  </si>
  <si>
    <t>GWM_AB30_CP_Int\MainstreamF30\rb\as\gwm\cp\app\dsm\RBVAR\BB81003\src\RBVAR_VarCode_PROJECT.c</t>
  </si>
  <si>
    <t>GWM_AB30_CP_Int\MainstreamF30\rb\as\gwm\cp\app\dsm\RBVAR\BB82313\src\RBVAR_VarCode_PROJECT.c</t>
  </si>
  <si>
    <t>235199_SAIC_EP21_MCE_ESP9.3HevX</t>
  </si>
  <si>
    <t>SAIC_EP_CMP_ESPHevX_Int\ESPhevXSAICEP\rb\as\saicep\esphevx\app\net\RBScl\src</t>
  </si>
  <si>
    <t>ComScl_Scl_Complex.c</t>
  </si>
  <si>
    <t>BB81483</t>
  </si>
  <si>
    <t>TANG Yanqi (CC-AS/EVA-SW31-CN)</t>
  </si>
  <si>
    <t>+ Cannot cover FALSE case at the right side for condition else if ((ComScl_RawSignal_AEBHydBrkAstLvlReqHSC2_RX_u8)&amp;&amp;(l_ABAActive_B == FALSE)) at line #238
+ Cannot cover for ELSE case for condition else if (ComScl_RawSignal_AEBHydBrkAstLvlReqHSC2_RX_u8 == 0) at line #260</t>
  </si>
  <si>
    <t>-Already have confirm by owner as the previous phase</t>
  </si>
  <si>
    <t>SAIC_EP_CMP_ESPHevX_Int\ESPhevXSAICEP\rb\as\saicep\esphevx\app\net\RBScl\src\Rcv</t>
  </si>
  <si>
    <t>ComScl_Scl_GW_HSC2_HCU_FrP01_Rx.c</t>
  </si>
  <si>
    <t xml:space="preserve">1. NMSG_SnowModeActive_B_pre in decision else if(NMSG_SnowModeActive_B_l &amp;&amp; NMSG_SnowModeActive_B_pre) at line #322 can’t show its influence because it conflicts with decision at line #307.
2. !NMSG_SnowModeActive_B_l in decision else if(!NMSG_SnowModeActive_B_l &amp;&amp; NMSG_SnowModeActive_B_pre) at line #340 can’t show its influence because it conflicts with decision at line #307 or decision at line #322.
3. !NMSG_SnowModeActive_B_l and !NMSG_SnowModeActive_B_pre in decision else if(!NMSG_SnowModeActive_B_l &amp;&amp; !NMSG_SnowModeActive_B_pre) at line #355 can’t show its influence because it sequentially conflicts with (decision at line #307 or decision at line #322) and decision at line #340.
</t>
  </si>
  <si>
    <t>GWM_AB30_7DCT_BSS08</t>
  </si>
  <si>
    <t>GWM_AB30_CP_Int\MainstreamF30\rb\as\core\app\asw\apbmi\host\PBC\SRC</t>
  </si>
  <si>
    <t>GWM_AB30_CP_Int\MainstreamF30\rb\as\gwm\cp\app\asw\aswif\src</t>
  </si>
  <si>
    <t>ASWIF_CustomerConfig.c</t>
  </si>
  <si>
    <t>GWM_AB30_CP_Int\MainstreamF30\rb\as\gwm\cp\app\asw\stubs\src</t>
  </si>
  <si>
    <t>cco_stub.c</t>
  </si>
  <si>
    <t>other_stub.c</t>
  </si>
  <si>
    <t>GWM_AB30_CP_Int\MainstreamF30\rb\as\gwm\cp\app\dsm\RBModemgmt\src</t>
  </si>
  <si>
    <t>MM_WakeUp.c</t>
  </si>
  <si>
    <t>MM_PowerDown.c</t>
  </si>
  <si>
    <t>MM_NmClient.c</t>
  </si>
  <si>
    <t>GWM_AB30_CP_Int\MainstreamF30\rb\as\gwm\cp\app\obd\ObdCvnCalId\src</t>
  </si>
  <si>
    <t>GAC_239741_Carbon_A12 4WD ESPHevx FPA/RPA_BL02</t>
  </si>
  <si>
    <t>GAC_ESPHevX_HADHAP_Int\CNMSHevXHADHAP\rb\as\gaig\core\app\dcom\RBAPLCust\src</t>
  </si>
  <si>
    <t>RBAPLCUST_RDBI_InputData_APBMi.c</t>
  </si>
  <si>
    <t>BB81539</t>
  </si>
  <si>
    <t>BYD_IPB_BL05_Int\BYDIPB\rb\as\BYD\ipb\app\net\RBScl\Scl_Callout\src</t>
  </si>
  <si>
    <t>BAIC_N60_iBooster</t>
  </si>
  <si>
    <t>BAIC_IB2_Int\iBoosterGen2\rb\as\ib2_baic\ib2_baic_core\app\net\net_OBD_Off\RBScl\src</t>
  </si>
  <si>
    <t>BB98384</t>
  </si>
  <si>
    <t>BL72_SP02</t>
  </si>
  <si>
    <t>BAIC_IB2_Int</t>
  </si>
  <si>
    <t>HU Evan (CC-AS/EVA-SW33-CN)</t>
  </si>
  <si>
    <t>BAIC_IB2_Int\iBoosterGen2\rb\as\ib2_baic\ib2_baic_core\app\net\net_OBD_Off\RBNetPrj\RBNet_Can\src</t>
  </si>
  <si>
    <t>NET_AliveCounterLib_BAIC.c</t>
  </si>
  <si>
    <t>BAIC_IB2_Int\iBoosterGen2\rb\as\ib2_baic\prj\dsmpr\src</t>
  </si>
  <si>
    <t>BAIC_IB2_Int\iBoosterGen2\rb\as\ib2_baic\ib2_baic_core\app\dcom\RBAPLCust\src\iBooster</t>
  </si>
  <si>
    <t>RBAPLCUST_RBDI_NVMData_BAICib.c</t>
  </si>
  <si>
    <t>RBAPLCUST_WDBI_NVMData_BAICib.c</t>
  </si>
  <si>
    <t>BAIC_IB2_Int\iBoosterGen2\rb\as\ib2_baic\ib2_baic_core\app\dsm\RBVAR\src</t>
  </si>
  <si>
    <t>ZHU Anlin (CC-AS/EVA-SW2-CN)</t>
  </si>
  <si>
    <t>BAIC_IB2_Int\iBoosterGen2\rb\as\cnms_core\app\dcom\RBAPLCust\src\common</t>
  </si>
  <si>
    <t>BAIC_IB2_Int\iBoosterGen2\rb\as\ib2_baic\ib2_baic_core\app\dcom\RBAPLCust\src\common</t>
  </si>
  <si>
    <t>Can't cover fully MCDC for condition at the line#135 and the line #140</t>
  </si>
  <si>
    <t>Have already confirm by owner at the previous phase</t>
  </si>
  <si>
    <t>RBAPLCUST_SnapshotChecksumAlivecounter_iBooster.c</t>
  </si>
  <si>
    <t>GEELY_SS11ESP9.3CP_BL02_SP04</t>
  </si>
  <si>
    <t>Geely_ESP93_Carbon_Int\MainstreamF30\rba\Bldr\config\ApplicationLayer\rba_BldrCmp\src\rba_BldrCmp_Cfg_CheckMem.c</t>
  </si>
  <si>
    <t>BB 80795</t>
  </si>
  <si>
    <t>BL02_SP04</t>
  </si>
  <si>
    <t xml:space="preserve">Geely_ESP93_Carbon_Int </t>
  </si>
  <si>
    <t>Geely_ESP93_Carbon_Int\MainstreamF30\rba\Bldr\config\ApplicationLayer\rba_BldrCmp\src\rba_BldrCmp_Cfg_FlashIf.c</t>
  </si>
  <si>
    <t>Can’t cover full MCDCs case FALSE. Because value of Direction_u8 has already limited at line #272.</t>
  </si>
  <si>
    <t>Geely_ESP93_Carbon_Int\MainstreamF30\rba\Bldr\config\ApplicationLayer\rba_BldrCmp\src\rba_BldrCmp_Cfg_Functions.c</t>
  </si>
  <si>
    <r>
      <t xml:space="preserve">Can’t cover full MCDCs case True at line #122. Because </t>
    </r>
    <r>
      <rPr>
        <b/>
        <i/>
        <sz val="11"/>
        <color rgb="FF000000"/>
        <rFont val="Courier New"/>
        <family val="3"/>
      </rPr>
      <t>maxLength_u16</t>
    </r>
    <r>
      <rPr>
        <sz val="11"/>
        <color rgb="FF000000"/>
        <rFont val="Courier New"/>
        <family val="3"/>
      </rPr>
      <t xml:space="preserve"> </t>
    </r>
    <r>
      <rPr>
        <sz val="10"/>
        <color rgb="FF000000"/>
        <rFont val="Courier New"/>
        <family val="3"/>
      </rPr>
      <t xml:space="preserve">is assigned by </t>
    </r>
    <r>
      <rPr>
        <b/>
        <i/>
        <sz val="11"/>
        <color rgb="FF000000"/>
        <rFont val="Courier New"/>
        <family val="3"/>
      </rPr>
      <t>*length_pu16</t>
    </r>
  </si>
  <si>
    <t>Geely_ESP93_Carbon_Int\MainstreamF30\rba\Bldr\config\ApplicationLayer\rba_BldrCmp\src\rba_BldrCmp_Cfg_NvmIf.c</t>
  </si>
  <si>
    <t>Can’t cover full MCDCs case FALSE. Because value of Direction_u8 has already limited at line #272</t>
  </si>
  <si>
    <t>Geely_ESP93_Carbon_Int\MainstreamF30\rba\Bldr\config\ApplicationLayer\rba_BldrCmp\src\rba_BldrCmp_Cfg_PrjFunctions.c</t>
  </si>
  <si>
    <t>Geely_ESP93_Carbon_Int\MainstreamF30\rba\Bldr\config\ApplicationLayer\rba_BldrCmp\src\rba_BldrCmp_Cfg_SecA.c</t>
  </si>
  <si>
    <t>Geely_ESP93_Carbon_Int\MainstreamF30\rba\Bldr\bmgr\src\rba_Bmgr_main.c</t>
  </si>
  <si>
    <t>Turn fuction rba_Bmgr_main into comment for testing purpose at line #56. because it contain infinite loop.</t>
  </si>
  <si>
    <t>Geely_ESP93_Carbon_Int\MainstreamF30\rba\Bldr\bldr\src\rba_Bldr_main.c</t>
  </si>
  <si>
    <t>Turn fuction rba_Bldr_main into comment for testing purpose at line #56
Turn fuction for loop into comment for testing purpose at line #121</t>
  </si>
  <si>
    <t>GEEA2.0_ESP9.3_CMP_BL07</t>
  </si>
  <si>
    <t>CEVT_GEEA_DeuteriumR_DEV\GEEA2.0\rb\as\cevt\Geely\app\net\RBScl\src\Xmt\rb_ASW_Wrapper_SCL_BBM_Tx.c</t>
  </si>
  <si>
    <t>rb_ASW_Wrapper_SCL_BBM_Tx.c</t>
  </si>
  <si>
    <t>BB81818</t>
  </si>
  <si>
    <t>BL07</t>
  </si>
  <si>
    <t>CEVT_GEEA_DeuteriumR_DEV</t>
  </si>
  <si>
    <t>Jogi Madivalappa (RBEI/ESH31)</t>
  </si>
  <si>
    <t>CEVT_GEEA_DeuteriumR_DEV\GEEA2.0\rb\as\cevt\Geely\app\net\RBScl\src\Xmt\rb_ASW_Wrapper_SCL_L3_Tx.c</t>
  </si>
  <si>
    <t>rb_ASW_Wrapper_SCL_L3_Tx.c</t>
  </si>
  <si>
    <t>CEVT_GEEA_DeuteriumR_DEV\GEEA2.0\rb\as\cevt\Geely\app\net\RBScl\src\Xmt\rb_ASW_Wrapper_SCL_ABS_Tx.c</t>
  </si>
  <si>
    <t>rb_ASW_Wrapper_SCL_ABS_Tx.c</t>
  </si>
  <si>
    <t>CEVT_GEEA_DeuteriumR_DEV\GEEA2.0\rb\as\cevt\Geely\app\net\RBScl\src\Rcv\rb_ASW_Wrapper_SCL_VAF_Rx.c</t>
  </si>
  <si>
    <t>rb_ASW_Wrapper_SCL_VAF_Rx.c</t>
  </si>
  <si>
    <t>Can’t cover FALSE case of condition at line #930. Because of the variable l_IsUpdated_B at line #924 equal to TRUE.</t>
  </si>
  <si>
    <t>No impact</t>
  </si>
  <si>
    <t>BAIC_MainPath_HevX_Int\BAICHevX\rb\as\baic\baic_core\app\net\RBScl\src</t>
  </si>
  <si>
    <t>BB98378</t>
  </si>
  <si>
    <t>BAIC_MainPath_HevX_Int\BAICHevX\rb\as\baic\baic_core\app\net\RbNetPrj\RBNet_Can\src</t>
  </si>
  <si>
    <t>BAIC_MainPath_HevX_Int\BAICHevX\rb\as\baic\prj\dsmpr\src</t>
  </si>
  <si>
    <t>BAIC_MainPath_HevX_Int\BAICHevX\rb\as\cnms_core\app\net\scl_callout\src</t>
  </si>
  <si>
    <t>RBA_NDS_CIM_0x310_Callout.c</t>
  </si>
  <si>
    <t>RBA_NDS_EPS_0x1C2_Callout.c</t>
  </si>
  <si>
    <t>RBA_NDS_EPS_0x217_Callout.c</t>
  </si>
  <si>
    <t>RBA_NDS_EPS_0x242_Callout.c</t>
  </si>
  <si>
    <t>RBA_NDS_EPS_0x246_Callout.c</t>
  </si>
  <si>
    <t>RBA_NDS_EPS_0x261_Callout.c</t>
  </si>
  <si>
    <t>RBA_NDS_EPS_0x318_Callout.c</t>
  </si>
  <si>
    <t>RBA_NDS_ESP_0x1B8_Callout.c</t>
  </si>
  <si>
    <t>RBA_NDS_ESP_0x264_Callout.c</t>
  </si>
  <si>
    <t>RBA_NDS_ESP_0x266_Callout.c</t>
  </si>
  <si>
    <t>RBA_NDS_ESP_0x332_Callout.c</t>
  </si>
  <si>
    <t>RBA_NDS_ESP_0x658_Callout.c</t>
  </si>
  <si>
    <t>RBA_NDS_ESP_Common_Callout.c</t>
  </si>
  <si>
    <t>RBA_NDS_MCU_F_0x150_Callout.c</t>
  </si>
  <si>
    <t>RBA_NDS_PAS_0x1BC_Callout.c</t>
  </si>
  <si>
    <t>RBA_NDS_VCU_0x102_Callout.c</t>
  </si>
  <si>
    <t>RBA_NDS_VCU_0x226_Callout.c</t>
  </si>
  <si>
    <t>RBA_NDS_VCU_0x245_Callout.c</t>
  </si>
  <si>
    <t>BAIC_MainPath_HevX_Int\BAICHevX\rb\as\core\app\sec\security\src</t>
  </si>
  <si>
    <t>RBSEC_Sec.c</t>
  </si>
  <si>
    <t>SUN Nan (CC-AS/EVA-SW1-CN)</t>
  </si>
  <si>
    <t>BAIC_MainPath_HevX_Int\BAICHevX\rb\as\baic\baic_core\app\dsm\RBVAR\src</t>
  </si>
  <si>
    <t>RBVAR_StateMachine_CustomerProject.c</t>
  </si>
  <si>
    <t>Can't cover branch "else" of condition if (1) at line #144</t>
  </si>
  <si>
    <t>BAIC_MainPath_HevX_Int\BAICHevX\rb\as\baic\baic_core\app\dsm\RBHMI\src</t>
  </si>
  <si>
    <t>BAIC_MainPath_HevX_Int\BAICHevX\rb\as\baic\baic_core\app\dsm\RBWarningIndicator\src</t>
  </si>
  <si>
    <t>BAIC_MainPath_HevX_Int\BAICHevX\rb\as\baic\prj\dsmpr\src\RBHMI\src</t>
  </si>
  <si>
    <t>RBHMI_LDMLamp_FAW.c</t>
  </si>
  <si>
    <t>BAIC_MainPath_HevX_Int\BAICHevX\rb\as\baic\prj\dsmpr\cfg\Diamant_Cfg\BB97468\Project_Overwritten\src</t>
  </si>
  <si>
    <t>BAIC_MainPath_HevX_Int\BAICHevX\rb\as\baic\baic_core\app\dcom\RBAPLCust\src\common</t>
  </si>
  <si>
    <t>BB98378; BB98379</t>
  </si>
  <si>
    <t>Can't cover fully MCDC for condition at the line#140 and the line #145</t>
  </si>
  <si>
    <t>BAIC_MainPath_HevX_Int\BAICHevX\rb\as\baic\baic_core\app\dcom\RBAPLCust\src\ESP</t>
  </si>
  <si>
    <t>RBAPLCUST_SpeedLimitForServices_BAIC_ESP.c</t>
  </si>
  <si>
    <t>BAIC_MainPath_HevX_Int\BAICHevX\rb\as\cnms_core\app\dcom\RBAPLCust\src\common</t>
  </si>
  <si>
    <t>RBAPLCUST_SnapshotChecksumAlivecounter_ESP.c</t>
  </si>
  <si>
    <t>GEELY_FS11_ESP9.3HD_BSS05_SP05</t>
  </si>
  <si>
    <t>Geely_ESP93_Carbon_Int\MainstreamF30\rb\as\geely\CpiwAPB\app\dsm\RBHMI\src\RBHMI_Synchronisation_F30.C</t>
  </si>
  <si>
    <t>BB98153 &amp; BB97958 &amp; BB80790 &amp; BB80795</t>
  </si>
  <si>
    <t>BSS05_SP05</t>
  </si>
  <si>
    <t>SGMW CN202M 208T CPi ACC 242139 BB81871</t>
  </si>
  <si>
    <t>SGMW_ESP93_Mainstream_Int\MainstreamF30\rb\as\sgmw\CN210S\app\net\RBScl\RBScl_SGMW\src\NET_SCL_Rx_SGMW.c</t>
  </si>
  <si>
    <t>NET_SCL_Rx_SGMW.c</t>
  </si>
  <si>
    <t>BB81871</t>
  </si>
  <si>
    <t>SGMW_ESP93_Mainstream_Int</t>
  </si>
  <si>
    <t>To Trong Khoa (RBVH/EAS11)</t>
  </si>
  <si>
    <t>Wrong databasse =&gt; Fixed</t>
  </si>
  <si>
    <t>SGMW_ESP93_Mainstream_Int\MainstreamF30\rb\as\sgmw\CN210S\app\net\RBScl\RBScl_SGMW\src\NET_SCL_Tx_SGMW.c</t>
  </si>
  <si>
    <t>NET_SCL_Tx_SGMW.c</t>
  </si>
  <si>
    <t>SGMW_ESP93_Mainstream_Int\MainstreamF30\rb\as\sgmw\core\app\dcom\RBAPLCust\src\RBAPLCUST_DiagnosticSessionControl.c</t>
  </si>
  <si>
    <t xml:space="preserve">At function “static boolean RBAPLCUST_RequestRollerBenchSession(boolean l_Active)”
Cannot cover MCDC because it’s conflict.
</t>
  </si>
  <si>
    <t>Wrong databasse =&gt; Fixed. Owner confirm no impact</t>
  </si>
  <si>
    <t>SGMW_ESP93_Mainstream_Int\MainstreamF30\rb\as\sgmw\core\app\dcom\RBAPLCust\src\RBAPLCUST_RBDI_NVMData.c</t>
  </si>
  <si>
    <t>BAIC_MainPath_HevX_Int\BAICHevX\rb\as\cnms_core\app\net\scl\Controllers\Engine\src</t>
  </si>
  <si>
    <t>NET_SCL_Rx_EngineTorque.c</t>
  </si>
  <si>
    <t>BAIC_MainPath_HevX_Int\BAICHevX\rb\as\cnms_core\app\net\scl\Sensors\AxAyYrs\src</t>
  </si>
  <si>
    <t>NET_SCL_Rx_Yrs.c</t>
  </si>
  <si>
    <t>BAIC_MainPath_HevX_Int\BAICHevX\rb\as\cnms_core\app\net\scl\Controllers\AxelSplit\src</t>
  </si>
  <si>
    <t>NET_SCL_Tx_AxelSplit.c</t>
  </si>
  <si>
    <t>NET_SCL_Tx_AxelSplit_Torque.c</t>
  </si>
  <si>
    <t>BAIC_MainPath_HevX_Int\BAICHevX\rb\as\cnms_core\app\net\scl\Controllers\VehicleSpeed\src</t>
  </si>
  <si>
    <t>NET_SCL_Tx_VehicleSpeed.c</t>
  </si>
  <si>
    <t>RBA_NDS_TOD_Callout.c</t>
  </si>
  <si>
    <t>BAIC_MainPath_HevX_Int\BAICHevX\rb\as\cnms_core\app\net\scl\Controllers\SystemInfo\src</t>
  </si>
  <si>
    <t>NET_SCL_Tx_SystemInfo.c</t>
  </si>
  <si>
    <t>FAW_TypeC2_BSL33_Security</t>
  </si>
  <si>
    <t>FAW_MainPath_V2.0_Int\MainstreamF30\rba\Bldr\bmgr\src</t>
  </si>
  <si>
    <t>BB99856; BB99857</t>
  </si>
  <si>
    <t>FAW_MainPath_V2.0_Int</t>
  </si>
  <si>
    <t>1. From line #54 to line #69 I just cover once because can’t cover endless loop.</t>
  </si>
  <si>
    <t>FAW_MainPath_V2.0_Int\MainstreamF30\rba\Bldr\bldr\src</t>
  </si>
  <si>
    <t>FAW_MainPath_V2.0_Int\MainstreamF30\rba\Bldr\config\ApplicationLayer\rba_BldrCmp\src</t>
  </si>
  <si>
    <t>- Can't cover False case of if (retValue == E_OK) at line #87 because it's always true
- Can't cover if ((RBFS_uC == RBFS_uC_RenesasD3) &amp;&amp; (returnValue == E_OK)) case (T&amp;&amp;F) because returnValue is always equal E_OK
- Can't cover ful MCDCs at line #298, line #314, line #330, line #346 beacause all of them are macros</t>
  </si>
  <si>
    <t>Actual LOC: 355.
Owner confirm it's not impact</t>
  </si>
  <si>
    <t>Can't cover for false case of 
if ((absoluteAddress_u32 &gt;= rba_BldrCmp_LogicalBlockTable_pst[rba_BldrCmp_BootCtrl_st.LogicalBlockIdx].BlockSegTable[rba_BldrCmp_BootCtrl_st.LogBlkCurSegment_u8].segment_begin) &amp;&amp;
                    (absoluteAddress_u32 &lt;= rba_BldrCmp_LogicalBlockTable_pst[rba_BldrCmp_BootCtrl_st.LogicalBlockIdx].BlockSegTable[rba_BldrCmp_BootCtrl_st.LogBlkCurSegment_u8].segment_end))
. Because absoluteAddress_u32 = rba_BldrCmp_LogicalBlockTable_pst[rba_BldrCmp_BootCtrl_st.LogicalBlockIdx].BlockSegTable[rba_BldrCmp_BootCtrl_st.LogBlkCurSegment_u8].segment_begin + relativeAddress_u32 and  relativeAddress_u32 &gt;=0.</t>
  </si>
  <si>
    <t>Can't cover for case case 0UL, case 1UL, case 2UL and case default of switch ( temp ) at line#98. Because RBA_BLDRCMP_SA_SECURITY_CONSTANT is a constant, so temp is a constant.
Can’t cover for true case of  if ((RBA_BLDRCMP_SA_SECURITY_CONSTANT &amp; 0x00000001UL) == 1UL) at line#134.</t>
  </si>
  <si>
    <t>FAW_MainPath_V2.0_Int\MainstreamF30\rba\Bldr\comps\ComplexDeviceDriver\rba_BldrFlsDrv\src</t>
  </si>
  <si>
    <t>FAW_MainPath_V2.0_Int\MainstreamF30\rba\Bldr\comps\ComplexDeviceDriver\rba_BldrBCLSigChk\src</t>
  </si>
  <si>
    <t>FAW_MainPath_V2.0_Int\MainstreamF30\rba\Bldr\config\ComplexDeviceDriver\rba_BldrFlsDrv\src</t>
  </si>
  <si>
    <t>Can’t cover for function rba_BldrFlsDrv_Cfg_Write atline#73 because address of pointer canCore_pvst is fixed (limit cantata, can’t set the fixed address).</t>
  </si>
  <si>
    <t>FAW_MainPath_V2.0_Int\MainstreamF30\rba\Bldr\config\Infrastruct\CubasAdapter\src</t>
  </si>
  <si>
    <t>EBC_RequestMode</t>
  </si>
  <si>
    <t>ESP93hevXEncapSWCust_ECU_CSW_BB97468.axl</t>
  </si>
  <si>
    <t>CHENG Jie (CC-AS/EVA-SW1-CN)</t>
  </si>
  <si>
    <t>Line 11, can’t check FALSE case with MCDC True&amp;&amp;False due to conflict with condition at line 1.</t>
  </si>
  <si>
    <t>-Owner confirm is no impact</t>
  </si>
  <si>
    <t>RDA_VlcTarAx</t>
  </si>
  <si>
    <t>RPAESPHevXEncapSWCust_ECU_CSW_BB99704(1).axl</t>
  </si>
  <si>
    <t>ZHONG Yan (CC-AS/EVA-SW2-CN)</t>
  </si>
  <si>
    <t>CDD_AxTarLim</t>
  </si>
  <si>
    <t>CDDiBooster_ECU_CSW_BB00001.axl</t>
  </si>
  <si>
    <t>1.2.146310.0</t>
  </si>
  <si>
    <t>Param1D C0,C1,MCDC not 100%.</t>
  </si>
  <si>
    <t>RDA_CustDegradationAvlDeter</t>
  </si>
  <si>
    <t>RPAESPHevXEncapSWCust_ECU_CSW_BB99704.axl</t>
  </si>
  <si>
    <t>-Can't cover for else condition</t>
  </si>
  <si>
    <t>CNMS_179148_Carbon_ESP_BL07_SPRINT12</t>
  </si>
  <si>
    <t>CNMS_ESP_Carbon_Int\MainstreamF30\rb\as\cnms_core\app\net\scl\src\OBD\ComScl_Scl_OBD_Signal_Copy.c</t>
  </si>
  <si>
    <t>ComScl_Scl_OBD_Signal_Copy.c</t>
  </si>
  <si>
    <t>BL07_SPRINT12</t>
  </si>
  <si>
    <t>YE Tianyu (CC-AS/ESW2-CN)</t>
  </si>
  <si>
    <t xml:space="preserve">Please comment follow ASPICE Standard </t>
  </si>
  <si>
    <t>CNMS_ESP_Carbon_Int\MainstreamF30\rb\as\cnms_core\app\net\scl\src\AxAyYrs\NET_SCL_Rx_Yrs.c</t>
  </si>
  <si>
    <t>CNMS_ESP_Carbon_Int\MainstreamF30\rb\as\cnms_core\app\net\scl\src\AxAyYrs\NET_SCL_Tx_AxExport.c</t>
  </si>
  <si>
    <t>NET_SCL_Tx_AxExport.c</t>
  </si>
  <si>
    <t>CNMS_ESP_Carbon_Int\MainstreamF30\rb\as\cnms_core\app\net\scl\src\AxAyYrs\NET_SCL_Tx_AyExport.c</t>
  </si>
  <si>
    <t>NET_SCL_Tx_AyExport.c</t>
  </si>
  <si>
    <t>CNMS_ESP_Carbon_Int\MainstreamF30\rb\as\cnms_core\app\net\scl\src\AxAyYrs\NET_SCL_Tx_YrsExport.c</t>
  </si>
  <si>
    <t>NET_SCL_Tx_YrsExport.c</t>
  </si>
  <si>
    <t>CNMS_ESP_Carbon_Int\MainstreamF30\rb\as\cnms_core\app\net\scl\src\Callout_Functions\RBA_NDS_ATS_Callout.c</t>
  </si>
  <si>
    <t>RBA_NDS_ATS_Callout.c</t>
  </si>
  <si>
    <t>-Can't cover for false condition, don't need to raise OPL, behaviour is correct</t>
  </si>
  <si>
    <t>CNMS_ESP_Carbon_Int\MainstreamF30\rb\as\cnms_core\app\net\scl\src\Callout_Functions\RBA_NDS_Engine_Callout.c</t>
  </si>
  <si>
    <t>CNMS_ESP_Carbon_Int\MainstreamF30\rb\as\cnms_core\app\net\scl\src\Callout_Functions\RBA_NDS_SystemInfo.c</t>
  </si>
  <si>
    <t>CNMS_ESP_Carbon_Int\MainstreamF30\rb\as\cnms_core\app\net\scl\src\Callout_Functions\RBA_NDS_TOD_Callout.c</t>
  </si>
  <si>
    <t>CNMS_ESP_Carbon_Int\MainstreamF30\rb\as\cnms_core\app\net\scl\src\Callout_Functions\RBA_NDS_WheelOdoEdges_Callout.c</t>
  </si>
  <si>
    <t>RBA_NDS_WheelOdoEdges_Callout.c</t>
  </si>
  <si>
    <t>CNMS_ESP_Carbon_Int\MainstreamF30\rb\as\cnms_core\app\net\scl\src\Callout_Functions\RBA_NDS_WSS_FailureInfo_Callout.c</t>
  </si>
  <si>
    <t>RBA_NDS_WSS_FailureInfo_Callout.c</t>
  </si>
  <si>
    <t>CNMS_ESP_Carbon_Int\MainstreamF30\rb\as\cnms_core\app\net\scl\src\Callout_Functions\RBA_NDS_YAWRATE_Callout.c</t>
  </si>
  <si>
    <t>CNMS_ESP_Carbon_Int\MainstreamF30\rb\as\cnms_core\app\net\scl\src\Steering\SAS_Functions.c</t>
  </si>
  <si>
    <t>SAS_Functions.c</t>
  </si>
  <si>
    <t>CNMS_ESP_Carbon_Int\MainstreamF30\rb\as\cnms_core\app\net\scl\src\Steering\SAS_LWS_Standard.c</t>
  </si>
  <si>
    <t>HUANG Kaibing (CC-AS/ESW2-CN)</t>
  </si>
  <si>
    <t>CNMS_203173_Carbon_HevX_BL03_SP08</t>
  </si>
  <si>
    <t>CNMS_ESPHevX_Carbon_Int\CNMSESPHevX\rb\as\cnms_core\app\net\scl\src\Callout_Functions\RBA_NDS_WSS_FailureInfo_Callout.c</t>
  </si>
  <si>
    <t>BL03_SP08</t>
  </si>
  <si>
    <t>CNMS_ESPHevX_Carbon_Int</t>
  </si>
  <si>
    <t>CNMS_ESPHevX_Carbon_Int\CNMSESPHevX\rb\as\rbcn\core\app\dcom\RBAPLCust\src\common\RBAPLCUST_PreConditionsMode04.c</t>
  </si>
  <si>
    <t>RBAPLCUST_PreConditionsMode04.c</t>
  </si>
  <si>
    <t>WANG Bei (CC-AS/ESW3-CN)</t>
  </si>
  <si>
    <t>CNMS_ESPHevX_Carbon_Int\CNMSESPHevX\rb\as\rbcn\core\app\dcom\RBAPLOBD\src\RBAPLOBD_Mode04.c</t>
  </si>
  <si>
    <t>RBAPLOBD_Mode04.c</t>
  </si>
  <si>
    <t>CNMS_ESP_Carbon_Int\MainstreamF30\rb\as\rbcn\core\app\dcom\RBAPLCust\src\ESP\RBAPLCUST_InputOutputControl.c</t>
  </si>
  <si>
    <t>CNMS_ESP_Carbon_Int\MainstreamF30\rb\as\rbcn\core\app\dcom\RBAPLCust\src\ESP\RBAPLCUST_RDBI_IOCtrlState.c</t>
  </si>
  <si>
    <t>GEELY_BX11_ESPHEVX_BL06_SP02</t>
  </si>
  <si>
    <t>GeelyNL5P_ESPHevX_Int\ESPhevXGeely\rb\as\ESPhevX\Geely\app\dsm\RBVAR\src\RBVAR_SystemStateManagement_PROJECT.c</t>
  </si>
  <si>
    <t>BL06_SP02</t>
  </si>
  <si>
    <t>GeelyNL5P_ESPHevX_Int</t>
  </si>
  <si>
    <t>GeelyNL5P_ESPHevX_Int\ESPhevXGeely\rb\as\ESPhevX\Geely\app\dsm\RBHMI\src\RBHMI_ExtStateCalculation_PRJ.c</t>
  </si>
  <si>
    <t>MC_239507_SGMW_CN210S_PHEV_ESP9.3Cpi</t>
  </si>
  <si>
    <t>SGMW_ESP93_Carbon_Int\MainstreamF30\rb\as\sgmw\CN210S\app\net\RBScl\RBScl_SGMW\src\NET_SCL_Rx_SGMW.c</t>
  </si>
  <si>
    <t>BL03-Sp01</t>
  </si>
  <si>
    <t>Actual LOC: 60</t>
  </si>
  <si>
    <t>MC_247874_Geely_KC2A_ESP9.3HB_RC1</t>
  </si>
  <si>
    <t>Geely_Beryllium2_OBD_China6_Int\MainstreamF30\rb\as\geely\project\app\net\RBScl\src\Rcv\NET_SCL_Rx_AEB.c</t>
  </si>
  <si>
    <t>NET_SCL_Rx_AEB.c</t>
  </si>
  <si>
    <t>BB82738</t>
  </si>
  <si>
    <t>Geely_Beryllium2_Int\MainstreamF30\rb\as\geely\project\app\net\RBScl\src\Rcv\NET_SCL_Rx_AEB.c</t>
  </si>
  <si>
    <t>BB82739</t>
  </si>
  <si>
    <t>BYD_COMMON_DEFECT</t>
  </si>
  <si>
    <t>Actual LOC: 948</t>
  </si>
  <si>
    <t xml:space="preserve">SAIC EP22 M2 noneDA ESP9.3 237432 </t>
  </si>
  <si>
    <t>SAIC_A_ARCH_CMP_ESP93_Carbon_Int\MainstreamF30\rb\as\saic\CpiwAPB\app\net\RBScl\EP22_M2\src\NET_BrkVamPumpSts.c</t>
  </si>
  <si>
    <t>NET_BrkVamPumpSts.c</t>
  </si>
  <si>
    <t>BB81433/81853</t>
  </si>
  <si>
    <t>SAIC_A_ARCH_CMP_ESP93_Carbon_Int\MainstreamF30\rb\as\saic\CpiwAPB\app\net\RBScl\EP22_M2\src\NET_Complex_SignalHandling.c</t>
  </si>
  <si>
    <t>NET_Complex_SignalHandling.c</t>
  </si>
  <si>
    <t>SAIC_A_ARCH_CMP_ESP93_Carbon_Int\MainstreamF30\rb\as\saic\CpiwAPB\app\net\RBScl\Common\src\NET_InternalIF.c</t>
  </si>
  <si>
    <t>NET_InternalIF.c</t>
  </si>
  <si>
    <t>GWM_P3011RC2</t>
  </si>
  <si>
    <t>GWM_CP_Stream_Int\MainstreamF30\rb\as\gwm\core\app\net\scl\LDMFunctions\VAF\src\GWM_NET_SCL_Rx_VAF.c</t>
  </si>
  <si>
    <t>GWM_NET_SCL_Rx_VAF.c</t>
  </si>
  <si>
    <t>BSS14</t>
  </si>
  <si>
    <t>GWM_CP_Stream_Int</t>
  </si>
  <si>
    <t>GWM_AB30_CP 7DCT</t>
  </si>
  <si>
    <t>GAC_Carbon_RPA_iBooster_Mainpath_BL06</t>
  </si>
  <si>
    <t>GAC_IB2_HADHAP_Int\iBoosterGen2\rb\as\gaig\core\app\dsm\RBVAR\A20FPA\src\RBVAR_OutputDriver_PROJECT.c</t>
  </si>
  <si>
    <t>BB81614; BB99300; BB81296;BB99202</t>
  </si>
  <si>
    <t>BL06</t>
  </si>
  <si>
    <t>GAC_IB2_HADHAP_Int\iBoosterGen2\rb\as\gaig\core\app\dsm\RBVAR\A12FPA\src\RBVAR_OutputDriver_PROJECT.c</t>
  </si>
  <si>
    <t>BYD_IPB_SW_Mainstream_BL05_SP14</t>
  </si>
  <si>
    <t>BYD_IPB_BL05_Int\BYDIPB\rb\as\BYD\ipb\app\net\RBScl\src\rba_SCL_Settings.c</t>
  </si>
  <si>
    <t>BL05_SP14</t>
  </si>
  <si>
    <t>Cannot cover branch "/*4WD ACC/AEB function variants: 1~4/7~8/11~20/22/24~32*/"  at line 330 because l_RBVarcode_ST.RBVarCode_UB &lt; 24.</t>
  </si>
  <si>
    <t>Owner confirm no impact</t>
  </si>
  <si>
    <t>GEEA2.0_ESP9.3_CMP_BL07 (BG1) Sprint4</t>
  </si>
  <si>
    <t>SCM_AxTar_Calculation</t>
  </si>
  <si>
    <t>GEEA</t>
  </si>
  <si>
    <t>v (1.2.160.3)</t>
  </si>
  <si>
    <t>XU Xueming (CC-AS/EVA-SW2-CN)</t>
  </si>
  <si>
    <t>+ At line #9, condition "BrkPedlSts == BrkPedlSts_OK" with FALSE case is can’t occur.
'+ Can't cover out max assignment to ScmAxTar at lines #7, #11, #15, #20, #24. Because max value of imported parameters "P_SCM_AxTar_Backup", "P_SCM_AxTar_FrontCrash", "P_SCM_AxTar_Fullbrake" is equal to zero.</t>
  </si>
  <si>
    <t>AWB_SignalMonitoring</t>
  </si>
  <si>
    <t>v (4.1.160.8)</t>
  </si>
  <si>
    <t>SAIC_A_ARCH_CMP_ESP93_Carbon_Int\MainstreamF30\rb\as\saic\CpiwAPB\app\net\RBScl\EP22_M2\src\PATA_CAN.c</t>
  </si>
  <si>
    <t>PATA_CAN.c</t>
  </si>
  <si>
    <t>BB81433 / BB81853</t>
  </si>
  <si>
    <t>ZHANG Xuetao (CC-AS/EVA-SW31-CN)</t>
  </si>
  <si>
    <t>SGMW CN202SR India RC2 CPi 242816 BB81722</t>
  </si>
  <si>
    <t>SGMW_ESP93_Mainstream_RBVH_Int\MainstreamF30\rb\as\sgmw\CN210S\app\net\RBScl\RBScl_SGMW\src\NET_SCL_Tx_SGMW.c</t>
  </si>
  <si>
    <t>BB81722</t>
  </si>
  <si>
    <t>SGMW_ESP93_Mainstream_RBVH_Int</t>
  </si>
  <si>
    <t>SGMW_ESP93_Mainstream_RBVH_Int\MainstreamF30\rb\as\sgmw\CN210S\app\net\RBScl\RBScl_SGMW\src\NET_SCL_Rx_SGMW_RemoteControl.c</t>
  </si>
  <si>
    <t>SGMW_ESP93_Mainstream_RBVH_Int\MainstreamF30\rb\as\sgmw\CN210S\app\net\RBScl\RBScl_SGMW\src\NET_SCL_Rx_SGMW.c</t>
  </si>
  <si>
    <t>No1. Line 93: if((C_GearboxType_Manual_N == ls_GearboxType_N) &amp;&amp; (RBFS_AutomatedParkingBrake == RBFS_AutomatedParkingBrake_Yes))
Detail: Can not cover (RBFS_AutomatedParkingBrake == RBFS_AutomatedParkingBrake_Yes) because RBFS_AutomatedParkingBrake is always set RBFS_AutomatedParkingBrake_Yes
No2. Line 150: if(l_SCL_AccelerationPedalPosition_UB &lt; C_MotPedalPosThrottleValve_Invalid_UB)
Detail: Can not cover true case because l_SCL_AccelerationPedalPosition_UB is ubyte, and C_MotPedalPosThrottleValve_Invalid_UB = 0x100. Therefore l_SCL_AccelerationPedalPosition_UB will never reached 0x100.
No3. Line 203: if(ls_HAS_SignalFailIndication_B)
Detail: Can not cover false case because "static BOOL  ls_HAS_SignalFailIndication_B = C_TestOk_b" is always set at line 185
No4. Line 371: if(ls_ACCAEBDecCtrlAct_SignalFailIndication_B)
Detail: Can not cover false case because "static BOOL  ls_ACCAEBDecCtrlAct_SignalFailIndication_B = C_TestOk_b;" is always set at line 331
No5. Line 508: if((l_ACC_MaxJerkAcce_SW &lt;= C_MaxValue_ACC_MaxJerkAcce_SW) &amp;&amp; (l_ACC_MaxJerkAcce_SW &gt;= C_MinValue_ACC_MaxJerkAcce_SW))
Detail: Can not cover false (l_ACC_MaxJerkAcce_SW &lt;= C_MaxValue_ACC_MaxJerkAcce_SW) because SCL_ACC_MaxJerkAcce_SGMW is sint8. Therefore l_ACC_MaxJerkAcce_SW will never reach out 127
    - #define SCL_ACC_MaxJerkAcce_SGMW rba_ComScl_RawSignal_MaxAlwGradofTarAcceleration_RX_s8
    - sint8 rba_ComScl_RawSignal_MaxAlwGradofTarAcceleration_RX_s8;
    - #define C_MaxValue_ACC_MaxJerkAcce_SW               127
No6. Line 643: if(ls_AmbientTemp_IC_SignalFailIndication_B)
Detail: Can not cover false case because "static BOOL  ls_AmbientTemp_IC_SignalFailIndication_B = C_TestOk_b;" is always set at line 602</t>
  </si>
  <si>
    <t>SGMW_ESP93_Mainstream_RBVH_Int\MainstreamF30\rb\as\sgmw\CN210S\dcompr\src\RBFSWBootInterface_SGMW.c</t>
  </si>
  <si>
    <t>RBFSWBootInterface_SGMW.c</t>
  </si>
  <si>
    <t>SGMW_ESP93_Mainstream_RBVH_Int\MainstreamF30\rb\as\sgmw\CN210S\dsmpr\src\RBPduHandler_Callouts.c</t>
  </si>
  <si>
    <t>SGMW_ESP93_Mainstream_RBVH_Int\MainstreamF30\rb\as\sgmw\CN210S\hswpr\tst\hswsim\src\TestEnvironment_NvM_CNMS_EV712048.c</t>
  </si>
  <si>
    <t>TestEnvironment_NvM_CNMS_EV712048.c</t>
  </si>
  <si>
    <t>SGMW_ESP93_Mainstream_RBVH_Int\MainstreamF30\rb\as\sgmw\CN210S\hswpr\tst\hswsim\src\TestEnvironment_NvM_CNMS_EV712518.c</t>
  </si>
  <si>
    <t>TestEnvironment_NvM_CNMS_EV712518.c</t>
  </si>
  <si>
    <t>SGMW_ESP93_Mainstream_RBVH_Int\MainstreamF30\rb\as\sgmw\CN210S\hswpr\tst\hswsim\src\TestEnvironment_NvM_CNMS_EV711009.c</t>
  </si>
  <si>
    <t>TestEnvironment_NvM_CNMS_EV711009.c</t>
  </si>
  <si>
    <t>SGMW_ESP93_Mainstream_RBVH_Int\MainstreamF30\rb\as\sgmw\core\app\dcom\RBAPLCust\src\RBAPLCUST_DiagnosticSessionControl.c</t>
  </si>
  <si>
    <t>- Can't cover full MCDCs at line #135 case (T&amp;&amp;F). Because it has already covered by if at line #129
- Can't cover full MCDCs at line #130 case (F&amp;&amp;?)(F&amp;&amp;?) because decision (RBAPLCUST_RollerBenchSessionState == RBAPLCUST_RollerBenchSessionState_NOT_ACTIVE) and (RBAPLCUST_RollerBenchSessionState != RBAPLCUST_RollerBenchSessionState_NOT_ACTIVE) are confict</t>
  </si>
  <si>
    <t>-Owner confirm that's OK</t>
  </si>
  <si>
    <t>SGMW_ESP93_Mainstream_RBVH_Int\MainstreamF30\rb\as\sgmw\core\app\dcom\RBAPLCust\src\RBAPLCUST_RBDI_NVMData.c</t>
  </si>
  <si>
    <t>SGMW_ESP93_Mainstream_RBVH_Int\MainstreamF30\rb\as\sgmw\core\app\dcom\RBAPLCust\src\RBAPLCUST_WDBI_NVMData.c</t>
  </si>
  <si>
    <t>GAC_Carbon_RPA_ESPHevx_Mainpath_BL06</t>
  </si>
  <si>
    <t>GAC_ESPHevX_HADHAP\CNMSHevXHADHAP\rb\as\gaig\core\app\net\RBScl\src</t>
  </si>
  <si>
    <t>GAC_ESPHevX_HADHAP</t>
  </si>
  <si>
    <t>AB30 CP BS08sprint2</t>
  </si>
  <si>
    <t>GWM_AB30_CP_Int\MainstreamF30\rb\as\gwm\core\app\dcom\RBAPLCust\src\common\RBAPLCUST_RBDI_FBL.c</t>
  </si>
  <si>
    <t>BB80433; BB80431; BB81003</t>
  </si>
  <si>
    <t>CEVT_AEB_DecelReqOutRange</t>
  </si>
  <si>
    <t>BL07 (BG1) Sprint4</t>
  </si>
  <si>
    <t>1479289.zip</t>
  </si>
  <si>
    <t>AEB_MaxActivationTime</t>
  </si>
  <si>
    <t>1.0.160.10.1.13.2.1.1.1</t>
  </si>
  <si>
    <t xml:space="preserve">-#1:Condition at line #74 else if( AsyDecelEna_K1 == false &amp;&amp; AsyDecelEna == true &amp;&amp; AEB_ContinuedAction_B )
With UT test: Can’t cover for MCDC with case T &amp;&amp; T &amp;&amp; F, reason: conflict with condition at line #59
#2:  Condition at line #117 else if(AEBDecCtrlAct &amp;&amp; AEB_ContinuedAction_B)
With UT test: Can’t cover for MCDC with case T &amp;&amp; F, reason: conflict with condition at line #100 
#3: Condition at line #135 else if (AEBDecCtrlAct2Inact == true &amp;&amp; AEBDecCtrlAct == false)
With UT test: Can’t cover for MCDC with case T &amp;&amp; F, reason: conflict with condition at line #100, #117
</t>
  </si>
  <si>
    <t>Waiting Owner confirm</t>
  </si>
  <si>
    <t>SGMW_ESP93_Carbon_Int\MainstreamF30\rb\as\sgmw\CN210S\app\net\RBScl\RBScl_SGMW\src\SGMW_RBA_NDS_PHEV_Callout.c</t>
  </si>
  <si>
    <t>SGMW_RBA_NDS_PHEV_Callout.c</t>
  </si>
  <si>
    <t>FAW_C100_IPB1.1_BSS01</t>
  </si>
  <si>
    <t>FAW_IPB1.1_Int\FAW_IPB\rb\as\fawIPB\core\app\asw\apbmi\host\PDM\APBHostData_Project_C\SRC\ApbHostData_Project.c</t>
  </si>
  <si>
    <t>BB82026</t>
  </si>
  <si>
    <t>FAW_IPB1.1_Int</t>
  </si>
  <si>
    <t>Comment LV1</t>
  </si>
  <si>
    <t>FAW_IPB1.1_Int\FAW_IPB\rb\as\fawIPB\core\app\dcom\Cubas\src\Dcm\DcmAppl_Dcm_ProcessRequestDownload.c</t>
  </si>
  <si>
    <t>DcmAppl_Dcm_ProcessRequestDownload.c</t>
  </si>
  <si>
    <t>FAW_IPB1.1_Int\FAW_IPB\rb\as\fawIPB\core\app\dcom\Cubas\src\Dcm\DcmAppl_DcmGetRemainingResponseLength.c</t>
  </si>
  <si>
    <t>DcmAppl_DcmGetRemainingResponseLength.c</t>
  </si>
  <si>
    <t>FAW_IPB1.1_Int\FAW_IPB\rb\as\fawIPB\core\app\dcom\Cubas\src\Dcm\DcmAppl_DcmGetRoeDTCInfo.c</t>
  </si>
  <si>
    <t>DcmAppl_DcmGetRoeDTCInfo.c</t>
  </si>
  <si>
    <t>FAW_IPB1.1_Int\FAW_IPB\rb\as\fawIPB\core\app\dcom\Cubas\src\Dcm\DcmAppl_DcmMemSizeCheckForTransferData.c</t>
  </si>
  <si>
    <t>DcmAppl_DcmMemSizeCheckForTransferData.c</t>
  </si>
  <si>
    <t>FAW_IPB1.1_Int\FAW_IPB\rb\as\fawIPB\core\app\dcom\Cubas\src\Dcm\DcmAppl_DcmStoreROEcycleCounter.c</t>
  </si>
  <si>
    <t>DcmAppl_DcmStoreROEcycleCounter.c</t>
  </si>
  <si>
    <t>FAW_IPB1.1_Int\FAW_IPB\rb\as\fawIPB\core\app\dcom\Cubas\src\Dcm\DcmAppl_DcmStoreRoeDidInfo.c</t>
  </si>
  <si>
    <t>DcmAppl_DcmStoreRoeDidInfo.c</t>
  </si>
  <si>
    <t>FAW_IPB1.1_Int\FAW_IPB\rb\as\fawIPB\core\app\dcom\Cubas\src\Dcm\DcmAppl_DcmStoreRoeDTCInfo.c</t>
  </si>
  <si>
    <t>DcmAppl_DcmStoreRoeDTCInfo.c</t>
  </si>
  <si>
    <t>FAW_IPB1.1_Int\FAW_IPB\rb\as\fawIPB\core\app\dcom\Cubas\src\Dcm\DcmAppl_Switch_DcmResponseOnEvent.c</t>
  </si>
  <si>
    <t>DcmAppl_Switch_DcmResponseOnEvent.c</t>
  </si>
  <si>
    <t>FAW_IPB1.1_Int\FAW_IPB\rb\as\fawIPB\core\app\dcom\RBAPLCust\src\common\RBAPLCUST_CNMSCORE_CallbackFun.c</t>
  </si>
  <si>
    <t>FAW_IPB1.1_Int\FAW_IPB\rb\as\fawIPB\core\app\dcom\RBAPLCust\src\common\RBAPLCUST_DcmCommControlConditionCheck.c</t>
  </si>
  <si>
    <t xml:space="preserve"> </t>
  </si>
  <si>
    <t>RBAPLCUST_DcmCommControlConditionCheck.c</t>
  </si>
  <si>
    <t>FAW_IPB1.1_Int\FAW_IPB\rb\as\fawIPB\core\app\dcom\RBAPLCust\src\common\RBAPLCUST_DcmGetProgConditions.c</t>
  </si>
  <si>
    <t>RBAPLCUST_DcmGetProgConditions.c</t>
  </si>
  <si>
    <t>FAW_IPB1.1_Int\FAW_IPB\rb\as\fawIPB\core\app\dcom\RBAPLCust\src\common\RBAPLCUST_DcmGetStoreType.c</t>
  </si>
  <si>
    <t>RBAPLCUST_DcmGetStoreType.c</t>
  </si>
  <si>
    <t>FAW_IPB1.1_Int\FAW_IPB\rb\as\fawIPB\core\app\dcom\RBAPLCust\src\common\RBAPLCUST_DcmManufacturerNotification.c</t>
  </si>
  <si>
    <t>RBAPLCUST_DcmManufacturerNotification.c</t>
  </si>
  <si>
    <t>FAW_IPB1.1_Int\FAW_IPB\rb\as\fawIPB\core\app\dcom\RBAPLCust\src\common\RBAPLCUST_DcmSetProgConditions.c</t>
  </si>
  <si>
    <t>RBAPLCUST_DcmSetProgConditions.c</t>
  </si>
  <si>
    <t>FAW_IPB1.1_Int\FAW_IPB\rb\as\fawIPB\core\app\dcom\RBAPLCust\src\common\RBAPLCUST_DcmSwitchCommunicationControl.c</t>
  </si>
  <si>
    <t>RBAPLCUST_DcmSwitchCommunicationControl.c</t>
  </si>
  <si>
    <t>FAW_IPB1.1_Int\FAW_IPB\rb\as\fawIPB\core\app\dcom\RBAPLCust\src\common\RBAPLCUST_DcmSwitchDcmExecuteDscReset.c</t>
  </si>
  <si>
    <t>RBAPLCUST_DcmSwitchDcmExecuteDscReset.c</t>
  </si>
  <si>
    <t>FAW_IPB1.1_Int\FAW_IPB\rb\as\fawIPB\core\app\dcom\RBAPLCust\src\common\RBAPLCUST_DiagnosticSessionControl.c</t>
  </si>
  <si>
    <t>-Can't cover fully MCDC at line#114, #119
, No impact</t>
  </si>
  <si>
    <t>Comment LV1
Already have confirm of owner as previous phase</t>
  </si>
  <si>
    <t>FAW_IPB1.1_Int\FAW_IPB\rb\as\fawIPB\core\app\dcom\RBAPLCust\src\ESP\RBAPLCUST_InputOutputControl_GeneralFunctions.c</t>
  </si>
  <si>
    <t>FAW_IPB1.1_Int\FAW_IPB\rb\as\fawIPB\core\app\dcom\RBAPLCust\src\IPB\RBAPLCUST_InputOutputControl_GeneralFunctions.c</t>
  </si>
  <si>
    <t>FAW_IPB1.1_Int\FAW_IPB\rb\as\fawIPB\core\app\dcom\RBAPLCust\src\ESP\RBAPLCUST_ProjectSpecific_Routines.c</t>
  </si>
  <si>
    <t>FAW_IPB1.1_Int\FAW_IPB\rb\as\fawIPB\core\app\dcom\RBAPLCust\src\ESP\RBAPLCUST_RDBI_ActuationState.c</t>
  </si>
  <si>
    <t>FAW_IPB1.1_Int\FAW_IPB\rb\as\fawIPB\core\app\dcom\RBAPLCust\src\IPB\RBAPLCUST_RDBI_ActuationState.c</t>
  </si>
  <si>
    <t>FAW_IPB1.1_Int\FAW_IPB\rb\as\fawIPB\core\app\dcom\RBAPLCust\src\iBooster\RBAPLCUST_RDBI_AnalogData.c</t>
  </si>
  <si>
    <t>FAW_IPB1.1_Int\FAW_IPB\rb\as\fawIPB\core\app\dcom\RBAPLCust\src\common\RBAPLCUST_RDBI_BatteryVoltage.c</t>
  </si>
  <si>
    <t>FAW_IPB1.1_Int\FAW_IPB\rb\as\fawIPB\core\app\dcom\RBAPLCust\src\IPB\RBAPLCUST_RDBI_CBDS.c</t>
  </si>
  <si>
    <t>RBAPLCUST_RDBI_CBDS.c</t>
  </si>
  <si>
    <t>- No have function to test</t>
  </si>
  <si>
    <t>FAW_IPB1.1_Int\FAW_IPB\rb\as\fawIPB\core\app\dcom\RBAPLCust\src\ESP\RBAPLCUST_RDBI_IOCtrlState.c</t>
  </si>
  <si>
    <t>FAW_IPB1.1_Int\FAW_IPB\rb\as\fawIPB\core\app\dcom\RBAPLCust\src\IPB\RBAPLCUST_RDBI_IOCtrlState.c</t>
  </si>
  <si>
    <t>FAW_IPB1.1_Int\FAW_IPB\rb\as\fawIPB\core\app\dcom\RBAPLCust\src\IPB\RBAPLCUST_RDBI_IPBAssemblyMode.c</t>
  </si>
  <si>
    <t>RBAPLCUST_RDBI_IPBAssemblyMode.c</t>
  </si>
  <si>
    <t>FAW_IPB1.1_Int\FAW_IPB\rb\as\fawIPB\core\app\dcom\RBAPLCust\src\ESP\RBAPLCUST_RDBI_PBC.c</t>
  </si>
  <si>
    <t>FAW_IPB1.1_Int\FAW_IPB\rb\as\fawIPB\core\app\dcom\RBAPLCust\src\IPB\RBAPLCUST_RDBI_PBC.c</t>
  </si>
  <si>
    <t>FAW_IPB1.1_Int\FAW_IPB\rb\as\fawIPB\core\app\dcom\RBAPLCust\src\iBooster\RBAPLCUST_RDBI_StatusInformation.c</t>
  </si>
  <si>
    <t>FAW_IPB1.1_Int\FAW_IPB\rb\as\fawIPB\core\app\dcom\RBAPLCust\src\IPB\RBAPLCUST_RDBI_SystemData.c</t>
  </si>
  <si>
    <t>RBAPLCUST_RDBI_SystemData.c</t>
  </si>
  <si>
    <t>FAW_IPB1.1_Int\FAW_IPB\rb\as\fawIPB\core\app\dcom\RBAPLCust\src\ESP\RBAPLCUST_RDBI_SystemSensor.c</t>
  </si>
  <si>
    <t>FAW_IPB1.1_Int\FAW_IPB\rb\as\fawIPB\core\app\dcom\RBAPLCust\src\IPB\RBAPLCUST_RDBI_SystemSensor.c</t>
  </si>
  <si>
    <t>FAW_IPB1.1_Int\FAW_IPB\rb\as\fawIPB\core\app\dcom\RBAPLCust\src\common\RBAPLCUST_RoutineControl.c</t>
  </si>
  <si>
    <t>FAW_IPB1.1_Int\FAW_IPB\rb\as\fawIPB\core\app\dcom\RBAPLCust\src\ESP\RBAPLCUST_RoutineControl_ActuatorTest.c</t>
  </si>
  <si>
    <t>FAW_IPB1.1_Int\FAW_IPB\rb\as\fawIPB\core\app\dcom\RBAPLCust\src\ESP\RBAPLCUST_RoutineControl_ConditionCheck.c</t>
  </si>
  <si>
    <t>FAW_IPB1.1_Int\FAW_IPB\rb\as\fawIPB\core\app\dcom\RBAPLCust\src\ESP\RBAPLCUST_RoutineControl_DynamicTest.c</t>
  </si>
  <si>
    <t>FAW_IPB1.1_Int\FAW_IPB\rb\as\fawIPB\core\app\dcom\RBAPLCust\src\ESP\RBAPLCUST_RoutineControl_EvacAndFill.c</t>
  </si>
  <si>
    <t>-Can’t cover TRUE case at the line#97 with MCDC:  FALSE || TRUE due to variable pumpctrlstate is local variable and hard code is 0xFF, macro RBAPLCUST_EVACANDFILL_PUMPMOTORON define is 0xFF.</t>
  </si>
  <si>
    <t>FAW_IPB1.1_Int\FAW_IPB\rb\as\fawIPB\core\app\dcom\RBAPLCust\src\iBooster\RBAPLCUST_RoutineControl_iBoosterActuatorTest.c</t>
  </si>
  <si>
    <r>
      <t>·</t>
    </r>
    <r>
      <rPr>
        <sz val="7"/>
        <color theme="1"/>
        <rFont val="Times New Roman"/>
        <family val="1"/>
      </rPr>
      <t xml:space="preserve">         </t>
    </r>
    <r>
      <rPr>
        <sz val="10"/>
        <color theme="1"/>
        <rFont val="Arial"/>
        <family val="2"/>
      </rPr>
      <t xml:space="preserve">Root cause: variable </t>
    </r>
    <r>
      <rPr>
        <sz val="10"/>
        <color rgb="FF000000"/>
        <rFont val="Courier New"/>
        <family val="3"/>
      </rPr>
      <t xml:space="preserve">pumpctrlstate </t>
    </r>
    <r>
      <rPr>
        <sz val="10"/>
        <color theme="1"/>
        <rFont val="Arial"/>
        <family val="2"/>
      </rPr>
      <t xml:space="preserve">is local variable and hard code is 0xFF, macro </t>
    </r>
    <r>
      <rPr>
        <sz val="10"/>
        <color rgb="FF000000"/>
        <rFont val="Courier New"/>
        <family val="3"/>
      </rPr>
      <t xml:space="preserve">RBAPLCUST_EVACANDFILL_PUMPMOTORON </t>
    </r>
    <r>
      <rPr>
        <sz val="10"/>
        <color theme="1"/>
        <rFont val="Arial"/>
        <family val="2"/>
      </rPr>
      <t>define is 0xFF.</t>
    </r>
  </si>
  <si>
    <t>FAW_IPB1.1_Int\FAW_IPB\rb\as\fawIPB\core\app\dcom\RBAPLCust\src\IPB\RBAPLCUST_RoutineControl_IPBAirMonitoring.c</t>
  </si>
  <si>
    <t>RBAPLCUST_RoutineControl_IPBAirMonitoring.c</t>
  </si>
  <si>
    <t>Can't cover for false case at line#114 of if(RBAPLCUST_OK == *ErrorCode).Because ErrorCode is always set to RBAPLCUST_OK.</t>
  </si>
  <si>
    <t>FAW_IPB1.1_Int\FAW_IPB\rb\as\fawIPB\core\app\dcom\RBAPLCust\src\IPB\RBAPLCUST_RoutineControl_IPBBrakeFluidChange.c</t>
  </si>
  <si>
    <t>RBAPLCUST_RoutineControl_IPBBrakeFluidChange.c</t>
  </si>
  <si>
    <t>FAW_IPB1.1_Int\FAW_IPB\rb\as\fawIPB\core\app\dcom\RBAPLCust\src\IPB\RBAPLCUST_RoutineControl_IPBComfortPulseCalibration.c</t>
  </si>
  <si>
    <t>RBAPLCUST_RoutineControl_IPBComfortPulseCalibration.c</t>
  </si>
  <si>
    <t>FAW_IPB1.1_Int\FAW_IPB\rb\as\fawIPB\core\app\dcom\RBAPLCust\src\IPB\RBAPLCUST_RoutineControl_IPBDynamicTest.c</t>
  </si>
  <si>
    <t>RBAPLCUST_RoutineControl_IPBDynamicTest.c</t>
  </si>
  <si>
    <t>FAW_IPB1.1_Int\FAW_IPB\rb\as\fawIPB\core\app\dcom\RBAPLCust\src\IPB\RBAPLCUST_RoutineControl_IPBEvacAndFill.c</t>
  </si>
  <si>
    <t>RBAPLCUST_RoutineControl_IPBEvacAndFill.c</t>
  </si>
  <si>
    <t xml:space="preserve">-Condition RBAPLEOL_IPBFillSeq == SelectionofEvacandFillPhase at the line 118 is always TRUE, so lead to the coverage MCDC is not fully.
Root cause: Conflict with condition at the line 113.
</t>
  </si>
  <si>
    <t>FAW_IPB1.1_Int\FAW_IPB\rb\as\fawIPB\core\app\dcom\RBAPLCust\src\IPB\RBAPLCUST_RoutineControl_IPBLeakageAndAirTest.c</t>
  </si>
  <si>
    <t>RBAPLCUST_RoutineControl_IPBLeakageAndAirTest.c</t>
  </si>
  <si>
    <t>FAW_IPB1.1_Int\FAW_IPB\rb\as\fawIPB\core\app\dcom\RBAPLCust\src\IPB\RBAPLCUST_RoutineControl_IPBRepairBleed.c</t>
  </si>
  <si>
    <t>RBAPLCUST_RoutineControl_IPBRepairBleed.c</t>
  </si>
  <si>
    <t>FAW_IPB1.1_Int\FAW_IPB\rb\as\fawIPB\core\app\dcom\RBAPLCust\src\IPB\RBAPLCUST_RoutineControl_IPBRPSCalibration.c</t>
  </si>
  <si>
    <t>RBAPLCUST_RoutineControl_IPBRPSCalibration.c</t>
  </si>
  <si>
    <t>FAW_IPB1.1_Int\FAW_IPB\rb\as\fawIPB\core\app\dcom\RBAPLCust\src\IPB\RBAPLCUST_RoutineControl_IPBTandemMasterCylinderTest.c</t>
  </si>
  <si>
    <t>RBAPLCUST_RoutineControl_IPBTandemMasterCylinderTest.c</t>
  </si>
  <si>
    <t>FAW_IPB1.1_Int\FAW_IPB\rb\as\fawIPB\core\app\dcom\RBAPLCust\src\ESP\RBAPLCUST_RoutineControl_RepairBleeding.c</t>
  </si>
  <si>
    <t>- Can't reach the unreachable code (Developer comment in src code)</t>
  </si>
  <si>
    <t>FAW_IPB1.1_Int\FAW_IPB\rb\as\fawIPB\core\app\dcom\RBAPLCust\src\IPB\RBAPLCUST_RoutineControl_WheelSpeedSensorTest.c</t>
  </si>
  <si>
    <t>FAW_IPB1.1_Int\FAW_IPB\rb\as\fawIPB\core\app\dcom\RBAPLCust\src\ESP\RBAPLCUST_RoutineControl_WheelSpeedSensorTest.c</t>
  </si>
  <si>
    <t>FAW_IPB1.1_Int\FAW_IPB\rb\as\fawIPB\core\app\dcom\RBAPLCust\src\ESP\RBAPLCUST_ValvesToggling.c</t>
  </si>
  <si>
    <t>FAW_IPB1.1_Int\FAW_IPB\rb\as\fawIPB\core\app\dcom\RBAPLCust\src\common\RBAPLCUST_VariandCode.c</t>
  </si>
  <si>
    <t>FAW_IPB1.1_Int\FAW_IPB\rb\as\fawIPB\core\app\dcom\RBAPLCust\src\IPB\RBAPLCUST_WDBI_IPBAssemblyMode.c</t>
  </si>
  <si>
    <t>RBAPLCUST_WDBI_IPBAssemblyMode.c</t>
  </si>
  <si>
    <t>FAW_IPB1.1_Int\FAW_IPB\rb\as\fawIPB\core\app\dcom\RBAPLOBD\src\RBAPLOBD_Data.c</t>
  </si>
  <si>
    <t>FAW_IPB1.1_Int\FAW_IPB\rb\as\fawIPB\core\app\dcom\RBAPLOBD\src\RBAPLOBD_Global.c</t>
  </si>
  <si>
    <t>Comment LV1
No function to test</t>
  </si>
  <si>
    <t>FAW_IPB1.1_Int\FAW_IPB\rb\as\fawIPB\prj\dsmpr\RBEMM\src\RBEMM_Project.c</t>
  </si>
  <si>
    <t>RBEMM_Project.c</t>
  </si>
  <si>
    <t>WANG Hongpeng (CC-AS/EVA-SW33-CN)</t>
  </si>
  <si>
    <t>Geely_ESP93_Carbon_Int\MainstreamF30\rba\Bldr\config\ApplicationLayer\rba_BldrCmp\src\</t>
  </si>
  <si>
    <t>BB98153</t>
  </si>
  <si>
    <t>Can't cover for false case of 
if ((absoluteAddress_u32 &gt;= rba_BldrCmp_LogicalBlockTable_pst[rba_BldrCmp_BootCtrl_st.LogicalBlockIdx].BlockSegTable[rba_BldrCmp_BootCtrl_st.LogBlkCurSegment_u8].segment_begin) &amp;&amp;
                    (absoluteAddress_u32 &lt;= rba_BldrCmp_LogicalBlockTable_pst[rba_BldrCmp_BootCtrl_st.LogicalBlockIdx].BlockSegTable[rba_BldrCmp_BootCtrl_st.LogBlkCurSegment_u8].segment_end))
. Because absoluteAddress_u32 = rba_BldrCmp_LogicalBlockTable_pst[rba_BldrCmp_BootCtrl_st.LogicalBlockIdx].BlockSegTable[rba_BldrCmp_BootCtrl_st.LogBlkCurSegment_u8].segment_begin + relativeAddress_u32 and  relativeAddress_u32 &gt;=0.
Can’t cover for true case of if(temp_retValue == E_OK) at line#412 because address of pointer Status_id is fixed (limit cantata, can’t set the fixed address).</t>
  </si>
  <si>
    <t>Waiting Owner</t>
  </si>
  <si>
    <t>Geely_ESP93_Carbon_Int\MainstreamF30\rba\Bldr\config\Infrastruct\rba_AS_HWProt\src\</t>
  </si>
  <si>
    <t>BYD_IPB_BL05_Int\BYDIPB\rb\as\BYD\ipb\app\dsm\RBVAR\src\</t>
  </si>
  <si>
    <t>HU Di (CC-AS/ESW2-CN)</t>
  </si>
  <si>
    <t xml:space="preserve">-Can't cover for condition because the false case for this is cover in above condition </t>
  </si>
  <si>
    <t>- No impact
Merged 2 test script =&gt; MCDC 100%</t>
  </si>
  <si>
    <t>BYD_IPB_SR_ST20\BYDIPB\rb\as\BYD\ipb\app\dsm\RBVAR\src\</t>
  </si>
  <si>
    <t>BYD_IPB_SR_ST20</t>
  </si>
  <si>
    <t>GAC_ESPHevX_HADHAP_Int\CNMSHevXHADHAP\rb\as\gaig\core\app\net\RBScl\src</t>
  </si>
  <si>
    <t>GAC_ESPHevX_HADHAP_Int\CNMSHevXHADHAP\rb\as\gaig\prj\dsmpr\src</t>
  </si>
  <si>
    <t>GAC_ESPHevX_HADHAP_Int\CNMSHevXHADHAP\rb\as\gaig\prj\dsmpr\src\RBEMM</t>
  </si>
  <si>
    <t>GAC_Carbon_Stream_ESPCP_STRGAC_C201_BL05</t>
  </si>
  <si>
    <t>GAC_ESP93CP_Carbon_Int\MainstreamF30\rb\as\gaig\core\app\dcom\RBAPLCust\src\common\</t>
  </si>
  <si>
    <t>BB81116</t>
  </si>
  <si>
    <t>-Can’t check cover True-False case for the condition line 93 because the variable g_DCOM_ManufactoryMode is uint8, it have the maximum value is 0xFF and cannot bigger.</t>
  </si>
  <si>
    <t>-No impact (Reuse OPL)</t>
  </si>
  <si>
    <t>GAC_ESP93CP_Carbon_Int\MainstreamF30\rb\as\gaig\core\app\dcom\RBAPLCust\src\ESP\</t>
  </si>
  <si>
    <t>RBAPLCUST_RDBI_SystemSensor_GAC.c</t>
  </si>
  <si>
    <t>GAC_IB2_HADHAP_Int\iBoosterGen2\rb\as\gaig\core\app\net\net_OBD_Off\RBComScl\src</t>
  </si>
  <si>
    <t>RBNET_ProjectSpecific_Monitoring.c</t>
  </si>
  <si>
    <t>BB99300</t>
  </si>
  <si>
    <t>GAC_IB2_HADHAP_Int\iBoosterGen2\rb\as\gaig\prj\dsmpr\src</t>
  </si>
  <si>
    <t>ATM_ModeSelection</t>
  </si>
  <si>
    <t>IPBCust_ECU_CSW_BB00000</t>
  </si>
  <si>
    <t>FAW_IPB1.1_Int\FAW_IPB\rb\as\fawIPB\core\app\net\RBNetPrj\RBNet_Can\src\ComScl_CalcCRC8.c</t>
  </si>
  <si>
    <t>FAW_IPB1.1_Int\FAW_IPB\rb\as\fawIPB\core\app\net\RBNetPrj\RBNet_Can\src\NET_AliveCounterLib_CNMS.c</t>
  </si>
  <si>
    <t>FAW_IPB1.1_Int\FAW_IPB\rb\as\fawIPB\core\app\net\Cubas\src\Net_ChecksumLib.c</t>
  </si>
  <si>
    <t>Net_ChecksumLib.c</t>
  </si>
  <si>
    <t>FAW_IPB1.1_Int\FAW_IPB\rb\as\fawIPB\core\app\net\RBNetPrj\RBNet_Can\src\NET_CheckSumLib_CNMS.c</t>
  </si>
  <si>
    <t>FAW_IPB1.1_Int\FAW_IPB\rb\as\fawIPB\core\app\net\RBNetPrj\RBNet_Can\src\NET_ChecksumLib_CNMS_Crc1850.c</t>
  </si>
  <si>
    <t>NET_ChecksumLib_CNMS_Crc1850.c</t>
  </si>
  <si>
    <t>FAW_IPB1.1_Int\FAW_IPB\rb\as\fawIPB\core\app\net\Cubas\src\rba_InternalIF.c</t>
  </si>
  <si>
    <t>rba_InternalIF.c</t>
  </si>
  <si>
    <t>FAW_IPB1.1_Int\FAW_IPB\rb\as\fawIPB\prj\app\dsm\rbhmi\src\RBHMI_ConfigOutputDriver_IPB.C</t>
  </si>
  <si>
    <t>RBHMI_ConfigOutputDriver_IPB.c</t>
  </si>
  <si>
    <t>FAW_IPB1.1_Int\FAW_IPB\rb\as\fawIPB\prj\app\dsm\rbhmi\src\RBHMI_PresentStateCalculation_IPB.C</t>
  </si>
  <si>
    <t>RBHMI_PresentStateCalculation_IPB.c</t>
  </si>
  <si>
    <t>FAW_IPB1.1_Int\FAW_IPB\rb\as\fawIPB\prj\app\dsm\rbhmi\src\RBHMI_StatesDefinitionTable_IPB.C</t>
  </si>
  <si>
    <t>RBHMI_StatesDefinitionTable_IPB.c</t>
  </si>
  <si>
    <t>FAW_IPB1.1_Int\FAW_IPB\rb\as\fawIPB\prj\app\dsm\rbhmi\src\RBHMI_Synchronisation_IPB.C</t>
  </si>
  <si>
    <t>RBHMI_Synchronisation_IPB.c</t>
  </si>
  <si>
    <t>FAW_IPB1.1_Int\FAW_IPB\rb\as\fawIPB\prj\app\dsm\RBDsmSim\RB_SimDsmCfg\stubs\src\ASWIF09_CommonConfig_IPB.c</t>
  </si>
  <si>
    <t>ASWIF09_CommonConfig_IPB.c</t>
  </si>
  <si>
    <t>FAW_IPB1.1_Int\FAW_IPB\rb\as\fawIPB\prj\app\dsm\RBWarningIndicator\src\Dem_PrjSpecificIndiHandling.c</t>
  </si>
  <si>
    <t>FAW_IPB1.1_Int\FAW_IPB\rb\as\fawIPB\prj\app\dsm\RBDsmSim\RB_SimDsmCfg\PRJ_Specific\src\DSMSim_PRJ_Specific.c</t>
  </si>
  <si>
    <t>DSMSim_PRJ_Specific.c</t>
  </si>
  <si>
    <t>FAW_IPB1.1_Int\FAW_IPB\rb\as\fawIPB\prj\app\dsm\DemVar\src\RBDemVar_VariantHandling.c</t>
  </si>
  <si>
    <t>RBDemVar_VariantHandling.c</t>
  </si>
  <si>
    <t>FAW_IPB1.1_Int\FAW_IPB\rb\as\fawIPB\prj\app\dsm\RBVAR\src\RBVAR_OutputDriver_PROJECT.c</t>
  </si>
  <si>
    <t>FAW_IPB1.1_Int\FAW_IPB\rb\as\fawIPB\prj\app\dsm\RBVAR\src\RBVAR_VarCode_PROJECT.c</t>
  </si>
  <si>
    <t>FAW_IPB1.1_Int\FAW_IPB\rb\as\fawIPB\prj\app\net\RBScl\src\rba_NET_Global_variable.c</t>
  </si>
  <si>
    <t>FAW_IPB1.1_Int\FAW_IPB\rb\as\fawIPB\prj\app\net\RBScl\src\RBNET_ProjectSpecific_Monitoring.c</t>
  </si>
  <si>
    <t>FAW_IPB1.1_Int\FAW_IPB\rb\as\fawIPB\prj\app\obd\ObdCyclesHandler\src\RbOBD_CyclesHandler.c</t>
  </si>
  <si>
    <t>RbOBD_CyclesHandler.c</t>
  </si>
  <si>
    <t>FAW_IPB1.1_Int\FAW_IPB\rb\as\fawIPB\prj\app\sim\stubs\SRC\Dem.c</t>
  </si>
  <si>
    <t>Dem.c</t>
  </si>
  <si>
    <t>FAW_IPB1.1_Int\FAW_IPB\rb\as\fawIPB\prj\app\sim\stubs\SRC\rba_stm_Component_cfg.c</t>
  </si>
  <si>
    <t>rba_stm_Component_cfg.c</t>
  </si>
  <si>
    <t>FAW_IPB1.1_Int\FAW_IPB\rb\as\fawIPB\prj\app\sim\stubs\SRC\RBSYSStub_LocksImpl.c</t>
  </si>
  <si>
    <t>RBSYSStub_LocksImpl.c</t>
  </si>
  <si>
    <t>FAW_IPB1.1_Int\FAW_IPB\rb\as\fawIPB\prj\cbdspr\src\CBDS_prjConfiguration.c</t>
  </si>
  <si>
    <t>CBDS_prjConfiguration.c</t>
  </si>
  <si>
    <t>FAW_IPB1.1_Int\FAW_IPB\rb\as\fawIPB\prj\dsmpr\src\RBMSI\src\MSI_SMM_MessageAdapter_iPB.c</t>
  </si>
  <si>
    <t>MSI_SMM_MessageAdapter_iPB.c</t>
  </si>
  <si>
    <t>FAW_IPB1.1_Int\FAW_IPB\rb\as\fawIPB\prj\dsmpr\src\Cubas\rba_STM\src\rba_STM_Processing_iPB.c</t>
  </si>
  <si>
    <t>rba_STM_Processing_iPB.c</t>
  </si>
  <si>
    <t>FAW_IPB1.1_Int\FAW_IPB\rb\as\fawIPB\prj\dsmpr\tst\CT\src\RBDSM_SWT_ComponentSwitch.c</t>
  </si>
  <si>
    <t>RBDSM_SWT_ComponentSwitch.c</t>
  </si>
  <si>
    <t>FAW_IPB1.1_Int\FAW_IPB\rb\as\fawIPB\prj\dsmpr\tst\CT\src\node\RBDSM_SWT_MS_Node.c</t>
  </si>
  <si>
    <t>RBDSM_SWT_MS_Node.c</t>
  </si>
  <si>
    <t>FAW_IPB1.1_Int\FAW_IPB\rb\as\fawIPB\prj\dsmpr\tst\CT\src\stm\RBDSM_SWT_MS_STM.c</t>
  </si>
  <si>
    <t>RBDSM_SWT_MS_STM.c</t>
  </si>
  <si>
    <t>FAW_IPB1.1_Int\FAW_IPB\rb\as\fawIPB\prj\dsmpr\src\RBRSS\src\RBRSS_ProjectConfiguration.c</t>
  </si>
  <si>
    <t>RBRSS_ProjectConfiguration.c</t>
  </si>
  <si>
    <t>FAW_IPB1.1_Int\FAW_IPB\rb\as\fawIPB\prj\hswpr\src\RBUBExtSupply\src\RBUBExtSupply_Main.c</t>
  </si>
  <si>
    <t>RBUBExtSupply_Main.c</t>
  </si>
  <si>
    <t>FAW_IPB1.1_Int\FAW_IPB\rb\as\fawIPB\prj\netpr\src\XCP_HSW_release_build.c</t>
  </si>
  <si>
    <t>XCP_HSW_release_build.c</t>
  </si>
  <si>
    <t>P3011RC2 H&amp;L and EC02RC1</t>
  </si>
  <si>
    <t>GWM_CP_Stream_Int\MainstreamF30\rb\as\gwm\core\app\net\scl\LDMFunctions\SCM\src\GWM_NET_SCL_Rx_SCM.c</t>
  </si>
  <si>
    <t>GWM_CP_Stream_Int\MainstreamF30\rb\as\gwm\core\app\net\scl\Callout\src\NET_Torque_Callout_GWM.c</t>
  </si>
  <si>
    <t>GWM_AB30_CP_Int\MainstreamF30\rb\as\gwm\core\app\dcom\RBAPLCust\src\common\RBAPLCUST_RoutineControl_PreconditionCheck.c</t>
  </si>
  <si>
    <t>RBAPLCUST_RoutineControl_PreconditionCheck.c</t>
  </si>
  <si>
    <t>BS08sprint2</t>
  </si>
  <si>
    <t>LSM_ESP_IB_Parking_Function_Config_Check_GAC</t>
  </si>
  <si>
    <t>V (1.1)</t>
  </si>
  <si>
    <t>QIU Liqi (CC-AS/EVA-SW2-CN)</t>
  </si>
  <si>
    <t xml:space="preserve">Missing of imported parameter P_ESP_ParkingFunction </t>
  </si>
  <si>
    <t>Shift due date to morning next Monday due to owner resolve OPL late</t>
  </si>
  <si>
    <t>VlcLsm_ReleaseParkStateEval</t>
  </si>
  <si>
    <t>V (1.8.147316.2.315.0)</t>
  </si>
  <si>
    <t>GAC_IB2_HADHAP_Int\iBoosterGen2\rb\as\gaig\prj\dsmpr\src\RBPduHandler_Callouts.c</t>
  </si>
  <si>
    <t>Geely_ESP93_Carbon_Int\MainstreamF30\rb\as\geely\CpiwAPB\app\net\RBScl\src\Rcv\NET_SCL_Rx_AEB.c</t>
  </si>
  <si>
    <t>BB97958</t>
  </si>
  <si>
    <t>Geely_ESP93_Carbon_Int\MainstreamF30\rb\as\geely\CpiwAPB\app\net\RBScl\src\Rcv\NET_SCL_Rx_Gear.c</t>
  </si>
  <si>
    <t>NET_SCL_Rx_Gear.c</t>
  </si>
  <si>
    <t>Actual ELOCs is 260</t>
  </si>
  <si>
    <t>SAIC EP22 M2 noneDA ESP9.3 237432</t>
  </si>
  <si>
    <t>PBC_SCUlockReq</t>
  </si>
  <si>
    <t>1493209.zip</t>
  </si>
  <si>
    <t>LI Xiaoyu (CC-AS/EVA-SW2-CN)</t>
  </si>
  <si>
    <t>CTRL_ExtReqHandler</t>
  </si>
  <si>
    <t>2.5.147306.0</t>
  </si>
  <si>
    <t>GM_ApbTextMessage_TRW</t>
  </si>
  <si>
    <t>1.0.147306.1</t>
  </si>
  <si>
    <t>-Can't cover for minimun of variable ApbCtrlMinDICCounter_Message1</t>
  </si>
  <si>
    <t>- Owner confirm no impact</t>
  </si>
  <si>
    <t>238688_Chery_IPB_T1DPHev_BL01</t>
  </si>
  <si>
    <t>Chery_IPB_Deuterium_Int\chery_IPB\rb\as\cheryIPB\prj\app\net\RBScl\src\RBA_NDS_IPBPressure_Callout.c</t>
  </si>
  <si>
    <t>RBA_NDS_IPBPressure_Callout.c</t>
  </si>
  <si>
    <t>BB81143</t>
  </si>
  <si>
    <t>Chery_IPB_Deuterium_Int</t>
  </si>
  <si>
    <t>Chery_IPB_Deuterium_Int\chery_IPB\rb\as\cheryIPB\core\app\net\RBNetPrj\RBNet_Can\src\NET_CheckSumLib_CNMS.c</t>
  </si>
  <si>
    <t>241807_xPeng_D55_APBMi_ESP9.3_BSS01_STRXP_C201</t>
  </si>
  <si>
    <t>XPENG_ESP_Carbon_D55_Int\MainstreamF30\rb\as\XPENG\D55\app\net\RBScl\src\RBA_NDS_AxExport_AyExport_xPeng_Callout.c</t>
  </si>
  <si>
    <t>RBA_NDS_AxExport_AyExport_xPeng_Callout.c</t>
  </si>
  <si>
    <t>BB82086</t>
  </si>
  <si>
    <t>BSS01_STRXP_C201</t>
  </si>
  <si>
    <t>XPENG_ESP_Carbon_D55_Int</t>
  </si>
  <si>
    <t>ZHANG Ray (CC-AS/EVA-SW31-CN)</t>
  </si>
  <si>
    <t>XPENG_ESP_Carbon_D55_Int\MainstreamF30\rb\as\XPENG\D55\app\net\RBScl\src\SAS_LWS_Standard.c</t>
  </si>
  <si>
    <t>237281_GAC_A76_CarbonESP9.3CP_BL04_TestExecution</t>
  </si>
  <si>
    <t>GAC_ESP93CP_Carbon_Int\MainstreamF30\rb\as\gaig\A12ESP\app\dsm\RBVAR\BB_81116A76CP\src\RBVAR_OutputDriver_PROJECT.c</t>
  </si>
  <si>
    <t>BB81116; BB81175</t>
  </si>
  <si>
    <t>BL04_TestExecution</t>
  </si>
  <si>
    <t>BB80911</t>
  </si>
  <si>
    <t>BYD_ESP93_Int\MainstreamF30\rb\as\BYD\Mainstream151\app\net\Scl\LDMFunctions\TPMS\src\TPMS_Setting_Project.c</t>
  </si>
  <si>
    <t>TPMS_Setting_Project.c</t>
  </si>
  <si>
    <t>GAC_ESP93CP_Carbon_Int\MainstreamF30\rb\as\cnms_core\app\net\scl_callout\src\RBA_NDS_Engine_Callout.c</t>
  </si>
  <si>
    <t>GAC_ESP93CP_Carbon_Int\MainstreamF30\rb\as\core\app\net\RBNetYRS\src\RBNetYRS_Core.c</t>
  </si>
  <si>
    <t>RBNetYRS_Core.c</t>
  </si>
  <si>
    <t>GAC_ESP93CP_Carbon_Int\MainstreamF30\rb\as\core\app\net\RBNetYRS\src\RBNetYRS_Functions.c</t>
  </si>
  <si>
    <t>RBNetYRS_Functions.c</t>
  </si>
  <si>
    <t>GAC_ESP93CP_Carbon_Int\MainstreamF30\rb\as\core\app\net\RBNetYRS\src\RBNetYRS_Rx_Scl_ID1.c</t>
  </si>
  <si>
    <t>RBNetYRS_Rx_Scl_ID1.c</t>
  </si>
  <si>
    <t>GAC_ESP93CP_Carbon_Int\MainstreamF30\rb\as\core\app\net\RBNetYRS\src\RBNetYRS_Rx_Scl_ID2.c</t>
  </si>
  <si>
    <t>RBNetYRS_Rx_Scl_ID2.c</t>
  </si>
  <si>
    <t>GAC_ESP93CP_Carbon_Int\MainstreamF30\rb\as\core\app\net\RBNetYRS\src\RBNetYRS_Rx_Scl_ID7.c</t>
  </si>
  <si>
    <t>RBNetYRS_Rx_Scl_ID7.c</t>
  </si>
  <si>
    <t>GAC_ESP93CP_Carbon_Int\MainstreamF30\rb\as\core\app\net\RBNetYRS\src\RBNetYRS_Tx_Scl_ID0.c</t>
  </si>
  <si>
    <t>RBNetYRS_Tx_Scl_ID0.c</t>
  </si>
  <si>
    <t>GAC_ESP93CP_Carbon_Int\MainstreamF30\rb\as\gaig\A12ESP\app\net\RBScl\RBScl_GAC\src\NET_Monitoring.c</t>
  </si>
  <si>
    <t xml:space="preserve">1. Can’t cover case T &amp;&amp; F of decision else if ((ls_NeturalGearVd_B == TRUE) &amp;&amp; (ls_ReverseGearVd_B == FALSE)) at line #476
2. Can’t cover case F &amp;&amp; ? of decision else if ((ls_NeturalGearVd_B == FALSE) &amp;&amp; (ls_ReverseGearVd_B == TRUE)) at line #481
</t>
  </si>
  <si>
    <t>Owner confirm no impact.</t>
  </si>
  <si>
    <t>GAC_ESP93CP_Carbon_Int\MainstreamF30\rb\as\gaig\A12ESP\app\net\RBScl\RBScl_GAC\src\NET_SCL_GAC_Complex_function.c</t>
  </si>
  <si>
    <t>GAC_ESP93CP_Carbon_Int\MainstreamF30\rb\as\gaig\A12ESP\app\net\RBScl\RBScl_GAC\src\NET_SCL_GAC_OBD.c</t>
  </si>
  <si>
    <t>GAC_ESP93CP_Carbon_Int\MainstreamF30\rb\as\gaig\A12ESP\app\net\RBScl\RBScl_GAC\src\RB_DNC_SCL_RX_TPMF.c</t>
  </si>
  <si>
    <t>GAC_ESP93CP_Carbon_Int\MainstreamF30\rb\as\gaig\A12ESP\dsmpr\src\RBPduHandler_Callouts.c</t>
  </si>
  <si>
    <t>GAC_ESP93CP_Carbon_Int\MainstreamF30\rb\as\gaig\A12ESP\dsmpr\src\RBEMM\CCM_Callbacks_Project.c</t>
  </si>
  <si>
    <t>[No1] Line 456: if ((ls_NeturalGearVd_B == TRUE) &amp;&amp; (ls_ReverseGearVd_B == FALSE))
Detail: Can not cover case "T &amp;&amp; F" because:
    + Line 458: if ((ls_NeturalGearVd_B == TRUE) &amp;&amp; (ls_ReverseGearVd_B == TRUE)) will be TRUE
[No2] Line 481: else if ((ls_NeturalGearVd_B == FALSE) &amp;&amp; (ls_ReverseGearVd_B == TRUE)) because:
Detail: Can not cover case "(F &amp;&amp; ?)" because:
    + Line 458: if ((ls_NeturalGearVd_B == TRUE) &amp;&amp; (ls_ReverseGearVd_B == TRUE)) will be TRUE
    + Or Line 456: else if ((ls_NeturalGearVd_B == TRUE) &amp;&amp; (ls_ReverseGearVd_B == FALSE)) will be TRUE</t>
  </si>
  <si>
    <t>238207_GAC_A20_CarbonESP9.3CPHD_BB81708_BL03</t>
  </si>
  <si>
    <t>BB81262</t>
  </si>
  <si>
    <t>GAC_ESP93CP_Carbon_Int\MainstreamF30\rb\as\gaig\A12ESP\app\dsm\RBVAR\BB_81262A20CP\src\RBVAR_VarCode_PROJECT.c</t>
  </si>
  <si>
    <t>BB81708</t>
  </si>
  <si>
    <t>GAC_ESP93CP_Carbon_Int\MainstreamF30\rb\as\gaig\A12ESP\app\dsm\RBVAR\BB_81708A20HD\src\RBVAR_VarCode_PROJECT.c</t>
  </si>
  <si>
    <t>GAC_ESPHevX_HADHAP_Int\CNMSHevXHADHAP\rb\as\gaig\prj\dsmpr\src\RBPduHandler_Callouts.c</t>
  </si>
  <si>
    <t>Lack ComponentName</t>
  </si>
  <si>
    <t>Parking_Function_Selection</t>
  </si>
  <si>
    <t>Can't cover for else at line#13 because FS_Parking_Function type Parking_Function_Configuration range [ 0 : 2]</t>
  </si>
  <si>
    <t>Pata_EnvironmentVariables</t>
  </si>
  <si>
    <t>5.0.146.5.301.0</t>
  </si>
  <si>
    <t>ZHANG Wenhao (CC-AS/EVA-SW2-CN)</t>
  </si>
  <si>
    <t>XPENG_ESP_Carbon_D55_Int\MainstreamF30\rb\as\XPENG\core\app\dcom\RBAPLCust\src\common\RBAPLCUST_Xpeng_RoutineControl_CheckProgPreconditions.c</t>
  </si>
  <si>
    <t>RBAPLCUST_Xpeng_RoutineControl_CheckProgPreconditions.c</t>
  </si>
  <si>
    <t>LESLIE PUTHOOR Milda (CC-AS/EVA-SW31-CN)</t>
  </si>
  <si>
    <t>Component: xpeng is not correct =&gt; XPENG</t>
  </si>
  <si>
    <t>XPENG_ESP_Carbon_D55_Int\MainstreamF30\rb\as\XPENG\core\app\dcom\RBAPLCust\src\common\RBAPLCUST_XPengRDBI_NVMData.c</t>
  </si>
  <si>
    <t>RBAPLCUST_XPengRDBI_NVMData.c</t>
  </si>
  <si>
    <t>XPENG_ESP_Carbon_D55_Int\MainstreamF30\rb\as\XPENG\core\app\dcom\RBAPLCust\src\common\RBAPLCUST_XPengWDBI_NVMData.c</t>
  </si>
  <si>
    <t>RBAPLCUST_XPengWDBI_NVMData.c</t>
  </si>
  <si>
    <t>FAW_IPB1.1_Int\FAW_IPB\rb\as\fawIPB\prj\app\cbds\src\IPB\CBDS_IPB_Arbitration.c</t>
  </si>
  <si>
    <t>CBDS_IPB_Arbitration.c</t>
  </si>
  <si>
    <t>FAW_IPB1.1_Int\FAW_IPB\rb\as\fawIPB\prj\app\cbds\src\IPB\CBDS_IPB_Calculation.c</t>
  </si>
  <si>
    <t>CBDS_IPB_Calculation.c</t>
  </si>
  <si>
    <t>FAW_IPB1.1_Int\FAW_IPB\rb\as\fawIPB\prj\app\cbds\src\IPB\cbd\CBDS_IPB_cbd_Arbitration.c</t>
  </si>
  <si>
    <t>CBDS_IPB_cbd_Arbitration.c</t>
  </si>
  <si>
    <t>FAW_IPB1.1_Int\FAW_IPB\rb\as\fawIPB\prj\app\cbds\src\IPB\cbd\CBDS_IPB_cbd_Calculation.c</t>
  </si>
  <si>
    <t>CBDS_IPB_cbd_Calculation.c</t>
  </si>
  <si>
    <t>Modify src code for support testing.</t>
  </si>
  <si>
    <t>FAW_IPB1.1_Int\FAW_IPB\rb\as\fawIPB\prj\app\cbds\src\IPB\cbd\CBDS_IPB_cbd_DataPool.c</t>
  </si>
  <si>
    <t>CBDS_IPB_cbd_DataPool.c</t>
  </si>
  <si>
    <t>FAW_IPB1.1_Int\FAW_IPB\rb\as\fawIPB\prj\app\cbds\src\IPB\cbd\CBDS_IPB_cbd_Events.c</t>
  </si>
  <si>
    <t>CBDS_IPB_cbd_Events.c</t>
  </si>
  <si>
    <t>FAW_IPB1.1_Int\FAW_IPB\rb\as\fawIPB\prj\app\cbds\src\IPB\CBDS_IPB_Cfg.c</t>
  </si>
  <si>
    <t>CBDS_IPB_Cfg.c</t>
  </si>
  <si>
    <t>FAW_IPB1.1_Int\FAW_IPB\rb\as\fawIPB\prj\app\cbds\src\IPB\CBDS_IPB_DataPool.c</t>
  </si>
  <si>
    <t>CBDS_IPB_DataPool.c</t>
  </si>
  <si>
    <t>FAW_IPB1.1_Int\FAW_IPB\rb\as\fawIPB\prj\app\cbds\src\IPB\CBDS_IPB_Events.c</t>
  </si>
  <si>
    <t>CBDS_IPB_Events.c</t>
  </si>
  <si>
    <t>FAW_IPB1.1_Int\FAW_IPB\rb\as\fawIPB\prj\app\cbds\src\IPB\flm\CBDS_IPB_flm_Calculation.c</t>
  </si>
  <si>
    <t>CBDS_IPB_flm_Calculation.c</t>
  </si>
  <si>
    <t>FAW_IPB1.1_Int\FAW_IPB\rb\as\fawIPB\prj\app\cbds\src\IPB\flm\CBDS_IPB_flm_Cfg.c</t>
  </si>
  <si>
    <t>CBDS_IPB_flm_Cfg.c</t>
  </si>
  <si>
    <t>FAW_IPB1.1_Int\FAW_IPB\rb\as\fawIPB\prj\app\cbds\src\IPB\flm\CBDS_IPB_flm_Init.c</t>
  </si>
  <si>
    <t>CBDS_IPB_flm_Init.c</t>
  </si>
  <si>
    <t>FAW_IPB1.1_Int\FAW_IPB\rb\as\fawIPB\prj\app\cbds\src\IPB\CBDS_IPB_NvMandSettings.c</t>
  </si>
  <si>
    <t>CBDS_IPB_NvMandSettings.c</t>
  </si>
  <si>
    <t>FAW_IPB1.1_Int\FAW_IPB\rb\as\fawIPB\prj\app\cbds\src\IPB\cbd\preSOP\CBDS_IPB_preSOP_Arbitration.c</t>
  </si>
  <si>
    <t>CBDS_IPB_preSOP_Arbitration.c</t>
  </si>
  <si>
    <t>FAW_IPB1.1_Int\FAW_IPB\rb\as\fawIPB\prj\app\cbds\src\IPB\cbd\preSOP\CBDS_IPB_preSOP_Calculation.c</t>
  </si>
  <si>
    <t>CBDS_IPB_preSOP_Calculation.c</t>
  </si>
  <si>
    <t>FAW_IPB1.1_Int\FAW_IPB\rb\as\fawIPB\prj\app\cbds\src\IPB\cbd\preSOP\CBDS_IPB_preSOP_Cfg.c</t>
  </si>
  <si>
    <t>CBDS_IPB_preSOP_Cfg.c</t>
  </si>
  <si>
    <t>FAW_IPB1.1_Int\FAW_IPB\rb\as\fawIPB\prj\app\cbds\src\IPB\cbd\preSOP\CBDS_IPB_preSOP_DataPool.c</t>
  </si>
  <si>
    <t>CBDS_IPB_preSOP_DataPool.c</t>
  </si>
  <si>
    <t>FAW_IPB1.1_Int\FAW_IPB\rb\as\fawIPB\prj\app\cbds\src\IPB\cbd\preSOP\CBDS_IPB_preSOP_Events.c</t>
  </si>
  <si>
    <t>CBDS_IPB_preSOP_Events.c</t>
  </si>
  <si>
    <t>Comment LV1
- No function to test</t>
  </si>
  <si>
    <t>FAW_IPB1.1_Int\FAW_IPB\rb\as\fawIPB\prj\app\cbds\src\CBDS_prjArbitration.c</t>
  </si>
  <si>
    <t>CBDS_prjArbitration.c</t>
  </si>
  <si>
    <t>FAW_IPB1.1_Int\FAW_IPB\rb\as\fawIPB\prj\app\cbds\src\CBDS_prjCalculation.c</t>
  </si>
  <si>
    <t>CBDS_prjCalculation.c</t>
  </si>
  <si>
    <t>FAW_IPB1.1_Int\FAW_IPB\rb\as\fawIPB\prj\app\cbds\src\CBDS_prjDataPool.c</t>
  </si>
  <si>
    <t>CBDS_prjDataPool.c</t>
  </si>
  <si>
    <t>FAW_IPB1.1_Int\FAW_IPB\rb\as\fawIPB\prj\app\cbds\src\CBDS_prjDemCallBack.c</t>
  </si>
  <si>
    <t>CBDS_prjDemCallBack.c</t>
  </si>
  <si>
    <t>FAW_IPB1.1_Int\FAW_IPB\rb\as\fawIPB\prj\app\cbds\src\CBDS_prjEvents.c</t>
  </si>
  <si>
    <t>CBDS_prjEvents.c</t>
  </si>
  <si>
    <t>FAW_IPB1.1_Int\FAW_IPB\rb\as\fawIPB\prj\app\cbds\src\CBDS_prjInit.c</t>
  </si>
  <si>
    <t>CBDS_prjInit.c</t>
  </si>
  <si>
    <t>FAW_IPB1.1_Int\FAW_IPB\rb\as\fawIPB\prj\app\cbds\src\CBDS_prjNvMandSettings.c</t>
  </si>
  <si>
    <t>CBDS_prjNvMandSettings.c</t>
  </si>
  <si>
    <t>FAW_IPB1.1_Int\FAW_IPB\rb\as\fawIPB\core\app\dcom\RBAPLCust\src\common\RBAPLCUST_RDBI_BLS.c</t>
  </si>
  <si>
    <t>RBAPLCUST_RDBI_BLS.c</t>
  </si>
  <si>
    <t>Comment LV1. Wrong componentname : rbaplcust -&gt; RBAPLCust</t>
  </si>
  <si>
    <t>FAW_IPB1.1_Int\FAW_IPB\rb\as\fawIPB\core\app\dcom\RBAPLCust\src\common\RBAPLCUST_SecurityAccess.c</t>
  </si>
  <si>
    <t>China Main Stream</t>
  </si>
  <si>
    <t>AEB_DefineAxTar</t>
  </si>
  <si>
    <t>1458019.axl</t>
  </si>
  <si>
    <t>4.2.146.0</t>
  </si>
  <si>
    <t>CAO Cheng (CC-AS/ESW5-CN)</t>
  </si>
  <si>
    <t>Add DSD ID into test design + dsd review file</t>
  </si>
  <si>
    <t>HDC_DownhillDetection_CN</t>
  </si>
  <si>
    <t>GEEA2.0_ESP9.3_CMP_BL07 (BG1) Sprint 4</t>
  </si>
  <si>
    <t>4.1.160.9</t>
  </si>
  <si>
    <t>BAIC_MainPath_HevX_Int\BAICHevX\rb\as\baic\prj\dsmpr\src\RBEMM\CCM_Callbacks_Project.c</t>
  </si>
  <si>
    <t>BAIC_MainPath_HevX_Int.zip</t>
  </si>
  <si>
    <t>BAIC_MainPath_HevX_Int\BAICHevX\rb\as\cnms_core\app\net\scl_callout\src\RBA_NDS_CIM_0x310_Callout.c</t>
  </si>
  <si>
    <t>BAIC_MainPath_HevX_Int\BAICHevX\rb\as\baic\baic_core\app\net\RBScl\src\RBRIS_MainHandler.c</t>
  </si>
  <si>
    <t>BAIC_MainPath_HevX_Int\BAICHevX\rb\as\cnms_core\app\net\scl_callout\src\RBA_NDS_ESP_0x264_Callout.c</t>
  </si>
  <si>
    <t>DOP_PedalOscillationDetection</t>
  </si>
  <si>
    <t>VSA_ECU_CSW_BB00000.axl</t>
  </si>
  <si>
    <t>16.1.147310.0</t>
  </si>
  <si>
    <t>At the line 158, can't cover for MCDC (a&amp;&amp;(b||c)&amp;&amp;d&amp;&amp;e)||f  with case (--110010--)</t>
  </si>
  <si>
    <t>BAIC_C62XP_HevX_BL62</t>
  </si>
  <si>
    <t>APA_TransStateMachine</t>
  </si>
  <si>
    <t>BL62</t>
  </si>
  <si>
    <t>1.11.146310.10</t>
  </si>
  <si>
    <t>WANG Mingyuan (CC-AS/EVA-SW2-CN)</t>
  </si>
  <si>
    <t>APA_ApbRequest</t>
  </si>
  <si>
    <t>1.1.147303.1.146310.0</t>
  </si>
  <si>
    <t>BYD_IPB_SW_Mainstream_BL05_SP15</t>
  </si>
  <si>
    <t>SspSas_RBSASCalibration</t>
  </si>
  <si>
    <t>BL05_SP15</t>
  </si>
  <si>
    <t>POONELIL JOSE Bijo (CC-AS/ESW5-CN)</t>
  </si>
  <si>
    <t>Condition at line #76 if ( (SasCalibrationRequest == RBSAS_SasCalibrationRequestTriggered) &amp;&amp; LOC_Cal_Not_run ) 
With UT test: Can’t cover for MCDC with case T &amp;&amp; F, reason: LOC_Cal_Not_run is never return is FALSE</t>
  </si>
  <si>
    <t>ZNA_P15_CE18_ESP9.3_BSS06SP1</t>
  </si>
  <si>
    <t>ZZN_ESP93_Mainstream_Int\MainstreamF30\rb\as\zzn\CpiwAPB\hswpr\src\RBHwVersion\src\RBVLV_TTNo_Defines_ATIEV.c</t>
  </si>
  <si>
    <t>RBVLV_TTNo_Defines_ATIEV.c</t>
  </si>
  <si>
    <t>BB80996</t>
  </si>
  <si>
    <t>BSS06SP1</t>
  </si>
  <si>
    <t>ZZN_ESP93_Mainstream_Int</t>
  </si>
  <si>
    <t>Nguyen Hoang Huong Giang (RBVH/EAS11)</t>
  </si>
  <si>
    <t>ZZN_ESP93_Mainstream_Int\MainstreamF30\rb\as\zzn\CpiwAPB\hswpr\src\RBHwVersion\src\RBVLV_TTNo_Defines_CA.c</t>
  </si>
  <si>
    <t>RBVLV_TTNo_Defines_CA.c</t>
  </si>
  <si>
    <t>ZZN_ESP93_Mainstream_Int\MainstreamF30\rb\as\zzn\CpiwAPB\hswpr\src\RBHwVersion\src\RBVLV_TTNo_Defines_FAWC.c</t>
  </si>
  <si>
    <t>RBVLV_TTNo_Defines_FAWC.c</t>
  </si>
  <si>
    <t>ZZN_ESP93_Mainstream_Int\MainstreamF30\rb\as\zzn\CpiwAPB\hswpr\src\RBHwVersion\src\RBVLV_TTNo_Defines_FORD.c</t>
  </si>
  <si>
    <t>RBVLV_TTNo_Defines_FORD.c</t>
  </si>
  <si>
    <t>ZZN_ESP93_Mainstream_Int\MainstreamF30\rb\as\zzn\CpiwAPB\hswpr\src\RBHwVersion\src\RBVLV_TTNo_Defines_GEELY.c</t>
  </si>
  <si>
    <t>RBVLV_TTNo_Defines_GEELY.c</t>
  </si>
  <si>
    <t>ZZN_ESP93_Mainstream_Int\MainstreamF30\rb\as\zzn\CpiwAPB\hswpr\src\RBHwVersion\src\RBVLV_TTNo_Defines_MB-PC.c</t>
  </si>
  <si>
    <t>RBVLV_TTNo_Defines_MB-PC.c</t>
  </si>
  <si>
    <t>ZZN_ESP93_Mainstream_Int\MainstreamF30\rb\as\zzn\CpiwAPB\hswpr\src\RBHwVersion\src\RBVLV_TTNo_Defines_NIS.c</t>
  </si>
  <si>
    <t>RBVLV_TTNo_Defines_NIS.c</t>
  </si>
  <si>
    <t>ZZN_ESP93_Mainstream_Int\MainstreamF30\rb\as\zzn\CpiwAPB\hswpr\src\RBHwVersion\src\RBVLV_TTNo_Defines_not_affected_Customers.c</t>
  </si>
  <si>
    <t>RBVLV_TTNo_Defines_not_affected_Customers.c</t>
  </si>
  <si>
    <t>ZZN_ESP93_Mainstream_Int\MainstreamF30\rb\as\zzn\CpiwAPB\hswpr\src\RBHwVersion\src\RBVLV_TTNo_Defines_PSA.c</t>
  </si>
  <si>
    <t>RBVLV_TTNo_Defines_PSA.c</t>
  </si>
  <si>
    <t>ZZN_ESP93_Mainstream_Int\MainstreamF30\rb\as\zzn\CpiwAPB\hswpr\src\RBHwVersion\src\RBVLV_TTNo_Defines_REN.c</t>
  </si>
  <si>
    <t>RBVLV_TTNo_Defines_REN.c</t>
  </si>
  <si>
    <t>235537_CA_C385_EV_ESPhev_BSS02SP01</t>
  </si>
  <si>
    <t>CA_ESPhevX_Deuterium_Int\CNMS_ESPHevX\rb\as\cnms_core\app\dsm\DemVar\src\Dem_VarCodeHandling.c</t>
  </si>
  <si>
    <t>BB81603</t>
  </si>
  <si>
    <t>BSS02SP01</t>
  </si>
  <si>
    <t>CA_ESPhevX_Deuterium_Int</t>
  </si>
  <si>
    <t>XU Jialin (CC-AS/EVA-SW32-CN)</t>
  </si>
  <si>
    <t>CA_ESPhevX_Deuterium_Int\CNMS_ESPHevX\rb\as\ca\core\app\dsm\RBVAR\src\RBVAR_VarCode_PROJECT.c</t>
  </si>
  <si>
    <t>CA_ESPhevX_Deuterium_Int\CNMS_ESPHevX\rb\as\ca\core\app\dsm\RBVAR\src\RBVAR_OutputDriver_PROJECT.c</t>
  </si>
  <si>
    <t>SAIC_ZS12HEV_noneDA_ESP93_241954</t>
  </si>
  <si>
    <t>SAIC_A_ARCH_CMP_ESP93_Carbon_Int\MainstreamF30\rb\as\saic\CpiwAPB\app\net\RBScl\ZS12HEV\src\NET_Complex_SignalHandling.c</t>
  </si>
  <si>
    <t>BB81808</t>
  </si>
  <si>
    <t>Actual LOC: 509</t>
  </si>
  <si>
    <t>EC_245950_NIO_ESX_ESPHevX_DTC_BSS04_SP04</t>
  </si>
  <si>
    <t>NextEV_ESPHevX_Int\CNMSESPHevX\rb\as\nio\core\app\net\RBScl\src\NET_SCL_Tx_SystemInfo_NextEV.c</t>
  </si>
  <si>
    <t>NET_SCL_Tx_SystemInfo_NextEV.c</t>
  </si>
  <si>
    <t>BSS04_SP04</t>
  </si>
  <si>
    <t>NextEV_ESPHevX_Int\CNMSESPHevX\rb\as\nio\core\app\net\RBScl\src\NET_Monitoring.c</t>
  </si>
  <si>
    <t>Actual LOC: 357</t>
  </si>
  <si>
    <t>SGMW_ESP93_Carbon_Int\MainstreamF30\rba\Bldr\config\ApplicationLayer\rba_BldrCmp\src\rba_BldrCmp_Cfg_FlashIf.c</t>
  </si>
  <si>
    <t>Chitra Chandrasekaran (RBEI/EBB7)</t>
  </si>
  <si>
    <t>Actual LOC: 292</t>
  </si>
  <si>
    <t>SGMW_ESP93_Carbon_Int\MainstreamF30\rba\Bldr\config\Infrastruct\rba_AS_HWProt\src\rba_AS_HWProt.c</t>
  </si>
  <si>
    <t>Actual LOC: 69</t>
  </si>
  <si>
    <t>EC_245950_NIO_ESX_ESPHevX_DTC_BSS05_SP01</t>
  </si>
  <si>
    <t>Sneak_Down_Detection_DTC_Nio</t>
  </si>
  <si>
    <t>BSS05_SP01</t>
  </si>
  <si>
    <t>QIAN Yuchen (CC-AS/EVA-SW1-CN)</t>
  </si>
  <si>
    <t xml:space="preserve">Can't cover for the points at line#64 Stab_Index_FA_F = Stab_Index_FA_F + Co_Stab_*(Stab_Index_FA - Stab_Index_FA_F) as the below picture.
Because Stab_Index_FA_F ranges [ 0 : 2 ], Co_Stab ranges [ 0: 1 ] and Stab_Index_FA F ranges [ 0 : 2 ], so output Stab_Index_FA_F ranges [ 0 : 2 ].
</t>
  </si>
  <si>
    <t>DTCActionNoTrq</t>
  </si>
  <si>
    <t>4.2.146322.3</t>
  </si>
  <si>
    <t>BL07 (BG1) Sprint 4</t>
  </si>
  <si>
    <t>APB_TCUReqApbLock</t>
  </si>
  <si>
    <t>HOU Jue (CC-AS/EVA-SW2-CN)</t>
  </si>
  <si>
    <t>GEELY_SS11ABS9.3_BL02_SP03</t>
  </si>
  <si>
    <t>Geely_LX1AC_FE4KD_ABS9_3_Int\Geely_VF12\rba\Bldr\config\ApplicationLayer\rba_BldrCmp\src\rba_BldrCmp_Cfg_CheckMem.c</t>
  </si>
  <si>
    <t>BB80789</t>
  </si>
  <si>
    <t>BL02_SP03</t>
  </si>
  <si>
    <t>Geely_LX1AC_FE4KD_ABS9_3_Int</t>
  </si>
  <si>
    <t>Missing some elements in this database:
+ uint32 ActualAddr_u32;
+ uint32 ActualLength_u32;
+ uint8 CRClength_u8;
+ uint8 *crc_calc_pu8;
+ uint8 BlockType;
+ uint32 Crc_CalculateCRC32(const uint8* Crc_DataPtr, uint32 Crc_Length, uint32 Crc_StartValue32, boolean firstTime_b);</t>
  </si>
  <si>
    <t>Geely_LX1AC_FE4KD_ABS9_3_Int\Geely_VF12\rba\Bldr\config\ApplicationLayer\rba_BldrCmp\src\rba_BldrCmp_Cfg_Functions.c</t>
  </si>
  <si>
    <t>[No1]: Line 266: if (retValue == E_OK)
Detail: can not cover false condition because retValue always set “E_OK” at line 260.
[No2]: Line 118: if (*length_pu16 &gt; maxLength_u16)
Detail: can not cover true condition because:
+ Line 101
+ Line 114: length_pu16 is always set 0x00</t>
  </si>
  <si>
    <t>Geely_LX1AC_FE4KD_ABS9_3_Int\Geely_VF12\rba\Bldr\config\ApplicationLayer\rba_BldrCmp\src\rba_BldrCmp_Cfg_NvmIf.c</t>
  </si>
  <si>
    <t>Actual LOC: 458</t>
  </si>
  <si>
    <t>GEEA2.0_ESP9.3_CMP_BL05.4 (BE1)(CAT3)_Sprint2</t>
  </si>
  <si>
    <t>CEVT_GEEA_BE_Step1_Winter_Testing\GEEA2.0\rb\as\cevt\Geely\app\dsm\RBVAR\src\VAR09_OutputDriver_CEVT.c</t>
  </si>
  <si>
    <t>VAR09_OutputDriver_CEVT.c</t>
  </si>
  <si>
    <t>BB81518</t>
  </si>
  <si>
    <t>BL05.4 (BE1)(CAT3)_Sprint2</t>
  </si>
  <si>
    <t>CEVT_GEEA_BE_Step1_Winter_Testing</t>
  </si>
  <si>
    <t>- Can’t cover full MCDCs of if((g_GCCC_BLKID_15_B)&amp;&amp; (GCCC_BLKID_IDENT_16)) at line #979 because GCCC_BLKID_IDENT_16 is a enum and it’s value is fixed</t>
  </si>
  <si>
    <t>CEVT_GEEA_DeuteriumR_DEV\GEEA2.0\rb\as\cevt\Geely\app\net\RBScl\src\Vmm\VehicleModeManagement.c</t>
  </si>
  <si>
    <t>VehicleModeManagement.c</t>
  </si>
  <si>
    <t>SONG Xiaojiang (CC-AS/EVA-SW32-CN)</t>
  </si>
  <si>
    <t>[No1] Condition at line #1356 (l_NMSG_FltEgyCns_Curr_B == TRUE ): can not cover MCDC case “T &amp; F”  because Line 1354 will block the line 1356 =&gt; Never reach case T &amp; F for line 1356.</t>
  </si>
  <si>
    <t>GEEA2.0_iBooster_CMP_BL07_BG2_Sprint04</t>
  </si>
  <si>
    <t>GEEA2_0_IB2_CSW_Deuterium_Development\iBoosterGen2\rb\as\mb\ib2\app\net_OBD_On\RBScl\src\Rcv</t>
  </si>
  <si>
    <t>rb_SCL_VFCTestSlave_Rx.c</t>
  </si>
  <si>
    <t>BB81519</t>
  </si>
  <si>
    <t>BL07_BG2_Sprint04</t>
  </si>
  <si>
    <t>GEEA2_0-IB2-CSW-Deuterium-Development</t>
  </si>
  <si>
    <t>VFCBrake.c</t>
  </si>
  <si>
    <t>- Can't cover full MCDCs case (F&amp;&amp;?&amp;&amp;?) and case (T&amp;&amp;F&amp;&amp;?) at line #141 because it already was covered at line #136</t>
  </si>
  <si>
    <t>SGMW_ESP93_Carbon_Int\MainstreamF30\rb\as\sgmw\core\app\dcom\RBAPLCust\src\ESP\RBAPLCUST_RBDI_NVMData_SGMW_ESP.c</t>
  </si>
  <si>
    <t>GAC_ESP93CP_Carbon_Int\MainstreamF30\rb\as\gaig\A12ESP\app\dsm\RBVAR\BB_81449A55CP\src</t>
  </si>
  <si>
    <t>GAC_ESP93CP_Carbon_Int\MainstreamF30\rb\as\gaig\A12ESP\app\dsm\RBVAR\BB_81448A55CB\src</t>
  </si>
  <si>
    <t xml:space="preserve">CEVT_HMI_Interface </t>
  </si>
  <si>
    <t>1.3.1.1</t>
  </si>
  <si>
    <t>Pata_ModeSelectionOutput</t>
  </si>
  <si>
    <t>5.0.160.1.1.1</t>
  </si>
  <si>
    <t xml:space="preserve">CEVT_ModeSelection </t>
  </si>
  <si>
    <t>1.5.1.7</t>
  </si>
  <si>
    <t>SAIC_ZS12HEV_noneDA_ESP93_241954_BSS01</t>
  </si>
  <si>
    <t>SAIC_A_ARCH_CMP_ESP93_Carbon_Int\MainstreamF30\rb\as\saic\CpiwAPB\app\net\RBScl\ZS12HEV\src</t>
  </si>
  <si>
    <t>PV_Checksum_AlivRC.c</t>
  </si>
  <si>
    <t>231870_ZZN_P15_EV_ESP9.3_BSS05SP01</t>
  </si>
  <si>
    <t>ZNA_C_P15EV_Int\ZNA\rb\as\p15ev\CpiwAPB\hswpr\src\RBHwVersion\src</t>
  </si>
  <si>
    <t>BB80592</t>
  </si>
  <si>
    <t>BSS05SP01</t>
  </si>
  <si>
    <t>ZNA_C_P15EV_Int</t>
  </si>
  <si>
    <t>- No function to test</t>
  </si>
  <si>
    <t>RBVLV_TTNo_Defines_SAIC.c</t>
  </si>
  <si>
    <t>RBVLV_TTNo_Defines_SGM.c</t>
  </si>
  <si>
    <t>RBVLV_TTNo_Defines_TOY.c</t>
  </si>
  <si>
    <t>RBVLV_TTNo_Defines_VW.c</t>
  </si>
  <si>
    <t>ZNA_C_P15EV_Int\ZNA\rb\as\p15ev\CpiwAPB\hswpr\tst\hswsim\src</t>
  </si>
  <si>
    <t>TestEnvironment_Fee_EV711101.c</t>
  </si>
  <si>
    <t>TestEnvironment_Fee_P15EV.c</t>
  </si>
  <si>
    <r>
      <rPr>
        <b/>
        <sz val="11"/>
        <color rgb="FFFF0000"/>
        <rFont val="Calibri"/>
        <family val="2"/>
        <scheme val="minor"/>
      </rPr>
      <t>CNMS</t>
    </r>
    <r>
      <rPr>
        <sz val="10"/>
        <color theme="1"/>
        <rFont val="Arial"/>
        <family val="2"/>
      </rPr>
      <t>_Carbon_ESP_BL07_SP12</t>
    </r>
  </si>
  <si>
    <t>AEB_DefineAxTar\AEB_DefineAxTar</t>
  </si>
  <si>
    <t>BL07_SP12</t>
  </si>
  <si>
    <t>Esp9wAPBCPEncapSWCust_ECU_CSW_BB95572.axl</t>
  </si>
  <si>
    <t>Please comment follow ASPICE Standard , re-use result of task ID 1458019</t>
  </si>
  <si>
    <t>Carbon B10_BL03_SP08</t>
  </si>
  <si>
    <t>CNMS_ESPHevX_Carbon_Int\CNMSESPHevX\rb\as\cnms_core\app\net\scl\src\Callout_Functions\RBA_NDS_ATS_Callout.c</t>
  </si>
  <si>
    <t xml:space="preserve">1. Can not cover MCDC 01 of condition at line 42 because it is locked by condition at line 24.
2. Can not cover MCDC 01 of condition at line 52 because it is locked by condition at line 33,42.
</t>
  </si>
  <si>
    <t>Double effort 
Reuse OPL.</t>
  </si>
  <si>
    <t>CNMS_ESPHevX_Carbon_Int\CNMSESPHevX\rb\as\cnms_core\app\net\scl\src\Callout_Functions\RBA_NDS_Engine_Callout.c</t>
  </si>
  <si>
    <t xml:space="preserve">Double effort 
Please comment follow ASPICE Standard </t>
  </si>
  <si>
    <t>CNMS_ESPHevX_Carbon_Int\CNMSESPHevX\rb\as\cnms_core\app\net\scl\src\Callout_Functions\RBA_NDS_TOD_Callout.c</t>
  </si>
  <si>
    <t>CNMS_ESPHevX_Carbon_Int\CNMSESPHevX\rb\as\cnms_core\app\net\scl\src\Callout_Functions\RBA_NDS_WheelOdoEdges_Callout.c</t>
  </si>
  <si>
    <t>CNMS_ESPHevX_Carbon_Int\CNMSESPHevX\rb\as\cnms_core\app\net\scl\src\Callout_Functions\RBA_NDS_YAWRATE_Callout.c</t>
  </si>
  <si>
    <t>CNMS_ESPHevX_Carbon_Int\CNMSESPHevX\rb\as\cnms_core\app\net\scl\src\OBD\ComScl_Scl_OBD_Signal_Copy.c</t>
  </si>
  <si>
    <t>CNMS_ESPHevX_Carbon_Int\CNMSESPHevX\rb\as\rbcn\core\app\net\RbNetPrj\RBNet_Can\src\ComScl_CalcCRC8.c</t>
  </si>
  <si>
    <t>CNMS_ESPHevX_Carbon_Int\CNMSESPHevX\rb\as\rbcn\core\app\net\RBScl\src\ComScl_Scl_Complex_proc.c</t>
  </si>
  <si>
    <t>CNMS_ESPHevX_Carbon_Int\CNMSESPHevX\rb\as\rbcn\core\app\net\RBScl\src\SAS_LWS_Standard.c</t>
  </si>
  <si>
    <t>CNMS_ESPHevX_Carbon_Int\CNMSESPHevX\rb\as\cnms_core\app\net\scl\src\Steering\SAS_LWS_Standard.c</t>
  </si>
  <si>
    <t>CNMS_ESPHevX_Carbon_Int\CNMSESPHevX\rb\as\cnms_core\app\net\scl\src\Callout_Functions\RBA_NDS_SystemInfo.c</t>
  </si>
  <si>
    <t>Carbon B10_BL03_SP11</t>
  </si>
  <si>
    <t>CNMS_IB2_BL14_Int\iBoosterGen2\rb\as\rbcn\core\app\net\net_OBD_Off\RBScl\src\NET_Monitoring.c</t>
  </si>
  <si>
    <t>BL03_SP11</t>
  </si>
  <si>
    <t>CNMS_IB2_BL14_Int</t>
  </si>
  <si>
    <t>CNMS_IB2_BL14_Int\iBoosterGen2\rb\as\rbcn\core\app\net\net_OBD_On\RBScl\src\NET_Monitoring.c</t>
  </si>
  <si>
    <t>Carbon B10_BL07_SP12</t>
  </si>
  <si>
    <t>CNMS_ESP_Carbon_Int\MainstreamF30\rb\as\rbcn\core\app\net\RbNetPrj\RBNet_Can\src\ComScl_CalcCRC8.c</t>
  </si>
  <si>
    <t>CNMS_ESP_Carbon_Int\MainstreamF30\rb\as\rbcn\core\app\net\RBScl\src\ComScl_Scl_Complex_proc.c</t>
  </si>
  <si>
    <r>
      <t xml:space="preserve">Double effort 
Please comment follow ASPICE Standard 
</t>
    </r>
    <r>
      <rPr>
        <sz val="11"/>
        <color rgb="FFFFFF00"/>
        <rFont val="Calibri"/>
        <family val="2"/>
      </rPr>
      <t>REAL ELOCS: 268</t>
    </r>
  </si>
  <si>
    <t>CNMS_ESP_Carbon_Int\MainstreamF30\rb\as\rbcn\core\app\net\RBNetGlobal\src\rba_NET_Global_variable.c</t>
  </si>
  <si>
    <t>AB30_7DCT_CP&amp; AB30_9DCT_CP&amp; A30_EV_CP</t>
  </si>
  <si>
    <t>GWM_AB30_CP_Int\MainstreamF30\rba\Bldr\comps\ComplexDeviceDriver\rba_BldrBCLSigChk\src\rba_BldrBCLSigChk.c</t>
  </si>
  <si>
    <t>Tindi Nageswara Reddy (RBEI/EBB7)</t>
  </si>
  <si>
    <t>GWM_AB30_CP_Int\MainstreamF30\rba\Bldr\config\ApplicationLayer\rba_BldrCmp\src\rba_BldrCmp_Cfg_CheckMem.c</t>
  </si>
  <si>
    <t>GWM_AB30_CP_Int\MainstreamF30\rba\Bldr\config\ApplicationLayer\rba_BldrCmp\src\rba_BldrCmp_Cfg_FlashIf.c</t>
  </si>
  <si>
    <t>GWM_AB30_CP_Int\MainstreamF30\rba\Bldr\config\ApplicationLayer\rba_BldrCmp\src\rba_BldrCmp_Cfg_Com.c</t>
  </si>
  <si>
    <t>GWM_AB30_CP_Int\MainstreamF30\rba\Bldr\config\ComplexDeviceDriver\rba_BldrFlsDrv\src\rba_BldrFlsDrv_Cfg.c</t>
  </si>
  <si>
    <t>- Can’t cover function rba_BldrFlsDrv_Cfg_Write because canCore_pvst pointer is assigned by fixed address, then the assignment canCore_pvst-&gt;TXBAR = ((uint32)1 &lt;&lt; txBufferNumber_u8) failed</t>
  </si>
  <si>
    <t>- Waiting owner confirm</t>
  </si>
  <si>
    <t>GWM_AB30_CP_Int\MainstreamF30\rba\Bldr\config\Infrastruct\CubasAdapter\src\CubasAdapter.c</t>
  </si>
  <si>
    <t>GWM_AB30_CP_Int\MainstreamF30\rba\Bldr\bldr\src\rba_Bldr_main.c</t>
  </si>
  <si>
    <t>GWM_AB30_CP_Int\MainstreamF30\rba\Bldr\sbl\src\rba_sbl_main.c</t>
  </si>
  <si>
    <t>GWM_AB30_CP_Int\MainstreamF30\rb\as\gwm\cp\cswpr\src\RBLCF_Customized_Hexblocks_Allocation_Signature.c</t>
  </si>
  <si>
    <t>GWM_AB30_CP_Int\MainstreamF30\rba\FBL\AS\SW\rba_Bmgr\src\rba_Bmgr_main.c</t>
  </si>
  <si>
    <t xml:space="preserve">Can't cover for function rba_Bmgr_main at line#65 because it have a forever loop at line#80
Can’t cover for function rba_Bmgr_bldrJump at line#258 because PBL_ADDRESS is fixed address (limit of cantata can’t set fixed address).
</t>
  </si>
  <si>
    <t>DFN_ESP_Gen9.3_534_238307_BS04SP01</t>
  </si>
  <si>
    <t>ApbCtrl_HMI_DFN</t>
  </si>
  <si>
    <t>BS04SP01</t>
  </si>
  <si>
    <t>GWM_AB30_7DCT</t>
  </si>
  <si>
    <t>GAC_239741_Carbon_A12 4WD ESPHevx FPA/RPA</t>
  </si>
  <si>
    <t>GEEA2.0_ESP9.3_CMP</t>
  </si>
  <si>
    <t>GEELY_FS11_ESP9.3HD</t>
  </si>
  <si>
    <t>FAW_TypeC2</t>
  </si>
  <si>
    <t>CNMS_179148_Carbon_ESP</t>
  </si>
  <si>
    <t>CNMS_203173_Carbon_HevX</t>
  </si>
  <si>
    <t>GEELY_BX11_ESPHEVX</t>
  </si>
  <si>
    <t xml:space="preserve">AB30 CP </t>
  </si>
  <si>
    <t>FAW_C100_IPB1.1</t>
  </si>
  <si>
    <t>GAC_Carbon_Stream_ESPCP_STRGAC_C201</t>
  </si>
  <si>
    <t>238688_Chery_IPB_T1DPHev</t>
  </si>
  <si>
    <t>241807_xPeng_D55_APBMi_ESP9.3</t>
  </si>
  <si>
    <t>238207_GAC_A20_CarbonESP9.3CPHD_BB81708</t>
  </si>
  <si>
    <t>BAIC_C62XP_HevX</t>
  </si>
  <si>
    <t>ZNA_P15_CE18_ESP9.3</t>
  </si>
  <si>
    <t>235537_CA_C385_EV_ESPhev</t>
  </si>
  <si>
    <t>GEELY_SS11ABS9.3</t>
  </si>
  <si>
    <t>GEEA2.0_iBooster_CMP</t>
  </si>
  <si>
    <t>231870_ZZN_P15_EV_ESP9.3</t>
  </si>
  <si>
    <t>CNMS_Carbon_ESP</t>
  </si>
  <si>
    <t>Carbon B10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</si>
</sst>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8">
    <font>
      <sz val="10"/>
      <color theme="1"/>
      <name val="Arial"/>
      <family val="2"/>
    </font>
    <font>
      <sz val="11"/>
      <color theme="1"/>
      <name val="Calibri"/>
      <family val="2"/>
      <scheme val="minor"/>
    </font>
    <font>
      <sz val="10"/>
      <color theme="1"/>
      <name val="Arial"/>
      <family val="2"/>
    </font>
    <font>
      <sz val="10"/>
      <color rgb="FF9C0006"/>
      <name val="Arial"/>
      <family val="2"/>
    </font>
    <font>
      <b/>
      <sz val="10"/>
      <color theme="1"/>
      <name val="Arial"/>
      <family val="2"/>
    </font>
    <font>
      <sz val="10"/>
      <color rgb="FF000000"/>
      <name val="Arial"/>
      <family val="2"/>
    </font>
    <font>
      <b/>
      <sz val="11"/>
      <color theme="1"/>
      <name val="Calibri"/>
      <family val="2"/>
      <scheme val="minor"/>
    </font>
    <font>
      <sz val="10"/>
      <color rgb="FFFF0000"/>
      <name val="Arial"/>
      <family val="2"/>
    </font>
    <font>
      <sz val="11"/>
      <name val="Calibri"/>
      <family val="2"/>
      <scheme val="minor"/>
    </font>
    <font>
      <sz val="11"/>
      <color theme="1"/>
      <name val="Calibri"/>
      <family val="2"/>
      <scheme val="minor"/>
    </font>
    <font>
      <sz val="11"/>
      <color theme="1"/>
      <name val="Bosch Office Sans"/>
    </font>
    <font>
      <sz val="10"/>
      <color rgb="FFFFBB00"/>
      <name val="Consolas"/>
      <family val="3"/>
    </font>
    <font>
      <sz val="10"/>
      <color rgb="FF009A00"/>
      <name val="Consolas"/>
      <family val="3"/>
    </font>
    <font>
      <sz val="11"/>
      <color theme="1"/>
      <name val="Calibri"/>
      <scheme val="minor"/>
    </font>
    <font>
      <b/>
      <sz val="10"/>
      <color rgb="FF9C6500"/>
      <name val="Calibri"/>
      <family val="2"/>
      <scheme val="minor"/>
    </font>
    <font>
      <sz val="11"/>
      <color rgb="FFFF0000"/>
      <name val="Calibri"/>
      <family val="2"/>
      <scheme val="minor"/>
    </font>
    <font>
      <sz val="10"/>
      <color theme="1"/>
      <name val="Arial"/>
    </font>
    <font>
      <sz val="10"/>
      <color rgb="FF000000"/>
      <name val="Courier New"/>
      <family val="3"/>
    </font>
    <font>
      <b/>
      <sz val="9"/>
      <color indexed="81"/>
      <name val="Tahoma"/>
      <family val="2"/>
    </font>
    <font>
      <sz val="9"/>
      <color indexed="81"/>
      <name val="Tahoma"/>
      <family val="2"/>
    </font>
    <font>
      <b/>
      <sz val="10"/>
      <color rgb="FF548235"/>
      <name val="Arial"/>
      <family val="2"/>
    </font>
    <font>
      <b/>
      <i/>
      <sz val="10"/>
      <color theme="1"/>
      <name val="Arial"/>
      <family val="2"/>
    </font>
    <font>
      <b/>
      <sz val="11"/>
      <color rgb="FF00B0F0"/>
      <name val="Calibri"/>
      <family val="2"/>
      <scheme val="minor"/>
    </font>
    <font>
      <sz val="11"/>
      <color rgb="FF000000"/>
      <name val="Bosch Office Sans"/>
    </font>
    <font>
      <sz val="12"/>
      <color theme="1"/>
      <name val="Calibri"/>
      <family val="2"/>
      <scheme val="minor"/>
    </font>
    <font>
      <b/>
      <sz val="11"/>
      <name val="Calibri"/>
      <family val="2"/>
      <scheme val="minor"/>
    </font>
    <font>
      <b/>
      <sz val="10"/>
      <color rgb="FF000000"/>
      <name val="Arial"/>
      <family val="2"/>
    </font>
    <font>
      <sz val="10"/>
      <name val="Arial"/>
      <family val="2"/>
    </font>
    <font>
      <b/>
      <i/>
      <sz val="11"/>
      <color rgb="FF000000"/>
      <name val="Courier New"/>
      <family val="3"/>
    </font>
    <font>
      <sz val="11"/>
      <color rgb="FF000000"/>
      <name val="Courier New"/>
      <family val="3"/>
    </font>
    <font>
      <sz val="10"/>
      <name val="Calibri"/>
      <family val="2"/>
      <scheme val="minor"/>
    </font>
    <font>
      <sz val="10"/>
      <color rgb="FF9C6500"/>
      <name val="Calibri"/>
      <family val="2"/>
      <scheme val="minor"/>
    </font>
    <font>
      <sz val="11"/>
      <color theme="1"/>
      <name val="Calibri"/>
      <family val="2"/>
    </font>
    <font>
      <sz val="10"/>
      <color theme="1"/>
      <name val="Symbol"/>
      <family val="1"/>
      <charset val="2"/>
    </font>
    <font>
      <sz val="7"/>
      <color theme="1"/>
      <name val="Times New Roman"/>
      <family val="1"/>
    </font>
    <font>
      <sz val="11"/>
      <color rgb="FF000000"/>
      <name val="Calibri"/>
      <family val="2"/>
      <scheme val="minor"/>
    </font>
    <font>
      <b/>
      <sz val="11"/>
      <color rgb="FFFF0000"/>
      <name val="Calibri"/>
      <family val="2"/>
      <scheme val="minor"/>
    </font>
    <font>
      <sz val="11"/>
      <color rgb="FFFFFF00"/>
      <name val="Calibri"/>
      <family val="2"/>
    </font>
  </fonts>
  <fills count="3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C6EFCE"/>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rgb="FFFF0000"/>
        <bgColor indexed="64"/>
      </patternFill>
    </fill>
    <fill>
      <patternFill patternType="solid">
        <fgColor theme="8" tint="0.59999389629810485"/>
        <bgColor indexed="64"/>
      </patternFill>
    </fill>
    <fill>
      <patternFill patternType="solid">
        <fgColor theme="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00B050"/>
        <bgColor indexed="64"/>
      </patternFill>
    </fill>
    <fill>
      <patternFill patternType="solid">
        <fgColor theme="2" tint="-0.499984740745262"/>
        <bgColor indexed="64"/>
      </patternFill>
    </fill>
    <fill>
      <patternFill patternType="solid">
        <fgColor rgb="FF00B0F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0" tint="-0.499984740745262"/>
        <bgColor indexed="65"/>
      </patternFill>
    </fill>
    <fill>
      <patternFill patternType="solid">
        <fgColor rgb="FFFFFF00"/>
      </patternFill>
    </fill>
    <fill>
      <patternFill patternType="solid">
        <fgColor theme="9" tint="0.39997558519241921"/>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rgb="FF0070C0"/>
        <bgColor indexed="64"/>
      </patternFill>
    </fill>
    <fill>
      <patternFill patternType="solid">
        <fgColor rgb="FFFFC7CE"/>
      </patternFill>
    </fill>
    <fill>
      <patternFill patternType="solid">
        <fgColor theme="9"/>
        <bgColor indexed="64"/>
      </patternFill>
    </fill>
    <fill>
      <patternFill patternType="solid">
        <fgColor rgb="FF1B6FB5"/>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3" fillId="31" borderId="0" applyNumberFormat="0" applyBorder="0" applyAlignment="0" applyProtection="0"/>
  </cellStyleXfs>
  <cellXfs count="218">
    <xf numFmtId="0" fontId="0" fillId="0" borderId="0" xfId="0"/>
    <xf numFmtId="0" fontId="6" fillId="0" borderId="1" xfId="0" applyFont="1" applyBorder="1" applyAlignment="1">
      <alignment horizontal="left" vertical="top"/>
    </xf>
    <xf numFmtId="0" fontId="6" fillId="0" borderId="1" xfId="0" applyFont="1" applyFill="1" applyBorder="1" applyAlignment="1">
      <alignment horizontal="left" vertical="top"/>
    </xf>
    <xf numFmtId="0" fontId="0" fillId="0" borderId="1" xfId="0" applyFont="1" applyBorder="1" applyAlignment="1">
      <alignment horizontal="left" vertical="top"/>
    </xf>
    <xf numFmtId="0" fontId="6" fillId="3" borderId="1" xfId="0" quotePrefix="1" applyFont="1" applyFill="1" applyBorder="1" applyAlignment="1">
      <alignment horizontal="left" vertical="top"/>
    </xf>
    <xf numFmtId="0" fontId="0" fillId="0" borderId="1" xfId="0" quotePrefix="1" applyFont="1" applyBorder="1" applyAlignment="1">
      <alignment horizontal="left" vertical="top"/>
    </xf>
    <xf numFmtId="164" fontId="0" fillId="0" borderId="1" xfId="0" applyNumberFormat="1" applyFont="1" applyBorder="1" applyAlignment="1">
      <alignment horizontal="left" vertical="top"/>
    </xf>
    <xf numFmtId="164" fontId="0" fillId="3" borderId="1" xfId="0" applyNumberFormat="1" applyFont="1" applyFill="1" applyBorder="1" applyAlignment="1">
      <alignment horizontal="left" vertical="top"/>
    </xf>
    <xf numFmtId="10" fontId="0" fillId="0" borderId="1" xfId="0" applyNumberFormat="1" applyFont="1" applyBorder="1" applyAlignment="1">
      <alignment horizontal="left" vertical="top"/>
    </xf>
    <xf numFmtId="0" fontId="6" fillId="0" borderId="1" xfId="0" applyFont="1" applyBorder="1" applyAlignment="1">
      <alignment horizontal="left"/>
    </xf>
    <xf numFmtId="0" fontId="8" fillId="5" borderId="1" xfId="0" applyNumberFormat="1" applyFont="1" applyFill="1" applyBorder="1" applyAlignment="1" applyProtection="1">
      <alignment horizontal="left" vertical="top"/>
    </xf>
    <xf numFmtId="0" fontId="0" fillId="0" borderId="1" xfId="0" applyFont="1" applyFill="1" applyBorder="1" applyAlignment="1">
      <alignment horizontal="left" vertical="top"/>
    </xf>
    <xf numFmtId="0" fontId="8" fillId="0" borderId="1" xfId="0" applyNumberFormat="1" applyFont="1" applyFill="1" applyBorder="1" applyAlignment="1" applyProtection="1">
      <alignment horizontal="left" vertical="top"/>
    </xf>
    <xf numFmtId="0" fontId="0" fillId="0" borderId="1" xfId="0" applyBorder="1" applyAlignment="1">
      <alignment horizontal="left" vertical="top"/>
    </xf>
    <xf numFmtId="0" fontId="0" fillId="0" borderId="1" xfId="0" quotePrefix="1" applyBorder="1" applyAlignment="1">
      <alignment horizontal="left" vertical="top"/>
    </xf>
    <xf numFmtId="0" fontId="0" fillId="6" borderId="1" xfId="0" quotePrefix="1" applyFont="1" applyFill="1" applyBorder="1" applyAlignment="1">
      <alignment horizontal="left" vertical="top"/>
    </xf>
    <xf numFmtId="0" fontId="0" fillId="0" borderId="1" xfId="0" quotePrefix="1" applyBorder="1" applyAlignment="1">
      <alignment horizontal="left"/>
    </xf>
    <xf numFmtId="0" fontId="9" fillId="0" borderId="1" xfId="0" applyFont="1" applyFill="1" applyBorder="1" applyAlignment="1">
      <alignment horizontal="left" vertical="top"/>
    </xf>
    <xf numFmtId="14" fontId="0" fillId="0" borderId="1" xfId="0" applyNumberFormat="1" applyFont="1" applyBorder="1" applyAlignment="1">
      <alignment horizontal="left" vertical="top"/>
    </xf>
    <xf numFmtId="0" fontId="8" fillId="0" borderId="1" xfId="0" applyFont="1" applyBorder="1" applyAlignment="1">
      <alignment horizontal="left" vertical="top"/>
    </xf>
    <xf numFmtId="0" fontId="10" fillId="0" borderId="0" xfId="0" applyFont="1" applyAlignment="1">
      <alignment horizontal="center" vertical="center"/>
    </xf>
    <xf numFmtId="0" fontId="8" fillId="4" borderId="1" xfId="0" applyNumberFormat="1" applyFont="1" applyFill="1" applyBorder="1" applyAlignment="1" applyProtection="1">
      <alignment horizontal="left" vertical="top"/>
    </xf>
    <xf numFmtId="0" fontId="0" fillId="7" borderId="1" xfId="0" quotePrefix="1" applyFill="1" applyBorder="1" applyAlignment="1">
      <alignment horizontal="left" vertical="top"/>
    </xf>
    <xf numFmtId="0" fontId="8" fillId="0" borderId="1" xfId="0" applyNumberFormat="1" applyFont="1" applyBorder="1" applyAlignment="1">
      <alignment horizontal="left" vertical="top"/>
    </xf>
    <xf numFmtId="0" fontId="0" fillId="7" borderId="1" xfId="0" applyFont="1" applyFill="1" applyBorder="1" applyAlignment="1">
      <alignment horizontal="left" vertical="top"/>
    </xf>
    <xf numFmtId="0" fontId="8" fillId="8" borderId="1" xfId="0" applyNumberFormat="1" applyFont="1" applyFill="1" applyBorder="1" applyAlignment="1" applyProtection="1">
      <alignment horizontal="left" vertical="top"/>
    </xf>
    <xf numFmtId="0" fontId="0" fillId="0" borderId="1" xfId="0" quotePrefix="1" applyFont="1" applyFill="1" applyBorder="1" applyAlignment="1">
      <alignment horizontal="left" vertical="top"/>
    </xf>
    <xf numFmtId="0" fontId="9" fillId="0" borderId="1" xfId="0" quotePrefix="1" applyNumberFormat="1" applyFont="1" applyFill="1" applyBorder="1" applyAlignment="1" applyProtection="1">
      <alignment horizontal="left"/>
    </xf>
    <xf numFmtId="0" fontId="9" fillId="0" borderId="1" xfId="0" applyNumberFormat="1" applyFont="1" applyFill="1" applyBorder="1" applyAlignment="1" applyProtection="1">
      <alignment horizontal="left"/>
    </xf>
    <xf numFmtId="0" fontId="9" fillId="0" borderId="1" xfId="0" quotePrefix="1" applyFont="1" applyFill="1" applyBorder="1" applyAlignment="1">
      <alignment horizontal="left" vertical="top"/>
    </xf>
    <xf numFmtId="0" fontId="9" fillId="0" borderId="1" xfId="0" quotePrefix="1" applyFont="1" applyFill="1" applyBorder="1" applyAlignment="1">
      <alignment horizontal="left"/>
    </xf>
    <xf numFmtId="0" fontId="0" fillId="0" borderId="1" xfId="0" applyNumberFormat="1" applyFont="1" applyFill="1" applyBorder="1" applyAlignment="1" applyProtection="1">
      <alignment horizontal="left"/>
    </xf>
    <xf numFmtId="0" fontId="0" fillId="0" borderId="1" xfId="0" quotePrefix="1" applyFill="1" applyBorder="1" applyAlignment="1">
      <alignment horizontal="left"/>
    </xf>
    <xf numFmtId="0" fontId="0" fillId="7" borderId="1" xfId="0" quotePrefix="1" applyFont="1" applyFill="1" applyBorder="1" applyAlignment="1">
      <alignment horizontal="left" vertical="top"/>
    </xf>
    <xf numFmtId="0" fontId="8" fillId="9" borderId="1" xfId="0" applyNumberFormat="1" applyFont="1" applyFill="1" applyBorder="1" applyAlignment="1" applyProtection="1">
      <alignment horizontal="left" vertical="top"/>
    </xf>
    <xf numFmtId="0" fontId="9" fillId="0" borderId="1" xfId="0" applyFont="1" applyFill="1" applyBorder="1" applyAlignment="1">
      <alignment horizontal="left"/>
    </xf>
    <xf numFmtId="0" fontId="0" fillId="0" borderId="1" xfId="0" applyBorder="1" applyAlignment="1">
      <alignment horizontal="left"/>
    </xf>
    <xf numFmtId="0" fontId="0" fillId="10" borderId="1" xfId="0" applyFont="1" applyFill="1" applyBorder="1" applyAlignment="1">
      <alignment horizontal="left" vertical="top"/>
    </xf>
    <xf numFmtId="0" fontId="9" fillId="10" borderId="1" xfId="0" applyFont="1" applyFill="1" applyBorder="1" applyAlignment="1">
      <alignment horizontal="left" vertical="top"/>
    </xf>
    <xf numFmtId="0" fontId="6" fillId="0" borderId="1" xfId="0" quotePrefix="1" applyFont="1" applyBorder="1" applyAlignment="1">
      <alignment horizontal="left" vertical="top"/>
    </xf>
    <xf numFmtId="0" fontId="0" fillId="5" borderId="1" xfId="0" applyFill="1" applyBorder="1" applyAlignment="1">
      <alignment horizontal="left" vertical="top"/>
    </xf>
    <xf numFmtId="0" fontId="0" fillId="10" borderId="1" xfId="0" applyFill="1" applyBorder="1" applyAlignment="1">
      <alignment horizontal="left" vertical="top"/>
    </xf>
    <xf numFmtId="0" fontId="0" fillId="11" borderId="1" xfId="0" applyFill="1" applyBorder="1" applyAlignment="1">
      <alignment horizontal="left" vertical="top"/>
    </xf>
    <xf numFmtId="0" fontId="8" fillId="12" borderId="1" xfId="0" applyNumberFormat="1" applyFont="1" applyFill="1" applyBorder="1" applyAlignment="1" applyProtection="1">
      <alignment horizontal="left" vertical="top"/>
    </xf>
    <xf numFmtId="0" fontId="8" fillId="3" borderId="1" xfId="0" applyNumberFormat="1" applyFont="1" applyFill="1" applyBorder="1" applyAlignment="1" applyProtection="1">
      <alignment horizontal="left" vertical="top"/>
    </xf>
    <xf numFmtId="0" fontId="8" fillId="13" borderId="1" xfId="0" applyNumberFormat="1" applyFont="1" applyFill="1" applyBorder="1" applyAlignment="1" applyProtection="1">
      <alignment horizontal="left" vertical="top"/>
    </xf>
    <xf numFmtId="0" fontId="8" fillId="14" borderId="1" xfId="0" applyNumberFormat="1" applyFont="1" applyFill="1" applyBorder="1" applyAlignment="1" applyProtection="1">
      <alignment horizontal="left" vertical="top"/>
    </xf>
    <xf numFmtId="0" fontId="8" fillId="11" borderId="1" xfId="0" applyNumberFormat="1" applyFont="1" applyFill="1" applyBorder="1" applyAlignment="1" applyProtection="1">
      <alignment horizontal="left" vertical="top"/>
    </xf>
    <xf numFmtId="0" fontId="8" fillId="2" borderId="1" xfId="0" applyNumberFormat="1" applyFont="1" applyFill="1" applyBorder="1" applyAlignment="1" applyProtection="1">
      <alignment horizontal="left" vertical="top"/>
    </xf>
    <xf numFmtId="0" fontId="0" fillId="0" borderId="1" xfId="0" applyNumberFormat="1" applyFont="1" applyFill="1" applyBorder="1" applyAlignment="1" applyProtection="1"/>
    <xf numFmtId="0" fontId="9" fillId="0" borderId="1" xfId="0" applyFont="1" applyBorder="1" applyAlignment="1">
      <alignment horizontal="left" vertical="top"/>
    </xf>
    <xf numFmtId="164" fontId="0" fillId="0" borderId="1" xfId="0" applyNumberFormat="1" applyFont="1" applyFill="1" applyBorder="1" applyAlignment="1">
      <alignment horizontal="left" vertical="top"/>
    </xf>
    <xf numFmtId="14" fontId="0" fillId="0" borderId="1" xfId="0" applyNumberFormat="1" applyFont="1" applyFill="1" applyBorder="1" applyAlignment="1">
      <alignment horizontal="left" vertical="top"/>
    </xf>
    <xf numFmtId="0" fontId="0" fillId="7" borderId="1" xfId="0" applyFill="1" applyBorder="1" applyAlignment="1">
      <alignment horizontal="left" vertical="top"/>
    </xf>
    <xf numFmtId="0" fontId="8" fillId="15" borderId="1" xfId="0" applyNumberFormat="1" applyFont="1" applyFill="1" applyBorder="1" applyAlignment="1" applyProtection="1">
      <alignment horizontal="left" vertical="top"/>
    </xf>
    <xf numFmtId="0" fontId="0" fillId="2" borderId="1" xfId="0" applyFont="1" applyFill="1" applyBorder="1" applyAlignment="1">
      <alignment horizontal="left" vertical="top"/>
    </xf>
    <xf numFmtId="0" fontId="13" fillId="0" borderId="1" xfId="0" applyFont="1" applyBorder="1" applyAlignment="1">
      <alignment horizontal="left" vertical="top"/>
    </xf>
    <xf numFmtId="0" fontId="8" fillId="16" borderId="1" xfId="0" applyNumberFormat="1" applyFont="1" applyFill="1" applyBorder="1" applyAlignment="1" applyProtection="1">
      <alignment horizontal="left" vertical="top"/>
    </xf>
    <xf numFmtId="164" fontId="0" fillId="0" borderId="1" xfId="0" applyNumberFormat="1" applyBorder="1" applyAlignment="1">
      <alignment horizontal="left" vertical="top"/>
    </xf>
    <xf numFmtId="10" fontId="0" fillId="0" borderId="1" xfId="0" applyNumberFormat="1" applyBorder="1" applyAlignment="1">
      <alignment horizontal="left" vertical="top"/>
    </xf>
    <xf numFmtId="0" fontId="0" fillId="0" borderId="1" xfId="0" applyFill="1" applyBorder="1" applyAlignment="1">
      <alignment horizontal="left" vertical="top"/>
    </xf>
    <xf numFmtId="0" fontId="0" fillId="2" borderId="1" xfId="0" quotePrefix="1" applyFont="1" applyFill="1" applyBorder="1" applyAlignment="1">
      <alignment horizontal="left" vertical="top"/>
    </xf>
    <xf numFmtId="0" fontId="8" fillId="17" borderId="1" xfId="0" applyNumberFormat="1" applyFont="1" applyFill="1" applyBorder="1" applyAlignment="1" applyProtection="1">
      <alignment horizontal="left" vertical="top"/>
    </xf>
    <xf numFmtId="0" fontId="13" fillId="0" borderId="1" xfId="0" quotePrefix="1" applyFont="1" applyFill="1" applyBorder="1" applyAlignment="1">
      <alignment horizontal="left" vertical="top"/>
    </xf>
    <xf numFmtId="0" fontId="13" fillId="18" borderId="1" xfId="0" quotePrefix="1" applyFont="1" applyFill="1" applyBorder="1" applyAlignment="1">
      <alignment horizontal="left" vertical="top"/>
    </xf>
    <xf numFmtId="0" fontId="13" fillId="0" borderId="1" xfId="0" applyFont="1" applyFill="1" applyBorder="1" applyAlignment="1">
      <alignment horizontal="left" vertical="top"/>
    </xf>
    <xf numFmtId="0" fontId="13" fillId="19" borderId="1" xfId="0" applyFont="1" applyFill="1" applyBorder="1" applyAlignment="1">
      <alignment horizontal="left" vertical="top"/>
    </xf>
    <xf numFmtId="0" fontId="0" fillId="0" borderId="1" xfId="0" applyNumberFormat="1" applyFont="1" applyBorder="1" applyAlignment="1">
      <alignment horizontal="left" vertical="top"/>
    </xf>
    <xf numFmtId="0" fontId="14" fillId="0" borderId="1" xfId="0" quotePrefix="1" applyFont="1" applyBorder="1" applyAlignment="1">
      <alignment horizontal="left" vertical="top"/>
    </xf>
    <xf numFmtId="0" fontId="8" fillId="20" borderId="1" xfId="0" applyNumberFormat="1" applyFont="1" applyFill="1" applyBorder="1" applyAlignment="1" applyProtection="1">
      <alignment horizontal="left" vertical="top"/>
    </xf>
    <xf numFmtId="0" fontId="9" fillId="0" borderId="1" xfId="0" quotePrefix="1" applyFont="1" applyBorder="1" applyAlignment="1">
      <alignment horizontal="left" vertical="top"/>
    </xf>
    <xf numFmtId="0" fontId="6" fillId="0" borderId="1" xfId="0" quotePrefix="1" applyFont="1" applyFill="1" applyBorder="1" applyAlignment="1">
      <alignment horizontal="left" vertical="top"/>
    </xf>
    <xf numFmtId="0" fontId="8" fillId="21" borderId="1" xfId="0" applyNumberFormat="1" applyFont="1" applyFill="1" applyBorder="1" applyAlignment="1" applyProtection="1">
      <alignment horizontal="left" vertical="top"/>
    </xf>
    <xf numFmtId="0" fontId="8" fillId="22" borderId="1" xfId="0" applyNumberFormat="1" applyFont="1" applyFill="1" applyBorder="1" applyAlignment="1" applyProtection="1">
      <alignment horizontal="left" vertical="top"/>
    </xf>
    <xf numFmtId="0" fontId="0" fillId="22" borderId="1" xfId="0" applyFont="1" applyFill="1" applyBorder="1" applyAlignment="1">
      <alignment horizontal="left" vertical="top"/>
    </xf>
    <xf numFmtId="0" fontId="6" fillId="22" borderId="1" xfId="0" quotePrefix="1" applyFont="1" applyFill="1" applyBorder="1" applyAlignment="1">
      <alignment horizontal="left" vertical="top"/>
    </xf>
    <xf numFmtId="0" fontId="0" fillId="22" borderId="1" xfId="0" quotePrefix="1" applyFont="1" applyFill="1" applyBorder="1" applyAlignment="1">
      <alignment horizontal="left" vertical="top"/>
    </xf>
    <xf numFmtId="164" fontId="0" fillId="22" borderId="1" xfId="0" applyNumberFormat="1" applyFont="1" applyFill="1" applyBorder="1" applyAlignment="1">
      <alignment horizontal="left" vertical="top"/>
    </xf>
    <xf numFmtId="10" fontId="0" fillId="22" borderId="1" xfId="0" applyNumberFormat="1" applyFont="1" applyFill="1" applyBorder="1" applyAlignment="1">
      <alignment horizontal="left" vertical="top"/>
    </xf>
    <xf numFmtId="0" fontId="15" fillId="22" borderId="1" xfId="0" applyFont="1" applyFill="1" applyBorder="1" applyAlignment="1">
      <alignment horizontal="left" vertical="top"/>
    </xf>
    <xf numFmtId="0" fontId="0" fillId="22" borderId="1" xfId="0" applyFill="1" applyBorder="1" applyAlignment="1">
      <alignment horizontal="left" vertical="top"/>
    </xf>
    <xf numFmtId="0" fontId="0" fillId="6" borderId="1" xfId="0" applyFont="1" applyFill="1" applyBorder="1" applyAlignment="1">
      <alignment horizontal="left" vertical="top"/>
    </xf>
    <xf numFmtId="0" fontId="8" fillId="23" borderId="1" xfId="0" applyNumberFormat="1" applyFont="1" applyFill="1" applyBorder="1" applyAlignment="1" applyProtection="1">
      <alignment horizontal="left" vertical="top"/>
    </xf>
    <xf numFmtId="10" fontId="0" fillId="0" borderId="1" xfId="0" quotePrefix="1" applyNumberFormat="1" applyFont="1" applyBorder="1" applyAlignment="1">
      <alignment horizontal="left" vertical="top"/>
    </xf>
    <xf numFmtId="0" fontId="8" fillId="24" borderId="1" xfId="0" applyNumberFormat="1" applyFont="1" applyFill="1" applyBorder="1" applyAlignment="1" applyProtection="1">
      <alignment horizontal="left" vertical="top"/>
    </xf>
    <xf numFmtId="0" fontId="2" fillId="0" borderId="0" xfId="0" applyFont="1" applyAlignment="1">
      <alignment horizontal="left" vertical="top"/>
    </xf>
    <xf numFmtId="0" fontId="8" fillId="25" borderId="1" xfId="0" applyNumberFormat="1" applyFont="1" applyFill="1" applyBorder="1" applyAlignment="1" applyProtection="1">
      <alignment horizontal="left" vertical="top"/>
    </xf>
    <xf numFmtId="0" fontId="8" fillId="26" borderId="1" xfId="0" applyNumberFormat="1" applyFont="1" applyFill="1" applyBorder="1" applyAlignment="1" applyProtection="1">
      <alignment horizontal="left" vertical="top"/>
    </xf>
    <xf numFmtId="0" fontId="6" fillId="2" borderId="1" xfId="0" applyFont="1" applyFill="1" applyBorder="1" applyAlignment="1">
      <alignment horizontal="left" vertical="top"/>
    </xf>
    <xf numFmtId="0" fontId="8" fillId="27" borderId="1" xfId="0" applyNumberFormat="1" applyFont="1" applyFill="1" applyBorder="1" applyAlignment="1" applyProtection="1">
      <alignment horizontal="left" vertical="top"/>
    </xf>
    <xf numFmtId="0" fontId="8" fillId="28" borderId="1" xfId="0" applyNumberFormat="1" applyFont="1" applyFill="1" applyBorder="1" applyAlignment="1" applyProtection="1">
      <alignment horizontal="left" vertical="top"/>
    </xf>
    <xf numFmtId="164" fontId="0" fillId="2" borderId="1" xfId="0" applyNumberFormat="1" applyFont="1" applyFill="1" applyBorder="1" applyAlignment="1">
      <alignment horizontal="left" vertical="top"/>
    </xf>
    <xf numFmtId="10" fontId="0" fillId="0" borderId="1" xfId="0" applyNumberFormat="1" applyFont="1" applyFill="1" applyBorder="1" applyAlignment="1">
      <alignment horizontal="left" vertical="top"/>
    </xf>
    <xf numFmtId="0" fontId="0" fillId="29" borderId="1" xfId="0" applyFont="1" applyFill="1" applyBorder="1" applyAlignment="1">
      <alignment horizontal="left" vertical="top"/>
    </xf>
    <xf numFmtId="0" fontId="6" fillId="29" borderId="1" xfId="0" quotePrefix="1" applyFont="1" applyFill="1" applyBorder="1" applyAlignment="1">
      <alignment horizontal="left" vertical="top"/>
    </xf>
    <xf numFmtId="0" fontId="0" fillId="29" borderId="1" xfId="0" quotePrefix="1" applyFont="1" applyFill="1" applyBorder="1" applyAlignment="1">
      <alignment horizontal="left" vertical="top"/>
    </xf>
    <xf numFmtId="164" fontId="0" fillId="29" borderId="1" xfId="0" applyNumberFormat="1" applyFont="1" applyFill="1" applyBorder="1" applyAlignment="1">
      <alignment horizontal="left" vertical="top"/>
    </xf>
    <xf numFmtId="0" fontId="8" fillId="29" borderId="1" xfId="0" applyNumberFormat="1" applyFont="1" applyFill="1" applyBorder="1" applyAlignment="1" applyProtection="1">
      <alignment horizontal="left" vertical="top"/>
    </xf>
    <xf numFmtId="0" fontId="22" fillId="0" borderId="1" xfId="0" applyFont="1" applyBorder="1" applyAlignment="1">
      <alignment horizontal="left" vertical="top"/>
    </xf>
    <xf numFmtId="0" fontId="22" fillId="0" borderId="1" xfId="0" applyFont="1" applyFill="1" applyBorder="1" applyAlignment="1">
      <alignment horizontal="left" vertical="top"/>
    </xf>
    <xf numFmtId="0" fontId="6" fillId="7" borderId="1" xfId="0" applyFont="1" applyFill="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164" fontId="0" fillId="0" borderId="3" xfId="0" applyNumberFormat="1" applyBorder="1" applyAlignment="1">
      <alignment horizontal="left" vertical="top"/>
    </xf>
    <xf numFmtId="10" fontId="0" fillId="0" borderId="3" xfId="0" applyNumberFormat="1" applyBorder="1" applyAlignment="1">
      <alignment horizontal="left" vertical="top"/>
    </xf>
    <xf numFmtId="0" fontId="8" fillId="0" borderId="4" xfId="0" applyFont="1" applyBorder="1" applyAlignment="1">
      <alignment horizontal="left" vertical="top"/>
    </xf>
    <xf numFmtId="0" fontId="8" fillId="6" borderId="1" xfId="0" applyNumberFormat="1" applyFont="1" applyFill="1" applyBorder="1" applyAlignment="1" applyProtection="1">
      <alignment horizontal="left" vertical="top"/>
    </xf>
    <xf numFmtId="0" fontId="0" fillId="6" borderId="1" xfId="0" applyFill="1" applyBorder="1" applyAlignment="1">
      <alignment horizontal="left" vertical="top"/>
    </xf>
    <xf numFmtId="164" fontId="0" fillId="6" borderId="1" xfId="0" applyNumberFormat="1" applyFont="1" applyFill="1" applyBorder="1" applyAlignment="1">
      <alignment horizontal="left" vertical="top"/>
    </xf>
    <xf numFmtId="10" fontId="0" fillId="6" borderId="1" xfId="0" applyNumberFormat="1" applyFont="1" applyFill="1" applyBorder="1" applyAlignment="1">
      <alignment horizontal="left" vertical="top"/>
    </xf>
    <xf numFmtId="0" fontId="15" fillId="6" borderId="1" xfId="0" applyFont="1" applyFill="1" applyBorder="1" applyAlignment="1">
      <alignment horizontal="left" vertical="top"/>
    </xf>
    <xf numFmtId="0" fontId="15" fillId="0" borderId="1" xfId="0" applyFont="1" applyBorder="1" applyAlignment="1">
      <alignment horizontal="left" vertical="top"/>
    </xf>
    <xf numFmtId="0" fontId="9" fillId="0" borderId="1" xfId="0" applyFont="1" applyBorder="1" applyAlignment="1">
      <alignment horizontal="left"/>
    </xf>
    <xf numFmtId="0" fontId="8" fillId="30" borderId="1" xfId="0" applyNumberFormat="1" applyFont="1" applyFill="1" applyBorder="1" applyAlignment="1" applyProtection="1">
      <alignment horizontal="left" vertical="top"/>
    </xf>
    <xf numFmtId="0" fontId="23" fillId="0" borderId="0" xfId="0" applyFont="1" applyAlignment="1">
      <alignment horizontal="left" vertical="top"/>
    </xf>
    <xf numFmtId="0" fontId="6" fillId="0" borderId="1" xfId="0" applyFont="1" applyBorder="1" applyAlignment="1"/>
    <xf numFmtId="0" fontId="6" fillId="0" borderId="1" xfId="0" applyFont="1" applyFill="1" applyBorder="1" applyAlignment="1"/>
    <xf numFmtId="0" fontId="0" fillId="0" borderId="0" xfId="0" applyAlignment="1"/>
    <xf numFmtId="0" fontId="0" fillId="0" borderId="1" xfId="0" applyBorder="1" applyAlignment="1"/>
    <xf numFmtId="0" fontId="16" fillId="22" borderId="0" xfId="0" applyFont="1" applyFill="1" applyAlignment="1"/>
    <xf numFmtId="0" fontId="6" fillId="0" borderId="0" xfId="0" applyFont="1" applyAlignment="1">
      <alignment vertical="top"/>
    </xf>
    <xf numFmtId="0" fontId="0" fillId="0" borderId="0" xfId="0" applyAlignment="1">
      <alignment vertical="top"/>
    </xf>
    <xf numFmtId="0" fontId="6" fillId="0" borderId="1" xfId="0" applyFont="1" applyBorder="1" applyAlignment="1">
      <alignment vertical="top"/>
    </xf>
    <xf numFmtId="0" fontId="6" fillId="0" borderId="1" xfId="0" applyFont="1" applyFill="1" applyBorder="1" applyAlignment="1">
      <alignment vertical="top"/>
    </xf>
    <xf numFmtId="0" fontId="0" fillId="0" borderId="1" xfId="0" applyBorder="1" applyAlignment="1">
      <alignment vertical="top"/>
    </xf>
    <xf numFmtId="0" fontId="6" fillId="24" borderId="1" xfId="0" applyFont="1" applyFill="1" applyBorder="1" applyAlignment="1">
      <alignment vertical="top"/>
    </xf>
    <xf numFmtId="0" fontId="0" fillId="0" borderId="1" xfId="0" applyBorder="1" applyAlignment="1">
      <alignment horizontal="center" vertical="top"/>
    </xf>
    <xf numFmtId="10" fontId="0" fillId="0" borderId="1" xfId="0" applyNumberFormat="1" applyBorder="1" applyAlignment="1">
      <alignment horizontal="center" vertical="top"/>
    </xf>
    <xf numFmtId="0" fontId="0" fillId="24" borderId="1" xfId="0" applyFont="1" applyFill="1" applyBorder="1" applyAlignment="1">
      <alignment vertical="top"/>
    </xf>
    <xf numFmtId="0" fontId="0" fillId="24" borderId="1" xfId="0" applyFill="1" applyBorder="1" applyAlignment="1">
      <alignment vertical="top"/>
    </xf>
    <xf numFmtId="164" fontId="0" fillId="0" borderId="0" xfId="0" applyNumberFormat="1" applyAlignment="1">
      <alignment vertical="top"/>
    </xf>
    <xf numFmtId="0" fontId="0" fillId="27" borderId="1" xfId="0" applyFill="1" applyBorder="1" applyAlignment="1">
      <alignment vertical="top"/>
    </xf>
    <xf numFmtId="0" fontId="3" fillId="31" borderId="1" xfId="1" applyBorder="1" applyAlignment="1">
      <alignment horizontal="center" vertical="top"/>
    </xf>
    <xf numFmtId="0" fontId="0" fillId="0" borderId="0" xfId="0" applyNumberFormat="1" applyAlignment="1">
      <alignment vertical="top"/>
    </xf>
    <xf numFmtId="16" fontId="0" fillId="0" borderId="0" xfId="0" quotePrefix="1" applyNumberFormat="1" applyAlignment="1">
      <alignment vertical="top"/>
    </xf>
    <xf numFmtId="14" fontId="0" fillId="0" borderId="0" xfId="0" applyNumberFormat="1"/>
    <xf numFmtId="0" fontId="6" fillId="0" borderId="0" xfId="0" applyFont="1"/>
    <xf numFmtId="0" fontId="6" fillId="2" borderId="1" xfId="0" applyFont="1" applyFill="1" applyBorder="1" applyAlignment="1">
      <alignment vertical="top"/>
    </xf>
    <xf numFmtId="0" fontId="6" fillId="7" borderId="1" xfId="0" applyFont="1" applyFill="1" applyBorder="1" applyAlignment="1">
      <alignment vertical="top"/>
    </xf>
    <xf numFmtId="0" fontId="24" fillId="0" borderId="1" xfId="0" applyFont="1" applyBorder="1"/>
    <xf numFmtId="0" fontId="0" fillId="0" borderId="0" xfId="0" applyBorder="1"/>
    <xf numFmtId="0" fontId="0" fillId="0" borderId="0" xfId="0" applyFont="1" applyBorder="1" applyAlignment="1">
      <alignment horizontal="left" vertical="top"/>
    </xf>
    <xf numFmtId="0" fontId="0" fillId="0" borderId="0" xfId="0" quotePrefix="1" applyFont="1" applyBorder="1" applyAlignment="1">
      <alignment horizontal="left" vertical="top"/>
    </xf>
    <xf numFmtId="15" fontId="0" fillId="0" borderId="0" xfId="0" applyNumberFormat="1"/>
    <xf numFmtId="0" fontId="25" fillId="0" borderId="0" xfId="0" applyFont="1"/>
    <xf numFmtId="0" fontId="6" fillId="0" borderId="1" xfId="0" applyFont="1" applyBorder="1"/>
    <xf numFmtId="0" fontId="6" fillId="0" borderId="1" xfId="0" applyFont="1" applyBorder="1" applyAlignment="1">
      <alignment horizontal="center"/>
    </xf>
    <xf numFmtId="0" fontId="0" fillId="0" borderId="1" xfId="0" applyBorder="1" applyAlignment="1">
      <alignment horizontal="center"/>
    </xf>
    <xf numFmtId="0" fontId="6" fillId="0" borderId="1" xfId="0" applyFont="1" applyFill="1" applyBorder="1"/>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xf numFmtId="0" fontId="0" fillId="2" borderId="0" xfId="0" applyFill="1"/>
    <xf numFmtId="0" fontId="26" fillId="2" borderId="5" xfId="0" applyFont="1" applyFill="1" applyBorder="1" applyAlignment="1">
      <alignment vertical="center"/>
    </xf>
    <xf numFmtId="0" fontId="2" fillId="0" borderId="6" xfId="0" applyFont="1" applyBorder="1" applyAlignment="1">
      <alignment vertical="center"/>
    </xf>
    <xf numFmtId="0" fontId="0" fillId="0" borderId="7" xfId="0" applyBorder="1" applyAlignment="1">
      <alignment vertical="center"/>
    </xf>
    <xf numFmtId="0" fontId="27" fillId="29" borderId="1" xfId="0" applyFont="1" applyFill="1" applyBorder="1"/>
    <xf numFmtId="0" fontId="0" fillId="0" borderId="6" xfId="0" applyFont="1" applyBorder="1" applyAlignment="1">
      <alignment vertical="center" wrapText="1"/>
    </xf>
    <xf numFmtId="0" fontId="0" fillId="0" borderId="6" xfId="0" applyFont="1" applyBorder="1" applyAlignment="1">
      <alignment vertical="center"/>
    </xf>
    <xf numFmtId="0" fontId="27" fillId="29" borderId="1" xfId="0" applyFont="1" applyFill="1" applyBorder="1" applyAlignment="1">
      <alignment wrapText="1"/>
    </xf>
    <xf numFmtId="0" fontId="5" fillId="0" borderId="8" xfId="0" applyFont="1" applyBorder="1"/>
    <xf numFmtId="0" fontId="27" fillId="29" borderId="9" xfId="0" applyFont="1" applyFill="1" applyBorder="1"/>
    <xf numFmtId="0" fontId="5" fillId="0" borderId="0" xfId="0" applyFont="1"/>
    <xf numFmtId="0" fontId="8" fillId="23" borderId="1" xfId="0" applyFont="1" applyFill="1" applyBorder="1" applyAlignment="1">
      <alignment horizontal="left" vertical="top"/>
    </xf>
    <xf numFmtId="0" fontId="0" fillId="6" borderId="1" xfId="0" quotePrefix="1" applyFill="1" applyBorder="1" applyAlignment="1">
      <alignment horizontal="left" vertical="top"/>
    </xf>
    <xf numFmtId="0" fontId="0" fillId="2" borderId="1" xfId="0" applyFill="1" applyBorder="1" applyAlignment="1">
      <alignment horizontal="left" vertical="top"/>
    </xf>
    <xf numFmtId="0" fontId="8" fillId="11" borderId="1" xfId="0" applyFont="1" applyFill="1" applyBorder="1" applyAlignment="1">
      <alignment horizontal="left" vertical="top"/>
    </xf>
    <xf numFmtId="0" fontId="0" fillId="3" borderId="1" xfId="0" applyFill="1" applyBorder="1" applyAlignment="1">
      <alignment horizontal="left" vertical="top"/>
    </xf>
    <xf numFmtId="0" fontId="8" fillId="3" borderId="1" xfId="0" applyFont="1" applyFill="1" applyBorder="1" applyAlignment="1">
      <alignment horizontal="left" vertical="top"/>
    </xf>
    <xf numFmtId="0" fontId="0" fillId="0" borderId="1" xfId="0" applyBorder="1" applyAlignment="1">
      <alignment horizontal="left" vertical="top" wrapText="1"/>
    </xf>
    <xf numFmtId="0" fontId="8" fillId="15" borderId="1" xfId="0" applyFont="1" applyFill="1" applyBorder="1" applyAlignment="1">
      <alignment horizontal="left" vertical="top"/>
    </xf>
    <xf numFmtId="10" fontId="0" fillId="0" borderId="1" xfId="0" quotePrefix="1" applyNumberFormat="1" applyBorder="1" applyAlignment="1">
      <alignment horizontal="left" vertical="top"/>
    </xf>
    <xf numFmtId="0" fontId="8" fillId="32" borderId="1" xfId="0" applyFont="1" applyFill="1" applyBorder="1" applyAlignment="1">
      <alignment horizontal="left" vertical="top"/>
    </xf>
    <xf numFmtId="0" fontId="5" fillId="0" borderId="1" xfId="0" applyFont="1" applyBorder="1"/>
    <xf numFmtId="0" fontId="8" fillId="33" borderId="1" xfId="0" applyFont="1" applyFill="1" applyBorder="1" applyAlignment="1">
      <alignment horizontal="left" vertical="top"/>
    </xf>
    <xf numFmtId="164" fontId="1" fillId="0" borderId="1" xfId="0" applyNumberFormat="1" applyFont="1" applyBorder="1" applyAlignment="1">
      <alignment horizontal="left" vertical="top"/>
    </xf>
    <xf numFmtId="0" fontId="1" fillId="0" borderId="1" xfId="0" applyFont="1" applyBorder="1" applyAlignment="1">
      <alignment horizontal="left" vertical="top"/>
    </xf>
    <xf numFmtId="10" fontId="1" fillId="0" borderId="1" xfId="0" applyNumberFormat="1" applyFont="1" applyBorder="1" applyAlignment="1">
      <alignment horizontal="left" vertical="top"/>
    </xf>
    <xf numFmtId="0" fontId="2" fillId="0" borderId="0" xfId="0" applyFont="1"/>
    <xf numFmtId="0" fontId="1" fillId="0" borderId="3" xfId="0" applyFont="1" applyBorder="1" applyAlignment="1">
      <alignment horizontal="left" vertical="top"/>
    </xf>
    <xf numFmtId="0" fontId="8" fillId="8" borderId="1" xfId="0" applyFont="1" applyFill="1" applyBorder="1" applyAlignment="1">
      <alignment horizontal="left" vertical="top"/>
    </xf>
    <xf numFmtId="0" fontId="1" fillId="0" borderId="1" xfId="0" quotePrefix="1" applyFont="1" applyBorder="1" applyAlignment="1">
      <alignment horizontal="left" vertical="top"/>
    </xf>
    <xf numFmtId="0" fontId="1" fillId="6" borderId="1" xfId="0" quotePrefix="1" applyFont="1" applyFill="1" applyBorder="1" applyAlignment="1">
      <alignment horizontal="left" vertical="top"/>
    </xf>
    <xf numFmtId="0" fontId="1" fillId="18" borderId="1" xfId="0" quotePrefix="1" applyFont="1" applyFill="1" applyBorder="1" applyAlignment="1">
      <alignment horizontal="left" vertical="top"/>
    </xf>
    <xf numFmtId="0" fontId="8" fillId="2" borderId="1" xfId="0" applyFont="1" applyFill="1" applyBorder="1" applyAlignment="1">
      <alignment horizontal="left" vertical="top"/>
    </xf>
    <xf numFmtId="0" fontId="30" fillId="11" borderId="1" xfId="0" applyFont="1" applyFill="1" applyBorder="1" applyAlignment="1">
      <alignment horizontal="left" vertical="top"/>
    </xf>
    <xf numFmtId="0" fontId="1" fillId="2" borderId="1" xfId="0" applyFont="1" applyFill="1" applyBorder="1" applyAlignment="1">
      <alignment horizontal="left" vertical="top"/>
    </xf>
    <xf numFmtId="0" fontId="31" fillId="0" borderId="1" xfId="0" applyFont="1" applyBorder="1" applyAlignment="1">
      <alignment horizontal="left" vertical="top"/>
    </xf>
    <xf numFmtId="164" fontId="31" fillId="0" borderId="1" xfId="0" applyNumberFormat="1" applyFont="1" applyBorder="1" applyAlignment="1">
      <alignment horizontal="left" vertical="top"/>
    </xf>
    <xf numFmtId="0" fontId="1" fillId="7" borderId="1" xfId="0" applyFont="1" applyFill="1" applyBorder="1" applyAlignment="1">
      <alignment horizontal="left" vertical="top"/>
    </xf>
    <xf numFmtId="0" fontId="8" fillId="30" borderId="1" xfId="0" applyFont="1" applyFill="1" applyBorder="1" applyAlignment="1">
      <alignment horizontal="left" vertical="top"/>
    </xf>
    <xf numFmtId="0" fontId="6" fillId="2" borderId="1" xfId="0" quotePrefix="1" applyFont="1" applyFill="1" applyBorder="1" applyAlignment="1">
      <alignment horizontal="left" vertical="top"/>
    </xf>
    <xf numFmtId="0" fontId="8" fillId="20" borderId="1" xfId="0" applyFont="1" applyFill="1" applyBorder="1" applyAlignment="1">
      <alignment horizontal="left" vertical="top"/>
    </xf>
    <xf numFmtId="0" fontId="6" fillId="7" borderId="1" xfId="0" quotePrefix="1" applyFont="1" applyFill="1" applyBorder="1" applyAlignment="1">
      <alignment horizontal="left" vertical="top"/>
    </xf>
    <xf numFmtId="0" fontId="32" fillId="0" borderId="1" xfId="0" quotePrefix="1" applyFont="1" applyBorder="1" applyAlignment="1">
      <alignment vertical="top"/>
    </xf>
    <xf numFmtId="0" fontId="33" fillId="0" borderId="0" xfId="0" applyFont="1" applyAlignment="1">
      <alignment horizontal="left" vertical="center" indent="5"/>
    </xf>
    <xf numFmtId="0" fontId="1" fillId="0" borderId="1" xfId="0" quotePrefix="1" applyFont="1" applyBorder="1" applyAlignment="1">
      <alignment vertical="top"/>
    </xf>
    <xf numFmtId="0" fontId="1" fillId="0" borderId="10" xfId="0" quotePrefix="1" applyFont="1" applyBorder="1" applyAlignment="1">
      <alignment horizontal="left" vertical="top"/>
    </xf>
    <xf numFmtId="0" fontId="8" fillId="21" borderId="1" xfId="0" applyFont="1" applyFill="1" applyBorder="1" applyAlignment="1">
      <alignment horizontal="left" vertical="top"/>
    </xf>
    <xf numFmtId="0" fontId="8" fillId="27" borderId="1" xfId="0" applyFont="1" applyFill="1" applyBorder="1" applyAlignment="1">
      <alignment horizontal="left" vertical="top"/>
    </xf>
    <xf numFmtId="164" fontId="0" fillId="4" borderId="1" xfId="0" applyNumberFormat="1" applyFill="1" applyBorder="1" applyAlignment="1">
      <alignment horizontal="left" vertical="top"/>
    </xf>
    <xf numFmtId="0" fontId="8" fillId="34" borderId="1" xfId="0" applyFont="1" applyFill="1" applyBorder="1" applyAlignment="1">
      <alignment horizontal="left" vertical="top"/>
    </xf>
    <xf numFmtId="164" fontId="0" fillId="7" borderId="1" xfId="0" applyNumberFormat="1" applyFill="1" applyBorder="1" applyAlignment="1">
      <alignment horizontal="left" vertical="top"/>
    </xf>
    <xf numFmtId="0" fontId="0" fillId="0" borderId="11" xfId="0" applyBorder="1"/>
    <xf numFmtId="0" fontId="8" fillId="35" borderId="1" xfId="0" applyFont="1" applyFill="1" applyBorder="1" applyAlignment="1">
      <alignment horizontal="left" vertical="top"/>
    </xf>
    <xf numFmtId="0" fontId="6" fillId="7" borderId="1" xfId="0" applyFont="1" applyFill="1" applyBorder="1" applyAlignment="1">
      <alignment horizontal="left" vertical="top" wrapText="1"/>
    </xf>
    <xf numFmtId="0" fontId="8" fillId="5" borderId="1" xfId="0" applyFont="1" applyFill="1" applyBorder="1" applyAlignment="1">
      <alignment horizontal="left" vertical="top"/>
    </xf>
    <xf numFmtId="0" fontId="35" fillId="0" borderId="0" xfId="0" quotePrefix="1" applyFont="1"/>
    <xf numFmtId="0" fontId="0" fillId="0" borderId="0" xfId="0" applyAlignment="1">
      <alignment vertical="center"/>
    </xf>
    <xf numFmtId="0" fontId="8" fillId="36" borderId="1" xfId="0" applyFont="1" applyFill="1" applyBorder="1" applyAlignment="1">
      <alignment horizontal="left" vertical="top"/>
    </xf>
    <xf numFmtId="0" fontId="0" fillId="0" borderId="12" xfId="0" applyBorder="1"/>
    <xf numFmtId="0" fontId="8" fillId="7" borderId="1" xfId="0" applyFont="1" applyFill="1" applyBorder="1" applyAlignment="1">
      <alignment horizontal="left" vertical="top"/>
    </xf>
    <xf numFmtId="0" fontId="8" fillId="17" borderId="1" xfId="0" applyFont="1" applyFill="1" applyBorder="1" applyAlignment="1">
      <alignment horizontal="left" vertical="top"/>
    </xf>
    <xf numFmtId="0" fontId="0" fillId="7" borderId="1" xfId="0" applyFill="1" applyBorder="1" applyAlignment="1">
      <alignment horizontal="left"/>
    </xf>
    <xf numFmtId="0" fontId="8" fillId="24" borderId="1" xfId="0" applyFont="1" applyFill="1" applyBorder="1" applyAlignment="1">
      <alignment horizontal="left" vertical="top"/>
    </xf>
    <xf numFmtId="164" fontId="8" fillId="0" borderId="1" xfId="0" applyNumberFormat="1" applyFont="1" applyBorder="1" applyAlignment="1">
      <alignment horizontal="left" vertical="top"/>
    </xf>
    <xf numFmtId="0" fontId="8" fillId="13" borderId="1" xfId="0" applyFont="1" applyFill="1" applyBorder="1" applyAlignment="1">
      <alignment horizontal="left" vertical="top"/>
    </xf>
    <xf numFmtId="0" fontId="0" fillId="7" borderId="1" xfId="0" applyFill="1" applyBorder="1" applyAlignment="1">
      <alignment horizontal="left" vertical="top" wrapText="1"/>
    </xf>
  </cellXfs>
  <cellStyles count="2">
    <cellStyle name="Bad" xfId="1" builtinId="27"/>
    <cellStyle name="Normal" xfId="0" builtinId="0"/>
  </cellStyles>
  <dxfs count="14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8" tint="0.39994506668294322"/>
        </patternFill>
      </fill>
    </dxf>
    <dxf>
      <font>
        <b/>
        <i val="0"/>
      </font>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8" tint="0.39994506668294322"/>
        </patternFill>
      </fill>
    </dxf>
    <dxf>
      <font>
        <b/>
        <i val="0"/>
      </font>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8" tint="0.39994506668294322"/>
        </patternFill>
      </fill>
    </dxf>
    <dxf>
      <font>
        <b/>
        <i val="0"/>
      </font>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8" tint="0.39994506668294322"/>
        </patternFill>
      </fill>
    </dxf>
    <dxf>
      <font>
        <b/>
        <i val="0"/>
      </font>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FFFF00"/>
        </patternFill>
      </fill>
    </dxf>
    <dxf>
      <font>
        <b/>
        <i val="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8" tint="0.39994506668294322"/>
        </patternFill>
      </fill>
    </dxf>
    <dxf>
      <fill>
        <patternFill>
          <bgColor theme="9" tint="-0.24994659260841701"/>
        </patternFill>
      </fill>
    </dxf>
    <dxf>
      <fill>
        <patternFill>
          <bgColor theme="5" tint="0.39994506668294322"/>
        </patternFill>
      </fill>
    </dxf>
    <dxf>
      <fill>
        <patternFill>
          <bgColor theme="6" tint="0.3999450666829432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ill>
        <patternFill>
          <bgColor rgb="FFC00000"/>
        </patternFill>
      </fill>
    </dxf>
    <dxf>
      <fill>
        <patternFill>
          <bgColor theme="8" tint="0.39994506668294322"/>
        </patternFill>
      </fill>
    </dxf>
    <dxf>
      <font>
        <b/>
        <i val="0"/>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c-ut40346c\NHI5HC\hieunguyen\0000_Project\001_Prj\02_JOEM\Summary_JOEM_COEM_20200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ut40346c\NHI5HC\hieunguyen\0000_Project\001_Prj\02_JOEM\Summary_JOEM_2020040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c-ut40346c\NHI5HC\hieunguyen\0000_Project\001_Prj\01_COEM\Summary_COEM_202004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r.TD/Desktop/git/script_collect_load_tracking/Summary_JOEM_COEM_2020050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uong.nguyentuan/Desktop/git/Summary_JOEM_202004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ged_COEM"/>
      <sheetName val="Merged_JOEM"/>
      <sheetName val="|-&gt;"/>
      <sheetName val="Report_For_Each_Project_COEM"/>
      <sheetName val="Report_For_Each_Project_JOEM"/>
      <sheetName val="Template_Total_Report"/>
      <sheetName val="Table"/>
      <sheetName val="Check_List"/>
      <sheetName val="|--&gt;"/>
      <sheetName val="Monthly_20200520"/>
    </sheetNames>
    <sheetDataSet>
      <sheetData sheetId="0"/>
      <sheetData sheetId="1"/>
      <sheetData sheetId="2"/>
      <sheetData sheetId="3"/>
      <sheetData sheetId="4"/>
      <sheetData sheetId="5"/>
      <sheetData sheetId="6">
        <row r="3">
          <cell r="C3" t="str">
            <v>ASW</v>
          </cell>
          <cell r="D3" t="str">
            <v>PSW</v>
          </cell>
        </row>
        <row r="4">
          <cell r="C4">
            <v>130</v>
          </cell>
          <cell r="D4">
            <v>450</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ged"/>
      <sheetName val="|-&gt;"/>
      <sheetName val="Report_For_Each_Project"/>
      <sheetName val="Template_Total_Report"/>
      <sheetName val="Table"/>
      <sheetName val="Check_List"/>
      <sheetName val="|--&gt;"/>
      <sheetName val="Monthly_20200420"/>
    </sheetNames>
    <sheetDataSet>
      <sheetData sheetId="0"/>
      <sheetData sheetId="1"/>
      <sheetData sheetId="2"/>
      <sheetData sheetId="3"/>
      <sheetData sheetId="4">
        <row r="3">
          <cell r="C3" t="str">
            <v>ASW</v>
          </cell>
          <cell r="D3" t="str">
            <v>PSW</v>
          </cell>
        </row>
        <row r="4">
          <cell r="C4">
            <v>130</v>
          </cell>
          <cell r="D4">
            <v>450</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ged"/>
      <sheetName val="|--&gt;"/>
      <sheetName val="Template_Total_Report"/>
      <sheetName val="Table"/>
    </sheetNames>
    <sheetDataSet>
      <sheetData sheetId="0" refreshError="1"/>
      <sheetData sheetId="1" refreshError="1"/>
      <sheetData sheetId="2" refreshError="1"/>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ged_COEM"/>
      <sheetName val="Merged_JOEM"/>
      <sheetName val="|-&gt;"/>
      <sheetName val="Report_For_Each_Project_COEM"/>
      <sheetName val="Report_For_Each_Project_JOEM"/>
      <sheetName val="Template_Total_Report"/>
      <sheetName val="Table"/>
      <sheetName val="Check_List"/>
      <sheetName val="|--&gt;"/>
      <sheetName val="Monthly_20200520"/>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ged"/>
      <sheetName val="|-&gt;"/>
      <sheetName val="Report_For_Each_Project"/>
      <sheetName val="Template_Total_Report"/>
      <sheetName val="Table"/>
      <sheetName val="Check_List"/>
      <sheetName val="|--&gt;"/>
      <sheetName val="Monthly_20200420"/>
    </sheetNames>
    <sheetDataSet>
      <sheetData sheetId="0"/>
      <sheetData sheetId="1"/>
      <sheetData sheetId="2"/>
      <sheetData sheetId="3"/>
      <sheetData sheetId="4">
        <row r="4">
          <cell r="C4">
            <v>130</v>
          </cell>
        </row>
      </sheetData>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599"/>
  <sheetViews>
    <sheetView topLeftCell="A88" workbookViewId="0">
      <selection activeCell="E18" sqref="E18"/>
    </sheetView>
  </sheetViews>
  <sheetFormatPr defaultRowHeight="12.75"/>
  <cols>
    <col min="5" max="5" width="62.85546875" bestFit="1" customWidth="1"/>
    <col min="6" max="6" width="27.42578125" customWidth="1"/>
    <col min="29" max="29" width="15.140625" bestFit="1" customWidth="1"/>
    <col min="30" max="30" width="14.28515625" bestFit="1" customWidth="1"/>
    <col min="31" max="32" width="11.7109375" bestFit="1" customWidth="1"/>
  </cols>
  <sheetData>
    <row r="1" spans="1:13" ht="15">
      <c r="A1" s="120" t="s">
        <v>1302</v>
      </c>
    </row>
    <row r="2" spans="1:13" ht="15">
      <c r="B2" s="120" t="s">
        <v>1303</v>
      </c>
      <c r="C2" s="121"/>
      <c r="D2" s="121"/>
      <c r="E2" s="121"/>
      <c r="F2" s="121"/>
      <c r="G2" s="121"/>
      <c r="H2" s="121"/>
    </row>
    <row r="3" spans="1:13" ht="15">
      <c r="B3" s="122" t="s">
        <v>80</v>
      </c>
      <c r="C3" s="122" t="s">
        <v>60</v>
      </c>
      <c r="D3" s="122" t="s">
        <v>1304</v>
      </c>
      <c r="E3" s="122" t="s">
        <v>91</v>
      </c>
      <c r="F3" s="122" t="s">
        <v>1305</v>
      </c>
      <c r="G3" s="122" t="s">
        <v>1306</v>
      </c>
      <c r="H3" s="123" t="s">
        <v>1307</v>
      </c>
      <c r="J3" s="120" t="s">
        <v>1308</v>
      </c>
    </row>
    <row r="4" spans="1:13" ht="15">
      <c r="B4" s="124">
        <v>1</v>
      </c>
      <c r="C4" s="125" t="s">
        <v>74</v>
      </c>
      <c r="D4" s="126">
        <v>0</v>
      </c>
      <c r="E4" s="126">
        <v>0</v>
      </c>
      <c r="F4" s="126">
        <v>0</v>
      </c>
      <c r="G4" s="126" t="s">
        <v>111</v>
      </c>
      <c r="H4" s="127" t="s">
        <v>111</v>
      </c>
      <c r="K4" s="120" t="s">
        <v>1309</v>
      </c>
    </row>
    <row r="5" spans="1:13" ht="15">
      <c r="B5" s="124">
        <v>2</v>
      </c>
      <c r="C5" s="125" t="s">
        <v>573</v>
      </c>
      <c r="D5" s="126">
        <v>596</v>
      </c>
      <c r="E5" s="126">
        <v>596</v>
      </c>
      <c r="F5" s="126">
        <v>0.75</v>
      </c>
      <c r="G5" s="126">
        <v>794.66666666666663</v>
      </c>
      <c r="H5" s="127">
        <v>1</v>
      </c>
      <c r="L5" s="121" t="s">
        <v>1310</v>
      </c>
    </row>
    <row r="6" spans="1:13" ht="15">
      <c r="B6" s="124">
        <v>3</v>
      </c>
      <c r="C6" s="125" t="s">
        <v>78</v>
      </c>
      <c r="D6" s="126">
        <v>0</v>
      </c>
      <c r="E6" s="126">
        <v>0</v>
      </c>
      <c r="F6" s="126">
        <v>0</v>
      </c>
      <c r="G6" s="126" t="s">
        <v>111</v>
      </c>
      <c r="H6" s="127" t="s">
        <v>111</v>
      </c>
      <c r="L6" s="121" t="s">
        <v>1311</v>
      </c>
    </row>
    <row r="7" spans="1:13" ht="15">
      <c r="B7" s="124">
        <v>4</v>
      </c>
      <c r="C7" s="128" t="s">
        <v>903</v>
      </c>
      <c r="D7" s="126">
        <v>0</v>
      </c>
      <c r="E7" s="126">
        <v>0</v>
      </c>
      <c r="F7" s="126">
        <v>0</v>
      </c>
      <c r="G7" s="126" t="s">
        <v>111</v>
      </c>
      <c r="H7" s="127" t="s">
        <v>111</v>
      </c>
      <c r="K7" s="120" t="s">
        <v>1312</v>
      </c>
    </row>
    <row r="8" spans="1:13" ht="15">
      <c r="B8" s="124">
        <v>5</v>
      </c>
      <c r="C8" s="125" t="s">
        <v>117</v>
      </c>
      <c r="D8" s="126">
        <v>6916</v>
      </c>
      <c r="E8" s="126">
        <v>6916</v>
      </c>
      <c r="F8" s="126">
        <v>8.9187500000000011</v>
      </c>
      <c r="G8" s="126">
        <v>775.44498948843716</v>
      </c>
      <c r="H8" s="127">
        <v>1</v>
      </c>
      <c r="L8" s="121" t="s">
        <v>1324</v>
      </c>
    </row>
    <row r="9" spans="1:13" ht="15">
      <c r="B9" s="124">
        <v>6</v>
      </c>
      <c r="C9" s="125" t="s">
        <v>113</v>
      </c>
      <c r="D9" s="126">
        <v>5766</v>
      </c>
      <c r="E9" s="126">
        <v>5766</v>
      </c>
      <c r="F9" s="126">
        <v>7.0625</v>
      </c>
      <c r="G9" s="126">
        <v>816.42477876106193</v>
      </c>
      <c r="H9" s="127">
        <v>1</v>
      </c>
      <c r="L9" s="121" t="s">
        <v>1325</v>
      </c>
    </row>
    <row r="10" spans="1:13" ht="15">
      <c r="B10" s="124">
        <v>7</v>
      </c>
      <c r="C10" s="125" t="s">
        <v>161</v>
      </c>
      <c r="D10" s="126">
        <v>6065</v>
      </c>
      <c r="E10" s="126">
        <v>6065</v>
      </c>
      <c r="F10" s="126">
        <v>8.5875000000000004</v>
      </c>
      <c r="G10" s="126">
        <v>706.25909752547307</v>
      </c>
      <c r="H10" s="127">
        <v>1</v>
      </c>
    </row>
    <row r="11" spans="1:13" ht="15">
      <c r="B11" s="124">
        <v>8</v>
      </c>
      <c r="C11" s="125" t="s">
        <v>109</v>
      </c>
      <c r="D11" s="126">
        <v>6314</v>
      </c>
      <c r="E11" s="126">
        <v>6314</v>
      </c>
      <c r="F11" s="126">
        <v>6.2875000000000005</v>
      </c>
      <c r="G11" s="126">
        <v>1004.2147117296222</v>
      </c>
      <c r="H11" s="127">
        <v>1</v>
      </c>
    </row>
    <row r="12" spans="1:13">
      <c r="B12" s="124">
        <v>9</v>
      </c>
      <c r="C12" s="129" t="s">
        <v>959</v>
      </c>
      <c r="D12" s="126">
        <v>0</v>
      </c>
      <c r="E12" s="126">
        <v>0</v>
      </c>
      <c r="F12" s="126">
        <v>0</v>
      </c>
      <c r="G12" s="126" t="s">
        <v>111</v>
      </c>
      <c r="H12" s="127" t="s">
        <v>111</v>
      </c>
    </row>
    <row r="13" spans="1:13" ht="15">
      <c r="B13" s="124">
        <v>10</v>
      </c>
      <c r="C13" s="125" t="s">
        <v>77</v>
      </c>
      <c r="D13" s="126">
        <v>520</v>
      </c>
      <c r="E13" s="126">
        <v>520</v>
      </c>
      <c r="F13" s="126">
        <v>0.875</v>
      </c>
      <c r="G13" s="126">
        <v>594.28571428571433</v>
      </c>
      <c r="H13" s="127">
        <v>1</v>
      </c>
      <c r="J13" s="120" t="s">
        <v>1313</v>
      </c>
      <c r="K13" s="130">
        <v>43952</v>
      </c>
      <c r="M13" s="130">
        <v>43965</v>
      </c>
    </row>
    <row r="14" spans="1:13" ht="15">
      <c r="B14" s="122" t="s">
        <v>1314</v>
      </c>
      <c r="C14" s="131"/>
      <c r="D14" s="132">
        <v>26177</v>
      </c>
      <c r="E14" s="132">
        <v>26177</v>
      </c>
      <c r="F14" s="132">
        <v>32.481249999999989</v>
      </c>
      <c r="G14" s="126">
        <v>805.91110255916908</v>
      </c>
      <c r="H14" s="127">
        <v>1</v>
      </c>
      <c r="J14" s="120" t="s">
        <v>1315</v>
      </c>
      <c r="K14" s="133">
        <v>10</v>
      </c>
    </row>
    <row r="15" spans="1:13" ht="15">
      <c r="J15" s="120" t="s">
        <v>1316</v>
      </c>
      <c r="K15" s="133">
        <v>1</v>
      </c>
      <c r="L15" s="134" t="s">
        <v>1317</v>
      </c>
    </row>
    <row r="16" spans="1:13" ht="15">
      <c r="J16" s="120" t="s">
        <v>1318</v>
      </c>
      <c r="K16" s="121">
        <v>9</v>
      </c>
    </row>
    <row r="17" spans="1:13" ht="15">
      <c r="B17" s="120" t="s">
        <v>1319</v>
      </c>
    </row>
    <row r="18" spans="1:13" ht="15">
      <c r="B18" s="122" t="s">
        <v>80</v>
      </c>
      <c r="C18" s="122" t="s">
        <v>60</v>
      </c>
      <c r="D18" s="122" t="s">
        <v>1304</v>
      </c>
      <c r="E18" s="122" t="s">
        <v>91</v>
      </c>
      <c r="F18" s="122" t="s">
        <v>1305</v>
      </c>
      <c r="G18" s="122" t="s">
        <v>1320</v>
      </c>
      <c r="H18" s="123" t="s">
        <v>1307</v>
      </c>
    </row>
    <row r="19" spans="1:13" ht="15">
      <c r="B19" s="124">
        <v>1</v>
      </c>
      <c r="C19" s="125" t="s">
        <v>74</v>
      </c>
      <c r="D19" s="126">
        <v>0</v>
      </c>
      <c r="E19" s="126">
        <v>0</v>
      </c>
      <c r="F19" s="126">
        <v>0</v>
      </c>
      <c r="G19" s="126" t="s">
        <v>111</v>
      </c>
      <c r="H19" s="127" t="s">
        <v>111</v>
      </c>
      <c r="J19" s="120"/>
      <c r="K19" s="130"/>
      <c r="M19" s="130"/>
    </row>
    <row r="20" spans="1:13" ht="15">
      <c r="B20" s="124">
        <v>2</v>
      </c>
      <c r="C20" s="125" t="s">
        <v>573</v>
      </c>
      <c r="D20" s="126">
        <v>0</v>
      </c>
      <c r="E20" s="126">
        <v>0</v>
      </c>
      <c r="F20" s="126">
        <v>0</v>
      </c>
      <c r="G20" s="126" t="s">
        <v>111</v>
      </c>
      <c r="H20" s="127" t="s">
        <v>111</v>
      </c>
      <c r="J20" s="120"/>
      <c r="K20" s="121"/>
    </row>
    <row r="21" spans="1:13" ht="15">
      <c r="B21" s="124">
        <v>3</v>
      </c>
      <c r="C21" s="125" t="s">
        <v>78</v>
      </c>
      <c r="D21" s="126">
        <v>0</v>
      </c>
      <c r="E21" s="126">
        <v>0</v>
      </c>
      <c r="F21" s="126">
        <v>0</v>
      </c>
      <c r="G21" s="126" t="s">
        <v>111</v>
      </c>
      <c r="H21" s="127" t="s">
        <v>111</v>
      </c>
      <c r="J21" s="120"/>
      <c r="K21" s="121"/>
      <c r="L21" s="134"/>
    </row>
    <row r="22" spans="1:13" ht="15">
      <c r="B22" s="124">
        <v>4</v>
      </c>
      <c r="C22" s="128" t="s">
        <v>903</v>
      </c>
      <c r="D22" s="126">
        <v>0</v>
      </c>
      <c r="E22" s="126">
        <v>0</v>
      </c>
      <c r="F22" s="126">
        <v>0</v>
      </c>
      <c r="G22" s="126" t="s">
        <v>111</v>
      </c>
      <c r="H22" s="127" t="s">
        <v>111</v>
      </c>
      <c r="J22" s="120"/>
      <c r="K22" s="121"/>
    </row>
    <row r="23" spans="1:13" ht="15">
      <c r="B23" s="124">
        <v>5</v>
      </c>
      <c r="C23" s="125" t="s">
        <v>117</v>
      </c>
      <c r="D23" s="126">
        <v>340</v>
      </c>
      <c r="E23" s="126">
        <v>340</v>
      </c>
      <c r="F23" s="126">
        <v>2.375</v>
      </c>
      <c r="G23" s="126">
        <v>143.15789473684211</v>
      </c>
      <c r="H23" s="127">
        <v>1</v>
      </c>
    </row>
    <row r="24" spans="1:13" ht="15">
      <c r="B24" s="124">
        <v>6</v>
      </c>
      <c r="C24" s="125" t="s">
        <v>113</v>
      </c>
      <c r="D24" s="126">
        <v>178</v>
      </c>
      <c r="E24" s="126">
        <v>178</v>
      </c>
      <c r="F24" s="126">
        <v>1</v>
      </c>
      <c r="G24" s="126">
        <v>178</v>
      </c>
      <c r="H24" s="127">
        <v>1</v>
      </c>
    </row>
    <row r="25" spans="1:13" ht="15">
      <c r="B25" s="124">
        <v>7</v>
      </c>
      <c r="C25" s="125" t="s">
        <v>161</v>
      </c>
      <c r="D25" s="126">
        <v>243</v>
      </c>
      <c r="E25" s="126">
        <v>243</v>
      </c>
      <c r="F25" s="126">
        <v>1.75</v>
      </c>
      <c r="G25" s="126">
        <v>138.85714285714286</v>
      </c>
      <c r="H25" s="127">
        <v>1</v>
      </c>
    </row>
    <row r="26" spans="1:13" ht="15">
      <c r="B26" s="124">
        <v>8</v>
      </c>
      <c r="C26" s="125" t="s">
        <v>109</v>
      </c>
      <c r="D26" s="126">
        <v>208</v>
      </c>
      <c r="E26" s="126">
        <v>208</v>
      </c>
      <c r="F26" s="126">
        <v>1</v>
      </c>
      <c r="G26" s="126">
        <v>208</v>
      </c>
      <c r="H26" s="127">
        <v>1</v>
      </c>
    </row>
    <row r="27" spans="1:13">
      <c r="B27" s="124">
        <v>9</v>
      </c>
      <c r="C27" s="129" t="s">
        <v>959</v>
      </c>
      <c r="D27" s="126">
        <v>0</v>
      </c>
      <c r="E27" s="126">
        <v>0</v>
      </c>
      <c r="F27" s="126">
        <v>0</v>
      </c>
      <c r="G27" s="126" t="s">
        <v>111</v>
      </c>
      <c r="H27" s="127" t="s">
        <v>111</v>
      </c>
    </row>
    <row r="28" spans="1:13" ht="15">
      <c r="B28" s="124">
        <v>10</v>
      </c>
      <c r="C28" s="125" t="s">
        <v>77</v>
      </c>
      <c r="D28" s="126">
        <v>0</v>
      </c>
      <c r="E28" s="126">
        <v>0</v>
      </c>
      <c r="F28" s="126">
        <v>0</v>
      </c>
      <c r="G28" s="126" t="s">
        <v>111</v>
      </c>
      <c r="H28" s="127" t="s">
        <v>111</v>
      </c>
    </row>
    <row r="29" spans="1:13" ht="15">
      <c r="B29" s="122" t="s">
        <v>1314</v>
      </c>
      <c r="C29" s="131"/>
      <c r="D29" s="132">
        <v>969</v>
      </c>
      <c r="E29" s="132">
        <v>969</v>
      </c>
      <c r="F29" s="132">
        <v>6.125</v>
      </c>
      <c r="G29" s="126">
        <v>158.20408163265307</v>
      </c>
      <c r="H29" s="127">
        <v>1</v>
      </c>
      <c r="L29" s="135"/>
    </row>
    <row r="31" spans="1:13" ht="19.5" customHeight="1"/>
    <row r="32" spans="1:13" ht="15">
      <c r="A32" s="136" t="s">
        <v>1321</v>
      </c>
      <c r="B32" s="120" t="s">
        <v>1322</v>
      </c>
    </row>
    <row r="33" spans="2:49" ht="15">
      <c r="B33" s="122" t="s">
        <v>80</v>
      </c>
      <c r="C33" s="122" t="s">
        <v>60</v>
      </c>
      <c r="D33" s="122" t="s">
        <v>1304</v>
      </c>
      <c r="E33" s="122" t="s">
        <v>91</v>
      </c>
      <c r="F33" s="122" t="s">
        <v>1323</v>
      </c>
      <c r="G33" s="122" t="s">
        <v>1320</v>
      </c>
      <c r="H33" s="123" t="s">
        <v>1307</v>
      </c>
      <c r="I33" s="137" t="s">
        <v>76</v>
      </c>
      <c r="J33" s="138" t="s">
        <v>378</v>
      </c>
    </row>
    <row r="34" spans="2:49" ht="15.75">
      <c r="B34" s="124">
        <v>1</v>
      </c>
      <c r="C34" s="125" t="s">
        <v>74</v>
      </c>
      <c r="D34" s="126">
        <v>0</v>
      </c>
      <c r="E34" s="126">
        <v>0</v>
      </c>
      <c r="F34" s="126">
        <v>9</v>
      </c>
      <c r="G34" s="126">
        <v>0</v>
      </c>
      <c r="H34" s="127" t="s">
        <v>111</v>
      </c>
      <c r="I34" s="139">
        <v>0</v>
      </c>
      <c r="J34" s="139">
        <v>0</v>
      </c>
    </row>
    <row r="35" spans="2:49" ht="15.75">
      <c r="B35" s="124">
        <v>2</v>
      </c>
      <c r="C35" s="125" t="s">
        <v>573</v>
      </c>
      <c r="D35" s="126">
        <v>596</v>
      </c>
      <c r="E35" s="126">
        <v>596</v>
      </c>
      <c r="F35" s="126">
        <v>9</v>
      </c>
      <c r="G35" s="126">
        <v>66.222222222222229</v>
      </c>
      <c r="H35" s="127">
        <v>1</v>
      </c>
      <c r="I35" s="139">
        <v>1</v>
      </c>
      <c r="J35" s="139">
        <v>0</v>
      </c>
    </row>
    <row r="36" spans="2:49" ht="15.75">
      <c r="B36" s="124">
        <v>3</v>
      </c>
      <c r="C36" s="125" t="s">
        <v>78</v>
      </c>
      <c r="D36" s="126">
        <v>0</v>
      </c>
      <c r="E36" s="126">
        <v>0</v>
      </c>
      <c r="F36" s="126">
        <v>9</v>
      </c>
      <c r="G36" s="126">
        <v>0</v>
      </c>
      <c r="H36" s="127" t="s">
        <v>111</v>
      </c>
      <c r="I36" s="139">
        <v>0</v>
      </c>
      <c r="J36" s="139">
        <v>0</v>
      </c>
    </row>
    <row r="37" spans="2:49" ht="15.75">
      <c r="B37" s="124">
        <v>4</v>
      </c>
      <c r="C37" s="128" t="s">
        <v>903</v>
      </c>
      <c r="D37" s="126">
        <v>0</v>
      </c>
      <c r="E37" s="126">
        <v>0</v>
      </c>
      <c r="F37" s="126">
        <v>9</v>
      </c>
      <c r="G37" s="126">
        <v>0</v>
      </c>
      <c r="H37" s="127" t="s">
        <v>111</v>
      </c>
      <c r="I37" s="139">
        <v>0</v>
      </c>
      <c r="J37" s="139">
        <v>0</v>
      </c>
    </row>
    <row r="38" spans="2:49" ht="15.75">
      <c r="B38" s="124">
        <v>5</v>
      </c>
      <c r="C38" s="125" t="s">
        <v>117</v>
      </c>
      <c r="D38" s="126">
        <v>8092.9230769230771</v>
      </c>
      <c r="E38" s="126">
        <v>8092.9230769230771</v>
      </c>
      <c r="F38" s="126">
        <v>9</v>
      </c>
      <c r="G38" s="126">
        <v>899.21367521367529</v>
      </c>
      <c r="H38" s="127">
        <v>1</v>
      </c>
      <c r="I38" s="139">
        <v>6</v>
      </c>
      <c r="J38" s="139">
        <v>1</v>
      </c>
      <c r="M38" s="140"/>
      <c r="N38" s="140"/>
      <c r="O38" s="140"/>
      <c r="P38" s="140"/>
      <c r="Q38" s="140"/>
    </row>
    <row r="39" spans="2:49" ht="15.75">
      <c r="B39" s="124">
        <v>6</v>
      </c>
      <c r="C39" s="125" t="s">
        <v>113</v>
      </c>
      <c r="D39" s="126">
        <v>6382.1538461538457</v>
      </c>
      <c r="E39" s="126">
        <v>6382.1538461538457</v>
      </c>
      <c r="F39" s="126">
        <v>9</v>
      </c>
      <c r="G39" s="126">
        <v>709.12820512820508</v>
      </c>
      <c r="H39" s="127">
        <v>1</v>
      </c>
      <c r="I39" s="139">
        <v>7</v>
      </c>
      <c r="J39" s="139">
        <v>1</v>
      </c>
      <c r="M39" s="140"/>
      <c r="N39" s="141"/>
      <c r="O39" s="142"/>
      <c r="P39" s="141"/>
      <c r="Q39" s="140"/>
    </row>
    <row r="40" spans="2:49" ht="15.75">
      <c r="B40" s="124">
        <v>7</v>
      </c>
      <c r="C40" s="125" t="s">
        <v>161</v>
      </c>
      <c r="D40" s="126">
        <v>6906.1538461538457</v>
      </c>
      <c r="E40" s="126">
        <v>6906.1538461538457</v>
      </c>
      <c r="F40" s="126">
        <v>9</v>
      </c>
      <c r="G40" s="126">
        <v>767.35042735042725</v>
      </c>
      <c r="H40" s="127">
        <v>1</v>
      </c>
      <c r="I40" s="139">
        <v>4</v>
      </c>
      <c r="J40" s="139">
        <v>0</v>
      </c>
      <c r="M40" s="140"/>
      <c r="N40" s="140"/>
      <c r="O40" s="140"/>
      <c r="P40" s="140"/>
      <c r="Q40" s="140"/>
    </row>
    <row r="41" spans="2:49" ht="15.75">
      <c r="B41" s="124">
        <v>8</v>
      </c>
      <c r="C41" s="125" t="s">
        <v>109</v>
      </c>
      <c r="D41" s="126">
        <v>7034</v>
      </c>
      <c r="E41" s="126">
        <v>7034</v>
      </c>
      <c r="F41" s="126">
        <v>9</v>
      </c>
      <c r="G41" s="126">
        <v>781.55555555555554</v>
      </c>
      <c r="H41" s="127">
        <v>1</v>
      </c>
      <c r="I41" s="139">
        <v>5</v>
      </c>
      <c r="J41" s="139">
        <v>0</v>
      </c>
    </row>
    <row r="42" spans="2:49" ht="15.75">
      <c r="B42" s="124">
        <v>9</v>
      </c>
      <c r="C42" s="129" t="s">
        <v>959</v>
      </c>
      <c r="D42" s="126">
        <v>0</v>
      </c>
      <c r="E42" s="126">
        <v>0</v>
      </c>
      <c r="F42" s="126">
        <v>9</v>
      </c>
      <c r="G42" s="126">
        <v>0</v>
      </c>
      <c r="H42" s="127" t="s">
        <v>111</v>
      </c>
      <c r="I42" s="139">
        <v>0</v>
      </c>
      <c r="J42" s="139">
        <v>0</v>
      </c>
    </row>
    <row r="43" spans="2:49" ht="15.75">
      <c r="B43" s="124">
        <v>10</v>
      </c>
      <c r="C43" s="125" t="s">
        <v>77</v>
      </c>
      <c r="D43" s="126">
        <v>520</v>
      </c>
      <c r="E43" s="126">
        <v>520</v>
      </c>
      <c r="F43" s="126">
        <v>9</v>
      </c>
      <c r="G43" s="126">
        <v>57.777777777777779</v>
      </c>
      <c r="H43" s="127">
        <v>1</v>
      </c>
      <c r="I43" s="139">
        <v>2</v>
      </c>
      <c r="J43" s="139">
        <v>0</v>
      </c>
    </row>
    <row r="44" spans="2:49" ht="15.75">
      <c r="B44" s="122" t="s">
        <v>1314</v>
      </c>
      <c r="C44" s="131"/>
      <c r="D44" s="126">
        <v>29531.23076923077</v>
      </c>
      <c r="E44" s="126">
        <v>29531.23076923077</v>
      </c>
      <c r="F44" s="126">
        <v>90</v>
      </c>
      <c r="G44" s="126">
        <v>328.12478632478633</v>
      </c>
      <c r="H44" s="127">
        <v>1</v>
      </c>
      <c r="I44" s="139">
        <v>25</v>
      </c>
      <c r="J44" s="139">
        <v>2</v>
      </c>
    </row>
    <row r="47" spans="2:49" ht="15">
      <c r="B47" s="115" t="s">
        <v>80</v>
      </c>
      <c r="C47" s="115" t="s">
        <v>81</v>
      </c>
      <c r="D47" s="115" t="s">
        <v>82</v>
      </c>
      <c r="E47" s="115" t="s">
        <v>10</v>
      </c>
      <c r="F47" s="115" t="s">
        <v>12</v>
      </c>
      <c r="G47" s="115" t="s">
        <v>57</v>
      </c>
      <c r="H47" s="115" t="s">
        <v>83</v>
      </c>
      <c r="I47" s="115" t="s">
        <v>13</v>
      </c>
      <c r="J47" s="115" t="s">
        <v>84</v>
      </c>
      <c r="K47" s="115" t="s">
        <v>58</v>
      </c>
      <c r="L47" s="9" t="s">
        <v>0</v>
      </c>
      <c r="M47" s="9" t="s">
        <v>11</v>
      </c>
      <c r="N47" s="115" t="s">
        <v>59</v>
      </c>
      <c r="O47" s="115" t="s">
        <v>85</v>
      </c>
      <c r="P47" s="115" t="s">
        <v>1284</v>
      </c>
      <c r="Q47" s="116" t="s">
        <v>86</v>
      </c>
      <c r="R47" s="116" t="s">
        <v>87</v>
      </c>
      <c r="S47" s="116" t="s">
        <v>60</v>
      </c>
      <c r="T47" s="116" t="s">
        <v>88</v>
      </c>
      <c r="U47" s="116" t="s">
        <v>89</v>
      </c>
      <c r="V47" s="116" t="s">
        <v>61</v>
      </c>
      <c r="W47" s="116" t="s">
        <v>90</v>
      </c>
      <c r="X47" s="116" t="s">
        <v>91</v>
      </c>
      <c r="Y47" s="116" t="s">
        <v>92</v>
      </c>
      <c r="Z47" s="116" t="s">
        <v>93</v>
      </c>
      <c r="AA47" s="116" t="s">
        <v>94</v>
      </c>
      <c r="AB47" s="116" t="s">
        <v>95</v>
      </c>
      <c r="AC47" s="116" t="s">
        <v>96</v>
      </c>
      <c r="AD47" s="116" t="s">
        <v>62</v>
      </c>
      <c r="AE47" s="115" t="s">
        <v>97</v>
      </c>
      <c r="AF47" s="115" t="s">
        <v>98</v>
      </c>
      <c r="AG47" s="115" t="s">
        <v>63</v>
      </c>
      <c r="AH47" s="115" t="s">
        <v>64</v>
      </c>
      <c r="AI47" s="115" t="s">
        <v>65</v>
      </c>
      <c r="AJ47" s="116" t="s">
        <v>66</v>
      </c>
      <c r="AK47" s="116" t="s">
        <v>67</v>
      </c>
      <c r="AL47" s="116" t="s">
        <v>68</v>
      </c>
      <c r="AM47" s="116" t="s">
        <v>69</v>
      </c>
      <c r="AN47" s="116" t="s">
        <v>70</v>
      </c>
    </row>
    <row r="48" spans="2:49" ht="15">
      <c r="B48" s="10">
        <v>92</v>
      </c>
      <c r="C48" s="11">
        <v>20200407</v>
      </c>
      <c r="D48" s="12" t="s">
        <v>24</v>
      </c>
      <c r="E48" s="13" t="s">
        <v>99</v>
      </c>
      <c r="F48" s="14" t="s">
        <v>100</v>
      </c>
      <c r="G48" s="13">
        <v>1405783</v>
      </c>
      <c r="H48" s="15" t="s">
        <v>72</v>
      </c>
      <c r="I48" s="13" t="s">
        <v>101</v>
      </c>
      <c r="J48" s="15" t="s">
        <v>72</v>
      </c>
      <c r="K48" s="3" t="s">
        <v>73</v>
      </c>
      <c r="L48" s="16" t="s">
        <v>102</v>
      </c>
      <c r="M48" s="15" t="s">
        <v>72</v>
      </c>
      <c r="N48" s="13" t="s">
        <v>103</v>
      </c>
      <c r="O48" s="5" t="s">
        <v>72</v>
      </c>
      <c r="P48" s="14" t="s">
        <v>4</v>
      </c>
      <c r="Q48" s="11" t="s">
        <v>108</v>
      </c>
      <c r="R48" s="15" t="s">
        <v>72</v>
      </c>
      <c r="S48" s="3" t="s">
        <v>109</v>
      </c>
      <c r="T48" s="3"/>
      <c r="U48" s="3"/>
      <c r="V48" s="13">
        <v>242</v>
      </c>
      <c r="W48" s="3">
        <v>242</v>
      </c>
      <c r="X48" s="3">
        <v>242</v>
      </c>
      <c r="Y48" s="3">
        <v>4.3</v>
      </c>
      <c r="Z48" s="3">
        <v>2.5</v>
      </c>
      <c r="AA48" s="3" t="s">
        <v>110</v>
      </c>
      <c r="AB48" s="3"/>
      <c r="AC48" s="6">
        <v>43928</v>
      </c>
      <c r="AD48" s="6">
        <v>43938</v>
      </c>
      <c r="AE48" s="6">
        <v>43930</v>
      </c>
      <c r="AF48" s="6">
        <v>43930</v>
      </c>
      <c r="AG48" s="18" t="s">
        <v>75</v>
      </c>
      <c r="AH48" s="3">
        <v>100</v>
      </c>
      <c r="AI48" s="3">
        <v>100</v>
      </c>
      <c r="AJ48" s="3">
        <v>100</v>
      </c>
      <c r="AK48" s="19" t="s">
        <v>111</v>
      </c>
      <c r="AL48" s="5" t="s">
        <v>72</v>
      </c>
      <c r="AM48" s="5"/>
      <c r="AN48" s="5" t="s">
        <v>72</v>
      </c>
      <c r="AW48" s="143"/>
    </row>
    <row r="49" spans="2:49" ht="15">
      <c r="B49" s="10">
        <v>93</v>
      </c>
      <c r="C49" s="11">
        <v>20200407</v>
      </c>
      <c r="D49" s="12" t="s">
        <v>24</v>
      </c>
      <c r="E49" s="13" t="s">
        <v>104</v>
      </c>
      <c r="F49" s="14" t="s">
        <v>105</v>
      </c>
      <c r="G49" s="13">
        <v>1405633</v>
      </c>
      <c r="H49" s="15" t="s">
        <v>72</v>
      </c>
      <c r="I49" s="17" t="s">
        <v>37</v>
      </c>
      <c r="J49" s="15" t="s">
        <v>72</v>
      </c>
      <c r="K49" s="3" t="s">
        <v>106</v>
      </c>
      <c r="L49" s="16" t="s">
        <v>72</v>
      </c>
      <c r="M49" s="15" t="s">
        <v>72</v>
      </c>
      <c r="N49" s="13" t="s">
        <v>107</v>
      </c>
      <c r="O49" s="5" t="s">
        <v>72</v>
      </c>
      <c r="P49" s="14" t="s">
        <v>1285</v>
      </c>
      <c r="Q49" s="11" t="s">
        <v>112</v>
      </c>
      <c r="R49" s="15" t="s">
        <v>72</v>
      </c>
      <c r="S49" s="3" t="s">
        <v>113</v>
      </c>
      <c r="T49" s="3"/>
      <c r="U49" s="3"/>
      <c r="V49" s="13">
        <v>300</v>
      </c>
      <c r="W49" s="3">
        <v>300</v>
      </c>
      <c r="X49" s="3">
        <v>300</v>
      </c>
      <c r="Y49" s="3">
        <v>5.33</v>
      </c>
      <c r="Z49" s="3">
        <v>4.5</v>
      </c>
      <c r="AA49" s="3" t="s">
        <v>110</v>
      </c>
      <c r="AB49" s="3"/>
      <c r="AC49" s="6">
        <v>43928</v>
      </c>
      <c r="AD49" s="6">
        <v>43938</v>
      </c>
      <c r="AE49" s="6">
        <v>43929</v>
      </c>
      <c r="AF49" s="6">
        <v>43929</v>
      </c>
      <c r="AG49" s="18" t="s">
        <v>79</v>
      </c>
      <c r="AH49" s="3">
        <v>98</v>
      </c>
      <c r="AI49" s="3">
        <v>96</v>
      </c>
      <c r="AJ49" s="3">
        <v>100</v>
      </c>
      <c r="AK49" s="3" t="s">
        <v>76</v>
      </c>
      <c r="AL49" s="20" t="s">
        <v>114</v>
      </c>
      <c r="AM49" s="20"/>
      <c r="AN49" s="5" t="s">
        <v>115</v>
      </c>
      <c r="AW49" s="143"/>
    </row>
    <row r="50" spans="2:49" ht="15">
      <c r="B50" s="10">
        <v>94</v>
      </c>
      <c r="C50" s="11">
        <v>20200407</v>
      </c>
      <c r="D50" s="12" t="s">
        <v>24</v>
      </c>
      <c r="E50" s="13" t="s">
        <v>104</v>
      </c>
      <c r="F50" s="14" t="s">
        <v>105</v>
      </c>
      <c r="G50" s="13">
        <v>1405633</v>
      </c>
      <c r="H50" s="15" t="s">
        <v>72</v>
      </c>
      <c r="I50" s="13" t="s">
        <v>38</v>
      </c>
      <c r="J50" s="15" t="s">
        <v>72</v>
      </c>
      <c r="K50" s="3" t="s">
        <v>106</v>
      </c>
      <c r="L50" s="16" t="s">
        <v>72</v>
      </c>
      <c r="M50" s="15" t="s">
        <v>72</v>
      </c>
      <c r="N50" s="3" t="s">
        <v>107</v>
      </c>
      <c r="O50" s="5" t="s">
        <v>72</v>
      </c>
      <c r="P50" s="5" t="s">
        <v>1285</v>
      </c>
      <c r="Q50" s="11" t="s">
        <v>116</v>
      </c>
      <c r="R50" s="15" t="s">
        <v>72</v>
      </c>
      <c r="S50" s="3" t="s">
        <v>117</v>
      </c>
      <c r="T50" s="3"/>
      <c r="U50" s="3"/>
      <c r="V50" s="13">
        <v>115</v>
      </c>
      <c r="W50" s="3">
        <v>115</v>
      </c>
      <c r="X50" s="3">
        <v>115</v>
      </c>
      <c r="Y50" s="3">
        <v>2.04</v>
      </c>
      <c r="Z50" s="3">
        <v>2</v>
      </c>
      <c r="AA50" s="3" t="s">
        <v>110</v>
      </c>
      <c r="AB50" s="3"/>
      <c r="AC50" s="6">
        <v>43928</v>
      </c>
      <c r="AD50" s="6">
        <v>43938</v>
      </c>
      <c r="AE50" s="6">
        <v>43930</v>
      </c>
      <c r="AF50" s="6">
        <v>43930</v>
      </c>
      <c r="AG50" s="12" t="s">
        <v>75</v>
      </c>
      <c r="AH50" s="12">
        <v>100</v>
      </c>
      <c r="AI50" s="12">
        <v>100</v>
      </c>
      <c r="AJ50" s="12">
        <v>100</v>
      </c>
      <c r="AK50" s="19" t="s">
        <v>111</v>
      </c>
      <c r="AL50" s="5" t="s">
        <v>72</v>
      </c>
      <c r="AM50" s="5"/>
      <c r="AN50" s="5" t="s">
        <v>72</v>
      </c>
      <c r="AW50" s="143"/>
    </row>
    <row r="51" spans="2:49" ht="15">
      <c r="B51" s="21">
        <v>100</v>
      </c>
      <c r="C51" s="11">
        <v>20200408</v>
      </c>
      <c r="D51" s="12" t="s">
        <v>24</v>
      </c>
      <c r="E51" s="13" t="s">
        <v>118</v>
      </c>
      <c r="F51" s="14" t="s">
        <v>119</v>
      </c>
      <c r="G51" s="17">
        <v>1409332</v>
      </c>
      <c r="H51" s="15" t="s">
        <v>72</v>
      </c>
      <c r="I51" s="17" t="s">
        <v>120</v>
      </c>
      <c r="J51" s="15" t="s">
        <v>72</v>
      </c>
      <c r="K51" s="3" t="s">
        <v>73</v>
      </c>
      <c r="L51" s="16" t="s">
        <v>1326</v>
      </c>
      <c r="M51" s="15" t="s">
        <v>72</v>
      </c>
      <c r="N51" s="13" t="s">
        <v>121</v>
      </c>
      <c r="O51" s="5" t="s">
        <v>72</v>
      </c>
      <c r="P51" s="14" t="s">
        <v>1286</v>
      </c>
      <c r="Q51" s="11" t="s">
        <v>152</v>
      </c>
      <c r="R51" s="15" t="s">
        <v>72</v>
      </c>
      <c r="S51" s="3" t="s">
        <v>113</v>
      </c>
      <c r="T51" s="3"/>
      <c r="U51" s="3"/>
      <c r="V51" s="13">
        <v>34</v>
      </c>
      <c r="W51" s="3">
        <v>34</v>
      </c>
      <c r="X51" s="3">
        <v>34</v>
      </c>
      <c r="Y51" s="3">
        <v>0.6</v>
      </c>
      <c r="Z51" s="3">
        <v>2</v>
      </c>
      <c r="AA51" s="3" t="s">
        <v>110</v>
      </c>
      <c r="AB51" s="3"/>
      <c r="AC51" s="6">
        <v>43929</v>
      </c>
      <c r="AD51" s="6">
        <v>43941</v>
      </c>
      <c r="AE51" s="6">
        <v>43930</v>
      </c>
      <c r="AF51" s="6">
        <v>43930</v>
      </c>
      <c r="AG51" s="18" t="s">
        <v>75</v>
      </c>
      <c r="AH51" s="19">
        <v>100</v>
      </c>
      <c r="AI51" s="19">
        <v>100</v>
      </c>
      <c r="AJ51" s="19">
        <v>100</v>
      </c>
      <c r="AK51" s="19" t="s">
        <v>111</v>
      </c>
      <c r="AL51" s="5" t="s">
        <v>72</v>
      </c>
      <c r="AM51" s="5"/>
      <c r="AN51" s="5" t="s">
        <v>72</v>
      </c>
      <c r="AW51" s="143"/>
    </row>
    <row r="52" spans="2:49" ht="15">
      <c r="B52" s="21">
        <v>101</v>
      </c>
      <c r="C52" s="11">
        <v>20200408</v>
      </c>
      <c r="D52" s="12" t="s">
        <v>24</v>
      </c>
      <c r="E52" s="13" t="s">
        <v>118</v>
      </c>
      <c r="F52" s="14" t="s">
        <v>122</v>
      </c>
      <c r="G52" s="13">
        <v>1409332</v>
      </c>
      <c r="H52" s="15" t="s">
        <v>72</v>
      </c>
      <c r="I52" s="13" t="s">
        <v>123</v>
      </c>
      <c r="J52" s="15" t="s">
        <v>72</v>
      </c>
      <c r="K52" s="3" t="s">
        <v>73</v>
      </c>
      <c r="L52" s="16" t="s">
        <v>1326</v>
      </c>
      <c r="M52" s="15" t="s">
        <v>72</v>
      </c>
      <c r="N52" s="3" t="s">
        <v>121</v>
      </c>
      <c r="O52" s="5" t="s">
        <v>72</v>
      </c>
      <c r="P52" s="5" t="s">
        <v>1286</v>
      </c>
      <c r="Q52" s="11" t="s">
        <v>153</v>
      </c>
      <c r="R52" s="15" t="s">
        <v>72</v>
      </c>
      <c r="S52" s="3" t="s">
        <v>117</v>
      </c>
      <c r="T52" s="3"/>
      <c r="U52" s="3"/>
      <c r="V52" s="13">
        <v>65</v>
      </c>
      <c r="W52" s="3">
        <v>65</v>
      </c>
      <c r="X52" s="3">
        <v>65</v>
      </c>
      <c r="Y52" s="3">
        <v>1.1499999999999999</v>
      </c>
      <c r="Z52" s="3">
        <v>1</v>
      </c>
      <c r="AA52" s="3" t="s">
        <v>110</v>
      </c>
      <c r="AB52" s="3"/>
      <c r="AC52" s="6">
        <v>43929</v>
      </c>
      <c r="AD52" s="6">
        <v>43941</v>
      </c>
      <c r="AE52" s="6">
        <v>43935</v>
      </c>
      <c r="AF52" s="6">
        <v>43935</v>
      </c>
      <c r="AG52" s="23" t="s">
        <v>75</v>
      </c>
      <c r="AH52" s="19">
        <v>100</v>
      </c>
      <c r="AI52" s="19">
        <v>100</v>
      </c>
      <c r="AJ52" s="19">
        <v>100</v>
      </c>
      <c r="AK52" s="19" t="s">
        <v>111</v>
      </c>
      <c r="AL52" s="5" t="s">
        <v>72</v>
      </c>
      <c r="AM52" s="5"/>
      <c r="AN52" s="5" t="s">
        <v>72</v>
      </c>
      <c r="AW52" s="143"/>
    </row>
    <row r="53" spans="2:49" ht="15">
      <c r="B53" s="21">
        <v>102</v>
      </c>
      <c r="C53" s="11">
        <v>20200408</v>
      </c>
      <c r="D53" s="12" t="s">
        <v>24</v>
      </c>
      <c r="E53" s="13" t="s">
        <v>118</v>
      </c>
      <c r="F53" s="14" t="s">
        <v>124</v>
      </c>
      <c r="G53" s="17">
        <v>1409332</v>
      </c>
      <c r="H53" s="15" t="s">
        <v>72</v>
      </c>
      <c r="I53" s="17" t="s">
        <v>120</v>
      </c>
      <c r="J53" s="15" t="s">
        <v>72</v>
      </c>
      <c r="K53" s="3" t="s">
        <v>73</v>
      </c>
      <c r="L53" s="16" t="s">
        <v>1326</v>
      </c>
      <c r="M53" s="15" t="s">
        <v>72</v>
      </c>
      <c r="N53" s="3" t="s">
        <v>121</v>
      </c>
      <c r="O53" s="5" t="s">
        <v>72</v>
      </c>
      <c r="P53" s="5" t="s">
        <v>1286</v>
      </c>
      <c r="Q53" s="11" t="s">
        <v>154</v>
      </c>
      <c r="R53" s="15" t="s">
        <v>72</v>
      </c>
      <c r="S53" s="3" t="s">
        <v>113</v>
      </c>
      <c r="T53" s="3"/>
      <c r="U53" s="3"/>
      <c r="V53" s="13">
        <v>34</v>
      </c>
      <c r="W53" s="3">
        <v>34</v>
      </c>
      <c r="X53" s="3">
        <v>34</v>
      </c>
      <c r="Y53" s="3">
        <v>0.6</v>
      </c>
      <c r="Z53" s="3">
        <v>2</v>
      </c>
      <c r="AA53" s="3" t="s">
        <v>110</v>
      </c>
      <c r="AB53" s="3"/>
      <c r="AC53" s="6">
        <v>43929</v>
      </c>
      <c r="AD53" s="6">
        <v>43941</v>
      </c>
      <c r="AE53" s="6">
        <v>43930</v>
      </c>
      <c r="AF53" s="6">
        <v>43930</v>
      </c>
      <c r="AG53" s="18" t="s">
        <v>75</v>
      </c>
      <c r="AH53" s="19">
        <v>100</v>
      </c>
      <c r="AI53" s="19">
        <v>100</v>
      </c>
      <c r="AJ53" s="19">
        <v>100</v>
      </c>
      <c r="AK53" s="19" t="s">
        <v>111</v>
      </c>
      <c r="AL53" s="5" t="s">
        <v>72</v>
      </c>
      <c r="AM53" s="5"/>
      <c r="AN53" s="5" t="s">
        <v>72</v>
      </c>
      <c r="AW53" s="143"/>
    </row>
    <row r="54" spans="2:49" ht="15">
      <c r="B54" s="21">
        <v>103</v>
      </c>
      <c r="C54" s="11">
        <v>20200408</v>
      </c>
      <c r="D54" s="12" t="s">
        <v>24</v>
      </c>
      <c r="E54" s="13" t="s">
        <v>118</v>
      </c>
      <c r="F54" s="14" t="s">
        <v>124</v>
      </c>
      <c r="G54" s="13">
        <v>1409332</v>
      </c>
      <c r="H54" s="15" t="s">
        <v>72</v>
      </c>
      <c r="I54" s="13" t="s">
        <v>123</v>
      </c>
      <c r="J54" s="15" t="s">
        <v>72</v>
      </c>
      <c r="K54" s="3" t="s">
        <v>73</v>
      </c>
      <c r="L54" s="16" t="s">
        <v>1326</v>
      </c>
      <c r="M54" s="15" t="s">
        <v>72</v>
      </c>
      <c r="N54" s="3" t="s">
        <v>121</v>
      </c>
      <c r="O54" s="5" t="s">
        <v>72</v>
      </c>
      <c r="P54" s="5" t="s">
        <v>1286</v>
      </c>
      <c r="Q54" s="11" t="s">
        <v>155</v>
      </c>
      <c r="R54" s="15" t="s">
        <v>72</v>
      </c>
      <c r="S54" s="3" t="s">
        <v>117</v>
      </c>
      <c r="T54" s="3"/>
      <c r="U54" s="3"/>
      <c r="V54" s="13">
        <v>65</v>
      </c>
      <c r="W54" s="3">
        <v>65</v>
      </c>
      <c r="X54" s="3">
        <v>65</v>
      </c>
      <c r="Y54" s="3">
        <v>1.1499999999999999</v>
      </c>
      <c r="Z54" s="3">
        <v>1</v>
      </c>
      <c r="AA54" s="3" t="s">
        <v>110</v>
      </c>
      <c r="AB54" s="3"/>
      <c r="AC54" s="6">
        <v>43929</v>
      </c>
      <c r="AD54" s="6">
        <v>43941</v>
      </c>
      <c r="AE54" s="6">
        <v>43935</v>
      </c>
      <c r="AF54" s="6">
        <v>43935</v>
      </c>
      <c r="AG54" s="23" t="s">
        <v>75</v>
      </c>
      <c r="AH54" s="19">
        <v>100</v>
      </c>
      <c r="AI54" s="19">
        <v>100</v>
      </c>
      <c r="AJ54" s="19">
        <v>100</v>
      </c>
      <c r="AK54" s="19" t="s">
        <v>111</v>
      </c>
      <c r="AL54" s="5" t="s">
        <v>72</v>
      </c>
      <c r="AM54" s="5"/>
      <c r="AN54" s="5" t="s">
        <v>72</v>
      </c>
      <c r="AW54" s="143"/>
    </row>
    <row r="55" spans="2:49" ht="15">
      <c r="B55" s="21">
        <v>104</v>
      </c>
      <c r="C55" s="11">
        <v>20200408</v>
      </c>
      <c r="D55" s="12" t="s">
        <v>24</v>
      </c>
      <c r="E55" s="13" t="s">
        <v>118</v>
      </c>
      <c r="F55" s="14" t="s">
        <v>125</v>
      </c>
      <c r="G55" s="13">
        <v>1409332</v>
      </c>
      <c r="H55" s="15" t="s">
        <v>72</v>
      </c>
      <c r="I55" s="13" t="s">
        <v>126</v>
      </c>
      <c r="J55" s="15" t="s">
        <v>72</v>
      </c>
      <c r="K55" s="3" t="s">
        <v>73</v>
      </c>
      <c r="L55" s="16" t="s">
        <v>1326</v>
      </c>
      <c r="M55" s="15" t="s">
        <v>72</v>
      </c>
      <c r="N55" s="3" t="s">
        <v>121</v>
      </c>
      <c r="O55" s="5" t="s">
        <v>72</v>
      </c>
      <c r="P55" s="5" t="s">
        <v>1286</v>
      </c>
      <c r="Q55" s="11" t="s">
        <v>156</v>
      </c>
      <c r="R55" s="15" t="s">
        <v>72</v>
      </c>
      <c r="S55" s="3" t="s">
        <v>109</v>
      </c>
      <c r="T55" s="3"/>
      <c r="U55" s="3"/>
      <c r="V55" s="13">
        <v>1011</v>
      </c>
      <c r="W55" s="3">
        <v>1011</v>
      </c>
      <c r="X55" s="3">
        <v>1011</v>
      </c>
      <c r="Y55" s="3">
        <v>17.97</v>
      </c>
      <c r="Z55" s="3">
        <v>0.5</v>
      </c>
      <c r="AA55" s="3" t="s">
        <v>110</v>
      </c>
      <c r="AB55" s="3"/>
      <c r="AC55" s="6">
        <v>43929</v>
      </c>
      <c r="AD55" s="6">
        <v>43941</v>
      </c>
      <c r="AE55" s="6">
        <v>43930</v>
      </c>
      <c r="AF55" s="6">
        <v>43930</v>
      </c>
      <c r="AG55" s="18" t="s">
        <v>75</v>
      </c>
      <c r="AH55" s="19" t="s">
        <v>72</v>
      </c>
      <c r="AI55" s="19" t="s">
        <v>72</v>
      </c>
      <c r="AJ55" s="19" t="s">
        <v>72</v>
      </c>
      <c r="AK55" s="3" t="s">
        <v>111</v>
      </c>
      <c r="AL55" s="5" t="s">
        <v>157</v>
      </c>
      <c r="AM55" s="5"/>
      <c r="AN55" s="5" t="s">
        <v>72</v>
      </c>
      <c r="AW55" s="143"/>
    </row>
    <row r="56" spans="2:49" ht="15">
      <c r="B56" s="21">
        <v>105</v>
      </c>
      <c r="C56" s="11">
        <v>20200408</v>
      </c>
      <c r="D56" s="12" t="s">
        <v>24</v>
      </c>
      <c r="E56" s="13" t="s">
        <v>118</v>
      </c>
      <c r="F56" s="14" t="s">
        <v>127</v>
      </c>
      <c r="G56" s="13">
        <v>1409332</v>
      </c>
      <c r="H56" s="15" t="s">
        <v>72</v>
      </c>
      <c r="I56" s="13" t="s">
        <v>128</v>
      </c>
      <c r="J56" s="15" t="s">
        <v>72</v>
      </c>
      <c r="K56" s="3" t="s">
        <v>73</v>
      </c>
      <c r="L56" s="16" t="s">
        <v>1326</v>
      </c>
      <c r="M56" s="15" t="s">
        <v>72</v>
      </c>
      <c r="N56" s="3" t="s">
        <v>121</v>
      </c>
      <c r="O56" s="5" t="s">
        <v>72</v>
      </c>
      <c r="P56" s="5" t="s">
        <v>1286</v>
      </c>
      <c r="Q56" s="11" t="s">
        <v>158</v>
      </c>
      <c r="R56" s="15" t="s">
        <v>72</v>
      </c>
      <c r="S56" s="3" t="s">
        <v>117</v>
      </c>
      <c r="T56" s="3"/>
      <c r="U56" s="3"/>
      <c r="V56" s="13">
        <v>280</v>
      </c>
      <c r="W56" s="3">
        <v>280</v>
      </c>
      <c r="X56" s="3">
        <v>280</v>
      </c>
      <c r="Y56" s="3">
        <v>4.97</v>
      </c>
      <c r="Z56" s="3">
        <v>4</v>
      </c>
      <c r="AA56" s="3" t="s">
        <v>110</v>
      </c>
      <c r="AB56" s="3"/>
      <c r="AC56" s="6">
        <v>43929</v>
      </c>
      <c r="AD56" s="6">
        <v>43941</v>
      </c>
      <c r="AE56" s="6">
        <v>43930</v>
      </c>
      <c r="AF56" s="6">
        <v>43930</v>
      </c>
      <c r="AG56" s="12" t="s">
        <v>75</v>
      </c>
      <c r="AH56" s="12">
        <v>100</v>
      </c>
      <c r="AI56" s="12">
        <v>100</v>
      </c>
      <c r="AJ56" s="12">
        <v>100</v>
      </c>
      <c r="AK56" s="19" t="s">
        <v>111</v>
      </c>
      <c r="AL56" s="5" t="s">
        <v>72</v>
      </c>
      <c r="AM56" s="5"/>
      <c r="AN56" s="5" t="s">
        <v>72</v>
      </c>
      <c r="AW56" s="143"/>
    </row>
    <row r="57" spans="2:49" ht="15">
      <c r="B57" s="21">
        <v>106</v>
      </c>
      <c r="C57" s="11">
        <v>20200408</v>
      </c>
      <c r="D57" s="12" t="s">
        <v>24</v>
      </c>
      <c r="E57" s="13" t="s">
        <v>118</v>
      </c>
      <c r="F57" s="14" t="s">
        <v>129</v>
      </c>
      <c r="G57" s="13">
        <v>1409332</v>
      </c>
      <c r="H57" s="15" t="s">
        <v>72</v>
      </c>
      <c r="I57" s="13" t="s">
        <v>130</v>
      </c>
      <c r="J57" s="15" t="s">
        <v>72</v>
      </c>
      <c r="K57" s="3" t="s">
        <v>73</v>
      </c>
      <c r="L57" s="16" t="s">
        <v>1326</v>
      </c>
      <c r="M57" s="15" t="s">
        <v>72</v>
      </c>
      <c r="N57" s="3" t="s">
        <v>121</v>
      </c>
      <c r="O57" s="5" t="s">
        <v>72</v>
      </c>
      <c r="P57" s="5" t="s">
        <v>1286</v>
      </c>
      <c r="Q57" s="11" t="s">
        <v>159</v>
      </c>
      <c r="R57" s="15" t="s">
        <v>72</v>
      </c>
      <c r="S57" s="3" t="s">
        <v>117</v>
      </c>
      <c r="T57" s="3"/>
      <c r="U57" s="3"/>
      <c r="V57" s="13">
        <v>220</v>
      </c>
      <c r="W57" s="3">
        <v>220</v>
      </c>
      <c r="X57" s="3">
        <v>220</v>
      </c>
      <c r="Y57" s="3">
        <v>3.91</v>
      </c>
      <c r="Z57" s="3">
        <v>3</v>
      </c>
      <c r="AA57" s="3" t="s">
        <v>110</v>
      </c>
      <c r="AB57" s="3"/>
      <c r="AC57" s="6">
        <v>43929</v>
      </c>
      <c r="AD57" s="6">
        <v>43941</v>
      </c>
      <c r="AE57" s="6">
        <v>43930</v>
      </c>
      <c r="AF57" s="6">
        <v>43930</v>
      </c>
      <c r="AG57" s="12" t="s">
        <v>75</v>
      </c>
      <c r="AH57" s="12">
        <v>100</v>
      </c>
      <c r="AI57" s="12">
        <v>100</v>
      </c>
      <c r="AJ57" s="12">
        <v>100</v>
      </c>
      <c r="AK57" s="19" t="s">
        <v>111</v>
      </c>
      <c r="AL57" s="5" t="s">
        <v>72</v>
      </c>
      <c r="AM57" s="5"/>
      <c r="AN57" s="5" t="s">
        <v>72</v>
      </c>
      <c r="AW57" s="143"/>
    </row>
    <row r="58" spans="2:49" ht="15">
      <c r="B58" s="21">
        <v>107</v>
      </c>
      <c r="C58" s="11">
        <v>20200408</v>
      </c>
      <c r="D58" s="12" t="s">
        <v>24</v>
      </c>
      <c r="E58" s="13" t="s">
        <v>118</v>
      </c>
      <c r="F58" s="14" t="s">
        <v>131</v>
      </c>
      <c r="G58" s="13">
        <v>1409394</v>
      </c>
      <c r="H58" s="15" t="s">
        <v>72</v>
      </c>
      <c r="I58" s="13" t="s">
        <v>132</v>
      </c>
      <c r="J58" s="15" t="s">
        <v>72</v>
      </c>
      <c r="K58" s="3" t="s">
        <v>73</v>
      </c>
      <c r="L58" s="16" t="s">
        <v>133</v>
      </c>
      <c r="M58" s="15" t="s">
        <v>72</v>
      </c>
      <c r="N58" s="3" t="s">
        <v>121</v>
      </c>
      <c r="O58" s="5" t="s">
        <v>72</v>
      </c>
      <c r="P58" s="14" t="s">
        <v>1287</v>
      </c>
      <c r="Q58" s="11" t="s">
        <v>160</v>
      </c>
      <c r="R58" s="15" t="s">
        <v>72</v>
      </c>
      <c r="S58" s="3" t="s">
        <v>161</v>
      </c>
      <c r="T58" s="3"/>
      <c r="U58" s="3"/>
      <c r="V58" s="13">
        <v>51</v>
      </c>
      <c r="W58" s="3">
        <v>51</v>
      </c>
      <c r="X58" s="3">
        <v>51</v>
      </c>
      <c r="Y58" s="3">
        <v>0.9</v>
      </c>
      <c r="Z58" s="3">
        <v>0.4</v>
      </c>
      <c r="AA58" s="3" t="s">
        <v>110</v>
      </c>
      <c r="AB58" s="3"/>
      <c r="AC58" s="6">
        <v>43929</v>
      </c>
      <c r="AD58" s="6">
        <v>43941</v>
      </c>
      <c r="AE58" s="6">
        <v>43930</v>
      </c>
      <c r="AF58" s="6">
        <v>43930</v>
      </c>
      <c r="AG58" s="23" t="s">
        <v>75</v>
      </c>
      <c r="AH58" s="19">
        <v>100</v>
      </c>
      <c r="AI58" s="19">
        <v>100</v>
      </c>
      <c r="AJ58" s="19">
        <v>100</v>
      </c>
      <c r="AK58" s="19" t="s">
        <v>111</v>
      </c>
      <c r="AL58" s="5" t="s">
        <v>72</v>
      </c>
      <c r="AM58" s="5"/>
      <c r="AN58" s="5" t="s">
        <v>72</v>
      </c>
      <c r="AW58" s="143"/>
    </row>
    <row r="59" spans="2:49" ht="15">
      <c r="B59" s="21">
        <v>108</v>
      </c>
      <c r="C59" s="11">
        <v>20200408</v>
      </c>
      <c r="D59" s="12" t="s">
        <v>24</v>
      </c>
      <c r="E59" s="13" t="s">
        <v>118</v>
      </c>
      <c r="F59" s="14" t="s">
        <v>134</v>
      </c>
      <c r="G59" s="13">
        <v>1409394</v>
      </c>
      <c r="H59" s="15" t="s">
        <v>72</v>
      </c>
      <c r="I59" s="13" t="s">
        <v>135</v>
      </c>
      <c r="J59" s="15" t="s">
        <v>72</v>
      </c>
      <c r="K59" s="3" t="s">
        <v>73</v>
      </c>
      <c r="L59" s="16" t="s">
        <v>133</v>
      </c>
      <c r="M59" s="15" t="s">
        <v>72</v>
      </c>
      <c r="N59" s="3" t="s">
        <v>121</v>
      </c>
      <c r="O59" s="5" t="s">
        <v>72</v>
      </c>
      <c r="P59" s="5" t="s">
        <v>1287</v>
      </c>
      <c r="Q59" s="11" t="s">
        <v>162</v>
      </c>
      <c r="R59" s="15" t="s">
        <v>72</v>
      </c>
      <c r="S59" s="3" t="s">
        <v>161</v>
      </c>
      <c r="T59" s="3"/>
      <c r="U59" s="3"/>
      <c r="V59" s="13">
        <v>67</v>
      </c>
      <c r="W59" s="24">
        <v>91</v>
      </c>
      <c r="X59" s="3">
        <v>91</v>
      </c>
      <c r="Y59" s="3">
        <v>1.61</v>
      </c>
      <c r="Z59" s="3">
        <v>1.5</v>
      </c>
      <c r="AA59" s="3" t="s">
        <v>110</v>
      </c>
      <c r="AB59" s="3"/>
      <c r="AC59" s="6">
        <v>43929</v>
      </c>
      <c r="AD59" s="6">
        <v>43941</v>
      </c>
      <c r="AE59" s="6">
        <v>43930</v>
      </c>
      <c r="AF59" s="6">
        <v>43930</v>
      </c>
      <c r="AG59" s="23" t="s">
        <v>75</v>
      </c>
      <c r="AH59" s="19">
        <v>100</v>
      </c>
      <c r="AI59" s="19">
        <v>100</v>
      </c>
      <c r="AJ59" s="19">
        <v>100</v>
      </c>
      <c r="AK59" s="19" t="s">
        <v>111</v>
      </c>
      <c r="AL59" s="5" t="s">
        <v>72</v>
      </c>
      <c r="AM59" s="5"/>
      <c r="AN59" s="5" t="s">
        <v>72</v>
      </c>
      <c r="AW59" s="143"/>
    </row>
    <row r="60" spans="2:49" ht="15">
      <c r="B60" s="21">
        <v>109</v>
      </c>
      <c r="C60" s="11">
        <v>20200408</v>
      </c>
      <c r="D60" s="12" t="s">
        <v>24</v>
      </c>
      <c r="E60" s="13" t="s">
        <v>118</v>
      </c>
      <c r="F60" s="14" t="s">
        <v>136</v>
      </c>
      <c r="G60" s="13">
        <v>1409394</v>
      </c>
      <c r="H60" s="15" t="s">
        <v>72</v>
      </c>
      <c r="I60" s="13" t="s">
        <v>137</v>
      </c>
      <c r="J60" s="15" t="s">
        <v>72</v>
      </c>
      <c r="K60" s="3" t="s">
        <v>73</v>
      </c>
      <c r="L60" s="16" t="s">
        <v>133</v>
      </c>
      <c r="M60" s="15" t="s">
        <v>72</v>
      </c>
      <c r="N60" s="3" t="s">
        <v>121</v>
      </c>
      <c r="O60" s="5" t="s">
        <v>72</v>
      </c>
      <c r="P60" s="5" t="s">
        <v>1287</v>
      </c>
      <c r="Q60" s="11" t="s">
        <v>163</v>
      </c>
      <c r="R60" s="15" t="s">
        <v>72</v>
      </c>
      <c r="S60" s="3" t="s">
        <v>161</v>
      </c>
      <c r="T60" s="3"/>
      <c r="U60" s="3"/>
      <c r="V60" s="13">
        <v>2</v>
      </c>
      <c r="W60" s="3">
        <v>2</v>
      </c>
      <c r="X60" s="3">
        <v>2</v>
      </c>
      <c r="Y60" s="3">
        <v>0.03</v>
      </c>
      <c r="Z60" s="3">
        <v>0</v>
      </c>
      <c r="AA60" s="3" t="s">
        <v>110</v>
      </c>
      <c r="AB60" s="3"/>
      <c r="AC60" s="6">
        <v>43929</v>
      </c>
      <c r="AD60" s="6">
        <v>43941</v>
      </c>
      <c r="AE60" s="6">
        <v>43930</v>
      </c>
      <c r="AF60" s="6">
        <v>43930</v>
      </c>
      <c r="AG60" s="23" t="s">
        <v>75</v>
      </c>
      <c r="AH60" s="19" t="s">
        <v>72</v>
      </c>
      <c r="AI60" s="19" t="s">
        <v>72</v>
      </c>
      <c r="AJ60" s="19" t="s">
        <v>72</v>
      </c>
      <c r="AK60" s="19" t="s">
        <v>111</v>
      </c>
      <c r="AL60" s="5" t="s">
        <v>157</v>
      </c>
      <c r="AM60" s="5"/>
      <c r="AN60" s="5" t="s">
        <v>72</v>
      </c>
      <c r="AW60" s="143"/>
    </row>
    <row r="61" spans="2:49" ht="15">
      <c r="B61" s="21">
        <v>110</v>
      </c>
      <c r="C61" s="11">
        <v>20200408</v>
      </c>
      <c r="D61" s="12" t="s">
        <v>24</v>
      </c>
      <c r="E61" s="13" t="s">
        <v>118</v>
      </c>
      <c r="F61" s="14" t="s">
        <v>138</v>
      </c>
      <c r="G61" s="13">
        <v>1409394</v>
      </c>
      <c r="H61" s="15" t="s">
        <v>72</v>
      </c>
      <c r="I61" s="13" t="s">
        <v>139</v>
      </c>
      <c r="J61" s="15" t="s">
        <v>72</v>
      </c>
      <c r="K61" s="3" t="s">
        <v>73</v>
      </c>
      <c r="L61" s="16" t="s">
        <v>133</v>
      </c>
      <c r="M61" s="15" t="s">
        <v>72</v>
      </c>
      <c r="N61" s="3" t="s">
        <v>121</v>
      </c>
      <c r="O61" s="5" t="s">
        <v>72</v>
      </c>
      <c r="P61" s="5" t="s">
        <v>1287</v>
      </c>
      <c r="Q61" s="11" t="s">
        <v>164</v>
      </c>
      <c r="R61" s="15" t="s">
        <v>72</v>
      </c>
      <c r="S61" s="3" t="s">
        <v>161</v>
      </c>
      <c r="T61" s="3"/>
      <c r="U61" s="3"/>
      <c r="V61" s="13">
        <v>56</v>
      </c>
      <c r="W61" s="3">
        <v>56</v>
      </c>
      <c r="X61" s="3">
        <v>56</v>
      </c>
      <c r="Y61" s="3">
        <v>0.99</v>
      </c>
      <c r="Z61" s="3">
        <v>0.5</v>
      </c>
      <c r="AA61" s="3" t="s">
        <v>110</v>
      </c>
      <c r="AB61" s="3"/>
      <c r="AC61" s="6">
        <v>43929</v>
      </c>
      <c r="AD61" s="6">
        <v>43941</v>
      </c>
      <c r="AE61" s="6">
        <v>43930</v>
      </c>
      <c r="AF61" s="6">
        <v>43930</v>
      </c>
      <c r="AG61" s="23" t="s">
        <v>75</v>
      </c>
      <c r="AH61" s="19">
        <v>100</v>
      </c>
      <c r="AI61" s="19">
        <v>100</v>
      </c>
      <c r="AJ61" s="19">
        <v>100</v>
      </c>
      <c r="AK61" s="19" t="s">
        <v>111</v>
      </c>
      <c r="AL61" s="5" t="s">
        <v>72</v>
      </c>
      <c r="AM61" s="5"/>
      <c r="AN61" s="5" t="s">
        <v>72</v>
      </c>
      <c r="AW61" s="143"/>
    </row>
    <row r="62" spans="2:49" ht="15">
      <c r="B62" s="21">
        <v>111</v>
      </c>
      <c r="C62" s="11">
        <v>20200408</v>
      </c>
      <c r="D62" s="12" t="s">
        <v>24</v>
      </c>
      <c r="E62" s="13" t="s">
        <v>118</v>
      </c>
      <c r="F62" s="14" t="s">
        <v>140</v>
      </c>
      <c r="G62" s="13">
        <v>1409394</v>
      </c>
      <c r="H62" s="15" t="s">
        <v>72</v>
      </c>
      <c r="I62" s="13" t="s">
        <v>141</v>
      </c>
      <c r="J62" s="15" t="s">
        <v>72</v>
      </c>
      <c r="K62" s="3" t="s">
        <v>73</v>
      </c>
      <c r="L62" s="16" t="s">
        <v>133</v>
      </c>
      <c r="M62" s="15" t="s">
        <v>72</v>
      </c>
      <c r="N62" s="3" t="s">
        <v>121</v>
      </c>
      <c r="O62" s="5" t="s">
        <v>72</v>
      </c>
      <c r="P62" s="5" t="s">
        <v>1287</v>
      </c>
      <c r="Q62" s="11" t="s">
        <v>165</v>
      </c>
      <c r="R62" s="15" t="s">
        <v>72</v>
      </c>
      <c r="S62" s="3" t="s">
        <v>161</v>
      </c>
      <c r="T62" s="3"/>
      <c r="U62" s="3"/>
      <c r="V62" s="13">
        <v>233</v>
      </c>
      <c r="W62" s="3">
        <v>233</v>
      </c>
      <c r="X62" s="3">
        <v>233</v>
      </c>
      <c r="Y62" s="3">
        <v>4.1399999999999997</v>
      </c>
      <c r="Z62" s="3">
        <v>3.5</v>
      </c>
      <c r="AA62" s="3" t="s">
        <v>110</v>
      </c>
      <c r="AB62" s="3"/>
      <c r="AC62" s="6">
        <v>43929</v>
      </c>
      <c r="AD62" s="6">
        <v>43941</v>
      </c>
      <c r="AE62" s="6">
        <v>43930</v>
      </c>
      <c r="AF62" s="6">
        <v>43930</v>
      </c>
      <c r="AG62" s="23" t="s">
        <v>75</v>
      </c>
      <c r="AH62" s="19">
        <v>100</v>
      </c>
      <c r="AI62" s="19">
        <v>100</v>
      </c>
      <c r="AJ62" s="19">
        <v>100</v>
      </c>
      <c r="AK62" s="19" t="s">
        <v>111</v>
      </c>
      <c r="AL62" s="5" t="s">
        <v>72</v>
      </c>
      <c r="AM62" s="5"/>
      <c r="AN62" s="5" t="s">
        <v>72</v>
      </c>
      <c r="AW62" s="143"/>
    </row>
    <row r="63" spans="2:49" ht="15">
      <c r="B63" s="21">
        <v>112</v>
      </c>
      <c r="C63" s="11">
        <v>20200408</v>
      </c>
      <c r="D63" s="12" t="s">
        <v>24</v>
      </c>
      <c r="E63" s="13" t="s">
        <v>118</v>
      </c>
      <c r="F63" s="14" t="s">
        <v>140</v>
      </c>
      <c r="G63" s="13">
        <v>1409394</v>
      </c>
      <c r="H63" s="15" t="s">
        <v>72</v>
      </c>
      <c r="I63" s="13" t="s">
        <v>142</v>
      </c>
      <c r="J63" s="15" t="s">
        <v>72</v>
      </c>
      <c r="K63" s="3" t="s">
        <v>73</v>
      </c>
      <c r="L63" s="16" t="s">
        <v>133</v>
      </c>
      <c r="M63" s="15" t="s">
        <v>72</v>
      </c>
      <c r="N63" s="3" t="s">
        <v>121</v>
      </c>
      <c r="O63" s="5" t="s">
        <v>72</v>
      </c>
      <c r="P63" s="5" t="s">
        <v>1287</v>
      </c>
      <c r="Q63" s="11" t="s">
        <v>166</v>
      </c>
      <c r="R63" s="15" t="s">
        <v>72</v>
      </c>
      <c r="S63" s="3" t="s">
        <v>161</v>
      </c>
      <c r="T63" s="3"/>
      <c r="U63" s="3"/>
      <c r="V63" s="13">
        <v>78</v>
      </c>
      <c r="W63" s="3">
        <v>78</v>
      </c>
      <c r="X63" s="3">
        <v>78</v>
      </c>
      <c r="Y63" s="3">
        <v>1.38</v>
      </c>
      <c r="Z63" s="3">
        <v>1</v>
      </c>
      <c r="AA63" s="3" t="s">
        <v>110</v>
      </c>
      <c r="AB63" s="3"/>
      <c r="AC63" s="6">
        <v>43929</v>
      </c>
      <c r="AD63" s="6">
        <v>43941</v>
      </c>
      <c r="AE63" s="6">
        <v>43931</v>
      </c>
      <c r="AF63" s="6">
        <v>43931</v>
      </c>
      <c r="AG63" s="23" t="s">
        <v>75</v>
      </c>
      <c r="AH63" s="19">
        <v>100</v>
      </c>
      <c r="AI63" s="19">
        <v>100</v>
      </c>
      <c r="AJ63" s="19">
        <v>100</v>
      </c>
      <c r="AK63" s="19" t="s">
        <v>111</v>
      </c>
      <c r="AL63" s="5" t="s">
        <v>72</v>
      </c>
      <c r="AM63" s="5"/>
      <c r="AN63" s="5" t="s">
        <v>72</v>
      </c>
      <c r="AW63" s="143"/>
    </row>
    <row r="64" spans="2:49" ht="15">
      <c r="B64" s="21">
        <v>113</v>
      </c>
      <c r="C64" s="11">
        <v>20200408</v>
      </c>
      <c r="D64" s="12" t="s">
        <v>24</v>
      </c>
      <c r="E64" s="13" t="s">
        <v>118</v>
      </c>
      <c r="F64" s="14" t="s">
        <v>140</v>
      </c>
      <c r="G64" s="13">
        <v>1409394</v>
      </c>
      <c r="H64" s="15" t="s">
        <v>72</v>
      </c>
      <c r="I64" s="13" t="s">
        <v>143</v>
      </c>
      <c r="J64" s="15" t="s">
        <v>72</v>
      </c>
      <c r="K64" s="3" t="s">
        <v>73</v>
      </c>
      <c r="L64" s="16" t="s">
        <v>133</v>
      </c>
      <c r="M64" s="15" t="s">
        <v>72</v>
      </c>
      <c r="N64" s="3" t="s">
        <v>121</v>
      </c>
      <c r="O64" s="5" t="s">
        <v>72</v>
      </c>
      <c r="P64" s="5" t="s">
        <v>1287</v>
      </c>
      <c r="Q64" s="11" t="s">
        <v>167</v>
      </c>
      <c r="R64" s="15" t="s">
        <v>72</v>
      </c>
      <c r="S64" s="3" t="s">
        <v>161</v>
      </c>
      <c r="T64" s="3"/>
      <c r="U64" s="3"/>
      <c r="V64" s="13">
        <v>23</v>
      </c>
      <c r="W64" s="3">
        <v>23</v>
      </c>
      <c r="X64" s="3">
        <v>23</v>
      </c>
      <c r="Y64" s="3">
        <v>0.4</v>
      </c>
      <c r="Z64" s="3">
        <v>0.2</v>
      </c>
      <c r="AA64" s="3" t="s">
        <v>110</v>
      </c>
      <c r="AB64" s="3"/>
      <c r="AC64" s="6">
        <v>43929</v>
      </c>
      <c r="AD64" s="6">
        <v>43941</v>
      </c>
      <c r="AE64" s="6">
        <v>43931</v>
      </c>
      <c r="AF64" s="6">
        <v>43931</v>
      </c>
      <c r="AG64" s="23" t="s">
        <v>75</v>
      </c>
      <c r="AH64" s="19">
        <v>100</v>
      </c>
      <c r="AI64" s="19">
        <v>100</v>
      </c>
      <c r="AJ64" s="19">
        <v>100</v>
      </c>
      <c r="AK64" s="19" t="s">
        <v>111</v>
      </c>
      <c r="AL64" s="5" t="s">
        <v>72</v>
      </c>
      <c r="AM64" s="5"/>
      <c r="AN64" s="5" t="s">
        <v>72</v>
      </c>
      <c r="AW64" s="143"/>
    </row>
    <row r="65" spans="2:49" ht="15">
      <c r="B65" s="21">
        <v>114</v>
      </c>
      <c r="C65" s="11">
        <v>20200408</v>
      </c>
      <c r="D65" s="12" t="s">
        <v>24</v>
      </c>
      <c r="E65" s="13" t="s">
        <v>118</v>
      </c>
      <c r="F65" s="14" t="s">
        <v>138</v>
      </c>
      <c r="G65" s="13">
        <v>1409394</v>
      </c>
      <c r="H65" s="15" t="s">
        <v>72</v>
      </c>
      <c r="I65" s="13" t="s">
        <v>144</v>
      </c>
      <c r="J65" s="15" t="s">
        <v>72</v>
      </c>
      <c r="K65" s="3" t="s">
        <v>73</v>
      </c>
      <c r="L65" s="16" t="s">
        <v>133</v>
      </c>
      <c r="M65" s="15" t="s">
        <v>72</v>
      </c>
      <c r="N65" s="3" t="s">
        <v>121</v>
      </c>
      <c r="O65" s="5" t="s">
        <v>72</v>
      </c>
      <c r="P65" s="5" t="s">
        <v>1287</v>
      </c>
      <c r="Q65" s="11" t="s">
        <v>168</v>
      </c>
      <c r="R65" s="15" t="s">
        <v>72</v>
      </c>
      <c r="S65" s="3" t="s">
        <v>161</v>
      </c>
      <c r="T65" s="3"/>
      <c r="U65" s="3"/>
      <c r="V65" s="13">
        <v>127</v>
      </c>
      <c r="W65" s="3">
        <v>127</v>
      </c>
      <c r="X65" s="3">
        <v>127</v>
      </c>
      <c r="Y65" s="3">
        <v>2.25</v>
      </c>
      <c r="Z65" s="3">
        <v>0.3</v>
      </c>
      <c r="AA65" s="3" t="s">
        <v>110</v>
      </c>
      <c r="AB65" s="3"/>
      <c r="AC65" s="6">
        <v>43929</v>
      </c>
      <c r="AD65" s="6">
        <v>43941</v>
      </c>
      <c r="AE65" s="6">
        <v>43931</v>
      </c>
      <c r="AF65" s="6">
        <v>43931</v>
      </c>
      <c r="AG65" s="23" t="s">
        <v>75</v>
      </c>
      <c r="AH65" s="19">
        <v>100</v>
      </c>
      <c r="AI65" s="19">
        <v>100</v>
      </c>
      <c r="AJ65" s="19">
        <v>100</v>
      </c>
      <c r="AK65" s="19" t="s">
        <v>111</v>
      </c>
      <c r="AL65" s="5" t="s">
        <v>72</v>
      </c>
      <c r="AM65" s="5"/>
      <c r="AN65" s="5" t="s">
        <v>72</v>
      </c>
      <c r="AW65" s="143"/>
    </row>
    <row r="66" spans="2:49" ht="15">
      <c r="B66" s="21">
        <v>115</v>
      </c>
      <c r="C66" s="11">
        <v>20200408</v>
      </c>
      <c r="D66" s="12" t="s">
        <v>24</v>
      </c>
      <c r="E66" s="13" t="s">
        <v>118</v>
      </c>
      <c r="F66" s="14" t="s">
        <v>140</v>
      </c>
      <c r="G66" s="13">
        <v>1409394</v>
      </c>
      <c r="H66" s="15" t="s">
        <v>72</v>
      </c>
      <c r="I66" s="13" t="s">
        <v>145</v>
      </c>
      <c r="J66" s="15" t="s">
        <v>72</v>
      </c>
      <c r="K66" s="3" t="s">
        <v>73</v>
      </c>
      <c r="L66" s="16" t="s">
        <v>133</v>
      </c>
      <c r="M66" s="15" t="s">
        <v>72</v>
      </c>
      <c r="N66" s="3" t="s">
        <v>121</v>
      </c>
      <c r="O66" s="5" t="s">
        <v>72</v>
      </c>
      <c r="P66" s="5" t="s">
        <v>1287</v>
      </c>
      <c r="Q66" s="11" t="s">
        <v>169</v>
      </c>
      <c r="R66" s="15" t="s">
        <v>72</v>
      </c>
      <c r="S66" s="3" t="s">
        <v>161</v>
      </c>
      <c r="T66" s="3"/>
      <c r="U66" s="3"/>
      <c r="V66" s="13">
        <v>41</v>
      </c>
      <c r="W66" s="3">
        <v>41</v>
      </c>
      <c r="X66" s="3">
        <v>41</v>
      </c>
      <c r="Y66" s="3">
        <v>0.72</v>
      </c>
      <c r="Z66" s="3">
        <v>0.2</v>
      </c>
      <c r="AA66" s="3" t="s">
        <v>110</v>
      </c>
      <c r="AB66" s="3"/>
      <c r="AC66" s="6">
        <v>43929</v>
      </c>
      <c r="AD66" s="6">
        <v>43941</v>
      </c>
      <c r="AE66" s="6">
        <v>43931</v>
      </c>
      <c r="AF66" s="6">
        <v>43931</v>
      </c>
      <c r="AG66" s="23" t="s">
        <v>75</v>
      </c>
      <c r="AH66" s="19">
        <v>100</v>
      </c>
      <c r="AI66" s="19">
        <v>100</v>
      </c>
      <c r="AJ66" s="19">
        <v>100</v>
      </c>
      <c r="AK66" s="19" t="s">
        <v>111</v>
      </c>
      <c r="AL66" s="5" t="s">
        <v>72</v>
      </c>
      <c r="AM66" s="5"/>
      <c r="AN66" s="5" t="s">
        <v>72</v>
      </c>
      <c r="AW66" s="143"/>
    </row>
    <row r="67" spans="2:49" ht="15">
      <c r="B67" s="21">
        <v>116</v>
      </c>
      <c r="C67" s="11">
        <v>20200408</v>
      </c>
      <c r="D67" s="12" t="s">
        <v>24</v>
      </c>
      <c r="E67" s="13" t="s">
        <v>118</v>
      </c>
      <c r="F67" s="14" t="s">
        <v>138</v>
      </c>
      <c r="G67" s="13">
        <v>1409394</v>
      </c>
      <c r="H67" s="15" t="s">
        <v>72</v>
      </c>
      <c r="I67" s="13" t="s">
        <v>146</v>
      </c>
      <c r="J67" s="15" t="s">
        <v>72</v>
      </c>
      <c r="K67" s="3" t="s">
        <v>73</v>
      </c>
      <c r="L67" s="16" t="s">
        <v>133</v>
      </c>
      <c r="M67" s="15" t="s">
        <v>72</v>
      </c>
      <c r="N67" s="3" t="s">
        <v>121</v>
      </c>
      <c r="O67" s="5" t="s">
        <v>72</v>
      </c>
      <c r="P67" s="5" t="s">
        <v>1287</v>
      </c>
      <c r="Q67" s="11" t="s">
        <v>170</v>
      </c>
      <c r="R67" s="15" t="s">
        <v>72</v>
      </c>
      <c r="S67" s="3" t="s">
        <v>161</v>
      </c>
      <c r="T67" s="3"/>
      <c r="U67" s="3"/>
      <c r="V67" s="13">
        <v>25</v>
      </c>
      <c r="W67" s="3">
        <v>25</v>
      </c>
      <c r="X67" s="3">
        <v>25</v>
      </c>
      <c r="Y67" s="3">
        <v>0.44</v>
      </c>
      <c r="Z67" s="3">
        <v>0.2</v>
      </c>
      <c r="AA67" s="3" t="s">
        <v>110</v>
      </c>
      <c r="AB67" s="3"/>
      <c r="AC67" s="6">
        <v>43929</v>
      </c>
      <c r="AD67" s="6">
        <v>43941</v>
      </c>
      <c r="AE67" s="6">
        <v>43931</v>
      </c>
      <c r="AF67" s="6">
        <v>43931</v>
      </c>
      <c r="AG67" s="23" t="s">
        <v>75</v>
      </c>
      <c r="AH67" s="19">
        <v>100</v>
      </c>
      <c r="AI67" s="19">
        <v>100</v>
      </c>
      <c r="AJ67" s="19">
        <v>100</v>
      </c>
      <c r="AK67" s="19" t="s">
        <v>111</v>
      </c>
      <c r="AL67" s="5" t="s">
        <v>72</v>
      </c>
      <c r="AM67" s="5"/>
      <c r="AN67" s="5" t="s">
        <v>72</v>
      </c>
      <c r="AW67" s="143"/>
    </row>
    <row r="68" spans="2:49" ht="15">
      <c r="B68" s="21">
        <v>117</v>
      </c>
      <c r="C68" s="11">
        <v>20200408</v>
      </c>
      <c r="D68" s="12" t="s">
        <v>24</v>
      </c>
      <c r="E68" s="13" t="s">
        <v>118</v>
      </c>
      <c r="F68" s="14" t="s">
        <v>140</v>
      </c>
      <c r="G68" s="13">
        <v>1409394</v>
      </c>
      <c r="H68" s="15" t="s">
        <v>72</v>
      </c>
      <c r="I68" s="13" t="s">
        <v>147</v>
      </c>
      <c r="J68" s="15" t="s">
        <v>72</v>
      </c>
      <c r="K68" s="3" t="s">
        <v>73</v>
      </c>
      <c r="L68" s="16" t="s">
        <v>133</v>
      </c>
      <c r="M68" s="15" t="s">
        <v>72</v>
      </c>
      <c r="N68" s="3" t="s">
        <v>121</v>
      </c>
      <c r="O68" s="5" t="s">
        <v>72</v>
      </c>
      <c r="P68" s="5" t="s">
        <v>1287</v>
      </c>
      <c r="Q68" s="11" t="s">
        <v>171</v>
      </c>
      <c r="R68" s="15" t="s">
        <v>72</v>
      </c>
      <c r="S68" s="3" t="s">
        <v>161</v>
      </c>
      <c r="T68" s="3"/>
      <c r="U68" s="3"/>
      <c r="V68" s="13">
        <v>8</v>
      </c>
      <c r="W68" s="3">
        <v>8</v>
      </c>
      <c r="X68" s="3">
        <v>8</v>
      </c>
      <c r="Y68" s="3">
        <v>0.14000000000000001</v>
      </c>
      <c r="Z68" s="3">
        <v>0.1</v>
      </c>
      <c r="AA68" s="3" t="s">
        <v>110</v>
      </c>
      <c r="AB68" s="3"/>
      <c r="AC68" s="6">
        <v>43929</v>
      </c>
      <c r="AD68" s="6">
        <v>43941</v>
      </c>
      <c r="AE68" s="6">
        <v>43931</v>
      </c>
      <c r="AF68" s="6">
        <v>43931</v>
      </c>
      <c r="AG68" s="23" t="s">
        <v>75</v>
      </c>
      <c r="AH68" s="19">
        <v>100</v>
      </c>
      <c r="AI68" s="19">
        <v>100</v>
      </c>
      <c r="AJ68" s="19">
        <v>100</v>
      </c>
      <c r="AK68" s="19" t="s">
        <v>111</v>
      </c>
      <c r="AL68" s="5" t="s">
        <v>72</v>
      </c>
      <c r="AM68" s="5"/>
      <c r="AN68" s="5" t="s">
        <v>72</v>
      </c>
      <c r="AW68" s="143"/>
    </row>
    <row r="69" spans="2:49" ht="15">
      <c r="B69" s="21">
        <v>118</v>
      </c>
      <c r="C69" s="11">
        <v>20200408</v>
      </c>
      <c r="D69" s="12" t="s">
        <v>24</v>
      </c>
      <c r="E69" s="13" t="s">
        <v>118</v>
      </c>
      <c r="F69" s="14" t="s">
        <v>138</v>
      </c>
      <c r="G69" s="13">
        <v>1409394</v>
      </c>
      <c r="H69" s="15" t="s">
        <v>72</v>
      </c>
      <c r="I69" s="13" t="s">
        <v>148</v>
      </c>
      <c r="J69" s="15" t="s">
        <v>72</v>
      </c>
      <c r="K69" s="3" t="s">
        <v>73</v>
      </c>
      <c r="L69" s="16" t="s">
        <v>133</v>
      </c>
      <c r="M69" s="15" t="s">
        <v>72</v>
      </c>
      <c r="N69" s="3" t="s">
        <v>121</v>
      </c>
      <c r="O69" s="5" t="s">
        <v>72</v>
      </c>
      <c r="P69" s="5" t="s">
        <v>1287</v>
      </c>
      <c r="Q69" s="11" t="s">
        <v>172</v>
      </c>
      <c r="R69" s="15" t="s">
        <v>72</v>
      </c>
      <c r="S69" s="3" t="s">
        <v>161</v>
      </c>
      <c r="T69" s="3"/>
      <c r="U69" s="3"/>
      <c r="V69" s="13">
        <v>314</v>
      </c>
      <c r="W69" s="3">
        <v>314</v>
      </c>
      <c r="X69" s="3">
        <v>314</v>
      </c>
      <c r="Y69" s="3">
        <v>5.58</v>
      </c>
      <c r="Z69" s="3">
        <v>5</v>
      </c>
      <c r="AA69" s="3" t="s">
        <v>110</v>
      </c>
      <c r="AB69" s="3"/>
      <c r="AC69" s="6">
        <v>43929</v>
      </c>
      <c r="AD69" s="6">
        <v>43941</v>
      </c>
      <c r="AE69" s="6">
        <v>43934</v>
      </c>
      <c r="AF69" s="6">
        <v>43934</v>
      </c>
      <c r="AG69" s="23" t="s">
        <v>75</v>
      </c>
      <c r="AH69" s="19">
        <v>100</v>
      </c>
      <c r="AI69" s="19">
        <v>100</v>
      </c>
      <c r="AJ69" s="19">
        <v>100</v>
      </c>
      <c r="AK69" s="19" t="s">
        <v>111</v>
      </c>
      <c r="AL69" s="5" t="s">
        <v>72</v>
      </c>
      <c r="AM69" s="5"/>
      <c r="AN69" s="5" t="s">
        <v>72</v>
      </c>
      <c r="AW69" s="143"/>
    </row>
    <row r="70" spans="2:49" ht="15">
      <c r="B70" s="21">
        <v>119</v>
      </c>
      <c r="C70" s="11">
        <v>20200408</v>
      </c>
      <c r="D70" s="12" t="s">
        <v>24</v>
      </c>
      <c r="E70" s="13" t="s">
        <v>118</v>
      </c>
      <c r="F70" s="14" t="s">
        <v>136</v>
      </c>
      <c r="G70" s="13">
        <v>1409394</v>
      </c>
      <c r="H70" s="15" t="s">
        <v>72</v>
      </c>
      <c r="I70" s="13" t="s">
        <v>149</v>
      </c>
      <c r="J70" s="15" t="s">
        <v>72</v>
      </c>
      <c r="K70" s="3" t="s">
        <v>73</v>
      </c>
      <c r="L70" s="16" t="s">
        <v>133</v>
      </c>
      <c r="M70" s="15" t="s">
        <v>72</v>
      </c>
      <c r="N70" s="3" t="s">
        <v>121</v>
      </c>
      <c r="O70" s="5" t="s">
        <v>72</v>
      </c>
      <c r="P70" s="5" t="s">
        <v>1287</v>
      </c>
      <c r="Q70" s="11" t="s">
        <v>173</v>
      </c>
      <c r="R70" s="15" t="s">
        <v>72</v>
      </c>
      <c r="S70" s="3" t="s">
        <v>117</v>
      </c>
      <c r="T70" s="3"/>
      <c r="U70" s="3"/>
      <c r="V70" s="13">
        <v>576</v>
      </c>
      <c r="W70" s="3">
        <v>576</v>
      </c>
      <c r="X70" s="3">
        <v>576</v>
      </c>
      <c r="Y70" s="3">
        <v>10.24</v>
      </c>
      <c r="Z70" s="3">
        <v>6</v>
      </c>
      <c r="AA70" s="3" t="s">
        <v>110</v>
      </c>
      <c r="AB70" s="3"/>
      <c r="AC70" s="6">
        <v>43929</v>
      </c>
      <c r="AD70" s="6">
        <v>43941</v>
      </c>
      <c r="AE70" s="6">
        <v>43931</v>
      </c>
      <c r="AF70" s="6">
        <v>43931</v>
      </c>
      <c r="AG70" s="23" t="s">
        <v>75</v>
      </c>
      <c r="AH70" s="19">
        <v>100</v>
      </c>
      <c r="AI70" s="19">
        <v>100</v>
      </c>
      <c r="AJ70" s="19">
        <v>100</v>
      </c>
      <c r="AK70" s="19" t="s">
        <v>111</v>
      </c>
      <c r="AL70" s="5" t="s">
        <v>72</v>
      </c>
      <c r="AM70" s="5"/>
      <c r="AN70" s="5" t="s">
        <v>72</v>
      </c>
      <c r="AW70" s="143"/>
    </row>
    <row r="71" spans="2:49" ht="15">
      <c r="B71" s="21">
        <v>120</v>
      </c>
      <c r="C71" s="11">
        <v>20200408</v>
      </c>
      <c r="D71" s="12" t="s">
        <v>24</v>
      </c>
      <c r="E71" s="13" t="s">
        <v>118</v>
      </c>
      <c r="F71" s="22" t="s">
        <v>150</v>
      </c>
      <c r="G71" s="13">
        <v>1409394</v>
      </c>
      <c r="H71" s="15" t="s">
        <v>72</v>
      </c>
      <c r="I71" s="13" t="s">
        <v>151</v>
      </c>
      <c r="J71" s="15" t="s">
        <v>72</v>
      </c>
      <c r="K71" s="3" t="s">
        <v>73</v>
      </c>
      <c r="L71" s="16" t="s">
        <v>133</v>
      </c>
      <c r="M71" s="15" t="s">
        <v>72</v>
      </c>
      <c r="N71" s="3" t="s">
        <v>121</v>
      </c>
      <c r="O71" s="5" t="s">
        <v>72</v>
      </c>
      <c r="P71" s="5" t="s">
        <v>1287</v>
      </c>
      <c r="Q71" s="11" t="s">
        <v>174</v>
      </c>
      <c r="R71" s="15" t="s">
        <v>72</v>
      </c>
      <c r="S71" s="3" t="s">
        <v>109</v>
      </c>
      <c r="T71" s="3"/>
      <c r="U71" s="3"/>
      <c r="V71" s="13">
        <v>175</v>
      </c>
      <c r="W71" s="3">
        <v>175</v>
      </c>
      <c r="X71" s="3">
        <v>175</v>
      </c>
      <c r="Y71" s="3">
        <v>3.11</v>
      </c>
      <c r="Z71" s="3">
        <v>1</v>
      </c>
      <c r="AA71" s="3" t="s">
        <v>110</v>
      </c>
      <c r="AB71" s="3"/>
      <c r="AC71" s="6">
        <v>43929</v>
      </c>
      <c r="AD71" s="6">
        <v>43941</v>
      </c>
      <c r="AE71" s="6">
        <v>43930</v>
      </c>
      <c r="AF71" s="6">
        <v>43930</v>
      </c>
      <c r="AG71" s="18" t="s">
        <v>75</v>
      </c>
      <c r="AH71" s="3">
        <v>100</v>
      </c>
      <c r="AI71" s="3">
        <v>100</v>
      </c>
      <c r="AJ71" s="3">
        <v>100</v>
      </c>
      <c r="AK71" s="19" t="s">
        <v>111</v>
      </c>
      <c r="AL71" s="5" t="s">
        <v>72</v>
      </c>
      <c r="AM71" s="5"/>
      <c r="AN71" s="5" t="s">
        <v>72</v>
      </c>
      <c r="AW71" s="143"/>
    </row>
    <row r="72" spans="2:49" ht="15">
      <c r="B72" s="21">
        <v>121</v>
      </c>
      <c r="C72" s="11">
        <v>20200408</v>
      </c>
      <c r="D72" s="12" t="s">
        <v>24</v>
      </c>
      <c r="E72" s="13" t="s">
        <v>118</v>
      </c>
      <c r="F72" s="14" t="s">
        <v>131</v>
      </c>
      <c r="G72" s="13">
        <v>1409394</v>
      </c>
      <c r="H72" s="15" t="s">
        <v>72</v>
      </c>
      <c r="I72" s="13" t="s">
        <v>40</v>
      </c>
      <c r="J72" s="15" t="s">
        <v>72</v>
      </c>
      <c r="K72" s="3" t="s">
        <v>73</v>
      </c>
      <c r="L72" s="16" t="s">
        <v>133</v>
      </c>
      <c r="M72" s="15" t="s">
        <v>72</v>
      </c>
      <c r="N72" s="3" t="s">
        <v>121</v>
      </c>
      <c r="O72" s="5" t="s">
        <v>72</v>
      </c>
      <c r="P72" s="5" t="s">
        <v>1287</v>
      </c>
      <c r="Q72" s="11" t="s">
        <v>175</v>
      </c>
      <c r="R72" s="15" t="s">
        <v>72</v>
      </c>
      <c r="S72" s="3" t="s">
        <v>161</v>
      </c>
      <c r="T72" s="3"/>
      <c r="U72" s="3"/>
      <c r="V72" s="13">
        <v>33</v>
      </c>
      <c r="W72" s="24">
        <v>12</v>
      </c>
      <c r="X72" s="3">
        <v>12</v>
      </c>
      <c r="Y72" s="3">
        <v>0.21</v>
      </c>
      <c r="Z72" s="3">
        <v>0.1</v>
      </c>
      <c r="AA72" s="3" t="s">
        <v>110</v>
      </c>
      <c r="AB72" s="3"/>
      <c r="AC72" s="6">
        <v>43929</v>
      </c>
      <c r="AD72" s="6">
        <v>43941</v>
      </c>
      <c r="AE72" s="6">
        <v>43931</v>
      </c>
      <c r="AF72" s="6">
        <v>43931</v>
      </c>
      <c r="AG72" s="23" t="s">
        <v>75</v>
      </c>
      <c r="AH72" s="19">
        <v>100</v>
      </c>
      <c r="AI72" s="19">
        <v>100</v>
      </c>
      <c r="AJ72" s="19">
        <v>100</v>
      </c>
      <c r="AK72" s="19" t="s">
        <v>111</v>
      </c>
      <c r="AL72" s="5" t="s">
        <v>72</v>
      </c>
      <c r="AM72" s="5"/>
      <c r="AN72" s="5" t="s">
        <v>72</v>
      </c>
      <c r="AW72" s="143"/>
    </row>
    <row r="73" spans="2:49" ht="15">
      <c r="B73" s="25">
        <v>127</v>
      </c>
      <c r="C73" s="11">
        <v>20200410</v>
      </c>
      <c r="D73" s="12" t="s">
        <v>24</v>
      </c>
      <c r="E73" s="11" t="s">
        <v>176</v>
      </c>
      <c r="F73" s="26" t="s">
        <v>177</v>
      </c>
      <c r="G73" s="11">
        <v>1411876</v>
      </c>
      <c r="H73" s="15" t="s">
        <v>72</v>
      </c>
      <c r="I73" s="11" t="s">
        <v>178</v>
      </c>
      <c r="J73" s="15" t="s">
        <v>72</v>
      </c>
      <c r="K73" s="3" t="s">
        <v>73</v>
      </c>
      <c r="L73" s="16" t="s">
        <v>72</v>
      </c>
      <c r="M73" s="15" t="s">
        <v>72</v>
      </c>
      <c r="N73" s="3" t="s">
        <v>179</v>
      </c>
      <c r="O73" s="5" t="s">
        <v>72</v>
      </c>
      <c r="P73" s="5" t="s">
        <v>1288</v>
      </c>
      <c r="Q73" s="11" t="s">
        <v>376</v>
      </c>
      <c r="R73" s="15" t="s">
        <v>72</v>
      </c>
      <c r="S73" s="3" t="s">
        <v>161</v>
      </c>
      <c r="T73" s="3"/>
      <c r="U73" s="3"/>
      <c r="V73" s="3">
        <v>278</v>
      </c>
      <c r="W73" s="3">
        <v>278</v>
      </c>
      <c r="X73" s="3">
        <v>278</v>
      </c>
      <c r="Y73" s="3">
        <v>4.9400000000000004</v>
      </c>
      <c r="Z73" s="3">
        <v>3</v>
      </c>
      <c r="AA73" s="3" t="s">
        <v>110</v>
      </c>
      <c r="AB73" s="3"/>
      <c r="AC73" s="6">
        <v>43934</v>
      </c>
      <c r="AD73" s="6">
        <v>43945</v>
      </c>
      <c r="AE73" s="6">
        <v>43934</v>
      </c>
      <c r="AF73" s="6">
        <v>43934</v>
      </c>
      <c r="AG73" s="23" t="s">
        <v>75</v>
      </c>
      <c r="AH73" s="19">
        <v>100</v>
      </c>
      <c r="AI73" s="19">
        <v>100</v>
      </c>
      <c r="AJ73" s="19">
        <v>100</v>
      </c>
      <c r="AK73" s="19" t="s">
        <v>111</v>
      </c>
      <c r="AL73" s="5" t="s">
        <v>72</v>
      </c>
      <c r="AM73" s="5"/>
      <c r="AN73" s="5" t="s">
        <v>72</v>
      </c>
      <c r="AW73" s="143"/>
    </row>
    <row r="74" spans="2:49" ht="15">
      <c r="B74" s="25">
        <v>128</v>
      </c>
      <c r="C74" s="11">
        <v>20200410</v>
      </c>
      <c r="D74" s="12" t="s">
        <v>24</v>
      </c>
      <c r="E74" s="11" t="s">
        <v>176</v>
      </c>
      <c r="F74" s="27" t="s">
        <v>177</v>
      </c>
      <c r="G74" s="28">
        <v>1411876</v>
      </c>
      <c r="H74" s="15" t="s">
        <v>72</v>
      </c>
      <c r="I74" s="17" t="s">
        <v>180</v>
      </c>
      <c r="J74" s="15" t="s">
        <v>72</v>
      </c>
      <c r="K74" s="28" t="s">
        <v>73</v>
      </c>
      <c r="L74" s="27" t="s">
        <v>72</v>
      </c>
      <c r="M74" s="15" t="s">
        <v>72</v>
      </c>
      <c r="N74" s="3" t="s">
        <v>179</v>
      </c>
      <c r="O74" s="5" t="s">
        <v>72</v>
      </c>
      <c r="P74" s="5" t="s">
        <v>1288</v>
      </c>
      <c r="Q74" s="11" t="s">
        <v>377</v>
      </c>
      <c r="R74" s="15" t="s">
        <v>72</v>
      </c>
      <c r="S74" s="3" t="s">
        <v>113</v>
      </c>
      <c r="T74" s="3"/>
      <c r="U74" s="3"/>
      <c r="V74" s="3">
        <v>715</v>
      </c>
      <c r="W74" s="3">
        <v>715</v>
      </c>
      <c r="X74" s="50">
        <v>715</v>
      </c>
      <c r="Y74" s="3">
        <v>12.71</v>
      </c>
      <c r="Z74" s="3">
        <v>2</v>
      </c>
      <c r="AA74" s="3" t="s">
        <v>110</v>
      </c>
      <c r="AB74" s="3"/>
      <c r="AC74" s="6">
        <v>43934</v>
      </c>
      <c r="AD74" s="6">
        <v>43945</v>
      </c>
      <c r="AE74" s="6">
        <v>43930</v>
      </c>
      <c r="AF74" s="6">
        <v>43930</v>
      </c>
      <c r="AG74" s="18" t="s">
        <v>79</v>
      </c>
      <c r="AH74" s="19">
        <v>100</v>
      </c>
      <c r="AI74" s="19">
        <v>100</v>
      </c>
      <c r="AJ74" s="19">
        <v>100</v>
      </c>
      <c r="AK74" s="3" t="s">
        <v>378</v>
      </c>
      <c r="AL74" s="5" t="s">
        <v>379</v>
      </c>
      <c r="AM74" s="5"/>
      <c r="AN74" s="5" t="s">
        <v>72</v>
      </c>
      <c r="AW74" s="143"/>
    </row>
    <row r="75" spans="2:49" ht="15">
      <c r="B75" s="25">
        <v>129</v>
      </c>
      <c r="C75" s="11">
        <v>20200410</v>
      </c>
      <c r="D75" s="12" t="s">
        <v>24</v>
      </c>
      <c r="E75" s="11" t="s">
        <v>176</v>
      </c>
      <c r="F75" s="29" t="s">
        <v>177</v>
      </c>
      <c r="G75" s="17">
        <v>1411876</v>
      </c>
      <c r="H75" s="15" t="s">
        <v>72</v>
      </c>
      <c r="I75" s="17" t="s">
        <v>181</v>
      </c>
      <c r="J75" s="15" t="s">
        <v>72</v>
      </c>
      <c r="K75" s="17" t="s">
        <v>73</v>
      </c>
      <c r="L75" s="30" t="s">
        <v>72</v>
      </c>
      <c r="M75" s="15" t="s">
        <v>72</v>
      </c>
      <c r="N75" s="31" t="s">
        <v>179</v>
      </c>
      <c r="O75" s="5" t="s">
        <v>72</v>
      </c>
      <c r="P75" s="5" t="s">
        <v>1288</v>
      </c>
      <c r="Q75" s="11" t="s">
        <v>380</v>
      </c>
      <c r="R75" s="15" t="s">
        <v>72</v>
      </c>
      <c r="S75" s="3" t="s">
        <v>113</v>
      </c>
      <c r="T75" s="3"/>
      <c r="U75" s="3"/>
      <c r="V75" s="3">
        <v>137</v>
      </c>
      <c r="W75" s="3">
        <v>137</v>
      </c>
      <c r="X75" s="3">
        <v>137</v>
      </c>
      <c r="Y75" s="3">
        <v>2.4300000000000002</v>
      </c>
      <c r="Z75" s="3">
        <v>2</v>
      </c>
      <c r="AA75" s="3" t="s">
        <v>110</v>
      </c>
      <c r="AB75" s="3"/>
      <c r="AC75" s="6">
        <v>43934</v>
      </c>
      <c r="AD75" s="6">
        <v>43945</v>
      </c>
      <c r="AE75" s="6">
        <v>43935</v>
      </c>
      <c r="AF75" s="6">
        <v>43935</v>
      </c>
      <c r="AG75" s="18" t="s">
        <v>79</v>
      </c>
      <c r="AH75" s="3">
        <v>100</v>
      </c>
      <c r="AI75" s="3">
        <v>100</v>
      </c>
      <c r="AJ75" s="3">
        <v>100</v>
      </c>
      <c r="AK75" s="3" t="s">
        <v>111</v>
      </c>
      <c r="AL75" s="5" t="s">
        <v>381</v>
      </c>
      <c r="AM75" s="5"/>
      <c r="AN75" s="5" t="s">
        <v>72</v>
      </c>
      <c r="AW75" s="143"/>
    </row>
    <row r="76" spans="2:49" ht="15">
      <c r="B76" s="25">
        <v>130</v>
      </c>
      <c r="C76" s="11">
        <v>20200410</v>
      </c>
      <c r="D76" s="12" t="s">
        <v>24</v>
      </c>
      <c r="E76" s="11" t="s">
        <v>176</v>
      </c>
      <c r="F76" s="29" t="s">
        <v>177</v>
      </c>
      <c r="G76" s="17">
        <v>1411876</v>
      </c>
      <c r="H76" s="15" t="s">
        <v>72</v>
      </c>
      <c r="I76" s="17" t="s">
        <v>182</v>
      </c>
      <c r="J76" s="15" t="s">
        <v>72</v>
      </c>
      <c r="K76" s="17" t="s">
        <v>73</v>
      </c>
      <c r="L76" s="30" t="s">
        <v>72</v>
      </c>
      <c r="M76" s="15" t="s">
        <v>72</v>
      </c>
      <c r="N76" s="31" t="s">
        <v>179</v>
      </c>
      <c r="O76" s="5" t="s">
        <v>72</v>
      </c>
      <c r="P76" s="5" t="s">
        <v>1288</v>
      </c>
      <c r="Q76" s="11" t="s">
        <v>382</v>
      </c>
      <c r="R76" s="15" t="s">
        <v>72</v>
      </c>
      <c r="S76" s="3" t="s">
        <v>113</v>
      </c>
      <c r="T76" s="3"/>
      <c r="U76" s="3"/>
      <c r="V76" s="3">
        <v>132</v>
      </c>
      <c r="W76" s="3">
        <v>132</v>
      </c>
      <c r="X76" s="50">
        <v>132</v>
      </c>
      <c r="Y76" s="3">
        <v>2.34</v>
      </c>
      <c r="Z76" s="3">
        <v>1</v>
      </c>
      <c r="AA76" s="3" t="s">
        <v>110</v>
      </c>
      <c r="AB76" s="3"/>
      <c r="AC76" s="6">
        <v>43934</v>
      </c>
      <c r="AD76" s="6">
        <v>43945</v>
      </c>
      <c r="AE76" s="6">
        <v>43934</v>
      </c>
      <c r="AF76" s="6">
        <v>43934</v>
      </c>
      <c r="AG76" s="18" t="s">
        <v>75</v>
      </c>
      <c r="AH76" s="19">
        <v>100</v>
      </c>
      <c r="AI76" s="19">
        <v>100</v>
      </c>
      <c r="AJ76" s="19">
        <v>100</v>
      </c>
      <c r="AK76" s="19" t="s">
        <v>76</v>
      </c>
      <c r="AL76" s="5" t="s">
        <v>383</v>
      </c>
      <c r="AM76" s="5"/>
      <c r="AN76" s="5" t="s">
        <v>72</v>
      </c>
      <c r="AW76" s="143"/>
    </row>
    <row r="77" spans="2:49" ht="15">
      <c r="B77" s="25">
        <v>131</v>
      </c>
      <c r="C77" s="11">
        <v>20200410</v>
      </c>
      <c r="D77" s="12" t="s">
        <v>24</v>
      </c>
      <c r="E77" s="11" t="s">
        <v>176</v>
      </c>
      <c r="F77" s="29" t="s">
        <v>177</v>
      </c>
      <c r="G77" s="17">
        <v>1411876</v>
      </c>
      <c r="H77" s="15" t="s">
        <v>72</v>
      </c>
      <c r="I77" s="17" t="s">
        <v>183</v>
      </c>
      <c r="J77" s="15" t="s">
        <v>72</v>
      </c>
      <c r="K77" s="17" t="s">
        <v>73</v>
      </c>
      <c r="L77" s="30" t="s">
        <v>72</v>
      </c>
      <c r="M77" s="15" t="s">
        <v>72</v>
      </c>
      <c r="N77" s="31" t="s">
        <v>179</v>
      </c>
      <c r="O77" s="5" t="s">
        <v>72</v>
      </c>
      <c r="P77" s="5" t="s">
        <v>1288</v>
      </c>
      <c r="Q77" s="11" t="s">
        <v>384</v>
      </c>
      <c r="R77" s="15" t="s">
        <v>72</v>
      </c>
      <c r="S77" s="3" t="s">
        <v>113</v>
      </c>
      <c r="T77" s="3"/>
      <c r="U77" s="3"/>
      <c r="V77" s="3">
        <v>34</v>
      </c>
      <c r="W77" s="3">
        <v>34</v>
      </c>
      <c r="X77" s="3">
        <v>34</v>
      </c>
      <c r="Y77" s="3">
        <v>0.6</v>
      </c>
      <c r="Z77" s="3">
        <v>1</v>
      </c>
      <c r="AA77" s="3" t="s">
        <v>110</v>
      </c>
      <c r="AB77" s="3"/>
      <c r="AC77" s="6">
        <v>43934</v>
      </c>
      <c r="AD77" s="6">
        <v>43945</v>
      </c>
      <c r="AE77" s="6">
        <v>43934</v>
      </c>
      <c r="AF77" s="6">
        <v>43934</v>
      </c>
      <c r="AG77" s="18" t="s">
        <v>75</v>
      </c>
      <c r="AH77" s="19">
        <v>100</v>
      </c>
      <c r="AI77" s="19">
        <v>100</v>
      </c>
      <c r="AJ77" s="19">
        <v>100</v>
      </c>
      <c r="AK77" s="19" t="s">
        <v>111</v>
      </c>
      <c r="AL77" s="5" t="s">
        <v>72</v>
      </c>
      <c r="AM77" s="5"/>
      <c r="AN77" s="5" t="s">
        <v>72</v>
      </c>
      <c r="AW77" s="143"/>
    </row>
    <row r="78" spans="2:49" ht="15">
      <c r="B78" s="25">
        <v>132</v>
      </c>
      <c r="C78" s="11">
        <v>20200410</v>
      </c>
      <c r="D78" s="12" t="s">
        <v>24</v>
      </c>
      <c r="E78" s="11" t="s">
        <v>176</v>
      </c>
      <c r="F78" s="29" t="s">
        <v>177</v>
      </c>
      <c r="G78" s="17">
        <v>1411876</v>
      </c>
      <c r="H78" s="15" t="s">
        <v>72</v>
      </c>
      <c r="I78" s="17" t="s">
        <v>184</v>
      </c>
      <c r="J78" s="15" t="s">
        <v>72</v>
      </c>
      <c r="K78" s="17" t="s">
        <v>73</v>
      </c>
      <c r="L78" s="30" t="s">
        <v>72</v>
      </c>
      <c r="M78" s="15" t="s">
        <v>72</v>
      </c>
      <c r="N78" s="31" t="s">
        <v>179</v>
      </c>
      <c r="O78" s="5" t="s">
        <v>72</v>
      </c>
      <c r="P78" s="5" t="s">
        <v>1288</v>
      </c>
      <c r="Q78" s="11" t="s">
        <v>385</v>
      </c>
      <c r="R78" s="15" t="s">
        <v>72</v>
      </c>
      <c r="S78" s="3" t="s">
        <v>113</v>
      </c>
      <c r="T78" s="3"/>
      <c r="U78" s="3"/>
      <c r="V78" s="3">
        <v>33</v>
      </c>
      <c r="W78" s="3">
        <v>33</v>
      </c>
      <c r="X78" s="3">
        <v>33</v>
      </c>
      <c r="Y78" s="3">
        <v>0.57999999999999996</v>
      </c>
      <c r="Z78" s="3">
        <v>1</v>
      </c>
      <c r="AA78" s="3" t="s">
        <v>110</v>
      </c>
      <c r="AB78" s="3"/>
      <c r="AC78" s="6">
        <v>43934</v>
      </c>
      <c r="AD78" s="6">
        <v>43945</v>
      </c>
      <c r="AE78" s="6">
        <v>43934</v>
      </c>
      <c r="AF78" s="6">
        <v>43934</v>
      </c>
      <c r="AG78" s="18" t="s">
        <v>75</v>
      </c>
      <c r="AH78" s="19">
        <v>100</v>
      </c>
      <c r="AI78" s="19">
        <v>100</v>
      </c>
      <c r="AJ78" s="19">
        <v>100</v>
      </c>
      <c r="AK78" s="19" t="s">
        <v>111</v>
      </c>
      <c r="AL78" s="5" t="s">
        <v>72</v>
      </c>
      <c r="AM78" s="5"/>
      <c r="AN78" s="5" t="s">
        <v>72</v>
      </c>
      <c r="AW78" s="143"/>
    </row>
    <row r="79" spans="2:49" ht="15">
      <c r="B79" s="25">
        <v>133</v>
      </c>
      <c r="C79" s="11">
        <v>20200410</v>
      </c>
      <c r="D79" s="12" t="s">
        <v>24</v>
      </c>
      <c r="E79" s="11" t="s">
        <v>176</v>
      </c>
      <c r="F79" s="29" t="s">
        <v>177</v>
      </c>
      <c r="G79" s="17">
        <v>1411876</v>
      </c>
      <c r="H79" s="15" t="s">
        <v>72</v>
      </c>
      <c r="I79" s="17" t="s">
        <v>185</v>
      </c>
      <c r="J79" s="15" t="s">
        <v>72</v>
      </c>
      <c r="K79" s="17" t="s">
        <v>73</v>
      </c>
      <c r="L79" s="30" t="s">
        <v>72</v>
      </c>
      <c r="M79" s="15" t="s">
        <v>72</v>
      </c>
      <c r="N79" s="31" t="s">
        <v>179</v>
      </c>
      <c r="O79" s="5" t="s">
        <v>72</v>
      </c>
      <c r="P79" s="5" t="s">
        <v>1288</v>
      </c>
      <c r="Q79" s="11" t="s">
        <v>386</v>
      </c>
      <c r="R79" s="15" t="s">
        <v>72</v>
      </c>
      <c r="S79" s="3" t="s">
        <v>113</v>
      </c>
      <c r="T79" s="3"/>
      <c r="U79" s="3"/>
      <c r="V79" s="3">
        <v>78</v>
      </c>
      <c r="W79" s="3">
        <v>78</v>
      </c>
      <c r="X79" s="3">
        <v>78</v>
      </c>
      <c r="Y79" s="3">
        <v>1.38</v>
      </c>
      <c r="Z79" s="3">
        <v>1</v>
      </c>
      <c r="AA79" s="3" t="s">
        <v>110</v>
      </c>
      <c r="AB79" s="3"/>
      <c r="AC79" s="6">
        <v>43934</v>
      </c>
      <c r="AD79" s="6">
        <v>43945</v>
      </c>
      <c r="AE79" s="6">
        <v>43934</v>
      </c>
      <c r="AF79" s="6">
        <v>43934</v>
      </c>
      <c r="AG79" s="18" t="s">
        <v>75</v>
      </c>
      <c r="AH79" s="19">
        <v>100</v>
      </c>
      <c r="AI79" s="19">
        <v>100</v>
      </c>
      <c r="AJ79" s="19">
        <v>100</v>
      </c>
      <c r="AK79" s="19" t="s">
        <v>111</v>
      </c>
      <c r="AL79" s="5" t="s">
        <v>72</v>
      </c>
      <c r="AM79" s="5"/>
      <c r="AN79" s="5" t="s">
        <v>72</v>
      </c>
      <c r="AW79" s="143"/>
    </row>
    <row r="80" spans="2:49" ht="15">
      <c r="B80" s="25">
        <v>134</v>
      </c>
      <c r="C80" s="11">
        <v>20200410</v>
      </c>
      <c r="D80" s="12" t="s">
        <v>24</v>
      </c>
      <c r="E80" s="11" t="s">
        <v>176</v>
      </c>
      <c r="F80" s="29" t="s">
        <v>177</v>
      </c>
      <c r="G80" s="17">
        <v>1411876</v>
      </c>
      <c r="H80" s="15" t="s">
        <v>72</v>
      </c>
      <c r="I80" s="17" t="s">
        <v>186</v>
      </c>
      <c r="J80" s="15" t="s">
        <v>72</v>
      </c>
      <c r="K80" s="17" t="s">
        <v>73</v>
      </c>
      <c r="L80" s="30" t="s">
        <v>72</v>
      </c>
      <c r="M80" s="15" t="s">
        <v>72</v>
      </c>
      <c r="N80" s="31" t="s">
        <v>179</v>
      </c>
      <c r="O80" s="5" t="s">
        <v>72</v>
      </c>
      <c r="P80" s="5" t="s">
        <v>1288</v>
      </c>
      <c r="Q80" s="11" t="s">
        <v>387</v>
      </c>
      <c r="R80" s="15" t="s">
        <v>72</v>
      </c>
      <c r="S80" s="3" t="s">
        <v>113</v>
      </c>
      <c r="T80" s="3"/>
      <c r="U80" s="3"/>
      <c r="V80" s="3">
        <v>65</v>
      </c>
      <c r="W80" s="3">
        <v>65</v>
      </c>
      <c r="X80" s="50">
        <v>65</v>
      </c>
      <c r="Y80" s="3">
        <v>1.1499999999999999</v>
      </c>
      <c r="Z80" s="3">
        <v>2</v>
      </c>
      <c r="AA80" s="3" t="s">
        <v>110</v>
      </c>
      <c r="AB80" s="3"/>
      <c r="AC80" s="6">
        <v>43934</v>
      </c>
      <c r="AD80" s="6">
        <v>43945</v>
      </c>
      <c r="AE80" s="6">
        <v>43934</v>
      </c>
      <c r="AF80" s="6">
        <v>43934</v>
      </c>
      <c r="AG80" s="18" t="s">
        <v>75</v>
      </c>
      <c r="AH80" s="19">
        <v>100</v>
      </c>
      <c r="AI80" s="19">
        <v>100</v>
      </c>
      <c r="AJ80" s="19">
        <v>100</v>
      </c>
      <c r="AK80" s="19" t="s">
        <v>111</v>
      </c>
      <c r="AL80" s="5" t="s">
        <v>72</v>
      </c>
      <c r="AM80" s="5"/>
      <c r="AN80" s="5" t="s">
        <v>72</v>
      </c>
      <c r="AW80" s="143"/>
    </row>
    <row r="81" spans="2:49" ht="15">
      <c r="B81" s="25">
        <v>135</v>
      </c>
      <c r="C81" s="11">
        <v>20200410</v>
      </c>
      <c r="D81" s="12" t="s">
        <v>24</v>
      </c>
      <c r="E81" s="11" t="s">
        <v>176</v>
      </c>
      <c r="F81" s="29" t="s">
        <v>177</v>
      </c>
      <c r="G81" s="17">
        <v>1411876</v>
      </c>
      <c r="H81" s="15" t="s">
        <v>72</v>
      </c>
      <c r="I81" s="17" t="s">
        <v>187</v>
      </c>
      <c r="J81" s="15" t="s">
        <v>72</v>
      </c>
      <c r="K81" s="17" t="s">
        <v>73</v>
      </c>
      <c r="L81" s="30" t="s">
        <v>72</v>
      </c>
      <c r="M81" s="15" t="s">
        <v>72</v>
      </c>
      <c r="N81" s="31" t="s">
        <v>179</v>
      </c>
      <c r="O81" s="5" t="s">
        <v>72</v>
      </c>
      <c r="P81" s="5" t="s">
        <v>1288</v>
      </c>
      <c r="Q81" s="11" t="s">
        <v>388</v>
      </c>
      <c r="R81" s="15" t="s">
        <v>72</v>
      </c>
      <c r="S81" s="3" t="s">
        <v>113</v>
      </c>
      <c r="T81" s="3"/>
      <c r="U81" s="3"/>
      <c r="V81" s="3">
        <v>109</v>
      </c>
      <c r="W81" s="3">
        <v>109</v>
      </c>
      <c r="X81" s="3">
        <v>109</v>
      </c>
      <c r="Y81" s="3">
        <v>1.93</v>
      </c>
      <c r="Z81" s="3">
        <v>2</v>
      </c>
      <c r="AA81" s="3" t="s">
        <v>110</v>
      </c>
      <c r="AB81" s="3"/>
      <c r="AC81" s="6">
        <v>43934</v>
      </c>
      <c r="AD81" s="6">
        <v>43945</v>
      </c>
      <c r="AE81" s="6">
        <v>43934</v>
      </c>
      <c r="AF81" s="6">
        <v>43934</v>
      </c>
      <c r="AG81" s="18" t="s">
        <v>75</v>
      </c>
      <c r="AH81" s="19">
        <v>100</v>
      </c>
      <c r="AI81" s="19">
        <v>100</v>
      </c>
      <c r="AJ81" s="19">
        <v>100</v>
      </c>
      <c r="AK81" s="19" t="s">
        <v>111</v>
      </c>
      <c r="AL81" s="5" t="s">
        <v>72</v>
      </c>
      <c r="AM81" s="5"/>
      <c r="AN81" s="5" t="s">
        <v>72</v>
      </c>
      <c r="AW81" s="143"/>
    </row>
    <row r="82" spans="2:49" ht="15">
      <c r="B82" s="25">
        <v>136</v>
      </c>
      <c r="C82" s="11">
        <v>20200410</v>
      </c>
      <c r="D82" s="12" t="s">
        <v>24</v>
      </c>
      <c r="E82" s="11" t="s">
        <v>176</v>
      </c>
      <c r="F82" s="29" t="s">
        <v>177</v>
      </c>
      <c r="G82" s="17">
        <v>1411876</v>
      </c>
      <c r="H82" s="15" t="s">
        <v>72</v>
      </c>
      <c r="I82" s="17" t="s">
        <v>188</v>
      </c>
      <c r="J82" s="15" t="s">
        <v>72</v>
      </c>
      <c r="K82" s="17" t="s">
        <v>73</v>
      </c>
      <c r="L82" s="30" t="s">
        <v>72</v>
      </c>
      <c r="M82" s="15" t="s">
        <v>72</v>
      </c>
      <c r="N82" s="31" t="s">
        <v>179</v>
      </c>
      <c r="O82" s="5" t="s">
        <v>72</v>
      </c>
      <c r="P82" s="5" t="s">
        <v>1288</v>
      </c>
      <c r="Q82" s="11" t="s">
        <v>389</v>
      </c>
      <c r="R82" s="15" t="s">
        <v>72</v>
      </c>
      <c r="S82" s="3" t="s">
        <v>113</v>
      </c>
      <c r="T82" s="3"/>
      <c r="U82" s="3"/>
      <c r="V82" s="3">
        <v>127</v>
      </c>
      <c r="W82" s="3">
        <v>127</v>
      </c>
      <c r="X82" s="3">
        <v>127</v>
      </c>
      <c r="Y82" s="3">
        <v>2.25</v>
      </c>
      <c r="Z82" s="3">
        <v>2</v>
      </c>
      <c r="AA82" s="3" t="s">
        <v>110</v>
      </c>
      <c r="AB82" s="3"/>
      <c r="AC82" s="6">
        <v>43934</v>
      </c>
      <c r="AD82" s="6">
        <v>43945</v>
      </c>
      <c r="AE82" s="6">
        <v>43934</v>
      </c>
      <c r="AF82" s="6">
        <v>43934</v>
      </c>
      <c r="AG82" s="18" t="s">
        <v>75</v>
      </c>
      <c r="AH82" s="19">
        <v>100</v>
      </c>
      <c r="AI82" s="19">
        <v>100</v>
      </c>
      <c r="AJ82" s="19">
        <v>100</v>
      </c>
      <c r="AK82" s="19" t="s">
        <v>111</v>
      </c>
      <c r="AL82" s="5" t="s">
        <v>72</v>
      </c>
      <c r="AM82" s="5"/>
      <c r="AN82" s="5" t="s">
        <v>72</v>
      </c>
      <c r="AW82" s="143"/>
    </row>
    <row r="83" spans="2:49" ht="15">
      <c r="B83" s="25">
        <v>137</v>
      </c>
      <c r="C83" s="11">
        <v>20200410</v>
      </c>
      <c r="D83" s="12" t="s">
        <v>24</v>
      </c>
      <c r="E83" s="11" t="s">
        <v>176</v>
      </c>
      <c r="F83" s="29" t="s">
        <v>177</v>
      </c>
      <c r="G83" s="17">
        <v>1411876</v>
      </c>
      <c r="H83" s="15" t="s">
        <v>72</v>
      </c>
      <c r="I83" s="17" t="s">
        <v>189</v>
      </c>
      <c r="J83" s="15" t="s">
        <v>72</v>
      </c>
      <c r="K83" s="17" t="s">
        <v>73</v>
      </c>
      <c r="L83" s="30" t="s">
        <v>72</v>
      </c>
      <c r="M83" s="15" t="s">
        <v>72</v>
      </c>
      <c r="N83" s="31" t="s">
        <v>179</v>
      </c>
      <c r="O83" s="5" t="s">
        <v>72</v>
      </c>
      <c r="P83" s="5" t="s">
        <v>1288</v>
      </c>
      <c r="Q83" s="11" t="s">
        <v>390</v>
      </c>
      <c r="R83" s="15" t="s">
        <v>72</v>
      </c>
      <c r="S83" s="3" t="s">
        <v>113</v>
      </c>
      <c r="T83" s="3"/>
      <c r="U83" s="3"/>
      <c r="V83" s="3">
        <v>50</v>
      </c>
      <c r="W83" s="3">
        <v>50</v>
      </c>
      <c r="X83" s="3">
        <v>50</v>
      </c>
      <c r="Y83" s="3">
        <v>0.88</v>
      </c>
      <c r="Z83" s="3">
        <v>2</v>
      </c>
      <c r="AA83" s="3" t="s">
        <v>110</v>
      </c>
      <c r="AB83" s="3"/>
      <c r="AC83" s="6">
        <v>43934</v>
      </c>
      <c r="AD83" s="6">
        <v>43945</v>
      </c>
      <c r="AE83" s="6">
        <v>43934</v>
      </c>
      <c r="AF83" s="6">
        <v>43934</v>
      </c>
      <c r="AG83" s="18" t="s">
        <v>75</v>
      </c>
      <c r="AH83" s="19">
        <v>100</v>
      </c>
      <c r="AI83" s="19">
        <v>100</v>
      </c>
      <c r="AJ83" s="19">
        <v>100</v>
      </c>
      <c r="AK83" s="19" t="s">
        <v>111</v>
      </c>
      <c r="AL83" s="5" t="s">
        <v>72</v>
      </c>
      <c r="AM83" s="5"/>
      <c r="AN83" s="5" t="s">
        <v>72</v>
      </c>
      <c r="AW83" s="143"/>
    </row>
    <row r="84" spans="2:49" ht="15">
      <c r="B84" s="25">
        <v>138</v>
      </c>
      <c r="C84" s="11">
        <v>20200410</v>
      </c>
      <c r="D84" s="12" t="s">
        <v>24</v>
      </c>
      <c r="E84" s="11" t="s">
        <v>176</v>
      </c>
      <c r="F84" s="29" t="s">
        <v>177</v>
      </c>
      <c r="G84" s="17">
        <v>1411876</v>
      </c>
      <c r="H84" s="15" t="s">
        <v>72</v>
      </c>
      <c r="I84" s="17" t="s">
        <v>190</v>
      </c>
      <c r="J84" s="15" t="s">
        <v>72</v>
      </c>
      <c r="K84" s="17" t="s">
        <v>73</v>
      </c>
      <c r="L84" s="30" t="s">
        <v>72</v>
      </c>
      <c r="M84" s="15" t="s">
        <v>72</v>
      </c>
      <c r="N84" s="31" t="s">
        <v>179</v>
      </c>
      <c r="O84" s="5" t="s">
        <v>72</v>
      </c>
      <c r="P84" s="5" t="s">
        <v>1288</v>
      </c>
      <c r="Q84" s="11" t="s">
        <v>391</v>
      </c>
      <c r="R84" s="15" t="s">
        <v>72</v>
      </c>
      <c r="S84" s="3" t="s">
        <v>113</v>
      </c>
      <c r="T84" s="3"/>
      <c r="U84" s="3"/>
      <c r="V84" s="3">
        <v>426</v>
      </c>
      <c r="W84" s="3">
        <v>426</v>
      </c>
      <c r="X84" s="3">
        <v>426</v>
      </c>
      <c r="Y84" s="3">
        <v>7.57</v>
      </c>
      <c r="Z84" s="3">
        <v>4</v>
      </c>
      <c r="AA84" s="3" t="s">
        <v>110</v>
      </c>
      <c r="AB84" s="3"/>
      <c r="AC84" s="6">
        <v>43934</v>
      </c>
      <c r="AD84" s="6">
        <v>43945</v>
      </c>
      <c r="AE84" s="6">
        <v>43934</v>
      </c>
      <c r="AF84" s="6">
        <v>43934</v>
      </c>
      <c r="AG84" s="18" t="s">
        <v>75</v>
      </c>
      <c r="AH84" s="19">
        <v>100</v>
      </c>
      <c r="AI84" s="19">
        <v>100</v>
      </c>
      <c r="AJ84" s="19">
        <v>100</v>
      </c>
      <c r="AK84" s="19" t="s">
        <v>76</v>
      </c>
      <c r="AL84" s="5" t="s">
        <v>392</v>
      </c>
      <c r="AM84" s="5"/>
      <c r="AN84" s="5" t="s">
        <v>72</v>
      </c>
      <c r="AW84" s="143"/>
    </row>
    <row r="85" spans="2:49" ht="15">
      <c r="B85" s="25">
        <v>139</v>
      </c>
      <c r="C85" s="11">
        <v>20200410</v>
      </c>
      <c r="D85" s="12" t="s">
        <v>24</v>
      </c>
      <c r="E85" s="11" t="s">
        <v>176</v>
      </c>
      <c r="F85" s="29" t="s">
        <v>177</v>
      </c>
      <c r="G85" s="17">
        <v>1411876</v>
      </c>
      <c r="H85" s="15" t="s">
        <v>72</v>
      </c>
      <c r="I85" s="17" t="s">
        <v>191</v>
      </c>
      <c r="J85" s="15" t="s">
        <v>72</v>
      </c>
      <c r="K85" s="17" t="s">
        <v>73</v>
      </c>
      <c r="L85" s="30" t="s">
        <v>72</v>
      </c>
      <c r="M85" s="15" t="s">
        <v>72</v>
      </c>
      <c r="N85" s="31" t="s">
        <v>179</v>
      </c>
      <c r="O85" s="5" t="s">
        <v>72</v>
      </c>
      <c r="P85" s="5" t="s">
        <v>1288</v>
      </c>
      <c r="Q85" s="11" t="s">
        <v>393</v>
      </c>
      <c r="R85" s="15" t="s">
        <v>72</v>
      </c>
      <c r="S85" s="3" t="s">
        <v>113</v>
      </c>
      <c r="T85" s="3"/>
      <c r="U85" s="3"/>
      <c r="V85" s="3">
        <v>896</v>
      </c>
      <c r="W85" s="3">
        <v>896</v>
      </c>
      <c r="X85" s="3">
        <v>896</v>
      </c>
      <c r="Y85" s="3">
        <v>15.92</v>
      </c>
      <c r="Z85" s="3">
        <v>4</v>
      </c>
      <c r="AA85" s="3" t="s">
        <v>110</v>
      </c>
      <c r="AB85" s="3"/>
      <c r="AC85" s="6">
        <v>43934</v>
      </c>
      <c r="AD85" s="6">
        <v>43945</v>
      </c>
      <c r="AE85" s="6">
        <v>43934</v>
      </c>
      <c r="AF85" s="6">
        <v>43934</v>
      </c>
      <c r="AG85" s="18" t="s">
        <v>75</v>
      </c>
      <c r="AH85" s="19">
        <v>100</v>
      </c>
      <c r="AI85" s="19">
        <v>100</v>
      </c>
      <c r="AJ85" s="19">
        <v>100</v>
      </c>
      <c r="AK85" s="19" t="s">
        <v>111</v>
      </c>
      <c r="AL85" s="5" t="s">
        <v>72</v>
      </c>
      <c r="AM85" s="5"/>
      <c r="AN85" s="5" t="s">
        <v>72</v>
      </c>
      <c r="AW85" s="143"/>
    </row>
    <row r="86" spans="2:49" ht="15">
      <c r="B86" s="25">
        <v>140</v>
      </c>
      <c r="C86" s="11">
        <v>20200410</v>
      </c>
      <c r="D86" s="12" t="s">
        <v>24</v>
      </c>
      <c r="E86" s="11" t="s">
        <v>176</v>
      </c>
      <c r="F86" s="26" t="s">
        <v>177</v>
      </c>
      <c r="G86" s="11">
        <v>1411876</v>
      </c>
      <c r="H86" s="15" t="s">
        <v>72</v>
      </c>
      <c r="I86" s="17" t="s">
        <v>192</v>
      </c>
      <c r="J86" s="15" t="s">
        <v>72</v>
      </c>
      <c r="K86" s="3" t="s">
        <v>73</v>
      </c>
      <c r="L86" s="16" t="s">
        <v>72</v>
      </c>
      <c r="M86" s="15" t="s">
        <v>72</v>
      </c>
      <c r="N86" s="3" t="s">
        <v>179</v>
      </c>
      <c r="O86" s="5" t="s">
        <v>72</v>
      </c>
      <c r="P86" s="5" t="s">
        <v>1288</v>
      </c>
      <c r="Q86" s="11" t="s">
        <v>394</v>
      </c>
      <c r="R86" s="15" t="s">
        <v>72</v>
      </c>
      <c r="S86" s="3" t="s">
        <v>161</v>
      </c>
      <c r="T86" s="3"/>
      <c r="U86" s="3"/>
      <c r="V86" s="3">
        <v>121</v>
      </c>
      <c r="W86" s="3">
        <v>121</v>
      </c>
      <c r="X86" s="3">
        <v>121</v>
      </c>
      <c r="Y86" s="3">
        <v>2.15</v>
      </c>
      <c r="Z86" s="3">
        <v>1</v>
      </c>
      <c r="AA86" s="3" t="s">
        <v>110</v>
      </c>
      <c r="AB86" s="3"/>
      <c r="AC86" s="6">
        <v>43934</v>
      </c>
      <c r="AD86" s="6">
        <v>43945</v>
      </c>
      <c r="AE86" s="6">
        <v>43935</v>
      </c>
      <c r="AF86" s="6">
        <v>43935</v>
      </c>
      <c r="AG86" s="18" t="s">
        <v>75</v>
      </c>
      <c r="AH86" s="19">
        <v>100</v>
      </c>
      <c r="AI86" s="19">
        <v>100</v>
      </c>
      <c r="AJ86" s="19">
        <v>100</v>
      </c>
      <c r="AK86" s="19" t="s">
        <v>111</v>
      </c>
      <c r="AL86" s="5" t="s">
        <v>72</v>
      </c>
      <c r="AM86" s="5"/>
      <c r="AN86" s="5" t="s">
        <v>72</v>
      </c>
      <c r="AW86" s="143"/>
    </row>
    <row r="87" spans="2:49" ht="15">
      <c r="B87" s="25">
        <v>141</v>
      </c>
      <c r="C87" s="11">
        <v>20200410</v>
      </c>
      <c r="D87" s="12" t="s">
        <v>24</v>
      </c>
      <c r="E87" s="11" t="s">
        <v>176</v>
      </c>
      <c r="F87" s="26" t="s">
        <v>177</v>
      </c>
      <c r="G87" s="11">
        <v>1411876</v>
      </c>
      <c r="H87" s="15" t="s">
        <v>72</v>
      </c>
      <c r="I87" s="17" t="s">
        <v>193</v>
      </c>
      <c r="J87" s="15" t="s">
        <v>72</v>
      </c>
      <c r="K87" s="3" t="s">
        <v>73</v>
      </c>
      <c r="L87" s="16" t="s">
        <v>72</v>
      </c>
      <c r="M87" s="15" t="s">
        <v>72</v>
      </c>
      <c r="N87" s="3" t="s">
        <v>179</v>
      </c>
      <c r="O87" s="5" t="s">
        <v>72</v>
      </c>
      <c r="P87" s="5" t="s">
        <v>1288</v>
      </c>
      <c r="Q87" s="11" t="s">
        <v>395</v>
      </c>
      <c r="R87" s="15" t="s">
        <v>72</v>
      </c>
      <c r="S87" s="3" t="s">
        <v>161</v>
      </c>
      <c r="T87" s="3"/>
      <c r="U87" s="3"/>
      <c r="V87" s="3">
        <v>251</v>
      </c>
      <c r="W87" s="3">
        <v>251</v>
      </c>
      <c r="X87" s="3">
        <v>251</v>
      </c>
      <c r="Y87" s="3">
        <v>4.46</v>
      </c>
      <c r="Z87" s="3">
        <v>6</v>
      </c>
      <c r="AA87" s="3" t="s">
        <v>110</v>
      </c>
      <c r="AB87" s="3"/>
      <c r="AC87" s="6">
        <v>43934</v>
      </c>
      <c r="AD87" s="6">
        <v>43945</v>
      </c>
      <c r="AE87" s="6">
        <v>43935</v>
      </c>
      <c r="AF87" s="6">
        <v>43936</v>
      </c>
      <c r="AG87" s="18" t="s">
        <v>79</v>
      </c>
      <c r="AH87" s="3">
        <v>100</v>
      </c>
      <c r="AI87" s="3">
        <v>97</v>
      </c>
      <c r="AJ87" s="3">
        <v>60</v>
      </c>
      <c r="AK87" s="3" t="s">
        <v>76</v>
      </c>
      <c r="AL87" s="5" t="s">
        <v>396</v>
      </c>
      <c r="AM87" s="5"/>
      <c r="AN87" s="5" t="s">
        <v>72</v>
      </c>
      <c r="AW87" s="143"/>
    </row>
    <row r="88" spans="2:49" ht="15">
      <c r="B88" s="25">
        <v>142</v>
      </c>
      <c r="C88" s="11">
        <v>20200410</v>
      </c>
      <c r="D88" s="12" t="s">
        <v>24</v>
      </c>
      <c r="E88" s="11" t="s">
        <v>176</v>
      </c>
      <c r="F88" s="26" t="s">
        <v>177</v>
      </c>
      <c r="G88" s="11">
        <v>1411876</v>
      </c>
      <c r="H88" s="15" t="s">
        <v>72</v>
      </c>
      <c r="I88" s="17" t="s">
        <v>194</v>
      </c>
      <c r="J88" s="15" t="s">
        <v>72</v>
      </c>
      <c r="K88" s="3" t="s">
        <v>73</v>
      </c>
      <c r="L88" s="16" t="s">
        <v>72</v>
      </c>
      <c r="M88" s="15" t="s">
        <v>72</v>
      </c>
      <c r="N88" s="3" t="s">
        <v>179</v>
      </c>
      <c r="O88" s="5" t="s">
        <v>72</v>
      </c>
      <c r="P88" s="5" t="s">
        <v>1288</v>
      </c>
      <c r="Q88" s="11" t="s">
        <v>397</v>
      </c>
      <c r="R88" s="15" t="s">
        <v>72</v>
      </c>
      <c r="S88" s="3" t="s">
        <v>161</v>
      </c>
      <c r="T88" s="3"/>
      <c r="U88" s="3"/>
      <c r="V88" s="3">
        <v>80</v>
      </c>
      <c r="W88" s="3">
        <v>80</v>
      </c>
      <c r="X88" s="3">
        <v>80</v>
      </c>
      <c r="Y88" s="3">
        <v>1.42</v>
      </c>
      <c r="Z88" s="3">
        <v>1</v>
      </c>
      <c r="AA88" s="3" t="s">
        <v>110</v>
      </c>
      <c r="AB88" s="3"/>
      <c r="AC88" s="6">
        <v>43934</v>
      </c>
      <c r="AD88" s="6">
        <v>43945</v>
      </c>
      <c r="AE88" s="6">
        <v>43935</v>
      </c>
      <c r="AF88" s="6">
        <v>43935</v>
      </c>
      <c r="AG88" s="18" t="s">
        <v>75</v>
      </c>
      <c r="AH88" s="19">
        <v>100</v>
      </c>
      <c r="AI88" s="19">
        <v>100</v>
      </c>
      <c r="AJ88" s="19">
        <v>100</v>
      </c>
      <c r="AK88" s="19" t="s">
        <v>111</v>
      </c>
      <c r="AL88" s="5" t="s">
        <v>72</v>
      </c>
      <c r="AM88" s="5"/>
      <c r="AN88" s="5" t="s">
        <v>72</v>
      </c>
      <c r="AW88" s="143"/>
    </row>
    <row r="89" spans="2:49" ht="15">
      <c r="B89" s="25">
        <v>143</v>
      </c>
      <c r="C89" s="11">
        <v>20200410</v>
      </c>
      <c r="D89" s="12" t="s">
        <v>24</v>
      </c>
      <c r="E89" s="11" t="s">
        <v>176</v>
      </c>
      <c r="F89" s="26" t="s">
        <v>177</v>
      </c>
      <c r="G89" s="11">
        <v>1411876</v>
      </c>
      <c r="H89" s="15" t="s">
        <v>72</v>
      </c>
      <c r="I89" s="17" t="s">
        <v>195</v>
      </c>
      <c r="J89" s="15" t="s">
        <v>72</v>
      </c>
      <c r="K89" s="3" t="s">
        <v>73</v>
      </c>
      <c r="L89" s="16" t="s">
        <v>72</v>
      </c>
      <c r="M89" s="15" t="s">
        <v>72</v>
      </c>
      <c r="N89" s="3" t="s">
        <v>179</v>
      </c>
      <c r="O89" s="5" t="s">
        <v>72</v>
      </c>
      <c r="P89" s="5" t="s">
        <v>1288</v>
      </c>
      <c r="Q89" s="11" t="s">
        <v>398</v>
      </c>
      <c r="R89" s="15" t="s">
        <v>72</v>
      </c>
      <c r="S89" s="3" t="s">
        <v>161</v>
      </c>
      <c r="T89" s="3"/>
      <c r="U89" s="3"/>
      <c r="V89" s="3">
        <v>67</v>
      </c>
      <c r="W89" s="3">
        <v>67</v>
      </c>
      <c r="X89" s="3">
        <v>67</v>
      </c>
      <c r="Y89" s="3">
        <v>1.19</v>
      </c>
      <c r="Z89" s="3">
        <v>1</v>
      </c>
      <c r="AA89" s="3" t="s">
        <v>110</v>
      </c>
      <c r="AB89" s="3"/>
      <c r="AC89" s="6">
        <v>43934</v>
      </c>
      <c r="AD89" s="6">
        <v>43945</v>
      </c>
      <c r="AE89" s="6">
        <v>43935</v>
      </c>
      <c r="AF89" s="6">
        <v>43935</v>
      </c>
      <c r="AG89" s="18" t="s">
        <v>75</v>
      </c>
      <c r="AH89" s="19">
        <v>100</v>
      </c>
      <c r="AI89" s="19">
        <v>100</v>
      </c>
      <c r="AJ89" s="19">
        <v>100</v>
      </c>
      <c r="AK89" s="19" t="s">
        <v>111</v>
      </c>
      <c r="AL89" s="5" t="s">
        <v>72</v>
      </c>
      <c r="AM89" s="5"/>
      <c r="AN89" s="5" t="s">
        <v>72</v>
      </c>
      <c r="AW89" s="143"/>
    </row>
    <row r="90" spans="2:49" ht="15">
      <c r="B90" s="25">
        <v>144</v>
      </c>
      <c r="C90" s="11">
        <v>20200410</v>
      </c>
      <c r="D90" s="12" t="s">
        <v>24</v>
      </c>
      <c r="E90" s="11" t="s">
        <v>176</v>
      </c>
      <c r="F90" s="26" t="s">
        <v>177</v>
      </c>
      <c r="G90" s="11">
        <v>1411876</v>
      </c>
      <c r="H90" s="15" t="s">
        <v>72</v>
      </c>
      <c r="I90" s="17" t="s">
        <v>196</v>
      </c>
      <c r="J90" s="15" t="s">
        <v>72</v>
      </c>
      <c r="K90" s="3" t="s">
        <v>73</v>
      </c>
      <c r="L90" s="16" t="s">
        <v>72</v>
      </c>
      <c r="M90" s="15" t="s">
        <v>72</v>
      </c>
      <c r="N90" s="3" t="s">
        <v>179</v>
      </c>
      <c r="O90" s="5" t="s">
        <v>72</v>
      </c>
      <c r="P90" s="5" t="s">
        <v>1288</v>
      </c>
      <c r="Q90" s="11" t="s">
        <v>399</v>
      </c>
      <c r="R90" s="15" t="s">
        <v>72</v>
      </c>
      <c r="S90" s="3" t="s">
        <v>161</v>
      </c>
      <c r="T90" s="3"/>
      <c r="U90" s="3"/>
      <c r="V90" s="3">
        <v>33</v>
      </c>
      <c r="W90" s="3">
        <v>33</v>
      </c>
      <c r="X90" s="3">
        <v>33</v>
      </c>
      <c r="Y90" s="3">
        <v>0.57999999999999996</v>
      </c>
      <c r="Z90" s="3">
        <v>0.5</v>
      </c>
      <c r="AA90" s="3" t="s">
        <v>110</v>
      </c>
      <c r="AB90" s="3"/>
      <c r="AC90" s="6">
        <v>43934</v>
      </c>
      <c r="AD90" s="6">
        <v>43945</v>
      </c>
      <c r="AE90" s="6">
        <v>43935</v>
      </c>
      <c r="AF90" s="6">
        <v>43935</v>
      </c>
      <c r="AG90" s="18" t="s">
        <v>75</v>
      </c>
      <c r="AH90" s="19">
        <v>100</v>
      </c>
      <c r="AI90" s="19">
        <v>100</v>
      </c>
      <c r="AJ90" s="19">
        <v>100</v>
      </c>
      <c r="AK90" s="19" t="s">
        <v>111</v>
      </c>
      <c r="AL90" s="5" t="s">
        <v>72</v>
      </c>
      <c r="AM90" s="5"/>
      <c r="AN90" s="5" t="s">
        <v>72</v>
      </c>
      <c r="AW90" s="143"/>
    </row>
    <row r="91" spans="2:49" ht="15">
      <c r="B91" s="25">
        <v>145</v>
      </c>
      <c r="C91" s="11">
        <v>20200410</v>
      </c>
      <c r="D91" s="12" t="s">
        <v>24</v>
      </c>
      <c r="E91" s="11" t="s">
        <v>176</v>
      </c>
      <c r="F91" s="26" t="s">
        <v>177</v>
      </c>
      <c r="G91" s="11">
        <v>1411876</v>
      </c>
      <c r="H91" s="15" t="s">
        <v>72</v>
      </c>
      <c r="I91" s="17" t="s">
        <v>197</v>
      </c>
      <c r="J91" s="15" t="s">
        <v>72</v>
      </c>
      <c r="K91" s="3" t="s">
        <v>73</v>
      </c>
      <c r="L91" s="16" t="s">
        <v>72</v>
      </c>
      <c r="M91" s="15" t="s">
        <v>72</v>
      </c>
      <c r="N91" s="3" t="s">
        <v>179</v>
      </c>
      <c r="O91" s="5" t="s">
        <v>72</v>
      </c>
      <c r="P91" s="5" t="s">
        <v>1288</v>
      </c>
      <c r="Q91" s="11" t="s">
        <v>400</v>
      </c>
      <c r="R91" s="15" t="s">
        <v>72</v>
      </c>
      <c r="S91" s="3" t="s">
        <v>161</v>
      </c>
      <c r="T91" s="3"/>
      <c r="U91" s="3"/>
      <c r="V91" s="3">
        <v>23</v>
      </c>
      <c r="W91" s="3">
        <v>23</v>
      </c>
      <c r="X91" s="3">
        <v>23</v>
      </c>
      <c r="Y91" s="3">
        <v>0.4</v>
      </c>
      <c r="Z91" s="3">
        <v>0.2</v>
      </c>
      <c r="AA91" s="3" t="s">
        <v>110</v>
      </c>
      <c r="AB91" s="3"/>
      <c r="AC91" s="6">
        <v>43934</v>
      </c>
      <c r="AD91" s="6">
        <v>43945</v>
      </c>
      <c r="AE91" s="6">
        <v>43935</v>
      </c>
      <c r="AF91" s="6">
        <v>43935</v>
      </c>
      <c r="AG91" s="18" t="s">
        <v>75</v>
      </c>
      <c r="AH91" s="19">
        <v>100</v>
      </c>
      <c r="AI91" s="19">
        <v>100</v>
      </c>
      <c r="AJ91" s="19">
        <v>100</v>
      </c>
      <c r="AK91" s="19" t="s">
        <v>111</v>
      </c>
      <c r="AL91" s="5" t="s">
        <v>72</v>
      </c>
      <c r="AM91" s="5"/>
      <c r="AN91" s="5" t="s">
        <v>72</v>
      </c>
      <c r="AW91" s="143"/>
    </row>
    <row r="92" spans="2:49" ht="15">
      <c r="B92" s="25">
        <v>146</v>
      </c>
      <c r="C92" s="11">
        <v>20200410</v>
      </c>
      <c r="D92" s="12" t="s">
        <v>24</v>
      </c>
      <c r="E92" s="11" t="s">
        <v>176</v>
      </c>
      <c r="F92" s="26" t="s">
        <v>177</v>
      </c>
      <c r="G92" s="11">
        <v>1411876</v>
      </c>
      <c r="H92" s="15" t="s">
        <v>72</v>
      </c>
      <c r="I92" s="11" t="s">
        <v>198</v>
      </c>
      <c r="J92" s="15" t="s">
        <v>72</v>
      </c>
      <c r="K92" s="3" t="s">
        <v>73</v>
      </c>
      <c r="L92" s="16" t="s">
        <v>72</v>
      </c>
      <c r="M92" s="15" t="s">
        <v>72</v>
      </c>
      <c r="N92" s="3" t="s">
        <v>179</v>
      </c>
      <c r="O92" s="5" t="s">
        <v>72</v>
      </c>
      <c r="P92" s="5" t="s">
        <v>1288</v>
      </c>
      <c r="Q92" s="11" t="s">
        <v>401</v>
      </c>
      <c r="R92" s="15" t="s">
        <v>72</v>
      </c>
      <c r="S92" s="3" t="s">
        <v>161</v>
      </c>
      <c r="T92" s="3"/>
      <c r="U92" s="3"/>
      <c r="V92" s="3">
        <v>124</v>
      </c>
      <c r="W92" s="3">
        <v>124</v>
      </c>
      <c r="X92" s="3">
        <v>124</v>
      </c>
      <c r="Y92" s="3">
        <v>2.2000000000000002</v>
      </c>
      <c r="Z92" s="3">
        <v>0.5</v>
      </c>
      <c r="AA92" s="3" t="s">
        <v>110</v>
      </c>
      <c r="AB92" s="3"/>
      <c r="AC92" s="6">
        <v>43934</v>
      </c>
      <c r="AD92" s="6">
        <v>43945</v>
      </c>
      <c r="AE92" s="6">
        <v>43935</v>
      </c>
      <c r="AF92" s="6">
        <v>43935</v>
      </c>
      <c r="AG92" s="18" t="s">
        <v>75</v>
      </c>
      <c r="AH92" s="19" t="s">
        <v>72</v>
      </c>
      <c r="AI92" s="19" t="s">
        <v>72</v>
      </c>
      <c r="AJ92" s="19" t="s">
        <v>72</v>
      </c>
      <c r="AK92" s="3" t="s">
        <v>111</v>
      </c>
      <c r="AL92" s="5" t="s">
        <v>402</v>
      </c>
      <c r="AM92" s="5"/>
      <c r="AN92" s="5" t="s">
        <v>72</v>
      </c>
      <c r="AW92" s="143"/>
    </row>
    <row r="93" spans="2:49" ht="15">
      <c r="B93" s="25">
        <v>147</v>
      </c>
      <c r="C93" s="11">
        <v>20200410</v>
      </c>
      <c r="D93" s="12" t="s">
        <v>24</v>
      </c>
      <c r="E93" s="11" t="s">
        <v>176</v>
      </c>
      <c r="F93" s="26" t="s">
        <v>177</v>
      </c>
      <c r="G93" s="11">
        <v>1411876</v>
      </c>
      <c r="H93" s="15" t="s">
        <v>72</v>
      </c>
      <c r="I93" s="17" t="s">
        <v>199</v>
      </c>
      <c r="J93" s="15" t="s">
        <v>72</v>
      </c>
      <c r="K93" s="3" t="s">
        <v>73</v>
      </c>
      <c r="L93" s="16" t="s">
        <v>72</v>
      </c>
      <c r="M93" s="15" t="s">
        <v>72</v>
      </c>
      <c r="N93" s="3" t="s">
        <v>179</v>
      </c>
      <c r="O93" s="5" t="s">
        <v>72</v>
      </c>
      <c r="P93" s="5" t="s">
        <v>1288</v>
      </c>
      <c r="Q93" s="11" t="s">
        <v>403</v>
      </c>
      <c r="R93" s="15" t="s">
        <v>72</v>
      </c>
      <c r="S93" s="3" t="s">
        <v>161</v>
      </c>
      <c r="T93" s="3"/>
      <c r="U93" s="3"/>
      <c r="V93" s="3">
        <v>131</v>
      </c>
      <c r="W93" s="3">
        <v>131</v>
      </c>
      <c r="X93" s="3">
        <v>131</v>
      </c>
      <c r="Y93" s="3">
        <v>2.3199999999999998</v>
      </c>
      <c r="Z93" s="3">
        <v>2</v>
      </c>
      <c r="AA93" s="3" t="s">
        <v>110</v>
      </c>
      <c r="AB93" s="3"/>
      <c r="AC93" s="6">
        <v>43934</v>
      </c>
      <c r="AD93" s="6">
        <v>43945</v>
      </c>
      <c r="AE93" s="6">
        <v>43935</v>
      </c>
      <c r="AF93" s="6">
        <v>43935</v>
      </c>
      <c r="AG93" s="18" t="s">
        <v>75</v>
      </c>
      <c r="AH93" s="19">
        <v>100</v>
      </c>
      <c r="AI93" s="19">
        <v>100</v>
      </c>
      <c r="AJ93" s="19">
        <v>100</v>
      </c>
      <c r="AK93" s="19" t="s">
        <v>111</v>
      </c>
      <c r="AL93" s="5" t="s">
        <v>72</v>
      </c>
      <c r="AM93" s="5"/>
      <c r="AN93" s="5" t="s">
        <v>72</v>
      </c>
      <c r="AW93" s="143"/>
    </row>
    <row r="94" spans="2:49" ht="15">
      <c r="B94" s="25">
        <v>148</v>
      </c>
      <c r="C94" s="11">
        <v>20200410</v>
      </c>
      <c r="D94" s="12" t="s">
        <v>24</v>
      </c>
      <c r="E94" s="11" t="s">
        <v>176</v>
      </c>
      <c r="F94" s="26" t="s">
        <v>177</v>
      </c>
      <c r="G94" s="11">
        <v>1411876</v>
      </c>
      <c r="H94" s="15" t="s">
        <v>72</v>
      </c>
      <c r="I94" s="17" t="s">
        <v>200</v>
      </c>
      <c r="J94" s="15" t="s">
        <v>72</v>
      </c>
      <c r="K94" s="11" t="s">
        <v>73</v>
      </c>
      <c r="L94" s="32" t="s">
        <v>72</v>
      </c>
      <c r="M94" s="15" t="s">
        <v>72</v>
      </c>
      <c r="N94" s="11" t="s">
        <v>179</v>
      </c>
      <c r="O94" s="26" t="s">
        <v>72</v>
      </c>
      <c r="P94" s="26" t="s">
        <v>1288</v>
      </c>
      <c r="Q94" s="11" t="s">
        <v>404</v>
      </c>
      <c r="R94" s="15" t="s">
        <v>72</v>
      </c>
      <c r="S94" s="11" t="s">
        <v>161</v>
      </c>
      <c r="T94" s="11"/>
      <c r="U94" s="11"/>
      <c r="V94" s="11">
        <v>227</v>
      </c>
      <c r="W94" s="11">
        <v>227</v>
      </c>
      <c r="X94" s="11">
        <v>227</v>
      </c>
      <c r="Y94" s="11">
        <v>4.03</v>
      </c>
      <c r="Z94" s="11">
        <v>4</v>
      </c>
      <c r="AA94" s="3" t="s">
        <v>110</v>
      </c>
      <c r="AB94" s="3"/>
      <c r="AC94" s="51">
        <v>43934</v>
      </c>
      <c r="AD94" s="51">
        <v>43945</v>
      </c>
      <c r="AE94" s="51">
        <v>43935</v>
      </c>
      <c r="AF94" s="51">
        <v>43936</v>
      </c>
      <c r="AG94" s="52" t="s">
        <v>75</v>
      </c>
      <c r="AH94" s="11">
        <v>100</v>
      </c>
      <c r="AI94" s="11">
        <v>100</v>
      </c>
      <c r="AJ94" s="11">
        <v>100</v>
      </c>
      <c r="AK94" s="11" t="s">
        <v>111</v>
      </c>
      <c r="AL94" s="26" t="s">
        <v>405</v>
      </c>
      <c r="AM94" s="26"/>
      <c r="AN94" s="26" t="s">
        <v>72</v>
      </c>
      <c r="AW94" s="143"/>
    </row>
    <row r="95" spans="2:49" ht="15">
      <c r="B95" s="25">
        <v>149</v>
      </c>
      <c r="C95" s="11">
        <v>20200410</v>
      </c>
      <c r="D95" s="12" t="s">
        <v>24</v>
      </c>
      <c r="E95" s="11" t="s">
        <v>176</v>
      </c>
      <c r="F95" s="26" t="s">
        <v>177</v>
      </c>
      <c r="G95" s="11">
        <v>1411876</v>
      </c>
      <c r="H95" s="15" t="s">
        <v>72</v>
      </c>
      <c r="I95" s="17" t="s">
        <v>201</v>
      </c>
      <c r="J95" s="15" t="s">
        <v>72</v>
      </c>
      <c r="K95" s="3" t="s">
        <v>73</v>
      </c>
      <c r="L95" s="16" t="s">
        <v>72</v>
      </c>
      <c r="M95" s="15" t="s">
        <v>72</v>
      </c>
      <c r="N95" s="3" t="s">
        <v>179</v>
      </c>
      <c r="O95" s="5" t="s">
        <v>72</v>
      </c>
      <c r="P95" s="5" t="s">
        <v>1288</v>
      </c>
      <c r="Q95" s="11" t="s">
        <v>406</v>
      </c>
      <c r="R95" s="15" t="s">
        <v>72</v>
      </c>
      <c r="S95" s="3" t="s">
        <v>161</v>
      </c>
      <c r="T95" s="3"/>
      <c r="U95" s="3"/>
      <c r="V95" s="3">
        <v>194</v>
      </c>
      <c r="W95" s="3">
        <v>194</v>
      </c>
      <c r="X95" s="3">
        <v>194</v>
      </c>
      <c r="Y95" s="3">
        <v>3.44</v>
      </c>
      <c r="Z95" s="3">
        <v>3</v>
      </c>
      <c r="AA95" s="3" t="s">
        <v>110</v>
      </c>
      <c r="AB95" s="3"/>
      <c r="AC95" s="6">
        <v>43934</v>
      </c>
      <c r="AD95" s="6">
        <v>43945</v>
      </c>
      <c r="AE95" s="6">
        <v>43936</v>
      </c>
      <c r="AF95" s="6">
        <v>43937</v>
      </c>
      <c r="AG95" s="18" t="s">
        <v>79</v>
      </c>
      <c r="AH95" s="3">
        <v>100</v>
      </c>
      <c r="AI95" s="3">
        <v>100</v>
      </c>
      <c r="AJ95" s="3">
        <v>95</v>
      </c>
      <c r="AK95" s="3" t="s">
        <v>76</v>
      </c>
      <c r="AL95" s="5" t="s">
        <v>407</v>
      </c>
      <c r="AM95" s="5"/>
      <c r="AN95" s="5" t="s">
        <v>72</v>
      </c>
      <c r="AW95" s="143"/>
    </row>
    <row r="96" spans="2:49" ht="15">
      <c r="B96" s="25">
        <v>150</v>
      </c>
      <c r="C96" s="11">
        <v>20200410</v>
      </c>
      <c r="D96" s="12" t="s">
        <v>24</v>
      </c>
      <c r="E96" s="11" t="s">
        <v>176</v>
      </c>
      <c r="F96" s="26" t="s">
        <v>177</v>
      </c>
      <c r="G96" s="11">
        <v>1411876</v>
      </c>
      <c r="H96" s="15" t="s">
        <v>72</v>
      </c>
      <c r="I96" s="17" t="s">
        <v>202</v>
      </c>
      <c r="J96" s="15" t="s">
        <v>72</v>
      </c>
      <c r="K96" s="3" t="s">
        <v>73</v>
      </c>
      <c r="L96" s="16" t="s">
        <v>72</v>
      </c>
      <c r="M96" s="15" t="s">
        <v>72</v>
      </c>
      <c r="N96" s="3" t="s">
        <v>179</v>
      </c>
      <c r="O96" s="5" t="s">
        <v>72</v>
      </c>
      <c r="P96" s="5" t="s">
        <v>1288</v>
      </c>
      <c r="Q96" s="11" t="s">
        <v>408</v>
      </c>
      <c r="R96" s="15" t="s">
        <v>72</v>
      </c>
      <c r="S96" s="3" t="s">
        <v>161</v>
      </c>
      <c r="T96" s="3"/>
      <c r="U96" s="3"/>
      <c r="V96" s="3">
        <v>186</v>
      </c>
      <c r="W96" s="3">
        <v>186</v>
      </c>
      <c r="X96" s="3">
        <v>186</v>
      </c>
      <c r="Y96" s="3">
        <v>3.3</v>
      </c>
      <c r="Z96" s="3">
        <v>2</v>
      </c>
      <c r="AA96" s="3" t="s">
        <v>110</v>
      </c>
      <c r="AB96" s="3"/>
      <c r="AC96" s="6">
        <v>43934</v>
      </c>
      <c r="AD96" s="6">
        <v>43945</v>
      </c>
      <c r="AE96" s="6">
        <v>43937</v>
      </c>
      <c r="AF96" s="6">
        <v>43937</v>
      </c>
      <c r="AG96" s="18" t="s">
        <v>79</v>
      </c>
      <c r="AH96" s="3">
        <v>98</v>
      </c>
      <c r="AI96" s="3">
        <v>97</v>
      </c>
      <c r="AJ96" s="3">
        <v>100</v>
      </c>
      <c r="AK96" s="3" t="s">
        <v>76</v>
      </c>
      <c r="AL96" s="5" t="s">
        <v>409</v>
      </c>
      <c r="AM96" s="5"/>
      <c r="AN96" s="5" t="s">
        <v>72</v>
      </c>
      <c r="AW96" s="143"/>
    </row>
    <row r="97" spans="2:49" ht="15">
      <c r="B97" s="25">
        <v>151</v>
      </c>
      <c r="C97" s="11">
        <v>20200410</v>
      </c>
      <c r="D97" s="12" t="s">
        <v>24</v>
      </c>
      <c r="E97" s="11" t="s">
        <v>176</v>
      </c>
      <c r="F97" s="26" t="s">
        <v>177</v>
      </c>
      <c r="G97" s="11">
        <v>1411876</v>
      </c>
      <c r="H97" s="15" t="s">
        <v>72</v>
      </c>
      <c r="I97" s="17" t="s">
        <v>203</v>
      </c>
      <c r="J97" s="15" t="s">
        <v>72</v>
      </c>
      <c r="K97" s="3" t="s">
        <v>73</v>
      </c>
      <c r="L97" s="16" t="s">
        <v>72</v>
      </c>
      <c r="M97" s="15" t="s">
        <v>72</v>
      </c>
      <c r="N97" s="3" t="s">
        <v>179</v>
      </c>
      <c r="O97" s="5" t="s">
        <v>72</v>
      </c>
      <c r="P97" s="5" t="s">
        <v>1288</v>
      </c>
      <c r="Q97" s="11" t="s">
        <v>410</v>
      </c>
      <c r="R97" s="15" t="s">
        <v>72</v>
      </c>
      <c r="S97" s="3" t="s">
        <v>161</v>
      </c>
      <c r="T97" s="3"/>
      <c r="U97" s="3"/>
      <c r="V97" s="3">
        <v>439</v>
      </c>
      <c r="W97" s="3">
        <v>439</v>
      </c>
      <c r="X97" s="3">
        <v>439</v>
      </c>
      <c r="Y97" s="3">
        <v>7.8</v>
      </c>
      <c r="Z97" s="3">
        <v>5</v>
      </c>
      <c r="AA97" s="3" t="s">
        <v>110</v>
      </c>
      <c r="AB97" s="3"/>
      <c r="AC97" s="6">
        <v>43934</v>
      </c>
      <c r="AD97" s="6">
        <v>43945</v>
      </c>
      <c r="AE97" s="6">
        <v>43937</v>
      </c>
      <c r="AF97" s="6">
        <v>43937</v>
      </c>
      <c r="AG97" s="18" t="s">
        <v>75</v>
      </c>
      <c r="AH97" s="3">
        <v>100</v>
      </c>
      <c r="AI97" s="3">
        <v>100</v>
      </c>
      <c r="AJ97" s="3">
        <v>100</v>
      </c>
      <c r="AK97" s="3" t="s">
        <v>111</v>
      </c>
      <c r="AL97" s="5" t="s">
        <v>72</v>
      </c>
      <c r="AM97" s="5"/>
      <c r="AN97" s="5" t="s">
        <v>72</v>
      </c>
      <c r="AW97" s="143"/>
    </row>
    <row r="98" spans="2:49" ht="15">
      <c r="B98" s="25">
        <v>152</v>
      </c>
      <c r="C98" s="11">
        <v>20200410</v>
      </c>
      <c r="D98" s="12" t="s">
        <v>24</v>
      </c>
      <c r="E98" s="11" t="s">
        <v>176</v>
      </c>
      <c r="F98" s="26" t="s">
        <v>177</v>
      </c>
      <c r="G98" s="11">
        <v>1411876</v>
      </c>
      <c r="H98" s="15" t="s">
        <v>72</v>
      </c>
      <c r="I98" s="17" t="s">
        <v>204</v>
      </c>
      <c r="J98" s="15" t="s">
        <v>72</v>
      </c>
      <c r="K98" s="3" t="s">
        <v>73</v>
      </c>
      <c r="L98" s="16" t="s">
        <v>72</v>
      </c>
      <c r="M98" s="15" t="s">
        <v>72</v>
      </c>
      <c r="N98" s="3" t="s">
        <v>179</v>
      </c>
      <c r="O98" s="5" t="s">
        <v>72</v>
      </c>
      <c r="P98" s="5" t="s">
        <v>1288</v>
      </c>
      <c r="Q98" s="11" t="s">
        <v>411</v>
      </c>
      <c r="R98" s="15" t="s">
        <v>72</v>
      </c>
      <c r="S98" s="3" t="s">
        <v>161</v>
      </c>
      <c r="T98" s="3"/>
      <c r="U98" s="3"/>
      <c r="V98" s="3">
        <v>134</v>
      </c>
      <c r="W98" s="3">
        <v>134</v>
      </c>
      <c r="X98" s="3">
        <v>134</v>
      </c>
      <c r="Y98" s="3">
        <v>2.38</v>
      </c>
      <c r="Z98" s="3">
        <v>1</v>
      </c>
      <c r="AA98" s="3" t="s">
        <v>110</v>
      </c>
      <c r="AB98" s="3"/>
      <c r="AC98" s="6">
        <v>43934</v>
      </c>
      <c r="AD98" s="6">
        <v>43945</v>
      </c>
      <c r="AE98" s="6">
        <v>43937</v>
      </c>
      <c r="AF98" s="6">
        <v>43937</v>
      </c>
      <c r="AG98" s="18" t="s">
        <v>75</v>
      </c>
      <c r="AH98" s="3">
        <v>100</v>
      </c>
      <c r="AI98" s="3">
        <v>100</v>
      </c>
      <c r="AJ98" s="3">
        <v>100</v>
      </c>
      <c r="AK98" s="3" t="s">
        <v>111</v>
      </c>
      <c r="AL98" s="5" t="s">
        <v>72</v>
      </c>
      <c r="AM98" s="5"/>
      <c r="AN98" s="5" t="s">
        <v>72</v>
      </c>
      <c r="AW98" s="143"/>
    </row>
    <row r="99" spans="2:49" ht="15">
      <c r="B99" s="25">
        <v>153</v>
      </c>
      <c r="C99" s="11">
        <v>20200410</v>
      </c>
      <c r="D99" s="12" t="s">
        <v>24</v>
      </c>
      <c r="E99" s="11" t="s">
        <v>176</v>
      </c>
      <c r="F99" s="26" t="s">
        <v>177</v>
      </c>
      <c r="G99" s="11">
        <v>1411876</v>
      </c>
      <c r="H99" s="15" t="s">
        <v>72</v>
      </c>
      <c r="I99" s="17" t="s">
        <v>205</v>
      </c>
      <c r="J99" s="15" t="s">
        <v>72</v>
      </c>
      <c r="K99" s="3" t="s">
        <v>73</v>
      </c>
      <c r="L99" s="16" t="s">
        <v>72</v>
      </c>
      <c r="M99" s="15" t="s">
        <v>72</v>
      </c>
      <c r="N99" s="3" t="s">
        <v>179</v>
      </c>
      <c r="O99" s="5" t="s">
        <v>72</v>
      </c>
      <c r="P99" s="5" t="s">
        <v>1288</v>
      </c>
      <c r="Q99" s="11" t="s">
        <v>412</v>
      </c>
      <c r="R99" s="15" t="s">
        <v>72</v>
      </c>
      <c r="S99" s="3" t="s">
        <v>161</v>
      </c>
      <c r="T99" s="3"/>
      <c r="U99" s="3"/>
      <c r="V99" s="3">
        <v>237</v>
      </c>
      <c r="W99" s="3">
        <v>237</v>
      </c>
      <c r="X99" s="3">
        <v>237</v>
      </c>
      <c r="Y99" s="3">
        <v>4.21</v>
      </c>
      <c r="Z99" s="3">
        <v>2</v>
      </c>
      <c r="AA99" s="3" t="s">
        <v>110</v>
      </c>
      <c r="AB99" s="3"/>
      <c r="AC99" s="6">
        <v>43934</v>
      </c>
      <c r="AD99" s="6">
        <v>43945</v>
      </c>
      <c r="AE99" s="6">
        <v>43937</v>
      </c>
      <c r="AF99" s="6">
        <v>43937</v>
      </c>
      <c r="AG99" s="18" t="s">
        <v>75</v>
      </c>
      <c r="AH99" s="3">
        <v>100</v>
      </c>
      <c r="AI99" s="3">
        <v>100</v>
      </c>
      <c r="AJ99" s="3">
        <v>100</v>
      </c>
      <c r="AK99" s="3" t="s">
        <v>111</v>
      </c>
      <c r="AL99" s="5" t="s">
        <v>72</v>
      </c>
      <c r="AM99" s="5"/>
      <c r="AN99" s="5" t="s">
        <v>72</v>
      </c>
      <c r="AW99" s="143"/>
    </row>
    <row r="100" spans="2:49" ht="15">
      <c r="B100" s="25">
        <v>154</v>
      </c>
      <c r="C100" s="11">
        <v>20200410</v>
      </c>
      <c r="D100" s="12" t="s">
        <v>24</v>
      </c>
      <c r="E100" s="11" t="s">
        <v>176</v>
      </c>
      <c r="F100" s="22" t="s">
        <v>206</v>
      </c>
      <c r="G100" s="11">
        <v>1411876</v>
      </c>
      <c r="H100" s="15" t="s">
        <v>72</v>
      </c>
      <c r="I100" s="17" t="s">
        <v>207</v>
      </c>
      <c r="J100" s="15" t="s">
        <v>72</v>
      </c>
      <c r="K100" s="3" t="s">
        <v>73</v>
      </c>
      <c r="L100" s="16" t="s">
        <v>72</v>
      </c>
      <c r="M100" s="15" t="s">
        <v>72</v>
      </c>
      <c r="N100" s="3" t="s">
        <v>179</v>
      </c>
      <c r="O100" s="5" t="s">
        <v>72</v>
      </c>
      <c r="P100" s="5" t="s">
        <v>1288</v>
      </c>
      <c r="Q100" s="11" t="s">
        <v>413</v>
      </c>
      <c r="R100" s="15" t="s">
        <v>72</v>
      </c>
      <c r="S100" s="3" t="s">
        <v>109</v>
      </c>
      <c r="T100" s="3"/>
      <c r="U100" s="3"/>
      <c r="V100" s="3">
        <v>155</v>
      </c>
      <c r="W100" s="3">
        <v>155</v>
      </c>
      <c r="X100" s="3">
        <v>155</v>
      </c>
      <c r="Y100" s="3">
        <v>2.75</v>
      </c>
      <c r="Z100" s="3">
        <v>2</v>
      </c>
      <c r="AA100" s="3" t="s">
        <v>110</v>
      </c>
      <c r="AB100" s="3"/>
      <c r="AC100" s="6">
        <v>43934</v>
      </c>
      <c r="AD100" s="6">
        <v>43945</v>
      </c>
      <c r="AE100" s="6">
        <v>43934</v>
      </c>
      <c r="AF100" s="6">
        <v>43934</v>
      </c>
      <c r="AG100" s="18" t="s">
        <v>79</v>
      </c>
      <c r="AH100" s="3">
        <v>100</v>
      </c>
      <c r="AI100" s="3">
        <v>100</v>
      </c>
      <c r="AJ100" s="3">
        <v>85</v>
      </c>
      <c r="AK100" s="3" t="s">
        <v>76</v>
      </c>
      <c r="AL100" s="5" t="s">
        <v>414</v>
      </c>
      <c r="AM100" s="5"/>
      <c r="AN100" s="5" t="s">
        <v>72</v>
      </c>
      <c r="AW100" s="143"/>
    </row>
    <row r="101" spans="2:49" ht="15">
      <c r="B101" s="25">
        <v>155</v>
      </c>
      <c r="C101" s="11">
        <v>20200410</v>
      </c>
      <c r="D101" s="12" t="s">
        <v>24</v>
      </c>
      <c r="E101" s="11" t="s">
        <v>176</v>
      </c>
      <c r="F101" s="26" t="s">
        <v>177</v>
      </c>
      <c r="G101" s="11">
        <v>1411876</v>
      </c>
      <c r="H101" s="15" t="s">
        <v>72</v>
      </c>
      <c r="I101" s="17" t="s">
        <v>208</v>
      </c>
      <c r="J101" s="15" t="s">
        <v>72</v>
      </c>
      <c r="K101" s="3" t="s">
        <v>73</v>
      </c>
      <c r="L101" s="16" t="s">
        <v>72</v>
      </c>
      <c r="M101" s="15" t="s">
        <v>72</v>
      </c>
      <c r="N101" s="3" t="s">
        <v>179</v>
      </c>
      <c r="O101" s="5" t="s">
        <v>72</v>
      </c>
      <c r="P101" s="5" t="s">
        <v>1288</v>
      </c>
      <c r="Q101" s="11" t="s">
        <v>415</v>
      </c>
      <c r="R101" s="15" t="s">
        <v>72</v>
      </c>
      <c r="S101" s="3" t="s">
        <v>117</v>
      </c>
      <c r="T101" s="3"/>
      <c r="U101" s="3"/>
      <c r="V101" s="3">
        <v>261</v>
      </c>
      <c r="W101" s="3">
        <v>261</v>
      </c>
      <c r="X101" s="3">
        <v>261</v>
      </c>
      <c r="Y101" s="3">
        <v>4.6399999999999997</v>
      </c>
      <c r="Z101" s="3">
        <v>3</v>
      </c>
      <c r="AA101" s="3" t="s">
        <v>110</v>
      </c>
      <c r="AB101" s="3"/>
      <c r="AC101" s="6">
        <v>43934</v>
      </c>
      <c r="AD101" s="6">
        <v>43945</v>
      </c>
      <c r="AE101" s="6">
        <v>43936</v>
      </c>
      <c r="AF101" s="6">
        <v>43936</v>
      </c>
      <c r="AG101" s="23" t="s">
        <v>75</v>
      </c>
      <c r="AH101" s="19">
        <v>100</v>
      </c>
      <c r="AI101" s="19">
        <v>100</v>
      </c>
      <c r="AJ101" s="19">
        <v>100</v>
      </c>
      <c r="AK101" s="19" t="s">
        <v>111</v>
      </c>
      <c r="AL101" s="5" t="s">
        <v>72</v>
      </c>
      <c r="AM101" s="5"/>
      <c r="AN101" s="5" t="s">
        <v>416</v>
      </c>
      <c r="AW101" s="143"/>
    </row>
    <row r="102" spans="2:49" ht="15">
      <c r="B102" s="25">
        <v>156</v>
      </c>
      <c r="C102" s="11">
        <v>20200410</v>
      </c>
      <c r="D102" s="12" t="s">
        <v>24</v>
      </c>
      <c r="E102" s="11" t="s">
        <v>176</v>
      </c>
      <c r="F102" s="26" t="s">
        <v>177</v>
      </c>
      <c r="G102" s="11">
        <v>1411876</v>
      </c>
      <c r="H102" s="15" t="s">
        <v>72</v>
      </c>
      <c r="I102" s="17" t="s">
        <v>209</v>
      </c>
      <c r="J102" s="15" t="s">
        <v>72</v>
      </c>
      <c r="K102" s="3" t="s">
        <v>73</v>
      </c>
      <c r="L102" s="16" t="s">
        <v>72</v>
      </c>
      <c r="M102" s="15" t="s">
        <v>72</v>
      </c>
      <c r="N102" s="3" t="s">
        <v>179</v>
      </c>
      <c r="O102" s="5" t="s">
        <v>72</v>
      </c>
      <c r="P102" s="5" t="s">
        <v>1288</v>
      </c>
      <c r="Q102" s="11" t="s">
        <v>417</v>
      </c>
      <c r="R102" s="15" t="s">
        <v>72</v>
      </c>
      <c r="S102" s="3" t="s">
        <v>117</v>
      </c>
      <c r="T102" s="3"/>
      <c r="U102" s="3"/>
      <c r="V102" s="3">
        <v>172</v>
      </c>
      <c r="W102" s="3">
        <v>172</v>
      </c>
      <c r="X102" s="3">
        <v>172</v>
      </c>
      <c r="Y102" s="3">
        <v>3.05</v>
      </c>
      <c r="Z102" s="3">
        <v>0.5</v>
      </c>
      <c r="AA102" s="3" t="s">
        <v>110</v>
      </c>
      <c r="AB102" s="3"/>
      <c r="AC102" s="6">
        <v>43934</v>
      </c>
      <c r="AD102" s="6">
        <v>43945</v>
      </c>
      <c r="AE102" s="6">
        <v>43936</v>
      </c>
      <c r="AF102" s="6">
        <v>43936</v>
      </c>
      <c r="AG102" s="5" t="s">
        <v>72</v>
      </c>
      <c r="AH102" s="5" t="s">
        <v>72</v>
      </c>
      <c r="AI102" s="5" t="s">
        <v>72</v>
      </c>
      <c r="AJ102" s="5" t="s">
        <v>72</v>
      </c>
      <c r="AK102" s="19" t="s">
        <v>111</v>
      </c>
      <c r="AL102" s="5" t="s">
        <v>72</v>
      </c>
      <c r="AM102" s="5"/>
      <c r="AN102" s="5" t="s">
        <v>418</v>
      </c>
      <c r="AW102" s="143"/>
    </row>
    <row r="103" spans="2:49" ht="15">
      <c r="B103" s="25">
        <v>157</v>
      </c>
      <c r="C103" s="11">
        <v>20200410</v>
      </c>
      <c r="D103" s="12" t="s">
        <v>24</v>
      </c>
      <c r="E103" s="11" t="s">
        <v>176</v>
      </c>
      <c r="F103" s="26" t="s">
        <v>177</v>
      </c>
      <c r="G103" s="11">
        <v>1411876</v>
      </c>
      <c r="H103" s="15" t="s">
        <v>72</v>
      </c>
      <c r="I103" s="17" t="s">
        <v>210</v>
      </c>
      <c r="J103" s="15" t="s">
        <v>72</v>
      </c>
      <c r="K103" s="3" t="s">
        <v>73</v>
      </c>
      <c r="L103" s="16" t="s">
        <v>72</v>
      </c>
      <c r="M103" s="15" t="s">
        <v>72</v>
      </c>
      <c r="N103" s="3" t="s">
        <v>179</v>
      </c>
      <c r="O103" s="5" t="s">
        <v>72</v>
      </c>
      <c r="P103" s="5" t="s">
        <v>1288</v>
      </c>
      <c r="Q103" s="11" t="s">
        <v>419</v>
      </c>
      <c r="R103" s="15" t="s">
        <v>72</v>
      </c>
      <c r="S103" s="3" t="s">
        <v>117</v>
      </c>
      <c r="T103" s="3"/>
      <c r="U103" s="3"/>
      <c r="V103" s="3">
        <v>91</v>
      </c>
      <c r="W103" s="3">
        <v>91</v>
      </c>
      <c r="X103" s="3">
        <v>91</v>
      </c>
      <c r="Y103" s="3">
        <v>1.61</v>
      </c>
      <c r="Z103" s="3">
        <v>1.5</v>
      </c>
      <c r="AA103" s="3" t="s">
        <v>110</v>
      </c>
      <c r="AB103" s="3"/>
      <c r="AC103" s="6">
        <v>43934</v>
      </c>
      <c r="AD103" s="6">
        <v>43945</v>
      </c>
      <c r="AE103" s="6">
        <v>43937</v>
      </c>
      <c r="AF103" s="6">
        <v>43937</v>
      </c>
      <c r="AG103" s="23" t="s">
        <v>75</v>
      </c>
      <c r="AH103" s="19">
        <v>100</v>
      </c>
      <c r="AI103" s="19">
        <v>100</v>
      </c>
      <c r="AJ103" s="19">
        <v>100</v>
      </c>
      <c r="AK103" s="19" t="s">
        <v>111</v>
      </c>
      <c r="AL103" s="5" t="s">
        <v>72</v>
      </c>
      <c r="AM103" s="5"/>
      <c r="AN103" s="5" t="s">
        <v>416</v>
      </c>
      <c r="AW103" s="143"/>
    </row>
    <row r="104" spans="2:49" ht="15">
      <c r="B104" s="25">
        <v>158</v>
      </c>
      <c r="C104" s="11">
        <v>20200410</v>
      </c>
      <c r="D104" s="12" t="s">
        <v>24</v>
      </c>
      <c r="E104" s="11" t="s">
        <v>176</v>
      </c>
      <c r="F104" s="26" t="s">
        <v>177</v>
      </c>
      <c r="G104" s="11">
        <v>1411876</v>
      </c>
      <c r="H104" s="15" t="s">
        <v>72</v>
      </c>
      <c r="I104" s="17" t="s">
        <v>211</v>
      </c>
      <c r="J104" s="15" t="s">
        <v>72</v>
      </c>
      <c r="K104" s="3" t="s">
        <v>73</v>
      </c>
      <c r="L104" s="16" t="s">
        <v>72</v>
      </c>
      <c r="M104" s="15" t="s">
        <v>72</v>
      </c>
      <c r="N104" s="3" t="s">
        <v>179</v>
      </c>
      <c r="O104" s="5" t="s">
        <v>72</v>
      </c>
      <c r="P104" s="5" t="s">
        <v>1288</v>
      </c>
      <c r="Q104" s="11" t="s">
        <v>420</v>
      </c>
      <c r="R104" s="15" t="s">
        <v>72</v>
      </c>
      <c r="S104" s="3" t="s">
        <v>117</v>
      </c>
      <c r="T104" s="3"/>
      <c r="U104" s="3"/>
      <c r="V104" s="3">
        <v>145</v>
      </c>
      <c r="W104" s="3">
        <v>145</v>
      </c>
      <c r="X104" s="3">
        <v>145</v>
      </c>
      <c r="Y104" s="3">
        <v>2.57</v>
      </c>
      <c r="Z104" s="3">
        <v>2.5</v>
      </c>
      <c r="AA104" s="3" t="s">
        <v>110</v>
      </c>
      <c r="AB104" s="3"/>
      <c r="AC104" s="6">
        <v>43934</v>
      </c>
      <c r="AD104" s="6">
        <v>43945</v>
      </c>
      <c r="AE104" s="6">
        <v>43937</v>
      </c>
      <c r="AF104" s="6">
        <v>43937</v>
      </c>
      <c r="AG104" s="18" t="s">
        <v>79</v>
      </c>
      <c r="AH104" s="3">
        <v>100</v>
      </c>
      <c r="AI104" s="3">
        <v>100</v>
      </c>
      <c r="AJ104" s="3">
        <v>100</v>
      </c>
      <c r="AK104" s="3" t="s">
        <v>76</v>
      </c>
      <c r="AL104" s="5" t="s">
        <v>414</v>
      </c>
      <c r="AM104" s="5"/>
      <c r="AN104" s="5" t="s">
        <v>416</v>
      </c>
      <c r="AW104" s="143"/>
    </row>
    <row r="105" spans="2:49" ht="15">
      <c r="B105" s="25">
        <v>159</v>
      </c>
      <c r="C105" s="11">
        <v>20200410</v>
      </c>
      <c r="D105" s="12" t="s">
        <v>24</v>
      </c>
      <c r="E105" s="11" t="s">
        <v>176</v>
      </c>
      <c r="F105" s="26" t="s">
        <v>177</v>
      </c>
      <c r="G105" s="11">
        <v>1411876</v>
      </c>
      <c r="H105" s="15" t="s">
        <v>72</v>
      </c>
      <c r="I105" s="17" t="s">
        <v>212</v>
      </c>
      <c r="J105" s="15" t="s">
        <v>72</v>
      </c>
      <c r="K105" s="3" t="s">
        <v>73</v>
      </c>
      <c r="L105" s="16" t="s">
        <v>72</v>
      </c>
      <c r="M105" s="15" t="s">
        <v>72</v>
      </c>
      <c r="N105" s="3" t="s">
        <v>179</v>
      </c>
      <c r="O105" s="5" t="s">
        <v>72</v>
      </c>
      <c r="P105" s="5" t="s">
        <v>1288</v>
      </c>
      <c r="Q105" s="11" t="s">
        <v>421</v>
      </c>
      <c r="R105" s="15" t="s">
        <v>72</v>
      </c>
      <c r="S105" s="3" t="s">
        <v>117</v>
      </c>
      <c r="T105" s="3"/>
      <c r="U105" s="3"/>
      <c r="V105" s="3">
        <v>169</v>
      </c>
      <c r="W105" s="3">
        <v>169</v>
      </c>
      <c r="X105" s="3">
        <v>169</v>
      </c>
      <c r="Y105" s="3">
        <v>3</v>
      </c>
      <c r="Z105" s="3">
        <v>3</v>
      </c>
      <c r="AA105" s="3" t="s">
        <v>110</v>
      </c>
      <c r="AB105" s="3"/>
      <c r="AC105" s="6">
        <v>43934</v>
      </c>
      <c r="AD105" s="6">
        <v>43945</v>
      </c>
      <c r="AE105" s="6">
        <v>43937</v>
      </c>
      <c r="AF105" s="6">
        <v>43937</v>
      </c>
      <c r="AG105" s="23" t="s">
        <v>75</v>
      </c>
      <c r="AH105" s="19">
        <v>100</v>
      </c>
      <c r="AI105" s="19">
        <v>100</v>
      </c>
      <c r="AJ105" s="19">
        <v>100</v>
      </c>
      <c r="AK105" s="19" t="s">
        <v>111</v>
      </c>
      <c r="AL105" s="5" t="s">
        <v>72</v>
      </c>
      <c r="AM105" s="5"/>
      <c r="AN105" s="5" t="s">
        <v>416</v>
      </c>
      <c r="AW105" s="143"/>
    </row>
    <row r="106" spans="2:49" ht="15">
      <c r="B106" s="25">
        <v>160</v>
      </c>
      <c r="C106" s="11">
        <v>20200410</v>
      </c>
      <c r="D106" s="12" t="s">
        <v>24</v>
      </c>
      <c r="E106" s="11" t="s">
        <v>176</v>
      </c>
      <c r="F106" s="26" t="s">
        <v>177</v>
      </c>
      <c r="G106" s="11">
        <v>1411876</v>
      </c>
      <c r="H106" s="15" t="s">
        <v>72</v>
      </c>
      <c r="I106" s="17" t="s">
        <v>213</v>
      </c>
      <c r="J106" s="15" t="s">
        <v>72</v>
      </c>
      <c r="K106" s="3" t="s">
        <v>73</v>
      </c>
      <c r="L106" s="16" t="s">
        <v>72</v>
      </c>
      <c r="M106" s="15" t="s">
        <v>72</v>
      </c>
      <c r="N106" s="3" t="s">
        <v>179</v>
      </c>
      <c r="O106" s="5" t="s">
        <v>72</v>
      </c>
      <c r="P106" s="5" t="s">
        <v>1288</v>
      </c>
      <c r="Q106" s="11" t="s">
        <v>422</v>
      </c>
      <c r="R106" s="15" t="s">
        <v>72</v>
      </c>
      <c r="S106" s="3" t="s">
        <v>117</v>
      </c>
      <c r="T106" s="3"/>
      <c r="U106" s="3"/>
      <c r="V106" s="3">
        <v>335</v>
      </c>
      <c r="W106" s="3">
        <v>335</v>
      </c>
      <c r="X106" s="3">
        <v>335</v>
      </c>
      <c r="Y106" s="3">
        <v>5.95</v>
      </c>
      <c r="Z106" s="3">
        <v>4</v>
      </c>
      <c r="AA106" s="3" t="s">
        <v>110</v>
      </c>
      <c r="AB106" s="3"/>
      <c r="AC106" s="6">
        <v>43934</v>
      </c>
      <c r="AD106" s="6">
        <v>43945</v>
      </c>
      <c r="AE106" s="6">
        <v>43937</v>
      </c>
      <c r="AF106" s="6">
        <v>43937</v>
      </c>
      <c r="AG106" s="23" t="s">
        <v>75</v>
      </c>
      <c r="AH106" s="19">
        <v>100</v>
      </c>
      <c r="AI106" s="19">
        <v>100</v>
      </c>
      <c r="AJ106" s="19">
        <v>100</v>
      </c>
      <c r="AK106" s="19" t="s">
        <v>111</v>
      </c>
      <c r="AL106" s="5" t="s">
        <v>72</v>
      </c>
      <c r="AM106" s="5"/>
      <c r="AN106" s="5" t="s">
        <v>416</v>
      </c>
      <c r="AW106" s="143"/>
    </row>
    <row r="107" spans="2:49" ht="15">
      <c r="B107" s="25">
        <v>161</v>
      </c>
      <c r="C107" s="11">
        <v>20200410</v>
      </c>
      <c r="D107" s="12" t="s">
        <v>24</v>
      </c>
      <c r="E107" s="11" t="s">
        <v>176</v>
      </c>
      <c r="F107" s="26" t="s">
        <v>177</v>
      </c>
      <c r="G107" s="11">
        <v>1411876</v>
      </c>
      <c r="H107" s="15" t="s">
        <v>72</v>
      </c>
      <c r="I107" s="11" t="s">
        <v>214</v>
      </c>
      <c r="J107" s="15" t="s">
        <v>72</v>
      </c>
      <c r="K107" s="3" t="s">
        <v>73</v>
      </c>
      <c r="L107" s="16" t="s">
        <v>72</v>
      </c>
      <c r="M107" s="15" t="s">
        <v>72</v>
      </c>
      <c r="N107" s="3" t="s">
        <v>179</v>
      </c>
      <c r="O107" s="5" t="s">
        <v>72</v>
      </c>
      <c r="P107" s="5" t="s">
        <v>1288</v>
      </c>
      <c r="Q107" s="11" t="s">
        <v>423</v>
      </c>
      <c r="R107" s="15" t="s">
        <v>72</v>
      </c>
      <c r="S107" s="3" t="s">
        <v>117</v>
      </c>
      <c r="T107" s="3"/>
      <c r="U107" s="3"/>
      <c r="V107" s="3">
        <v>675</v>
      </c>
      <c r="W107" s="3">
        <v>675</v>
      </c>
      <c r="X107" s="3">
        <v>675</v>
      </c>
      <c r="Y107" s="3">
        <v>12</v>
      </c>
      <c r="Z107" s="3">
        <v>4</v>
      </c>
      <c r="AA107" s="3" t="s">
        <v>110</v>
      </c>
      <c r="AB107" s="3"/>
      <c r="AC107" s="6">
        <v>43934</v>
      </c>
      <c r="AD107" s="6">
        <v>43945</v>
      </c>
      <c r="AE107" s="6">
        <v>43937</v>
      </c>
      <c r="AF107" s="6">
        <v>43937</v>
      </c>
      <c r="AG107" s="18" t="s">
        <v>79</v>
      </c>
      <c r="AH107" s="19">
        <v>98</v>
      </c>
      <c r="AI107" s="19">
        <v>98</v>
      </c>
      <c r="AJ107" s="3">
        <v>100</v>
      </c>
      <c r="AK107" s="3" t="s">
        <v>76</v>
      </c>
      <c r="AL107" s="5" t="s">
        <v>414</v>
      </c>
      <c r="AM107" s="5"/>
      <c r="AN107" s="5" t="s">
        <v>416</v>
      </c>
      <c r="AW107" s="143"/>
    </row>
    <row r="108" spans="2:49" ht="15">
      <c r="B108" s="25">
        <v>162</v>
      </c>
      <c r="C108" s="11">
        <v>20200410</v>
      </c>
      <c r="D108" s="12" t="s">
        <v>24</v>
      </c>
      <c r="E108" s="11" t="s">
        <v>176</v>
      </c>
      <c r="F108" s="26" t="s">
        <v>177</v>
      </c>
      <c r="G108" s="11">
        <v>1411876</v>
      </c>
      <c r="H108" s="15" t="s">
        <v>72</v>
      </c>
      <c r="I108" s="11" t="s">
        <v>215</v>
      </c>
      <c r="J108" s="15" t="s">
        <v>72</v>
      </c>
      <c r="K108" s="3" t="s">
        <v>73</v>
      </c>
      <c r="L108" s="16" t="s">
        <v>72</v>
      </c>
      <c r="M108" s="15" t="s">
        <v>72</v>
      </c>
      <c r="N108" s="3" t="s">
        <v>179</v>
      </c>
      <c r="O108" s="5" t="s">
        <v>72</v>
      </c>
      <c r="P108" s="5" t="s">
        <v>1288</v>
      </c>
      <c r="Q108" s="11" t="s">
        <v>424</v>
      </c>
      <c r="R108" s="15" t="s">
        <v>72</v>
      </c>
      <c r="S108" s="3" t="s">
        <v>117</v>
      </c>
      <c r="T108" s="3"/>
      <c r="U108" s="3"/>
      <c r="V108" s="3">
        <v>759</v>
      </c>
      <c r="W108" s="3">
        <v>759</v>
      </c>
      <c r="X108" s="3">
        <v>759</v>
      </c>
      <c r="Y108" s="3">
        <v>13.49</v>
      </c>
      <c r="Z108" s="3">
        <v>7</v>
      </c>
      <c r="AA108" s="3" t="s">
        <v>110</v>
      </c>
      <c r="AB108" s="3"/>
      <c r="AC108" s="6">
        <v>43934</v>
      </c>
      <c r="AD108" s="6">
        <v>43945</v>
      </c>
      <c r="AE108" s="6">
        <v>43938</v>
      </c>
      <c r="AF108" s="6">
        <v>43938</v>
      </c>
      <c r="AG108" s="18" t="s">
        <v>79</v>
      </c>
      <c r="AH108" s="19">
        <v>97</v>
      </c>
      <c r="AI108" s="19">
        <v>92</v>
      </c>
      <c r="AJ108" s="3">
        <v>83</v>
      </c>
      <c r="AK108" s="3" t="s">
        <v>378</v>
      </c>
      <c r="AL108" s="5" t="s">
        <v>425</v>
      </c>
      <c r="AM108" s="5"/>
      <c r="AN108" s="5" t="s">
        <v>416</v>
      </c>
      <c r="AW108" s="143"/>
    </row>
    <row r="109" spans="2:49" ht="15">
      <c r="B109" s="25">
        <v>163</v>
      </c>
      <c r="C109" s="11">
        <v>20200410</v>
      </c>
      <c r="D109" s="12" t="s">
        <v>24</v>
      </c>
      <c r="E109" s="11" t="s">
        <v>176</v>
      </c>
      <c r="F109" s="26" t="s">
        <v>177</v>
      </c>
      <c r="G109" s="11">
        <v>1411876</v>
      </c>
      <c r="H109" s="15" t="s">
        <v>72</v>
      </c>
      <c r="I109" s="17" t="s">
        <v>216</v>
      </c>
      <c r="J109" s="15" t="s">
        <v>72</v>
      </c>
      <c r="K109" s="3" t="s">
        <v>73</v>
      </c>
      <c r="L109" s="16" t="s">
        <v>72</v>
      </c>
      <c r="M109" s="15" t="s">
        <v>72</v>
      </c>
      <c r="N109" s="3" t="s">
        <v>179</v>
      </c>
      <c r="O109" s="5" t="s">
        <v>72</v>
      </c>
      <c r="P109" s="5" t="s">
        <v>1288</v>
      </c>
      <c r="Q109" s="11" t="s">
        <v>426</v>
      </c>
      <c r="R109" s="15" t="s">
        <v>72</v>
      </c>
      <c r="S109" s="3" t="s">
        <v>109</v>
      </c>
      <c r="T109" s="3"/>
      <c r="U109" s="3"/>
      <c r="V109" s="3">
        <v>138</v>
      </c>
      <c r="W109" s="3">
        <v>138</v>
      </c>
      <c r="X109" s="3">
        <v>138</v>
      </c>
      <c r="Y109" s="3">
        <v>2.4500000000000002</v>
      </c>
      <c r="Z109" s="3">
        <v>4</v>
      </c>
      <c r="AA109" s="3" t="s">
        <v>110</v>
      </c>
      <c r="AB109" s="3"/>
      <c r="AC109" s="6">
        <v>43934</v>
      </c>
      <c r="AD109" s="6">
        <v>43945</v>
      </c>
      <c r="AE109" s="6">
        <v>43935</v>
      </c>
      <c r="AF109" s="6">
        <v>43935</v>
      </c>
      <c r="AG109" s="18" t="s">
        <v>75</v>
      </c>
      <c r="AH109" s="3">
        <v>100</v>
      </c>
      <c r="AI109" s="3">
        <v>100</v>
      </c>
      <c r="AJ109" s="3">
        <v>100</v>
      </c>
      <c r="AK109" s="3" t="s">
        <v>111</v>
      </c>
      <c r="AL109" s="5" t="s">
        <v>72</v>
      </c>
      <c r="AM109" s="5"/>
      <c r="AN109" s="5" t="s">
        <v>72</v>
      </c>
      <c r="AW109" s="143"/>
    </row>
    <row r="110" spans="2:49" ht="15">
      <c r="B110" s="25">
        <v>164</v>
      </c>
      <c r="C110" s="11">
        <v>20200410</v>
      </c>
      <c r="D110" s="12" t="s">
        <v>24</v>
      </c>
      <c r="E110" s="11" t="s">
        <v>176</v>
      </c>
      <c r="F110" s="26" t="s">
        <v>177</v>
      </c>
      <c r="G110" s="11">
        <v>1411876</v>
      </c>
      <c r="H110" s="15" t="s">
        <v>72</v>
      </c>
      <c r="I110" s="17" t="s">
        <v>217</v>
      </c>
      <c r="J110" s="15" t="s">
        <v>72</v>
      </c>
      <c r="K110" s="3" t="s">
        <v>73</v>
      </c>
      <c r="L110" s="16" t="s">
        <v>72</v>
      </c>
      <c r="M110" s="15" t="s">
        <v>72</v>
      </c>
      <c r="N110" s="3" t="s">
        <v>179</v>
      </c>
      <c r="O110" s="5" t="s">
        <v>72</v>
      </c>
      <c r="P110" s="5" t="s">
        <v>1288</v>
      </c>
      <c r="Q110" s="11" t="s">
        <v>427</v>
      </c>
      <c r="R110" s="15" t="s">
        <v>72</v>
      </c>
      <c r="S110" s="3" t="s">
        <v>109</v>
      </c>
      <c r="T110" s="3"/>
      <c r="U110" s="3"/>
      <c r="V110" s="3">
        <v>266</v>
      </c>
      <c r="W110" s="3">
        <v>266</v>
      </c>
      <c r="X110" s="3">
        <v>266</v>
      </c>
      <c r="Y110" s="3">
        <v>4.72</v>
      </c>
      <c r="Z110" s="3">
        <v>4.5</v>
      </c>
      <c r="AA110" s="3" t="s">
        <v>110</v>
      </c>
      <c r="AB110" s="3"/>
      <c r="AC110" s="6">
        <v>43934</v>
      </c>
      <c r="AD110" s="6">
        <v>43945</v>
      </c>
      <c r="AE110" s="6">
        <v>43935</v>
      </c>
      <c r="AF110" s="6">
        <v>43935</v>
      </c>
      <c r="AG110" s="18" t="s">
        <v>75</v>
      </c>
      <c r="AH110" s="3">
        <v>100</v>
      </c>
      <c r="AI110" s="3">
        <v>100</v>
      </c>
      <c r="AJ110" s="3">
        <v>100</v>
      </c>
      <c r="AK110" s="3" t="s">
        <v>111</v>
      </c>
      <c r="AL110" s="5" t="s">
        <v>72</v>
      </c>
      <c r="AM110" s="5"/>
      <c r="AN110" s="5" t="s">
        <v>72</v>
      </c>
      <c r="AW110" s="143"/>
    </row>
    <row r="111" spans="2:49" ht="15">
      <c r="B111" s="25">
        <v>165</v>
      </c>
      <c r="C111" s="11">
        <v>20200410</v>
      </c>
      <c r="D111" s="12" t="s">
        <v>24</v>
      </c>
      <c r="E111" s="11" t="s">
        <v>176</v>
      </c>
      <c r="F111" s="26" t="s">
        <v>177</v>
      </c>
      <c r="G111" s="11">
        <v>1411876</v>
      </c>
      <c r="H111" s="15" t="s">
        <v>72</v>
      </c>
      <c r="I111" s="17" t="s">
        <v>218</v>
      </c>
      <c r="J111" s="15" t="s">
        <v>72</v>
      </c>
      <c r="K111" s="3" t="s">
        <v>73</v>
      </c>
      <c r="L111" s="16" t="s">
        <v>72</v>
      </c>
      <c r="M111" s="15" t="s">
        <v>72</v>
      </c>
      <c r="N111" s="3" t="s">
        <v>179</v>
      </c>
      <c r="O111" s="5" t="s">
        <v>72</v>
      </c>
      <c r="P111" s="5" t="s">
        <v>1288</v>
      </c>
      <c r="Q111" s="11" t="s">
        <v>428</v>
      </c>
      <c r="R111" s="15" t="s">
        <v>72</v>
      </c>
      <c r="S111" s="3" t="s">
        <v>109</v>
      </c>
      <c r="T111" s="3"/>
      <c r="U111" s="3"/>
      <c r="V111" s="3">
        <v>152</v>
      </c>
      <c r="W111" s="3">
        <v>152</v>
      </c>
      <c r="X111" s="3">
        <v>152</v>
      </c>
      <c r="Y111" s="3">
        <v>2.7</v>
      </c>
      <c r="Z111" s="3">
        <v>2.5</v>
      </c>
      <c r="AA111" s="3" t="s">
        <v>110</v>
      </c>
      <c r="AB111" s="3"/>
      <c r="AC111" s="6">
        <v>43934</v>
      </c>
      <c r="AD111" s="6">
        <v>43945</v>
      </c>
      <c r="AE111" s="6">
        <v>43935</v>
      </c>
      <c r="AF111" s="6">
        <v>43935</v>
      </c>
      <c r="AG111" s="18" t="s">
        <v>79</v>
      </c>
      <c r="AH111" s="3">
        <v>100</v>
      </c>
      <c r="AI111" s="3">
        <v>100</v>
      </c>
      <c r="AJ111" s="3">
        <v>96</v>
      </c>
      <c r="AK111" s="3" t="s">
        <v>76</v>
      </c>
      <c r="AL111" s="5" t="s">
        <v>72</v>
      </c>
      <c r="AM111" s="5"/>
      <c r="AN111" s="5" t="s">
        <v>72</v>
      </c>
      <c r="AW111" s="143"/>
    </row>
    <row r="112" spans="2:49" ht="15">
      <c r="B112" s="25">
        <v>166</v>
      </c>
      <c r="C112" s="11">
        <v>20200410</v>
      </c>
      <c r="D112" s="12" t="s">
        <v>24</v>
      </c>
      <c r="E112" s="11" t="s">
        <v>176</v>
      </c>
      <c r="F112" s="26" t="s">
        <v>177</v>
      </c>
      <c r="G112" s="11">
        <v>1411876</v>
      </c>
      <c r="H112" s="15" t="s">
        <v>72</v>
      </c>
      <c r="I112" s="17" t="s">
        <v>219</v>
      </c>
      <c r="J112" s="15" t="s">
        <v>72</v>
      </c>
      <c r="K112" s="3" t="s">
        <v>73</v>
      </c>
      <c r="L112" s="16" t="s">
        <v>72</v>
      </c>
      <c r="M112" s="15" t="s">
        <v>72</v>
      </c>
      <c r="N112" s="3" t="s">
        <v>179</v>
      </c>
      <c r="O112" s="5" t="s">
        <v>72</v>
      </c>
      <c r="P112" s="5" t="s">
        <v>1288</v>
      </c>
      <c r="Q112" s="11" t="s">
        <v>429</v>
      </c>
      <c r="R112" s="15" t="s">
        <v>72</v>
      </c>
      <c r="S112" s="3" t="s">
        <v>117</v>
      </c>
      <c r="T112" s="3"/>
      <c r="U112" s="3"/>
      <c r="V112" s="3">
        <v>9</v>
      </c>
      <c r="W112" s="3">
        <v>9</v>
      </c>
      <c r="X112" s="3">
        <v>9</v>
      </c>
      <c r="Y112" s="3">
        <v>0.16</v>
      </c>
      <c r="Z112" s="3">
        <v>0.1</v>
      </c>
      <c r="AA112" s="3" t="s">
        <v>110</v>
      </c>
      <c r="AB112" s="3"/>
      <c r="AC112" s="6">
        <v>43934</v>
      </c>
      <c r="AD112" s="6">
        <v>43945</v>
      </c>
      <c r="AE112" s="6">
        <v>43942</v>
      </c>
      <c r="AF112" s="6">
        <v>43942</v>
      </c>
      <c r="AG112" s="23" t="s">
        <v>75</v>
      </c>
      <c r="AH112" s="19">
        <v>100</v>
      </c>
      <c r="AI112" s="19">
        <v>100</v>
      </c>
      <c r="AJ112" s="19">
        <v>100</v>
      </c>
      <c r="AK112" s="19" t="s">
        <v>111</v>
      </c>
      <c r="AL112" s="5" t="s">
        <v>72</v>
      </c>
      <c r="AM112" s="5"/>
      <c r="AN112" s="5" t="s">
        <v>416</v>
      </c>
      <c r="AW112" s="143"/>
    </row>
    <row r="113" spans="2:49" ht="15">
      <c r="B113" s="25">
        <v>167</v>
      </c>
      <c r="C113" s="11">
        <v>20200410</v>
      </c>
      <c r="D113" s="12" t="s">
        <v>24</v>
      </c>
      <c r="E113" s="11" t="s">
        <v>176</v>
      </c>
      <c r="F113" s="26" t="s">
        <v>177</v>
      </c>
      <c r="G113" s="11">
        <v>1411876</v>
      </c>
      <c r="H113" s="15" t="s">
        <v>72</v>
      </c>
      <c r="I113" s="17" t="s">
        <v>220</v>
      </c>
      <c r="J113" s="15" t="s">
        <v>72</v>
      </c>
      <c r="K113" s="3" t="s">
        <v>73</v>
      </c>
      <c r="L113" s="16" t="s">
        <v>72</v>
      </c>
      <c r="M113" s="15" t="s">
        <v>72</v>
      </c>
      <c r="N113" s="3" t="s">
        <v>179</v>
      </c>
      <c r="O113" s="5" t="s">
        <v>72</v>
      </c>
      <c r="P113" s="5" t="s">
        <v>1288</v>
      </c>
      <c r="Q113" s="11" t="s">
        <v>430</v>
      </c>
      <c r="R113" s="15" t="s">
        <v>72</v>
      </c>
      <c r="S113" s="3" t="s">
        <v>109</v>
      </c>
      <c r="T113" s="3"/>
      <c r="U113" s="3"/>
      <c r="V113" s="3">
        <v>254</v>
      </c>
      <c r="W113" s="3">
        <v>254</v>
      </c>
      <c r="X113" s="3">
        <v>254</v>
      </c>
      <c r="Y113" s="3">
        <v>4.51</v>
      </c>
      <c r="Z113" s="3">
        <v>3</v>
      </c>
      <c r="AA113" s="3" t="s">
        <v>110</v>
      </c>
      <c r="AB113" s="3"/>
      <c r="AC113" s="6">
        <v>43934</v>
      </c>
      <c r="AD113" s="6">
        <v>43945</v>
      </c>
      <c r="AE113" s="6">
        <v>43935</v>
      </c>
      <c r="AF113" s="6">
        <v>43935</v>
      </c>
      <c r="AG113" s="18" t="s">
        <v>75</v>
      </c>
      <c r="AH113" s="3">
        <v>100</v>
      </c>
      <c r="AI113" s="3">
        <v>100</v>
      </c>
      <c r="AJ113" s="3">
        <v>100</v>
      </c>
      <c r="AK113" s="3" t="s">
        <v>76</v>
      </c>
      <c r="AL113" s="5" t="s">
        <v>414</v>
      </c>
      <c r="AM113" s="5"/>
      <c r="AN113" s="5" t="s">
        <v>72</v>
      </c>
      <c r="AW113" s="143"/>
    </row>
    <row r="114" spans="2:49" ht="15">
      <c r="B114" s="25">
        <v>168</v>
      </c>
      <c r="C114" s="11">
        <v>20200410</v>
      </c>
      <c r="D114" s="12" t="s">
        <v>24</v>
      </c>
      <c r="E114" s="11" t="s">
        <v>176</v>
      </c>
      <c r="F114" s="26" t="s">
        <v>177</v>
      </c>
      <c r="G114" s="11">
        <v>1411876</v>
      </c>
      <c r="H114" s="15" t="s">
        <v>72</v>
      </c>
      <c r="I114" s="17" t="s">
        <v>221</v>
      </c>
      <c r="J114" s="15" t="s">
        <v>72</v>
      </c>
      <c r="K114" s="3" t="s">
        <v>73</v>
      </c>
      <c r="L114" s="16" t="s">
        <v>72</v>
      </c>
      <c r="M114" s="15" t="s">
        <v>72</v>
      </c>
      <c r="N114" s="3" t="s">
        <v>179</v>
      </c>
      <c r="O114" s="5" t="s">
        <v>72</v>
      </c>
      <c r="P114" s="5" t="s">
        <v>1288</v>
      </c>
      <c r="Q114" s="11" t="s">
        <v>431</v>
      </c>
      <c r="R114" s="15" t="s">
        <v>72</v>
      </c>
      <c r="S114" s="3" t="s">
        <v>109</v>
      </c>
      <c r="T114" s="3"/>
      <c r="U114" s="3"/>
      <c r="V114" s="3">
        <v>38</v>
      </c>
      <c r="W114" s="3">
        <v>38</v>
      </c>
      <c r="X114" s="3">
        <v>38</v>
      </c>
      <c r="Y114" s="3">
        <v>0.67</v>
      </c>
      <c r="Z114" s="3">
        <v>1</v>
      </c>
      <c r="AA114" s="3" t="s">
        <v>110</v>
      </c>
      <c r="AB114" s="3"/>
      <c r="AC114" s="6">
        <v>43934</v>
      </c>
      <c r="AD114" s="6">
        <v>43945</v>
      </c>
      <c r="AE114" s="6">
        <v>43936</v>
      </c>
      <c r="AF114" s="6">
        <v>43936</v>
      </c>
      <c r="AG114" s="18" t="s">
        <v>75</v>
      </c>
      <c r="AH114" s="3">
        <v>100</v>
      </c>
      <c r="AI114" s="3">
        <v>100</v>
      </c>
      <c r="AJ114" s="3">
        <v>100</v>
      </c>
      <c r="AK114" s="3" t="s">
        <v>111</v>
      </c>
      <c r="AL114" s="5" t="s">
        <v>72</v>
      </c>
      <c r="AM114" s="5"/>
      <c r="AN114" s="5" t="s">
        <v>72</v>
      </c>
      <c r="AW114" s="143"/>
    </row>
    <row r="115" spans="2:49" ht="15">
      <c r="B115" s="25">
        <v>169</v>
      </c>
      <c r="C115" s="11">
        <v>20200410</v>
      </c>
      <c r="D115" s="12" t="s">
        <v>24</v>
      </c>
      <c r="E115" s="11" t="s">
        <v>176</v>
      </c>
      <c r="F115" s="26" t="s">
        <v>177</v>
      </c>
      <c r="G115" s="11">
        <v>1411876</v>
      </c>
      <c r="H115" s="15" t="s">
        <v>72</v>
      </c>
      <c r="I115" s="17" t="s">
        <v>222</v>
      </c>
      <c r="J115" s="15" t="s">
        <v>72</v>
      </c>
      <c r="K115" s="3" t="s">
        <v>73</v>
      </c>
      <c r="L115" s="16" t="s">
        <v>72</v>
      </c>
      <c r="M115" s="15" t="s">
        <v>72</v>
      </c>
      <c r="N115" s="3" t="s">
        <v>179</v>
      </c>
      <c r="O115" s="5" t="s">
        <v>72</v>
      </c>
      <c r="P115" s="5" t="s">
        <v>1288</v>
      </c>
      <c r="Q115" s="11" t="s">
        <v>432</v>
      </c>
      <c r="R115" s="15" t="s">
        <v>72</v>
      </c>
      <c r="S115" s="3" t="s">
        <v>109</v>
      </c>
      <c r="T115" s="3"/>
      <c r="U115" s="3"/>
      <c r="V115" s="3">
        <v>81</v>
      </c>
      <c r="W115" s="3">
        <v>81</v>
      </c>
      <c r="X115" s="3">
        <v>81</v>
      </c>
      <c r="Y115" s="3">
        <v>1.44</v>
      </c>
      <c r="Z115" s="3">
        <v>1.4</v>
      </c>
      <c r="AA115" s="3" t="s">
        <v>110</v>
      </c>
      <c r="AB115" s="3"/>
      <c r="AC115" s="6">
        <v>43934</v>
      </c>
      <c r="AD115" s="6">
        <v>43945</v>
      </c>
      <c r="AE115" s="6">
        <v>43936</v>
      </c>
      <c r="AF115" s="6">
        <v>43936</v>
      </c>
      <c r="AG115" s="18" t="s">
        <v>75</v>
      </c>
      <c r="AH115" s="3">
        <v>100</v>
      </c>
      <c r="AI115" s="3">
        <v>100</v>
      </c>
      <c r="AJ115" s="3">
        <v>100</v>
      </c>
      <c r="AK115" s="3" t="s">
        <v>111</v>
      </c>
      <c r="AL115" s="5" t="s">
        <v>72</v>
      </c>
      <c r="AM115" s="5"/>
      <c r="AN115" s="5" t="s">
        <v>72</v>
      </c>
      <c r="AW115" s="143"/>
    </row>
    <row r="116" spans="2:49" ht="15">
      <c r="B116" s="25">
        <v>170</v>
      </c>
      <c r="C116" s="11">
        <v>20200410</v>
      </c>
      <c r="D116" s="12" t="s">
        <v>24</v>
      </c>
      <c r="E116" s="11" t="s">
        <v>176</v>
      </c>
      <c r="F116" s="26" t="s">
        <v>177</v>
      </c>
      <c r="G116" s="11">
        <v>1411876</v>
      </c>
      <c r="H116" s="15" t="s">
        <v>72</v>
      </c>
      <c r="I116" s="17" t="s">
        <v>223</v>
      </c>
      <c r="J116" s="15" t="s">
        <v>72</v>
      </c>
      <c r="K116" s="3" t="s">
        <v>73</v>
      </c>
      <c r="L116" s="16" t="s">
        <v>72</v>
      </c>
      <c r="M116" s="15" t="s">
        <v>72</v>
      </c>
      <c r="N116" s="3" t="s">
        <v>179</v>
      </c>
      <c r="O116" s="5" t="s">
        <v>72</v>
      </c>
      <c r="P116" s="5" t="s">
        <v>1288</v>
      </c>
      <c r="Q116" s="11" t="s">
        <v>433</v>
      </c>
      <c r="R116" s="15" t="s">
        <v>72</v>
      </c>
      <c r="S116" s="3" t="s">
        <v>117</v>
      </c>
      <c r="T116" s="3"/>
      <c r="U116" s="3"/>
      <c r="V116" s="3">
        <v>35</v>
      </c>
      <c r="W116" s="3">
        <v>35</v>
      </c>
      <c r="X116" s="3">
        <v>35</v>
      </c>
      <c r="Y116" s="3">
        <v>0.62</v>
      </c>
      <c r="Z116" s="3">
        <v>0.5</v>
      </c>
      <c r="AA116" s="3" t="s">
        <v>110</v>
      </c>
      <c r="AB116" s="3"/>
      <c r="AC116" s="6">
        <v>43934</v>
      </c>
      <c r="AD116" s="6">
        <v>43945</v>
      </c>
      <c r="AE116" s="6">
        <v>43943</v>
      </c>
      <c r="AF116" s="6">
        <v>43943</v>
      </c>
      <c r="AG116" s="23" t="s">
        <v>75</v>
      </c>
      <c r="AH116" s="19">
        <v>100</v>
      </c>
      <c r="AI116" s="19">
        <v>100</v>
      </c>
      <c r="AJ116" s="19">
        <v>100</v>
      </c>
      <c r="AK116" s="19" t="s">
        <v>111</v>
      </c>
      <c r="AL116" s="5" t="s">
        <v>72</v>
      </c>
      <c r="AM116" s="5"/>
      <c r="AN116" s="5" t="s">
        <v>416</v>
      </c>
      <c r="AW116" s="143"/>
    </row>
    <row r="117" spans="2:49" ht="15">
      <c r="B117" s="25">
        <v>171</v>
      </c>
      <c r="C117" s="11">
        <v>20200410</v>
      </c>
      <c r="D117" s="12" t="s">
        <v>24</v>
      </c>
      <c r="E117" s="11" t="s">
        <v>176</v>
      </c>
      <c r="F117" s="26" t="s">
        <v>177</v>
      </c>
      <c r="G117" s="11">
        <v>1411876</v>
      </c>
      <c r="H117" s="15" t="s">
        <v>72</v>
      </c>
      <c r="I117" s="17" t="s">
        <v>224</v>
      </c>
      <c r="J117" s="15" t="s">
        <v>72</v>
      </c>
      <c r="K117" s="3" t="s">
        <v>73</v>
      </c>
      <c r="L117" s="16" t="s">
        <v>72</v>
      </c>
      <c r="M117" s="15" t="s">
        <v>72</v>
      </c>
      <c r="N117" s="3" t="s">
        <v>179</v>
      </c>
      <c r="O117" s="5" t="s">
        <v>72</v>
      </c>
      <c r="P117" s="5" t="s">
        <v>1288</v>
      </c>
      <c r="Q117" s="11" t="s">
        <v>434</v>
      </c>
      <c r="R117" s="15" t="s">
        <v>72</v>
      </c>
      <c r="S117" s="3" t="s">
        <v>117</v>
      </c>
      <c r="T117" s="3"/>
      <c r="U117" s="3"/>
      <c r="V117" s="3">
        <v>17</v>
      </c>
      <c r="W117" s="3">
        <v>17</v>
      </c>
      <c r="X117" s="3">
        <v>17</v>
      </c>
      <c r="Y117" s="3">
        <v>0.3</v>
      </c>
      <c r="Z117" s="3">
        <v>0.2</v>
      </c>
      <c r="AA117" s="3" t="s">
        <v>110</v>
      </c>
      <c r="AB117" s="3"/>
      <c r="AC117" s="6">
        <v>43934</v>
      </c>
      <c r="AD117" s="6">
        <v>43945</v>
      </c>
      <c r="AE117" s="6">
        <v>43943</v>
      </c>
      <c r="AF117" s="6">
        <v>43943</v>
      </c>
      <c r="AG117" s="23" t="s">
        <v>75</v>
      </c>
      <c r="AH117" s="19">
        <v>100</v>
      </c>
      <c r="AI117" s="19">
        <v>100</v>
      </c>
      <c r="AJ117" s="19">
        <v>100</v>
      </c>
      <c r="AK117" s="19" t="s">
        <v>111</v>
      </c>
      <c r="AL117" s="5" t="s">
        <v>72</v>
      </c>
      <c r="AM117" s="5"/>
      <c r="AN117" s="5" t="s">
        <v>416</v>
      </c>
      <c r="AW117" s="143"/>
    </row>
    <row r="118" spans="2:49" ht="15">
      <c r="B118" s="25">
        <v>172</v>
      </c>
      <c r="C118" s="11">
        <v>20200410</v>
      </c>
      <c r="D118" s="12" t="s">
        <v>24</v>
      </c>
      <c r="E118" s="11" t="s">
        <v>176</v>
      </c>
      <c r="F118" s="26" t="s">
        <v>177</v>
      </c>
      <c r="G118" s="11">
        <v>1411876</v>
      </c>
      <c r="H118" s="15" t="s">
        <v>72</v>
      </c>
      <c r="I118" s="17" t="s">
        <v>225</v>
      </c>
      <c r="J118" s="15" t="s">
        <v>72</v>
      </c>
      <c r="K118" s="3" t="s">
        <v>73</v>
      </c>
      <c r="L118" s="16" t="s">
        <v>72</v>
      </c>
      <c r="M118" s="15" t="s">
        <v>72</v>
      </c>
      <c r="N118" s="3" t="s">
        <v>179</v>
      </c>
      <c r="O118" s="5" t="s">
        <v>72</v>
      </c>
      <c r="P118" s="5" t="s">
        <v>1288</v>
      </c>
      <c r="Q118" s="11" t="s">
        <v>435</v>
      </c>
      <c r="R118" s="15" t="s">
        <v>72</v>
      </c>
      <c r="S118" s="3" t="s">
        <v>117</v>
      </c>
      <c r="T118" s="3"/>
      <c r="U118" s="3"/>
      <c r="V118" s="3">
        <v>9</v>
      </c>
      <c r="W118" s="3">
        <v>9</v>
      </c>
      <c r="X118" s="3">
        <v>9</v>
      </c>
      <c r="Y118" s="3">
        <v>0.16</v>
      </c>
      <c r="Z118" s="3">
        <v>0.1</v>
      </c>
      <c r="AA118" s="3" t="s">
        <v>110</v>
      </c>
      <c r="AB118" s="3"/>
      <c r="AC118" s="6">
        <v>43934</v>
      </c>
      <c r="AD118" s="6">
        <v>43945</v>
      </c>
      <c r="AE118" s="6">
        <v>43943</v>
      </c>
      <c r="AF118" s="6">
        <v>43943</v>
      </c>
      <c r="AG118" s="23" t="s">
        <v>75</v>
      </c>
      <c r="AH118" s="19">
        <v>100</v>
      </c>
      <c r="AI118" s="19">
        <v>100</v>
      </c>
      <c r="AJ118" s="19">
        <v>100</v>
      </c>
      <c r="AK118" s="19" t="s">
        <v>111</v>
      </c>
      <c r="AL118" s="5" t="s">
        <v>72</v>
      </c>
      <c r="AM118" s="5"/>
      <c r="AN118" s="5" t="s">
        <v>416</v>
      </c>
      <c r="AW118" s="143"/>
    </row>
    <row r="119" spans="2:49" ht="15">
      <c r="B119" s="25">
        <v>173</v>
      </c>
      <c r="C119" s="11">
        <v>20200410</v>
      </c>
      <c r="D119" s="12" t="s">
        <v>24</v>
      </c>
      <c r="E119" s="11" t="s">
        <v>176</v>
      </c>
      <c r="F119" s="26" t="s">
        <v>177</v>
      </c>
      <c r="G119" s="11">
        <v>1411876</v>
      </c>
      <c r="H119" s="15" t="s">
        <v>72</v>
      </c>
      <c r="I119" s="17" t="s">
        <v>226</v>
      </c>
      <c r="J119" s="15" t="s">
        <v>72</v>
      </c>
      <c r="K119" s="3" t="s">
        <v>73</v>
      </c>
      <c r="L119" s="16" t="s">
        <v>72</v>
      </c>
      <c r="M119" s="15" t="s">
        <v>72</v>
      </c>
      <c r="N119" s="3" t="s">
        <v>179</v>
      </c>
      <c r="O119" s="5" t="s">
        <v>72</v>
      </c>
      <c r="P119" s="5" t="s">
        <v>1288</v>
      </c>
      <c r="Q119" s="11" t="s">
        <v>436</v>
      </c>
      <c r="R119" s="15" t="s">
        <v>72</v>
      </c>
      <c r="S119" s="3" t="s">
        <v>109</v>
      </c>
      <c r="T119" s="3"/>
      <c r="U119" s="3"/>
      <c r="V119" s="3">
        <v>123</v>
      </c>
      <c r="W119" s="3">
        <v>123</v>
      </c>
      <c r="X119" s="3">
        <v>123</v>
      </c>
      <c r="Y119" s="3">
        <v>2.1800000000000002</v>
      </c>
      <c r="Z119" s="3">
        <v>1</v>
      </c>
      <c r="AA119" s="3" t="s">
        <v>110</v>
      </c>
      <c r="AB119" s="3"/>
      <c r="AC119" s="6">
        <v>43934</v>
      </c>
      <c r="AD119" s="6">
        <v>43945</v>
      </c>
      <c r="AE119" s="6">
        <v>43936</v>
      </c>
      <c r="AF119" s="6">
        <v>43936</v>
      </c>
      <c r="AG119" s="18" t="s">
        <v>75</v>
      </c>
      <c r="AH119" s="3">
        <v>100</v>
      </c>
      <c r="AI119" s="3">
        <v>100</v>
      </c>
      <c r="AJ119" s="3">
        <v>100</v>
      </c>
      <c r="AK119" s="3" t="s">
        <v>111</v>
      </c>
      <c r="AL119" s="5" t="s">
        <v>72</v>
      </c>
      <c r="AM119" s="5"/>
      <c r="AN119" s="5" t="s">
        <v>72</v>
      </c>
      <c r="AW119" s="143"/>
    </row>
    <row r="120" spans="2:49" ht="15">
      <c r="B120" s="25">
        <v>174</v>
      </c>
      <c r="C120" s="11">
        <v>20200410</v>
      </c>
      <c r="D120" s="12" t="s">
        <v>24</v>
      </c>
      <c r="E120" s="11" t="s">
        <v>176</v>
      </c>
      <c r="F120" s="26" t="s">
        <v>177</v>
      </c>
      <c r="G120" s="11">
        <v>1411876</v>
      </c>
      <c r="H120" s="15" t="s">
        <v>72</v>
      </c>
      <c r="I120" s="11" t="s">
        <v>227</v>
      </c>
      <c r="J120" s="15" t="s">
        <v>72</v>
      </c>
      <c r="K120" s="3" t="s">
        <v>73</v>
      </c>
      <c r="L120" s="16" t="s">
        <v>72</v>
      </c>
      <c r="M120" s="15" t="s">
        <v>72</v>
      </c>
      <c r="N120" s="3" t="s">
        <v>179</v>
      </c>
      <c r="O120" s="5" t="s">
        <v>72</v>
      </c>
      <c r="P120" s="5" t="s">
        <v>1288</v>
      </c>
      <c r="Q120" s="11" t="s">
        <v>437</v>
      </c>
      <c r="R120" s="15" t="s">
        <v>72</v>
      </c>
      <c r="S120" s="3" t="s">
        <v>109</v>
      </c>
      <c r="T120" s="3"/>
      <c r="U120" s="3"/>
      <c r="V120" s="3">
        <v>371</v>
      </c>
      <c r="W120" s="3">
        <v>371</v>
      </c>
      <c r="X120" s="3">
        <v>371</v>
      </c>
      <c r="Y120" s="3">
        <v>6.59</v>
      </c>
      <c r="Z120" s="3">
        <v>6</v>
      </c>
      <c r="AA120" s="3" t="s">
        <v>110</v>
      </c>
      <c r="AB120" s="3"/>
      <c r="AC120" s="6">
        <v>43934</v>
      </c>
      <c r="AD120" s="6">
        <v>43945</v>
      </c>
      <c r="AE120" s="6">
        <v>43937</v>
      </c>
      <c r="AF120" s="6">
        <v>43937</v>
      </c>
      <c r="AG120" s="18" t="s">
        <v>75</v>
      </c>
      <c r="AH120" s="3">
        <v>100</v>
      </c>
      <c r="AI120" s="3">
        <v>100</v>
      </c>
      <c r="AJ120" s="3">
        <v>100</v>
      </c>
      <c r="AK120" s="3" t="s">
        <v>111</v>
      </c>
      <c r="AL120" s="5" t="s">
        <v>72</v>
      </c>
      <c r="AM120" s="5"/>
      <c r="AN120" s="5" t="s">
        <v>72</v>
      </c>
      <c r="AW120" s="143"/>
    </row>
    <row r="121" spans="2:49" ht="15">
      <c r="B121" s="25">
        <v>175</v>
      </c>
      <c r="C121" s="11">
        <v>20200410</v>
      </c>
      <c r="D121" s="12" t="s">
        <v>24</v>
      </c>
      <c r="E121" s="11" t="s">
        <v>176</v>
      </c>
      <c r="F121" s="33" t="s">
        <v>228</v>
      </c>
      <c r="G121" s="11">
        <v>1411876</v>
      </c>
      <c r="H121" s="15" t="s">
        <v>72</v>
      </c>
      <c r="I121" s="11" t="s">
        <v>229</v>
      </c>
      <c r="J121" s="15" t="s">
        <v>72</v>
      </c>
      <c r="K121" s="3" t="s">
        <v>73</v>
      </c>
      <c r="L121" s="16" t="s">
        <v>72</v>
      </c>
      <c r="M121" s="15" t="s">
        <v>72</v>
      </c>
      <c r="N121" s="3" t="s">
        <v>179</v>
      </c>
      <c r="O121" s="5" t="s">
        <v>72</v>
      </c>
      <c r="P121" s="5" t="s">
        <v>1289</v>
      </c>
      <c r="Q121" s="11" t="s">
        <v>438</v>
      </c>
      <c r="R121" s="15" t="s">
        <v>72</v>
      </c>
      <c r="S121" s="3" t="s">
        <v>109</v>
      </c>
      <c r="T121" s="3"/>
      <c r="U121" s="3"/>
      <c r="V121" s="3">
        <v>217</v>
      </c>
      <c r="W121" s="3">
        <v>217</v>
      </c>
      <c r="X121" s="3">
        <v>217</v>
      </c>
      <c r="Y121" s="3">
        <v>3.85</v>
      </c>
      <c r="Z121" s="3">
        <v>3</v>
      </c>
      <c r="AA121" s="3" t="s">
        <v>110</v>
      </c>
      <c r="AB121" s="3"/>
      <c r="AC121" s="6">
        <v>43934</v>
      </c>
      <c r="AD121" s="6">
        <v>43945</v>
      </c>
      <c r="AE121" s="6">
        <v>43937</v>
      </c>
      <c r="AF121" s="6">
        <v>43937</v>
      </c>
      <c r="AG121" s="18" t="s">
        <v>75</v>
      </c>
      <c r="AH121" s="3">
        <v>100</v>
      </c>
      <c r="AI121" s="3">
        <v>100</v>
      </c>
      <c r="AJ121" s="3">
        <v>100</v>
      </c>
      <c r="AK121" s="3" t="s">
        <v>111</v>
      </c>
      <c r="AL121" s="5" t="s">
        <v>72</v>
      </c>
      <c r="AM121" s="5"/>
      <c r="AN121" s="5" t="s">
        <v>72</v>
      </c>
      <c r="AW121" s="143"/>
    </row>
    <row r="122" spans="2:49" ht="15">
      <c r="B122" s="25">
        <v>176</v>
      </c>
      <c r="C122" s="11">
        <v>20200410</v>
      </c>
      <c r="D122" s="12" t="s">
        <v>24</v>
      </c>
      <c r="E122" s="11" t="s">
        <v>176</v>
      </c>
      <c r="F122" s="22" t="s">
        <v>230</v>
      </c>
      <c r="G122" s="11">
        <v>1411876</v>
      </c>
      <c r="H122" s="15" t="s">
        <v>72</v>
      </c>
      <c r="I122" s="17" t="s">
        <v>231</v>
      </c>
      <c r="J122" s="15" t="s">
        <v>72</v>
      </c>
      <c r="K122" s="3" t="s">
        <v>73</v>
      </c>
      <c r="L122" s="16" t="s">
        <v>72</v>
      </c>
      <c r="M122" s="15" t="s">
        <v>72</v>
      </c>
      <c r="N122" s="3" t="s">
        <v>179</v>
      </c>
      <c r="O122" s="5" t="s">
        <v>72</v>
      </c>
      <c r="P122" s="5" t="s">
        <v>1289</v>
      </c>
      <c r="Q122" s="11" t="s">
        <v>439</v>
      </c>
      <c r="R122" s="15" t="s">
        <v>72</v>
      </c>
      <c r="S122" s="3" t="s">
        <v>109</v>
      </c>
      <c r="T122" s="3"/>
      <c r="U122" s="3"/>
      <c r="V122" s="3">
        <v>144</v>
      </c>
      <c r="W122" s="3">
        <v>144</v>
      </c>
      <c r="X122" s="3">
        <v>144</v>
      </c>
      <c r="Y122" s="3">
        <v>2.56</v>
      </c>
      <c r="Z122" s="3">
        <v>2</v>
      </c>
      <c r="AA122" s="3" t="s">
        <v>110</v>
      </c>
      <c r="AB122" s="3"/>
      <c r="AC122" s="6">
        <v>43934</v>
      </c>
      <c r="AD122" s="6">
        <v>43945</v>
      </c>
      <c r="AE122" s="6">
        <v>43937</v>
      </c>
      <c r="AF122" s="6">
        <v>43937</v>
      </c>
      <c r="AG122" s="18" t="s">
        <v>75</v>
      </c>
      <c r="AH122" s="3">
        <v>100</v>
      </c>
      <c r="AI122" s="3">
        <v>100</v>
      </c>
      <c r="AJ122" s="3">
        <v>100</v>
      </c>
      <c r="AK122" s="3" t="s">
        <v>111</v>
      </c>
      <c r="AL122" s="5" t="s">
        <v>72</v>
      </c>
      <c r="AM122" s="5"/>
      <c r="AN122" s="5" t="s">
        <v>72</v>
      </c>
      <c r="AW122" s="143"/>
    </row>
    <row r="123" spans="2:49" ht="15">
      <c r="B123" s="25">
        <v>177</v>
      </c>
      <c r="C123" s="11">
        <v>20200410</v>
      </c>
      <c r="D123" s="12" t="s">
        <v>24</v>
      </c>
      <c r="E123" s="11" t="s">
        <v>176</v>
      </c>
      <c r="F123" s="22" t="s">
        <v>232</v>
      </c>
      <c r="G123" s="11">
        <v>1411876</v>
      </c>
      <c r="H123" s="15" t="s">
        <v>72</v>
      </c>
      <c r="I123" s="17" t="s">
        <v>233</v>
      </c>
      <c r="J123" s="15" t="s">
        <v>72</v>
      </c>
      <c r="K123" s="3" t="s">
        <v>73</v>
      </c>
      <c r="L123" s="16" t="s">
        <v>72</v>
      </c>
      <c r="M123" s="15" t="s">
        <v>72</v>
      </c>
      <c r="N123" s="3" t="s">
        <v>179</v>
      </c>
      <c r="O123" s="5" t="s">
        <v>72</v>
      </c>
      <c r="P123" s="5" t="s">
        <v>1289</v>
      </c>
      <c r="Q123" s="11" t="s">
        <v>440</v>
      </c>
      <c r="R123" s="15" t="s">
        <v>72</v>
      </c>
      <c r="S123" s="3" t="s">
        <v>109</v>
      </c>
      <c r="T123" s="3"/>
      <c r="U123" s="3"/>
      <c r="V123" s="3">
        <v>97</v>
      </c>
      <c r="W123" s="3">
        <v>97</v>
      </c>
      <c r="X123" s="3">
        <v>97</v>
      </c>
      <c r="Y123" s="3">
        <v>1.72</v>
      </c>
      <c r="Z123" s="3">
        <v>1</v>
      </c>
      <c r="AA123" s="3" t="s">
        <v>110</v>
      </c>
      <c r="AB123" s="3"/>
      <c r="AC123" s="6">
        <v>43934</v>
      </c>
      <c r="AD123" s="6">
        <v>43945</v>
      </c>
      <c r="AE123" s="6">
        <v>43937</v>
      </c>
      <c r="AF123" s="6">
        <v>43937</v>
      </c>
      <c r="AG123" s="18" t="s">
        <v>79</v>
      </c>
      <c r="AH123" s="3">
        <v>100</v>
      </c>
      <c r="AI123" s="3">
        <v>97</v>
      </c>
      <c r="AJ123" s="3">
        <v>100</v>
      </c>
      <c r="AK123" s="3" t="s">
        <v>76</v>
      </c>
      <c r="AL123" s="5" t="s">
        <v>72</v>
      </c>
      <c r="AM123" s="5"/>
      <c r="AN123" s="5" t="s">
        <v>72</v>
      </c>
      <c r="AW123" s="143"/>
    </row>
    <row r="124" spans="2:49" ht="15">
      <c r="B124" s="34">
        <v>178</v>
      </c>
      <c r="C124" s="11">
        <v>20200413</v>
      </c>
      <c r="D124" s="12" t="s">
        <v>24</v>
      </c>
      <c r="E124" s="13" t="s">
        <v>234</v>
      </c>
      <c r="F124" s="29" t="s">
        <v>235</v>
      </c>
      <c r="G124" s="17">
        <v>1375671</v>
      </c>
      <c r="H124" s="15" t="s">
        <v>72</v>
      </c>
      <c r="I124" s="17" t="s">
        <v>236</v>
      </c>
      <c r="J124" s="15" t="s">
        <v>72</v>
      </c>
      <c r="K124" s="17" t="s">
        <v>73</v>
      </c>
      <c r="L124" s="35">
        <v>81728</v>
      </c>
      <c r="M124" s="15" t="s">
        <v>72</v>
      </c>
      <c r="N124" s="28" t="s">
        <v>237</v>
      </c>
      <c r="O124" s="5" t="s">
        <v>72</v>
      </c>
      <c r="P124" s="14" t="s">
        <v>587</v>
      </c>
      <c r="Q124" s="11" t="s">
        <v>441</v>
      </c>
      <c r="R124" s="15" t="s">
        <v>72</v>
      </c>
      <c r="S124" s="3" t="s">
        <v>113</v>
      </c>
      <c r="T124" s="3"/>
      <c r="U124" s="3"/>
      <c r="V124" s="13">
        <v>52</v>
      </c>
      <c r="W124" s="11">
        <v>52</v>
      </c>
      <c r="X124" s="3">
        <v>52</v>
      </c>
      <c r="Y124" s="3">
        <v>0.92</v>
      </c>
      <c r="Z124" s="3">
        <v>1</v>
      </c>
      <c r="AA124" s="3" t="s">
        <v>110</v>
      </c>
      <c r="AB124" s="3"/>
      <c r="AC124" s="6">
        <v>43934</v>
      </c>
      <c r="AD124" s="6">
        <v>43950</v>
      </c>
      <c r="AE124" s="6">
        <v>43938</v>
      </c>
      <c r="AF124" s="6">
        <v>43938</v>
      </c>
      <c r="AG124" s="18" t="s">
        <v>75</v>
      </c>
      <c r="AH124" s="19">
        <v>100</v>
      </c>
      <c r="AI124" s="19">
        <v>100</v>
      </c>
      <c r="AJ124" s="19">
        <v>100</v>
      </c>
      <c r="AK124" s="19" t="s">
        <v>111</v>
      </c>
      <c r="AL124" s="5" t="s">
        <v>72</v>
      </c>
      <c r="AM124" s="5"/>
      <c r="AN124" s="5" t="s">
        <v>72</v>
      </c>
      <c r="AW124" s="143"/>
    </row>
    <row r="125" spans="2:49" ht="15">
      <c r="B125" s="34">
        <v>179</v>
      </c>
      <c r="C125" s="11">
        <v>20200413</v>
      </c>
      <c r="D125" s="12" t="s">
        <v>24</v>
      </c>
      <c r="E125" s="13" t="s">
        <v>234</v>
      </c>
      <c r="F125" s="29" t="s">
        <v>235</v>
      </c>
      <c r="G125" s="17">
        <v>1375671</v>
      </c>
      <c r="H125" s="15" t="s">
        <v>72</v>
      </c>
      <c r="I125" s="17" t="s">
        <v>238</v>
      </c>
      <c r="J125" s="15" t="s">
        <v>72</v>
      </c>
      <c r="K125" s="17" t="s">
        <v>73</v>
      </c>
      <c r="L125" s="35">
        <v>81728</v>
      </c>
      <c r="M125" s="15" t="s">
        <v>72</v>
      </c>
      <c r="N125" s="28" t="s">
        <v>237</v>
      </c>
      <c r="O125" s="5" t="s">
        <v>72</v>
      </c>
      <c r="P125" s="5" t="s">
        <v>587</v>
      </c>
      <c r="Q125" s="11" t="s">
        <v>442</v>
      </c>
      <c r="R125" s="15" t="s">
        <v>72</v>
      </c>
      <c r="S125" s="3" t="s">
        <v>113</v>
      </c>
      <c r="T125" s="3"/>
      <c r="U125" s="3"/>
      <c r="V125" s="13">
        <v>40</v>
      </c>
      <c r="W125" s="11">
        <v>40</v>
      </c>
      <c r="X125" s="3">
        <v>40</v>
      </c>
      <c r="Y125" s="3">
        <v>0.71</v>
      </c>
      <c r="Z125" s="3">
        <v>1</v>
      </c>
      <c r="AA125" s="3" t="s">
        <v>110</v>
      </c>
      <c r="AB125" s="3"/>
      <c r="AC125" s="6">
        <v>43934</v>
      </c>
      <c r="AD125" s="6">
        <v>43950</v>
      </c>
      <c r="AE125" s="6">
        <v>43938</v>
      </c>
      <c r="AF125" s="6">
        <v>43938</v>
      </c>
      <c r="AG125" s="18" t="s">
        <v>75</v>
      </c>
      <c r="AH125" s="19">
        <v>100</v>
      </c>
      <c r="AI125" s="19">
        <v>100</v>
      </c>
      <c r="AJ125" s="19">
        <v>100</v>
      </c>
      <c r="AK125" s="19" t="s">
        <v>111</v>
      </c>
      <c r="AL125" s="5" t="s">
        <v>72</v>
      </c>
      <c r="AM125" s="5"/>
      <c r="AN125" s="5" t="s">
        <v>72</v>
      </c>
      <c r="AW125" s="143"/>
    </row>
    <row r="126" spans="2:49" ht="15">
      <c r="B126" s="34">
        <v>180</v>
      </c>
      <c r="C126" s="11">
        <v>20200413</v>
      </c>
      <c r="D126" s="12" t="s">
        <v>24</v>
      </c>
      <c r="E126" s="13" t="s">
        <v>234</v>
      </c>
      <c r="F126" s="29" t="s">
        <v>235</v>
      </c>
      <c r="G126" s="17">
        <v>1375671</v>
      </c>
      <c r="H126" s="15" t="s">
        <v>72</v>
      </c>
      <c r="I126" s="17" t="s">
        <v>239</v>
      </c>
      <c r="J126" s="15" t="s">
        <v>72</v>
      </c>
      <c r="K126" s="17" t="s">
        <v>73</v>
      </c>
      <c r="L126" s="35">
        <v>81728</v>
      </c>
      <c r="M126" s="15" t="s">
        <v>72</v>
      </c>
      <c r="N126" s="28" t="s">
        <v>237</v>
      </c>
      <c r="O126" s="5" t="s">
        <v>72</v>
      </c>
      <c r="P126" s="5" t="s">
        <v>587</v>
      </c>
      <c r="Q126" s="11" t="s">
        <v>443</v>
      </c>
      <c r="R126" s="15" t="s">
        <v>72</v>
      </c>
      <c r="S126" s="3" t="s">
        <v>113</v>
      </c>
      <c r="T126" s="3"/>
      <c r="U126" s="3"/>
      <c r="V126" s="13">
        <v>81</v>
      </c>
      <c r="W126" s="11">
        <v>81</v>
      </c>
      <c r="X126" s="3">
        <v>81</v>
      </c>
      <c r="Y126" s="3">
        <v>1.44</v>
      </c>
      <c r="Z126" s="3">
        <v>1</v>
      </c>
      <c r="AA126" s="3" t="s">
        <v>110</v>
      </c>
      <c r="AB126" s="3"/>
      <c r="AC126" s="6">
        <v>43934</v>
      </c>
      <c r="AD126" s="6">
        <v>43950</v>
      </c>
      <c r="AE126" s="6">
        <v>43937</v>
      </c>
      <c r="AF126" s="6">
        <v>43937</v>
      </c>
      <c r="AG126" s="18" t="s">
        <v>75</v>
      </c>
      <c r="AH126" s="19">
        <v>100</v>
      </c>
      <c r="AI126" s="19">
        <v>100</v>
      </c>
      <c r="AJ126" s="19">
        <v>100</v>
      </c>
      <c r="AK126" s="19" t="s">
        <v>111</v>
      </c>
      <c r="AL126" s="5" t="s">
        <v>72</v>
      </c>
      <c r="AM126" s="5"/>
      <c r="AN126" s="5" t="s">
        <v>72</v>
      </c>
      <c r="AW126" s="143"/>
    </row>
    <row r="127" spans="2:49" ht="15">
      <c r="B127" s="34">
        <v>181</v>
      </c>
      <c r="C127" s="11">
        <v>20200413</v>
      </c>
      <c r="D127" s="12" t="s">
        <v>24</v>
      </c>
      <c r="E127" s="13" t="s">
        <v>234</v>
      </c>
      <c r="F127" s="29" t="s">
        <v>235</v>
      </c>
      <c r="G127" s="17">
        <v>1375671</v>
      </c>
      <c r="H127" s="15" t="s">
        <v>72</v>
      </c>
      <c r="I127" s="17" t="s">
        <v>240</v>
      </c>
      <c r="J127" s="15" t="s">
        <v>72</v>
      </c>
      <c r="K127" s="17" t="s">
        <v>73</v>
      </c>
      <c r="L127" s="35">
        <v>81728</v>
      </c>
      <c r="M127" s="15" t="s">
        <v>72</v>
      </c>
      <c r="N127" s="28" t="s">
        <v>237</v>
      </c>
      <c r="O127" s="5" t="s">
        <v>72</v>
      </c>
      <c r="P127" s="5" t="s">
        <v>587</v>
      </c>
      <c r="Q127" s="11" t="s">
        <v>444</v>
      </c>
      <c r="R127" s="15" t="s">
        <v>72</v>
      </c>
      <c r="S127" s="3" t="s">
        <v>113</v>
      </c>
      <c r="T127" s="3"/>
      <c r="U127" s="3"/>
      <c r="V127" s="13">
        <v>18</v>
      </c>
      <c r="W127" s="11">
        <v>18</v>
      </c>
      <c r="X127" s="3">
        <v>18</v>
      </c>
      <c r="Y127" s="3">
        <v>0.32</v>
      </c>
      <c r="Z127" s="3">
        <v>1</v>
      </c>
      <c r="AA127" s="3" t="s">
        <v>110</v>
      </c>
      <c r="AB127" s="3"/>
      <c r="AC127" s="6">
        <v>43934</v>
      </c>
      <c r="AD127" s="6">
        <v>43950</v>
      </c>
      <c r="AE127" s="6">
        <v>43937</v>
      </c>
      <c r="AF127" s="6">
        <v>43937</v>
      </c>
      <c r="AG127" s="18" t="s">
        <v>75</v>
      </c>
      <c r="AH127" s="19">
        <v>100</v>
      </c>
      <c r="AI127" s="19">
        <v>100</v>
      </c>
      <c r="AJ127" s="19">
        <v>100</v>
      </c>
      <c r="AK127" s="19" t="s">
        <v>111</v>
      </c>
      <c r="AL127" s="5" t="s">
        <v>72</v>
      </c>
      <c r="AM127" s="5"/>
      <c r="AN127" s="5" t="s">
        <v>72</v>
      </c>
      <c r="AW127" s="143"/>
    </row>
    <row r="128" spans="2:49" ht="15">
      <c r="B128" s="34">
        <v>182</v>
      </c>
      <c r="C128" s="11">
        <v>20200413</v>
      </c>
      <c r="D128" s="12" t="s">
        <v>24</v>
      </c>
      <c r="E128" s="13" t="s">
        <v>234</v>
      </c>
      <c r="F128" s="29" t="s">
        <v>235</v>
      </c>
      <c r="G128" s="17">
        <v>1375671</v>
      </c>
      <c r="H128" s="15" t="s">
        <v>72</v>
      </c>
      <c r="I128" s="17" t="s">
        <v>241</v>
      </c>
      <c r="J128" s="15" t="s">
        <v>72</v>
      </c>
      <c r="K128" s="17" t="s">
        <v>73</v>
      </c>
      <c r="L128" s="35">
        <v>81728</v>
      </c>
      <c r="M128" s="15" t="s">
        <v>72</v>
      </c>
      <c r="N128" s="28" t="s">
        <v>237</v>
      </c>
      <c r="O128" s="5" t="s">
        <v>72</v>
      </c>
      <c r="P128" s="5" t="s">
        <v>587</v>
      </c>
      <c r="Q128" s="11" t="s">
        <v>445</v>
      </c>
      <c r="R128" s="15" t="s">
        <v>72</v>
      </c>
      <c r="S128" s="3" t="s">
        <v>113</v>
      </c>
      <c r="T128" s="3"/>
      <c r="U128" s="3"/>
      <c r="V128" s="13">
        <v>101</v>
      </c>
      <c r="W128" s="11">
        <v>101</v>
      </c>
      <c r="X128" s="3">
        <v>101</v>
      </c>
      <c r="Y128" s="3">
        <v>1.79</v>
      </c>
      <c r="Z128" s="3">
        <v>1</v>
      </c>
      <c r="AA128" s="3" t="s">
        <v>110</v>
      </c>
      <c r="AB128" s="3"/>
      <c r="AC128" s="6">
        <v>43934</v>
      </c>
      <c r="AD128" s="6">
        <v>43950</v>
      </c>
      <c r="AE128" s="6">
        <v>43937</v>
      </c>
      <c r="AF128" s="6">
        <v>43937</v>
      </c>
      <c r="AG128" s="18" t="s">
        <v>75</v>
      </c>
      <c r="AH128" s="19">
        <v>100</v>
      </c>
      <c r="AI128" s="19">
        <v>100</v>
      </c>
      <c r="AJ128" s="19">
        <v>100</v>
      </c>
      <c r="AK128" s="19" t="s">
        <v>111</v>
      </c>
      <c r="AL128" s="5" t="s">
        <v>72</v>
      </c>
      <c r="AM128" s="5"/>
      <c r="AN128" s="5" t="s">
        <v>72</v>
      </c>
      <c r="AW128" s="143"/>
    </row>
    <row r="129" spans="2:49" ht="15">
      <c r="B129" s="34">
        <v>183</v>
      </c>
      <c r="C129" s="11">
        <v>20200413</v>
      </c>
      <c r="D129" s="12" t="s">
        <v>24</v>
      </c>
      <c r="E129" s="13" t="s">
        <v>234</v>
      </c>
      <c r="F129" s="14" t="s">
        <v>235</v>
      </c>
      <c r="G129" s="13">
        <v>1375671</v>
      </c>
      <c r="H129" s="15" t="s">
        <v>72</v>
      </c>
      <c r="I129" s="17" t="s">
        <v>242</v>
      </c>
      <c r="J129" s="15" t="s">
        <v>72</v>
      </c>
      <c r="K129" s="3" t="s">
        <v>73</v>
      </c>
      <c r="L129" s="36">
        <v>81728</v>
      </c>
      <c r="M129" s="15" t="s">
        <v>72</v>
      </c>
      <c r="N129" s="3" t="s">
        <v>237</v>
      </c>
      <c r="O129" s="5" t="s">
        <v>72</v>
      </c>
      <c r="P129" s="5" t="s">
        <v>587</v>
      </c>
      <c r="Q129" s="11" t="s">
        <v>446</v>
      </c>
      <c r="R129" s="15" t="s">
        <v>72</v>
      </c>
      <c r="S129" s="3" t="s">
        <v>161</v>
      </c>
      <c r="T129" s="3"/>
      <c r="U129" s="3"/>
      <c r="V129" s="13">
        <v>72</v>
      </c>
      <c r="W129" s="3">
        <v>72</v>
      </c>
      <c r="X129" s="3">
        <v>72</v>
      </c>
      <c r="Y129" s="3">
        <v>1.28</v>
      </c>
      <c r="Z129" s="3">
        <v>1</v>
      </c>
      <c r="AA129" s="3" t="s">
        <v>110</v>
      </c>
      <c r="AB129" s="3"/>
      <c r="AC129" s="6">
        <v>43934</v>
      </c>
      <c r="AD129" s="6">
        <v>43950</v>
      </c>
      <c r="AE129" s="6">
        <v>43937</v>
      </c>
      <c r="AF129" s="6">
        <v>43937</v>
      </c>
      <c r="AG129" s="18" t="s">
        <v>75</v>
      </c>
      <c r="AH129" s="3">
        <v>100</v>
      </c>
      <c r="AI129" s="3">
        <v>100</v>
      </c>
      <c r="AJ129" s="3">
        <v>100</v>
      </c>
      <c r="AK129" s="3" t="s">
        <v>111</v>
      </c>
      <c r="AL129" s="5" t="s">
        <v>72</v>
      </c>
      <c r="AM129" s="5"/>
      <c r="AN129" s="5" t="s">
        <v>72</v>
      </c>
      <c r="AW129" s="143"/>
    </row>
    <row r="130" spans="2:49" ht="15">
      <c r="B130" s="34">
        <v>184</v>
      </c>
      <c r="C130" s="11">
        <v>20200413</v>
      </c>
      <c r="D130" s="12" t="s">
        <v>24</v>
      </c>
      <c r="E130" s="13" t="s">
        <v>234</v>
      </c>
      <c r="F130" s="14" t="s">
        <v>235</v>
      </c>
      <c r="G130" s="13">
        <v>1375671</v>
      </c>
      <c r="H130" s="15" t="s">
        <v>72</v>
      </c>
      <c r="I130" s="17" t="s">
        <v>243</v>
      </c>
      <c r="J130" s="15" t="s">
        <v>72</v>
      </c>
      <c r="K130" s="3" t="s">
        <v>73</v>
      </c>
      <c r="L130" s="36">
        <v>81728</v>
      </c>
      <c r="M130" s="15" t="s">
        <v>72</v>
      </c>
      <c r="N130" s="3" t="s">
        <v>237</v>
      </c>
      <c r="O130" s="5" t="s">
        <v>72</v>
      </c>
      <c r="P130" s="5" t="s">
        <v>587</v>
      </c>
      <c r="Q130" s="11" t="s">
        <v>447</v>
      </c>
      <c r="R130" s="15" t="s">
        <v>72</v>
      </c>
      <c r="S130" s="3" t="s">
        <v>161</v>
      </c>
      <c r="T130" s="3"/>
      <c r="U130" s="3"/>
      <c r="V130" s="13">
        <v>82</v>
      </c>
      <c r="W130" s="3">
        <v>82</v>
      </c>
      <c r="X130" s="3">
        <v>82</v>
      </c>
      <c r="Y130" s="3">
        <v>1.45</v>
      </c>
      <c r="Z130" s="3">
        <v>1</v>
      </c>
      <c r="AA130" s="3" t="s">
        <v>110</v>
      </c>
      <c r="AB130" s="3"/>
      <c r="AC130" s="6">
        <v>43934</v>
      </c>
      <c r="AD130" s="6">
        <v>43950</v>
      </c>
      <c r="AE130" s="6">
        <v>43937</v>
      </c>
      <c r="AF130" s="6">
        <v>43937</v>
      </c>
      <c r="AG130" s="18" t="s">
        <v>75</v>
      </c>
      <c r="AH130" s="3">
        <v>100</v>
      </c>
      <c r="AI130" s="3">
        <v>100</v>
      </c>
      <c r="AJ130" s="3">
        <v>100</v>
      </c>
      <c r="AK130" s="3" t="s">
        <v>111</v>
      </c>
      <c r="AL130" s="5" t="s">
        <v>72</v>
      </c>
      <c r="AM130" s="5"/>
      <c r="AN130" s="5" t="s">
        <v>72</v>
      </c>
      <c r="AW130" s="143"/>
    </row>
    <row r="131" spans="2:49" ht="15">
      <c r="B131" s="34">
        <v>185</v>
      </c>
      <c r="C131" s="11">
        <v>20200413</v>
      </c>
      <c r="D131" s="12" t="s">
        <v>24</v>
      </c>
      <c r="E131" s="13" t="s">
        <v>234</v>
      </c>
      <c r="F131" s="14" t="s">
        <v>235</v>
      </c>
      <c r="G131" s="13">
        <v>1375671</v>
      </c>
      <c r="H131" s="15" t="s">
        <v>72</v>
      </c>
      <c r="I131" s="17" t="s">
        <v>244</v>
      </c>
      <c r="J131" s="15" t="s">
        <v>72</v>
      </c>
      <c r="K131" s="3" t="s">
        <v>73</v>
      </c>
      <c r="L131" s="36">
        <v>81728</v>
      </c>
      <c r="M131" s="15" t="s">
        <v>72</v>
      </c>
      <c r="N131" s="3" t="s">
        <v>237</v>
      </c>
      <c r="O131" s="5" t="s">
        <v>72</v>
      </c>
      <c r="P131" s="5" t="s">
        <v>587</v>
      </c>
      <c r="Q131" s="11" t="s">
        <v>448</v>
      </c>
      <c r="R131" s="15" t="s">
        <v>72</v>
      </c>
      <c r="S131" s="3" t="s">
        <v>161</v>
      </c>
      <c r="T131" s="3"/>
      <c r="U131" s="3"/>
      <c r="V131" s="13">
        <v>31</v>
      </c>
      <c r="W131" s="3">
        <v>31</v>
      </c>
      <c r="X131" s="3">
        <v>31</v>
      </c>
      <c r="Y131" s="3">
        <v>0.55000000000000004</v>
      </c>
      <c r="Z131" s="3">
        <v>0.5</v>
      </c>
      <c r="AA131" s="3" t="s">
        <v>110</v>
      </c>
      <c r="AB131" s="3"/>
      <c r="AC131" s="6">
        <v>43934</v>
      </c>
      <c r="AD131" s="6">
        <v>43950</v>
      </c>
      <c r="AE131" s="6">
        <v>43937</v>
      </c>
      <c r="AF131" s="6">
        <v>43937</v>
      </c>
      <c r="AG131" s="18" t="s">
        <v>75</v>
      </c>
      <c r="AH131" s="3">
        <v>100</v>
      </c>
      <c r="AI131" s="3">
        <v>100</v>
      </c>
      <c r="AJ131" s="3">
        <v>100</v>
      </c>
      <c r="AK131" s="3" t="s">
        <v>111</v>
      </c>
      <c r="AL131" s="5" t="s">
        <v>72</v>
      </c>
      <c r="AM131" s="5"/>
      <c r="AN131" s="5" t="s">
        <v>72</v>
      </c>
      <c r="AW131" s="143"/>
    </row>
    <row r="132" spans="2:49" ht="15">
      <c r="B132" s="34">
        <v>186</v>
      </c>
      <c r="C132" s="11">
        <v>20200413</v>
      </c>
      <c r="D132" s="12" t="s">
        <v>24</v>
      </c>
      <c r="E132" s="13" t="s">
        <v>234</v>
      </c>
      <c r="F132" s="14" t="s">
        <v>235</v>
      </c>
      <c r="G132" s="13">
        <v>1375671</v>
      </c>
      <c r="H132" s="15" t="s">
        <v>72</v>
      </c>
      <c r="I132" s="17" t="s">
        <v>245</v>
      </c>
      <c r="J132" s="15" t="s">
        <v>72</v>
      </c>
      <c r="K132" s="3" t="s">
        <v>73</v>
      </c>
      <c r="L132" s="36">
        <v>81728</v>
      </c>
      <c r="M132" s="15" t="s">
        <v>72</v>
      </c>
      <c r="N132" s="3" t="s">
        <v>237</v>
      </c>
      <c r="O132" s="5" t="s">
        <v>72</v>
      </c>
      <c r="P132" s="5" t="s">
        <v>587</v>
      </c>
      <c r="Q132" s="11" t="s">
        <v>449</v>
      </c>
      <c r="R132" s="15" t="s">
        <v>72</v>
      </c>
      <c r="S132" s="3" t="s">
        <v>161</v>
      </c>
      <c r="T132" s="3"/>
      <c r="U132" s="3"/>
      <c r="V132" s="13">
        <v>38</v>
      </c>
      <c r="W132" s="3">
        <v>38</v>
      </c>
      <c r="X132" s="3">
        <v>38</v>
      </c>
      <c r="Y132" s="3">
        <v>0.67</v>
      </c>
      <c r="Z132" s="3">
        <v>0.5</v>
      </c>
      <c r="AA132" s="3" t="s">
        <v>110</v>
      </c>
      <c r="AB132" s="3"/>
      <c r="AC132" s="6">
        <v>43934</v>
      </c>
      <c r="AD132" s="6">
        <v>43950</v>
      </c>
      <c r="AE132" s="6">
        <v>43937</v>
      </c>
      <c r="AF132" s="6">
        <v>43937</v>
      </c>
      <c r="AG132" s="18" t="s">
        <v>75</v>
      </c>
      <c r="AH132" s="3">
        <v>100</v>
      </c>
      <c r="AI132" s="3">
        <v>100</v>
      </c>
      <c r="AJ132" s="3">
        <v>100</v>
      </c>
      <c r="AK132" s="3" t="s">
        <v>111</v>
      </c>
      <c r="AL132" s="5" t="s">
        <v>72</v>
      </c>
      <c r="AM132" s="5"/>
      <c r="AN132" s="5" t="s">
        <v>72</v>
      </c>
      <c r="AW132" s="143"/>
    </row>
    <row r="133" spans="2:49" ht="15">
      <c r="B133" s="34">
        <v>187</v>
      </c>
      <c r="C133" s="11">
        <v>20200413</v>
      </c>
      <c r="D133" s="12" t="s">
        <v>24</v>
      </c>
      <c r="E133" s="13" t="s">
        <v>234</v>
      </c>
      <c r="F133" s="14" t="s">
        <v>235</v>
      </c>
      <c r="G133" s="13">
        <v>1375671</v>
      </c>
      <c r="H133" s="15" t="s">
        <v>72</v>
      </c>
      <c r="I133" s="11" t="s">
        <v>246</v>
      </c>
      <c r="J133" s="15" t="s">
        <v>72</v>
      </c>
      <c r="K133" s="3" t="s">
        <v>73</v>
      </c>
      <c r="L133" s="36">
        <v>81728</v>
      </c>
      <c r="M133" s="15" t="s">
        <v>72</v>
      </c>
      <c r="N133" s="3" t="s">
        <v>237</v>
      </c>
      <c r="O133" s="5" t="s">
        <v>72</v>
      </c>
      <c r="P133" s="5" t="s">
        <v>587</v>
      </c>
      <c r="Q133" s="11" t="s">
        <v>450</v>
      </c>
      <c r="R133" s="15" t="s">
        <v>72</v>
      </c>
      <c r="S133" s="3" t="s">
        <v>117</v>
      </c>
      <c r="T133" s="3"/>
      <c r="U133" s="3"/>
      <c r="V133" s="13">
        <v>28</v>
      </c>
      <c r="W133" s="3">
        <v>28</v>
      </c>
      <c r="X133" s="3">
        <v>28</v>
      </c>
      <c r="Y133" s="3">
        <v>0.49</v>
      </c>
      <c r="Z133" s="3">
        <v>0.5</v>
      </c>
      <c r="AA133" s="3" t="s">
        <v>110</v>
      </c>
      <c r="AB133" s="3"/>
      <c r="AC133" s="6">
        <v>43934</v>
      </c>
      <c r="AD133" s="6">
        <v>43950</v>
      </c>
      <c r="AE133" s="6">
        <v>43943</v>
      </c>
      <c r="AF133" s="6">
        <v>43943</v>
      </c>
      <c r="AG133" s="23" t="s">
        <v>75</v>
      </c>
      <c r="AH133" s="19">
        <v>100</v>
      </c>
      <c r="AI133" s="19">
        <v>100</v>
      </c>
      <c r="AJ133" s="19">
        <v>100</v>
      </c>
      <c r="AK133" s="19" t="s">
        <v>111</v>
      </c>
      <c r="AL133" s="5" t="s">
        <v>72</v>
      </c>
      <c r="AM133" s="5"/>
      <c r="AN133" s="5" t="s">
        <v>72</v>
      </c>
      <c r="AW133" s="143"/>
    </row>
    <row r="134" spans="2:49" ht="15">
      <c r="B134" s="34">
        <v>188</v>
      </c>
      <c r="C134" s="11">
        <v>20200413</v>
      </c>
      <c r="D134" s="12" t="s">
        <v>24</v>
      </c>
      <c r="E134" s="13" t="s">
        <v>234</v>
      </c>
      <c r="F134" s="14" t="s">
        <v>235</v>
      </c>
      <c r="G134" s="13">
        <v>1375671</v>
      </c>
      <c r="H134" s="15" t="s">
        <v>72</v>
      </c>
      <c r="I134" s="17" t="s">
        <v>247</v>
      </c>
      <c r="J134" s="15" t="s">
        <v>72</v>
      </c>
      <c r="K134" s="3" t="s">
        <v>73</v>
      </c>
      <c r="L134" s="36">
        <v>81728</v>
      </c>
      <c r="M134" s="15" t="s">
        <v>72</v>
      </c>
      <c r="N134" s="3" t="s">
        <v>237</v>
      </c>
      <c r="O134" s="5" t="s">
        <v>72</v>
      </c>
      <c r="P134" s="5" t="s">
        <v>587</v>
      </c>
      <c r="Q134" s="11" t="s">
        <v>451</v>
      </c>
      <c r="R134" s="15" t="s">
        <v>72</v>
      </c>
      <c r="S134" s="3" t="s">
        <v>117</v>
      </c>
      <c r="T134" s="3"/>
      <c r="U134" s="3"/>
      <c r="V134" s="13">
        <v>35</v>
      </c>
      <c r="W134" s="3">
        <v>35</v>
      </c>
      <c r="X134" s="3">
        <v>35</v>
      </c>
      <c r="Y134" s="3">
        <v>0.62</v>
      </c>
      <c r="Z134" s="3">
        <v>0.5</v>
      </c>
      <c r="AA134" s="3" t="s">
        <v>110</v>
      </c>
      <c r="AB134" s="3"/>
      <c r="AC134" s="6">
        <v>43934</v>
      </c>
      <c r="AD134" s="6">
        <v>43950</v>
      </c>
      <c r="AE134" s="6">
        <v>43943</v>
      </c>
      <c r="AF134" s="6">
        <v>43943</v>
      </c>
      <c r="AG134" s="23" t="s">
        <v>75</v>
      </c>
      <c r="AH134" s="19">
        <v>100</v>
      </c>
      <c r="AI134" s="19">
        <v>100</v>
      </c>
      <c r="AJ134" s="19">
        <v>100</v>
      </c>
      <c r="AK134" s="19" t="s">
        <v>111</v>
      </c>
      <c r="AL134" s="5" t="s">
        <v>72</v>
      </c>
      <c r="AM134" s="5"/>
      <c r="AN134" s="5" t="s">
        <v>72</v>
      </c>
      <c r="AW134" s="143"/>
    </row>
    <row r="135" spans="2:49" ht="15">
      <c r="B135" s="34">
        <v>189</v>
      </c>
      <c r="C135" s="11">
        <v>20200413</v>
      </c>
      <c r="D135" s="12" t="s">
        <v>24</v>
      </c>
      <c r="E135" s="13" t="s">
        <v>234</v>
      </c>
      <c r="F135" s="14" t="s">
        <v>235</v>
      </c>
      <c r="G135" s="13">
        <v>1375671</v>
      </c>
      <c r="H135" s="15" t="s">
        <v>72</v>
      </c>
      <c r="I135" s="17" t="s">
        <v>32</v>
      </c>
      <c r="J135" s="15" t="s">
        <v>72</v>
      </c>
      <c r="K135" s="3" t="s">
        <v>73</v>
      </c>
      <c r="L135" s="36">
        <v>81728</v>
      </c>
      <c r="M135" s="15" t="s">
        <v>72</v>
      </c>
      <c r="N135" s="3" t="s">
        <v>237</v>
      </c>
      <c r="O135" s="5" t="s">
        <v>72</v>
      </c>
      <c r="P135" s="5" t="s">
        <v>587</v>
      </c>
      <c r="Q135" s="11" t="s">
        <v>452</v>
      </c>
      <c r="R135" s="15" t="s">
        <v>72</v>
      </c>
      <c r="S135" s="3" t="s">
        <v>117</v>
      </c>
      <c r="T135" s="3"/>
      <c r="U135" s="3"/>
      <c r="V135" s="13">
        <v>259</v>
      </c>
      <c r="W135" s="3">
        <v>259</v>
      </c>
      <c r="X135" s="3">
        <v>259</v>
      </c>
      <c r="Y135" s="3">
        <v>4.5999999999999996</v>
      </c>
      <c r="Z135" s="3">
        <v>2</v>
      </c>
      <c r="AA135" s="3" t="s">
        <v>110</v>
      </c>
      <c r="AB135" s="3"/>
      <c r="AC135" s="6">
        <v>43934</v>
      </c>
      <c r="AD135" s="6">
        <v>43950</v>
      </c>
      <c r="AE135" s="6">
        <v>43943</v>
      </c>
      <c r="AF135" s="6">
        <v>43943</v>
      </c>
      <c r="AG135" s="23" t="s">
        <v>75</v>
      </c>
      <c r="AH135" s="19">
        <v>100</v>
      </c>
      <c r="AI135" s="19">
        <v>100</v>
      </c>
      <c r="AJ135" s="19">
        <v>100</v>
      </c>
      <c r="AK135" s="19" t="s">
        <v>111</v>
      </c>
      <c r="AL135" s="5" t="s">
        <v>72</v>
      </c>
      <c r="AM135" s="5"/>
      <c r="AN135" s="5" t="s">
        <v>72</v>
      </c>
      <c r="AW135" s="143"/>
    </row>
    <row r="136" spans="2:49" ht="15">
      <c r="B136" s="34">
        <v>190</v>
      </c>
      <c r="C136" s="11">
        <v>20200413</v>
      </c>
      <c r="D136" s="12" t="s">
        <v>24</v>
      </c>
      <c r="E136" s="13" t="s">
        <v>234</v>
      </c>
      <c r="F136" s="14" t="s">
        <v>235</v>
      </c>
      <c r="G136" s="13">
        <v>1375671</v>
      </c>
      <c r="H136" s="15" t="s">
        <v>72</v>
      </c>
      <c r="I136" s="37" t="s">
        <v>195</v>
      </c>
      <c r="J136" s="15" t="s">
        <v>72</v>
      </c>
      <c r="K136" s="3" t="s">
        <v>73</v>
      </c>
      <c r="L136" s="36">
        <v>81728</v>
      </c>
      <c r="M136" s="15" t="s">
        <v>72</v>
      </c>
      <c r="N136" s="3" t="s">
        <v>237</v>
      </c>
      <c r="O136" s="5" t="s">
        <v>72</v>
      </c>
      <c r="P136" s="5" t="s">
        <v>587</v>
      </c>
      <c r="Q136" s="11" t="s">
        <v>453</v>
      </c>
      <c r="R136" s="15" t="s">
        <v>72</v>
      </c>
      <c r="S136" s="3" t="s">
        <v>117</v>
      </c>
      <c r="T136" s="3"/>
      <c r="U136" s="3"/>
      <c r="V136" s="13">
        <v>67</v>
      </c>
      <c r="W136" s="3">
        <v>67</v>
      </c>
      <c r="X136" s="3">
        <v>67</v>
      </c>
      <c r="Y136" s="3">
        <v>1.19</v>
      </c>
      <c r="Z136" s="3">
        <v>1</v>
      </c>
      <c r="AA136" s="3" t="s">
        <v>110</v>
      </c>
      <c r="AB136" s="3"/>
      <c r="AC136" s="6">
        <v>43934</v>
      </c>
      <c r="AD136" s="6">
        <v>43950</v>
      </c>
      <c r="AE136" s="6">
        <v>43945</v>
      </c>
      <c r="AF136" s="6">
        <v>43945</v>
      </c>
      <c r="AG136" s="23" t="s">
        <v>75</v>
      </c>
      <c r="AH136" s="19">
        <v>100</v>
      </c>
      <c r="AI136" s="19">
        <v>100</v>
      </c>
      <c r="AJ136" s="19">
        <v>100</v>
      </c>
      <c r="AK136" s="19" t="s">
        <v>111</v>
      </c>
      <c r="AL136" s="5" t="s">
        <v>72</v>
      </c>
      <c r="AM136" s="5"/>
      <c r="AN136" s="5" t="s">
        <v>72</v>
      </c>
      <c r="AW136" s="143"/>
    </row>
    <row r="137" spans="2:49" ht="15">
      <c r="B137" s="34">
        <v>191</v>
      </c>
      <c r="C137" s="11">
        <v>20200413</v>
      </c>
      <c r="D137" s="12" t="s">
        <v>24</v>
      </c>
      <c r="E137" s="13" t="s">
        <v>234</v>
      </c>
      <c r="F137" s="14" t="s">
        <v>235</v>
      </c>
      <c r="G137" s="13">
        <v>1375671</v>
      </c>
      <c r="H137" s="15" t="s">
        <v>72</v>
      </c>
      <c r="I137" s="17" t="s">
        <v>35</v>
      </c>
      <c r="J137" s="15" t="s">
        <v>72</v>
      </c>
      <c r="K137" s="3" t="s">
        <v>73</v>
      </c>
      <c r="L137" s="36">
        <v>81728</v>
      </c>
      <c r="M137" s="15" t="s">
        <v>72</v>
      </c>
      <c r="N137" s="3" t="s">
        <v>237</v>
      </c>
      <c r="O137" s="5" t="s">
        <v>72</v>
      </c>
      <c r="P137" s="5" t="s">
        <v>587</v>
      </c>
      <c r="Q137" s="11" t="s">
        <v>454</v>
      </c>
      <c r="R137" s="15" t="s">
        <v>72</v>
      </c>
      <c r="S137" s="3" t="s">
        <v>109</v>
      </c>
      <c r="T137" s="3"/>
      <c r="U137" s="3"/>
      <c r="V137" s="13">
        <v>11</v>
      </c>
      <c r="W137" s="3">
        <v>11</v>
      </c>
      <c r="X137" s="3">
        <v>11</v>
      </c>
      <c r="Y137" s="3">
        <v>0.19</v>
      </c>
      <c r="Z137" s="3">
        <v>0.2</v>
      </c>
      <c r="AA137" s="3" t="s">
        <v>110</v>
      </c>
      <c r="AB137" s="3"/>
      <c r="AC137" s="6">
        <v>43934</v>
      </c>
      <c r="AD137" s="6">
        <v>43950</v>
      </c>
      <c r="AE137" s="6">
        <v>43938</v>
      </c>
      <c r="AF137" s="6">
        <v>43938</v>
      </c>
      <c r="AG137" s="18" t="s">
        <v>75</v>
      </c>
      <c r="AH137" s="3" t="s">
        <v>72</v>
      </c>
      <c r="AI137" s="3" t="s">
        <v>72</v>
      </c>
      <c r="AJ137" s="3" t="s">
        <v>72</v>
      </c>
      <c r="AK137" s="3" t="s">
        <v>111</v>
      </c>
      <c r="AL137" s="5" t="s">
        <v>455</v>
      </c>
      <c r="AM137" s="5"/>
      <c r="AN137" s="5" t="s">
        <v>72</v>
      </c>
      <c r="AW137" s="143"/>
    </row>
    <row r="138" spans="2:49" ht="15">
      <c r="B138" s="34">
        <v>192</v>
      </c>
      <c r="C138" s="11">
        <v>20200413</v>
      </c>
      <c r="D138" s="12" t="s">
        <v>24</v>
      </c>
      <c r="E138" s="13" t="s">
        <v>234</v>
      </c>
      <c r="F138" s="14" t="s">
        <v>235</v>
      </c>
      <c r="G138" s="13">
        <v>1375671</v>
      </c>
      <c r="H138" s="15" t="s">
        <v>72</v>
      </c>
      <c r="I138" s="17" t="s">
        <v>36</v>
      </c>
      <c r="J138" s="15" t="s">
        <v>72</v>
      </c>
      <c r="K138" s="3" t="s">
        <v>73</v>
      </c>
      <c r="L138" s="36">
        <v>81728</v>
      </c>
      <c r="M138" s="15" t="s">
        <v>72</v>
      </c>
      <c r="N138" s="3" t="s">
        <v>237</v>
      </c>
      <c r="O138" s="5" t="s">
        <v>72</v>
      </c>
      <c r="P138" s="5" t="s">
        <v>587</v>
      </c>
      <c r="Q138" s="11" t="s">
        <v>456</v>
      </c>
      <c r="R138" s="15" t="s">
        <v>72</v>
      </c>
      <c r="S138" s="3" t="s">
        <v>109</v>
      </c>
      <c r="T138" s="3"/>
      <c r="U138" s="3"/>
      <c r="V138" s="13">
        <v>148</v>
      </c>
      <c r="W138" s="3">
        <v>148</v>
      </c>
      <c r="X138" s="3">
        <v>148</v>
      </c>
      <c r="Y138" s="3">
        <v>2.63</v>
      </c>
      <c r="Z138" s="3">
        <v>1</v>
      </c>
      <c r="AA138" s="3" t="s">
        <v>110</v>
      </c>
      <c r="AB138" s="3"/>
      <c r="AC138" s="6">
        <v>43934</v>
      </c>
      <c r="AD138" s="6">
        <v>43950</v>
      </c>
      <c r="AE138" s="6">
        <v>43938</v>
      </c>
      <c r="AF138" s="6">
        <v>43938</v>
      </c>
      <c r="AG138" s="18" t="s">
        <v>75</v>
      </c>
      <c r="AH138" s="3">
        <v>100</v>
      </c>
      <c r="AI138" s="3">
        <v>100</v>
      </c>
      <c r="AJ138" s="3">
        <v>100</v>
      </c>
      <c r="AK138" s="3" t="s">
        <v>111</v>
      </c>
      <c r="AL138" s="5" t="s">
        <v>72</v>
      </c>
      <c r="AM138" s="5"/>
      <c r="AN138" s="5" t="s">
        <v>72</v>
      </c>
      <c r="AW138" s="143"/>
    </row>
    <row r="139" spans="2:49" ht="15">
      <c r="B139" s="34">
        <v>193</v>
      </c>
      <c r="C139" s="11">
        <v>20200413</v>
      </c>
      <c r="D139" s="12" t="s">
        <v>24</v>
      </c>
      <c r="E139" s="13" t="s">
        <v>234</v>
      </c>
      <c r="F139" s="14" t="s">
        <v>235</v>
      </c>
      <c r="G139" s="13">
        <v>1375671</v>
      </c>
      <c r="H139" s="15" t="s">
        <v>72</v>
      </c>
      <c r="I139" s="17" t="s">
        <v>196</v>
      </c>
      <c r="J139" s="15" t="s">
        <v>72</v>
      </c>
      <c r="K139" s="3" t="s">
        <v>73</v>
      </c>
      <c r="L139" s="36">
        <v>81728</v>
      </c>
      <c r="M139" s="15" t="s">
        <v>72</v>
      </c>
      <c r="N139" s="3" t="s">
        <v>237</v>
      </c>
      <c r="O139" s="5" t="s">
        <v>72</v>
      </c>
      <c r="P139" s="5" t="s">
        <v>587</v>
      </c>
      <c r="Q139" s="11" t="s">
        <v>457</v>
      </c>
      <c r="R139" s="15" t="s">
        <v>72</v>
      </c>
      <c r="S139" s="3" t="s">
        <v>109</v>
      </c>
      <c r="T139" s="3"/>
      <c r="U139" s="3"/>
      <c r="V139" s="13">
        <v>33</v>
      </c>
      <c r="W139" s="3">
        <v>33</v>
      </c>
      <c r="X139" s="3">
        <v>33</v>
      </c>
      <c r="Y139" s="3">
        <v>0.57999999999999996</v>
      </c>
      <c r="Z139" s="3">
        <v>0.5</v>
      </c>
      <c r="AA139" s="3" t="s">
        <v>110</v>
      </c>
      <c r="AB139" s="3"/>
      <c r="AC139" s="6">
        <v>43934</v>
      </c>
      <c r="AD139" s="6">
        <v>43950</v>
      </c>
      <c r="AE139" s="6">
        <v>43938</v>
      </c>
      <c r="AF139" s="6">
        <v>43938</v>
      </c>
      <c r="AG139" s="18" t="s">
        <v>75</v>
      </c>
      <c r="AH139" s="3">
        <v>100</v>
      </c>
      <c r="AI139" s="3">
        <v>100</v>
      </c>
      <c r="AJ139" s="3">
        <v>100</v>
      </c>
      <c r="AK139" s="3" t="s">
        <v>111</v>
      </c>
      <c r="AL139" s="5" t="s">
        <v>72</v>
      </c>
      <c r="AM139" s="5"/>
      <c r="AN139" s="5" t="s">
        <v>72</v>
      </c>
      <c r="AW139" s="143"/>
    </row>
    <row r="140" spans="2:49" ht="15">
      <c r="B140" s="34">
        <v>194</v>
      </c>
      <c r="C140" s="11">
        <v>20200413</v>
      </c>
      <c r="D140" s="12" t="s">
        <v>24</v>
      </c>
      <c r="E140" s="13" t="s">
        <v>234</v>
      </c>
      <c r="F140" s="14" t="s">
        <v>235</v>
      </c>
      <c r="G140" s="13">
        <v>1375671</v>
      </c>
      <c r="H140" s="15" t="s">
        <v>72</v>
      </c>
      <c r="I140" s="17" t="s">
        <v>248</v>
      </c>
      <c r="J140" s="15" t="s">
        <v>72</v>
      </c>
      <c r="K140" s="3" t="s">
        <v>73</v>
      </c>
      <c r="L140" s="36">
        <v>81728</v>
      </c>
      <c r="M140" s="15" t="s">
        <v>72</v>
      </c>
      <c r="N140" s="3" t="s">
        <v>237</v>
      </c>
      <c r="O140" s="5" t="s">
        <v>72</v>
      </c>
      <c r="P140" s="5" t="s">
        <v>587</v>
      </c>
      <c r="Q140" s="11" t="s">
        <v>458</v>
      </c>
      <c r="R140" s="15" t="s">
        <v>72</v>
      </c>
      <c r="S140" s="3" t="s">
        <v>109</v>
      </c>
      <c r="T140" s="3"/>
      <c r="U140" s="3"/>
      <c r="V140" s="13">
        <v>54</v>
      </c>
      <c r="W140" s="3">
        <v>54</v>
      </c>
      <c r="X140" s="3">
        <v>54</v>
      </c>
      <c r="Y140" s="3">
        <v>0.96</v>
      </c>
      <c r="Z140" s="3">
        <v>1</v>
      </c>
      <c r="AA140" s="3" t="s">
        <v>110</v>
      </c>
      <c r="AB140" s="3"/>
      <c r="AC140" s="6">
        <v>43934</v>
      </c>
      <c r="AD140" s="6">
        <v>43950</v>
      </c>
      <c r="AE140" s="6">
        <v>43938</v>
      </c>
      <c r="AF140" s="6">
        <v>43938</v>
      </c>
      <c r="AG140" s="18" t="s">
        <v>75</v>
      </c>
      <c r="AH140" s="3">
        <v>100</v>
      </c>
      <c r="AI140" s="3">
        <v>100</v>
      </c>
      <c r="AJ140" s="3">
        <v>100</v>
      </c>
      <c r="AK140" s="3" t="s">
        <v>111</v>
      </c>
      <c r="AL140" s="5" t="s">
        <v>72</v>
      </c>
      <c r="AM140" s="5"/>
      <c r="AN140" s="5" t="s">
        <v>72</v>
      </c>
      <c r="AW140" s="143"/>
    </row>
    <row r="141" spans="2:49" ht="15">
      <c r="B141" s="34">
        <v>195</v>
      </c>
      <c r="C141" s="11">
        <v>20200413</v>
      </c>
      <c r="D141" s="12" t="s">
        <v>24</v>
      </c>
      <c r="E141" s="13" t="s">
        <v>234</v>
      </c>
      <c r="F141" s="29" t="s">
        <v>235</v>
      </c>
      <c r="G141" s="17">
        <v>1375671</v>
      </c>
      <c r="H141" s="15" t="s">
        <v>72</v>
      </c>
      <c r="I141" s="17" t="s">
        <v>249</v>
      </c>
      <c r="J141" s="15" t="s">
        <v>72</v>
      </c>
      <c r="K141" s="17" t="s">
        <v>73</v>
      </c>
      <c r="L141" s="35">
        <v>81728</v>
      </c>
      <c r="M141" s="15" t="s">
        <v>72</v>
      </c>
      <c r="N141" s="28" t="s">
        <v>237</v>
      </c>
      <c r="O141" s="5" t="s">
        <v>72</v>
      </c>
      <c r="P141" s="5" t="s">
        <v>587</v>
      </c>
      <c r="Q141" s="11" t="s">
        <v>459</v>
      </c>
      <c r="R141" s="15" t="s">
        <v>72</v>
      </c>
      <c r="S141" s="3" t="s">
        <v>113</v>
      </c>
      <c r="T141" s="3"/>
      <c r="U141" s="3"/>
      <c r="V141" s="13">
        <v>132</v>
      </c>
      <c r="W141" s="31">
        <v>132</v>
      </c>
      <c r="X141" s="3">
        <v>132</v>
      </c>
      <c r="Y141" s="3">
        <v>2.34</v>
      </c>
      <c r="Z141" s="3">
        <v>1</v>
      </c>
      <c r="AA141" s="3" t="s">
        <v>110</v>
      </c>
      <c r="AB141" s="3"/>
      <c r="AC141" s="6">
        <v>43934</v>
      </c>
      <c r="AD141" s="6">
        <v>43950</v>
      </c>
      <c r="AE141" s="6">
        <v>43937</v>
      </c>
      <c r="AF141" s="6">
        <v>43937</v>
      </c>
      <c r="AG141" s="18" t="s">
        <v>75</v>
      </c>
      <c r="AH141" s="19">
        <v>100</v>
      </c>
      <c r="AI141" s="19">
        <v>100</v>
      </c>
      <c r="AJ141" s="19">
        <v>100</v>
      </c>
      <c r="AK141" s="19" t="s">
        <v>111</v>
      </c>
      <c r="AL141" s="5" t="s">
        <v>72</v>
      </c>
      <c r="AM141" s="5"/>
      <c r="AN141" s="5" t="s">
        <v>72</v>
      </c>
      <c r="AW141" s="143"/>
    </row>
    <row r="142" spans="2:49" ht="15">
      <c r="B142" s="34">
        <v>196</v>
      </c>
      <c r="C142" s="11">
        <v>20200413</v>
      </c>
      <c r="D142" s="12" t="s">
        <v>24</v>
      </c>
      <c r="E142" s="13" t="s">
        <v>234</v>
      </c>
      <c r="F142" s="29" t="s">
        <v>235</v>
      </c>
      <c r="G142" s="17">
        <v>1375671</v>
      </c>
      <c r="H142" s="15" t="s">
        <v>72</v>
      </c>
      <c r="I142" s="17" t="s">
        <v>250</v>
      </c>
      <c r="J142" s="15" t="s">
        <v>72</v>
      </c>
      <c r="K142" s="17" t="s">
        <v>73</v>
      </c>
      <c r="L142" s="35">
        <v>81728</v>
      </c>
      <c r="M142" s="15" t="s">
        <v>72</v>
      </c>
      <c r="N142" s="28" t="s">
        <v>237</v>
      </c>
      <c r="O142" s="5" t="s">
        <v>72</v>
      </c>
      <c r="P142" s="5" t="s">
        <v>587</v>
      </c>
      <c r="Q142" s="11" t="s">
        <v>460</v>
      </c>
      <c r="R142" s="15" t="s">
        <v>72</v>
      </c>
      <c r="S142" s="3" t="s">
        <v>113</v>
      </c>
      <c r="T142" s="3"/>
      <c r="U142" s="3"/>
      <c r="V142" s="13">
        <v>116</v>
      </c>
      <c r="W142" s="31">
        <v>116</v>
      </c>
      <c r="X142" s="3">
        <v>116</v>
      </c>
      <c r="Y142" s="3">
        <v>2.06</v>
      </c>
      <c r="Z142" s="3">
        <v>1</v>
      </c>
      <c r="AA142" s="3" t="s">
        <v>110</v>
      </c>
      <c r="AB142" s="3"/>
      <c r="AC142" s="6">
        <v>43934</v>
      </c>
      <c r="AD142" s="6">
        <v>43950</v>
      </c>
      <c r="AE142" s="6">
        <v>43937</v>
      </c>
      <c r="AF142" s="6">
        <v>43937</v>
      </c>
      <c r="AG142" s="18" t="s">
        <v>75</v>
      </c>
      <c r="AH142" s="19">
        <v>100</v>
      </c>
      <c r="AI142" s="19">
        <v>100</v>
      </c>
      <c r="AJ142" s="19">
        <v>100</v>
      </c>
      <c r="AK142" s="19" t="s">
        <v>111</v>
      </c>
      <c r="AL142" s="5" t="s">
        <v>72</v>
      </c>
      <c r="AM142" s="5"/>
      <c r="AN142" s="5" t="s">
        <v>72</v>
      </c>
      <c r="AW142" s="143"/>
    </row>
    <row r="143" spans="2:49" ht="15">
      <c r="B143" s="34">
        <v>197</v>
      </c>
      <c r="C143" s="11">
        <v>20200413</v>
      </c>
      <c r="D143" s="12" t="s">
        <v>24</v>
      </c>
      <c r="E143" s="13" t="s">
        <v>234</v>
      </c>
      <c r="F143" s="29" t="s">
        <v>235</v>
      </c>
      <c r="G143" s="17">
        <v>1375671</v>
      </c>
      <c r="H143" s="15" t="s">
        <v>72</v>
      </c>
      <c r="I143" s="17" t="s">
        <v>251</v>
      </c>
      <c r="J143" s="15" t="s">
        <v>72</v>
      </c>
      <c r="K143" s="17" t="s">
        <v>73</v>
      </c>
      <c r="L143" s="35">
        <v>81728</v>
      </c>
      <c r="M143" s="15" t="s">
        <v>72</v>
      </c>
      <c r="N143" s="28" t="s">
        <v>237</v>
      </c>
      <c r="O143" s="5" t="s">
        <v>72</v>
      </c>
      <c r="P143" s="5" t="s">
        <v>587</v>
      </c>
      <c r="Q143" s="11" t="s">
        <v>461</v>
      </c>
      <c r="R143" s="15" t="s">
        <v>72</v>
      </c>
      <c r="S143" s="3" t="s">
        <v>113</v>
      </c>
      <c r="T143" s="3"/>
      <c r="U143" s="3"/>
      <c r="V143" s="13">
        <v>134</v>
      </c>
      <c r="W143" s="31">
        <v>134</v>
      </c>
      <c r="X143" s="3">
        <v>134</v>
      </c>
      <c r="Y143" s="3">
        <v>2.38</v>
      </c>
      <c r="Z143" s="3">
        <v>1</v>
      </c>
      <c r="AA143" s="3" t="s">
        <v>110</v>
      </c>
      <c r="AB143" s="3"/>
      <c r="AC143" s="6">
        <v>43934</v>
      </c>
      <c r="AD143" s="6">
        <v>43950</v>
      </c>
      <c r="AE143" s="6">
        <v>43937</v>
      </c>
      <c r="AF143" s="6">
        <v>43937</v>
      </c>
      <c r="AG143" s="18" t="s">
        <v>75</v>
      </c>
      <c r="AH143" s="19">
        <v>100</v>
      </c>
      <c r="AI143" s="19">
        <v>100</v>
      </c>
      <c r="AJ143" s="19">
        <v>100</v>
      </c>
      <c r="AK143" s="19" t="s">
        <v>111</v>
      </c>
      <c r="AL143" s="5" t="s">
        <v>72</v>
      </c>
      <c r="AM143" s="5"/>
      <c r="AN143" s="5" t="s">
        <v>72</v>
      </c>
      <c r="AW143" s="143"/>
    </row>
    <row r="144" spans="2:49" ht="15">
      <c r="B144" s="34">
        <v>198</v>
      </c>
      <c r="C144" s="11">
        <v>20200413</v>
      </c>
      <c r="D144" s="12" t="s">
        <v>24</v>
      </c>
      <c r="E144" s="13" t="s">
        <v>234</v>
      </c>
      <c r="F144" s="29" t="s">
        <v>235</v>
      </c>
      <c r="G144" s="17">
        <v>1375671</v>
      </c>
      <c r="H144" s="15" t="s">
        <v>72</v>
      </c>
      <c r="I144" s="17" t="s">
        <v>37</v>
      </c>
      <c r="J144" s="15" t="s">
        <v>72</v>
      </c>
      <c r="K144" s="17" t="s">
        <v>73</v>
      </c>
      <c r="L144" s="35">
        <v>81728</v>
      </c>
      <c r="M144" s="15" t="s">
        <v>72</v>
      </c>
      <c r="N144" s="28" t="s">
        <v>237</v>
      </c>
      <c r="O144" s="5" t="s">
        <v>72</v>
      </c>
      <c r="P144" s="5" t="s">
        <v>587</v>
      </c>
      <c r="Q144" s="11" t="s">
        <v>462</v>
      </c>
      <c r="R144" s="15" t="s">
        <v>72</v>
      </c>
      <c r="S144" s="3" t="s">
        <v>113</v>
      </c>
      <c r="T144" s="3"/>
      <c r="U144" s="3"/>
      <c r="V144" s="13">
        <v>257</v>
      </c>
      <c r="W144" s="31">
        <v>257</v>
      </c>
      <c r="X144" s="3">
        <v>257</v>
      </c>
      <c r="Y144" s="3">
        <v>4.5599999999999996</v>
      </c>
      <c r="Z144" s="3">
        <v>1</v>
      </c>
      <c r="AA144" s="3" t="s">
        <v>110</v>
      </c>
      <c r="AB144" s="3"/>
      <c r="AC144" s="6">
        <v>43934</v>
      </c>
      <c r="AD144" s="6">
        <v>43950</v>
      </c>
      <c r="AE144" s="6">
        <v>43937</v>
      </c>
      <c r="AF144" s="6">
        <v>43937</v>
      </c>
      <c r="AG144" s="18" t="s">
        <v>75</v>
      </c>
      <c r="AH144" s="19">
        <v>100</v>
      </c>
      <c r="AI144" s="19">
        <v>100</v>
      </c>
      <c r="AJ144" s="19">
        <v>100</v>
      </c>
      <c r="AK144" s="19" t="s">
        <v>76</v>
      </c>
      <c r="AL144" s="5" t="s">
        <v>463</v>
      </c>
      <c r="AM144" s="5"/>
      <c r="AN144" s="5" t="s">
        <v>72</v>
      </c>
      <c r="AW144" s="143"/>
    </row>
    <row r="145" spans="2:49" ht="15">
      <c r="B145" s="34">
        <v>199</v>
      </c>
      <c r="C145" s="11">
        <v>20200413</v>
      </c>
      <c r="D145" s="12" t="s">
        <v>24</v>
      </c>
      <c r="E145" s="13" t="s">
        <v>234</v>
      </c>
      <c r="F145" s="29" t="s">
        <v>235</v>
      </c>
      <c r="G145" s="17">
        <v>1375671</v>
      </c>
      <c r="H145" s="15" t="s">
        <v>72</v>
      </c>
      <c r="I145" s="17" t="s">
        <v>252</v>
      </c>
      <c r="J145" s="15" t="s">
        <v>72</v>
      </c>
      <c r="K145" s="17" t="s">
        <v>73</v>
      </c>
      <c r="L145" s="35">
        <v>81728</v>
      </c>
      <c r="M145" s="15" t="s">
        <v>72</v>
      </c>
      <c r="N145" s="28" t="s">
        <v>237</v>
      </c>
      <c r="O145" s="5" t="s">
        <v>72</v>
      </c>
      <c r="P145" s="5" t="s">
        <v>587</v>
      </c>
      <c r="Q145" s="11" t="s">
        <v>464</v>
      </c>
      <c r="R145" s="15" t="s">
        <v>72</v>
      </c>
      <c r="S145" s="3" t="s">
        <v>113</v>
      </c>
      <c r="T145" s="3"/>
      <c r="U145" s="3"/>
      <c r="V145" s="13">
        <v>132</v>
      </c>
      <c r="W145" s="31">
        <v>132</v>
      </c>
      <c r="X145" s="3">
        <v>132</v>
      </c>
      <c r="Y145" s="3">
        <v>2.34</v>
      </c>
      <c r="Z145" s="3">
        <v>1</v>
      </c>
      <c r="AA145" s="3" t="s">
        <v>110</v>
      </c>
      <c r="AB145" s="3"/>
      <c r="AC145" s="6">
        <v>43934</v>
      </c>
      <c r="AD145" s="6">
        <v>43950</v>
      </c>
      <c r="AE145" s="6">
        <v>43937</v>
      </c>
      <c r="AF145" s="6">
        <v>43937</v>
      </c>
      <c r="AG145" s="18" t="s">
        <v>75</v>
      </c>
      <c r="AH145" s="19">
        <v>100</v>
      </c>
      <c r="AI145" s="19">
        <v>100</v>
      </c>
      <c r="AJ145" s="19">
        <v>100</v>
      </c>
      <c r="AK145" s="19" t="s">
        <v>111</v>
      </c>
      <c r="AL145" s="5" t="s">
        <v>72</v>
      </c>
      <c r="AM145" s="5"/>
      <c r="AN145" s="5" t="s">
        <v>72</v>
      </c>
      <c r="AW145" s="143"/>
    </row>
    <row r="146" spans="2:49" ht="15">
      <c r="B146" s="34">
        <v>200</v>
      </c>
      <c r="C146" s="11">
        <v>20200413</v>
      </c>
      <c r="D146" s="12" t="s">
        <v>24</v>
      </c>
      <c r="E146" s="13" t="s">
        <v>234</v>
      </c>
      <c r="F146" s="14" t="s">
        <v>253</v>
      </c>
      <c r="G146" s="13">
        <v>1375671</v>
      </c>
      <c r="H146" s="15" t="s">
        <v>72</v>
      </c>
      <c r="I146" s="17" t="s">
        <v>254</v>
      </c>
      <c r="J146" s="15" t="s">
        <v>72</v>
      </c>
      <c r="K146" s="3" t="s">
        <v>73</v>
      </c>
      <c r="L146" s="36">
        <v>81728</v>
      </c>
      <c r="M146" s="15" t="s">
        <v>72</v>
      </c>
      <c r="N146" s="3" t="s">
        <v>237</v>
      </c>
      <c r="O146" s="5" t="s">
        <v>72</v>
      </c>
      <c r="P146" s="5" t="s">
        <v>587</v>
      </c>
      <c r="Q146" s="11" t="s">
        <v>465</v>
      </c>
      <c r="R146" s="15" t="s">
        <v>72</v>
      </c>
      <c r="S146" s="3" t="s">
        <v>161</v>
      </c>
      <c r="T146" s="3"/>
      <c r="U146" s="3"/>
      <c r="V146" s="13">
        <v>630</v>
      </c>
      <c r="W146" s="3">
        <v>630</v>
      </c>
      <c r="X146" s="3">
        <v>630</v>
      </c>
      <c r="Y146" s="3">
        <v>11.2</v>
      </c>
      <c r="Z146" s="3">
        <v>5</v>
      </c>
      <c r="AA146" s="3" t="s">
        <v>110</v>
      </c>
      <c r="AB146" s="3"/>
      <c r="AC146" s="6">
        <v>43934</v>
      </c>
      <c r="AD146" s="6">
        <v>43950</v>
      </c>
      <c r="AE146" s="6">
        <v>43937</v>
      </c>
      <c r="AF146" s="6">
        <v>43937</v>
      </c>
      <c r="AG146" s="18" t="s">
        <v>75</v>
      </c>
      <c r="AH146" s="19">
        <v>100</v>
      </c>
      <c r="AI146" s="19">
        <v>100</v>
      </c>
      <c r="AJ146" s="19">
        <v>100</v>
      </c>
      <c r="AK146" s="19" t="s">
        <v>111</v>
      </c>
      <c r="AL146" s="5" t="s">
        <v>72</v>
      </c>
      <c r="AM146" s="5"/>
      <c r="AN146" s="5" t="s">
        <v>72</v>
      </c>
      <c r="AW146" s="143"/>
    </row>
    <row r="147" spans="2:49" ht="15">
      <c r="B147" s="34">
        <v>201</v>
      </c>
      <c r="C147" s="11">
        <v>20200413</v>
      </c>
      <c r="D147" s="12" t="s">
        <v>24</v>
      </c>
      <c r="E147" s="13" t="s">
        <v>234</v>
      </c>
      <c r="F147" s="14" t="s">
        <v>253</v>
      </c>
      <c r="G147" s="13">
        <v>1375671</v>
      </c>
      <c r="H147" s="15" t="s">
        <v>72</v>
      </c>
      <c r="I147" s="17" t="s">
        <v>187</v>
      </c>
      <c r="J147" s="15" t="s">
        <v>72</v>
      </c>
      <c r="K147" s="3" t="s">
        <v>73</v>
      </c>
      <c r="L147" s="36">
        <v>81728</v>
      </c>
      <c r="M147" s="15" t="s">
        <v>72</v>
      </c>
      <c r="N147" s="3" t="s">
        <v>237</v>
      </c>
      <c r="O147" s="5" t="s">
        <v>72</v>
      </c>
      <c r="P147" s="5" t="s">
        <v>587</v>
      </c>
      <c r="Q147" s="11" t="s">
        <v>466</v>
      </c>
      <c r="R147" s="15" t="s">
        <v>72</v>
      </c>
      <c r="S147" s="3" t="s">
        <v>161</v>
      </c>
      <c r="T147" s="3"/>
      <c r="U147" s="3"/>
      <c r="V147" s="13">
        <v>109</v>
      </c>
      <c r="W147" s="3">
        <v>109</v>
      </c>
      <c r="X147" s="3">
        <v>109</v>
      </c>
      <c r="Y147" s="3">
        <v>1.93</v>
      </c>
      <c r="Z147" s="3">
        <v>1</v>
      </c>
      <c r="AA147" s="3" t="s">
        <v>110</v>
      </c>
      <c r="AB147" s="3"/>
      <c r="AC147" s="6">
        <v>43934</v>
      </c>
      <c r="AD147" s="6">
        <v>43950</v>
      </c>
      <c r="AE147" s="6">
        <v>43937</v>
      </c>
      <c r="AF147" s="6">
        <v>43937</v>
      </c>
      <c r="AG147" s="18" t="s">
        <v>75</v>
      </c>
      <c r="AH147" s="19">
        <v>100</v>
      </c>
      <c r="AI147" s="19">
        <v>100</v>
      </c>
      <c r="AJ147" s="19">
        <v>100</v>
      </c>
      <c r="AK147" s="19" t="s">
        <v>111</v>
      </c>
      <c r="AL147" s="5" t="s">
        <v>72</v>
      </c>
      <c r="AM147" s="5"/>
      <c r="AN147" s="5" t="s">
        <v>72</v>
      </c>
      <c r="AW147" s="143"/>
    </row>
    <row r="148" spans="2:49" ht="15">
      <c r="B148" s="34">
        <v>202</v>
      </c>
      <c r="C148" s="11">
        <v>20200413</v>
      </c>
      <c r="D148" s="12" t="s">
        <v>24</v>
      </c>
      <c r="E148" s="13" t="s">
        <v>234</v>
      </c>
      <c r="F148" s="14" t="s">
        <v>253</v>
      </c>
      <c r="G148" s="13">
        <v>1375671</v>
      </c>
      <c r="H148" s="15" t="s">
        <v>72</v>
      </c>
      <c r="I148" s="17" t="s">
        <v>255</v>
      </c>
      <c r="J148" s="15" t="s">
        <v>72</v>
      </c>
      <c r="K148" s="3" t="s">
        <v>73</v>
      </c>
      <c r="L148" s="36">
        <v>81728</v>
      </c>
      <c r="M148" s="15" t="s">
        <v>72</v>
      </c>
      <c r="N148" s="3" t="s">
        <v>237</v>
      </c>
      <c r="O148" s="5" t="s">
        <v>72</v>
      </c>
      <c r="P148" s="5" t="s">
        <v>587</v>
      </c>
      <c r="Q148" s="11" t="s">
        <v>467</v>
      </c>
      <c r="R148" s="15" t="s">
        <v>72</v>
      </c>
      <c r="S148" s="3" t="s">
        <v>161</v>
      </c>
      <c r="T148" s="3"/>
      <c r="U148" s="3"/>
      <c r="V148" s="13">
        <v>100</v>
      </c>
      <c r="W148" s="3">
        <v>100</v>
      </c>
      <c r="X148" s="3">
        <v>100</v>
      </c>
      <c r="Y148" s="3">
        <v>1.77</v>
      </c>
      <c r="Z148" s="3">
        <v>1</v>
      </c>
      <c r="AA148" s="3" t="s">
        <v>110</v>
      </c>
      <c r="AB148" s="3"/>
      <c r="AC148" s="6">
        <v>43934</v>
      </c>
      <c r="AD148" s="6">
        <v>43950</v>
      </c>
      <c r="AE148" s="6">
        <v>43937</v>
      </c>
      <c r="AF148" s="6">
        <v>43937</v>
      </c>
      <c r="AG148" s="18" t="s">
        <v>75</v>
      </c>
      <c r="AH148" s="19">
        <v>100</v>
      </c>
      <c r="AI148" s="19">
        <v>100</v>
      </c>
      <c r="AJ148" s="19">
        <v>100</v>
      </c>
      <c r="AK148" s="19" t="s">
        <v>111</v>
      </c>
      <c r="AL148" s="5" t="s">
        <v>72</v>
      </c>
      <c r="AM148" s="5"/>
      <c r="AN148" s="5" t="s">
        <v>72</v>
      </c>
      <c r="AW148" s="143"/>
    </row>
    <row r="149" spans="2:49" ht="15">
      <c r="B149" s="34">
        <v>203</v>
      </c>
      <c r="C149" s="11">
        <v>20200413</v>
      </c>
      <c r="D149" s="12" t="s">
        <v>24</v>
      </c>
      <c r="E149" s="13" t="s">
        <v>234</v>
      </c>
      <c r="F149" s="14" t="s">
        <v>253</v>
      </c>
      <c r="G149" s="13">
        <v>1375671</v>
      </c>
      <c r="H149" s="15" t="s">
        <v>72</v>
      </c>
      <c r="I149" s="17" t="s">
        <v>256</v>
      </c>
      <c r="J149" s="15" t="s">
        <v>72</v>
      </c>
      <c r="K149" s="3" t="s">
        <v>73</v>
      </c>
      <c r="L149" s="36">
        <v>81728</v>
      </c>
      <c r="M149" s="15" t="s">
        <v>72</v>
      </c>
      <c r="N149" s="3" t="s">
        <v>237</v>
      </c>
      <c r="O149" s="5" t="s">
        <v>72</v>
      </c>
      <c r="P149" s="5" t="s">
        <v>587</v>
      </c>
      <c r="Q149" s="11" t="s">
        <v>468</v>
      </c>
      <c r="R149" s="15" t="s">
        <v>72</v>
      </c>
      <c r="S149" s="3" t="s">
        <v>161</v>
      </c>
      <c r="T149" s="3"/>
      <c r="U149" s="3"/>
      <c r="V149" s="13">
        <v>160</v>
      </c>
      <c r="W149" s="3">
        <v>160</v>
      </c>
      <c r="X149" s="3">
        <v>160</v>
      </c>
      <c r="Y149" s="3">
        <v>2.84</v>
      </c>
      <c r="Z149" s="3">
        <v>2</v>
      </c>
      <c r="AA149" s="3" t="s">
        <v>110</v>
      </c>
      <c r="AB149" s="3"/>
      <c r="AC149" s="6">
        <v>43934</v>
      </c>
      <c r="AD149" s="6">
        <v>43950</v>
      </c>
      <c r="AE149" s="6">
        <v>43937</v>
      </c>
      <c r="AF149" s="6">
        <v>43937</v>
      </c>
      <c r="AG149" s="18" t="s">
        <v>75</v>
      </c>
      <c r="AH149" s="19">
        <v>100</v>
      </c>
      <c r="AI149" s="19">
        <v>100</v>
      </c>
      <c r="AJ149" s="19">
        <v>100</v>
      </c>
      <c r="AK149" s="19" t="s">
        <v>111</v>
      </c>
      <c r="AL149" s="5" t="s">
        <v>72</v>
      </c>
      <c r="AM149" s="5"/>
      <c r="AN149" s="5" t="s">
        <v>72</v>
      </c>
      <c r="AW149" s="143"/>
    </row>
    <row r="150" spans="2:49" ht="15">
      <c r="B150" s="34">
        <v>204</v>
      </c>
      <c r="C150" s="11">
        <v>20200413</v>
      </c>
      <c r="D150" s="12" t="s">
        <v>24</v>
      </c>
      <c r="E150" s="13" t="s">
        <v>234</v>
      </c>
      <c r="F150" s="14" t="s">
        <v>253</v>
      </c>
      <c r="G150" s="13">
        <v>1375671</v>
      </c>
      <c r="H150" s="15" t="s">
        <v>72</v>
      </c>
      <c r="I150" s="37" t="s">
        <v>257</v>
      </c>
      <c r="J150" s="15" t="s">
        <v>72</v>
      </c>
      <c r="K150" s="3" t="s">
        <v>73</v>
      </c>
      <c r="L150" s="36">
        <v>81728</v>
      </c>
      <c r="M150" s="15" t="s">
        <v>72</v>
      </c>
      <c r="N150" s="3" t="s">
        <v>237</v>
      </c>
      <c r="O150" s="5" t="s">
        <v>72</v>
      </c>
      <c r="P150" s="5" t="s">
        <v>587</v>
      </c>
      <c r="Q150" s="11" t="s">
        <v>469</v>
      </c>
      <c r="R150" s="15" t="s">
        <v>72</v>
      </c>
      <c r="S150" s="3" t="s">
        <v>117</v>
      </c>
      <c r="T150" s="3"/>
      <c r="U150" s="3"/>
      <c r="V150" s="13">
        <v>23</v>
      </c>
      <c r="W150" s="3">
        <v>23</v>
      </c>
      <c r="X150" s="3">
        <v>23</v>
      </c>
      <c r="Y150" s="3">
        <v>0.4</v>
      </c>
      <c r="Z150" s="3">
        <v>0.2</v>
      </c>
      <c r="AA150" s="3" t="s">
        <v>110</v>
      </c>
      <c r="AB150" s="3"/>
      <c r="AC150" s="6">
        <v>43934</v>
      </c>
      <c r="AD150" s="6">
        <v>43950</v>
      </c>
      <c r="AE150" s="6">
        <v>43945</v>
      </c>
      <c r="AF150" s="6">
        <v>43945</v>
      </c>
      <c r="AG150" s="23" t="s">
        <v>75</v>
      </c>
      <c r="AH150" s="19">
        <v>100</v>
      </c>
      <c r="AI150" s="19">
        <v>100</v>
      </c>
      <c r="AJ150" s="19">
        <v>100</v>
      </c>
      <c r="AK150" s="19" t="s">
        <v>111</v>
      </c>
      <c r="AL150" s="5" t="s">
        <v>72</v>
      </c>
      <c r="AM150" s="5"/>
      <c r="AN150" s="5" t="s">
        <v>72</v>
      </c>
      <c r="AW150" s="143"/>
    </row>
    <row r="151" spans="2:49" ht="15">
      <c r="B151" s="34">
        <v>205</v>
      </c>
      <c r="C151" s="11">
        <v>20200413</v>
      </c>
      <c r="D151" s="12" t="s">
        <v>24</v>
      </c>
      <c r="E151" s="13" t="s">
        <v>234</v>
      </c>
      <c r="F151" s="29" t="s">
        <v>253</v>
      </c>
      <c r="G151" s="17">
        <v>1375671</v>
      </c>
      <c r="H151" s="15" t="s">
        <v>72</v>
      </c>
      <c r="I151" s="17" t="s">
        <v>258</v>
      </c>
      <c r="J151" s="15" t="s">
        <v>72</v>
      </c>
      <c r="K151" s="17" t="s">
        <v>73</v>
      </c>
      <c r="L151" s="35">
        <v>81728</v>
      </c>
      <c r="M151" s="15" t="s">
        <v>72</v>
      </c>
      <c r="N151" s="28" t="s">
        <v>237</v>
      </c>
      <c r="O151" s="5" t="s">
        <v>72</v>
      </c>
      <c r="P151" s="5" t="s">
        <v>587</v>
      </c>
      <c r="Q151" s="11" t="s">
        <v>470</v>
      </c>
      <c r="R151" s="15" t="s">
        <v>72</v>
      </c>
      <c r="S151" s="3" t="s">
        <v>113</v>
      </c>
      <c r="T151" s="3"/>
      <c r="U151" s="3"/>
      <c r="V151" s="13">
        <v>169</v>
      </c>
      <c r="W151" s="11">
        <v>169</v>
      </c>
      <c r="X151" s="3">
        <v>169</v>
      </c>
      <c r="Y151" s="3">
        <v>3</v>
      </c>
      <c r="Z151" s="3">
        <v>1</v>
      </c>
      <c r="AA151" s="3" t="s">
        <v>110</v>
      </c>
      <c r="AB151" s="3"/>
      <c r="AC151" s="6">
        <v>43934</v>
      </c>
      <c r="AD151" s="6">
        <v>43950</v>
      </c>
      <c r="AE151" s="6">
        <v>43937</v>
      </c>
      <c r="AF151" s="6">
        <v>43937</v>
      </c>
      <c r="AG151" s="18" t="s">
        <v>79</v>
      </c>
      <c r="AH151" s="19">
        <v>100</v>
      </c>
      <c r="AI151" s="19">
        <v>100</v>
      </c>
      <c r="AJ151" s="19">
        <v>100</v>
      </c>
      <c r="AK151" s="19" t="s">
        <v>76</v>
      </c>
      <c r="AL151" s="5" t="s">
        <v>463</v>
      </c>
      <c r="AM151" s="5"/>
      <c r="AN151" s="5"/>
      <c r="AW151" s="143"/>
    </row>
    <row r="152" spans="2:49" ht="15">
      <c r="B152" s="34">
        <v>206</v>
      </c>
      <c r="C152" s="11">
        <v>20200413</v>
      </c>
      <c r="D152" s="12" t="s">
        <v>24</v>
      </c>
      <c r="E152" s="13" t="s">
        <v>234</v>
      </c>
      <c r="F152" s="14" t="s">
        <v>253</v>
      </c>
      <c r="G152" s="13">
        <v>1375671</v>
      </c>
      <c r="H152" s="15" t="s">
        <v>72</v>
      </c>
      <c r="I152" s="37" t="s">
        <v>259</v>
      </c>
      <c r="J152" s="15" t="s">
        <v>72</v>
      </c>
      <c r="K152" s="3" t="s">
        <v>73</v>
      </c>
      <c r="L152" s="36">
        <v>81728</v>
      </c>
      <c r="M152" s="15" t="s">
        <v>72</v>
      </c>
      <c r="N152" s="3" t="s">
        <v>237</v>
      </c>
      <c r="O152" s="5" t="s">
        <v>72</v>
      </c>
      <c r="P152" s="5" t="s">
        <v>587</v>
      </c>
      <c r="Q152" s="11" t="s">
        <v>471</v>
      </c>
      <c r="R152" s="15" t="s">
        <v>72</v>
      </c>
      <c r="S152" s="3" t="s">
        <v>117</v>
      </c>
      <c r="T152" s="3"/>
      <c r="U152" s="3"/>
      <c r="V152" s="13">
        <v>187</v>
      </c>
      <c r="W152" s="3">
        <v>187</v>
      </c>
      <c r="X152" s="3">
        <v>187</v>
      </c>
      <c r="Y152" s="3">
        <v>3.32</v>
      </c>
      <c r="Z152" s="3">
        <v>3</v>
      </c>
      <c r="AA152" s="3" t="s">
        <v>110</v>
      </c>
      <c r="AB152" s="3"/>
      <c r="AC152" s="6">
        <v>43934</v>
      </c>
      <c r="AD152" s="6">
        <v>43950</v>
      </c>
      <c r="AE152" s="6">
        <v>43949</v>
      </c>
      <c r="AF152" s="6">
        <v>43949</v>
      </c>
      <c r="AG152" s="23" t="s">
        <v>75</v>
      </c>
      <c r="AH152" s="19">
        <v>100</v>
      </c>
      <c r="AI152" s="19">
        <v>100</v>
      </c>
      <c r="AJ152" s="19">
        <v>100</v>
      </c>
      <c r="AK152" s="19" t="s">
        <v>111</v>
      </c>
      <c r="AL152" s="5" t="s">
        <v>72</v>
      </c>
      <c r="AM152" s="5"/>
      <c r="AN152" s="5" t="s">
        <v>72</v>
      </c>
      <c r="AW152" s="143"/>
    </row>
    <row r="153" spans="2:49" ht="15">
      <c r="B153" s="34">
        <v>207</v>
      </c>
      <c r="C153" s="11">
        <v>20200413</v>
      </c>
      <c r="D153" s="12" t="s">
        <v>24</v>
      </c>
      <c r="E153" s="13" t="s">
        <v>234</v>
      </c>
      <c r="F153" s="14" t="s">
        <v>253</v>
      </c>
      <c r="G153" s="13">
        <v>1375671</v>
      </c>
      <c r="H153" s="15" t="s">
        <v>72</v>
      </c>
      <c r="I153" s="37" t="s">
        <v>260</v>
      </c>
      <c r="J153" s="15" t="s">
        <v>72</v>
      </c>
      <c r="K153" s="3" t="s">
        <v>73</v>
      </c>
      <c r="L153" s="36">
        <v>81728</v>
      </c>
      <c r="M153" s="15" t="s">
        <v>72</v>
      </c>
      <c r="N153" s="3" t="s">
        <v>237</v>
      </c>
      <c r="O153" s="5" t="s">
        <v>72</v>
      </c>
      <c r="P153" s="5" t="s">
        <v>587</v>
      </c>
      <c r="Q153" s="11" t="s">
        <v>472</v>
      </c>
      <c r="R153" s="15" t="s">
        <v>72</v>
      </c>
      <c r="S153" s="3" t="s">
        <v>117</v>
      </c>
      <c r="T153" s="3"/>
      <c r="U153" s="3"/>
      <c r="V153" s="13">
        <v>390</v>
      </c>
      <c r="W153" s="3">
        <v>390</v>
      </c>
      <c r="X153" s="3">
        <v>390</v>
      </c>
      <c r="Y153" s="3">
        <v>6.93</v>
      </c>
      <c r="Z153" s="3">
        <v>4</v>
      </c>
      <c r="AA153" s="3" t="s">
        <v>110</v>
      </c>
      <c r="AB153" s="3"/>
      <c r="AC153" s="6">
        <v>43934</v>
      </c>
      <c r="AD153" s="6">
        <v>43950</v>
      </c>
      <c r="AE153" s="6">
        <v>43949</v>
      </c>
      <c r="AF153" s="6">
        <v>43949</v>
      </c>
      <c r="AG153" s="23" t="s">
        <v>75</v>
      </c>
      <c r="AH153" s="19">
        <v>100</v>
      </c>
      <c r="AI153" s="19">
        <v>100</v>
      </c>
      <c r="AJ153" s="19">
        <v>100</v>
      </c>
      <c r="AK153" s="19" t="s">
        <v>111</v>
      </c>
      <c r="AL153" s="5" t="s">
        <v>72</v>
      </c>
      <c r="AM153" s="5"/>
      <c r="AN153" s="5" t="s">
        <v>72</v>
      </c>
      <c r="AW153" s="143"/>
    </row>
    <row r="154" spans="2:49" ht="15">
      <c r="B154" s="34">
        <v>208</v>
      </c>
      <c r="C154" s="11">
        <v>20200413</v>
      </c>
      <c r="D154" s="12" t="s">
        <v>24</v>
      </c>
      <c r="E154" s="13" t="s">
        <v>234</v>
      </c>
      <c r="F154" s="14" t="s">
        <v>253</v>
      </c>
      <c r="G154" s="13">
        <v>1375671</v>
      </c>
      <c r="H154" s="15" t="s">
        <v>72</v>
      </c>
      <c r="I154" s="37" t="s">
        <v>261</v>
      </c>
      <c r="J154" s="15" t="s">
        <v>72</v>
      </c>
      <c r="K154" s="3" t="s">
        <v>73</v>
      </c>
      <c r="L154" s="36">
        <v>81728</v>
      </c>
      <c r="M154" s="15" t="s">
        <v>72</v>
      </c>
      <c r="N154" s="3" t="s">
        <v>237</v>
      </c>
      <c r="O154" s="5" t="s">
        <v>72</v>
      </c>
      <c r="P154" s="5" t="s">
        <v>587</v>
      </c>
      <c r="Q154" s="11" t="s">
        <v>473</v>
      </c>
      <c r="R154" s="15" t="s">
        <v>72</v>
      </c>
      <c r="S154" s="3" t="s">
        <v>117</v>
      </c>
      <c r="T154" s="3"/>
      <c r="U154" s="3"/>
      <c r="V154" s="13">
        <v>61</v>
      </c>
      <c r="W154" s="3">
        <v>61</v>
      </c>
      <c r="X154" s="3">
        <v>61</v>
      </c>
      <c r="Y154" s="3">
        <v>1.08</v>
      </c>
      <c r="Z154" s="3">
        <v>1</v>
      </c>
      <c r="AA154" s="3" t="s">
        <v>110</v>
      </c>
      <c r="AB154" s="3"/>
      <c r="AC154" s="6">
        <v>43934</v>
      </c>
      <c r="AD154" s="6">
        <v>43950</v>
      </c>
      <c r="AE154" s="6">
        <v>43949</v>
      </c>
      <c r="AF154" s="6">
        <v>43949</v>
      </c>
      <c r="AG154" s="23" t="s">
        <v>75</v>
      </c>
      <c r="AH154" s="19">
        <v>100</v>
      </c>
      <c r="AI154" s="19">
        <v>100</v>
      </c>
      <c r="AJ154" s="19">
        <v>100</v>
      </c>
      <c r="AK154" s="19" t="s">
        <v>111</v>
      </c>
      <c r="AL154" s="5" t="s">
        <v>72</v>
      </c>
      <c r="AM154" s="5"/>
      <c r="AN154" s="5" t="s">
        <v>72</v>
      </c>
      <c r="AW154" s="143"/>
    </row>
    <row r="155" spans="2:49" ht="15">
      <c r="B155" s="34">
        <v>209</v>
      </c>
      <c r="C155" s="11">
        <v>20200413</v>
      </c>
      <c r="D155" s="12" t="s">
        <v>24</v>
      </c>
      <c r="E155" s="13" t="s">
        <v>234</v>
      </c>
      <c r="F155" s="14" t="s">
        <v>253</v>
      </c>
      <c r="G155" s="13">
        <v>1375671</v>
      </c>
      <c r="H155" s="15" t="s">
        <v>72</v>
      </c>
      <c r="I155" s="37" t="s">
        <v>262</v>
      </c>
      <c r="J155" s="15" t="s">
        <v>72</v>
      </c>
      <c r="K155" s="3" t="s">
        <v>73</v>
      </c>
      <c r="L155" s="36">
        <v>81728</v>
      </c>
      <c r="M155" s="15" t="s">
        <v>72</v>
      </c>
      <c r="N155" s="3" t="s">
        <v>237</v>
      </c>
      <c r="O155" s="5" t="s">
        <v>72</v>
      </c>
      <c r="P155" s="5" t="s">
        <v>587</v>
      </c>
      <c r="Q155" s="11" t="s">
        <v>474</v>
      </c>
      <c r="R155" s="15" t="s">
        <v>72</v>
      </c>
      <c r="S155" s="3" t="s">
        <v>117</v>
      </c>
      <c r="T155" s="3"/>
      <c r="U155" s="3"/>
      <c r="V155" s="13">
        <v>130</v>
      </c>
      <c r="W155" s="3">
        <v>130</v>
      </c>
      <c r="X155" s="3">
        <v>130</v>
      </c>
      <c r="Y155" s="3">
        <v>2.31</v>
      </c>
      <c r="Z155" s="3">
        <v>1</v>
      </c>
      <c r="AA155" s="3" t="s">
        <v>110</v>
      </c>
      <c r="AB155" s="3"/>
      <c r="AC155" s="6">
        <v>43934</v>
      </c>
      <c r="AD155" s="6">
        <v>43950</v>
      </c>
      <c r="AE155" s="6">
        <v>43949</v>
      </c>
      <c r="AF155" s="6">
        <v>43949</v>
      </c>
      <c r="AG155" s="18" t="s">
        <v>75</v>
      </c>
      <c r="AH155" s="19">
        <v>100</v>
      </c>
      <c r="AI155" s="19">
        <v>100</v>
      </c>
      <c r="AJ155" s="19">
        <v>100</v>
      </c>
      <c r="AK155" s="19" t="s">
        <v>111</v>
      </c>
      <c r="AL155" s="5" t="s">
        <v>72</v>
      </c>
      <c r="AM155" s="5"/>
      <c r="AN155" s="5" t="s">
        <v>72</v>
      </c>
      <c r="AW155" s="143"/>
    </row>
    <row r="156" spans="2:49" ht="15">
      <c r="B156" s="34">
        <v>210</v>
      </c>
      <c r="C156" s="11">
        <v>20200413</v>
      </c>
      <c r="D156" s="12" t="s">
        <v>24</v>
      </c>
      <c r="E156" s="13" t="s">
        <v>234</v>
      </c>
      <c r="F156" s="14" t="s">
        <v>253</v>
      </c>
      <c r="G156" s="13">
        <v>1375671</v>
      </c>
      <c r="H156" s="15" t="s">
        <v>72</v>
      </c>
      <c r="I156" s="17" t="s">
        <v>263</v>
      </c>
      <c r="J156" s="15" t="s">
        <v>72</v>
      </c>
      <c r="K156" s="3" t="s">
        <v>73</v>
      </c>
      <c r="L156" s="36">
        <v>81728</v>
      </c>
      <c r="M156" s="15" t="s">
        <v>72</v>
      </c>
      <c r="N156" s="3" t="s">
        <v>237</v>
      </c>
      <c r="O156" s="5" t="s">
        <v>72</v>
      </c>
      <c r="P156" s="5" t="s">
        <v>587</v>
      </c>
      <c r="Q156" s="11" t="s">
        <v>475</v>
      </c>
      <c r="R156" s="15" t="s">
        <v>72</v>
      </c>
      <c r="S156" s="3" t="s">
        <v>109</v>
      </c>
      <c r="T156" s="3"/>
      <c r="U156" s="3"/>
      <c r="V156" s="13">
        <v>196</v>
      </c>
      <c r="W156" s="3">
        <v>196</v>
      </c>
      <c r="X156" s="3">
        <v>196</v>
      </c>
      <c r="Y156" s="3">
        <v>3.48</v>
      </c>
      <c r="Z156" s="3">
        <v>1</v>
      </c>
      <c r="AA156" s="3" t="s">
        <v>110</v>
      </c>
      <c r="AB156" s="3"/>
      <c r="AC156" s="6">
        <v>43934</v>
      </c>
      <c r="AD156" s="6">
        <v>43950</v>
      </c>
      <c r="AE156" s="6">
        <v>43944</v>
      </c>
      <c r="AF156" s="6">
        <v>43944</v>
      </c>
      <c r="AG156" s="18" t="s">
        <v>75</v>
      </c>
      <c r="AH156" s="3">
        <v>100</v>
      </c>
      <c r="AI156" s="3">
        <v>100</v>
      </c>
      <c r="AJ156" s="3">
        <v>100</v>
      </c>
      <c r="AK156" s="3" t="s">
        <v>111</v>
      </c>
      <c r="AL156" s="5" t="s">
        <v>72</v>
      </c>
      <c r="AM156" s="5"/>
      <c r="AN156" s="5" t="s">
        <v>72</v>
      </c>
      <c r="AW156" s="143"/>
    </row>
    <row r="157" spans="2:49" ht="15">
      <c r="B157" s="34">
        <v>211</v>
      </c>
      <c r="C157" s="11">
        <v>20200413</v>
      </c>
      <c r="D157" s="12" t="s">
        <v>24</v>
      </c>
      <c r="E157" s="13" t="s">
        <v>234</v>
      </c>
      <c r="F157" s="14" t="s">
        <v>253</v>
      </c>
      <c r="G157" s="13">
        <v>1375671</v>
      </c>
      <c r="H157" s="15" t="s">
        <v>72</v>
      </c>
      <c r="I157" s="17" t="s">
        <v>264</v>
      </c>
      <c r="J157" s="15" t="s">
        <v>72</v>
      </c>
      <c r="K157" s="3" t="s">
        <v>73</v>
      </c>
      <c r="L157" s="36">
        <v>81728</v>
      </c>
      <c r="M157" s="15" t="s">
        <v>72</v>
      </c>
      <c r="N157" s="3" t="s">
        <v>237</v>
      </c>
      <c r="O157" s="5" t="s">
        <v>72</v>
      </c>
      <c r="P157" s="5" t="s">
        <v>587</v>
      </c>
      <c r="Q157" s="11" t="s">
        <v>476</v>
      </c>
      <c r="R157" s="15" t="s">
        <v>72</v>
      </c>
      <c r="S157" s="3" t="s">
        <v>109</v>
      </c>
      <c r="T157" s="3"/>
      <c r="U157" s="3"/>
      <c r="V157" s="13">
        <v>173</v>
      </c>
      <c r="W157" s="3">
        <v>173</v>
      </c>
      <c r="X157" s="3">
        <v>173</v>
      </c>
      <c r="Y157" s="3">
        <v>3.07</v>
      </c>
      <c r="Z157" s="3">
        <v>1</v>
      </c>
      <c r="AA157" s="3" t="s">
        <v>110</v>
      </c>
      <c r="AB157" s="3"/>
      <c r="AC157" s="6">
        <v>43934</v>
      </c>
      <c r="AD157" s="6">
        <v>43950</v>
      </c>
      <c r="AE157" s="6">
        <v>43944</v>
      </c>
      <c r="AF157" s="6">
        <v>43944</v>
      </c>
      <c r="AG157" s="18" t="s">
        <v>79</v>
      </c>
      <c r="AH157" s="3">
        <v>100</v>
      </c>
      <c r="AI157" s="3">
        <v>100</v>
      </c>
      <c r="AJ157" s="3">
        <v>87</v>
      </c>
      <c r="AK157" s="3" t="s">
        <v>76</v>
      </c>
      <c r="AL157" s="5" t="s">
        <v>477</v>
      </c>
      <c r="AM157" s="5"/>
      <c r="AN157" s="5" t="s">
        <v>72</v>
      </c>
      <c r="AW157" s="143"/>
    </row>
    <row r="158" spans="2:49" ht="15">
      <c r="B158" s="34">
        <v>212</v>
      </c>
      <c r="C158" s="11">
        <v>20200413</v>
      </c>
      <c r="D158" s="12" t="s">
        <v>24</v>
      </c>
      <c r="E158" s="13" t="s">
        <v>234</v>
      </c>
      <c r="F158" s="14" t="s">
        <v>253</v>
      </c>
      <c r="G158" s="13">
        <v>1375671</v>
      </c>
      <c r="H158" s="15" t="s">
        <v>72</v>
      </c>
      <c r="I158" s="37" t="s">
        <v>265</v>
      </c>
      <c r="J158" s="15" t="s">
        <v>72</v>
      </c>
      <c r="K158" s="3" t="s">
        <v>73</v>
      </c>
      <c r="L158" s="36">
        <v>81728</v>
      </c>
      <c r="M158" s="15" t="s">
        <v>72</v>
      </c>
      <c r="N158" s="3" t="s">
        <v>237</v>
      </c>
      <c r="O158" s="5" t="s">
        <v>72</v>
      </c>
      <c r="P158" s="5" t="s">
        <v>587</v>
      </c>
      <c r="Q158" s="11" t="s">
        <v>478</v>
      </c>
      <c r="R158" s="15" t="s">
        <v>72</v>
      </c>
      <c r="S158" s="3" t="s">
        <v>117</v>
      </c>
      <c r="T158" s="3"/>
      <c r="U158" s="3"/>
      <c r="V158" s="13">
        <v>119</v>
      </c>
      <c r="W158" s="3">
        <v>119</v>
      </c>
      <c r="X158" s="3">
        <v>119</v>
      </c>
      <c r="Y158" s="3">
        <v>2.11</v>
      </c>
      <c r="Z158" s="3">
        <v>2</v>
      </c>
      <c r="AA158" s="3" t="s">
        <v>110</v>
      </c>
      <c r="AB158" s="3"/>
      <c r="AC158" s="6">
        <v>43934</v>
      </c>
      <c r="AD158" s="6">
        <v>43950</v>
      </c>
      <c r="AE158" s="6">
        <v>43949</v>
      </c>
      <c r="AF158" s="6">
        <v>43949</v>
      </c>
      <c r="AG158" s="18" t="s">
        <v>79</v>
      </c>
      <c r="AH158" s="3">
        <v>97</v>
      </c>
      <c r="AI158" s="3">
        <v>95</v>
      </c>
      <c r="AJ158" s="3">
        <v>100</v>
      </c>
      <c r="AK158" s="3" t="s">
        <v>76</v>
      </c>
      <c r="AL158" s="5" t="s">
        <v>479</v>
      </c>
      <c r="AM158" s="5"/>
      <c r="AN158" s="5" t="s">
        <v>72</v>
      </c>
      <c r="AW158" s="143"/>
    </row>
    <row r="159" spans="2:49" ht="15">
      <c r="B159" s="34">
        <v>213</v>
      </c>
      <c r="C159" s="11">
        <v>20200413</v>
      </c>
      <c r="D159" s="12" t="s">
        <v>24</v>
      </c>
      <c r="E159" s="13" t="s">
        <v>234</v>
      </c>
      <c r="F159" s="14" t="s">
        <v>253</v>
      </c>
      <c r="G159" s="13">
        <v>1375671</v>
      </c>
      <c r="H159" s="15" t="s">
        <v>72</v>
      </c>
      <c r="I159" s="37" t="s">
        <v>266</v>
      </c>
      <c r="J159" s="15" t="s">
        <v>72</v>
      </c>
      <c r="K159" s="3" t="s">
        <v>73</v>
      </c>
      <c r="L159" s="36">
        <v>81728</v>
      </c>
      <c r="M159" s="15" t="s">
        <v>72</v>
      </c>
      <c r="N159" s="3" t="s">
        <v>237</v>
      </c>
      <c r="O159" s="5" t="s">
        <v>72</v>
      </c>
      <c r="P159" s="5" t="s">
        <v>587</v>
      </c>
      <c r="Q159" s="11" t="s">
        <v>480</v>
      </c>
      <c r="R159" s="15" t="s">
        <v>72</v>
      </c>
      <c r="S159" s="3" t="s">
        <v>117</v>
      </c>
      <c r="T159" s="3"/>
      <c r="U159" s="3"/>
      <c r="V159" s="13">
        <v>176</v>
      </c>
      <c r="W159" s="3">
        <v>176</v>
      </c>
      <c r="X159" s="3">
        <v>176</v>
      </c>
      <c r="Y159" s="3">
        <v>3.12</v>
      </c>
      <c r="Z159" s="3">
        <v>2</v>
      </c>
      <c r="AA159" s="3" t="s">
        <v>110</v>
      </c>
      <c r="AB159" s="3"/>
      <c r="AC159" s="6">
        <v>43934</v>
      </c>
      <c r="AD159" s="6">
        <v>43950</v>
      </c>
      <c r="AE159" s="6">
        <v>43949</v>
      </c>
      <c r="AF159" s="6">
        <v>43949</v>
      </c>
      <c r="AG159" s="18" t="s">
        <v>79</v>
      </c>
      <c r="AH159" s="3">
        <v>98</v>
      </c>
      <c r="AI159" s="3">
        <v>97</v>
      </c>
      <c r="AJ159" s="3">
        <v>100</v>
      </c>
      <c r="AK159" s="3" t="s">
        <v>76</v>
      </c>
      <c r="AL159" s="5" t="s">
        <v>481</v>
      </c>
      <c r="AM159" s="5"/>
      <c r="AN159" s="5" t="s">
        <v>72</v>
      </c>
      <c r="AW159" s="143"/>
    </row>
    <row r="160" spans="2:49" ht="15">
      <c r="B160" s="34">
        <v>214</v>
      </c>
      <c r="C160" s="11">
        <v>20200413</v>
      </c>
      <c r="D160" s="12" t="s">
        <v>24</v>
      </c>
      <c r="E160" s="13" t="s">
        <v>234</v>
      </c>
      <c r="F160" s="14" t="s">
        <v>253</v>
      </c>
      <c r="G160" s="13">
        <v>1375671</v>
      </c>
      <c r="H160" s="15" t="s">
        <v>72</v>
      </c>
      <c r="I160" s="11" t="s">
        <v>267</v>
      </c>
      <c r="J160" s="15" t="s">
        <v>72</v>
      </c>
      <c r="K160" s="3" t="s">
        <v>73</v>
      </c>
      <c r="L160" s="36">
        <v>81728</v>
      </c>
      <c r="M160" s="15" t="s">
        <v>72</v>
      </c>
      <c r="N160" s="3" t="s">
        <v>237</v>
      </c>
      <c r="O160" s="5" t="s">
        <v>72</v>
      </c>
      <c r="P160" s="5" t="s">
        <v>587</v>
      </c>
      <c r="Q160" s="11" t="s">
        <v>482</v>
      </c>
      <c r="R160" s="15" t="s">
        <v>72</v>
      </c>
      <c r="S160" s="3" t="s">
        <v>109</v>
      </c>
      <c r="T160" s="3"/>
      <c r="U160" s="3"/>
      <c r="V160" s="13">
        <v>116</v>
      </c>
      <c r="W160" s="3">
        <v>116</v>
      </c>
      <c r="X160" s="3">
        <v>116</v>
      </c>
      <c r="Y160" s="3">
        <v>2.06</v>
      </c>
      <c r="Z160" s="3">
        <v>1</v>
      </c>
      <c r="AA160" s="3" t="s">
        <v>110</v>
      </c>
      <c r="AB160" s="3"/>
      <c r="AC160" s="6">
        <v>43934</v>
      </c>
      <c r="AD160" s="6">
        <v>43950</v>
      </c>
      <c r="AE160" s="6">
        <v>43949</v>
      </c>
      <c r="AF160" s="6">
        <v>43949</v>
      </c>
      <c r="AG160" s="18" t="s">
        <v>75</v>
      </c>
      <c r="AH160" s="3">
        <v>100</v>
      </c>
      <c r="AI160" s="3">
        <v>100</v>
      </c>
      <c r="AJ160" s="3">
        <v>100</v>
      </c>
      <c r="AK160" s="3" t="s">
        <v>111</v>
      </c>
      <c r="AL160" s="5" t="s">
        <v>72</v>
      </c>
      <c r="AM160" s="5"/>
      <c r="AN160" s="5" t="s">
        <v>72</v>
      </c>
      <c r="AW160" s="143"/>
    </row>
    <row r="161" spans="2:49" ht="15">
      <c r="B161" s="34">
        <v>215</v>
      </c>
      <c r="C161" s="11">
        <v>20200413</v>
      </c>
      <c r="D161" s="12" t="s">
        <v>24</v>
      </c>
      <c r="E161" s="13" t="s">
        <v>234</v>
      </c>
      <c r="F161" s="14" t="s">
        <v>253</v>
      </c>
      <c r="G161" s="13">
        <v>1375671</v>
      </c>
      <c r="H161" s="15" t="s">
        <v>72</v>
      </c>
      <c r="I161" s="17" t="s">
        <v>268</v>
      </c>
      <c r="J161" s="15" t="s">
        <v>72</v>
      </c>
      <c r="K161" s="3" t="s">
        <v>73</v>
      </c>
      <c r="L161" s="36">
        <v>81728</v>
      </c>
      <c r="M161" s="15" t="s">
        <v>72</v>
      </c>
      <c r="N161" s="3" t="s">
        <v>237</v>
      </c>
      <c r="O161" s="5" t="s">
        <v>72</v>
      </c>
      <c r="P161" s="5" t="s">
        <v>587</v>
      </c>
      <c r="Q161" s="11" t="s">
        <v>483</v>
      </c>
      <c r="R161" s="15" t="s">
        <v>72</v>
      </c>
      <c r="S161" s="3" t="s">
        <v>109</v>
      </c>
      <c r="T161" s="3"/>
      <c r="U161" s="3"/>
      <c r="V161" s="13">
        <v>268</v>
      </c>
      <c r="W161" s="3">
        <v>268</v>
      </c>
      <c r="X161" s="3">
        <v>268</v>
      </c>
      <c r="Y161" s="3">
        <v>4.76</v>
      </c>
      <c r="Z161" s="3">
        <v>0.5</v>
      </c>
      <c r="AA161" s="3" t="s">
        <v>110</v>
      </c>
      <c r="AB161" s="3"/>
      <c r="AC161" s="6">
        <v>43934</v>
      </c>
      <c r="AD161" s="6">
        <v>43950</v>
      </c>
      <c r="AE161" s="6">
        <v>43938</v>
      </c>
      <c r="AF161" s="6">
        <v>43938</v>
      </c>
      <c r="AG161" s="18" t="s">
        <v>75</v>
      </c>
      <c r="AH161" s="3">
        <v>100</v>
      </c>
      <c r="AI161" s="3">
        <v>100</v>
      </c>
      <c r="AJ161" s="3">
        <v>100</v>
      </c>
      <c r="AK161" s="3" t="s">
        <v>111</v>
      </c>
      <c r="AL161" s="5" t="s">
        <v>72</v>
      </c>
      <c r="AM161" s="5"/>
      <c r="AN161" s="5" t="s">
        <v>72</v>
      </c>
      <c r="AW161" s="143"/>
    </row>
    <row r="162" spans="2:49" ht="15">
      <c r="B162" s="34">
        <v>216</v>
      </c>
      <c r="C162" s="11">
        <v>20200413</v>
      </c>
      <c r="D162" s="12" t="s">
        <v>24</v>
      </c>
      <c r="E162" s="13" t="s">
        <v>234</v>
      </c>
      <c r="F162" s="14" t="s">
        <v>253</v>
      </c>
      <c r="G162" s="13">
        <v>1375671</v>
      </c>
      <c r="H162" s="15" t="s">
        <v>72</v>
      </c>
      <c r="I162" s="17" t="s">
        <v>205</v>
      </c>
      <c r="J162" s="15" t="s">
        <v>72</v>
      </c>
      <c r="K162" s="3" t="s">
        <v>73</v>
      </c>
      <c r="L162" s="36">
        <v>81728</v>
      </c>
      <c r="M162" s="15" t="s">
        <v>72</v>
      </c>
      <c r="N162" s="3" t="s">
        <v>237</v>
      </c>
      <c r="O162" s="5" t="s">
        <v>72</v>
      </c>
      <c r="P162" s="5" t="s">
        <v>587</v>
      </c>
      <c r="Q162" s="11" t="s">
        <v>484</v>
      </c>
      <c r="R162" s="15" t="s">
        <v>72</v>
      </c>
      <c r="S162" s="3" t="s">
        <v>109</v>
      </c>
      <c r="T162" s="3"/>
      <c r="U162" s="3"/>
      <c r="V162" s="13">
        <v>237</v>
      </c>
      <c r="W162" s="3">
        <v>237</v>
      </c>
      <c r="X162" s="3">
        <v>237</v>
      </c>
      <c r="Y162" s="3">
        <v>4.21</v>
      </c>
      <c r="Z162" s="3">
        <v>0.5</v>
      </c>
      <c r="AA162" s="3" t="s">
        <v>110</v>
      </c>
      <c r="AB162" s="3"/>
      <c r="AC162" s="6">
        <v>43934</v>
      </c>
      <c r="AD162" s="6">
        <v>43950</v>
      </c>
      <c r="AE162" s="6">
        <v>43938</v>
      </c>
      <c r="AF162" s="6">
        <v>43938</v>
      </c>
      <c r="AG162" s="18" t="s">
        <v>75</v>
      </c>
      <c r="AH162" s="3">
        <v>100</v>
      </c>
      <c r="AI162" s="3">
        <v>100</v>
      </c>
      <c r="AJ162" s="3">
        <v>100</v>
      </c>
      <c r="AK162" s="3" t="s">
        <v>111</v>
      </c>
      <c r="AL162" s="5" t="s">
        <v>72</v>
      </c>
      <c r="AM162" s="5"/>
      <c r="AN162" s="5" t="s">
        <v>72</v>
      </c>
      <c r="AW162" s="143"/>
    </row>
    <row r="163" spans="2:49" ht="15">
      <c r="B163" s="34">
        <v>217</v>
      </c>
      <c r="C163" s="11">
        <v>20200413</v>
      </c>
      <c r="D163" s="12" t="s">
        <v>24</v>
      </c>
      <c r="E163" s="13" t="s">
        <v>234</v>
      </c>
      <c r="F163" s="14" t="s">
        <v>269</v>
      </c>
      <c r="G163" s="13">
        <v>1375671</v>
      </c>
      <c r="H163" s="15" t="s">
        <v>72</v>
      </c>
      <c r="I163" s="17" t="s">
        <v>270</v>
      </c>
      <c r="J163" s="15" t="s">
        <v>72</v>
      </c>
      <c r="K163" s="3" t="s">
        <v>73</v>
      </c>
      <c r="L163" s="36">
        <v>81728</v>
      </c>
      <c r="M163" s="15" t="s">
        <v>72</v>
      </c>
      <c r="N163" s="3" t="s">
        <v>237</v>
      </c>
      <c r="O163" s="5" t="s">
        <v>72</v>
      </c>
      <c r="P163" s="5" t="s">
        <v>587</v>
      </c>
      <c r="Q163" s="11" t="s">
        <v>485</v>
      </c>
      <c r="R163" s="15" t="s">
        <v>72</v>
      </c>
      <c r="S163" s="3" t="s">
        <v>109</v>
      </c>
      <c r="T163" s="3"/>
      <c r="U163" s="3"/>
      <c r="V163" s="13">
        <v>77</v>
      </c>
      <c r="W163" s="3">
        <v>77</v>
      </c>
      <c r="X163" s="3">
        <v>77</v>
      </c>
      <c r="Y163" s="3">
        <v>1.36</v>
      </c>
      <c r="Z163" s="3">
        <v>0.5</v>
      </c>
      <c r="AA163" s="3" t="s">
        <v>110</v>
      </c>
      <c r="AB163" s="3"/>
      <c r="AC163" s="6">
        <v>43934</v>
      </c>
      <c r="AD163" s="6">
        <v>43950</v>
      </c>
      <c r="AE163" s="6">
        <v>43938</v>
      </c>
      <c r="AF163" s="6">
        <v>43938</v>
      </c>
      <c r="AG163" s="18" t="s">
        <v>75</v>
      </c>
      <c r="AH163" s="3">
        <v>100</v>
      </c>
      <c r="AI163" s="3">
        <v>100</v>
      </c>
      <c r="AJ163" s="3">
        <v>100</v>
      </c>
      <c r="AK163" s="3" t="s">
        <v>111</v>
      </c>
      <c r="AL163" s="5" t="s">
        <v>72</v>
      </c>
      <c r="AM163" s="5"/>
      <c r="AN163" s="5" t="s">
        <v>72</v>
      </c>
      <c r="AW163" s="143"/>
    </row>
    <row r="164" spans="2:49" ht="15">
      <c r="B164" s="34">
        <v>218</v>
      </c>
      <c r="C164" s="11">
        <v>20200413</v>
      </c>
      <c r="D164" s="12" t="s">
        <v>24</v>
      </c>
      <c r="E164" s="13" t="s">
        <v>234</v>
      </c>
      <c r="F164" s="14" t="s">
        <v>269</v>
      </c>
      <c r="G164" s="13">
        <v>1375671</v>
      </c>
      <c r="H164" s="15" t="s">
        <v>72</v>
      </c>
      <c r="I164" s="17" t="s">
        <v>271</v>
      </c>
      <c r="J164" s="15" t="s">
        <v>72</v>
      </c>
      <c r="K164" s="3" t="s">
        <v>73</v>
      </c>
      <c r="L164" s="36">
        <v>81728</v>
      </c>
      <c r="M164" s="15" t="s">
        <v>72</v>
      </c>
      <c r="N164" s="3" t="s">
        <v>237</v>
      </c>
      <c r="O164" s="5" t="s">
        <v>72</v>
      </c>
      <c r="P164" s="5" t="s">
        <v>587</v>
      </c>
      <c r="Q164" s="11" t="s">
        <v>486</v>
      </c>
      <c r="R164" s="15" t="s">
        <v>72</v>
      </c>
      <c r="S164" s="3" t="s">
        <v>109</v>
      </c>
      <c r="T164" s="3"/>
      <c r="U164" s="3"/>
      <c r="V164" s="13">
        <v>44</v>
      </c>
      <c r="W164" s="3">
        <v>44</v>
      </c>
      <c r="X164" s="3">
        <v>44</v>
      </c>
      <c r="Y164" s="3">
        <v>0.78</v>
      </c>
      <c r="Z164" s="3">
        <v>0.5</v>
      </c>
      <c r="AA164" s="3" t="s">
        <v>110</v>
      </c>
      <c r="AB164" s="3"/>
      <c r="AC164" s="6">
        <v>43934</v>
      </c>
      <c r="AD164" s="6">
        <v>43950</v>
      </c>
      <c r="AE164" s="6">
        <v>43938</v>
      </c>
      <c r="AF164" s="6">
        <v>43938</v>
      </c>
      <c r="AG164" s="18" t="s">
        <v>75</v>
      </c>
      <c r="AH164" s="3">
        <v>100</v>
      </c>
      <c r="AI164" s="3">
        <v>100</v>
      </c>
      <c r="AJ164" s="3">
        <v>100</v>
      </c>
      <c r="AK164" s="3" t="s">
        <v>111</v>
      </c>
      <c r="AL164" s="5" t="s">
        <v>72</v>
      </c>
      <c r="AM164" s="5"/>
      <c r="AN164" s="5" t="s">
        <v>72</v>
      </c>
      <c r="AW164" s="143"/>
    </row>
    <row r="165" spans="2:49" ht="15">
      <c r="B165" s="34">
        <v>219</v>
      </c>
      <c r="C165" s="11">
        <v>20200413</v>
      </c>
      <c r="D165" s="12" t="s">
        <v>24</v>
      </c>
      <c r="E165" s="13" t="s">
        <v>234</v>
      </c>
      <c r="F165" s="14" t="s">
        <v>269</v>
      </c>
      <c r="G165" s="13">
        <v>1375671</v>
      </c>
      <c r="H165" s="15" t="s">
        <v>72</v>
      </c>
      <c r="I165" s="17" t="s">
        <v>272</v>
      </c>
      <c r="J165" s="15" t="s">
        <v>72</v>
      </c>
      <c r="K165" s="3" t="s">
        <v>73</v>
      </c>
      <c r="L165" s="36">
        <v>81728</v>
      </c>
      <c r="M165" s="15" t="s">
        <v>72</v>
      </c>
      <c r="N165" s="3" t="s">
        <v>237</v>
      </c>
      <c r="O165" s="5" t="s">
        <v>72</v>
      </c>
      <c r="P165" s="5" t="s">
        <v>587</v>
      </c>
      <c r="Q165" s="11" t="s">
        <v>487</v>
      </c>
      <c r="R165" s="15" t="s">
        <v>72</v>
      </c>
      <c r="S165" s="3" t="s">
        <v>109</v>
      </c>
      <c r="T165" s="3"/>
      <c r="U165" s="3"/>
      <c r="V165" s="13">
        <v>200</v>
      </c>
      <c r="W165" s="3">
        <v>200</v>
      </c>
      <c r="X165" s="3">
        <v>200</v>
      </c>
      <c r="Y165" s="3">
        <v>3.55</v>
      </c>
      <c r="Z165" s="3">
        <v>0.5</v>
      </c>
      <c r="AA165" s="3" t="s">
        <v>110</v>
      </c>
      <c r="AB165" s="3"/>
      <c r="AC165" s="6">
        <v>43934</v>
      </c>
      <c r="AD165" s="6">
        <v>43950</v>
      </c>
      <c r="AE165" s="6">
        <v>43938</v>
      </c>
      <c r="AF165" s="6">
        <v>43938</v>
      </c>
      <c r="AG165" s="18" t="s">
        <v>75</v>
      </c>
      <c r="AH165" s="3">
        <v>100</v>
      </c>
      <c r="AI165" s="3">
        <v>100</v>
      </c>
      <c r="AJ165" s="3">
        <v>100</v>
      </c>
      <c r="AK165" s="3" t="s">
        <v>111</v>
      </c>
      <c r="AL165" s="5" t="s">
        <v>72</v>
      </c>
      <c r="AM165" s="5"/>
      <c r="AN165" s="5" t="s">
        <v>72</v>
      </c>
      <c r="AW165" s="143"/>
    </row>
    <row r="166" spans="2:49" ht="15">
      <c r="B166" s="34">
        <v>220</v>
      </c>
      <c r="C166" s="11">
        <v>20200413</v>
      </c>
      <c r="D166" s="12" t="s">
        <v>24</v>
      </c>
      <c r="E166" s="13" t="s">
        <v>234</v>
      </c>
      <c r="F166" s="29" t="s">
        <v>273</v>
      </c>
      <c r="G166" s="17">
        <v>1375671</v>
      </c>
      <c r="H166" s="15" t="s">
        <v>72</v>
      </c>
      <c r="I166" s="17" t="s">
        <v>183</v>
      </c>
      <c r="J166" s="15" t="s">
        <v>72</v>
      </c>
      <c r="K166" s="17" t="s">
        <v>73</v>
      </c>
      <c r="L166" s="35">
        <v>81728</v>
      </c>
      <c r="M166" s="15" t="s">
        <v>72</v>
      </c>
      <c r="N166" s="28" t="s">
        <v>237</v>
      </c>
      <c r="O166" s="5" t="s">
        <v>72</v>
      </c>
      <c r="P166" s="5" t="s">
        <v>587</v>
      </c>
      <c r="Q166" s="11" t="s">
        <v>488</v>
      </c>
      <c r="R166" s="15" t="s">
        <v>72</v>
      </c>
      <c r="S166" s="3" t="s">
        <v>113</v>
      </c>
      <c r="T166" s="3"/>
      <c r="U166" s="3"/>
      <c r="V166" s="13">
        <v>34</v>
      </c>
      <c r="W166" s="11">
        <v>34</v>
      </c>
      <c r="X166" s="3">
        <v>34</v>
      </c>
      <c r="Y166" s="3">
        <v>0.6</v>
      </c>
      <c r="Z166" s="3">
        <v>1</v>
      </c>
      <c r="AA166" s="3" t="s">
        <v>110</v>
      </c>
      <c r="AB166" s="3"/>
      <c r="AC166" s="6">
        <v>43934</v>
      </c>
      <c r="AD166" s="6">
        <v>43950</v>
      </c>
      <c r="AE166" s="6">
        <v>43937</v>
      </c>
      <c r="AF166" s="6">
        <v>43937</v>
      </c>
      <c r="AG166" s="18" t="s">
        <v>75</v>
      </c>
      <c r="AH166" s="19">
        <v>100</v>
      </c>
      <c r="AI166" s="19">
        <v>100</v>
      </c>
      <c r="AJ166" s="19">
        <v>100</v>
      </c>
      <c r="AK166" s="19" t="s">
        <v>111</v>
      </c>
      <c r="AL166" s="5" t="s">
        <v>72</v>
      </c>
      <c r="AM166" s="5"/>
      <c r="AN166" s="5" t="s">
        <v>72</v>
      </c>
      <c r="AW166" s="143"/>
    </row>
    <row r="167" spans="2:49" ht="15">
      <c r="B167" s="34">
        <v>221</v>
      </c>
      <c r="C167" s="11">
        <v>20200413</v>
      </c>
      <c r="D167" s="12" t="s">
        <v>24</v>
      </c>
      <c r="E167" s="13" t="s">
        <v>234</v>
      </c>
      <c r="F167" s="14" t="s">
        <v>273</v>
      </c>
      <c r="G167" s="13">
        <v>1375671</v>
      </c>
      <c r="H167" s="15" t="s">
        <v>72</v>
      </c>
      <c r="I167" s="17" t="s">
        <v>184</v>
      </c>
      <c r="J167" s="15" t="s">
        <v>72</v>
      </c>
      <c r="K167" s="3" t="s">
        <v>73</v>
      </c>
      <c r="L167" s="36">
        <v>81728</v>
      </c>
      <c r="M167" s="15" t="s">
        <v>72</v>
      </c>
      <c r="N167" s="3" t="s">
        <v>237</v>
      </c>
      <c r="O167" s="5" t="s">
        <v>72</v>
      </c>
      <c r="P167" s="5" t="s">
        <v>587</v>
      </c>
      <c r="Q167" s="11" t="s">
        <v>489</v>
      </c>
      <c r="R167" s="15" t="s">
        <v>72</v>
      </c>
      <c r="S167" s="3" t="s">
        <v>161</v>
      </c>
      <c r="T167" s="3"/>
      <c r="U167" s="3"/>
      <c r="V167" s="13">
        <v>33</v>
      </c>
      <c r="W167" s="3">
        <v>33</v>
      </c>
      <c r="X167" s="3">
        <v>33</v>
      </c>
      <c r="Y167" s="3">
        <v>0.57999999999999996</v>
      </c>
      <c r="Z167" s="3">
        <v>0.5</v>
      </c>
      <c r="AA167" s="3" t="s">
        <v>110</v>
      </c>
      <c r="AB167" s="3"/>
      <c r="AC167" s="6">
        <v>43934</v>
      </c>
      <c r="AD167" s="6">
        <v>43950</v>
      </c>
      <c r="AE167" s="6">
        <v>43938</v>
      </c>
      <c r="AF167" s="6">
        <v>43938</v>
      </c>
      <c r="AG167" s="18" t="s">
        <v>75</v>
      </c>
      <c r="AH167" s="19">
        <v>100</v>
      </c>
      <c r="AI167" s="19">
        <v>100</v>
      </c>
      <c r="AJ167" s="19">
        <v>100</v>
      </c>
      <c r="AK167" s="19" t="s">
        <v>111</v>
      </c>
      <c r="AL167" s="5" t="s">
        <v>72</v>
      </c>
      <c r="AM167" s="5"/>
      <c r="AN167" s="5" t="s">
        <v>72</v>
      </c>
      <c r="AW167" s="143"/>
    </row>
    <row r="168" spans="2:49" ht="15">
      <c r="B168" s="34">
        <v>222</v>
      </c>
      <c r="C168" s="11">
        <v>20200413</v>
      </c>
      <c r="D168" s="12" t="s">
        <v>24</v>
      </c>
      <c r="E168" s="13" t="s">
        <v>234</v>
      </c>
      <c r="F168" s="14" t="s">
        <v>273</v>
      </c>
      <c r="G168" s="13">
        <v>1375671</v>
      </c>
      <c r="H168" s="15" t="s">
        <v>72</v>
      </c>
      <c r="I168" s="37" t="s">
        <v>274</v>
      </c>
      <c r="J168" s="15" t="s">
        <v>72</v>
      </c>
      <c r="K168" s="3" t="s">
        <v>73</v>
      </c>
      <c r="L168" s="36">
        <v>81728</v>
      </c>
      <c r="M168" s="15" t="s">
        <v>72</v>
      </c>
      <c r="N168" s="3" t="s">
        <v>237</v>
      </c>
      <c r="O168" s="5" t="s">
        <v>72</v>
      </c>
      <c r="P168" s="5" t="s">
        <v>587</v>
      </c>
      <c r="Q168" s="11" t="s">
        <v>490</v>
      </c>
      <c r="R168" s="15" t="s">
        <v>72</v>
      </c>
      <c r="S168" s="3" t="s">
        <v>117</v>
      </c>
      <c r="T168" s="3"/>
      <c r="U168" s="3"/>
      <c r="V168" s="13">
        <v>21</v>
      </c>
      <c r="W168" s="3">
        <v>21</v>
      </c>
      <c r="X168" s="3">
        <v>21</v>
      </c>
      <c r="Y168" s="3">
        <v>0.37</v>
      </c>
      <c r="Z168" s="3">
        <v>0.5</v>
      </c>
      <c r="AA168" s="3" t="s">
        <v>110</v>
      </c>
      <c r="AB168" s="3"/>
      <c r="AC168" s="6">
        <v>43934</v>
      </c>
      <c r="AD168" s="6">
        <v>43950</v>
      </c>
      <c r="AE168" s="6">
        <v>43949</v>
      </c>
      <c r="AF168" s="6">
        <v>43949</v>
      </c>
      <c r="AG168" s="18" t="s">
        <v>75</v>
      </c>
      <c r="AH168" s="19">
        <v>100</v>
      </c>
      <c r="AI168" s="19">
        <v>100</v>
      </c>
      <c r="AJ168" s="19">
        <v>100</v>
      </c>
      <c r="AK168" s="19" t="s">
        <v>111</v>
      </c>
      <c r="AL168" s="5" t="s">
        <v>72</v>
      </c>
      <c r="AM168" s="5"/>
      <c r="AN168" s="5" t="s">
        <v>72</v>
      </c>
      <c r="AW168" s="143"/>
    </row>
    <row r="169" spans="2:49" ht="15">
      <c r="B169" s="34">
        <v>223</v>
      </c>
      <c r="C169" s="11">
        <v>20200413</v>
      </c>
      <c r="D169" s="12" t="s">
        <v>24</v>
      </c>
      <c r="E169" s="13" t="s">
        <v>234</v>
      </c>
      <c r="F169" s="14" t="s">
        <v>273</v>
      </c>
      <c r="G169" s="13">
        <v>1375671</v>
      </c>
      <c r="H169" s="15" t="s">
        <v>72</v>
      </c>
      <c r="I169" s="17" t="s">
        <v>275</v>
      </c>
      <c r="J169" s="15" t="s">
        <v>72</v>
      </c>
      <c r="K169" s="3" t="s">
        <v>73</v>
      </c>
      <c r="L169" s="36">
        <v>81728</v>
      </c>
      <c r="M169" s="15" t="s">
        <v>72</v>
      </c>
      <c r="N169" s="3" t="s">
        <v>237</v>
      </c>
      <c r="O169" s="5" t="s">
        <v>72</v>
      </c>
      <c r="P169" s="5" t="s">
        <v>587</v>
      </c>
      <c r="Q169" s="11" t="s">
        <v>491</v>
      </c>
      <c r="R169" s="15" t="s">
        <v>72</v>
      </c>
      <c r="S169" s="3" t="s">
        <v>161</v>
      </c>
      <c r="T169" s="3"/>
      <c r="U169" s="3"/>
      <c r="V169" s="13">
        <v>54</v>
      </c>
      <c r="W169" s="3">
        <v>54</v>
      </c>
      <c r="X169" s="3">
        <v>54</v>
      </c>
      <c r="Y169" s="3">
        <v>0.96</v>
      </c>
      <c r="Z169" s="3">
        <v>0.5</v>
      </c>
      <c r="AA169" s="3" t="s">
        <v>110</v>
      </c>
      <c r="AB169" s="3"/>
      <c r="AC169" s="6">
        <v>43934</v>
      </c>
      <c r="AD169" s="6">
        <v>43950</v>
      </c>
      <c r="AE169" s="6">
        <v>43938</v>
      </c>
      <c r="AF169" s="6">
        <v>43938</v>
      </c>
      <c r="AG169" s="18" t="s">
        <v>75</v>
      </c>
      <c r="AH169" s="19">
        <v>100</v>
      </c>
      <c r="AI169" s="19">
        <v>100</v>
      </c>
      <c r="AJ169" s="19">
        <v>100</v>
      </c>
      <c r="AK169" s="19" t="s">
        <v>111</v>
      </c>
      <c r="AL169" s="5" t="s">
        <v>72</v>
      </c>
      <c r="AM169" s="5"/>
      <c r="AN169" s="5" t="s">
        <v>72</v>
      </c>
      <c r="AW169" s="143"/>
    </row>
    <row r="170" spans="2:49" ht="15">
      <c r="B170" s="34">
        <v>224</v>
      </c>
      <c r="C170" s="11">
        <v>20200413</v>
      </c>
      <c r="D170" s="12" t="s">
        <v>24</v>
      </c>
      <c r="E170" s="13" t="s">
        <v>234</v>
      </c>
      <c r="F170" s="14" t="s">
        <v>273</v>
      </c>
      <c r="G170" s="13">
        <v>1375671</v>
      </c>
      <c r="H170" s="15" t="s">
        <v>72</v>
      </c>
      <c r="I170" s="17" t="s">
        <v>186</v>
      </c>
      <c r="J170" s="15" t="s">
        <v>72</v>
      </c>
      <c r="K170" s="3" t="s">
        <v>73</v>
      </c>
      <c r="L170" s="36">
        <v>81728</v>
      </c>
      <c r="M170" s="15" t="s">
        <v>72</v>
      </c>
      <c r="N170" s="3" t="s">
        <v>237</v>
      </c>
      <c r="O170" s="5" t="s">
        <v>72</v>
      </c>
      <c r="P170" s="5" t="s">
        <v>587</v>
      </c>
      <c r="Q170" s="11" t="s">
        <v>492</v>
      </c>
      <c r="R170" s="15" t="s">
        <v>72</v>
      </c>
      <c r="S170" s="3" t="s">
        <v>109</v>
      </c>
      <c r="T170" s="3"/>
      <c r="U170" s="3"/>
      <c r="V170" s="13">
        <v>65</v>
      </c>
      <c r="W170" s="3">
        <v>65</v>
      </c>
      <c r="X170" s="3">
        <v>65</v>
      </c>
      <c r="Y170" s="3">
        <v>1.1499999999999999</v>
      </c>
      <c r="Z170" s="3">
        <v>0.5</v>
      </c>
      <c r="AA170" s="3" t="s">
        <v>110</v>
      </c>
      <c r="AB170" s="3"/>
      <c r="AC170" s="6">
        <v>43934</v>
      </c>
      <c r="AD170" s="6">
        <v>43950</v>
      </c>
      <c r="AE170" s="6">
        <v>43938</v>
      </c>
      <c r="AF170" s="6">
        <v>43938</v>
      </c>
      <c r="AG170" s="18" t="s">
        <v>75</v>
      </c>
      <c r="AH170" s="3">
        <v>100</v>
      </c>
      <c r="AI170" s="3">
        <v>100</v>
      </c>
      <c r="AJ170" s="3">
        <v>100</v>
      </c>
      <c r="AK170" s="3" t="s">
        <v>111</v>
      </c>
      <c r="AL170" s="5" t="s">
        <v>72</v>
      </c>
      <c r="AM170" s="5"/>
      <c r="AN170" s="5" t="s">
        <v>72</v>
      </c>
      <c r="AW170" s="143"/>
    </row>
    <row r="171" spans="2:49" ht="15">
      <c r="B171" s="34">
        <v>225</v>
      </c>
      <c r="C171" s="11">
        <v>20200413</v>
      </c>
      <c r="D171" s="12" t="s">
        <v>24</v>
      </c>
      <c r="E171" s="13" t="s">
        <v>234</v>
      </c>
      <c r="F171" s="14" t="s">
        <v>273</v>
      </c>
      <c r="G171" s="13">
        <v>1375671</v>
      </c>
      <c r="H171" s="15" t="s">
        <v>72</v>
      </c>
      <c r="I171" s="17" t="s">
        <v>276</v>
      </c>
      <c r="J171" s="15" t="s">
        <v>72</v>
      </c>
      <c r="K171" s="3" t="s">
        <v>73</v>
      </c>
      <c r="L171" s="36">
        <v>81728</v>
      </c>
      <c r="M171" s="15" t="s">
        <v>72</v>
      </c>
      <c r="N171" s="3" t="s">
        <v>237</v>
      </c>
      <c r="O171" s="5" t="s">
        <v>72</v>
      </c>
      <c r="P171" s="5" t="s">
        <v>587</v>
      </c>
      <c r="Q171" s="11" t="s">
        <v>493</v>
      </c>
      <c r="R171" s="15" t="s">
        <v>72</v>
      </c>
      <c r="S171" s="3" t="s">
        <v>109</v>
      </c>
      <c r="T171" s="3"/>
      <c r="U171" s="3"/>
      <c r="V171" s="13">
        <v>149</v>
      </c>
      <c r="W171" s="3">
        <v>149</v>
      </c>
      <c r="X171" s="3">
        <v>149</v>
      </c>
      <c r="Y171" s="3">
        <v>2.64</v>
      </c>
      <c r="Z171" s="3">
        <v>0.7</v>
      </c>
      <c r="AA171" s="3" t="s">
        <v>110</v>
      </c>
      <c r="AB171" s="3"/>
      <c r="AC171" s="6">
        <v>43934</v>
      </c>
      <c r="AD171" s="6">
        <v>43950</v>
      </c>
      <c r="AE171" s="6">
        <v>43938</v>
      </c>
      <c r="AF171" s="6">
        <v>43938</v>
      </c>
      <c r="AG171" s="18" t="s">
        <v>75</v>
      </c>
      <c r="AH171" s="3">
        <v>100</v>
      </c>
      <c r="AI171" s="3">
        <v>100</v>
      </c>
      <c r="AJ171" s="3">
        <v>100</v>
      </c>
      <c r="AK171" s="3" t="s">
        <v>111</v>
      </c>
      <c r="AL171" s="5" t="s">
        <v>72</v>
      </c>
      <c r="AM171" s="5"/>
      <c r="AN171" s="5" t="s">
        <v>72</v>
      </c>
      <c r="AW171" s="143"/>
    </row>
    <row r="172" spans="2:49" ht="15">
      <c r="B172" s="34">
        <v>226</v>
      </c>
      <c r="C172" s="11">
        <v>20200413</v>
      </c>
      <c r="D172" s="12" t="s">
        <v>24</v>
      </c>
      <c r="E172" s="13" t="s">
        <v>234</v>
      </c>
      <c r="F172" s="14" t="s">
        <v>273</v>
      </c>
      <c r="G172" s="13">
        <v>1375671</v>
      </c>
      <c r="H172" s="15" t="s">
        <v>72</v>
      </c>
      <c r="I172" s="17" t="s">
        <v>277</v>
      </c>
      <c r="J172" s="15" t="s">
        <v>72</v>
      </c>
      <c r="K172" s="3" t="s">
        <v>73</v>
      </c>
      <c r="L172" s="36">
        <v>81728</v>
      </c>
      <c r="M172" s="15" t="s">
        <v>72</v>
      </c>
      <c r="N172" s="3" t="s">
        <v>237</v>
      </c>
      <c r="O172" s="5" t="s">
        <v>72</v>
      </c>
      <c r="P172" s="5" t="s">
        <v>587</v>
      </c>
      <c r="Q172" s="11" t="s">
        <v>494</v>
      </c>
      <c r="R172" s="15" t="s">
        <v>72</v>
      </c>
      <c r="S172" s="3" t="s">
        <v>109</v>
      </c>
      <c r="T172" s="3"/>
      <c r="U172" s="3"/>
      <c r="V172" s="13">
        <v>200</v>
      </c>
      <c r="W172" s="3">
        <v>200</v>
      </c>
      <c r="X172" s="3">
        <v>200</v>
      </c>
      <c r="Y172" s="3">
        <v>3.55</v>
      </c>
      <c r="Z172" s="3">
        <v>0.7</v>
      </c>
      <c r="AA172" s="3" t="s">
        <v>110</v>
      </c>
      <c r="AB172" s="3"/>
      <c r="AC172" s="6">
        <v>43934</v>
      </c>
      <c r="AD172" s="6">
        <v>43950</v>
      </c>
      <c r="AE172" s="6">
        <v>43938</v>
      </c>
      <c r="AF172" s="6">
        <v>43938</v>
      </c>
      <c r="AG172" s="18" t="s">
        <v>75</v>
      </c>
      <c r="AH172" s="3">
        <v>100</v>
      </c>
      <c r="AI172" s="3">
        <v>100</v>
      </c>
      <c r="AJ172" s="3">
        <v>100</v>
      </c>
      <c r="AK172" s="3" t="s">
        <v>111</v>
      </c>
      <c r="AL172" s="5" t="s">
        <v>72</v>
      </c>
      <c r="AM172" s="5"/>
      <c r="AN172" s="5" t="s">
        <v>72</v>
      </c>
      <c r="AW172" s="143"/>
    </row>
    <row r="173" spans="2:49" ht="15">
      <c r="B173" s="34">
        <v>227</v>
      </c>
      <c r="C173" s="11">
        <v>20200413</v>
      </c>
      <c r="D173" s="12" t="s">
        <v>24</v>
      </c>
      <c r="E173" s="13" t="s">
        <v>234</v>
      </c>
      <c r="F173" s="14" t="s">
        <v>273</v>
      </c>
      <c r="G173" s="13">
        <v>1375671</v>
      </c>
      <c r="H173" s="15" t="s">
        <v>72</v>
      </c>
      <c r="I173" s="38" t="s">
        <v>278</v>
      </c>
      <c r="J173" s="15" t="s">
        <v>72</v>
      </c>
      <c r="K173" s="3" t="s">
        <v>73</v>
      </c>
      <c r="L173" s="36">
        <v>81728</v>
      </c>
      <c r="M173" s="15" t="s">
        <v>72</v>
      </c>
      <c r="N173" s="3" t="s">
        <v>237</v>
      </c>
      <c r="O173" s="5" t="s">
        <v>72</v>
      </c>
      <c r="P173" s="5" t="s">
        <v>587</v>
      </c>
      <c r="Q173" s="11" t="s">
        <v>495</v>
      </c>
      <c r="R173" s="15" t="s">
        <v>72</v>
      </c>
      <c r="S173" s="3" t="s">
        <v>117</v>
      </c>
      <c r="T173" s="3"/>
      <c r="U173" s="3"/>
      <c r="V173" s="13">
        <v>25</v>
      </c>
      <c r="W173" s="3">
        <v>25</v>
      </c>
      <c r="X173" s="3">
        <v>25</v>
      </c>
      <c r="Y173" s="3">
        <v>0.44</v>
      </c>
      <c r="Z173" s="3">
        <v>0.5</v>
      </c>
      <c r="AA173" s="3" t="s">
        <v>110</v>
      </c>
      <c r="AB173" s="3"/>
      <c r="AC173" s="6">
        <v>43934</v>
      </c>
      <c r="AD173" s="6">
        <v>43950</v>
      </c>
      <c r="AE173" s="6">
        <v>43949</v>
      </c>
      <c r="AF173" s="6">
        <v>43949</v>
      </c>
      <c r="AG173" s="18" t="s">
        <v>75</v>
      </c>
      <c r="AH173" s="19">
        <v>100</v>
      </c>
      <c r="AI173" s="19">
        <v>100</v>
      </c>
      <c r="AJ173" s="19">
        <v>100</v>
      </c>
      <c r="AK173" s="19" t="s">
        <v>111</v>
      </c>
      <c r="AL173" s="5" t="s">
        <v>72</v>
      </c>
      <c r="AM173" s="5"/>
      <c r="AN173" s="5" t="s">
        <v>72</v>
      </c>
      <c r="AW173" s="143"/>
    </row>
    <row r="174" spans="2:49" ht="15">
      <c r="B174" s="34">
        <v>228</v>
      </c>
      <c r="C174" s="11">
        <v>20200413</v>
      </c>
      <c r="D174" s="12" t="s">
        <v>24</v>
      </c>
      <c r="E174" s="13" t="s">
        <v>234</v>
      </c>
      <c r="F174" s="29" t="s">
        <v>273</v>
      </c>
      <c r="G174" s="17">
        <v>1375671</v>
      </c>
      <c r="H174" s="15" t="s">
        <v>72</v>
      </c>
      <c r="I174" s="17" t="s">
        <v>279</v>
      </c>
      <c r="J174" s="15" t="s">
        <v>72</v>
      </c>
      <c r="K174" s="17" t="s">
        <v>73</v>
      </c>
      <c r="L174" s="35">
        <v>81728</v>
      </c>
      <c r="M174" s="15" t="s">
        <v>72</v>
      </c>
      <c r="N174" s="28" t="s">
        <v>237</v>
      </c>
      <c r="O174" s="5" t="s">
        <v>72</v>
      </c>
      <c r="P174" s="5" t="s">
        <v>587</v>
      </c>
      <c r="Q174" s="11" t="s">
        <v>496</v>
      </c>
      <c r="R174" s="15" t="s">
        <v>72</v>
      </c>
      <c r="S174" s="3" t="s">
        <v>113</v>
      </c>
      <c r="T174" s="3"/>
      <c r="U174" s="3"/>
      <c r="V174" s="13">
        <v>82</v>
      </c>
      <c r="W174" s="11">
        <v>82</v>
      </c>
      <c r="X174" s="3">
        <v>82</v>
      </c>
      <c r="Y174" s="3">
        <v>1.45</v>
      </c>
      <c r="Z174" s="3">
        <v>1</v>
      </c>
      <c r="AA174" s="3" t="s">
        <v>110</v>
      </c>
      <c r="AB174" s="3"/>
      <c r="AC174" s="6">
        <v>43934</v>
      </c>
      <c r="AD174" s="6">
        <v>43950</v>
      </c>
      <c r="AE174" s="6">
        <v>43937</v>
      </c>
      <c r="AF174" s="6">
        <v>43937</v>
      </c>
      <c r="AG174" s="18" t="s">
        <v>75</v>
      </c>
      <c r="AH174" s="19">
        <v>100</v>
      </c>
      <c r="AI174" s="19">
        <v>100</v>
      </c>
      <c r="AJ174" s="19">
        <v>100</v>
      </c>
      <c r="AK174" s="19" t="s">
        <v>111</v>
      </c>
      <c r="AL174" s="5" t="s">
        <v>72</v>
      </c>
      <c r="AM174" s="5"/>
      <c r="AN174" s="5" t="s">
        <v>72</v>
      </c>
      <c r="AW174" s="143"/>
    </row>
    <row r="175" spans="2:49" ht="15">
      <c r="B175" s="34">
        <v>229</v>
      </c>
      <c r="C175" s="11">
        <v>20200413</v>
      </c>
      <c r="D175" s="12" t="s">
        <v>24</v>
      </c>
      <c r="E175" s="13" t="s">
        <v>234</v>
      </c>
      <c r="F175" s="14" t="s">
        <v>273</v>
      </c>
      <c r="G175" s="13">
        <v>1375671</v>
      </c>
      <c r="H175" s="15" t="s">
        <v>72</v>
      </c>
      <c r="I175" s="17" t="s">
        <v>38</v>
      </c>
      <c r="J175" s="15" t="s">
        <v>72</v>
      </c>
      <c r="K175" s="3" t="s">
        <v>73</v>
      </c>
      <c r="L175" s="36">
        <v>81728</v>
      </c>
      <c r="M175" s="15" t="s">
        <v>72</v>
      </c>
      <c r="N175" s="3" t="s">
        <v>237</v>
      </c>
      <c r="O175" s="5" t="s">
        <v>72</v>
      </c>
      <c r="P175" s="5" t="s">
        <v>587</v>
      </c>
      <c r="Q175" s="11" t="s">
        <v>497</v>
      </c>
      <c r="R175" s="15" t="s">
        <v>72</v>
      </c>
      <c r="S175" s="3" t="s">
        <v>161</v>
      </c>
      <c r="T175" s="3"/>
      <c r="U175" s="3"/>
      <c r="V175" s="13">
        <v>46</v>
      </c>
      <c r="W175" s="3">
        <v>46</v>
      </c>
      <c r="X175" s="3">
        <v>46</v>
      </c>
      <c r="Y175" s="3">
        <v>0.81</v>
      </c>
      <c r="Z175" s="3">
        <v>0.5</v>
      </c>
      <c r="AA175" s="3" t="s">
        <v>110</v>
      </c>
      <c r="AB175" s="3"/>
      <c r="AC175" s="6">
        <v>43934</v>
      </c>
      <c r="AD175" s="6">
        <v>43950</v>
      </c>
      <c r="AE175" s="6">
        <v>43938</v>
      </c>
      <c r="AF175" s="6">
        <v>43938</v>
      </c>
      <c r="AG175" s="18" t="s">
        <v>75</v>
      </c>
      <c r="AH175" s="19">
        <v>100</v>
      </c>
      <c r="AI175" s="19">
        <v>100</v>
      </c>
      <c r="AJ175" s="19">
        <v>100</v>
      </c>
      <c r="AK175" s="19" t="s">
        <v>111</v>
      </c>
      <c r="AL175" s="5" t="s">
        <v>72</v>
      </c>
      <c r="AM175" s="5"/>
      <c r="AN175" s="5" t="s">
        <v>72</v>
      </c>
      <c r="AW175" s="143"/>
    </row>
    <row r="176" spans="2:49" ht="15">
      <c r="B176" s="34">
        <v>230</v>
      </c>
      <c r="C176" s="11">
        <v>20200413</v>
      </c>
      <c r="D176" s="12" t="s">
        <v>24</v>
      </c>
      <c r="E176" s="13" t="s">
        <v>234</v>
      </c>
      <c r="F176" s="14" t="s">
        <v>280</v>
      </c>
      <c r="G176" s="13">
        <v>1375671</v>
      </c>
      <c r="H176" s="15" t="s">
        <v>72</v>
      </c>
      <c r="I176" s="17" t="s">
        <v>281</v>
      </c>
      <c r="J176" s="15" t="s">
        <v>72</v>
      </c>
      <c r="K176" s="3" t="s">
        <v>73</v>
      </c>
      <c r="L176" s="36">
        <v>81728</v>
      </c>
      <c r="M176" s="15" t="s">
        <v>72</v>
      </c>
      <c r="N176" s="3" t="s">
        <v>237</v>
      </c>
      <c r="O176" s="5" t="s">
        <v>72</v>
      </c>
      <c r="P176" s="5" t="s">
        <v>587</v>
      </c>
      <c r="Q176" s="11" t="s">
        <v>498</v>
      </c>
      <c r="R176" s="15" t="s">
        <v>72</v>
      </c>
      <c r="S176" s="3" t="s">
        <v>161</v>
      </c>
      <c r="T176" s="3"/>
      <c r="U176" s="3"/>
      <c r="V176" s="13">
        <v>441</v>
      </c>
      <c r="W176" s="3">
        <v>441</v>
      </c>
      <c r="X176" s="3">
        <v>441</v>
      </c>
      <c r="Y176" s="3">
        <v>7.84</v>
      </c>
      <c r="Z176" s="3">
        <v>2</v>
      </c>
      <c r="AA176" s="3" t="s">
        <v>110</v>
      </c>
      <c r="AB176" s="3"/>
      <c r="AC176" s="6">
        <v>43934</v>
      </c>
      <c r="AD176" s="6">
        <v>43950</v>
      </c>
      <c r="AE176" s="6">
        <v>43938</v>
      </c>
      <c r="AF176" s="6">
        <v>43938</v>
      </c>
      <c r="AG176" s="18" t="s">
        <v>75</v>
      </c>
      <c r="AH176" s="19">
        <v>100</v>
      </c>
      <c r="AI176" s="19">
        <v>100</v>
      </c>
      <c r="AJ176" s="19">
        <v>100</v>
      </c>
      <c r="AK176" s="19" t="s">
        <v>111</v>
      </c>
      <c r="AL176" s="5" t="s">
        <v>72</v>
      </c>
      <c r="AM176" s="5"/>
      <c r="AN176" s="5" t="s">
        <v>72</v>
      </c>
      <c r="AW176" s="143"/>
    </row>
    <row r="177" spans="2:49" ht="15">
      <c r="B177" s="34">
        <v>231</v>
      </c>
      <c r="C177" s="11">
        <v>20200413</v>
      </c>
      <c r="D177" s="12" t="s">
        <v>24</v>
      </c>
      <c r="E177" s="13" t="s">
        <v>234</v>
      </c>
      <c r="F177" s="14" t="s">
        <v>280</v>
      </c>
      <c r="G177" s="13">
        <v>1375671</v>
      </c>
      <c r="H177" s="15" t="s">
        <v>72</v>
      </c>
      <c r="I177" s="17" t="s">
        <v>282</v>
      </c>
      <c r="J177" s="15" t="s">
        <v>72</v>
      </c>
      <c r="K177" s="3" t="s">
        <v>73</v>
      </c>
      <c r="L177" s="36">
        <v>81728</v>
      </c>
      <c r="M177" s="15" t="s">
        <v>72</v>
      </c>
      <c r="N177" s="3" t="s">
        <v>237</v>
      </c>
      <c r="O177" s="5" t="s">
        <v>72</v>
      </c>
      <c r="P177" s="5" t="s">
        <v>587</v>
      </c>
      <c r="Q177" s="11" t="s">
        <v>499</v>
      </c>
      <c r="R177" s="15" t="s">
        <v>72</v>
      </c>
      <c r="S177" s="3" t="s">
        <v>109</v>
      </c>
      <c r="T177" s="3"/>
      <c r="U177" s="3"/>
      <c r="V177" s="13">
        <v>29</v>
      </c>
      <c r="W177" s="3">
        <v>29</v>
      </c>
      <c r="X177" s="3">
        <v>29</v>
      </c>
      <c r="Y177" s="3">
        <v>0.51</v>
      </c>
      <c r="Z177" s="3">
        <v>0.5</v>
      </c>
      <c r="AA177" s="3" t="s">
        <v>110</v>
      </c>
      <c r="AB177" s="3"/>
      <c r="AC177" s="6">
        <v>43934</v>
      </c>
      <c r="AD177" s="6">
        <v>43950</v>
      </c>
      <c r="AE177" s="6">
        <v>43938</v>
      </c>
      <c r="AF177" s="6">
        <v>43938</v>
      </c>
      <c r="AG177" s="18" t="s">
        <v>75</v>
      </c>
      <c r="AH177" s="3">
        <v>100</v>
      </c>
      <c r="AI177" s="3">
        <v>100</v>
      </c>
      <c r="AJ177" s="3">
        <v>100</v>
      </c>
      <c r="AK177" s="3" t="s">
        <v>111</v>
      </c>
      <c r="AL177" s="5" t="s">
        <v>72</v>
      </c>
      <c r="AM177" s="5"/>
      <c r="AN177" s="5" t="s">
        <v>72</v>
      </c>
      <c r="AW177" s="143"/>
    </row>
    <row r="178" spans="2:49" ht="15">
      <c r="B178" s="34">
        <v>232</v>
      </c>
      <c r="C178" s="11">
        <v>20200413</v>
      </c>
      <c r="D178" s="12" t="s">
        <v>24</v>
      </c>
      <c r="E178" s="13" t="s">
        <v>234</v>
      </c>
      <c r="F178" s="29" t="s">
        <v>280</v>
      </c>
      <c r="G178" s="17">
        <v>1375671</v>
      </c>
      <c r="H178" s="15" t="s">
        <v>72</v>
      </c>
      <c r="I178" s="17" t="s">
        <v>198</v>
      </c>
      <c r="J178" s="15" t="s">
        <v>72</v>
      </c>
      <c r="K178" s="17" t="s">
        <v>73</v>
      </c>
      <c r="L178" s="35">
        <v>81728</v>
      </c>
      <c r="M178" s="15" t="s">
        <v>72</v>
      </c>
      <c r="N178" s="28" t="s">
        <v>237</v>
      </c>
      <c r="O178" s="5" t="s">
        <v>72</v>
      </c>
      <c r="P178" s="5" t="s">
        <v>587</v>
      </c>
      <c r="Q178" s="11" t="s">
        <v>500</v>
      </c>
      <c r="R178" s="15" t="s">
        <v>72</v>
      </c>
      <c r="S178" s="3" t="s">
        <v>113</v>
      </c>
      <c r="T178" s="3"/>
      <c r="U178" s="3"/>
      <c r="V178" s="13">
        <v>124</v>
      </c>
      <c r="W178" s="11">
        <v>124</v>
      </c>
      <c r="X178" s="3">
        <v>124</v>
      </c>
      <c r="Y178" s="3">
        <v>2.2000000000000002</v>
      </c>
      <c r="Z178" s="3">
        <v>1</v>
      </c>
      <c r="AA178" s="3" t="s">
        <v>110</v>
      </c>
      <c r="AB178" s="3"/>
      <c r="AC178" s="6">
        <v>43934</v>
      </c>
      <c r="AD178" s="6">
        <v>43950</v>
      </c>
      <c r="AE178" s="6">
        <v>43937</v>
      </c>
      <c r="AF178" s="6">
        <v>43937</v>
      </c>
      <c r="AG178" s="18" t="s">
        <v>75</v>
      </c>
      <c r="AH178" s="19">
        <v>100</v>
      </c>
      <c r="AI178" s="19">
        <v>100</v>
      </c>
      <c r="AJ178" s="19">
        <v>100</v>
      </c>
      <c r="AK178" s="19" t="s">
        <v>111</v>
      </c>
      <c r="AL178" s="5" t="s">
        <v>72</v>
      </c>
      <c r="AM178" s="5"/>
      <c r="AN178" s="5" t="s">
        <v>72</v>
      </c>
      <c r="AW178" s="143"/>
    </row>
    <row r="179" spans="2:49" ht="15">
      <c r="B179" s="34">
        <v>233</v>
      </c>
      <c r="C179" s="11">
        <v>20200413</v>
      </c>
      <c r="D179" s="12" t="s">
        <v>24</v>
      </c>
      <c r="E179" s="13" t="s">
        <v>234</v>
      </c>
      <c r="F179" s="14" t="s">
        <v>280</v>
      </c>
      <c r="G179" s="13">
        <v>1375671</v>
      </c>
      <c r="H179" s="15" t="s">
        <v>72</v>
      </c>
      <c r="I179" s="37" t="s">
        <v>283</v>
      </c>
      <c r="J179" s="15" t="s">
        <v>72</v>
      </c>
      <c r="K179" s="3" t="s">
        <v>73</v>
      </c>
      <c r="L179" s="36">
        <v>81728</v>
      </c>
      <c r="M179" s="15" t="s">
        <v>72</v>
      </c>
      <c r="N179" s="3" t="s">
        <v>237</v>
      </c>
      <c r="O179" s="5" t="s">
        <v>72</v>
      </c>
      <c r="P179" s="5" t="s">
        <v>587</v>
      </c>
      <c r="Q179" s="11" t="s">
        <v>501</v>
      </c>
      <c r="R179" s="15" t="s">
        <v>72</v>
      </c>
      <c r="S179" s="3" t="s">
        <v>117</v>
      </c>
      <c r="T179" s="3"/>
      <c r="U179" s="3"/>
      <c r="V179" s="13">
        <v>61</v>
      </c>
      <c r="W179" s="3">
        <v>61</v>
      </c>
      <c r="X179" s="3">
        <v>61</v>
      </c>
      <c r="Y179" s="3">
        <v>1.08</v>
      </c>
      <c r="Z179" s="3">
        <v>1</v>
      </c>
      <c r="AA179" s="3" t="s">
        <v>110</v>
      </c>
      <c r="AB179" s="3"/>
      <c r="AC179" s="6">
        <v>43934</v>
      </c>
      <c r="AD179" s="6">
        <v>43950</v>
      </c>
      <c r="AE179" s="6">
        <v>43949</v>
      </c>
      <c r="AF179" s="6">
        <v>43949</v>
      </c>
      <c r="AG179" s="18" t="s">
        <v>75</v>
      </c>
      <c r="AH179" s="19">
        <v>100</v>
      </c>
      <c r="AI179" s="19">
        <v>100</v>
      </c>
      <c r="AJ179" s="19">
        <v>100</v>
      </c>
      <c r="AK179" s="19" t="s">
        <v>111</v>
      </c>
      <c r="AL179" s="5" t="s">
        <v>72</v>
      </c>
      <c r="AM179" s="5"/>
      <c r="AN179" s="5" t="s">
        <v>72</v>
      </c>
      <c r="AW179" s="143"/>
    </row>
    <row r="180" spans="2:49" ht="15">
      <c r="B180" s="34">
        <v>234</v>
      </c>
      <c r="C180" s="11">
        <v>20200413</v>
      </c>
      <c r="D180" s="12" t="s">
        <v>24</v>
      </c>
      <c r="E180" s="13" t="s">
        <v>234</v>
      </c>
      <c r="F180" s="14" t="s">
        <v>280</v>
      </c>
      <c r="G180" s="13">
        <v>1375671</v>
      </c>
      <c r="H180" s="15" t="s">
        <v>72</v>
      </c>
      <c r="I180" s="17" t="s">
        <v>284</v>
      </c>
      <c r="J180" s="15" t="s">
        <v>72</v>
      </c>
      <c r="K180" s="3" t="s">
        <v>73</v>
      </c>
      <c r="L180" s="36">
        <v>81728</v>
      </c>
      <c r="M180" s="15" t="s">
        <v>72</v>
      </c>
      <c r="N180" s="3" t="s">
        <v>237</v>
      </c>
      <c r="O180" s="5" t="s">
        <v>72</v>
      </c>
      <c r="P180" s="5" t="s">
        <v>587</v>
      </c>
      <c r="Q180" s="11" t="s">
        <v>502</v>
      </c>
      <c r="R180" s="15" t="s">
        <v>72</v>
      </c>
      <c r="S180" s="3" t="s">
        <v>161</v>
      </c>
      <c r="T180" s="3"/>
      <c r="U180" s="3"/>
      <c r="V180" s="13">
        <v>42</v>
      </c>
      <c r="W180" s="3">
        <v>42</v>
      </c>
      <c r="X180" s="3">
        <v>42</v>
      </c>
      <c r="Y180" s="3">
        <v>0.74</v>
      </c>
      <c r="Z180" s="3">
        <v>0.5</v>
      </c>
      <c r="AA180" s="3" t="s">
        <v>110</v>
      </c>
      <c r="AB180" s="3"/>
      <c r="AC180" s="6">
        <v>43934</v>
      </c>
      <c r="AD180" s="6">
        <v>43950</v>
      </c>
      <c r="AE180" s="6">
        <v>43938</v>
      </c>
      <c r="AF180" s="6">
        <v>43938</v>
      </c>
      <c r="AG180" s="18" t="s">
        <v>75</v>
      </c>
      <c r="AH180" s="19">
        <v>100</v>
      </c>
      <c r="AI180" s="19">
        <v>100</v>
      </c>
      <c r="AJ180" s="19">
        <v>100</v>
      </c>
      <c r="AK180" s="19" t="s">
        <v>111</v>
      </c>
      <c r="AL180" s="5" t="s">
        <v>72</v>
      </c>
      <c r="AM180" s="5"/>
      <c r="AN180" s="5" t="s">
        <v>72</v>
      </c>
      <c r="AW180" s="143"/>
    </row>
    <row r="181" spans="2:49" ht="15">
      <c r="B181" s="34">
        <v>235</v>
      </c>
      <c r="C181" s="11">
        <v>20200413</v>
      </c>
      <c r="D181" s="12" t="s">
        <v>24</v>
      </c>
      <c r="E181" s="13" t="s">
        <v>234</v>
      </c>
      <c r="F181" s="14" t="s">
        <v>280</v>
      </c>
      <c r="G181" s="13">
        <v>1375671</v>
      </c>
      <c r="H181" s="15" t="s">
        <v>72</v>
      </c>
      <c r="I181" s="17" t="s">
        <v>285</v>
      </c>
      <c r="J181" s="15" t="s">
        <v>72</v>
      </c>
      <c r="K181" s="3" t="s">
        <v>73</v>
      </c>
      <c r="L181" s="36">
        <v>81728</v>
      </c>
      <c r="M181" s="15" t="s">
        <v>72</v>
      </c>
      <c r="N181" s="3" t="s">
        <v>237</v>
      </c>
      <c r="O181" s="5" t="s">
        <v>72</v>
      </c>
      <c r="P181" s="5" t="s">
        <v>587</v>
      </c>
      <c r="Q181" s="11" t="s">
        <v>503</v>
      </c>
      <c r="R181" s="15" t="s">
        <v>72</v>
      </c>
      <c r="S181" s="3" t="s">
        <v>161</v>
      </c>
      <c r="T181" s="3"/>
      <c r="U181" s="3"/>
      <c r="V181" s="13">
        <v>40</v>
      </c>
      <c r="W181" s="3">
        <v>40</v>
      </c>
      <c r="X181" s="3">
        <v>40</v>
      </c>
      <c r="Y181" s="3">
        <v>0.71</v>
      </c>
      <c r="Z181" s="3">
        <v>0.5</v>
      </c>
      <c r="AA181" s="3" t="s">
        <v>110</v>
      </c>
      <c r="AB181" s="3"/>
      <c r="AC181" s="6">
        <v>43934</v>
      </c>
      <c r="AD181" s="6">
        <v>43950</v>
      </c>
      <c r="AE181" s="6">
        <v>43938</v>
      </c>
      <c r="AF181" s="6">
        <v>43938</v>
      </c>
      <c r="AG181" s="18" t="s">
        <v>75</v>
      </c>
      <c r="AH181" s="19">
        <v>100</v>
      </c>
      <c r="AI181" s="19">
        <v>100</v>
      </c>
      <c r="AJ181" s="19">
        <v>100</v>
      </c>
      <c r="AK181" s="19" t="s">
        <v>111</v>
      </c>
      <c r="AL181" s="5" t="s">
        <v>72</v>
      </c>
      <c r="AM181" s="5"/>
      <c r="AN181" s="5" t="s">
        <v>72</v>
      </c>
      <c r="AW181" s="143"/>
    </row>
    <row r="182" spans="2:49" ht="15">
      <c r="B182" s="12">
        <v>236</v>
      </c>
      <c r="C182" s="11">
        <v>20200413</v>
      </c>
      <c r="D182" s="12" t="s">
        <v>24</v>
      </c>
      <c r="E182" s="13" t="s">
        <v>286</v>
      </c>
      <c r="F182" s="39" t="s">
        <v>287</v>
      </c>
      <c r="G182" s="40">
        <v>1412462</v>
      </c>
      <c r="H182" s="15" t="s">
        <v>72</v>
      </c>
      <c r="I182" s="11" t="s">
        <v>32</v>
      </c>
      <c r="J182" s="15" t="s">
        <v>72</v>
      </c>
      <c r="K182" s="3" t="s">
        <v>73</v>
      </c>
      <c r="L182" s="36">
        <v>80237</v>
      </c>
      <c r="M182" s="15" t="s">
        <v>72</v>
      </c>
      <c r="N182" s="3"/>
      <c r="O182" s="5"/>
      <c r="P182" s="5" t="s">
        <v>1285</v>
      </c>
      <c r="Q182" s="11" t="s">
        <v>504</v>
      </c>
      <c r="R182" s="15" t="s">
        <v>72</v>
      </c>
      <c r="S182" s="3" t="s">
        <v>117</v>
      </c>
      <c r="T182" s="3"/>
      <c r="U182" s="3"/>
      <c r="V182" s="13">
        <v>259</v>
      </c>
      <c r="W182" s="3">
        <v>259</v>
      </c>
      <c r="X182" s="3">
        <v>259</v>
      </c>
      <c r="Y182" s="3">
        <v>4.5999999999999996</v>
      </c>
      <c r="Z182" s="3">
        <v>1</v>
      </c>
      <c r="AA182" s="3" t="s">
        <v>505</v>
      </c>
      <c r="AB182" s="3"/>
      <c r="AC182" s="6">
        <v>43963</v>
      </c>
      <c r="AD182" s="6">
        <v>43964</v>
      </c>
      <c r="AE182" s="6">
        <v>43963</v>
      </c>
      <c r="AF182" s="6">
        <v>43963</v>
      </c>
      <c r="AG182" s="18" t="s">
        <v>79</v>
      </c>
      <c r="AH182" s="19">
        <v>100</v>
      </c>
      <c r="AI182" s="19">
        <v>100</v>
      </c>
      <c r="AJ182" s="19">
        <v>87</v>
      </c>
      <c r="AK182" s="19" t="s">
        <v>76</v>
      </c>
      <c r="AL182" s="5" t="s">
        <v>506</v>
      </c>
      <c r="AM182" s="5"/>
      <c r="AN182" s="5" t="s">
        <v>72</v>
      </c>
      <c r="AW182" s="143"/>
    </row>
    <row r="183" spans="2:49" ht="15">
      <c r="B183" s="12">
        <v>237</v>
      </c>
      <c r="C183" s="11">
        <v>20200413</v>
      </c>
      <c r="D183" s="12" t="s">
        <v>24</v>
      </c>
      <c r="E183" s="13" t="s">
        <v>286</v>
      </c>
      <c r="F183" s="39" t="s">
        <v>288</v>
      </c>
      <c r="G183" s="40">
        <v>1412462</v>
      </c>
      <c r="H183" s="15" t="s">
        <v>72</v>
      </c>
      <c r="I183" s="11" t="s">
        <v>289</v>
      </c>
      <c r="J183" s="15" t="s">
        <v>72</v>
      </c>
      <c r="K183" s="3" t="s">
        <v>73</v>
      </c>
      <c r="L183" s="36">
        <v>80237</v>
      </c>
      <c r="M183" s="15" t="s">
        <v>72</v>
      </c>
      <c r="N183" s="3"/>
      <c r="O183" s="5"/>
      <c r="P183" s="5" t="s">
        <v>1285</v>
      </c>
      <c r="Q183" s="11" t="s">
        <v>507</v>
      </c>
      <c r="R183" s="15" t="s">
        <v>72</v>
      </c>
      <c r="S183" s="3" t="s">
        <v>117</v>
      </c>
      <c r="T183" s="3"/>
      <c r="U183" s="3"/>
      <c r="V183" s="13">
        <v>19</v>
      </c>
      <c r="W183" s="3">
        <v>19</v>
      </c>
      <c r="X183" s="3">
        <v>19</v>
      </c>
      <c r="Y183" s="3">
        <v>0.33</v>
      </c>
      <c r="Z183" s="3">
        <v>0.2</v>
      </c>
      <c r="AA183" s="3" t="s">
        <v>505</v>
      </c>
      <c r="AB183" s="3"/>
      <c r="AC183" s="6">
        <v>43963</v>
      </c>
      <c r="AD183" s="6">
        <v>43964</v>
      </c>
      <c r="AE183" s="6">
        <v>43963</v>
      </c>
      <c r="AF183" s="6">
        <v>43963</v>
      </c>
      <c r="AG183" s="18" t="s">
        <v>75</v>
      </c>
      <c r="AH183" s="19">
        <v>100</v>
      </c>
      <c r="AI183" s="19">
        <v>100</v>
      </c>
      <c r="AJ183" s="19">
        <v>100</v>
      </c>
      <c r="AK183" s="19" t="s">
        <v>111</v>
      </c>
      <c r="AL183" s="5" t="s">
        <v>72</v>
      </c>
      <c r="AM183" s="5"/>
      <c r="AN183" s="5" t="s">
        <v>72</v>
      </c>
      <c r="AW183" s="143"/>
    </row>
    <row r="184" spans="2:49" ht="15">
      <c r="B184" s="12">
        <v>238</v>
      </c>
      <c r="C184" s="11">
        <v>20200413</v>
      </c>
      <c r="D184" s="12" t="s">
        <v>24</v>
      </c>
      <c r="E184" s="13" t="s">
        <v>286</v>
      </c>
      <c r="F184" s="39" t="s">
        <v>290</v>
      </c>
      <c r="G184" s="40">
        <v>1412462</v>
      </c>
      <c r="H184" s="15" t="s">
        <v>72</v>
      </c>
      <c r="I184" s="11" t="s">
        <v>187</v>
      </c>
      <c r="J184" s="15" t="s">
        <v>72</v>
      </c>
      <c r="K184" s="3" t="s">
        <v>73</v>
      </c>
      <c r="L184" s="36">
        <v>80237</v>
      </c>
      <c r="M184" s="15" t="s">
        <v>72</v>
      </c>
      <c r="N184" s="3"/>
      <c r="O184" s="5"/>
      <c r="P184" s="5" t="s">
        <v>1285</v>
      </c>
      <c r="Q184" s="11" t="s">
        <v>508</v>
      </c>
      <c r="R184" s="15" t="s">
        <v>72</v>
      </c>
      <c r="S184" s="3" t="s">
        <v>117</v>
      </c>
      <c r="T184" s="3"/>
      <c r="U184" s="3"/>
      <c r="V184" s="13">
        <v>20</v>
      </c>
      <c r="W184" s="3">
        <v>20</v>
      </c>
      <c r="X184" s="3">
        <v>20</v>
      </c>
      <c r="Y184" s="3">
        <v>0.35</v>
      </c>
      <c r="Z184" s="3">
        <v>0.2</v>
      </c>
      <c r="AA184" s="3" t="s">
        <v>505</v>
      </c>
      <c r="AB184" s="3"/>
      <c r="AC184" s="6">
        <v>43963</v>
      </c>
      <c r="AD184" s="6">
        <v>43964</v>
      </c>
      <c r="AE184" s="6">
        <v>43963</v>
      </c>
      <c r="AF184" s="6">
        <v>43963</v>
      </c>
      <c r="AG184" s="18" t="s">
        <v>75</v>
      </c>
      <c r="AH184" s="19">
        <v>100</v>
      </c>
      <c r="AI184" s="19">
        <v>100</v>
      </c>
      <c r="AJ184" s="19">
        <v>100</v>
      </c>
      <c r="AK184" s="19" t="s">
        <v>111</v>
      </c>
      <c r="AL184" s="5" t="s">
        <v>72</v>
      </c>
      <c r="AM184" s="5"/>
      <c r="AN184" s="5" t="s">
        <v>72</v>
      </c>
      <c r="AW184" s="143"/>
    </row>
    <row r="185" spans="2:49" ht="15">
      <c r="B185" s="12">
        <v>239</v>
      </c>
      <c r="C185" s="11">
        <v>20200413</v>
      </c>
      <c r="D185" s="12" t="s">
        <v>24</v>
      </c>
      <c r="E185" s="13" t="s">
        <v>286</v>
      </c>
      <c r="F185" s="39" t="s">
        <v>291</v>
      </c>
      <c r="G185" s="40">
        <v>1412462</v>
      </c>
      <c r="H185" s="15" t="s">
        <v>72</v>
      </c>
      <c r="I185" s="11" t="s">
        <v>35</v>
      </c>
      <c r="J185" s="15" t="s">
        <v>72</v>
      </c>
      <c r="K185" s="3" t="s">
        <v>73</v>
      </c>
      <c r="L185" s="36">
        <v>80237</v>
      </c>
      <c r="M185" s="15" t="s">
        <v>72</v>
      </c>
      <c r="N185" s="3"/>
      <c r="O185" s="5"/>
      <c r="P185" s="5" t="s">
        <v>1285</v>
      </c>
      <c r="Q185" s="11" t="s">
        <v>509</v>
      </c>
      <c r="R185" s="15" t="s">
        <v>72</v>
      </c>
      <c r="S185" s="3" t="s">
        <v>117</v>
      </c>
      <c r="T185" s="3"/>
      <c r="U185" s="3"/>
      <c r="V185" s="13">
        <v>230</v>
      </c>
      <c r="W185" s="3">
        <v>230</v>
      </c>
      <c r="X185" s="3">
        <v>230</v>
      </c>
      <c r="Y185" s="3">
        <v>4.08</v>
      </c>
      <c r="Z185" s="3">
        <v>1</v>
      </c>
      <c r="AA185" s="3" t="s">
        <v>505</v>
      </c>
      <c r="AB185" s="3"/>
      <c r="AC185" s="6">
        <v>43963</v>
      </c>
      <c r="AD185" s="6">
        <v>43964</v>
      </c>
      <c r="AE185" s="6">
        <v>43963</v>
      </c>
      <c r="AF185" s="6">
        <v>43963</v>
      </c>
      <c r="AG185" s="18" t="s">
        <v>75</v>
      </c>
      <c r="AH185" s="19">
        <v>100</v>
      </c>
      <c r="AI185" s="19">
        <v>100</v>
      </c>
      <c r="AJ185" s="19">
        <v>100</v>
      </c>
      <c r="AK185" s="19" t="s">
        <v>111</v>
      </c>
      <c r="AL185" s="5" t="s">
        <v>72</v>
      </c>
      <c r="AM185" s="5"/>
      <c r="AN185" s="5" t="s">
        <v>72</v>
      </c>
      <c r="AW185" s="143"/>
    </row>
    <row r="186" spans="2:49" ht="15">
      <c r="B186" s="12">
        <v>240</v>
      </c>
      <c r="C186" s="11">
        <v>20200413</v>
      </c>
      <c r="D186" s="12" t="s">
        <v>24</v>
      </c>
      <c r="E186" s="13" t="s">
        <v>286</v>
      </c>
      <c r="F186" s="39" t="s">
        <v>292</v>
      </c>
      <c r="G186" s="40">
        <v>1412462</v>
      </c>
      <c r="H186" s="15" t="s">
        <v>72</v>
      </c>
      <c r="I186" s="11" t="s">
        <v>255</v>
      </c>
      <c r="J186" s="15" t="s">
        <v>72</v>
      </c>
      <c r="K186" s="3" t="s">
        <v>73</v>
      </c>
      <c r="L186" s="36">
        <v>80237</v>
      </c>
      <c r="M186" s="15" t="s">
        <v>72</v>
      </c>
      <c r="N186" s="3"/>
      <c r="O186" s="5"/>
      <c r="P186" s="5" t="s">
        <v>1285</v>
      </c>
      <c r="Q186" s="11" t="s">
        <v>510</v>
      </c>
      <c r="R186" s="15" t="s">
        <v>72</v>
      </c>
      <c r="S186" s="3" t="s">
        <v>161</v>
      </c>
      <c r="T186" s="3"/>
      <c r="U186" s="3"/>
      <c r="V186" s="13">
        <v>106</v>
      </c>
      <c r="W186" s="3">
        <v>106</v>
      </c>
      <c r="X186" s="3">
        <v>106</v>
      </c>
      <c r="Y186" s="3">
        <v>1.88</v>
      </c>
      <c r="Z186" s="3">
        <v>1</v>
      </c>
      <c r="AA186" s="3" t="s">
        <v>505</v>
      </c>
      <c r="AB186" s="3"/>
      <c r="AC186" s="6">
        <v>43963</v>
      </c>
      <c r="AD186" s="6">
        <v>43964</v>
      </c>
      <c r="AE186" s="6">
        <v>43963</v>
      </c>
      <c r="AF186" s="6">
        <v>43963</v>
      </c>
      <c r="AG186" s="18" t="s">
        <v>75</v>
      </c>
      <c r="AH186" s="19">
        <v>100</v>
      </c>
      <c r="AI186" s="19">
        <v>100</v>
      </c>
      <c r="AJ186" s="19">
        <v>100</v>
      </c>
      <c r="AK186" s="19" t="s">
        <v>111</v>
      </c>
      <c r="AL186" s="5" t="s">
        <v>72</v>
      </c>
      <c r="AM186" s="5"/>
      <c r="AN186" s="5" t="s">
        <v>72</v>
      </c>
      <c r="AW186" s="143"/>
    </row>
    <row r="187" spans="2:49" ht="15">
      <c r="B187" s="12">
        <v>241</v>
      </c>
      <c r="C187" s="11">
        <v>20200413</v>
      </c>
      <c r="D187" s="12" t="s">
        <v>24</v>
      </c>
      <c r="E187" s="13" t="s">
        <v>286</v>
      </c>
      <c r="F187" s="39" t="s">
        <v>293</v>
      </c>
      <c r="G187" s="40">
        <v>1412462</v>
      </c>
      <c r="H187" s="15" t="s">
        <v>72</v>
      </c>
      <c r="I187" s="11" t="s">
        <v>196</v>
      </c>
      <c r="J187" s="15" t="s">
        <v>72</v>
      </c>
      <c r="K187" s="3" t="s">
        <v>73</v>
      </c>
      <c r="L187" s="36">
        <v>80237</v>
      </c>
      <c r="M187" s="15" t="s">
        <v>72</v>
      </c>
      <c r="N187" s="3"/>
      <c r="O187" s="5"/>
      <c r="P187" s="5" t="s">
        <v>1285</v>
      </c>
      <c r="Q187" s="11" t="s">
        <v>511</v>
      </c>
      <c r="R187" s="15" t="s">
        <v>72</v>
      </c>
      <c r="S187" s="3" t="s">
        <v>161</v>
      </c>
      <c r="T187" s="3"/>
      <c r="U187" s="3"/>
      <c r="V187" s="13">
        <v>44</v>
      </c>
      <c r="W187" s="3">
        <v>44</v>
      </c>
      <c r="X187" s="3">
        <v>44</v>
      </c>
      <c r="Y187" s="3">
        <v>0.78</v>
      </c>
      <c r="Z187" s="3">
        <v>0.5</v>
      </c>
      <c r="AA187" s="3" t="s">
        <v>505</v>
      </c>
      <c r="AB187" s="3"/>
      <c r="AC187" s="6">
        <v>43963</v>
      </c>
      <c r="AD187" s="6">
        <v>43964</v>
      </c>
      <c r="AE187" s="6">
        <v>43963</v>
      </c>
      <c r="AF187" s="6">
        <v>43963</v>
      </c>
      <c r="AG187" s="18" t="s">
        <v>75</v>
      </c>
      <c r="AH187" s="19">
        <v>100</v>
      </c>
      <c r="AI187" s="19">
        <v>100</v>
      </c>
      <c r="AJ187" s="19">
        <v>100</v>
      </c>
      <c r="AK187" s="19" t="s">
        <v>111</v>
      </c>
      <c r="AL187" s="5" t="s">
        <v>72</v>
      </c>
      <c r="AM187" s="5"/>
      <c r="AN187" s="5" t="s">
        <v>72</v>
      </c>
      <c r="AW187" s="143"/>
    </row>
    <row r="188" spans="2:49" ht="15">
      <c r="B188" s="12">
        <v>242</v>
      </c>
      <c r="C188" s="11">
        <v>20200413</v>
      </c>
      <c r="D188" s="12" t="s">
        <v>24</v>
      </c>
      <c r="E188" s="13" t="s">
        <v>286</v>
      </c>
      <c r="F188" s="39" t="s">
        <v>294</v>
      </c>
      <c r="G188" s="40">
        <v>1412462</v>
      </c>
      <c r="H188" s="15" t="s">
        <v>72</v>
      </c>
      <c r="I188" s="11" t="s">
        <v>256</v>
      </c>
      <c r="J188" s="15" t="s">
        <v>72</v>
      </c>
      <c r="K188" s="3" t="s">
        <v>73</v>
      </c>
      <c r="L188" s="36">
        <v>80237</v>
      </c>
      <c r="M188" s="15" t="s">
        <v>72</v>
      </c>
      <c r="N188" s="3"/>
      <c r="O188" s="5"/>
      <c r="P188" s="5" t="s">
        <v>1285</v>
      </c>
      <c r="Q188" s="11" t="s">
        <v>512</v>
      </c>
      <c r="R188" s="15" t="s">
        <v>72</v>
      </c>
      <c r="S188" s="3" t="s">
        <v>161</v>
      </c>
      <c r="T188" s="3"/>
      <c r="U188" s="3"/>
      <c r="V188" s="13">
        <v>160</v>
      </c>
      <c r="W188" s="3">
        <v>160</v>
      </c>
      <c r="X188" s="3">
        <v>160</v>
      </c>
      <c r="Y188" s="3">
        <v>2.84</v>
      </c>
      <c r="Z188" s="3">
        <v>2</v>
      </c>
      <c r="AA188" s="3" t="s">
        <v>505</v>
      </c>
      <c r="AB188" s="3"/>
      <c r="AC188" s="6">
        <v>43963</v>
      </c>
      <c r="AD188" s="6">
        <v>43964</v>
      </c>
      <c r="AE188" s="6">
        <v>43963</v>
      </c>
      <c r="AF188" s="6">
        <v>43963</v>
      </c>
      <c r="AG188" s="18" t="s">
        <v>75</v>
      </c>
      <c r="AH188" s="19">
        <v>100</v>
      </c>
      <c r="AI188" s="19">
        <v>100</v>
      </c>
      <c r="AJ188" s="19">
        <v>100</v>
      </c>
      <c r="AK188" s="19" t="s">
        <v>111</v>
      </c>
      <c r="AL188" s="5" t="s">
        <v>72</v>
      </c>
      <c r="AM188" s="5"/>
      <c r="AN188" s="5" t="s">
        <v>72</v>
      </c>
      <c r="AW188" s="143"/>
    </row>
    <row r="189" spans="2:49" ht="15">
      <c r="B189" s="12">
        <v>243</v>
      </c>
      <c r="C189" s="11">
        <v>20200413</v>
      </c>
      <c r="D189" s="12" t="s">
        <v>24</v>
      </c>
      <c r="E189" s="13" t="s">
        <v>286</v>
      </c>
      <c r="F189" s="39" t="s">
        <v>295</v>
      </c>
      <c r="G189" s="40">
        <v>1412462</v>
      </c>
      <c r="H189" s="15" t="s">
        <v>72</v>
      </c>
      <c r="I189" s="11" t="s">
        <v>296</v>
      </c>
      <c r="J189" s="15" t="s">
        <v>72</v>
      </c>
      <c r="K189" s="3" t="s">
        <v>73</v>
      </c>
      <c r="L189" s="36">
        <v>80237</v>
      </c>
      <c r="M189" s="15" t="s">
        <v>72</v>
      </c>
      <c r="N189" s="3"/>
      <c r="O189" s="5"/>
      <c r="P189" s="5" t="s">
        <v>1285</v>
      </c>
      <c r="Q189" s="11" t="s">
        <v>513</v>
      </c>
      <c r="R189" s="15" t="s">
        <v>72</v>
      </c>
      <c r="S189" s="3" t="s">
        <v>161</v>
      </c>
      <c r="T189" s="3"/>
      <c r="U189" s="3"/>
      <c r="V189" s="13">
        <v>23</v>
      </c>
      <c r="W189" s="3">
        <v>23</v>
      </c>
      <c r="X189" s="3">
        <v>23</v>
      </c>
      <c r="Y189" s="3">
        <v>0.4</v>
      </c>
      <c r="Z189" s="3">
        <v>0.5</v>
      </c>
      <c r="AA189" s="3" t="s">
        <v>505</v>
      </c>
      <c r="AB189" s="3"/>
      <c r="AC189" s="6">
        <v>43963</v>
      </c>
      <c r="AD189" s="6">
        <v>43964</v>
      </c>
      <c r="AE189" s="6">
        <v>43963</v>
      </c>
      <c r="AF189" s="6">
        <v>43963</v>
      </c>
      <c r="AG189" s="18" t="s">
        <v>75</v>
      </c>
      <c r="AH189" s="19">
        <v>100</v>
      </c>
      <c r="AI189" s="19">
        <v>100</v>
      </c>
      <c r="AJ189" s="19">
        <v>100</v>
      </c>
      <c r="AK189" s="19" t="s">
        <v>111</v>
      </c>
      <c r="AL189" s="5" t="s">
        <v>72</v>
      </c>
      <c r="AM189" s="5"/>
      <c r="AN189" s="5" t="s">
        <v>72</v>
      </c>
      <c r="AW189" s="143"/>
    </row>
    <row r="190" spans="2:49" ht="15">
      <c r="B190" s="12">
        <v>244</v>
      </c>
      <c r="C190" s="11">
        <v>20200413</v>
      </c>
      <c r="D190" s="12" t="s">
        <v>24</v>
      </c>
      <c r="E190" s="13" t="s">
        <v>286</v>
      </c>
      <c r="F190" s="39" t="s">
        <v>297</v>
      </c>
      <c r="G190" s="40">
        <v>1412462</v>
      </c>
      <c r="H190" s="15" t="s">
        <v>72</v>
      </c>
      <c r="I190" s="11" t="s">
        <v>249</v>
      </c>
      <c r="J190" s="15" t="s">
        <v>72</v>
      </c>
      <c r="K190" s="3" t="s">
        <v>73</v>
      </c>
      <c r="L190" s="36">
        <v>80237</v>
      </c>
      <c r="M190" s="15" t="s">
        <v>72</v>
      </c>
      <c r="N190" s="3"/>
      <c r="O190" s="5"/>
      <c r="P190" s="5" t="s">
        <v>1285</v>
      </c>
      <c r="Q190" s="11" t="s">
        <v>514</v>
      </c>
      <c r="R190" s="15" t="s">
        <v>72</v>
      </c>
      <c r="S190" s="3" t="s">
        <v>161</v>
      </c>
      <c r="T190" s="3"/>
      <c r="U190" s="3"/>
      <c r="V190" s="13">
        <v>125</v>
      </c>
      <c r="W190" s="3">
        <v>125</v>
      </c>
      <c r="X190" s="3">
        <v>125</v>
      </c>
      <c r="Y190" s="3">
        <v>2.2200000000000002</v>
      </c>
      <c r="Z190" s="3">
        <v>1</v>
      </c>
      <c r="AA190" s="3" t="s">
        <v>505</v>
      </c>
      <c r="AB190" s="3"/>
      <c r="AC190" s="6">
        <v>43963</v>
      </c>
      <c r="AD190" s="6">
        <v>43964</v>
      </c>
      <c r="AE190" s="6">
        <v>43963</v>
      </c>
      <c r="AF190" s="6">
        <v>43963</v>
      </c>
      <c r="AG190" s="18" t="s">
        <v>75</v>
      </c>
      <c r="AH190" s="19">
        <v>100</v>
      </c>
      <c r="AI190" s="19">
        <v>100</v>
      </c>
      <c r="AJ190" s="19">
        <v>100</v>
      </c>
      <c r="AK190" s="19" t="s">
        <v>111</v>
      </c>
      <c r="AL190" s="5" t="s">
        <v>72</v>
      </c>
      <c r="AM190" s="5"/>
      <c r="AN190" s="5" t="s">
        <v>72</v>
      </c>
      <c r="AW190" s="143"/>
    </row>
    <row r="191" spans="2:49" ht="15">
      <c r="B191" s="12">
        <v>245</v>
      </c>
      <c r="C191" s="11">
        <v>20200413</v>
      </c>
      <c r="D191" s="12" t="s">
        <v>24</v>
      </c>
      <c r="E191" s="13" t="s">
        <v>286</v>
      </c>
      <c r="F191" s="39" t="s">
        <v>298</v>
      </c>
      <c r="G191" s="40">
        <v>1412462</v>
      </c>
      <c r="H191" s="15" t="s">
        <v>72</v>
      </c>
      <c r="I191" s="11" t="s">
        <v>268</v>
      </c>
      <c r="J191" s="15" t="s">
        <v>72</v>
      </c>
      <c r="K191" s="3" t="s">
        <v>73</v>
      </c>
      <c r="L191" s="36">
        <v>80237</v>
      </c>
      <c r="M191" s="15" t="s">
        <v>72</v>
      </c>
      <c r="N191" s="3"/>
      <c r="O191" s="5"/>
      <c r="P191" s="5" t="s">
        <v>1285</v>
      </c>
      <c r="Q191" s="11" t="s">
        <v>515</v>
      </c>
      <c r="R191" s="15" t="s">
        <v>72</v>
      </c>
      <c r="S191" s="3" t="s">
        <v>109</v>
      </c>
      <c r="T191" s="3"/>
      <c r="U191" s="3"/>
      <c r="V191" s="13">
        <v>268</v>
      </c>
      <c r="W191" s="3">
        <v>268</v>
      </c>
      <c r="X191" s="3">
        <v>268</v>
      </c>
      <c r="Y191" s="3">
        <v>4.76</v>
      </c>
      <c r="Z191" s="3">
        <v>0.5</v>
      </c>
      <c r="AA191" s="3" t="s">
        <v>505</v>
      </c>
      <c r="AB191" s="3"/>
      <c r="AC191" s="6">
        <v>43963</v>
      </c>
      <c r="AD191" s="6">
        <v>43964</v>
      </c>
      <c r="AE191" s="6">
        <v>43963</v>
      </c>
      <c r="AF191" s="6">
        <v>43963</v>
      </c>
      <c r="AG191" s="18" t="s">
        <v>75</v>
      </c>
      <c r="AH191" s="19">
        <v>100</v>
      </c>
      <c r="AI191" s="19">
        <v>100</v>
      </c>
      <c r="AJ191" s="19">
        <v>100</v>
      </c>
      <c r="AK191" s="19" t="s">
        <v>111</v>
      </c>
      <c r="AL191" s="5" t="s">
        <v>72</v>
      </c>
      <c r="AM191" s="5"/>
      <c r="AN191" s="5" t="s">
        <v>72</v>
      </c>
      <c r="AW191" s="143"/>
    </row>
    <row r="192" spans="2:49" ht="15">
      <c r="B192" s="12">
        <v>246</v>
      </c>
      <c r="C192" s="11">
        <v>20200413</v>
      </c>
      <c r="D192" s="12" t="s">
        <v>24</v>
      </c>
      <c r="E192" s="13" t="s">
        <v>286</v>
      </c>
      <c r="F192" s="39" t="s">
        <v>299</v>
      </c>
      <c r="G192" s="40">
        <v>1412462</v>
      </c>
      <c r="H192" s="15" t="s">
        <v>72</v>
      </c>
      <c r="I192" s="11" t="s">
        <v>37</v>
      </c>
      <c r="J192" s="15" t="s">
        <v>72</v>
      </c>
      <c r="K192" s="3" t="s">
        <v>73</v>
      </c>
      <c r="L192" s="36">
        <v>80237</v>
      </c>
      <c r="M192" s="15" t="s">
        <v>72</v>
      </c>
      <c r="N192" s="3"/>
      <c r="O192" s="5"/>
      <c r="P192" s="5" t="s">
        <v>1285</v>
      </c>
      <c r="Q192" s="11" t="s">
        <v>516</v>
      </c>
      <c r="R192" s="15" t="s">
        <v>72</v>
      </c>
      <c r="S192" s="3" t="s">
        <v>161</v>
      </c>
      <c r="T192" s="3"/>
      <c r="U192" s="3"/>
      <c r="V192" s="13">
        <v>143</v>
      </c>
      <c r="W192" s="3">
        <v>143</v>
      </c>
      <c r="X192" s="3">
        <v>143</v>
      </c>
      <c r="Y192" s="3">
        <v>2.54</v>
      </c>
      <c r="Z192" s="3">
        <v>2</v>
      </c>
      <c r="AA192" s="3" t="s">
        <v>505</v>
      </c>
      <c r="AB192" s="3"/>
      <c r="AC192" s="6">
        <v>43963</v>
      </c>
      <c r="AD192" s="6">
        <v>43964</v>
      </c>
      <c r="AE192" s="6">
        <v>43963</v>
      </c>
      <c r="AF192" s="6">
        <v>43963</v>
      </c>
      <c r="AG192" s="18" t="s">
        <v>79</v>
      </c>
      <c r="AH192" s="19">
        <v>98</v>
      </c>
      <c r="AI192" s="19">
        <v>96</v>
      </c>
      <c r="AJ192" s="19">
        <v>100</v>
      </c>
      <c r="AK192" s="19" t="s">
        <v>111</v>
      </c>
      <c r="AL192" s="5" t="s">
        <v>517</v>
      </c>
      <c r="AM192" s="5"/>
      <c r="AN192" s="5" t="s">
        <v>72</v>
      </c>
      <c r="AW192" s="143"/>
    </row>
    <row r="193" spans="2:49" ht="15">
      <c r="B193" s="12">
        <v>247</v>
      </c>
      <c r="C193" s="11">
        <v>20200413</v>
      </c>
      <c r="D193" s="12" t="s">
        <v>24</v>
      </c>
      <c r="E193" s="13" t="s">
        <v>286</v>
      </c>
      <c r="F193" s="39" t="s">
        <v>300</v>
      </c>
      <c r="G193" s="40">
        <v>1412462</v>
      </c>
      <c r="H193" s="15" t="s">
        <v>72</v>
      </c>
      <c r="I193" s="11" t="s">
        <v>38</v>
      </c>
      <c r="J193" s="15" t="s">
        <v>72</v>
      </c>
      <c r="K193" s="3" t="s">
        <v>73</v>
      </c>
      <c r="L193" s="36">
        <v>80237</v>
      </c>
      <c r="M193" s="15" t="s">
        <v>72</v>
      </c>
      <c r="N193" s="3"/>
      <c r="O193" s="5"/>
      <c r="P193" s="5" t="s">
        <v>1285</v>
      </c>
      <c r="Q193" s="11" t="s">
        <v>518</v>
      </c>
      <c r="R193" s="15" t="s">
        <v>72</v>
      </c>
      <c r="S193" s="3" t="s">
        <v>117</v>
      </c>
      <c r="T193" s="3"/>
      <c r="U193" s="3"/>
      <c r="V193" s="13">
        <v>136</v>
      </c>
      <c r="W193" s="3">
        <v>136</v>
      </c>
      <c r="X193" s="3">
        <v>136</v>
      </c>
      <c r="Y193" s="3">
        <v>2.41</v>
      </c>
      <c r="Z193" s="3">
        <v>0.5</v>
      </c>
      <c r="AA193" s="3" t="s">
        <v>505</v>
      </c>
      <c r="AB193" s="3"/>
      <c r="AC193" s="6">
        <v>43963</v>
      </c>
      <c r="AD193" s="6">
        <v>43964</v>
      </c>
      <c r="AE193" s="6">
        <v>43963</v>
      </c>
      <c r="AF193" s="6">
        <v>43963</v>
      </c>
      <c r="AG193" s="18" t="s">
        <v>75</v>
      </c>
      <c r="AH193" s="19">
        <v>100</v>
      </c>
      <c r="AI193" s="19">
        <v>100</v>
      </c>
      <c r="AJ193" s="19">
        <v>100</v>
      </c>
      <c r="AK193" s="19" t="s">
        <v>111</v>
      </c>
      <c r="AL193" s="5" t="s">
        <v>72</v>
      </c>
      <c r="AM193" s="5"/>
      <c r="AN193" s="5" t="s">
        <v>72</v>
      </c>
      <c r="AW193" s="143"/>
    </row>
    <row r="194" spans="2:49" ht="15">
      <c r="B194" s="12">
        <v>248</v>
      </c>
      <c r="C194" s="11">
        <v>20200413</v>
      </c>
      <c r="D194" s="12" t="s">
        <v>24</v>
      </c>
      <c r="E194" s="13" t="s">
        <v>286</v>
      </c>
      <c r="F194" s="39" t="s">
        <v>301</v>
      </c>
      <c r="G194" s="41">
        <v>1412476</v>
      </c>
      <c r="H194" s="15" t="s">
        <v>72</v>
      </c>
      <c r="I194" s="11" t="s">
        <v>302</v>
      </c>
      <c r="J194" s="15" t="s">
        <v>72</v>
      </c>
      <c r="K194" s="3" t="s">
        <v>73</v>
      </c>
      <c r="L194" s="36">
        <v>80237</v>
      </c>
      <c r="M194" s="15" t="s">
        <v>72</v>
      </c>
      <c r="N194" s="3"/>
      <c r="O194" s="5"/>
      <c r="P194" s="5" t="s">
        <v>1290</v>
      </c>
      <c r="Q194" s="11" t="s">
        <v>519</v>
      </c>
      <c r="R194" s="15" t="s">
        <v>72</v>
      </c>
      <c r="S194" s="3" t="s">
        <v>117</v>
      </c>
      <c r="T194" s="3"/>
      <c r="U194" s="3"/>
      <c r="V194" s="13">
        <v>58</v>
      </c>
      <c r="W194" s="3">
        <v>58</v>
      </c>
      <c r="X194" s="3">
        <v>58</v>
      </c>
      <c r="Y194" s="3">
        <v>1.03</v>
      </c>
      <c r="Z194" s="3">
        <v>0.1</v>
      </c>
      <c r="AA194" s="3" t="s">
        <v>505</v>
      </c>
      <c r="AB194" s="3"/>
      <c r="AC194" s="6">
        <v>43963</v>
      </c>
      <c r="AD194" s="6">
        <v>43964</v>
      </c>
      <c r="AE194" s="6">
        <v>43963</v>
      </c>
      <c r="AF194" s="6">
        <v>43963</v>
      </c>
      <c r="AG194" s="18" t="s">
        <v>75</v>
      </c>
      <c r="AH194" s="19">
        <v>100</v>
      </c>
      <c r="AI194" s="19">
        <v>100</v>
      </c>
      <c r="AJ194" s="19">
        <v>100</v>
      </c>
      <c r="AK194" s="19" t="s">
        <v>111</v>
      </c>
      <c r="AL194" s="5" t="s">
        <v>72</v>
      </c>
      <c r="AM194" s="5"/>
      <c r="AN194" s="5" t="s">
        <v>72</v>
      </c>
      <c r="AW194" s="143"/>
    </row>
    <row r="195" spans="2:49" ht="15">
      <c r="B195" s="12">
        <v>249</v>
      </c>
      <c r="C195" s="11">
        <v>20200413</v>
      </c>
      <c r="D195" s="12" t="s">
        <v>24</v>
      </c>
      <c r="E195" s="13" t="s">
        <v>286</v>
      </c>
      <c r="F195" s="39" t="s">
        <v>303</v>
      </c>
      <c r="G195" s="41">
        <v>1412476</v>
      </c>
      <c r="H195" s="15" t="s">
        <v>72</v>
      </c>
      <c r="I195" s="11" t="s">
        <v>39</v>
      </c>
      <c r="J195" s="15" t="s">
        <v>72</v>
      </c>
      <c r="K195" s="3" t="s">
        <v>73</v>
      </c>
      <c r="L195" s="36">
        <v>80237</v>
      </c>
      <c r="M195" s="15" t="s">
        <v>72</v>
      </c>
      <c r="N195" s="3"/>
      <c r="O195" s="5"/>
      <c r="P195" s="5" t="s">
        <v>1290</v>
      </c>
      <c r="Q195" s="11" t="s">
        <v>520</v>
      </c>
      <c r="R195" s="15" t="s">
        <v>72</v>
      </c>
      <c r="S195" s="3" t="s">
        <v>109</v>
      </c>
      <c r="T195" s="3"/>
      <c r="U195" s="3"/>
      <c r="V195" s="13">
        <v>46</v>
      </c>
      <c r="W195" s="3">
        <v>46</v>
      </c>
      <c r="X195" s="3">
        <v>46</v>
      </c>
      <c r="Y195" s="3">
        <v>0.81</v>
      </c>
      <c r="Z195" s="3">
        <v>0.5</v>
      </c>
      <c r="AA195" s="3" t="s">
        <v>505</v>
      </c>
      <c r="AB195" s="3"/>
      <c r="AC195" s="6">
        <v>43963</v>
      </c>
      <c r="AD195" s="6">
        <v>43964</v>
      </c>
      <c r="AE195" s="6">
        <v>43963</v>
      </c>
      <c r="AF195" s="6">
        <v>43963</v>
      </c>
      <c r="AG195" s="18" t="s">
        <v>75</v>
      </c>
      <c r="AH195" s="19">
        <v>100</v>
      </c>
      <c r="AI195" s="19">
        <v>100</v>
      </c>
      <c r="AJ195" s="19">
        <v>100</v>
      </c>
      <c r="AK195" s="19" t="s">
        <v>111</v>
      </c>
      <c r="AL195" s="5" t="s">
        <v>72</v>
      </c>
      <c r="AM195" s="5"/>
      <c r="AN195" s="5" t="s">
        <v>72</v>
      </c>
      <c r="AW195" s="143"/>
    </row>
    <row r="196" spans="2:49" ht="15">
      <c r="B196" s="12">
        <v>250</v>
      </c>
      <c r="C196" s="11">
        <v>20200413</v>
      </c>
      <c r="D196" s="12" t="s">
        <v>24</v>
      </c>
      <c r="E196" s="13" t="s">
        <v>286</v>
      </c>
      <c r="F196" s="39" t="s">
        <v>304</v>
      </c>
      <c r="G196" s="41">
        <v>1412476</v>
      </c>
      <c r="H196" s="15" t="s">
        <v>72</v>
      </c>
      <c r="I196" s="11" t="s">
        <v>305</v>
      </c>
      <c r="J196" s="15" t="s">
        <v>72</v>
      </c>
      <c r="K196" s="3" t="s">
        <v>73</v>
      </c>
      <c r="L196" s="36">
        <v>80237</v>
      </c>
      <c r="M196" s="15" t="s">
        <v>72</v>
      </c>
      <c r="N196" s="3"/>
      <c r="O196" s="5"/>
      <c r="P196" s="5" t="s">
        <v>1290</v>
      </c>
      <c r="Q196" s="11" t="s">
        <v>521</v>
      </c>
      <c r="R196" s="15" t="s">
        <v>72</v>
      </c>
      <c r="S196" s="3" t="s">
        <v>109</v>
      </c>
      <c r="T196" s="3"/>
      <c r="U196" s="3"/>
      <c r="V196" s="13">
        <v>12</v>
      </c>
      <c r="W196" s="3">
        <v>12</v>
      </c>
      <c r="X196" s="3">
        <v>12</v>
      </c>
      <c r="Y196" s="3">
        <v>0.21</v>
      </c>
      <c r="Z196" s="3">
        <v>0.5</v>
      </c>
      <c r="AA196" s="3" t="s">
        <v>505</v>
      </c>
      <c r="AB196" s="3"/>
      <c r="AC196" s="6">
        <v>43963</v>
      </c>
      <c r="AD196" s="6">
        <v>43964</v>
      </c>
      <c r="AE196" s="6">
        <v>43963</v>
      </c>
      <c r="AF196" s="6">
        <v>43963</v>
      </c>
      <c r="AG196" s="18" t="s">
        <v>75</v>
      </c>
      <c r="AH196" s="19">
        <v>100</v>
      </c>
      <c r="AI196" s="19">
        <v>100</v>
      </c>
      <c r="AJ196" s="19">
        <v>100</v>
      </c>
      <c r="AK196" s="19" t="s">
        <v>111</v>
      </c>
      <c r="AL196" s="5" t="s">
        <v>72</v>
      </c>
      <c r="AM196" s="5"/>
      <c r="AN196" s="5" t="s">
        <v>72</v>
      </c>
      <c r="AW196" s="143"/>
    </row>
    <row r="197" spans="2:49" ht="15">
      <c r="B197" s="12">
        <v>251</v>
      </c>
      <c r="C197" s="11">
        <v>20200413</v>
      </c>
      <c r="D197" s="12" t="s">
        <v>24</v>
      </c>
      <c r="E197" s="13" t="s">
        <v>286</v>
      </c>
      <c r="F197" s="39" t="s">
        <v>306</v>
      </c>
      <c r="G197" s="42">
        <v>1414275</v>
      </c>
      <c r="H197" s="15" t="s">
        <v>72</v>
      </c>
      <c r="I197" s="11" t="s">
        <v>307</v>
      </c>
      <c r="J197" s="15" t="s">
        <v>72</v>
      </c>
      <c r="K197" s="3" t="s">
        <v>73</v>
      </c>
      <c r="L197" s="36">
        <v>80237</v>
      </c>
      <c r="M197" s="15" t="s">
        <v>72</v>
      </c>
      <c r="N197" s="3"/>
      <c r="O197" s="5"/>
      <c r="P197" s="5" t="s">
        <v>1291</v>
      </c>
      <c r="Q197" s="11" t="s">
        <v>522</v>
      </c>
      <c r="R197" s="15" t="s">
        <v>72</v>
      </c>
      <c r="S197" s="3" t="s">
        <v>109</v>
      </c>
      <c r="T197" s="3"/>
      <c r="U197" s="3"/>
      <c r="V197" s="13">
        <v>165</v>
      </c>
      <c r="W197" s="3">
        <v>165</v>
      </c>
      <c r="X197" s="3">
        <v>165</v>
      </c>
      <c r="Y197" s="3">
        <v>2.93</v>
      </c>
      <c r="Z197" s="3">
        <v>0.5</v>
      </c>
      <c r="AA197" s="3" t="s">
        <v>505</v>
      </c>
      <c r="AB197" s="3"/>
      <c r="AC197" s="6">
        <v>43963</v>
      </c>
      <c r="AD197" s="6">
        <v>43964</v>
      </c>
      <c r="AE197" s="6">
        <v>43963</v>
      </c>
      <c r="AF197" s="6">
        <v>43963</v>
      </c>
      <c r="AG197" s="18" t="s">
        <v>75</v>
      </c>
      <c r="AH197" s="19">
        <v>100</v>
      </c>
      <c r="AI197" s="19">
        <v>100</v>
      </c>
      <c r="AJ197" s="19">
        <v>100</v>
      </c>
      <c r="AK197" s="19" t="s">
        <v>111</v>
      </c>
      <c r="AL197" s="5" t="s">
        <v>72</v>
      </c>
      <c r="AM197" s="5"/>
      <c r="AN197" s="5" t="s">
        <v>72</v>
      </c>
      <c r="AW197" s="143"/>
    </row>
    <row r="198" spans="2:49" ht="15">
      <c r="B198" s="12">
        <v>252</v>
      </c>
      <c r="C198" s="11">
        <v>20200413</v>
      </c>
      <c r="D198" s="12" t="s">
        <v>24</v>
      </c>
      <c r="E198" s="13" t="s">
        <v>286</v>
      </c>
      <c r="F198" s="39" t="s">
        <v>308</v>
      </c>
      <c r="G198" s="42">
        <v>1414275</v>
      </c>
      <c r="H198" s="15" t="s">
        <v>72</v>
      </c>
      <c r="I198" s="11" t="s">
        <v>128</v>
      </c>
      <c r="J198" s="15" t="s">
        <v>72</v>
      </c>
      <c r="K198" s="3" t="s">
        <v>73</v>
      </c>
      <c r="L198" s="36">
        <v>80237</v>
      </c>
      <c r="M198" s="15" t="s">
        <v>72</v>
      </c>
      <c r="N198" s="3"/>
      <c r="O198" s="5"/>
      <c r="P198" s="5" t="s">
        <v>1291</v>
      </c>
      <c r="Q198" s="11" t="s">
        <v>523</v>
      </c>
      <c r="R198" s="15" t="s">
        <v>72</v>
      </c>
      <c r="S198" s="3" t="s">
        <v>109</v>
      </c>
      <c r="T198" s="3"/>
      <c r="U198" s="3"/>
      <c r="V198" s="13">
        <v>144</v>
      </c>
      <c r="W198" s="3">
        <v>144</v>
      </c>
      <c r="X198" s="3">
        <v>144</v>
      </c>
      <c r="Y198" s="3">
        <v>2.56</v>
      </c>
      <c r="Z198" s="3">
        <v>0.5</v>
      </c>
      <c r="AA198" s="3" t="s">
        <v>505</v>
      </c>
      <c r="AB198" s="3"/>
      <c r="AC198" s="6">
        <v>43963</v>
      </c>
      <c r="AD198" s="6">
        <v>43964</v>
      </c>
      <c r="AE198" s="6">
        <v>43963</v>
      </c>
      <c r="AF198" s="6">
        <v>43963</v>
      </c>
      <c r="AG198" s="18" t="s">
        <v>75</v>
      </c>
      <c r="AH198" s="19">
        <v>100</v>
      </c>
      <c r="AI198" s="19">
        <v>100</v>
      </c>
      <c r="AJ198" s="19">
        <v>100</v>
      </c>
      <c r="AK198" s="19" t="s">
        <v>111</v>
      </c>
      <c r="AL198" s="5" t="s">
        <v>72</v>
      </c>
      <c r="AM198" s="5"/>
      <c r="AN198" s="5" t="s">
        <v>72</v>
      </c>
      <c r="AW198" s="143"/>
    </row>
    <row r="199" spans="2:49" ht="15">
      <c r="B199" s="12">
        <v>253</v>
      </c>
      <c r="C199" s="11">
        <v>20200413</v>
      </c>
      <c r="D199" s="12" t="s">
        <v>24</v>
      </c>
      <c r="E199" s="13" t="s">
        <v>286</v>
      </c>
      <c r="F199" s="39" t="s">
        <v>309</v>
      </c>
      <c r="G199" s="42">
        <v>1414275</v>
      </c>
      <c r="H199" s="15" t="s">
        <v>72</v>
      </c>
      <c r="I199" s="11" t="s">
        <v>310</v>
      </c>
      <c r="J199" s="15" t="s">
        <v>72</v>
      </c>
      <c r="K199" s="3" t="s">
        <v>73</v>
      </c>
      <c r="L199" s="36">
        <v>80237</v>
      </c>
      <c r="M199" s="15" t="s">
        <v>72</v>
      </c>
      <c r="N199" s="3"/>
      <c r="O199" s="5"/>
      <c r="P199" s="5" t="s">
        <v>1291</v>
      </c>
      <c r="Q199" s="11" t="s">
        <v>524</v>
      </c>
      <c r="R199" s="15" t="s">
        <v>72</v>
      </c>
      <c r="S199" s="3" t="s">
        <v>117</v>
      </c>
      <c r="T199" s="3"/>
      <c r="U199" s="3"/>
      <c r="V199" s="13">
        <v>3</v>
      </c>
      <c r="W199" s="3">
        <v>3</v>
      </c>
      <c r="X199" s="3">
        <v>3</v>
      </c>
      <c r="Y199" s="3">
        <v>0.05</v>
      </c>
      <c r="Z199" s="3">
        <v>0.05</v>
      </c>
      <c r="AA199" s="3" t="s">
        <v>505</v>
      </c>
      <c r="AB199" s="3"/>
      <c r="AC199" s="6">
        <v>43963</v>
      </c>
      <c r="AD199" s="6">
        <v>43964</v>
      </c>
      <c r="AE199" s="6">
        <v>43963</v>
      </c>
      <c r="AF199" s="6">
        <v>43963</v>
      </c>
      <c r="AG199" s="18" t="s">
        <v>75</v>
      </c>
      <c r="AH199" s="19">
        <v>100</v>
      </c>
      <c r="AI199" s="19">
        <v>100</v>
      </c>
      <c r="AJ199" s="19">
        <v>100</v>
      </c>
      <c r="AK199" s="19" t="s">
        <v>111</v>
      </c>
      <c r="AL199" s="5" t="s">
        <v>72</v>
      </c>
      <c r="AM199" s="5"/>
      <c r="AN199" s="5" t="s">
        <v>72</v>
      </c>
      <c r="AW199" s="143"/>
    </row>
    <row r="200" spans="2:49" ht="15">
      <c r="B200" s="43">
        <v>254</v>
      </c>
      <c r="C200" s="11">
        <v>20200415</v>
      </c>
      <c r="D200" s="12" t="s">
        <v>311</v>
      </c>
      <c r="E200" s="11" t="s">
        <v>312</v>
      </c>
      <c r="F200" s="26" t="s">
        <v>72</v>
      </c>
      <c r="G200" s="11">
        <v>1419102</v>
      </c>
      <c r="H200" s="15" t="s">
        <v>72</v>
      </c>
      <c r="I200" s="17" t="s">
        <v>313</v>
      </c>
      <c r="J200" s="15" t="s">
        <v>72</v>
      </c>
      <c r="K200" s="5" t="s">
        <v>72</v>
      </c>
      <c r="L200" s="5" t="s">
        <v>72</v>
      </c>
      <c r="M200" s="15" t="s">
        <v>72</v>
      </c>
      <c r="N200" s="13" t="s">
        <v>314</v>
      </c>
      <c r="O200" s="5" t="s">
        <v>315</v>
      </c>
      <c r="P200" s="5" t="s">
        <v>1292</v>
      </c>
      <c r="Q200" s="11" t="s">
        <v>525</v>
      </c>
      <c r="R200" s="15" t="s">
        <v>72</v>
      </c>
      <c r="S200" s="3" t="s">
        <v>109</v>
      </c>
      <c r="T200" s="3"/>
      <c r="U200" s="3"/>
      <c r="V200" s="3">
        <v>64</v>
      </c>
      <c r="W200" s="3">
        <v>64</v>
      </c>
      <c r="X200" s="3">
        <v>64</v>
      </c>
      <c r="Y200" s="3">
        <v>3.93</v>
      </c>
      <c r="Z200" s="3">
        <v>3</v>
      </c>
      <c r="AA200" s="3" t="s">
        <v>110</v>
      </c>
      <c r="AB200" s="3"/>
      <c r="AC200" s="6">
        <v>43937</v>
      </c>
      <c r="AD200" s="6">
        <v>43938</v>
      </c>
      <c r="AE200" s="6">
        <v>43938</v>
      </c>
      <c r="AF200" s="6">
        <v>43938</v>
      </c>
      <c r="AG200" s="18" t="s">
        <v>75</v>
      </c>
      <c r="AH200" s="3">
        <v>100</v>
      </c>
      <c r="AI200" s="3">
        <v>100</v>
      </c>
      <c r="AJ200" s="3">
        <v>100</v>
      </c>
      <c r="AK200" s="3" t="s">
        <v>111</v>
      </c>
      <c r="AL200" s="5" t="s">
        <v>72</v>
      </c>
      <c r="AM200" s="5"/>
      <c r="AN200" s="5" t="s">
        <v>72</v>
      </c>
      <c r="AW200" s="143"/>
    </row>
    <row r="201" spans="2:49" ht="15">
      <c r="B201" s="43">
        <v>255</v>
      </c>
      <c r="C201" s="11">
        <v>20200415</v>
      </c>
      <c r="D201" s="12" t="s">
        <v>311</v>
      </c>
      <c r="E201" s="11" t="s">
        <v>312</v>
      </c>
      <c r="F201" s="26" t="s">
        <v>72</v>
      </c>
      <c r="G201" s="11">
        <v>1419102</v>
      </c>
      <c r="H201" s="15" t="s">
        <v>72</v>
      </c>
      <c r="I201" s="17" t="s">
        <v>316</v>
      </c>
      <c r="J201" s="15" t="s">
        <v>72</v>
      </c>
      <c r="K201" s="5" t="s">
        <v>72</v>
      </c>
      <c r="L201" s="5" t="s">
        <v>72</v>
      </c>
      <c r="M201" s="15" t="s">
        <v>72</v>
      </c>
      <c r="N201" s="13" t="s">
        <v>314</v>
      </c>
      <c r="O201" s="5" t="s">
        <v>315</v>
      </c>
      <c r="P201" s="5" t="s">
        <v>1292</v>
      </c>
      <c r="Q201" s="11" t="s">
        <v>526</v>
      </c>
      <c r="R201" s="15" t="s">
        <v>72</v>
      </c>
      <c r="S201" s="3" t="s">
        <v>113</v>
      </c>
      <c r="T201" s="3"/>
      <c r="U201" s="3"/>
      <c r="V201" s="3">
        <v>38</v>
      </c>
      <c r="W201" s="28">
        <v>38</v>
      </c>
      <c r="X201" s="3">
        <v>38</v>
      </c>
      <c r="Y201" s="3">
        <v>2.33</v>
      </c>
      <c r="Z201" s="3">
        <v>2</v>
      </c>
      <c r="AA201" s="3" t="s">
        <v>110</v>
      </c>
      <c r="AB201" s="3"/>
      <c r="AC201" s="6">
        <v>43937</v>
      </c>
      <c r="AD201" s="6">
        <v>43938</v>
      </c>
      <c r="AE201" s="6">
        <v>43938</v>
      </c>
      <c r="AF201" s="6">
        <v>43938</v>
      </c>
      <c r="AG201" s="18" t="s">
        <v>75</v>
      </c>
      <c r="AH201" s="19">
        <v>100</v>
      </c>
      <c r="AI201" s="19">
        <v>100</v>
      </c>
      <c r="AJ201" s="19">
        <v>100</v>
      </c>
      <c r="AK201" s="19" t="s">
        <v>111</v>
      </c>
      <c r="AL201" s="5" t="s">
        <v>72</v>
      </c>
      <c r="AM201" s="5"/>
      <c r="AN201" s="5" t="s">
        <v>72</v>
      </c>
      <c r="AW201" s="143"/>
    </row>
    <row r="202" spans="2:49" ht="15">
      <c r="B202" s="44">
        <v>256</v>
      </c>
      <c r="C202" s="11">
        <v>20200416</v>
      </c>
      <c r="D202" s="12" t="s">
        <v>24</v>
      </c>
      <c r="E202" s="11" t="s">
        <v>317</v>
      </c>
      <c r="F202" s="26" t="s">
        <v>318</v>
      </c>
      <c r="G202" s="11">
        <v>1421044</v>
      </c>
      <c r="H202" s="15" t="s">
        <v>72</v>
      </c>
      <c r="I202" s="17" t="s">
        <v>319</v>
      </c>
      <c r="J202" s="15" t="s">
        <v>72</v>
      </c>
      <c r="K202" s="3" t="s">
        <v>73</v>
      </c>
      <c r="L202" s="16">
        <v>80336</v>
      </c>
      <c r="M202" s="15" t="s">
        <v>72</v>
      </c>
      <c r="N202" s="3" t="s">
        <v>320</v>
      </c>
      <c r="O202" s="5" t="s">
        <v>72</v>
      </c>
      <c r="P202" s="5" t="s">
        <v>72</v>
      </c>
      <c r="Q202" s="11" t="s">
        <v>527</v>
      </c>
      <c r="R202" s="15" t="s">
        <v>72</v>
      </c>
      <c r="S202" s="3" t="s">
        <v>113</v>
      </c>
      <c r="T202" s="3"/>
      <c r="U202" s="3"/>
      <c r="V202" s="3">
        <v>277</v>
      </c>
      <c r="W202" s="11">
        <v>277</v>
      </c>
      <c r="X202" s="3">
        <v>277</v>
      </c>
      <c r="Y202" s="3">
        <v>4.92</v>
      </c>
      <c r="Z202" s="3">
        <v>3</v>
      </c>
      <c r="AA202" s="3" t="s">
        <v>110</v>
      </c>
      <c r="AB202" s="3"/>
      <c r="AC202" s="6">
        <v>43937</v>
      </c>
      <c r="AD202" s="6">
        <v>43937</v>
      </c>
      <c r="AE202" s="6">
        <v>43937</v>
      </c>
      <c r="AF202" s="6">
        <v>43937</v>
      </c>
      <c r="AG202" s="18" t="s">
        <v>79</v>
      </c>
      <c r="AH202" s="3">
        <v>100</v>
      </c>
      <c r="AI202" s="3">
        <v>98</v>
      </c>
      <c r="AJ202" s="3">
        <v>100</v>
      </c>
      <c r="AK202" s="3" t="s">
        <v>76</v>
      </c>
      <c r="AL202" s="5" t="s">
        <v>528</v>
      </c>
      <c r="AM202" s="5"/>
      <c r="AN202" s="5" t="s">
        <v>72</v>
      </c>
      <c r="AW202" s="143"/>
    </row>
    <row r="203" spans="2:49" ht="15">
      <c r="B203" s="44">
        <v>257</v>
      </c>
      <c r="C203" s="11">
        <v>20200416</v>
      </c>
      <c r="D203" s="12" t="s">
        <v>24</v>
      </c>
      <c r="E203" s="11" t="s">
        <v>317</v>
      </c>
      <c r="F203" s="26" t="s">
        <v>318</v>
      </c>
      <c r="G203" s="11">
        <v>1421052</v>
      </c>
      <c r="H203" s="15" t="s">
        <v>72</v>
      </c>
      <c r="I203" s="17" t="s">
        <v>319</v>
      </c>
      <c r="J203" s="15" t="s">
        <v>72</v>
      </c>
      <c r="K203" s="3" t="s">
        <v>73</v>
      </c>
      <c r="L203" s="16">
        <v>80336</v>
      </c>
      <c r="M203" s="15" t="s">
        <v>72</v>
      </c>
      <c r="N203" s="3" t="s">
        <v>321</v>
      </c>
      <c r="O203" s="5" t="s">
        <v>72</v>
      </c>
      <c r="P203" s="5" t="s">
        <v>72</v>
      </c>
      <c r="Q203" s="11" t="s">
        <v>529</v>
      </c>
      <c r="R203" s="15" t="s">
        <v>72</v>
      </c>
      <c r="S203" s="3" t="s">
        <v>113</v>
      </c>
      <c r="T203" s="3"/>
      <c r="U203" s="3"/>
      <c r="V203" s="3">
        <v>277</v>
      </c>
      <c r="W203" s="11">
        <v>277</v>
      </c>
      <c r="X203" s="3">
        <v>277</v>
      </c>
      <c r="Y203" s="3">
        <v>4.92</v>
      </c>
      <c r="Z203" s="3">
        <v>3</v>
      </c>
      <c r="AA203" s="3" t="s">
        <v>110</v>
      </c>
      <c r="AB203" s="3"/>
      <c r="AC203" s="6">
        <v>43937</v>
      </c>
      <c r="AD203" s="6">
        <v>43937</v>
      </c>
      <c r="AE203" s="6">
        <v>43937</v>
      </c>
      <c r="AF203" s="6">
        <v>43937</v>
      </c>
      <c r="AG203" s="18" t="s">
        <v>79</v>
      </c>
      <c r="AH203" s="3">
        <v>100</v>
      </c>
      <c r="AI203" s="3">
        <v>98</v>
      </c>
      <c r="AJ203" s="3">
        <v>100</v>
      </c>
      <c r="AK203" s="3" t="s">
        <v>76</v>
      </c>
      <c r="AL203" s="5" t="s">
        <v>528</v>
      </c>
      <c r="AM203" s="5"/>
      <c r="AN203" s="5" t="s">
        <v>72</v>
      </c>
      <c r="AW203" s="143"/>
    </row>
    <row r="204" spans="2:49" ht="15">
      <c r="B204" s="45">
        <v>258</v>
      </c>
      <c r="C204" s="11">
        <v>20200416</v>
      </c>
      <c r="D204" s="12" t="s">
        <v>311</v>
      </c>
      <c r="E204" s="11" t="s">
        <v>322</v>
      </c>
      <c r="F204" s="26" t="s">
        <v>72</v>
      </c>
      <c r="G204" s="26">
        <v>1413019</v>
      </c>
      <c r="H204" s="15" t="s">
        <v>72</v>
      </c>
      <c r="I204" s="17" t="s">
        <v>323</v>
      </c>
      <c r="J204" s="15" t="s">
        <v>72</v>
      </c>
      <c r="K204" s="5" t="s">
        <v>72</v>
      </c>
      <c r="L204" s="5" t="s">
        <v>72</v>
      </c>
      <c r="M204" s="15" t="s">
        <v>72</v>
      </c>
      <c r="N204" s="5" t="s">
        <v>324</v>
      </c>
      <c r="O204" s="5" t="s">
        <v>325</v>
      </c>
      <c r="P204" s="5" t="s">
        <v>1293</v>
      </c>
      <c r="Q204" s="11" t="s">
        <v>530</v>
      </c>
      <c r="R204" s="15" t="s">
        <v>72</v>
      </c>
      <c r="S204" s="3" t="s">
        <v>109</v>
      </c>
      <c r="T204" s="3"/>
      <c r="U204" s="3"/>
      <c r="V204" s="3">
        <v>25</v>
      </c>
      <c r="W204" s="11">
        <v>25</v>
      </c>
      <c r="X204" s="3">
        <v>25</v>
      </c>
      <c r="Y204" s="3">
        <v>1.53</v>
      </c>
      <c r="Z204" s="3">
        <v>1</v>
      </c>
      <c r="AA204" s="3" t="s">
        <v>110</v>
      </c>
      <c r="AB204" s="3"/>
      <c r="AC204" s="6">
        <v>43938</v>
      </c>
      <c r="AD204" s="6">
        <v>43938</v>
      </c>
      <c r="AE204" s="6">
        <v>43938</v>
      </c>
      <c r="AF204" s="6">
        <v>43938</v>
      </c>
      <c r="AG204" s="18" t="s">
        <v>79</v>
      </c>
      <c r="AH204" s="3">
        <v>90</v>
      </c>
      <c r="AI204" s="3">
        <v>92</v>
      </c>
      <c r="AJ204" s="3">
        <v>100</v>
      </c>
      <c r="AK204" s="3" t="s">
        <v>111</v>
      </c>
      <c r="AL204" s="5" t="s">
        <v>531</v>
      </c>
      <c r="AM204" s="5"/>
      <c r="AN204" s="5" t="s">
        <v>72</v>
      </c>
      <c r="AW204" s="143"/>
    </row>
    <row r="205" spans="2:49" ht="15">
      <c r="B205" s="45">
        <v>259</v>
      </c>
      <c r="C205" s="11">
        <v>20200416</v>
      </c>
      <c r="D205" s="12" t="s">
        <v>311</v>
      </c>
      <c r="E205" s="11" t="s">
        <v>326</v>
      </c>
      <c r="F205" s="26" t="s">
        <v>72</v>
      </c>
      <c r="G205" s="26">
        <v>1423192</v>
      </c>
      <c r="H205" s="15" t="s">
        <v>72</v>
      </c>
      <c r="I205" s="17" t="s">
        <v>327</v>
      </c>
      <c r="J205" s="15" t="s">
        <v>72</v>
      </c>
      <c r="K205" s="5" t="s">
        <v>72</v>
      </c>
      <c r="L205" s="5" t="s">
        <v>72</v>
      </c>
      <c r="M205" s="15" t="s">
        <v>72</v>
      </c>
      <c r="N205" s="3" t="s">
        <v>328</v>
      </c>
      <c r="O205" s="5" t="s">
        <v>329</v>
      </c>
      <c r="P205" s="5" t="s">
        <v>1294</v>
      </c>
      <c r="Q205" s="11" t="s">
        <v>532</v>
      </c>
      <c r="R205" s="15" t="s">
        <v>72</v>
      </c>
      <c r="S205" s="3" t="s">
        <v>161</v>
      </c>
      <c r="T205" s="3"/>
      <c r="U205" s="3"/>
      <c r="V205" s="3">
        <v>173</v>
      </c>
      <c r="W205" s="11">
        <v>173</v>
      </c>
      <c r="X205" s="3">
        <v>173</v>
      </c>
      <c r="Y205" s="3">
        <v>10.64</v>
      </c>
      <c r="Z205" s="3">
        <v>10</v>
      </c>
      <c r="AA205" s="3" t="s">
        <v>110</v>
      </c>
      <c r="AB205" s="3"/>
      <c r="AC205" s="6">
        <v>43938</v>
      </c>
      <c r="AD205" s="6">
        <v>43944</v>
      </c>
      <c r="AE205" s="6">
        <v>43942</v>
      </c>
      <c r="AF205" s="6">
        <v>43948</v>
      </c>
      <c r="AG205" s="18" t="s">
        <v>79</v>
      </c>
      <c r="AH205" s="3">
        <v>93</v>
      </c>
      <c r="AI205" s="3">
        <v>92.7</v>
      </c>
      <c r="AJ205" s="3">
        <v>100</v>
      </c>
      <c r="AK205" s="3" t="s">
        <v>76</v>
      </c>
      <c r="AL205" s="5" t="s">
        <v>72</v>
      </c>
      <c r="AM205" s="5"/>
      <c r="AN205" s="5" t="s">
        <v>72</v>
      </c>
      <c r="AW205" s="143"/>
    </row>
    <row r="206" spans="2:49" ht="15">
      <c r="B206" s="45">
        <v>260</v>
      </c>
      <c r="C206" s="11">
        <v>20200416</v>
      </c>
      <c r="D206" s="12" t="s">
        <v>311</v>
      </c>
      <c r="E206" s="11" t="s">
        <v>330</v>
      </c>
      <c r="F206" s="26" t="s">
        <v>72</v>
      </c>
      <c r="G206" s="26">
        <v>1424050</v>
      </c>
      <c r="H206" s="15" t="s">
        <v>72</v>
      </c>
      <c r="I206" s="17" t="s">
        <v>331</v>
      </c>
      <c r="J206" s="15" t="s">
        <v>72</v>
      </c>
      <c r="K206" s="5" t="s">
        <v>72</v>
      </c>
      <c r="L206" s="5" t="s">
        <v>72</v>
      </c>
      <c r="M206" s="15" t="s">
        <v>72</v>
      </c>
      <c r="N206" s="3" t="s">
        <v>332</v>
      </c>
      <c r="O206" s="5" t="s">
        <v>333</v>
      </c>
      <c r="P206" s="5" t="s">
        <v>1295</v>
      </c>
      <c r="Q206" s="11" t="s">
        <v>533</v>
      </c>
      <c r="R206" s="15" t="s">
        <v>72</v>
      </c>
      <c r="S206" s="3" t="s">
        <v>117</v>
      </c>
      <c r="T206" s="3"/>
      <c r="U206" s="3"/>
      <c r="V206" s="3">
        <v>50</v>
      </c>
      <c r="W206" s="11">
        <v>50</v>
      </c>
      <c r="X206" s="3">
        <v>50</v>
      </c>
      <c r="Y206" s="3">
        <v>3.07</v>
      </c>
      <c r="Z206" s="3">
        <v>2</v>
      </c>
      <c r="AA206" s="3" t="s">
        <v>110</v>
      </c>
      <c r="AB206" s="3"/>
      <c r="AC206" s="6">
        <v>43938</v>
      </c>
      <c r="AD206" s="6">
        <v>43942</v>
      </c>
      <c r="AE206" s="6">
        <v>43938</v>
      </c>
      <c r="AF206" s="6">
        <v>43938</v>
      </c>
      <c r="AG206" s="18" t="s">
        <v>75</v>
      </c>
      <c r="AH206" s="19">
        <v>100</v>
      </c>
      <c r="AI206" s="19">
        <v>100</v>
      </c>
      <c r="AJ206" s="19">
        <v>100</v>
      </c>
      <c r="AK206" s="19" t="s">
        <v>111</v>
      </c>
      <c r="AL206" s="5" t="s">
        <v>72</v>
      </c>
      <c r="AM206" s="5"/>
      <c r="AN206" s="5" t="s">
        <v>72</v>
      </c>
      <c r="AW206" s="143"/>
    </row>
    <row r="207" spans="2:49" ht="15">
      <c r="B207" s="46">
        <v>261</v>
      </c>
      <c r="C207" s="11">
        <v>20200417</v>
      </c>
      <c r="D207" s="12" t="s">
        <v>24</v>
      </c>
      <c r="E207" s="11" t="s">
        <v>330</v>
      </c>
      <c r="F207" s="26" t="s">
        <v>334</v>
      </c>
      <c r="G207" s="11">
        <v>1423277</v>
      </c>
      <c r="H207" s="15" t="s">
        <v>72</v>
      </c>
      <c r="I207" s="17" t="s">
        <v>335</v>
      </c>
      <c r="J207" s="15" t="s">
        <v>72</v>
      </c>
      <c r="K207" s="3" t="s">
        <v>73</v>
      </c>
      <c r="L207" s="5" t="s">
        <v>72</v>
      </c>
      <c r="M207" s="15" t="s">
        <v>72</v>
      </c>
      <c r="N207" s="5" t="s">
        <v>336</v>
      </c>
      <c r="O207" s="5" t="s">
        <v>72</v>
      </c>
      <c r="P207" s="5" t="s">
        <v>1296</v>
      </c>
      <c r="Q207" s="11" t="s">
        <v>534</v>
      </c>
      <c r="R207" s="15" t="s">
        <v>72</v>
      </c>
      <c r="S207" s="3" t="s">
        <v>109</v>
      </c>
      <c r="T207" s="3"/>
      <c r="U207" s="3"/>
      <c r="V207" s="3">
        <v>143</v>
      </c>
      <c r="W207" s="11">
        <v>143</v>
      </c>
      <c r="X207" s="3">
        <v>143</v>
      </c>
      <c r="Y207" s="3">
        <v>2.54</v>
      </c>
      <c r="Z207" s="3">
        <v>1</v>
      </c>
      <c r="AA207" s="3" t="s">
        <v>110</v>
      </c>
      <c r="AB207" s="3"/>
      <c r="AC207" s="6">
        <v>43938</v>
      </c>
      <c r="AD207" s="6">
        <v>43941</v>
      </c>
      <c r="AE207" s="6">
        <v>43941</v>
      </c>
      <c r="AF207" s="6">
        <v>43941</v>
      </c>
      <c r="AG207" s="18" t="s">
        <v>75</v>
      </c>
      <c r="AH207" s="3">
        <v>100</v>
      </c>
      <c r="AI207" s="3">
        <v>100</v>
      </c>
      <c r="AJ207" s="3">
        <v>100</v>
      </c>
      <c r="AK207" s="3" t="s">
        <v>111</v>
      </c>
      <c r="AL207" s="5" t="s">
        <v>72</v>
      </c>
      <c r="AM207" s="5"/>
      <c r="AN207" s="5" t="s">
        <v>72</v>
      </c>
      <c r="AW207" s="143"/>
    </row>
    <row r="208" spans="2:49" ht="15">
      <c r="B208" s="46">
        <v>262</v>
      </c>
      <c r="C208" s="11">
        <v>20200417</v>
      </c>
      <c r="D208" s="12" t="s">
        <v>24</v>
      </c>
      <c r="E208" s="11" t="s">
        <v>330</v>
      </c>
      <c r="F208" s="26" t="s">
        <v>334</v>
      </c>
      <c r="G208" s="11">
        <v>1423277</v>
      </c>
      <c r="H208" s="15" t="s">
        <v>72</v>
      </c>
      <c r="I208" s="17" t="s">
        <v>337</v>
      </c>
      <c r="J208" s="15" t="s">
        <v>72</v>
      </c>
      <c r="K208" s="3" t="s">
        <v>73</v>
      </c>
      <c r="L208" s="5" t="s">
        <v>72</v>
      </c>
      <c r="M208" s="15" t="s">
        <v>72</v>
      </c>
      <c r="N208" s="5" t="s">
        <v>336</v>
      </c>
      <c r="O208" s="5" t="s">
        <v>72</v>
      </c>
      <c r="P208" s="5" t="s">
        <v>1296</v>
      </c>
      <c r="Q208" s="11" t="s">
        <v>535</v>
      </c>
      <c r="R208" s="15" t="s">
        <v>72</v>
      </c>
      <c r="S208" s="3" t="s">
        <v>109</v>
      </c>
      <c r="T208" s="3"/>
      <c r="U208" s="3"/>
      <c r="V208" s="3">
        <v>57</v>
      </c>
      <c r="W208" s="11">
        <v>57</v>
      </c>
      <c r="X208" s="3">
        <v>57</v>
      </c>
      <c r="Y208" s="3">
        <v>1.01</v>
      </c>
      <c r="Z208" s="3">
        <v>0.5</v>
      </c>
      <c r="AA208" s="3" t="s">
        <v>110</v>
      </c>
      <c r="AB208" s="3"/>
      <c r="AC208" s="6">
        <v>43938</v>
      </c>
      <c r="AD208" s="6">
        <v>43941</v>
      </c>
      <c r="AE208" s="6">
        <v>43941</v>
      </c>
      <c r="AF208" s="6">
        <v>43941</v>
      </c>
      <c r="AG208" s="18" t="s">
        <v>75</v>
      </c>
      <c r="AH208" s="3">
        <v>100</v>
      </c>
      <c r="AI208" s="3">
        <v>100</v>
      </c>
      <c r="AJ208" s="3">
        <v>100</v>
      </c>
      <c r="AK208" s="3" t="s">
        <v>111</v>
      </c>
      <c r="AL208" s="5" t="s">
        <v>72</v>
      </c>
      <c r="AM208" s="5"/>
      <c r="AN208" s="5" t="s">
        <v>72</v>
      </c>
      <c r="AW208" s="143"/>
    </row>
    <row r="209" spans="2:49" ht="15">
      <c r="B209" s="47">
        <v>263</v>
      </c>
      <c r="C209" s="11">
        <v>20200420</v>
      </c>
      <c r="D209" s="12" t="s">
        <v>311</v>
      </c>
      <c r="E209" s="11" t="s">
        <v>338</v>
      </c>
      <c r="F209" s="26" t="s">
        <v>72</v>
      </c>
      <c r="G209" s="11">
        <v>1405925</v>
      </c>
      <c r="H209" s="15" t="s">
        <v>72</v>
      </c>
      <c r="I209" s="17" t="s">
        <v>339</v>
      </c>
      <c r="J209" s="15" t="s">
        <v>72</v>
      </c>
      <c r="K209" s="5" t="s">
        <v>72</v>
      </c>
      <c r="L209" s="5" t="s">
        <v>72</v>
      </c>
      <c r="M209" s="15" t="s">
        <v>72</v>
      </c>
      <c r="N209" s="3" t="s">
        <v>340</v>
      </c>
      <c r="O209" s="5" t="s">
        <v>341</v>
      </c>
      <c r="P209" s="5" t="s">
        <v>1297</v>
      </c>
      <c r="Q209" s="11" t="s">
        <v>536</v>
      </c>
      <c r="R209" s="15" t="s">
        <v>72</v>
      </c>
      <c r="S209" s="3" t="s">
        <v>109</v>
      </c>
      <c r="T209" s="3"/>
      <c r="U209" s="3"/>
      <c r="V209" s="3">
        <v>59</v>
      </c>
      <c r="W209" s="11">
        <v>59</v>
      </c>
      <c r="X209" s="3">
        <v>59</v>
      </c>
      <c r="Y209" s="3">
        <v>3.63</v>
      </c>
      <c r="Z209" s="3">
        <v>1</v>
      </c>
      <c r="AA209" s="3" t="s">
        <v>110</v>
      </c>
      <c r="AB209" s="3"/>
      <c r="AC209" s="6">
        <v>43942</v>
      </c>
      <c r="AD209" s="6">
        <v>43950</v>
      </c>
      <c r="AE209" s="6">
        <v>43942</v>
      </c>
      <c r="AF209" s="6">
        <v>43942</v>
      </c>
      <c r="AG209" s="18" t="s">
        <v>75</v>
      </c>
      <c r="AH209" s="3">
        <v>100</v>
      </c>
      <c r="AI209" s="3">
        <v>100</v>
      </c>
      <c r="AJ209" s="3">
        <v>100</v>
      </c>
      <c r="AK209" s="3" t="s">
        <v>111</v>
      </c>
      <c r="AL209" s="5" t="s">
        <v>72</v>
      </c>
      <c r="AM209" s="5"/>
      <c r="AN209" s="5" t="s">
        <v>72</v>
      </c>
      <c r="AW209" s="143"/>
    </row>
    <row r="210" spans="2:49" ht="15">
      <c r="B210" s="47">
        <v>264</v>
      </c>
      <c r="C210" s="11">
        <v>20200420</v>
      </c>
      <c r="D210" s="12" t="s">
        <v>311</v>
      </c>
      <c r="E210" s="11" t="s">
        <v>342</v>
      </c>
      <c r="F210" s="26" t="s">
        <v>72</v>
      </c>
      <c r="G210" s="11">
        <v>1369164</v>
      </c>
      <c r="H210" s="15" t="s">
        <v>72</v>
      </c>
      <c r="I210" s="17" t="s">
        <v>343</v>
      </c>
      <c r="J210" s="15" t="s">
        <v>72</v>
      </c>
      <c r="K210" s="26" t="s">
        <v>72</v>
      </c>
      <c r="L210" s="26" t="s">
        <v>72</v>
      </c>
      <c r="M210" s="15" t="s">
        <v>72</v>
      </c>
      <c r="N210" s="11" t="s">
        <v>344</v>
      </c>
      <c r="O210" s="26" t="s">
        <v>345</v>
      </c>
      <c r="P210" s="5" t="s">
        <v>1298</v>
      </c>
      <c r="Q210" s="11" t="s">
        <v>537</v>
      </c>
      <c r="R210" s="15" t="s">
        <v>72</v>
      </c>
      <c r="S210" s="3" t="s">
        <v>113</v>
      </c>
      <c r="T210" s="3"/>
      <c r="U210" s="3"/>
      <c r="V210" s="3">
        <v>30</v>
      </c>
      <c r="W210" s="11">
        <v>30</v>
      </c>
      <c r="X210" s="3">
        <v>30</v>
      </c>
      <c r="Y210" s="3">
        <v>1.84</v>
      </c>
      <c r="Z210" s="3">
        <v>2</v>
      </c>
      <c r="AA210" s="3" t="s">
        <v>110</v>
      </c>
      <c r="AB210" s="3"/>
      <c r="AC210" s="6">
        <v>43942</v>
      </c>
      <c r="AD210" s="6">
        <v>43950</v>
      </c>
      <c r="AE210" s="6">
        <v>43949</v>
      </c>
      <c r="AF210" s="6">
        <v>43949</v>
      </c>
      <c r="AG210" s="18" t="s">
        <v>75</v>
      </c>
      <c r="AH210" s="19">
        <v>100</v>
      </c>
      <c r="AI210" s="19">
        <v>100</v>
      </c>
      <c r="AJ210" s="19">
        <v>100</v>
      </c>
      <c r="AK210" s="19" t="s">
        <v>111</v>
      </c>
      <c r="AL210" s="5" t="s">
        <v>72</v>
      </c>
      <c r="AM210" s="5"/>
      <c r="AN210" s="5" t="s">
        <v>72</v>
      </c>
      <c r="AW210" s="143"/>
    </row>
    <row r="211" spans="2:49" ht="15">
      <c r="B211" s="48">
        <v>265</v>
      </c>
      <c r="C211" s="11">
        <v>20200421</v>
      </c>
      <c r="D211" s="12" t="s">
        <v>24</v>
      </c>
      <c r="E211" s="11" t="s">
        <v>346</v>
      </c>
      <c r="F211" s="26" t="s">
        <v>347</v>
      </c>
      <c r="G211" s="11">
        <v>1416607</v>
      </c>
      <c r="H211" s="15" t="s">
        <v>72</v>
      </c>
      <c r="I211" s="49" t="s">
        <v>348</v>
      </c>
      <c r="J211" s="15" t="s">
        <v>72</v>
      </c>
      <c r="K211" s="3" t="s">
        <v>73</v>
      </c>
      <c r="L211" s="5" t="s">
        <v>1327</v>
      </c>
      <c r="M211" s="15" t="s">
        <v>72</v>
      </c>
      <c r="N211" s="3" t="s">
        <v>349</v>
      </c>
      <c r="O211" s="5" t="s">
        <v>72</v>
      </c>
      <c r="P211" s="5" t="s">
        <v>951</v>
      </c>
      <c r="Q211" s="11" t="s">
        <v>538</v>
      </c>
      <c r="R211" s="15" t="s">
        <v>72</v>
      </c>
      <c r="S211" s="3" t="s">
        <v>117</v>
      </c>
      <c r="T211" s="3"/>
      <c r="U211" s="3"/>
      <c r="V211" s="13">
        <v>43</v>
      </c>
      <c r="W211" s="11">
        <v>43</v>
      </c>
      <c r="X211" s="3">
        <v>43</v>
      </c>
      <c r="Y211" s="3">
        <v>0.76</v>
      </c>
      <c r="Z211" s="3">
        <v>0.5</v>
      </c>
      <c r="AA211" s="3" t="s">
        <v>110</v>
      </c>
      <c r="AB211" s="3"/>
      <c r="AC211" s="6">
        <v>43942</v>
      </c>
      <c r="AD211" s="6">
        <v>43945</v>
      </c>
      <c r="AE211" s="6">
        <v>43943</v>
      </c>
      <c r="AF211" s="6">
        <v>43943</v>
      </c>
      <c r="AG211" s="18" t="s">
        <v>75</v>
      </c>
      <c r="AH211" s="19">
        <v>100</v>
      </c>
      <c r="AI211" s="19">
        <v>100</v>
      </c>
      <c r="AJ211" s="19">
        <v>100</v>
      </c>
      <c r="AK211" s="19" t="s">
        <v>111</v>
      </c>
      <c r="AL211" s="5" t="s">
        <v>72</v>
      </c>
      <c r="AM211" s="5"/>
      <c r="AN211" s="5" t="s">
        <v>72</v>
      </c>
      <c r="AW211" s="143"/>
    </row>
    <row r="212" spans="2:49" ht="15">
      <c r="B212" s="48">
        <v>266</v>
      </c>
      <c r="C212" s="11">
        <v>20200421</v>
      </c>
      <c r="D212" s="12" t="s">
        <v>24</v>
      </c>
      <c r="E212" s="11" t="s">
        <v>350</v>
      </c>
      <c r="F212" s="26" t="s">
        <v>347</v>
      </c>
      <c r="G212" s="11">
        <v>1416607</v>
      </c>
      <c r="H212" s="15" t="s">
        <v>72</v>
      </c>
      <c r="I212" s="49" t="s">
        <v>351</v>
      </c>
      <c r="J212" s="15" t="s">
        <v>72</v>
      </c>
      <c r="K212" s="3" t="s">
        <v>73</v>
      </c>
      <c r="L212" s="5" t="s">
        <v>1327</v>
      </c>
      <c r="M212" s="15" t="s">
        <v>72</v>
      </c>
      <c r="N212" s="3" t="s">
        <v>349</v>
      </c>
      <c r="O212" s="5" t="s">
        <v>72</v>
      </c>
      <c r="P212" s="5" t="s">
        <v>951</v>
      </c>
      <c r="Q212" s="11" t="s">
        <v>539</v>
      </c>
      <c r="R212" s="15" t="s">
        <v>72</v>
      </c>
      <c r="S212" s="3" t="s">
        <v>117</v>
      </c>
      <c r="T212" s="3"/>
      <c r="U212" s="3"/>
      <c r="V212" s="13">
        <v>29</v>
      </c>
      <c r="W212" s="11">
        <v>29</v>
      </c>
      <c r="X212" s="3">
        <v>29</v>
      </c>
      <c r="Y212" s="3">
        <v>0.51</v>
      </c>
      <c r="Z212" s="3">
        <v>0.5</v>
      </c>
      <c r="AA212" s="3" t="s">
        <v>110</v>
      </c>
      <c r="AB212" s="3"/>
      <c r="AC212" s="6">
        <v>43942</v>
      </c>
      <c r="AD212" s="6">
        <v>43945</v>
      </c>
      <c r="AE212" s="6">
        <v>43943</v>
      </c>
      <c r="AF212" s="6">
        <v>43943</v>
      </c>
      <c r="AG212" s="18" t="s">
        <v>75</v>
      </c>
      <c r="AH212" s="19">
        <v>100</v>
      </c>
      <c r="AI212" s="19">
        <v>100</v>
      </c>
      <c r="AJ212" s="19">
        <v>100</v>
      </c>
      <c r="AK212" s="19" t="s">
        <v>111</v>
      </c>
      <c r="AL212" s="5" t="s">
        <v>72</v>
      </c>
      <c r="AM212" s="5"/>
      <c r="AN212" s="5" t="s">
        <v>72</v>
      </c>
      <c r="AW212" s="143"/>
    </row>
    <row r="213" spans="2:49" ht="15">
      <c r="B213" s="48">
        <v>267</v>
      </c>
      <c r="C213" s="11">
        <v>20200421</v>
      </c>
      <c r="D213" s="12" t="s">
        <v>24</v>
      </c>
      <c r="E213" s="11" t="s">
        <v>352</v>
      </c>
      <c r="F213" s="26" t="s">
        <v>347</v>
      </c>
      <c r="G213" s="11">
        <v>1416607</v>
      </c>
      <c r="H213" s="15" t="s">
        <v>72</v>
      </c>
      <c r="I213" s="17" t="s">
        <v>37</v>
      </c>
      <c r="J213" s="15" t="s">
        <v>72</v>
      </c>
      <c r="K213" s="3" t="s">
        <v>73</v>
      </c>
      <c r="L213" s="16" t="s">
        <v>1327</v>
      </c>
      <c r="M213" s="15" t="s">
        <v>72</v>
      </c>
      <c r="N213" s="3" t="s">
        <v>349</v>
      </c>
      <c r="O213" s="5" t="s">
        <v>72</v>
      </c>
      <c r="P213" s="5" t="s">
        <v>951</v>
      </c>
      <c r="Q213" s="11" t="s">
        <v>540</v>
      </c>
      <c r="R213" s="15" t="s">
        <v>72</v>
      </c>
      <c r="S213" s="3" t="s">
        <v>113</v>
      </c>
      <c r="T213" s="3"/>
      <c r="U213" s="3"/>
      <c r="V213" s="13">
        <v>276</v>
      </c>
      <c r="W213" s="11">
        <v>276</v>
      </c>
      <c r="X213" s="3">
        <v>276</v>
      </c>
      <c r="Y213" s="3">
        <v>4.9000000000000004</v>
      </c>
      <c r="Z213" s="3">
        <v>1</v>
      </c>
      <c r="AA213" s="3" t="s">
        <v>110</v>
      </c>
      <c r="AB213" s="3"/>
      <c r="AC213" s="6">
        <v>43942</v>
      </c>
      <c r="AD213" s="6">
        <v>43945</v>
      </c>
      <c r="AE213" s="6">
        <v>43944</v>
      </c>
      <c r="AF213" s="6">
        <v>43944</v>
      </c>
      <c r="AG213" s="18" t="s">
        <v>75</v>
      </c>
      <c r="AH213" s="19">
        <v>100</v>
      </c>
      <c r="AI213" s="19">
        <v>100</v>
      </c>
      <c r="AJ213" s="19">
        <v>100</v>
      </c>
      <c r="AK213" s="19" t="s">
        <v>111</v>
      </c>
      <c r="AL213" s="5" t="s">
        <v>72</v>
      </c>
      <c r="AM213" s="5"/>
      <c r="AN213" s="5" t="s">
        <v>72</v>
      </c>
      <c r="AW213" s="143"/>
    </row>
    <row r="214" spans="2:49" ht="15">
      <c r="B214" s="48">
        <v>268</v>
      </c>
      <c r="C214" s="11">
        <v>20200421</v>
      </c>
      <c r="D214" s="12" t="s">
        <v>24</v>
      </c>
      <c r="E214" s="11" t="s">
        <v>353</v>
      </c>
      <c r="F214" s="26" t="s">
        <v>347</v>
      </c>
      <c r="G214" s="11">
        <v>1416607</v>
      </c>
      <c r="H214" s="15" t="s">
        <v>72</v>
      </c>
      <c r="I214" s="17" t="s">
        <v>354</v>
      </c>
      <c r="J214" s="15" t="s">
        <v>72</v>
      </c>
      <c r="K214" s="3" t="s">
        <v>73</v>
      </c>
      <c r="L214" s="16" t="s">
        <v>1327</v>
      </c>
      <c r="M214" s="15" t="s">
        <v>72</v>
      </c>
      <c r="N214" s="3" t="s">
        <v>349</v>
      </c>
      <c r="O214" s="5" t="s">
        <v>72</v>
      </c>
      <c r="P214" s="5" t="s">
        <v>951</v>
      </c>
      <c r="Q214" s="11" t="s">
        <v>541</v>
      </c>
      <c r="R214" s="15" t="s">
        <v>72</v>
      </c>
      <c r="S214" s="3" t="s">
        <v>117</v>
      </c>
      <c r="T214" s="3"/>
      <c r="U214" s="3"/>
      <c r="V214" s="13">
        <v>15</v>
      </c>
      <c r="W214" s="11">
        <v>15</v>
      </c>
      <c r="X214" s="3">
        <v>15</v>
      </c>
      <c r="Y214" s="3">
        <v>0.26</v>
      </c>
      <c r="Z214" s="3">
        <v>0.2</v>
      </c>
      <c r="AA214" s="3" t="s">
        <v>110</v>
      </c>
      <c r="AB214" s="3"/>
      <c r="AC214" s="6">
        <v>43942</v>
      </c>
      <c r="AD214" s="6">
        <v>43945</v>
      </c>
      <c r="AE214" s="6">
        <v>43943</v>
      </c>
      <c r="AF214" s="6">
        <v>43943</v>
      </c>
      <c r="AG214" s="18" t="s">
        <v>75</v>
      </c>
      <c r="AH214" s="19">
        <v>100</v>
      </c>
      <c r="AI214" s="19">
        <v>100</v>
      </c>
      <c r="AJ214" s="19">
        <v>100</v>
      </c>
      <c r="AK214" s="19" t="s">
        <v>111</v>
      </c>
      <c r="AL214" s="5" t="s">
        <v>72</v>
      </c>
      <c r="AM214" s="5"/>
      <c r="AN214" s="5" t="s">
        <v>72</v>
      </c>
      <c r="AW214" s="143"/>
    </row>
    <row r="215" spans="2:49" ht="15">
      <c r="B215" s="48">
        <v>269</v>
      </c>
      <c r="C215" s="11">
        <v>20200421</v>
      </c>
      <c r="D215" s="12" t="s">
        <v>24</v>
      </c>
      <c r="E215" s="11" t="s">
        <v>353</v>
      </c>
      <c r="F215" s="26" t="s">
        <v>347</v>
      </c>
      <c r="G215" s="11">
        <v>1416607</v>
      </c>
      <c r="H215" s="15" t="s">
        <v>72</v>
      </c>
      <c r="I215" s="17" t="s">
        <v>355</v>
      </c>
      <c r="J215" s="15" t="s">
        <v>72</v>
      </c>
      <c r="K215" s="3" t="s">
        <v>73</v>
      </c>
      <c r="L215" s="16" t="s">
        <v>1327</v>
      </c>
      <c r="M215" s="15" t="s">
        <v>72</v>
      </c>
      <c r="N215" s="3" t="s">
        <v>349</v>
      </c>
      <c r="O215" s="5" t="s">
        <v>72</v>
      </c>
      <c r="P215" s="5" t="s">
        <v>951</v>
      </c>
      <c r="Q215" s="11" t="s">
        <v>542</v>
      </c>
      <c r="R215" s="15" t="s">
        <v>72</v>
      </c>
      <c r="S215" s="3" t="s">
        <v>113</v>
      </c>
      <c r="T215" s="3"/>
      <c r="U215" s="3"/>
      <c r="V215" s="13">
        <v>135</v>
      </c>
      <c r="W215" s="11">
        <v>135</v>
      </c>
      <c r="X215" s="3">
        <v>135</v>
      </c>
      <c r="Y215" s="3">
        <v>2.4</v>
      </c>
      <c r="Z215" s="3">
        <v>1</v>
      </c>
      <c r="AA215" s="3" t="s">
        <v>110</v>
      </c>
      <c r="AB215" s="3"/>
      <c r="AC215" s="6">
        <v>43942</v>
      </c>
      <c r="AD215" s="6">
        <v>43945</v>
      </c>
      <c r="AE215" s="6">
        <v>43944</v>
      </c>
      <c r="AF215" s="6">
        <v>43944</v>
      </c>
      <c r="AG215" s="18" t="s">
        <v>75</v>
      </c>
      <c r="AH215" s="19">
        <v>100</v>
      </c>
      <c r="AI215" s="19">
        <v>100</v>
      </c>
      <c r="AJ215" s="19">
        <v>100</v>
      </c>
      <c r="AK215" s="19" t="s">
        <v>111</v>
      </c>
      <c r="AL215" s="5"/>
      <c r="AM215" s="5"/>
      <c r="AN215" s="5"/>
      <c r="AW215" s="143"/>
    </row>
    <row r="216" spans="2:49" ht="15">
      <c r="B216" s="48">
        <v>270</v>
      </c>
      <c r="C216" s="11">
        <v>20200421</v>
      </c>
      <c r="D216" s="12" t="s">
        <v>24</v>
      </c>
      <c r="E216" s="11" t="s">
        <v>356</v>
      </c>
      <c r="F216" s="26" t="s">
        <v>347</v>
      </c>
      <c r="G216" s="11">
        <v>1416606</v>
      </c>
      <c r="H216" s="15" t="s">
        <v>72</v>
      </c>
      <c r="I216" s="17" t="s">
        <v>348</v>
      </c>
      <c r="J216" s="15" t="s">
        <v>72</v>
      </c>
      <c r="K216" s="3" t="s">
        <v>73</v>
      </c>
      <c r="L216" s="16" t="s">
        <v>1326</v>
      </c>
      <c r="M216" s="15" t="s">
        <v>72</v>
      </c>
      <c r="N216" s="3" t="s">
        <v>121</v>
      </c>
      <c r="O216" s="5" t="s">
        <v>72</v>
      </c>
      <c r="P216" s="14" t="s">
        <v>951</v>
      </c>
      <c r="Q216" s="11" t="s">
        <v>543</v>
      </c>
      <c r="R216" s="15" t="s">
        <v>72</v>
      </c>
      <c r="S216" s="3" t="s">
        <v>117</v>
      </c>
      <c r="T216" s="3"/>
      <c r="U216" s="3"/>
      <c r="V216" s="13">
        <v>43</v>
      </c>
      <c r="W216" s="11">
        <v>43</v>
      </c>
      <c r="X216" s="3">
        <v>43</v>
      </c>
      <c r="Y216" s="3">
        <v>0.76</v>
      </c>
      <c r="Z216" s="3">
        <v>0.5</v>
      </c>
      <c r="AA216" s="3" t="s">
        <v>110</v>
      </c>
      <c r="AB216" s="3"/>
      <c r="AC216" s="6">
        <v>43942</v>
      </c>
      <c r="AD216" s="6">
        <v>43945</v>
      </c>
      <c r="AE216" s="6">
        <v>43943</v>
      </c>
      <c r="AF216" s="6">
        <v>43943</v>
      </c>
      <c r="AG216" s="18" t="s">
        <v>75</v>
      </c>
      <c r="AH216" s="19">
        <v>100</v>
      </c>
      <c r="AI216" s="19">
        <v>100</v>
      </c>
      <c r="AJ216" s="19">
        <v>100</v>
      </c>
      <c r="AK216" s="19" t="s">
        <v>111</v>
      </c>
      <c r="AL216" s="5" t="s">
        <v>72</v>
      </c>
      <c r="AM216" s="5"/>
      <c r="AN216" s="5" t="s">
        <v>72</v>
      </c>
      <c r="AW216" s="143"/>
    </row>
    <row r="217" spans="2:49" ht="15">
      <c r="B217" s="48">
        <v>271</v>
      </c>
      <c r="C217" s="11">
        <v>20200421</v>
      </c>
      <c r="D217" s="12" t="s">
        <v>24</v>
      </c>
      <c r="E217" s="11" t="s">
        <v>356</v>
      </c>
      <c r="F217" s="26" t="s">
        <v>347</v>
      </c>
      <c r="G217" s="11">
        <v>1416606</v>
      </c>
      <c r="H217" s="15" t="s">
        <v>72</v>
      </c>
      <c r="I217" s="17" t="s">
        <v>357</v>
      </c>
      <c r="J217" s="15" t="s">
        <v>72</v>
      </c>
      <c r="K217" s="3" t="s">
        <v>73</v>
      </c>
      <c r="L217" s="16" t="s">
        <v>1328</v>
      </c>
      <c r="M217" s="15" t="s">
        <v>72</v>
      </c>
      <c r="N217" s="3" t="s">
        <v>121</v>
      </c>
      <c r="O217" s="5" t="s">
        <v>72</v>
      </c>
      <c r="P217" s="5" t="s">
        <v>951</v>
      </c>
      <c r="Q217" s="11" t="s">
        <v>544</v>
      </c>
      <c r="R217" s="15" t="s">
        <v>72</v>
      </c>
      <c r="S217" s="3" t="s">
        <v>117</v>
      </c>
      <c r="T217" s="3"/>
      <c r="U217" s="3"/>
      <c r="V217" s="13">
        <v>205</v>
      </c>
      <c r="W217" s="11">
        <v>205</v>
      </c>
      <c r="X217" s="3">
        <v>205</v>
      </c>
      <c r="Y217" s="3">
        <v>3.64</v>
      </c>
      <c r="Z217" s="3">
        <v>2</v>
      </c>
      <c r="AA217" s="3" t="s">
        <v>110</v>
      </c>
      <c r="AB217" s="3"/>
      <c r="AC217" s="6">
        <v>43942</v>
      </c>
      <c r="AD217" s="6">
        <v>43945</v>
      </c>
      <c r="AE217" s="6">
        <v>43943</v>
      </c>
      <c r="AF217" s="6">
        <v>43943</v>
      </c>
      <c r="AG217" s="18" t="s">
        <v>75</v>
      </c>
      <c r="AH217" s="19">
        <v>100</v>
      </c>
      <c r="AI217" s="19">
        <v>100</v>
      </c>
      <c r="AJ217" s="19">
        <v>100</v>
      </c>
      <c r="AK217" s="19" t="s">
        <v>111</v>
      </c>
      <c r="AL217" s="5" t="s">
        <v>72</v>
      </c>
      <c r="AM217" s="5"/>
      <c r="AN217" s="5" t="s">
        <v>72</v>
      </c>
      <c r="AW217" s="143"/>
    </row>
    <row r="218" spans="2:49" ht="15">
      <c r="B218" s="48">
        <v>272</v>
      </c>
      <c r="C218" s="11">
        <v>20200421</v>
      </c>
      <c r="D218" s="12" t="s">
        <v>24</v>
      </c>
      <c r="E218" s="11" t="s">
        <v>356</v>
      </c>
      <c r="F218" s="26" t="s">
        <v>347</v>
      </c>
      <c r="G218" s="11">
        <v>1416606</v>
      </c>
      <c r="H218" s="15" t="s">
        <v>72</v>
      </c>
      <c r="I218" s="17" t="s">
        <v>37</v>
      </c>
      <c r="J218" s="15" t="s">
        <v>72</v>
      </c>
      <c r="K218" s="3" t="s">
        <v>73</v>
      </c>
      <c r="L218" s="16" t="s">
        <v>1329</v>
      </c>
      <c r="M218" s="15" t="s">
        <v>72</v>
      </c>
      <c r="N218" s="3" t="s">
        <v>121</v>
      </c>
      <c r="O218" s="5" t="s">
        <v>72</v>
      </c>
      <c r="P218" s="5" t="s">
        <v>951</v>
      </c>
      <c r="Q218" s="11" t="s">
        <v>545</v>
      </c>
      <c r="R218" s="15" t="s">
        <v>72</v>
      </c>
      <c r="S218" s="3" t="s">
        <v>117</v>
      </c>
      <c r="T218" s="3"/>
      <c r="U218" s="3"/>
      <c r="V218" s="13">
        <v>276</v>
      </c>
      <c r="W218" s="11">
        <v>276</v>
      </c>
      <c r="X218" s="3">
        <v>276</v>
      </c>
      <c r="Y218" s="3">
        <v>4.9000000000000004</v>
      </c>
      <c r="Z218" s="3">
        <v>2</v>
      </c>
      <c r="AA218" s="3" t="s">
        <v>110</v>
      </c>
      <c r="AB218" s="3"/>
      <c r="AC218" s="6">
        <v>43942</v>
      </c>
      <c r="AD218" s="6">
        <v>43945</v>
      </c>
      <c r="AE218" s="6">
        <v>43943</v>
      </c>
      <c r="AF218" s="6">
        <v>43943</v>
      </c>
      <c r="AG218" s="18" t="s">
        <v>75</v>
      </c>
      <c r="AH218" s="19">
        <v>100</v>
      </c>
      <c r="AI218" s="19">
        <v>100</v>
      </c>
      <c r="AJ218" s="19">
        <v>100</v>
      </c>
      <c r="AK218" s="19" t="s">
        <v>111</v>
      </c>
      <c r="AL218" s="5" t="s">
        <v>72</v>
      </c>
      <c r="AM218" s="5"/>
      <c r="AN218" s="5" t="s">
        <v>72</v>
      </c>
      <c r="AW218" s="143"/>
    </row>
    <row r="219" spans="2:49" ht="15">
      <c r="B219" s="48">
        <v>273</v>
      </c>
      <c r="C219" s="11">
        <v>20200421</v>
      </c>
      <c r="D219" s="12" t="s">
        <v>24</v>
      </c>
      <c r="E219" s="11" t="s">
        <v>356</v>
      </c>
      <c r="F219" s="26" t="s">
        <v>347</v>
      </c>
      <c r="G219" s="11">
        <v>1416606</v>
      </c>
      <c r="H219" s="15" t="s">
        <v>72</v>
      </c>
      <c r="I219" s="17" t="s">
        <v>358</v>
      </c>
      <c r="J219" s="15" t="s">
        <v>72</v>
      </c>
      <c r="K219" s="3" t="s">
        <v>73</v>
      </c>
      <c r="L219" s="16" t="s">
        <v>1330</v>
      </c>
      <c r="M219" s="15" t="s">
        <v>72</v>
      </c>
      <c r="N219" s="3" t="s">
        <v>121</v>
      </c>
      <c r="O219" s="5" t="s">
        <v>72</v>
      </c>
      <c r="P219" s="5" t="s">
        <v>951</v>
      </c>
      <c r="Q219" s="11" t="s">
        <v>546</v>
      </c>
      <c r="R219" s="15" t="s">
        <v>72</v>
      </c>
      <c r="S219" s="3" t="s">
        <v>109</v>
      </c>
      <c r="T219" s="3"/>
      <c r="U219" s="3"/>
      <c r="V219" s="13">
        <v>15</v>
      </c>
      <c r="W219" s="11">
        <v>15</v>
      </c>
      <c r="X219" s="3">
        <v>15</v>
      </c>
      <c r="Y219" s="3">
        <v>0.26</v>
      </c>
      <c r="Z219" s="3">
        <v>0.3</v>
      </c>
      <c r="AA219" s="3" t="s">
        <v>110</v>
      </c>
      <c r="AB219" s="3"/>
      <c r="AC219" s="6">
        <v>43942</v>
      </c>
      <c r="AD219" s="6">
        <v>43945</v>
      </c>
      <c r="AE219" s="6">
        <v>43942</v>
      </c>
      <c r="AF219" s="6">
        <v>43942</v>
      </c>
      <c r="AG219" s="18" t="s">
        <v>75</v>
      </c>
      <c r="AH219" s="3">
        <v>100</v>
      </c>
      <c r="AI219" s="3">
        <v>100</v>
      </c>
      <c r="AJ219" s="3">
        <v>100</v>
      </c>
      <c r="AK219" s="3" t="s">
        <v>111</v>
      </c>
      <c r="AL219" s="5" t="s">
        <v>72</v>
      </c>
      <c r="AM219" s="5"/>
      <c r="AN219" s="5" t="s">
        <v>72</v>
      </c>
      <c r="AW219" s="143"/>
    </row>
    <row r="220" spans="2:49" ht="15">
      <c r="B220" s="48">
        <v>274</v>
      </c>
      <c r="C220" s="11">
        <v>20200421</v>
      </c>
      <c r="D220" s="12" t="s">
        <v>24</v>
      </c>
      <c r="E220" s="11" t="s">
        <v>356</v>
      </c>
      <c r="F220" s="26" t="s">
        <v>359</v>
      </c>
      <c r="G220" s="11">
        <v>1416606</v>
      </c>
      <c r="H220" s="15" t="s">
        <v>72</v>
      </c>
      <c r="I220" s="17" t="s">
        <v>255</v>
      </c>
      <c r="J220" s="15" t="s">
        <v>72</v>
      </c>
      <c r="K220" s="3" t="s">
        <v>73</v>
      </c>
      <c r="L220" s="16" t="s">
        <v>1331</v>
      </c>
      <c r="M220" s="15" t="s">
        <v>72</v>
      </c>
      <c r="N220" s="3" t="s">
        <v>121</v>
      </c>
      <c r="O220" s="5" t="s">
        <v>72</v>
      </c>
      <c r="P220" s="5" t="s">
        <v>951</v>
      </c>
      <c r="Q220" s="11" t="s">
        <v>547</v>
      </c>
      <c r="R220" s="15" t="s">
        <v>72</v>
      </c>
      <c r="S220" s="3" t="s">
        <v>113</v>
      </c>
      <c r="T220" s="3"/>
      <c r="U220" s="3"/>
      <c r="V220" s="3">
        <v>106</v>
      </c>
      <c r="W220" s="13">
        <v>106</v>
      </c>
      <c r="X220" s="3">
        <v>106</v>
      </c>
      <c r="Y220" s="3">
        <v>1.88</v>
      </c>
      <c r="Z220" s="3">
        <v>1</v>
      </c>
      <c r="AA220" s="3" t="s">
        <v>110</v>
      </c>
      <c r="AB220" s="3"/>
      <c r="AC220" s="6">
        <v>43942</v>
      </c>
      <c r="AD220" s="6">
        <v>43945</v>
      </c>
      <c r="AE220" s="6">
        <v>43944</v>
      </c>
      <c r="AF220" s="6">
        <v>43944</v>
      </c>
      <c r="AG220" s="18" t="s">
        <v>75</v>
      </c>
      <c r="AH220" s="19">
        <v>100</v>
      </c>
      <c r="AI220" s="19">
        <v>100</v>
      </c>
      <c r="AJ220" s="19">
        <v>100</v>
      </c>
      <c r="AK220" s="19" t="s">
        <v>111</v>
      </c>
      <c r="AL220" s="5" t="s">
        <v>72</v>
      </c>
      <c r="AM220" s="5"/>
      <c r="AN220" s="5" t="s">
        <v>72</v>
      </c>
      <c r="AW220" s="143"/>
    </row>
    <row r="221" spans="2:49" ht="15">
      <c r="B221" s="48">
        <v>275</v>
      </c>
      <c r="C221" s="11">
        <v>20200421</v>
      </c>
      <c r="D221" s="12" t="s">
        <v>24</v>
      </c>
      <c r="E221" s="11" t="s">
        <v>356</v>
      </c>
      <c r="F221" s="26" t="s">
        <v>347</v>
      </c>
      <c r="G221" s="11">
        <v>1416606</v>
      </c>
      <c r="H221" s="15" t="s">
        <v>72</v>
      </c>
      <c r="I221" s="17" t="s">
        <v>248</v>
      </c>
      <c r="J221" s="15" t="s">
        <v>72</v>
      </c>
      <c r="K221" s="3" t="s">
        <v>73</v>
      </c>
      <c r="L221" s="16" t="s">
        <v>1332</v>
      </c>
      <c r="M221" s="15" t="s">
        <v>72</v>
      </c>
      <c r="N221" s="3" t="s">
        <v>121</v>
      </c>
      <c r="O221" s="5" t="s">
        <v>72</v>
      </c>
      <c r="P221" s="5" t="s">
        <v>951</v>
      </c>
      <c r="Q221" s="11" t="s">
        <v>548</v>
      </c>
      <c r="R221" s="15" t="s">
        <v>72</v>
      </c>
      <c r="S221" s="3" t="s">
        <v>113</v>
      </c>
      <c r="T221" s="3"/>
      <c r="U221" s="3"/>
      <c r="V221" s="3">
        <v>53</v>
      </c>
      <c r="W221" s="13">
        <v>53</v>
      </c>
      <c r="X221" s="3">
        <v>53</v>
      </c>
      <c r="Y221" s="3">
        <v>0.94</v>
      </c>
      <c r="Z221" s="3">
        <v>1</v>
      </c>
      <c r="AA221" s="3" t="s">
        <v>110</v>
      </c>
      <c r="AB221" s="3"/>
      <c r="AC221" s="6">
        <v>43942</v>
      </c>
      <c r="AD221" s="6">
        <v>43945</v>
      </c>
      <c r="AE221" s="6">
        <v>43944</v>
      </c>
      <c r="AF221" s="6">
        <v>43944</v>
      </c>
      <c r="AG221" s="18" t="s">
        <v>75</v>
      </c>
      <c r="AH221" s="19">
        <v>100</v>
      </c>
      <c r="AI221" s="19">
        <v>100</v>
      </c>
      <c r="AJ221" s="19">
        <v>100</v>
      </c>
      <c r="AK221" s="19" t="s">
        <v>111</v>
      </c>
      <c r="AL221" s="5" t="s">
        <v>72</v>
      </c>
      <c r="AM221" s="5"/>
      <c r="AN221" s="5" t="s">
        <v>72</v>
      </c>
      <c r="AW221" s="143"/>
    </row>
    <row r="222" spans="2:49" ht="15">
      <c r="B222" s="44">
        <v>276</v>
      </c>
      <c r="C222" s="11">
        <v>20200424</v>
      </c>
      <c r="D222" s="12" t="s">
        <v>311</v>
      </c>
      <c r="E222" s="11" t="s">
        <v>360</v>
      </c>
      <c r="F222" s="26" t="s">
        <v>72</v>
      </c>
      <c r="G222" s="11">
        <v>1434762</v>
      </c>
      <c r="H222" s="15" t="s">
        <v>72</v>
      </c>
      <c r="I222" s="11" t="s">
        <v>361</v>
      </c>
      <c r="J222" s="15" t="s">
        <v>72</v>
      </c>
      <c r="K222" s="5" t="s">
        <v>72</v>
      </c>
      <c r="L222" s="5" t="s">
        <v>72</v>
      </c>
      <c r="M222" s="15" t="s">
        <v>72</v>
      </c>
      <c r="N222" s="3" t="s">
        <v>362</v>
      </c>
      <c r="O222" s="117" t="s">
        <v>363</v>
      </c>
      <c r="P222" s="5" t="s">
        <v>1299</v>
      </c>
      <c r="Q222" s="11" t="s">
        <v>549</v>
      </c>
      <c r="R222" s="15" t="s">
        <v>72</v>
      </c>
      <c r="S222" s="3" t="s">
        <v>117</v>
      </c>
      <c r="T222" s="3"/>
      <c r="U222" s="3"/>
      <c r="V222" s="3">
        <v>121</v>
      </c>
      <c r="W222" s="13">
        <v>121</v>
      </c>
      <c r="X222" s="3">
        <v>121</v>
      </c>
      <c r="Y222" s="3">
        <v>7.44</v>
      </c>
      <c r="Z222" s="3">
        <v>7</v>
      </c>
      <c r="AA222" s="3" t="s">
        <v>550</v>
      </c>
      <c r="AB222" s="3"/>
      <c r="AC222" s="6">
        <v>43945</v>
      </c>
      <c r="AD222" s="6">
        <v>43949</v>
      </c>
      <c r="AE222" s="6">
        <v>43948</v>
      </c>
      <c r="AF222" s="6">
        <v>43948</v>
      </c>
      <c r="AG222" s="18" t="s">
        <v>75</v>
      </c>
      <c r="AH222" s="19">
        <v>100</v>
      </c>
      <c r="AI222" s="19">
        <v>100</v>
      </c>
      <c r="AJ222" s="19">
        <v>100</v>
      </c>
      <c r="AK222" s="19" t="s">
        <v>111</v>
      </c>
      <c r="AL222" s="5" t="s">
        <v>72</v>
      </c>
      <c r="AM222" s="5"/>
      <c r="AN222" s="5" t="s">
        <v>72</v>
      </c>
      <c r="AW222" s="143"/>
    </row>
    <row r="223" spans="2:49" ht="15">
      <c r="B223" s="44">
        <v>277</v>
      </c>
      <c r="C223" s="11">
        <v>20200424</v>
      </c>
      <c r="D223" s="12" t="s">
        <v>311</v>
      </c>
      <c r="E223" s="11" t="s">
        <v>18</v>
      </c>
      <c r="F223" s="26" t="s">
        <v>72</v>
      </c>
      <c r="G223" s="11">
        <v>1434832</v>
      </c>
      <c r="H223" s="15" t="s">
        <v>72</v>
      </c>
      <c r="I223" s="17" t="s">
        <v>364</v>
      </c>
      <c r="J223" s="15" t="s">
        <v>72</v>
      </c>
      <c r="K223" s="5" t="s">
        <v>72</v>
      </c>
      <c r="L223" s="5" t="s">
        <v>72</v>
      </c>
      <c r="M223" s="15" t="s">
        <v>72</v>
      </c>
      <c r="N223" s="3" t="s">
        <v>365</v>
      </c>
      <c r="O223" s="5" t="s">
        <v>366</v>
      </c>
      <c r="P223" s="5" t="s">
        <v>1300</v>
      </c>
      <c r="Q223" s="11" t="s">
        <v>551</v>
      </c>
      <c r="R223" s="15" t="s">
        <v>72</v>
      </c>
      <c r="S223" s="3" t="s">
        <v>109</v>
      </c>
      <c r="T223" s="3"/>
      <c r="U223" s="3"/>
      <c r="V223" s="3">
        <v>59</v>
      </c>
      <c r="W223" s="53">
        <v>60</v>
      </c>
      <c r="X223" s="3">
        <v>60</v>
      </c>
      <c r="Y223" s="3">
        <v>3.69</v>
      </c>
      <c r="Z223" s="3">
        <v>3</v>
      </c>
      <c r="AA223" s="3" t="s">
        <v>550</v>
      </c>
      <c r="AB223" s="3"/>
      <c r="AC223" s="6">
        <v>43945</v>
      </c>
      <c r="AD223" s="6">
        <v>43949</v>
      </c>
      <c r="AE223" s="6">
        <v>43948</v>
      </c>
      <c r="AF223" s="6">
        <v>43948</v>
      </c>
      <c r="AG223" s="18" t="s">
        <v>75</v>
      </c>
      <c r="AH223" s="19">
        <v>100</v>
      </c>
      <c r="AI223" s="19">
        <v>100</v>
      </c>
      <c r="AJ223" s="19">
        <v>100</v>
      </c>
      <c r="AK223" s="19" t="s">
        <v>111</v>
      </c>
      <c r="AL223" s="5" t="s">
        <v>72</v>
      </c>
      <c r="AM223" s="5"/>
      <c r="AN223" s="5" t="s">
        <v>72</v>
      </c>
      <c r="AW223" s="143"/>
    </row>
    <row r="224" spans="2:49" ht="15">
      <c r="B224" s="44">
        <v>278</v>
      </c>
      <c r="C224" s="11">
        <v>20200424</v>
      </c>
      <c r="D224" s="12" t="s">
        <v>311</v>
      </c>
      <c r="E224" s="11" t="s">
        <v>367</v>
      </c>
      <c r="F224" s="26" t="s">
        <v>72</v>
      </c>
      <c r="G224" s="11">
        <v>1439139</v>
      </c>
      <c r="H224" s="15" t="s">
        <v>72</v>
      </c>
      <c r="I224" s="3" t="s">
        <v>368</v>
      </c>
      <c r="J224" s="15" t="s">
        <v>72</v>
      </c>
      <c r="K224" s="5" t="s">
        <v>72</v>
      </c>
      <c r="L224" s="5" t="s">
        <v>72</v>
      </c>
      <c r="M224" s="15" t="s">
        <v>72</v>
      </c>
      <c r="N224" s="118" t="s">
        <v>369</v>
      </c>
      <c r="O224" s="5" t="s">
        <v>370</v>
      </c>
      <c r="P224" s="5" t="s">
        <v>1301</v>
      </c>
      <c r="Q224" s="11" t="s">
        <v>552</v>
      </c>
      <c r="R224" s="15" t="s">
        <v>72</v>
      </c>
      <c r="S224" s="3" t="s">
        <v>161</v>
      </c>
      <c r="T224" s="3"/>
      <c r="U224" s="3"/>
      <c r="V224" s="3">
        <v>70</v>
      </c>
      <c r="W224" s="13">
        <v>70</v>
      </c>
      <c r="X224" s="3">
        <v>70</v>
      </c>
      <c r="Y224" s="3">
        <v>4.3</v>
      </c>
      <c r="Z224" s="3">
        <v>4</v>
      </c>
      <c r="AA224" s="3" t="s">
        <v>550</v>
      </c>
      <c r="AB224" s="3"/>
      <c r="AC224" s="6">
        <v>43945</v>
      </c>
      <c r="AD224" s="6">
        <v>43949</v>
      </c>
      <c r="AE224" s="6">
        <v>43949</v>
      </c>
      <c r="AF224" s="6">
        <v>43949</v>
      </c>
      <c r="AG224" s="18" t="s">
        <v>75</v>
      </c>
      <c r="AH224" s="19">
        <v>100</v>
      </c>
      <c r="AI224" s="19">
        <v>100</v>
      </c>
      <c r="AJ224" s="19">
        <v>100</v>
      </c>
      <c r="AK224" s="19" t="s">
        <v>111</v>
      </c>
      <c r="AL224" s="5" t="s">
        <v>72</v>
      </c>
      <c r="AM224" s="5"/>
      <c r="AN224" s="5" t="s">
        <v>72</v>
      </c>
      <c r="AW224" s="143"/>
    </row>
    <row r="225" spans="2:49" ht="15">
      <c r="B225" s="44">
        <v>279</v>
      </c>
      <c r="C225" s="11">
        <v>20200424</v>
      </c>
      <c r="D225" s="12" t="s">
        <v>311</v>
      </c>
      <c r="E225" s="11" t="s">
        <v>371</v>
      </c>
      <c r="F225" s="26" t="s">
        <v>72</v>
      </c>
      <c r="G225" s="11">
        <v>1439139</v>
      </c>
      <c r="H225" s="15" t="s">
        <v>72</v>
      </c>
      <c r="I225" s="17" t="s">
        <v>372</v>
      </c>
      <c r="J225" s="15" t="s">
        <v>72</v>
      </c>
      <c r="K225" s="5" t="s">
        <v>72</v>
      </c>
      <c r="L225" s="5" t="s">
        <v>72</v>
      </c>
      <c r="M225" s="15" t="s">
        <v>72</v>
      </c>
      <c r="N225" s="11" t="s">
        <v>369</v>
      </c>
      <c r="O225" s="5" t="s">
        <v>373</v>
      </c>
      <c r="P225" s="5" t="s">
        <v>1301</v>
      </c>
      <c r="Q225" s="11" t="s">
        <v>553</v>
      </c>
      <c r="R225" s="15" t="s">
        <v>72</v>
      </c>
      <c r="S225" s="3" t="s">
        <v>113</v>
      </c>
      <c r="T225" s="3"/>
      <c r="U225" s="3"/>
      <c r="V225" s="3">
        <v>110</v>
      </c>
      <c r="W225" s="13">
        <v>110</v>
      </c>
      <c r="X225" s="3">
        <v>110</v>
      </c>
      <c r="Y225" s="3">
        <v>6.76</v>
      </c>
      <c r="Z225" s="3">
        <v>4</v>
      </c>
      <c r="AA225" s="3" t="s">
        <v>550</v>
      </c>
      <c r="AB225" s="3"/>
      <c r="AC225" s="6">
        <v>43945</v>
      </c>
      <c r="AD225" s="6">
        <v>43949</v>
      </c>
      <c r="AE225" s="6">
        <v>43949</v>
      </c>
      <c r="AF225" s="6">
        <v>43949</v>
      </c>
      <c r="AG225" s="18" t="s">
        <v>75</v>
      </c>
      <c r="AH225" s="19">
        <v>100</v>
      </c>
      <c r="AI225" s="19">
        <v>100</v>
      </c>
      <c r="AJ225" s="19">
        <v>100</v>
      </c>
      <c r="AK225" s="19" t="s">
        <v>111</v>
      </c>
      <c r="AL225" s="5" t="s">
        <v>72</v>
      </c>
      <c r="AM225" s="5"/>
      <c r="AN225" s="5" t="s">
        <v>72</v>
      </c>
      <c r="AW225" s="143"/>
    </row>
    <row r="226" spans="2:49" ht="15">
      <c r="B226" s="12">
        <v>280</v>
      </c>
      <c r="C226" s="11">
        <v>20200427</v>
      </c>
      <c r="D226" s="12" t="s">
        <v>311</v>
      </c>
      <c r="E226" s="11" t="s">
        <v>18</v>
      </c>
      <c r="F226" s="26" t="s">
        <v>72</v>
      </c>
      <c r="G226" s="26">
        <v>1434955</v>
      </c>
      <c r="H226" s="15" t="s">
        <v>72</v>
      </c>
      <c r="I226" s="49" t="s">
        <v>374</v>
      </c>
      <c r="J226" s="15" t="s">
        <v>72</v>
      </c>
      <c r="K226" s="5" t="s">
        <v>72</v>
      </c>
      <c r="L226" s="5" t="s">
        <v>72</v>
      </c>
      <c r="M226" s="15" t="s">
        <v>72</v>
      </c>
      <c r="N226" s="3"/>
      <c r="O226" s="5"/>
      <c r="P226" s="5" t="s">
        <v>1293</v>
      </c>
      <c r="Q226" s="11" t="s">
        <v>554</v>
      </c>
      <c r="R226" s="15" t="s">
        <v>72</v>
      </c>
      <c r="S226" s="3" t="s">
        <v>117</v>
      </c>
      <c r="T226" s="3"/>
      <c r="U226" s="3"/>
      <c r="V226" s="3">
        <v>99</v>
      </c>
      <c r="W226" s="11">
        <v>99</v>
      </c>
      <c r="X226" s="3">
        <v>99</v>
      </c>
      <c r="Y226" s="3">
        <v>6.09</v>
      </c>
      <c r="Z226" s="3">
        <v>6</v>
      </c>
      <c r="AA226" s="3" t="s">
        <v>550</v>
      </c>
      <c r="AB226" s="3"/>
      <c r="AC226" s="6">
        <v>43948</v>
      </c>
      <c r="AD226" s="6">
        <v>43950</v>
      </c>
      <c r="AE226" s="6">
        <v>43950</v>
      </c>
      <c r="AF226" s="6">
        <v>43950</v>
      </c>
      <c r="AG226" s="18" t="s">
        <v>79</v>
      </c>
      <c r="AH226" s="3"/>
      <c r="AI226" s="3"/>
      <c r="AJ226" s="3"/>
      <c r="AK226" s="19" t="s">
        <v>76</v>
      </c>
      <c r="AL226" s="5" t="s">
        <v>72</v>
      </c>
      <c r="AM226" s="5"/>
      <c r="AN226" s="5" t="s">
        <v>72</v>
      </c>
      <c r="AW226" s="143"/>
    </row>
    <row r="227" spans="2:49" ht="15">
      <c r="B227" s="12">
        <v>281</v>
      </c>
      <c r="C227" s="11">
        <v>20200427</v>
      </c>
      <c r="D227" s="12" t="s">
        <v>311</v>
      </c>
      <c r="E227" s="11" t="s">
        <v>18</v>
      </c>
      <c r="F227" s="26" t="s">
        <v>72</v>
      </c>
      <c r="G227" s="26">
        <v>1434955</v>
      </c>
      <c r="H227" s="15" t="s">
        <v>72</v>
      </c>
      <c r="I227" s="49" t="s">
        <v>375</v>
      </c>
      <c r="J227" s="15" t="s">
        <v>72</v>
      </c>
      <c r="K227" s="5" t="s">
        <v>72</v>
      </c>
      <c r="L227" s="5" t="s">
        <v>72</v>
      </c>
      <c r="M227" s="15" t="s">
        <v>72</v>
      </c>
      <c r="N227" s="3"/>
      <c r="O227" s="5"/>
      <c r="P227" s="5" t="s">
        <v>1293</v>
      </c>
      <c r="Q227" s="11" t="s">
        <v>555</v>
      </c>
      <c r="R227" s="15" t="s">
        <v>72</v>
      </c>
      <c r="S227" s="3" t="s">
        <v>117</v>
      </c>
      <c r="T227" s="3"/>
      <c r="U227" s="3"/>
      <c r="V227" s="3">
        <v>70</v>
      </c>
      <c r="W227" s="11">
        <v>70</v>
      </c>
      <c r="X227" s="3">
        <v>70</v>
      </c>
      <c r="Y227" s="3">
        <v>4.3</v>
      </c>
      <c r="Z227" s="3">
        <v>4</v>
      </c>
      <c r="AA227" s="3" t="s">
        <v>550</v>
      </c>
      <c r="AB227" s="3"/>
      <c r="AC227" s="6">
        <v>43948</v>
      </c>
      <c r="AD227" s="6">
        <v>43950</v>
      </c>
      <c r="AE227" s="6">
        <v>43950</v>
      </c>
      <c r="AF227" s="6">
        <v>43950</v>
      </c>
      <c r="AG227" s="18" t="s">
        <v>75</v>
      </c>
      <c r="AH227" s="19">
        <v>100</v>
      </c>
      <c r="AI227" s="19">
        <v>100</v>
      </c>
      <c r="AJ227" s="19">
        <v>100</v>
      </c>
      <c r="AK227" s="19" t="s">
        <v>111</v>
      </c>
      <c r="AL227" s="5" t="s">
        <v>72</v>
      </c>
      <c r="AM227" s="5"/>
      <c r="AN227" s="5" t="s">
        <v>72</v>
      </c>
      <c r="AW227" s="143"/>
    </row>
    <row r="228" spans="2:49" ht="15">
      <c r="B228" s="54">
        <v>1</v>
      </c>
      <c r="C228" s="11">
        <v>20200428</v>
      </c>
      <c r="D228" s="3" t="s">
        <v>24</v>
      </c>
      <c r="E228" s="3" t="s">
        <v>556</v>
      </c>
      <c r="F228" s="39" t="s">
        <v>557</v>
      </c>
      <c r="G228" s="5">
        <v>1435905</v>
      </c>
      <c r="H228" s="15" t="s">
        <v>72</v>
      </c>
      <c r="I228" s="3" t="s">
        <v>558</v>
      </c>
      <c r="J228" s="15" t="s">
        <v>72</v>
      </c>
      <c r="K228" s="3" t="s">
        <v>73</v>
      </c>
      <c r="L228" s="3" t="s">
        <v>559</v>
      </c>
      <c r="M228" s="3" t="s">
        <v>560</v>
      </c>
      <c r="N228" s="3" t="s">
        <v>561</v>
      </c>
      <c r="O228" s="5" t="s">
        <v>72</v>
      </c>
      <c r="P228" s="5" t="s">
        <v>562</v>
      </c>
      <c r="Q228" s="55"/>
      <c r="R228" s="15" t="s">
        <v>72</v>
      </c>
      <c r="S228" s="3" t="s">
        <v>77</v>
      </c>
      <c r="T228" s="3"/>
      <c r="U228" s="3"/>
      <c r="V228" s="3">
        <v>145</v>
      </c>
      <c r="W228" s="3">
        <f>V228</f>
        <v>145</v>
      </c>
      <c r="X228" s="3">
        <f>W228</f>
        <v>145</v>
      </c>
      <c r="Y228" s="3">
        <f>ROUNDDOWN(W228/HLOOKUP(D228,[1]Table!$C$3:$D$4,2,0)*8,2)</f>
        <v>2.57</v>
      </c>
      <c r="Z228" s="3">
        <v>2</v>
      </c>
      <c r="AA228" s="3" t="s">
        <v>550</v>
      </c>
      <c r="AB228" s="6">
        <v>43956</v>
      </c>
      <c r="AC228" s="6">
        <v>43949</v>
      </c>
      <c r="AD228" s="6">
        <v>43956</v>
      </c>
      <c r="AE228" s="6">
        <v>43956</v>
      </c>
      <c r="AF228" s="6">
        <v>43956</v>
      </c>
      <c r="AG228" s="6" t="s">
        <v>75</v>
      </c>
      <c r="AH228" s="8">
        <v>1</v>
      </c>
      <c r="AI228" s="8">
        <v>1</v>
      </c>
      <c r="AJ228" s="8">
        <v>1</v>
      </c>
      <c r="AK228" s="6" t="s">
        <v>8</v>
      </c>
      <c r="AL228" s="3" t="s">
        <v>72</v>
      </c>
      <c r="AM228" s="3" t="s">
        <v>72</v>
      </c>
      <c r="AN228" s="56" t="s">
        <v>72</v>
      </c>
      <c r="AW228" s="143"/>
    </row>
    <row r="229" spans="2:49" ht="15">
      <c r="B229" s="54">
        <f t="shared" ref="B229:B292" si="0">B228+1</f>
        <v>2</v>
      </c>
      <c r="C229" s="11">
        <v>20200428</v>
      </c>
      <c r="D229" s="3" t="s">
        <v>24</v>
      </c>
      <c r="E229" s="3" t="s">
        <v>556</v>
      </c>
      <c r="F229" s="39" t="s">
        <v>563</v>
      </c>
      <c r="G229" s="5">
        <v>1435905</v>
      </c>
      <c r="H229" s="15" t="s">
        <v>72</v>
      </c>
      <c r="I229" s="3" t="s">
        <v>564</v>
      </c>
      <c r="J229" s="15" t="s">
        <v>72</v>
      </c>
      <c r="K229" s="3" t="s">
        <v>73</v>
      </c>
      <c r="L229" s="3" t="s">
        <v>559</v>
      </c>
      <c r="M229" s="3" t="s">
        <v>560</v>
      </c>
      <c r="N229" s="3" t="s">
        <v>561</v>
      </c>
      <c r="O229" s="5" t="s">
        <v>72</v>
      </c>
      <c r="P229" s="5" t="s">
        <v>562</v>
      </c>
      <c r="Q229" s="55"/>
      <c r="R229" s="15" t="s">
        <v>72</v>
      </c>
      <c r="S229" s="3" t="s">
        <v>77</v>
      </c>
      <c r="T229" s="3"/>
      <c r="U229" s="3"/>
      <c r="V229" s="3">
        <v>101</v>
      </c>
      <c r="W229" s="3">
        <f t="shared" ref="W229:X291" si="1">V229</f>
        <v>101</v>
      </c>
      <c r="X229" s="3">
        <f t="shared" si="1"/>
        <v>101</v>
      </c>
      <c r="Y229" s="3">
        <f>ROUNDDOWN(W229/HLOOKUP(D229,[1]Table!$C$3:$D$4,2,0)*8,2)</f>
        <v>1.79</v>
      </c>
      <c r="Z229" s="3">
        <v>1</v>
      </c>
      <c r="AA229" s="3" t="s">
        <v>550</v>
      </c>
      <c r="AB229" s="6">
        <v>43956</v>
      </c>
      <c r="AC229" s="6">
        <v>43949</v>
      </c>
      <c r="AD229" s="6">
        <v>43956</v>
      </c>
      <c r="AE229" s="6">
        <v>43955</v>
      </c>
      <c r="AF229" s="6">
        <v>43955</v>
      </c>
      <c r="AG229" s="6" t="s">
        <v>75</v>
      </c>
      <c r="AH229" s="8">
        <v>1</v>
      </c>
      <c r="AI229" s="8">
        <v>1</v>
      </c>
      <c r="AJ229" s="8">
        <v>1</v>
      </c>
      <c r="AK229" s="6" t="s">
        <v>8</v>
      </c>
      <c r="AL229" s="3" t="s">
        <v>72</v>
      </c>
      <c r="AM229" s="3" t="s">
        <v>72</v>
      </c>
      <c r="AN229" s="3" t="s">
        <v>72</v>
      </c>
      <c r="AW229" s="143"/>
    </row>
    <row r="230" spans="2:49" ht="15">
      <c r="B230" s="54">
        <f t="shared" si="0"/>
        <v>3</v>
      </c>
      <c r="C230" s="11">
        <v>20200428</v>
      </c>
      <c r="D230" s="3" t="s">
        <v>24</v>
      </c>
      <c r="E230" s="3" t="s">
        <v>556</v>
      </c>
      <c r="F230" s="39" t="s">
        <v>565</v>
      </c>
      <c r="G230" s="5">
        <v>1435905</v>
      </c>
      <c r="H230" s="15" t="s">
        <v>72</v>
      </c>
      <c r="I230" s="3" t="s">
        <v>566</v>
      </c>
      <c r="J230" s="15" t="s">
        <v>72</v>
      </c>
      <c r="K230" s="3" t="s">
        <v>73</v>
      </c>
      <c r="L230" s="3" t="s">
        <v>559</v>
      </c>
      <c r="M230" s="3" t="s">
        <v>560</v>
      </c>
      <c r="N230" s="3" t="s">
        <v>561</v>
      </c>
      <c r="O230" s="5" t="s">
        <v>72</v>
      </c>
      <c r="P230" s="5" t="s">
        <v>562</v>
      </c>
      <c r="Q230" s="55"/>
      <c r="R230" s="15" t="s">
        <v>72</v>
      </c>
      <c r="S230" s="3" t="s">
        <v>77</v>
      </c>
      <c r="T230" s="3"/>
      <c r="U230" s="3"/>
      <c r="V230" s="3">
        <v>154</v>
      </c>
      <c r="W230" s="3">
        <f t="shared" si="1"/>
        <v>154</v>
      </c>
      <c r="X230" s="3">
        <f t="shared" si="1"/>
        <v>154</v>
      </c>
      <c r="Y230" s="3">
        <f>ROUNDDOWN(W230/HLOOKUP(D230,[1]Table!$C$3:$D$4,2,0)*8,2)</f>
        <v>2.73</v>
      </c>
      <c r="Z230" s="3">
        <v>2</v>
      </c>
      <c r="AA230" s="3" t="s">
        <v>110</v>
      </c>
      <c r="AB230" s="6">
        <v>43956</v>
      </c>
      <c r="AC230" s="6">
        <v>43949</v>
      </c>
      <c r="AD230" s="6">
        <v>43956</v>
      </c>
      <c r="AE230" s="6">
        <v>43955</v>
      </c>
      <c r="AF230" s="6">
        <v>43955</v>
      </c>
      <c r="AG230" s="6" t="s">
        <v>79</v>
      </c>
      <c r="AH230" s="8">
        <v>0.96</v>
      </c>
      <c r="AI230" s="8">
        <v>0.9</v>
      </c>
      <c r="AJ230" s="8">
        <v>1</v>
      </c>
      <c r="AK230" s="6" t="s">
        <v>76</v>
      </c>
      <c r="AL230" s="3" t="s">
        <v>567</v>
      </c>
      <c r="AM230" s="3"/>
      <c r="AN230" s="3" t="s">
        <v>568</v>
      </c>
      <c r="AW230" s="143"/>
    </row>
    <row r="231" spans="2:49" ht="15">
      <c r="B231" s="54">
        <f t="shared" si="0"/>
        <v>4</v>
      </c>
      <c r="C231" s="11">
        <v>20200428</v>
      </c>
      <c r="D231" s="3" t="s">
        <v>24</v>
      </c>
      <c r="E231" s="3" t="s">
        <v>556</v>
      </c>
      <c r="F231" s="39" t="s">
        <v>569</v>
      </c>
      <c r="G231" s="5">
        <v>1435905</v>
      </c>
      <c r="H231" s="15" t="s">
        <v>72</v>
      </c>
      <c r="I231" s="11" t="s">
        <v>45</v>
      </c>
      <c r="J231" s="15" t="s">
        <v>72</v>
      </c>
      <c r="K231" s="3" t="s">
        <v>73</v>
      </c>
      <c r="L231" s="3" t="s">
        <v>559</v>
      </c>
      <c r="M231" s="3" t="s">
        <v>560</v>
      </c>
      <c r="N231" s="3" t="s">
        <v>561</v>
      </c>
      <c r="O231" s="5" t="s">
        <v>72</v>
      </c>
      <c r="P231" s="5" t="s">
        <v>562</v>
      </c>
      <c r="Q231" s="55"/>
      <c r="R231" s="15" t="s">
        <v>72</v>
      </c>
      <c r="S231" s="3" t="s">
        <v>77</v>
      </c>
      <c r="T231" s="3"/>
      <c r="U231" s="3"/>
      <c r="V231" s="3">
        <v>120</v>
      </c>
      <c r="W231" s="3">
        <f t="shared" si="1"/>
        <v>120</v>
      </c>
      <c r="X231" s="3">
        <f t="shared" si="1"/>
        <v>120</v>
      </c>
      <c r="Y231" s="3">
        <f>ROUNDDOWN(W231/HLOOKUP(D231,[1]Table!$C$3:$D$4,2,0)*8,2)</f>
        <v>2.13</v>
      </c>
      <c r="Z231" s="3">
        <v>2</v>
      </c>
      <c r="AA231" s="3" t="s">
        <v>110</v>
      </c>
      <c r="AB231" s="6">
        <v>43956</v>
      </c>
      <c r="AC231" s="6">
        <v>43949</v>
      </c>
      <c r="AD231" s="6">
        <v>43956</v>
      </c>
      <c r="AE231" s="6">
        <v>43955</v>
      </c>
      <c r="AF231" s="6">
        <v>43955</v>
      </c>
      <c r="AG231" s="6" t="s">
        <v>79</v>
      </c>
      <c r="AH231" s="8">
        <v>1</v>
      </c>
      <c r="AI231" s="8">
        <v>0.98</v>
      </c>
      <c r="AJ231" s="8">
        <v>1</v>
      </c>
      <c r="AK231" s="6" t="s">
        <v>76</v>
      </c>
      <c r="AL231" s="3" t="s">
        <v>570</v>
      </c>
      <c r="AM231" s="3"/>
      <c r="AN231" s="56" t="s">
        <v>571</v>
      </c>
      <c r="AW231" s="143"/>
    </row>
    <row r="232" spans="2:49" ht="15">
      <c r="B232" s="54">
        <f t="shared" si="0"/>
        <v>5</v>
      </c>
      <c r="C232" s="11">
        <v>20200428</v>
      </c>
      <c r="D232" s="3" t="s">
        <v>24</v>
      </c>
      <c r="E232" s="3" t="s">
        <v>556</v>
      </c>
      <c r="F232" s="39" t="s">
        <v>572</v>
      </c>
      <c r="G232" s="5">
        <v>1435905</v>
      </c>
      <c r="H232" s="15" t="s">
        <v>72</v>
      </c>
      <c r="I232" s="3" t="s">
        <v>47</v>
      </c>
      <c r="J232" s="15" t="s">
        <v>72</v>
      </c>
      <c r="K232" s="3" t="s">
        <v>73</v>
      </c>
      <c r="L232" s="3" t="s">
        <v>559</v>
      </c>
      <c r="M232" s="3" t="s">
        <v>560</v>
      </c>
      <c r="N232" s="3" t="s">
        <v>561</v>
      </c>
      <c r="O232" s="5" t="s">
        <v>72</v>
      </c>
      <c r="P232" s="5" t="s">
        <v>562</v>
      </c>
      <c r="Q232" s="55"/>
      <c r="R232" s="15" t="s">
        <v>72</v>
      </c>
      <c r="S232" s="3" t="s">
        <v>573</v>
      </c>
      <c r="T232" s="3"/>
      <c r="U232" s="3"/>
      <c r="V232" s="3">
        <v>178</v>
      </c>
      <c r="W232" s="3">
        <f t="shared" si="1"/>
        <v>178</v>
      </c>
      <c r="X232" s="3">
        <f t="shared" si="1"/>
        <v>178</v>
      </c>
      <c r="Y232" s="3">
        <f>ROUNDDOWN(W232/HLOOKUP(D232,[1]Table!$C$3:$D$4,2,0)*8,2)</f>
        <v>3.16</v>
      </c>
      <c r="Z232" s="3">
        <v>1</v>
      </c>
      <c r="AA232" s="3" t="s">
        <v>550</v>
      </c>
      <c r="AB232" s="6">
        <v>43956</v>
      </c>
      <c r="AC232" s="6">
        <v>43949</v>
      </c>
      <c r="AD232" s="6">
        <v>43956</v>
      </c>
      <c r="AE232" s="6">
        <v>43955</v>
      </c>
      <c r="AF232" s="6">
        <v>43955</v>
      </c>
      <c r="AG232" s="6" t="s">
        <v>75</v>
      </c>
      <c r="AH232" s="8" t="s">
        <v>72</v>
      </c>
      <c r="AI232" s="8" t="s">
        <v>72</v>
      </c>
      <c r="AJ232" s="8" t="s">
        <v>72</v>
      </c>
      <c r="AK232" s="6" t="s">
        <v>8</v>
      </c>
      <c r="AL232" s="3"/>
      <c r="AM232" s="3"/>
      <c r="AN232" s="3" t="s">
        <v>574</v>
      </c>
      <c r="AW232" s="143"/>
    </row>
    <row r="233" spans="2:49" ht="15">
      <c r="B233" s="54">
        <f t="shared" si="0"/>
        <v>6</v>
      </c>
      <c r="C233" s="11">
        <v>20200428</v>
      </c>
      <c r="D233" s="3" t="s">
        <v>24</v>
      </c>
      <c r="E233" s="3" t="s">
        <v>556</v>
      </c>
      <c r="F233" s="39" t="s">
        <v>575</v>
      </c>
      <c r="G233" s="5">
        <v>1435905</v>
      </c>
      <c r="H233" s="15" t="s">
        <v>72</v>
      </c>
      <c r="I233" s="3" t="s">
        <v>576</v>
      </c>
      <c r="J233" s="15" t="s">
        <v>72</v>
      </c>
      <c r="K233" s="3" t="s">
        <v>73</v>
      </c>
      <c r="L233" s="3" t="s">
        <v>559</v>
      </c>
      <c r="M233" s="3" t="s">
        <v>560</v>
      </c>
      <c r="N233" s="3" t="s">
        <v>561</v>
      </c>
      <c r="O233" s="5" t="s">
        <v>72</v>
      </c>
      <c r="P233" s="5" t="s">
        <v>562</v>
      </c>
      <c r="Q233" s="55"/>
      <c r="R233" s="15" t="s">
        <v>72</v>
      </c>
      <c r="S233" s="3" t="s">
        <v>573</v>
      </c>
      <c r="T233" s="3"/>
      <c r="U233" s="3"/>
      <c r="V233" s="3">
        <v>124</v>
      </c>
      <c r="W233" s="3">
        <f t="shared" si="1"/>
        <v>124</v>
      </c>
      <c r="X233" s="3">
        <f t="shared" si="1"/>
        <v>124</v>
      </c>
      <c r="Y233" s="3">
        <f>ROUNDDOWN(W233/HLOOKUP(D233,[1]Table!$C$3:$D$4,2,0)*8,2)</f>
        <v>2.2000000000000002</v>
      </c>
      <c r="Z233" s="3">
        <v>2</v>
      </c>
      <c r="AA233" s="3" t="s">
        <v>550</v>
      </c>
      <c r="AB233" s="6">
        <v>43956</v>
      </c>
      <c r="AC233" s="6">
        <v>43949</v>
      </c>
      <c r="AD233" s="6">
        <v>43956</v>
      </c>
      <c r="AE233" s="6">
        <v>43955</v>
      </c>
      <c r="AF233" s="6">
        <v>43955</v>
      </c>
      <c r="AG233" s="6" t="s">
        <v>79</v>
      </c>
      <c r="AH233" s="8">
        <v>1</v>
      </c>
      <c r="AI233" s="8">
        <v>1</v>
      </c>
      <c r="AJ233" s="8">
        <v>1</v>
      </c>
      <c r="AK233" s="6" t="s">
        <v>8</v>
      </c>
      <c r="AL233" s="3"/>
      <c r="AM233" s="3"/>
      <c r="AN233" s="3" t="s">
        <v>577</v>
      </c>
      <c r="AW233" s="143"/>
    </row>
    <row r="234" spans="2:49" ht="15">
      <c r="B234" s="54">
        <f t="shared" si="0"/>
        <v>7</v>
      </c>
      <c r="C234" s="11">
        <v>20200428</v>
      </c>
      <c r="D234" s="3" t="s">
        <v>24</v>
      </c>
      <c r="E234" s="3" t="s">
        <v>556</v>
      </c>
      <c r="F234" s="39" t="s">
        <v>578</v>
      </c>
      <c r="G234" s="5">
        <v>1435905</v>
      </c>
      <c r="H234" s="15" t="s">
        <v>72</v>
      </c>
      <c r="I234" s="3" t="s">
        <v>579</v>
      </c>
      <c r="J234" s="15" t="s">
        <v>72</v>
      </c>
      <c r="K234" s="3" t="s">
        <v>73</v>
      </c>
      <c r="L234" s="3" t="s">
        <v>559</v>
      </c>
      <c r="M234" s="3" t="s">
        <v>560</v>
      </c>
      <c r="N234" s="3" t="s">
        <v>561</v>
      </c>
      <c r="O234" s="5" t="s">
        <v>72</v>
      </c>
      <c r="P234" s="5" t="s">
        <v>562</v>
      </c>
      <c r="Q234" s="55"/>
      <c r="R234" s="15" t="s">
        <v>72</v>
      </c>
      <c r="S234" s="3" t="s">
        <v>573</v>
      </c>
      <c r="T234" s="3"/>
      <c r="U234" s="3"/>
      <c r="V234" s="3">
        <v>106</v>
      </c>
      <c r="W234" s="3">
        <f t="shared" si="1"/>
        <v>106</v>
      </c>
      <c r="X234" s="3">
        <f t="shared" si="1"/>
        <v>106</v>
      </c>
      <c r="Y234" s="3">
        <f>ROUNDDOWN(W234/HLOOKUP(D234,[1]Table!$C$3:$D$4,2,0)*8,2)</f>
        <v>1.88</v>
      </c>
      <c r="Z234" s="3">
        <v>2</v>
      </c>
      <c r="AA234" s="3" t="s">
        <v>110</v>
      </c>
      <c r="AB234" s="6">
        <v>43956</v>
      </c>
      <c r="AC234" s="6">
        <v>43949</v>
      </c>
      <c r="AD234" s="6">
        <v>43956</v>
      </c>
      <c r="AE234" s="6">
        <v>43955</v>
      </c>
      <c r="AF234" s="6">
        <v>43955</v>
      </c>
      <c r="AG234" s="6" t="s">
        <v>79</v>
      </c>
      <c r="AH234" s="8">
        <v>0.36</v>
      </c>
      <c r="AI234" s="8">
        <v>0</v>
      </c>
      <c r="AJ234" s="8">
        <v>1</v>
      </c>
      <c r="AK234" s="6" t="s">
        <v>76</v>
      </c>
      <c r="AL234" s="3" t="s">
        <v>580</v>
      </c>
      <c r="AM234" s="3"/>
      <c r="AN234" s="3" t="s">
        <v>571</v>
      </c>
      <c r="AW234" s="143"/>
    </row>
    <row r="235" spans="2:49" ht="15">
      <c r="B235" s="54">
        <f t="shared" si="0"/>
        <v>8</v>
      </c>
      <c r="C235" s="11">
        <v>20200428</v>
      </c>
      <c r="D235" s="3" t="s">
        <v>24</v>
      </c>
      <c r="E235" s="3" t="s">
        <v>581</v>
      </c>
      <c r="F235" s="39" t="s">
        <v>582</v>
      </c>
      <c r="G235" s="5">
        <v>1439160</v>
      </c>
      <c r="H235" s="15" t="s">
        <v>72</v>
      </c>
      <c r="I235" s="3" t="s">
        <v>583</v>
      </c>
      <c r="J235" s="15" t="s">
        <v>72</v>
      </c>
      <c r="K235" s="3" t="s">
        <v>73</v>
      </c>
      <c r="L235" s="3" t="s">
        <v>584</v>
      </c>
      <c r="M235" s="55" t="s">
        <v>585</v>
      </c>
      <c r="N235" s="3" t="s">
        <v>586</v>
      </c>
      <c r="O235" s="5" t="s">
        <v>72</v>
      </c>
      <c r="P235" s="5" t="s">
        <v>587</v>
      </c>
      <c r="Q235" s="55"/>
      <c r="R235" s="15" t="s">
        <v>72</v>
      </c>
      <c r="S235" s="3" t="s">
        <v>573</v>
      </c>
      <c r="T235" s="3"/>
      <c r="U235" s="3"/>
      <c r="V235" s="3">
        <v>188</v>
      </c>
      <c r="W235" s="3">
        <f t="shared" si="1"/>
        <v>188</v>
      </c>
      <c r="X235" s="3">
        <f t="shared" si="1"/>
        <v>188</v>
      </c>
      <c r="Y235" s="3">
        <f>ROUNDDOWN(W235/HLOOKUP(D235,[1]Table!$C$3:$D$4,2,0)*8,2)</f>
        <v>3.34</v>
      </c>
      <c r="Z235" s="3">
        <v>1</v>
      </c>
      <c r="AA235" s="3" t="s">
        <v>550</v>
      </c>
      <c r="AB235" s="6">
        <v>43956</v>
      </c>
      <c r="AC235" s="6">
        <v>43949</v>
      </c>
      <c r="AD235" s="6">
        <v>43956</v>
      </c>
      <c r="AE235" s="6">
        <v>43955</v>
      </c>
      <c r="AF235" s="6">
        <v>43955</v>
      </c>
      <c r="AG235" s="6" t="s">
        <v>75</v>
      </c>
      <c r="AH235" s="8" t="s">
        <v>72</v>
      </c>
      <c r="AI235" s="8" t="s">
        <v>72</v>
      </c>
      <c r="AJ235" s="8" t="s">
        <v>72</v>
      </c>
      <c r="AK235" s="6" t="s">
        <v>8</v>
      </c>
      <c r="AL235" s="3"/>
      <c r="AM235" s="3"/>
      <c r="AN235" s="3" t="s">
        <v>574</v>
      </c>
      <c r="AW235" s="143"/>
    </row>
    <row r="236" spans="2:49" ht="15">
      <c r="B236" s="54">
        <f t="shared" si="0"/>
        <v>9</v>
      </c>
      <c r="C236" s="11">
        <v>20200428</v>
      </c>
      <c r="D236" s="3" t="s">
        <v>24</v>
      </c>
      <c r="E236" s="3" t="s">
        <v>581</v>
      </c>
      <c r="F236" s="39" t="s">
        <v>588</v>
      </c>
      <c r="G236" s="5">
        <v>1439160</v>
      </c>
      <c r="H236" s="15" t="s">
        <v>72</v>
      </c>
      <c r="I236" s="3" t="s">
        <v>123</v>
      </c>
      <c r="J236" s="15" t="s">
        <v>72</v>
      </c>
      <c r="K236" s="3" t="s">
        <v>73</v>
      </c>
      <c r="L236" s="3" t="s">
        <v>584</v>
      </c>
      <c r="M236" s="55" t="s">
        <v>585</v>
      </c>
      <c r="N236" s="3" t="s">
        <v>586</v>
      </c>
      <c r="O236" s="5" t="s">
        <v>72</v>
      </c>
      <c r="P236" s="5" t="s">
        <v>587</v>
      </c>
      <c r="Q236" s="55"/>
      <c r="R236" s="15" t="s">
        <v>72</v>
      </c>
      <c r="S236" s="3" t="s">
        <v>573</v>
      </c>
      <c r="T236" s="3"/>
      <c r="U236" s="3"/>
      <c r="V236" s="3">
        <v>257</v>
      </c>
      <c r="W236" s="3">
        <f t="shared" si="1"/>
        <v>257</v>
      </c>
      <c r="X236" s="3">
        <f t="shared" si="1"/>
        <v>257</v>
      </c>
      <c r="Y236" s="3">
        <f>ROUNDDOWN(W236/HLOOKUP(D236,[1]Table!$C$3:$D$4,2,0)*8,2)</f>
        <v>4.5599999999999996</v>
      </c>
      <c r="Z236" s="3">
        <v>2</v>
      </c>
      <c r="AA236" s="3" t="s">
        <v>550</v>
      </c>
      <c r="AB236" s="6">
        <v>43956</v>
      </c>
      <c r="AC236" s="6">
        <v>43949</v>
      </c>
      <c r="AD236" s="6">
        <v>43956</v>
      </c>
      <c r="AE236" s="6">
        <v>43955</v>
      </c>
      <c r="AF236" s="6">
        <v>43955</v>
      </c>
      <c r="AG236" s="6" t="s">
        <v>75</v>
      </c>
      <c r="AH236" s="8">
        <v>1</v>
      </c>
      <c r="AI236" s="8">
        <v>1</v>
      </c>
      <c r="AJ236" s="8">
        <v>1</v>
      </c>
      <c r="AK236" s="6" t="s">
        <v>8</v>
      </c>
      <c r="AL236" s="3"/>
      <c r="AM236" s="3"/>
      <c r="AN236" s="3"/>
      <c r="AW236" s="143"/>
    </row>
    <row r="237" spans="2:49" ht="15">
      <c r="B237" s="54">
        <f t="shared" si="0"/>
        <v>10</v>
      </c>
      <c r="C237" s="11">
        <v>20200428</v>
      </c>
      <c r="D237" s="3" t="s">
        <v>24</v>
      </c>
      <c r="E237" s="3" t="s">
        <v>581</v>
      </c>
      <c r="F237" s="39" t="s">
        <v>589</v>
      </c>
      <c r="G237" s="5">
        <v>1439160</v>
      </c>
      <c r="H237" s="15" t="s">
        <v>72</v>
      </c>
      <c r="I237" s="3" t="s">
        <v>590</v>
      </c>
      <c r="J237" s="15" t="s">
        <v>72</v>
      </c>
      <c r="K237" s="3" t="s">
        <v>73</v>
      </c>
      <c r="L237" s="3" t="s">
        <v>584</v>
      </c>
      <c r="M237" s="55" t="s">
        <v>585</v>
      </c>
      <c r="N237" s="3" t="s">
        <v>586</v>
      </c>
      <c r="O237" s="5" t="s">
        <v>72</v>
      </c>
      <c r="P237" s="5" t="s">
        <v>587</v>
      </c>
      <c r="Q237" s="55"/>
      <c r="R237" s="15" t="s">
        <v>72</v>
      </c>
      <c r="S237" s="3" t="s">
        <v>573</v>
      </c>
      <c r="T237" s="3"/>
      <c r="U237" s="3"/>
      <c r="V237" s="3">
        <v>1141</v>
      </c>
      <c r="W237" s="3">
        <f t="shared" si="1"/>
        <v>1141</v>
      </c>
      <c r="X237" s="3">
        <f t="shared" si="1"/>
        <v>1141</v>
      </c>
      <c r="Y237" s="3">
        <f>ROUNDDOWN(W237/HLOOKUP(D237,[1]Table!$C$3:$D$4,2,0)*8,2)</f>
        <v>20.28</v>
      </c>
      <c r="Z237" s="3">
        <v>4</v>
      </c>
      <c r="AA237" s="3" t="s">
        <v>550</v>
      </c>
      <c r="AB237" s="6">
        <v>43956</v>
      </c>
      <c r="AC237" s="6">
        <v>43949</v>
      </c>
      <c r="AD237" s="6">
        <v>43956</v>
      </c>
      <c r="AE237" s="6">
        <v>43950</v>
      </c>
      <c r="AF237" s="6">
        <v>43950</v>
      </c>
      <c r="AG237" s="6" t="s">
        <v>75</v>
      </c>
      <c r="AH237" s="8">
        <v>1</v>
      </c>
      <c r="AI237" s="8">
        <v>1</v>
      </c>
      <c r="AJ237" s="8">
        <v>1</v>
      </c>
      <c r="AK237" s="6" t="s">
        <v>8</v>
      </c>
      <c r="AL237" s="3"/>
      <c r="AM237" s="3"/>
      <c r="AN237" s="3"/>
      <c r="AW237" s="143"/>
    </row>
    <row r="238" spans="2:49" ht="15">
      <c r="B238" s="54">
        <f t="shared" si="0"/>
        <v>11</v>
      </c>
      <c r="C238" s="11">
        <v>20200428</v>
      </c>
      <c r="D238" s="3" t="s">
        <v>24</v>
      </c>
      <c r="E238" s="3" t="s">
        <v>581</v>
      </c>
      <c r="F238" s="39" t="s">
        <v>591</v>
      </c>
      <c r="G238" s="5">
        <v>1439160</v>
      </c>
      <c r="H238" s="15" t="s">
        <v>72</v>
      </c>
      <c r="I238" s="3" t="s">
        <v>120</v>
      </c>
      <c r="J238" s="15" t="s">
        <v>72</v>
      </c>
      <c r="K238" s="3" t="s">
        <v>73</v>
      </c>
      <c r="L238" s="3" t="s">
        <v>584</v>
      </c>
      <c r="M238" s="55" t="s">
        <v>585</v>
      </c>
      <c r="N238" s="3" t="s">
        <v>586</v>
      </c>
      <c r="O238" s="5" t="s">
        <v>72</v>
      </c>
      <c r="P238" s="5" t="s">
        <v>587</v>
      </c>
      <c r="Q238" s="55"/>
      <c r="R238" s="15" t="s">
        <v>72</v>
      </c>
      <c r="S238" s="3" t="s">
        <v>78</v>
      </c>
      <c r="T238" s="3"/>
      <c r="U238" s="3"/>
      <c r="V238" s="3">
        <v>997</v>
      </c>
      <c r="W238" s="3">
        <f t="shared" si="1"/>
        <v>997</v>
      </c>
      <c r="X238" s="3">
        <f t="shared" si="1"/>
        <v>997</v>
      </c>
      <c r="Y238" s="3">
        <f>ROUNDDOWN(W238/HLOOKUP(D238,[1]Table!$C$3:$D$4,2,0)*8,2)</f>
        <v>17.72</v>
      </c>
      <c r="Z238" s="3">
        <v>2</v>
      </c>
      <c r="AA238" s="3" t="s">
        <v>550</v>
      </c>
      <c r="AB238" s="6">
        <v>43956</v>
      </c>
      <c r="AC238" s="6">
        <v>43949</v>
      </c>
      <c r="AD238" s="6">
        <v>43956</v>
      </c>
      <c r="AE238" s="6">
        <v>43956</v>
      </c>
      <c r="AF238" s="6">
        <v>43956</v>
      </c>
      <c r="AG238" s="6" t="s">
        <v>75</v>
      </c>
      <c r="AH238" s="8">
        <v>1</v>
      </c>
      <c r="AI238" s="8">
        <v>1</v>
      </c>
      <c r="AJ238" s="8">
        <v>1</v>
      </c>
      <c r="AK238" s="6" t="s">
        <v>8</v>
      </c>
      <c r="AL238" s="3"/>
      <c r="AM238" s="3"/>
      <c r="AN238" s="3"/>
      <c r="AW238" s="143"/>
    </row>
    <row r="239" spans="2:49" ht="15">
      <c r="B239" s="54">
        <f t="shared" si="0"/>
        <v>12</v>
      </c>
      <c r="C239" s="11">
        <v>20200428</v>
      </c>
      <c r="D239" s="3" t="s">
        <v>24</v>
      </c>
      <c r="E239" s="3" t="s">
        <v>592</v>
      </c>
      <c r="F239" s="39" t="s">
        <v>593</v>
      </c>
      <c r="G239" s="5">
        <v>1439436</v>
      </c>
      <c r="H239" s="15" t="s">
        <v>72</v>
      </c>
      <c r="I239" s="3" t="s">
        <v>583</v>
      </c>
      <c r="J239" s="15" t="s">
        <v>72</v>
      </c>
      <c r="K239" s="3" t="s">
        <v>73</v>
      </c>
      <c r="L239" s="3" t="s">
        <v>594</v>
      </c>
      <c r="M239" s="3" t="s">
        <v>595</v>
      </c>
      <c r="N239" s="3" t="s">
        <v>596</v>
      </c>
      <c r="O239" s="5" t="s">
        <v>72</v>
      </c>
      <c r="P239" s="5" t="s">
        <v>597</v>
      </c>
      <c r="Q239" s="55"/>
      <c r="R239" s="15" t="s">
        <v>72</v>
      </c>
      <c r="S239" s="3" t="s">
        <v>77</v>
      </c>
      <c r="T239" s="3"/>
      <c r="U239" s="3"/>
      <c r="V239" s="3">
        <v>142</v>
      </c>
      <c r="W239" s="3">
        <f t="shared" si="1"/>
        <v>142</v>
      </c>
      <c r="X239" s="3">
        <f t="shared" si="1"/>
        <v>142</v>
      </c>
      <c r="Y239" s="3">
        <f>ROUNDDOWN(W239/HLOOKUP(D239,[1]Table!$C$3:$D$4,2,0)*8,2)</f>
        <v>2.52</v>
      </c>
      <c r="Z239" s="3">
        <v>0.1</v>
      </c>
      <c r="AA239" s="3" t="s">
        <v>550</v>
      </c>
      <c r="AB239" s="6">
        <v>43956</v>
      </c>
      <c r="AC239" s="6">
        <v>43949</v>
      </c>
      <c r="AD239" s="6">
        <v>43956</v>
      </c>
      <c r="AE239" s="6">
        <v>43955</v>
      </c>
      <c r="AF239" s="6">
        <v>43955</v>
      </c>
      <c r="AG239" s="6" t="s">
        <v>75</v>
      </c>
      <c r="AH239" s="8" t="s">
        <v>72</v>
      </c>
      <c r="AI239" s="8" t="s">
        <v>72</v>
      </c>
      <c r="AJ239" s="8" t="s">
        <v>72</v>
      </c>
      <c r="AK239" s="6" t="s">
        <v>8</v>
      </c>
      <c r="AL239" s="3"/>
      <c r="AM239" s="3"/>
      <c r="AN239" s="3" t="s">
        <v>574</v>
      </c>
      <c r="AW239" s="143"/>
    </row>
    <row r="240" spans="2:49" ht="15">
      <c r="B240" s="54">
        <f t="shared" si="0"/>
        <v>13</v>
      </c>
      <c r="C240" s="11">
        <v>20200428</v>
      </c>
      <c r="D240" s="3" t="s">
        <v>24</v>
      </c>
      <c r="E240" s="3" t="s">
        <v>592</v>
      </c>
      <c r="F240" s="39" t="s">
        <v>598</v>
      </c>
      <c r="G240" s="5">
        <v>1439436</v>
      </c>
      <c r="H240" s="15" t="s">
        <v>72</v>
      </c>
      <c r="I240" s="3" t="s">
        <v>590</v>
      </c>
      <c r="J240" s="15" t="s">
        <v>72</v>
      </c>
      <c r="K240" s="3" t="s">
        <v>73</v>
      </c>
      <c r="L240" s="3" t="s">
        <v>594</v>
      </c>
      <c r="M240" s="3" t="s">
        <v>595</v>
      </c>
      <c r="N240" s="3" t="s">
        <v>596</v>
      </c>
      <c r="O240" s="5" t="s">
        <v>72</v>
      </c>
      <c r="P240" s="5" t="s">
        <v>597</v>
      </c>
      <c r="Q240" s="55"/>
      <c r="R240" s="15" t="s">
        <v>72</v>
      </c>
      <c r="S240" s="3" t="s">
        <v>77</v>
      </c>
      <c r="T240" s="3"/>
      <c r="U240" s="3"/>
      <c r="V240" s="3">
        <v>35</v>
      </c>
      <c r="W240" s="3">
        <f t="shared" si="1"/>
        <v>35</v>
      </c>
      <c r="X240" s="3">
        <f t="shared" si="1"/>
        <v>35</v>
      </c>
      <c r="Y240" s="3">
        <f>ROUNDDOWN(W240/HLOOKUP(D240,[1]Table!$C$3:$D$4,2,0)*8,2)</f>
        <v>0.62</v>
      </c>
      <c r="Z240" s="3">
        <v>0.15</v>
      </c>
      <c r="AA240" s="3" t="s">
        <v>550</v>
      </c>
      <c r="AB240" s="6">
        <v>43956</v>
      </c>
      <c r="AC240" s="6">
        <v>43949</v>
      </c>
      <c r="AD240" s="6">
        <v>43956</v>
      </c>
      <c r="AE240" s="6">
        <v>43949</v>
      </c>
      <c r="AF240" s="6">
        <v>43949</v>
      </c>
      <c r="AG240" s="6" t="s">
        <v>75</v>
      </c>
      <c r="AH240" s="8">
        <v>1</v>
      </c>
      <c r="AI240" s="8">
        <v>1</v>
      </c>
      <c r="AJ240" s="8">
        <v>1</v>
      </c>
      <c r="AK240" s="6" t="s">
        <v>8</v>
      </c>
      <c r="AL240" s="3"/>
      <c r="AM240" s="3"/>
      <c r="AN240" s="3"/>
      <c r="AW240" s="143"/>
    </row>
    <row r="241" spans="2:49" ht="15">
      <c r="B241" s="54">
        <f t="shared" si="0"/>
        <v>14</v>
      </c>
      <c r="C241" s="11">
        <v>20200428</v>
      </c>
      <c r="D241" s="3" t="s">
        <v>24</v>
      </c>
      <c r="E241" s="3" t="s">
        <v>592</v>
      </c>
      <c r="F241" s="39" t="s">
        <v>599</v>
      </c>
      <c r="G241" s="5">
        <v>1439436</v>
      </c>
      <c r="H241" s="15" t="s">
        <v>72</v>
      </c>
      <c r="I241" s="3" t="s">
        <v>120</v>
      </c>
      <c r="J241" s="15" t="s">
        <v>72</v>
      </c>
      <c r="K241" s="3" t="s">
        <v>73</v>
      </c>
      <c r="L241" s="3" t="s">
        <v>594</v>
      </c>
      <c r="M241" s="3" t="s">
        <v>595</v>
      </c>
      <c r="N241" s="3" t="s">
        <v>596</v>
      </c>
      <c r="O241" s="5" t="s">
        <v>72</v>
      </c>
      <c r="P241" s="5" t="s">
        <v>597</v>
      </c>
      <c r="Q241" s="55"/>
      <c r="R241" s="15" t="s">
        <v>72</v>
      </c>
      <c r="S241" s="3" t="s">
        <v>77</v>
      </c>
      <c r="T241" s="3"/>
      <c r="U241" s="3"/>
      <c r="V241" s="3">
        <v>34</v>
      </c>
      <c r="W241" s="24">
        <v>278</v>
      </c>
      <c r="X241" s="11">
        <f t="shared" si="1"/>
        <v>278</v>
      </c>
      <c r="Y241" s="3">
        <f>ROUNDDOWN(W241/HLOOKUP(D241,[1]Table!$C$3:$D$4,2,0)*8,2)</f>
        <v>4.9400000000000004</v>
      </c>
      <c r="Z241" s="3">
        <v>1</v>
      </c>
      <c r="AA241" s="3" t="s">
        <v>550</v>
      </c>
      <c r="AB241" s="6">
        <v>43956</v>
      </c>
      <c r="AC241" s="6">
        <v>43949</v>
      </c>
      <c r="AD241" s="6">
        <v>43956</v>
      </c>
      <c r="AE241" s="6">
        <v>43955</v>
      </c>
      <c r="AF241" s="6">
        <v>43955</v>
      </c>
      <c r="AG241" s="6" t="s">
        <v>75</v>
      </c>
      <c r="AH241" s="8">
        <v>1</v>
      </c>
      <c r="AI241" s="8">
        <v>1</v>
      </c>
      <c r="AJ241" s="8">
        <v>1</v>
      </c>
      <c r="AK241" s="6" t="s">
        <v>8</v>
      </c>
      <c r="AL241" s="3"/>
      <c r="AM241" s="3"/>
      <c r="AN241" s="3" t="s">
        <v>600</v>
      </c>
      <c r="AW241" s="143"/>
    </row>
    <row r="242" spans="2:49" ht="15">
      <c r="B242" s="54">
        <f t="shared" si="0"/>
        <v>15</v>
      </c>
      <c r="C242" s="11">
        <v>20200428</v>
      </c>
      <c r="D242" s="3" t="s">
        <v>24</v>
      </c>
      <c r="E242" s="3" t="s">
        <v>21</v>
      </c>
      <c r="F242" s="39" t="s">
        <v>601</v>
      </c>
      <c r="G242" s="5">
        <v>1417033</v>
      </c>
      <c r="H242" s="15" t="s">
        <v>72</v>
      </c>
      <c r="I242" s="3" t="s">
        <v>123</v>
      </c>
      <c r="J242" s="15" t="s">
        <v>72</v>
      </c>
      <c r="K242" s="3" t="s">
        <v>73</v>
      </c>
      <c r="L242" s="3" t="s">
        <v>8</v>
      </c>
      <c r="M242" s="3" t="s">
        <v>22</v>
      </c>
      <c r="N242" s="3" t="s">
        <v>9</v>
      </c>
      <c r="O242" s="5" t="s">
        <v>72</v>
      </c>
      <c r="P242" s="5" t="s">
        <v>29</v>
      </c>
      <c r="Q242" s="55"/>
      <c r="R242" s="15" t="s">
        <v>72</v>
      </c>
      <c r="S242" s="3" t="s">
        <v>77</v>
      </c>
      <c r="T242" s="3"/>
      <c r="U242" s="3"/>
      <c r="V242" s="3">
        <v>76</v>
      </c>
      <c r="W242" s="3">
        <f t="shared" si="1"/>
        <v>76</v>
      </c>
      <c r="X242" s="3">
        <f t="shared" si="1"/>
        <v>76</v>
      </c>
      <c r="Y242" s="3">
        <f>ROUNDDOWN(W242/HLOOKUP(D242,[1]Table!$C$3:$D$4,2,0)*8,2)</f>
        <v>1.35</v>
      </c>
      <c r="Z242" s="3">
        <v>1</v>
      </c>
      <c r="AA242" s="3" t="s">
        <v>550</v>
      </c>
      <c r="AB242" s="6">
        <v>43956</v>
      </c>
      <c r="AC242" s="6">
        <v>43949</v>
      </c>
      <c r="AD242" s="6">
        <v>43956</v>
      </c>
      <c r="AE242" s="6">
        <v>43949</v>
      </c>
      <c r="AF242" s="6">
        <v>43949</v>
      </c>
      <c r="AG242" s="6" t="s">
        <v>75</v>
      </c>
      <c r="AH242" s="8">
        <v>1</v>
      </c>
      <c r="AI242" s="8">
        <v>1</v>
      </c>
      <c r="AJ242" s="8">
        <v>1</v>
      </c>
      <c r="AK242" s="6" t="s">
        <v>8</v>
      </c>
      <c r="AL242" s="3"/>
      <c r="AM242" s="3"/>
      <c r="AN242" s="3"/>
      <c r="AW242" s="143"/>
    </row>
    <row r="243" spans="2:49" ht="15">
      <c r="B243" s="54">
        <f t="shared" si="0"/>
        <v>16</v>
      </c>
      <c r="C243" s="11">
        <v>20200428</v>
      </c>
      <c r="D243" s="3" t="s">
        <v>24</v>
      </c>
      <c r="E243" s="3" t="s">
        <v>21</v>
      </c>
      <c r="F243" s="39" t="s">
        <v>602</v>
      </c>
      <c r="G243" s="5">
        <v>1417033</v>
      </c>
      <c r="H243" s="15" t="s">
        <v>72</v>
      </c>
      <c r="I243" s="3" t="s">
        <v>120</v>
      </c>
      <c r="J243" s="15" t="s">
        <v>72</v>
      </c>
      <c r="K243" s="3" t="s">
        <v>73</v>
      </c>
      <c r="L243" s="3" t="s">
        <v>8</v>
      </c>
      <c r="M243" s="3" t="s">
        <v>22</v>
      </c>
      <c r="N243" s="3" t="s">
        <v>9</v>
      </c>
      <c r="O243" s="5" t="s">
        <v>72</v>
      </c>
      <c r="P243" s="5" t="s">
        <v>29</v>
      </c>
      <c r="Q243" s="55"/>
      <c r="R243" s="15" t="s">
        <v>72</v>
      </c>
      <c r="S243" s="3" t="s">
        <v>77</v>
      </c>
      <c r="T243" s="3"/>
      <c r="U243" s="3"/>
      <c r="V243" s="3">
        <v>61</v>
      </c>
      <c r="W243" s="3">
        <f t="shared" si="1"/>
        <v>61</v>
      </c>
      <c r="X243" s="3">
        <f t="shared" si="1"/>
        <v>61</v>
      </c>
      <c r="Y243" s="3">
        <f>ROUNDDOWN(W243/HLOOKUP(D243,[1]Table!$C$3:$D$4,2,0)*8,2)</f>
        <v>1.08</v>
      </c>
      <c r="Z243" s="3">
        <v>0.5</v>
      </c>
      <c r="AA243" s="3" t="s">
        <v>550</v>
      </c>
      <c r="AB243" s="6">
        <v>43956</v>
      </c>
      <c r="AC243" s="6">
        <v>43949</v>
      </c>
      <c r="AD243" s="6">
        <v>43956</v>
      </c>
      <c r="AE243" s="6">
        <v>43949</v>
      </c>
      <c r="AF243" s="6">
        <v>43949</v>
      </c>
      <c r="AG243" s="6" t="s">
        <v>75</v>
      </c>
      <c r="AH243" s="8">
        <v>1</v>
      </c>
      <c r="AI243" s="8">
        <v>1</v>
      </c>
      <c r="AJ243" s="8">
        <v>1</v>
      </c>
      <c r="AK243" s="6" t="s">
        <v>8</v>
      </c>
      <c r="AL243" s="3"/>
      <c r="AM243" s="3"/>
      <c r="AN243" s="3"/>
      <c r="AW243" s="143"/>
    </row>
    <row r="244" spans="2:49" ht="15">
      <c r="B244" s="57">
        <f t="shared" si="0"/>
        <v>17</v>
      </c>
      <c r="C244" s="11">
        <v>20200429</v>
      </c>
      <c r="D244" s="3" t="s">
        <v>24</v>
      </c>
      <c r="E244" s="3" t="s">
        <v>14</v>
      </c>
      <c r="F244" s="39" t="s">
        <v>603</v>
      </c>
      <c r="G244" s="5">
        <v>1439430</v>
      </c>
      <c r="H244" s="15" t="s">
        <v>72</v>
      </c>
      <c r="I244" s="3" t="s">
        <v>16</v>
      </c>
      <c r="J244" s="15" t="s">
        <v>72</v>
      </c>
      <c r="K244" s="3" t="s">
        <v>73</v>
      </c>
      <c r="L244" s="3" t="s">
        <v>2</v>
      </c>
      <c r="M244" s="3" t="s">
        <v>15</v>
      </c>
      <c r="N244" s="3" t="s">
        <v>3</v>
      </c>
      <c r="O244" s="5" t="s">
        <v>72</v>
      </c>
      <c r="P244" s="5" t="s">
        <v>1</v>
      </c>
      <c r="Q244" s="55"/>
      <c r="R244" s="15" t="s">
        <v>72</v>
      </c>
      <c r="S244" s="3" t="s">
        <v>78</v>
      </c>
      <c r="T244" s="3"/>
      <c r="U244" s="3"/>
      <c r="V244" s="3">
        <v>431</v>
      </c>
      <c r="W244" s="3">
        <f t="shared" si="1"/>
        <v>431</v>
      </c>
      <c r="X244" s="3">
        <f t="shared" si="1"/>
        <v>431</v>
      </c>
      <c r="Y244" s="3">
        <f>ROUNDDOWN(W244/HLOOKUP(D244,[1]Table!$C$3:$D$4,2,0)*8,2)</f>
        <v>7.66</v>
      </c>
      <c r="Z244" s="3">
        <v>1</v>
      </c>
      <c r="AA244" s="3" t="s">
        <v>110</v>
      </c>
      <c r="AB244" s="6">
        <v>43957</v>
      </c>
      <c r="AC244" s="6">
        <v>43950</v>
      </c>
      <c r="AD244" s="6">
        <v>43957</v>
      </c>
      <c r="AE244" s="6">
        <v>43956</v>
      </c>
      <c r="AF244" s="6">
        <v>43956</v>
      </c>
      <c r="AG244" s="6" t="s">
        <v>75</v>
      </c>
      <c r="AH244" s="8">
        <v>1</v>
      </c>
      <c r="AI244" s="8">
        <v>1</v>
      </c>
      <c r="AJ244" s="8">
        <v>1</v>
      </c>
      <c r="AK244" s="6" t="s">
        <v>8</v>
      </c>
      <c r="AL244" s="3"/>
      <c r="AM244" s="3"/>
      <c r="AN244" s="3"/>
      <c r="AW244" s="143"/>
    </row>
    <row r="245" spans="2:49" ht="15">
      <c r="B245" s="57">
        <f t="shared" si="0"/>
        <v>18</v>
      </c>
      <c r="C245" s="11">
        <v>20200429</v>
      </c>
      <c r="D245" s="3" t="s">
        <v>24</v>
      </c>
      <c r="E245" s="3" t="s">
        <v>14</v>
      </c>
      <c r="F245" s="39" t="s">
        <v>604</v>
      </c>
      <c r="G245" s="5">
        <v>1439430</v>
      </c>
      <c r="H245" s="15" t="s">
        <v>72</v>
      </c>
      <c r="I245" s="3" t="s">
        <v>17</v>
      </c>
      <c r="J245" s="15" t="s">
        <v>72</v>
      </c>
      <c r="K245" s="3" t="s">
        <v>73</v>
      </c>
      <c r="L245" s="3" t="s">
        <v>2</v>
      </c>
      <c r="M245" s="3" t="s">
        <v>15</v>
      </c>
      <c r="N245" s="3" t="s">
        <v>3</v>
      </c>
      <c r="O245" s="5" t="s">
        <v>72</v>
      </c>
      <c r="P245" s="5" t="s">
        <v>1</v>
      </c>
      <c r="Q245" s="55"/>
      <c r="R245" s="15" t="s">
        <v>72</v>
      </c>
      <c r="S245" s="3" t="s">
        <v>78</v>
      </c>
      <c r="T245" s="3"/>
      <c r="U245" s="3"/>
      <c r="V245" s="3">
        <v>184</v>
      </c>
      <c r="W245" s="3">
        <f t="shared" si="1"/>
        <v>184</v>
      </c>
      <c r="X245" s="3">
        <f t="shared" si="1"/>
        <v>184</v>
      </c>
      <c r="Y245" s="3">
        <f>ROUNDDOWN(W245/HLOOKUP(D245,[1]Table!$C$3:$D$4,2,0)*8,2)</f>
        <v>3.27</v>
      </c>
      <c r="Z245" s="3">
        <v>1</v>
      </c>
      <c r="AA245" s="3" t="s">
        <v>110</v>
      </c>
      <c r="AB245" s="6">
        <v>43957</v>
      </c>
      <c r="AC245" s="6">
        <v>43950</v>
      </c>
      <c r="AD245" s="6">
        <v>43957</v>
      </c>
      <c r="AE245" s="6">
        <v>43956</v>
      </c>
      <c r="AF245" s="6">
        <v>43956</v>
      </c>
      <c r="AG245" s="6" t="s">
        <v>75</v>
      </c>
      <c r="AH245" s="8">
        <v>1</v>
      </c>
      <c r="AI245" s="8">
        <v>1</v>
      </c>
      <c r="AJ245" s="8">
        <v>1</v>
      </c>
      <c r="AK245" s="6" t="s">
        <v>8</v>
      </c>
      <c r="AL245" s="3"/>
      <c r="AM245" s="3"/>
      <c r="AN245" s="3"/>
      <c r="AW245" s="143"/>
    </row>
    <row r="246" spans="2:49" ht="15">
      <c r="B246" s="57">
        <f t="shared" si="0"/>
        <v>19</v>
      </c>
      <c r="C246" s="11">
        <v>20200429</v>
      </c>
      <c r="D246" s="3" t="s">
        <v>24</v>
      </c>
      <c r="E246" s="3" t="s">
        <v>18</v>
      </c>
      <c r="F246" s="39" t="s">
        <v>605</v>
      </c>
      <c r="G246" s="5">
        <v>1416489</v>
      </c>
      <c r="H246" s="15" t="s">
        <v>72</v>
      </c>
      <c r="I246" s="3" t="s">
        <v>20</v>
      </c>
      <c r="J246" s="15" t="s">
        <v>72</v>
      </c>
      <c r="K246" s="3" t="s">
        <v>73</v>
      </c>
      <c r="L246" s="3" t="s">
        <v>5</v>
      </c>
      <c r="M246" s="3" t="s">
        <v>19</v>
      </c>
      <c r="N246" s="3" t="s">
        <v>6</v>
      </c>
      <c r="O246" s="5" t="s">
        <v>72</v>
      </c>
      <c r="P246" s="5" t="s">
        <v>4</v>
      </c>
      <c r="Q246" s="55"/>
      <c r="R246" s="15" t="s">
        <v>72</v>
      </c>
      <c r="S246" s="3" t="s">
        <v>77</v>
      </c>
      <c r="T246" s="3"/>
      <c r="U246" s="3"/>
      <c r="V246" s="3">
        <v>332</v>
      </c>
      <c r="W246" s="24">
        <v>636</v>
      </c>
      <c r="X246" s="3">
        <f t="shared" si="1"/>
        <v>636</v>
      </c>
      <c r="Y246" s="3">
        <f>ROUNDDOWN(W246/HLOOKUP(D246,[1]Table!$C$3:$D$4,2,0)*8,2)</f>
        <v>11.3</v>
      </c>
      <c r="Z246" s="50">
        <v>2</v>
      </c>
      <c r="AA246" s="13" t="s">
        <v>550</v>
      </c>
      <c r="AB246" s="6">
        <v>43957</v>
      </c>
      <c r="AC246" s="6">
        <v>43950</v>
      </c>
      <c r="AD246" s="6">
        <v>43957</v>
      </c>
      <c r="AE246" s="58">
        <v>43956</v>
      </c>
      <c r="AF246" s="58">
        <v>43956</v>
      </c>
      <c r="AG246" s="58" t="s">
        <v>75</v>
      </c>
      <c r="AH246" s="59">
        <v>1</v>
      </c>
      <c r="AI246" s="59">
        <v>1</v>
      </c>
      <c r="AJ246" s="59">
        <v>1</v>
      </c>
      <c r="AK246" s="58" t="s">
        <v>8</v>
      </c>
      <c r="AL246" s="117"/>
      <c r="AM246" s="3"/>
      <c r="AN246" s="3" t="s">
        <v>606</v>
      </c>
      <c r="AW246" s="143"/>
    </row>
    <row r="247" spans="2:49" ht="15">
      <c r="B247" s="57">
        <f t="shared" si="0"/>
        <v>20</v>
      </c>
      <c r="C247" s="11">
        <v>20200429</v>
      </c>
      <c r="D247" s="3" t="s">
        <v>24</v>
      </c>
      <c r="E247" s="3" t="s">
        <v>21</v>
      </c>
      <c r="F247" s="39" t="s">
        <v>607</v>
      </c>
      <c r="G247" s="5">
        <v>1442021</v>
      </c>
      <c r="H247" s="15" t="s">
        <v>72</v>
      </c>
      <c r="I247" s="3" t="s">
        <v>23</v>
      </c>
      <c r="J247" s="15" t="s">
        <v>72</v>
      </c>
      <c r="K247" s="3" t="s">
        <v>73</v>
      </c>
      <c r="L247" s="3" t="s">
        <v>8</v>
      </c>
      <c r="M247" s="3" t="s">
        <v>22</v>
      </c>
      <c r="N247" s="3" t="s">
        <v>9</v>
      </c>
      <c r="O247" s="5" t="s">
        <v>72</v>
      </c>
      <c r="P247" s="5" t="s">
        <v>7</v>
      </c>
      <c r="Q247" s="55"/>
      <c r="R247" s="15" t="s">
        <v>72</v>
      </c>
      <c r="S247" s="3" t="s">
        <v>77</v>
      </c>
      <c r="T247" s="3"/>
      <c r="U247" s="3"/>
      <c r="V247" s="3">
        <v>163</v>
      </c>
      <c r="W247" s="3">
        <f t="shared" si="1"/>
        <v>163</v>
      </c>
      <c r="X247" s="3">
        <f t="shared" si="1"/>
        <v>163</v>
      </c>
      <c r="Y247" s="3">
        <f>ROUNDDOWN(W247/HLOOKUP(D247,[1]Table!$C$3:$D$4,2,0)*8,2)</f>
        <v>2.89</v>
      </c>
      <c r="Z247" s="3">
        <v>2</v>
      </c>
      <c r="AA247" s="3" t="s">
        <v>110</v>
      </c>
      <c r="AB247" s="6">
        <v>43957</v>
      </c>
      <c r="AC247" s="6">
        <v>43950</v>
      </c>
      <c r="AD247" s="6">
        <v>43957</v>
      </c>
      <c r="AE247" s="6">
        <v>43956</v>
      </c>
      <c r="AF247" s="6">
        <v>43956</v>
      </c>
      <c r="AG247" s="6" t="s">
        <v>79</v>
      </c>
      <c r="AH247" s="8">
        <v>1</v>
      </c>
      <c r="AI247" s="8">
        <v>0.91</v>
      </c>
      <c r="AJ247" s="8">
        <v>0.66</v>
      </c>
      <c r="AK247" s="6" t="s">
        <v>76</v>
      </c>
      <c r="AL247" s="3" t="s">
        <v>608</v>
      </c>
      <c r="AM247" s="3"/>
      <c r="AN247" s="13" t="s">
        <v>609</v>
      </c>
      <c r="AW247" s="143"/>
    </row>
    <row r="248" spans="2:49" ht="15">
      <c r="B248" s="48">
        <f t="shared" si="0"/>
        <v>21</v>
      </c>
      <c r="C248" s="11">
        <v>20200429</v>
      </c>
      <c r="D248" s="3" t="s">
        <v>311</v>
      </c>
      <c r="E248" s="3" t="s">
        <v>610</v>
      </c>
      <c r="F248" s="60" t="s">
        <v>72</v>
      </c>
      <c r="G248" s="5">
        <v>1445483</v>
      </c>
      <c r="H248" s="15" t="s">
        <v>72</v>
      </c>
      <c r="I248" s="3" t="s">
        <v>611</v>
      </c>
      <c r="J248" s="15" t="s">
        <v>72</v>
      </c>
      <c r="K248" s="3" t="s">
        <v>106</v>
      </c>
      <c r="L248" s="3" t="s">
        <v>8</v>
      </c>
      <c r="M248" s="3" t="s">
        <v>8</v>
      </c>
      <c r="N248" s="3" t="s">
        <v>612</v>
      </c>
      <c r="O248" s="5" t="s">
        <v>613</v>
      </c>
      <c r="P248" s="5" t="s">
        <v>614</v>
      </c>
      <c r="Q248" s="55"/>
      <c r="R248" s="15" t="s">
        <v>72</v>
      </c>
      <c r="S248" s="3" t="s">
        <v>113</v>
      </c>
      <c r="T248" s="3"/>
      <c r="U248" s="3"/>
      <c r="V248" s="3">
        <f>42*2</f>
        <v>84</v>
      </c>
      <c r="W248" s="3">
        <f t="shared" si="1"/>
        <v>84</v>
      </c>
      <c r="X248" s="3">
        <f t="shared" si="1"/>
        <v>84</v>
      </c>
      <c r="Y248" s="3">
        <f>ROUNDDOWN(W248/HLOOKUP(D248,[1]Table!$C$3:$D$4,2,0)*8,2)</f>
        <v>5.16</v>
      </c>
      <c r="Z248" s="3">
        <v>4</v>
      </c>
      <c r="AA248" s="3" t="s">
        <v>550</v>
      </c>
      <c r="AB248" s="6">
        <v>43958</v>
      </c>
      <c r="AC248" s="6">
        <v>43955</v>
      </c>
      <c r="AD248" s="6">
        <v>43959</v>
      </c>
      <c r="AE248" s="6">
        <v>43957</v>
      </c>
      <c r="AF248" s="6">
        <v>43957</v>
      </c>
      <c r="AG248" s="6" t="s">
        <v>79</v>
      </c>
      <c r="AH248" s="8">
        <v>0.93799999999999994</v>
      </c>
      <c r="AI248" s="8">
        <v>0.94699999999999995</v>
      </c>
      <c r="AJ248" s="8">
        <v>1</v>
      </c>
      <c r="AK248" s="6" t="s">
        <v>8</v>
      </c>
      <c r="AL248" s="5" t="s">
        <v>615</v>
      </c>
      <c r="AM248" s="3"/>
      <c r="AN248" s="3"/>
      <c r="AW248" s="143"/>
    </row>
    <row r="249" spans="2:49" ht="15">
      <c r="B249" s="48">
        <f t="shared" si="0"/>
        <v>22</v>
      </c>
      <c r="C249" s="11">
        <v>20200429</v>
      </c>
      <c r="D249" s="3" t="s">
        <v>24</v>
      </c>
      <c r="E249" s="3" t="s">
        <v>616</v>
      </c>
      <c r="F249" s="39" t="s">
        <v>617</v>
      </c>
      <c r="G249" s="5">
        <v>1373116</v>
      </c>
      <c r="H249" s="15" t="s">
        <v>72</v>
      </c>
      <c r="I249" s="3" t="s">
        <v>254</v>
      </c>
      <c r="J249" s="15" t="s">
        <v>72</v>
      </c>
      <c r="K249" s="3" t="s">
        <v>106</v>
      </c>
      <c r="L249" s="3" t="s">
        <v>8</v>
      </c>
      <c r="M249" s="3" t="s">
        <v>8</v>
      </c>
      <c r="N249" s="3" t="s">
        <v>618</v>
      </c>
      <c r="O249" s="5" t="s">
        <v>72</v>
      </c>
      <c r="P249" s="5" t="s">
        <v>619</v>
      </c>
      <c r="Q249" s="55"/>
      <c r="R249" s="15" t="s">
        <v>72</v>
      </c>
      <c r="S249" s="3" t="s">
        <v>117</v>
      </c>
      <c r="T249" s="3"/>
      <c r="U249" s="3"/>
      <c r="V249" s="3">
        <f>632*2</f>
        <v>1264</v>
      </c>
      <c r="W249" s="3">
        <f t="shared" si="1"/>
        <v>1264</v>
      </c>
      <c r="X249" s="3">
        <f t="shared" si="1"/>
        <v>1264</v>
      </c>
      <c r="Y249" s="3">
        <f>ROUNDDOWN(W249/HLOOKUP(D249,[1]Table!$C$3:$D$4,2,0)*8,2)</f>
        <v>22.47</v>
      </c>
      <c r="Z249" s="3">
        <v>8</v>
      </c>
      <c r="AA249" s="3" t="s">
        <v>550</v>
      </c>
      <c r="AB249" s="6">
        <v>43958</v>
      </c>
      <c r="AC249" s="6">
        <v>43955</v>
      </c>
      <c r="AD249" s="6">
        <v>43959</v>
      </c>
      <c r="AE249" s="6">
        <v>43955</v>
      </c>
      <c r="AF249" s="6">
        <v>43955</v>
      </c>
      <c r="AG249" s="6" t="s">
        <v>75</v>
      </c>
      <c r="AH249" s="8">
        <v>1</v>
      </c>
      <c r="AI249" s="8">
        <v>1</v>
      </c>
      <c r="AJ249" s="8">
        <v>1</v>
      </c>
      <c r="AK249" s="6" t="s">
        <v>8</v>
      </c>
      <c r="AL249" s="3" t="s">
        <v>72</v>
      </c>
      <c r="AM249" s="3" t="s">
        <v>72</v>
      </c>
      <c r="AN249" s="3" t="s">
        <v>72</v>
      </c>
      <c r="AW249" s="143"/>
    </row>
    <row r="250" spans="2:49" ht="15">
      <c r="B250" s="48">
        <f t="shared" si="0"/>
        <v>23</v>
      </c>
      <c r="C250" s="11">
        <v>20200429</v>
      </c>
      <c r="D250" s="3" t="s">
        <v>24</v>
      </c>
      <c r="E250" s="3" t="s">
        <v>616</v>
      </c>
      <c r="F250" s="39" t="s">
        <v>617</v>
      </c>
      <c r="G250" s="5">
        <v>1373116</v>
      </c>
      <c r="H250" s="15" t="s">
        <v>72</v>
      </c>
      <c r="I250" s="3" t="s">
        <v>620</v>
      </c>
      <c r="J250" s="15" t="s">
        <v>72</v>
      </c>
      <c r="K250" s="3" t="s">
        <v>106</v>
      </c>
      <c r="L250" s="3" t="s">
        <v>8</v>
      </c>
      <c r="M250" s="3" t="s">
        <v>8</v>
      </c>
      <c r="N250" s="3" t="s">
        <v>618</v>
      </c>
      <c r="O250" s="5" t="s">
        <v>72</v>
      </c>
      <c r="P250" s="5" t="s">
        <v>619</v>
      </c>
      <c r="Q250" s="55"/>
      <c r="R250" s="15" t="s">
        <v>72</v>
      </c>
      <c r="S250" s="3" t="s">
        <v>109</v>
      </c>
      <c r="T250" s="3"/>
      <c r="U250" s="3"/>
      <c r="V250" s="3">
        <f>162*2</f>
        <v>324</v>
      </c>
      <c r="W250" s="3">
        <f t="shared" si="1"/>
        <v>324</v>
      </c>
      <c r="X250" s="3">
        <f t="shared" si="1"/>
        <v>324</v>
      </c>
      <c r="Y250" s="3">
        <f>ROUNDDOWN(W250/HLOOKUP(D250,[1]Table!$C$3:$D$4,2,0)*8,2)</f>
        <v>5.76</v>
      </c>
      <c r="Z250" s="3">
        <v>3</v>
      </c>
      <c r="AA250" s="3" t="s">
        <v>550</v>
      </c>
      <c r="AB250" s="6">
        <v>43958</v>
      </c>
      <c r="AC250" s="6">
        <v>43955</v>
      </c>
      <c r="AD250" s="6">
        <v>43959</v>
      </c>
      <c r="AE250" s="6">
        <v>43955</v>
      </c>
      <c r="AF250" s="6">
        <v>43955</v>
      </c>
      <c r="AG250" s="6" t="s">
        <v>75</v>
      </c>
      <c r="AH250" s="8">
        <v>1</v>
      </c>
      <c r="AI250" s="8">
        <v>1</v>
      </c>
      <c r="AJ250" s="8">
        <v>1</v>
      </c>
      <c r="AK250" s="6" t="s">
        <v>8</v>
      </c>
      <c r="AL250" s="3" t="s">
        <v>72</v>
      </c>
      <c r="AM250" s="3" t="s">
        <v>72</v>
      </c>
      <c r="AN250" s="3" t="s">
        <v>72</v>
      </c>
      <c r="AW250" s="143"/>
    </row>
    <row r="251" spans="2:49" ht="15">
      <c r="B251" s="48">
        <f t="shared" si="0"/>
        <v>24</v>
      </c>
      <c r="C251" s="11">
        <v>20200429</v>
      </c>
      <c r="D251" s="3" t="s">
        <v>311</v>
      </c>
      <c r="E251" s="3" t="s">
        <v>621</v>
      </c>
      <c r="F251" s="60" t="s">
        <v>72</v>
      </c>
      <c r="G251" s="5">
        <v>1352203</v>
      </c>
      <c r="H251" s="15" t="s">
        <v>72</v>
      </c>
      <c r="I251" s="3" t="s">
        <v>622</v>
      </c>
      <c r="J251" s="15" t="s">
        <v>72</v>
      </c>
      <c r="K251" s="3" t="s">
        <v>106</v>
      </c>
      <c r="L251" s="3" t="s">
        <v>8</v>
      </c>
      <c r="M251" s="3" t="s">
        <v>8</v>
      </c>
      <c r="N251" s="3">
        <v>1352203</v>
      </c>
      <c r="O251" s="5" t="s">
        <v>613</v>
      </c>
      <c r="P251" s="5" t="s">
        <v>623</v>
      </c>
      <c r="Q251" s="55"/>
      <c r="R251" s="15" t="s">
        <v>72</v>
      </c>
      <c r="S251" s="3" t="s">
        <v>161</v>
      </c>
      <c r="T251" s="3"/>
      <c r="U251" s="3"/>
      <c r="V251" s="3">
        <f>18*2</f>
        <v>36</v>
      </c>
      <c r="W251" s="3">
        <f t="shared" si="1"/>
        <v>36</v>
      </c>
      <c r="X251" s="3">
        <f t="shared" si="1"/>
        <v>36</v>
      </c>
      <c r="Y251" s="3">
        <f>ROUNDDOWN(W251/HLOOKUP(D251,[1]Table!$C$3:$D$4,2,0)*8,2)</f>
        <v>2.21</v>
      </c>
      <c r="Z251" s="3">
        <v>1</v>
      </c>
      <c r="AA251" s="3" t="s">
        <v>550</v>
      </c>
      <c r="AB251" s="6">
        <v>43958</v>
      </c>
      <c r="AC251" s="6">
        <v>43955</v>
      </c>
      <c r="AD251" s="6">
        <v>43959</v>
      </c>
      <c r="AE251" s="6">
        <v>43955</v>
      </c>
      <c r="AF251" s="6">
        <v>43955</v>
      </c>
      <c r="AG251" s="6" t="s">
        <v>79</v>
      </c>
      <c r="AH251" s="8">
        <v>1</v>
      </c>
      <c r="AI251" s="8">
        <v>1</v>
      </c>
      <c r="AJ251" s="8">
        <v>0.83299999999999996</v>
      </c>
      <c r="AK251" s="6" t="s">
        <v>76</v>
      </c>
      <c r="AL251" s="3" t="s">
        <v>624</v>
      </c>
      <c r="AM251" s="3"/>
      <c r="AN251" s="55" t="s">
        <v>625</v>
      </c>
      <c r="AW251" s="143"/>
    </row>
    <row r="252" spans="2:49" ht="15">
      <c r="B252" s="48">
        <f t="shared" si="0"/>
        <v>25</v>
      </c>
      <c r="C252" s="11">
        <v>20200429</v>
      </c>
      <c r="D252" s="3" t="s">
        <v>311</v>
      </c>
      <c r="E252" s="3" t="s">
        <v>621</v>
      </c>
      <c r="F252" s="60" t="s">
        <v>72</v>
      </c>
      <c r="G252" s="5">
        <v>1352203</v>
      </c>
      <c r="H252" s="15" t="s">
        <v>72</v>
      </c>
      <c r="I252" s="3" t="s">
        <v>626</v>
      </c>
      <c r="J252" s="15" t="s">
        <v>72</v>
      </c>
      <c r="K252" s="3" t="s">
        <v>106</v>
      </c>
      <c r="L252" s="3" t="s">
        <v>8</v>
      </c>
      <c r="M252" s="3" t="s">
        <v>8</v>
      </c>
      <c r="N252" s="3">
        <v>1352203</v>
      </c>
      <c r="O252" s="5" t="s">
        <v>627</v>
      </c>
      <c r="P252" s="5" t="s">
        <v>623</v>
      </c>
      <c r="Q252" s="55"/>
      <c r="R252" s="15" t="s">
        <v>72</v>
      </c>
      <c r="S252" s="3" t="s">
        <v>161</v>
      </c>
      <c r="T252" s="3"/>
      <c r="U252" s="3"/>
      <c r="V252" s="3">
        <f>58*2</f>
        <v>116</v>
      </c>
      <c r="W252" s="3">
        <f t="shared" si="1"/>
        <v>116</v>
      </c>
      <c r="X252" s="3">
        <f>W252</f>
        <v>116</v>
      </c>
      <c r="Y252" s="3">
        <f>ROUNDDOWN(W252/HLOOKUP(D252,[1]Table!$C$3:$D$4,2,0)*8,2)</f>
        <v>7.13</v>
      </c>
      <c r="Z252" s="3">
        <v>8</v>
      </c>
      <c r="AA252" s="3" t="s">
        <v>550</v>
      </c>
      <c r="AB252" s="6">
        <v>43958</v>
      </c>
      <c r="AC252" s="6">
        <v>43955</v>
      </c>
      <c r="AD252" s="6">
        <v>43959</v>
      </c>
      <c r="AE252" s="6">
        <v>43957</v>
      </c>
      <c r="AF252" s="6">
        <v>43957</v>
      </c>
      <c r="AG252" s="6" t="s">
        <v>75</v>
      </c>
      <c r="AH252" s="8">
        <v>1</v>
      </c>
      <c r="AI252" s="8">
        <v>1</v>
      </c>
      <c r="AJ252" s="8">
        <v>1</v>
      </c>
      <c r="AK252" s="6" t="s">
        <v>8</v>
      </c>
      <c r="AL252" s="3"/>
      <c r="AM252" s="3"/>
      <c r="AN252" s="61" t="s">
        <v>628</v>
      </c>
      <c r="AW252" s="143"/>
    </row>
    <row r="253" spans="2:49" ht="15">
      <c r="B253" s="48">
        <f t="shared" si="0"/>
        <v>26</v>
      </c>
      <c r="C253" s="11">
        <v>20200429</v>
      </c>
      <c r="D253" s="3" t="s">
        <v>311</v>
      </c>
      <c r="E253" s="3" t="s">
        <v>621</v>
      </c>
      <c r="F253" s="60" t="s">
        <v>72</v>
      </c>
      <c r="G253" s="5">
        <v>1352203</v>
      </c>
      <c r="H253" s="15" t="s">
        <v>72</v>
      </c>
      <c r="I253" s="3" t="s">
        <v>629</v>
      </c>
      <c r="J253" s="15" t="s">
        <v>72</v>
      </c>
      <c r="K253" s="3" t="s">
        <v>106</v>
      </c>
      <c r="L253" s="3" t="s">
        <v>8</v>
      </c>
      <c r="M253" s="3" t="s">
        <v>8</v>
      </c>
      <c r="N253" s="3">
        <v>1352203</v>
      </c>
      <c r="O253" s="5" t="s">
        <v>630</v>
      </c>
      <c r="P253" s="5" t="s">
        <v>623</v>
      </c>
      <c r="Q253" s="55"/>
      <c r="R253" s="15" t="s">
        <v>72</v>
      </c>
      <c r="S253" s="3" t="s">
        <v>113</v>
      </c>
      <c r="T253" s="3"/>
      <c r="U253" s="3"/>
      <c r="V253" s="31">
        <v>28</v>
      </c>
      <c r="W253" s="55">
        <f>41*2</f>
        <v>82</v>
      </c>
      <c r="X253" s="3">
        <f>W253</f>
        <v>82</v>
      </c>
      <c r="Y253" s="3">
        <f>ROUNDDOWN(W253/HLOOKUP(D253,[1]Table!$C$3:$D$4,2,0)*8,2)</f>
        <v>5.04</v>
      </c>
      <c r="Z253" s="3">
        <v>4</v>
      </c>
      <c r="AA253" s="3" t="s">
        <v>550</v>
      </c>
      <c r="AB253" s="6">
        <v>43958</v>
      </c>
      <c r="AC253" s="6">
        <v>43955</v>
      </c>
      <c r="AD253" s="6">
        <v>43959</v>
      </c>
      <c r="AE253" s="6">
        <v>43957</v>
      </c>
      <c r="AF253" s="6">
        <v>43957</v>
      </c>
      <c r="AG253" s="6" t="s">
        <v>79</v>
      </c>
      <c r="AH253" s="8">
        <v>1</v>
      </c>
      <c r="AI253" s="8">
        <v>1</v>
      </c>
      <c r="AJ253" s="8">
        <v>0.77800000000000002</v>
      </c>
      <c r="AK253" s="6" t="s">
        <v>76</v>
      </c>
      <c r="AL253" s="3" t="s">
        <v>631</v>
      </c>
      <c r="AM253" s="3"/>
      <c r="AN253" s="3"/>
      <c r="AW253" s="143"/>
    </row>
    <row r="254" spans="2:49" ht="15">
      <c r="B254" s="48">
        <f t="shared" si="0"/>
        <v>27</v>
      </c>
      <c r="C254" s="11">
        <v>20200429</v>
      </c>
      <c r="D254" s="3" t="s">
        <v>311</v>
      </c>
      <c r="E254" s="3" t="s">
        <v>621</v>
      </c>
      <c r="F254" s="60" t="s">
        <v>72</v>
      </c>
      <c r="G254" s="5">
        <v>1352203</v>
      </c>
      <c r="H254" s="15" t="s">
        <v>72</v>
      </c>
      <c r="I254" s="3" t="s">
        <v>632</v>
      </c>
      <c r="J254" s="15" t="s">
        <v>72</v>
      </c>
      <c r="K254" s="3" t="s">
        <v>106</v>
      </c>
      <c r="L254" s="3" t="s">
        <v>8</v>
      </c>
      <c r="M254" s="3" t="s">
        <v>8</v>
      </c>
      <c r="N254" s="3">
        <v>1352203</v>
      </c>
      <c r="O254" s="5" t="s">
        <v>633</v>
      </c>
      <c r="P254" s="5" t="s">
        <v>623</v>
      </c>
      <c r="Q254" s="55"/>
      <c r="R254" s="15" t="s">
        <v>72</v>
      </c>
      <c r="S254" s="3" t="s">
        <v>117</v>
      </c>
      <c r="T254" s="3"/>
      <c r="U254" s="3"/>
      <c r="V254" s="3">
        <f>4*2</f>
        <v>8</v>
      </c>
      <c r="W254" s="3">
        <f t="shared" si="1"/>
        <v>8</v>
      </c>
      <c r="X254" s="3">
        <v>8</v>
      </c>
      <c r="Y254" s="3">
        <f>ROUNDDOWN(W254/HLOOKUP(D254,[1]Table!$C$3:$D$4,2,0)*8,2)</f>
        <v>0.49</v>
      </c>
      <c r="Z254" s="3">
        <v>0.5</v>
      </c>
      <c r="AA254" s="3" t="s">
        <v>550</v>
      </c>
      <c r="AB254" s="6">
        <v>43958</v>
      </c>
      <c r="AC254" s="6">
        <v>43955</v>
      </c>
      <c r="AD254" s="6">
        <v>43959</v>
      </c>
      <c r="AE254" s="6">
        <v>43957</v>
      </c>
      <c r="AF254" s="6">
        <v>43957</v>
      </c>
      <c r="AG254" s="6" t="s">
        <v>75</v>
      </c>
      <c r="AH254" s="8">
        <v>1</v>
      </c>
      <c r="AI254" s="8">
        <v>1</v>
      </c>
      <c r="AJ254" s="8">
        <v>1</v>
      </c>
      <c r="AK254" s="6" t="s">
        <v>8</v>
      </c>
      <c r="AL254" s="3" t="s">
        <v>72</v>
      </c>
      <c r="AM254" s="3" t="s">
        <v>72</v>
      </c>
      <c r="AN254" s="3" t="s">
        <v>72</v>
      </c>
      <c r="AW254" s="143"/>
    </row>
    <row r="255" spans="2:49" ht="15">
      <c r="B255" s="62">
        <f t="shared" si="0"/>
        <v>28</v>
      </c>
      <c r="C255" s="11">
        <v>20200429</v>
      </c>
      <c r="D255" s="3" t="s">
        <v>24</v>
      </c>
      <c r="E255" s="3" t="s">
        <v>634</v>
      </c>
      <c r="F255" s="39" t="s">
        <v>635</v>
      </c>
      <c r="G255" s="63">
        <v>1411876</v>
      </c>
      <c r="H255" s="64" t="s">
        <v>72</v>
      </c>
      <c r="I255" s="65" t="s">
        <v>636</v>
      </c>
      <c r="J255" s="64" t="s">
        <v>72</v>
      </c>
      <c r="K255" s="65" t="s">
        <v>73</v>
      </c>
      <c r="L255" s="65" t="s">
        <v>8</v>
      </c>
      <c r="M255" s="65" t="s">
        <v>8</v>
      </c>
      <c r="N255" s="65" t="s">
        <v>637</v>
      </c>
      <c r="O255" s="63" t="s">
        <v>72</v>
      </c>
      <c r="P255" s="63" t="s">
        <v>638</v>
      </c>
      <c r="Q255" s="66"/>
      <c r="R255" s="64" t="s">
        <v>72</v>
      </c>
      <c r="S255" s="65" t="s">
        <v>113</v>
      </c>
      <c r="T255" s="65"/>
      <c r="U255" s="65"/>
      <c r="V255" s="65">
        <v>92</v>
      </c>
      <c r="W255" s="3">
        <f t="shared" si="1"/>
        <v>92</v>
      </c>
      <c r="X255" s="3">
        <f>W255</f>
        <v>92</v>
      </c>
      <c r="Y255" s="3">
        <f>ROUNDDOWN(W255/HLOOKUP(D255,[1]Table!$C$3:$D$4,2,0)*8,2)</f>
        <v>1.63</v>
      </c>
      <c r="Z255" s="3">
        <v>1</v>
      </c>
      <c r="AA255" s="3" t="s">
        <v>505</v>
      </c>
      <c r="AB255" s="6"/>
      <c r="AC255" s="6">
        <v>43955</v>
      </c>
      <c r="AD255" s="6">
        <v>43966</v>
      </c>
      <c r="AE255" s="6">
        <v>43959</v>
      </c>
      <c r="AF255" s="6">
        <v>43959</v>
      </c>
      <c r="AG255" s="6" t="s">
        <v>75</v>
      </c>
      <c r="AH255" s="8">
        <v>1</v>
      </c>
      <c r="AI255" s="8">
        <v>1</v>
      </c>
      <c r="AJ255" s="8">
        <v>1</v>
      </c>
      <c r="AK255" s="6" t="s">
        <v>8</v>
      </c>
      <c r="AL255" s="3" t="s">
        <v>72</v>
      </c>
      <c r="AM255" s="3" t="s">
        <v>72</v>
      </c>
      <c r="AN255" s="3" t="s">
        <v>72</v>
      </c>
      <c r="AW255" s="143"/>
    </row>
    <row r="256" spans="2:49" ht="15">
      <c r="B256" s="62">
        <f t="shared" si="0"/>
        <v>29</v>
      </c>
      <c r="C256" s="11">
        <v>20200429</v>
      </c>
      <c r="D256" s="3" t="s">
        <v>24</v>
      </c>
      <c r="E256" s="3" t="s">
        <v>634</v>
      </c>
      <c r="F256" s="39" t="s">
        <v>639</v>
      </c>
      <c r="G256" s="5">
        <v>1411876</v>
      </c>
      <c r="H256" s="15" t="s">
        <v>72</v>
      </c>
      <c r="I256" s="3" t="s">
        <v>640</v>
      </c>
      <c r="J256" s="15" t="s">
        <v>72</v>
      </c>
      <c r="K256" s="3" t="s">
        <v>73</v>
      </c>
      <c r="L256" s="3" t="s">
        <v>8</v>
      </c>
      <c r="M256" s="3" t="s">
        <v>8</v>
      </c>
      <c r="N256" s="3" t="s">
        <v>637</v>
      </c>
      <c r="O256" s="5" t="s">
        <v>72</v>
      </c>
      <c r="P256" s="5" t="s">
        <v>638</v>
      </c>
      <c r="Q256" s="55"/>
      <c r="R256" s="15" t="s">
        <v>72</v>
      </c>
      <c r="S256" s="3" t="s">
        <v>117</v>
      </c>
      <c r="T256" s="3"/>
      <c r="U256" s="3"/>
      <c r="V256" s="3">
        <v>99</v>
      </c>
      <c r="W256" s="3">
        <f t="shared" si="1"/>
        <v>99</v>
      </c>
      <c r="X256" s="3">
        <v>99</v>
      </c>
      <c r="Y256" s="3">
        <f>ROUNDDOWN(W256/HLOOKUP(D256,[1]Table!$C$3:$D$4,2,0)*8,2)</f>
        <v>1.76</v>
      </c>
      <c r="Z256" s="3">
        <v>0.5</v>
      </c>
      <c r="AA256" s="3" t="s">
        <v>505</v>
      </c>
      <c r="AB256" s="6"/>
      <c r="AC256" s="6">
        <v>43955</v>
      </c>
      <c r="AD256" s="6">
        <v>43966</v>
      </c>
      <c r="AE256" s="6">
        <v>43956</v>
      </c>
      <c r="AF256" s="6">
        <v>43956</v>
      </c>
      <c r="AG256" s="3" t="s">
        <v>72</v>
      </c>
      <c r="AH256" s="3" t="s">
        <v>72</v>
      </c>
      <c r="AI256" s="3" t="s">
        <v>72</v>
      </c>
      <c r="AJ256" s="3" t="s">
        <v>72</v>
      </c>
      <c r="AK256" s="3" t="s">
        <v>72</v>
      </c>
      <c r="AL256" s="3" t="s">
        <v>72</v>
      </c>
      <c r="AM256" s="3" t="s">
        <v>72</v>
      </c>
      <c r="AN256" s="11" t="s">
        <v>574</v>
      </c>
      <c r="AW256" s="143"/>
    </row>
    <row r="257" spans="2:49" ht="15">
      <c r="B257" s="62">
        <f t="shared" si="0"/>
        <v>30</v>
      </c>
      <c r="C257" s="11">
        <v>20200429</v>
      </c>
      <c r="D257" s="3" t="s">
        <v>24</v>
      </c>
      <c r="E257" s="3" t="s">
        <v>634</v>
      </c>
      <c r="F257" s="39" t="s">
        <v>641</v>
      </c>
      <c r="G257" s="5">
        <v>1411876</v>
      </c>
      <c r="H257" s="15" t="s">
        <v>72</v>
      </c>
      <c r="I257" s="3" t="s">
        <v>642</v>
      </c>
      <c r="J257" s="15" t="s">
        <v>72</v>
      </c>
      <c r="K257" s="3" t="s">
        <v>73</v>
      </c>
      <c r="L257" s="3" t="s">
        <v>8</v>
      </c>
      <c r="M257" s="3" t="s">
        <v>8</v>
      </c>
      <c r="N257" s="3" t="s">
        <v>637</v>
      </c>
      <c r="O257" s="5" t="s">
        <v>72</v>
      </c>
      <c r="P257" s="5" t="s">
        <v>638</v>
      </c>
      <c r="Q257" s="55"/>
      <c r="R257" s="15" t="s">
        <v>72</v>
      </c>
      <c r="S257" s="3" t="s">
        <v>117</v>
      </c>
      <c r="T257" s="3"/>
      <c r="U257" s="3"/>
      <c r="V257" s="3">
        <v>1</v>
      </c>
      <c r="W257" s="24">
        <v>16</v>
      </c>
      <c r="X257" s="3">
        <v>16</v>
      </c>
      <c r="Y257" s="3">
        <f>ROUNDDOWN(W257/HLOOKUP(D257,[1]Table!$C$3:$D$4,2,0)*8,2)</f>
        <v>0.28000000000000003</v>
      </c>
      <c r="Z257" s="3">
        <v>0.2</v>
      </c>
      <c r="AA257" s="3" t="s">
        <v>505</v>
      </c>
      <c r="AB257" s="6"/>
      <c r="AC257" s="6">
        <v>43955</v>
      </c>
      <c r="AD257" s="6">
        <v>43966</v>
      </c>
      <c r="AE257" s="6">
        <v>43956</v>
      </c>
      <c r="AF257" s="6">
        <v>43956</v>
      </c>
      <c r="AG257" s="6" t="s">
        <v>75</v>
      </c>
      <c r="AH257" s="8">
        <v>1</v>
      </c>
      <c r="AI257" s="8">
        <v>1</v>
      </c>
      <c r="AJ257" s="8">
        <v>1</v>
      </c>
      <c r="AK257" s="6" t="s">
        <v>8</v>
      </c>
      <c r="AL257" s="3" t="s">
        <v>72</v>
      </c>
      <c r="AM257" s="3" t="s">
        <v>72</v>
      </c>
      <c r="AN257" s="3" t="s">
        <v>72</v>
      </c>
      <c r="AW257" s="143"/>
    </row>
    <row r="258" spans="2:49" ht="15">
      <c r="B258" s="62">
        <f t="shared" si="0"/>
        <v>31</v>
      </c>
      <c r="C258" s="11">
        <v>20200429</v>
      </c>
      <c r="D258" s="3" t="s">
        <v>24</v>
      </c>
      <c r="E258" s="3" t="s">
        <v>634</v>
      </c>
      <c r="F258" s="39" t="s">
        <v>643</v>
      </c>
      <c r="G258" s="5">
        <v>1411876</v>
      </c>
      <c r="H258" s="15" t="s">
        <v>72</v>
      </c>
      <c r="I258" s="3" t="s">
        <v>644</v>
      </c>
      <c r="J258" s="15" t="s">
        <v>72</v>
      </c>
      <c r="K258" s="3" t="s">
        <v>73</v>
      </c>
      <c r="L258" s="3" t="s">
        <v>8</v>
      </c>
      <c r="M258" s="3" t="s">
        <v>8</v>
      </c>
      <c r="N258" s="3" t="s">
        <v>637</v>
      </c>
      <c r="O258" s="5" t="s">
        <v>72</v>
      </c>
      <c r="P258" s="5" t="s">
        <v>638</v>
      </c>
      <c r="Q258" s="55"/>
      <c r="R258" s="15" t="s">
        <v>72</v>
      </c>
      <c r="S258" s="3" t="s">
        <v>161</v>
      </c>
      <c r="T258" s="3"/>
      <c r="U258" s="3"/>
      <c r="V258" s="3">
        <v>108</v>
      </c>
      <c r="W258" s="3">
        <f t="shared" si="1"/>
        <v>108</v>
      </c>
      <c r="X258" s="3">
        <f t="shared" si="1"/>
        <v>108</v>
      </c>
      <c r="Y258" s="3">
        <f>ROUNDDOWN(W258/HLOOKUP(D258,[1]Table!$C$3:$D$4,2,0)*8,2)</f>
        <v>1.92</v>
      </c>
      <c r="Z258" s="3">
        <v>1</v>
      </c>
      <c r="AA258" s="3" t="s">
        <v>505</v>
      </c>
      <c r="AB258" s="67"/>
      <c r="AC258" s="6">
        <v>43955</v>
      </c>
      <c r="AD258" s="6">
        <v>43966</v>
      </c>
      <c r="AE258" s="6">
        <v>43955</v>
      </c>
      <c r="AF258" s="6">
        <v>43955</v>
      </c>
      <c r="AG258" s="6" t="s">
        <v>79</v>
      </c>
      <c r="AH258" s="8">
        <v>0.36</v>
      </c>
      <c r="AI258" s="8">
        <v>0.31</v>
      </c>
      <c r="AJ258" s="8">
        <v>0.33</v>
      </c>
      <c r="AK258" s="6" t="s">
        <v>76</v>
      </c>
      <c r="AL258" s="3" t="s">
        <v>645</v>
      </c>
      <c r="AM258" s="3"/>
      <c r="AN258" s="3" t="s">
        <v>72</v>
      </c>
      <c r="AW258" s="143"/>
    </row>
    <row r="259" spans="2:49" ht="15">
      <c r="B259" s="62">
        <f t="shared" si="0"/>
        <v>32</v>
      </c>
      <c r="C259" s="11">
        <v>20200429</v>
      </c>
      <c r="D259" s="3" t="s">
        <v>24</v>
      </c>
      <c r="E259" s="3" t="s">
        <v>634</v>
      </c>
      <c r="F259" s="39" t="s">
        <v>646</v>
      </c>
      <c r="G259" s="5">
        <v>1411876</v>
      </c>
      <c r="H259" s="15" t="s">
        <v>72</v>
      </c>
      <c r="I259" s="3" t="s">
        <v>647</v>
      </c>
      <c r="J259" s="15" t="s">
        <v>72</v>
      </c>
      <c r="K259" s="3" t="s">
        <v>73</v>
      </c>
      <c r="L259" s="3" t="s">
        <v>8</v>
      </c>
      <c r="M259" s="3" t="s">
        <v>8</v>
      </c>
      <c r="N259" s="3" t="s">
        <v>637</v>
      </c>
      <c r="O259" s="5" t="s">
        <v>72</v>
      </c>
      <c r="P259" s="5" t="s">
        <v>638</v>
      </c>
      <c r="Q259" s="55"/>
      <c r="R259" s="15" t="s">
        <v>72</v>
      </c>
      <c r="S259" s="3" t="s">
        <v>109</v>
      </c>
      <c r="T259" s="3"/>
      <c r="U259" s="3"/>
      <c r="V259" s="3">
        <v>159</v>
      </c>
      <c r="W259" s="3">
        <f t="shared" si="1"/>
        <v>159</v>
      </c>
      <c r="X259" s="3">
        <f t="shared" si="1"/>
        <v>159</v>
      </c>
      <c r="Y259" s="3">
        <f>ROUNDDOWN(W259/HLOOKUP(D259,[1]Table!$C$3:$D$4,2,0)*8,2)</f>
        <v>2.82</v>
      </c>
      <c r="Z259" s="3">
        <v>1</v>
      </c>
      <c r="AA259" s="3" t="s">
        <v>505</v>
      </c>
      <c r="AB259" s="6"/>
      <c r="AC259" s="6">
        <v>43955</v>
      </c>
      <c r="AD259" s="6">
        <v>43966</v>
      </c>
      <c r="AE259" s="6">
        <v>43956</v>
      </c>
      <c r="AF259" s="6">
        <v>43956</v>
      </c>
      <c r="AG259" s="6" t="s">
        <v>75</v>
      </c>
      <c r="AH259" s="8">
        <v>1</v>
      </c>
      <c r="AI259" s="8">
        <v>1</v>
      </c>
      <c r="AJ259" s="8">
        <v>1</v>
      </c>
      <c r="AK259" s="6" t="s">
        <v>8</v>
      </c>
      <c r="AL259" s="3" t="s">
        <v>72</v>
      </c>
      <c r="AM259" s="3" t="s">
        <v>72</v>
      </c>
      <c r="AN259" s="3" t="s">
        <v>72</v>
      </c>
      <c r="AW259" s="143"/>
    </row>
    <row r="260" spans="2:49" ht="15">
      <c r="B260" s="62">
        <f t="shared" si="0"/>
        <v>33</v>
      </c>
      <c r="C260" s="11">
        <v>20200429</v>
      </c>
      <c r="D260" s="3" t="s">
        <v>24</v>
      </c>
      <c r="E260" s="3" t="s">
        <v>634</v>
      </c>
      <c r="F260" s="39" t="s">
        <v>646</v>
      </c>
      <c r="G260" s="63">
        <v>1411876</v>
      </c>
      <c r="H260" s="64" t="s">
        <v>72</v>
      </c>
      <c r="I260" s="65" t="s">
        <v>648</v>
      </c>
      <c r="J260" s="64" t="s">
        <v>72</v>
      </c>
      <c r="K260" s="65" t="s">
        <v>73</v>
      </c>
      <c r="L260" s="65" t="s">
        <v>8</v>
      </c>
      <c r="M260" s="65" t="s">
        <v>8</v>
      </c>
      <c r="N260" s="65" t="s">
        <v>637</v>
      </c>
      <c r="O260" s="63" t="s">
        <v>72</v>
      </c>
      <c r="P260" s="63" t="s">
        <v>638</v>
      </c>
      <c r="Q260" s="66"/>
      <c r="R260" s="64" t="s">
        <v>72</v>
      </c>
      <c r="S260" s="65" t="s">
        <v>113</v>
      </c>
      <c r="T260" s="65"/>
      <c r="U260" s="65"/>
      <c r="V260" s="65">
        <v>51</v>
      </c>
      <c r="W260" s="3">
        <f t="shared" si="1"/>
        <v>51</v>
      </c>
      <c r="X260" s="3">
        <f t="shared" si="1"/>
        <v>51</v>
      </c>
      <c r="Y260" s="3">
        <f>ROUNDDOWN(W260/HLOOKUP(D260,[1]Table!$C$3:$D$4,2,0)*8,2)</f>
        <v>0.9</v>
      </c>
      <c r="Z260" s="3">
        <v>1</v>
      </c>
      <c r="AA260" s="3" t="s">
        <v>505</v>
      </c>
      <c r="AB260" s="6"/>
      <c r="AC260" s="6">
        <v>43955</v>
      </c>
      <c r="AD260" s="6">
        <v>43966</v>
      </c>
      <c r="AE260" s="6">
        <v>43959</v>
      </c>
      <c r="AF260" s="6">
        <v>43959</v>
      </c>
      <c r="AG260" s="6" t="s">
        <v>75</v>
      </c>
      <c r="AH260" s="8">
        <v>1</v>
      </c>
      <c r="AI260" s="8">
        <v>1</v>
      </c>
      <c r="AJ260" s="8">
        <v>1</v>
      </c>
      <c r="AK260" s="6" t="s">
        <v>8</v>
      </c>
      <c r="AL260" s="3" t="s">
        <v>72</v>
      </c>
      <c r="AM260" s="3" t="s">
        <v>72</v>
      </c>
      <c r="AN260" s="3" t="s">
        <v>72</v>
      </c>
      <c r="AW260" s="143"/>
    </row>
    <row r="261" spans="2:49" ht="15">
      <c r="B261" s="62">
        <f t="shared" si="0"/>
        <v>34</v>
      </c>
      <c r="C261" s="11">
        <v>20200429</v>
      </c>
      <c r="D261" s="3" t="s">
        <v>24</v>
      </c>
      <c r="E261" s="3" t="s">
        <v>634</v>
      </c>
      <c r="F261" s="39" t="s">
        <v>646</v>
      </c>
      <c r="G261" s="5">
        <v>1411876</v>
      </c>
      <c r="H261" s="15" t="s">
        <v>72</v>
      </c>
      <c r="I261" s="3" t="s">
        <v>649</v>
      </c>
      <c r="J261" s="15" t="s">
        <v>72</v>
      </c>
      <c r="K261" s="3" t="s">
        <v>73</v>
      </c>
      <c r="L261" s="3" t="s">
        <v>8</v>
      </c>
      <c r="M261" s="3" t="s">
        <v>8</v>
      </c>
      <c r="N261" s="3" t="s">
        <v>637</v>
      </c>
      <c r="O261" s="5" t="s">
        <v>72</v>
      </c>
      <c r="P261" s="5" t="s">
        <v>638</v>
      </c>
      <c r="Q261" s="55"/>
      <c r="R261" s="15" t="s">
        <v>72</v>
      </c>
      <c r="S261" s="3" t="s">
        <v>109</v>
      </c>
      <c r="T261" s="3"/>
      <c r="U261" s="3"/>
      <c r="V261" s="3">
        <v>44</v>
      </c>
      <c r="W261" s="3">
        <f t="shared" si="1"/>
        <v>44</v>
      </c>
      <c r="X261" s="3">
        <f t="shared" si="1"/>
        <v>44</v>
      </c>
      <c r="Y261" s="3">
        <f>ROUNDDOWN(W261/HLOOKUP(D261,[1]Table!$C$3:$D$4,2,0)*8,2)</f>
        <v>0.78</v>
      </c>
      <c r="Z261" s="3">
        <v>1</v>
      </c>
      <c r="AA261" s="3" t="s">
        <v>505</v>
      </c>
      <c r="AB261" s="6"/>
      <c r="AC261" s="6">
        <v>43955</v>
      </c>
      <c r="AD261" s="6">
        <v>43966</v>
      </c>
      <c r="AE261" s="6">
        <v>43955</v>
      </c>
      <c r="AF261" s="6">
        <v>43955</v>
      </c>
      <c r="AG261" s="6" t="s">
        <v>75</v>
      </c>
      <c r="AH261" s="8">
        <v>1</v>
      </c>
      <c r="AI261" s="8">
        <v>1</v>
      </c>
      <c r="AJ261" s="8">
        <v>1</v>
      </c>
      <c r="AK261" s="6" t="s">
        <v>8</v>
      </c>
      <c r="AL261" s="3" t="s">
        <v>72</v>
      </c>
      <c r="AM261" s="3" t="s">
        <v>72</v>
      </c>
      <c r="AN261" s="3" t="s">
        <v>72</v>
      </c>
      <c r="AW261" s="143"/>
    </row>
    <row r="262" spans="2:49" ht="15">
      <c r="B262" s="62">
        <f t="shared" si="0"/>
        <v>35</v>
      </c>
      <c r="C262" s="11">
        <v>20200429</v>
      </c>
      <c r="D262" s="3" t="s">
        <v>24</v>
      </c>
      <c r="E262" s="3" t="s">
        <v>634</v>
      </c>
      <c r="F262" s="39" t="s">
        <v>646</v>
      </c>
      <c r="G262" s="5">
        <v>1411876</v>
      </c>
      <c r="H262" s="15" t="s">
        <v>72</v>
      </c>
      <c r="I262" s="3" t="s">
        <v>650</v>
      </c>
      <c r="J262" s="15" t="s">
        <v>72</v>
      </c>
      <c r="K262" s="3" t="s">
        <v>73</v>
      </c>
      <c r="L262" s="3" t="s">
        <v>8</v>
      </c>
      <c r="M262" s="3" t="s">
        <v>8</v>
      </c>
      <c r="N262" s="3" t="s">
        <v>637</v>
      </c>
      <c r="O262" s="5" t="s">
        <v>72</v>
      </c>
      <c r="P262" s="5" t="s">
        <v>638</v>
      </c>
      <c r="Q262" s="55"/>
      <c r="R262" s="15" t="s">
        <v>72</v>
      </c>
      <c r="S262" s="3" t="s">
        <v>109</v>
      </c>
      <c r="T262" s="3"/>
      <c r="U262" s="3"/>
      <c r="V262" s="3">
        <v>119</v>
      </c>
      <c r="W262" s="3">
        <f t="shared" si="1"/>
        <v>119</v>
      </c>
      <c r="X262" s="3">
        <f t="shared" si="1"/>
        <v>119</v>
      </c>
      <c r="Y262" s="3">
        <f>ROUNDDOWN(W262/HLOOKUP(D262,[1]Table!$C$3:$D$4,2,0)*8,2)</f>
        <v>2.11</v>
      </c>
      <c r="Z262" s="3">
        <v>2</v>
      </c>
      <c r="AA262" s="3" t="s">
        <v>505</v>
      </c>
      <c r="AB262" s="6"/>
      <c r="AC262" s="6">
        <v>43955</v>
      </c>
      <c r="AD262" s="6">
        <v>43966</v>
      </c>
      <c r="AE262" s="6">
        <v>43955</v>
      </c>
      <c r="AF262" s="6">
        <v>43955</v>
      </c>
      <c r="AG262" s="6" t="s">
        <v>79</v>
      </c>
      <c r="AH262" s="8">
        <v>1</v>
      </c>
      <c r="AI262" s="8">
        <v>0.96</v>
      </c>
      <c r="AJ262" s="8">
        <v>0.96</v>
      </c>
      <c r="AK262" s="6" t="s">
        <v>76</v>
      </c>
      <c r="AL262" s="5" t="s">
        <v>651</v>
      </c>
      <c r="AM262" s="3" t="s">
        <v>72</v>
      </c>
      <c r="AN262" s="3" t="s">
        <v>72</v>
      </c>
      <c r="AW262" s="143"/>
    </row>
    <row r="263" spans="2:49" ht="15">
      <c r="B263" s="62">
        <f t="shared" si="0"/>
        <v>36</v>
      </c>
      <c r="C263" s="11">
        <v>20200429</v>
      </c>
      <c r="D263" s="3" t="s">
        <v>24</v>
      </c>
      <c r="E263" s="3" t="s">
        <v>634</v>
      </c>
      <c r="F263" s="39" t="s">
        <v>646</v>
      </c>
      <c r="G263" s="5">
        <v>1411876</v>
      </c>
      <c r="H263" s="15" t="s">
        <v>72</v>
      </c>
      <c r="I263" s="3" t="s">
        <v>652</v>
      </c>
      <c r="J263" s="15" t="s">
        <v>72</v>
      </c>
      <c r="K263" s="3" t="s">
        <v>73</v>
      </c>
      <c r="L263" s="3" t="s">
        <v>8</v>
      </c>
      <c r="M263" s="3" t="s">
        <v>8</v>
      </c>
      <c r="N263" s="3" t="s">
        <v>637</v>
      </c>
      <c r="O263" s="5" t="s">
        <v>72</v>
      </c>
      <c r="P263" s="5" t="s">
        <v>638</v>
      </c>
      <c r="Q263" s="55"/>
      <c r="R263" s="15" t="s">
        <v>72</v>
      </c>
      <c r="S263" s="3" t="s">
        <v>161</v>
      </c>
      <c r="T263" s="3"/>
      <c r="U263" s="3"/>
      <c r="V263" s="3">
        <v>131</v>
      </c>
      <c r="W263" s="3">
        <f t="shared" si="1"/>
        <v>131</v>
      </c>
      <c r="X263" s="3">
        <f t="shared" si="1"/>
        <v>131</v>
      </c>
      <c r="Y263" s="3">
        <f>ROUNDDOWN(W263/HLOOKUP(D263,[1]Table!$C$3:$D$4,2,0)*8,2)</f>
        <v>2.3199999999999998</v>
      </c>
      <c r="Z263" s="3">
        <v>1</v>
      </c>
      <c r="AA263" s="3" t="s">
        <v>505</v>
      </c>
      <c r="AB263" s="6"/>
      <c r="AC263" s="6">
        <v>43955</v>
      </c>
      <c r="AD263" s="6">
        <v>43966</v>
      </c>
      <c r="AE263" s="6">
        <v>43956</v>
      </c>
      <c r="AF263" s="6">
        <v>43956</v>
      </c>
      <c r="AG263" s="6" t="s">
        <v>75</v>
      </c>
      <c r="AH263" s="8">
        <v>1</v>
      </c>
      <c r="AI263" s="8">
        <v>1</v>
      </c>
      <c r="AJ263" s="8">
        <v>1</v>
      </c>
      <c r="AK263" s="6" t="s">
        <v>8</v>
      </c>
      <c r="AL263" s="3"/>
      <c r="AM263" s="3"/>
      <c r="AN263" s="3"/>
      <c r="AW263" s="143"/>
    </row>
    <row r="264" spans="2:49" ht="15">
      <c r="B264" s="62">
        <f t="shared" si="0"/>
        <v>37</v>
      </c>
      <c r="C264" s="11">
        <v>20200429</v>
      </c>
      <c r="D264" s="3" t="s">
        <v>24</v>
      </c>
      <c r="E264" s="3" t="s">
        <v>634</v>
      </c>
      <c r="F264" s="39" t="s">
        <v>646</v>
      </c>
      <c r="G264" s="5">
        <v>1411876</v>
      </c>
      <c r="H264" s="15" t="s">
        <v>72</v>
      </c>
      <c r="I264" s="3" t="s">
        <v>653</v>
      </c>
      <c r="J264" s="15" t="s">
        <v>72</v>
      </c>
      <c r="K264" s="3" t="s">
        <v>73</v>
      </c>
      <c r="L264" s="3" t="s">
        <v>8</v>
      </c>
      <c r="M264" s="3" t="s">
        <v>8</v>
      </c>
      <c r="N264" s="3" t="s">
        <v>637</v>
      </c>
      <c r="O264" s="5" t="s">
        <v>72</v>
      </c>
      <c r="P264" s="5" t="s">
        <v>638</v>
      </c>
      <c r="Q264" s="55"/>
      <c r="R264" s="15" t="s">
        <v>72</v>
      </c>
      <c r="S264" s="3" t="s">
        <v>109</v>
      </c>
      <c r="T264" s="3"/>
      <c r="U264" s="3"/>
      <c r="V264" s="3">
        <v>265</v>
      </c>
      <c r="W264" s="3">
        <f t="shared" si="1"/>
        <v>265</v>
      </c>
      <c r="X264" s="3">
        <f t="shared" si="1"/>
        <v>265</v>
      </c>
      <c r="Y264" s="3">
        <f>ROUNDDOWN(W264/HLOOKUP(D264,[1]Table!$C$3:$D$4,2,0)*8,2)</f>
        <v>4.71</v>
      </c>
      <c r="Z264" s="3">
        <v>3</v>
      </c>
      <c r="AA264" s="3" t="s">
        <v>505</v>
      </c>
      <c r="AB264" s="6"/>
      <c r="AC264" s="6">
        <v>43955</v>
      </c>
      <c r="AD264" s="6">
        <v>43966</v>
      </c>
      <c r="AE264" s="6">
        <v>43955</v>
      </c>
      <c r="AF264" s="6">
        <v>43955</v>
      </c>
      <c r="AG264" s="6" t="s">
        <v>75</v>
      </c>
      <c r="AH264" s="8">
        <v>1</v>
      </c>
      <c r="AI264" s="8">
        <v>1</v>
      </c>
      <c r="AJ264" s="8">
        <v>1</v>
      </c>
      <c r="AK264" s="6" t="s">
        <v>8</v>
      </c>
      <c r="AL264" s="3" t="s">
        <v>72</v>
      </c>
      <c r="AM264" s="3" t="s">
        <v>72</v>
      </c>
      <c r="AN264" s="3" t="s">
        <v>72</v>
      </c>
      <c r="AW264" s="143"/>
    </row>
    <row r="265" spans="2:49" ht="15">
      <c r="B265" s="62">
        <f t="shared" si="0"/>
        <v>38</v>
      </c>
      <c r="C265" s="11">
        <v>20200429</v>
      </c>
      <c r="D265" s="3" t="s">
        <v>24</v>
      </c>
      <c r="E265" s="3" t="s">
        <v>634</v>
      </c>
      <c r="F265" s="39" t="s">
        <v>646</v>
      </c>
      <c r="G265" s="5">
        <v>1411876</v>
      </c>
      <c r="H265" s="15" t="s">
        <v>72</v>
      </c>
      <c r="I265" s="3" t="s">
        <v>654</v>
      </c>
      <c r="J265" s="15" t="s">
        <v>72</v>
      </c>
      <c r="K265" s="3" t="s">
        <v>73</v>
      </c>
      <c r="L265" s="3" t="s">
        <v>8</v>
      </c>
      <c r="M265" s="3" t="s">
        <v>8</v>
      </c>
      <c r="N265" s="3" t="s">
        <v>637</v>
      </c>
      <c r="O265" s="5" t="s">
        <v>72</v>
      </c>
      <c r="P265" s="5" t="s">
        <v>638</v>
      </c>
      <c r="Q265" s="55"/>
      <c r="R265" s="15" t="s">
        <v>72</v>
      </c>
      <c r="S265" s="3" t="s">
        <v>109</v>
      </c>
      <c r="T265" s="3"/>
      <c r="U265" s="3"/>
      <c r="V265" s="3">
        <v>368</v>
      </c>
      <c r="W265" s="3">
        <f t="shared" si="1"/>
        <v>368</v>
      </c>
      <c r="X265" s="3">
        <f t="shared" si="1"/>
        <v>368</v>
      </c>
      <c r="Y265" s="3">
        <f>ROUNDDOWN(W265/HLOOKUP(D265,[1]Table!$C$3:$D$4,2,0)*8,2)</f>
        <v>6.54</v>
      </c>
      <c r="Z265" s="3">
        <v>6</v>
      </c>
      <c r="AA265" s="3" t="s">
        <v>505</v>
      </c>
      <c r="AB265" s="6"/>
      <c r="AC265" s="6">
        <v>43955</v>
      </c>
      <c r="AD265" s="6">
        <v>43966</v>
      </c>
      <c r="AE265" s="6">
        <v>43956</v>
      </c>
      <c r="AF265" s="6">
        <v>43956</v>
      </c>
      <c r="AG265" s="6" t="s">
        <v>79</v>
      </c>
      <c r="AH265" s="8">
        <v>1</v>
      </c>
      <c r="AI265" s="8">
        <v>0.99</v>
      </c>
      <c r="AJ265" s="8">
        <v>0.99</v>
      </c>
      <c r="AK265" s="6" t="s">
        <v>76</v>
      </c>
      <c r="AL265" s="5" t="s">
        <v>655</v>
      </c>
      <c r="AM265" s="3"/>
      <c r="AN265" s="3"/>
      <c r="AW265" s="143"/>
    </row>
    <row r="266" spans="2:49" ht="15">
      <c r="B266" s="62">
        <f t="shared" si="0"/>
        <v>39</v>
      </c>
      <c r="C266" s="11">
        <v>20200429</v>
      </c>
      <c r="D266" s="3" t="s">
        <v>24</v>
      </c>
      <c r="E266" s="3" t="s">
        <v>634</v>
      </c>
      <c r="F266" s="39" t="s">
        <v>646</v>
      </c>
      <c r="G266" s="5">
        <v>1411876</v>
      </c>
      <c r="H266" s="15" t="s">
        <v>72</v>
      </c>
      <c r="I266" s="3" t="s">
        <v>319</v>
      </c>
      <c r="J266" s="15" t="s">
        <v>72</v>
      </c>
      <c r="K266" s="3" t="s">
        <v>73</v>
      </c>
      <c r="L266" s="3" t="s">
        <v>8</v>
      </c>
      <c r="M266" s="3" t="s">
        <v>8</v>
      </c>
      <c r="N266" s="3" t="s">
        <v>637</v>
      </c>
      <c r="O266" s="5" t="s">
        <v>72</v>
      </c>
      <c r="P266" s="5" t="s">
        <v>638</v>
      </c>
      <c r="Q266" s="55"/>
      <c r="R266" s="15" t="s">
        <v>72</v>
      </c>
      <c r="S266" s="3" t="s">
        <v>117</v>
      </c>
      <c r="T266" s="3"/>
      <c r="U266" s="3"/>
      <c r="V266" s="3">
        <v>195</v>
      </c>
      <c r="W266" s="3">
        <f t="shared" si="1"/>
        <v>195</v>
      </c>
      <c r="X266" s="3">
        <f t="shared" si="1"/>
        <v>195</v>
      </c>
      <c r="Y266" s="3">
        <f>ROUNDDOWN(W266/HLOOKUP(D266,[1]Table!$C$3:$D$4,2,0)*8,2)</f>
        <v>3.46</v>
      </c>
      <c r="Z266" s="3">
        <v>5</v>
      </c>
      <c r="AA266" s="3" t="s">
        <v>505</v>
      </c>
      <c r="AB266" s="6"/>
      <c r="AC266" s="6">
        <v>43955</v>
      </c>
      <c r="AD266" s="6">
        <v>43966</v>
      </c>
      <c r="AE266" s="6">
        <v>43959</v>
      </c>
      <c r="AF266" s="6">
        <v>43959</v>
      </c>
      <c r="AG266" s="6" t="s">
        <v>79</v>
      </c>
      <c r="AH266" s="8">
        <v>0.98</v>
      </c>
      <c r="AI266" s="8">
        <v>0.97</v>
      </c>
      <c r="AJ266" s="8">
        <v>1</v>
      </c>
      <c r="AK266" s="6" t="s">
        <v>76</v>
      </c>
      <c r="AL266" s="3" t="s">
        <v>656</v>
      </c>
      <c r="AM266" s="3" t="s">
        <v>72</v>
      </c>
      <c r="AN266" s="3" t="s">
        <v>72</v>
      </c>
      <c r="AW266" s="143"/>
    </row>
    <row r="267" spans="2:49" ht="15">
      <c r="B267" s="62">
        <f t="shared" si="0"/>
        <v>40</v>
      </c>
      <c r="C267" s="11">
        <v>20200429</v>
      </c>
      <c r="D267" s="3" t="s">
        <v>24</v>
      </c>
      <c r="E267" s="3" t="s">
        <v>634</v>
      </c>
      <c r="F267" s="39" t="s">
        <v>646</v>
      </c>
      <c r="G267" s="5">
        <v>1411876</v>
      </c>
      <c r="H267" s="15" t="s">
        <v>72</v>
      </c>
      <c r="I267" s="3" t="s">
        <v>657</v>
      </c>
      <c r="J267" s="15" t="s">
        <v>72</v>
      </c>
      <c r="K267" s="3" t="s">
        <v>73</v>
      </c>
      <c r="L267" s="3" t="s">
        <v>8</v>
      </c>
      <c r="M267" s="3" t="s">
        <v>8</v>
      </c>
      <c r="N267" s="3" t="s">
        <v>637</v>
      </c>
      <c r="O267" s="5" t="s">
        <v>72</v>
      </c>
      <c r="P267" s="5" t="s">
        <v>638</v>
      </c>
      <c r="Q267" s="55"/>
      <c r="R267" s="15" t="s">
        <v>72</v>
      </c>
      <c r="S267" s="3" t="s">
        <v>113</v>
      </c>
      <c r="T267" s="3"/>
      <c r="U267" s="3"/>
      <c r="V267" s="3">
        <v>351</v>
      </c>
      <c r="W267" s="3">
        <f t="shared" si="1"/>
        <v>351</v>
      </c>
      <c r="X267" s="3">
        <f t="shared" si="1"/>
        <v>351</v>
      </c>
      <c r="Y267" s="3">
        <f>ROUNDDOWN(W267/HLOOKUP(D267,[1]Table!$C$3:$D$4,2,0)*8,2)</f>
        <v>6.24</v>
      </c>
      <c r="Z267" s="3">
        <v>6</v>
      </c>
      <c r="AA267" s="3" t="s">
        <v>505</v>
      </c>
      <c r="AB267" s="6"/>
      <c r="AC267" s="6">
        <v>43955</v>
      </c>
      <c r="AD267" s="6">
        <v>43966</v>
      </c>
      <c r="AE267" s="6">
        <v>43955</v>
      </c>
      <c r="AF267" s="6">
        <v>43955</v>
      </c>
      <c r="AG267" s="6" t="s">
        <v>75</v>
      </c>
      <c r="AH267" s="8">
        <v>1</v>
      </c>
      <c r="AI267" s="8">
        <v>1</v>
      </c>
      <c r="AJ267" s="8">
        <v>1</v>
      </c>
      <c r="AK267" s="6" t="s">
        <v>8</v>
      </c>
      <c r="AL267" s="3" t="s">
        <v>72</v>
      </c>
      <c r="AM267" s="3" t="s">
        <v>72</v>
      </c>
      <c r="AN267" s="3" t="s">
        <v>72</v>
      </c>
      <c r="AW267" s="143"/>
    </row>
    <row r="268" spans="2:49" ht="15">
      <c r="B268" s="62">
        <f t="shared" si="0"/>
        <v>41</v>
      </c>
      <c r="C268" s="11">
        <v>20200429</v>
      </c>
      <c r="D268" s="3" t="s">
        <v>24</v>
      </c>
      <c r="E268" s="3" t="s">
        <v>634</v>
      </c>
      <c r="F268" s="39" t="s">
        <v>646</v>
      </c>
      <c r="G268" s="5">
        <v>1411876</v>
      </c>
      <c r="H268" s="15" t="s">
        <v>72</v>
      </c>
      <c r="I268" s="3" t="s">
        <v>658</v>
      </c>
      <c r="J268" s="15" t="s">
        <v>72</v>
      </c>
      <c r="K268" s="3" t="s">
        <v>73</v>
      </c>
      <c r="L268" s="3" t="s">
        <v>8</v>
      </c>
      <c r="M268" s="3" t="s">
        <v>8</v>
      </c>
      <c r="N268" s="3" t="s">
        <v>637</v>
      </c>
      <c r="O268" s="5" t="s">
        <v>72</v>
      </c>
      <c r="P268" s="5" t="s">
        <v>638</v>
      </c>
      <c r="Q268" s="55"/>
      <c r="R268" s="15" t="s">
        <v>72</v>
      </c>
      <c r="S268" s="3" t="s">
        <v>161</v>
      </c>
      <c r="T268" s="3"/>
      <c r="U268" s="3"/>
      <c r="V268" s="3">
        <v>164</v>
      </c>
      <c r="W268" s="3">
        <f t="shared" si="1"/>
        <v>164</v>
      </c>
      <c r="X268" s="3">
        <f t="shared" si="1"/>
        <v>164</v>
      </c>
      <c r="Y268" s="3">
        <f>ROUNDDOWN(W268/HLOOKUP(D268,[1]Table!$C$3:$D$4,2,0)*8,2)</f>
        <v>2.91</v>
      </c>
      <c r="Z268" s="3">
        <v>2</v>
      </c>
      <c r="AA268" s="3" t="s">
        <v>505</v>
      </c>
      <c r="AB268" s="67"/>
      <c r="AC268" s="6">
        <v>43955</v>
      </c>
      <c r="AD268" s="6">
        <v>43966</v>
      </c>
      <c r="AE268" s="6">
        <v>43955</v>
      </c>
      <c r="AF268" s="6">
        <v>43955</v>
      </c>
      <c r="AG268" s="6" t="s">
        <v>79</v>
      </c>
      <c r="AH268" s="8">
        <v>1</v>
      </c>
      <c r="AI268" s="8">
        <v>0.96</v>
      </c>
      <c r="AJ268" s="8">
        <v>0.5</v>
      </c>
      <c r="AK268" s="6" t="s">
        <v>76</v>
      </c>
      <c r="AL268" s="3" t="s">
        <v>659</v>
      </c>
      <c r="AM268" s="3"/>
      <c r="AN268" s="3"/>
      <c r="AW268" s="143"/>
    </row>
    <row r="269" spans="2:49" ht="15">
      <c r="B269" s="62">
        <f t="shared" si="0"/>
        <v>42</v>
      </c>
      <c r="C269" s="11">
        <v>20200429</v>
      </c>
      <c r="D269" s="3" t="s">
        <v>24</v>
      </c>
      <c r="E269" s="3" t="s">
        <v>634</v>
      </c>
      <c r="F269" s="39" t="s">
        <v>646</v>
      </c>
      <c r="G269" s="5">
        <v>1411876</v>
      </c>
      <c r="H269" s="15" t="s">
        <v>72</v>
      </c>
      <c r="I269" s="3" t="s">
        <v>660</v>
      </c>
      <c r="J269" s="15" t="s">
        <v>72</v>
      </c>
      <c r="K269" s="3" t="s">
        <v>73</v>
      </c>
      <c r="L269" s="3" t="s">
        <v>8</v>
      </c>
      <c r="M269" s="3" t="s">
        <v>8</v>
      </c>
      <c r="N269" s="3" t="s">
        <v>637</v>
      </c>
      <c r="O269" s="5" t="s">
        <v>72</v>
      </c>
      <c r="P269" s="5" t="s">
        <v>638</v>
      </c>
      <c r="Q269" s="55"/>
      <c r="R269" s="15" t="s">
        <v>72</v>
      </c>
      <c r="S269" s="3" t="s">
        <v>161</v>
      </c>
      <c r="T269" s="3"/>
      <c r="U269" s="3"/>
      <c r="V269" s="3">
        <v>24</v>
      </c>
      <c r="W269" s="3">
        <f t="shared" si="1"/>
        <v>24</v>
      </c>
      <c r="X269" s="3">
        <f t="shared" si="1"/>
        <v>24</v>
      </c>
      <c r="Y269" s="3">
        <f>ROUNDDOWN(W269/HLOOKUP(D269,[1]Table!$C$3:$D$4,2,0)*8,2)</f>
        <v>0.42</v>
      </c>
      <c r="Z269" s="3">
        <f>0.4</f>
        <v>0.4</v>
      </c>
      <c r="AA269" s="3" t="s">
        <v>505</v>
      </c>
      <c r="AB269" s="67"/>
      <c r="AC269" s="6">
        <v>43955</v>
      </c>
      <c r="AD269" s="6">
        <v>43966</v>
      </c>
      <c r="AE269" s="6">
        <v>43955</v>
      </c>
      <c r="AF269" s="6">
        <v>43955</v>
      </c>
      <c r="AG269" s="6" t="s">
        <v>75</v>
      </c>
      <c r="AH269" s="8">
        <v>1</v>
      </c>
      <c r="AI269" s="8">
        <v>1</v>
      </c>
      <c r="AJ269" s="8">
        <v>1</v>
      </c>
      <c r="AK269" s="6" t="s">
        <v>8</v>
      </c>
      <c r="AL269" s="3"/>
      <c r="AM269" s="3"/>
      <c r="AN269" s="3"/>
      <c r="AW269" s="143"/>
    </row>
    <row r="270" spans="2:49" ht="15">
      <c r="B270" s="62">
        <f t="shared" si="0"/>
        <v>43</v>
      </c>
      <c r="C270" s="11">
        <v>20200429</v>
      </c>
      <c r="D270" s="3" t="s">
        <v>24</v>
      </c>
      <c r="E270" s="3" t="s">
        <v>634</v>
      </c>
      <c r="F270" s="39" t="s">
        <v>646</v>
      </c>
      <c r="G270" s="5">
        <v>1411876</v>
      </c>
      <c r="H270" s="15" t="s">
        <v>72</v>
      </c>
      <c r="I270" s="3" t="s">
        <v>661</v>
      </c>
      <c r="J270" s="15" t="s">
        <v>72</v>
      </c>
      <c r="K270" s="3" t="s">
        <v>73</v>
      </c>
      <c r="L270" s="3" t="s">
        <v>8</v>
      </c>
      <c r="M270" s="3" t="s">
        <v>8</v>
      </c>
      <c r="N270" s="3" t="s">
        <v>637</v>
      </c>
      <c r="O270" s="5" t="s">
        <v>72</v>
      </c>
      <c r="P270" s="5" t="s">
        <v>638</v>
      </c>
      <c r="Q270" s="55"/>
      <c r="R270" s="15" t="s">
        <v>72</v>
      </c>
      <c r="S270" s="3" t="s">
        <v>161</v>
      </c>
      <c r="T270" s="3"/>
      <c r="U270" s="3"/>
      <c r="V270" s="3">
        <v>182</v>
      </c>
      <c r="W270" s="3">
        <f t="shared" si="1"/>
        <v>182</v>
      </c>
      <c r="X270" s="3">
        <f t="shared" si="1"/>
        <v>182</v>
      </c>
      <c r="Y270" s="3">
        <f>ROUNDDOWN(W270/HLOOKUP(D270,[1]Table!$C$3:$D$4,2,0)*8,2)</f>
        <v>3.23</v>
      </c>
      <c r="Z270" s="3">
        <v>2</v>
      </c>
      <c r="AA270" s="3" t="s">
        <v>505</v>
      </c>
      <c r="AB270" s="67"/>
      <c r="AC270" s="6">
        <v>43955</v>
      </c>
      <c r="AD270" s="6">
        <v>43966</v>
      </c>
      <c r="AE270" s="6">
        <v>43955</v>
      </c>
      <c r="AF270" s="6">
        <v>43955</v>
      </c>
      <c r="AG270" s="6" t="s">
        <v>75</v>
      </c>
      <c r="AH270" s="8">
        <v>1</v>
      </c>
      <c r="AI270" s="8">
        <v>1</v>
      </c>
      <c r="AJ270" s="8">
        <v>1</v>
      </c>
      <c r="AK270" s="6" t="s">
        <v>8</v>
      </c>
      <c r="AL270" s="3"/>
      <c r="AM270" s="3"/>
      <c r="AN270" s="3"/>
      <c r="AW270" s="143"/>
    </row>
    <row r="271" spans="2:49" ht="15">
      <c r="B271" s="62">
        <f t="shared" si="0"/>
        <v>44</v>
      </c>
      <c r="C271" s="11">
        <v>20200429</v>
      </c>
      <c r="D271" s="3" t="s">
        <v>24</v>
      </c>
      <c r="E271" s="3" t="s">
        <v>634</v>
      </c>
      <c r="F271" s="39" t="s">
        <v>646</v>
      </c>
      <c r="G271" s="5">
        <v>1411876</v>
      </c>
      <c r="H271" s="15" t="s">
        <v>72</v>
      </c>
      <c r="I271" s="3" t="s">
        <v>662</v>
      </c>
      <c r="J271" s="15" t="s">
        <v>72</v>
      </c>
      <c r="K271" s="3" t="s">
        <v>73</v>
      </c>
      <c r="L271" s="3" t="s">
        <v>8</v>
      </c>
      <c r="M271" s="3" t="s">
        <v>8</v>
      </c>
      <c r="N271" s="3" t="s">
        <v>637</v>
      </c>
      <c r="O271" s="5" t="s">
        <v>72</v>
      </c>
      <c r="P271" s="5" t="s">
        <v>638</v>
      </c>
      <c r="Q271" s="55"/>
      <c r="R271" s="15" t="s">
        <v>72</v>
      </c>
      <c r="S271" s="3" t="s">
        <v>161</v>
      </c>
      <c r="T271" s="3"/>
      <c r="U271" s="3"/>
      <c r="V271" s="3">
        <v>161</v>
      </c>
      <c r="W271" s="3">
        <f t="shared" si="1"/>
        <v>161</v>
      </c>
      <c r="X271" s="3">
        <f t="shared" si="1"/>
        <v>161</v>
      </c>
      <c r="Y271" s="3">
        <f>ROUNDDOWN(W271/HLOOKUP(D271,[1]Table!$C$3:$D$4,2,0)*8,2)</f>
        <v>2.86</v>
      </c>
      <c r="Z271" s="3">
        <v>1.5</v>
      </c>
      <c r="AA271" s="3" t="s">
        <v>505</v>
      </c>
      <c r="AB271" s="67"/>
      <c r="AC271" s="6">
        <v>43955</v>
      </c>
      <c r="AD271" s="6">
        <v>43966</v>
      </c>
      <c r="AE271" s="6">
        <v>43955</v>
      </c>
      <c r="AF271" s="6">
        <v>43955</v>
      </c>
      <c r="AG271" s="6" t="s">
        <v>75</v>
      </c>
      <c r="AH271" s="8">
        <v>1</v>
      </c>
      <c r="AI271" s="8">
        <v>1</v>
      </c>
      <c r="AJ271" s="8">
        <v>1</v>
      </c>
      <c r="AK271" s="6" t="s">
        <v>8</v>
      </c>
      <c r="AL271" s="3"/>
      <c r="AM271" s="3"/>
      <c r="AN271" s="3"/>
      <c r="AW271" s="143"/>
    </row>
    <row r="272" spans="2:49" ht="15">
      <c r="B272" s="62">
        <f t="shared" si="0"/>
        <v>45</v>
      </c>
      <c r="C272" s="11">
        <v>20200429</v>
      </c>
      <c r="D272" s="3" t="s">
        <v>24</v>
      </c>
      <c r="E272" s="3" t="s">
        <v>634</v>
      </c>
      <c r="F272" s="39" t="s">
        <v>646</v>
      </c>
      <c r="G272" s="5">
        <v>1411876</v>
      </c>
      <c r="H272" s="15" t="s">
        <v>72</v>
      </c>
      <c r="I272" s="3" t="s">
        <v>558</v>
      </c>
      <c r="J272" s="15" t="s">
        <v>72</v>
      </c>
      <c r="K272" s="3" t="s">
        <v>73</v>
      </c>
      <c r="L272" s="3" t="s">
        <v>8</v>
      </c>
      <c r="M272" s="3" t="s">
        <v>8</v>
      </c>
      <c r="N272" s="3" t="s">
        <v>637</v>
      </c>
      <c r="O272" s="5" t="s">
        <v>72</v>
      </c>
      <c r="P272" s="5" t="s">
        <v>638</v>
      </c>
      <c r="Q272" s="55"/>
      <c r="R272" s="15" t="s">
        <v>72</v>
      </c>
      <c r="S272" s="3" t="s">
        <v>161</v>
      </c>
      <c r="T272" s="3"/>
      <c r="U272" s="3"/>
      <c r="V272" s="3">
        <v>210</v>
      </c>
      <c r="W272" s="3">
        <f t="shared" si="1"/>
        <v>210</v>
      </c>
      <c r="X272" s="3">
        <f t="shared" si="1"/>
        <v>210</v>
      </c>
      <c r="Y272" s="3">
        <f>ROUNDDOWN(W272/HLOOKUP(D272,[1]Table!$C$3:$D$4,2,0)*8,2)</f>
        <v>3.73</v>
      </c>
      <c r="Z272" s="3">
        <v>3</v>
      </c>
      <c r="AA272" s="3" t="s">
        <v>505</v>
      </c>
      <c r="AB272" s="6"/>
      <c r="AC272" s="6">
        <v>43955</v>
      </c>
      <c r="AD272" s="6">
        <v>43966</v>
      </c>
      <c r="AE272" s="6">
        <v>43956</v>
      </c>
      <c r="AF272" s="6">
        <v>43956</v>
      </c>
      <c r="AG272" s="6" t="s">
        <v>79</v>
      </c>
      <c r="AH272" s="8">
        <v>0.92</v>
      </c>
      <c r="AI272" s="8">
        <v>0.92</v>
      </c>
      <c r="AJ272" s="8">
        <v>0</v>
      </c>
      <c r="AK272" s="6" t="s">
        <v>76</v>
      </c>
      <c r="AL272" s="5" t="s">
        <v>663</v>
      </c>
      <c r="AM272" s="3"/>
      <c r="AN272" s="3"/>
      <c r="AW272" s="143"/>
    </row>
    <row r="273" spans="2:49" ht="15">
      <c r="B273" s="62">
        <f t="shared" si="0"/>
        <v>46</v>
      </c>
      <c r="C273" s="11">
        <v>20200429</v>
      </c>
      <c r="D273" s="3" t="s">
        <v>24</v>
      </c>
      <c r="E273" s="3" t="s">
        <v>634</v>
      </c>
      <c r="F273" s="39" t="s">
        <v>646</v>
      </c>
      <c r="G273" s="5">
        <v>1411876</v>
      </c>
      <c r="H273" s="15" t="s">
        <v>72</v>
      </c>
      <c r="I273" s="3" t="s">
        <v>664</v>
      </c>
      <c r="J273" s="15" t="s">
        <v>72</v>
      </c>
      <c r="K273" s="3" t="s">
        <v>73</v>
      </c>
      <c r="L273" s="3" t="s">
        <v>8</v>
      </c>
      <c r="M273" s="3" t="s">
        <v>8</v>
      </c>
      <c r="N273" s="3" t="s">
        <v>637</v>
      </c>
      <c r="O273" s="5" t="s">
        <v>72</v>
      </c>
      <c r="P273" s="5" t="s">
        <v>638</v>
      </c>
      <c r="Q273" s="55"/>
      <c r="R273" s="15" t="s">
        <v>72</v>
      </c>
      <c r="S273" s="3" t="s">
        <v>161</v>
      </c>
      <c r="T273" s="3"/>
      <c r="U273" s="3"/>
      <c r="V273" s="3">
        <v>83</v>
      </c>
      <c r="W273" s="3">
        <f t="shared" si="1"/>
        <v>83</v>
      </c>
      <c r="X273" s="3">
        <f t="shared" si="1"/>
        <v>83</v>
      </c>
      <c r="Y273" s="3">
        <f>ROUNDDOWN(W273/HLOOKUP(D273,[1]Table!$C$3:$D$4,2,0)*8,2)</f>
        <v>1.47</v>
      </c>
      <c r="Z273" s="3">
        <v>0.5</v>
      </c>
      <c r="AA273" s="3" t="s">
        <v>505</v>
      </c>
      <c r="AB273" s="67"/>
      <c r="AC273" s="6">
        <v>43955</v>
      </c>
      <c r="AD273" s="6">
        <v>43966</v>
      </c>
      <c r="AE273" s="6">
        <v>43955</v>
      </c>
      <c r="AF273" s="6">
        <v>43955</v>
      </c>
      <c r="AG273" s="6" t="s">
        <v>75</v>
      </c>
      <c r="AH273" s="8">
        <v>1</v>
      </c>
      <c r="AI273" s="8">
        <v>1</v>
      </c>
      <c r="AJ273" s="8">
        <v>1</v>
      </c>
      <c r="AK273" s="6" t="s">
        <v>8</v>
      </c>
      <c r="AL273" s="3"/>
      <c r="AM273" s="3"/>
      <c r="AN273" s="3"/>
      <c r="AW273" s="143"/>
    </row>
    <row r="274" spans="2:49" ht="15">
      <c r="B274" s="62">
        <f t="shared" si="0"/>
        <v>47</v>
      </c>
      <c r="C274" s="11">
        <v>20200429</v>
      </c>
      <c r="D274" s="3" t="s">
        <v>24</v>
      </c>
      <c r="E274" s="3" t="s">
        <v>634</v>
      </c>
      <c r="F274" s="39" t="s">
        <v>646</v>
      </c>
      <c r="G274" s="5">
        <v>1411876</v>
      </c>
      <c r="H274" s="15" t="s">
        <v>72</v>
      </c>
      <c r="I274" s="3" t="s">
        <v>564</v>
      </c>
      <c r="J274" s="15" t="s">
        <v>72</v>
      </c>
      <c r="K274" s="3" t="s">
        <v>73</v>
      </c>
      <c r="L274" s="3" t="s">
        <v>8</v>
      </c>
      <c r="M274" s="3" t="s">
        <v>8</v>
      </c>
      <c r="N274" s="3" t="s">
        <v>637</v>
      </c>
      <c r="O274" s="5" t="s">
        <v>72</v>
      </c>
      <c r="P274" s="5" t="s">
        <v>638</v>
      </c>
      <c r="Q274" s="55"/>
      <c r="R274" s="15" t="s">
        <v>72</v>
      </c>
      <c r="S274" s="3" t="s">
        <v>117</v>
      </c>
      <c r="T274" s="3"/>
      <c r="U274" s="3"/>
      <c r="V274" s="3">
        <v>101</v>
      </c>
      <c r="W274" s="3">
        <f t="shared" si="1"/>
        <v>101</v>
      </c>
      <c r="X274" s="3">
        <f>W274</f>
        <v>101</v>
      </c>
      <c r="Y274" s="3">
        <f>ROUNDDOWN(W274/HLOOKUP(D274,[1]Table!$C$3:$D$4,2,0)*8,2)</f>
        <v>1.79</v>
      </c>
      <c r="Z274" s="3">
        <v>1.8</v>
      </c>
      <c r="AA274" s="3" t="s">
        <v>505</v>
      </c>
      <c r="AB274" s="6"/>
      <c r="AC274" s="6">
        <v>43955</v>
      </c>
      <c r="AD274" s="6">
        <v>43966</v>
      </c>
      <c r="AE274" s="6">
        <v>43959</v>
      </c>
      <c r="AF274" s="6">
        <v>43959</v>
      </c>
      <c r="AG274" s="6" t="s">
        <v>75</v>
      </c>
      <c r="AH274" s="8">
        <v>1</v>
      </c>
      <c r="AI274" s="8">
        <v>1</v>
      </c>
      <c r="AJ274" s="8">
        <v>1</v>
      </c>
      <c r="AK274" s="6" t="s">
        <v>8</v>
      </c>
      <c r="AL274" s="3" t="s">
        <v>72</v>
      </c>
      <c r="AM274" s="3" t="s">
        <v>72</v>
      </c>
      <c r="AN274" s="3" t="s">
        <v>72</v>
      </c>
      <c r="AW274" s="143"/>
    </row>
    <row r="275" spans="2:49" ht="15">
      <c r="B275" s="62">
        <f t="shared" si="0"/>
        <v>48</v>
      </c>
      <c r="C275" s="11">
        <v>20200429</v>
      </c>
      <c r="D275" s="3" t="s">
        <v>24</v>
      </c>
      <c r="E275" s="3" t="s">
        <v>634</v>
      </c>
      <c r="F275" s="39" t="s">
        <v>646</v>
      </c>
      <c r="G275" s="5">
        <v>1411876</v>
      </c>
      <c r="H275" s="15" t="s">
        <v>72</v>
      </c>
      <c r="I275" s="3" t="s">
        <v>566</v>
      </c>
      <c r="J275" s="15" t="s">
        <v>72</v>
      </c>
      <c r="K275" s="3" t="s">
        <v>73</v>
      </c>
      <c r="L275" s="3" t="s">
        <v>8</v>
      </c>
      <c r="M275" s="3" t="s">
        <v>8</v>
      </c>
      <c r="N275" s="3" t="s">
        <v>637</v>
      </c>
      <c r="O275" s="5" t="s">
        <v>72</v>
      </c>
      <c r="P275" s="5" t="s">
        <v>638</v>
      </c>
      <c r="Q275" s="55"/>
      <c r="R275" s="15" t="s">
        <v>72</v>
      </c>
      <c r="S275" s="3" t="s">
        <v>117</v>
      </c>
      <c r="T275" s="3"/>
      <c r="U275" s="3"/>
      <c r="V275" s="3">
        <v>116</v>
      </c>
      <c r="W275" s="3">
        <f t="shared" si="1"/>
        <v>116</v>
      </c>
      <c r="X275" s="3">
        <f>W275</f>
        <v>116</v>
      </c>
      <c r="Y275" s="3">
        <f>ROUNDDOWN(W275/HLOOKUP(D275,[1]Table!$C$3:$D$4,2,0)*8,2)</f>
        <v>2.06</v>
      </c>
      <c r="Z275" s="3">
        <v>2</v>
      </c>
      <c r="AA275" s="3" t="s">
        <v>505</v>
      </c>
      <c r="AB275" s="6"/>
      <c r="AC275" s="6">
        <v>43955</v>
      </c>
      <c r="AD275" s="6">
        <v>43966</v>
      </c>
      <c r="AE275" s="6">
        <v>43959</v>
      </c>
      <c r="AF275" s="6">
        <v>43959</v>
      </c>
      <c r="AG275" s="6" t="s">
        <v>79</v>
      </c>
      <c r="AH275" s="8">
        <v>0.93</v>
      </c>
      <c r="AI275" s="8">
        <v>0.85</v>
      </c>
      <c r="AJ275" s="8">
        <v>1</v>
      </c>
      <c r="AK275" s="6" t="s">
        <v>76</v>
      </c>
      <c r="AL275" s="3" t="s">
        <v>665</v>
      </c>
      <c r="AM275" s="3"/>
      <c r="AN275" s="3"/>
      <c r="AW275" s="143"/>
    </row>
    <row r="276" spans="2:49" ht="15">
      <c r="B276" s="62">
        <f t="shared" si="0"/>
        <v>49</v>
      </c>
      <c r="C276" s="11">
        <v>20200429</v>
      </c>
      <c r="D276" s="3" t="s">
        <v>24</v>
      </c>
      <c r="E276" s="3" t="s">
        <v>634</v>
      </c>
      <c r="F276" s="39" t="s">
        <v>646</v>
      </c>
      <c r="G276" s="5">
        <v>1411876</v>
      </c>
      <c r="H276" s="15" t="s">
        <v>72</v>
      </c>
      <c r="I276" s="3" t="s">
        <v>45</v>
      </c>
      <c r="J276" s="15" t="s">
        <v>72</v>
      </c>
      <c r="K276" s="3" t="s">
        <v>73</v>
      </c>
      <c r="L276" s="3" t="s">
        <v>8</v>
      </c>
      <c r="M276" s="3" t="s">
        <v>8</v>
      </c>
      <c r="N276" s="3" t="s">
        <v>637</v>
      </c>
      <c r="O276" s="5" t="s">
        <v>72</v>
      </c>
      <c r="P276" s="5" t="s">
        <v>638</v>
      </c>
      <c r="Q276" s="55"/>
      <c r="R276" s="15" t="s">
        <v>72</v>
      </c>
      <c r="S276" s="3" t="s">
        <v>117</v>
      </c>
      <c r="T276" s="3"/>
      <c r="U276" s="3"/>
      <c r="V276" s="3">
        <v>204</v>
      </c>
      <c r="W276" s="3">
        <f t="shared" si="1"/>
        <v>204</v>
      </c>
      <c r="X276" s="3">
        <f>W276</f>
        <v>204</v>
      </c>
      <c r="Y276" s="3">
        <f>ROUNDDOWN(W276/HLOOKUP(D276,[1]Table!$C$3:$D$4,2,0)*8,2)</f>
        <v>3.62</v>
      </c>
      <c r="Z276" s="3">
        <v>3</v>
      </c>
      <c r="AA276" s="3" t="s">
        <v>505</v>
      </c>
      <c r="AB276" s="6"/>
      <c r="AC276" s="6">
        <v>43955</v>
      </c>
      <c r="AD276" s="6">
        <v>43966</v>
      </c>
      <c r="AE276" s="6">
        <v>43959</v>
      </c>
      <c r="AF276" s="6">
        <v>43959</v>
      </c>
      <c r="AG276" s="6" t="s">
        <v>75</v>
      </c>
      <c r="AH276" s="8">
        <v>1</v>
      </c>
      <c r="AI276" s="8">
        <v>1</v>
      </c>
      <c r="AJ276" s="8">
        <v>1</v>
      </c>
      <c r="AK276" s="6" t="s">
        <v>8</v>
      </c>
      <c r="AL276" s="3" t="s">
        <v>72</v>
      </c>
      <c r="AM276" s="3" t="s">
        <v>72</v>
      </c>
      <c r="AN276" s="3" t="s">
        <v>72</v>
      </c>
      <c r="AW276" s="143"/>
    </row>
    <row r="277" spans="2:49" ht="15">
      <c r="B277" s="62">
        <f t="shared" si="0"/>
        <v>50</v>
      </c>
      <c r="C277" s="11">
        <v>20200429</v>
      </c>
      <c r="D277" s="3" t="s">
        <v>24</v>
      </c>
      <c r="E277" s="3" t="s">
        <v>634</v>
      </c>
      <c r="F277" s="39" t="s">
        <v>646</v>
      </c>
      <c r="G277" s="5">
        <v>1411876</v>
      </c>
      <c r="H277" s="15" t="s">
        <v>72</v>
      </c>
      <c r="I277" s="3" t="s">
        <v>47</v>
      </c>
      <c r="J277" s="15" t="s">
        <v>72</v>
      </c>
      <c r="K277" s="3" t="s">
        <v>73</v>
      </c>
      <c r="L277" s="3" t="s">
        <v>8</v>
      </c>
      <c r="M277" s="3" t="s">
        <v>8</v>
      </c>
      <c r="N277" s="3" t="s">
        <v>637</v>
      </c>
      <c r="O277" s="5" t="s">
        <v>72</v>
      </c>
      <c r="P277" s="5" t="s">
        <v>638</v>
      </c>
      <c r="Q277" s="55"/>
      <c r="R277" s="15" t="s">
        <v>72</v>
      </c>
      <c r="S277" s="3" t="s">
        <v>113</v>
      </c>
      <c r="T277" s="3"/>
      <c r="U277" s="3"/>
      <c r="V277" s="3">
        <v>210</v>
      </c>
      <c r="W277" s="3">
        <f t="shared" si="1"/>
        <v>210</v>
      </c>
      <c r="X277" s="3">
        <f t="shared" si="1"/>
        <v>210</v>
      </c>
      <c r="Y277" s="3">
        <f>ROUNDDOWN(W277/HLOOKUP(D277,[1]Table!$C$3:$D$4,2,0)*8,2)</f>
        <v>3.73</v>
      </c>
      <c r="Z277" s="3">
        <v>2</v>
      </c>
      <c r="AA277" s="3" t="s">
        <v>505</v>
      </c>
      <c r="AB277" s="6"/>
      <c r="AC277" s="6">
        <v>43955</v>
      </c>
      <c r="AD277" s="6">
        <v>43966</v>
      </c>
      <c r="AE277" s="6">
        <v>43955</v>
      </c>
      <c r="AF277" s="6">
        <v>43955</v>
      </c>
      <c r="AG277" s="6" t="s">
        <v>75</v>
      </c>
      <c r="AH277" s="8">
        <v>1</v>
      </c>
      <c r="AI277" s="8">
        <v>1</v>
      </c>
      <c r="AJ277" s="8">
        <v>1</v>
      </c>
      <c r="AK277" s="6" t="s">
        <v>8</v>
      </c>
      <c r="AL277" s="3" t="s">
        <v>72</v>
      </c>
      <c r="AM277" s="3" t="s">
        <v>72</v>
      </c>
      <c r="AN277" s="3" t="s">
        <v>72</v>
      </c>
      <c r="AW277" s="143"/>
    </row>
    <row r="278" spans="2:49" ht="15">
      <c r="B278" s="62">
        <f t="shared" si="0"/>
        <v>51</v>
      </c>
      <c r="C278" s="11">
        <v>20200429</v>
      </c>
      <c r="D278" s="3" t="s">
        <v>24</v>
      </c>
      <c r="E278" s="3" t="s">
        <v>634</v>
      </c>
      <c r="F278" s="39" t="s">
        <v>641</v>
      </c>
      <c r="G278" s="5">
        <v>1411876</v>
      </c>
      <c r="H278" s="15" t="s">
        <v>72</v>
      </c>
      <c r="I278" s="3" t="s">
        <v>666</v>
      </c>
      <c r="J278" s="15" t="s">
        <v>72</v>
      </c>
      <c r="K278" s="3" t="s">
        <v>73</v>
      </c>
      <c r="L278" s="3" t="s">
        <v>8</v>
      </c>
      <c r="M278" s="3" t="s">
        <v>8</v>
      </c>
      <c r="N278" s="3" t="s">
        <v>637</v>
      </c>
      <c r="O278" s="5" t="s">
        <v>72</v>
      </c>
      <c r="P278" s="5" t="s">
        <v>638</v>
      </c>
      <c r="Q278" s="55"/>
      <c r="R278" s="15" t="s">
        <v>72</v>
      </c>
      <c r="S278" s="3" t="s">
        <v>113</v>
      </c>
      <c r="T278" s="3"/>
      <c r="U278" s="3"/>
      <c r="V278" s="3">
        <v>182</v>
      </c>
      <c r="W278" s="3">
        <f t="shared" si="1"/>
        <v>182</v>
      </c>
      <c r="X278" s="3">
        <f t="shared" si="1"/>
        <v>182</v>
      </c>
      <c r="Y278" s="3">
        <f>ROUNDDOWN(W278/HLOOKUP(D278,[1]Table!$C$3:$D$4,2,0)*8,2)</f>
        <v>3.23</v>
      </c>
      <c r="Z278" s="3">
        <v>4</v>
      </c>
      <c r="AA278" s="3" t="s">
        <v>505</v>
      </c>
      <c r="AB278" s="6"/>
      <c r="AC278" s="6">
        <v>43955</v>
      </c>
      <c r="AD278" s="6">
        <v>43966</v>
      </c>
      <c r="AE278" s="6">
        <v>43956</v>
      </c>
      <c r="AF278" s="6">
        <v>43956</v>
      </c>
      <c r="AG278" s="6" t="s">
        <v>75</v>
      </c>
      <c r="AH278" s="8">
        <v>1</v>
      </c>
      <c r="AI278" s="8">
        <v>1</v>
      </c>
      <c r="AJ278" s="8">
        <v>1</v>
      </c>
      <c r="AK278" s="6" t="s">
        <v>8</v>
      </c>
      <c r="AL278" s="3" t="s">
        <v>72</v>
      </c>
      <c r="AM278" s="3" t="s">
        <v>72</v>
      </c>
      <c r="AN278" s="3" t="s">
        <v>72</v>
      </c>
      <c r="AW278" s="143"/>
    </row>
    <row r="279" spans="2:49" ht="15">
      <c r="B279" s="62">
        <f t="shared" si="0"/>
        <v>52</v>
      </c>
      <c r="C279" s="11">
        <v>20200429</v>
      </c>
      <c r="D279" s="3" t="s">
        <v>24</v>
      </c>
      <c r="E279" s="3" t="s">
        <v>634</v>
      </c>
      <c r="F279" s="39" t="s">
        <v>641</v>
      </c>
      <c r="G279" s="5">
        <v>1411876</v>
      </c>
      <c r="H279" s="15" t="s">
        <v>72</v>
      </c>
      <c r="I279" s="3" t="s">
        <v>667</v>
      </c>
      <c r="J279" s="15" t="s">
        <v>72</v>
      </c>
      <c r="K279" s="3" t="s">
        <v>73</v>
      </c>
      <c r="L279" s="3" t="s">
        <v>8</v>
      </c>
      <c r="M279" s="3" t="s">
        <v>8</v>
      </c>
      <c r="N279" s="3" t="s">
        <v>637</v>
      </c>
      <c r="O279" s="5" t="s">
        <v>72</v>
      </c>
      <c r="P279" s="5" t="s">
        <v>638</v>
      </c>
      <c r="Q279" s="55"/>
      <c r="R279" s="15" t="s">
        <v>72</v>
      </c>
      <c r="S279" s="3" t="s">
        <v>113</v>
      </c>
      <c r="T279" s="3"/>
      <c r="U279" s="3"/>
      <c r="V279" s="3">
        <v>92</v>
      </c>
      <c r="W279" s="3">
        <f t="shared" si="1"/>
        <v>92</v>
      </c>
      <c r="X279" s="3">
        <f t="shared" si="1"/>
        <v>92</v>
      </c>
      <c r="Y279" s="3">
        <f>ROUNDDOWN(W279/HLOOKUP(D279,[1]Table!$C$3:$D$4,2,0)*8,2)</f>
        <v>1.63</v>
      </c>
      <c r="Z279" s="3">
        <v>2</v>
      </c>
      <c r="AA279" s="3" t="s">
        <v>505</v>
      </c>
      <c r="AB279" s="6"/>
      <c r="AC279" s="6">
        <v>43955</v>
      </c>
      <c r="AD279" s="6">
        <v>43966</v>
      </c>
      <c r="AE279" s="6">
        <v>43958</v>
      </c>
      <c r="AF279" s="6">
        <v>43958</v>
      </c>
      <c r="AG279" s="6" t="s">
        <v>75</v>
      </c>
      <c r="AH279" s="8">
        <v>1</v>
      </c>
      <c r="AI279" s="8">
        <v>1</v>
      </c>
      <c r="AJ279" s="8">
        <v>1</v>
      </c>
      <c r="AK279" s="6" t="s">
        <v>8</v>
      </c>
      <c r="AL279" s="3" t="s">
        <v>72</v>
      </c>
      <c r="AM279" s="3" t="s">
        <v>72</v>
      </c>
      <c r="AN279" s="3" t="s">
        <v>72</v>
      </c>
      <c r="AW279" s="143"/>
    </row>
    <row r="280" spans="2:49" ht="15">
      <c r="B280" s="62">
        <f t="shared" si="0"/>
        <v>53</v>
      </c>
      <c r="C280" s="11">
        <v>20200429</v>
      </c>
      <c r="D280" s="3" t="s">
        <v>24</v>
      </c>
      <c r="E280" s="3" t="s">
        <v>634</v>
      </c>
      <c r="F280" s="39" t="s">
        <v>668</v>
      </c>
      <c r="G280" s="5">
        <v>1411876</v>
      </c>
      <c r="H280" s="15" t="s">
        <v>72</v>
      </c>
      <c r="I280" s="3" t="s">
        <v>669</v>
      </c>
      <c r="J280" s="15" t="s">
        <v>72</v>
      </c>
      <c r="K280" s="3" t="s">
        <v>73</v>
      </c>
      <c r="L280" s="3" t="s">
        <v>8</v>
      </c>
      <c r="M280" s="3" t="s">
        <v>8</v>
      </c>
      <c r="N280" s="3" t="s">
        <v>637</v>
      </c>
      <c r="O280" s="5" t="s">
        <v>72</v>
      </c>
      <c r="P280" s="5" t="s">
        <v>638</v>
      </c>
      <c r="Q280" s="55"/>
      <c r="R280" s="15" t="s">
        <v>72</v>
      </c>
      <c r="S280" s="3" t="s">
        <v>109</v>
      </c>
      <c r="T280" s="3"/>
      <c r="U280" s="3"/>
      <c r="V280" s="3">
        <v>767</v>
      </c>
      <c r="W280" s="3">
        <f t="shared" si="1"/>
        <v>767</v>
      </c>
      <c r="X280" s="3">
        <f t="shared" si="1"/>
        <v>767</v>
      </c>
      <c r="Y280" s="3">
        <f>ROUNDDOWN(W280/HLOOKUP(D280,[1]Table!$C$3:$D$4,2,0)*8,2)</f>
        <v>13.63</v>
      </c>
      <c r="Z280" s="3">
        <v>1</v>
      </c>
      <c r="AA280" s="3" t="s">
        <v>505</v>
      </c>
      <c r="AB280" s="6"/>
      <c r="AC280" s="6">
        <v>43955</v>
      </c>
      <c r="AD280" s="6">
        <v>43966</v>
      </c>
      <c r="AE280" s="6">
        <v>43956</v>
      </c>
      <c r="AF280" s="6">
        <v>43956</v>
      </c>
      <c r="AG280" s="6" t="s">
        <v>75</v>
      </c>
      <c r="AH280" s="8">
        <v>1</v>
      </c>
      <c r="AI280" s="8">
        <v>1</v>
      </c>
      <c r="AJ280" s="8">
        <v>1</v>
      </c>
      <c r="AK280" s="6" t="s">
        <v>8</v>
      </c>
      <c r="AL280" s="3" t="s">
        <v>72</v>
      </c>
      <c r="AM280" s="3" t="s">
        <v>72</v>
      </c>
      <c r="AN280" s="3" t="s">
        <v>72</v>
      </c>
      <c r="AW280" s="143"/>
    </row>
    <row r="281" spans="2:49" ht="15">
      <c r="B281" s="62">
        <f t="shared" si="0"/>
        <v>54</v>
      </c>
      <c r="C281" s="11">
        <v>20200429</v>
      </c>
      <c r="D281" s="3" t="s">
        <v>24</v>
      </c>
      <c r="E281" s="3" t="s">
        <v>634</v>
      </c>
      <c r="F281" s="39" t="s">
        <v>668</v>
      </c>
      <c r="G281" s="5">
        <v>1411876</v>
      </c>
      <c r="H281" s="15" t="s">
        <v>72</v>
      </c>
      <c r="I281" s="65" t="s">
        <v>670</v>
      </c>
      <c r="J281" s="15" t="s">
        <v>72</v>
      </c>
      <c r="K281" s="3" t="s">
        <v>73</v>
      </c>
      <c r="L281" s="3" t="s">
        <v>8</v>
      </c>
      <c r="M281" s="3" t="s">
        <v>8</v>
      </c>
      <c r="N281" s="3" t="s">
        <v>637</v>
      </c>
      <c r="O281" s="5" t="s">
        <v>72</v>
      </c>
      <c r="P281" s="5" t="s">
        <v>638</v>
      </c>
      <c r="Q281" s="55"/>
      <c r="R281" s="15" t="s">
        <v>72</v>
      </c>
      <c r="S281" s="3" t="s">
        <v>113</v>
      </c>
      <c r="T281" s="3"/>
      <c r="U281" s="3"/>
      <c r="V281" s="3">
        <v>93</v>
      </c>
      <c r="W281" s="3">
        <f t="shared" si="1"/>
        <v>93</v>
      </c>
      <c r="X281" s="3">
        <f t="shared" si="1"/>
        <v>93</v>
      </c>
      <c r="Y281" s="3">
        <f>ROUNDDOWN(W281/HLOOKUP(D281,[1]Table!$C$3:$D$4,2,0)*8,2)</f>
        <v>1.65</v>
      </c>
      <c r="Z281" s="3">
        <v>1</v>
      </c>
      <c r="AA281" s="3" t="s">
        <v>505</v>
      </c>
      <c r="AB281" s="6"/>
      <c r="AC281" s="6">
        <v>43955</v>
      </c>
      <c r="AD281" s="6">
        <v>43966</v>
      </c>
      <c r="AE281" s="6">
        <v>43958</v>
      </c>
      <c r="AF281" s="6">
        <v>43958</v>
      </c>
      <c r="AG281" s="6" t="s">
        <v>75</v>
      </c>
      <c r="AH281" s="8">
        <v>1</v>
      </c>
      <c r="AI281" s="8">
        <v>1</v>
      </c>
      <c r="AJ281" s="8">
        <v>1</v>
      </c>
      <c r="AK281" s="6" t="s">
        <v>8</v>
      </c>
      <c r="AL281" s="3" t="s">
        <v>72</v>
      </c>
      <c r="AM281" s="3" t="s">
        <v>72</v>
      </c>
      <c r="AN281" s="3" t="s">
        <v>72</v>
      </c>
      <c r="AW281" s="143"/>
    </row>
    <row r="282" spans="2:49" ht="15">
      <c r="B282" s="62">
        <f t="shared" si="0"/>
        <v>55</v>
      </c>
      <c r="C282" s="11">
        <v>20200429</v>
      </c>
      <c r="D282" s="3" t="s">
        <v>24</v>
      </c>
      <c r="E282" s="3" t="s">
        <v>634</v>
      </c>
      <c r="F282" s="39" t="s">
        <v>668</v>
      </c>
      <c r="G282" s="5">
        <v>1411876</v>
      </c>
      <c r="H282" s="15" t="s">
        <v>72</v>
      </c>
      <c r="I282" s="56" t="s">
        <v>671</v>
      </c>
      <c r="J282" s="15" t="s">
        <v>72</v>
      </c>
      <c r="K282" s="3" t="s">
        <v>73</v>
      </c>
      <c r="L282" s="3" t="s">
        <v>8</v>
      </c>
      <c r="M282" s="3" t="s">
        <v>8</v>
      </c>
      <c r="N282" s="3" t="s">
        <v>637</v>
      </c>
      <c r="O282" s="5" t="s">
        <v>72</v>
      </c>
      <c r="P282" s="5" t="s">
        <v>638</v>
      </c>
      <c r="Q282" s="55"/>
      <c r="R282" s="15" t="s">
        <v>72</v>
      </c>
      <c r="S282" s="3" t="s">
        <v>161</v>
      </c>
      <c r="T282" s="3"/>
      <c r="U282" s="3"/>
      <c r="V282" s="3">
        <v>118</v>
      </c>
      <c r="W282" s="3">
        <f t="shared" si="1"/>
        <v>118</v>
      </c>
      <c r="X282" s="3">
        <f t="shared" si="1"/>
        <v>118</v>
      </c>
      <c r="Y282" s="3">
        <f>ROUNDDOWN(W282/HLOOKUP(D282,[1]Table!$C$3:$D$4,2,0)*8,2)</f>
        <v>2.09</v>
      </c>
      <c r="Z282" s="3">
        <v>1</v>
      </c>
      <c r="AA282" s="3" t="s">
        <v>505</v>
      </c>
      <c r="AB282" s="6"/>
      <c r="AC282" s="6">
        <v>43955</v>
      </c>
      <c r="AD282" s="6">
        <v>43966</v>
      </c>
      <c r="AE282" s="6">
        <v>43956</v>
      </c>
      <c r="AF282" s="6">
        <v>43956</v>
      </c>
      <c r="AG282" s="6" t="s">
        <v>75</v>
      </c>
      <c r="AH282" s="8">
        <v>1</v>
      </c>
      <c r="AI282" s="8">
        <v>1</v>
      </c>
      <c r="AJ282" s="8">
        <v>1</v>
      </c>
      <c r="AK282" s="6" t="s">
        <v>8</v>
      </c>
      <c r="AL282" s="3"/>
      <c r="AM282" s="3"/>
      <c r="AN282" s="3"/>
      <c r="AW282" s="143"/>
    </row>
    <row r="283" spans="2:49" ht="15">
      <c r="B283" s="62">
        <f t="shared" si="0"/>
        <v>56</v>
      </c>
      <c r="C283" s="11">
        <v>20200429</v>
      </c>
      <c r="D283" s="3" t="s">
        <v>24</v>
      </c>
      <c r="E283" s="3" t="s">
        <v>634</v>
      </c>
      <c r="F283" s="39" t="s">
        <v>646</v>
      </c>
      <c r="G283" s="5">
        <v>1411876</v>
      </c>
      <c r="H283" s="15" t="s">
        <v>72</v>
      </c>
      <c r="I283" s="56" t="s">
        <v>672</v>
      </c>
      <c r="J283" s="15" t="s">
        <v>72</v>
      </c>
      <c r="K283" s="3" t="s">
        <v>73</v>
      </c>
      <c r="L283" s="3" t="s">
        <v>8</v>
      </c>
      <c r="M283" s="3" t="s">
        <v>8</v>
      </c>
      <c r="N283" s="3" t="s">
        <v>637</v>
      </c>
      <c r="O283" s="5" t="s">
        <v>72</v>
      </c>
      <c r="P283" s="5" t="s">
        <v>638</v>
      </c>
      <c r="Q283" s="55"/>
      <c r="R283" s="15" t="s">
        <v>72</v>
      </c>
      <c r="S283" s="3" t="s">
        <v>161</v>
      </c>
      <c r="T283" s="3"/>
      <c r="U283" s="3"/>
      <c r="V283" s="3">
        <v>47</v>
      </c>
      <c r="W283" s="3">
        <f t="shared" si="1"/>
        <v>47</v>
      </c>
      <c r="X283" s="3">
        <f t="shared" si="1"/>
        <v>47</v>
      </c>
      <c r="Y283" s="3">
        <f>ROUNDDOWN(W283/HLOOKUP(D283,[1]Table!$C$3:$D$4,2,0)*8,2)</f>
        <v>0.83</v>
      </c>
      <c r="Z283" s="3">
        <v>0.5</v>
      </c>
      <c r="AA283" s="3" t="s">
        <v>505</v>
      </c>
      <c r="AB283" s="6"/>
      <c r="AC283" s="6">
        <v>43955</v>
      </c>
      <c r="AD283" s="6">
        <v>43966</v>
      </c>
      <c r="AE283" s="6">
        <v>43956</v>
      </c>
      <c r="AF283" s="6">
        <v>43956</v>
      </c>
      <c r="AG283" s="6" t="s">
        <v>75</v>
      </c>
      <c r="AH283" s="8">
        <v>1</v>
      </c>
      <c r="AI283" s="8">
        <v>1</v>
      </c>
      <c r="AJ283" s="8">
        <v>1</v>
      </c>
      <c r="AK283" s="6" t="s">
        <v>8</v>
      </c>
      <c r="AL283" s="3"/>
      <c r="AM283" s="3"/>
      <c r="AN283" s="3"/>
      <c r="AW283" s="143"/>
    </row>
    <row r="284" spans="2:49" ht="15">
      <c r="B284" s="62">
        <f t="shared" si="0"/>
        <v>57</v>
      </c>
      <c r="C284" s="11">
        <v>20200429</v>
      </c>
      <c r="D284" s="3" t="s">
        <v>24</v>
      </c>
      <c r="E284" s="3" t="s">
        <v>634</v>
      </c>
      <c r="F284" s="39" t="s">
        <v>646</v>
      </c>
      <c r="G284" s="5">
        <v>1411876</v>
      </c>
      <c r="H284" s="15" t="s">
        <v>72</v>
      </c>
      <c r="I284" s="65" t="s">
        <v>673</v>
      </c>
      <c r="J284" s="15" t="s">
        <v>72</v>
      </c>
      <c r="K284" s="3" t="s">
        <v>73</v>
      </c>
      <c r="L284" s="3" t="s">
        <v>8</v>
      </c>
      <c r="M284" s="3" t="s">
        <v>8</v>
      </c>
      <c r="N284" s="3" t="s">
        <v>637</v>
      </c>
      <c r="O284" s="5" t="s">
        <v>72</v>
      </c>
      <c r="P284" s="5" t="s">
        <v>638</v>
      </c>
      <c r="Q284" s="55"/>
      <c r="R284" s="15" t="s">
        <v>72</v>
      </c>
      <c r="S284" s="3" t="s">
        <v>113</v>
      </c>
      <c r="T284" s="3"/>
      <c r="U284" s="3"/>
      <c r="V284" s="3">
        <v>104</v>
      </c>
      <c r="W284" s="3">
        <f t="shared" si="1"/>
        <v>104</v>
      </c>
      <c r="X284" s="3">
        <f t="shared" si="1"/>
        <v>104</v>
      </c>
      <c r="Y284" s="3">
        <f>ROUNDDOWN(W284/HLOOKUP(D284,[1]Table!$C$3:$D$4,2,0)*8,2)</f>
        <v>1.84</v>
      </c>
      <c r="Z284" s="3">
        <v>1</v>
      </c>
      <c r="AA284" s="3" t="s">
        <v>505</v>
      </c>
      <c r="AB284" s="6"/>
      <c r="AC284" s="6">
        <v>43955</v>
      </c>
      <c r="AD284" s="6">
        <v>43966</v>
      </c>
      <c r="AE284" s="6">
        <v>43958</v>
      </c>
      <c r="AF284" s="6">
        <v>43958</v>
      </c>
      <c r="AG284" s="6" t="s">
        <v>75</v>
      </c>
      <c r="AH284" s="8">
        <v>1</v>
      </c>
      <c r="AI284" s="8">
        <v>1</v>
      </c>
      <c r="AJ284" s="8">
        <v>1</v>
      </c>
      <c r="AK284" s="6" t="s">
        <v>8</v>
      </c>
      <c r="AL284" s="3" t="s">
        <v>72</v>
      </c>
      <c r="AM284" s="3" t="s">
        <v>72</v>
      </c>
      <c r="AN284" s="3" t="s">
        <v>72</v>
      </c>
      <c r="AW284" s="143"/>
    </row>
    <row r="285" spans="2:49" ht="15">
      <c r="B285" s="62">
        <f t="shared" si="0"/>
        <v>58</v>
      </c>
      <c r="C285" s="11">
        <v>20200429</v>
      </c>
      <c r="D285" s="3" t="s">
        <v>24</v>
      </c>
      <c r="E285" s="3" t="s">
        <v>634</v>
      </c>
      <c r="F285" s="39" t="s">
        <v>646</v>
      </c>
      <c r="G285" s="5">
        <v>1411876</v>
      </c>
      <c r="H285" s="15" t="s">
        <v>72</v>
      </c>
      <c r="I285" s="65" t="s">
        <v>674</v>
      </c>
      <c r="J285" s="15" t="s">
        <v>72</v>
      </c>
      <c r="K285" s="3" t="s">
        <v>73</v>
      </c>
      <c r="L285" s="3" t="s">
        <v>8</v>
      </c>
      <c r="M285" s="3" t="s">
        <v>8</v>
      </c>
      <c r="N285" s="3" t="s">
        <v>637</v>
      </c>
      <c r="O285" s="5" t="s">
        <v>72</v>
      </c>
      <c r="P285" s="5" t="s">
        <v>638</v>
      </c>
      <c r="Q285" s="55"/>
      <c r="R285" s="15" t="s">
        <v>72</v>
      </c>
      <c r="S285" s="3" t="s">
        <v>113</v>
      </c>
      <c r="T285" s="3"/>
      <c r="U285" s="3"/>
      <c r="V285" s="3">
        <v>138</v>
      </c>
      <c r="W285" s="3">
        <f t="shared" si="1"/>
        <v>138</v>
      </c>
      <c r="X285" s="3">
        <f t="shared" si="1"/>
        <v>138</v>
      </c>
      <c r="Y285" s="3">
        <f>ROUNDDOWN(W285/HLOOKUP(D285,[1]Table!$C$3:$D$4,2,0)*8,2)</f>
        <v>2.4500000000000002</v>
      </c>
      <c r="Z285" s="3">
        <v>1</v>
      </c>
      <c r="AA285" s="3" t="s">
        <v>505</v>
      </c>
      <c r="AB285" s="6"/>
      <c r="AC285" s="6">
        <v>43955</v>
      </c>
      <c r="AD285" s="6">
        <v>43966</v>
      </c>
      <c r="AE285" s="6">
        <v>43959</v>
      </c>
      <c r="AF285" s="6">
        <v>43959</v>
      </c>
      <c r="AG285" s="6" t="s">
        <v>75</v>
      </c>
      <c r="AH285" s="8">
        <v>1</v>
      </c>
      <c r="AI285" s="8">
        <v>1</v>
      </c>
      <c r="AJ285" s="8">
        <v>1</v>
      </c>
      <c r="AK285" s="6" t="s">
        <v>8</v>
      </c>
      <c r="AL285" s="3" t="s">
        <v>72</v>
      </c>
      <c r="AM285" s="3" t="s">
        <v>72</v>
      </c>
      <c r="AN285" s="3" t="s">
        <v>72</v>
      </c>
      <c r="AW285" s="143"/>
    </row>
    <row r="286" spans="2:49" ht="15">
      <c r="B286" s="62">
        <f t="shared" si="0"/>
        <v>59</v>
      </c>
      <c r="C286" s="11">
        <v>20200429</v>
      </c>
      <c r="D286" s="3" t="s">
        <v>24</v>
      </c>
      <c r="E286" s="3" t="s">
        <v>634</v>
      </c>
      <c r="F286" s="39" t="s">
        <v>646</v>
      </c>
      <c r="G286" s="5">
        <v>1411876</v>
      </c>
      <c r="H286" s="15" t="s">
        <v>72</v>
      </c>
      <c r="I286" s="65" t="s">
        <v>675</v>
      </c>
      <c r="J286" s="64" t="s">
        <v>72</v>
      </c>
      <c r="K286" s="65" t="s">
        <v>73</v>
      </c>
      <c r="L286" s="65" t="s">
        <v>8</v>
      </c>
      <c r="M286" s="65" t="s">
        <v>8</v>
      </c>
      <c r="N286" s="65" t="s">
        <v>637</v>
      </c>
      <c r="O286" s="63" t="s">
        <v>72</v>
      </c>
      <c r="P286" s="63" t="s">
        <v>638</v>
      </c>
      <c r="Q286" s="66"/>
      <c r="R286" s="64" t="s">
        <v>72</v>
      </c>
      <c r="S286" s="65" t="s">
        <v>113</v>
      </c>
      <c r="T286" s="65"/>
      <c r="U286" s="65"/>
      <c r="V286" s="65">
        <v>135</v>
      </c>
      <c r="W286" s="3">
        <f t="shared" si="1"/>
        <v>135</v>
      </c>
      <c r="X286" s="3">
        <f t="shared" si="1"/>
        <v>135</v>
      </c>
      <c r="Y286" s="3">
        <f>ROUNDDOWN(W286/HLOOKUP(D286,[1]Table!$C$3:$D$4,2,0)*8,2)</f>
        <v>2.4</v>
      </c>
      <c r="Z286" s="3">
        <v>1</v>
      </c>
      <c r="AA286" s="3" t="s">
        <v>505</v>
      </c>
      <c r="AB286" s="6"/>
      <c r="AC286" s="6">
        <v>43955</v>
      </c>
      <c r="AD286" s="6">
        <v>43966</v>
      </c>
      <c r="AE286" s="6">
        <v>43959</v>
      </c>
      <c r="AF286" s="6">
        <v>43959</v>
      </c>
      <c r="AG286" s="6" t="s">
        <v>75</v>
      </c>
      <c r="AH286" s="8">
        <v>1</v>
      </c>
      <c r="AI286" s="8">
        <v>1</v>
      </c>
      <c r="AJ286" s="8">
        <v>1</v>
      </c>
      <c r="AK286" s="6" t="s">
        <v>8</v>
      </c>
      <c r="AL286" s="3" t="s">
        <v>72</v>
      </c>
      <c r="AM286" s="3" t="s">
        <v>72</v>
      </c>
      <c r="AN286" s="3" t="s">
        <v>72</v>
      </c>
      <c r="AW286" s="143"/>
    </row>
    <row r="287" spans="2:49" ht="15">
      <c r="B287" s="62">
        <f t="shared" si="0"/>
        <v>60</v>
      </c>
      <c r="C287" s="11">
        <v>20200429</v>
      </c>
      <c r="D287" s="3" t="s">
        <v>24</v>
      </c>
      <c r="E287" s="3" t="s">
        <v>634</v>
      </c>
      <c r="F287" s="68" t="s">
        <v>646</v>
      </c>
      <c r="G287" s="63">
        <v>1411876</v>
      </c>
      <c r="H287" s="64" t="s">
        <v>72</v>
      </c>
      <c r="I287" s="65" t="s">
        <v>676</v>
      </c>
      <c r="J287" s="15" t="s">
        <v>72</v>
      </c>
      <c r="K287" s="3" t="s">
        <v>73</v>
      </c>
      <c r="L287" s="3" t="s">
        <v>8</v>
      </c>
      <c r="M287" s="3" t="s">
        <v>8</v>
      </c>
      <c r="N287" s="3" t="s">
        <v>637</v>
      </c>
      <c r="O287" s="5" t="s">
        <v>72</v>
      </c>
      <c r="P287" s="5" t="s">
        <v>638</v>
      </c>
      <c r="Q287" s="55"/>
      <c r="R287" s="15" t="s">
        <v>72</v>
      </c>
      <c r="S287" s="3" t="s">
        <v>113</v>
      </c>
      <c r="T287" s="3"/>
      <c r="U287" s="3"/>
      <c r="V287" s="3">
        <v>90</v>
      </c>
      <c r="W287" s="3">
        <f t="shared" si="1"/>
        <v>90</v>
      </c>
      <c r="X287" s="3">
        <f t="shared" si="1"/>
        <v>90</v>
      </c>
      <c r="Y287" s="3">
        <f>ROUNDDOWN(W287/HLOOKUP(D287,[1]Table!$C$3:$D$4,2,0)*8,2)</f>
        <v>1.6</v>
      </c>
      <c r="Z287" s="3">
        <v>1</v>
      </c>
      <c r="AA287" s="3" t="s">
        <v>505</v>
      </c>
      <c r="AB287" s="6"/>
      <c r="AC287" s="6">
        <v>43955</v>
      </c>
      <c r="AD287" s="6">
        <v>43966</v>
      </c>
      <c r="AE287" s="6">
        <v>43959</v>
      </c>
      <c r="AF287" s="6">
        <v>43959</v>
      </c>
      <c r="AG287" s="6" t="s">
        <v>75</v>
      </c>
      <c r="AH287" s="8">
        <v>1</v>
      </c>
      <c r="AI287" s="8">
        <v>1</v>
      </c>
      <c r="AJ287" s="8">
        <v>1</v>
      </c>
      <c r="AK287" s="6" t="s">
        <v>8</v>
      </c>
      <c r="AL287" s="3" t="s">
        <v>72</v>
      </c>
      <c r="AM287" s="3" t="s">
        <v>72</v>
      </c>
      <c r="AN287" s="3" t="s">
        <v>72</v>
      </c>
      <c r="AW287" s="143"/>
    </row>
    <row r="288" spans="2:49" ht="15">
      <c r="B288" s="62">
        <f t="shared" si="0"/>
        <v>61</v>
      </c>
      <c r="C288" s="11">
        <v>20200429</v>
      </c>
      <c r="D288" s="3" t="s">
        <v>24</v>
      </c>
      <c r="E288" s="3" t="s">
        <v>634</v>
      </c>
      <c r="F288" s="39" t="s">
        <v>677</v>
      </c>
      <c r="G288" s="5">
        <v>1411876</v>
      </c>
      <c r="H288" s="15" t="s">
        <v>72</v>
      </c>
      <c r="I288" s="65" t="s">
        <v>678</v>
      </c>
      <c r="J288" s="15" t="s">
        <v>72</v>
      </c>
      <c r="K288" s="3" t="s">
        <v>73</v>
      </c>
      <c r="L288" s="3" t="s">
        <v>8</v>
      </c>
      <c r="M288" s="3" t="s">
        <v>8</v>
      </c>
      <c r="N288" s="3" t="s">
        <v>637</v>
      </c>
      <c r="O288" s="5" t="s">
        <v>72</v>
      </c>
      <c r="P288" s="5" t="s">
        <v>638</v>
      </c>
      <c r="Q288" s="55"/>
      <c r="R288" s="15" t="s">
        <v>72</v>
      </c>
      <c r="S288" s="3" t="s">
        <v>161</v>
      </c>
      <c r="T288" s="3"/>
      <c r="U288" s="3"/>
      <c r="V288" s="3">
        <v>45</v>
      </c>
      <c r="W288" s="3">
        <f t="shared" si="1"/>
        <v>45</v>
      </c>
      <c r="X288" s="3">
        <f t="shared" si="1"/>
        <v>45</v>
      </c>
      <c r="Y288" s="3">
        <f>ROUNDDOWN(W288/HLOOKUP(D288,[1]Table!$C$3:$D$4,2,0)*8,2)</f>
        <v>0.8</v>
      </c>
      <c r="Z288" s="3">
        <v>0.5</v>
      </c>
      <c r="AA288" s="3" t="s">
        <v>505</v>
      </c>
      <c r="AB288" s="6"/>
      <c r="AC288" s="6">
        <v>43955</v>
      </c>
      <c r="AD288" s="6">
        <v>43966</v>
      </c>
      <c r="AE288" s="6">
        <v>43956</v>
      </c>
      <c r="AF288" s="6">
        <v>43956</v>
      </c>
      <c r="AG288" s="6" t="s">
        <v>79</v>
      </c>
      <c r="AH288" s="8">
        <v>0.37</v>
      </c>
      <c r="AI288" s="8">
        <v>1</v>
      </c>
      <c r="AJ288" s="8">
        <v>1</v>
      </c>
      <c r="AK288" s="6" t="s">
        <v>76</v>
      </c>
      <c r="AL288" s="5" t="s">
        <v>679</v>
      </c>
      <c r="AM288" s="3"/>
      <c r="AN288" s="3"/>
      <c r="AW288" s="143"/>
    </row>
    <row r="289" spans="2:49" ht="15">
      <c r="B289" s="62">
        <f t="shared" si="0"/>
        <v>62</v>
      </c>
      <c r="C289" s="11">
        <v>20200429</v>
      </c>
      <c r="D289" s="3" t="s">
        <v>24</v>
      </c>
      <c r="E289" s="3" t="s">
        <v>634</v>
      </c>
      <c r="F289" s="39" t="s">
        <v>680</v>
      </c>
      <c r="G289" s="5">
        <v>1411876</v>
      </c>
      <c r="H289" s="15" t="s">
        <v>72</v>
      </c>
      <c r="I289" s="65" t="s">
        <v>681</v>
      </c>
      <c r="J289" s="15" t="s">
        <v>72</v>
      </c>
      <c r="K289" s="3" t="s">
        <v>73</v>
      </c>
      <c r="L289" s="3" t="s">
        <v>8</v>
      </c>
      <c r="M289" s="3" t="s">
        <v>8</v>
      </c>
      <c r="N289" s="3" t="s">
        <v>637</v>
      </c>
      <c r="O289" s="5" t="s">
        <v>72</v>
      </c>
      <c r="P289" s="5" t="s">
        <v>638</v>
      </c>
      <c r="Q289" s="55"/>
      <c r="R289" s="15" t="s">
        <v>72</v>
      </c>
      <c r="S289" s="3" t="s">
        <v>161</v>
      </c>
      <c r="T289" s="3"/>
      <c r="U289" s="3"/>
      <c r="V289" s="3">
        <v>68</v>
      </c>
      <c r="W289" s="3">
        <f t="shared" si="1"/>
        <v>68</v>
      </c>
      <c r="X289" s="3">
        <f t="shared" si="1"/>
        <v>68</v>
      </c>
      <c r="Y289" s="3">
        <f>ROUNDDOWN(W289/HLOOKUP(D289,[1]Table!$C$3:$D$4,2,0)*8,2)</f>
        <v>1.2</v>
      </c>
      <c r="Z289" s="3">
        <v>1</v>
      </c>
      <c r="AA289" s="3" t="s">
        <v>505</v>
      </c>
      <c r="AB289" s="6"/>
      <c r="AC289" s="6">
        <v>43955</v>
      </c>
      <c r="AD289" s="6">
        <v>43966</v>
      </c>
      <c r="AE289" s="6">
        <v>43956</v>
      </c>
      <c r="AF289" s="6">
        <v>43956</v>
      </c>
      <c r="AG289" s="6" t="s">
        <v>75</v>
      </c>
      <c r="AH289" s="8">
        <v>1</v>
      </c>
      <c r="AI289" s="8">
        <v>1</v>
      </c>
      <c r="AJ289" s="8">
        <v>1</v>
      </c>
      <c r="AK289" s="6" t="s">
        <v>8</v>
      </c>
      <c r="AL289" s="3"/>
      <c r="AM289" s="3"/>
      <c r="AN289" s="3"/>
      <c r="AW289" s="143"/>
    </row>
    <row r="290" spans="2:49" ht="15">
      <c r="B290" s="62">
        <f t="shared" si="0"/>
        <v>63</v>
      </c>
      <c r="C290" s="11">
        <v>20200429</v>
      </c>
      <c r="D290" s="3" t="s">
        <v>24</v>
      </c>
      <c r="E290" s="3" t="s">
        <v>634</v>
      </c>
      <c r="F290" s="39" t="s">
        <v>682</v>
      </c>
      <c r="G290" s="5">
        <v>1411876</v>
      </c>
      <c r="H290" s="15" t="s">
        <v>72</v>
      </c>
      <c r="I290" s="65" t="s">
        <v>683</v>
      </c>
      <c r="J290" s="15" t="s">
        <v>72</v>
      </c>
      <c r="K290" s="3" t="s">
        <v>73</v>
      </c>
      <c r="L290" s="3" t="s">
        <v>8</v>
      </c>
      <c r="M290" s="3" t="s">
        <v>8</v>
      </c>
      <c r="N290" s="3" t="s">
        <v>637</v>
      </c>
      <c r="O290" s="5" t="s">
        <v>72</v>
      </c>
      <c r="P290" s="5" t="s">
        <v>638</v>
      </c>
      <c r="Q290" s="55"/>
      <c r="R290" s="15" t="s">
        <v>72</v>
      </c>
      <c r="S290" s="3" t="s">
        <v>161</v>
      </c>
      <c r="T290" s="3"/>
      <c r="U290" s="3"/>
      <c r="V290" s="3">
        <v>137</v>
      </c>
      <c r="W290" s="3">
        <f t="shared" si="1"/>
        <v>137</v>
      </c>
      <c r="X290" s="3">
        <f t="shared" si="1"/>
        <v>137</v>
      </c>
      <c r="Y290" s="3">
        <f>ROUNDDOWN(W290/HLOOKUP(D290,[1]Table!$C$3:$D$4,2,0)*8,2)</f>
        <v>2.4300000000000002</v>
      </c>
      <c r="Z290" s="3">
        <v>1</v>
      </c>
      <c r="AA290" s="3" t="s">
        <v>505</v>
      </c>
      <c r="AB290" s="6"/>
      <c r="AC290" s="6">
        <v>43955</v>
      </c>
      <c r="AD290" s="6">
        <v>43966</v>
      </c>
      <c r="AE290" s="6">
        <v>43956</v>
      </c>
      <c r="AF290" s="6">
        <v>43956</v>
      </c>
      <c r="AG290" s="6" t="s">
        <v>79</v>
      </c>
      <c r="AH290" s="8">
        <v>0.6</v>
      </c>
      <c r="AI290" s="8">
        <v>0.53</v>
      </c>
      <c r="AJ290" s="8">
        <v>1</v>
      </c>
      <c r="AK290" s="6" t="s">
        <v>76</v>
      </c>
      <c r="AL290" s="5" t="s">
        <v>684</v>
      </c>
      <c r="AM290" s="3"/>
      <c r="AN290" s="3"/>
      <c r="AW290" s="143"/>
    </row>
    <row r="291" spans="2:49" ht="15">
      <c r="B291" s="62">
        <f t="shared" si="0"/>
        <v>64</v>
      </c>
      <c r="C291" s="11">
        <v>20200429</v>
      </c>
      <c r="D291" s="3" t="s">
        <v>24</v>
      </c>
      <c r="E291" s="3" t="s">
        <v>634</v>
      </c>
      <c r="F291" s="68" t="s">
        <v>685</v>
      </c>
      <c r="G291" s="63">
        <v>1411876</v>
      </c>
      <c r="H291" s="64" t="s">
        <v>72</v>
      </c>
      <c r="I291" s="65" t="s">
        <v>686</v>
      </c>
      <c r="J291" s="15" t="s">
        <v>72</v>
      </c>
      <c r="K291" s="3" t="s">
        <v>73</v>
      </c>
      <c r="L291" s="3" t="s">
        <v>8</v>
      </c>
      <c r="M291" s="3" t="s">
        <v>8</v>
      </c>
      <c r="N291" s="3" t="s">
        <v>637</v>
      </c>
      <c r="O291" s="5" t="s">
        <v>72</v>
      </c>
      <c r="P291" s="5" t="s">
        <v>638</v>
      </c>
      <c r="Q291" s="55"/>
      <c r="R291" s="15" t="s">
        <v>72</v>
      </c>
      <c r="S291" s="3" t="s">
        <v>113</v>
      </c>
      <c r="T291" s="3"/>
      <c r="U291" s="3"/>
      <c r="V291" s="3">
        <v>102</v>
      </c>
      <c r="W291" s="3">
        <f t="shared" si="1"/>
        <v>102</v>
      </c>
      <c r="X291" s="3">
        <f t="shared" si="1"/>
        <v>102</v>
      </c>
      <c r="Y291" s="3">
        <f>ROUNDDOWN(W291/HLOOKUP(D291,[1]Table!$C$3:$D$4,2,0)*8,2)</f>
        <v>1.81</v>
      </c>
      <c r="Z291" s="3">
        <v>1</v>
      </c>
      <c r="AA291" s="3" t="s">
        <v>505</v>
      </c>
      <c r="AB291" s="6"/>
      <c r="AC291" s="6">
        <v>43955</v>
      </c>
      <c r="AD291" s="6">
        <v>43966</v>
      </c>
      <c r="AE291" s="6">
        <v>43959</v>
      </c>
      <c r="AF291" s="6">
        <v>43959</v>
      </c>
      <c r="AG291" s="6" t="s">
        <v>79</v>
      </c>
      <c r="AH291" s="8">
        <v>0.71</v>
      </c>
      <c r="AI291" s="8">
        <v>0.6</v>
      </c>
      <c r="AJ291" s="8">
        <v>1</v>
      </c>
      <c r="AK291" s="6" t="s">
        <v>76</v>
      </c>
      <c r="AL291" s="5" t="s">
        <v>687</v>
      </c>
      <c r="AM291" s="3" t="s">
        <v>72</v>
      </c>
      <c r="AN291" s="3" t="s">
        <v>72</v>
      </c>
      <c r="AW291" s="143"/>
    </row>
    <row r="292" spans="2:49" ht="15">
      <c r="B292" s="69">
        <f t="shared" si="0"/>
        <v>65</v>
      </c>
      <c r="C292" s="11">
        <v>20200504</v>
      </c>
      <c r="D292" s="3" t="s">
        <v>24</v>
      </c>
      <c r="E292" s="13" t="s">
        <v>688</v>
      </c>
      <c r="F292" s="39" t="s">
        <v>689</v>
      </c>
      <c r="G292" s="13">
        <v>1443329</v>
      </c>
      <c r="H292" s="15" t="s">
        <v>72</v>
      </c>
      <c r="I292" s="56" t="s">
        <v>690</v>
      </c>
      <c r="J292" s="15" t="s">
        <v>72</v>
      </c>
      <c r="K292" s="3" t="s">
        <v>73</v>
      </c>
      <c r="L292" s="3" t="s">
        <v>8</v>
      </c>
      <c r="M292" s="13" t="s">
        <v>691</v>
      </c>
      <c r="N292" s="13" t="s">
        <v>692</v>
      </c>
      <c r="O292" s="5" t="s">
        <v>72</v>
      </c>
      <c r="P292" s="14" t="s">
        <v>693</v>
      </c>
      <c r="Q292" s="55"/>
      <c r="R292" s="15" t="s">
        <v>72</v>
      </c>
      <c r="S292" s="3" t="s">
        <v>161</v>
      </c>
      <c r="T292" s="3"/>
      <c r="U292" s="3"/>
      <c r="V292" s="3">
        <v>82</v>
      </c>
      <c r="W292" s="3">
        <f>V292</f>
        <v>82</v>
      </c>
      <c r="X292" s="3">
        <f t="shared" ref="X292" si="2">W292</f>
        <v>82</v>
      </c>
      <c r="Y292" s="3">
        <f>ROUNDDOWN(W292/HLOOKUP(D292,[1]Table!$C$3:$D$4,2,0)*8,2)</f>
        <v>1.45</v>
      </c>
      <c r="Z292" s="3">
        <v>1</v>
      </c>
      <c r="AA292" s="3" t="s">
        <v>110</v>
      </c>
      <c r="AB292" s="6">
        <v>43956</v>
      </c>
      <c r="AC292" s="6">
        <v>43955</v>
      </c>
      <c r="AD292" s="6">
        <v>43957</v>
      </c>
      <c r="AE292" s="6">
        <v>43956</v>
      </c>
      <c r="AF292" s="6">
        <v>43956</v>
      </c>
      <c r="AG292" s="6" t="s">
        <v>75</v>
      </c>
      <c r="AH292" s="8">
        <v>1</v>
      </c>
      <c r="AI292" s="8">
        <v>1</v>
      </c>
      <c r="AJ292" s="8">
        <v>1</v>
      </c>
      <c r="AK292" s="6" t="s">
        <v>8</v>
      </c>
      <c r="AL292" s="3" t="s">
        <v>72</v>
      </c>
      <c r="AM292" s="3" t="s">
        <v>72</v>
      </c>
      <c r="AN292" s="3" t="s">
        <v>72</v>
      </c>
      <c r="AW292" s="143"/>
    </row>
    <row r="293" spans="2:49" ht="15">
      <c r="B293" s="69">
        <f t="shared" ref="B293:B356" si="3">B292+1</f>
        <v>66</v>
      </c>
      <c r="C293" s="11">
        <v>20200504</v>
      </c>
      <c r="D293" s="3" t="s">
        <v>311</v>
      </c>
      <c r="E293" s="13" t="s">
        <v>694</v>
      </c>
      <c r="F293" s="60" t="s">
        <v>72</v>
      </c>
      <c r="G293" s="13">
        <v>1445490</v>
      </c>
      <c r="H293" s="15" t="s">
        <v>72</v>
      </c>
      <c r="I293" s="56" t="s">
        <v>695</v>
      </c>
      <c r="J293" s="15" t="s">
        <v>72</v>
      </c>
      <c r="K293" s="3" t="s">
        <v>73</v>
      </c>
      <c r="L293" s="50" t="s">
        <v>696</v>
      </c>
      <c r="M293" s="13" t="s">
        <v>697</v>
      </c>
      <c r="N293" s="13" t="s">
        <v>698</v>
      </c>
      <c r="O293" s="70" t="s">
        <v>699</v>
      </c>
      <c r="P293" s="14" t="s">
        <v>700</v>
      </c>
      <c r="Q293" s="55"/>
      <c r="R293" s="15" t="s">
        <v>72</v>
      </c>
      <c r="S293" s="3" t="s">
        <v>117</v>
      </c>
      <c r="T293" s="3"/>
      <c r="U293" s="3"/>
      <c r="V293" s="3">
        <v>45</v>
      </c>
      <c r="W293" s="3">
        <f>V293</f>
        <v>45</v>
      </c>
      <c r="X293" s="3">
        <v>45</v>
      </c>
      <c r="Y293" s="3">
        <f>ROUNDDOWN(W293/HLOOKUP(D293,[1]Table!$C$3:$D$4,2,0)*8,2)</f>
        <v>2.76</v>
      </c>
      <c r="Z293" s="3">
        <v>3</v>
      </c>
      <c r="AA293" s="3" t="s">
        <v>110</v>
      </c>
      <c r="AB293" s="6">
        <v>43956</v>
      </c>
      <c r="AC293" s="6">
        <v>43955</v>
      </c>
      <c r="AD293" s="6">
        <v>43957</v>
      </c>
      <c r="AE293" s="6">
        <v>43956</v>
      </c>
      <c r="AF293" s="6">
        <v>43956</v>
      </c>
      <c r="AG293" s="6" t="s">
        <v>75</v>
      </c>
      <c r="AH293" s="8">
        <v>1</v>
      </c>
      <c r="AI293" s="8">
        <v>1</v>
      </c>
      <c r="AJ293" s="8">
        <v>1</v>
      </c>
      <c r="AK293" s="6" t="s">
        <v>8</v>
      </c>
      <c r="AL293" s="3" t="s">
        <v>72</v>
      </c>
      <c r="AM293" s="3" t="s">
        <v>72</v>
      </c>
      <c r="AN293" s="3" t="s">
        <v>72</v>
      </c>
      <c r="AW293" s="143"/>
    </row>
    <row r="294" spans="2:49" ht="15">
      <c r="B294" s="25">
        <f t="shared" si="3"/>
        <v>67</v>
      </c>
      <c r="C294" s="11">
        <v>20200506</v>
      </c>
      <c r="D294" s="3" t="s">
        <v>24</v>
      </c>
      <c r="E294" s="3" t="s">
        <v>701</v>
      </c>
      <c r="F294" s="39" t="s">
        <v>702</v>
      </c>
      <c r="G294" s="5">
        <v>1449890</v>
      </c>
      <c r="H294" s="15" t="s">
        <v>72</v>
      </c>
      <c r="I294" s="56" t="s">
        <v>564</v>
      </c>
      <c r="J294" s="15" t="s">
        <v>72</v>
      </c>
      <c r="K294" s="3" t="s">
        <v>73</v>
      </c>
      <c r="L294" s="3" t="s">
        <v>703</v>
      </c>
      <c r="M294" s="3" t="s">
        <v>704</v>
      </c>
      <c r="N294" s="3" t="s">
        <v>705</v>
      </c>
      <c r="O294" s="5" t="s">
        <v>72</v>
      </c>
      <c r="P294" s="5" t="s">
        <v>706</v>
      </c>
      <c r="Q294" s="55"/>
      <c r="R294" s="15" t="s">
        <v>72</v>
      </c>
      <c r="S294" s="3" t="s">
        <v>573</v>
      </c>
      <c r="T294" s="3"/>
      <c r="U294" s="3"/>
      <c r="V294" s="3">
        <v>101</v>
      </c>
      <c r="W294" s="3">
        <f t="shared" ref="W294:X309" si="4">V294</f>
        <v>101</v>
      </c>
      <c r="X294" s="3">
        <f>W294</f>
        <v>101</v>
      </c>
      <c r="Y294" s="3">
        <f>ROUNDDOWN(W294/HLOOKUP(D294,[1]Table!$C$3:$D$4,2,0)*8,2)</f>
        <v>1.79</v>
      </c>
      <c r="Z294" s="3">
        <v>2</v>
      </c>
      <c r="AA294" s="3" t="s">
        <v>110</v>
      </c>
      <c r="AB294" s="6">
        <v>43959</v>
      </c>
      <c r="AC294" s="6">
        <v>43957</v>
      </c>
      <c r="AD294" s="6">
        <v>43959</v>
      </c>
      <c r="AE294" s="6">
        <v>43957</v>
      </c>
      <c r="AF294" s="6">
        <v>43957</v>
      </c>
      <c r="AG294" s="6" t="s">
        <v>75</v>
      </c>
      <c r="AH294" s="8">
        <v>1</v>
      </c>
      <c r="AI294" s="8">
        <v>1</v>
      </c>
      <c r="AJ294" s="8">
        <v>1</v>
      </c>
      <c r="AK294" s="6" t="s">
        <v>8</v>
      </c>
      <c r="AL294" s="3" t="s">
        <v>72</v>
      </c>
      <c r="AM294" s="3" t="s">
        <v>72</v>
      </c>
      <c r="AN294" s="3" t="s">
        <v>72</v>
      </c>
      <c r="AW294" s="143"/>
    </row>
    <row r="295" spans="2:49" ht="15">
      <c r="B295" s="25">
        <f t="shared" si="3"/>
        <v>68</v>
      </c>
      <c r="C295" s="11">
        <v>20200506</v>
      </c>
      <c r="D295" s="3" t="s">
        <v>24</v>
      </c>
      <c r="E295" s="3" t="s">
        <v>701</v>
      </c>
      <c r="F295" s="39" t="s">
        <v>707</v>
      </c>
      <c r="G295" s="5">
        <v>1449890</v>
      </c>
      <c r="H295" s="15" t="s">
        <v>72</v>
      </c>
      <c r="I295" s="3" t="s">
        <v>708</v>
      </c>
      <c r="J295" s="15" t="s">
        <v>72</v>
      </c>
      <c r="K295" s="3" t="s">
        <v>73</v>
      </c>
      <c r="L295" s="3" t="s">
        <v>703</v>
      </c>
      <c r="M295" s="3" t="s">
        <v>704</v>
      </c>
      <c r="N295" s="3" t="s">
        <v>705</v>
      </c>
      <c r="O295" s="5" t="s">
        <v>72</v>
      </c>
      <c r="P295" s="5" t="s">
        <v>706</v>
      </c>
      <c r="Q295" s="55"/>
      <c r="R295" s="15" t="s">
        <v>72</v>
      </c>
      <c r="S295" s="3" t="s">
        <v>573</v>
      </c>
      <c r="T295" s="3"/>
      <c r="U295" s="3"/>
      <c r="V295" s="3">
        <v>66</v>
      </c>
      <c r="W295" s="3">
        <f t="shared" si="4"/>
        <v>66</v>
      </c>
      <c r="X295" s="3">
        <f>W295</f>
        <v>66</v>
      </c>
      <c r="Y295" s="3">
        <f>ROUNDDOWN(W295/HLOOKUP(D295,[1]Table!$C$3:$D$4,2,0)*8,2)</f>
        <v>1.17</v>
      </c>
      <c r="Z295" s="3">
        <v>1</v>
      </c>
      <c r="AA295" s="3" t="s">
        <v>110</v>
      </c>
      <c r="AB295" s="6">
        <v>43959</v>
      </c>
      <c r="AC295" s="6">
        <v>43957</v>
      </c>
      <c r="AD295" s="6">
        <v>43959</v>
      </c>
      <c r="AE295" s="6">
        <v>43957</v>
      </c>
      <c r="AF295" s="6">
        <v>43957</v>
      </c>
      <c r="AG295" s="6" t="s">
        <v>75</v>
      </c>
      <c r="AH295" s="8">
        <v>1</v>
      </c>
      <c r="AI295" s="8">
        <v>1</v>
      </c>
      <c r="AJ295" s="8">
        <v>1</v>
      </c>
      <c r="AK295" s="6" t="s">
        <v>8</v>
      </c>
      <c r="AL295" s="3" t="s">
        <v>72</v>
      </c>
      <c r="AM295" s="3" t="s">
        <v>72</v>
      </c>
      <c r="AN295" s="3" t="s">
        <v>72</v>
      </c>
      <c r="AW295" s="143"/>
    </row>
    <row r="296" spans="2:49" ht="15">
      <c r="B296" s="25">
        <f t="shared" si="3"/>
        <v>69</v>
      </c>
      <c r="C296" s="11">
        <v>20200506</v>
      </c>
      <c r="D296" s="3" t="s">
        <v>24</v>
      </c>
      <c r="E296" s="3" t="s">
        <v>709</v>
      </c>
      <c r="F296" s="39" t="s">
        <v>710</v>
      </c>
      <c r="G296" s="5">
        <v>1446629</v>
      </c>
      <c r="H296" s="15" t="s">
        <v>72</v>
      </c>
      <c r="I296" s="3" t="s">
        <v>711</v>
      </c>
      <c r="J296" s="15" t="s">
        <v>72</v>
      </c>
      <c r="K296" s="3" t="s">
        <v>73</v>
      </c>
      <c r="L296" s="3" t="s">
        <v>8</v>
      </c>
      <c r="M296" s="3" t="s">
        <v>22</v>
      </c>
      <c r="N296" s="3" t="s">
        <v>712</v>
      </c>
      <c r="O296" s="5" t="s">
        <v>72</v>
      </c>
      <c r="P296" s="5" t="s">
        <v>713</v>
      </c>
      <c r="Q296" s="55"/>
      <c r="R296" s="15" t="s">
        <v>72</v>
      </c>
      <c r="S296" s="3" t="s">
        <v>573</v>
      </c>
      <c r="T296" s="3"/>
      <c r="U296" s="3"/>
      <c r="V296" s="3">
        <v>86</v>
      </c>
      <c r="W296" s="3">
        <f t="shared" si="4"/>
        <v>86</v>
      </c>
      <c r="X296" s="3">
        <f>W296</f>
        <v>86</v>
      </c>
      <c r="Y296" s="3">
        <f>ROUNDDOWN(W296/HLOOKUP(D296,[1]Table!$C$3:$D$4,2,0)*8,2)</f>
        <v>1.52</v>
      </c>
      <c r="Z296" s="3">
        <v>4</v>
      </c>
      <c r="AA296" s="3" t="s">
        <v>110</v>
      </c>
      <c r="AB296" s="6">
        <v>43959</v>
      </c>
      <c r="AC296" s="6">
        <v>43957</v>
      </c>
      <c r="AD296" s="6">
        <v>43959</v>
      </c>
      <c r="AE296" s="6">
        <v>43958</v>
      </c>
      <c r="AF296" s="6">
        <v>43958</v>
      </c>
      <c r="AG296" s="6" t="s">
        <v>75</v>
      </c>
      <c r="AH296" s="8">
        <v>1</v>
      </c>
      <c r="AI296" s="8">
        <v>1</v>
      </c>
      <c r="AJ296" s="8">
        <v>1</v>
      </c>
      <c r="AK296" s="6" t="s">
        <v>8</v>
      </c>
      <c r="AL296" s="3" t="s">
        <v>72</v>
      </c>
      <c r="AM296" s="3" t="s">
        <v>72</v>
      </c>
      <c r="AN296" s="3" t="s">
        <v>72</v>
      </c>
      <c r="AW296" s="143"/>
    </row>
    <row r="297" spans="2:49" ht="15">
      <c r="B297" s="25">
        <f t="shared" si="3"/>
        <v>70</v>
      </c>
      <c r="C297" s="11">
        <v>20200506</v>
      </c>
      <c r="D297" s="3" t="s">
        <v>24</v>
      </c>
      <c r="E297" s="3" t="s">
        <v>714</v>
      </c>
      <c r="F297" s="71" t="s">
        <v>715</v>
      </c>
      <c r="G297" s="5">
        <v>1449424</v>
      </c>
      <c r="H297" s="15" t="s">
        <v>72</v>
      </c>
      <c r="I297" s="3" t="s">
        <v>558</v>
      </c>
      <c r="J297" s="15" t="s">
        <v>72</v>
      </c>
      <c r="K297" s="3" t="s">
        <v>106</v>
      </c>
      <c r="L297" s="3" t="s">
        <v>716</v>
      </c>
      <c r="M297" s="3" t="s">
        <v>717</v>
      </c>
      <c r="N297" s="3" t="s">
        <v>718</v>
      </c>
      <c r="O297" s="5" t="s">
        <v>72</v>
      </c>
      <c r="P297" s="5" t="s">
        <v>719</v>
      </c>
      <c r="Q297" s="55"/>
      <c r="R297" s="15" t="s">
        <v>72</v>
      </c>
      <c r="S297" s="3" t="s">
        <v>573</v>
      </c>
      <c r="T297" s="3"/>
      <c r="U297" s="3"/>
      <c r="V297" s="3">
        <v>145</v>
      </c>
      <c r="W297" s="3">
        <f t="shared" si="4"/>
        <v>145</v>
      </c>
      <c r="X297" s="3">
        <f>W297</f>
        <v>145</v>
      </c>
      <c r="Y297" s="3">
        <f>ROUNDDOWN(W297/HLOOKUP(D297,[1]Table!$C$3:$D$4,2,0)*8,2)</f>
        <v>2.57</v>
      </c>
      <c r="Z297" s="3">
        <v>4</v>
      </c>
      <c r="AA297" s="13" t="s">
        <v>110</v>
      </c>
      <c r="AB297" s="6">
        <v>43959</v>
      </c>
      <c r="AC297" s="6">
        <v>43957</v>
      </c>
      <c r="AD297" s="6">
        <v>43959</v>
      </c>
      <c r="AE297" s="6">
        <v>43958</v>
      </c>
      <c r="AF297" s="6">
        <v>43958</v>
      </c>
      <c r="AG297" s="6" t="s">
        <v>75</v>
      </c>
      <c r="AH297" s="8">
        <v>1</v>
      </c>
      <c r="AI297" s="8">
        <v>0.98</v>
      </c>
      <c r="AJ297" s="8">
        <v>1</v>
      </c>
      <c r="AK297" s="6" t="s">
        <v>76</v>
      </c>
      <c r="AL297" s="3" t="s">
        <v>720</v>
      </c>
      <c r="AM297" s="3"/>
      <c r="AN297" s="3" t="s">
        <v>571</v>
      </c>
      <c r="AW297" s="143"/>
    </row>
    <row r="298" spans="2:49" ht="15">
      <c r="B298" s="25">
        <f t="shared" si="3"/>
        <v>71</v>
      </c>
      <c r="C298" s="11">
        <v>20200506</v>
      </c>
      <c r="D298" s="3" t="s">
        <v>24</v>
      </c>
      <c r="E298" s="3" t="s">
        <v>714</v>
      </c>
      <c r="F298" s="71" t="s">
        <v>721</v>
      </c>
      <c r="G298" s="5">
        <v>1449424</v>
      </c>
      <c r="H298" s="15" t="s">
        <v>72</v>
      </c>
      <c r="I298" s="11" t="s">
        <v>35</v>
      </c>
      <c r="J298" s="15" t="s">
        <v>72</v>
      </c>
      <c r="K298" s="5" t="s">
        <v>106</v>
      </c>
      <c r="L298" s="3" t="s">
        <v>716</v>
      </c>
      <c r="M298" s="3" t="s">
        <v>717</v>
      </c>
      <c r="N298" s="3" t="s">
        <v>718</v>
      </c>
      <c r="O298" s="5" t="s">
        <v>72</v>
      </c>
      <c r="P298" s="5" t="s">
        <v>719</v>
      </c>
      <c r="Q298" s="55"/>
      <c r="R298" s="15"/>
      <c r="S298" s="3" t="s">
        <v>573</v>
      </c>
      <c r="T298" s="3"/>
      <c r="U298" s="3"/>
      <c r="V298" s="3">
        <v>503</v>
      </c>
      <c r="W298" s="3">
        <f>V298</f>
        <v>503</v>
      </c>
      <c r="X298" s="3">
        <f>W298</f>
        <v>503</v>
      </c>
      <c r="Y298" s="3">
        <f>ROUNDDOWN(W298/HLOOKUP(D298,[1]Table!$C$3:$D$4,2,0)*8,2)</f>
        <v>8.94</v>
      </c>
      <c r="Z298" s="3">
        <v>4</v>
      </c>
      <c r="AA298" s="3" t="s">
        <v>550</v>
      </c>
      <c r="AB298" s="6">
        <v>43962</v>
      </c>
      <c r="AC298" s="6">
        <v>43962</v>
      </c>
      <c r="AD298" s="6">
        <v>43962</v>
      </c>
      <c r="AE298" s="6">
        <v>43962</v>
      </c>
      <c r="AF298" s="6">
        <v>43962</v>
      </c>
      <c r="AG298" s="6" t="s">
        <v>75</v>
      </c>
      <c r="AH298" s="8">
        <v>1</v>
      </c>
      <c r="AI298" s="8">
        <v>1</v>
      </c>
      <c r="AJ298" s="8">
        <v>1</v>
      </c>
      <c r="AK298" s="6" t="s">
        <v>8</v>
      </c>
      <c r="AL298" s="3"/>
      <c r="AM298" s="3"/>
      <c r="AN298" s="11" t="s">
        <v>722</v>
      </c>
      <c r="AW298" s="143"/>
    </row>
    <row r="299" spans="2:49" ht="15">
      <c r="B299" s="25">
        <f t="shared" si="3"/>
        <v>72</v>
      </c>
      <c r="C299" s="11">
        <v>20200506</v>
      </c>
      <c r="D299" s="3" t="s">
        <v>24</v>
      </c>
      <c r="E299" s="3" t="s">
        <v>723</v>
      </c>
      <c r="F299" s="39" t="s">
        <v>724</v>
      </c>
      <c r="G299" s="5">
        <v>1449711</v>
      </c>
      <c r="H299" s="15" t="s">
        <v>72</v>
      </c>
      <c r="I299" s="3" t="s">
        <v>35</v>
      </c>
      <c r="J299" s="15" t="s">
        <v>72</v>
      </c>
      <c r="K299" s="3" t="s">
        <v>73</v>
      </c>
      <c r="L299" s="3" t="s">
        <v>725</v>
      </c>
      <c r="M299" s="3" t="s">
        <v>726</v>
      </c>
      <c r="N299" s="3" t="s">
        <v>727</v>
      </c>
      <c r="O299" s="5" t="s">
        <v>72</v>
      </c>
      <c r="P299" s="5" t="s">
        <v>728</v>
      </c>
      <c r="Q299" s="55"/>
      <c r="R299" s="15" t="s">
        <v>72</v>
      </c>
      <c r="S299" s="3" t="s">
        <v>74</v>
      </c>
      <c r="T299" s="3"/>
      <c r="U299" s="3"/>
      <c r="V299" s="3">
        <v>444</v>
      </c>
      <c r="W299" s="3">
        <f t="shared" si="4"/>
        <v>444</v>
      </c>
      <c r="X299" s="3">
        <f t="shared" si="4"/>
        <v>444</v>
      </c>
      <c r="Y299" s="3">
        <f>ROUNDDOWN(W299/HLOOKUP(D299,[1]Table!$C$3:$D$4,2,0)*8,2)</f>
        <v>7.89</v>
      </c>
      <c r="Z299" s="3">
        <v>2</v>
      </c>
      <c r="AA299" s="3" t="s">
        <v>550</v>
      </c>
      <c r="AB299" s="6">
        <v>43959</v>
      </c>
      <c r="AC299" s="6">
        <v>43957</v>
      </c>
      <c r="AD299" s="6">
        <v>43959</v>
      </c>
      <c r="AE299" s="6">
        <v>43958</v>
      </c>
      <c r="AF299" s="6">
        <v>43958</v>
      </c>
      <c r="AG299" s="6" t="s">
        <v>75</v>
      </c>
      <c r="AH299" s="8">
        <v>1</v>
      </c>
      <c r="AI299" s="8">
        <v>1</v>
      </c>
      <c r="AJ299" s="8">
        <v>1</v>
      </c>
      <c r="AK299" s="6" t="s">
        <v>8</v>
      </c>
      <c r="AL299" s="3" t="s">
        <v>72</v>
      </c>
      <c r="AM299" s="3" t="s">
        <v>72</v>
      </c>
      <c r="AN299" s="3" t="s">
        <v>72</v>
      </c>
      <c r="AW299" s="143"/>
    </row>
    <row r="300" spans="2:49" ht="15">
      <c r="B300" s="25">
        <f t="shared" si="3"/>
        <v>73</v>
      </c>
      <c r="C300" s="11">
        <v>20200506</v>
      </c>
      <c r="D300" s="3" t="s">
        <v>24</v>
      </c>
      <c r="E300" s="3" t="s">
        <v>723</v>
      </c>
      <c r="F300" s="39" t="s">
        <v>729</v>
      </c>
      <c r="G300" s="5">
        <v>1449711</v>
      </c>
      <c r="H300" s="15" t="s">
        <v>72</v>
      </c>
      <c r="I300" s="3" t="s">
        <v>38</v>
      </c>
      <c r="J300" s="15" t="s">
        <v>72</v>
      </c>
      <c r="K300" s="3" t="s">
        <v>73</v>
      </c>
      <c r="L300" s="3" t="s">
        <v>725</v>
      </c>
      <c r="M300" s="3" t="s">
        <v>726</v>
      </c>
      <c r="N300" s="3" t="s">
        <v>727</v>
      </c>
      <c r="O300" s="5" t="s">
        <v>72</v>
      </c>
      <c r="P300" s="5" t="s">
        <v>728</v>
      </c>
      <c r="Q300" s="55"/>
      <c r="R300" s="15" t="s">
        <v>72</v>
      </c>
      <c r="S300" s="3" t="s">
        <v>78</v>
      </c>
      <c r="T300" s="3"/>
      <c r="U300" s="3"/>
      <c r="V300" s="3">
        <v>117</v>
      </c>
      <c r="W300" s="3">
        <f t="shared" si="4"/>
        <v>117</v>
      </c>
      <c r="X300" s="3">
        <f t="shared" si="4"/>
        <v>117</v>
      </c>
      <c r="Y300" s="3">
        <f>ROUNDDOWN(W300/HLOOKUP(D300,[1]Table!$C$3:$D$4,2,0)*8,2)</f>
        <v>2.08</v>
      </c>
      <c r="Z300" s="3">
        <v>0.5</v>
      </c>
      <c r="AA300" s="3" t="s">
        <v>550</v>
      </c>
      <c r="AB300" s="6">
        <v>43959</v>
      </c>
      <c r="AC300" s="6">
        <v>43957</v>
      </c>
      <c r="AD300" s="6">
        <v>43959</v>
      </c>
      <c r="AE300" s="6">
        <v>43957</v>
      </c>
      <c r="AF300" s="6">
        <v>43957</v>
      </c>
      <c r="AG300" s="6" t="s">
        <v>75</v>
      </c>
      <c r="AH300" s="8">
        <v>1</v>
      </c>
      <c r="AI300" s="8">
        <v>1</v>
      </c>
      <c r="AJ300" s="8">
        <v>1</v>
      </c>
      <c r="AK300" s="6" t="s">
        <v>8</v>
      </c>
      <c r="AL300" s="3" t="s">
        <v>72</v>
      </c>
      <c r="AM300" s="3" t="s">
        <v>72</v>
      </c>
      <c r="AN300" s="3" t="s">
        <v>72</v>
      </c>
      <c r="AW300" s="143"/>
    </row>
    <row r="301" spans="2:49" ht="15">
      <c r="B301" s="25">
        <f t="shared" si="3"/>
        <v>74</v>
      </c>
      <c r="C301" s="11">
        <v>20200506</v>
      </c>
      <c r="D301" s="3" t="s">
        <v>24</v>
      </c>
      <c r="E301" s="3" t="s">
        <v>723</v>
      </c>
      <c r="F301" s="39" t="s">
        <v>730</v>
      </c>
      <c r="G301" s="5">
        <v>1449711</v>
      </c>
      <c r="H301" s="15" t="s">
        <v>72</v>
      </c>
      <c r="I301" s="3" t="s">
        <v>123</v>
      </c>
      <c r="J301" s="15" t="s">
        <v>72</v>
      </c>
      <c r="K301" s="3" t="s">
        <v>73</v>
      </c>
      <c r="L301" s="3" t="s">
        <v>725</v>
      </c>
      <c r="M301" s="3" t="s">
        <v>726</v>
      </c>
      <c r="N301" s="3" t="s">
        <v>727</v>
      </c>
      <c r="O301" s="5" t="s">
        <v>72</v>
      </c>
      <c r="P301" s="5" t="s">
        <v>728</v>
      </c>
      <c r="Q301" s="55"/>
      <c r="R301" s="15" t="s">
        <v>72</v>
      </c>
      <c r="S301" s="3" t="s">
        <v>78</v>
      </c>
      <c r="T301" s="3"/>
      <c r="U301" s="3"/>
      <c r="V301" s="3">
        <v>76</v>
      </c>
      <c r="W301" s="3">
        <f t="shared" si="4"/>
        <v>76</v>
      </c>
      <c r="X301" s="3">
        <f t="shared" si="4"/>
        <v>76</v>
      </c>
      <c r="Y301" s="3">
        <f>ROUNDDOWN(W301/HLOOKUP(D301,[1]Table!$C$3:$D$4,2,0)*8,2)</f>
        <v>1.35</v>
      </c>
      <c r="Z301" s="3">
        <v>0.5</v>
      </c>
      <c r="AA301" s="3" t="s">
        <v>550</v>
      </c>
      <c r="AB301" s="6">
        <v>43959</v>
      </c>
      <c r="AC301" s="6">
        <v>43957</v>
      </c>
      <c r="AD301" s="6">
        <v>43959</v>
      </c>
      <c r="AE301" s="6">
        <v>43957</v>
      </c>
      <c r="AF301" s="6">
        <v>43957</v>
      </c>
      <c r="AG301" s="6" t="s">
        <v>75</v>
      </c>
      <c r="AH301" s="8">
        <v>1</v>
      </c>
      <c r="AI301" s="8">
        <v>1</v>
      </c>
      <c r="AJ301" s="8">
        <v>1</v>
      </c>
      <c r="AK301" s="6" t="s">
        <v>8</v>
      </c>
      <c r="AL301" s="3" t="s">
        <v>72</v>
      </c>
      <c r="AM301" s="3" t="s">
        <v>72</v>
      </c>
      <c r="AN301" s="3" t="s">
        <v>72</v>
      </c>
      <c r="AW301" s="143"/>
    </row>
    <row r="302" spans="2:49" ht="15">
      <c r="B302" s="25">
        <f t="shared" si="3"/>
        <v>75</v>
      </c>
      <c r="C302" s="11">
        <v>20200506</v>
      </c>
      <c r="D302" s="3" t="s">
        <v>24</v>
      </c>
      <c r="E302" s="3" t="s">
        <v>723</v>
      </c>
      <c r="F302" s="39" t="s">
        <v>731</v>
      </c>
      <c r="G302" s="5">
        <v>1449711</v>
      </c>
      <c r="H302" s="15" t="s">
        <v>72</v>
      </c>
      <c r="I302" s="3" t="s">
        <v>732</v>
      </c>
      <c r="J302" s="15" t="s">
        <v>72</v>
      </c>
      <c r="K302" s="3" t="s">
        <v>73</v>
      </c>
      <c r="L302" s="3" t="s">
        <v>725</v>
      </c>
      <c r="M302" s="3" t="s">
        <v>726</v>
      </c>
      <c r="N302" s="3" t="s">
        <v>727</v>
      </c>
      <c r="O302" s="5" t="s">
        <v>72</v>
      </c>
      <c r="P302" s="5" t="s">
        <v>728</v>
      </c>
      <c r="Q302" s="55"/>
      <c r="R302" s="15" t="s">
        <v>72</v>
      </c>
      <c r="S302" s="3" t="s">
        <v>78</v>
      </c>
      <c r="T302" s="3"/>
      <c r="U302" s="3"/>
      <c r="V302" s="3">
        <v>114</v>
      </c>
      <c r="W302" s="3">
        <f t="shared" si="4"/>
        <v>114</v>
      </c>
      <c r="X302" s="3">
        <f t="shared" si="4"/>
        <v>114</v>
      </c>
      <c r="Y302" s="3">
        <f>ROUNDDOWN(W302/HLOOKUP(D302,[1]Table!$C$3:$D$4,2,0)*8,2)</f>
        <v>2.02</v>
      </c>
      <c r="Z302" s="3">
        <v>0.5</v>
      </c>
      <c r="AA302" s="3" t="s">
        <v>550</v>
      </c>
      <c r="AB302" s="6">
        <v>43959</v>
      </c>
      <c r="AC302" s="6">
        <v>43957</v>
      </c>
      <c r="AD302" s="6">
        <v>43959</v>
      </c>
      <c r="AE302" s="6">
        <v>43957</v>
      </c>
      <c r="AF302" s="6">
        <v>43957</v>
      </c>
      <c r="AG302" s="6" t="s">
        <v>75</v>
      </c>
      <c r="AH302" s="8">
        <v>1</v>
      </c>
      <c r="AI302" s="8">
        <v>1</v>
      </c>
      <c r="AJ302" s="8">
        <v>1</v>
      </c>
      <c r="AK302" s="6" t="s">
        <v>8</v>
      </c>
      <c r="AL302" s="3" t="s">
        <v>72</v>
      </c>
      <c r="AM302" s="3" t="s">
        <v>72</v>
      </c>
      <c r="AN302" s="3" t="s">
        <v>72</v>
      </c>
      <c r="AW302" s="143"/>
    </row>
    <row r="303" spans="2:49" ht="15">
      <c r="B303" s="25">
        <f t="shared" si="3"/>
        <v>76</v>
      </c>
      <c r="C303" s="11">
        <v>20200506</v>
      </c>
      <c r="D303" s="3" t="s">
        <v>24</v>
      </c>
      <c r="E303" s="3" t="s">
        <v>723</v>
      </c>
      <c r="F303" s="39" t="s">
        <v>733</v>
      </c>
      <c r="G303" s="5">
        <v>1449711</v>
      </c>
      <c r="H303" s="15" t="s">
        <v>72</v>
      </c>
      <c r="I303" s="3" t="s">
        <v>734</v>
      </c>
      <c r="J303" s="15" t="s">
        <v>72</v>
      </c>
      <c r="K303" s="3" t="s">
        <v>73</v>
      </c>
      <c r="L303" s="3" t="s">
        <v>725</v>
      </c>
      <c r="M303" s="3" t="s">
        <v>726</v>
      </c>
      <c r="N303" s="3" t="s">
        <v>727</v>
      </c>
      <c r="O303" s="5" t="s">
        <v>72</v>
      </c>
      <c r="P303" s="5" t="s">
        <v>728</v>
      </c>
      <c r="Q303" s="55"/>
      <c r="R303" s="15" t="s">
        <v>72</v>
      </c>
      <c r="S303" s="3" t="s">
        <v>74</v>
      </c>
      <c r="T303" s="3"/>
      <c r="U303" s="3"/>
      <c r="V303" s="3">
        <v>262</v>
      </c>
      <c r="W303" s="3">
        <f t="shared" si="4"/>
        <v>262</v>
      </c>
      <c r="X303" s="3">
        <f t="shared" si="4"/>
        <v>262</v>
      </c>
      <c r="Y303" s="3">
        <f>ROUNDDOWN(W303/HLOOKUP(D303,[1]Table!$C$3:$D$4,2,0)*8,2)</f>
        <v>4.6500000000000004</v>
      </c>
      <c r="Z303" s="3">
        <v>1</v>
      </c>
      <c r="AA303" s="3" t="s">
        <v>550</v>
      </c>
      <c r="AB303" s="6">
        <v>43959</v>
      </c>
      <c r="AC303" s="6">
        <v>43957</v>
      </c>
      <c r="AD303" s="6">
        <v>43959</v>
      </c>
      <c r="AE303" s="6">
        <v>43958</v>
      </c>
      <c r="AF303" s="6">
        <v>43958</v>
      </c>
      <c r="AG303" s="6" t="s">
        <v>75</v>
      </c>
      <c r="AH303" s="8">
        <v>1</v>
      </c>
      <c r="AI303" s="8">
        <v>1</v>
      </c>
      <c r="AJ303" s="8">
        <v>1</v>
      </c>
      <c r="AK303" s="6" t="s">
        <v>8</v>
      </c>
      <c r="AL303" s="3" t="s">
        <v>72</v>
      </c>
      <c r="AM303" s="3" t="s">
        <v>72</v>
      </c>
      <c r="AN303" s="3" t="s">
        <v>72</v>
      </c>
      <c r="AW303" s="143"/>
    </row>
    <row r="304" spans="2:49" ht="15">
      <c r="B304" s="25">
        <f t="shared" si="3"/>
        <v>77</v>
      </c>
      <c r="C304" s="11">
        <v>20200506</v>
      </c>
      <c r="D304" s="3" t="s">
        <v>24</v>
      </c>
      <c r="E304" s="3" t="s">
        <v>723</v>
      </c>
      <c r="F304" s="39" t="s">
        <v>735</v>
      </c>
      <c r="G304" s="5">
        <v>1449711</v>
      </c>
      <c r="H304" s="15" t="s">
        <v>72</v>
      </c>
      <c r="I304" s="3" t="s">
        <v>39</v>
      </c>
      <c r="J304" s="15" t="s">
        <v>72</v>
      </c>
      <c r="K304" s="3" t="s">
        <v>73</v>
      </c>
      <c r="L304" s="3" t="s">
        <v>725</v>
      </c>
      <c r="M304" s="3" t="s">
        <v>726</v>
      </c>
      <c r="N304" s="3" t="s">
        <v>727</v>
      </c>
      <c r="O304" s="5" t="s">
        <v>72</v>
      </c>
      <c r="P304" s="5" t="s">
        <v>728</v>
      </c>
      <c r="Q304" s="55"/>
      <c r="R304" s="15" t="s">
        <v>72</v>
      </c>
      <c r="S304" s="3" t="s">
        <v>77</v>
      </c>
      <c r="T304" s="3"/>
      <c r="U304" s="3"/>
      <c r="V304" s="3">
        <v>41</v>
      </c>
      <c r="W304" s="3">
        <f t="shared" si="4"/>
        <v>41</v>
      </c>
      <c r="X304" s="3">
        <f t="shared" si="4"/>
        <v>41</v>
      </c>
      <c r="Y304" s="3">
        <f>ROUNDDOWN(W304/HLOOKUP(D304,[1]Table!$C$3:$D$4,2,0)*8,2)</f>
        <v>0.72</v>
      </c>
      <c r="Z304" s="3">
        <v>0.5</v>
      </c>
      <c r="AA304" s="3" t="s">
        <v>550</v>
      </c>
      <c r="AB304" s="6">
        <v>43959</v>
      </c>
      <c r="AC304" s="6">
        <v>43957</v>
      </c>
      <c r="AD304" s="6">
        <v>43959</v>
      </c>
      <c r="AE304" s="6">
        <v>43957</v>
      </c>
      <c r="AF304" s="6">
        <v>43957</v>
      </c>
      <c r="AG304" s="6" t="s">
        <v>75</v>
      </c>
      <c r="AH304" s="8">
        <v>1</v>
      </c>
      <c r="AI304" s="8">
        <v>1</v>
      </c>
      <c r="AJ304" s="8">
        <v>1</v>
      </c>
      <c r="AK304" s="6" t="s">
        <v>8</v>
      </c>
      <c r="AL304" s="3" t="s">
        <v>72</v>
      </c>
      <c r="AM304" s="3" t="s">
        <v>72</v>
      </c>
      <c r="AN304" s="3" t="s">
        <v>72</v>
      </c>
      <c r="AW304" s="143"/>
    </row>
    <row r="305" spans="2:49" ht="15">
      <c r="B305" s="25">
        <f t="shared" si="3"/>
        <v>78</v>
      </c>
      <c r="C305" s="11">
        <v>20200506</v>
      </c>
      <c r="D305" s="3" t="s">
        <v>24</v>
      </c>
      <c r="E305" s="3" t="s">
        <v>723</v>
      </c>
      <c r="F305" s="39" t="s">
        <v>736</v>
      </c>
      <c r="G305" s="5">
        <v>1449711</v>
      </c>
      <c r="H305" s="15" t="s">
        <v>72</v>
      </c>
      <c r="I305" s="3" t="s">
        <v>737</v>
      </c>
      <c r="J305" s="15" t="s">
        <v>72</v>
      </c>
      <c r="K305" s="3" t="s">
        <v>73</v>
      </c>
      <c r="L305" s="3" t="s">
        <v>725</v>
      </c>
      <c r="M305" s="3" t="s">
        <v>726</v>
      </c>
      <c r="N305" s="3" t="s">
        <v>727</v>
      </c>
      <c r="O305" s="5" t="s">
        <v>72</v>
      </c>
      <c r="P305" s="5" t="s">
        <v>728</v>
      </c>
      <c r="Q305" s="55"/>
      <c r="R305" s="15" t="s">
        <v>72</v>
      </c>
      <c r="S305" s="3" t="s">
        <v>77</v>
      </c>
      <c r="T305" s="3"/>
      <c r="U305" s="3"/>
      <c r="V305" s="3">
        <v>122</v>
      </c>
      <c r="W305" s="3">
        <f t="shared" si="4"/>
        <v>122</v>
      </c>
      <c r="X305" s="3">
        <f t="shared" si="4"/>
        <v>122</v>
      </c>
      <c r="Y305" s="3">
        <f>ROUNDDOWN(W305/HLOOKUP(D305,[1]Table!$C$3:$D$4,2,0)*8,2)</f>
        <v>2.16</v>
      </c>
      <c r="Z305" s="3">
        <v>0.5</v>
      </c>
      <c r="AA305" s="3" t="s">
        <v>550</v>
      </c>
      <c r="AB305" s="6">
        <v>43959</v>
      </c>
      <c r="AC305" s="6">
        <v>43957</v>
      </c>
      <c r="AD305" s="6">
        <v>43959</v>
      </c>
      <c r="AE305" s="6">
        <v>43957</v>
      </c>
      <c r="AF305" s="6">
        <v>43957</v>
      </c>
      <c r="AG305" s="6" t="s">
        <v>75</v>
      </c>
      <c r="AH305" s="8">
        <v>1</v>
      </c>
      <c r="AI305" s="8">
        <v>1</v>
      </c>
      <c r="AJ305" s="8">
        <v>1</v>
      </c>
      <c r="AK305" s="6" t="s">
        <v>8</v>
      </c>
      <c r="AL305" s="3" t="s">
        <v>72</v>
      </c>
      <c r="AM305" s="3" t="s">
        <v>72</v>
      </c>
      <c r="AN305" s="3" t="s">
        <v>72</v>
      </c>
      <c r="AW305" s="143"/>
    </row>
    <row r="306" spans="2:49" ht="15">
      <c r="B306" s="25">
        <f t="shared" si="3"/>
        <v>79</v>
      </c>
      <c r="C306" s="11">
        <v>20200506</v>
      </c>
      <c r="D306" s="3" t="s">
        <v>24</v>
      </c>
      <c r="E306" s="3" t="s">
        <v>723</v>
      </c>
      <c r="F306" s="39" t="s">
        <v>738</v>
      </c>
      <c r="G306" s="5">
        <v>1449711</v>
      </c>
      <c r="H306" s="15" t="s">
        <v>72</v>
      </c>
      <c r="I306" s="3" t="s">
        <v>739</v>
      </c>
      <c r="J306" s="15" t="s">
        <v>72</v>
      </c>
      <c r="K306" s="3" t="s">
        <v>73</v>
      </c>
      <c r="L306" s="3" t="s">
        <v>725</v>
      </c>
      <c r="M306" s="3" t="s">
        <v>726</v>
      </c>
      <c r="N306" s="3" t="s">
        <v>727</v>
      </c>
      <c r="O306" s="5" t="s">
        <v>72</v>
      </c>
      <c r="P306" s="5" t="s">
        <v>728</v>
      </c>
      <c r="Q306" s="55"/>
      <c r="R306" s="15" t="s">
        <v>72</v>
      </c>
      <c r="S306" s="3" t="s">
        <v>77</v>
      </c>
      <c r="T306" s="3"/>
      <c r="U306" s="3"/>
      <c r="V306" s="3">
        <v>205</v>
      </c>
      <c r="W306" s="3">
        <f t="shared" si="4"/>
        <v>205</v>
      </c>
      <c r="X306" s="3">
        <f t="shared" si="4"/>
        <v>205</v>
      </c>
      <c r="Y306" s="3">
        <f>ROUNDDOWN(W306/HLOOKUP(D306,[1]Table!$C$3:$D$4,2,0)*8,2)</f>
        <v>3.64</v>
      </c>
      <c r="Z306" s="3">
        <v>2</v>
      </c>
      <c r="AA306" s="3" t="s">
        <v>550</v>
      </c>
      <c r="AB306" s="6">
        <v>43959</v>
      </c>
      <c r="AC306" s="6">
        <v>43957</v>
      </c>
      <c r="AD306" s="6">
        <v>43959</v>
      </c>
      <c r="AE306" s="6">
        <v>43958</v>
      </c>
      <c r="AF306" s="6">
        <v>43958</v>
      </c>
      <c r="AG306" s="6" t="s">
        <v>75</v>
      </c>
      <c r="AH306" s="8">
        <v>1</v>
      </c>
      <c r="AI306" s="8">
        <v>1</v>
      </c>
      <c r="AJ306" s="8">
        <v>1</v>
      </c>
      <c r="AK306" s="6" t="s">
        <v>8</v>
      </c>
      <c r="AL306" s="3" t="s">
        <v>72</v>
      </c>
      <c r="AM306" s="3" t="s">
        <v>72</v>
      </c>
      <c r="AN306" s="3" t="s">
        <v>72</v>
      </c>
      <c r="AW306" s="143"/>
    </row>
    <row r="307" spans="2:49" ht="15">
      <c r="B307" s="25">
        <f t="shared" si="3"/>
        <v>80</v>
      </c>
      <c r="C307" s="11">
        <v>20200506</v>
      </c>
      <c r="D307" s="3" t="s">
        <v>24</v>
      </c>
      <c r="E307" s="3" t="s">
        <v>723</v>
      </c>
      <c r="F307" s="39" t="s">
        <v>740</v>
      </c>
      <c r="G307" s="5">
        <v>1449711</v>
      </c>
      <c r="H307" s="15" t="s">
        <v>72</v>
      </c>
      <c r="I307" s="3" t="s">
        <v>741</v>
      </c>
      <c r="J307" s="15" t="s">
        <v>72</v>
      </c>
      <c r="K307" s="3" t="s">
        <v>73</v>
      </c>
      <c r="L307" s="3" t="s">
        <v>725</v>
      </c>
      <c r="M307" s="3" t="s">
        <v>726</v>
      </c>
      <c r="N307" s="3" t="s">
        <v>727</v>
      </c>
      <c r="O307" s="5" t="s">
        <v>72</v>
      </c>
      <c r="P307" s="5" t="s">
        <v>728</v>
      </c>
      <c r="Q307" s="55"/>
      <c r="R307" s="15" t="s">
        <v>72</v>
      </c>
      <c r="S307" s="3" t="s">
        <v>77</v>
      </c>
      <c r="T307" s="3"/>
      <c r="U307" s="3"/>
      <c r="V307" s="3">
        <v>124</v>
      </c>
      <c r="W307" s="3">
        <f t="shared" si="4"/>
        <v>124</v>
      </c>
      <c r="X307" s="3">
        <f t="shared" si="4"/>
        <v>124</v>
      </c>
      <c r="Y307" s="3">
        <f>ROUNDDOWN(W307/HLOOKUP(D307,[1]Table!$C$3:$D$4,2,0)*8,2)</f>
        <v>2.2000000000000002</v>
      </c>
      <c r="Z307" s="3">
        <v>1</v>
      </c>
      <c r="AA307" s="3" t="s">
        <v>550</v>
      </c>
      <c r="AB307" s="6">
        <v>43959</v>
      </c>
      <c r="AC307" s="6">
        <v>43957</v>
      </c>
      <c r="AD307" s="6">
        <v>43959</v>
      </c>
      <c r="AE307" s="6">
        <v>43958</v>
      </c>
      <c r="AF307" s="6">
        <v>43958</v>
      </c>
      <c r="AG307" s="6" t="s">
        <v>75</v>
      </c>
      <c r="AH307" s="8">
        <v>1</v>
      </c>
      <c r="AI307" s="8">
        <v>1</v>
      </c>
      <c r="AJ307" s="8">
        <v>1</v>
      </c>
      <c r="AK307" s="6" t="s">
        <v>8</v>
      </c>
      <c r="AL307" s="3" t="s">
        <v>72</v>
      </c>
      <c r="AM307" s="3" t="s">
        <v>72</v>
      </c>
      <c r="AN307" s="3" t="s">
        <v>72</v>
      </c>
      <c r="AW307" s="143"/>
    </row>
    <row r="308" spans="2:49" ht="15">
      <c r="B308" s="25">
        <f t="shared" si="3"/>
        <v>81</v>
      </c>
      <c r="C308" s="11">
        <v>20200506</v>
      </c>
      <c r="D308" s="3" t="s">
        <v>24</v>
      </c>
      <c r="E308" s="3" t="s">
        <v>723</v>
      </c>
      <c r="F308" s="39" t="s">
        <v>742</v>
      </c>
      <c r="G308" s="5">
        <v>1449711</v>
      </c>
      <c r="H308" s="15" t="s">
        <v>72</v>
      </c>
      <c r="I308" s="3" t="s">
        <v>743</v>
      </c>
      <c r="J308" s="15" t="s">
        <v>72</v>
      </c>
      <c r="K308" s="3" t="s">
        <v>73</v>
      </c>
      <c r="L308" s="3" t="s">
        <v>725</v>
      </c>
      <c r="M308" s="3" t="s">
        <v>726</v>
      </c>
      <c r="N308" s="3" t="s">
        <v>727</v>
      </c>
      <c r="O308" s="5" t="s">
        <v>72</v>
      </c>
      <c r="P308" s="5" t="s">
        <v>728</v>
      </c>
      <c r="Q308" s="55"/>
      <c r="R308" s="15" t="s">
        <v>72</v>
      </c>
      <c r="S308" s="3" t="s">
        <v>74</v>
      </c>
      <c r="T308" s="3"/>
      <c r="U308" s="3"/>
      <c r="V308" s="3">
        <v>143</v>
      </c>
      <c r="W308" s="3">
        <f t="shared" si="4"/>
        <v>143</v>
      </c>
      <c r="X308" s="3">
        <f t="shared" si="4"/>
        <v>143</v>
      </c>
      <c r="Y308" s="3">
        <f>ROUNDDOWN(W308/HLOOKUP(D308,[1]Table!$C$3:$D$4,2,0)*8,2)</f>
        <v>2.54</v>
      </c>
      <c r="Z308" s="3">
        <v>1</v>
      </c>
      <c r="AA308" s="3" t="s">
        <v>550</v>
      </c>
      <c r="AB308" s="6">
        <v>43959</v>
      </c>
      <c r="AC308" s="6">
        <v>43957</v>
      </c>
      <c r="AD308" s="6">
        <v>43959</v>
      </c>
      <c r="AE308" s="6">
        <v>43958</v>
      </c>
      <c r="AF308" s="6">
        <v>43958</v>
      </c>
      <c r="AG308" s="6" t="s">
        <v>75</v>
      </c>
      <c r="AH308" s="8">
        <v>1</v>
      </c>
      <c r="AI308" s="8">
        <v>1</v>
      </c>
      <c r="AJ308" s="8">
        <v>1</v>
      </c>
      <c r="AK308" s="6" t="s">
        <v>8</v>
      </c>
      <c r="AL308" s="3" t="s">
        <v>72</v>
      </c>
      <c r="AM308" s="3" t="s">
        <v>72</v>
      </c>
      <c r="AN308" s="3" t="s">
        <v>72</v>
      </c>
      <c r="AW308" s="143"/>
    </row>
    <row r="309" spans="2:49" ht="15">
      <c r="B309" s="25">
        <f t="shared" si="3"/>
        <v>82</v>
      </c>
      <c r="C309" s="11">
        <v>20200506</v>
      </c>
      <c r="D309" s="3" t="s">
        <v>24</v>
      </c>
      <c r="E309" s="3" t="s">
        <v>723</v>
      </c>
      <c r="F309" s="39" t="s">
        <v>744</v>
      </c>
      <c r="G309" s="5">
        <v>1449711</v>
      </c>
      <c r="H309" s="15" t="s">
        <v>72</v>
      </c>
      <c r="I309" s="3" t="s">
        <v>130</v>
      </c>
      <c r="J309" s="15" t="s">
        <v>72</v>
      </c>
      <c r="K309" s="3" t="s">
        <v>73</v>
      </c>
      <c r="L309" s="3" t="s">
        <v>725</v>
      </c>
      <c r="M309" s="3" t="s">
        <v>726</v>
      </c>
      <c r="N309" s="3" t="s">
        <v>727</v>
      </c>
      <c r="O309" s="5" t="s">
        <v>72</v>
      </c>
      <c r="P309" s="5" t="s">
        <v>728</v>
      </c>
      <c r="Q309" s="55"/>
      <c r="R309" s="15" t="s">
        <v>72</v>
      </c>
      <c r="S309" s="3" t="s">
        <v>74</v>
      </c>
      <c r="T309" s="3"/>
      <c r="U309" s="3"/>
      <c r="V309" s="3">
        <v>263</v>
      </c>
      <c r="W309" s="3">
        <f t="shared" si="4"/>
        <v>263</v>
      </c>
      <c r="X309" s="3">
        <f t="shared" si="4"/>
        <v>263</v>
      </c>
      <c r="Y309" s="3">
        <f>ROUNDDOWN(W309/HLOOKUP(D309,[1]Table!$C$3:$D$4,2,0)*8,2)</f>
        <v>4.67</v>
      </c>
      <c r="Z309" s="3">
        <v>2</v>
      </c>
      <c r="AA309" s="3" t="s">
        <v>550</v>
      </c>
      <c r="AB309" s="6">
        <v>43959</v>
      </c>
      <c r="AC309" s="6">
        <v>43957</v>
      </c>
      <c r="AD309" s="6">
        <v>43959</v>
      </c>
      <c r="AE309" s="6">
        <v>43958</v>
      </c>
      <c r="AF309" s="6">
        <v>43958</v>
      </c>
      <c r="AG309" s="6" t="s">
        <v>75</v>
      </c>
      <c r="AH309" s="8">
        <v>1</v>
      </c>
      <c r="AI309" s="8">
        <v>1</v>
      </c>
      <c r="AJ309" s="8">
        <v>1</v>
      </c>
      <c r="AK309" s="6" t="s">
        <v>8</v>
      </c>
      <c r="AL309" s="3" t="s">
        <v>72</v>
      </c>
      <c r="AM309" s="3" t="s">
        <v>72</v>
      </c>
      <c r="AN309" s="3" t="s">
        <v>72</v>
      </c>
      <c r="AW309" s="143"/>
    </row>
    <row r="310" spans="2:49" ht="15">
      <c r="B310" s="48">
        <f t="shared" si="3"/>
        <v>83</v>
      </c>
      <c r="C310" s="11">
        <v>20200506</v>
      </c>
      <c r="D310" s="3" t="s">
        <v>24</v>
      </c>
      <c r="E310" s="3" t="s">
        <v>21</v>
      </c>
      <c r="F310" s="39" t="s">
        <v>745</v>
      </c>
      <c r="G310" s="5">
        <v>1433783</v>
      </c>
      <c r="H310" s="15" t="s">
        <v>72</v>
      </c>
      <c r="I310" s="3" t="s">
        <v>49</v>
      </c>
      <c r="J310" s="15" t="s">
        <v>72</v>
      </c>
      <c r="K310" s="3" t="s">
        <v>73</v>
      </c>
      <c r="L310" s="3" t="s">
        <v>8</v>
      </c>
      <c r="M310" s="3" t="s">
        <v>22</v>
      </c>
      <c r="N310" s="3" t="s">
        <v>9</v>
      </c>
      <c r="O310" s="5" t="s">
        <v>72</v>
      </c>
      <c r="P310" s="5" t="s">
        <v>7</v>
      </c>
      <c r="Q310" s="55"/>
      <c r="R310" s="15" t="s">
        <v>72</v>
      </c>
      <c r="S310" s="3" t="s">
        <v>117</v>
      </c>
      <c r="T310" s="3"/>
      <c r="U310" s="3"/>
      <c r="V310" s="3">
        <v>1009</v>
      </c>
      <c r="W310" s="3">
        <f>V310</f>
        <v>1009</v>
      </c>
      <c r="X310" s="3">
        <f t="shared" ref="X310:X315" si="5">W310</f>
        <v>1009</v>
      </c>
      <c r="Y310" s="3">
        <f>ROUNDDOWN(W310/HLOOKUP(D310,[1]Table!$C$3:$D$4,2,0)*8,2)</f>
        <v>17.93</v>
      </c>
      <c r="Z310" s="3">
        <v>16</v>
      </c>
      <c r="AA310" s="3" t="s">
        <v>550</v>
      </c>
      <c r="AB310" s="6">
        <v>43958</v>
      </c>
      <c r="AC310" s="6">
        <v>43957</v>
      </c>
      <c r="AD310" s="6">
        <v>43958</v>
      </c>
      <c r="AE310" s="6">
        <v>43958</v>
      </c>
      <c r="AF310" s="6">
        <v>43958</v>
      </c>
      <c r="AG310" s="6" t="s">
        <v>79</v>
      </c>
      <c r="AH310" s="8">
        <v>0.99</v>
      </c>
      <c r="AI310" s="8">
        <v>0.98</v>
      </c>
      <c r="AJ310" s="8">
        <v>1</v>
      </c>
      <c r="AK310" s="6" t="s">
        <v>76</v>
      </c>
      <c r="AL310" s="5" t="s">
        <v>746</v>
      </c>
      <c r="AM310" s="3" t="s">
        <v>72</v>
      </c>
      <c r="AN310" s="5" t="s">
        <v>747</v>
      </c>
      <c r="AW310" s="143"/>
    </row>
    <row r="311" spans="2:49" ht="15">
      <c r="B311" s="48">
        <f t="shared" si="3"/>
        <v>84</v>
      </c>
      <c r="C311" s="11">
        <v>20200506</v>
      </c>
      <c r="D311" s="3" t="s">
        <v>24</v>
      </c>
      <c r="E311" s="3" t="s">
        <v>748</v>
      </c>
      <c r="F311" s="39" t="s">
        <v>749</v>
      </c>
      <c r="G311" s="5">
        <v>1445651</v>
      </c>
      <c r="H311" s="15" t="s">
        <v>72</v>
      </c>
      <c r="I311" s="3" t="s">
        <v>750</v>
      </c>
      <c r="J311" s="15" t="s">
        <v>72</v>
      </c>
      <c r="K311" s="3" t="s">
        <v>73</v>
      </c>
      <c r="L311" s="3" t="s">
        <v>8</v>
      </c>
      <c r="M311" s="3" t="s">
        <v>19</v>
      </c>
      <c r="N311" s="3" t="s">
        <v>9</v>
      </c>
      <c r="O311" s="5" t="s">
        <v>72</v>
      </c>
      <c r="P311" s="5" t="s">
        <v>7</v>
      </c>
      <c r="Q311" s="55"/>
      <c r="R311" s="15" t="s">
        <v>72</v>
      </c>
      <c r="S311" s="3" t="s">
        <v>161</v>
      </c>
      <c r="T311" s="3"/>
      <c r="U311" s="3"/>
      <c r="V311" s="3">
        <v>290</v>
      </c>
      <c r="W311" s="3">
        <f t="shared" ref="W311:X326" si="6">V311</f>
        <v>290</v>
      </c>
      <c r="X311" s="3">
        <f t="shared" si="5"/>
        <v>290</v>
      </c>
      <c r="Y311" s="3">
        <f>ROUNDDOWN(W311/HLOOKUP(D311,[1]Table!$C$3:$D$4,2,0)*8,2)</f>
        <v>5.15</v>
      </c>
      <c r="Z311" s="3">
        <v>3</v>
      </c>
      <c r="AA311" s="3" t="s">
        <v>550</v>
      </c>
      <c r="AB311" s="6">
        <v>43958</v>
      </c>
      <c r="AC311" s="6">
        <v>43957</v>
      </c>
      <c r="AD311" s="6">
        <v>43958</v>
      </c>
      <c r="AE311" s="6">
        <v>43958</v>
      </c>
      <c r="AF311" s="6">
        <v>43958</v>
      </c>
      <c r="AG311" s="6" t="s">
        <v>75</v>
      </c>
      <c r="AH311" s="8">
        <v>1</v>
      </c>
      <c r="AI311" s="8">
        <v>1</v>
      </c>
      <c r="AJ311" s="8">
        <v>1</v>
      </c>
      <c r="AK311" s="6" t="s">
        <v>8</v>
      </c>
      <c r="AL311" s="3" t="s">
        <v>72</v>
      </c>
      <c r="AM311" s="3" t="s">
        <v>72</v>
      </c>
      <c r="AN311" s="3" t="s">
        <v>72</v>
      </c>
      <c r="AW311" s="143"/>
    </row>
    <row r="312" spans="2:49" ht="15">
      <c r="B312" s="48">
        <f t="shared" si="3"/>
        <v>85</v>
      </c>
      <c r="C312" s="11">
        <v>20200506</v>
      </c>
      <c r="D312" s="3" t="s">
        <v>24</v>
      </c>
      <c r="E312" s="3" t="s">
        <v>748</v>
      </c>
      <c r="F312" s="39" t="s">
        <v>745</v>
      </c>
      <c r="G312" s="5">
        <v>1445651</v>
      </c>
      <c r="H312" s="15" t="s">
        <v>72</v>
      </c>
      <c r="I312" s="3" t="s">
        <v>751</v>
      </c>
      <c r="J312" s="15" t="s">
        <v>72</v>
      </c>
      <c r="K312" s="3" t="s">
        <v>73</v>
      </c>
      <c r="L312" s="3" t="s">
        <v>8</v>
      </c>
      <c r="M312" s="3" t="s">
        <v>19</v>
      </c>
      <c r="N312" s="3" t="s">
        <v>9</v>
      </c>
      <c r="O312" s="5" t="s">
        <v>72</v>
      </c>
      <c r="P312" s="5" t="s">
        <v>7</v>
      </c>
      <c r="Q312" s="55"/>
      <c r="R312" s="15" t="s">
        <v>72</v>
      </c>
      <c r="S312" s="3" t="s">
        <v>109</v>
      </c>
      <c r="T312" s="3"/>
      <c r="U312" s="3"/>
      <c r="V312" s="3">
        <v>456</v>
      </c>
      <c r="W312" s="3">
        <f t="shared" si="6"/>
        <v>456</v>
      </c>
      <c r="X312" s="3">
        <f t="shared" si="5"/>
        <v>456</v>
      </c>
      <c r="Y312" s="3">
        <f>ROUNDDOWN(W312/HLOOKUP(D312,[1]Table!$C$3:$D$4,2,0)*8,2)</f>
        <v>8.1</v>
      </c>
      <c r="Z312" s="3">
        <v>4</v>
      </c>
      <c r="AA312" s="3" t="s">
        <v>550</v>
      </c>
      <c r="AB312" s="6">
        <v>43958</v>
      </c>
      <c r="AC312" s="6">
        <v>43957</v>
      </c>
      <c r="AD312" s="6">
        <v>43958</v>
      </c>
      <c r="AE312" s="6">
        <v>43958</v>
      </c>
      <c r="AF312" s="6">
        <v>43958</v>
      </c>
      <c r="AG312" s="6" t="s">
        <v>79</v>
      </c>
      <c r="AH312" s="8">
        <v>0.97</v>
      </c>
      <c r="AI312" s="8">
        <v>0.95</v>
      </c>
      <c r="AJ312" s="8">
        <v>1</v>
      </c>
      <c r="AK312" s="6" t="s">
        <v>76</v>
      </c>
      <c r="AL312" s="5" t="s">
        <v>752</v>
      </c>
      <c r="AM312" s="3" t="s">
        <v>72</v>
      </c>
      <c r="AN312" s="3" t="s">
        <v>72</v>
      </c>
      <c r="AW312" s="143"/>
    </row>
    <row r="313" spans="2:49" ht="15">
      <c r="B313" s="48">
        <f t="shared" si="3"/>
        <v>86</v>
      </c>
      <c r="C313" s="11">
        <v>20200506</v>
      </c>
      <c r="D313" s="3" t="s">
        <v>24</v>
      </c>
      <c r="E313" s="13" t="s">
        <v>48</v>
      </c>
      <c r="F313" s="39" t="s">
        <v>753</v>
      </c>
      <c r="G313" s="13">
        <v>1455113</v>
      </c>
      <c r="H313" s="15" t="s">
        <v>72</v>
      </c>
      <c r="I313" s="13" t="s">
        <v>751</v>
      </c>
      <c r="J313" s="15"/>
      <c r="K313" s="3" t="s">
        <v>73</v>
      </c>
      <c r="L313" s="13" t="s">
        <v>27</v>
      </c>
      <c r="M313" s="3" t="s">
        <v>22</v>
      </c>
      <c r="N313" s="3" t="s">
        <v>9</v>
      </c>
      <c r="O313" s="5" t="s">
        <v>72</v>
      </c>
      <c r="P313" s="5" t="s">
        <v>7</v>
      </c>
      <c r="Q313" s="55"/>
      <c r="R313" s="15" t="s">
        <v>72</v>
      </c>
      <c r="S313" s="3" t="s">
        <v>109</v>
      </c>
      <c r="T313" s="3"/>
      <c r="U313" s="3"/>
      <c r="V313" s="3">
        <v>456</v>
      </c>
      <c r="W313" s="3">
        <f>V313</f>
        <v>456</v>
      </c>
      <c r="X313" s="3">
        <f t="shared" si="5"/>
        <v>456</v>
      </c>
      <c r="Y313" s="3">
        <f>ROUNDDOWN(W313/HLOOKUP(D313,[1]Table!$C$3:$D$4,2,0)*8,2)</f>
        <v>8.1</v>
      </c>
      <c r="Z313" s="3">
        <v>0.5</v>
      </c>
      <c r="AA313" s="3" t="s">
        <v>550</v>
      </c>
      <c r="AB313" s="6">
        <v>43958</v>
      </c>
      <c r="AC313" s="6">
        <v>43957</v>
      </c>
      <c r="AD313" s="6">
        <v>43958</v>
      </c>
      <c r="AE313" s="6">
        <v>43958</v>
      </c>
      <c r="AF313" s="6">
        <v>43958</v>
      </c>
      <c r="AG313" s="6" t="s">
        <v>79</v>
      </c>
      <c r="AH313" s="8">
        <v>0.97</v>
      </c>
      <c r="AI313" s="8">
        <v>0.95</v>
      </c>
      <c r="AJ313" s="8">
        <v>1</v>
      </c>
      <c r="AK313" s="6" t="s">
        <v>76</v>
      </c>
      <c r="AL313" s="5" t="s">
        <v>752</v>
      </c>
      <c r="AM313" s="3" t="s">
        <v>72</v>
      </c>
      <c r="AN313" s="3" t="s">
        <v>72</v>
      </c>
      <c r="AW313" s="143"/>
    </row>
    <row r="314" spans="2:49" ht="15">
      <c r="B314" s="48">
        <f t="shared" si="3"/>
        <v>87</v>
      </c>
      <c r="C314" s="11">
        <v>20200506</v>
      </c>
      <c r="D314" s="3" t="s">
        <v>24</v>
      </c>
      <c r="E314" s="3" t="s">
        <v>18</v>
      </c>
      <c r="F314" s="39" t="s">
        <v>754</v>
      </c>
      <c r="G314" s="5">
        <v>1405044</v>
      </c>
      <c r="H314" s="15" t="s">
        <v>72</v>
      </c>
      <c r="I314" s="3" t="s">
        <v>751</v>
      </c>
      <c r="J314" s="15" t="s">
        <v>72</v>
      </c>
      <c r="K314" s="3" t="s">
        <v>73</v>
      </c>
      <c r="L314" s="3" t="s">
        <v>755</v>
      </c>
      <c r="M314" s="3" t="s">
        <v>19</v>
      </c>
      <c r="N314" s="3" t="s">
        <v>6</v>
      </c>
      <c r="O314" s="5" t="s">
        <v>72</v>
      </c>
      <c r="P314" s="5" t="s">
        <v>756</v>
      </c>
      <c r="Q314" s="55"/>
      <c r="R314" s="15" t="s">
        <v>72</v>
      </c>
      <c r="S314" s="3" t="s">
        <v>109</v>
      </c>
      <c r="T314" s="3"/>
      <c r="U314" s="3"/>
      <c r="V314" s="3">
        <v>456</v>
      </c>
      <c r="W314" s="3">
        <f t="shared" si="6"/>
        <v>456</v>
      </c>
      <c r="X314" s="3">
        <f t="shared" si="5"/>
        <v>456</v>
      </c>
      <c r="Y314" s="3">
        <f>ROUNDDOWN(W314/HLOOKUP(D314,[1]Table!$C$3:$D$4,2,0)*8,2)</f>
        <v>8.1</v>
      </c>
      <c r="Z314" s="3">
        <v>0.5</v>
      </c>
      <c r="AA314" s="3" t="s">
        <v>550</v>
      </c>
      <c r="AB314" s="6">
        <v>43962</v>
      </c>
      <c r="AC314" s="6">
        <v>43957</v>
      </c>
      <c r="AD314" s="6">
        <v>43964</v>
      </c>
      <c r="AE314" s="6">
        <v>43958</v>
      </c>
      <c r="AF314" s="6">
        <v>43958</v>
      </c>
      <c r="AG314" s="6" t="s">
        <v>75</v>
      </c>
      <c r="AH314" s="8">
        <v>1</v>
      </c>
      <c r="AI314" s="8">
        <v>1</v>
      </c>
      <c r="AJ314" s="8">
        <v>1</v>
      </c>
      <c r="AK314" s="6" t="s">
        <v>8</v>
      </c>
      <c r="AL314" s="5" t="s">
        <v>72</v>
      </c>
      <c r="AM314" s="3" t="s">
        <v>72</v>
      </c>
      <c r="AN314" s="3" t="s">
        <v>72</v>
      </c>
      <c r="AW314" s="143"/>
    </row>
    <row r="315" spans="2:49" ht="15">
      <c r="B315" s="48">
        <f t="shared" si="3"/>
        <v>88</v>
      </c>
      <c r="C315" s="11">
        <v>20200506</v>
      </c>
      <c r="D315" s="3" t="s">
        <v>24</v>
      </c>
      <c r="E315" s="3" t="s">
        <v>18</v>
      </c>
      <c r="F315" s="39" t="s">
        <v>754</v>
      </c>
      <c r="G315" s="5">
        <v>1405044</v>
      </c>
      <c r="H315" s="15" t="s">
        <v>72</v>
      </c>
      <c r="I315" s="3" t="s">
        <v>757</v>
      </c>
      <c r="J315" s="15" t="s">
        <v>72</v>
      </c>
      <c r="K315" s="3" t="s">
        <v>73</v>
      </c>
      <c r="L315" s="3" t="s">
        <v>758</v>
      </c>
      <c r="M315" s="3" t="s">
        <v>19</v>
      </c>
      <c r="N315" s="3" t="s">
        <v>6</v>
      </c>
      <c r="O315" s="5" t="s">
        <v>72</v>
      </c>
      <c r="P315" s="5" t="s">
        <v>756</v>
      </c>
      <c r="Q315" s="55"/>
      <c r="R315" s="15" t="s">
        <v>72</v>
      </c>
      <c r="S315" s="3" t="s">
        <v>161</v>
      </c>
      <c r="T315" s="3"/>
      <c r="U315" s="3"/>
      <c r="V315" s="3">
        <v>91</v>
      </c>
      <c r="W315" s="3">
        <f t="shared" si="6"/>
        <v>91</v>
      </c>
      <c r="X315" s="3">
        <f t="shared" si="5"/>
        <v>91</v>
      </c>
      <c r="Y315" s="3">
        <f>ROUNDDOWN(W315/HLOOKUP(D315,[1]Table!$C$3:$D$4,2,0)*8,2)</f>
        <v>1.61</v>
      </c>
      <c r="Z315" s="3">
        <v>1</v>
      </c>
      <c r="AA315" s="3" t="s">
        <v>550</v>
      </c>
      <c r="AB315" s="6">
        <v>43962</v>
      </c>
      <c r="AC315" s="6">
        <v>43957</v>
      </c>
      <c r="AD315" s="6">
        <v>43964</v>
      </c>
      <c r="AE315" s="6">
        <v>43958</v>
      </c>
      <c r="AF315" s="6">
        <v>43958</v>
      </c>
      <c r="AG315" s="6" t="s">
        <v>75</v>
      </c>
      <c r="AH315" s="8">
        <v>1</v>
      </c>
      <c r="AI315" s="8">
        <v>1</v>
      </c>
      <c r="AJ315" s="8">
        <v>1</v>
      </c>
      <c r="AK315" s="6" t="s">
        <v>8</v>
      </c>
      <c r="AL315" s="3" t="s">
        <v>72</v>
      </c>
      <c r="AM315" s="3" t="s">
        <v>72</v>
      </c>
      <c r="AN315" s="3" t="s">
        <v>72</v>
      </c>
      <c r="AW315" s="143"/>
    </row>
    <row r="316" spans="2:49" ht="15">
      <c r="B316" s="48">
        <f t="shared" si="3"/>
        <v>89</v>
      </c>
      <c r="C316" s="11">
        <v>20200506</v>
      </c>
      <c r="D316" s="3" t="s">
        <v>24</v>
      </c>
      <c r="E316" s="3" t="s">
        <v>18</v>
      </c>
      <c r="F316" s="39" t="s">
        <v>754</v>
      </c>
      <c r="G316" s="5">
        <v>1405044</v>
      </c>
      <c r="H316" s="15" t="s">
        <v>72</v>
      </c>
      <c r="I316" s="3" t="s">
        <v>759</v>
      </c>
      <c r="J316" s="15" t="s">
        <v>72</v>
      </c>
      <c r="K316" s="3" t="s">
        <v>73</v>
      </c>
      <c r="L316" s="3" t="s">
        <v>760</v>
      </c>
      <c r="M316" s="3" t="s">
        <v>19</v>
      </c>
      <c r="N316" s="3" t="s">
        <v>6</v>
      </c>
      <c r="O316" s="5" t="s">
        <v>72</v>
      </c>
      <c r="P316" s="5" t="s">
        <v>756</v>
      </c>
      <c r="Q316" s="55"/>
      <c r="R316" s="15" t="s">
        <v>72</v>
      </c>
      <c r="S316" s="3" t="s">
        <v>161</v>
      </c>
      <c r="T316" s="3"/>
      <c r="U316" s="3"/>
      <c r="V316" s="3">
        <v>576</v>
      </c>
      <c r="W316" s="3">
        <f t="shared" si="6"/>
        <v>576</v>
      </c>
      <c r="X316" s="3">
        <f>W316</f>
        <v>576</v>
      </c>
      <c r="Y316" s="3">
        <f>ROUNDDOWN(W316/HLOOKUP(D316,[1]Table!$C$3:$D$4,2,0)*8,2)</f>
        <v>10.24</v>
      </c>
      <c r="Z316" s="3">
        <v>8</v>
      </c>
      <c r="AA316" s="3" t="s">
        <v>550</v>
      </c>
      <c r="AB316" s="6">
        <v>43962</v>
      </c>
      <c r="AC316" s="6">
        <v>43957</v>
      </c>
      <c r="AD316" s="6">
        <v>43964</v>
      </c>
      <c r="AE316" s="6">
        <v>43959</v>
      </c>
      <c r="AF316" s="6">
        <v>43959</v>
      </c>
      <c r="AG316" s="6" t="s">
        <v>75</v>
      </c>
      <c r="AH316" s="8">
        <v>1</v>
      </c>
      <c r="AI316" s="8">
        <v>1</v>
      </c>
      <c r="AJ316" s="8">
        <v>1</v>
      </c>
      <c r="AK316" s="6" t="s">
        <v>8</v>
      </c>
      <c r="AL316" s="3" t="s">
        <v>72</v>
      </c>
      <c r="AM316" s="3" t="s">
        <v>72</v>
      </c>
      <c r="AN316" s="3" t="s">
        <v>72</v>
      </c>
      <c r="AW316" s="143"/>
    </row>
    <row r="317" spans="2:49" ht="15">
      <c r="B317" s="48">
        <f t="shared" si="3"/>
        <v>90</v>
      </c>
      <c r="C317" s="11">
        <v>20200506</v>
      </c>
      <c r="D317" s="3" t="s">
        <v>24</v>
      </c>
      <c r="E317" s="3" t="s">
        <v>18</v>
      </c>
      <c r="F317" s="39" t="s">
        <v>754</v>
      </c>
      <c r="G317" s="5">
        <v>1405044</v>
      </c>
      <c r="H317" s="15" t="s">
        <v>72</v>
      </c>
      <c r="I317" s="3" t="s">
        <v>49</v>
      </c>
      <c r="J317" s="15" t="s">
        <v>72</v>
      </c>
      <c r="K317" s="3" t="s">
        <v>73</v>
      </c>
      <c r="L317" s="3" t="s">
        <v>761</v>
      </c>
      <c r="M317" s="3" t="s">
        <v>19</v>
      </c>
      <c r="N317" s="3" t="s">
        <v>6</v>
      </c>
      <c r="O317" s="5" t="s">
        <v>72</v>
      </c>
      <c r="P317" s="5" t="s">
        <v>756</v>
      </c>
      <c r="Q317" s="55"/>
      <c r="R317" s="15" t="s">
        <v>72</v>
      </c>
      <c r="S317" s="3" t="s">
        <v>117</v>
      </c>
      <c r="T317" s="3"/>
      <c r="U317" s="3"/>
      <c r="V317" s="3">
        <v>1009</v>
      </c>
      <c r="W317" s="3">
        <f t="shared" si="6"/>
        <v>1009</v>
      </c>
      <c r="X317" s="3">
        <f>W317</f>
        <v>1009</v>
      </c>
      <c r="Y317" s="3">
        <f>ROUNDDOWN(W317/HLOOKUP(D317,[1]Table!$C$3:$D$4,2,0)*8,2)</f>
        <v>17.93</v>
      </c>
      <c r="Z317" s="3">
        <v>8</v>
      </c>
      <c r="AA317" s="3" t="s">
        <v>550</v>
      </c>
      <c r="AB317" s="6">
        <v>43962</v>
      </c>
      <c r="AC317" s="6">
        <v>43957</v>
      </c>
      <c r="AD317" s="6">
        <v>43964</v>
      </c>
      <c r="AE317" s="6">
        <v>43959</v>
      </c>
      <c r="AF317" s="6">
        <v>43959</v>
      </c>
      <c r="AG317" s="6" t="s">
        <v>75</v>
      </c>
      <c r="AH317" s="8">
        <v>1</v>
      </c>
      <c r="AI317" s="8">
        <v>1</v>
      </c>
      <c r="AJ317" s="8">
        <v>1</v>
      </c>
      <c r="AK317" s="6" t="s">
        <v>8</v>
      </c>
      <c r="AL317" s="3" t="s">
        <v>72</v>
      </c>
      <c r="AM317" s="3" t="s">
        <v>72</v>
      </c>
      <c r="AN317" s="3" t="s">
        <v>72</v>
      </c>
      <c r="AW317" s="143"/>
    </row>
    <row r="318" spans="2:49" ht="15">
      <c r="B318" s="48">
        <f t="shared" si="3"/>
        <v>91</v>
      </c>
      <c r="C318" s="11">
        <v>20200506</v>
      </c>
      <c r="D318" s="3" t="s">
        <v>24</v>
      </c>
      <c r="E318" s="3" t="s">
        <v>18</v>
      </c>
      <c r="F318" s="39" t="s">
        <v>762</v>
      </c>
      <c r="G318" s="5">
        <v>1405044</v>
      </c>
      <c r="H318" s="15" t="s">
        <v>72</v>
      </c>
      <c r="I318" s="3" t="s">
        <v>750</v>
      </c>
      <c r="J318" s="15" t="s">
        <v>72</v>
      </c>
      <c r="K318" s="3" t="s">
        <v>73</v>
      </c>
      <c r="L318" s="3" t="s">
        <v>763</v>
      </c>
      <c r="M318" s="3" t="s">
        <v>19</v>
      </c>
      <c r="N318" s="3" t="s">
        <v>6</v>
      </c>
      <c r="O318" s="5" t="s">
        <v>72</v>
      </c>
      <c r="P318" s="5" t="s">
        <v>756</v>
      </c>
      <c r="Q318" s="55"/>
      <c r="R318" s="15" t="s">
        <v>72</v>
      </c>
      <c r="S318" s="3" t="s">
        <v>161</v>
      </c>
      <c r="T318" s="3"/>
      <c r="U318" s="3"/>
      <c r="V318" s="3">
        <v>290</v>
      </c>
      <c r="W318" s="3">
        <f t="shared" si="6"/>
        <v>290</v>
      </c>
      <c r="X318" s="3">
        <f t="shared" si="6"/>
        <v>290</v>
      </c>
      <c r="Y318" s="3">
        <f>ROUNDDOWN(W318/HLOOKUP(D318,[1]Table!$C$3:$D$4,2,0)*8,2)</f>
        <v>5.15</v>
      </c>
      <c r="Z318" s="3">
        <v>1</v>
      </c>
      <c r="AA318" s="3" t="s">
        <v>550</v>
      </c>
      <c r="AB318" s="6">
        <v>43962</v>
      </c>
      <c r="AC318" s="6">
        <v>43957</v>
      </c>
      <c r="AD318" s="6">
        <v>43964</v>
      </c>
      <c r="AE318" s="6">
        <v>43958</v>
      </c>
      <c r="AF318" s="6">
        <v>43958</v>
      </c>
      <c r="AG318" s="6" t="s">
        <v>75</v>
      </c>
      <c r="AH318" s="8">
        <v>1</v>
      </c>
      <c r="AI318" s="8">
        <v>1</v>
      </c>
      <c r="AJ318" s="8">
        <v>1</v>
      </c>
      <c r="AK318" s="6" t="s">
        <v>8</v>
      </c>
      <c r="AL318" s="3" t="s">
        <v>72</v>
      </c>
      <c r="AM318" s="3" t="s">
        <v>72</v>
      </c>
      <c r="AN318" s="3" t="s">
        <v>72</v>
      </c>
      <c r="AW318" s="143"/>
    </row>
    <row r="319" spans="2:49" ht="15">
      <c r="B319" s="48">
        <f t="shared" si="3"/>
        <v>92</v>
      </c>
      <c r="C319" s="11">
        <v>20200506</v>
      </c>
      <c r="D319" s="3" t="s">
        <v>24</v>
      </c>
      <c r="E319" s="3" t="s">
        <v>18</v>
      </c>
      <c r="F319" s="39" t="s">
        <v>764</v>
      </c>
      <c r="G319" s="5">
        <v>1405044</v>
      </c>
      <c r="H319" s="15" t="s">
        <v>72</v>
      </c>
      <c r="I319" s="3" t="s">
        <v>54</v>
      </c>
      <c r="J319" s="15" t="s">
        <v>72</v>
      </c>
      <c r="K319" s="3" t="s">
        <v>73</v>
      </c>
      <c r="L319" s="3" t="s">
        <v>765</v>
      </c>
      <c r="M319" s="3" t="s">
        <v>19</v>
      </c>
      <c r="N319" s="3" t="s">
        <v>6</v>
      </c>
      <c r="O319" s="5" t="s">
        <v>72</v>
      </c>
      <c r="P319" s="5" t="s">
        <v>756</v>
      </c>
      <c r="Q319" s="55"/>
      <c r="R319" s="15" t="s">
        <v>72</v>
      </c>
      <c r="S319" s="3" t="s">
        <v>161</v>
      </c>
      <c r="T319" s="3"/>
      <c r="U319" s="3"/>
      <c r="V319" s="3">
        <v>236</v>
      </c>
      <c r="W319" s="3">
        <f t="shared" si="6"/>
        <v>236</v>
      </c>
      <c r="X319" s="3">
        <f t="shared" si="6"/>
        <v>236</v>
      </c>
      <c r="Y319" s="3">
        <f>ROUNDDOWN(W319/HLOOKUP(D319,[1]Table!$C$3:$D$4,2,0)*8,2)</f>
        <v>4.1900000000000004</v>
      </c>
      <c r="Z319" s="3">
        <v>2</v>
      </c>
      <c r="AA319" s="3" t="s">
        <v>550</v>
      </c>
      <c r="AB319" s="6">
        <v>43962</v>
      </c>
      <c r="AC319" s="6">
        <v>43957</v>
      </c>
      <c r="AD319" s="6">
        <v>43964</v>
      </c>
      <c r="AE319" s="6">
        <v>43958</v>
      </c>
      <c r="AF319" s="6">
        <v>43958</v>
      </c>
      <c r="AG319" s="6" t="s">
        <v>75</v>
      </c>
      <c r="AH319" s="8">
        <v>1</v>
      </c>
      <c r="AI319" s="8">
        <v>1</v>
      </c>
      <c r="AJ319" s="8">
        <v>1</v>
      </c>
      <c r="AK319" s="6" t="s">
        <v>8</v>
      </c>
      <c r="AL319" s="3" t="s">
        <v>72</v>
      </c>
      <c r="AM319" s="3" t="s">
        <v>72</v>
      </c>
      <c r="AN319" s="3" t="s">
        <v>72</v>
      </c>
      <c r="AW319" s="143"/>
    </row>
    <row r="320" spans="2:49" ht="15">
      <c r="B320" s="48">
        <f t="shared" si="3"/>
        <v>93</v>
      </c>
      <c r="C320" s="11">
        <v>20200506</v>
      </c>
      <c r="D320" s="3" t="s">
        <v>24</v>
      </c>
      <c r="E320" s="3" t="s">
        <v>18</v>
      </c>
      <c r="F320" s="39" t="s">
        <v>766</v>
      </c>
      <c r="G320" s="5">
        <v>1405044</v>
      </c>
      <c r="H320" s="15" t="s">
        <v>72</v>
      </c>
      <c r="I320" s="3" t="s">
        <v>767</v>
      </c>
      <c r="J320" s="15" t="s">
        <v>72</v>
      </c>
      <c r="K320" s="3" t="s">
        <v>73</v>
      </c>
      <c r="L320" s="3" t="s">
        <v>768</v>
      </c>
      <c r="M320" s="3" t="s">
        <v>19</v>
      </c>
      <c r="N320" s="3" t="s">
        <v>6</v>
      </c>
      <c r="O320" s="5" t="s">
        <v>72</v>
      </c>
      <c r="P320" s="5" t="s">
        <v>756</v>
      </c>
      <c r="Q320" s="55"/>
      <c r="R320" s="15" t="s">
        <v>72</v>
      </c>
      <c r="S320" s="3" t="s">
        <v>109</v>
      </c>
      <c r="T320" s="3"/>
      <c r="U320" s="3"/>
      <c r="V320" s="3">
        <v>588</v>
      </c>
      <c r="W320" s="3">
        <f t="shared" si="6"/>
        <v>588</v>
      </c>
      <c r="X320" s="3">
        <f t="shared" si="6"/>
        <v>588</v>
      </c>
      <c r="Y320" s="3">
        <f>ROUNDDOWN(W320/HLOOKUP(D320,[1]Table!$C$3:$D$4,2,0)*8,2)</f>
        <v>10.45</v>
      </c>
      <c r="Z320" s="3">
        <v>1</v>
      </c>
      <c r="AA320" s="3" t="s">
        <v>550</v>
      </c>
      <c r="AB320" s="6">
        <v>43962</v>
      </c>
      <c r="AC320" s="6">
        <v>43957</v>
      </c>
      <c r="AD320" s="6">
        <v>43964</v>
      </c>
      <c r="AE320" s="6">
        <v>43958</v>
      </c>
      <c r="AF320" s="6">
        <v>43958</v>
      </c>
      <c r="AG320" s="6" t="s">
        <v>75</v>
      </c>
      <c r="AH320" s="8">
        <v>1</v>
      </c>
      <c r="AI320" s="8">
        <v>1</v>
      </c>
      <c r="AJ320" s="8">
        <v>1</v>
      </c>
      <c r="AK320" s="6" t="s">
        <v>8</v>
      </c>
      <c r="AL320" s="5" t="s">
        <v>72</v>
      </c>
      <c r="AM320" s="3" t="s">
        <v>72</v>
      </c>
      <c r="AN320" s="3" t="s">
        <v>72</v>
      </c>
      <c r="AW320" s="143"/>
    </row>
    <row r="321" spans="2:49" ht="15">
      <c r="B321" s="48">
        <f t="shared" si="3"/>
        <v>94</v>
      </c>
      <c r="C321" s="11">
        <v>20200506</v>
      </c>
      <c r="D321" s="3" t="s">
        <v>24</v>
      </c>
      <c r="E321" s="3" t="s">
        <v>18</v>
      </c>
      <c r="F321" s="39" t="s">
        <v>766</v>
      </c>
      <c r="G321" s="5">
        <v>1405044</v>
      </c>
      <c r="H321" s="15" t="s">
        <v>72</v>
      </c>
      <c r="I321" s="3" t="s">
        <v>769</v>
      </c>
      <c r="J321" s="15" t="s">
        <v>72</v>
      </c>
      <c r="K321" s="3" t="s">
        <v>73</v>
      </c>
      <c r="L321" s="3" t="s">
        <v>770</v>
      </c>
      <c r="M321" s="3" t="s">
        <v>19</v>
      </c>
      <c r="N321" s="3" t="s">
        <v>6</v>
      </c>
      <c r="O321" s="5" t="s">
        <v>72</v>
      </c>
      <c r="P321" s="5" t="s">
        <v>756</v>
      </c>
      <c r="Q321" s="55"/>
      <c r="R321" s="15" t="s">
        <v>72</v>
      </c>
      <c r="S321" s="3" t="s">
        <v>113</v>
      </c>
      <c r="T321" s="3"/>
      <c r="U321" s="3"/>
      <c r="V321" s="3">
        <v>2042</v>
      </c>
      <c r="W321" s="3">
        <f t="shared" si="6"/>
        <v>2042</v>
      </c>
      <c r="X321" s="3">
        <f t="shared" si="6"/>
        <v>2042</v>
      </c>
      <c r="Y321" s="3">
        <f>ROUNDDOWN(W321/HLOOKUP(D321,[1]Table!$C$3:$D$4,2,0)*8,2)</f>
        <v>36.299999999999997</v>
      </c>
      <c r="Z321" s="3">
        <v>16</v>
      </c>
      <c r="AA321" s="3" t="s">
        <v>550</v>
      </c>
      <c r="AB321" s="6">
        <v>43962</v>
      </c>
      <c r="AC321" s="6">
        <v>43957</v>
      </c>
      <c r="AD321" s="6">
        <v>43964</v>
      </c>
      <c r="AE321" s="6">
        <v>43958</v>
      </c>
      <c r="AF321" s="6">
        <v>43959</v>
      </c>
      <c r="AG321" s="6" t="s">
        <v>75</v>
      </c>
      <c r="AH321" s="8">
        <v>1</v>
      </c>
      <c r="AI321" s="8">
        <v>1</v>
      </c>
      <c r="AJ321" s="8">
        <v>1</v>
      </c>
      <c r="AK321" s="6" t="s">
        <v>8</v>
      </c>
      <c r="AL321" s="5" t="s">
        <v>771</v>
      </c>
      <c r="AM321" s="3" t="s">
        <v>72</v>
      </c>
      <c r="AN321" s="3" t="s">
        <v>72</v>
      </c>
      <c r="AW321" s="143"/>
    </row>
    <row r="322" spans="2:49" ht="15">
      <c r="B322" s="48">
        <f t="shared" si="3"/>
        <v>95</v>
      </c>
      <c r="C322" s="11">
        <v>20200506</v>
      </c>
      <c r="D322" s="3" t="s">
        <v>24</v>
      </c>
      <c r="E322" s="3" t="s">
        <v>18</v>
      </c>
      <c r="F322" s="39" t="s">
        <v>772</v>
      </c>
      <c r="G322" s="5">
        <v>1405044</v>
      </c>
      <c r="H322" s="15" t="s">
        <v>72</v>
      </c>
      <c r="I322" s="3" t="s">
        <v>773</v>
      </c>
      <c r="J322" s="15" t="s">
        <v>72</v>
      </c>
      <c r="K322" s="3" t="s">
        <v>73</v>
      </c>
      <c r="L322" s="3" t="s">
        <v>774</v>
      </c>
      <c r="M322" s="3" t="s">
        <v>19</v>
      </c>
      <c r="N322" s="3" t="s">
        <v>6</v>
      </c>
      <c r="O322" s="5" t="s">
        <v>72</v>
      </c>
      <c r="P322" s="5" t="s">
        <v>756</v>
      </c>
      <c r="Q322" s="55"/>
      <c r="R322" s="15" t="s">
        <v>72</v>
      </c>
      <c r="S322" s="3" t="s">
        <v>161</v>
      </c>
      <c r="T322" s="3"/>
      <c r="U322" s="3"/>
      <c r="V322" s="3">
        <v>103</v>
      </c>
      <c r="W322" s="3">
        <f t="shared" si="6"/>
        <v>103</v>
      </c>
      <c r="X322" s="3">
        <f t="shared" si="6"/>
        <v>103</v>
      </c>
      <c r="Y322" s="3">
        <f>ROUNDDOWN(W322/HLOOKUP(D322,[1]Table!$C$3:$D$4,2,0)*8,2)</f>
        <v>1.83</v>
      </c>
      <c r="Z322" s="3">
        <v>1</v>
      </c>
      <c r="AA322" s="3" t="s">
        <v>550</v>
      </c>
      <c r="AB322" s="6">
        <v>43962</v>
      </c>
      <c r="AC322" s="6">
        <v>43957</v>
      </c>
      <c r="AD322" s="6">
        <v>43964</v>
      </c>
      <c r="AE322" s="6">
        <v>43958</v>
      </c>
      <c r="AF322" s="6">
        <v>43958</v>
      </c>
      <c r="AG322" s="6" t="s">
        <v>75</v>
      </c>
      <c r="AH322" s="8">
        <v>1</v>
      </c>
      <c r="AI322" s="8">
        <v>1</v>
      </c>
      <c r="AJ322" s="8">
        <v>1</v>
      </c>
      <c r="AK322" s="6" t="s">
        <v>8</v>
      </c>
      <c r="AL322" s="3" t="s">
        <v>72</v>
      </c>
      <c r="AM322" s="3" t="s">
        <v>72</v>
      </c>
      <c r="AN322" s="3" t="s">
        <v>72</v>
      </c>
      <c r="AW322" s="143"/>
    </row>
    <row r="323" spans="2:49" ht="15">
      <c r="B323" s="72">
        <f t="shared" si="3"/>
        <v>96</v>
      </c>
      <c r="C323" s="11">
        <v>20200507</v>
      </c>
      <c r="D323" s="3" t="s">
        <v>24</v>
      </c>
      <c r="E323" s="3" t="s">
        <v>775</v>
      </c>
      <c r="F323" s="4" t="s">
        <v>776</v>
      </c>
      <c r="G323" s="5">
        <v>1455207</v>
      </c>
      <c r="H323" s="15" t="s">
        <v>72</v>
      </c>
      <c r="I323" s="3" t="s">
        <v>777</v>
      </c>
      <c r="J323" s="15" t="s">
        <v>72</v>
      </c>
      <c r="K323" s="3" t="s">
        <v>73</v>
      </c>
      <c r="L323" s="3" t="s">
        <v>778</v>
      </c>
      <c r="M323" s="3" t="s">
        <v>779</v>
      </c>
      <c r="N323" s="3" t="s">
        <v>780</v>
      </c>
      <c r="O323" s="5" t="s">
        <v>72</v>
      </c>
      <c r="P323" s="5" t="s">
        <v>781</v>
      </c>
      <c r="Q323" s="55"/>
      <c r="R323" s="15" t="s">
        <v>72</v>
      </c>
      <c r="S323" s="3" t="s">
        <v>77</v>
      </c>
      <c r="T323" s="3"/>
      <c r="U323" s="3"/>
      <c r="V323" s="3">
        <v>20</v>
      </c>
      <c r="W323" s="3">
        <f t="shared" si="6"/>
        <v>20</v>
      </c>
      <c r="X323" s="3">
        <f t="shared" si="6"/>
        <v>20</v>
      </c>
      <c r="Y323" s="3">
        <f>ROUNDDOWN(W323/HLOOKUP(D323,[1]Table!$C$3:$D$4,2,0)*8,2)</f>
        <v>0.35</v>
      </c>
      <c r="Z323" s="3">
        <v>0.12</v>
      </c>
      <c r="AA323" s="3" t="s">
        <v>110</v>
      </c>
      <c r="AB323" s="6">
        <v>43963</v>
      </c>
      <c r="AC323" s="6">
        <v>43958</v>
      </c>
      <c r="AD323" s="6">
        <v>43963</v>
      </c>
      <c r="AE323" s="6">
        <v>43959</v>
      </c>
      <c r="AF323" s="6">
        <v>43959</v>
      </c>
      <c r="AG323" s="6" t="s">
        <v>75</v>
      </c>
      <c r="AH323" s="8">
        <v>1</v>
      </c>
      <c r="AI323" s="8">
        <v>1</v>
      </c>
      <c r="AJ323" s="8">
        <v>1</v>
      </c>
      <c r="AK323" s="6" t="s">
        <v>8</v>
      </c>
      <c r="AL323" s="3" t="s">
        <v>72</v>
      </c>
      <c r="AM323" s="3" t="s">
        <v>72</v>
      </c>
      <c r="AN323" s="3" t="s">
        <v>782</v>
      </c>
      <c r="AW323" s="143"/>
    </row>
    <row r="324" spans="2:49" ht="15">
      <c r="B324" s="72">
        <f t="shared" si="3"/>
        <v>97</v>
      </c>
      <c r="C324" s="11">
        <v>20200507</v>
      </c>
      <c r="D324" s="3" t="s">
        <v>24</v>
      </c>
      <c r="E324" s="3" t="s">
        <v>775</v>
      </c>
      <c r="F324" s="39" t="s">
        <v>783</v>
      </c>
      <c r="G324" s="5">
        <v>1444993</v>
      </c>
      <c r="H324" s="15" t="s">
        <v>72</v>
      </c>
      <c r="I324" s="3" t="s">
        <v>784</v>
      </c>
      <c r="J324" s="15" t="s">
        <v>72</v>
      </c>
      <c r="K324" s="3" t="s">
        <v>73</v>
      </c>
      <c r="L324" s="3" t="s">
        <v>778</v>
      </c>
      <c r="M324" s="3" t="s">
        <v>779</v>
      </c>
      <c r="N324" s="3" t="s">
        <v>780</v>
      </c>
      <c r="O324" s="5" t="s">
        <v>72</v>
      </c>
      <c r="P324" s="5" t="s">
        <v>785</v>
      </c>
      <c r="Q324" s="55"/>
      <c r="R324" s="15" t="s">
        <v>72</v>
      </c>
      <c r="S324" s="3" t="s">
        <v>77</v>
      </c>
      <c r="T324" s="3"/>
      <c r="U324" s="3"/>
      <c r="V324" s="3">
        <v>149</v>
      </c>
      <c r="W324" s="3">
        <f t="shared" si="6"/>
        <v>149</v>
      </c>
      <c r="X324" s="3">
        <f t="shared" si="6"/>
        <v>149</v>
      </c>
      <c r="Y324" s="3">
        <f>ROUNDDOWN(W324/HLOOKUP(D324,[1]Table!$C$3:$D$4,2,0)*8,2)</f>
        <v>2.64</v>
      </c>
      <c r="Z324" s="3">
        <v>1</v>
      </c>
      <c r="AA324" s="3" t="s">
        <v>110</v>
      </c>
      <c r="AB324" s="6">
        <v>43963</v>
      </c>
      <c r="AC324" s="6">
        <v>43958</v>
      </c>
      <c r="AD324" s="6">
        <v>43963</v>
      </c>
      <c r="AE324" s="6">
        <v>43959</v>
      </c>
      <c r="AF324" s="6">
        <v>43959</v>
      </c>
      <c r="AG324" s="6" t="s">
        <v>75</v>
      </c>
      <c r="AH324" s="8">
        <v>1</v>
      </c>
      <c r="AI324" s="8">
        <v>1</v>
      </c>
      <c r="AJ324" s="8">
        <v>1</v>
      </c>
      <c r="AK324" s="6" t="s">
        <v>8</v>
      </c>
      <c r="AL324" s="3" t="s">
        <v>72</v>
      </c>
      <c r="AM324" s="3" t="s">
        <v>72</v>
      </c>
      <c r="AN324" s="3" t="s">
        <v>72</v>
      </c>
      <c r="AW324" s="143"/>
    </row>
    <row r="325" spans="2:49" ht="15">
      <c r="B325" s="72">
        <f t="shared" si="3"/>
        <v>98</v>
      </c>
      <c r="C325" s="11">
        <v>20200507</v>
      </c>
      <c r="D325" s="3" t="s">
        <v>24</v>
      </c>
      <c r="E325" s="3" t="s">
        <v>775</v>
      </c>
      <c r="F325" s="39" t="s">
        <v>786</v>
      </c>
      <c r="G325" s="5">
        <v>1444993</v>
      </c>
      <c r="H325" s="15" t="s">
        <v>72</v>
      </c>
      <c r="I325" s="3" t="s">
        <v>787</v>
      </c>
      <c r="J325" s="15" t="s">
        <v>72</v>
      </c>
      <c r="K325" s="3" t="s">
        <v>73</v>
      </c>
      <c r="L325" s="3" t="s">
        <v>778</v>
      </c>
      <c r="M325" s="3" t="s">
        <v>779</v>
      </c>
      <c r="N325" s="3" t="s">
        <v>780</v>
      </c>
      <c r="O325" s="5" t="s">
        <v>72</v>
      </c>
      <c r="P325" s="5" t="s">
        <v>785</v>
      </c>
      <c r="Q325" s="55"/>
      <c r="R325" s="15" t="s">
        <v>72</v>
      </c>
      <c r="S325" s="3" t="s">
        <v>77</v>
      </c>
      <c r="T325" s="3"/>
      <c r="U325" s="3"/>
      <c r="V325" s="3">
        <v>173</v>
      </c>
      <c r="W325" s="3">
        <f t="shared" si="6"/>
        <v>173</v>
      </c>
      <c r="X325" s="3">
        <f t="shared" si="6"/>
        <v>173</v>
      </c>
      <c r="Y325" s="3">
        <f>ROUNDDOWN(W325/HLOOKUP(D325,[1]Table!$C$3:$D$4,2,0)*8,2)</f>
        <v>3.07</v>
      </c>
      <c r="Z325" s="3">
        <v>1</v>
      </c>
      <c r="AA325" s="3" t="s">
        <v>110</v>
      </c>
      <c r="AB325" s="6">
        <v>43963</v>
      </c>
      <c r="AC325" s="6">
        <v>43958</v>
      </c>
      <c r="AD325" s="6">
        <v>43963</v>
      </c>
      <c r="AE325" s="6">
        <v>43959</v>
      </c>
      <c r="AF325" s="6">
        <v>43959</v>
      </c>
      <c r="AG325" s="6" t="s">
        <v>75</v>
      </c>
      <c r="AH325" s="8">
        <v>1</v>
      </c>
      <c r="AI325" s="8">
        <v>1</v>
      </c>
      <c r="AJ325" s="8">
        <v>1</v>
      </c>
      <c r="AK325" s="6" t="s">
        <v>8</v>
      </c>
      <c r="AL325" s="3" t="s">
        <v>72</v>
      </c>
      <c r="AM325" s="3" t="s">
        <v>72</v>
      </c>
      <c r="AN325" s="3" t="s">
        <v>72</v>
      </c>
      <c r="AW325" s="143"/>
    </row>
    <row r="326" spans="2:49" ht="15">
      <c r="B326" s="72">
        <f t="shared" si="3"/>
        <v>99</v>
      </c>
      <c r="C326" s="11">
        <v>20200507</v>
      </c>
      <c r="D326" s="3" t="s">
        <v>24</v>
      </c>
      <c r="E326" s="3" t="s">
        <v>694</v>
      </c>
      <c r="F326" s="39" t="s">
        <v>788</v>
      </c>
      <c r="G326" s="5">
        <v>1453050</v>
      </c>
      <c r="H326" s="15" t="s">
        <v>72</v>
      </c>
      <c r="I326" s="3" t="s">
        <v>789</v>
      </c>
      <c r="J326" s="15" t="s">
        <v>72</v>
      </c>
      <c r="K326" s="3" t="s">
        <v>73</v>
      </c>
      <c r="L326" s="3" t="s">
        <v>696</v>
      </c>
      <c r="M326" s="3" t="s">
        <v>790</v>
      </c>
      <c r="N326" s="3" t="s">
        <v>791</v>
      </c>
      <c r="O326" s="5" t="s">
        <v>72</v>
      </c>
      <c r="P326" s="5" t="s">
        <v>792</v>
      </c>
      <c r="Q326" s="55"/>
      <c r="R326" s="15" t="s">
        <v>72</v>
      </c>
      <c r="S326" s="3" t="s">
        <v>77</v>
      </c>
      <c r="T326" s="3"/>
      <c r="U326" s="3"/>
      <c r="V326" s="3">
        <v>132</v>
      </c>
      <c r="W326" s="3">
        <f t="shared" si="6"/>
        <v>132</v>
      </c>
      <c r="X326" s="3">
        <f t="shared" si="6"/>
        <v>132</v>
      </c>
      <c r="Y326" s="3">
        <f>ROUNDDOWN(W326/HLOOKUP(D326,[1]Table!$C$3:$D$4,2,0)*8,2)</f>
        <v>2.34</v>
      </c>
      <c r="Z326" s="3">
        <v>2</v>
      </c>
      <c r="AA326" s="3" t="s">
        <v>110</v>
      </c>
      <c r="AB326" s="6">
        <v>43963</v>
      </c>
      <c r="AC326" s="6">
        <v>43958</v>
      </c>
      <c r="AD326" s="6">
        <v>43963</v>
      </c>
      <c r="AE326" s="6">
        <v>43959</v>
      </c>
      <c r="AF326" s="6">
        <v>43959</v>
      </c>
      <c r="AG326" s="6" t="s">
        <v>75</v>
      </c>
      <c r="AH326" s="8">
        <v>1</v>
      </c>
      <c r="AI326" s="8">
        <v>1</v>
      </c>
      <c r="AJ326" s="8">
        <v>1</v>
      </c>
      <c r="AK326" s="6" t="s">
        <v>8</v>
      </c>
      <c r="AL326" s="3" t="s">
        <v>72</v>
      </c>
      <c r="AM326" s="3" t="s">
        <v>72</v>
      </c>
      <c r="AN326" s="3" t="s">
        <v>72</v>
      </c>
      <c r="AW326" s="143"/>
    </row>
    <row r="327" spans="2:49" ht="15">
      <c r="B327" s="72">
        <f t="shared" si="3"/>
        <v>100</v>
      </c>
      <c r="C327" s="11">
        <v>20200507</v>
      </c>
      <c r="D327" s="3" t="s">
        <v>24</v>
      </c>
      <c r="E327" s="3" t="s">
        <v>694</v>
      </c>
      <c r="F327" s="39" t="s">
        <v>793</v>
      </c>
      <c r="G327" s="5">
        <v>1453050</v>
      </c>
      <c r="H327" s="15" t="s">
        <v>72</v>
      </c>
      <c r="I327" s="3" t="s">
        <v>794</v>
      </c>
      <c r="J327" s="15" t="s">
        <v>72</v>
      </c>
      <c r="K327" s="3" t="s">
        <v>73</v>
      </c>
      <c r="L327" s="3" t="s">
        <v>696</v>
      </c>
      <c r="M327" s="3" t="s">
        <v>790</v>
      </c>
      <c r="N327" s="3" t="s">
        <v>791</v>
      </c>
      <c r="O327" s="5" t="s">
        <v>72</v>
      </c>
      <c r="P327" s="5" t="s">
        <v>792</v>
      </c>
      <c r="Q327" s="55"/>
      <c r="R327" s="15" t="s">
        <v>72</v>
      </c>
      <c r="S327" s="3" t="s">
        <v>77</v>
      </c>
      <c r="T327" s="3"/>
      <c r="U327" s="3"/>
      <c r="V327" s="3">
        <v>156</v>
      </c>
      <c r="W327" s="3">
        <f t="shared" ref="W327:X332" si="7">V327</f>
        <v>156</v>
      </c>
      <c r="X327" s="3">
        <f t="shared" si="7"/>
        <v>156</v>
      </c>
      <c r="Y327" s="3">
        <f>ROUNDDOWN(W327/HLOOKUP(D327,[1]Table!$C$3:$D$4,2,0)*8,2)</f>
        <v>2.77</v>
      </c>
      <c r="Z327" s="3">
        <v>1.5</v>
      </c>
      <c r="AA327" s="3" t="s">
        <v>110</v>
      </c>
      <c r="AB327" s="6">
        <v>43963</v>
      </c>
      <c r="AC327" s="6">
        <v>43958</v>
      </c>
      <c r="AD327" s="6">
        <v>43963</v>
      </c>
      <c r="AE327" s="6">
        <v>43959</v>
      </c>
      <c r="AF327" s="6">
        <v>43959</v>
      </c>
      <c r="AG327" s="6" t="s">
        <v>75</v>
      </c>
      <c r="AH327" s="8">
        <v>1</v>
      </c>
      <c r="AI327" s="8">
        <v>1</v>
      </c>
      <c r="AJ327" s="8">
        <v>1</v>
      </c>
      <c r="AK327" s="6" t="s">
        <v>8</v>
      </c>
      <c r="AL327" s="3" t="s">
        <v>72</v>
      </c>
      <c r="AM327" s="3" t="s">
        <v>72</v>
      </c>
      <c r="AN327" s="3" t="s">
        <v>72</v>
      </c>
      <c r="AW327" s="143"/>
    </row>
    <row r="328" spans="2:49" ht="15">
      <c r="B328" s="72">
        <f t="shared" si="3"/>
        <v>101</v>
      </c>
      <c r="C328" s="11">
        <v>20200507</v>
      </c>
      <c r="D328" s="3" t="s">
        <v>24</v>
      </c>
      <c r="E328" s="3" t="s">
        <v>694</v>
      </c>
      <c r="F328" s="39" t="s">
        <v>795</v>
      </c>
      <c r="G328" s="5">
        <v>1453050</v>
      </c>
      <c r="H328" s="15" t="s">
        <v>72</v>
      </c>
      <c r="I328" s="3" t="s">
        <v>796</v>
      </c>
      <c r="J328" s="15" t="s">
        <v>72</v>
      </c>
      <c r="K328" s="3" t="s">
        <v>73</v>
      </c>
      <c r="L328" s="3" t="s">
        <v>696</v>
      </c>
      <c r="M328" s="3" t="s">
        <v>790</v>
      </c>
      <c r="N328" s="3" t="s">
        <v>791</v>
      </c>
      <c r="O328" s="5" t="s">
        <v>72</v>
      </c>
      <c r="P328" s="5" t="s">
        <v>792</v>
      </c>
      <c r="Q328" s="55"/>
      <c r="R328" s="15" t="s">
        <v>72</v>
      </c>
      <c r="S328" s="3" t="s">
        <v>78</v>
      </c>
      <c r="T328" s="3"/>
      <c r="U328" s="3"/>
      <c r="V328" s="3">
        <v>309</v>
      </c>
      <c r="W328" s="3">
        <f t="shared" si="7"/>
        <v>309</v>
      </c>
      <c r="X328" s="3">
        <f t="shared" si="7"/>
        <v>309</v>
      </c>
      <c r="Y328" s="3">
        <f>ROUNDDOWN(W328/HLOOKUP(D328,[1]Table!$C$3:$D$4,2,0)*8,2)</f>
        <v>5.49</v>
      </c>
      <c r="Z328" s="3">
        <v>4</v>
      </c>
      <c r="AA328" s="3" t="s">
        <v>110</v>
      </c>
      <c r="AB328" s="6">
        <v>43963</v>
      </c>
      <c r="AC328" s="6">
        <v>43958</v>
      </c>
      <c r="AD328" s="6">
        <v>43963</v>
      </c>
      <c r="AE328" s="6">
        <v>43962</v>
      </c>
      <c r="AF328" s="6">
        <v>43962</v>
      </c>
      <c r="AG328" s="6" t="s">
        <v>79</v>
      </c>
      <c r="AH328" s="8">
        <v>1</v>
      </c>
      <c r="AI328" s="8">
        <v>1</v>
      </c>
      <c r="AJ328" s="8">
        <v>0.83</v>
      </c>
      <c r="AK328" s="6" t="s">
        <v>76</v>
      </c>
      <c r="AL328" s="3" t="s">
        <v>797</v>
      </c>
      <c r="AM328" s="3" t="s">
        <v>72</v>
      </c>
      <c r="AN328" s="56" t="s">
        <v>571</v>
      </c>
      <c r="AW328" s="143"/>
    </row>
    <row r="329" spans="2:49" ht="15">
      <c r="B329" s="72">
        <f t="shared" si="3"/>
        <v>102</v>
      </c>
      <c r="C329" s="11">
        <v>20200507</v>
      </c>
      <c r="D329" s="3" t="s">
        <v>24</v>
      </c>
      <c r="E329" s="3" t="s">
        <v>694</v>
      </c>
      <c r="F329" s="39" t="s">
        <v>798</v>
      </c>
      <c r="G329" s="5">
        <v>1453050</v>
      </c>
      <c r="H329" s="15" t="s">
        <v>72</v>
      </c>
      <c r="I329" s="3" t="s">
        <v>799</v>
      </c>
      <c r="J329" s="15" t="s">
        <v>72</v>
      </c>
      <c r="K329" s="3" t="s">
        <v>73</v>
      </c>
      <c r="L329" s="3" t="s">
        <v>696</v>
      </c>
      <c r="M329" s="3" t="s">
        <v>790</v>
      </c>
      <c r="N329" s="3" t="s">
        <v>791</v>
      </c>
      <c r="O329" s="5" t="s">
        <v>72</v>
      </c>
      <c r="P329" s="5" t="s">
        <v>792</v>
      </c>
      <c r="Q329" s="55"/>
      <c r="R329" s="15" t="s">
        <v>72</v>
      </c>
      <c r="S329" s="3" t="s">
        <v>78</v>
      </c>
      <c r="T329" s="3"/>
      <c r="U329" s="3"/>
      <c r="V329" s="3">
        <v>25</v>
      </c>
      <c r="W329" s="3">
        <f t="shared" si="7"/>
        <v>25</v>
      </c>
      <c r="X329" s="3">
        <f t="shared" si="7"/>
        <v>25</v>
      </c>
      <c r="Y329" s="3">
        <f>ROUNDDOWN(W329/HLOOKUP(D329,[1]Table!$C$3:$D$4,2,0)*8,2)</f>
        <v>0.44</v>
      </c>
      <c r="Z329" s="3">
        <v>1</v>
      </c>
      <c r="AA329" s="3" t="s">
        <v>110</v>
      </c>
      <c r="AB329" s="6">
        <v>43963</v>
      </c>
      <c r="AC329" s="6">
        <v>43958</v>
      </c>
      <c r="AD329" s="6">
        <v>43963</v>
      </c>
      <c r="AE329" s="6">
        <v>43962</v>
      </c>
      <c r="AF329" s="6">
        <v>43962</v>
      </c>
      <c r="AG329" s="6" t="s">
        <v>75</v>
      </c>
      <c r="AH329" s="8">
        <v>1</v>
      </c>
      <c r="AI329" s="8">
        <v>1</v>
      </c>
      <c r="AJ329" s="8">
        <v>1</v>
      </c>
      <c r="AK329" s="6" t="s">
        <v>8</v>
      </c>
      <c r="AL329" s="3" t="s">
        <v>72</v>
      </c>
      <c r="AM329" s="3" t="s">
        <v>72</v>
      </c>
      <c r="AN329" s="3" t="s">
        <v>72</v>
      </c>
      <c r="AW329" s="143"/>
    </row>
    <row r="330" spans="2:49" ht="15">
      <c r="B330" s="72">
        <f t="shared" si="3"/>
        <v>103</v>
      </c>
      <c r="C330" s="11">
        <v>20200507</v>
      </c>
      <c r="D330" s="3" t="s">
        <v>24</v>
      </c>
      <c r="E330" s="3" t="s">
        <v>694</v>
      </c>
      <c r="F330" s="39" t="s">
        <v>800</v>
      </c>
      <c r="G330" s="5">
        <v>1453050</v>
      </c>
      <c r="H330" s="15" t="s">
        <v>72</v>
      </c>
      <c r="I330" s="3" t="s">
        <v>801</v>
      </c>
      <c r="J330" s="15" t="s">
        <v>72</v>
      </c>
      <c r="K330" s="3" t="s">
        <v>73</v>
      </c>
      <c r="L330" s="3" t="s">
        <v>696</v>
      </c>
      <c r="M330" s="3" t="s">
        <v>790</v>
      </c>
      <c r="N330" s="3" t="s">
        <v>791</v>
      </c>
      <c r="O330" s="5" t="s">
        <v>72</v>
      </c>
      <c r="P330" s="5" t="s">
        <v>792</v>
      </c>
      <c r="Q330" s="55"/>
      <c r="R330" s="15" t="s">
        <v>72</v>
      </c>
      <c r="S330" s="3" t="s">
        <v>78</v>
      </c>
      <c r="T330" s="3"/>
      <c r="U330" s="3"/>
      <c r="V330" s="3">
        <v>215</v>
      </c>
      <c r="W330" s="3">
        <f t="shared" si="7"/>
        <v>215</v>
      </c>
      <c r="X330" s="3">
        <f t="shared" si="7"/>
        <v>215</v>
      </c>
      <c r="Y330" s="3">
        <f>ROUNDDOWN(W330/HLOOKUP(D330,[1]Table!$C$3:$D$4,2,0)*8,2)</f>
        <v>3.82</v>
      </c>
      <c r="Z330" s="3">
        <v>2</v>
      </c>
      <c r="AA330" s="3" t="s">
        <v>110</v>
      </c>
      <c r="AB330" s="6">
        <v>43963</v>
      </c>
      <c r="AC330" s="6">
        <v>43958</v>
      </c>
      <c r="AD330" s="6">
        <v>43963</v>
      </c>
      <c r="AE330" s="6">
        <v>43962</v>
      </c>
      <c r="AF330" s="6">
        <v>43962</v>
      </c>
      <c r="AG330" s="6" t="s">
        <v>75</v>
      </c>
      <c r="AH330" s="8">
        <v>1</v>
      </c>
      <c r="AI330" s="8">
        <v>1</v>
      </c>
      <c r="AJ330" s="8">
        <v>1</v>
      </c>
      <c r="AK330" s="6" t="s">
        <v>8</v>
      </c>
      <c r="AL330" s="3" t="s">
        <v>72</v>
      </c>
      <c r="AM330" s="3" t="s">
        <v>72</v>
      </c>
      <c r="AN330" s="3" t="s">
        <v>72</v>
      </c>
      <c r="AW330" s="143"/>
    </row>
    <row r="331" spans="2:49" ht="15">
      <c r="B331" s="72">
        <f t="shared" si="3"/>
        <v>104</v>
      </c>
      <c r="C331" s="11">
        <v>20200507</v>
      </c>
      <c r="D331" s="3" t="s">
        <v>24</v>
      </c>
      <c r="E331" s="3" t="s">
        <v>694</v>
      </c>
      <c r="F331" s="39" t="s">
        <v>802</v>
      </c>
      <c r="G331" s="5">
        <v>1453050</v>
      </c>
      <c r="H331" s="15" t="s">
        <v>72</v>
      </c>
      <c r="I331" s="3" t="s">
        <v>803</v>
      </c>
      <c r="J331" s="15" t="s">
        <v>72</v>
      </c>
      <c r="K331" s="3" t="s">
        <v>73</v>
      </c>
      <c r="L331" s="3" t="s">
        <v>696</v>
      </c>
      <c r="M331" s="3" t="s">
        <v>790</v>
      </c>
      <c r="N331" s="3" t="s">
        <v>791</v>
      </c>
      <c r="O331" s="5" t="s">
        <v>72</v>
      </c>
      <c r="P331" s="5" t="s">
        <v>792</v>
      </c>
      <c r="Q331" s="55"/>
      <c r="R331" s="15" t="s">
        <v>72</v>
      </c>
      <c r="S331" s="3" t="s">
        <v>74</v>
      </c>
      <c r="T331" s="3"/>
      <c r="U331" s="3"/>
      <c r="V331" s="3">
        <v>1703</v>
      </c>
      <c r="W331" s="3">
        <f t="shared" si="7"/>
        <v>1703</v>
      </c>
      <c r="X331" s="3">
        <f t="shared" si="7"/>
        <v>1703</v>
      </c>
      <c r="Y331" s="3">
        <f>ROUNDDOWN(W331/HLOOKUP(D331,[1]Table!$C$3:$D$4,2,0)*8,2)</f>
        <v>30.27</v>
      </c>
      <c r="Z331" s="3">
        <v>8</v>
      </c>
      <c r="AA331" s="3" t="s">
        <v>110</v>
      </c>
      <c r="AB331" s="6">
        <v>43963</v>
      </c>
      <c r="AC331" s="6">
        <v>43958</v>
      </c>
      <c r="AD331" s="6">
        <v>43963</v>
      </c>
      <c r="AE331" s="6">
        <v>43959</v>
      </c>
      <c r="AF331" s="6">
        <v>43962</v>
      </c>
      <c r="AG331" s="6" t="s">
        <v>75</v>
      </c>
      <c r="AH331" s="8">
        <v>1</v>
      </c>
      <c r="AI331" s="8">
        <v>1</v>
      </c>
      <c r="AJ331" s="8">
        <v>1</v>
      </c>
      <c r="AK331" s="6" t="s">
        <v>8</v>
      </c>
      <c r="AL331" s="3" t="s">
        <v>72</v>
      </c>
      <c r="AM331" s="3" t="s">
        <v>72</v>
      </c>
      <c r="AN331" s="3" t="s">
        <v>72</v>
      </c>
      <c r="AW331" s="143"/>
    </row>
    <row r="332" spans="2:49" ht="15">
      <c r="B332" s="72">
        <f t="shared" si="3"/>
        <v>105</v>
      </c>
      <c r="C332" s="11">
        <v>20200507</v>
      </c>
      <c r="D332" s="3" t="s">
        <v>24</v>
      </c>
      <c r="E332" s="3" t="s">
        <v>581</v>
      </c>
      <c r="F332" s="39" t="s">
        <v>804</v>
      </c>
      <c r="G332" s="5">
        <v>1444374</v>
      </c>
      <c r="H332" s="15" t="s">
        <v>72</v>
      </c>
      <c r="I332" s="3" t="s">
        <v>805</v>
      </c>
      <c r="J332" s="15" t="s">
        <v>72</v>
      </c>
      <c r="K332" s="3" t="s">
        <v>73</v>
      </c>
      <c r="L332" s="3" t="s">
        <v>584</v>
      </c>
      <c r="M332" s="3" t="s">
        <v>585</v>
      </c>
      <c r="N332" s="3" t="s">
        <v>586</v>
      </c>
      <c r="O332" s="5" t="s">
        <v>72</v>
      </c>
      <c r="P332" s="5" t="s">
        <v>806</v>
      </c>
      <c r="Q332" s="55"/>
      <c r="R332" s="15" t="s">
        <v>72</v>
      </c>
      <c r="S332" s="3" t="s">
        <v>573</v>
      </c>
      <c r="T332" s="3"/>
      <c r="U332" s="3"/>
      <c r="V332" s="3">
        <v>1193</v>
      </c>
      <c r="W332" s="3">
        <f t="shared" si="7"/>
        <v>1193</v>
      </c>
      <c r="X332" s="3">
        <f t="shared" si="7"/>
        <v>1193</v>
      </c>
      <c r="Y332" s="3">
        <f>ROUNDDOWN(W332/HLOOKUP(D332,[1]Table!$C$3:$D$4,2,0)*8,2)</f>
        <v>21.2</v>
      </c>
      <c r="Z332" s="3">
        <v>4</v>
      </c>
      <c r="AA332" s="3" t="s">
        <v>110</v>
      </c>
      <c r="AB332" s="6">
        <v>43963</v>
      </c>
      <c r="AC332" s="6">
        <v>43958</v>
      </c>
      <c r="AD332" s="6">
        <v>43963</v>
      </c>
      <c r="AE332" s="6">
        <v>43959</v>
      </c>
      <c r="AF332" s="6">
        <v>43959</v>
      </c>
      <c r="AG332" s="6" t="s">
        <v>75</v>
      </c>
      <c r="AH332" s="8">
        <v>1</v>
      </c>
      <c r="AI332" s="8">
        <v>1</v>
      </c>
      <c r="AJ332" s="8">
        <v>1</v>
      </c>
      <c r="AK332" s="6" t="s">
        <v>8</v>
      </c>
      <c r="AL332" s="3" t="s">
        <v>72</v>
      </c>
      <c r="AM332" s="3" t="s">
        <v>72</v>
      </c>
      <c r="AN332" s="3" t="s">
        <v>72</v>
      </c>
      <c r="AW332" s="143"/>
    </row>
    <row r="333" spans="2:49" ht="15">
      <c r="B333" s="73">
        <f t="shared" si="3"/>
        <v>106</v>
      </c>
      <c r="C333" s="74">
        <v>20200508</v>
      </c>
      <c r="D333" s="74" t="s">
        <v>24</v>
      </c>
      <c r="E333" s="74" t="s">
        <v>30</v>
      </c>
      <c r="F333" s="75" t="s">
        <v>807</v>
      </c>
      <c r="G333" s="76">
        <v>1457196</v>
      </c>
      <c r="H333" s="76" t="s">
        <v>72</v>
      </c>
      <c r="I333" s="74" t="s">
        <v>31</v>
      </c>
      <c r="J333" s="76" t="s">
        <v>72</v>
      </c>
      <c r="K333" s="74" t="s">
        <v>73</v>
      </c>
      <c r="L333" s="74" t="s">
        <v>8</v>
      </c>
      <c r="M333" s="74" t="s">
        <v>8</v>
      </c>
      <c r="N333" s="74" t="s">
        <v>26</v>
      </c>
      <c r="O333" s="76" t="s">
        <v>72</v>
      </c>
      <c r="P333" s="76" t="s">
        <v>25</v>
      </c>
      <c r="Q333" s="74"/>
      <c r="R333" s="76" t="s">
        <v>72</v>
      </c>
      <c r="S333" s="74"/>
      <c r="T333" s="74"/>
      <c r="U333" s="74"/>
      <c r="V333" s="74"/>
      <c r="W333" s="74"/>
      <c r="X333" s="74"/>
      <c r="Y333" s="74"/>
      <c r="Z333" s="74"/>
      <c r="AA333" s="74"/>
      <c r="AB333" s="77"/>
      <c r="AC333" s="77">
        <v>43959</v>
      </c>
      <c r="AD333" s="77">
        <v>43965</v>
      </c>
      <c r="AE333" s="77"/>
      <c r="AF333" s="77"/>
      <c r="AG333" s="77"/>
      <c r="AH333" s="78"/>
      <c r="AI333" s="78"/>
      <c r="AJ333" s="78"/>
      <c r="AK333" s="77"/>
      <c r="AL333" s="74"/>
      <c r="AM333" s="74"/>
      <c r="AN333" s="79" t="s">
        <v>808</v>
      </c>
      <c r="AW333" s="143"/>
    </row>
    <row r="334" spans="2:49" ht="15">
      <c r="B334" s="73">
        <f t="shared" si="3"/>
        <v>107</v>
      </c>
      <c r="C334" s="74">
        <v>20200508</v>
      </c>
      <c r="D334" s="74" t="s">
        <v>24</v>
      </c>
      <c r="E334" s="74" t="s">
        <v>30</v>
      </c>
      <c r="F334" s="75" t="s">
        <v>807</v>
      </c>
      <c r="G334" s="76">
        <v>1457196</v>
      </c>
      <c r="H334" s="76" t="s">
        <v>72</v>
      </c>
      <c r="I334" s="74" t="s">
        <v>32</v>
      </c>
      <c r="J334" s="76" t="s">
        <v>72</v>
      </c>
      <c r="K334" s="74" t="s">
        <v>73</v>
      </c>
      <c r="L334" s="74" t="s">
        <v>8</v>
      </c>
      <c r="M334" s="74" t="s">
        <v>8</v>
      </c>
      <c r="N334" s="74" t="s">
        <v>26</v>
      </c>
      <c r="O334" s="76" t="s">
        <v>72</v>
      </c>
      <c r="P334" s="76" t="s">
        <v>25</v>
      </c>
      <c r="Q334" s="74"/>
      <c r="R334" s="76" t="s">
        <v>72</v>
      </c>
      <c r="S334" s="74"/>
      <c r="T334" s="74"/>
      <c r="U334" s="74"/>
      <c r="V334" s="74"/>
      <c r="W334" s="74"/>
      <c r="X334" s="74"/>
      <c r="Y334" s="74"/>
      <c r="Z334" s="74"/>
      <c r="AA334" s="74"/>
      <c r="AB334" s="77"/>
      <c r="AC334" s="77">
        <v>43959</v>
      </c>
      <c r="AD334" s="77">
        <v>43965</v>
      </c>
      <c r="AE334" s="77"/>
      <c r="AF334" s="77"/>
      <c r="AG334" s="77"/>
      <c r="AH334" s="78"/>
      <c r="AI334" s="78"/>
      <c r="AJ334" s="78"/>
      <c r="AK334" s="77"/>
      <c r="AL334" s="80"/>
      <c r="AM334" s="80"/>
      <c r="AN334" s="79" t="s">
        <v>808</v>
      </c>
      <c r="AW334" s="143"/>
    </row>
    <row r="335" spans="2:49" ht="15">
      <c r="B335" s="73">
        <f t="shared" si="3"/>
        <v>108</v>
      </c>
      <c r="C335" s="74">
        <v>20200508</v>
      </c>
      <c r="D335" s="74" t="s">
        <v>24</v>
      </c>
      <c r="E335" s="74" t="s">
        <v>30</v>
      </c>
      <c r="F335" s="75" t="s">
        <v>809</v>
      </c>
      <c r="G335" s="76">
        <v>1457196</v>
      </c>
      <c r="H335" s="76" t="s">
        <v>72</v>
      </c>
      <c r="I335" s="74" t="s">
        <v>33</v>
      </c>
      <c r="J335" s="76" t="s">
        <v>72</v>
      </c>
      <c r="K335" s="74" t="s">
        <v>73</v>
      </c>
      <c r="L335" s="74" t="s">
        <v>8</v>
      </c>
      <c r="M335" s="74" t="s">
        <v>8</v>
      </c>
      <c r="N335" s="74" t="s">
        <v>26</v>
      </c>
      <c r="O335" s="76" t="s">
        <v>72</v>
      </c>
      <c r="P335" s="76" t="s">
        <v>25</v>
      </c>
      <c r="Q335" s="74"/>
      <c r="R335" s="76" t="s">
        <v>72</v>
      </c>
      <c r="S335" s="74"/>
      <c r="T335" s="74"/>
      <c r="U335" s="74"/>
      <c r="V335" s="74"/>
      <c r="W335" s="74"/>
      <c r="X335" s="74"/>
      <c r="Y335" s="74"/>
      <c r="Z335" s="74"/>
      <c r="AA335" s="74"/>
      <c r="AB335" s="77"/>
      <c r="AC335" s="77">
        <v>43959</v>
      </c>
      <c r="AD335" s="77">
        <v>43965</v>
      </c>
      <c r="AE335" s="77">
        <v>43963</v>
      </c>
      <c r="AF335" s="77">
        <v>43963</v>
      </c>
      <c r="AG335" s="77" t="s">
        <v>75</v>
      </c>
      <c r="AH335" s="78">
        <v>1</v>
      </c>
      <c r="AI335" s="78">
        <v>1</v>
      </c>
      <c r="AJ335" s="78">
        <v>1</v>
      </c>
      <c r="AK335" s="77" t="s">
        <v>8</v>
      </c>
      <c r="AL335" s="80"/>
      <c r="AM335" s="80"/>
      <c r="AN335" s="79" t="s">
        <v>808</v>
      </c>
      <c r="AW335" s="143"/>
    </row>
    <row r="336" spans="2:49" ht="15">
      <c r="B336" s="73">
        <f t="shared" si="3"/>
        <v>109</v>
      </c>
      <c r="C336" s="74">
        <v>20200508</v>
      </c>
      <c r="D336" s="74" t="s">
        <v>24</v>
      </c>
      <c r="E336" s="74" t="s">
        <v>30</v>
      </c>
      <c r="F336" s="75" t="s">
        <v>810</v>
      </c>
      <c r="G336" s="76">
        <v>1457196</v>
      </c>
      <c r="H336" s="76" t="s">
        <v>72</v>
      </c>
      <c r="I336" s="74" t="s">
        <v>34</v>
      </c>
      <c r="J336" s="76" t="s">
        <v>72</v>
      </c>
      <c r="K336" s="74" t="s">
        <v>73</v>
      </c>
      <c r="L336" s="74" t="s">
        <v>8</v>
      </c>
      <c r="M336" s="74" t="s">
        <v>8</v>
      </c>
      <c r="N336" s="74" t="s">
        <v>26</v>
      </c>
      <c r="O336" s="76" t="s">
        <v>72</v>
      </c>
      <c r="P336" s="76" t="s">
        <v>25</v>
      </c>
      <c r="Q336" s="74"/>
      <c r="R336" s="76" t="s">
        <v>72</v>
      </c>
      <c r="S336" s="74"/>
      <c r="T336" s="74"/>
      <c r="U336" s="74"/>
      <c r="V336" s="74"/>
      <c r="W336" s="74"/>
      <c r="X336" s="74"/>
      <c r="Y336" s="74"/>
      <c r="Z336" s="74"/>
      <c r="AA336" s="74"/>
      <c r="AB336" s="77"/>
      <c r="AC336" s="77">
        <v>43959</v>
      </c>
      <c r="AD336" s="77">
        <v>43965</v>
      </c>
      <c r="AE336" s="77"/>
      <c r="AF336" s="77"/>
      <c r="AG336" s="77"/>
      <c r="AH336" s="78"/>
      <c r="AI336" s="78"/>
      <c r="AJ336" s="78"/>
      <c r="AK336" s="77"/>
      <c r="AL336" s="80"/>
      <c r="AM336" s="80"/>
      <c r="AN336" s="79" t="s">
        <v>808</v>
      </c>
      <c r="AW336" s="143"/>
    </row>
    <row r="337" spans="2:49" ht="15">
      <c r="B337" s="73">
        <f t="shared" si="3"/>
        <v>110</v>
      </c>
      <c r="C337" s="74">
        <v>20200508</v>
      </c>
      <c r="D337" s="74" t="s">
        <v>24</v>
      </c>
      <c r="E337" s="74" t="s">
        <v>30</v>
      </c>
      <c r="F337" s="75" t="s">
        <v>811</v>
      </c>
      <c r="G337" s="76">
        <v>1457196</v>
      </c>
      <c r="H337" s="76" t="s">
        <v>72</v>
      </c>
      <c r="I337" s="74" t="s">
        <v>35</v>
      </c>
      <c r="J337" s="76" t="s">
        <v>72</v>
      </c>
      <c r="K337" s="74" t="s">
        <v>73</v>
      </c>
      <c r="L337" s="74" t="s">
        <v>8</v>
      </c>
      <c r="M337" s="74" t="s">
        <v>8</v>
      </c>
      <c r="N337" s="74" t="s">
        <v>26</v>
      </c>
      <c r="O337" s="76" t="s">
        <v>72</v>
      </c>
      <c r="P337" s="76" t="s">
        <v>25</v>
      </c>
      <c r="Q337" s="74"/>
      <c r="R337" s="76" t="s">
        <v>72</v>
      </c>
      <c r="S337" s="74"/>
      <c r="T337" s="74"/>
      <c r="U337" s="74"/>
      <c r="V337" s="74"/>
      <c r="W337" s="74"/>
      <c r="X337" s="74"/>
      <c r="Y337" s="74"/>
      <c r="Z337" s="74"/>
      <c r="AA337" s="74"/>
      <c r="AB337" s="77"/>
      <c r="AC337" s="77">
        <v>43959</v>
      </c>
      <c r="AD337" s="77">
        <v>43965</v>
      </c>
      <c r="AE337" s="77"/>
      <c r="AF337" s="77"/>
      <c r="AG337" s="77"/>
      <c r="AH337" s="78"/>
      <c r="AI337" s="78"/>
      <c r="AJ337" s="78"/>
      <c r="AK337" s="77"/>
      <c r="AL337" s="80"/>
      <c r="AM337" s="80"/>
      <c r="AN337" s="79" t="s">
        <v>808</v>
      </c>
      <c r="AW337" s="143"/>
    </row>
    <row r="338" spans="2:49" ht="15">
      <c r="B338" s="73">
        <f t="shared" si="3"/>
        <v>111</v>
      </c>
      <c r="C338" s="74">
        <v>20200508</v>
      </c>
      <c r="D338" s="74" t="s">
        <v>24</v>
      </c>
      <c r="E338" s="74" t="s">
        <v>30</v>
      </c>
      <c r="F338" s="75" t="s">
        <v>812</v>
      </c>
      <c r="G338" s="76">
        <v>1457196</v>
      </c>
      <c r="H338" s="76" t="s">
        <v>72</v>
      </c>
      <c r="I338" s="74" t="s">
        <v>36</v>
      </c>
      <c r="J338" s="76" t="s">
        <v>72</v>
      </c>
      <c r="K338" s="74" t="s">
        <v>73</v>
      </c>
      <c r="L338" s="74" t="s">
        <v>8</v>
      </c>
      <c r="M338" s="74" t="s">
        <v>8</v>
      </c>
      <c r="N338" s="74" t="s">
        <v>26</v>
      </c>
      <c r="O338" s="76" t="s">
        <v>72</v>
      </c>
      <c r="P338" s="76" t="s">
        <v>25</v>
      </c>
      <c r="Q338" s="74"/>
      <c r="R338" s="76" t="s">
        <v>72</v>
      </c>
      <c r="S338" s="74"/>
      <c r="T338" s="74"/>
      <c r="U338" s="74"/>
      <c r="V338" s="74"/>
      <c r="W338" s="74"/>
      <c r="X338" s="74"/>
      <c r="Y338" s="74"/>
      <c r="Z338" s="74"/>
      <c r="AA338" s="74"/>
      <c r="AB338" s="77"/>
      <c r="AC338" s="77">
        <v>43959</v>
      </c>
      <c r="AD338" s="77">
        <v>43965</v>
      </c>
      <c r="AE338" s="77"/>
      <c r="AF338" s="77"/>
      <c r="AG338" s="77"/>
      <c r="AH338" s="78"/>
      <c r="AI338" s="78"/>
      <c r="AJ338" s="78"/>
      <c r="AK338" s="77"/>
      <c r="AL338" s="74"/>
      <c r="AM338" s="74"/>
      <c r="AN338" s="79" t="s">
        <v>808</v>
      </c>
      <c r="AW338" s="143"/>
    </row>
    <row r="339" spans="2:49" ht="15">
      <c r="B339" s="73">
        <f t="shared" si="3"/>
        <v>112</v>
      </c>
      <c r="C339" s="74">
        <v>20200508</v>
      </c>
      <c r="D339" s="74" t="s">
        <v>24</v>
      </c>
      <c r="E339" s="74" t="s">
        <v>30</v>
      </c>
      <c r="F339" s="75" t="s">
        <v>813</v>
      </c>
      <c r="G339" s="76">
        <v>1457196</v>
      </c>
      <c r="H339" s="76" t="s">
        <v>72</v>
      </c>
      <c r="I339" s="74" t="s">
        <v>37</v>
      </c>
      <c r="J339" s="76" t="s">
        <v>72</v>
      </c>
      <c r="K339" s="74" t="s">
        <v>73</v>
      </c>
      <c r="L339" s="74" t="s">
        <v>8</v>
      </c>
      <c r="M339" s="74" t="s">
        <v>8</v>
      </c>
      <c r="N339" s="74" t="s">
        <v>26</v>
      </c>
      <c r="O339" s="76" t="s">
        <v>72</v>
      </c>
      <c r="P339" s="76" t="s">
        <v>25</v>
      </c>
      <c r="Q339" s="74"/>
      <c r="R339" s="76" t="s">
        <v>72</v>
      </c>
      <c r="S339" s="74"/>
      <c r="T339" s="74"/>
      <c r="U339" s="74"/>
      <c r="V339" s="74"/>
      <c r="W339" s="74"/>
      <c r="X339" s="74"/>
      <c r="Y339" s="74"/>
      <c r="Z339" s="74"/>
      <c r="AA339" s="74"/>
      <c r="AB339" s="77"/>
      <c r="AC339" s="77">
        <v>43959</v>
      </c>
      <c r="AD339" s="77">
        <v>43965</v>
      </c>
      <c r="AE339" s="77">
        <v>43963</v>
      </c>
      <c r="AF339" s="77">
        <v>43963</v>
      </c>
      <c r="AG339" s="77" t="s">
        <v>79</v>
      </c>
      <c r="AH339" s="78">
        <v>0.99</v>
      </c>
      <c r="AI339" s="78">
        <v>0.97</v>
      </c>
      <c r="AJ339" s="78">
        <v>1</v>
      </c>
      <c r="AK339" s="77" t="s">
        <v>76</v>
      </c>
      <c r="AL339" s="119" t="s">
        <v>814</v>
      </c>
      <c r="AM339" s="74"/>
      <c r="AN339" s="79" t="s">
        <v>808</v>
      </c>
      <c r="AW339" s="143"/>
    </row>
    <row r="340" spans="2:49" ht="15">
      <c r="B340" s="73">
        <f t="shared" si="3"/>
        <v>113</v>
      </c>
      <c r="C340" s="74">
        <v>20200508</v>
      </c>
      <c r="D340" s="74" t="s">
        <v>24</v>
      </c>
      <c r="E340" s="74" t="s">
        <v>30</v>
      </c>
      <c r="F340" s="75" t="s">
        <v>815</v>
      </c>
      <c r="G340" s="76">
        <v>1457196</v>
      </c>
      <c r="H340" s="76" t="s">
        <v>72</v>
      </c>
      <c r="I340" s="74" t="s">
        <v>38</v>
      </c>
      <c r="J340" s="76" t="s">
        <v>72</v>
      </c>
      <c r="K340" s="74" t="s">
        <v>73</v>
      </c>
      <c r="L340" s="74" t="s">
        <v>8</v>
      </c>
      <c r="M340" s="74" t="s">
        <v>8</v>
      </c>
      <c r="N340" s="74" t="s">
        <v>26</v>
      </c>
      <c r="O340" s="76" t="s">
        <v>72</v>
      </c>
      <c r="P340" s="76" t="s">
        <v>25</v>
      </c>
      <c r="Q340" s="74"/>
      <c r="R340" s="76" t="s">
        <v>72</v>
      </c>
      <c r="S340" s="74"/>
      <c r="T340" s="74"/>
      <c r="U340" s="74"/>
      <c r="V340" s="74"/>
      <c r="W340" s="74"/>
      <c r="X340" s="74"/>
      <c r="Y340" s="74"/>
      <c r="Z340" s="74"/>
      <c r="AA340" s="74"/>
      <c r="AB340" s="77"/>
      <c r="AC340" s="77">
        <v>43959</v>
      </c>
      <c r="AD340" s="77">
        <v>43965</v>
      </c>
      <c r="AE340" s="77"/>
      <c r="AF340" s="77"/>
      <c r="AG340" s="77"/>
      <c r="AH340" s="78"/>
      <c r="AI340" s="78"/>
      <c r="AJ340" s="78"/>
      <c r="AK340" s="77"/>
      <c r="AL340" s="74"/>
      <c r="AM340" s="74"/>
      <c r="AN340" s="79" t="s">
        <v>808</v>
      </c>
      <c r="AW340" s="143"/>
    </row>
    <row r="341" spans="2:49" ht="15">
      <c r="B341" s="73">
        <f t="shared" si="3"/>
        <v>114</v>
      </c>
      <c r="C341" s="74">
        <v>20200508</v>
      </c>
      <c r="D341" s="74" t="s">
        <v>24</v>
      </c>
      <c r="E341" s="74" t="s">
        <v>30</v>
      </c>
      <c r="F341" s="75" t="s">
        <v>816</v>
      </c>
      <c r="G341" s="76">
        <v>1457196</v>
      </c>
      <c r="H341" s="76" t="s">
        <v>72</v>
      </c>
      <c r="I341" s="74" t="s">
        <v>39</v>
      </c>
      <c r="J341" s="76" t="s">
        <v>72</v>
      </c>
      <c r="K341" s="74" t="s">
        <v>73</v>
      </c>
      <c r="L341" s="74" t="s">
        <v>8</v>
      </c>
      <c r="M341" s="74" t="s">
        <v>8</v>
      </c>
      <c r="N341" s="74" t="s">
        <v>26</v>
      </c>
      <c r="O341" s="76" t="s">
        <v>72</v>
      </c>
      <c r="P341" s="76" t="s">
        <v>25</v>
      </c>
      <c r="Q341" s="74"/>
      <c r="R341" s="76" t="s">
        <v>72</v>
      </c>
      <c r="S341" s="74"/>
      <c r="T341" s="74"/>
      <c r="U341" s="74"/>
      <c r="V341" s="74"/>
      <c r="W341" s="74"/>
      <c r="X341" s="74"/>
      <c r="Y341" s="74"/>
      <c r="Z341" s="74"/>
      <c r="AA341" s="74"/>
      <c r="AB341" s="77"/>
      <c r="AC341" s="77">
        <v>43959</v>
      </c>
      <c r="AD341" s="77">
        <v>43965</v>
      </c>
      <c r="AE341" s="77"/>
      <c r="AF341" s="77"/>
      <c r="AG341" s="77"/>
      <c r="AH341" s="78"/>
      <c r="AI341" s="78"/>
      <c r="AJ341" s="78"/>
      <c r="AK341" s="77"/>
      <c r="AL341" s="74"/>
      <c r="AM341" s="74"/>
      <c r="AN341" s="79" t="s">
        <v>808</v>
      </c>
      <c r="AW341" s="143"/>
    </row>
    <row r="342" spans="2:49" ht="15">
      <c r="B342" s="44">
        <f t="shared" si="3"/>
        <v>115</v>
      </c>
      <c r="C342" s="11">
        <v>20200508</v>
      </c>
      <c r="D342" s="3" t="s">
        <v>24</v>
      </c>
      <c r="E342" s="3" t="s">
        <v>30</v>
      </c>
      <c r="F342" s="39" t="s">
        <v>817</v>
      </c>
      <c r="G342" s="5">
        <v>1457196</v>
      </c>
      <c r="H342" s="81" t="s">
        <v>72</v>
      </c>
      <c r="I342" s="3" t="s">
        <v>40</v>
      </c>
      <c r="J342" s="81" t="s">
        <v>72</v>
      </c>
      <c r="K342" s="3" t="s">
        <v>73</v>
      </c>
      <c r="L342" s="3" t="s">
        <v>8</v>
      </c>
      <c r="M342" s="3" t="s">
        <v>8</v>
      </c>
      <c r="N342" s="3" t="s">
        <v>26</v>
      </c>
      <c r="O342" s="5" t="s">
        <v>72</v>
      </c>
      <c r="P342" s="5" t="s">
        <v>25</v>
      </c>
      <c r="Q342" s="55"/>
      <c r="R342" s="81" t="s">
        <v>72</v>
      </c>
      <c r="S342" s="3" t="s">
        <v>78</v>
      </c>
      <c r="T342" s="3"/>
      <c r="U342" s="3"/>
      <c r="V342" s="3">
        <v>107</v>
      </c>
      <c r="W342" s="3">
        <v>107</v>
      </c>
      <c r="X342" s="3">
        <v>107</v>
      </c>
      <c r="Y342" s="3">
        <f>ROUNDDOWN(W342/HLOOKUP(D342,[1]Table!$C$3:$D$4,2,0)*8,2)</f>
        <v>1.9</v>
      </c>
      <c r="Z342" s="3">
        <v>0.5</v>
      </c>
      <c r="AA342" s="3" t="s">
        <v>550</v>
      </c>
      <c r="AB342" s="6">
        <v>43964</v>
      </c>
      <c r="AC342" s="6">
        <v>43959</v>
      </c>
      <c r="AD342" s="6">
        <v>43965</v>
      </c>
      <c r="AE342" s="6">
        <v>43962</v>
      </c>
      <c r="AF342" s="6">
        <v>43962</v>
      </c>
      <c r="AG342" s="6" t="s">
        <v>75</v>
      </c>
      <c r="AH342" s="8">
        <v>1</v>
      </c>
      <c r="AI342" s="8">
        <v>1</v>
      </c>
      <c r="AJ342" s="8">
        <v>1</v>
      </c>
      <c r="AK342" s="6" t="s">
        <v>8</v>
      </c>
      <c r="AL342" s="3" t="s">
        <v>72</v>
      </c>
      <c r="AM342" s="3" t="s">
        <v>72</v>
      </c>
      <c r="AN342" s="3" t="s">
        <v>72</v>
      </c>
      <c r="AW342" s="143"/>
    </row>
    <row r="343" spans="2:49" ht="15">
      <c r="B343" s="73">
        <f t="shared" si="3"/>
        <v>116</v>
      </c>
      <c r="C343" s="74">
        <v>20200508</v>
      </c>
      <c r="D343" s="74" t="s">
        <v>24</v>
      </c>
      <c r="E343" s="74" t="s">
        <v>30</v>
      </c>
      <c r="F343" s="75" t="s">
        <v>818</v>
      </c>
      <c r="G343" s="76">
        <v>1457196</v>
      </c>
      <c r="H343" s="76" t="s">
        <v>72</v>
      </c>
      <c r="I343" s="74" t="s">
        <v>41</v>
      </c>
      <c r="J343" s="76" t="s">
        <v>72</v>
      </c>
      <c r="K343" s="74" t="s">
        <v>73</v>
      </c>
      <c r="L343" s="74" t="s">
        <v>8</v>
      </c>
      <c r="M343" s="74" t="s">
        <v>8</v>
      </c>
      <c r="N343" s="74" t="s">
        <v>26</v>
      </c>
      <c r="O343" s="76" t="s">
        <v>72</v>
      </c>
      <c r="P343" s="76" t="s">
        <v>25</v>
      </c>
      <c r="Q343" s="74"/>
      <c r="R343" s="76" t="s">
        <v>72</v>
      </c>
      <c r="S343" s="74"/>
      <c r="T343" s="74"/>
      <c r="U343" s="74"/>
      <c r="V343" s="74"/>
      <c r="W343" s="74"/>
      <c r="X343" s="74"/>
      <c r="Y343" s="74"/>
      <c r="Z343" s="74"/>
      <c r="AA343" s="74"/>
      <c r="AB343" s="77"/>
      <c r="AC343" s="77">
        <v>43959</v>
      </c>
      <c r="AD343" s="77">
        <v>43965</v>
      </c>
      <c r="AE343" s="77"/>
      <c r="AF343" s="77"/>
      <c r="AG343" s="77"/>
      <c r="AH343" s="78"/>
      <c r="AI343" s="78"/>
      <c r="AJ343" s="78"/>
      <c r="AK343" s="77"/>
      <c r="AL343" s="74"/>
      <c r="AM343" s="74"/>
      <c r="AN343" s="79" t="s">
        <v>808</v>
      </c>
      <c r="AW343" s="143"/>
    </row>
    <row r="344" spans="2:49" ht="15">
      <c r="B344" s="73">
        <f t="shared" si="3"/>
        <v>117</v>
      </c>
      <c r="C344" s="74">
        <v>20200508</v>
      </c>
      <c r="D344" s="74" t="s">
        <v>24</v>
      </c>
      <c r="E344" s="74" t="s">
        <v>30</v>
      </c>
      <c r="F344" s="75" t="s">
        <v>819</v>
      </c>
      <c r="G344" s="76">
        <v>1457196</v>
      </c>
      <c r="H344" s="76" t="s">
        <v>72</v>
      </c>
      <c r="I344" s="74" t="s">
        <v>42</v>
      </c>
      <c r="J344" s="76" t="s">
        <v>72</v>
      </c>
      <c r="K344" s="74" t="s">
        <v>73</v>
      </c>
      <c r="L344" s="74" t="s">
        <v>8</v>
      </c>
      <c r="M344" s="74" t="s">
        <v>8</v>
      </c>
      <c r="N344" s="74" t="s">
        <v>26</v>
      </c>
      <c r="O344" s="76" t="s">
        <v>72</v>
      </c>
      <c r="P344" s="76" t="s">
        <v>25</v>
      </c>
      <c r="Q344" s="74"/>
      <c r="R344" s="76" t="s">
        <v>72</v>
      </c>
      <c r="S344" s="74"/>
      <c r="T344" s="74"/>
      <c r="U344" s="74"/>
      <c r="V344" s="74"/>
      <c r="W344" s="74"/>
      <c r="X344" s="74"/>
      <c r="Y344" s="74"/>
      <c r="Z344" s="74"/>
      <c r="AA344" s="74"/>
      <c r="AB344" s="77"/>
      <c r="AC344" s="77">
        <v>43959</v>
      </c>
      <c r="AD344" s="77">
        <v>43965</v>
      </c>
      <c r="AE344" s="77"/>
      <c r="AF344" s="77"/>
      <c r="AG344" s="77"/>
      <c r="AH344" s="78"/>
      <c r="AI344" s="78"/>
      <c r="AJ344" s="78"/>
      <c r="AK344" s="77"/>
      <c r="AL344" s="74"/>
      <c r="AM344" s="74"/>
      <c r="AN344" s="79" t="s">
        <v>808</v>
      </c>
      <c r="AW344" s="143"/>
    </row>
    <row r="345" spans="2:49" ht="15">
      <c r="B345" s="73">
        <f t="shared" si="3"/>
        <v>118</v>
      </c>
      <c r="C345" s="74">
        <v>20200508</v>
      </c>
      <c r="D345" s="74" t="s">
        <v>24</v>
      </c>
      <c r="E345" s="74" t="s">
        <v>30</v>
      </c>
      <c r="F345" s="75" t="s">
        <v>820</v>
      </c>
      <c r="G345" s="76">
        <v>1457196</v>
      </c>
      <c r="H345" s="76" t="s">
        <v>72</v>
      </c>
      <c r="I345" s="74" t="s">
        <v>43</v>
      </c>
      <c r="J345" s="76" t="s">
        <v>72</v>
      </c>
      <c r="K345" s="74" t="s">
        <v>73</v>
      </c>
      <c r="L345" s="74" t="s">
        <v>8</v>
      </c>
      <c r="M345" s="74" t="s">
        <v>8</v>
      </c>
      <c r="N345" s="74" t="s">
        <v>26</v>
      </c>
      <c r="O345" s="76" t="s">
        <v>72</v>
      </c>
      <c r="P345" s="76" t="s">
        <v>25</v>
      </c>
      <c r="Q345" s="74"/>
      <c r="R345" s="76" t="s">
        <v>72</v>
      </c>
      <c r="S345" s="74"/>
      <c r="T345" s="74"/>
      <c r="U345" s="74"/>
      <c r="V345" s="74"/>
      <c r="W345" s="74"/>
      <c r="X345" s="74"/>
      <c r="Y345" s="74"/>
      <c r="Z345" s="74"/>
      <c r="AA345" s="74"/>
      <c r="AB345" s="77"/>
      <c r="AC345" s="77">
        <v>43959</v>
      </c>
      <c r="AD345" s="77">
        <v>43965</v>
      </c>
      <c r="AE345" s="77"/>
      <c r="AF345" s="77"/>
      <c r="AG345" s="77"/>
      <c r="AH345" s="78"/>
      <c r="AI345" s="78"/>
      <c r="AJ345" s="78"/>
      <c r="AK345" s="77"/>
      <c r="AL345" s="74"/>
      <c r="AM345" s="74"/>
      <c r="AN345" s="79" t="s">
        <v>808</v>
      </c>
      <c r="AW345" s="143"/>
    </row>
    <row r="346" spans="2:49" ht="15">
      <c r="B346" s="73">
        <f t="shared" si="3"/>
        <v>119</v>
      </c>
      <c r="C346" s="74">
        <v>20200508</v>
      </c>
      <c r="D346" s="74" t="s">
        <v>24</v>
      </c>
      <c r="E346" s="74" t="s">
        <v>30</v>
      </c>
      <c r="F346" s="76" t="s">
        <v>44</v>
      </c>
      <c r="G346" s="76">
        <v>1457196</v>
      </c>
      <c r="H346" s="76" t="s">
        <v>72</v>
      </c>
      <c r="I346" s="74" t="s">
        <v>45</v>
      </c>
      <c r="J346" s="76" t="s">
        <v>72</v>
      </c>
      <c r="K346" s="74" t="s">
        <v>73</v>
      </c>
      <c r="L346" s="74" t="s">
        <v>8</v>
      </c>
      <c r="M346" s="74" t="s">
        <v>8</v>
      </c>
      <c r="N346" s="74" t="s">
        <v>26</v>
      </c>
      <c r="O346" s="76" t="s">
        <v>72</v>
      </c>
      <c r="P346" s="76" t="s">
        <v>25</v>
      </c>
      <c r="Q346" s="74"/>
      <c r="R346" s="76" t="s">
        <v>72</v>
      </c>
      <c r="S346" s="74"/>
      <c r="T346" s="74"/>
      <c r="U346" s="74"/>
      <c r="V346" s="74"/>
      <c r="W346" s="74"/>
      <c r="X346" s="74"/>
      <c r="Y346" s="74"/>
      <c r="Z346" s="74"/>
      <c r="AA346" s="74"/>
      <c r="AB346" s="77"/>
      <c r="AC346" s="77">
        <v>43959</v>
      </c>
      <c r="AD346" s="77">
        <v>43965</v>
      </c>
      <c r="AE346" s="77"/>
      <c r="AF346" s="77"/>
      <c r="AG346" s="77"/>
      <c r="AH346" s="78"/>
      <c r="AI346" s="78"/>
      <c r="AJ346" s="78"/>
      <c r="AK346" s="77"/>
      <c r="AL346" s="74"/>
      <c r="AM346" s="74"/>
      <c r="AN346" s="79" t="s">
        <v>808</v>
      </c>
      <c r="AW346" s="143"/>
    </row>
    <row r="347" spans="2:49" ht="15">
      <c r="B347" s="73">
        <f t="shared" si="3"/>
        <v>120</v>
      </c>
      <c r="C347" s="74">
        <v>20200508</v>
      </c>
      <c r="D347" s="74" t="s">
        <v>24</v>
      </c>
      <c r="E347" s="74" t="s">
        <v>30</v>
      </c>
      <c r="F347" s="76" t="s">
        <v>46</v>
      </c>
      <c r="G347" s="76">
        <v>1457196</v>
      </c>
      <c r="H347" s="76" t="s">
        <v>72</v>
      </c>
      <c r="I347" s="74" t="s">
        <v>47</v>
      </c>
      <c r="J347" s="76" t="s">
        <v>72</v>
      </c>
      <c r="K347" s="74" t="s">
        <v>73</v>
      </c>
      <c r="L347" s="74" t="s">
        <v>8</v>
      </c>
      <c r="M347" s="74" t="s">
        <v>8</v>
      </c>
      <c r="N347" s="74" t="s">
        <v>26</v>
      </c>
      <c r="O347" s="76" t="s">
        <v>72</v>
      </c>
      <c r="P347" s="76" t="s">
        <v>25</v>
      </c>
      <c r="Q347" s="74"/>
      <c r="R347" s="76" t="s">
        <v>72</v>
      </c>
      <c r="S347" s="74"/>
      <c r="T347" s="74"/>
      <c r="U347" s="74"/>
      <c r="V347" s="74"/>
      <c r="W347" s="74"/>
      <c r="X347" s="74"/>
      <c r="Y347" s="74"/>
      <c r="Z347" s="74"/>
      <c r="AA347" s="74"/>
      <c r="AB347" s="77"/>
      <c r="AC347" s="77">
        <v>43959</v>
      </c>
      <c r="AD347" s="77">
        <v>43965</v>
      </c>
      <c r="AE347" s="77"/>
      <c r="AF347" s="77"/>
      <c r="AG347" s="77"/>
      <c r="AH347" s="78"/>
      <c r="AI347" s="78"/>
      <c r="AJ347" s="78"/>
      <c r="AK347" s="77"/>
      <c r="AL347" s="74"/>
      <c r="AM347" s="74"/>
      <c r="AN347" s="79" t="s">
        <v>808</v>
      </c>
      <c r="AW347" s="143"/>
    </row>
    <row r="348" spans="2:49" ht="15">
      <c r="B348" s="44">
        <f t="shared" si="3"/>
        <v>121</v>
      </c>
      <c r="C348" s="11">
        <v>20200508</v>
      </c>
      <c r="D348" s="3" t="s">
        <v>24</v>
      </c>
      <c r="E348" s="3" t="s">
        <v>48</v>
      </c>
      <c r="F348" s="4" t="s">
        <v>71</v>
      </c>
      <c r="G348" s="5">
        <v>1457821</v>
      </c>
      <c r="H348" s="15" t="s">
        <v>72</v>
      </c>
      <c r="I348" s="3" t="s">
        <v>49</v>
      </c>
      <c r="J348" s="15" t="s">
        <v>72</v>
      </c>
      <c r="K348" s="3" t="s">
        <v>73</v>
      </c>
      <c r="L348" s="3" t="s">
        <v>27</v>
      </c>
      <c r="M348" s="3" t="s">
        <v>22</v>
      </c>
      <c r="N348" s="3" t="s">
        <v>9</v>
      </c>
      <c r="O348" s="5" t="s">
        <v>72</v>
      </c>
      <c r="P348" s="5" t="s">
        <v>7</v>
      </c>
      <c r="Q348" s="55"/>
      <c r="R348" s="15" t="s">
        <v>72</v>
      </c>
      <c r="S348" s="3" t="s">
        <v>74</v>
      </c>
      <c r="T348" s="3"/>
      <c r="U348" s="3"/>
      <c r="V348" s="3">
        <v>1009</v>
      </c>
      <c r="W348" s="3">
        <f t="shared" ref="W348:X371" si="8">V348</f>
        <v>1009</v>
      </c>
      <c r="X348" s="3">
        <f>W348</f>
        <v>1009</v>
      </c>
      <c r="Y348" s="3">
        <f>ROUNDDOWN(W348/HLOOKUP(D348,[1]Table!$C$3:$D$4,2,0)*8,2)</f>
        <v>17.93</v>
      </c>
      <c r="Z348" s="3">
        <v>5</v>
      </c>
      <c r="AA348" s="3" t="s">
        <v>110</v>
      </c>
      <c r="AB348" s="7">
        <v>43963</v>
      </c>
      <c r="AC348" s="7">
        <v>43959</v>
      </c>
      <c r="AD348" s="7">
        <v>43962</v>
      </c>
      <c r="AE348" s="6">
        <v>43963</v>
      </c>
      <c r="AF348" s="6">
        <v>43963</v>
      </c>
      <c r="AG348" s="6" t="s">
        <v>75</v>
      </c>
      <c r="AH348" s="8">
        <v>0.96</v>
      </c>
      <c r="AI348" s="8">
        <v>0.95</v>
      </c>
      <c r="AJ348" s="8">
        <v>1</v>
      </c>
      <c r="AK348" s="6" t="s">
        <v>76</v>
      </c>
      <c r="AL348" s="3" t="s">
        <v>821</v>
      </c>
      <c r="AM348" s="3"/>
      <c r="AN348" s="3" t="s">
        <v>822</v>
      </c>
      <c r="AW348" s="143"/>
    </row>
    <row r="349" spans="2:49" ht="15">
      <c r="B349" s="44">
        <f t="shared" si="3"/>
        <v>122</v>
      </c>
      <c r="C349" s="11">
        <v>20200508</v>
      </c>
      <c r="D349" s="3" t="s">
        <v>24</v>
      </c>
      <c r="E349" s="3" t="s">
        <v>48</v>
      </c>
      <c r="F349" s="4" t="s">
        <v>823</v>
      </c>
      <c r="G349" s="5">
        <v>1458024</v>
      </c>
      <c r="H349" s="15" t="s">
        <v>72</v>
      </c>
      <c r="I349" s="3" t="s">
        <v>50</v>
      </c>
      <c r="J349" s="15" t="s">
        <v>72</v>
      </c>
      <c r="K349" s="3" t="s">
        <v>73</v>
      </c>
      <c r="L349" s="3" t="s">
        <v>27</v>
      </c>
      <c r="M349" s="3" t="s">
        <v>22</v>
      </c>
      <c r="N349" s="3" t="s">
        <v>9</v>
      </c>
      <c r="O349" s="5" t="s">
        <v>72</v>
      </c>
      <c r="P349" s="5" t="s">
        <v>7</v>
      </c>
      <c r="Q349" s="55"/>
      <c r="R349" s="15" t="s">
        <v>72</v>
      </c>
      <c r="S349" s="3" t="s">
        <v>77</v>
      </c>
      <c r="T349" s="3"/>
      <c r="U349" s="3"/>
      <c r="V349" s="3">
        <v>90</v>
      </c>
      <c r="W349" s="3">
        <f t="shared" si="8"/>
        <v>90</v>
      </c>
      <c r="X349" s="3">
        <f t="shared" si="8"/>
        <v>90</v>
      </c>
      <c r="Y349" s="3">
        <f>ROUNDDOWN(W349/HLOOKUP(D349,[1]Table!$C$3:$D$4,2,0)*8,2)</f>
        <v>1.6</v>
      </c>
      <c r="Z349" s="3">
        <v>0.15</v>
      </c>
      <c r="AA349" s="3" t="s">
        <v>110</v>
      </c>
      <c r="AB349" s="7">
        <v>43963</v>
      </c>
      <c r="AC349" s="7">
        <v>43959</v>
      </c>
      <c r="AD349" s="7">
        <v>43962</v>
      </c>
      <c r="AE349" s="6">
        <v>43963</v>
      </c>
      <c r="AF349" s="6">
        <v>43963</v>
      </c>
      <c r="AG349" s="6" t="s">
        <v>75</v>
      </c>
      <c r="AH349" s="8">
        <v>1</v>
      </c>
      <c r="AI349" s="8">
        <v>1</v>
      </c>
      <c r="AJ349" s="8">
        <v>1</v>
      </c>
      <c r="AK349" s="6" t="s">
        <v>8</v>
      </c>
      <c r="AL349" s="3" t="s">
        <v>72</v>
      </c>
      <c r="AM349" s="3" t="s">
        <v>72</v>
      </c>
      <c r="AN349" s="3" t="s">
        <v>824</v>
      </c>
      <c r="AW349" s="143"/>
    </row>
    <row r="350" spans="2:49" ht="15">
      <c r="B350" s="44">
        <f t="shared" si="3"/>
        <v>123</v>
      </c>
      <c r="C350" s="11">
        <v>20200508</v>
      </c>
      <c r="D350" s="3" t="s">
        <v>24</v>
      </c>
      <c r="E350" s="3" t="s">
        <v>51</v>
      </c>
      <c r="F350" s="39" t="s">
        <v>825</v>
      </c>
      <c r="G350" s="5">
        <v>1413974</v>
      </c>
      <c r="H350" s="15" t="s">
        <v>72</v>
      </c>
      <c r="I350" s="3" t="s">
        <v>53</v>
      </c>
      <c r="J350" s="15" t="s">
        <v>72</v>
      </c>
      <c r="K350" s="3" t="s">
        <v>73</v>
      </c>
      <c r="L350" s="3" t="s">
        <v>28</v>
      </c>
      <c r="M350" s="3" t="s">
        <v>52</v>
      </c>
      <c r="N350" s="3" t="s">
        <v>6</v>
      </c>
      <c r="O350" s="5" t="s">
        <v>72</v>
      </c>
      <c r="P350" s="5" t="s">
        <v>4</v>
      </c>
      <c r="Q350" s="55"/>
      <c r="R350" s="15" t="s">
        <v>72</v>
      </c>
      <c r="S350" s="3" t="s">
        <v>77</v>
      </c>
      <c r="T350" s="3"/>
      <c r="U350" s="3"/>
      <c r="V350" s="3">
        <v>36</v>
      </c>
      <c r="W350" s="3">
        <f t="shared" si="8"/>
        <v>36</v>
      </c>
      <c r="X350" s="3">
        <f t="shared" si="8"/>
        <v>36</v>
      </c>
      <c r="Y350" s="3">
        <f>ROUNDDOWN(W350/HLOOKUP(D350,[1]Table!$C$3:$D$4,2,0)*8,2)</f>
        <v>0.64</v>
      </c>
      <c r="Z350" s="3">
        <v>0.12</v>
      </c>
      <c r="AA350" s="3" t="s">
        <v>110</v>
      </c>
      <c r="AB350" s="7">
        <v>43963</v>
      </c>
      <c r="AC350" s="7">
        <v>43959</v>
      </c>
      <c r="AD350" s="7">
        <v>43962</v>
      </c>
      <c r="AE350" s="6">
        <v>43963</v>
      </c>
      <c r="AF350" s="6">
        <v>43963</v>
      </c>
      <c r="AG350" s="6" t="s">
        <v>75</v>
      </c>
      <c r="AH350" s="8">
        <v>1</v>
      </c>
      <c r="AI350" s="8">
        <v>1</v>
      </c>
      <c r="AJ350" s="8">
        <v>1</v>
      </c>
      <c r="AK350" s="6" t="s">
        <v>8</v>
      </c>
      <c r="AL350" s="3" t="s">
        <v>72</v>
      </c>
      <c r="AM350" s="3" t="s">
        <v>72</v>
      </c>
      <c r="AN350" s="3" t="s">
        <v>72</v>
      </c>
      <c r="AW350" s="143"/>
    </row>
    <row r="351" spans="2:49" ht="15">
      <c r="B351" s="44">
        <f t="shared" si="3"/>
        <v>124</v>
      </c>
      <c r="C351" s="11">
        <v>20200508</v>
      </c>
      <c r="D351" s="3" t="s">
        <v>24</v>
      </c>
      <c r="E351" s="3" t="s">
        <v>51</v>
      </c>
      <c r="F351" s="39" t="s">
        <v>826</v>
      </c>
      <c r="G351" s="5">
        <v>1413974</v>
      </c>
      <c r="H351" s="15" t="s">
        <v>72</v>
      </c>
      <c r="I351" s="3" t="s">
        <v>54</v>
      </c>
      <c r="J351" s="15" t="s">
        <v>72</v>
      </c>
      <c r="K351" s="3" t="s">
        <v>73</v>
      </c>
      <c r="L351" s="3" t="s">
        <v>28</v>
      </c>
      <c r="M351" s="3" t="s">
        <v>52</v>
      </c>
      <c r="N351" s="3" t="s">
        <v>6</v>
      </c>
      <c r="O351" s="5" t="s">
        <v>72</v>
      </c>
      <c r="P351" s="5" t="s">
        <v>4</v>
      </c>
      <c r="Q351" s="55"/>
      <c r="R351" s="15" t="s">
        <v>72</v>
      </c>
      <c r="S351" s="3" t="s">
        <v>78</v>
      </c>
      <c r="T351" s="3"/>
      <c r="U351" s="3"/>
      <c r="V351" s="3">
        <v>236</v>
      </c>
      <c r="W351" s="3">
        <f t="shared" si="8"/>
        <v>236</v>
      </c>
      <c r="X351" s="3">
        <f t="shared" si="8"/>
        <v>236</v>
      </c>
      <c r="Y351" s="3">
        <f>ROUNDDOWN(W351/HLOOKUP(D351,[1]Table!$C$3:$D$4,2,0)*8,2)</f>
        <v>4.1900000000000004</v>
      </c>
      <c r="Z351" s="3">
        <v>0.5</v>
      </c>
      <c r="AA351" s="3" t="s">
        <v>110</v>
      </c>
      <c r="AB351" s="7">
        <v>43963</v>
      </c>
      <c r="AC351" s="7">
        <v>43959</v>
      </c>
      <c r="AD351" s="7">
        <v>43962</v>
      </c>
      <c r="AE351" s="6">
        <v>43963</v>
      </c>
      <c r="AF351" s="6">
        <v>43963</v>
      </c>
      <c r="AG351" s="6" t="s">
        <v>75</v>
      </c>
      <c r="AH351" s="8">
        <v>1</v>
      </c>
      <c r="AI351" s="8">
        <v>1</v>
      </c>
      <c r="AJ351" s="8">
        <v>1</v>
      </c>
      <c r="AK351" s="6" t="s">
        <v>8</v>
      </c>
      <c r="AL351" s="3" t="s">
        <v>72</v>
      </c>
      <c r="AM351" s="3" t="s">
        <v>72</v>
      </c>
      <c r="AN351" s="3" t="s">
        <v>72</v>
      </c>
      <c r="AW351" s="143"/>
    </row>
    <row r="352" spans="2:49" ht="15">
      <c r="B352" s="44">
        <f t="shared" si="3"/>
        <v>125</v>
      </c>
      <c r="C352" s="11">
        <v>20200508</v>
      </c>
      <c r="D352" s="3" t="s">
        <v>24</v>
      </c>
      <c r="E352" s="3" t="s">
        <v>55</v>
      </c>
      <c r="F352" s="39" t="s">
        <v>827</v>
      </c>
      <c r="G352" s="5">
        <v>1458032</v>
      </c>
      <c r="H352" s="15" t="s">
        <v>72</v>
      </c>
      <c r="I352" s="3" t="s">
        <v>56</v>
      </c>
      <c r="J352" s="15" t="s">
        <v>72</v>
      </c>
      <c r="K352" s="3" t="s">
        <v>73</v>
      </c>
      <c r="L352" s="3" t="s">
        <v>27</v>
      </c>
      <c r="M352" s="3" t="s">
        <v>19</v>
      </c>
      <c r="N352" s="3" t="s">
        <v>9</v>
      </c>
      <c r="O352" s="5" t="s">
        <v>72</v>
      </c>
      <c r="P352" s="5" t="s">
        <v>29</v>
      </c>
      <c r="Q352" s="55"/>
      <c r="R352" s="15" t="s">
        <v>72</v>
      </c>
      <c r="S352" s="3" t="s">
        <v>77</v>
      </c>
      <c r="T352" s="3"/>
      <c r="U352" s="3"/>
      <c r="V352" s="3">
        <v>63</v>
      </c>
      <c r="W352" s="3">
        <f t="shared" si="8"/>
        <v>63</v>
      </c>
      <c r="X352" s="3">
        <f t="shared" si="8"/>
        <v>63</v>
      </c>
      <c r="Y352" s="3">
        <f>ROUNDDOWN(W352/HLOOKUP(D352,[1]Table!$C$3:$D$4,2,0)*8,2)</f>
        <v>1.1200000000000001</v>
      </c>
      <c r="Z352" s="3">
        <v>0.12</v>
      </c>
      <c r="AA352" s="3" t="s">
        <v>110</v>
      </c>
      <c r="AB352" s="7">
        <v>43963</v>
      </c>
      <c r="AC352" s="7">
        <v>43959</v>
      </c>
      <c r="AD352" s="7">
        <v>43962</v>
      </c>
      <c r="AE352" s="6">
        <v>43963</v>
      </c>
      <c r="AF352" s="6">
        <v>43963</v>
      </c>
      <c r="AG352" s="6" t="s">
        <v>75</v>
      </c>
      <c r="AH352" s="8">
        <v>1</v>
      </c>
      <c r="AI352" s="8">
        <v>1</v>
      </c>
      <c r="AJ352" s="8">
        <v>1</v>
      </c>
      <c r="AK352" s="6" t="s">
        <v>8</v>
      </c>
      <c r="AL352" s="3" t="s">
        <v>72</v>
      </c>
      <c r="AM352" s="3" t="s">
        <v>72</v>
      </c>
      <c r="AN352" s="3" t="s">
        <v>72</v>
      </c>
      <c r="AW352" s="143"/>
    </row>
    <row r="353" spans="2:49" ht="15">
      <c r="B353" s="82">
        <f t="shared" si="3"/>
        <v>126</v>
      </c>
      <c r="C353" s="11">
        <v>20200511</v>
      </c>
      <c r="D353" s="3" t="s">
        <v>311</v>
      </c>
      <c r="E353" s="3" t="s">
        <v>828</v>
      </c>
      <c r="F353" s="5" t="s">
        <v>72</v>
      </c>
      <c r="G353" s="5">
        <v>1460003</v>
      </c>
      <c r="H353" s="15" t="s">
        <v>72</v>
      </c>
      <c r="I353" s="3" t="s">
        <v>829</v>
      </c>
      <c r="J353" s="15" t="s">
        <v>72</v>
      </c>
      <c r="K353" s="3" t="s">
        <v>73</v>
      </c>
      <c r="L353" s="3" t="s">
        <v>8</v>
      </c>
      <c r="M353" s="3" t="s">
        <v>8</v>
      </c>
      <c r="N353" s="3" t="s">
        <v>830</v>
      </c>
      <c r="O353" s="5" t="s">
        <v>831</v>
      </c>
      <c r="P353" s="5" t="s">
        <v>832</v>
      </c>
      <c r="Q353" s="55"/>
      <c r="R353" s="15" t="s">
        <v>72</v>
      </c>
      <c r="S353" s="3" t="s">
        <v>77</v>
      </c>
      <c r="T353" s="3"/>
      <c r="U353" s="3"/>
      <c r="V353" s="3">
        <v>23</v>
      </c>
      <c r="W353" s="3">
        <f t="shared" si="8"/>
        <v>23</v>
      </c>
      <c r="X353" s="3"/>
      <c r="Y353" s="3">
        <f>ROUNDDOWN(W353/HLOOKUP(D353,[1]Table!$C$3:$D$4,2,0)*8,2)</f>
        <v>1.41</v>
      </c>
      <c r="Z353" s="3"/>
      <c r="AA353" s="3"/>
      <c r="AB353" s="6"/>
      <c r="AC353" s="6">
        <v>43962</v>
      </c>
      <c r="AD353" s="6">
        <v>43966</v>
      </c>
      <c r="AE353" s="6"/>
      <c r="AF353" s="6"/>
      <c r="AG353" s="6"/>
      <c r="AH353" s="8"/>
      <c r="AI353" s="8"/>
      <c r="AJ353" s="8"/>
      <c r="AK353" s="6"/>
      <c r="AL353" s="3" t="s">
        <v>72</v>
      </c>
      <c r="AM353" s="3" t="s">
        <v>72</v>
      </c>
      <c r="AN353" s="3" t="s">
        <v>72</v>
      </c>
      <c r="AW353" s="143"/>
    </row>
    <row r="354" spans="2:49" ht="15">
      <c r="B354" s="82">
        <f t="shared" si="3"/>
        <v>127</v>
      </c>
      <c r="C354" s="11">
        <v>20200511</v>
      </c>
      <c r="D354" s="3" t="s">
        <v>311</v>
      </c>
      <c r="E354" s="3" t="s">
        <v>828</v>
      </c>
      <c r="F354" s="5" t="s">
        <v>72</v>
      </c>
      <c r="G354" s="5">
        <v>1460003</v>
      </c>
      <c r="H354" s="15" t="s">
        <v>72</v>
      </c>
      <c r="I354" s="3" t="s">
        <v>833</v>
      </c>
      <c r="J354" s="15" t="s">
        <v>72</v>
      </c>
      <c r="K354" s="3" t="s">
        <v>73</v>
      </c>
      <c r="L354" s="3" t="s">
        <v>8</v>
      </c>
      <c r="M354" s="3" t="s">
        <v>8</v>
      </c>
      <c r="N354" s="3" t="s">
        <v>830</v>
      </c>
      <c r="O354" s="5" t="s">
        <v>831</v>
      </c>
      <c r="P354" s="5" t="s">
        <v>832</v>
      </c>
      <c r="Q354" s="55"/>
      <c r="R354" s="15" t="s">
        <v>72</v>
      </c>
      <c r="S354" s="3" t="s">
        <v>77</v>
      </c>
      <c r="T354" s="3"/>
      <c r="U354" s="3"/>
      <c r="V354" s="3">
        <v>23</v>
      </c>
      <c r="W354" s="3">
        <f t="shared" si="8"/>
        <v>23</v>
      </c>
      <c r="X354" s="3"/>
      <c r="Y354" s="3">
        <f>ROUNDDOWN(W354/HLOOKUP(D354,[1]Table!$C$3:$D$4,2,0)*8,2)</f>
        <v>1.41</v>
      </c>
      <c r="Z354" s="3"/>
      <c r="AA354" s="3"/>
      <c r="AB354" s="6"/>
      <c r="AC354" s="6">
        <v>43962</v>
      </c>
      <c r="AD354" s="6">
        <v>43966</v>
      </c>
      <c r="AE354" s="6"/>
      <c r="AF354" s="6"/>
      <c r="AG354" s="6"/>
      <c r="AH354" s="8"/>
      <c r="AI354" s="8" t="s">
        <v>834</v>
      </c>
      <c r="AJ354" s="8"/>
      <c r="AK354" s="6"/>
      <c r="AL354" s="3" t="s">
        <v>72</v>
      </c>
      <c r="AM354" s="3" t="s">
        <v>72</v>
      </c>
      <c r="AN354" s="3" t="s">
        <v>72</v>
      </c>
      <c r="AW354" s="143"/>
    </row>
    <row r="355" spans="2:49" ht="15">
      <c r="B355" s="82">
        <f t="shared" si="3"/>
        <v>128</v>
      </c>
      <c r="C355" s="11">
        <v>20200511</v>
      </c>
      <c r="D355" s="3" t="s">
        <v>311</v>
      </c>
      <c r="E355" s="3" t="s">
        <v>828</v>
      </c>
      <c r="F355" s="5" t="s">
        <v>72</v>
      </c>
      <c r="G355" s="5">
        <v>1460003</v>
      </c>
      <c r="H355" s="15" t="s">
        <v>72</v>
      </c>
      <c r="I355" s="3" t="s">
        <v>835</v>
      </c>
      <c r="J355" s="15" t="s">
        <v>72</v>
      </c>
      <c r="K355" s="3" t="s">
        <v>73</v>
      </c>
      <c r="L355" s="3" t="s">
        <v>8</v>
      </c>
      <c r="M355" s="3" t="s">
        <v>8</v>
      </c>
      <c r="N355" s="3" t="s">
        <v>830</v>
      </c>
      <c r="O355" s="5" t="s">
        <v>836</v>
      </c>
      <c r="P355" s="5" t="s">
        <v>832</v>
      </c>
      <c r="Q355" s="55"/>
      <c r="R355" s="15" t="s">
        <v>72</v>
      </c>
      <c r="S355" s="3" t="s">
        <v>77</v>
      </c>
      <c r="T355" s="3"/>
      <c r="U355" s="3"/>
      <c r="V355" s="3">
        <v>51</v>
      </c>
      <c r="W355" s="3">
        <f t="shared" si="8"/>
        <v>51</v>
      </c>
      <c r="X355" s="3"/>
      <c r="Y355" s="3">
        <f>ROUNDDOWN(W355/HLOOKUP(D355,[1]Table!$C$3:$D$4,2,0)*8,2)</f>
        <v>3.13</v>
      </c>
      <c r="Z355" s="3"/>
      <c r="AA355" s="3"/>
      <c r="AB355" s="6"/>
      <c r="AC355" s="6">
        <v>43962</v>
      </c>
      <c r="AD355" s="6">
        <v>43966</v>
      </c>
      <c r="AE355" s="6"/>
      <c r="AF355" s="6"/>
      <c r="AG355" s="6"/>
      <c r="AH355" s="8"/>
      <c r="AI355" s="8"/>
      <c r="AJ355" s="8"/>
      <c r="AK355" s="6"/>
      <c r="AL355" s="3" t="s">
        <v>72</v>
      </c>
      <c r="AM355" s="3" t="s">
        <v>72</v>
      </c>
      <c r="AN355" s="3" t="s">
        <v>72</v>
      </c>
      <c r="AW355" s="143"/>
    </row>
    <row r="356" spans="2:49" ht="15">
      <c r="B356" s="82">
        <f t="shared" si="3"/>
        <v>129</v>
      </c>
      <c r="C356" s="11">
        <v>20200511</v>
      </c>
      <c r="D356" s="3" t="s">
        <v>24</v>
      </c>
      <c r="E356" s="3" t="s">
        <v>837</v>
      </c>
      <c r="F356" s="39" t="s">
        <v>838</v>
      </c>
      <c r="G356" s="5">
        <v>1461444</v>
      </c>
      <c r="H356" s="15" t="s">
        <v>72</v>
      </c>
      <c r="I356" s="3" t="s">
        <v>839</v>
      </c>
      <c r="J356" s="15" t="s">
        <v>72</v>
      </c>
      <c r="K356" s="3" t="s">
        <v>73</v>
      </c>
      <c r="L356" s="3" t="s">
        <v>8</v>
      </c>
      <c r="M356" s="3" t="s">
        <v>840</v>
      </c>
      <c r="N356" s="3" t="s">
        <v>841</v>
      </c>
      <c r="O356" s="5" t="s">
        <v>72</v>
      </c>
      <c r="P356" s="5" t="s">
        <v>842</v>
      </c>
      <c r="Q356" s="55"/>
      <c r="R356" s="15" t="s">
        <v>72</v>
      </c>
      <c r="S356" s="3" t="s">
        <v>78</v>
      </c>
      <c r="T356" s="3"/>
      <c r="U356" s="3"/>
      <c r="V356" s="3">
        <v>134</v>
      </c>
      <c r="W356" s="3">
        <f t="shared" si="8"/>
        <v>134</v>
      </c>
      <c r="X356" s="3"/>
      <c r="Y356" s="3">
        <f>ROUNDDOWN(W356/HLOOKUP(D356,[1]Table!$C$3:$D$4,2,0)*8,2)</f>
        <v>2.38</v>
      </c>
      <c r="Z356" s="3"/>
      <c r="AA356" s="3"/>
      <c r="AB356" s="6"/>
      <c r="AC356" s="6">
        <v>43962</v>
      </c>
      <c r="AD356" s="6">
        <v>43966</v>
      </c>
      <c r="AE356" s="6"/>
      <c r="AF356" s="6"/>
      <c r="AG356" s="6"/>
      <c r="AH356" s="8"/>
      <c r="AI356" s="8"/>
      <c r="AJ356" s="8"/>
      <c r="AK356" s="6"/>
      <c r="AL356" s="3" t="s">
        <v>72</v>
      </c>
      <c r="AM356" s="3" t="s">
        <v>72</v>
      </c>
      <c r="AN356" s="3" t="s">
        <v>72</v>
      </c>
      <c r="AW356" s="143"/>
    </row>
    <row r="357" spans="2:49" ht="15">
      <c r="B357" s="82">
        <f t="shared" ref="B357:B371" si="9">B356+1</f>
        <v>130</v>
      </c>
      <c r="C357" s="11">
        <v>20200511</v>
      </c>
      <c r="D357" s="3" t="s">
        <v>24</v>
      </c>
      <c r="E357" s="3" t="s">
        <v>837</v>
      </c>
      <c r="F357" s="39" t="s">
        <v>843</v>
      </c>
      <c r="G357" s="5">
        <v>1461444</v>
      </c>
      <c r="H357" s="15" t="s">
        <v>72</v>
      </c>
      <c r="I357" s="3" t="s">
        <v>844</v>
      </c>
      <c r="J357" s="15" t="s">
        <v>72</v>
      </c>
      <c r="K357" s="3" t="s">
        <v>73</v>
      </c>
      <c r="L357" s="3" t="s">
        <v>8</v>
      </c>
      <c r="M357" s="3" t="s">
        <v>840</v>
      </c>
      <c r="N357" s="3" t="s">
        <v>841</v>
      </c>
      <c r="O357" s="5" t="s">
        <v>72</v>
      </c>
      <c r="P357" s="5" t="s">
        <v>842</v>
      </c>
      <c r="Q357" s="55"/>
      <c r="R357" s="15" t="s">
        <v>72</v>
      </c>
      <c r="S357" s="3" t="s">
        <v>78</v>
      </c>
      <c r="T357" s="3"/>
      <c r="U357" s="3"/>
      <c r="V357" s="3">
        <v>200</v>
      </c>
      <c r="W357" s="3">
        <f t="shared" si="8"/>
        <v>200</v>
      </c>
      <c r="X357" s="3"/>
      <c r="Y357" s="3">
        <f>ROUNDDOWN(W357/HLOOKUP(D357,[1]Table!$C$3:$D$4,2,0)*8,2)</f>
        <v>3.55</v>
      </c>
      <c r="Z357" s="3"/>
      <c r="AA357" s="3"/>
      <c r="AB357" s="6"/>
      <c r="AC357" s="6">
        <v>43962</v>
      </c>
      <c r="AD357" s="6">
        <v>43966</v>
      </c>
      <c r="AE357" s="6"/>
      <c r="AF357" s="6"/>
      <c r="AG357" s="6"/>
      <c r="AH357" s="8"/>
      <c r="AI357" s="8"/>
      <c r="AJ357" s="8"/>
      <c r="AK357" s="6"/>
      <c r="AL357" s="3" t="s">
        <v>72</v>
      </c>
      <c r="AM357" s="3" t="s">
        <v>72</v>
      </c>
      <c r="AN357" s="3" t="s">
        <v>72</v>
      </c>
      <c r="AW357" s="143"/>
    </row>
    <row r="358" spans="2:49" ht="15">
      <c r="B358" s="82">
        <f t="shared" si="9"/>
        <v>131</v>
      </c>
      <c r="C358" s="11">
        <v>20200511</v>
      </c>
      <c r="D358" s="3" t="s">
        <v>24</v>
      </c>
      <c r="E358" s="3" t="s">
        <v>837</v>
      </c>
      <c r="F358" s="39" t="s">
        <v>845</v>
      </c>
      <c r="G358" s="5">
        <v>1461444</v>
      </c>
      <c r="H358" s="15" t="s">
        <v>72</v>
      </c>
      <c r="I358" s="3" t="s">
        <v>558</v>
      </c>
      <c r="J358" s="15" t="s">
        <v>72</v>
      </c>
      <c r="K358" s="3" t="s">
        <v>73</v>
      </c>
      <c r="L358" s="3" t="s">
        <v>8</v>
      </c>
      <c r="M358" s="3" t="s">
        <v>840</v>
      </c>
      <c r="N358" s="3" t="s">
        <v>841</v>
      </c>
      <c r="O358" s="5" t="s">
        <v>72</v>
      </c>
      <c r="P358" s="5" t="s">
        <v>842</v>
      </c>
      <c r="Q358" s="55"/>
      <c r="R358" s="15" t="s">
        <v>72</v>
      </c>
      <c r="S358" s="3" t="s">
        <v>78</v>
      </c>
      <c r="T358" s="3"/>
      <c r="U358" s="3"/>
      <c r="V358" s="3">
        <v>145</v>
      </c>
      <c r="W358" s="3">
        <f t="shared" si="8"/>
        <v>145</v>
      </c>
      <c r="X358" s="3"/>
      <c r="Y358" s="3">
        <f>ROUNDDOWN(W358/HLOOKUP(D358,[1]Table!$C$3:$D$4,2,0)*8,2)</f>
        <v>2.57</v>
      </c>
      <c r="Z358" s="3"/>
      <c r="AA358" s="3"/>
      <c r="AB358" s="6"/>
      <c r="AC358" s="6">
        <v>43962</v>
      </c>
      <c r="AD358" s="6">
        <v>43966</v>
      </c>
      <c r="AE358" s="6"/>
      <c r="AF358" s="6"/>
      <c r="AG358" s="6"/>
      <c r="AH358" s="8"/>
      <c r="AI358" s="8"/>
      <c r="AJ358" s="8"/>
      <c r="AK358" s="6"/>
      <c r="AL358" s="3" t="s">
        <v>72</v>
      </c>
      <c r="AM358" s="3" t="s">
        <v>72</v>
      </c>
      <c r="AN358" s="3" t="s">
        <v>72</v>
      </c>
      <c r="AW358" s="143"/>
    </row>
    <row r="359" spans="2:49" ht="15">
      <c r="B359" s="82">
        <f t="shared" si="9"/>
        <v>132</v>
      </c>
      <c r="C359" s="11">
        <v>20200511</v>
      </c>
      <c r="D359" s="3" t="s">
        <v>24</v>
      </c>
      <c r="E359" s="3" t="s">
        <v>837</v>
      </c>
      <c r="F359" s="39" t="s">
        <v>846</v>
      </c>
      <c r="G359" s="5">
        <v>1461444</v>
      </c>
      <c r="H359" s="15" t="s">
        <v>72</v>
      </c>
      <c r="I359" s="3" t="s">
        <v>564</v>
      </c>
      <c r="J359" s="15" t="s">
        <v>72</v>
      </c>
      <c r="K359" s="3" t="s">
        <v>73</v>
      </c>
      <c r="L359" s="3" t="s">
        <v>8</v>
      </c>
      <c r="M359" s="3" t="s">
        <v>840</v>
      </c>
      <c r="N359" s="3" t="s">
        <v>841</v>
      </c>
      <c r="O359" s="5" t="s">
        <v>72</v>
      </c>
      <c r="P359" s="5" t="s">
        <v>842</v>
      </c>
      <c r="Q359" s="55"/>
      <c r="R359" s="15" t="s">
        <v>72</v>
      </c>
      <c r="S359" s="3" t="s">
        <v>78</v>
      </c>
      <c r="T359" s="3"/>
      <c r="U359" s="3"/>
      <c r="V359" s="3">
        <v>124</v>
      </c>
      <c r="W359" s="3">
        <f t="shared" si="8"/>
        <v>124</v>
      </c>
      <c r="X359" s="3"/>
      <c r="Y359" s="3">
        <f>ROUNDDOWN(W359/HLOOKUP(D359,[1]Table!$C$3:$D$4,2,0)*8,2)</f>
        <v>2.2000000000000002</v>
      </c>
      <c r="Z359" s="3"/>
      <c r="AA359" s="3"/>
      <c r="AB359" s="6"/>
      <c r="AC359" s="6">
        <v>43962</v>
      </c>
      <c r="AD359" s="6">
        <v>43966</v>
      </c>
      <c r="AE359" s="6"/>
      <c r="AF359" s="6"/>
      <c r="AG359" s="6"/>
      <c r="AH359" s="8"/>
      <c r="AI359" s="8"/>
      <c r="AJ359" s="8"/>
      <c r="AK359" s="6"/>
      <c r="AL359" s="3" t="s">
        <v>72</v>
      </c>
      <c r="AM359" s="3" t="s">
        <v>72</v>
      </c>
      <c r="AN359" s="3" t="s">
        <v>72</v>
      </c>
      <c r="AW359" s="143"/>
    </row>
    <row r="360" spans="2:49" ht="15">
      <c r="B360" s="82">
        <f t="shared" si="9"/>
        <v>133</v>
      </c>
      <c r="C360" s="11">
        <v>20200511</v>
      </c>
      <c r="D360" s="3" t="s">
        <v>24</v>
      </c>
      <c r="E360" s="3" t="s">
        <v>837</v>
      </c>
      <c r="F360" s="39" t="s">
        <v>847</v>
      </c>
      <c r="G360" s="5">
        <v>1461444</v>
      </c>
      <c r="H360" s="15" t="s">
        <v>72</v>
      </c>
      <c r="I360" s="3" t="s">
        <v>566</v>
      </c>
      <c r="J360" s="15" t="s">
        <v>72</v>
      </c>
      <c r="K360" s="3" t="s">
        <v>73</v>
      </c>
      <c r="L360" s="3" t="s">
        <v>8</v>
      </c>
      <c r="M360" s="3" t="s">
        <v>840</v>
      </c>
      <c r="N360" s="3" t="s">
        <v>841</v>
      </c>
      <c r="O360" s="5" t="s">
        <v>72</v>
      </c>
      <c r="P360" s="5" t="s">
        <v>842</v>
      </c>
      <c r="Q360" s="55"/>
      <c r="R360" s="15" t="s">
        <v>72</v>
      </c>
      <c r="S360" s="3" t="s">
        <v>78</v>
      </c>
      <c r="T360" s="3"/>
      <c r="U360" s="3"/>
      <c r="V360" s="3">
        <v>154</v>
      </c>
      <c r="W360" s="3">
        <f t="shared" si="8"/>
        <v>154</v>
      </c>
      <c r="X360" s="3"/>
      <c r="Y360" s="3">
        <f>ROUNDDOWN(W360/HLOOKUP(D360,[1]Table!$C$3:$D$4,2,0)*8,2)</f>
        <v>2.73</v>
      </c>
      <c r="Z360" s="3"/>
      <c r="AA360" s="3"/>
      <c r="AB360" s="6"/>
      <c r="AC360" s="6">
        <v>43962</v>
      </c>
      <c r="AD360" s="6">
        <v>43966</v>
      </c>
      <c r="AE360" s="6"/>
      <c r="AF360" s="6"/>
      <c r="AG360" s="6"/>
      <c r="AH360" s="8"/>
      <c r="AI360" s="8"/>
      <c r="AJ360" s="8"/>
      <c r="AK360" s="6"/>
      <c r="AL360" s="3" t="s">
        <v>72</v>
      </c>
      <c r="AM360" s="3" t="s">
        <v>72</v>
      </c>
      <c r="AN360" s="3" t="s">
        <v>72</v>
      </c>
      <c r="AW360" s="143"/>
    </row>
    <row r="361" spans="2:49" ht="15">
      <c r="B361" s="82">
        <f t="shared" si="9"/>
        <v>134</v>
      </c>
      <c r="C361" s="11">
        <v>20200511</v>
      </c>
      <c r="D361" s="3" t="s">
        <v>24</v>
      </c>
      <c r="E361" s="3" t="s">
        <v>837</v>
      </c>
      <c r="F361" s="39" t="s">
        <v>848</v>
      </c>
      <c r="G361" s="5">
        <v>1461444</v>
      </c>
      <c r="H361" s="15" t="s">
        <v>72</v>
      </c>
      <c r="I361" s="3" t="s">
        <v>576</v>
      </c>
      <c r="J361" s="15" t="s">
        <v>72</v>
      </c>
      <c r="K361" s="3" t="s">
        <v>73</v>
      </c>
      <c r="L361" s="3" t="s">
        <v>8</v>
      </c>
      <c r="M361" s="3" t="s">
        <v>840</v>
      </c>
      <c r="N361" s="3" t="s">
        <v>841</v>
      </c>
      <c r="O361" s="5" t="s">
        <v>72</v>
      </c>
      <c r="P361" s="5" t="s">
        <v>842</v>
      </c>
      <c r="Q361" s="55"/>
      <c r="R361" s="15" t="s">
        <v>72</v>
      </c>
      <c r="S361" s="3" t="s">
        <v>78</v>
      </c>
      <c r="T361" s="3"/>
      <c r="U361" s="3"/>
      <c r="V361" s="3">
        <v>71</v>
      </c>
      <c r="W361" s="3">
        <f t="shared" si="8"/>
        <v>71</v>
      </c>
      <c r="X361" s="3"/>
      <c r="Y361" s="3">
        <f>ROUNDDOWN(W361/HLOOKUP(D361,[1]Table!$C$3:$D$4,2,0)*8,2)</f>
        <v>1.26</v>
      </c>
      <c r="Z361" s="3"/>
      <c r="AA361" s="3"/>
      <c r="AB361" s="6"/>
      <c r="AC361" s="6">
        <v>43962</v>
      </c>
      <c r="AD361" s="6">
        <v>43966</v>
      </c>
      <c r="AE361" s="6"/>
      <c r="AF361" s="6"/>
      <c r="AG361" s="6"/>
      <c r="AH361" s="8"/>
      <c r="AI361" s="8"/>
      <c r="AJ361" s="8"/>
      <c r="AK361" s="6"/>
      <c r="AL361" s="3" t="s">
        <v>72</v>
      </c>
      <c r="AM361" s="3" t="s">
        <v>72</v>
      </c>
      <c r="AN361" s="3" t="s">
        <v>72</v>
      </c>
      <c r="AW361" s="143"/>
    </row>
    <row r="362" spans="2:49" ht="15">
      <c r="B362" s="82">
        <f t="shared" si="9"/>
        <v>135</v>
      </c>
      <c r="C362" s="11">
        <v>20200511</v>
      </c>
      <c r="D362" s="3" t="s">
        <v>24</v>
      </c>
      <c r="E362" s="3" t="s">
        <v>837</v>
      </c>
      <c r="F362" s="39" t="s">
        <v>849</v>
      </c>
      <c r="G362" s="5">
        <v>1461444</v>
      </c>
      <c r="H362" s="15" t="s">
        <v>72</v>
      </c>
      <c r="I362" s="3" t="s">
        <v>678</v>
      </c>
      <c r="J362" s="15" t="s">
        <v>72</v>
      </c>
      <c r="K362" s="3" t="s">
        <v>73</v>
      </c>
      <c r="L362" s="3" t="s">
        <v>8</v>
      </c>
      <c r="M362" s="3" t="s">
        <v>840</v>
      </c>
      <c r="N362" s="3" t="s">
        <v>841</v>
      </c>
      <c r="O362" s="5" t="s">
        <v>72</v>
      </c>
      <c r="P362" s="5" t="s">
        <v>842</v>
      </c>
      <c r="Q362" s="55"/>
      <c r="R362" s="15" t="s">
        <v>72</v>
      </c>
      <c r="S362" s="3" t="s">
        <v>78</v>
      </c>
      <c r="T362" s="3"/>
      <c r="U362" s="3"/>
      <c r="V362" s="3">
        <v>39</v>
      </c>
      <c r="W362" s="3">
        <f t="shared" si="8"/>
        <v>39</v>
      </c>
      <c r="X362" s="3"/>
      <c r="Y362" s="3">
        <f>ROUNDDOWN(W362/HLOOKUP(D362,[1]Table!$C$3:$D$4,2,0)*8,2)</f>
        <v>0.69</v>
      </c>
      <c r="Z362" s="3"/>
      <c r="AA362" s="3"/>
      <c r="AB362" s="6"/>
      <c r="AC362" s="6">
        <v>43962</v>
      </c>
      <c r="AD362" s="6">
        <v>43966</v>
      </c>
      <c r="AE362" s="6"/>
      <c r="AF362" s="6"/>
      <c r="AG362" s="6"/>
      <c r="AH362" s="8"/>
      <c r="AI362" s="8"/>
      <c r="AJ362" s="8"/>
      <c r="AK362" s="6"/>
      <c r="AL362" s="3" t="s">
        <v>72</v>
      </c>
      <c r="AM362" s="3" t="s">
        <v>72</v>
      </c>
      <c r="AN362" s="3" t="s">
        <v>72</v>
      </c>
      <c r="AW362" s="143"/>
    </row>
    <row r="363" spans="2:49" ht="15">
      <c r="B363" s="82">
        <f t="shared" si="9"/>
        <v>136</v>
      </c>
      <c r="C363" s="11">
        <v>20200511</v>
      </c>
      <c r="D363" s="3" t="s">
        <v>24</v>
      </c>
      <c r="E363" s="3" t="s">
        <v>837</v>
      </c>
      <c r="F363" s="39" t="s">
        <v>850</v>
      </c>
      <c r="G363" s="5">
        <v>1461444</v>
      </c>
      <c r="H363" s="15" t="s">
        <v>72</v>
      </c>
      <c r="I363" s="3" t="s">
        <v>636</v>
      </c>
      <c r="J363" s="15" t="s">
        <v>72</v>
      </c>
      <c r="K363" s="3" t="s">
        <v>73</v>
      </c>
      <c r="L363" s="3" t="s">
        <v>8</v>
      </c>
      <c r="M363" s="3" t="s">
        <v>840</v>
      </c>
      <c r="N363" s="3" t="s">
        <v>841</v>
      </c>
      <c r="O363" s="5" t="s">
        <v>72</v>
      </c>
      <c r="P363" s="5" t="s">
        <v>842</v>
      </c>
      <c r="Q363" s="55"/>
      <c r="R363" s="15" t="s">
        <v>72</v>
      </c>
      <c r="S363" s="3" t="s">
        <v>78</v>
      </c>
      <c r="T363" s="3"/>
      <c r="U363" s="3"/>
      <c r="V363" s="3">
        <v>82</v>
      </c>
      <c r="W363" s="3">
        <f t="shared" si="8"/>
        <v>82</v>
      </c>
      <c r="X363" s="3"/>
      <c r="Y363" s="3">
        <f>ROUNDDOWN(W363/HLOOKUP(D363,[1]Table!$C$3:$D$4,2,0)*8,2)</f>
        <v>1.45</v>
      </c>
      <c r="Z363" s="3"/>
      <c r="AA363" s="3"/>
      <c r="AB363" s="6"/>
      <c r="AC363" s="6">
        <v>43962</v>
      </c>
      <c r="AD363" s="6">
        <v>43966</v>
      </c>
      <c r="AE363" s="6"/>
      <c r="AF363" s="6"/>
      <c r="AG363" s="6"/>
      <c r="AH363" s="8"/>
      <c r="AI363" s="8"/>
      <c r="AJ363" s="8"/>
      <c r="AK363" s="6"/>
      <c r="AL363" s="3" t="s">
        <v>72</v>
      </c>
      <c r="AM363" s="3" t="s">
        <v>72</v>
      </c>
      <c r="AN363" s="3" t="s">
        <v>72</v>
      </c>
      <c r="AW363" s="143"/>
    </row>
    <row r="364" spans="2:49" ht="15">
      <c r="B364" s="82">
        <f t="shared" si="9"/>
        <v>137</v>
      </c>
      <c r="C364" s="11">
        <v>20200511</v>
      </c>
      <c r="D364" s="3" t="s">
        <v>24</v>
      </c>
      <c r="E364" s="3" t="s">
        <v>837</v>
      </c>
      <c r="F364" s="39" t="s">
        <v>851</v>
      </c>
      <c r="G364" s="5">
        <v>1461444</v>
      </c>
      <c r="H364" s="15" t="s">
        <v>72</v>
      </c>
      <c r="I364" s="3" t="s">
        <v>644</v>
      </c>
      <c r="J364" s="15" t="s">
        <v>72</v>
      </c>
      <c r="K364" s="3" t="s">
        <v>73</v>
      </c>
      <c r="L364" s="3" t="s">
        <v>8</v>
      </c>
      <c r="M364" s="3" t="s">
        <v>840</v>
      </c>
      <c r="N364" s="3" t="s">
        <v>841</v>
      </c>
      <c r="O364" s="5" t="s">
        <v>72</v>
      </c>
      <c r="P364" s="5" t="s">
        <v>842</v>
      </c>
      <c r="Q364" s="55"/>
      <c r="R364" s="15" t="s">
        <v>72</v>
      </c>
      <c r="S364" s="3" t="s">
        <v>78</v>
      </c>
      <c r="T364" s="3"/>
      <c r="U364" s="3"/>
      <c r="V364" s="3">
        <v>54</v>
      </c>
      <c r="W364" s="3">
        <f t="shared" si="8"/>
        <v>54</v>
      </c>
      <c r="X364" s="3"/>
      <c r="Y364" s="3">
        <f>ROUNDDOWN(W364/HLOOKUP(D364,[1]Table!$C$3:$D$4,2,0)*8,2)</f>
        <v>0.96</v>
      </c>
      <c r="Z364" s="3"/>
      <c r="AA364" s="3"/>
      <c r="AB364" s="6"/>
      <c r="AC364" s="6">
        <v>43962</v>
      </c>
      <c r="AD364" s="6">
        <v>43966</v>
      </c>
      <c r="AE364" s="6"/>
      <c r="AF364" s="6"/>
      <c r="AG364" s="6"/>
      <c r="AH364" s="8"/>
      <c r="AI364" s="8"/>
      <c r="AJ364" s="8"/>
      <c r="AK364" s="6"/>
      <c r="AL364" s="3" t="s">
        <v>72</v>
      </c>
      <c r="AM364" s="3" t="s">
        <v>72</v>
      </c>
      <c r="AN364" s="3" t="s">
        <v>72</v>
      </c>
      <c r="AW364" s="143"/>
    </row>
    <row r="365" spans="2:49" ht="15">
      <c r="B365" s="82">
        <f t="shared" si="9"/>
        <v>138</v>
      </c>
      <c r="C365" s="11">
        <v>20200511</v>
      </c>
      <c r="D365" s="3" t="s">
        <v>24</v>
      </c>
      <c r="E365" s="3" t="s">
        <v>837</v>
      </c>
      <c r="F365" s="39" t="s">
        <v>852</v>
      </c>
      <c r="G365" s="5">
        <v>1461444</v>
      </c>
      <c r="H365" s="15" t="s">
        <v>72</v>
      </c>
      <c r="I365" s="3" t="s">
        <v>579</v>
      </c>
      <c r="J365" s="15" t="s">
        <v>72</v>
      </c>
      <c r="K365" s="3" t="s">
        <v>73</v>
      </c>
      <c r="L365" s="3" t="s">
        <v>8</v>
      </c>
      <c r="M365" s="3" t="s">
        <v>840</v>
      </c>
      <c r="N365" s="3" t="s">
        <v>841</v>
      </c>
      <c r="O365" s="5" t="s">
        <v>72</v>
      </c>
      <c r="P365" s="5" t="s">
        <v>842</v>
      </c>
      <c r="Q365" s="55"/>
      <c r="R365" s="15" t="s">
        <v>72</v>
      </c>
      <c r="S365" s="3" t="s">
        <v>78</v>
      </c>
      <c r="T365" s="3"/>
      <c r="U365" s="3"/>
      <c r="V365" s="3">
        <v>109</v>
      </c>
      <c r="W365" s="3">
        <f t="shared" si="8"/>
        <v>109</v>
      </c>
      <c r="X365" s="3"/>
      <c r="Y365" s="3">
        <f>ROUNDDOWN(W365/HLOOKUP(D365,[1]Table!$C$3:$D$4,2,0)*8,2)</f>
        <v>1.93</v>
      </c>
      <c r="Z365" s="3"/>
      <c r="AA365" s="3"/>
      <c r="AB365" s="6"/>
      <c r="AC365" s="6">
        <v>43962</v>
      </c>
      <c r="AD365" s="6">
        <v>43966</v>
      </c>
      <c r="AE365" s="6"/>
      <c r="AF365" s="6"/>
      <c r="AG365" s="6"/>
      <c r="AH365" s="8"/>
      <c r="AI365" s="8"/>
      <c r="AJ365" s="8"/>
      <c r="AK365" s="6"/>
      <c r="AL365" s="3" t="s">
        <v>72</v>
      </c>
      <c r="AM365" s="3" t="s">
        <v>72</v>
      </c>
      <c r="AN365" s="3" t="s">
        <v>72</v>
      </c>
      <c r="AW365" s="143"/>
    </row>
    <row r="366" spans="2:49" ht="15">
      <c r="B366" s="82">
        <f t="shared" si="9"/>
        <v>139</v>
      </c>
      <c r="C366" s="11">
        <v>20200511</v>
      </c>
      <c r="D366" s="3" t="s">
        <v>24</v>
      </c>
      <c r="E366" s="3" t="s">
        <v>837</v>
      </c>
      <c r="F366" s="39" t="s">
        <v>853</v>
      </c>
      <c r="G366" s="5">
        <v>1461444</v>
      </c>
      <c r="H366" s="15" t="s">
        <v>72</v>
      </c>
      <c r="I366" s="3" t="s">
        <v>653</v>
      </c>
      <c r="J366" s="15" t="s">
        <v>72</v>
      </c>
      <c r="K366" s="3" t="s">
        <v>73</v>
      </c>
      <c r="L366" s="3" t="s">
        <v>8</v>
      </c>
      <c r="M366" s="3" t="s">
        <v>840</v>
      </c>
      <c r="N366" s="3" t="s">
        <v>841</v>
      </c>
      <c r="O366" s="5" t="s">
        <v>72</v>
      </c>
      <c r="P366" s="5" t="s">
        <v>842</v>
      </c>
      <c r="Q366" s="55"/>
      <c r="R366" s="15" t="s">
        <v>72</v>
      </c>
      <c r="S366" s="3" t="s">
        <v>78</v>
      </c>
      <c r="T366" s="3"/>
      <c r="U366" s="3"/>
      <c r="V366" s="3">
        <v>255</v>
      </c>
      <c r="W366" s="3">
        <f t="shared" si="8"/>
        <v>255</v>
      </c>
      <c r="X366" s="3"/>
      <c r="Y366" s="3">
        <f>ROUNDDOWN(W366/HLOOKUP(D366,[1]Table!$C$3:$D$4,2,0)*8,2)</f>
        <v>4.53</v>
      </c>
      <c r="Z366" s="3"/>
      <c r="AA366" s="3"/>
      <c r="AB366" s="6"/>
      <c r="AC366" s="6">
        <v>43962</v>
      </c>
      <c r="AD366" s="6">
        <v>43966</v>
      </c>
      <c r="AE366" s="6"/>
      <c r="AF366" s="6"/>
      <c r="AG366" s="6"/>
      <c r="AH366" s="8"/>
      <c r="AI366" s="8"/>
      <c r="AJ366" s="8"/>
      <c r="AK366" s="6"/>
      <c r="AL366" s="3" t="s">
        <v>72</v>
      </c>
      <c r="AM366" s="3" t="s">
        <v>72</v>
      </c>
      <c r="AN366" s="3" t="s">
        <v>72</v>
      </c>
      <c r="AW366" s="143"/>
    </row>
    <row r="367" spans="2:49" ht="15">
      <c r="B367" s="82">
        <f t="shared" si="9"/>
        <v>140</v>
      </c>
      <c r="C367" s="11">
        <v>20200511</v>
      </c>
      <c r="D367" s="3" t="s">
        <v>24</v>
      </c>
      <c r="E367" s="3" t="s">
        <v>837</v>
      </c>
      <c r="F367" s="39" t="s">
        <v>854</v>
      </c>
      <c r="G367" s="5">
        <v>1461444</v>
      </c>
      <c r="H367" s="15" t="s">
        <v>72</v>
      </c>
      <c r="I367" s="3" t="s">
        <v>855</v>
      </c>
      <c r="J367" s="15" t="s">
        <v>72</v>
      </c>
      <c r="K367" s="3" t="s">
        <v>73</v>
      </c>
      <c r="L367" s="3" t="s">
        <v>8</v>
      </c>
      <c r="M367" s="3" t="s">
        <v>840</v>
      </c>
      <c r="N367" s="3" t="s">
        <v>841</v>
      </c>
      <c r="O367" s="5" t="s">
        <v>72</v>
      </c>
      <c r="P367" s="5" t="s">
        <v>842</v>
      </c>
      <c r="Q367" s="55"/>
      <c r="R367" s="15" t="s">
        <v>72</v>
      </c>
      <c r="S367" s="3" t="s">
        <v>573</v>
      </c>
      <c r="T367" s="3"/>
      <c r="U367" s="3"/>
      <c r="V367" s="3">
        <v>146</v>
      </c>
      <c r="W367" s="3">
        <f t="shared" si="8"/>
        <v>146</v>
      </c>
      <c r="X367" s="3">
        <f>W367</f>
        <v>146</v>
      </c>
      <c r="Y367" s="3">
        <f>ROUNDDOWN(W367/HLOOKUP(D367,[1]Table!$C$3:$D$4,2,0)*8,2)</f>
        <v>2.59</v>
      </c>
      <c r="Z367" s="3"/>
      <c r="AA367" s="3" t="s">
        <v>505</v>
      </c>
      <c r="AB367" s="6"/>
      <c r="AC367" s="6">
        <v>43962</v>
      </c>
      <c r="AD367" s="6">
        <v>43966</v>
      </c>
      <c r="AE367" s="6">
        <v>43964</v>
      </c>
      <c r="AF367" s="6">
        <v>43964</v>
      </c>
      <c r="AG367" s="6" t="s">
        <v>75</v>
      </c>
      <c r="AH367" s="8" t="s">
        <v>72</v>
      </c>
      <c r="AI367" s="8" t="s">
        <v>72</v>
      </c>
      <c r="AJ367" s="8" t="s">
        <v>72</v>
      </c>
      <c r="AK367" s="6" t="s">
        <v>8</v>
      </c>
      <c r="AL367" s="3"/>
      <c r="AM367" s="3"/>
      <c r="AN367" s="3" t="s">
        <v>574</v>
      </c>
      <c r="AW367" s="143"/>
    </row>
    <row r="368" spans="2:49" ht="15">
      <c r="B368" s="82">
        <f t="shared" si="9"/>
        <v>141</v>
      </c>
      <c r="C368" s="11">
        <v>20200511</v>
      </c>
      <c r="D368" s="3" t="s">
        <v>24</v>
      </c>
      <c r="E368" s="3" t="s">
        <v>837</v>
      </c>
      <c r="F368" s="39" t="s">
        <v>856</v>
      </c>
      <c r="G368" s="5">
        <v>1461444</v>
      </c>
      <c r="H368" s="15" t="s">
        <v>72</v>
      </c>
      <c r="I368" s="3" t="s">
        <v>686</v>
      </c>
      <c r="J368" s="15" t="s">
        <v>72</v>
      </c>
      <c r="K368" s="3" t="s">
        <v>73</v>
      </c>
      <c r="L368" s="3" t="s">
        <v>8</v>
      </c>
      <c r="M368" s="3" t="s">
        <v>840</v>
      </c>
      <c r="N368" s="3" t="s">
        <v>841</v>
      </c>
      <c r="O368" s="5" t="s">
        <v>72</v>
      </c>
      <c r="P368" s="5" t="s">
        <v>842</v>
      </c>
      <c r="Q368" s="55"/>
      <c r="R368" s="15" t="s">
        <v>72</v>
      </c>
      <c r="S368" s="3" t="s">
        <v>573</v>
      </c>
      <c r="T368" s="3"/>
      <c r="U368" s="3"/>
      <c r="V368" s="3">
        <v>96</v>
      </c>
      <c r="W368" s="3">
        <f t="shared" si="8"/>
        <v>96</v>
      </c>
      <c r="X368" s="3">
        <f>W368</f>
        <v>96</v>
      </c>
      <c r="Y368" s="3">
        <f>ROUNDDOWN(W368/HLOOKUP(D368,[1]Table!$C$3:$D$4,2,0)*8,2)</f>
        <v>1.7</v>
      </c>
      <c r="Z368" s="3"/>
      <c r="AA368" s="3" t="s">
        <v>505</v>
      </c>
      <c r="AB368" s="6"/>
      <c r="AC368" s="6">
        <v>43962</v>
      </c>
      <c r="AD368" s="6">
        <v>43966</v>
      </c>
      <c r="AE368" s="6">
        <v>43964</v>
      </c>
      <c r="AF368" s="6">
        <v>43964</v>
      </c>
      <c r="AG368" s="6" t="s">
        <v>75</v>
      </c>
      <c r="AH368" s="8">
        <v>0.69</v>
      </c>
      <c r="AI368" s="8">
        <v>0.68</v>
      </c>
      <c r="AJ368" s="8">
        <v>0.5</v>
      </c>
      <c r="AK368" s="6"/>
      <c r="AL368" s="5" t="s">
        <v>857</v>
      </c>
      <c r="AM368" s="3" t="s">
        <v>72</v>
      </c>
      <c r="AN368" s="3" t="s">
        <v>72</v>
      </c>
      <c r="AW368" s="143"/>
    </row>
    <row r="369" spans="2:49" ht="15">
      <c r="B369" s="82">
        <f t="shared" si="9"/>
        <v>142</v>
      </c>
      <c r="C369" s="11">
        <v>20200511</v>
      </c>
      <c r="D369" s="3" t="s">
        <v>24</v>
      </c>
      <c r="E369" s="3" t="s">
        <v>858</v>
      </c>
      <c r="F369" s="4" t="s">
        <v>859</v>
      </c>
      <c r="G369" s="5">
        <v>9.1</v>
      </c>
      <c r="H369" s="15" t="s">
        <v>72</v>
      </c>
      <c r="I369" s="3" t="s">
        <v>860</v>
      </c>
      <c r="J369" s="15" t="s">
        <v>72</v>
      </c>
      <c r="K369" s="3" t="s">
        <v>73</v>
      </c>
      <c r="L369" s="3" t="s">
        <v>8</v>
      </c>
      <c r="M369" s="3" t="s">
        <v>8</v>
      </c>
      <c r="N369" s="3" t="s">
        <v>861</v>
      </c>
      <c r="O369" s="5" t="s">
        <v>862</v>
      </c>
      <c r="P369" s="5" t="s">
        <v>1333</v>
      </c>
      <c r="Q369" s="55"/>
      <c r="R369" s="15" t="s">
        <v>72</v>
      </c>
      <c r="S369" s="3" t="s">
        <v>573</v>
      </c>
      <c r="T369" s="3"/>
      <c r="U369" s="3"/>
      <c r="V369" s="3">
        <v>163</v>
      </c>
      <c r="W369" s="3">
        <f t="shared" si="8"/>
        <v>163</v>
      </c>
      <c r="X369" s="3"/>
      <c r="Y369" s="3">
        <f>ROUNDDOWN(W369/HLOOKUP(D369,[1]Table!$C$3:$D$4,2,0)*8,2)</f>
        <v>2.89</v>
      </c>
      <c r="Z369" s="3"/>
      <c r="AA369" s="3"/>
      <c r="AB369" s="6"/>
      <c r="AC369" s="6">
        <v>43962</v>
      </c>
      <c r="AD369" s="6">
        <v>43966</v>
      </c>
      <c r="AE369" s="6"/>
      <c r="AF369" s="6"/>
      <c r="AG369" s="6"/>
      <c r="AH369" s="8"/>
      <c r="AI369" s="8"/>
      <c r="AJ369" s="8"/>
      <c r="AK369" s="6"/>
      <c r="AL369" s="3"/>
      <c r="AM369" s="3"/>
      <c r="AN369" s="3" t="s">
        <v>824</v>
      </c>
      <c r="AW369" s="143"/>
    </row>
    <row r="370" spans="2:49" ht="15">
      <c r="B370" s="82">
        <f t="shared" si="9"/>
        <v>143</v>
      </c>
      <c r="C370" s="11">
        <v>20200511</v>
      </c>
      <c r="D370" s="3" t="s">
        <v>311</v>
      </c>
      <c r="E370" s="3" t="s">
        <v>863</v>
      </c>
      <c r="F370" s="5" t="s">
        <v>72</v>
      </c>
      <c r="G370" s="5">
        <v>1404916</v>
      </c>
      <c r="H370" s="15" t="s">
        <v>72</v>
      </c>
      <c r="I370" s="24" t="s">
        <v>864</v>
      </c>
      <c r="J370" s="15" t="s">
        <v>72</v>
      </c>
      <c r="K370" s="3" t="s">
        <v>106</v>
      </c>
      <c r="L370" s="3" t="s">
        <v>8</v>
      </c>
      <c r="M370" s="3" t="s">
        <v>865</v>
      </c>
      <c r="N370" s="3" t="s">
        <v>866</v>
      </c>
      <c r="O370" s="5" t="s">
        <v>613</v>
      </c>
      <c r="P370" s="5" t="s">
        <v>867</v>
      </c>
      <c r="Q370" s="55"/>
      <c r="R370" s="15" t="s">
        <v>72</v>
      </c>
      <c r="S370" s="3" t="s">
        <v>573</v>
      </c>
      <c r="T370" s="3"/>
      <c r="U370" s="3"/>
      <c r="V370" s="3">
        <v>20</v>
      </c>
      <c r="W370" s="3">
        <f t="shared" si="8"/>
        <v>20</v>
      </c>
      <c r="X370" s="3">
        <f>W370</f>
        <v>20</v>
      </c>
      <c r="Y370" s="3">
        <f>ROUNDDOWN(W370/HLOOKUP(D370,[1]Table!$C$3:$D$4,2,0)*8,2)</f>
        <v>1.23</v>
      </c>
      <c r="Z370" s="3">
        <f>Y370</f>
        <v>1.23</v>
      </c>
      <c r="AA370" s="3" t="s">
        <v>550</v>
      </c>
      <c r="AB370" s="6">
        <v>43963</v>
      </c>
      <c r="AC370" s="6">
        <v>43962</v>
      </c>
      <c r="AD370" s="6">
        <v>43963</v>
      </c>
      <c r="AE370" s="6">
        <v>43963</v>
      </c>
      <c r="AF370" s="6">
        <v>43963</v>
      </c>
      <c r="AG370" s="6" t="s">
        <v>75</v>
      </c>
      <c r="AH370" s="8">
        <v>1</v>
      </c>
      <c r="AI370" s="8">
        <v>1</v>
      </c>
      <c r="AJ370" s="8" t="s">
        <v>868</v>
      </c>
      <c r="AK370" s="6" t="s">
        <v>8</v>
      </c>
      <c r="AL370" s="3" t="s">
        <v>72</v>
      </c>
      <c r="AM370" s="3" t="s">
        <v>72</v>
      </c>
      <c r="AN370" s="24" t="s">
        <v>869</v>
      </c>
      <c r="AW370" s="143"/>
    </row>
    <row r="371" spans="2:49" ht="15">
      <c r="B371" s="82">
        <f t="shared" si="9"/>
        <v>144</v>
      </c>
      <c r="C371" s="11">
        <v>20200511</v>
      </c>
      <c r="D371" s="3" t="s">
        <v>24</v>
      </c>
      <c r="E371" s="3" t="s">
        <v>870</v>
      </c>
      <c r="F371" s="39" t="s">
        <v>871</v>
      </c>
      <c r="G371" s="5">
        <v>1444984</v>
      </c>
      <c r="H371" s="15" t="s">
        <v>72</v>
      </c>
      <c r="I371" s="3" t="s">
        <v>252</v>
      </c>
      <c r="J371" s="15" t="s">
        <v>72</v>
      </c>
      <c r="K371" s="3" t="s">
        <v>73</v>
      </c>
      <c r="L371" s="3" t="s">
        <v>8</v>
      </c>
      <c r="M371" s="3" t="s">
        <v>872</v>
      </c>
      <c r="N371" s="3" t="s">
        <v>3</v>
      </c>
      <c r="O371" s="5" t="s">
        <v>72</v>
      </c>
      <c r="P371" s="5" t="s">
        <v>873</v>
      </c>
      <c r="Q371" s="55"/>
      <c r="R371" s="15" t="s">
        <v>72</v>
      </c>
      <c r="S371" s="3" t="s">
        <v>77</v>
      </c>
      <c r="T371" s="3"/>
      <c r="U371" s="3"/>
      <c r="V371" s="3">
        <v>159</v>
      </c>
      <c r="W371" s="3">
        <f t="shared" si="8"/>
        <v>159</v>
      </c>
      <c r="X371" s="3">
        <f t="shared" si="8"/>
        <v>159</v>
      </c>
      <c r="Y371" s="3">
        <f>ROUNDDOWN(W371/HLOOKUP(D371,[1]Table!$C$3:$D$4,2,0)*8,2)</f>
        <v>2.82</v>
      </c>
      <c r="Z371" s="3">
        <v>1.5</v>
      </c>
      <c r="AA371" s="3" t="s">
        <v>550</v>
      </c>
      <c r="AB371" s="6">
        <v>43964</v>
      </c>
      <c r="AC371" s="6">
        <v>43962</v>
      </c>
      <c r="AD371" s="6">
        <v>43964</v>
      </c>
      <c r="AE371" s="6">
        <v>43964</v>
      </c>
      <c r="AF371" s="6">
        <v>43964</v>
      </c>
      <c r="AG371" s="6" t="s">
        <v>75</v>
      </c>
      <c r="AH371" s="8">
        <v>1</v>
      </c>
      <c r="AI371" s="8">
        <v>1</v>
      </c>
      <c r="AJ371" s="8">
        <v>1</v>
      </c>
      <c r="AK371" s="6" t="s">
        <v>8</v>
      </c>
      <c r="AL371" s="3" t="s">
        <v>72</v>
      </c>
      <c r="AM371" s="3" t="s">
        <v>72</v>
      </c>
      <c r="AN371" s="3" t="s">
        <v>72</v>
      </c>
      <c r="AW371" s="143"/>
    </row>
    <row r="372" spans="2:49" ht="15">
      <c r="B372" s="69">
        <f>B371+1</f>
        <v>145</v>
      </c>
      <c r="C372" s="11">
        <v>20200513</v>
      </c>
      <c r="D372" s="3" t="s">
        <v>24</v>
      </c>
      <c r="E372" s="13" t="s">
        <v>874</v>
      </c>
      <c r="F372" s="39" t="s">
        <v>875</v>
      </c>
      <c r="G372" s="13">
        <v>1458101</v>
      </c>
      <c r="H372" s="15" t="s">
        <v>72</v>
      </c>
      <c r="I372" s="13" t="s">
        <v>120</v>
      </c>
      <c r="J372" s="15" t="s">
        <v>72</v>
      </c>
      <c r="K372" s="3" t="s">
        <v>73</v>
      </c>
      <c r="L372" s="13">
        <v>81116</v>
      </c>
      <c r="M372" s="3" t="s">
        <v>22</v>
      </c>
      <c r="N372" s="13" t="s">
        <v>6</v>
      </c>
      <c r="O372" s="5" t="s">
        <v>72</v>
      </c>
      <c r="P372" s="14" t="s">
        <v>876</v>
      </c>
      <c r="Q372" s="55"/>
      <c r="R372" s="15" t="s">
        <v>72</v>
      </c>
      <c r="S372" s="3" t="s">
        <v>161</v>
      </c>
      <c r="T372" s="3"/>
      <c r="U372" s="3"/>
      <c r="V372" s="13">
        <v>42</v>
      </c>
      <c r="W372" s="3">
        <f t="shared" ref="W372:X374" si="10">V372</f>
        <v>42</v>
      </c>
      <c r="X372" s="3">
        <f t="shared" si="10"/>
        <v>42</v>
      </c>
      <c r="Y372" s="3">
        <f>ROUNDDOWN(W372/HLOOKUP(D372,[1]Table!$C$3:$D$4,2,0)*8,2)</f>
        <v>0.74</v>
      </c>
      <c r="Z372" s="3">
        <v>0.5</v>
      </c>
      <c r="AA372" s="3" t="s">
        <v>550</v>
      </c>
      <c r="AB372" s="6">
        <v>43964</v>
      </c>
      <c r="AC372" s="6">
        <v>43964</v>
      </c>
      <c r="AD372" s="6">
        <v>43966</v>
      </c>
      <c r="AE372" s="6">
        <v>43964</v>
      </c>
      <c r="AF372" s="6">
        <v>43964</v>
      </c>
      <c r="AG372" s="6" t="s">
        <v>75</v>
      </c>
      <c r="AH372" s="8">
        <v>1</v>
      </c>
      <c r="AI372" s="8">
        <v>1</v>
      </c>
      <c r="AJ372" s="8">
        <v>1</v>
      </c>
      <c r="AK372" s="6" t="s">
        <v>8</v>
      </c>
      <c r="AL372" s="3" t="s">
        <v>72</v>
      </c>
      <c r="AM372" s="3" t="s">
        <v>72</v>
      </c>
      <c r="AN372" s="3" t="s">
        <v>72</v>
      </c>
      <c r="AW372" s="143"/>
    </row>
    <row r="373" spans="2:49" ht="15">
      <c r="B373" s="69">
        <f>B372+1</f>
        <v>146</v>
      </c>
      <c r="C373" s="11">
        <v>20200513</v>
      </c>
      <c r="D373" s="3" t="s">
        <v>24</v>
      </c>
      <c r="E373" s="13" t="s">
        <v>877</v>
      </c>
      <c r="F373" s="39" t="s">
        <v>878</v>
      </c>
      <c r="G373" s="13">
        <v>1458169</v>
      </c>
      <c r="H373" s="15" t="s">
        <v>72</v>
      </c>
      <c r="I373" s="13" t="s">
        <v>123</v>
      </c>
      <c r="J373" s="15" t="s">
        <v>72</v>
      </c>
      <c r="K373" s="3" t="s">
        <v>73</v>
      </c>
      <c r="L373" s="13">
        <v>81175</v>
      </c>
      <c r="M373" s="3" t="s">
        <v>22</v>
      </c>
      <c r="N373" s="13" t="s">
        <v>6</v>
      </c>
      <c r="O373" s="5" t="s">
        <v>72</v>
      </c>
      <c r="P373" s="14" t="s">
        <v>876</v>
      </c>
      <c r="Q373" s="55"/>
      <c r="R373" s="15" t="s">
        <v>72</v>
      </c>
      <c r="S373" s="3" t="s">
        <v>161</v>
      </c>
      <c r="T373" s="3"/>
      <c r="U373" s="3"/>
      <c r="V373" s="13">
        <v>88</v>
      </c>
      <c r="W373" s="3">
        <f t="shared" si="10"/>
        <v>88</v>
      </c>
      <c r="X373" s="3">
        <f t="shared" si="10"/>
        <v>88</v>
      </c>
      <c r="Y373" s="3">
        <f>ROUNDDOWN(W373/HLOOKUP(D373,[1]Table!$C$3:$D$4,2,0)*8,2)</f>
        <v>1.56</v>
      </c>
      <c r="Z373" s="3">
        <v>1</v>
      </c>
      <c r="AA373" s="3" t="s">
        <v>550</v>
      </c>
      <c r="AB373" s="6">
        <v>43964</v>
      </c>
      <c r="AC373" s="6">
        <v>43964</v>
      </c>
      <c r="AD373" s="6">
        <v>43966</v>
      </c>
      <c r="AE373" s="6">
        <v>43964</v>
      </c>
      <c r="AF373" s="6">
        <v>43964</v>
      </c>
      <c r="AG373" s="6" t="s">
        <v>75</v>
      </c>
      <c r="AH373" s="8">
        <v>1</v>
      </c>
      <c r="AI373" s="8">
        <v>1</v>
      </c>
      <c r="AJ373" s="8">
        <v>1</v>
      </c>
      <c r="AK373" s="6" t="s">
        <v>8</v>
      </c>
      <c r="AL373" s="3" t="s">
        <v>72</v>
      </c>
      <c r="AM373" s="3" t="s">
        <v>72</v>
      </c>
      <c r="AN373" s="3" t="s">
        <v>72</v>
      </c>
      <c r="AW373" s="143"/>
    </row>
    <row r="374" spans="2:49" ht="15">
      <c r="B374" s="69">
        <v>146</v>
      </c>
      <c r="C374" s="11">
        <v>20200513</v>
      </c>
      <c r="D374" s="3" t="s">
        <v>311</v>
      </c>
      <c r="E374" s="13" t="s">
        <v>870</v>
      </c>
      <c r="F374" s="5" t="s">
        <v>72</v>
      </c>
      <c r="G374" s="13">
        <v>1435036</v>
      </c>
      <c r="H374" s="15" t="s">
        <v>72</v>
      </c>
      <c r="I374" s="13" t="s">
        <v>879</v>
      </c>
      <c r="J374" s="15" t="s">
        <v>72</v>
      </c>
      <c r="K374" s="3" t="s">
        <v>73</v>
      </c>
      <c r="L374" s="3">
        <v>81377</v>
      </c>
      <c r="M374" s="3" t="s">
        <v>872</v>
      </c>
      <c r="N374" s="3" t="s">
        <v>880</v>
      </c>
      <c r="O374" s="14" t="s">
        <v>881</v>
      </c>
      <c r="P374" s="14" t="s">
        <v>882</v>
      </c>
      <c r="Q374" s="55"/>
      <c r="R374" s="15" t="s">
        <v>72</v>
      </c>
      <c r="S374" s="3" t="s">
        <v>117</v>
      </c>
      <c r="T374" s="3"/>
      <c r="U374" s="3"/>
      <c r="V374" s="3">
        <v>40</v>
      </c>
      <c r="W374" s="3">
        <f t="shared" si="10"/>
        <v>40</v>
      </c>
      <c r="X374" s="3">
        <f t="shared" si="10"/>
        <v>40</v>
      </c>
      <c r="Y374" s="3">
        <f>ROUNDDOWN(W374/HLOOKUP(D374,[1]Table!$C$3:$D$4,2,0)*8,2)</f>
        <v>2.46</v>
      </c>
      <c r="Z374" s="3">
        <v>2</v>
      </c>
      <c r="AA374" s="3" t="s">
        <v>550</v>
      </c>
      <c r="AB374" s="6">
        <v>43964</v>
      </c>
      <c r="AC374" s="6">
        <v>43964</v>
      </c>
      <c r="AD374" s="6">
        <v>43966</v>
      </c>
      <c r="AE374" s="6">
        <v>43964</v>
      </c>
      <c r="AF374" s="6">
        <v>43964</v>
      </c>
      <c r="AG374" s="6" t="s">
        <v>75</v>
      </c>
      <c r="AH374" s="8">
        <v>1</v>
      </c>
      <c r="AI374" s="8">
        <v>1</v>
      </c>
      <c r="AJ374" s="8">
        <v>1</v>
      </c>
      <c r="AK374" s="6" t="s">
        <v>8</v>
      </c>
      <c r="AL374" s="3" t="s">
        <v>72</v>
      </c>
      <c r="AM374" s="3" t="s">
        <v>72</v>
      </c>
      <c r="AN374" s="3" t="s">
        <v>72</v>
      </c>
      <c r="AW374" s="143"/>
    </row>
    <row r="375" spans="2:49" ht="15">
      <c r="B375" s="48">
        <f t="shared" ref="B375:B438" si="11">B374+1</f>
        <v>147</v>
      </c>
      <c r="C375" s="11">
        <v>20200414</v>
      </c>
      <c r="D375" s="3" t="s">
        <v>24</v>
      </c>
      <c r="E375" s="3" t="s">
        <v>883</v>
      </c>
      <c r="F375" s="5" t="s">
        <v>884</v>
      </c>
      <c r="G375" s="5">
        <v>1415974</v>
      </c>
      <c r="H375" s="15" t="s">
        <v>72</v>
      </c>
      <c r="I375" s="3" t="s">
        <v>885</v>
      </c>
      <c r="J375" s="15" t="s">
        <v>72</v>
      </c>
      <c r="K375" s="3" t="s">
        <v>73</v>
      </c>
      <c r="L375" s="3">
        <v>80433</v>
      </c>
      <c r="M375" s="3" t="s">
        <v>886</v>
      </c>
      <c r="N375" s="3" t="s">
        <v>887</v>
      </c>
      <c r="O375" s="5" t="s">
        <v>72</v>
      </c>
      <c r="P375" s="5" t="s">
        <v>888</v>
      </c>
      <c r="Q375" s="55"/>
      <c r="R375" s="15" t="s">
        <v>72</v>
      </c>
      <c r="S375" s="3" t="s">
        <v>74</v>
      </c>
      <c r="T375" s="3"/>
      <c r="U375" s="3"/>
      <c r="V375" s="3">
        <v>62</v>
      </c>
      <c r="W375" s="3">
        <f>V375</f>
        <v>62</v>
      </c>
      <c r="X375" s="3">
        <f>W375</f>
        <v>62</v>
      </c>
      <c r="Y375" s="3">
        <f>ROUNDDOWN(W375/HLOOKUP(D375,[2]Table!$C$3:$D$4,2,0)*8,2)</f>
        <v>1.1000000000000001</v>
      </c>
      <c r="Z375" s="3">
        <v>2</v>
      </c>
      <c r="AA375" s="3" t="s">
        <v>110</v>
      </c>
      <c r="AB375" s="6">
        <v>43938</v>
      </c>
      <c r="AC375" s="6">
        <v>43935</v>
      </c>
      <c r="AD375" s="6">
        <v>43938</v>
      </c>
      <c r="AE375" s="6">
        <v>43935</v>
      </c>
      <c r="AF375" s="6">
        <v>43935</v>
      </c>
      <c r="AG375" s="12" t="s">
        <v>75</v>
      </c>
      <c r="AH375" s="8">
        <v>1</v>
      </c>
      <c r="AI375" s="8">
        <v>1</v>
      </c>
      <c r="AJ375" s="8">
        <v>1</v>
      </c>
      <c r="AK375" s="12" t="s">
        <v>8</v>
      </c>
      <c r="AL375" s="3"/>
      <c r="AM375" s="3"/>
      <c r="AN375" s="3"/>
      <c r="AW375" s="143"/>
    </row>
    <row r="376" spans="2:49" ht="15">
      <c r="B376" s="48">
        <f t="shared" si="11"/>
        <v>148</v>
      </c>
      <c r="C376" s="11">
        <v>20200414</v>
      </c>
      <c r="D376" s="3" t="s">
        <v>24</v>
      </c>
      <c r="E376" s="3" t="s">
        <v>883</v>
      </c>
      <c r="F376" s="5" t="s">
        <v>889</v>
      </c>
      <c r="G376" s="5">
        <v>1415974</v>
      </c>
      <c r="H376" s="15" t="s">
        <v>72</v>
      </c>
      <c r="I376" s="3" t="s">
        <v>890</v>
      </c>
      <c r="J376" s="15" t="s">
        <v>72</v>
      </c>
      <c r="K376" s="3" t="s">
        <v>73</v>
      </c>
      <c r="L376" s="3">
        <v>80433</v>
      </c>
      <c r="M376" s="3" t="s">
        <v>886</v>
      </c>
      <c r="N376" s="3" t="s">
        <v>887</v>
      </c>
      <c r="O376" s="5" t="s">
        <v>72</v>
      </c>
      <c r="P376" s="5" t="s">
        <v>888</v>
      </c>
      <c r="Q376" s="55"/>
      <c r="R376" s="15" t="s">
        <v>72</v>
      </c>
      <c r="S376" s="3" t="s">
        <v>74</v>
      </c>
      <c r="T376" s="3"/>
      <c r="U376" s="3"/>
      <c r="V376" s="3">
        <v>22</v>
      </c>
      <c r="W376" s="3">
        <f t="shared" ref="W376:X439" si="12">V376</f>
        <v>22</v>
      </c>
      <c r="X376" s="3">
        <f t="shared" si="12"/>
        <v>22</v>
      </c>
      <c r="Y376" s="3">
        <f>ROUNDDOWN(W376/HLOOKUP(D376,[2]Table!$C$3:$D$4,2,0)*8,2)</f>
        <v>0.39</v>
      </c>
      <c r="Z376" s="3">
        <v>0.5</v>
      </c>
      <c r="AA376" s="3" t="s">
        <v>110</v>
      </c>
      <c r="AB376" s="6">
        <v>43938</v>
      </c>
      <c r="AC376" s="6">
        <v>43935</v>
      </c>
      <c r="AD376" s="6">
        <v>43938</v>
      </c>
      <c r="AE376" s="6">
        <v>43936</v>
      </c>
      <c r="AF376" s="6">
        <v>43936</v>
      </c>
      <c r="AG376" s="12" t="s">
        <v>75</v>
      </c>
      <c r="AH376" s="8">
        <v>1</v>
      </c>
      <c r="AI376" s="8">
        <v>1</v>
      </c>
      <c r="AJ376" s="8">
        <v>1</v>
      </c>
      <c r="AK376" s="12" t="s">
        <v>8</v>
      </c>
      <c r="AL376" s="3"/>
      <c r="AM376" s="3"/>
      <c r="AN376" s="3"/>
      <c r="AW376" s="143"/>
    </row>
    <row r="377" spans="2:49" ht="15">
      <c r="B377" s="48">
        <f t="shared" si="11"/>
        <v>149</v>
      </c>
      <c r="C377" s="11">
        <v>20200414</v>
      </c>
      <c r="D377" s="3" t="s">
        <v>24</v>
      </c>
      <c r="E377" s="3" t="s">
        <v>883</v>
      </c>
      <c r="F377" s="5" t="s">
        <v>891</v>
      </c>
      <c r="G377" s="5">
        <v>1415974</v>
      </c>
      <c r="H377" s="15" t="s">
        <v>72</v>
      </c>
      <c r="I377" s="3" t="s">
        <v>892</v>
      </c>
      <c r="J377" s="15" t="s">
        <v>72</v>
      </c>
      <c r="K377" s="3" t="s">
        <v>73</v>
      </c>
      <c r="L377" s="3">
        <v>80433</v>
      </c>
      <c r="M377" s="3" t="s">
        <v>886</v>
      </c>
      <c r="N377" s="3" t="s">
        <v>887</v>
      </c>
      <c r="O377" s="5" t="s">
        <v>72</v>
      </c>
      <c r="P377" s="5" t="s">
        <v>888</v>
      </c>
      <c r="Q377" s="55"/>
      <c r="R377" s="15" t="s">
        <v>72</v>
      </c>
      <c r="S377" s="3" t="s">
        <v>74</v>
      </c>
      <c r="T377" s="3"/>
      <c r="U377" s="3"/>
      <c r="V377" s="3">
        <v>26</v>
      </c>
      <c r="W377" s="3">
        <f t="shared" si="12"/>
        <v>26</v>
      </c>
      <c r="X377" s="3">
        <f t="shared" si="12"/>
        <v>26</v>
      </c>
      <c r="Y377" s="3">
        <f>ROUNDDOWN(W377/HLOOKUP(D377,[2]Table!$C$3:$D$4,2,0)*8,2)</f>
        <v>0.46</v>
      </c>
      <c r="Z377" s="3">
        <v>0.5</v>
      </c>
      <c r="AA377" s="3" t="s">
        <v>110</v>
      </c>
      <c r="AB377" s="6">
        <v>43938</v>
      </c>
      <c r="AC377" s="6">
        <v>43935</v>
      </c>
      <c r="AD377" s="6">
        <v>43938</v>
      </c>
      <c r="AE377" s="6">
        <v>43936</v>
      </c>
      <c r="AF377" s="6">
        <v>43936</v>
      </c>
      <c r="AG377" s="12" t="s">
        <v>75</v>
      </c>
      <c r="AH377" s="8">
        <v>1</v>
      </c>
      <c r="AI377" s="8">
        <v>1</v>
      </c>
      <c r="AJ377" s="8">
        <v>1</v>
      </c>
      <c r="AK377" s="12" t="s">
        <v>8</v>
      </c>
      <c r="AL377" s="3"/>
      <c r="AM377" s="3"/>
      <c r="AN377" s="3"/>
      <c r="AW377" s="143"/>
    </row>
    <row r="378" spans="2:49" ht="15">
      <c r="B378" s="48">
        <f t="shared" si="11"/>
        <v>150</v>
      </c>
      <c r="C378" s="11">
        <v>20200414</v>
      </c>
      <c r="D378" s="3" t="s">
        <v>24</v>
      </c>
      <c r="E378" s="3" t="s">
        <v>883</v>
      </c>
      <c r="F378" s="5" t="s">
        <v>347</v>
      </c>
      <c r="G378" s="5">
        <v>1415974</v>
      </c>
      <c r="H378" s="15" t="s">
        <v>72</v>
      </c>
      <c r="I378" s="3" t="s">
        <v>247</v>
      </c>
      <c r="J378" s="15" t="s">
        <v>72</v>
      </c>
      <c r="K378" s="3" t="s">
        <v>73</v>
      </c>
      <c r="L378" s="3">
        <v>80433</v>
      </c>
      <c r="M378" s="3" t="s">
        <v>886</v>
      </c>
      <c r="N378" s="3" t="s">
        <v>887</v>
      </c>
      <c r="O378" s="5" t="s">
        <v>72</v>
      </c>
      <c r="P378" s="5" t="s">
        <v>888</v>
      </c>
      <c r="Q378" s="55"/>
      <c r="R378" s="15" t="s">
        <v>72</v>
      </c>
      <c r="S378" s="3" t="s">
        <v>74</v>
      </c>
      <c r="T378" s="3"/>
      <c r="U378" s="3"/>
      <c r="V378" s="3">
        <v>35</v>
      </c>
      <c r="W378" s="3">
        <f t="shared" si="12"/>
        <v>35</v>
      </c>
      <c r="X378" s="3">
        <f t="shared" si="12"/>
        <v>35</v>
      </c>
      <c r="Y378" s="3">
        <f>ROUNDDOWN(W378/HLOOKUP(D378,[2]Table!$C$3:$D$4,2,0)*8,2)</f>
        <v>0.62</v>
      </c>
      <c r="Z378" s="3">
        <v>1</v>
      </c>
      <c r="AA378" s="3" t="s">
        <v>110</v>
      </c>
      <c r="AB378" s="6">
        <v>43938</v>
      </c>
      <c r="AC378" s="6">
        <v>43935</v>
      </c>
      <c r="AD378" s="6">
        <v>43938</v>
      </c>
      <c r="AE378" s="6">
        <v>43936</v>
      </c>
      <c r="AF378" s="6">
        <v>43936</v>
      </c>
      <c r="AG378" s="12" t="s">
        <v>75</v>
      </c>
      <c r="AH378" s="8">
        <v>1</v>
      </c>
      <c r="AI378" s="8">
        <v>1</v>
      </c>
      <c r="AJ378" s="8">
        <v>1</v>
      </c>
      <c r="AK378" s="12" t="s">
        <v>8</v>
      </c>
      <c r="AL378" s="3"/>
      <c r="AM378" s="3"/>
      <c r="AN378" s="3"/>
      <c r="AW378" s="143"/>
    </row>
    <row r="379" spans="2:49" ht="15">
      <c r="B379" s="48">
        <f t="shared" si="11"/>
        <v>151</v>
      </c>
      <c r="C379" s="11">
        <v>20200414</v>
      </c>
      <c r="D379" s="3" t="s">
        <v>24</v>
      </c>
      <c r="E379" s="3" t="s">
        <v>883</v>
      </c>
      <c r="F379" s="5" t="s">
        <v>359</v>
      </c>
      <c r="G379" s="5">
        <v>1415974</v>
      </c>
      <c r="H379" s="15" t="s">
        <v>72</v>
      </c>
      <c r="I379" s="3" t="s">
        <v>187</v>
      </c>
      <c r="J379" s="15" t="s">
        <v>72</v>
      </c>
      <c r="K379" s="3" t="s">
        <v>73</v>
      </c>
      <c r="L379" s="3">
        <v>80433</v>
      </c>
      <c r="M379" s="3" t="s">
        <v>886</v>
      </c>
      <c r="N379" s="3" t="s">
        <v>887</v>
      </c>
      <c r="O379" s="5" t="s">
        <v>72</v>
      </c>
      <c r="P379" s="5" t="s">
        <v>888</v>
      </c>
      <c r="Q379" s="55"/>
      <c r="R379" s="15" t="s">
        <v>72</v>
      </c>
      <c r="S379" s="3" t="s">
        <v>74</v>
      </c>
      <c r="T379" s="3"/>
      <c r="U379" s="3"/>
      <c r="V379" s="3">
        <v>101</v>
      </c>
      <c r="W379" s="3">
        <f t="shared" si="12"/>
        <v>101</v>
      </c>
      <c r="X379" s="3">
        <f t="shared" si="12"/>
        <v>101</v>
      </c>
      <c r="Y379" s="3">
        <f>ROUNDDOWN(W379/HLOOKUP(D379,[2]Table!$C$3:$D$4,2,0)*8,2)</f>
        <v>1.79</v>
      </c>
      <c r="Z379" s="3">
        <v>1</v>
      </c>
      <c r="AA379" s="3" t="s">
        <v>110</v>
      </c>
      <c r="AB379" s="6">
        <v>43938</v>
      </c>
      <c r="AC379" s="6">
        <v>43935</v>
      </c>
      <c r="AD379" s="6">
        <v>43938</v>
      </c>
      <c r="AE379" s="6">
        <v>43936</v>
      </c>
      <c r="AF379" s="6">
        <v>43936</v>
      </c>
      <c r="AG379" s="12" t="s">
        <v>75</v>
      </c>
      <c r="AH379" s="8">
        <v>1</v>
      </c>
      <c r="AI379" s="8">
        <v>1</v>
      </c>
      <c r="AJ379" s="8">
        <v>1</v>
      </c>
      <c r="AK379" s="12" t="s">
        <v>8</v>
      </c>
      <c r="AL379" s="3"/>
      <c r="AM379" s="3"/>
      <c r="AN379" s="3"/>
      <c r="AW379" s="143"/>
    </row>
    <row r="380" spans="2:49" ht="15">
      <c r="B380" s="48">
        <f t="shared" si="11"/>
        <v>152</v>
      </c>
      <c r="C380" s="11">
        <v>20200414</v>
      </c>
      <c r="D380" s="3" t="s">
        <v>24</v>
      </c>
      <c r="E380" s="3" t="s">
        <v>883</v>
      </c>
      <c r="F380" s="5" t="s">
        <v>347</v>
      </c>
      <c r="G380" s="5">
        <v>1415974</v>
      </c>
      <c r="H380" s="15" t="s">
        <v>72</v>
      </c>
      <c r="I380" s="3" t="s">
        <v>195</v>
      </c>
      <c r="J380" s="15" t="s">
        <v>72</v>
      </c>
      <c r="K380" s="3" t="s">
        <v>73</v>
      </c>
      <c r="L380" s="3">
        <v>80433</v>
      </c>
      <c r="M380" s="3" t="s">
        <v>886</v>
      </c>
      <c r="N380" s="3" t="s">
        <v>887</v>
      </c>
      <c r="O380" s="5" t="s">
        <v>72</v>
      </c>
      <c r="P380" s="5" t="s">
        <v>888</v>
      </c>
      <c r="Q380" s="55"/>
      <c r="R380" s="15" t="s">
        <v>72</v>
      </c>
      <c r="S380" s="3" t="s">
        <v>74</v>
      </c>
      <c r="T380" s="3"/>
      <c r="U380" s="3"/>
      <c r="V380" s="3">
        <v>67</v>
      </c>
      <c r="W380" s="3">
        <f t="shared" si="12"/>
        <v>67</v>
      </c>
      <c r="X380" s="3">
        <f t="shared" si="12"/>
        <v>67</v>
      </c>
      <c r="Y380" s="3">
        <f>ROUNDDOWN(W380/HLOOKUP(D380,[2]Table!$C$3:$D$4,2,0)*8,2)</f>
        <v>1.19</v>
      </c>
      <c r="Z380" s="3">
        <v>1</v>
      </c>
      <c r="AA380" s="3" t="s">
        <v>110</v>
      </c>
      <c r="AB380" s="6">
        <v>43938</v>
      </c>
      <c r="AC380" s="6">
        <v>43935</v>
      </c>
      <c r="AD380" s="6">
        <v>43938</v>
      </c>
      <c r="AE380" s="6">
        <v>43936</v>
      </c>
      <c r="AF380" s="6">
        <v>43936</v>
      </c>
      <c r="AG380" s="12" t="s">
        <v>75</v>
      </c>
      <c r="AH380" s="8">
        <v>1</v>
      </c>
      <c r="AI380" s="8">
        <v>1</v>
      </c>
      <c r="AJ380" s="8">
        <v>1</v>
      </c>
      <c r="AK380" s="12" t="s">
        <v>8</v>
      </c>
      <c r="AL380" s="3"/>
      <c r="AM380" s="3"/>
      <c r="AN380" s="3"/>
      <c r="AW380" s="143"/>
    </row>
    <row r="381" spans="2:49" ht="15">
      <c r="B381" s="48">
        <f t="shared" si="11"/>
        <v>153</v>
      </c>
      <c r="C381" s="11">
        <v>20200414</v>
      </c>
      <c r="D381" s="3" t="s">
        <v>24</v>
      </c>
      <c r="E381" s="3" t="s">
        <v>883</v>
      </c>
      <c r="F381" s="5" t="s">
        <v>893</v>
      </c>
      <c r="G381" s="5">
        <v>1415974</v>
      </c>
      <c r="H381" s="15" t="s">
        <v>72</v>
      </c>
      <c r="I381" s="3" t="s">
        <v>271</v>
      </c>
      <c r="J381" s="15" t="s">
        <v>72</v>
      </c>
      <c r="K381" s="3" t="s">
        <v>73</v>
      </c>
      <c r="L381" s="3">
        <v>80433</v>
      </c>
      <c r="M381" s="3" t="s">
        <v>886</v>
      </c>
      <c r="N381" s="3" t="s">
        <v>887</v>
      </c>
      <c r="O381" s="5" t="s">
        <v>72</v>
      </c>
      <c r="P381" s="5" t="s">
        <v>888</v>
      </c>
      <c r="Q381" s="55"/>
      <c r="R381" s="15" t="s">
        <v>72</v>
      </c>
      <c r="S381" s="3" t="s">
        <v>74</v>
      </c>
      <c r="T381" s="3"/>
      <c r="U381" s="3"/>
      <c r="V381" s="3">
        <v>137</v>
      </c>
      <c r="W381" s="3">
        <f t="shared" si="12"/>
        <v>137</v>
      </c>
      <c r="X381" s="3">
        <f t="shared" si="12"/>
        <v>137</v>
      </c>
      <c r="Y381" s="3">
        <f>ROUNDDOWN(W381/HLOOKUP(D381,[2]Table!$C$3:$D$4,2,0)*8,2)</f>
        <v>2.4300000000000002</v>
      </c>
      <c r="Z381" s="3">
        <v>1</v>
      </c>
      <c r="AA381" s="3" t="s">
        <v>110</v>
      </c>
      <c r="AB381" s="6">
        <v>43938</v>
      </c>
      <c r="AC381" s="6">
        <v>43935</v>
      </c>
      <c r="AD381" s="6">
        <v>43938</v>
      </c>
      <c r="AE381" s="6">
        <v>43936</v>
      </c>
      <c r="AF381" s="6">
        <v>43936</v>
      </c>
      <c r="AG381" s="12" t="s">
        <v>75</v>
      </c>
      <c r="AH381" s="8">
        <v>1</v>
      </c>
      <c r="AI381" s="8">
        <v>1</v>
      </c>
      <c r="AJ381" s="8">
        <v>1</v>
      </c>
      <c r="AK381" s="12" t="s">
        <v>8</v>
      </c>
      <c r="AL381" s="3"/>
      <c r="AM381" s="3"/>
      <c r="AN381" s="3"/>
      <c r="AW381" s="143"/>
    </row>
    <row r="382" spans="2:49" ht="15">
      <c r="B382" s="48">
        <f t="shared" si="11"/>
        <v>154</v>
      </c>
      <c r="C382" s="11">
        <v>20200414</v>
      </c>
      <c r="D382" s="3" t="s">
        <v>24</v>
      </c>
      <c r="E382" s="3" t="s">
        <v>883</v>
      </c>
      <c r="F382" s="5" t="s">
        <v>359</v>
      </c>
      <c r="G382" s="5">
        <v>1415974</v>
      </c>
      <c r="H382" s="15" t="s">
        <v>72</v>
      </c>
      <c r="I382" s="3" t="s">
        <v>258</v>
      </c>
      <c r="J382" s="15" t="s">
        <v>72</v>
      </c>
      <c r="K382" s="3" t="s">
        <v>73</v>
      </c>
      <c r="L382" s="3">
        <v>80433</v>
      </c>
      <c r="M382" s="3" t="s">
        <v>886</v>
      </c>
      <c r="N382" s="3" t="s">
        <v>887</v>
      </c>
      <c r="O382" s="5" t="s">
        <v>72</v>
      </c>
      <c r="P382" s="5" t="s">
        <v>888</v>
      </c>
      <c r="Q382" s="55"/>
      <c r="R382" s="15" t="s">
        <v>72</v>
      </c>
      <c r="S382" s="3" t="s">
        <v>74</v>
      </c>
      <c r="T382" s="3"/>
      <c r="U382" s="3"/>
      <c r="V382" s="3">
        <v>160</v>
      </c>
      <c r="W382" s="3">
        <f t="shared" si="12"/>
        <v>160</v>
      </c>
      <c r="X382" s="3">
        <f t="shared" si="12"/>
        <v>160</v>
      </c>
      <c r="Y382" s="3">
        <f>ROUNDDOWN(W382/HLOOKUP(D382,[2]Table!$C$3:$D$4,2,0)*8,2)</f>
        <v>2.84</v>
      </c>
      <c r="Z382" s="3">
        <v>1</v>
      </c>
      <c r="AA382" s="3" t="s">
        <v>110</v>
      </c>
      <c r="AB382" s="6">
        <v>43938</v>
      </c>
      <c r="AC382" s="6">
        <v>43935</v>
      </c>
      <c r="AD382" s="6">
        <v>43938</v>
      </c>
      <c r="AE382" s="6">
        <v>43936</v>
      </c>
      <c r="AF382" s="6">
        <v>43936</v>
      </c>
      <c r="AG382" s="12" t="s">
        <v>75</v>
      </c>
      <c r="AH382" s="8">
        <v>1</v>
      </c>
      <c r="AI382" s="8">
        <v>1</v>
      </c>
      <c r="AJ382" s="8">
        <v>1</v>
      </c>
      <c r="AK382" s="12" t="s">
        <v>8</v>
      </c>
      <c r="AL382" s="3"/>
      <c r="AM382" s="3"/>
      <c r="AN382" s="3"/>
      <c r="AW382" s="143"/>
    </row>
    <row r="383" spans="2:49" ht="15">
      <c r="B383" s="48">
        <f t="shared" si="11"/>
        <v>155</v>
      </c>
      <c r="C383" s="11">
        <v>20200414</v>
      </c>
      <c r="D383" s="3" t="s">
        <v>24</v>
      </c>
      <c r="E383" s="3" t="s">
        <v>883</v>
      </c>
      <c r="F383" s="5" t="s">
        <v>347</v>
      </c>
      <c r="G383" s="5">
        <v>1415974</v>
      </c>
      <c r="H383" s="15" t="s">
        <v>72</v>
      </c>
      <c r="I383" s="3" t="s">
        <v>249</v>
      </c>
      <c r="J383" s="15" t="s">
        <v>72</v>
      </c>
      <c r="K383" s="3" t="s">
        <v>73</v>
      </c>
      <c r="L383" s="3">
        <v>80433</v>
      </c>
      <c r="M383" s="3" t="s">
        <v>886</v>
      </c>
      <c r="N383" s="3" t="s">
        <v>887</v>
      </c>
      <c r="O383" s="5" t="s">
        <v>72</v>
      </c>
      <c r="P383" s="5" t="s">
        <v>888</v>
      </c>
      <c r="Q383" s="55"/>
      <c r="R383" s="15" t="s">
        <v>72</v>
      </c>
      <c r="S383" s="3" t="s">
        <v>74</v>
      </c>
      <c r="T383" s="3"/>
      <c r="U383" s="3"/>
      <c r="V383" s="3">
        <v>138</v>
      </c>
      <c r="W383" s="3">
        <f t="shared" si="12"/>
        <v>138</v>
      </c>
      <c r="X383" s="3">
        <f t="shared" si="12"/>
        <v>138</v>
      </c>
      <c r="Y383" s="3">
        <f>ROUNDDOWN(W383/HLOOKUP(D383,[2]Table!$C$3:$D$4,2,0)*8,2)</f>
        <v>2.4500000000000002</v>
      </c>
      <c r="Z383" s="3">
        <v>1</v>
      </c>
      <c r="AA383" s="3" t="s">
        <v>110</v>
      </c>
      <c r="AB383" s="6">
        <v>43938</v>
      </c>
      <c r="AC383" s="6">
        <v>43935</v>
      </c>
      <c r="AD383" s="6">
        <v>43938</v>
      </c>
      <c r="AE383" s="6">
        <v>43936</v>
      </c>
      <c r="AF383" s="6">
        <v>43936</v>
      </c>
      <c r="AG383" s="12" t="s">
        <v>75</v>
      </c>
      <c r="AH383" s="8">
        <v>1</v>
      </c>
      <c r="AI383" s="8">
        <v>1</v>
      </c>
      <c r="AJ383" s="8">
        <v>1</v>
      </c>
      <c r="AK383" s="12" t="s">
        <v>8</v>
      </c>
      <c r="AL383" s="3"/>
      <c r="AM383" s="3"/>
      <c r="AN383" s="3"/>
      <c r="AW383" s="143"/>
    </row>
    <row r="384" spans="2:49" ht="15">
      <c r="B384" s="48">
        <f t="shared" si="11"/>
        <v>156</v>
      </c>
      <c r="C384" s="11">
        <v>20200414</v>
      </c>
      <c r="D384" s="3" t="s">
        <v>24</v>
      </c>
      <c r="E384" s="3" t="s">
        <v>883</v>
      </c>
      <c r="F384" s="5" t="s">
        <v>359</v>
      </c>
      <c r="G384" s="5">
        <v>1415974</v>
      </c>
      <c r="H384" s="15" t="s">
        <v>72</v>
      </c>
      <c r="I384" s="3" t="s">
        <v>259</v>
      </c>
      <c r="J384" s="15" t="s">
        <v>72</v>
      </c>
      <c r="K384" s="3" t="s">
        <v>73</v>
      </c>
      <c r="L384" s="3">
        <v>80433</v>
      </c>
      <c r="M384" s="3" t="s">
        <v>886</v>
      </c>
      <c r="N384" s="3" t="s">
        <v>887</v>
      </c>
      <c r="O384" s="5" t="s">
        <v>72</v>
      </c>
      <c r="P384" s="5" t="s">
        <v>888</v>
      </c>
      <c r="Q384" s="55"/>
      <c r="R384" s="15" t="s">
        <v>72</v>
      </c>
      <c r="S384" s="3" t="s">
        <v>74</v>
      </c>
      <c r="T384" s="3"/>
      <c r="U384" s="3"/>
      <c r="V384" s="3">
        <v>188</v>
      </c>
      <c r="W384" s="3">
        <f t="shared" si="12"/>
        <v>188</v>
      </c>
      <c r="X384" s="3">
        <f t="shared" si="12"/>
        <v>188</v>
      </c>
      <c r="Y384" s="3">
        <f>ROUNDDOWN(W384/HLOOKUP(D384,[2]Table!$C$3:$D$4,2,0)*8,2)</f>
        <v>3.34</v>
      </c>
      <c r="Z384" s="3">
        <v>1</v>
      </c>
      <c r="AA384" s="3" t="s">
        <v>110</v>
      </c>
      <c r="AB384" s="6">
        <v>43938</v>
      </c>
      <c r="AC384" s="6">
        <v>43935</v>
      </c>
      <c r="AD384" s="6">
        <v>43938</v>
      </c>
      <c r="AE384" s="6">
        <v>43936</v>
      </c>
      <c r="AF384" s="6">
        <v>43936</v>
      </c>
      <c r="AG384" s="12" t="s">
        <v>75</v>
      </c>
      <c r="AH384" s="8">
        <v>1</v>
      </c>
      <c r="AI384" s="8">
        <v>1</v>
      </c>
      <c r="AJ384" s="8">
        <v>1</v>
      </c>
      <c r="AK384" s="12" t="s">
        <v>8</v>
      </c>
      <c r="AL384" s="3"/>
      <c r="AM384" s="3"/>
      <c r="AN384" s="3"/>
      <c r="AW384" s="143"/>
    </row>
    <row r="385" spans="2:49" ht="15">
      <c r="B385" s="48">
        <f t="shared" si="11"/>
        <v>157</v>
      </c>
      <c r="C385" s="11">
        <v>20200414</v>
      </c>
      <c r="D385" s="3" t="s">
        <v>24</v>
      </c>
      <c r="E385" s="3" t="s">
        <v>883</v>
      </c>
      <c r="F385" s="5" t="s">
        <v>359</v>
      </c>
      <c r="G385" s="5">
        <v>1415974</v>
      </c>
      <c r="H385" s="15" t="s">
        <v>72</v>
      </c>
      <c r="I385" s="3" t="s">
        <v>263</v>
      </c>
      <c r="J385" s="15" t="s">
        <v>72</v>
      </c>
      <c r="K385" s="3" t="s">
        <v>73</v>
      </c>
      <c r="L385" s="3">
        <v>80433</v>
      </c>
      <c r="M385" s="3" t="s">
        <v>886</v>
      </c>
      <c r="N385" s="3" t="s">
        <v>887</v>
      </c>
      <c r="O385" s="5" t="s">
        <v>72</v>
      </c>
      <c r="P385" s="5" t="s">
        <v>888</v>
      </c>
      <c r="Q385" s="55"/>
      <c r="R385" s="15" t="s">
        <v>72</v>
      </c>
      <c r="S385" s="3" t="s">
        <v>573</v>
      </c>
      <c r="T385" s="3"/>
      <c r="U385" s="3"/>
      <c r="V385" s="3">
        <v>189</v>
      </c>
      <c r="W385" s="3">
        <f t="shared" si="12"/>
        <v>189</v>
      </c>
      <c r="X385" s="3">
        <f>W385</f>
        <v>189</v>
      </c>
      <c r="Y385" s="3">
        <f>ROUNDDOWN(W385/HLOOKUP(D385,[2]Table!$C$3:$D$4,2,0)*8,2)</f>
        <v>3.36</v>
      </c>
      <c r="Z385" s="3">
        <v>2</v>
      </c>
      <c r="AA385" s="3" t="s">
        <v>110</v>
      </c>
      <c r="AB385" s="6">
        <v>43938</v>
      </c>
      <c r="AC385" s="6">
        <v>43935</v>
      </c>
      <c r="AD385" s="6">
        <v>43938</v>
      </c>
      <c r="AE385" s="6">
        <v>43935</v>
      </c>
      <c r="AF385" s="6">
        <v>43935</v>
      </c>
      <c r="AG385" s="12" t="s">
        <v>75</v>
      </c>
      <c r="AH385" s="8">
        <v>1</v>
      </c>
      <c r="AI385" s="8">
        <v>1</v>
      </c>
      <c r="AJ385" s="8">
        <v>1</v>
      </c>
      <c r="AK385" s="12" t="s">
        <v>8</v>
      </c>
      <c r="AL385" s="3"/>
      <c r="AM385" s="3"/>
      <c r="AN385" s="3"/>
      <c r="AW385" s="143"/>
    </row>
    <row r="386" spans="2:49" ht="15">
      <c r="B386" s="48">
        <f t="shared" si="11"/>
        <v>158</v>
      </c>
      <c r="C386" s="11">
        <v>20200414</v>
      </c>
      <c r="D386" s="3" t="s">
        <v>24</v>
      </c>
      <c r="E386" s="3" t="s">
        <v>883</v>
      </c>
      <c r="F386" s="5" t="s">
        <v>359</v>
      </c>
      <c r="G386" s="5">
        <v>1415974</v>
      </c>
      <c r="H386" s="15" t="s">
        <v>72</v>
      </c>
      <c r="I386" s="3" t="s">
        <v>264</v>
      </c>
      <c r="J386" s="15" t="s">
        <v>72</v>
      </c>
      <c r="K386" s="3" t="s">
        <v>73</v>
      </c>
      <c r="L386" s="3">
        <v>80433</v>
      </c>
      <c r="M386" s="3" t="s">
        <v>886</v>
      </c>
      <c r="N386" s="3" t="s">
        <v>887</v>
      </c>
      <c r="O386" s="5" t="s">
        <v>72</v>
      </c>
      <c r="P386" s="5" t="s">
        <v>888</v>
      </c>
      <c r="Q386" s="55"/>
      <c r="R386" s="15" t="s">
        <v>72</v>
      </c>
      <c r="S386" s="3" t="s">
        <v>573</v>
      </c>
      <c r="T386" s="3"/>
      <c r="U386" s="3"/>
      <c r="V386" s="3">
        <v>173</v>
      </c>
      <c r="W386" s="3">
        <f t="shared" si="12"/>
        <v>173</v>
      </c>
      <c r="X386" s="3">
        <f t="shared" si="12"/>
        <v>173</v>
      </c>
      <c r="Y386" s="3">
        <f>ROUNDDOWN(W386/HLOOKUP(D386,[2]Table!$C$3:$D$4,2,0)*8,2)</f>
        <v>3.07</v>
      </c>
      <c r="Z386" s="3">
        <v>2</v>
      </c>
      <c r="AA386" s="3" t="s">
        <v>110</v>
      </c>
      <c r="AB386" s="6">
        <v>43938</v>
      </c>
      <c r="AC386" s="6">
        <v>43935</v>
      </c>
      <c r="AD386" s="6">
        <v>43938</v>
      </c>
      <c r="AE386" s="6">
        <v>43935</v>
      </c>
      <c r="AF386" s="6">
        <v>43935</v>
      </c>
      <c r="AG386" s="12" t="s">
        <v>75</v>
      </c>
      <c r="AH386" s="8">
        <v>1</v>
      </c>
      <c r="AI386" s="8">
        <v>1</v>
      </c>
      <c r="AJ386" s="8">
        <v>1</v>
      </c>
      <c r="AK386" s="12" t="s">
        <v>8</v>
      </c>
      <c r="AL386" s="3"/>
      <c r="AM386" s="3"/>
      <c r="AN386" s="3"/>
      <c r="AW386" s="143"/>
    </row>
    <row r="387" spans="2:49" ht="15">
      <c r="B387" s="48">
        <f t="shared" si="11"/>
        <v>159</v>
      </c>
      <c r="C387" s="11">
        <v>20200414</v>
      </c>
      <c r="D387" s="3" t="s">
        <v>24</v>
      </c>
      <c r="E387" s="3" t="s">
        <v>883</v>
      </c>
      <c r="F387" s="5" t="s">
        <v>359</v>
      </c>
      <c r="G387" s="5">
        <v>1415974</v>
      </c>
      <c r="H387" s="15" t="s">
        <v>72</v>
      </c>
      <c r="I387" s="3" t="s">
        <v>266</v>
      </c>
      <c r="J387" s="15" t="s">
        <v>72</v>
      </c>
      <c r="K387" s="3" t="s">
        <v>73</v>
      </c>
      <c r="L387" s="3">
        <v>80433</v>
      </c>
      <c r="M387" s="3" t="s">
        <v>886</v>
      </c>
      <c r="N387" s="3" t="s">
        <v>887</v>
      </c>
      <c r="O387" s="5" t="s">
        <v>72</v>
      </c>
      <c r="P387" s="5" t="s">
        <v>888</v>
      </c>
      <c r="Q387" s="55"/>
      <c r="R387" s="15" t="s">
        <v>72</v>
      </c>
      <c r="S387" s="3" t="s">
        <v>573</v>
      </c>
      <c r="T387" s="3"/>
      <c r="U387" s="3"/>
      <c r="V387" s="3">
        <v>176</v>
      </c>
      <c r="W387" s="3">
        <f t="shared" si="12"/>
        <v>176</v>
      </c>
      <c r="X387" s="3">
        <f t="shared" si="12"/>
        <v>176</v>
      </c>
      <c r="Y387" s="3">
        <f>ROUNDDOWN(W387/HLOOKUP(D387,[2]Table!$C$3:$D$4,2,0)*8,2)</f>
        <v>3.12</v>
      </c>
      <c r="Z387" s="3">
        <v>2</v>
      </c>
      <c r="AA387" s="3" t="s">
        <v>110</v>
      </c>
      <c r="AB387" s="6">
        <v>43938</v>
      </c>
      <c r="AC387" s="6">
        <v>43935</v>
      </c>
      <c r="AD387" s="6">
        <v>43938</v>
      </c>
      <c r="AE387" s="6">
        <v>43935</v>
      </c>
      <c r="AF387" s="6">
        <v>43935</v>
      </c>
      <c r="AG387" s="12" t="s">
        <v>79</v>
      </c>
      <c r="AH387" s="8">
        <v>0.98</v>
      </c>
      <c r="AI387" s="8">
        <v>0.97</v>
      </c>
      <c r="AJ387" s="8">
        <v>1</v>
      </c>
      <c r="AK387" s="12" t="s">
        <v>76</v>
      </c>
      <c r="AL387" s="3" t="s">
        <v>894</v>
      </c>
      <c r="AM387" s="3"/>
      <c r="AN387" s="3" t="s">
        <v>895</v>
      </c>
      <c r="AW387" s="143"/>
    </row>
    <row r="388" spans="2:49" ht="15">
      <c r="B388" s="48">
        <f t="shared" si="11"/>
        <v>160</v>
      </c>
      <c r="C388" s="11">
        <v>20200414</v>
      </c>
      <c r="D388" s="3" t="s">
        <v>24</v>
      </c>
      <c r="E388" s="3" t="s">
        <v>883</v>
      </c>
      <c r="F388" s="5" t="s">
        <v>359</v>
      </c>
      <c r="G388" s="5">
        <v>1415974</v>
      </c>
      <c r="H388" s="15" t="s">
        <v>72</v>
      </c>
      <c r="I388" s="3" t="s">
        <v>268</v>
      </c>
      <c r="J388" s="15" t="s">
        <v>72</v>
      </c>
      <c r="K388" s="3" t="s">
        <v>73</v>
      </c>
      <c r="L388" s="3">
        <v>80433</v>
      </c>
      <c r="M388" s="3" t="s">
        <v>886</v>
      </c>
      <c r="N388" s="3" t="s">
        <v>887</v>
      </c>
      <c r="O388" s="5" t="s">
        <v>72</v>
      </c>
      <c r="P388" s="5" t="s">
        <v>888</v>
      </c>
      <c r="Q388" s="55"/>
      <c r="R388" s="15" t="s">
        <v>72</v>
      </c>
      <c r="S388" s="3" t="s">
        <v>573</v>
      </c>
      <c r="T388" s="3"/>
      <c r="U388" s="3"/>
      <c r="V388" s="3">
        <v>239</v>
      </c>
      <c r="W388" s="3">
        <f t="shared" si="12"/>
        <v>239</v>
      </c>
      <c r="X388" s="3">
        <f>W388</f>
        <v>239</v>
      </c>
      <c r="Y388" s="3">
        <f>ROUNDDOWN(W388/HLOOKUP(D388,[2]Table!$C$3:$D$4,2,0)*8,2)</f>
        <v>4.24</v>
      </c>
      <c r="Z388" s="3">
        <v>2</v>
      </c>
      <c r="AA388" s="3" t="s">
        <v>110</v>
      </c>
      <c r="AB388" s="6">
        <v>43938</v>
      </c>
      <c r="AC388" s="6">
        <v>43935</v>
      </c>
      <c r="AD388" s="6">
        <v>43938</v>
      </c>
      <c r="AE388" s="6">
        <v>43936</v>
      </c>
      <c r="AF388" s="6">
        <v>43936</v>
      </c>
      <c r="AG388" s="12" t="s">
        <v>75</v>
      </c>
      <c r="AH388" s="8">
        <v>1</v>
      </c>
      <c r="AI388" s="8">
        <v>1</v>
      </c>
      <c r="AJ388" s="8">
        <v>1</v>
      </c>
      <c r="AK388" s="12" t="s">
        <v>8</v>
      </c>
      <c r="AL388" s="3"/>
      <c r="AM388" s="3"/>
      <c r="AN388" s="3"/>
      <c r="AW388" s="143"/>
    </row>
    <row r="389" spans="2:49" ht="15">
      <c r="B389" s="48">
        <f t="shared" si="11"/>
        <v>161</v>
      </c>
      <c r="C389" s="11">
        <v>20200414</v>
      </c>
      <c r="D389" s="3" t="s">
        <v>24</v>
      </c>
      <c r="E389" s="3" t="s">
        <v>883</v>
      </c>
      <c r="F389" s="5" t="s">
        <v>359</v>
      </c>
      <c r="G389" s="5">
        <v>1415974</v>
      </c>
      <c r="H389" s="15" t="s">
        <v>72</v>
      </c>
      <c r="I389" s="3" t="s">
        <v>205</v>
      </c>
      <c r="J389" s="15" t="s">
        <v>72</v>
      </c>
      <c r="K389" s="3" t="s">
        <v>73</v>
      </c>
      <c r="L389" s="3">
        <v>80433</v>
      </c>
      <c r="M389" s="3" t="s">
        <v>886</v>
      </c>
      <c r="N389" s="3" t="s">
        <v>887</v>
      </c>
      <c r="O389" s="5" t="s">
        <v>72</v>
      </c>
      <c r="P389" s="5" t="s">
        <v>888</v>
      </c>
      <c r="Q389" s="55"/>
      <c r="R389" s="15" t="s">
        <v>72</v>
      </c>
      <c r="S389" s="3" t="s">
        <v>573</v>
      </c>
      <c r="T389" s="3"/>
      <c r="U389" s="3"/>
      <c r="V389" s="3">
        <v>237</v>
      </c>
      <c r="W389" s="3">
        <f t="shared" si="12"/>
        <v>237</v>
      </c>
      <c r="X389" s="3">
        <f>W389</f>
        <v>237</v>
      </c>
      <c r="Y389" s="3">
        <f>ROUNDDOWN(W389/HLOOKUP(D389,[2]Table!$C$3:$D$4,2,0)*8,2)</f>
        <v>4.21</v>
      </c>
      <c r="Z389" s="3">
        <v>1</v>
      </c>
      <c r="AA389" s="3" t="s">
        <v>110</v>
      </c>
      <c r="AB389" s="6">
        <v>43938</v>
      </c>
      <c r="AC389" s="6">
        <v>43935</v>
      </c>
      <c r="AD389" s="6">
        <v>43938</v>
      </c>
      <c r="AE389" s="6">
        <v>43936</v>
      </c>
      <c r="AF389" s="6">
        <v>43936</v>
      </c>
      <c r="AG389" s="12" t="s">
        <v>75</v>
      </c>
      <c r="AH389" s="8">
        <v>1</v>
      </c>
      <c r="AI389" s="8">
        <v>1</v>
      </c>
      <c r="AJ389" s="8">
        <v>1</v>
      </c>
      <c r="AK389" s="12" t="s">
        <v>8</v>
      </c>
      <c r="AL389" s="3"/>
      <c r="AM389" s="3"/>
      <c r="AN389" s="3"/>
      <c r="AW389" s="143"/>
    </row>
    <row r="390" spans="2:49" ht="15">
      <c r="B390" s="48">
        <f t="shared" si="11"/>
        <v>162</v>
      </c>
      <c r="C390" s="11">
        <v>20200414</v>
      </c>
      <c r="D390" s="3" t="s">
        <v>24</v>
      </c>
      <c r="E390" s="3" t="s">
        <v>883</v>
      </c>
      <c r="F390" s="5" t="s">
        <v>896</v>
      </c>
      <c r="G390" s="5">
        <v>1415974</v>
      </c>
      <c r="H390" s="15" t="s">
        <v>72</v>
      </c>
      <c r="I390" s="3" t="s">
        <v>897</v>
      </c>
      <c r="J390" s="15" t="s">
        <v>72</v>
      </c>
      <c r="K390" s="3" t="s">
        <v>73</v>
      </c>
      <c r="L390" s="3">
        <v>80433</v>
      </c>
      <c r="M390" s="3" t="s">
        <v>886</v>
      </c>
      <c r="N390" s="3" t="s">
        <v>887</v>
      </c>
      <c r="O390" s="5" t="s">
        <v>72</v>
      </c>
      <c r="P390" s="5" t="s">
        <v>888</v>
      </c>
      <c r="Q390" s="55"/>
      <c r="R390" s="15" t="s">
        <v>72</v>
      </c>
      <c r="S390" s="3" t="s">
        <v>573</v>
      </c>
      <c r="T390" s="3"/>
      <c r="U390" s="3"/>
      <c r="V390" s="3">
        <v>8</v>
      </c>
      <c r="W390" s="3">
        <f t="shared" si="12"/>
        <v>8</v>
      </c>
      <c r="X390" s="3">
        <f>W390</f>
        <v>8</v>
      </c>
      <c r="Y390" s="3">
        <f>ROUNDDOWN(W390/HLOOKUP(D390,[2]Table!$C$3:$D$4,2,0)*8,2)</f>
        <v>0.14000000000000001</v>
      </c>
      <c r="Z390" s="3">
        <v>1</v>
      </c>
      <c r="AA390" s="3" t="s">
        <v>110</v>
      </c>
      <c r="AB390" s="6">
        <v>43938</v>
      </c>
      <c r="AC390" s="6">
        <v>43935</v>
      </c>
      <c r="AD390" s="6">
        <v>43938</v>
      </c>
      <c r="AE390" s="6">
        <v>43936</v>
      </c>
      <c r="AF390" s="6">
        <v>43936</v>
      </c>
      <c r="AG390" s="12" t="s">
        <v>75</v>
      </c>
      <c r="AH390" s="8">
        <v>1</v>
      </c>
      <c r="AI390" s="8">
        <v>1</v>
      </c>
      <c r="AJ390" s="8">
        <v>1</v>
      </c>
      <c r="AK390" s="12" t="s">
        <v>8</v>
      </c>
      <c r="AL390" s="3"/>
      <c r="AM390" s="3"/>
      <c r="AN390" s="3"/>
      <c r="AW390" s="143"/>
    </row>
    <row r="391" spans="2:49" ht="15">
      <c r="B391" s="48">
        <f t="shared" si="11"/>
        <v>163</v>
      </c>
      <c r="C391" s="11">
        <v>20200414</v>
      </c>
      <c r="D391" s="3" t="s">
        <v>24</v>
      </c>
      <c r="E391" s="3" t="s">
        <v>883</v>
      </c>
      <c r="F391" s="5" t="s">
        <v>898</v>
      </c>
      <c r="G391" s="5">
        <v>1415974</v>
      </c>
      <c r="H391" s="15" t="s">
        <v>72</v>
      </c>
      <c r="I391" s="3" t="s">
        <v>307</v>
      </c>
      <c r="J391" s="15" t="s">
        <v>72</v>
      </c>
      <c r="K391" s="3" t="s">
        <v>73</v>
      </c>
      <c r="L391" s="3">
        <v>80433</v>
      </c>
      <c r="M391" s="3" t="s">
        <v>886</v>
      </c>
      <c r="N391" s="3" t="s">
        <v>887</v>
      </c>
      <c r="O391" s="5" t="s">
        <v>72</v>
      </c>
      <c r="P391" s="5" t="s">
        <v>888</v>
      </c>
      <c r="Q391" s="55"/>
      <c r="R391" s="15" t="s">
        <v>72</v>
      </c>
      <c r="S391" s="3" t="s">
        <v>573</v>
      </c>
      <c r="T391" s="3"/>
      <c r="U391" s="3"/>
      <c r="V391" s="3">
        <v>165</v>
      </c>
      <c r="W391" s="3">
        <f t="shared" si="12"/>
        <v>165</v>
      </c>
      <c r="X391" s="3">
        <f>W391</f>
        <v>165</v>
      </c>
      <c r="Y391" s="3">
        <f>ROUNDDOWN(W391/HLOOKUP(D391,[2]Table!$C$3:$D$4,2,0)*8,2)</f>
        <v>2.93</v>
      </c>
      <c r="Z391" s="3">
        <v>1</v>
      </c>
      <c r="AA391" s="3" t="s">
        <v>110</v>
      </c>
      <c r="AB391" s="6">
        <v>43938</v>
      </c>
      <c r="AC391" s="6">
        <v>43935</v>
      </c>
      <c r="AD391" s="6">
        <v>43938</v>
      </c>
      <c r="AE391" s="6">
        <v>43936</v>
      </c>
      <c r="AF391" s="6">
        <v>43936</v>
      </c>
      <c r="AG391" s="12" t="s">
        <v>75</v>
      </c>
      <c r="AH391" s="8">
        <v>1</v>
      </c>
      <c r="AI391" s="8">
        <v>1</v>
      </c>
      <c r="AJ391" s="8">
        <v>1</v>
      </c>
      <c r="AK391" s="12" t="s">
        <v>8</v>
      </c>
      <c r="AL391" s="3"/>
      <c r="AM391" s="3"/>
      <c r="AN391" s="3"/>
      <c r="AW391" s="143"/>
    </row>
    <row r="392" spans="2:49" ht="15">
      <c r="B392" s="48">
        <f t="shared" si="11"/>
        <v>164</v>
      </c>
      <c r="C392" s="11">
        <v>20200414</v>
      </c>
      <c r="D392" s="3" t="s">
        <v>24</v>
      </c>
      <c r="E392" s="3" t="s">
        <v>883</v>
      </c>
      <c r="F392" s="5" t="s">
        <v>899</v>
      </c>
      <c r="G392" s="5">
        <v>1415974</v>
      </c>
      <c r="H392" s="15" t="s">
        <v>72</v>
      </c>
      <c r="I392" s="3" t="s">
        <v>900</v>
      </c>
      <c r="J392" s="15" t="s">
        <v>72</v>
      </c>
      <c r="K392" s="3" t="s">
        <v>73</v>
      </c>
      <c r="L392" s="3">
        <v>80433</v>
      </c>
      <c r="M392" s="3" t="s">
        <v>886</v>
      </c>
      <c r="N392" s="3" t="s">
        <v>887</v>
      </c>
      <c r="O392" s="5" t="s">
        <v>72</v>
      </c>
      <c r="P392" s="5" t="s">
        <v>888</v>
      </c>
      <c r="Q392" s="55"/>
      <c r="R392" s="15" t="s">
        <v>72</v>
      </c>
      <c r="S392" s="3" t="s">
        <v>573</v>
      </c>
      <c r="T392" s="3"/>
      <c r="U392" s="3"/>
      <c r="V392" s="3">
        <v>0</v>
      </c>
      <c r="W392" s="3">
        <f t="shared" si="12"/>
        <v>0</v>
      </c>
      <c r="X392" s="3">
        <v>0</v>
      </c>
      <c r="Y392" s="3">
        <f>ROUNDDOWN(W392/HLOOKUP(D392,[2]Table!$C$3:$D$4,2,0)*8,2)</f>
        <v>0</v>
      </c>
      <c r="Z392" s="3">
        <v>0</v>
      </c>
      <c r="AA392" s="3" t="s">
        <v>110</v>
      </c>
      <c r="AB392" s="6">
        <v>43938</v>
      </c>
      <c r="AC392" s="6">
        <v>43935</v>
      </c>
      <c r="AD392" s="6">
        <v>43938</v>
      </c>
      <c r="AE392" s="6">
        <v>43936</v>
      </c>
      <c r="AF392" s="6">
        <v>43936</v>
      </c>
      <c r="AG392" s="12" t="s">
        <v>75</v>
      </c>
      <c r="AH392" s="83" t="s">
        <v>72</v>
      </c>
      <c r="AI392" s="83" t="s">
        <v>72</v>
      </c>
      <c r="AJ392" s="83" t="s">
        <v>72</v>
      </c>
      <c r="AK392" s="12" t="s">
        <v>8</v>
      </c>
      <c r="AL392" s="3"/>
      <c r="AM392" s="3"/>
      <c r="AN392" s="3" t="s">
        <v>574</v>
      </c>
      <c r="AW392" s="143"/>
    </row>
    <row r="393" spans="2:49" ht="15">
      <c r="B393" s="48">
        <f t="shared" si="11"/>
        <v>165</v>
      </c>
      <c r="C393" s="11">
        <v>20200414</v>
      </c>
      <c r="D393" s="3" t="s">
        <v>24</v>
      </c>
      <c r="E393" s="3" t="s">
        <v>883</v>
      </c>
      <c r="F393" s="5" t="s">
        <v>901</v>
      </c>
      <c r="G393" s="5">
        <v>1415974</v>
      </c>
      <c r="H393" s="15" t="s">
        <v>72</v>
      </c>
      <c r="I393" s="3" t="s">
        <v>902</v>
      </c>
      <c r="J393" s="15" t="s">
        <v>72</v>
      </c>
      <c r="K393" s="3" t="s">
        <v>73</v>
      </c>
      <c r="L393" s="3">
        <v>80433</v>
      </c>
      <c r="M393" s="3" t="s">
        <v>886</v>
      </c>
      <c r="N393" s="3" t="s">
        <v>887</v>
      </c>
      <c r="O393" s="5" t="s">
        <v>72</v>
      </c>
      <c r="P393" s="5" t="s">
        <v>888</v>
      </c>
      <c r="Q393" s="55"/>
      <c r="R393" s="15" t="s">
        <v>72</v>
      </c>
      <c r="S393" s="3" t="s">
        <v>903</v>
      </c>
      <c r="T393" s="3"/>
      <c r="U393" s="3"/>
      <c r="V393" s="3">
        <v>12</v>
      </c>
      <c r="W393" s="3">
        <f t="shared" si="12"/>
        <v>12</v>
      </c>
      <c r="X393" s="3">
        <f>W393</f>
        <v>12</v>
      </c>
      <c r="Y393" s="3">
        <f>ROUNDDOWN(W393/HLOOKUP(D393,[2]Table!$C$3:$D$4,2,0)*8,2)</f>
        <v>0.21</v>
      </c>
      <c r="Z393" s="3">
        <v>1</v>
      </c>
      <c r="AA393" s="3" t="s">
        <v>110</v>
      </c>
      <c r="AB393" s="6">
        <v>43938</v>
      </c>
      <c r="AC393" s="6">
        <v>43935</v>
      </c>
      <c r="AD393" s="6">
        <v>43938</v>
      </c>
      <c r="AE393" s="6">
        <v>43936</v>
      </c>
      <c r="AF393" s="6">
        <v>43936</v>
      </c>
      <c r="AG393" s="12" t="s">
        <v>75</v>
      </c>
      <c r="AH393" s="83" t="s">
        <v>72</v>
      </c>
      <c r="AI393" s="83" t="s">
        <v>72</v>
      </c>
      <c r="AJ393" s="83" t="s">
        <v>72</v>
      </c>
      <c r="AK393" s="12" t="s">
        <v>8</v>
      </c>
      <c r="AL393" s="3"/>
      <c r="AM393" s="3"/>
      <c r="AN393" s="3" t="s">
        <v>574</v>
      </c>
      <c r="AW393" s="143"/>
    </row>
    <row r="394" spans="2:49" ht="15">
      <c r="B394" s="48">
        <f t="shared" si="11"/>
        <v>166</v>
      </c>
      <c r="C394" s="11">
        <v>20200414</v>
      </c>
      <c r="D394" s="3" t="s">
        <v>24</v>
      </c>
      <c r="E394" s="3" t="s">
        <v>883</v>
      </c>
      <c r="F394" s="5" t="s">
        <v>901</v>
      </c>
      <c r="G394" s="5">
        <v>1415974</v>
      </c>
      <c r="H394" s="15" t="s">
        <v>72</v>
      </c>
      <c r="I394" s="3" t="s">
        <v>904</v>
      </c>
      <c r="J394" s="15" t="s">
        <v>72</v>
      </c>
      <c r="K394" s="3" t="s">
        <v>73</v>
      </c>
      <c r="L394" s="3">
        <v>80433</v>
      </c>
      <c r="M394" s="3" t="s">
        <v>886</v>
      </c>
      <c r="N394" s="3" t="s">
        <v>887</v>
      </c>
      <c r="O394" s="5" t="s">
        <v>72</v>
      </c>
      <c r="P394" s="5" t="s">
        <v>888</v>
      </c>
      <c r="Q394" s="55"/>
      <c r="R394" s="15" t="s">
        <v>72</v>
      </c>
      <c r="S394" s="3" t="s">
        <v>903</v>
      </c>
      <c r="T394" s="3"/>
      <c r="U394" s="3"/>
      <c r="V394" s="3">
        <v>37</v>
      </c>
      <c r="W394" s="3">
        <f t="shared" si="12"/>
        <v>37</v>
      </c>
      <c r="X394" s="3">
        <f t="shared" si="12"/>
        <v>37</v>
      </c>
      <c r="Y394" s="3">
        <f>ROUNDDOWN(W394/HLOOKUP(D394,[2]Table!$C$3:$D$4,2,0)*8,2)</f>
        <v>0.65</v>
      </c>
      <c r="Z394" s="3">
        <v>1</v>
      </c>
      <c r="AA394" s="3" t="s">
        <v>110</v>
      </c>
      <c r="AB394" s="6">
        <v>43938</v>
      </c>
      <c r="AC394" s="6">
        <v>43935</v>
      </c>
      <c r="AD394" s="6">
        <v>43938</v>
      </c>
      <c r="AE394" s="6">
        <v>43936</v>
      </c>
      <c r="AF394" s="6">
        <v>43936</v>
      </c>
      <c r="AG394" s="12" t="s">
        <v>75</v>
      </c>
      <c r="AH394" s="8">
        <v>1</v>
      </c>
      <c r="AI394" s="8">
        <v>1</v>
      </c>
      <c r="AJ394" s="8">
        <v>1</v>
      </c>
      <c r="AK394" s="12" t="s">
        <v>8</v>
      </c>
      <c r="AL394" s="3"/>
      <c r="AM394" s="3"/>
      <c r="AN394" s="3"/>
      <c r="AW394" s="143"/>
    </row>
    <row r="395" spans="2:49" ht="15">
      <c r="B395" s="48">
        <f t="shared" si="11"/>
        <v>167</v>
      </c>
      <c r="C395" s="11">
        <v>20200414</v>
      </c>
      <c r="D395" s="3" t="s">
        <v>24</v>
      </c>
      <c r="E395" s="3" t="s">
        <v>883</v>
      </c>
      <c r="F395" s="5" t="s">
        <v>905</v>
      </c>
      <c r="G395" s="5">
        <v>1415974</v>
      </c>
      <c r="H395" s="15" t="s">
        <v>72</v>
      </c>
      <c r="I395" s="3" t="s">
        <v>310</v>
      </c>
      <c r="J395" s="15" t="s">
        <v>72</v>
      </c>
      <c r="K395" s="3" t="s">
        <v>73</v>
      </c>
      <c r="L395" s="3">
        <v>80433</v>
      </c>
      <c r="M395" s="3" t="s">
        <v>886</v>
      </c>
      <c r="N395" s="3" t="s">
        <v>887</v>
      </c>
      <c r="O395" s="5" t="s">
        <v>72</v>
      </c>
      <c r="P395" s="5" t="s">
        <v>888</v>
      </c>
      <c r="Q395" s="55"/>
      <c r="R395" s="15" t="s">
        <v>72</v>
      </c>
      <c r="S395" s="3" t="s">
        <v>903</v>
      </c>
      <c r="T395" s="3"/>
      <c r="U395" s="3"/>
      <c r="V395" s="3">
        <v>3</v>
      </c>
      <c r="W395" s="3">
        <f t="shared" si="12"/>
        <v>3</v>
      </c>
      <c r="X395" s="3">
        <f t="shared" si="12"/>
        <v>3</v>
      </c>
      <c r="Y395" s="3">
        <f>ROUNDDOWN(W395/HLOOKUP(D395,[2]Table!$C$3:$D$4,2,0)*8,2)</f>
        <v>0.05</v>
      </c>
      <c r="Z395" s="3">
        <v>0.1</v>
      </c>
      <c r="AA395" s="3" t="s">
        <v>110</v>
      </c>
      <c r="AB395" s="6">
        <v>43938</v>
      </c>
      <c r="AC395" s="6">
        <v>43935</v>
      </c>
      <c r="AD395" s="6">
        <v>43938</v>
      </c>
      <c r="AE395" s="6">
        <v>43936</v>
      </c>
      <c r="AF395" s="6">
        <v>43936</v>
      </c>
      <c r="AG395" s="12" t="s">
        <v>75</v>
      </c>
      <c r="AH395" s="83" t="s">
        <v>72</v>
      </c>
      <c r="AI395" s="83" t="s">
        <v>72</v>
      </c>
      <c r="AJ395" s="83" t="s">
        <v>72</v>
      </c>
      <c r="AK395" s="12" t="s">
        <v>8</v>
      </c>
      <c r="AL395" s="3"/>
      <c r="AM395" s="3"/>
      <c r="AN395" s="3" t="s">
        <v>574</v>
      </c>
      <c r="AW395" s="143"/>
    </row>
    <row r="396" spans="2:49" ht="15">
      <c r="B396" s="84">
        <f t="shared" si="11"/>
        <v>168</v>
      </c>
      <c r="C396" s="11">
        <v>20200414</v>
      </c>
      <c r="D396" s="3" t="s">
        <v>24</v>
      </c>
      <c r="E396" s="3" t="s">
        <v>906</v>
      </c>
      <c r="F396" s="5" t="s">
        <v>907</v>
      </c>
      <c r="G396" s="5">
        <v>1416009</v>
      </c>
      <c r="H396" s="15" t="s">
        <v>72</v>
      </c>
      <c r="I396" s="3" t="s">
        <v>908</v>
      </c>
      <c r="J396" s="15" t="s">
        <v>72</v>
      </c>
      <c r="K396" s="3" t="s">
        <v>73</v>
      </c>
      <c r="L396" s="3">
        <v>80426</v>
      </c>
      <c r="M396" s="3" t="s">
        <v>909</v>
      </c>
      <c r="N396" s="3" t="s">
        <v>910</v>
      </c>
      <c r="O396" s="5" t="s">
        <v>72</v>
      </c>
      <c r="P396" s="5" t="s">
        <v>911</v>
      </c>
      <c r="Q396" s="55"/>
      <c r="R396" s="15" t="s">
        <v>72</v>
      </c>
      <c r="S396" s="3" t="s">
        <v>903</v>
      </c>
      <c r="T396" s="3"/>
      <c r="U396" s="3"/>
      <c r="V396" s="3">
        <v>322</v>
      </c>
      <c r="W396" s="3">
        <f t="shared" si="12"/>
        <v>322</v>
      </c>
      <c r="X396" s="3">
        <f t="shared" si="12"/>
        <v>322</v>
      </c>
      <c r="Y396" s="3">
        <f>ROUNDDOWN(W396/HLOOKUP(D396,[2]Table!$C$3:$D$4,2,0)*8,2)</f>
        <v>5.72</v>
      </c>
      <c r="Z396" s="3">
        <v>1</v>
      </c>
      <c r="AA396" s="3" t="s">
        <v>110</v>
      </c>
      <c r="AB396" s="6">
        <v>43938</v>
      </c>
      <c r="AC396" s="6">
        <v>43935</v>
      </c>
      <c r="AD396" s="6">
        <v>43938</v>
      </c>
      <c r="AE396" s="6">
        <v>43936</v>
      </c>
      <c r="AF396" s="6">
        <v>43936</v>
      </c>
      <c r="AG396" s="12" t="s">
        <v>75</v>
      </c>
      <c r="AH396" s="8">
        <v>1</v>
      </c>
      <c r="AI396" s="8">
        <v>1</v>
      </c>
      <c r="AJ396" s="8">
        <v>1</v>
      </c>
      <c r="AK396" s="12" t="s">
        <v>8</v>
      </c>
      <c r="AL396" s="3"/>
      <c r="AM396" s="3"/>
      <c r="AN396" s="3"/>
      <c r="AW396" s="143"/>
    </row>
    <row r="397" spans="2:49" ht="15">
      <c r="B397" s="84">
        <f t="shared" si="11"/>
        <v>169</v>
      </c>
      <c r="C397" s="11">
        <v>20200414</v>
      </c>
      <c r="D397" s="3" t="s">
        <v>24</v>
      </c>
      <c r="E397" s="3" t="s">
        <v>312</v>
      </c>
      <c r="F397" s="5" t="s">
        <v>912</v>
      </c>
      <c r="G397" s="5">
        <v>1416093</v>
      </c>
      <c r="H397" s="15" t="s">
        <v>72</v>
      </c>
      <c r="I397" s="3" t="s">
        <v>913</v>
      </c>
      <c r="J397" s="15" t="s">
        <v>72</v>
      </c>
      <c r="K397" s="3" t="s">
        <v>73</v>
      </c>
      <c r="L397" s="3">
        <v>80426</v>
      </c>
      <c r="M397" s="3" t="s">
        <v>914</v>
      </c>
      <c r="N397" s="3" t="s">
        <v>910</v>
      </c>
      <c r="O397" s="5" t="s">
        <v>72</v>
      </c>
      <c r="P397" s="5" t="s">
        <v>915</v>
      </c>
      <c r="Q397" s="55"/>
      <c r="R397" s="15" t="s">
        <v>72</v>
      </c>
      <c r="S397" s="3" t="s">
        <v>903</v>
      </c>
      <c r="T397" s="3"/>
      <c r="U397" s="3"/>
      <c r="V397" s="3">
        <v>25</v>
      </c>
      <c r="W397" s="3">
        <f t="shared" si="12"/>
        <v>25</v>
      </c>
      <c r="X397" s="3">
        <f t="shared" si="12"/>
        <v>25</v>
      </c>
      <c r="Y397" s="3">
        <f>ROUNDDOWN(W397/HLOOKUP(D397,[2]Table!$C$3:$D$4,2,0)*8,2)</f>
        <v>0.44</v>
      </c>
      <c r="Z397" s="3">
        <v>0.2</v>
      </c>
      <c r="AA397" s="3" t="s">
        <v>110</v>
      </c>
      <c r="AB397" s="6">
        <v>43938</v>
      </c>
      <c r="AC397" s="6">
        <v>43935</v>
      </c>
      <c r="AD397" s="6">
        <v>43938</v>
      </c>
      <c r="AE397" s="6">
        <v>43936</v>
      </c>
      <c r="AF397" s="6">
        <v>43936</v>
      </c>
      <c r="AG397" s="12" t="s">
        <v>75</v>
      </c>
      <c r="AH397" s="8">
        <v>1</v>
      </c>
      <c r="AI397" s="8">
        <v>1</v>
      </c>
      <c r="AJ397" s="8">
        <v>1</v>
      </c>
      <c r="AK397" s="12" t="s">
        <v>8</v>
      </c>
      <c r="AL397" s="3"/>
      <c r="AM397" s="3"/>
      <c r="AN397" s="3"/>
      <c r="AW397" s="143"/>
    </row>
    <row r="398" spans="2:49" ht="15">
      <c r="B398" s="84">
        <f t="shared" si="11"/>
        <v>170</v>
      </c>
      <c r="C398" s="11">
        <v>20200414</v>
      </c>
      <c r="D398" s="3" t="s">
        <v>24</v>
      </c>
      <c r="E398" s="3" t="s">
        <v>312</v>
      </c>
      <c r="F398" s="5" t="s">
        <v>912</v>
      </c>
      <c r="G398" s="5">
        <v>1416093</v>
      </c>
      <c r="H398" s="15" t="s">
        <v>72</v>
      </c>
      <c r="I398" s="3" t="s">
        <v>916</v>
      </c>
      <c r="J398" s="15" t="s">
        <v>72</v>
      </c>
      <c r="K398" s="3" t="s">
        <v>73</v>
      </c>
      <c r="L398" s="3">
        <v>80426</v>
      </c>
      <c r="M398" s="3" t="s">
        <v>914</v>
      </c>
      <c r="N398" s="3" t="s">
        <v>910</v>
      </c>
      <c r="O398" s="5" t="s">
        <v>72</v>
      </c>
      <c r="P398" s="5" t="s">
        <v>915</v>
      </c>
      <c r="Q398" s="55"/>
      <c r="R398" s="15" t="s">
        <v>72</v>
      </c>
      <c r="S398" s="3" t="s">
        <v>903</v>
      </c>
      <c r="T398" s="3"/>
      <c r="U398" s="3"/>
      <c r="V398" s="3">
        <v>28</v>
      </c>
      <c r="W398" s="3">
        <f t="shared" si="12"/>
        <v>28</v>
      </c>
      <c r="X398" s="3">
        <f t="shared" si="12"/>
        <v>28</v>
      </c>
      <c r="Y398" s="3">
        <f>ROUNDDOWN(W398/HLOOKUP(D398,[2]Table!$C$3:$D$4,2,0)*8,2)</f>
        <v>0.49</v>
      </c>
      <c r="Z398" s="3">
        <v>0.2</v>
      </c>
      <c r="AA398" s="3" t="s">
        <v>110</v>
      </c>
      <c r="AB398" s="6">
        <v>43938</v>
      </c>
      <c r="AC398" s="6">
        <v>43935</v>
      </c>
      <c r="AD398" s="6">
        <v>43938</v>
      </c>
      <c r="AE398" s="6">
        <v>43936</v>
      </c>
      <c r="AF398" s="6">
        <v>43936</v>
      </c>
      <c r="AG398" s="12" t="s">
        <v>75</v>
      </c>
      <c r="AH398" s="8">
        <v>1</v>
      </c>
      <c r="AI398" s="8">
        <v>1</v>
      </c>
      <c r="AJ398" s="8">
        <v>1</v>
      </c>
      <c r="AK398" s="12" t="s">
        <v>8</v>
      </c>
      <c r="AL398" s="3"/>
      <c r="AM398" s="3"/>
      <c r="AN398" s="3"/>
      <c r="AW398" s="143"/>
    </row>
    <row r="399" spans="2:49" ht="15">
      <c r="B399" s="84">
        <f t="shared" si="11"/>
        <v>171</v>
      </c>
      <c r="C399" s="11">
        <v>20200414</v>
      </c>
      <c r="D399" s="3" t="s">
        <v>24</v>
      </c>
      <c r="E399" s="3" t="s">
        <v>312</v>
      </c>
      <c r="F399" s="5" t="s">
        <v>912</v>
      </c>
      <c r="G399" s="5">
        <v>1416093</v>
      </c>
      <c r="H399" s="15" t="s">
        <v>72</v>
      </c>
      <c r="I399" s="3" t="s">
        <v>917</v>
      </c>
      <c r="J399" s="15" t="s">
        <v>72</v>
      </c>
      <c r="K399" s="3" t="s">
        <v>73</v>
      </c>
      <c r="L399" s="3">
        <v>80426</v>
      </c>
      <c r="M399" s="3" t="s">
        <v>914</v>
      </c>
      <c r="N399" s="3" t="s">
        <v>910</v>
      </c>
      <c r="O399" s="5" t="s">
        <v>72</v>
      </c>
      <c r="P399" s="5" t="s">
        <v>915</v>
      </c>
      <c r="Q399" s="55"/>
      <c r="R399" s="15" t="s">
        <v>72</v>
      </c>
      <c r="S399" s="3" t="s">
        <v>903</v>
      </c>
      <c r="T399" s="3"/>
      <c r="U399" s="3"/>
      <c r="V399" s="3">
        <v>46</v>
      </c>
      <c r="W399" s="3">
        <f t="shared" si="12"/>
        <v>46</v>
      </c>
      <c r="X399" s="3">
        <f>W399</f>
        <v>46</v>
      </c>
      <c r="Y399" s="3">
        <f>ROUNDDOWN(W399/HLOOKUP(D399,[2]Table!$C$3:$D$4,2,0)*8,2)</f>
        <v>0.81</v>
      </c>
      <c r="Z399" s="3">
        <v>0.1</v>
      </c>
      <c r="AA399" s="3" t="s">
        <v>110</v>
      </c>
      <c r="AB399" s="6">
        <v>43938</v>
      </c>
      <c r="AC399" s="6">
        <v>43935</v>
      </c>
      <c r="AD399" s="6">
        <v>43938</v>
      </c>
      <c r="AE399" s="6">
        <v>43936</v>
      </c>
      <c r="AF399" s="6">
        <v>43936</v>
      </c>
      <c r="AG399" s="12" t="s">
        <v>75</v>
      </c>
      <c r="AH399" s="8">
        <v>1</v>
      </c>
      <c r="AI399" s="8">
        <v>1</v>
      </c>
      <c r="AJ399" s="8">
        <v>1</v>
      </c>
      <c r="AK399" s="12" t="s">
        <v>8</v>
      </c>
      <c r="AL399" s="3"/>
      <c r="AM399" s="3"/>
      <c r="AN399" s="3"/>
      <c r="AW399" s="143"/>
    </row>
    <row r="400" spans="2:49" ht="15">
      <c r="B400" s="84">
        <f t="shared" si="11"/>
        <v>172</v>
      </c>
      <c r="C400" s="11">
        <v>20200414</v>
      </c>
      <c r="D400" s="3" t="s">
        <v>24</v>
      </c>
      <c r="E400" s="3" t="s">
        <v>312</v>
      </c>
      <c r="F400" s="5" t="s">
        <v>912</v>
      </c>
      <c r="G400" s="5">
        <v>1416093</v>
      </c>
      <c r="H400" s="15" t="s">
        <v>72</v>
      </c>
      <c r="I400" s="3" t="s">
        <v>918</v>
      </c>
      <c r="J400" s="15" t="s">
        <v>72</v>
      </c>
      <c r="K400" s="3" t="s">
        <v>73</v>
      </c>
      <c r="L400" s="3">
        <v>80426</v>
      </c>
      <c r="M400" s="3" t="s">
        <v>914</v>
      </c>
      <c r="N400" s="3" t="s">
        <v>910</v>
      </c>
      <c r="O400" s="5" t="s">
        <v>72</v>
      </c>
      <c r="P400" s="5" t="s">
        <v>915</v>
      </c>
      <c r="Q400" s="55"/>
      <c r="R400" s="15" t="s">
        <v>72</v>
      </c>
      <c r="S400" s="3" t="s">
        <v>903</v>
      </c>
      <c r="T400" s="3"/>
      <c r="U400" s="3"/>
      <c r="V400" s="3">
        <v>31</v>
      </c>
      <c r="W400" s="3">
        <f t="shared" si="12"/>
        <v>31</v>
      </c>
      <c r="X400" s="3">
        <f>W400</f>
        <v>31</v>
      </c>
      <c r="Y400" s="3">
        <f>ROUNDDOWN(W400/HLOOKUP(D400,[2]Table!$C$3:$D$4,2,0)*8,2)</f>
        <v>0.55000000000000004</v>
      </c>
      <c r="Z400" s="3">
        <v>0.1</v>
      </c>
      <c r="AA400" s="3" t="s">
        <v>110</v>
      </c>
      <c r="AB400" s="6">
        <v>43938</v>
      </c>
      <c r="AC400" s="6">
        <v>43935</v>
      </c>
      <c r="AD400" s="6">
        <v>43938</v>
      </c>
      <c r="AE400" s="6">
        <v>43936</v>
      </c>
      <c r="AF400" s="6">
        <v>43936</v>
      </c>
      <c r="AG400" s="12" t="s">
        <v>75</v>
      </c>
      <c r="AH400" s="8">
        <v>1</v>
      </c>
      <c r="AI400" s="8">
        <v>1</v>
      </c>
      <c r="AJ400" s="8">
        <v>1</v>
      </c>
      <c r="AK400" s="12" t="s">
        <v>8</v>
      </c>
      <c r="AL400" s="3"/>
      <c r="AM400" s="3"/>
      <c r="AN400" s="3"/>
      <c r="AW400" s="143"/>
    </row>
    <row r="401" spans="2:49" ht="15">
      <c r="B401" s="84">
        <f t="shared" si="11"/>
        <v>173</v>
      </c>
      <c r="C401" s="11">
        <v>20200414</v>
      </c>
      <c r="D401" s="3" t="s">
        <v>24</v>
      </c>
      <c r="E401" s="3" t="s">
        <v>312</v>
      </c>
      <c r="F401" s="5" t="s">
        <v>912</v>
      </c>
      <c r="G401" s="5">
        <v>1416093</v>
      </c>
      <c r="H401" s="15" t="s">
        <v>72</v>
      </c>
      <c r="I401" s="3" t="s">
        <v>919</v>
      </c>
      <c r="J401" s="15" t="s">
        <v>72</v>
      </c>
      <c r="K401" s="3" t="s">
        <v>73</v>
      </c>
      <c r="L401" s="3">
        <v>80426</v>
      </c>
      <c r="M401" s="3" t="s">
        <v>914</v>
      </c>
      <c r="N401" s="3" t="s">
        <v>910</v>
      </c>
      <c r="O401" s="5" t="s">
        <v>72</v>
      </c>
      <c r="P401" s="5" t="s">
        <v>915</v>
      </c>
      <c r="Q401" s="55"/>
      <c r="R401" s="15" t="s">
        <v>72</v>
      </c>
      <c r="S401" s="3" t="s">
        <v>903</v>
      </c>
      <c r="T401" s="3"/>
      <c r="U401" s="3"/>
      <c r="V401" s="3">
        <v>102</v>
      </c>
      <c r="W401" s="3">
        <f t="shared" si="12"/>
        <v>102</v>
      </c>
      <c r="X401" s="3">
        <f>W401</f>
        <v>102</v>
      </c>
      <c r="Y401" s="3">
        <f>ROUNDDOWN(W401/HLOOKUP(D401,[2]Table!$C$3:$D$4,2,0)*8,2)</f>
        <v>1.81</v>
      </c>
      <c r="Z401" s="3">
        <v>1</v>
      </c>
      <c r="AA401" s="3" t="s">
        <v>110</v>
      </c>
      <c r="AB401" s="6">
        <v>43938</v>
      </c>
      <c r="AC401" s="6">
        <v>43935</v>
      </c>
      <c r="AD401" s="6">
        <v>43938</v>
      </c>
      <c r="AE401" s="6">
        <v>43936</v>
      </c>
      <c r="AF401" s="6">
        <v>43936</v>
      </c>
      <c r="AG401" s="12" t="s">
        <v>75</v>
      </c>
      <c r="AH401" s="8">
        <v>1</v>
      </c>
      <c r="AI401" s="8">
        <v>1</v>
      </c>
      <c r="AJ401" s="8">
        <v>1</v>
      </c>
      <c r="AK401" s="12" t="s">
        <v>8</v>
      </c>
      <c r="AL401" s="3"/>
      <c r="AM401" s="3"/>
      <c r="AN401" s="3"/>
      <c r="AW401" s="143"/>
    </row>
    <row r="402" spans="2:49" ht="15">
      <c r="B402" s="84">
        <f t="shared" si="11"/>
        <v>174</v>
      </c>
      <c r="C402" s="11">
        <v>20200414</v>
      </c>
      <c r="D402" s="3" t="s">
        <v>24</v>
      </c>
      <c r="E402" s="3" t="s">
        <v>312</v>
      </c>
      <c r="F402" s="5" t="s">
        <v>912</v>
      </c>
      <c r="G402" s="5">
        <v>1416093</v>
      </c>
      <c r="H402" s="15" t="s">
        <v>72</v>
      </c>
      <c r="I402" s="3" t="s">
        <v>920</v>
      </c>
      <c r="J402" s="15" t="s">
        <v>72</v>
      </c>
      <c r="K402" s="3" t="s">
        <v>73</v>
      </c>
      <c r="L402" s="3">
        <v>80426</v>
      </c>
      <c r="M402" s="3" t="s">
        <v>914</v>
      </c>
      <c r="N402" s="3" t="s">
        <v>910</v>
      </c>
      <c r="O402" s="5" t="s">
        <v>72</v>
      </c>
      <c r="P402" s="5" t="s">
        <v>915</v>
      </c>
      <c r="Q402" s="55"/>
      <c r="R402" s="15" t="s">
        <v>72</v>
      </c>
      <c r="S402" s="3" t="s">
        <v>903</v>
      </c>
      <c r="T402" s="3"/>
      <c r="U402" s="3"/>
      <c r="V402" s="3">
        <v>66</v>
      </c>
      <c r="W402" s="3">
        <f t="shared" si="12"/>
        <v>66</v>
      </c>
      <c r="X402" s="3">
        <f>W402</f>
        <v>66</v>
      </c>
      <c r="Y402" s="3">
        <f>ROUNDDOWN(W402/HLOOKUP(D402,[2]Table!$C$3:$D$4,2,0)*8,2)</f>
        <v>1.17</v>
      </c>
      <c r="Z402" s="3">
        <v>1</v>
      </c>
      <c r="AA402" s="3" t="s">
        <v>110</v>
      </c>
      <c r="AB402" s="6">
        <v>43938</v>
      </c>
      <c r="AC402" s="6">
        <v>43935</v>
      </c>
      <c r="AD402" s="6">
        <v>43938</v>
      </c>
      <c r="AE402" s="6">
        <v>43936</v>
      </c>
      <c r="AF402" s="6">
        <v>43936</v>
      </c>
      <c r="AG402" s="12" t="s">
        <v>75</v>
      </c>
      <c r="AH402" s="8">
        <v>1</v>
      </c>
      <c r="AI402" s="8">
        <v>1</v>
      </c>
      <c r="AJ402" s="8">
        <v>1</v>
      </c>
      <c r="AK402" s="12" t="s">
        <v>8</v>
      </c>
      <c r="AL402" s="3"/>
      <c r="AM402" s="3"/>
      <c r="AN402" s="3"/>
      <c r="AW402" s="143"/>
    </row>
    <row r="403" spans="2:49" ht="15">
      <c r="B403" s="84">
        <f t="shared" si="11"/>
        <v>175</v>
      </c>
      <c r="C403" s="11">
        <v>20200414</v>
      </c>
      <c r="D403" s="3" t="s">
        <v>24</v>
      </c>
      <c r="E403" s="3" t="s">
        <v>312</v>
      </c>
      <c r="F403" s="5" t="s">
        <v>921</v>
      </c>
      <c r="G403" s="5">
        <v>1416093</v>
      </c>
      <c r="H403" s="15" t="s">
        <v>72</v>
      </c>
      <c r="I403" s="19" t="s">
        <v>922</v>
      </c>
      <c r="J403" s="15" t="s">
        <v>72</v>
      </c>
      <c r="K403" s="3" t="s">
        <v>73</v>
      </c>
      <c r="L403" s="3">
        <v>80426</v>
      </c>
      <c r="M403" s="3" t="s">
        <v>914</v>
      </c>
      <c r="N403" s="3" t="s">
        <v>910</v>
      </c>
      <c r="O403" s="5" t="s">
        <v>72</v>
      </c>
      <c r="P403" s="5" t="s">
        <v>915</v>
      </c>
      <c r="Q403" s="55"/>
      <c r="R403" s="15" t="s">
        <v>72</v>
      </c>
      <c r="S403" s="3" t="s">
        <v>903</v>
      </c>
      <c r="T403" s="3"/>
      <c r="U403" s="3"/>
      <c r="V403" s="3">
        <v>19</v>
      </c>
      <c r="W403" s="3">
        <f t="shared" si="12"/>
        <v>19</v>
      </c>
      <c r="X403" s="3">
        <f>W403</f>
        <v>19</v>
      </c>
      <c r="Y403" s="3">
        <f>ROUNDDOWN(W403/HLOOKUP(D403,[2]Table!$C$3:$D$4,2,0)*8,2)</f>
        <v>0.33</v>
      </c>
      <c r="Z403" s="3">
        <v>0.1</v>
      </c>
      <c r="AA403" s="3" t="s">
        <v>110</v>
      </c>
      <c r="AB403" s="6">
        <v>43938</v>
      </c>
      <c r="AC403" s="6">
        <v>43935</v>
      </c>
      <c r="AD403" s="6">
        <v>43938</v>
      </c>
      <c r="AE403" s="6">
        <v>43936</v>
      </c>
      <c r="AF403" s="6">
        <v>43936</v>
      </c>
      <c r="AG403" s="12" t="s">
        <v>75</v>
      </c>
      <c r="AH403" s="83" t="s">
        <v>72</v>
      </c>
      <c r="AI403" s="83" t="s">
        <v>72</v>
      </c>
      <c r="AJ403" s="83" t="s">
        <v>72</v>
      </c>
      <c r="AK403" s="12" t="s">
        <v>8</v>
      </c>
      <c r="AL403" s="3"/>
      <c r="AM403" s="3"/>
      <c r="AN403" s="3" t="s">
        <v>574</v>
      </c>
      <c r="AW403" s="143"/>
    </row>
    <row r="404" spans="2:49" ht="15">
      <c r="B404" s="47">
        <f t="shared" si="11"/>
        <v>176</v>
      </c>
      <c r="C404" s="11">
        <v>20200414</v>
      </c>
      <c r="D404" s="3" t="s">
        <v>24</v>
      </c>
      <c r="E404" s="3" t="s">
        <v>923</v>
      </c>
      <c r="F404" s="5" t="s">
        <v>924</v>
      </c>
      <c r="G404" s="5">
        <v>1416090</v>
      </c>
      <c r="H404" s="15" t="s">
        <v>72</v>
      </c>
      <c r="I404" s="3" t="s">
        <v>913</v>
      </c>
      <c r="J404" s="15" t="s">
        <v>72</v>
      </c>
      <c r="K404" s="3" t="s">
        <v>73</v>
      </c>
      <c r="L404" s="3">
        <v>80428</v>
      </c>
      <c r="M404" s="3" t="s">
        <v>914</v>
      </c>
      <c r="N404" s="3" t="s">
        <v>925</v>
      </c>
      <c r="O404" s="5" t="s">
        <v>72</v>
      </c>
      <c r="P404" s="5" t="s">
        <v>915</v>
      </c>
      <c r="Q404" s="55"/>
      <c r="R404" s="15" t="s">
        <v>72</v>
      </c>
      <c r="S404" s="3" t="s">
        <v>77</v>
      </c>
      <c r="T404" s="3"/>
      <c r="U404" s="3"/>
      <c r="V404" s="3">
        <v>25</v>
      </c>
      <c r="W404" s="3">
        <v>25</v>
      </c>
      <c r="X404" s="3">
        <v>25</v>
      </c>
      <c r="Y404" s="3">
        <v>0.44</v>
      </c>
      <c r="Z404" s="3">
        <v>0.25</v>
      </c>
      <c r="AA404" s="3" t="s">
        <v>110</v>
      </c>
      <c r="AB404" s="6">
        <v>43938</v>
      </c>
      <c r="AC404" s="6">
        <v>43935</v>
      </c>
      <c r="AD404" s="6">
        <v>43938</v>
      </c>
      <c r="AE404" s="6">
        <v>43938</v>
      </c>
      <c r="AF404" s="6">
        <v>43938</v>
      </c>
      <c r="AG404" s="12" t="s">
        <v>75</v>
      </c>
      <c r="AH404" s="8">
        <v>1</v>
      </c>
      <c r="AI404" s="8">
        <v>1</v>
      </c>
      <c r="AJ404" s="8">
        <v>1</v>
      </c>
      <c r="AK404" s="12" t="s">
        <v>8</v>
      </c>
      <c r="AL404" s="3"/>
      <c r="AM404" s="3"/>
      <c r="AN404" s="3"/>
      <c r="AW404" s="143"/>
    </row>
    <row r="405" spans="2:49" ht="15">
      <c r="B405" s="47">
        <f t="shared" si="11"/>
        <v>177</v>
      </c>
      <c r="C405" s="11">
        <v>20200414</v>
      </c>
      <c r="D405" s="3" t="s">
        <v>24</v>
      </c>
      <c r="E405" s="3" t="s">
        <v>923</v>
      </c>
      <c r="F405" s="5" t="s">
        <v>924</v>
      </c>
      <c r="G405" s="5">
        <v>1416090</v>
      </c>
      <c r="H405" s="15" t="s">
        <v>72</v>
      </c>
      <c r="I405" s="3" t="s">
        <v>916</v>
      </c>
      <c r="J405" s="15" t="s">
        <v>72</v>
      </c>
      <c r="K405" s="3" t="s">
        <v>73</v>
      </c>
      <c r="L405" s="3">
        <v>80428</v>
      </c>
      <c r="M405" s="3" t="s">
        <v>914</v>
      </c>
      <c r="N405" s="3" t="s">
        <v>925</v>
      </c>
      <c r="O405" s="5" t="s">
        <v>72</v>
      </c>
      <c r="P405" s="5" t="s">
        <v>915</v>
      </c>
      <c r="Q405" s="55"/>
      <c r="R405" s="15" t="s">
        <v>72</v>
      </c>
      <c r="S405" s="3" t="s">
        <v>77</v>
      </c>
      <c r="T405" s="3"/>
      <c r="U405" s="3"/>
      <c r="V405" s="3">
        <v>28</v>
      </c>
      <c r="W405" s="3">
        <v>28</v>
      </c>
      <c r="X405" s="3">
        <v>28</v>
      </c>
      <c r="Y405" s="3">
        <v>0.49</v>
      </c>
      <c r="Z405" s="3">
        <v>0.12</v>
      </c>
      <c r="AA405" s="3" t="s">
        <v>110</v>
      </c>
      <c r="AB405" s="6">
        <v>43938</v>
      </c>
      <c r="AC405" s="6">
        <v>43935</v>
      </c>
      <c r="AD405" s="6">
        <v>43938</v>
      </c>
      <c r="AE405" s="6">
        <v>43938</v>
      </c>
      <c r="AF405" s="6">
        <v>43938</v>
      </c>
      <c r="AG405" s="12" t="s">
        <v>75</v>
      </c>
      <c r="AH405" s="8">
        <v>1</v>
      </c>
      <c r="AI405" s="8">
        <v>1</v>
      </c>
      <c r="AJ405" s="8">
        <v>1</v>
      </c>
      <c r="AK405" s="12" t="s">
        <v>8</v>
      </c>
      <c r="AL405" s="3"/>
      <c r="AM405" s="3"/>
      <c r="AN405" s="3"/>
      <c r="AW405" s="143"/>
    </row>
    <row r="406" spans="2:49" ht="15">
      <c r="B406" s="47">
        <f t="shared" si="11"/>
        <v>178</v>
      </c>
      <c r="C406" s="11">
        <v>20200414</v>
      </c>
      <c r="D406" s="3" t="s">
        <v>24</v>
      </c>
      <c r="E406" s="3" t="s">
        <v>923</v>
      </c>
      <c r="F406" s="5" t="s">
        <v>924</v>
      </c>
      <c r="G406" s="5">
        <v>1416090</v>
      </c>
      <c r="H406" s="15" t="s">
        <v>72</v>
      </c>
      <c r="I406" s="3" t="s">
        <v>917</v>
      </c>
      <c r="J406" s="15" t="s">
        <v>72</v>
      </c>
      <c r="K406" s="3" t="s">
        <v>73</v>
      </c>
      <c r="L406" s="3">
        <v>80428</v>
      </c>
      <c r="M406" s="3" t="s">
        <v>914</v>
      </c>
      <c r="N406" s="3" t="s">
        <v>925</v>
      </c>
      <c r="O406" s="5" t="s">
        <v>72</v>
      </c>
      <c r="P406" s="5" t="s">
        <v>915</v>
      </c>
      <c r="Q406" s="55"/>
      <c r="R406" s="15" t="s">
        <v>72</v>
      </c>
      <c r="S406" s="3" t="s">
        <v>77</v>
      </c>
      <c r="T406" s="3"/>
      <c r="U406" s="3"/>
      <c r="V406" s="3">
        <v>46</v>
      </c>
      <c r="W406" s="3">
        <v>46</v>
      </c>
      <c r="X406" s="3">
        <v>46</v>
      </c>
      <c r="Y406" s="3">
        <v>0.81</v>
      </c>
      <c r="Z406" s="3">
        <v>0.12</v>
      </c>
      <c r="AA406" s="3" t="s">
        <v>110</v>
      </c>
      <c r="AB406" s="6">
        <v>43938</v>
      </c>
      <c r="AC406" s="6">
        <v>43935</v>
      </c>
      <c r="AD406" s="6">
        <v>43938</v>
      </c>
      <c r="AE406" s="6">
        <v>43938</v>
      </c>
      <c r="AF406" s="6">
        <v>43938</v>
      </c>
      <c r="AG406" s="12" t="s">
        <v>75</v>
      </c>
      <c r="AH406" s="8">
        <v>1</v>
      </c>
      <c r="AI406" s="8">
        <v>1</v>
      </c>
      <c r="AJ406" s="8">
        <v>1</v>
      </c>
      <c r="AK406" s="12" t="s">
        <v>8</v>
      </c>
      <c r="AL406" s="3"/>
      <c r="AM406" s="3"/>
      <c r="AN406" s="3"/>
      <c r="AW406" s="143"/>
    </row>
    <row r="407" spans="2:49" ht="15">
      <c r="B407" s="47">
        <f t="shared" si="11"/>
        <v>179</v>
      </c>
      <c r="C407" s="11">
        <v>20200414</v>
      </c>
      <c r="D407" s="3" t="s">
        <v>24</v>
      </c>
      <c r="E407" s="3" t="s">
        <v>923</v>
      </c>
      <c r="F407" s="5" t="s">
        <v>924</v>
      </c>
      <c r="G407" s="5">
        <v>1416090</v>
      </c>
      <c r="H407" s="15" t="s">
        <v>72</v>
      </c>
      <c r="I407" s="3" t="s">
        <v>918</v>
      </c>
      <c r="J407" s="15" t="s">
        <v>72</v>
      </c>
      <c r="K407" s="3" t="s">
        <v>73</v>
      </c>
      <c r="L407" s="3">
        <v>80428</v>
      </c>
      <c r="M407" s="3" t="s">
        <v>914</v>
      </c>
      <c r="N407" s="3" t="s">
        <v>925</v>
      </c>
      <c r="O407" s="5" t="s">
        <v>72</v>
      </c>
      <c r="P407" s="5" t="s">
        <v>915</v>
      </c>
      <c r="Q407" s="55"/>
      <c r="R407" s="15" t="s">
        <v>72</v>
      </c>
      <c r="S407" s="3" t="s">
        <v>77</v>
      </c>
      <c r="T407" s="3"/>
      <c r="U407" s="3"/>
      <c r="V407" s="3">
        <v>31</v>
      </c>
      <c r="W407" s="3">
        <v>31</v>
      </c>
      <c r="X407" s="3">
        <v>31</v>
      </c>
      <c r="Y407" s="3">
        <v>0.55000000000000004</v>
      </c>
      <c r="Z407" s="3">
        <v>0.25</v>
      </c>
      <c r="AA407" s="3" t="s">
        <v>110</v>
      </c>
      <c r="AB407" s="6">
        <v>43938</v>
      </c>
      <c r="AC407" s="6">
        <v>43935</v>
      </c>
      <c r="AD407" s="6">
        <v>43938</v>
      </c>
      <c r="AE407" s="6">
        <v>43938</v>
      </c>
      <c r="AF407" s="6">
        <v>43938</v>
      </c>
      <c r="AG407" s="12" t="s">
        <v>75</v>
      </c>
      <c r="AH407" s="8">
        <v>1</v>
      </c>
      <c r="AI407" s="8">
        <v>1</v>
      </c>
      <c r="AJ407" s="8">
        <v>1</v>
      </c>
      <c r="AK407" s="12" t="s">
        <v>8</v>
      </c>
      <c r="AL407" s="3"/>
      <c r="AM407" s="3"/>
      <c r="AN407" s="3"/>
      <c r="AW407" s="143"/>
    </row>
    <row r="408" spans="2:49" ht="15">
      <c r="B408" s="47">
        <f t="shared" si="11"/>
        <v>180</v>
      </c>
      <c r="C408" s="11">
        <v>20200414</v>
      </c>
      <c r="D408" s="3" t="s">
        <v>24</v>
      </c>
      <c r="E408" s="3" t="s">
        <v>923</v>
      </c>
      <c r="F408" s="5" t="s">
        <v>924</v>
      </c>
      <c r="G408" s="5">
        <v>1416090</v>
      </c>
      <c r="H408" s="15" t="s">
        <v>72</v>
      </c>
      <c r="I408" s="3" t="s">
        <v>919</v>
      </c>
      <c r="J408" s="15" t="s">
        <v>72</v>
      </c>
      <c r="K408" s="3" t="s">
        <v>73</v>
      </c>
      <c r="L408" s="3">
        <v>80428</v>
      </c>
      <c r="M408" s="3" t="s">
        <v>914</v>
      </c>
      <c r="N408" s="3" t="s">
        <v>925</v>
      </c>
      <c r="O408" s="5" t="s">
        <v>72</v>
      </c>
      <c r="P408" s="5" t="s">
        <v>915</v>
      </c>
      <c r="Q408" s="55"/>
      <c r="R408" s="15" t="s">
        <v>72</v>
      </c>
      <c r="S408" s="3" t="s">
        <v>903</v>
      </c>
      <c r="T408" s="3"/>
      <c r="U408" s="3"/>
      <c r="V408" s="3">
        <v>102</v>
      </c>
      <c r="W408" s="3">
        <f t="shared" si="12"/>
        <v>102</v>
      </c>
      <c r="X408" s="3">
        <v>102</v>
      </c>
      <c r="Y408" s="3">
        <f>ROUNDDOWN(W408/HLOOKUP(D408,[2]Table!$C$3:$D$4,2,0)*8,2)</f>
        <v>1.81</v>
      </c>
      <c r="Z408" s="3">
        <v>1</v>
      </c>
      <c r="AA408" s="3" t="s">
        <v>110</v>
      </c>
      <c r="AB408" s="6">
        <v>43938</v>
      </c>
      <c r="AC408" s="6">
        <v>43935</v>
      </c>
      <c r="AD408" s="6">
        <v>43938</v>
      </c>
      <c r="AE408" s="6">
        <v>43936</v>
      </c>
      <c r="AF408" s="6">
        <v>43936</v>
      </c>
      <c r="AG408" s="12" t="s">
        <v>75</v>
      </c>
      <c r="AH408" s="8">
        <v>1</v>
      </c>
      <c r="AI408" s="8">
        <v>1</v>
      </c>
      <c r="AJ408" s="8">
        <v>1</v>
      </c>
      <c r="AK408" s="12" t="s">
        <v>8</v>
      </c>
      <c r="AL408" s="3"/>
      <c r="AM408" s="3"/>
      <c r="AN408" s="3"/>
      <c r="AW408" s="143"/>
    </row>
    <row r="409" spans="2:49" ht="15">
      <c r="B409" s="47">
        <f t="shared" si="11"/>
        <v>181</v>
      </c>
      <c r="C409" s="11">
        <v>20200414</v>
      </c>
      <c r="D409" s="3" t="s">
        <v>24</v>
      </c>
      <c r="E409" s="3" t="s">
        <v>923</v>
      </c>
      <c r="F409" s="5" t="s">
        <v>924</v>
      </c>
      <c r="G409" s="5">
        <v>1416090</v>
      </c>
      <c r="H409" s="15" t="s">
        <v>72</v>
      </c>
      <c r="I409" s="3" t="s">
        <v>920</v>
      </c>
      <c r="J409" s="15" t="s">
        <v>72</v>
      </c>
      <c r="K409" s="3" t="s">
        <v>73</v>
      </c>
      <c r="L409" s="3">
        <v>80428</v>
      </c>
      <c r="M409" s="3" t="s">
        <v>914</v>
      </c>
      <c r="N409" s="3" t="s">
        <v>925</v>
      </c>
      <c r="O409" s="5" t="s">
        <v>72</v>
      </c>
      <c r="P409" s="5" t="s">
        <v>915</v>
      </c>
      <c r="Q409" s="55"/>
      <c r="R409" s="15" t="s">
        <v>72</v>
      </c>
      <c r="S409" s="3" t="s">
        <v>903</v>
      </c>
      <c r="T409" s="3"/>
      <c r="U409" s="3"/>
      <c r="V409" s="3">
        <v>66</v>
      </c>
      <c r="W409" s="3">
        <f t="shared" si="12"/>
        <v>66</v>
      </c>
      <c r="X409" s="3">
        <v>66</v>
      </c>
      <c r="Y409" s="3">
        <f>ROUNDDOWN(W409/HLOOKUP(D409,[2]Table!$C$3:$D$4,2,0)*8,2)</f>
        <v>1.17</v>
      </c>
      <c r="Z409" s="3">
        <v>1</v>
      </c>
      <c r="AA409" s="3" t="s">
        <v>110</v>
      </c>
      <c r="AB409" s="6">
        <v>43938</v>
      </c>
      <c r="AC409" s="6">
        <v>43935</v>
      </c>
      <c r="AD409" s="6">
        <v>43938</v>
      </c>
      <c r="AE409" s="6">
        <v>43936</v>
      </c>
      <c r="AF409" s="6">
        <v>43936</v>
      </c>
      <c r="AG409" s="12" t="s">
        <v>75</v>
      </c>
      <c r="AH409" s="8">
        <v>1</v>
      </c>
      <c r="AI409" s="8">
        <v>1</v>
      </c>
      <c r="AJ409" s="8">
        <v>1</v>
      </c>
      <c r="AK409" s="12" t="s">
        <v>8</v>
      </c>
      <c r="AL409" s="3"/>
      <c r="AM409" s="3"/>
      <c r="AN409" s="3"/>
      <c r="AW409" s="143"/>
    </row>
    <row r="410" spans="2:49" ht="15">
      <c r="B410" s="47">
        <f t="shared" si="11"/>
        <v>182</v>
      </c>
      <c r="C410" s="11">
        <v>20200414</v>
      </c>
      <c r="D410" s="3" t="s">
        <v>24</v>
      </c>
      <c r="E410" s="3" t="s">
        <v>923</v>
      </c>
      <c r="F410" s="5" t="s">
        <v>926</v>
      </c>
      <c r="G410" s="5">
        <v>1416090</v>
      </c>
      <c r="H410" s="15" t="s">
        <v>72</v>
      </c>
      <c r="I410" s="3" t="s">
        <v>922</v>
      </c>
      <c r="J410" s="15" t="s">
        <v>72</v>
      </c>
      <c r="K410" s="3" t="s">
        <v>73</v>
      </c>
      <c r="L410" s="3">
        <v>80428</v>
      </c>
      <c r="M410" s="3" t="s">
        <v>914</v>
      </c>
      <c r="N410" s="3" t="s">
        <v>925</v>
      </c>
      <c r="O410" s="5" t="s">
        <v>72</v>
      </c>
      <c r="P410" s="5" t="s">
        <v>915</v>
      </c>
      <c r="Q410" s="55"/>
      <c r="R410" s="15" t="s">
        <v>72</v>
      </c>
      <c r="S410" s="3" t="s">
        <v>903</v>
      </c>
      <c r="T410" s="3"/>
      <c r="U410" s="3"/>
      <c r="V410" s="3">
        <v>19</v>
      </c>
      <c r="W410" s="3">
        <f t="shared" si="12"/>
        <v>19</v>
      </c>
      <c r="X410" s="3">
        <v>19</v>
      </c>
      <c r="Y410" s="3">
        <f>ROUNDDOWN(W410/HLOOKUP(D410,[2]Table!$C$3:$D$4,2,0)*8,2)</f>
        <v>0.33</v>
      </c>
      <c r="Z410" s="3">
        <v>0.1</v>
      </c>
      <c r="AA410" s="3" t="s">
        <v>110</v>
      </c>
      <c r="AB410" s="6">
        <v>43938</v>
      </c>
      <c r="AC410" s="6">
        <v>43935</v>
      </c>
      <c r="AD410" s="6">
        <v>43938</v>
      </c>
      <c r="AE410" s="6">
        <v>43936</v>
      </c>
      <c r="AF410" s="6">
        <v>43936</v>
      </c>
      <c r="AG410" s="12" t="s">
        <v>75</v>
      </c>
      <c r="AH410" s="8" t="s">
        <v>72</v>
      </c>
      <c r="AI410" s="8" t="s">
        <v>72</v>
      </c>
      <c r="AJ410" s="8" t="s">
        <v>72</v>
      </c>
      <c r="AK410" s="12" t="s">
        <v>8</v>
      </c>
      <c r="AL410" s="3"/>
      <c r="AM410" s="3"/>
      <c r="AN410" s="3" t="s">
        <v>574</v>
      </c>
      <c r="AW410" s="143"/>
    </row>
    <row r="411" spans="2:49" ht="15">
      <c r="B411" s="47">
        <f t="shared" si="11"/>
        <v>183</v>
      </c>
      <c r="C411" s="11">
        <v>20200414</v>
      </c>
      <c r="D411" s="3" t="s">
        <v>24</v>
      </c>
      <c r="E411" s="3" t="s">
        <v>923</v>
      </c>
      <c r="F411" s="5" t="s">
        <v>927</v>
      </c>
      <c r="G411" s="5">
        <v>1417373</v>
      </c>
      <c r="H411" s="15" t="s">
        <v>72</v>
      </c>
      <c r="I411" s="3" t="s">
        <v>908</v>
      </c>
      <c r="J411" s="15" t="s">
        <v>72</v>
      </c>
      <c r="K411" s="3" t="s">
        <v>73</v>
      </c>
      <c r="L411" s="3">
        <v>80428</v>
      </c>
      <c r="M411" s="3" t="s">
        <v>914</v>
      </c>
      <c r="N411" s="3" t="s">
        <v>925</v>
      </c>
      <c r="O411" s="5" t="s">
        <v>72</v>
      </c>
      <c r="P411" s="5" t="s">
        <v>928</v>
      </c>
      <c r="Q411" s="55"/>
      <c r="R411" s="15" t="s">
        <v>72</v>
      </c>
      <c r="S411" s="3" t="s">
        <v>78</v>
      </c>
      <c r="T411" s="3"/>
      <c r="U411" s="3"/>
      <c r="V411" s="3">
        <v>322</v>
      </c>
      <c r="W411" s="3">
        <f t="shared" si="12"/>
        <v>322</v>
      </c>
      <c r="X411" s="3">
        <f t="shared" si="12"/>
        <v>322</v>
      </c>
      <c r="Y411" s="3">
        <f>ROUNDDOWN(W411/HLOOKUP(D411,[2]Table!$C$3:$D$4,2,0)*8,2)</f>
        <v>5.72</v>
      </c>
      <c r="Z411" s="3">
        <v>2</v>
      </c>
      <c r="AA411" s="3" t="s">
        <v>110</v>
      </c>
      <c r="AB411" s="6">
        <v>43938</v>
      </c>
      <c r="AC411" s="6">
        <v>43935</v>
      </c>
      <c r="AD411" s="6">
        <v>43938</v>
      </c>
      <c r="AE411" s="6">
        <v>43935</v>
      </c>
      <c r="AF411" s="6">
        <v>43935</v>
      </c>
      <c r="AG411" s="12" t="s">
        <v>75</v>
      </c>
      <c r="AH411" s="8">
        <v>1</v>
      </c>
      <c r="AI411" s="8">
        <v>1</v>
      </c>
      <c r="AJ411" s="8">
        <v>1</v>
      </c>
      <c r="AK411" s="12" t="s">
        <v>8</v>
      </c>
      <c r="AL411" s="3"/>
      <c r="AM411" s="3"/>
      <c r="AN411" s="3"/>
      <c r="AW411" s="143"/>
    </row>
    <row r="412" spans="2:49" ht="15">
      <c r="B412" s="47">
        <f t="shared" si="11"/>
        <v>184</v>
      </c>
      <c r="C412" s="11">
        <v>20200414</v>
      </c>
      <c r="D412" s="3" t="s">
        <v>24</v>
      </c>
      <c r="E412" s="3" t="s">
        <v>923</v>
      </c>
      <c r="F412" s="5" t="s">
        <v>929</v>
      </c>
      <c r="G412" s="5">
        <v>1417373</v>
      </c>
      <c r="H412" s="15" t="s">
        <v>72</v>
      </c>
      <c r="I412" s="3" t="s">
        <v>930</v>
      </c>
      <c r="J412" s="15" t="s">
        <v>72</v>
      </c>
      <c r="K412" s="3" t="s">
        <v>73</v>
      </c>
      <c r="L412" s="3">
        <v>80428</v>
      </c>
      <c r="M412" s="3" t="s">
        <v>914</v>
      </c>
      <c r="N412" s="3" t="s">
        <v>925</v>
      </c>
      <c r="O412" s="5" t="s">
        <v>72</v>
      </c>
      <c r="P412" s="5" t="s">
        <v>928</v>
      </c>
      <c r="Q412" s="55"/>
      <c r="R412" s="15" t="s">
        <v>72</v>
      </c>
      <c r="S412" s="3" t="s">
        <v>78</v>
      </c>
      <c r="T412" s="3"/>
      <c r="U412" s="3"/>
      <c r="V412" s="3">
        <v>268</v>
      </c>
      <c r="W412" s="3">
        <f t="shared" si="12"/>
        <v>268</v>
      </c>
      <c r="X412" s="3">
        <f t="shared" si="12"/>
        <v>268</v>
      </c>
      <c r="Y412" s="3">
        <f>ROUNDDOWN(W412/HLOOKUP(D412,[2]Table!$C$3:$D$4,2,0)*8,2)</f>
        <v>4.76</v>
      </c>
      <c r="Z412" s="3">
        <v>2</v>
      </c>
      <c r="AA412" s="3" t="s">
        <v>110</v>
      </c>
      <c r="AB412" s="6">
        <v>43938</v>
      </c>
      <c r="AC412" s="6">
        <v>43935</v>
      </c>
      <c r="AD412" s="6">
        <v>43938</v>
      </c>
      <c r="AE412" s="6">
        <v>43936</v>
      </c>
      <c r="AF412" s="6">
        <v>43936</v>
      </c>
      <c r="AG412" s="12" t="s">
        <v>75</v>
      </c>
      <c r="AH412" s="8">
        <v>1</v>
      </c>
      <c r="AI412" s="8">
        <v>1</v>
      </c>
      <c r="AJ412" s="8">
        <v>1</v>
      </c>
      <c r="AK412" s="12" t="s">
        <v>8</v>
      </c>
      <c r="AL412" s="3"/>
      <c r="AM412" s="3"/>
      <c r="AN412" s="3"/>
      <c r="AW412" s="143"/>
    </row>
    <row r="413" spans="2:49" ht="15">
      <c r="B413" s="47">
        <f t="shared" si="11"/>
        <v>185</v>
      </c>
      <c r="C413" s="11">
        <v>20200414</v>
      </c>
      <c r="D413" s="3" t="s">
        <v>24</v>
      </c>
      <c r="E413" s="3" t="s">
        <v>923</v>
      </c>
      <c r="F413" s="5" t="s">
        <v>929</v>
      </c>
      <c r="G413" s="5">
        <v>1417373</v>
      </c>
      <c r="H413" s="15" t="s">
        <v>72</v>
      </c>
      <c r="I413" s="3" t="s">
        <v>931</v>
      </c>
      <c r="J413" s="15" t="s">
        <v>72</v>
      </c>
      <c r="K413" s="3" t="s">
        <v>73</v>
      </c>
      <c r="L413" s="3">
        <v>80428</v>
      </c>
      <c r="M413" s="3" t="s">
        <v>914</v>
      </c>
      <c r="N413" s="3" t="s">
        <v>925</v>
      </c>
      <c r="O413" s="5" t="s">
        <v>72</v>
      </c>
      <c r="P413" s="5" t="s">
        <v>928</v>
      </c>
      <c r="Q413" s="55"/>
      <c r="R413" s="15" t="s">
        <v>72</v>
      </c>
      <c r="S413" s="3" t="s">
        <v>78</v>
      </c>
      <c r="T413" s="3"/>
      <c r="U413" s="3"/>
      <c r="V413" s="3">
        <v>275</v>
      </c>
      <c r="W413" s="3">
        <f t="shared" si="12"/>
        <v>275</v>
      </c>
      <c r="X413" s="3">
        <f t="shared" si="12"/>
        <v>275</v>
      </c>
      <c r="Y413" s="3">
        <f>ROUNDDOWN(W413/HLOOKUP(D413,[2]Table!$C$3:$D$4,2,0)*8,2)</f>
        <v>4.88</v>
      </c>
      <c r="Z413" s="3">
        <v>2</v>
      </c>
      <c r="AA413" s="3" t="s">
        <v>110</v>
      </c>
      <c r="AB413" s="6">
        <v>43938</v>
      </c>
      <c r="AC413" s="6">
        <v>43935</v>
      </c>
      <c r="AD413" s="6">
        <v>43938</v>
      </c>
      <c r="AE413" s="6">
        <v>43936</v>
      </c>
      <c r="AF413" s="6">
        <v>43936</v>
      </c>
      <c r="AG413" s="12" t="s">
        <v>75</v>
      </c>
      <c r="AH413" s="8">
        <v>1</v>
      </c>
      <c r="AI413" s="8">
        <v>1</v>
      </c>
      <c r="AJ413" s="8">
        <v>1</v>
      </c>
      <c r="AK413" s="12" t="s">
        <v>8</v>
      </c>
      <c r="AL413" s="3"/>
      <c r="AM413" s="3"/>
      <c r="AN413" s="3"/>
      <c r="AW413" s="143"/>
    </row>
    <row r="414" spans="2:49" ht="15">
      <c r="B414" s="47">
        <f t="shared" si="11"/>
        <v>186</v>
      </c>
      <c r="C414" s="11">
        <v>20200414</v>
      </c>
      <c r="D414" s="3" t="s">
        <v>24</v>
      </c>
      <c r="E414" s="3" t="s">
        <v>923</v>
      </c>
      <c r="F414" s="5" t="s">
        <v>929</v>
      </c>
      <c r="G414" s="5">
        <v>1417373</v>
      </c>
      <c r="H414" s="15" t="s">
        <v>72</v>
      </c>
      <c r="I414" s="3" t="s">
        <v>932</v>
      </c>
      <c r="J414" s="15" t="s">
        <v>72</v>
      </c>
      <c r="K414" s="3" t="s">
        <v>73</v>
      </c>
      <c r="L414" s="3">
        <v>80428</v>
      </c>
      <c r="M414" s="3" t="s">
        <v>914</v>
      </c>
      <c r="N414" s="3" t="s">
        <v>925</v>
      </c>
      <c r="O414" s="5" t="s">
        <v>72</v>
      </c>
      <c r="P414" s="5" t="s">
        <v>928</v>
      </c>
      <c r="Q414" s="55"/>
      <c r="R414" s="15" t="s">
        <v>72</v>
      </c>
      <c r="S414" s="3" t="s">
        <v>78</v>
      </c>
      <c r="T414" s="3"/>
      <c r="U414" s="3"/>
      <c r="V414" s="3">
        <v>267</v>
      </c>
      <c r="W414" s="3">
        <f t="shared" si="12"/>
        <v>267</v>
      </c>
      <c r="X414" s="3">
        <f t="shared" si="12"/>
        <v>267</v>
      </c>
      <c r="Y414" s="3">
        <f>ROUNDDOWN(W414/HLOOKUP(D414,[2]Table!$C$3:$D$4,2,0)*8,2)</f>
        <v>4.74</v>
      </c>
      <c r="Z414" s="3">
        <v>2.5</v>
      </c>
      <c r="AA414" s="3" t="s">
        <v>110</v>
      </c>
      <c r="AB414" s="6">
        <v>43938</v>
      </c>
      <c r="AC414" s="6">
        <v>43935</v>
      </c>
      <c r="AD414" s="6">
        <v>43938</v>
      </c>
      <c r="AE414" s="6">
        <v>43936</v>
      </c>
      <c r="AF414" s="6">
        <v>43936</v>
      </c>
      <c r="AG414" s="12" t="s">
        <v>75</v>
      </c>
      <c r="AH414" s="8">
        <v>1</v>
      </c>
      <c r="AI414" s="8">
        <v>1</v>
      </c>
      <c r="AJ414" s="8">
        <v>1</v>
      </c>
      <c r="AK414" s="12" t="s">
        <v>8</v>
      </c>
      <c r="AL414" s="3"/>
      <c r="AM414" s="3"/>
      <c r="AN414" s="3"/>
      <c r="AW414" s="143"/>
    </row>
    <row r="415" spans="2:49" ht="15">
      <c r="B415" s="82">
        <f t="shared" si="11"/>
        <v>187</v>
      </c>
      <c r="C415" s="11">
        <v>20200414</v>
      </c>
      <c r="D415" s="3" t="s">
        <v>24</v>
      </c>
      <c r="E415" s="3" t="s">
        <v>933</v>
      </c>
      <c r="F415" s="5" t="s">
        <v>934</v>
      </c>
      <c r="G415" s="5">
        <v>1417493</v>
      </c>
      <c r="H415" s="15" t="s">
        <v>72</v>
      </c>
      <c r="I415" s="3" t="s">
        <v>647</v>
      </c>
      <c r="J415" s="15" t="s">
        <v>72</v>
      </c>
      <c r="K415" s="3" t="s">
        <v>73</v>
      </c>
      <c r="L415" s="5" t="s">
        <v>8</v>
      </c>
      <c r="M415" s="3" t="s">
        <v>935</v>
      </c>
      <c r="N415" s="3" t="s">
        <v>936</v>
      </c>
      <c r="O415" s="5" t="s">
        <v>72</v>
      </c>
      <c r="P415" s="5" t="s">
        <v>937</v>
      </c>
      <c r="Q415" s="55"/>
      <c r="R415" s="15" t="s">
        <v>72</v>
      </c>
      <c r="S415" s="3" t="s">
        <v>903</v>
      </c>
      <c r="T415" s="3"/>
      <c r="U415" s="3"/>
      <c r="V415" s="3">
        <v>200</v>
      </c>
      <c r="W415" s="3">
        <f t="shared" si="12"/>
        <v>200</v>
      </c>
      <c r="X415" s="3">
        <f t="shared" si="12"/>
        <v>200</v>
      </c>
      <c r="Y415" s="3">
        <f>ROUNDDOWN(W415/HLOOKUP(D415,[2]Table!$C$3:$D$4,2,0)*8,2)</f>
        <v>3.55</v>
      </c>
      <c r="Z415" s="3">
        <v>1</v>
      </c>
      <c r="AA415" s="3" t="s">
        <v>110</v>
      </c>
      <c r="AB415" s="6">
        <v>43938</v>
      </c>
      <c r="AC415" s="6">
        <v>43935</v>
      </c>
      <c r="AD415" s="6">
        <v>43938</v>
      </c>
      <c r="AE415" s="6">
        <v>43936</v>
      </c>
      <c r="AF415" s="6">
        <v>43936</v>
      </c>
      <c r="AG415" s="12" t="s">
        <v>75</v>
      </c>
      <c r="AH415" s="8">
        <v>1</v>
      </c>
      <c r="AI415" s="8">
        <v>1</v>
      </c>
      <c r="AJ415" s="8">
        <v>1</v>
      </c>
      <c r="AK415" s="12" t="s">
        <v>8</v>
      </c>
      <c r="AL415" s="3"/>
      <c r="AM415" s="3"/>
      <c r="AN415" s="3"/>
      <c r="AW415" s="143"/>
    </row>
    <row r="416" spans="2:49" ht="15">
      <c r="B416" s="82">
        <f t="shared" si="11"/>
        <v>188</v>
      </c>
      <c r="C416" s="11">
        <v>20200414</v>
      </c>
      <c r="D416" s="3" t="s">
        <v>24</v>
      </c>
      <c r="E416" s="3" t="s">
        <v>933</v>
      </c>
      <c r="F416" s="5" t="s">
        <v>934</v>
      </c>
      <c r="G416" s="5">
        <v>1417493</v>
      </c>
      <c r="H416" s="15" t="s">
        <v>72</v>
      </c>
      <c r="I416" s="3" t="s">
        <v>648</v>
      </c>
      <c r="J416" s="15" t="s">
        <v>72</v>
      </c>
      <c r="K416" s="3" t="s">
        <v>73</v>
      </c>
      <c r="L416" s="5" t="s">
        <v>8</v>
      </c>
      <c r="M416" s="3" t="s">
        <v>935</v>
      </c>
      <c r="N416" s="3" t="s">
        <v>936</v>
      </c>
      <c r="O416" s="5" t="s">
        <v>72</v>
      </c>
      <c r="P416" s="5" t="s">
        <v>937</v>
      </c>
      <c r="Q416" s="55"/>
      <c r="R416" s="15" t="s">
        <v>72</v>
      </c>
      <c r="S416" s="3" t="s">
        <v>903</v>
      </c>
      <c r="T416" s="3"/>
      <c r="U416" s="3"/>
      <c r="V416" s="3">
        <v>137</v>
      </c>
      <c r="W416" s="3">
        <f t="shared" si="12"/>
        <v>137</v>
      </c>
      <c r="X416" s="3">
        <f t="shared" si="12"/>
        <v>137</v>
      </c>
      <c r="Y416" s="3">
        <f>ROUNDDOWN(W416/HLOOKUP(D416,[2]Table!$C$3:$D$4,2,0)*8,2)</f>
        <v>2.4300000000000002</v>
      </c>
      <c r="Z416" s="3">
        <v>1</v>
      </c>
      <c r="AA416" s="3" t="s">
        <v>110</v>
      </c>
      <c r="AB416" s="6">
        <v>43938</v>
      </c>
      <c r="AC416" s="6">
        <v>43935</v>
      </c>
      <c r="AD416" s="6">
        <v>43938</v>
      </c>
      <c r="AE416" s="6">
        <v>43936</v>
      </c>
      <c r="AF416" s="6">
        <v>43936</v>
      </c>
      <c r="AG416" s="12" t="s">
        <v>75</v>
      </c>
      <c r="AH416" s="8">
        <v>1</v>
      </c>
      <c r="AI416" s="8">
        <v>1</v>
      </c>
      <c r="AJ416" s="8">
        <v>1</v>
      </c>
      <c r="AK416" s="12" t="s">
        <v>8</v>
      </c>
      <c r="AL416" s="3"/>
      <c r="AM416" s="3"/>
      <c r="AN416" s="3"/>
      <c r="AW416" s="143"/>
    </row>
    <row r="417" spans="2:49" ht="15">
      <c r="B417" s="82">
        <f t="shared" si="11"/>
        <v>189</v>
      </c>
      <c r="C417" s="11">
        <v>20200414</v>
      </c>
      <c r="D417" s="3" t="s">
        <v>24</v>
      </c>
      <c r="E417" s="3" t="s">
        <v>933</v>
      </c>
      <c r="F417" s="5" t="s">
        <v>934</v>
      </c>
      <c r="G417" s="5">
        <v>1417493</v>
      </c>
      <c r="H417" s="15" t="s">
        <v>72</v>
      </c>
      <c r="I417" s="3" t="s">
        <v>938</v>
      </c>
      <c r="J417" s="15" t="s">
        <v>72</v>
      </c>
      <c r="K417" s="3" t="s">
        <v>73</v>
      </c>
      <c r="L417" s="5" t="s">
        <v>8</v>
      </c>
      <c r="M417" s="3" t="s">
        <v>935</v>
      </c>
      <c r="N417" s="3" t="s">
        <v>936</v>
      </c>
      <c r="O417" s="5" t="s">
        <v>72</v>
      </c>
      <c r="P417" s="5" t="s">
        <v>937</v>
      </c>
      <c r="Q417" s="55"/>
      <c r="R417" s="15" t="s">
        <v>72</v>
      </c>
      <c r="S417" s="3" t="s">
        <v>74</v>
      </c>
      <c r="T417" s="3"/>
      <c r="U417" s="3"/>
      <c r="V417" s="3">
        <v>343</v>
      </c>
      <c r="W417" s="3">
        <f t="shared" si="12"/>
        <v>343</v>
      </c>
      <c r="X417" s="3">
        <f t="shared" si="12"/>
        <v>343</v>
      </c>
      <c r="Y417" s="3">
        <f>ROUNDDOWN(W417/HLOOKUP(D417,[2]Table!$C$3:$D$4,2,0)*8,2)</f>
        <v>6.09</v>
      </c>
      <c r="Z417" s="3">
        <v>6</v>
      </c>
      <c r="AA417" s="3" t="s">
        <v>110</v>
      </c>
      <c r="AB417" s="6">
        <v>43938</v>
      </c>
      <c r="AC417" s="6">
        <v>43935</v>
      </c>
      <c r="AD417" s="6">
        <v>43938</v>
      </c>
      <c r="AE417" s="6">
        <v>43938</v>
      </c>
      <c r="AF417" s="6">
        <v>43938</v>
      </c>
      <c r="AG417" s="12" t="s">
        <v>79</v>
      </c>
      <c r="AH417" s="8">
        <v>0.97</v>
      </c>
      <c r="AI417" s="8">
        <v>0.97</v>
      </c>
      <c r="AJ417" s="8">
        <v>0.81</v>
      </c>
      <c r="AK417" s="12" t="s">
        <v>76</v>
      </c>
      <c r="AL417" s="3" t="s">
        <v>939</v>
      </c>
      <c r="AM417" s="3"/>
      <c r="AN417" s="3" t="s">
        <v>895</v>
      </c>
      <c r="AW417" s="143"/>
    </row>
    <row r="418" spans="2:49" ht="15">
      <c r="B418" s="82">
        <f t="shared" si="11"/>
        <v>190</v>
      </c>
      <c r="C418" s="11">
        <v>20200414</v>
      </c>
      <c r="D418" s="3" t="s">
        <v>24</v>
      </c>
      <c r="E418" s="3" t="s">
        <v>933</v>
      </c>
      <c r="F418" s="5" t="s">
        <v>934</v>
      </c>
      <c r="G418" s="5">
        <v>1417493</v>
      </c>
      <c r="H418" s="15" t="s">
        <v>72</v>
      </c>
      <c r="I418" s="3" t="s">
        <v>940</v>
      </c>
      <c r="J418" s="15" t="s">
        <v>72</v>
      </c>
      <c r="K418" s="3" t="s">
        <v>73</v>
      </c>
      <c r="L418" s="5" t="s">
        <v>8</v>
      </c>
      <c r="M418" s="3" t="s">
        <v>935</v>
      </c>
      <c r="N418" s="3" t="s">
        <v>936</v>
      </c>
      <c r="O418" s="5" t="s">
        <v>72</v>
      </c>
      <c r="P418" s="5" t="s">
        <v>937</v>
      </c>
      <c r="Q418" s="55"/>
      <c r="R418" s="15" t="s">
        <v>72</v>
      </c>
      <c r="S418" s="3" t="s">
        <v>903</v>
      </c>
      <c r="T418" s="3"/>
      <c r="U418" s="3"/>
      <c r="V418" s="3">
        <v>36</v>
      </c>
      <c r="W418" s="3">
        <f t="shared" si="12"/>
        <v>36</v>
      </c>
      <c r="X418" s="3">
        <f t="shared" si="12"/>
        <v>36</v>
      </c>
      <c r="Y418" s="3">
        <f>ROUNDDOWN(W418/HLOOKUP(D418,[2]Table!$C$3:$D$4,2,0)*8,2)</f>
        <v>0.64</v>
      </c>
      <c r="Z418" s="3">
        <v>0.1</v>
      </c>
      <c r="AA418" s="3" t="s">
        <v>110</v>
      </c>
      <c r="AB418" s="6">
        <v>43938</v>
      </c>
      <c r="AC418" s="6">
        <v>43935</v>
      </c>
      <c r="AD418" s="6">
        <v>43938</v>
      </c>
      <c r="AE418" s="6">
        <v>43936</v>
      </c>
      <c r="AF418" s="6">
        <v>43936</v>
      </c>
      <c r="AG418" s="12" t="s">
        <v>75</v>
      </c>
      <c r="AH418" s="8">
        <v>1</v>
      </c>
      <c r="AI418" s="8">
        <v>1</v>
      </c>
      <c r="AJ418" s="8">
        <v>1</v>
      </c>
      <c r="AK418" s="12" t="s">
        <v>8</v>
      </c>
      <c r="AL418" s="3"/>
      <c r="AM418" s="3"/>
      <c r="AN418" s="3"/>
      <c r="AW418" s="143"/>
    </row>
    <row r="419" spans="2:49" ht="15">
      <c r="B419" s="82">
        <f t="shared" si="11"/>
        <v>191</v>
      </c>
      <c r="C419" s="11">
        <v>20200414</v>
      </c>
      <c r="D419" s="3" t="s">
        <v>24</v>
      </c>
      <c r="E419" s="3" t="s">
        <v>933</v>
      </c>
      <c r="F419" s="5" t="s">
        <v>934</v>
      </c>
      <c r="G419" s="5">
        <v>1417493</v>
      </c>
      <c r="H419" s="15" t="s">
        <v>72</v>
      </c>
      <c r="I419" s="3" t="s">
        <v>941</v>
      </c>
      <c r="J419" s="15" t="s">
        <v>72</v>
      </c>
      <c r="K419" s="3" t="s">
        <v>73</v>
      </c>
      <c r="L419" s="5" t="s">
        <v>8</v>
      </c>
      <c r="M419" s="3" t="s">
        <v>935</v>
      </c>
      <c r="N419" s="3" t="s">
        <v>936</v>
      </c>
      <c r="O419" s="5" t="s">
        <v>72</v>
      </c>
      <c r="P419" s="5" t="s">
        <v>937</v>
      </c>
      <c r="Q419" s="55"/>
      <c r="R419" s="15" t="s">
        <v>72</v>
      </c>
      <c r="S419" s="3" t="s">
        <v>903</v>
      </c>
      <c r="T419" s="3"/>
      <c r="U419" s="3"/>
      <c r="V419" s="3">
        <v>225</v>
      </c>
      <c r="W419" s="3">
        <f t="shared" si="12"/>
        <v>225</v>
      </c>
      <c r="X419" s="3">
        <f t="shared" si="12"/>
        <v>225</v>
      </c>
      <c r="Y419" s="3">
        <f>ROUNDDOWN(W419/HLOOKUP(D419,[2]Table!$C$3:$D$4,2,0)*8,2)</f>
        <v>4</v>
      </c>
      <c r="Z419" s="3">
        <v>6</v>
      </c>
      <c r="AA419" s="3" t="s">
        <v>110</v>
      </c>
      <c r="AB419" s="6">
        <v>43938</v>
      </c>
      <c r="AC419" s="6">
        <v>43935</v>
      </c>
      <c r="AD419" s="6">
        <v>43938</v>
      </c>
      <c r="AE419" s="6">
        <v>43936</v>
      </c>
      <c r="AF419" s="6">
        <v>43936</v>
      </c>
      <c r="AG419" s="12" t="s">
        <v>79</v>
      </c>
      <c r="AH419" s="8">
        <v>0.98</v>
      </c>
      <c r="AI419" s="8">
        <v>0.92</v>
      </c>
      <c r="AJ419" s="8">
        <v>0.33</v>
      </c>
      <c r="AK419" s="12" t="s">
        <v>76</v>
      </c>
      <c r="AL419" s="3" t="s">
        <v>942</v>
      </c>
      <c r="AM419" s="3"/>
      <c r="AN419" s="3" t="s">
        <v>895</v>
      </c>
      <c r="AW419" s="143"/>
    </row>
    <row r="420" spans="2:49" ht="15">
      <c r="B420" s="82">
        <f t="shared" si="11"/>
        <v>192</v>
      </c>
      <c r="C420" s="11">
        <v>20200414</v>
      </c>
      <c r="D420" s="3" t="s">
        <v>24</v>
      </c>
      <c r="E420" s="3" t="s">
        <v>933</v>
      </c>
      <c r="F420" s="5" t="s">
        <v>934</v>
      </c>
      <c r="G420" s="5">
        <v>1417493</v>
      </c>
      <c r="H420" s="15" t="s">
        <v>72</v>
      </c>
      <c r="I420" s="3" t="s">
        <v>943</v>
      </c>
      <c r="J420" s="15" t="s">
        <v>72</v>
      </c>
      <c r="K420" s="3" t="s">
        <v>73</v>
      </c>
      <c r="L420" s="5" t="s">
        <v>8</v>
      </c>
      <c r="M420" s="3" t="s">
        <v>935</v>
      </c>
      <c r="N420" s="3" t="s">
        <v>936</v>
      </c>
      <c r="O420" s="5" t="s">
        <v>72</v>
      </c>
      <c r="P420" s="5" t="s">
        <v>937</v>
      </c>
      <c r="Q420" s="55"/>
      <c r="R420" s="15" t="s">
        <v>72</v>
      </c>
      <c r="S420" s="3" t="s">
        <v>78</v>
      </c>
      <c r="T420" s="3"/>
      <c r="U420" s="3"/>
      <c r="V420" s="3">
        <v>194</v>
      </c>
      <c r="W420" s="3">
        <f t="shared" si="12"/>
        <v>194</v>
      </c>
      <c r="X420" s="3">
        <f t="shared" si="12"/>
        <v>194</v>
      </c>
      <c r="Y420" s="3">
        <f>ROUNDDOWN(W420/HLOOKUP(D420,[2]Table!$C$3:$D$4,2,0)*8,2)</f>
        <v>3.44</v>
      </c>
      <c r="Z420" s="3">
        <v>3</v>
      </c>
      <c r="AA420" s="3" t="s">
        <v>110</v>
      </c>
      <c r="AB420" s="6">
        <v>43938</v>
      </c>
      <c r="AC420" s="6">
        <v>43935</v>
      </c>
      <c r="AD420" s="6">
        <v>43938</v>
      </c>
      <c r="AE420" s="6">
        <v>43936</v>
      </c>
      <c r="AF420" s="6">
        <v>43936</v>
      </c>
      <c r="AG420" s="12" t="s">
        <v>75</v>
      </c>
      <c r="AH420" s="8">
        <v>1</v>
      </c>
      <c r="AI420" s="8">
        <v>1</v>
      </c>
      <c r="AJ420" s="8">
        <v>1</v>
      </c>
      <c r="AK420" s="12" t="s">
        <v>8</v>
      </c>
      <c r="AL420" s="3"/>
      <c r="AM420" s="3"/>
      <c r="AN420" s="3"/>
      <c r="AW420" s="143"/>
    </row>
    <row r="421" spans="2:49" ht="15">
      <c r="B421" s="82">
        <f t="shared" si="11"/>
        <v>193</v>
      </c>
      <c r="C421" s="11">
        <v>20200414</v>
      </c>
      <c r="D421" s="3" t="s">
        <v>24</v>
      </c>
      <c r="E421" s="3" t="s">
        <v>933</v>
      </c>
      <c r="F421" s="5" t="s">
        <v>934</v>
      </c>
      <c r="G421" s="5">
        <v>1417493</v>
      </c>
      <c r="H421" s="15" t="s">
        <v>72</v>
      </c>
      <c r="I421" s="3" t="s">
        <v>944</v>
      </c>
      <c r="J421" s="15" t="s">
        <v>72</v>
      </c>
      <c r="K421" s="3" t="s">
        <v>73</v>
      </c>
      <c r="L421" s="5" t="s">
        <v>8</v>
      </c>
      <c r="M421" s="3" t="s">
        <v>935</v>
      </c>
      <c r="N421" s="3" t="s">
        <v>936</v>
      </c>
      <c r="O421" s="5" t="s">
        <v>72</v>
      </c>
      <c r="P421" s="5" t="s">
        <v>937</v>
      </c>
      <c r="Q421" s="55"/>
      <c r="R421" s="15" t="s">
        <v>72</v>
      </c>
      <c r="S421" s="3" t="s">
        <v>78</v>
      </c>
      <c r="T421" s="3"/>
      <c r="U421" s="3"/>
      <c r="V421" s="3">
        <v>321</v>
      </c>
      <c r="W421" s="3">
        <f t="shared" si="12"/>
        <v>321</v>
      </c>
      <c r="X421" s="3">
        <f t="shared" si="12"/>
        <v>321</v>
      </c>
      <c r="Y421" s="3">
        <f>ROUNDDOWN(W421/HLOOKUP(D421,[2]Table!$C$3:$D$4,2,0)*8,2)</f>
        <v>5.7</v>
      </c>
      <c r="Z421" s="3">
        <v>6</v>
      </c>
      <c r="AA421" s="3" t="s">
        <v>110</v>
      </c>
      <c r="AB421" s="6">
        <v>43938</v>
      </c>
      <c r="AC421" s="6">
        <v>43935</v>
      </c>
      <c r="AD421" s="6">
        <v>43938</v>
      </c>
      <c r="AE421" s="6">
        <v>43937</v>
      </c>
      <c r="AF421" s="6">
        <v>43937</v>
      </c>
      <c r="AG421" s="12" t="s">
        <v>75</v>
      </c>
      <c r="AH421" s="8">
        <v>1</v>
      </c>
      <c r="AI421" s="8">
        <v>1</v>
      </c>
      <c r="AJ421" s="8">
        <v>1</v>
      </c>
      <c r="AK421" s="12" t="s">
        <v>8</v>
      </c>
      <c r="AL421" s="3"/>
      <c r="AM421" s="3"/>
      <c r="AN421" s="3"/>
      <c r="AW421" s="143"/>
    </row>
    <row r="422" spans="2:49" ht="15">
      <c r="B422" s="82">
        <f t="shared" si="11"/>
        <v>194</v>
      </c>
      <c r="C422" s="11">
        <v>20200414</v>
      </c>
      <c r="D422" s="3" t="s">
        <v>24</v>
      </c>
      <c r="E422" s="3" t="s">
        <v>933</v>
      </c>
      <c r="F422" s="5" t="s">
        <v>934</v>
      </c>
      <c r="G422" s="5">
        <v>1417493</v>
      </c>
      <c r="H422" s="15" t="s">
        <v>72</v>
      </c>
      <c r="I422" s="3" t="s">
        <v>945</v>
      </c>
      <c r="J422" s="15" t="s">
        <v>72</v>
      </c>
      <c r="K422" s="3" t="s">
        <v>73</v>
      </c>
      <c r="L422" s="5" t="s">
        <v>8</v>
      </c>
      <c r="M422" s="3" t="s">
        <v>935</v>
      </c>
      <c r="N422" s="3" t="s">
        <v>936</v>
      </c>
      <c r="O422" s="5" t="s">
        <v>72</v>
      </c>
      <c r="P422" s="5" t="s">
        <v>937</v>
      </c>
      <c r="Q422" s="55"/>
      <c r="R422" s="15" t="s">
        <v>72</v>
      </c>
      <c r="S422" s="3" t="s">
        <v>78</v>
      </c>
      <c r="T422" s="3"/>
      <c r="U422" s="3"/>
      <c r="V422" s="3">
        <v>52</v>
      </c>
      <c r="W422" s="3">
        <f t="shared" si="12"/>
        <v>52</v>
      </c>
      <c r="X422" s="3">
        <f t="shared" si="12"/>
        <v>52</v>
      </c>
      <c r="Y422" s="3">
        <f>ROUNDDOWN(W422/HLOOKUP(D422,[2]Table!$C$3:$D$4,2,0)*8,2)</f>
        <v>0.92</v>
      </c>
      <c r="Z422" s="3">
        <v>1</v>
      </c>
      <c r="AA422" s="3" t="s">
        <v>110</v>
      </c>
      <c r="AB422" s="6">
        <v>43938</v>
      </c>
      <c r="AC422" s="6">
        <v>43935</v>
      </c>
      <c r="AD422" s="6">
        <v>43938</v>
      </c>
      <c r="AE422" s="6">
        <v>43938</v>
      </c>
      <c r="AF422" s="6">
        <v>43938</v>
      </c>
      <c r="AG422" s="12" t="s">
        <v>75</v>
      </c>
      <c r="AH422" s="8">
        <v>1</v>
      </c>
      <c r="AI422" s="8">
        <v>1</v>
      </c>
      <c r="AJ422" s="8">
        <v>1</v>
      </c>
      <c r="AK422" s="12" t="s">
        <v>8</v>
      </c>
      <c r="AL422" s="3"/>
      <c r="AM422" s="3"/>
      <c r="AN422" s="3"/>
      <c r="AW422" s="143"/>
    </row>
    <row r="423" spans="2:49" ht="15">
      <c r="B423" s="82">
        <f t="shared" si="11"/>
        <v>195</v>
      </c>
      <c r="C423" s="11">
        <v>20200414</v>
      </c>
      <c r="D423" s="3" t="s">
        <v>24</v>
      </c>
      <c r="E423" s="3" t="s">
        <v>933</v>
      </c>
      <c r="F423" s="5" t="s">
        <v>934</v>
      </c>
      <c r="G423" s="5">
        <v>1417493</v>
      </c>
      <c r="H423" s="15" t="s">
        <v>72</v>
      </c>
      <c r="I423" s="3" t="s">
        <v>654</v>
      </c>
      <c r="J423" s="15" t="s">
        <v>72</v>
      </c>
      <c r="K423" s="3" t="s">
        <v>73</v>
      </c>
      <c r="L423" s="5" t="s">
        <v>8</v>
      </c>
      <c r="M423" s="3" t="s">
        <v>935</v>
      </c>
      <c r="N423" s="3" t="s">
        <v>936</v>
      </c>
      <c r="O423" s="5" t="s">
        <v>72</v>
      </c>
      <c r="P423" s="5" t="s">
        <v>937</v>
      </c>
      <c r="Q423" s="55"/>
      <c r="R423" s="15" t="s">
        <v>72</v>
      </c>
      <c r="S423" s="3" t="s">
        <v>78</v>
      </c>
      <c r="T423" s="3"/>
      <c r="U423" s="3"/>
      <c r="V423" s="3">
        <v>209</v>
      </c>
      <c r="W423" s="3">
        <f t="shared" si="12"/>
        <v>209</v>
      </c>
      <c r="X423" s="3">
        <f t="shared" si="12"/>
        <v>209</v>
      </c>
      <c r="Y423" s="3">
        <f>ROUNDDOWN(W423/HLOOKUP(D423,[2]Table!$C$3:$D$4,2,0)*8,2)</f>
        <v>3.71</v>
      </c>
      <c r="Z423" s="3">
        <v>3</v>
      </c>
      <c r="AA423" s="3" t="s">
        <v>110</v>
      </c>
      <c r="AB423" s="6">
        <v>43938</v>
      </c>
      <c r="AC423" s="6">
        <v>43935</v>
      </c>
      <c r="AD423" s="6">
        <v>43938</v>
      </c>
      <c r="AE423" s="6">
        <v>43938</v>
      </c>
      <c r="AF423" s="6">
        <v>43938</v>
      </c>
      <c r="AG423" s="12" t="s">
        <v>79</v>
      </c>
      <c r="AH423" s="8">
        <v>1</v>
      </c>
      <c r="AI423" s="8">
        <v>1</v>
      </c>
      <c r="AJ423" s="8">
        <v>0.75</v>
      </c>
      <c r="AK423" s="12" t="s">
        <v>76</v>
      </c>
      <c r="AL423" s="85" t="s">
        <v>946</v>
      </c>
      <c r="AM423" s="3"/>
      <c r="AN423" s="3" t="s">
        <v>895</v>
      </c>
      <c r="AW423" s="143"/>
    </row>
    <row r="424" spans="2:49" ht="15">
      <c r="B424" s="82">
        <f t="shared" si="11"/>
        <v>196</v>
      </c>
      <c r="C424" s="11">
        <v>20200414</v>
      </c>
      <c r="D424" s="3" t="s">
        <v>24</v>
      </c>
      <c r="E424" s="3" t="s">
        <v>933</v>
      </c>
      <c r="F424" s="5" t="s">
        <v>934</v>
      </c>
      <c r="G424" s="5">
        <v>1417493</v>
      </c>
      <c r="H424" s="15" t="s">
        <v>72</v>
      </c>
      <c r="I424" s="3" t="s">
        <v>657</v>
      </c>
      <c r="J424" s="15" t="s">
        <v>72</v>
      </c>
      <c r="K424" s="3" t="s">
        <v>73</v>
      </c>
      <c r="L424" s="5" t="s">
        <v>8</v>
      </c>
      <c r="M424" s="3" t="s">
        <v>935</v>
      </c>
      <c r="N424" s="3" t="s">
        <v>936</v>
      </c>
      <c r="O424" s="5" t="s">
        <v>72</v>
      </c>
      <c r="P424" s="5" t="s">
        <v>937</v>
      </c>
      <c r="Q424" s="55"/>
      <c r="R424" s="15" t="s">
        <v>72</v>
      </c>
      <c r="S424" s="3" t="s">
        <v>78</v>
      </c>
      <c r="T424" s="3"/>
      <c r="U424" s="3"/>
      <c r="V424" s="3">
        <v>67</v>
      </c>
      <c r="W424" s="3">
        <f t="shared" si="12"/>
        <v>67</v>
      </c>
      <c r="X424" s="3">
        <f t="shared" si="12"/>
        <v>67</v>
      </c>
      <c r="Y424" s="3">
        <f>ROUNDDOWN(W424/HLOOKUP(D424,[2]Table!$C$3:$D$4,2,0)*8,2)</f>
        <v>1.19</v>
      </c>
      <c r="Z424" s="3">
        <v>2</v>
      </c>
      <c r="AA424" s="3" t="s">
        <v>110</v>
      </c>
      <c r="AB424" s="6">
        <v>43938</v>
      </c>
      <c r="AC424" s="6">
        <v>43935</v>
      </c>
      <c r="AD424" s="6">
        <v>43938</v>
      </c>
      <c r="AE424" s="6">
        <v>43938</v>
      </c>
      <c r="AF424" s="6">
        <v>43938</v>
      </c>
      <c r="AG424" s="12" t="s">
        <v>75</v>
      </c>
      <c r="AH424" s="8">
        <v>1</v>
      </c>
      <c r="AI424" s="8">
        <v>1</v>
      </c>
      <c r="AJ424" s="8">
        <v>1</v>
      </c>
      <c r="AK424" s="12" t="s">
        <v>8</v>
      </c>
      <c r="AL424" s="3"/>
      <c r="AM424" s="3"/>
      <c r="AN424" s="3"/>
      <c r="AW424" s="143"/>
    </row>
    <row r="425" spans="2:49" ht="15">
      <c r="B425" s="82">
        <f t="shared" si="11"/>
        <v>197</v>
      </c>
      <c r="C425" s="11">
        <v>20200414</v>
      </c>
      <c r="D425" s="3" t="s">
        <v>24</v>
      </c>
      <c r="E425" s="3" t="s">
        <v>933</v>
      </c>
      <c r="F425" s="5" t="s">
        <v>934</v>
      </c>
      <c r="G425" s="5">
        <v>1417493</v>
      </c>
      <c r="H425" s="15" t="s">
        <v>72</v>
      </c>
      <c r="I425" s="3" t="s">
        <v>673</v>
      </c>
      <c r="J425" s="15" t="s">
        <v>72</v>
      </c>
      <c r="K425" s="3" t="s">
        <v>73</v>
      </c>
      <c r="L425" s="5" t="s">
        <v>8</v>
      </c>
      <c r="M425" s="3" t="s">
        <v>935</v>
      </c>
      <c r="N425" s="3" t="s">
        <v>936</v>
      </c>
      <c r="O425" s="5" t="s">
        <v>72</v>
      </c>
      <c r="P425" s="5" t="s">
        <v>937</v>
      </c>
      <c r="Q425" s="55"/>
      <c r="R425" s="15" t="s">
        <v>72</v>
      </c>
      <c r="S425" s="3" t="s">
        <v>78</v>
      </c>
      <c r="T425" s="3"/>
      <c r="U425" s="3"/>
      <c r="V425" s="3">
        <v>202</v>
      </c>
      <c r="W425" s="3">
        <f t="shared" si="12"/>
        <v>202</v>
      </c>
      <c r="X425" s="3">
        <f t="shared" si="12"/>
        <v>202</v>
      </c>
      <c r="Y425" s="3">
        <f>ROUNDDOWN(W425/HLOOKUP(D425,[2]Table!$C$3:$D$4,2,0)*8,2)</f>
        <v>3.59</v>
      </c>
      <c r="Z425" s="3">
        <v>3</v>
      </c>
      <c r="AA425" s="3" t="s">
        <v>110</v>
      </c>
      <c r="AB425" s="6">
        <v>43938</v>
      </c>
      <c r="AC425" s="6">
        <v>43935</v>
      </c>
      <c r="AD425" s="6">
        <v>43938</v>
      </c>
      <c r="AE425" s="6">
        <v>43938</v>
      </c>
      <c r="AF425" s="6">
        <v>43938</v>
      </c>
      <c r="AG425" s="12" t="s">
        <v>75</v>
      </c>
      <c r="AH425" s="8">
        <v>1</v>
      </c>
      <c r="AI425" s="8">
        <v>1</v>
      </c>
      <c r="AJ425" s="8">
        <v>1</v>
      </c>
      <c r="AK425" s="12" t="s">
        <v>8</v>
      </c>
      <c r="AL425" s="3"/>
      <c r="AM425" s="3"/>
      <c r="AN425" s="3"/>
      <c r="AW425" s="143"/>
    </row>
    <row r="426" spans="2:49" ht="15">
      <c r="B426" s="82">
        <f t="shared" si="11"/>
        <v>198</v>
      </c>
      <c r="C426" s="11">
        <v>20200414</v>
      </c>
      <c r="D426" s="3" t="s">
        <v>24</v>
      </c>
      <c r="E426" s="3" t="s">
        <v>933</v>
      </c>
      <c r="F426" s="5" t="s">
        <v>934</v>
      </c>
      <c r="G426" s="5">
        <v>1417493</v>
      </c>
      <c r="H426" s="15" t="s">
        <v>72</v>
      </c>
      <c r="I426" s="3" t="s">
        <v>674</v>
      </c>
      <c r="J426" s="15" t="s">
        <v>72</v>
      </c>
      <c r="K426" s="3" t="s">
        <v>73</v>
      </c>
      <c r="L426" s="5" t="s">
        <v>8</v>
      </c>
      <c r="M426" s="3" t="s">
        <v>935</v>
      </c>
      <c r="N426" s="3" t="s">
        <v>936</v>
      </c>
      <c r="O426" s="5" t="s">
        <v>72</v>
      </c>
      <c r="P426" s="5" t="s">
        <v>937</v>
      </c>
      <c r="Q426" s="55"/>
      <c r="R426" s="15" t="s">
        <v>72</v>
      </c>
      <c r="S426" s="3" t="s">
        <v>573</v>
      </c>
      <c r="T426" s="3"/>
      <c r="U426" s="3"/>
      <c r="V426" s="3">
        <v>133</v>
      </c>
      <c r="W426" s="3">
        <f t="shared" si="12"/>
        <v>133</v>
      </c>
      <c r="X426" s="3">
        <f t="shared" si="12"/>
        <v>133</v>
      </c>
      <c r="Y426" s="3">
        <f>ROUNDDOWN(W426/HLOOKUP(D426,[2]Table!$C$3:$D$4,2,0)*8,2)</f>
        <v>2.36</v>
      </c>
      <c r="Z426" s="3">
        <v>2</v>
      </c>
      <c r="AA426" s="3" t="s">
        <v>110</v>
      </c>
      <c r="AB426" s="6">
        <v>43938</v>
      </c>
      <c r="AC426" s="6">
        <v>43935</v>
      </c>
      <c r="AD426" s="6">
        <v>43938</v>
      </c>
      <c r="AE426" s="6">
        <v>43937</v>
      </c>
      <c r="AF426" s="6">
        <v>43937</v>
      </c>
      <c r="AG426" s="12" t="s">
        <v>75</v>
      </c>
      <c r="AH426" s="8">
        <v>1</v>
      </c>
      <c r="AI426" s="8">
        <v>1</v>
      </c>
      <c r="AJ426" s="8">
        <v>1</v>
      </c>
      <c r="AK426" s="12" t="s">
        <v>8</v>
      </c>
      <c r="AL426" s="3"/>
      <c r="AM426" s="3"/>
      <c r="AN426" s="3"/>
      <c r="AW426" s="143"/>
    </row>
    <row r="427" spans="2:49" ht="15">
      <c r="B427" s="82">
        <f t="shared" si="11"/>
        <v>199</v>
      </c>
      <c r="C427" s="11">
        <v>20200414</v>
      </c>
      <c r="D427" s="3" t="s">
        <v>24</v>
      </c>
      <c r="E427" s="3" t="s">
        <v>933</v>
      </c>
      <c r="F427" s="5" t="s">
        <v>934</v>
      </c>
      <c r="G427" s="5">
        <v>1417493</v>
      </c>
      <c r="H427" s="15" t="s">
        <v>72</v>
      </c>
      <c r="I427" s="3" t="s">
        <v>675</v>
      </c>
      <c r="J427" s="15" t="s">
        <v>72</v>
      </c>
      <c r="K427" s="3" t="s">
        <v>73</v>
      </c>
      <c r="L427" s="5" t="s">
        <v>8</v>
      </c>
      <c r="M427" s="3" t="s">
        <v>935</v>
      </c>
      <c r="N427" s="3" t="s">
        <v>936</v>
      </c>
      <c r="O427" s="5" t="s">
        <v>72</v>
      </c>
      <c r="P427" s="5" t="s">
        <v>937</v>
      </c>
      <c r="Q427" s="55"/>
      <c r="R427" s="15" t="s">
        <v>72</v>
      </c>
      <c r="S427" s="3" t="s">
        <v>573</v>
      </c>
      <c r="T427" s="3"/>
      <c r="U427" s="3"/>
      <c r="V427" s="3">
        <v>141</v>
      </c>
      <c r="W427" s="3">
        <f t="shared" si="12"/>
        <v>141</v>
      </c>
      <c r="X427" s="3">
        <f t="shared" si="12"/>
        <v>141</v>
      </c>
      <c r="Y427" s="3">
        <f>ROUNDDOWN(W427/HLOOKUP(D427,[2]Table!$C$3:$D$4,2,0)*8,2)</f>
        <v>2.5</v>
      </c>
      <c r="Z427" s="3">
        <v>1</v>
      </c>
      <c r="AA427" s="3" t="s">
        <v>110</v>
      </c>
      <c r="AB427" s="6">
        <v>43938</v>
      </c>
      <c r="AC427" s="6">
        <v>43935</v>
      </c>
      <c r="AD427" s="6">
        <v>43938</v>
      </c>
      <c r="AE427" s="6">
        <v>43937</v>
      </c>
      <c r="AF427" s="6">
        <v>43937</v>
      </c>
      <c r="AG427" s="12" t="s">
        <v>75</v>
      </c>
      <c r="AH427" s="8">
        <v>1</v>
      </c>
      <c r="AI427" s="8">
        <v>1</v>
      </c>
      <c r="AJ427" s="8">
        <v>1</v>
      </c>
      <c r="AK427" s="12" t="s">
        <v>8</v>
      </c>
      <c r="AL427" s="3"/>
      <c r="AM427" s="3"/>
      <c r="AN427" s="3"/>
      <c r="AW427" s="143"/>
    </row>
    <row r="428" spans="2:49" ht="15">
      <c r="B428" s="86">
        <f t="shared" si="11"/>
        <v>200</v>
      </c>
      <c r="C428" s="11">
        <v>20200414</v>
      </c>
      <c r="D428" s="3" t="s">
        <v>24</v>
      </c>
      <c r="E428" s="3" t="s">
        <v>947</v>
      </c>
      <c r="F428" s="5" t="s">
        <v>948</v>
      </c>
      <c r="G428" s="5">
        <v>1416608</v>
      </c>
      <c r="H428" s="15" t="s">
        <v>72</v>
      </c>
      <c r="I428" s="3" t="s">
        <v>949</v>
      </c>
      <c r="J428" s="15" t="s">
        <v>72</v>
      </c>
      <c r="K428" s="3" t="s">
        <v>73</v>
      </c>
      <c r="L428" s="5">
        <v>81003</v>
      </c>
      <c r="M428" s="3" t="s">
        <v>950</v>
      </c>
      <c r="N428" s="3" t="s">
        <v>887</v>
      </c>
      <c r="O428" s="5" t="s">
        <v>72</v>
      </c>
      <c r="P428" s="5" t="s">
        <v>951</v>
      </c>
      <c r="Q428" s="55"/>
      <c r="R428" s="15" t="s">
        <v>72</v>
      </c>
      <c r="S428" s="3" t="s">
        <v>573</v>
      </c>
      <c r="T428" s="3"/>
      <c r="U428" s="3"/>
      <c r="V428" s="3">
        <v>84</v>
      </c>
      <c r="W428" s="3">
        <f t="shared" si="12"/>
        <v>84</v>
      </c>
      <c r="X428" s="3">
        <f t="shared" si="12"/>
        <v>84</v>
      </c>
      <c r="Y428" s="3">
        <f>ROUNDDOWN(W428/HLOOKUP(D428,[2]Table!$C$3:$D$4,2,0)*8,2)</f>
        <v>1.49</v>
      </c>
      <c r="Z428" s="3">
        <v>0.5</v>
      </c>
      <c r="AA428" s="3" t="s">
        <v>110</v>
      </c>
      <c r="AB428" s="6">
        <v>43938</v>
      </c>
      <c r="AC428" s="6">
        <v>43935</v>
      </c>
      <c r="AD428" s="6">
        <v>43938</v>
      </c>
      <c r="AE428" s="6">
        <v>43936</v>
      </c>
      <c r="AF428" s="6">
        <v>43936</v>
      </c>
      <c r="AG428" s="12" t="s">
        <v>75</v>
      </c>
      <c r="AH428" s="8">
        <v>1</v>
      </c>
      <c r="AI428" s="8">
        <v>1</v>
      </c>
      <c r="AJ428" s="8">
        <v>1</v>
      </c>
      <c r="AK428" s="12" t="s">
        <v>8</v>
      </c>
      <c r="AL428" s="3"/>
      <c r="AM428" s="3"/>
      <c r="AN428" s="3"/>
      <c r="AW428" s="143"/>
    </row>
    <row r="429" spans="2:49" ht="15">
      <c r="B429" s="86">
        <f t="shared" si="11"/>
        <v>201</v>
      </c>
      <c r="C429" s="11">
        <v>20200414</v>
      </c>
      <c r="D429" s="3" t="s">
        <v>24</v>
      </c>
      <c r="E429" s="3" t="s">
        <v>947</v>
      </c>
      <c r="F429" s="5" t="s">
        <v>948</v>
      </c>
      <c r="G429" s="5">
        <v>1416608</v>
      </c>
      <c r="H429" s="15" t="s">
        <v>72</v>
      </c>
      <c r="I429" s="3" t="s">
        <v>255</v>
      </c>
      <c r="J429" s="15" t="s">
        <v>72</v>
      </c>
      <c r="K429" s="3" t="s">
        <v>73</v>
      </c>
      <c r="L429" s="5">
        <v>81003</v>
      </c>
      <c r="M429" s="3" t="s">
        <v>950</v>
      </c>
      <c r="N429" s="3" t="s">
        <v>887</v>
      </c>
      <c r="O429" s="5" t="s">
        <v>72</v>
      </c>
      <c r="P429" s="5" t="s">
        <v>951</v>
      </c>
      <c r="Q429" s="55"/>
      <c r="R429" s="15" t="s">
        <v>72</v>
      </c>
      <c r="S429" s="3" t="s">
        <v>573</v>
      </c>
      <c r="T429" s="3"/>
      <c r="U429" s="3"/>
      <c r="V429" s="3">
        <v>106</v>
      </c>
      <c r="W429" s="3">
        <f t="shared" si="12"/>
        <v>106</v>
      </c>
      <c r="X429" s="3">
        <f t="shared" si="12"/>
        <v>106</v>
      </c>
      <c r="Y429" s="3">
        <f>ROUNDDOWN(W429/HLOOKUP(D429,[2]Table!$C$3:$D$4,2,0)*8,2)</f>
        <v>1.88</v>
      </c>
      <c r="Z429" s="3">
        <v>0.5</v>
      </c>
      <c r="AA429" s="3" t="s">
        <v>110</v>
      </c>
      <c r="AB429" s="6">
        <v>43938</v>
      </c>
      <c r="AC429" s="6">
        <v>43935</v>
      </c>
      <c r="AD429" s="6">
        <v>43938</v>
      </c>
      <c r="AE429" s="6">
        <v>43936</v>
      </c>
      <c r="AF429" s="6">
        <v>43936</v>
      </c>
      <c r="AG429" s="12" t="s">
        <v>75</v>
      </c>
      <c r="AH429" s="8">
        <v>1</v>
      </c>
      <c r="AI429" s="8">
        <v>1</v>
      </c>
      <c r="AJ429" s="8">
        <v>1</v>
      </c>
      <c r="AK429" s="12" t="s">
        <v>8</v>
      </c>
      <c r="AL429" s="3"/>
      <c r="AM429" s="3"/>
      <c r="AN429" s="3"/>
      <c r="AW429" s="143"/>
    </row>
    <row r="430" spans="2:49" ht="15">
      <c r="B430" s="86">
        <f t="shared" si="11"/>
        <v>202</v>
      </c>
      <c r="C430" s="11">
        <v>20200414</v>
      </c>
      <c r="D430" s="3" t="s">
        <v>24</v>
      </c>
      <c r="E430" s="3" t="s">
        <v>947</v>
      </c>
      <c r="F430" s="5" t="s">
        <v>948</v>
      </c>
      <c r="G430" s="5">
        <v>1416608</v>
      </c>
      <c r="H430" s="15" t="s">
        <v>72</v>
      </c>
      <c r="I430" s="3" t="s">
        <v>32</v>
      </c>
      <c r="J430" s="15" t="s">
        <v>72</v>
      </c>
      <c r="K430" s="3" t="s">
        <v>73</v>
      </c>
      <c r="L430" s="5">
        <v>81003</v>
      </c>
      <c r="M430" s="3" t="s">
        <v>950</v>
      </c>
      <c r="N430" s="3" t="s">
        <v>887</v>
      </c>
      <c r="O430" s="5" t="s">
        <v>72</v>
      </c>
      <c r="P430" s="5" t="s">
        <v>951</v>
      </c>
      <c r="Q430" s="55"/>
      <c r="R430" s="15" t="s">
        <v>72</v>
      </c>
      <c r="S430" s="3" t="s">
        <v>573</v>
      </c>
      <c r="T430" s="3"/>
      <c r="U430" s="3"/>
      <c r="V430" s="3">
        <v>259</v>
      </c>
      <c r="W430" s="3">
        <f t="shared" si="12"/>
        <v>259</v>
      </c>
      <c r="X430" s="3">
        <f t="shared" si="12"/>
        <v>259</v>
      </c>
      <c r="Y430" s="3">
        <f>ROUNDDOWN(W430/HLOOKUP(D430,[2]Table!$C$3:$D$4,2,0)*8,2)</f>
        <v>4.5999999999999996</v>
      </c>
      <c r="Z430" s="3">
        <v>1</v>
      </c>
      <c r="AA430" s="3" t="s">
        <v>110</v>
      </c>
      <c r="AB430" s="6">
        <v>43938</v>
      </c>
      <c r="AC430" s="6">
        <v>43935</v>
      </c>
      <c r="AD430" s="6">
        <v>43938</v>
      </c>
      <c r="AE430" s="6">
        <v>43937</v>
      </c>
      <c r="AF430" s="6">
        <v>43937</v>
      </c>
      <c r="AG430" s="12" t="s">
        <v>79</v>
      </c>
      <c r="AH430" s="8">
        <v>1</v>
      </c>
      <c r="AI430" s="8">
        <v>1</v>
      </c>
      <c r="AJ430" s="8">
        <v>0.94</v>
      </c>
      <c r="AK430" s="12" t="s">
        <v>76</v>
      </c>
      <c r="AL430" s="3" t="s">
        <v>952</v>
      </c>
      <c r="AM430" s="3"/>
      <c r="AN430" s="3" t="s">
        <v>895</v>
      </c>
      <c r="AW430" s="143"/>
    </row>
    <row r="431" spans="2:49" ht="15">
      <c r="B431" s="86">
        <f t="shared" si="11"/>
        <v>203</v>
      </c>
      <c r="C431" s="11">
        <v>20200414</v>
      </c>
      <c r="D431" s="3" t="s">
        <v>24</v>
      </c>
      <c r="E431" s="3" t="s">
        <v>947</v>
      </c>
      <c r="F431" s="5" t="s">
        <v>948</v>
      </c>
      <c r="G431" s="5">
        <v>1416608</v>
      </c>
      <c r="H431" s="15" t="s">
        <v>72</v>
      </c>
      <c r="I431" s="3" t="s">
        <v>953</v>
      </c>
      <c r="J431" s="15" t="s">
        <v>72</v>
      </c>
      <c r="K431" s="3" t="s">
        <v>73</v>
      </c>
      <c r="L431" s="5">
        <v>81003</v>
      </c>
      <c r="M431" s="3" t="s">
        <v>950</v>
      </c>
      <c r="N431" s="3" t="s">
        <v>887</v>
      </c>
      <c r="O431" s="5" t="s">
        <v>72</v>
      </c>
      <c r="P431" s="5" t="s">
        <v>951</v>
      </c>
      <c r="Q431" s="55"/>
      <c r="R431" s="15" t="s">
        <v>72</v>
      </c>
      <c r="S431" s="3" t="s">
        <v>573</v>
      </c>
      <c r="T431" s="3"/>
      <c r="U431" s="3"/>
      <c r="V431" s="3">
        <v>140</v>
      </c>
      <c r="W431" s="3">
        <f t="shared" si="12"/>
        <v>140</v>
      </c>
      <c r="X431" s="3">
        <f t="shared" si="12"/>
        <v>140</v>
      </c>
      <c r="Y431" s="3">
        <f>ROUNDDOWN(W431/HLOOKUP(D431,[2]Table!$C$3:$D$4,2,0)*8,2)</f>
        <v>2.48</v>
      </c>
      <c r="Z431" s="3">
        <v>1</v>
      </c>
      <c r="AA431" s="3" t="s">
        <v>110</v>
      </c>
      <c r="AB431" s="6">
        <v>43938</v>
      </c>
      <c r="AC431" s="6">
        <v>43935</v>
      </c>
      <c r="AD431" s="6">
        <v>43938</v>
      </c>
      <c r="AE431" s="6">
        <v>43937</v>
      </c>
      <c r="AF431" s="6">
        <v>43937</v>
      </c>
      <c r="AG431" s="12" t="s">
        <v>75</v>
      </c>
      <c r="AH431" s="8">
        <v>1</v>
      </c>
      <c r="AI431" s="8">
        <v>1</v>
      </c>
      <c r="AJ431" s="8">
        <v>1</v>
      </c>
      <c r="AK431" s="12" t="s">
        <v>8</v>
      </c>
      <c r="AL431" s="3"/>
      <c r="AM431" s="3"/>
      <c r="AN431" s="3"/>
      <c r="AW431" s="143"/>
    </row>
    <row r="432" spans="2:49" ht="15">
      <c r="B432" s="86">
        <f t="shared" si="11"/>
        <v>204</v>
      </c>
      <c r="C432" s="11">
        <v>20200414</v>
      </c>
      <c r="D432" s="3" t="s">
        <v>24</v>
      </c>
      <c r="E432" s="3" t="s">
        <v>947</v>
      </c>
      <c r="F432" s="5" t="s">
        <v>948</v>
      </c>
      <c r="G432" s="5">
        <v>1416608</v>
      </c>
      <c r="H432" s="15" t="s">
        <v>72</v>
      </c>
      <c r="I432" s="3" t="s">
        <v>270</v>
      </c>
      <c r="J432" s="15" t="s">
        <v>72</v>
      </c>
      <c r="K432" s="3" t="s">
        <v>73</v>
      </c>
      <c r="L432" s="5">
        <v>81003</v>
      </c>
      <c r="M432" s="3" t="s">
        <v>950</v>
      </c>
      <c r="N432" s="3" t="s">
        <v>887</v>
      </c>
      <c r="O432" s="5" t="s">
        <v>72</v>
      </c>
      <c r="P432" s="5" t="s">
        <v>951</v>
      </c>
      <c r="Q432" s="55"/>
      <c r="R432" s="15" t="s">
        <v>72</v>
      </c>
      <c r="S432" s="3" t="s">
        <v>573</v>
      </c>
      <c r="T432" s="3"/>
      <c r="U432" s="3"/>
      <c r="V432" s="3">
        <v>77</v>
      </c>
      <c r="W432" s="3">
        <f t="shared" si="12"/>
        <v>77</v>
      </c>
      <c r="X432" s="3">
        <f t="shared" si="12"/>
        <v>77</v>
      </c>
      <c r="Y432" s="3">
        <f>ROUNDDOWN(W432/HLOOKUP(D432,[2]Table!$C$3:$D$4,2,0)*8,2)</f>
        <v>1.36</v>
      </c>
      <c r="Z432" s="3">
        <v>1</v>
      </c>
      <c r="AA432" s="3" t="s">
        <v>110</v>
      </c>
      <c r="AB432" s="6">
        <v>43938</v>
      </c>
      <c r="AC432" s="6">
        <v>43935</v>
      </c>
      <c r="AD432" s="6">
        <v>43938</v>
      </c>
      <c r="AE432" s="6">
        <v>43937</v>
      </c>
      <c r="AF432" s="6">
        <v>43937</v>
      </c>
      <c r="AG432" s="12" t="s">
        <v>75</v>
      </c>
      <c r="AH432" s="8">
        <v>1</v>
      </c>
      <c r="AI432" s="8">
        <v>1</v>
      </c>
      <c r="AJ432" s="8">
        <v>1</v>
      </c>
      <c r="AK432" s="12" t="s">
        <v>8</v>
      </c>
      <c r="AL432" s="3"/>
      <c r="AM432" s="3"/>
      <c r="AN432" s="3"/>
      <c r="AW432" s="143"/>
    </row>
    <row r="433" spans="2:49" ht="15">
      <c r="B433" s="86">
        <f t="shared" si="11"/>
        <v>205</v>
      </c>
      <c r="C433" s="11">
        <v>20200414</v>
      </c>
      <c r="D433" s="3" t="s">
        <v>24</v>
      </c>
      <c r="E433" s="3" t="s">
        <v>947</v>
      </c>
      <c r="F433" s="5" t="s">
        <v>948</v>
      </c>
      <c r="G433" s="5">
        <v>1416608</v>
      </c>
      <c r="H433" s="15" t="s">
        <v>72</v>
      </c>
      <c r="I433" s="3" t="s">
        <v>248</v>
      </c>
      <c r="J433" s="15" t="s">
        <v>72</v>
      </c>
      <c r="K433" s="3" t="s">
        <v>73</v>
      </c>
      <c r="L433" s="5">
        <v>81003</v>
      </c>
      <c r="M433" s="3" t="s">
        <v>950</v>
      </c>
      <c r="N433" s="3" t="s">
        <v>887</v>
      </c>
      <c r="O433" s="5" t="s">
        <v>72</v>
      </c>
      <c r="P433" s="5" t="s">
        <v>951</v>
      </c>
      <c r="Q433" s="55"/>
      <c r="R433" s="15" t="s">
        <v>72</v>
      </c>
      <c r="S433" s="3" t="s">
        <v>573</v>
      </c>
      <c r="T433" s="3"/>
      <c r="U433" s="3"/>
      <c r="V433" s="3">
        <v>53</v>
      </c>
      <c r="W433" s="3">
        <f t="shared" si="12"/>
        <v>53</v>
      </c>
      <c r="X433" s="3">
        <f t="shared" si="12"/>
        <v>53</v>
      </c>
      <c r="Y433" s="3">
        <f>ROUNDDOWN(W433/HLOOKUP(D433,[2]Table!$C$3:$D$4,2,0)*8,2)</f>
        <v>0.94</v>
      </c>
      <c r="Z433" s="3">
        <v>1</v>
      </c>
      <c r="AA433" s="3" t="s">
        <v>110</v>
      </c>
      <c r="AB433" s="6">
        <v>43938</v>
      </c>
      <c r="AC433" s="6">
        <v>43935</v>
      </c>
      <c r="AD433" s="6">
        <v>43938</v>
      </c>
      <c r="AE433" s="6">
        <v>43937</v>
      </c>
      <c r="AF433" s="6">
        <v>43937</v>
      </c>
      <c r="AG433" s="12" t="s">
        <v>79</v>
      </c>
      <c r="AH433" s="8">
        <v>1</v>
      </c>
      <c r="AI433" s="8">
        <v>1</v>
      </c>
      <c r="AJ433" s="8">
        <v>1</v>
      </c>
      <c r="AK433" s="12" t="s">
        <v>76</v>
      </c>
      <c r="AL433" s="3"/>
      <c r="AM433" s="3" t="s">
        <v>954</v>
      </c>
      <c r="AN433" s="3" t="s">
        <v>895</v>
      </c>
      <c r="AW433" s="143"/>
    </row>
    <row r="434" spans="2:49" ht="15">
      <c r="B434" s="86">
        <f t="shared" si="11"/>
        <v>206</v>
      </c>
      <c r="C434" s="11">
        <v>20200414</v>
      </c>
      <c r="D434" s="3" t="s">
        <v>24</v>
      </c>
      <c r="E434" s="3" t="s">
        <v>947</v>
      </c>
      <c r="F434" s="5" t="s">
        <v>948</v>
      </c>
      <c r="G434" s="5">
        <v>1416608</v>
      </c>
      <c r="H434" s="15" t="s">
        <v>72</v>
      </c>
      <c r="I434" s="3" t="s">
        <v>256</v>
      </c>
      <c r="J434" s="15" t="s">
        <v>72</v>
      </c>
      <c r="K434" s="3" t="s">
        <v>73</v>
      </c>
      <c r="L434" s="5">
        <v>81003</v>
      </c>
      <c r="M434" s="3" t="s">
        <v>950</v>
      </c>
      <c r="N434" s="3" t="s">
        <v>887</v>
      </c>
      <c r="O434" s="5" t="s">
        <v>72</v>
      </c>
      <c r="P434" s="5" t="s">
        <v>951</v>
      </c>
      <c r="Q434" s="55"/>
      <c r="R434" s="15" t="s">
        <v>72</v>
      </c>
      <c r="S434" s="3" t="s">
        <v>573</v>
      </c>
      <c r="T434" s="3"/>
      <c r="U434" s="3"/>
      <c r="V434" s="3">
        <v>160</v>
      </c>
      <c r="W434" s="3">
        <f t="shared" si="12"/>
        <v>160</v>
      </c>
      <c r="X434" s="3">
        <f t="shared" si="12"/>
        <v>160</v>
      </c>
      <c r="Y434" s="3">
        <f>ROUNDDOWN(W434/HLOOKUP(D434,[2]Table!$C$3:$D$4,2,0)*8,2)</f>
        <v>2.84</v>
      </c>
      <c r="Z434" s="3">
        <v>1</v>
      </c>
      <c r="AA434" s="3" t="s">
        <v>110</v>
      </c>
      <c r="AB434" s="6">
        <v>43938</v>
      </c>
      <c r="AC434" s="6">
        <v>43935</v>
      </c>
      <c r="AD434" s="6">
        <v>43938</v>
      </c>
      <c r="AE434" s="6">
        <v>43937</v>
      </c>
      <c r="AF434" s="6">
        <v>43937</v>
      </c>
      <c r="AG434" s="12" t="s">
        <v>75</v>
      </c>
      <c r="AH434" s="8">
        <v>1</v>
      </c>
      <c r="AI434" s="8">
        <v>1</v>
      </c>
      <c r="AJ434" s="8">
        <v>1</v>
      </c>
      <c r="AK434" s="12" t="s">
        <v>8</v>
      </c>
      <c r="AL434" s="3"/>
      <c r="AM434" s="3"/>
      <c r="AN434" s="3"/>
      <c r="AW434" s="143"/>
    </row>
    <row r="435" spans="2:49" ht="15">
      <c r="B435" s="86">
        <f t="shared" si="11"/>
        <v>207</v>
      </c>
      <c r="C435" s="11">
        <v>20200414</v>
      </c>
      <c r="D435" s="3" t="s">
        <v>24</v>
      </c>
      <c r="E435" s="3" t="s">
        <v>947</v>
      </c>
      <c r="F435" s="5" t="s">
        <v>948</v>
      </c>
      <c r="G435" s="5">
        <v>1416608</v>
      </c>
      <c r="H435" s="15" t="s">
        <v>72</v>
      </c>
      <c r="I435" s="3" t="s">
        <v>260</v>
      </c>
      <c r="J435" s="15" t="s">
        <v>72</v>
      </c>
      <c r="K435" s="3" t="s">
        <v>73</v>
      </c>
      <c r="L435" s="5">
        <v>81003</v>
      </c>
      <c r="M435" s="3" t="s">
        <v>950</v>
      </c>
      <c r="N435" s="3" t="s">
        <v>887</v>
      </c>
      <c r="O435" s="5" t="s">
        <v>72</v>
      </c>
      <c r="P435" s="5" t="s">
        <v>951</v>
      </c>
      <c r="Q435" s="55"/>
      <c r="R435" s="15" t="s">
        <v>72</v>
      </c>
      <c r="S435" s="3" t="s">
        <v>74</v>
      </c>
      <c r="T435" s="3"/>
      <c r="U435" s="3"/>
      <c r="V435" s="3">
        <v>436</v>
      </c>
      <c r="W435" s="3">
        <f t="shared" si="12"/>
        <v>436</v>
      </c>
      <c r="X435" s="3">
        <f t="shared" si="12"/>
        <v>436</v>
      </c>
      <c r="Y435" s="3">
        <f>ROUNDDOWN(W435/HLOOKUP(D435,[2]Table!$C$3:$D$4,2,0)*8,2)</f>
        <v>7.75</v>
      </c>
      <c r="Z435" s="3">
        <v>1</v>
      </c>
      <c r="AA435" s="3" t="s">
        <v>110</v>
      </c>
      <c r="AB435" s="6">
        <v>43938</v>
      </c>
      <c r="AC435" s="6">
        <v>43935</v>
      </c>
      <c r="AD435" s="6">
        <v>43938</v>
      </c>
      <c r="AE435" s="6">
        <v>43937</v>
      </c>
      <c r="AF435" s="6">
        <v>43937</v>
      </c>
      <c r="AG435" s="12" t="s">
        <v>75</v>
      </c>
      <c r="AH435" s="8">
        <v>1</v>
      </c>
      <c r="AI435" s="8">
        <v>1</v>
      </c>
      <c r="AJ435" s="8">
        <v>1</v>
      </c>
      <c r="AK435" s="12" t="s">
        <v>8</v>
      </c>
      <c r="AL435" s="3"/>
      <c r="AM435" s="3"/>
      <c r="AN435" s="3"/>
      <c r="AW435" s="143"/>
    </row>
    <row r="436" spans="2:49" ht="15">
      <c r="B436" s="86">
        <f t="shared" si="11"/>
        <v>208</v>
      </c>
      <c r="C436" s="11">
        <v>20200414</v>
      </c>
      <c r="D436" s="3" t="s">
        <v>24</v>
      </c>
      <c r="E436" s="3" t="s">
        <v>947</v>
      </c>
      <c r="F436" s="5" t="s">
        <v>948</v>
      </c>
      <c r="G436" s="5">
        <v>1416608</v>
      </c>
      <c r="H436" s="15" t="s">
        <v>72</v>
      </c>
      <c r="I436" s="3" t="s">
        <v>261</v>
      </c>
      <c r="J436" s="15" t="s">
        <v>72</v>
      </c>
      <c r="K436" s="3" t="s">
        <v>73</v>
      </c>
      <c r="L436" s="5">
        <v>81003</v>
      </c>
      <c r="M436" s="3" t="s">
        <v>950</v>
      </c>
      <c r="N436" s="3" t="s">
        <v>887</v>
      </c>
      <c r="O436" s="5" t="s">
        <v>72</v>
      </c>
      <c r="P436" s="5" t="s">
        <v>951</v>
      </c>
      <c r="Q436" s="55"/>
      <c r="R436" s="15" t="s">
        <v>72</v>
      </c>
      <c r="S436" s="3" t="s">
        <v>74</v>
      </c>
      <c r="T436" s="3"/>
      <c r="U436" s="3"/>
      <c r="V436" s="3">
        <v>55</v>
      </c>
      <c r="W436" s="3">
        <f t="shared" si="12"/>
        <v>55</v>
      </c>
      <c r="X436" s="3">
        <f t="shared" si="12"/>
        <v>55</v>
      </c>
      <c r="Y436" s="3">
        <f>ROUNDDOWN(W436/HLOOKUP(D436,[2]Table!$C$3:$D$4,2,0)*8,2)</f>
        <v>0.97</v>
      </c>
      <c r="Z436" s="3">
        <v>1</v>
      </c>
      <c r="AA436" s="3" t="s">
        <v>110</v>
      </c>
      <c r="AB436" s="6">
        <v>43938</v>
      </c>
      <c r="AC436" s="6">
        <v>43935</v>
      </c>
      <c r="AD436" s="6">
        <v>43938</v>
      </c>
      <c r="AE436" s="6">
        <v>43937</v>
      </c>
      <c r="AF436" s="6">
        <v>43937</v>
      </c>
      <c r="AG436" s="12" t="s">
        <v>75</v>
      </c>
      <c r="AH436" s="8">
        <v>1</v>
      </c>
      <c r="AI436" s="8">
        <v>1</v>
      </c>
      <c r="AJ436" s="8">
        <v>1</v>
      </c>
      <c r="AK436" s="12" t="s">
        <v>8</v>
      </c>
      <c r="AL436" s="3"/>
      <c r="AM436" s="3"/>
      <c r="AN436" s="3"/>
      <c r="AW436" s="143"/>
    </row>
    <row r="437" spans="2:49" ht="15">
      <c r="B437" s="86">
        <f t="shared" si="11"/>
        <v>209</v>
      </c>
      <c r="C437" s="11">
        <v>20200414</v>
      </c>
      <c r="D437" s="3" t="s">
        <v>24</v>
      </c>
      <c r="E437" s="3" t="s">
        <v>947</v>
      </c>
      <c r="F437" s="5" t="s">
        <v>948</v>
      </c>
      <c r="G437" s="5">
        <v>1416608</v>
      </c>
      <c r="H437" s="15" t="s">
        <v>72</v>
      </c>
      <c r="I437" s="3" t="s">
        <v>272</v>
      </c>
      <c r="J437" s="15" t="s">
        <v>72</v>
      </c>
      <c r="K437" s="3" t="s">
        <v>73</v>
      </c>
      <c r="L437" s="5">
        <v>81003</v>
      </c>
      <c r="M437" s="3" t="s">
        <v>950</v>
      </c>
      <c r="N437" s="3" t="s">
        <v>887</v>
      </c>
      <c r="O437" s="5" t="s">
        <v>72</v>
      </c>
      <c r="P437" s="5" t="s">
        <v>951</v>
      </c>
      <c r="Q437" s="55"/>
      <c r="R437" s="15" t="s">
        <v>72</v>
      </c>
      <c r="S437" s="3" t="s">
        <v>74</v>
      </c>
      <c r="T437" s="3"/>
      <c r="U437" s="3"/>
      <c r="V437" s="3">
        <v>200</v>
      </c>
      <c r="W437" s="3">
        <f t="shared" si="12"/>
        <v>200</v>
      </c>
      <c r="X437" s="3">
        <f t="shared" si="12"/>
        <v>200</v>
      </c>
      <c r="Y437" s="3">
        <f>ROUNDDOWN(W437/HLOOKUP(D437,[2]Table!$C$3:$D$4,2,0)*8,2)</f>
        <v>3.55</v>
      </c>
      <c r="Z437" s="3">
        <v>1</v>
      </c>
      <c r="AA437" s="3" t="s">
        <v>110</v>
      </c>
      <c r="AB437" s="6">
        <v>43938</v>
      </c>
      <c r="AC437" s="6">
        <v>43935</v>
      </c>
      <c r="AD437" s="6">
        <v>43938</v>
      </c>
      <c r="AE437" s="6">
        <v>43937</v>
      </c>
      <c r="AF437" s="6">
        <v>43937</v>
      </c>
      <c r="AG437" s="12" t="s">
        <v>75</v>
      </c>
      <c r="AH437" s="8">
        <v>1</v>
      </c>
      <c r="AI437" s="8">
        <v>1</v>
      </c>
      <c r="AJ437" s="8">
        <v>1</v>
      </c>
      <c r="AK437" s="12" t="s">
        <v>8</v>
      </c>
      <c r="AL437" s="3"/>
      <c r="AM437" s="3"/>
      <c r="AN437" s="3"/>
      <c r="AW437" s="143"/>
    </row>
    <row r="438" spans="2:49" ht="15">
      <c r="B438" s="86">
        <f t="shared" si="11"/>
        <v>210</v>
      </c>
      <c r="C438" s="11">
        <v>20200414</v>
      </c>
      <c r="D438" s="3" t="s">
        <v>24</v>
      </c>
      <c r="E438" s="3" t="s">
        <v>947</v>
      </c>
      <c r="F438" s="5" t="s">
        <v>948</v>
      </c>
      <c r="G438" s="5">
        <v>1416608</v>
      </c>
      <c r="H438" s="15" t="s">
        <v>72</v>
      </c>
      <c r="I438" s="3" t="s">
        <v>252</v>
      </c>
      <c r="J438" s="15" t="s">
        <v>72</v>
      </c>
      <c r="K438" s="3" t="s">
        <v>73</v>
      </c>
      <c r="L438" s="5">
        <v>81003</v>
      </c>
      <c r="M438" s="3" t="s">
        <v>950</v>
      </c>
      <c r="N438" s="3" t="s">
        <v>887</v>
      </c>
      <c r="O438" s="5" t="s">
        <v>72</v>
      </c>
      <c r="P438" s="5" t="s">
        <v>951</v>
      </c>
      <c r="Q438" s="55"/>
      <c r="R438" s="15" t="s">
        <v>72</v>
      </c>
      <c r="S438" s="3" t="s">
        <v>74</v>
      </c>
      <c r="T438" s="3"/>
      <c r="U438" s="3"/>
      <c r="V438" s="3">
        <v>130</v>
      </c>
      <c r="W438" s="3">
        <f t="shared" si="12"/>
        <v>130</v>
      </c>
      <c r="X438" s="3">
        <f t="shared" si="12"/>
        <v>130</v>
      </c>
      <c r="Y438" s="3">
        <f>ROUNDDOWN(W438/HLOOKUP(D438,[2]Table!$C$3:$D$4,2,0)*8,2)</f>
        <v>2.31</v>
      </c>
      <c r="Z438" s="3">
        <v>1</v>
      </c>
      <c r="AA438" s="3" t="s">
        <v>110</v>
      </c>
      <c r="AB438" s="6">
        <v>43938</v>
      </c>
      <c r="AC438" s="6">
        <v>43935</v>
      </c>
      <c r="AD438" s="6">
        <v>43938</v>
      </c>
      <c r="AE438" s="6">
        <v>43937</v>
      </c>
      <c r="AF438" s="6">
        <v>43937</v>
      </c>
      <c r="AG438" s="12" t="s">
        <v>75</v>
      </c>
      <c r="AH438" s="8">
        <v>1</v>
      </c>
      <c r="AI438" s="8">
        <v>1</v>
      </c>
      <c r="AJ438" s="8">
        <v>1</v>
      </c>
      <c r="AK438" s="12" t="s">
        <v>8</v>
      </c>
      <c r="AL438" s="3"/>
      <c r="AM438" s="3"/>
      <c r="AN438" s="3"/>
      <c r="AW438" s="143"/>
    </row>
    <row r="439" spans="2:49" ht="15">
      <c r="B439" s="86">
        <f t="shared" ref="B439:B502" si="13">B438+1</f>
        <v>211</v>
      </c>
      <c r="C439" s="11">
        <v>20200414</v>
      </c>
      <c r="D439" s="3" t="s">
        <v>24</v>
      </c>
      <c r="E439" s="3" t="s">
        <v>947</v>
      </c>
      <c r="F439" s="5" t="s">
        <v>948</v>
      </c>
      <c r="G439" s="5">
        <v>1416608</v>
      </c>
      <c r="H439" s="15" t="s">
        <v>72</v>
      </c>
      <c r="I439" s="3" t="s">
        <v>955</v>
      </c>
      <c r="J439" s="15" t="s">
        <v>72</v>
      </c>
      <c r="K439" s="3" t="s">
        <v>73</v>
      </c>
      <c r="L439" s="5">
        <v>81003</v>
      </c>
      <c r="M439" s="3" t="s">
        <v>950</v>
      </c>
      <c r="N439" s="3" t="s">
        <v>887</v>
      </c>
      <c r="O439" s="5" t="s">
        <v>72</v>
      </c>
      <c r="P439" s="5" t="s">
        <v>951</v>
      </c>
      <c r="Q439" s="55"/>
      <c r="R439" s="15" t="s">
        <v>72</v>
      </c>
      <c r="S439" s="3" t="s">
        <v>74</v>
      </c>
      <c r="T439" s="3"/>
      <c r="U439" s="3"/>
      <c r="V439" s="3">
        <v>199</v>
      </c>
      <c r="W439" s="3">
        <f t="shared" si="12"/>
        <v>199</v>
      </c>
      <c r="X439" s="3">
        <f t="shared" si="12"/>
        <v>199</v>
      </c>
      <c r="Y439" s="3">
        <f>ROUNDDOWN(W439/HLOOKUP(D439,[2]Table!$C$3:$D$4,2,0)*8,2)</f>
        <v>3.53</v>
      </c>
      <c r="Z439" s="3">
        <v>1</v>
      </c>
      <c r="AA439" s="3" t="s">
        <v>110</v>
      </c>
      <c r="AB439" s="6">
        <v>43938</v>
      </c>
      <c r="AC439" s="6">
        <v>43935</v>
      </c>
      <c r="AD439" s="6">
        <v>43938</v>
      </c>
      <c r="AE439" s="6">
        <v>43937</v>
      </c>
      <c r="AF439" s="6">
        <v>43937</v>
      </c>
      <c r="AG439" s="12" t="s">
        <v>75</v>
      </c>
      <c r="AH439" s="8">
        <v>1</v>
      </c>
      <c r="AI439" s="8">
        <v>1</v>
      </c>
      <c r="AJ439" s="8">
        <v>1</v>
      </c>
      <c r="AK439" s="12" t="s">
        <v>8</v>
      </c>
      <c r="AL439" s="3"/>
      <c r="AM439" s="3"/>
      <c r="AN439" s="3"/>
      <c r="AW439" s="143"/>
    </row>
    <row r="440" spans="2:49" ht="15">
      <c r="B440" s="86">
        <f t="shared" si="13"/>
        <v>212</v>
      </c>
      <c r="C440" s="11">
        <v>20200414</v>
      </c>
      <c r="D440" s="3" t="s">
        <v>24</v>
      </c>
      <c r="E440" s="3" t="s">
        <v>947</v>
      </c>
      <c r="F440" s="5" t="s">
        <v>948</v>
      </c>
      <c r="G440" s="5">
        <v>1416608</v>
      </c>
      <c r="H440" s="15" t="s">
        <v>72</v>
      </c>
      <c r="I440" s="3" t="s">
        <v>956</v>
      </c>
      <c r="J440" s="15" t="s">
        <v>72</v>
      </c>
      <c r="K440" s="3" t="s">
        <v>73</v>
      </c>
      <c r="L440" s="5">
        <v>81003</v>
      </c>
      <c r="M440" s="3" t="s">
        <v>950</v>
      </c>
      <c r="N440" s="3" t="s">
        <v>887</v>
      </c>
      <c r="O440" s="5" t="s">
        <v>72</v>
      </c>
      <c r="P440" s="5" t="s">
        <v>951</v>
      </c>
      <c r="Q440" s="55"/>
      <c r="R440" s="15" t="s">
        <v>72</v>
      </c>
      <c r="S440" s="3" t="s">
        <v>74</v>
      </c>
      <c r="T440" s="3"/>
      <c r="U440" s="3"/>
      <c r="V440" s="3">
        <v>6</v>
      </c>
      <c r="W440" s="3">
        <f t="shared" ref="W440:X455" si="14">V440</f>
        <v>6</v>
      </c>
      <c r="X440" s="3">
        <f t="shared" si="14"/>
        <v>6</v>
      </c>
      <c r="Y440" s="3">
        <f>ROUNDDOWN(W440/HLOOKUP(D440,[2]Table!$C$3:$D$4,2,0)*8,2)</f>
        <v>0.1</v>
      </c>
      <c r="Z440" s="3">
        <v>0</v>
      </c>
      <c r="AA440" s="3" t="s">
        <v>110</v>
      </c>
      <c r="AB440" s="6">
        <v>43938</v>
      </c>
      <c r="AC440" s="6">
        <v>43935</v>
      </c>
      <c r="AD440" s="6">
        <v>43938</v>
      </c>
      <c r="AE440" s="6">
        <v>43937</v>
      </c>
      <c r="AF440" s="6">
        <v>43937</v>
      </c>
      <c r="AG440" s="12" t="s">
        <v>75</v>
      </c>
      <c r="AH440" s="83" t="s">
        <v>72</v>
      </c>
      <c r="AI440" s="83" t="s">
        <v>72</v>
      </c>
      <c r="AJ440" s="83" t="s">
        <v>72</v>
      </c>
      <c r="AK440" s="12" t="s">
        <v>8</v>
      </c>
      <c r="AL440" s="3"/>
      <c r="AM440" s="3"/>
      <c r="AN440" s="3" t="s">
        <v>574</v>
      </c>
      <c r="AW440" s="143"/>
    </row>
    <row r="441" spans="2:49" ht="15">
      <c r="B441" s="87">
        <f t="shared" si="13"/>
        <v>213</v>
      </c>
      <c r="C441" s="11">
        <v>20200414</v>
      </c>
      <c r="D441" s="3" t="s">
        <v>24</v>
      </c>
      <c r="E441" s="3" t="s">
        <v>234</v>
      </c>
      <c r="F441" s="5" t="s">
        <v>957</v>
      </c>
      <c r="G441" s="5">
        <v>1390624</v>
      </c>
      <c r="H441" s="15" t="s">
        <v>72</v>
      </c>
      <c r="I441" s="3" t="s">
        <v>958</v>
      </c>
      <c r="J441" s="15" t="s">
        <v>72</v>
      </c>
      <c r="K441" s="3" t="s">
        <v>73</v>
      </c>
      <c r="L441" s="3">
        <v>81728</v>
      </c>
      <c r="M441" s="3" t="s">
        <v>72</v>
      </c>
      <c r="N441" s="3" t="s">
        <v>237</v>
      </c>
      <c r="O441" s="5" t="s">
        <v>72</v>
      </c>
      <c r="P441" s="5" t="s">
        <v>587</v>
      </c>
      <c r="Q441" s="55"/>
      <c r="R441" s="15" t="s">
        <v>72</v>
      </c>
      <c r="S441" s="3" t="s">
        <v>959</v>
      </c>
      <c r="T441" s="3"/>
      <c r="U441" s="3"/>
      <c r="V441" s="3">
        <v>60</v>
      </c>
      <c r="W441" s="3">
        <f t="shared" si="14"/>
        <v>60</v>
      </c>
      <c r="X441" s="3">
        <f t="shared" si="14"/>
        <v>60</v>
      </c>
      <c r="Y441" s="3">
        <f>ROUNDDOWN(W441/HLOOKUP(D441,[2]Table!$C$3:$D$4,2,0)*8,2)</f>
        <v>1.06</v>
      </c>
      <c r="Z441" s="3">
        <v>0.25</v>
      </c>
      <c r="AA441" s="3" t="s">
        <v>110</v>
      </c>
      <c r="AB441" s="6">
        <v>43938</v>
      </c>
      <c r="AC441" s="6">
        <v>43935</v>
      </c>
      <c r="AD441" s="6">
        <v>43938</v>
      </c>
      <c r="AE441" s="6">
        <v>43935</v>
      </c>
      <c r="AF441" s="6">
        <v>43935</v>
      </c>
      <c r="AG441" s="12" t="s">
        <v>75</v>
      </c>
      <c r="AH441" s="8">
        <v>1</v>
      </c>
      <c r="AI441" s="8">
        <v>1</v>
      </c>
      <c r="AJ441" s="8">
        <v>1</v>
      </c>
      <c r="AK441" s="12" t="s">
        <v>8</v>
      </c>
      <c r="AL441" s="3"/>
      <c r="AM441" s="3"/>
      <c r="AN441" s="3"/>
      <c r="AW441" s="143"/>
    </row>
    <row r="442" spans="2:49" ht="15">
      <c r="B442" s="87">
        <f t="shared" si="13"/>
        <v>214</v>
      </c>
      <c r="C442" s="11">
        <v>20200414</v>
      </c>
      <c r="D442" s="3" t="s">
        <v>24</v>
      </c>
      <c r="E442" s="3" t="s">
        <v>234</v>
      </c>
      <c r="F442" s="5" t="s">
        <v>960</v>
      </c>
      <c r="G442" s="5">
        <v>1390624</v>
      </c>
      <c r="H442" s="15" t="s">
        <v>72</v>
      </c>
      <c r="I442" s="3" t="s">
        <v>961</v>
      </c>
      <c r="J442" s="15" t="s">
        <v>72</v>
      </c>
      <c r="K442" s="3" t="s">
        <v>73</v>
      </c>
      <c r="L442" s="3">
        <v>81728</v>
      </c>
      <c r="M442" s="3" t="s">
        <v>72</v>
      </c>
      <c r="N442" s="3" t="s">
        <v>237</v>
      </c>
      <c r="O442" s="5" t="s">
        <v>72</v>
      </c>
      <c r="P442" s="5" t="s">
        <v>587</v>
      </c>
      <c r="Q442" s="55"/>
      <c r="R442" s="15" t="s">
        <v>72</v>
      </c>
      <c r="S442" s="3" t="s">
        <v>959</v>
      </c>
      <c r="T442" s="3"/>
      <c r="U442" s="3"/>
      <c r="V442" s="3">
        <v>0</v>
      </c>
      <c r="W442" s="3">
        <f t="shared" si="14"/>
        <v>0</v>
      </c>
      <c r="X442" s="3">
        <f t="shared" si="14"/>
        <v>0</v>
      </c>
      <c r="Y442" s="3">
        <f>ROUNDDOWN(W442/HLOOKUP(D442,[2]Table!$C$3:$D$4,2,0)*8,2)</f>
        <v>0</v>
      </c>
      <c r="Z442" s="3">
        <v>0</v>
      </c>
      <c r="AA442" s="3" t="s">
        <v>110</v>
      </c>
      <c r="AB442" s="6">
        <v>43938</v>
      </c>
      <c r="AC442" s="6">
        <v>43935</v>
      </c>
      <c r="AD442" s="6">
        <v>43938</v>
      </c>
      <c r="AE442" s="6">
        <v>43935</v>
      </c>
      <c r="AF442" s="6">
        <v>43935</v>
      </c>
      <c r="AG442" s="12" t="s">
        <v>75</v>
      </c>
      <c r="AH442" s="83" t="s">
        <v>72</v>
      </c>
      <c r="AI442" s="83" t="s">
        <v>72</v>
      </c>
      <c r="AJ442" s="83" t="s">
        <v>72</v>
      </c>
      <c r="AK442" s="12" t="s">
        <v>8</v>
      </c>
      <c r="AL442" s="3"/>
      <c r="AM442" s="3"/>
      <c r="AN442" s="3" t="s">
        <v>574</v>
      </c>
      <c r="AW442" s="143"/>
    </row>
    <row r="443" spans="2:49" ht="15">
      <c r="B443" s="87">
        <f t="shared" si="13"/>
        <v>215</v>
      </c>
      <c r="C443" s="11">
        <v>20200414</v>
      </c>
      <c r="D443" s="3" t="s">
        <v>24</v>
      </c>
      <c r="E443" s="3" t="s">
        <v>234</v>
      </c>
      <c r="F443" s="5" t="s">
        <v>960</v>
      </c>
      <c r="G443" s="5">
        <v>1390624</v>
      </c>
      <c r="H443" s="15" t="s">
        <v>72</v>
      </c>
      <c r="I443" s="3" t="s">
        <v>962</v>
      </c>
      <c r="J443" s="15" t="s">
        <v>72</v>
      </c>
      <c r="K443" s="3" t="s">
        <v>73</v>
      </c>
      <c r="L443" s="3">
        <v>81728</v>
      </c>
      <c r="M443" s="3" t="s">
        <v>72</v>
      </c>
      <c r="N443" s="3" t="s">
        <v>237</v>
      </c>
      <c r="O443" s="5" t="s">
        <v>72</v>
      </c>
      <c r="P443" s="5" t="s">
        <v>587</v>
      </c>
      <c r="Q443" s="55"/>
      <c r="R443" s="15" t="s">
        <v>72</v>
      </c>
      <c r="S443" s="3" t="s">
        <v>959</v>
      </c>
      <c r="T443" s="3"/>
      <c r="U443" s="3"/>
      <c r="V443" s="3">
        <v>0</v>
      </c>
      <c r="W443" s="3">
        <f t="shared" si="14"/>
        <v>0</v>
      </c>
      <c r="X443" s="3">
        <f t="shared" si="14"/>
        <v>0</v>
      </c>
      <c r="Y443" s="3">
        <f>ROUNDDOWN(W443/HLOOKUP(D443,[2]Table!$C$3:$D$4,2,0)*8,2)</f>
        <v>0</v>
      </c>
      <c r="Z443" s="3">
        <v>0</v>
      </c>
      <c r="AA443" s="3" t="s">
        <v>110</v>
      </c>
      <c r="AB443" s="6">
        <v>43938</v>
      </c>
      <c r="AC443" s="6">
        <v>43936</v>
      </c>
      <c r="AD443" s="6">
        <v>43938</v>
      </c>
      <c r="AE443" s="6">
        <v>43935</v>
      </c>
      <c r="AF443" s="6">
        <v>43935</v>
      </c>
      <c r="AG443" s="12" t="s">
        <v>75</v>
      </c>
      <c r="AH443" s="83" t="s">
        <v>72</v>
      </c>
      <c r="AI443" s="83" t="s">
        <v>72</v>
      </c>
      <c r="AJ443" s="83" t="s">
        <v>72</v>
      </c>
      <c r="AK443" s="12" t="s">
        <v>8</v>
      </c>
      <c r="AL443" s="3"/>
      <c r="AM443" s="3"/>
      <c r="AN443" s="3" t="s">
        <v>574</v>
      </c>
      <c r="AW443" s="143"/>
    </row>
    <row r="444" spans="2:49" ht="15">
      <c r="B444" s="87">
        <f t="shared" si="13"/>
        <v>216</v>
      </c>
      <c r="C444" s="11">
        <v>20200414</v>
      </c>
      <c r="D444" s="3" t="s">
        <v>24</v>
      </c>
      <c r="E444" s="3" t="s">
        <v>234</v>
      </c>
      <c r="F444" s="5" t="s">
        <v>963</v>
      </c>
      <c r="G444" s="5">
        <v>1390624</v>
      </c>
      <c r="H444" s="15" t="s">
        <v>72</v>
      </c>
      <c r="I444" s="3" t="s">
        <v>964</v>
      </c>
      <c r="J444" s="15" t="s">
        <v>72</v>
      </c>
      <c r="K444" s="3" t="s">
        <v>73</v>
      </c>
      <c r="L444" s="3">
        <v>81728</v>
      </c>
      <c r="M444" s="3" t="s">
        <v>72</v>
      </c>
      <c r="N444" s="3" t="s">
        <v>237</v>
      </c>
      <c r="O444" s="5" t="s">
        <v>72</v>
      </c>
      <c r="P444" s="5" t="s">
        <v>587</v>
      </c>
      <c r="Q444" s="55"/>
      <c r="R444" s="15" t="s">
        <v>72</v>
      </c>
      <c r="S444" s="3" t="s">
        <v>959</v>
      </c>
      <c r="T444" s="3"/>
      <c r="U444" s="3"/>
      <c r="V444" s="3">
        <v>0</v>
      </c>
      <c r="W444" s="3">
        <f t="shared" si="14"/>
        <v>0</v>
      </c>
      <c r="X444" s="3">
        <f t="shared" si="14"/>
        <v>0</v>
      </c>
      <c r="Y444" s="3">
        <f>ROUNDDOWN(W444/HLOOKUP(D444,[2]Table!$C$3:$D$4,2,0)*8,2)</f>
        <v>0</v>
      </c>
      <c r="Z444" s="3">
        <v>0</v>
      </c>
      <c r="AA444" s="3" t="s">
        <v>110</v>
      </c>
      <c r="AB444" s="6">
        <v>43938</v>
      </c>
      <c r="AC444" s="6">
        <v>43937</v>
      </c>
      <c r="AD444" s="6">
        <v>43938</v>
      </c>
      <c r="AE444" s="6">
        <v>43935</v>
      </c>
      <c r="AF444" s="6">
        <v>43935</v>
      </c>
      <c r="AG444" s="12" t="s">
        <v>75</v>
      </c>
      <c r="AH444" s="83" t="s">
        <v>72</v>
      </c>
      <c r="AI444" s="83" t="s">
        <v>72</v>
      </c>
      <c r="AJ444" s="83" t="s">
        <v>72</v>
      </c>
      <c r="AK444" s="12" t="s">
        <v>8</v>
      </c>
      <c r="AL444" s="3"/>
      <c r="AM444" s="3"/>
      <c r="AN444" s="3" t="s">
        <v>574</v>
      </c>
      <c r="AW444" s="143"/>
    </row>
    <row r="445" spans="2:49" ht="15">
      <c r="B445" s="87">
        <f t="shared" si="13"/>
        <v>217</v>
      </c>
      <c r="C445" s="11">
        <v>20200414</v>
      </c>
      <c r="D445" s="3" t="s">
        <v>24</v>
      </c>
      <c r="E445" s="3" t="s">
        <v>234</v>
      </c>
      <c r="F445" s="5" t="s">
        <v>963</v>
      </c>
      <c r="G445" s="5">
        <v>1390624</v>
      </c>
      <c r="H445" s="15" t="s">
        <v>72</v>
      </c>
      <c r="I445" s="3" t="s">
        <v>965</v>
      </c>
      <c r="J445" s="15" t="s">
        <v>72</v>
      </c>
      <c r="K445" s="3" t="s">
        <v>73</v>
      </c>
      <c r="L445" s="3">
        <v>81728</v>
      </c>
      <c r="M445" s="3" t="s">
        <v>72</v>
      </c>
      <c r="N445" s="3" t="s">
        <v>237</v>
      </c>
      <c r="O445" s="5" t="s">
        <v>72</v>
      </c>
      <c r="P445" s="5" t="s">
        <v>587</v>
      </c>
      <c r="Q445" s="55"/>
      <c r="R445" s="15" t="s">
        <v>72</v>
      </c>
      <c r="S445" s="3" t="s">
        <v>959</v>
      </c>
      <c r="T445" s="3"/>
      <c r="U445" s="3"/>
      <c r="V445" s="3">
        <v>5</v>
      </c>
      <c r="W445" s="3">
        <f t="shared" si="14"/>
        <v>5</v>
      </c>
      <c r="X445" s="3">
        <f t="shared" si="14"/>
        <v>5</v>
      </c>
      <c r="Y445" s="3">
        <f>ROUNDDOWN(W445/HLOOKUP(D445,[2]Table!$C$3:$D$4,2,0)*8,2)</f>
        <v>0.08</v>
      </c>
      <c r="Z445" s="3">
        <v>0.25</v>
      </c>
      <c r="AA445" s="3" t="s">
        <v>110</v>
      </c>
      <c r="AB445" s="6">
        <v>43938</v>
      </c>
      <c r="AC445" s="6">
        <v>43935</v>
      </c>
      <c r="AD445" s="6">
        <v>43938</v>
      </c>
      <c r="AE445" s="6">
        <v>43935</v>
      </c>
      <c r="AF445" s="6">
        <v>43935</v>
      </c>
      <c r="AG445" s="12" t="s">
        <v>75</v>
      </c>
      <c r="AH445" s="8">
        <v>1</v>
      </c>
      <c r="AI445" s="8">
        <v>1</v>
      </c>
      <c r="AJ445" s="8">
        <v>1</v>
      </c>
      <c r="AK445" s="12" t="s">
        <v>8</v>
      </c>
      <c r="AL445" s="3"/>
      <c r="AM445" s="3"/>
      <c r="AN445" s="3"/>
      <c r="AW445" s="143"/>
    </row>
    <row r="446" spans="2:49" ht="15">
      <c r="B446" s="87">
        <f t="shared" si="13"/>
        <v>218</v>
      </c>
      <c r="C446" s="11">
        <v>20200414</v>
      </c>
      <c r="D446" s="3" t="s">
        <v>24</v>
      </c>
      <c r="E446" s="3" t="s">
        <v>234</v>
      </c>
      <c r="F446" s="5" t="s">
        <v>963</v>
      </c>
      <c r="G446" s="5">
        <v>1390624</v>
      </c>
      <c r="H446" s="15" t="s">
        <v>72</v>
      </c>
      <c r="I446" s="3" t="s">
        <v>966</v>
      </c>
      <c r="J446" s="15" t="s">
        <v>72</v>
      </c>
      <c r="K446" s="3" t="s">
        <v>73</v>
      </c>
      <c r="L446" s="3">
        <v>81728</v>
      </c>
      <c r="M446" s="3" t="s">
        <v>72</v>
      </c>
      <c r="N446" s="3" t="s">
        <v>237</v>
      </c>
      <c r="O446" s="5" t="s">
        <v>72</v>
      </c>
      <c r="P446" s="5" t="s">
        <v>587</v>
      </c>
      <c r="Q446" s="55"/>
      <c r="R446" s="15" t="s">
        <v>72</v>
      </c>
      <c r="S446" s="3" t="s">
        <v>959</v>
      </c>
      <c r="T446" s="3"/>
      <c r="U446" s="3"/>
      <c r="V446" s="3">
        <v>13</v>
      </c>
      <c r="W446" s="3">
        <f t="shared" si="14"/>
        <v>13</v>
      </c>
      <c r="X446" s="3">
        <f t="shared" si="14"/>
        <v>13</v>
      </c>
      <c r="Y446" s="3">
        <f>ROUNDDOWN(W446/HLOOKUP(D446,[2]Table!$C$3:$D$4,2,0)*8,2)</f>
        <v>0.23</v>
      </c>
      <c r="Z446" s="3">
        <v>0.25</v>
      </c>
      <c r="AA446" s="3" t="s">
        <v>110</v>
      </c>
      <c r="AB446" s="6">
        <v>43938</v>
      </c>
      <c r="AC446" s="6">
        <v>43935</v>
      </c>
      <c r="AD446" s="6">
        <v>43938</v>
      </c>
      <c r="AE446" s="6">
        <v>43935</v>
      </c>
      <c r="AF446" s="6">
        <v>43935</v>
      </c>
      <c r="AG446" s="12" t="s">
        <v>75</v>
      </c>
      <c r="AH446" s="8">
        <v>1</v>
      </c>
      <c r="AI446" s="8">
        <v>1</v>
      </c>
      <c r="AJ446" s="8">
        <v>1</v>
      </c>
      <c r="AK446" s="12" t="s">
        <v>8</v>
      </c>
      <c r="AL446" s="3"/>
      <c r="AM446" s="3"/>
      <c r="AN446" s="3"/>
      <c r="AW446" s="143"/>
    </row>
    <row r="447" spans="2:49" ht="15">
      <c r="B447" s="87">
        <f t="shared" si="13"/>
        <v>219</v>
      </c>
      <c r="C447" s="11">
        <v>20200414</v>
      </c>
      <c r="D447" s="3" t="s">
        <v>24</v>
      </c>
      <c r="E447" s="3" t="s">
        <v>234</v>
      </c>
      <c r="F447" s="5" t="s">
        <v>963</v>
      </c>
      <c r="G447" s="5">
        <v>1390624</v>
      </c>
      <c r="H447" s="15" t="s">
        <v>72</v>
      </c>
      <c r="I447" s="3" t="s">
        <v>967</v>
      </c>
      <c r="J447" s="15" t="s">
        <v>72</v>
      </c>
      <c r="K447" s="3" t="s">
        <v>73</v>
      </c>
      <c r="L447" s="3">
        <v>81728</v>
      </c>
      <c r="M447" s="3" t="s">
        <v>72</v>
      </c>
      <c r="N447" s="3" t="s">
        <v>237</v>
      </c>
      <c r="O447" s="5" t="s">
        <v>72</v>
      </c>
      <c r="P447" s="5" t="s">
        <v>587</v>
      </c>
      <c r="Q447" s="55"/>
      <c r="R447" s="15" t="s">
        <v>72</v>
      </c>
      <c r="S447" s="3" t="s">
        <v>959</v>
      </c>
      <c r="T447" s="3"/>
      <c r="U447" s="3"/>
      <c r="V447" s="3">
        <v>4</v>
      </c>
      <c r="W447" s="3">
        <f t="shared" si="14"/>
        <v>4</v>
      </c>
      <c r="X447" s="3">
        <f t="shared" si="14"/>
        <v>4</v>
      </c>
      <c r="Y447" s="3">
        <f>ROUNDDOWN(W447/HLOOKUP(D447,[2]Table!$C$3:$D$4,2,0)*8,2)</f>
        <v>7.0000000000000007E-2</v>
      </c>
      <c r="Z447" s="3">
        <v>0.25</v>
      </c>
      <c r="AA447" s="3" t="s">
        <v>110</v>
      </c>
      <c r="AB447" s="6">
        <v>43938</v>
      </c>
      <c r="AC447" s="6">
        <v>43935</v>
      </c>
      <c r="AD447" s="6">
        <v>43938</v>
      </c>
      <c r="AE447" s="6">
        <v>43935</v>
      </c>
      <c r="AF447" s="6">
        <v>43935</v>
      </c>
      <c r="AG447" s="12" t="s">
        <v>75</v>
      </c>
      <c r="AH447" s="8">
        <v>1</v>
      </c>
      <c r="AI447" s="8">
        <v>1</v>
      </c>
      <c r="AJ447" s="8">
        <v>1</v>
      </c>
      <c r="AK447" s="12" t="s">
        <v>8</v>
      </c>
      <c r="AL447" s="3"/>
      <c r="AM447" s="3"/>
      <c r="AN447" s="3"/>
      <c r="AW447" s="143"/>
    </row>
    <row r="448" spans="2:49" ht="15">
      <c r="B448" s="87">
        <f t="shared" si="13"/>
        <v>220</v>
      </c>
      <c r="C448" s="11">
        <v>20200414</v>
      </c>
      <c r="D448" s="3" t="s">
        <v>24</v>
      </c>
      <c r="E448" s="3" t="s">
        <v>234</v>
      </c>
      <c r="F448" s="5" t="s">
        <v>968</v>
      </c>
      <c r="G448" s="5">
        <v>1390624</v>
      </c>
      <c r="H448" s="15" t="s">
        <v>72</v>
      </c>
      <c r="I448" s="3" t="s">
        <v>969</v>
      </c>
      <c r="J448" s="15" t="s">
        <v>72</v>
      </c>
      <c r="K448" s="3" t="s">
        <v>73</v>
      </c>
      <c r="L448" s="3">
        <v>81728</v>
      </c>
      <c r="M448" s="3" t="s">
        <v>72</v>
      </c>
      <c r="N448" s="3" t="s">
        <v>237</v>
      </c>
      <c r="O448" s="5" t="s">
        <v>72</v>
      </c>
      <c r="P448" s="5" t="s">
        <v>587</v>
      </c>
      <c r="Q448" s="55"/>
      <c r="R448" s="15" t="s">
        <v>72</v>
      </c>
      <c r="S448" s="3" t="s">
        <v>959</v>
      </c>
      <c r="T448" s="3"/>
      <c r="U448" s="3"/>
      <c r="V448" s="3">
        <v>329</v>
      </c>
      <c r="W448" s="3">
        <f t="shared" si="14"/>
        <v>329</v>
      </c>
      <c r="X448" s="3">
        <f t="shared" si="14"/>
        <v>329</v>
      </c>
      <c r="Y448" s="3">
        <f>ROUNDDOWN(W448/HLOOKUP(D448,[2]Table!$C$3:$D$4,2,0)*8,2)</f>
        <v>5.84</v>
      </c>
      <c r="Z448" s="3">
        <v>0.25</v>
      </c>
      <c r="AA448" s="3" t="s">
        <v>110</v>
      </c>
      <c r="AB448" s="6">
        <v>43938</v>
      </c>
      <c r="AC448" s="6">
        <v>43935</v>
      </c>
      <c r="AD448" s="6">
        <v>43938</v>
      </c>
      <c r="AE448" s="6">
        <v>43935</v>
      </c>
      <c r="AF448" s="6">
        <v>43935</v>
      </c>
      <c r="AG448" s="12" t="s">
        <v>75</v>
      </c>
      <c r="AH448" s="8">
        <v>1</v>
      </c>
      <c r="AI448" s="8">
        <v>1</v>
      </c>
      <c r="AJ448" s="8">
        <v>1</v>
      </c>
      <c r="AK448" s="12" t="s">
        <v>8</v>
      </c>
      <c r="AL448" s="3"/>
      <c r="AM448" s="3"/>
      <c r="AN448" s="3"/>
      <c r="AW448" s="143"/>
    </row>
    <row r="449" spans="2:49" ht="15">
      <c r="B449" s="87">
        <f t="shared" si="13"/>
        <v>221</v>
      </c>
      <c r="C449" s="11">
        <v>20200414</v>
      </c>
      <c r="D449" s="3" t="s">
        <v>24</v>
      </c>
      <c r="E449" s="3" t="s">
        <v>234</v>
      </c>
      <c r="F449" s="5" t="s">
        <v>968</v>
      </c>
      <c r="G449" s="5">
        <v>1390624</v>
      </c>
      <c r="H449" s="15" t="s">
        <v>72</v>
      </c>
      <c r="I449" s="3" t="s">
        <v>970</v>
      </c>
      <c r="J449" s="15" t="s">
        <v>72</v>
      </c>
      <c r="K449" s="3" t="s">
        <v>73</v>
      </c>
      <c r="L449" s="3">
        <v>81728</v>
      </c>
      <c r="M449" s="3" t="s">
        <v>72</v>
      </c>
      <c r="N449" s="3" t="s">
        <v>237</v>
      </c>
      <c r="O449" s="5" t="s">
        <v>72</v>
      </c>
      <c r="P449" s="5" t="s">
        <v>587</v>
      </c>
      <c r="Q449" s="55"/>
      <c r="R449" s="15" t="s">
        <v>72</v>
      </c>
      <c r="S449" s="3" t="s">
        <v>959</v>
      </c>
      <c r="T449" s="3"/>
      <c r="U449" s="3"/>
      <c r="V449" s="3">
        <v>96</v>
      </c>
      <c r="W449" s="3">
        <f t="shared" si="14"/>
        <v>96</v>
      </c>
      <c r="X449" s="3">
        <f t="shared" si="14"/>
        <v>96</v>
      </c>
      <c r="Y449" s="3">
        <f>ROUNDDOWN(W449/HLOOKUP(D449,[2]Table!$C$3:$D$4,2,0)*8,2)</f>
        <v>1.7</v>
      </c>
      <c r="Z449" s="3">
        <v>0.25</v>
      </c>
      <c r="AA449" s="3" t="s">
        <v>110</v>
      </c>
      <c r="AB449" s="6">
        <v>43938</v>
      </c>
      <c r="AC449" s="6">
        <v>43935</v>
      </c>
      <c r="AD449" s="6">
        <v>43938</v>
      </c>
      <c r="AE449" s="6">
        <v>43935</v>
      </c>
      <c r="AF449" s="6">
        <v>43935</v>
      </c>
      <c r="AG449" s="12" t="s">
        <v>75</v>
      </c>
      <c r="AH449" s="8">
        <v>1</v>
      </c>
      <c r="AI449" s="8">
        <v>1</v>
      </c>
      <c r="AJ449" s="8">
        <v>1</v>
      </c>
      <c r="AK449" s="12" t="s">
        <v>8</v>
      </c>
      <c r="AL449" s="3"/>
      <c r="AM449" s="3"/>
      <c r="AN449" s="3"/>
      <c r="AW449" s="143"/>
    </row>
    <row r="450" spans="2:49" ht="15">
      <c r="B450" s="87">
        <f t="shared" si="13"/>
        <v>222</v>
      </c>
      <c r="C450" s="11">
        <v>20200414</v>
      </c>
      <c r="D450" s="3" t="s">
        <v>24</v>
      </c>
      <c r="E450" s="3" t="s">
        <v>234</v>
      </c>
      <c r="F450" s="5" t="s">
        <v>968</v>
      </c>
      <c r="G450" s="5">
        <v>1390624</v>
      </c>
      <c r="H450" s="15" t="s">
        <v>72</v>
      </c>
      <c r="I450" s="3" t="s">
        <v>971</v>
      </c>
      <c r="J450" s="15" t="s">
        <v>72</v>
      </c>
      <c r="K450" s="3" t="s">
        <v>73</v>
      </c>
      <c r="L450" s="3">
        <v>81728</v>
      </c>
      <c r="M450" s="3" t="s">
        <v>72</v>
      </c>
      <c r="N450" s="3" t="s">
        <v>237</v>
      </c>
      <c r="O450" s="5" t="s">
        <v>72</v>
      </c>
      <c r="P450" s="5" t="s">
        <v>587</v>
      </c>
      <c r="Q450" s="55"/>
      <c r="R450" s="15" t="s">
        <v>72</v>
      </c>
      <c r="S450" s="3" t="s">
        <v>959</v>
      </c>
      <c r="T450" s="3"/>
      <c r="U450" s="3"/>
      <c r="V450" s="3">
        <v>518</v>
      </c>
      <c r="W450" s="3">
        <f t="shared" si="14"/>
        <v>518</v>
      </c>
      <c r="X450" s="3">
        <v>518</v>
      </c>
      <c r="Y450" s="3">
        <f>ROUNDDOWN(W450/HLOOKUP(D450,[2]Table!$C$3:$D$4,2,0)*8,2)</f>
        <v>9.1999999999999993</v>
      </c>
      <c r="Z450" s="3">
        <v>26</v>
      </c>
      <c r="AA450" s="3" t="s">
        <v>110</v>
      </c>
      <c r="AB450" s="6">
        <v>43938</v>
      </c>
      <c r="AC450" s="6">
        <v>43935</v>
      </c>
      <c r="AD450" s="6">
        <v>43938</v>
      </c>
      <c r="AE450" s="6">
        <v>43935</v>
      </c>
      <c r="AF450" s="6">
        <v>43938</v>
      </c>
      <c r="AG450" s="12" t="s">
        <v>79</v>
      </c>
      <c r="AH450" s="8">
        <v>0.98</v>
      </c>
      <c r="AI450" s="8">
        <v>0.99</v>
      </c>
      <c r="AJ450" s="8">
        <v>1</v>
      </c>
      <c r="AK450" s="12" t="s">
        <v>76</v>
      </c>
      <c r="AL450" s="3" t="s">
        <v>972</v>
      </c>
      <c r="AM450" s="3"/>
      <c r="AN450" s="3" t="s">
        <v>895</v>
      </c>
      <c r="AW450" s="143"/>
    </row>
    <row r="451" spans="2:49" ht="15">
      <c r="B451" s="87">
        <f t="shared" si="13"/>
        <v>223</v>
      </c>
      <c r="C451" s="11">
        <v>20200414</v>
      </c>
      <c r="D451" s="3" t="s">
        <v>24</v>
      </c>
      <c r="E451" s="3" t="s">
        <v>234</v>
      </c>
      <c r="F451" s="5" t="s">
        <v>968</v>
      </c>
      <c r="G451" s="5">
        <v>1390624</v>
      </c>
      <c r="H451" s="15" t="s">
        <v>72</v>
      </c>
      <c r="I451" s="3" t="s">
        <v>973</v>
      </c>
      <c r="J451" s="15" t="s">
        <v>72</v>
      </c>
      <c r="K451" s="3" t="s">
        <v>73</v>
      </c>
      <c r="L451" s="3">
        <v>81728</v>
      </c>
      <c r="M451" s="3" t="s">
        <v>72</v>
      </c>
      <c r="N451" s="3" t="s">
        <v>237</v>
      </c>
      <c r="O451" s="5" t="s">
        <v>72</v>
      </c>
      <c r="P451" s="5" t="s">
        <v>587</v>
      </c>
      <c r="Q451" s="55"/>
      <c r="R451" s="15" t="s">
        <v>72</v>
      </c>
      <c r="S451" s="3" t="s">
        <v>959</v>
      </c>
      <c r="T451" s="3"/>
      <c r="U451" s="3"/>
      <c r="V451" s="3">
        <v>51</v>
      </c>
      <c r="W451" s="3">
        <f t="shared" si="14"/>
        <v>51</v>
      </c>
      <c r="X451" s="3">
        <f t="shared" si="14"/>
        <v>51</v>
      </c>
      <c r="Y451" s="3">
        <f>ROUNDDOWN(W451/HLOOKUP(D451,[2]Table!$C$3:$D$4,2,0)*8,2)</f>
        <v>0.9</v>
      </c>
      <c r="Z451" s="3">
        <v>0.25</v>
      </c>
      <c r="AA451" s="3" t="s">
        <v>110</v>
      </c>
      <c r="AB451" s="6">
        <v>43938</v>
      </c>
      <c r="AC451" s="6">
        <v>43935</v>
      </c>
      <c r="AD451" s="6">
        <v>43938</v>
      </c>
      <c r="AE451" s="6">
        <v>43935</v>
      </c>
      <c r="AF451" s="6">
        <v>43935</v>
      </c>
      <c r="AG451" s="12" t="s">
        <v>75</v>
      </c>
      <c r="AH451" s="8">
        <v>1</v>
      </c>
      <c r="AI451" s="8">
        <v>1</v>
      </c>
      <c r="AJ451" s="8">
        <v>1</v>
      </c>
      <c r="AK451" s="12" t="s">
        <v>8</v>
      </c>
      <c r="AL451" s="3"/>
      <c r="AM451" s="3"/>
      <c r="AN451" s="3"/>
      <c r="AW451" s="143"/>
    </row>
    <row r="452" spans="2:49" ht="15">
      <c r="B452" s="87">
        <f t="shared" si="13"/>
        <v>224</v>
      </c>
      <c r="C452" s="11">
        <v>20200414</v>
      </c>
      <c r="D452" s="3" t="s">
        <v>24</v>
      </c>
      <c r="E452" s="3" t="s">
        <v>234</v>
      </c>
      <c r="F452" s="5" t="s">
        <v>968</v>
      </c>
      <c r="G452" s="5">
        <v>1390624</v>
      </c>
      <c r="H452" s="15" t="s">
        <v>72</v>
      </c>
      <c r="I452" s="3" t="s">
        <v>974</v>
      </c>
      <c r="J452" s="15" t="s">
        <v>72</v>
      </c>
      <c r="K452" s="3" t="s">
        <v>73</v>
      </c>
      <c r="L452" s="3">
        <v>81728</v>
      </c>
      <c r="M452" s="3" t="s">
        <v>72</v>
      </c>
      <c r="N452" s="3" t="s">
        <v>237</v>
      </c>
      <c r="O452" s="5" t="s">
        <v>72</v>
      </c>
      <c r="P452" s="5" t="s">
        <v>587</v>
      </c>
      <c r="Q452" s="55"/>
      <c r="R452" s="15" t="s">
        <v>72</v>
      </c>
      <c r="S452" s="3" t="s">
        <v>959</v>
      </c>
      <c r="T452" s="3"/>
      <c r="U452" s="3"/>
      <c r="V452" s="3">
        <v>0</v>
      </c>
      <c r="W452" s="3">
        <f t="shared" si="14"/>
        <v>0</v>
      </c>
      <c r="X452" s="3">
        <f>W452</f>
        <v>0</v>
      </c>
      <c r="Y452" s="3">
        <f>ROUNDDOWN(W452/HLOOKUP(D452,[2]Table!$C$3:$D$4,2,0)*8,2)</f>
        <v>0</v>
      </c>
      <c r="Z452" s="3">
        <v>0</v>
      </c>
      <c r="AA452" s="3" t="s">
        <v>110</v>
      </c>
      <c r="AB452" s="6">
        <v>43938</v>
      </c>
      <c r="AC452" s="6">
        <v>43935</v>
      </c>
      <c r="AD452" s="6">
        <v>43938</v>
      </c>
      <c r="AE452" s="6">
        <v>43935</v>
      </c>
      <c r="AF452" s="6">
        <v>43935</v>
      </c>
      <c r="AG452" s="12" t="s">
        <v>75</v>
      </c>
      <c r="AH452" s="83" t="s">
        <v>72</v>
      </c>
      <c r="AI452" s="83" t="s">
        <v>72</v>
      </c>
      <c r="AJ452" s="83" t="s">
        <v>72</v>
      </c>
      <c r="AK452" s="12" t="s">
        <v>8</v>
      </c>
      <c r="AL452" s="13"/>
      <c r="AM452" s="3"/>
      <c r="AN452" s="3" t="s">
        <v>574</v>
      </c>
      <c r="AW452" s="143"/>
    </row>
    <row r="453" spans="2:49" ht="15">
      <c r="B453" s="87">
        <f t="shared" si="13"/>
        <v>225</v>
      </c>
      <c r="C453" s="11">
        <v>20200414</v>
      </c>
      <c r="D453" s="3" t="s">
        <v>24</v>
      </c>
      <c r="E453" s="3" t="s">
        <v>234</v>
      </c>
      <c r="F453" s="5" t="s">
        <v>968</v>
      </c>
      <c r="G453" s="5">
        <v>1390624</v>
      </c>
      <c r="H453" s="15" t="s">
        <v>72</v>
      </c>
      <c r="I453" s="3" t="s">
        <v>975</v>
      </c>
      <c r="J453" s="15" t="s">
        <v>72</v>
      </c>
      <c r="K453" s="3" t="s">
        <v>73</v>
      </c>
      <c r="L453" s="3">
        <v>81728</v>
      </c>
      <c r="M453" s="3" t="s">
        <v>72</v>
      </c>
      <c r="N453" s="3" t="s">
        <v>237</v>
      </c>
      <c r="O453" s="5" t="s">
        <v>72</v>
      </c>
      <c r="P453" s="5" t="s">
        <v>587</v>
      </c>
      <c r="Q453" s="55"/>
      <c r="R453" s="15" t="s">
        <v>72</v>
      </c>
      <c r="S453" s="3" t="s">
        <v>77</v>
      </c>
      <c r="T453" s="3"/>
      <c r="U453" s="3"/>
      <c r="V453" s="3">
        <v>7</v>
      </c>
      <c r="W453" s="3">
        <f t="shared" si="14"/>
        <v>7</v>
      </c>
      <c r="X453" s="3">
        <f t="shared" si="14"/>
        <v>7</v>
      </c>
      <c r="Y453" s="3">
        <f>ROUNDDOWN(W453/HLOOKUP(D453,[2]Table!$C$3:$D$4,2,0)*8,2)</f>
        <v>0.12</v>
      </c>
      <c r="Z453" s="3">
        <v>0.1</v>
      </c>
      <c r="AA453" s="3" t="s">
        <v>110</v>
      </c>
      <c r="AB453" s="6">
        <v>43938</v>
      </c>
      <c r="AC453" s="6">
        <v>43935</v>
      </c>
      <c r="AD453" s="6">
        <v>43938</v>
      </c>
      <c r="AE453" s="6">
        <v>43935</v>
      </c>
      <c r="AF453" s="6">
        <v>43935</v>
      </c>
      <c r="AG453" s="12" t="s">
        <v>75</v>
      </c>
      <c r="AH453" s="8">
        <v>1</v>
      </c>
      <c r="AI453" s="8">
        <v>1</v>
      </c>
      <c r="AJ453" s="8">
        <v>1</v>
      </c>
      <c r="AK453" s="12" t="s">
        <v>8</v>
      </c>
      <c r="AL453" s="3"/>
      <c r="AM453" s="3"/>
      <c r="AN453" s="3"/>
      <c r="AW453" s="143"/>
    </row>
    <row r="454" spans="2:49" ht="15">
      <c r="B454" s="87">
        <f t="shared" si="13"/>
        <v>226</v>
      </c>
      <c r="C454" s="11">
        <v>20200414</v>
      </c>
      <c r="D454" s="3" t="s">
        <v>24</v>
      </c>
      <c r="E454" s="3" t="s">
        <v>234</v>
      </c>
      <c r="F454" s="5" t="s">
        <v>968</v>
      </c>
      <c r="G454" s="5">
        <v>1390624</v>
      </c>
      <c r="H454" s="15" t="s">
        <v>72</v>
      </c>
      <c r="I454" s="3" t="s">
        <v>976</v>
      </c>
      <c r="J454" s="15" t="s">
        <v>72</v>
      </c>
      <c r="K454" s="3" t="s">
        <v>73</v>
      </c>
      <c r="L454" s="3">
        <v>81728</v>
      </c>
      <c r="M454" s="3" t="s">
        <v>72</v>
      </c>
      <c r="N454" s="3" t="s">
        <v>237</v>
      </c>
      <c r="O454" s="5" t="s">
        <v>72</v>
      </c>
      <c r="P454" s="5" t="s">
        <v>587</v>
      </c>
      <c r="Q454" s="55"/>
      <c r="R454" s="15" t="s">
        <v>72</v>
      </c>
      <c r="S454" s="3" t="s">
        <v>77</v>
      </c>
      <c r="T454" s="3"/>
      <c r="U454" s="3"/>
      <c r="V454" s="3">
        <v>78</v>
      </c>
      <c r="W454" s="3">
        <f t="shared" si="14"/>
        <v>78</v>
      </c>
      <c r="X454" s="3">
        <f t="shared" si="14"/>
        <v>78</v>
      </c>
      <c r="Y454" s="3">
        <f>ROUNDDOWN(W454/HLOOKUP(D454,[2]Table!$C$3:$D$4,2,0)*8,2)</f>
        <v>1.38</v>
      </c>
      <c r="Z454" s="3">
        <v>1</v>
      </c>
      <c r="AA454" s="3" t="s">
        <v>110</v>
      </c>
      <c r="AB454" s="6">
        <v>43938</v>
      </c>
      <c r="AC454" s="6">
        <v>43935</v>
      </c>
      <c r="AD454" s="6">
        <v>43938</v>
      </c>
      <c r="AE454" s="6">
        <v>43935</v>
      </c>
      <c r="AF454" s="6">
        <v>43935</v>
      </c>
      <c r="AG454" s="12" t="s">
        <v>75</v>
      </c>
      <c r="AH454" s="8">
        <v>1</v>
      </c>
      <c r="AI454" s="8">
        <v>1</v>
      </c>
      <c r="AJ454" s="8">
        <v>1</v>
      </c>
      <c r="AK454" s="12" t="s">
        <v>8</v>
      </c>
      <c r="AL454" s="3"/>
      <c r="AM454" s="3"/>
      <c r="AN454" s="3"/>
      <c r="AW454" s="143"/>
    </row>
    <row r="455" spans="2:49" ht="15">
      <c r="B455" s="87">
        <f t="shared" si="13"/>
        <v>227</v>
      </c>
      <c r="C455" s="11">
        <v>20200414</v>
      </c>
      <c r="D455" s="3" t="s">
        <v>24</v>
      </c>
      <c r="E455" s="3" t="s">
        <v>234</v>
      </c>
      <c r="F455" s="5" t="s">
        <v>968</v>
      </c>
      <c r="G455" s="5">
        <v>1390624</v>
      </c>
      <c r="H455" s="15" t="s">
        <v>72</v>
      </c>
      <c r="I455" s="3" t="s">
        <v>977</v>
      </c>
      <c r="J455" s="15" t="s">
        <v>72</v>
      </c>
      <c r="K455" s="3" t="s">
        <v>73</v>
      </c>
      <c r="L455" s="3">
        <v>81728</v>
      </c>
      <c r="M455" s="3" t="s">
        <v>72</v>
      </c>
      <c r="N455" s="3" t="s">
        <v>237</v>
      </c>
      <c r="O455" s="5" t="s">
        <v>72</v>
      </c>
      <c r="P455" s="5" t="s">
        <v>587</v>
      </c>
      <c r="Q455" s="55"/>
      <c r="R455" s="15" t="s">
        <v>72</v>
      </c>
      <c r="S455" s="3" t="s">
        <v>77</v>
      </c>
      <c r="T455" s="3"/>
      <c r="U455" s="3"/>
      <c r="V455" s="3">
        <v>24</v>
      </c>
      <c r="W455" s="3">
        <f t="shared" si="14"/>
        <v>24</v>
      </c>
      <c r="X455" s="3">
        <f t="shared" si="14"/>
        <v>24</v>
      </c>
      <c r="Y455" s="3">
        <f>ROUNDDOWN(W455/HLOOKUP(D455,[2]Table!$C$3:$D$4,2,0)*8,2)</f>
        <v>0.42</v>
      </c>
      <c r="Z455" s="3">
        <v>0.5</v>
      </c>
      <c r="AA455" s="3" t="s">
        <v>110</v>
      </c>
      <c r="AB455" s="6">
        <v>43938</v>
      </c>
      <c r="AC455" s="6">
        <v>43935</v>
      </c>
      <c r="AD455" s="6">
        <v>43938</v>
      </c>
      <c r="AE455" s="6">
        <v>43935</v>
      </c>
      <c r="AF455" s="6">
        <v>43935</v>
      </c>
      <c r="AG455" s="12" t="s">
        <v>75</v>
      </c>
      <c r="AH455" s="8">
        <v>1</v>
      </c>
      <c r="AI455" s="8">
        <v>1</v>
      </c>
      <c r="AJ455" s="8">
        <v>1</v>
      </c>
      <c r="AK455" s="12" t="s">
        <v>8</v>
      </c>
      <c r="AL455" s="3"/>
      <c r="AM455" s="3"/>
      <c r="AN455" s="3"/>
      <c r="AW455" s="143"/>
    </row>
    <row r="456" spans="2:49" ht="15">
      <c r="B456" s="87">
        <f t="shared" si="13"/>
        <v>228</v>
      </c>
      <c r="C456" s="11">
        <v>20200414</v>
      </c>
      <c r="D456" s="3" t="s">
        <v>24</v>
      </c>
      <c r="E456" s="3" t="s">
        <v>234</v>
      </c>
      <c r="F456" s="5" t="s">
        <v>978</v>
      </c>
      <c r="G456" s="5">
        <v>1390624</v>
      </c>
      <c r="H456" s="15" t="s">
        <v>72</v>
      </c>
      <c r="I456" s="3" t="s">
        <v>979</v>
      </c>
      <c r="J456" s="15" t="s">
        <v>72</v>
      </c>
      <c r="K456" s="3" t="s">
        <v>73</v>
      </c>
      <c r="L456" s="3">
        <v>81728</v>
      </c>
      <c r="M456" s="3" t="s">
        <v>72</v>
      </c>
      <c r="N456" s="3" t="s">
        <v>237</v>
      </c>
      <c r="O456" s="5" t="s">
        <v>72</v>
      </c>
      <c r="P456" s="5" t="s">
        <v>587</v>
      </c>
      <c r="Q456" s="55"/>
      <c r="R456" s="15" t="s">
        <v>72</v>
      </c>
      <c r="S456" s="3" t="s">
        <v>77</v>
      </c>
      <c r="T456" s="3"/>
      <c r="U456" s="3"/>
      <c r="V456" s="3">
        <v>12</v>
      </c>
      <c r="W456" s="3">
        <f t="shared" ref="W456:X497" si="15">V456</f>
        <v>12</v>
      </c>
      <c r="X456" s="3">
        <f t="shared" si="15"/>
        <v>12</v>
      </c>
      <c r="Y456" s="3">
        <f>ROUNDDOWN(W456/HLOOKUP(D456,[2]Table!$C$3:$D$4,2,0)*8,2)</f>
        <v>0.21</v>
      </c>
      <c r="Z456" s="3">
        <v>0.25</v>
      </c>
      <c r="AA456" s="3" t="s">
        <v>110</v>
      </c>
      <c r="AB456" s="6">
        <v>43938</v>
      </c>
      <c r="AC456" s="6">
        <v>43935</v>
      </c>
      <c r="AD456" s="6">
        <v>43938</v>
      </c>
      <c r="AE456" s="6">
        <v>43935</v>
      </c>
      <c r="AF456" s="6">
        <v>43935</v>
      </c>
      <c r="AG456" s="12" t="s">
        <v>75</v>
      </c>
      <c r="AH456" s="8">
        <v>1</v>
      </c>
      <c r="AI456" s="8">
        <v>1</v>
      </c>
      <c r="AJ456" s="8">
        <v>1</v>
      </c>
      <c r="AK456" s="12" t="s">
        <v>8</v>
      </c>
      <c r="AL456" s="3"/>
      <c r="AM456" s="3"/>
      <c r="AN456" s="3"/>
      <c r="AW456" s="143"/>
    </row>
    <row r="457" spans="2:49" ht="15">
      <c r="B457" s="87">
        <f t="shared" si="13"/>
        <v>229</v>
      </c>
      <c r="C457" s="11">
        <v>20200414</v>
      </c>
      <c r="D457" s="3" t="s">
        <v>24</v>
      </c>
      <c r="E457" s="3" t="s">
        <v>234</v>
      </c>
      <c r="F457" s="5" t="s">
        <v>978</v>
      </c>
      <c r="G457" s="5">
        <v>1390624</v>
      </c>
      <c r="H457" s="15" t="s">
        <v>72</v>
      </c>
      <c r="I457" s="3" t="s">
        <v>980</v>
      </c>
      <c r="J457" s="15" t="s">
        <v>72</v>
      </c>
      <c r="K457" s="3" t="s">
        <v>73</v>
      </c>
      <c r="L457" s="3">
        <v>81728</v>
      </c>
      <c r="M457" s="3" t="s">
        <v>72</v>
      </c>
      <c r="N457" s="3" t="s">
        <v>237</v>
      </c>
      <c r="O457" s="5" t="s">
        <v>72</v>
      </c>
      <c r="P457" s="5" t="s">
        <v>587</v>
      </c>
      <c r="Q457" s="55"/>
      <c r="R457" s="15" t="s">
        <v>72</v>
      </c>
      <c r="S457" s="3" t="s">
        <v>77</v>
      </c>
      <c r="T457" s="3"/>
      <c r="U457" s="3"/>
      <c r="V457" s="3">
        <v>0</v>
      </c>
      <c r="W457" s="3">
        <f t="shared" si="15"/>
        <v>0</v>
      </c>
      <c r="X457" s="3">
        <f t="shared" si="15"/>
        <v>0</v>
      </c>
      <c r="Y457" s="3">
        <f>ROUNDDOWN(W457/HLOOKUP(D457,[2]Table!$C$3:$D$4,2,0)*8,2)</f>
        <v>0</v>
      </c>
      <c r="Z457" s="3">
        <v>0</v>
      </c>
      <c r="AA457" s="3" t="s">
        <v>110</v>
      </c>
      <c r="AB457" s="6">
        <v>43938</v>
      </c>
      <c r="AC457" s="6">
        <v>43935</v>
      </c>
      <c r="AD457" s="6">
        <v>43938</v>
      </c>
      <c r="AE457" s="6">
        <v>43935</v>
      </c>
      <c r="AF457" s="6">
        <v>43935</v>
      </c>
      <c r="AG457" s="12" t="s">
        <v>75</v>
      </c>
      <c r="AH457" s="83" t="s">
        <v>72</v>
      </c>
      <c r="AI457" s="83" t="s">
        <v>72</v>
      </c>
      <c r="AJ457" s="83" t="s">
        <v>72</v>
      </c>
      <c r="AK457" s="12" t="s">
        <v>8</v>
      </c>
      <c r="AL457" s="3"/>
      <c r="AM457" s="3"/>
      <c r="AN457" s="3" t="s">
        <v>574</v>
      </c>
      <c r="AW457" s="143"/>
    </row>
    <row r="458" spans="2:49" ht="15">
      <c r="B458" s="87">
        <f t="shared" si="13"/>
        <v>230</v>
      </c>
      <c r="C458" s="11">
        <v>20200414</v>
      </c>
      <c r="D458" s="3" t="s">
        <v>24</v>
      </c>
      <c r="E458" s="3" t="s">
        <v>234</v>
      </c>
      <c r="F458" s="5" t="s">
        <v>978</v>
      </c>
      <c r="G458" s="5">
        <v>1390624</v>
      </c>
      <c r="H458" s="15" t="s">
        <v>72</v>
      </c>
      <c r="I458" s="3" t="s">
        <v>981</v>
      </c>
      <c r="J458" s="15" t="s">
        <v>72</v>
      </c>
      <c r="K458" s="3" t="s">
        <v>73</v>
      </c>
      <c r="L458" s="3">
        <v>81728</v>
      </c>
      <c r="M458" s="3" t="s">
        <v>72</v>
      </c>
      <c r="N458" s="3" t="s">
        <v>237</v>
      </c>
      <c r="O458" s="5" t="s">
        <v>72</v>
      </c>
      <c r="P458" s="5" t="s">
        <v>587</v>
      </c>
      <c r="Q458" s="55"/>
      <c r="R458" s="15" t="s">
        <v>72</v>
      </c>
      <c r="S458" s="3" t="s">
        <v>77</v>
      </c>
      <c r="T458" s="3"/>
      <c r="U458" s="3"/>
      <c r="V458" s="3">
        <v>5</v>
      </c>
      <c r="W458" s="3">
        <f t="shared" si="15"/>
        <v>5</v>
      </c>
      <c r="X458" s="3">
        <f t="shared" si="15"/>
        <v>5</v>
      </c>
      <c r="Y458" s="3">
        <f>ROUNDDOWN(W458/HLOOKUP(D458,[2]Table!$C$3:$D$4,2,0)*8,2)</f>
        <v>0.08</v>
      </c>
      <c r="Z458" s="3">
        <v>0.08</v>
      </c>
      <c r="AA458" s="3" t="s">
        <v>110</v>
      </c>
      <c r="AB458" s="6">
        <v>43938</v>
      </c>
      <c r="AC458" s="6">
        <v>43935</v>
      </c>
      <c r="AD458" s="6">
        <v>43938</v>
      </c>
      <c r="AE458" s="6">
        <v>43935</v>
      </c>
      <c r="AF458" s="6">
        <v>43935</v>
      </c>
      <c r="AG458" s="12" t="s">
        <v>75</v>
      </c>
      <c r="AH458" s="8">
        <v>1</v>
      </c>
      <c r="AI458" s="8">
        <v>1</v>
      </c>
      <c r="AJ458" s="8">
        <v>1</v>
      </c>
      <c r="AK458" s="12" t="s">
        <v>8</v>
      </c>
      <c r="AL458" s="3"/>
      <c r="AM458" s="3"/>
      <c r="AN458" s="3"/>
      <c r="AW458" s="143"/>
    </row>
    <row r="459" spans="2:49" ht="15">
      <c r="B459" s="87">
        <f t="shared" si="13"/>
        <v>231</v>
      </c>
      <c r="C459" s="11">
        <v>20200414</v>
      </c>
      <c r="D459" s="3" t="s">
        <v>24</v>
      </c>
      <c r="E459" s="3" t="s">
        <v>234</v>
      </c>
      <c r="F459" s="5" t="s">
        <v>982</v>
      </c>
      <c r="G459" s="5">
        <v>1390624</v>
      </c>
      <c r="H459" s="15" t="s">
        <v>72</v>
      </c>
      <c r="I459" s="3" t="s">
        <v>983</v>
      </c>
      <c r="J459" s="15" t="s">
        <v>72</v>
      </c>
      <c r="K459" s="3" t="s">
        <v>73</v>
      </c>
      <c r="L459" s="3">
        <v>81728</v>
      </c>
      <c r="M459" s="3" t="s">
        <v>72</v>
      </c>
      <c r="N459" s="3" t="s">
        <v>237</v>
      </c>
      <c r="O459" s="5" t="s">
        <v>72</v>
      </c>
      <c r="P459" s="5" t="s">
        <v>587</v>
      </c>
      <c r="Q459" s="55"/>
      <c r="R459" s="15" t="s">
        <v>72</v>
      </c>
      <c r="S459" s="3" t="s">
        <v>77</v>
      </c>
      <c r="T459" s="3"/>
      <c r="U459" s="3"/>
      <c r="V459" s="3">
        <v>8</v>
      </c>
      <c r="W459" s="3">
        <f t="shared" si="15"/>
        <v>8</v>
      </c>
      <c r="X459" s="3">
        <f t="shared" si="15"/>
        <v>8</v>
      </c>
      <c r="Y459" s="3">
        <f>ROUNDDOWN(W459/HLOOKUP(D459,[2]Table!$C$3:$D$4,2,0)*8,2)</f>
        <v>0.14000000000000001</v>
      </c>
      <c r="Z459" s="3">
        <v>0.12</v>
      </c>
      <c r="AA459" s="3" t="s">
        <v>110</v>
      </c>
      <c r="AB459" s="6">
        <v>43938</v>
      </c>
      <c r="AC459" s="6">
        <v>43935</v>
      </c>
      <c r="AD459" s="6">
        <v>43938</v>
      </c>
      <c r="AE459" s="6">
        <v>43935</v>
      </c>
      <c r="AF459" s="6">
        <v>43935</v>
      </c>
      <c r="AG459" s="12" t="s">
        <v>75</v>
      </c>
      <c r="AH459" s="8">
        <v>1</v>
      </c>
      <c r="AI459" s="8">
        <v>1</v>
      </c>
      <c r="AJ459" s="8">
        <v>1</v>
      </c>
      <c r="AK459" s="12" t="s">
        <v>8</v>
      </c>
      <c r="AL459" s="3"/>
      <c r="AM459" s="3"/>
      <c r="AN459" s="3"/>
      <c r="AW459" s="143"/>
    </row>
    <row r="460" spans="2:49" ht="15">
      <c r="B460" s="87">
        <f t="shared" si="13"/>
        <v>232</v>
      </c>
      <c r="C460" s="11">
        <v>20200414</v>
      </c>
      <c r="D460" s="3" t="s">
        <v>24</v>
      </c>
      <c r="E460" s="3" t="s">
        <v>234</v>
      </c>
      <c r="F460" s="5" t="s">
        <v>982</v>
      </c>
      <c r="G460" s="5">
        <v>1390624</v>
      </c>
      <c r="H460" s="15" t="s">
        <v>72</v>
      </c>
      <c r="I460" s="3" t="s">
        <v>984</v>
      </c>
      <c r="J460" s="15" t="s">
        <v>72</v>
      </c>
      <c r="K460" s="3" t="s">
        <v>73</v>
      </c>
      <c r="L460" s="3">
        <v>81728</v>
      </c>
      <c r="M460" s="3" t="s">
        <v>72</v>
      </c>
      <c r="N460" s="3" t="s">
        <v>237</v>
      </c>
      <c r="O460" s="5" t="s">
        <v>72</v>
      </c>
      <c r="P460" s="5" t="s">
        <v>587</v>
      </c>
      <c r="Q460" s="55"/>
      <c r="R460" s="15" t="s">
        <v>72</v>
      </c>
      <c r="S460" s="3" t="s">
        <v>77</v>
      </c>
      <c r="T460" s="3"/>
      <c r="U460" s="3"/>
      <c r="V460" s="3">
        <v>5</v>
      </c>
      <c r="W460" s="3">
        <f t="shared" si="15"/>
        <v>5</v>
      </c>
      <c r="X460" s="3">
        <f t="shared" si="15"/>
        <v>5</v>
      </c>
      <c r="Y460" s="3">
        <f>ROUNDDOWN(W460/HLOOKUP(D460,[2]Table!$C$3:$D$4,2,0)*8,2)</f>
        <v>0.08</v>
      </c>
      <c r="Z460" s="3">
        <v>0.12</v>
      </c>
      <c r="AA460" s="3" t="s">
        <v>110</v>
      </c>
      <c r="AB460" s="6">
        <v>43938</v>
      </c>
      <c r="AC460" s="6">
        <v>43935</v>
      </c>
      <c r="AD460" s="6">
        <v>43938</v>
      </c>
      <c r="AE460" s="6">
        <v>43935</v>
      </c>
      <c r="AF460" s="6">
        <v>43935</v>
      </c>
      <c r="AG460" s="12" t="s">
        <v>75</v>
      </c>
      <c r="AH460" s="8">
        <v>1</v>
      </c>
      <c r="AI460" s="8">
        <v>1</v>
      </c>
      <c r="AJ460" s="8">
        <v>1</v>
      </c>
      <c r="AK460" s="12" t="s">
        <v>8</v>
      </c>
      <c r="AL460" s="3"/>
      <c r="AM460" s="3"/>
      <c r="AN460" s="3"/>
      <c r="AW460" s="143"/>
    </row>
    <row r="461" spans="2:49" ht="15">
      <c r="B461" s="87">
        <f t="shared" si="13"/>
        <v>233</v>
      </c>
      <c r="C461" s="11">
        <v>20200414</v>
      </c>
      <c r="D461" s="3" t="s">
        <v>24</v>
      </c>
      <c r="E461" s="3" t="s">
        <v>234</v>
      </c>
      <c r="F461" s="5" t="s">
        <v>982</v>
      </c>
      <c r="G461" s="5">
        <v>1390624</v>
      </c>
      <c r="H461" s="15" t="s">
        <v>72</v>
      </c>
      <c r="I461" s="3" t="s">
        <v>985</v>
      </c>
      <c r="J461" s="15" t="s">
        <v>72</v>
      </c>
      <c r="K461" s="3" t="s">
        <v>73</v>
      </c>
      <c r="L461" s="3">
        <v>81728</v>
      </c>
      <c r="M461" s="3" t="s">
        <v>72</v>
      </c>
      <c r="N461" s="3" t="s">
        <v>237</v>
      </c>
      <c r="O461" s="5" t="s">
        <v>72</v>
      </c>
      <c r="P461" s="5" t="s">
        <v>587</v>
      </c>
      <c r="Q461" s="55"/>
      <c r="R461" s="15" t="s">
        <v>72</v>
      </c>
      <c r="S461" s="3" t="s">
        <v>77</v>
      </c>
      <c r="T461" s="3"/>
      <c r="U461" s="3"/>
      <c r="V461" s="3">
        <v>10</v>
      </c>
      <c r="W461" s="3">
        <f t="shared" si="15"/>
        <v>10</v>
      </c>
      <c r="X461" s="3">
        <f t="shared" si="15"/>
        <v>10</v>
      </c>
      <c r="Y461" s="3">
        <f>ROUNDDOWN(W461/HLOOKUP(D461,[2]Table!$C$3:$D$4,2,0)*8,2)</f>
        <v>0.17</v>
      </c>
      <c r="Z461" s="3">
        <v>0.12</v>
      </c>
      <c r="AA461" s="3" t="s">
        <v>110</v>
      </c>
      <c r="AB461" s="6">
        <v>43938</v>
      </c>
      <c r="AC461" s="6">
        <v>43935</v>
      </c>
      <c r="AD461" s="6">
        <v>43938</v>
      </c>
      <c r="AE461" s="6">
        <v>43935</v>
      </c>
      <c r="AF461" s="6">
        <v>43935</v>
      </c>
      <c r="AG461" s="12" t="s">
        <v>75</v>
      </c>
      <c r="AH461" s="8">
        <v>1</v>
      </c>
      <c r="AI461" s="8">
        <v>1</v>
      </c>
      <c r="AJ461" s="8">
        <v>1</v>
      </c>
      <c r="AK461" s="12" t="s">
        <v>8</v>
      </c>
      <c r="AL461" s="3"/>
      <c r="AM461" s="3"/>
      <c r="AN461" s="3"/>
      <c r="AW461" s="143"/>
    </row>
    <row r="462" spans="2:49" ht="15">
      <c r="B462" s="87">
        <f t="shared" si="13"/>
        <v>234</v>
      </c>
      <c r="C462" s="11">
        <v>20200414</v>
      </c>
      <c r="D462" s="3" t="s">
        <v>24</v>
      </c>
      <c r="E462" s="3" t="s">
        <v>234</v>
      </c>
      <c r="F462" s="5" t="s">
        <v>986</v>
      </c>
      <c r="G462" s="5">
        <v>1390624</v>
      </c>
      <c r="H462" s="15" t="s">
        <v>72</v>
      </c>
      <c r="I462" s="3" t="s">
        <v>987</v>
      </c>
      <c r="J462" s="15" t="s">
        <v>72</v>
      </c>
      <c r="K462" s="3" t="s">
        <v>73</v>
      </c>
      <c r="L462" s="3">
        <v>81728</v>
      </c>
      <c r="M462" s="3" t="s">
        <v>72</v>
      </c>
      <c r="N462" s="3" t="s">
        <v>237</v>
      </c>
      <c r="O462" s="5" t="s">
        <v>72</v>
      </c>
      <c r="P462" s="5" t="s">
        <v>587</v>
      </c>
      <c r="Q462" s="55"/>
      <c r="R462" s="15" t="s">
        <v>72</v>
      </c>
      <c r="S462" s="3" t="s">
        <v>77</v>
      </c>
      <c r="T462" s="3"/>
      <c r="U462" s="3"/>
      <c r="V462" s="3">
        <v>52</v>
      </c>
      <c r="W462" s="3">
        <f t="shared" si="15"/>
        <v>52</v>
      </c>
      <c r="X462" s="3">
        <f t="shared" si="15"/>
        <v>52</v>
      </c>
      <c r="Y462" s="3">
        <f>ROUNDDOWN(W462/HLOOKUP(D462,[2]Table!$C$3:$D$4,2,0)*8,2)</f>
        <v>0.92</v>
      </c>
      <c r="Z462" s="3">
        <v>1</v>
      </c>
      <c r="AA462" s="3" t="s">
        <v>110</v>
      </c>
      <c r="AB462" s="6">
        <v>43938</v>
      </c>
      <c r="AC462" s="6">
        <v>43935</v>
      </c>
      <c r="AD462" s="6">
        <v>43938</v>
      </c>
      <c r="AE462" s="6">
        <v>43935</v>
      </c>
      <c r="AF462" s="6">
        <v>43935</v>
      </c>
      <c r="AG462" s="12" t="s">
        <v>75</v>
      </c>
      <c r="AH462" s="8">
        <v>1</v>
      </c>
      <c r="AI462" s="8">
        <v>1</v>
      </c>
      <c r="AJ462" s="8">
        <v>1</v>
      </c>
      <c r="AK462" s="12" t="s">
        <v>8</v>
      </c>
      <c r="AL462" s="3"/>
      <c r="AM462" s="3"/>
      <c r="AN462" s="3"/>
      <c r="AW462" s="143"/>
    </row>
    <row r="463" spans="2:49" ht="15">
      <c r="B463" s="87">
        <f t="shared" si="13"/>
        <v>235</v>
      </c>
      <c r="C463" s="11">
        <v>20200414</v>
      </c>
      <c r="D463" s="3" t="s">
        <v>24</v>
      </c>
      <c r="E463" s="3" t="s">
        <v>234</v>
      </c>
      <c r="F463" s="5" t="s">
        <v>988</v>
      </c>
      <c r="G463" s="5">
        <v>1390624</v>
      </c>
      <c r="H463" s="15" t="s">
        <v>72</v>
      </c>
      <c r="I463" s="3" t="s">
        <v>989</v>
      </c>
      <c r="J463" s="15" t="s">
        <v>72</v>
      </c>
      <c r="K463" s="3" t="s">
        <v>73</v>
      </c>
      <c r="L463" s="3">
        <v>81728</v>
      </c>
      <c r="M463" s="3" t="s">
        <v>72</v>
      </c>
      <c r="N463" s="3" t="s">
        <v>237</v>
      </c>
      <c r="O463" s="5" t="s">
        <v>72</v>
      </c>
      <c r="P463" s="5" t="s">
        <v>587</v>
      </c>
      <c r="Q463" s="55"/>
      <c r="R463" s="15" t="s">
        <v>72</v>
      </c>
      <c r="S463" s="3" t="s">
        <v>77</v>
      </c>
      <c r="T463" s="3"/>
      <c r="U463" s="3"/>
      <c r="V463" s="3">
        <v>18</v>
      </c>
      <c r="W463" s="3">
        <f t="shared" si="15"/>
        <v>18</v>
      </c>
      <c r="X463" s="3">
        <f t="shared" si="15"/>
        <v>18</v>
      </c>
      <c r="Y463" s="3">
        <f>ROUNDDOWN(W463/HLOOKUP(D463,[2]Table!$C$3:$D$4,2,0)*8,2)</f>
        <v>0.32</v>
      </c>
      <c r="Z463" s="3">
        <v>0.25</v>
      </c>
      <c r="AA463" s="3" t="s">
        <v>110</v>
      </c>
      <c r="AB463" s="6">
        <v>43938</v>
      </c>
      <c r="AC463" s="6">
        <v>43935</v>
      </c>
      <c r="AD463" s="6">
        <v>43938</v>
      </c>
      <c r="AE463" s="6">
        <v>43935</v>
      </c>
      <c r="AF463" s="6">
        <v>43935</v>
      </c>
      <c r="AG463" s="12" t="s">
        <v>79</v>
      </c>
      <c r="AH463" s="8">
        <v>0.83</v>
      </c>
      <c r="AI463" s="8">
        <v>0.5</v>
      </c>
      <c r="AJ463" s="8">
        <v>1</v>
      </c>
      <c r="AK463" s="12" t="s">
        <v>76</v>
      </c>
      <c r="AL463" s="3" t="s">
        <v>990</v>
      </c>
      <c r="AM463" s="3"/>
      <c r="AN463" s="3" t="s">
        <v>991</v>
      </c>
      <c r="AW463" s="143"/>
    </row>
    <row r="464" spans="2:49" ht="15">
      <c r="B464" s="87">
        <f t="shared" si="13"/>
        <v>236</v>
      </c>
      <c r="C464" s="11">
        <v>20200414</v>
      </c>
      <c r="D464" s="3" t="s">
        <v>24</v>
      </c>
      <c r="E464" s="3" t="s">
        <v>234</v>
      </c>
      <c r="F464" s="5" t="s">
        <v>988</v>
      </c>
      <c r="G464" s="5">
        <v>1390624</v>
      </c>
      <c r="H464" s="15" t="s">
        <v>72</v>
      </c>
      <c r="I464" s="3" t="s">
        <v>992</v>
      </c>
      <c r="J464" s="15" t="s">
        <v>72</v>
      </c>
      <c r="K464" s="3" t="s">
        <v>73</v>
      </c>
      <c r="L464" s="3">
        <v>81728</v>
      </c>
      <c r="M464" s="3" t="s">
        <v>72</v>
      </c>
      <c r="N464" s="3" t="s">
        <v>237</v>
      </c>
      <c r="O464" s="5" t="s">
        <v>72</v>
      </c>
      <c r="P464" s="5" t="s">
        <v>587</v>
      </c>
      <c r="Q464" s="55"/>
      <c r="R464" s="15" t="s">
        <v>72</v>
      </c>
      <c r="S464" s="3" t="s">
        <v>77</v>
      </c>
      <c r="T464" s="3"/>
      <c r="U464" s="3"/>
      <c r="V464" s="3">
        <v>0</v>
      </c>
      <c r="W464" s="3">
        <f t="shared" si="15"/>
        <v>0</v>
      </c>
      <c r="X464" s="3">
        <f t="shared" si="15"/>
        <v>0</v>
      </c>
      <c r="Y464" s="3">
        <f>ROUNDDOWN(W464/HLOOKUP(D464,[2]Table!$C$3:$D$4,2,0)*8,2)</f>
        <v>0</v>
      </c>
      <c r="Z464" s="3">
        <v>0</v>
      </c>
      <c r="AA464" s="3" t="s">
        <v>110</v>
      </c>
      <c r="AB464" s="6">
        <v>43938</v>
      </c>
      <c r="AC464" s="6">
        <v>43935</v>
      </c>
      <c r="AD464" s="6">
        <v>43938</v>
      </c>
      <c r="AE464" s="6">
        <v>43935</v>
      </c>
      <c r="AF464" s="6">
        <v>43935</v>
      </c>
      <c r="AG464" s="12" t="s">
        <v>75</v>
      </c>
      <c r="AH464" s="83" t="s">
        <v>72</v>
      </c>
      <c r="AI464" s="83" t="s">
        <v>72</v>
      </c>
      <c r="AJ464" s="83" t="s">
        <v>72</v>
      </c>
      <c r="AK464" s="12" t="s">
        <v>8</v>
      </c>
      <c r="AL464" s="3"/>
      <c r="AM464" s="3"/>
      <c r="AN464" s="3" t="s">
        <v>574</v>
      </c>
      <c r="AW464" s="143"/>
    </row>
    <row r="465" spans="2:49" ht="15">
      <c r="B465" s="87">
        <f t="shared" si="13"/>
        <v>237</v>
      </c>
      <c r="C465" s="11">
        <v>20200414</v>
      </c>
      <c r="D465" s="3" t="s">
        <v>24</v>
      </c>
      <c r="E465" s="3" t="s">
        <v>234</v>
      </c>
      <c r="F465" s="5" t="s">
        <v>993</v>
      </c>
      <c r="G465" s="5">
        <v>1390624</v>
      </c>
      <c r="H465" s="15" t="s">
        <v>72</v>
      </c>
      <c r="I465" s="3" t="s">
        <v>994</v>
      </c>
      <c r="J465" s="15" t="s">
        <v>72</v>
      </c>
      <c r="K465" s="3" t="s">
        <v>73</v>
      </c>
      <c r="L465" s="3">
        <v>81728</v>
      </c>
      <c r="M465" s="3" t="s">
        <v>72</v>
      </c>
      <c r="N465" s="3" t="s">
        <v>237</v>
      </c>
      <c r="O465" s="5" t="s">
        <v>72</v>
      </c>
      <c r="P465" s="5" t="s">
        <v>587</v>
      </c>
      <c r="Q465" s="55"/>
      <c r="R465" s="15" t="s">
        <v>72</v>
      </c>
      <c r="S465" s="3" t="s">
        <v>77</v>
      </c>
      <c r="T465" s="3"/>
      <c r="U465" s="3"/>
      <c r="V465" s="3">
        <v>47</v>
      </c>
      <c r="W465" s="3">
        <f t="shared" si="15"/>
        <v>47</v>
      </c>
      <c r="X465" s="3">
        <f t="shared" si="15"/>
        <v>47</v>
      </c>
      <c r="Y465" s="3">
        <f>ROUNDDOWN(W465/HLOOKUP(D465,[2]Table!$C$3:$D$4,2,0)*8,2)</f>
        <v>0.83</v>
      </c>
      <c r="Z465" s="3">
        <v>0.5</v>
      </c>
      <c r="AA465" s="3" t="s">
        <v>110</v>
      </c>
      <c r="AB465" s="6">
        <v>43938</v>
      </c>
      <c r="AC465" s="6">
        <v>43935</v>
      </c>
      <c r="AD465" s="6">
        <v>43938</v>
      </c>
      <c r="AE465" s="6">
        <v>43935</v>
      </c>
      <c r="AF465" s="6">
        <v>43935</v>
      </c>
      <c r="AG465" s="12" t="s">
        <v>79</v>
      </c>
      <c r="AH465" s="8">
        <v>1</v>
      </c>
      <c r="AI465" s="8">
        <v>0.91</v>
      </c>
      <c r="AJ465" s="8">
        <v>1</v>
      </c>
      <c r="AK465" s="12" t="s">
        <v>76</v>
      </c>
      <c r="AL465" s="3" t="s">
        <v>995</v>
      </c>
      <c r="AM465" s="3"/>
      <c r="AN465" s="3" t="s">
        <v>996</v>
      </c>
      <c r="AW465" s="143"/>
    </row>
    <row r="466" spans="2:49" ht="15">
      <c r="B466" s="87">
        <f t="shared" si="13"/>
        <v>238</v>
      </c>
      <c r="C466" s="11">
        <v>20200414</v>
      </c>
      <c r="D466" s="3" t="s">
        <v>24</v>
      </c>
      <c r="E466" s="3" t="s">
        <v>234</v>
      </c>
      <c r="F466" s="5" t="s">
        <v>993</v>
      </c>
      <c r="G466" s="5">
        <v>1390624</v>
      </c>
      <c r="H466" s="15" t="s">
        <v>72</v>
      </c>
      <c r="I466" s="3" t="s">
        <v>997</v>
      </c>
      <c r="J466" s="15" t="s">
        <v>72</v>
      </c>
      <c r="K466" s="3" t="s">
        <v>73</v>
      </c>
      <c r="L466" s="3">
        <v>81728</v>
      </c>
      <c r="M466" s="3" t="s">
        <v>72</v>
      </c>
      <c r="N466" s="3" t="s">
        <v>237</v>
      </c>
      <c r="O466" s="5" t="s">
        <v>72</v>
      </c>
      <c r="P466" s="5" t="s">
        <v>587</v>
      </c>
      <c r="Q466" s="55"/>
      <c r="R466" s="15" t="s">
        <v>72</v>
      </c>
      <c r="S466" s="3" t="s">
        <v>77</v>
      </c>
      <c r="T466" s="3"/>
      <c r="U466" s="3"/>
      <c r="V466" s="3">
        <v>101</v>
      </c>
      <c r="W466" s="3">
        <f t="shared" si="15"/>
        <v>101</v>
      </c>
      <c r="X466" s="3">
        <f t="shared" si="15"/>
        <v>101</v>
      </c>
      <c r="Y466" s="3">
        <f>ROUNDDOWN(W466/HLOOKUP(D466,[2]Table!$C$3:$D$4,2,0)*8,2)</f>
        <v>1.79</v>
      </c>
      <c r="Z466" s="3">
        <v>2</v>
      </c>
      <c r="AA466" s="3" t="s">
        <v>110</v>
      </c>
      <c r="AB466" s="6">
        <v>43938</v>
      </c>
      <c r="AC466" s="6">
        <v>43935</v>
      </c>
      <c r="AD466" s="6">
        <v>43938</v>
      </c>
      <c r="AE466" s="6">
        <v>43935</v>
      </c>
      <c r="AF466" s="6">
        <v>43936</v>
      </c>
      <c r="AG466" s="12" t="s">
        <v>75</v>
      </c>
      <c r="AH466" s="8">
        <v>1</v>
      </c>
      <c r="AI466" s="8">
        <v>1</v>
      </c>
      <c r="AJ466" s="8">
        <v>1</v>
      </c>
      <c r="AK466" s="12" t="s">
        <v>8</v>
      </c>
      <c r="AL466" s="3"/>
      <c r="AM466" s="3"/>
      <c r="AN466" s="3"/>
      <c r="AW466" s="143"/>
    </row>
    <row r="467" spans="2:49" ht="15">
      <c r="B467" s="87">
        <f t="shared" si="13"/>
        <v>239</v>
      </c>
      <c r="C467" s="11">
        <v>20200414</v>
      </c>
      <c r="D467" s="3" t="s">
        <v>24</v>
      </c>
      <c r="E467" s="3" t="s">
        <v>234</v>
      </c>
      <c r="F467" s="5" t="s">
        <v>993</v>
      </c>
      <c r="G467" s="5">
        <v>1390624</v>
      </c>
      <c r="H467" s="15" t="s">
        <v>72</v>
      </c>
      <c r="I467" s="3" t="s">
        <v>998</v>
      </c>
      <c r="J467" s="15" t="s">
        <v>72</v>
      </c>
      <c r="K467" s="3" t="s">
        <v>73</v>
      </c>
      <c r="L467" s="3">
        <v>81728</v>
      </c>
      <c r="M467" s="3" t="s">
        <v>72</v>
      </c>
      <c r="N467" s="3" t="s">
        <v>237</v>
      </c>
      <c r="O467" s="5" t="s">
        <v>72</v>
      </c>
      <c r="P467" s="5" t="s">
        <v>587</v>
      </c>
      <c r="Q467" s="55"/>
      <c r="R467" s="15" t="s">
        <v>72</v>
      </c>
      <c r="S467" s="3" t="s">
        <v>77</v>
      </c>
      <c r="T467" s="3"/>
      <c r="U467" s="3"/>
      <c r="V467" s="3">
        <v>7</v>
      </c>
      <c r="W467" s="3">
        <f t="shared" si="15"/>
        <v>7</v>
      </c>
      <c r="X467" s="3">
        <f t="shared" si="15"/>
        <v>7</v>
      </c>
      <c r="Y467" s="3">
        <f>ROUNDDOWN(W467/HLOOKUP(D467,[2]Table!$C$3:$D$4,2,0)*8,2)</f>
        <v>0.12</v>
      </c>
      <c r="Z467" s="3">
        <v>0.08</v>
      </c>
      <c r="AA467" s="3" t="s">
        <v>110</v>
      </c>
      <c r="AB467" s="6">
        <v>43938</v>
      </c>
      <c r="AC467" s="6">
        <v>43935</v>
      </c>
      <c r="AD467" s="6">
        <v>43938</v>
      </c>
      <c r="AE467" s="6">
        <v>43935</v>
      </c>
      <c r="AF467" s="6">
        <v>43936</v>
      </c>
      <c r="AG467" s="12" t="s">
        <v>75</v>
      </c>
      <c r="AH467" s="8">
        <v>1</v>
      </c>
      <c r="AI467" s="8">
        <v>1</v>
      </c>
      <c r="AJ467" s="8">
        <v>1</v>
      </c>
      <c r="AK467" s="12" t="s">
        <v>8</v>
      </c>
      <c r="AL467" s="3"/>
      <c r="AM467" s="3"/>
      <c r="AN467" s="3"/>
      <c r="AW467" s="143"/>
    </row>
    <row r="468" spans="2:49" ht="15">
      <c r="B468" s="87">
        <f t="shared" si="13"/>
        <v>240</v>
      </c>
      <c r="C468" s="11">
        <v>20200414</v>
      </c>
      <c r="D468" s="3" t="s">
        <v>24</v>
      </c>
      <c r="E468" s="3" t="s">
        <v>234</v>
      </c>
      <c r="F468" s="5" t="s">
        <v>993</v>
      </c>
      <c r="G468" s="5">
        <v>1390624</v>
      </c>
      <c r="H468" s="15" t="s">
        <v>72</v>
      </c>
      <c r="I468" s="3" t="s">
        <v>999</v>
      </c>
      <c r="J468" s="15" t="s">
        <v>72</v>
      </c>
      <c r="K468" s="3" t="s">
        <v>73</v>
      </c>
      <c r="L468" s="3">
        <v>81728</v>
      </c>
      <c r="M468" s="3" t="s">
        <v>72</v>
      </c>
      <c r="N468" s="3" t="s">
        <v>237</v>
      </c>
      <c r="O468" s="5" t="s">
        <v>72</v>
      </c>
      <c r="P468" s="5" t="s">
        <v>587</v>
      </c>
      <c r="Q468" s="55"/>
      <c r="R468" s="15" t="s">
        <v>72</v>
      </c>
      <c r="S468" s="3" t="s">
        <v>77</v>
      </c>
      <c r="T468" s="3"/>
      <c r="U468" s="3"/>
      <c r="V468" s="3">
        <v>5</v>
      </c>
      <c r="W468" s="3">
        <f t="shared" si="15"/>
        <v>5</v>
      </c>
      <c r="X468" s="3">
        <f t="shared" si="15"/>
        <v>5</v>
      </c>
      <c r="Y468" s="3">
        <f>ROUNDDOWN(W468/HLOOKUP(D468,[2]Table!$C$3:$D$4,2,0)*8,2)</f>
        <v>0.08</v>
      </c>
      <c r="Z468" s="3">
        <v>0.08</v>
      </c>
      <c r="AA468" s="3" t="s">
        <v>110</v>
      </c>
      <c r="AB468" s="6">
        <v>43938</v>
      </c>
      <c r="AC468" s="6">
        <v>43935</v>
      </c>
      <c r="AD468" s="6">
        <v>43938</v>
      </c>
      <c r="AE468" s="6">
        <v>43935</v>
      </c>
      <c r="AF468" s="6">
        <v>43936</v>
      </c>
      <c r="AG468" s="12" t="s">
        <v>75</v>
      </c>
      <c r="AH468" s="8">
        <v>1</v>
      </c>
      <c r="AI468" s="8">
        <v>1</v>
      </c>
      <c r="AJ468" s="8">
        <v>1</v>
      </c>
      <c r="AK468" s="12" t="s">
        <v>8</v>
      </c>
      <c r="AL468" s="3"/>
      <c r="AM468" s="3"/>
      <c r="AN468" s="3"/>
      <c r="AW468" s="143"/>
    </row>
    <row r="469" spans="2:49" ht="15">
      <c r="B469" s="87">
        <f t="shared" si="13"/>
        <v>241</v>
      </c>
      <c r="C469" s="11">
        <v>20200414</v>
      </c>
      <c r="D469" s="3" t="s">
        <v>24</v>
      </c>
      <c r="E469" s="3" t="s">
        <v>234</v>
      </c>
      <c r="F469" s="5" t="s">
        <v>993</v>
      </c>
      <c r="G469" s="5">
        <v>1390624</v>
      </c>
      <c r="H469" s="15" t="s">
        <v>72</v>
      </c>
      <c r="I469" s="3" t="s">
        <v>1000</v>
      </c>
      <c r="J469" s="15" t="s">
        <v>72</v>
      </c>
      <c r="K469" s="3" t="s">
        <v>73</v>
      </c>
      <c r="L469" s="3">
        <v>81728</v>
      </c>
      <c r="M469" s="3" t="s">
        <v>72</v>
      </c>
      <c r="N469" s="3" t="s">
        <v>237</v>
      </c>
      <c r="O469" s="5" t="s">
        <v>72</v>
      </c>
      <c r="P469" s="5" t="s">
        <v>587</v>
      </c>
      <c r="Q469" s="55"/>
      <c r="R469" s="15" t="s">
        <v>72</v>
      </c>
      <c r="S469" s="3" t="s">
        <v>77</v>
      </c>
      <c r="T469" s="3"/>
      <c r="U469" s="3"/>
      <c r="V469" s="3">
        <v>58</v>
      </c>
      <c r="W469" s="3">
        <f t="shared" si="15"/>
        <v>58</v>
      </c>
      <c r="X469" s="3">
        <f t="shared" si="15"/>
        <v>58</v>
      </c>
      <c r="Y469" s="3">
        <f>ROUNDDOWN(W469/HLOOKUP(D469,[2]Table!$C$3:$D$4,2,0)*8,2)</f>
        <v>1.03</v>
      </c>
      <c r="Z469" s="3">
        <v>1</v>
      </c>
      <c r="AA469" s="3" t="s">
        <v>110</v>
      </c>
      <c r="AB469" s="6">
        <v>43938</v>
      </c>
      <c r="AC469" s="6">
        <v>43935</v>
      </c>
      <c r="AD469" s="6">
        <v>43938</v>
      </c>
      <c r="AE469" s="6">
        <v>43935</v>
      </c>
      <c r="AF469" s="6">
        <v>43936</v>
      </c>
      <c r="AG469" s="12" t="s">
        <v>75</v>
      </c>
      <c r="AH469" s="8">
        <v>1</v>
      </c>
      <c r="AI469" s="8">
        <v>1</v>
      </c>
      <c r="AJ469" s="8">
        <v>1</v>
      </c>
      <c r="AK469" s="12" t="s">
        <v>8</v>
      </c>
      <c r="AL469" s="3"/>
      <c r="AM469" s="3"/>
      <c r="AN469" s="3"/>
      <c r="AW469" s="143"/>
    </row>
    <row r="470" spans="2:49" ht="15">
      <c r="B470" s="87">
        <f t="shared" si="13"/>
        <v>242</v>
      </c>
      <c r="C470" s="11">
        <v>20200414</v>
      </c>
      <c r="D470" s="3" t="s">
        <v>24</v>
      </c>
      <c r="E470" s="3" t="s">
        <v>234</v>
      </c>
      <c r="F470" s="5" t="s">
        <v>993</v>
      </c>
      <c r="G470" s="5">
        <v>1390624</v>
      </c>
      <c r="H470" s="15" t="s">
        <v>72</v>
      </c>
      <c r="I470" s="3" t="s">
        <v>1001</v>
      </c>
      <c r="J470" s="15" t="s">
        <v>72</v>
      </c>
      <c r="K470" s="3" t="s">
        <v>73</v>
      </c>
      <c r="L470" s="3">
        <v>81728</v>
      </c>
      <c r="M470" s="3" t="s">
        <v>72</v>
      </c>
      <c r="N470" s="3" t="s">
        <v>237</v>
      </c>
      <c r="O470" s="5" t="s">
        <v>72</v>
      </c>
      <c r="P470" s="5" t="s">
        <v>587</v>
      </c>
      <c r="Q470" s="55"/>
      <c r="R470" s="15" t="s">
        <v>72</v>
      </c>
      <c r="S470" s="3" t="s">
        <v>77</v>
      </c>
      <c r="T470" s="3"/>
      <c r="U470" s="3"/>
      <c r="V470" s="3">
        <v>13</v>
      </c>
      <c r="W470" s="3">
        <f t="shared" si="15"/>
        <v>13</v>
      </c>
      <c r="X470" s="3">
        <f t="shared" si="15"/>
        <v>13</v>
      </c>
      <c r="Y470" s="3">
        <f>ROUNDDOWN(W470/HLOOKUP(D470,[2]Table!$C$3:$D$4,2,0)*8,2)</f>
        <v>0.23</v>
      </c>
      <c r="Z470" s="3">
        <v>0.25</v>
      </c>
      <c r="AA470" s="3" t="s">
        <v>110</v>
      </c>
      <c r="AB470" s="6">
        <v>43938</v>
      </c>
      <c r="AC470" s="6">
        <v>43935</v>
      </c>
      <c r="AD470" s="6">
        <v>43938</v>
      </c>
      <c r="AE470" s="6">
        <v>43935</v>
      </c>
      <c r="AF470" s="6">
        <v>43936</v>
      </c>
      <c r="AG470" s="12" t="s">
        <v>75</v>
      </c>
      <c r="AH470" s="8">
        <v>1</v>
      </c>
      <c r="AI470" s="8">
        <v>1</v>
      </c>
      <c r="AJ470" s="8">
        <v>1</v>
      </c>
      <c r="AK470" s="12" t="s">
        <v>8</v>
      </c>
      <c r="AL470" s="3"/>
      <c r="AM470" s="3"/>
      <c r="AN470" s="3"/>
      <c r="AW470" s="143"/>
    </row>
    <row r="471" spans="2:49" ht="15">
      <c r="B471" s="44">
        <f t="shared" si="13"/>
        <v>243</v>
      </c>
      <c r="C471" s="11">
        <v>20200415</v>
      </c>
      <c r="D471" s="3" t="s">
        <v>24</v>
      </c>
      <c r="E471" s="3" t="s">
        <v>1002</v>
      </c>
      <c r="F471" s="5" t="s">
        <v>1003</v>
      </c>
      <c r="G471" s="5">
        <v>1420664</v>
      </c>
      <c r="H471" s="15" t="s">
        <v>72</v>
      </c>
      <c r="I471" s="3" t="s">
        <v>1004</v>
      </c>
      <c r="J471" s="15" t="s">
        <v>72</v>
      </c>
      <c r="K471" s="3" t="s">
        <v>73</v>
      </c>
      <c r="L471" s="3" t="s">
        <v>1005</v>
      </c>
      <c r="M471" s="3" t="s">
        <v>935</v>
      </c>
      <c r="N471" s="3" t="s">
        <v>1006</v>
      </c>
      <c r="O471" s="5" t="s">
        <v>72</v>
      </c>
      <c r="P471" s="5" t="s">
        <v>873</v>
      </c>
      <c r="Q471" s="55"/>
      <c r="R471" s="15" t="s">
        <v>72</v>
      </c>
      <c r="S471" s="3" t="s">
        <v>77</v>
      </c>
      <c r="T471" s="3"/>
      <c r="U471" s="3"/>
      <c r="V471" s="3">
        <v>74</v>
      </c>
      <c r="W471" s="3">
        <f t="shared" si="15"/>
        <v>74</v>
      </c>
      <c r="X471" s="3">
        <f t="shared" si="15"/>
        <v>74</v>
      </c>
      <c r="Y471" s="3">
        <f>ROUNDDOWN(W471/HLOOKUP(D471,[2]Table!$C$3:$D$4,2,0)*8,2)</f>
        <v>1.31</v>
      </c>
      <c r="Z471" s="3">
        <v>0.75</v>
      </c>
      <c r="AA471" s="3" t="s">
        <v>110</v>
      </c>
      <c r="AB471" s="6">
        <v>43938</v>
      </c>
      <c r="AC471" s="6">
        <v>43936</v>
      </c>
      <c r="AD471" s="6">
        <v>43938</v>
      </c>
      <c r="AE471" s="6">
        <v>43936</v>
      </c>
      <c r="AF471" s="6">
        <v>43936</v>
      </c>
      <c r="AG471" s="12" t="s">
        <v>75</v>
      </c>
      <c r="AH471" s="8">
        <v>1</v>
      </c>
      <c r="AI471" s="8">
        <v>1</v>
      </c>
      <c r="AJ471" s="8">
        <v>1</v>
      </c>
      <c r="AK471" s="12" t="s">
        <v>8</v>
      </c>
      <c r="AL471" s="3"/>
      <c r="AM471" s="3"/>
      <c r="AN471" s="3"/>
      <c r="AW471" s="143"/>
    </row>
    <row r="472" spans="2:49" ht="15">
      <c r="B472" s="57">
        <f t="shared" si="13"/>
        <v>244</v>
      </c>
      <c r="C472" s="11">
        <v>20200416</v>
      </c>
      <c r="D472" s="3" t="s">
        <v>24</v>
      </c>
      <c r="E472" s="3" t="s">
        <v>1007</v>
      </c>
      <c r="F472" s="5" t="s">
        <v>1008</v>
      </c>
      <c r="G472" s="5">
        <v>1414211</v>
      </c>
      <c r="H472" s="15" t="s">
        <v>72</v>
      </c>
      <c r="I472" s="3" t="s">
        <v>1009</v>
      </c>
      <c r="J472" s="15" t="s">
        <v>72</v>
      </c>
      <c r="K472" s="3" t="s">
        <v>73</v>
      </c>
      <c r="L472" s="5" t="s">
        <v>8</v>
      </c>
      <c r="M472" s="3" t="s">
        <v>1010</v>
      </c>
      <c r="N472" s="3" t="s">
        <v>336</v>
      </c>
      <c r="O472" s="5" t="s">
        <v>72</v>
      </c>
      <c r="P472" s="5" t="s">
        <v>1011</v>
      </c>
      <c r="Q472" s="55"/>
      <c r="R472" s="15" t="s">
        <v>72</v>
      </c>
      <c r="S472" s="3" t="s">
        <v>77</v>
      </c>
      <c r="T472" s="3"/>
      <c r="U472" s="3"/>
      <c r="V472" s="3">
        <v>14</v>
      </c>
      <c r="W472" s="3">
        <f t="shared" si="15"/>
        <v>14</v>
      </c>
      <c r="X472" s="3">
        <f t="shared" si="15"/>
        <v>14</v>
      </c>
      <c r="Y472" s="3">
        <f>ROUNDDOWN(W472/HLOOKUP(D472,[2]Table!$C$3:$D$4,2,0)*8,2)</f>
        <v>0.24</v>
      </c>
      <c r="Z472" s="3">
        <v>0.25</v>
      </c>
      <c r="AA472" s="3" t="s">
        <v>110</v>
      </c>
      <c r="AB472" s="6">
        <v>43938</v>
      </c>
      <c r="AC472" s="6">
        <v>43937</v>
      </c>
      <c r="AD472" s="6">
        <v>43938</v>
      </c>
      <c r="AE472" s="6">
        <v>43937</v>
      </c>
      <c r="AF472" s="6">
        <v>43937</v>
      </c>
      <c r="AG472" s="12" t="s">
        <v>75</v>
      </c>
      <c r="AH472" s="8">
        <v>1</v>
      </c>
      <c r="AI472" s="8">
        <v>1</v>
      </c>
      <c r="AJ472" s="8">
        <v>1</v>
      </c>
      <c r="AK472" s="12" t="s">
        <v>8</v>
      </c>
      <c r="AL472" s="3"/>
      <c r="AM472" s="3"/>
      <c r="AN472" s="3"/>
      <c r="AW472" s="143"/>
    </row>
    <row r="473" spans="2:49" ht="15">
      <c r="B473" s="57">
        <f t="shared" si="13"/>
        <v>245</v>
      </c>
      <c r="C473" s="11">
        <v>20200416</v>
      </c>
      <c r="D473" s="3" t="s">
        <v>24</v>
      </c>
      <c r="E473" s="3" t="s">
        <v>1007</v>
      </c>
      <c r="F473" s="5" t="s">
        <v>1012</v>
      </c>
      <c r="G473" s="5">
        <v>1414211</v>
      </c>
      <c r="H473" s="15" t="s">
        <v>72</v>
      </c>
      <c r="I473" s="3" t="s">
        <v>1013</v>
      </c>
      <c r="J473" s="15" t="s">
        <v>72</v>
      </c>
      <c r="K473" s="3" t="s">
        <v>73</v>
      </c>
      <c r="L473" s="5" t="s">
        <v>8</v>
      </c>
      <c r="M473" s="3" t="s">
        <v>1010</v>
      </c>
      <c r="N473" s="3" t="s">
        <v>336</v>
      </c>
      <c r="O473" s="5" t="s">
        <v>72</v>
      </c>
      <c r="P473" s="5" t="s">
        <v>1011</v>
      </c>
      <c r="Q473" s="55"/>
      <c r="R473" s="15" t="s">
        <v>72</v>
      </c>
      <c r="S473" s="3" t="s">
        <v>77</v>
      </c>
      <c r="T473" s="3"/>
      <c r="U473" s="3"/>
      <c r="V473" s="3">
        <v>14</v>
      </c>
      <c r="W473" s="3">
        <f t="shared" si="15"/>
        <v>14</v>
      </c>
      <c r="X473" s="3">
        <f t="shared" si="15"/>
        <v>14</v>
      </c>
      <c r="Y473" s="3">
        <f>ROUNDDOWN(W473/HLOOKUP(D473,[2]Table!$C$3:$D$4,2,0)*8,2)</f>
        <v>0.24</v>
      </c>
      <c r="Z473" s="3">
        <v>0.12</v>
      </c>
      <c r="AA473" s="3" t="s">
        <v>110</v>
      </c>
      <c r="AB473" s="6">
        <v>43938</v>
      </c>
      <c r="AC473" s="6">
        <v>43937</v>
      </c>
      <c r="AD473" s="6">
        <v>43938</v>
      </c>
      <c r="AE473" s="6">
        <v>43937</v>
      </c>
      <c r="AF473" s="6">
        <v>43937</v>
      </c>
      <c r="AG473" s="12" t="s">
        <v>75</v>
      </c>
      <c r="AH473" s="8">
        <v>1</v>
      </c>
      <c r="AI473" s="8">
        <v>1</v>
      </c>
      <c r="AJ473" s="8">
        <v>1</v>
      </c>
      <c r="AK473" s="12" t="s">
        <v>8</v>
      </c>
      <c r="AL473" s="3"/>
      <c r="AM473" s="3"/>
      <c r="AN473" s="3"/>
      <c r="AW473" s="143"/>
    </row>
    <row r="474" spans="2:49" ht="15">
      <c r="B474" s="57">
        <f t="shared" si="13"/>
        <v>246</v>
      </c>
      <c r="C474" s="11">
        <v>20200416</v>
      </c>
      <c r="D474" s="3" t="s">
        <v>24</v>
      </c>
      <c r="E474" s="3" t="s">
        <v>1007</v>
      </c>
      <c r="F474" s="5" t="s">
        <v>1014</v>
      </c>
      <c r="G474" s="5">
        <v>1414211</v>
      </c>
      <c r="H474" s="15" t="s">
        <v>72</v>
      </c>
      <c r="I474" s="3" t="s">
        <v>1015</v>
      </c>
      <c r="J474" s="15" t="s">
        <v>72</v>
      </c>
      <c r="K474" s="3" t="s">
        <v>73</v>
      </c>
      <c r="L474" s="5" t="s">
        <v>8</v>
      </c>
      <c r="M474" s="3" t="s">
        <v>1010</v>
      </c>
      <c r="N474" s="3" t="s">
        <v>336</v>
      </c>
      <c r="O474" s="5" t="s">
        <v>72</v>
      </c>
      <c r="P474" s="5" t="s">
        <v>1011</v>
      </c>
      <c r="Q474" s="55"/>
      <c r="R474" s="15" t="s">
        <v>72</v>
      </c>
      <c r="S474" s="3" t="s">
        <v>77</v>
      </c>
      <c r="T474" s="3"/>
      <c r="U474" s="3"/>
      <c r="V474" s="3">
        <v>13</v>
      </c>
      <c r="W474" s="3">
        <f t="shared" si="15"/>
        <v>13</v>
      </c>
      <c r="X474" s="3">
        <f t="shared" si="15"/>
        <v>13</v>
      </c>
      <c r="Y474" s="3">
        <f>ROUNDDOWN(W474/HLOOKUP(D474,[2]Table!$C$3:$D$4,2,0)*8,2)</f>
        <v>0.23</v>
      </c>
      <c r="Z474" s="3">
        <v>0.12</v>
      </c>
      <c r="AA474" s="3" t="s">
        <v>110</v>
      </c>
      <c r="AB474" s="6">
        <v>43938</v>
      </c>
      <c r="AC474" s="6">
        <v>43937</v>
      </c>
      <c r="AD474" s="6">
        <v>43938</v>
      </c>
      <c r="AE474" s="6">
        <v>43937</v>
      </c>
      <c r="AF474" s="6">
        <v>43937</v>
      </c>
      <c r="AG474" s="12" t="s">
        <v>75</v>
      </c>
      <c r="AH474" s="8">
        <v>1</v>
      </c>
      <c r="AI474" s="8">
        <v>1</v>
      </c>
      <c r="AJ474" s="8">
        <v>1</v>
      </c>
      <c r="AK474" s="12" t="s">
        <v>8</v>
      </c>
      <c r="AL474" s="3"/>
      <c r="AM474" s="3"/>
      <c r="AN474" s="3"/>
      <c r="AW474" s="143"/>
    </row>
    <row r="475" spans="2:49" ht="15">
      <c r="B475" s="57">
        <f t="shared" si="13"/>
        <v>247</v>
      </c>
      <c r="C475" s="11">
        <v>20200416</v>
      </c>
      <c r="D475" s="3" t="s">
        <v>24</v>
      </c>
      <c r="E475" s="3" t="s">
        <v>1007</v>
      </c>
      <c r="F475" s="5" t="s">
        <v>1016</v>
      </c>
      <c r="G475" s="5">
        <v>1414211</v>
      </c>
      <c r="H475" s="15" t="s">
        <v>72</v>
      </c>
      <c r="I475" s="3" t="s">
        <v>1017</v>
      </c>
      <c r="J475" s="15" t="s">
        <v>72</v>
      </c>
      <c r="K475" s="3" t="s">
        <v>73</v>
      </c>
      <c r="L475" s="5" t="s">
        <v>8</v>
      </c>
      <c r="M475" s="3" t="s">
        <v>1010</v>
      </c>
      <c r="N475" s="3" t="s">
        <v>336</v>
      </c>
      <c r="O475" s="5" t="s">
        <v>72</v>
      </c>
      <c r="P475" s="5" t="s">
        <v>1011</v>
      </c>
      <c r="Q475" s="55"/>
      <c r="R475" s="15" t="s">
        <v>72</v>
      </c>
      <c r="S475" s="3" t="s">
        <v>77</v>
      </c>
      <c r="T475" s="3"/>
      <c r="U475" s="3"/>
      <c r="V475" s="3">
        <v>13</v>
      </c>
      <c r="W475" s="3">
        <f t="shared" si="15"/>
        <v>13</v>
      </c>
      <c r="X475" s="3">
        <f t="shared" si="15"/>
        <v>13</v>
      </c>
      <c r="Y475" s="3">
        <f>ROUNDDOWN(W475/HLOOKUP(D475,[2]Table!$C$3:$D$4,2,0)*8,2)</f>
        <v>0.23</v>
      </c>
      <c r="Z475" s="3">
        <v>0.12</v>
      </c>
      <c r="AA475" s="3" t="s">
        <v>110</v>
      </c>
      <c r="AB475" s="6">
        <v>43938</v>
      </c>
      <c r="AC475" s="6">
        <v>43937</v>
      </c>
      <c r="AD475" s="6">
        <v>43938</v>
      </c>
      <c r="AE475" s="6">
        <v>43937</v>
      </c>
      <c r="AF475" s="6">
        <v>43937</v>
      </c>
      <c r="AG475" s="12" t="s">
        <v>75</v>
      </c>
      <c r="AH475" s="8">
        <v>1</v>
      </c>
      <c r="AI475" s="8">
        <v>1</v>
      </c>
      <c r="AJ475" s="8">
        <v>1</v>
      </c>
      <c r="AK475" s="12" t="s">
        <v>8</v>
      </c>
      <c r="AL475" s="3"/>
      <c r="AM475" s="3"/>
      <c r="AN475" s="3"/>
      <c r="AW475" s="143"/>
    </row>
    <row r="476" spans="2:49" ht="15">
      <c r="B476" s="69">
        <f t="shared" si="13"/>
        <v>248</v>
      </c>
      <c r="C476" s="11">
        <v>20200416</v>
      </c>
      <c r="D476" s="3" t="s">
        <v>24</v>
      </c>
      <c r="E476" s="3" t="s">
        <v>1018</v>
      </c>
      <c r="F476" s="5" t="s">
        <v>1019</v>
      </c>
      <c r="G476" s="5">
        <v>1414361</v>
      </c>
      <c r="H476" s="15" t="s">
        <v>72</v>
      </c>
      <c r="I476" s="3" t="s">
        <v>1020</v>
      </c>
      <c r="J476" s="15" t="s">
        <v>72</v>
      </c>
      <c r="K476" s="88" t="s">
        <v>106</v>
      </c>
      <c r="L476" s="5" t="s">
        <v>8</v>
      </c>
      <c r="M476" s="3" t="s">
        <v>1021</v>
      </c>
      <c r="N476" s="3" t="s">
        <v>1022</v>
      </c>
      <c r="O476" s="5" t="s">
        <v>72</v>
      </c>
      <c r="P476" s="5" t="s">
        <v>1023</v>
      </c>
      <c r="Q476" s="55"/>
      <c r="R476" s="15" t="s">
        <v>72</v>
      </c>
      <c r="S476" s="3" t="s">
        <v>77</v>
      </c>
      <c r="T476" s="3"/>
      <c r="U476" s="3"/>
      <c r="V476" s="3">
        <v>28</v>
      </c>
      <c r="W476" s="3">
        <f t="shared" si="15"/>
        <v>28</v>
      </c>
      <c r="X476" s="3">
        <f t="shared" si="15"/>
        <v>28</v>
      </c>
      <c r="Y476" s="3">
        <f>ROUNDDOWN(W476/HLOOKUP(D476,[2]Table!$C$3:$D$4,2,0)*8,2)</f>
        <v>0.49</v>
      </c>
      <c r="Z476" s="3">
        <v>0.5</v>
      </c>
      <c r="AA476" s="3" t="s">
        <v>110</v>
      </c>
      <c r="AB476" s="6">
        <v>43938</v>
      </c>
      <c r="AC476" s="6">
        <v>43937</v>
      </c>
      <c r="AD476" s="6">
        <v>43938</v>
      </c>
      <c r="AE476" s="6">
        <v>43937</v>
      </c>
      <c r="AF476" s="6">
        <v>43937</v>
      </c>
      <c r="AG476" s="12" t="s">
        <v>75</v>
      </c>
      <c r="AH476" s="8">
        <v>1</v>
      </c>
      <c r="AI476" s="8">
        <v>1</v>
      </c>
      <c r="AJ476" s="8">
        <v>1</v>
      </c>
      <c r="AK476" s="12" t="s">
        <v>8</v>
      </c>
      <c r="AL476" s="3"/>
      <c r="AM476" s="3"/>
      <c r="AN476" s="3"/>
      <c r="AW476" s="143"/>
    </row>
    <row r="477" spans="2:49" ht="15">
      <c r="B477" s="69">
        <f t="shared" si="13"/>
        <v>249</v>
      </c>
      <c r="C477" s="11">
        <v>20200416</v>
      </c>
      <c r="D477" s="3" t="s">
        <v>24</v>
      </c>
      <c r="E477" s="3" t="s">
        <v>1018</v>
      </c>
      <c r="F477" s="5" t="s">
        <v>1024</v>
      </c>
      <c r="G477" s="5">
        <v>1414361</v>
      </c>
      <c r="H477" s="15" t="s">
        <v>72</v>
      </c>
      <c r="I477" s="3" t="s">
        <v>1025</v>
      </c>
      <c r="J477" s="15" t="s">
        <v>72</v>
      </c>
      <c r="K477" s="88" t="s">
        <v>106</v>
      </c>
      <c r="L477" s="5" t="s">
        <v>8</v>
      </c>
      <c r="M477" s="3" t="s">
        <v>1021</v>
      </c>
      <c r="N477" s="3" t="s">
        <v>1022</v>
      </c>
      <c r="O477" s="5" t="s">
        <v>72</v>
      </c>
      <c r="P477" s="5" t="s">
        <v>1023</v>
      </c>
      <c r="Q477" s="55"/>
      <c r="R477" s="15" t="s">
        <v>72</v>
      </c>
      <c r="S477" s="3" t="s">
        <v>77</v>
      </c>
      <c r="T477" s="3"/>
      <c r="U477" s="3"/>
      <c r="V477" s="3">
        <v>50</v>
      </c>
      <c r="W477" s="3">
        <f t="shared" si="15"/>
        <v>50</v>
      </c>
      <c r="X477" s="3">
        <f t="shared" si="15"/>
        <v>50</v>
      </c>
      <c r="Y477" s="3">
        <f>ROUNDDOWN(W477/HLOOKUP(D477,[2]Table!$C$3:$D$4,2,0)*8,2)</f>
        <v>0.88</v>
      </c>
      <c r="Z477" s="3">
        <v>1</v>
      </c>
      <c r="AA477" s="3" t="s">
        <v>110</v>
      </c>
      <c r="AB477" s="6">
        <v>43938</v>
      </c>
      <c r="AC477" s="6">
        <v>43937</v>
      </c>
      <c r="AD477" s="6">
        <v>43938</v>
      </c>
      <c r="AE477" s="6">
        <v>43937</v>
      </c>
      <c r="AF477" s="6">
        <v>43937</v>
      </c>
      <c r="AG477" s="12" t="s">
        <v>75</v>
      </c>
      <c r="AH477" s="8">
        <v>1</v>
      </c>
      <c r="AI477" s="8">
        <v>1</v>
      </c>
      <c r="AJ477" s="8">
        <v>1</v>
      </c>
      <c r="AK477" s="12" t="s">
        <v>8</v>
      </c>
      <c r="AL477" s="3"/>
      <c r="AM477" s="3"/>
      <c r="AN477" s="3"/>
      <c r="AW477" s="143"/>
    </row>
    <row r="478" spans="2:49" ht="15">
      <c r="B478" s="46">
        <f t="shared" si="13"/>
        <v>250</v>
      </c>
      <c r="C478" s="11">
        <v>20200416</v>
      </c>
      <c r="D478" s="3" t="s">
        <v>24</v>
      </c>
      <c r="E478" s="3" t="s">
        <v>1026</v>
      </c>
      <c r="F478" s="5" t="s">
        <v>1027</v>
      </c>
      <c r="G478" s="5">
        <v>1416225</v>
      </c>
      <c r="H478" s="15" t="s">
        <v>72</v>
      </c>
      <c r="I478" s="3" t="s">
        <v>267</v>
      </c>
      <c r="J478" s="15" t="s">
        <v>72</v>
      </c>
      <c r="K478" s="3" t="s">
        <v>73</v>
      </c>
      <c r="L478" s="3">
        <v>80412</v>
      </c>
      <c r="M478" s="3" t="s">
        <v>72</v>
      </c>
      <c r="N478" s="3" t="s">
        <v>1028</v>
      </c>
      <c r="O478" s="5" t="s">
        <v>72</v>
      </c>
      <c r="P478" s="5" t="s">
        <v>1029</v>
      </c>
      <c r="Q478" s="55"/>
      <c r="R478" s="15" t="s">
        <v>72</v>
      </c>
      <c r="S478" s="3" t="s">
        <v>573</v>
      </c>
      <c r="T478" s="3"/>
      <c r="U478" s="3"/>
      <c r="V478" s="3">
        <v>116</v>
      </c>
      <c r="W478" s="3">
        <f t="shared" si="15"/>
        <v>116</v>
      </c>
      <c r="X478" s="3">
        <f t="shared" si="15"/>
        <v>116</v>
      </c>
      <c r="Y478" s="3">
        <f>ROUNDDOWN(W478/HLOOKUP(D478,[2]Table!$C$3:$D$4,2,0)*8,2)</f>
        <v>2.06</v>
      </c>
      <c r="Z478" s="3">
        <v>2</v>
      </c>
      <c r="AA478" s="3" t="s">
        <v>110</v>
      </c>
      <c r="AB478" s="6">
        <v>43938</v>
      </c>
      <c r="AC478" s="6">
        <v>43937</v>
      </c>
      <c r="AD478" s="6">
        <v>43938</v>
      </c>
      <c r="AE478" s="6">
        <v>43938</v>
      </c>
      <c r="AF478" s="6">
        <v>43938</v>
      </c>
      <c r="AG478" s="12" t="s">
        <v>75</v>
      </c>
      <c r="AH478" s="8">
        <v>1</v>
      </c>
      <c r="AI478" s="8">
        <v>1</v>
      </c>
      <c r="AJ478" s="8">
        <v>1</v>
      </c>
      <c r="AK478" s="12" t="s">
        <v>8</v>
      </c>
      <c r="AL478" s="3"/>
      <c r="AM478" s="3"/>
      <c r="AN478" s="3"/>
      <c r="AW478" s="143"/>
    </row>
    <row r="479" spans="2:49" ht="15">
      <c r="B479" s="46">
        <f t="shared" si="13"/>
        <v>251</v>
      </c>
      <c r="C479" s="11">
        <v>20200416</v>
      </c>
      <c r="D479" s="3" t="s">
        <v>24</v>
      </c>
      <c r="E479" s="3" t="s">
        <v>1026</v>
      </c>
      <c r="F479" s="5" t="s">
        <v>1030</v>
      </c>
      <c r="G479" s="5">
        <v>1416225</v>
      </c>
      <c r="H479" s="15" t="s">
        <v>72</v>
      </c>
      <c r="I479" s="3" t="s">
        <v>265</v>
      </c>
      <c r="J479" s="15" t="s">
        <v>72</v>
      </c>
      <c r="K479" s="3" t="s">
        <v>73</v>
      </c>
      <c r="L479" s="3">
        <v>80412</v>
      </c>
      <c r="M479" s="3" t="s">
        <v>72</v>
      </c>
      <c r="N479" s="3" t="s">
        <v>1028</v>
      </c>
      <c r="O479" s="5" t="s">
        <v>72</v>
      </c>
      <c r="P479" s="5" t="s">
        <v>1029</v>
      </c>
      <c r="Q479" s="55"/>
      <c r="R479" s="15" t="s">
        <v>72</v>
      </c>
      <c r="S479" s="3" t="s">
        <v>573</v>
      </c>
      <c r="T479" s="3"/>
      <c r="U479" s="3"/>
      <c r="V479" s="3">
        <v>119</v>
      </c>
      <c r="W479" s="3">
        <f t="shared" si="15"/>
        <v>119</v>
      </c>
      <c r="X479" s="3">
        <f t="shared" si="15"/>
        <v>119</v>
      </c>
      <c r="Y479" s="3">
        <f>ROUNDDOWN(W479/HLOOKUP(D479,[2]Table!$C$3:$D$4,2,0)*8,2)</f>
        <v>2.11</v>
      </c>
      <c r="Z479" s="3">
        <v>2</v>
      </c>
      <c r="AA479" s="3" t="s">
        <v>110</v>
      </c>
      <c r="AB479" s="6">
        <v>43938</v>
      </c>
      <c r="AC479" s="6">
        <v>43937</v>
      </c>
      <c r="AD479" s="6">
        <v>43938</v>
      </c>
      <c r="AE479" s="6">
        <v>43938</v>
      </c>
      <c r="AF479" s="6">
        <v>43938</v>
      </c>
      <c r="AG479" s="12" t="s">
        <v>75</v>
      </c>
      <c r="AH479" s="8">
        <v>1</v>
      </c>
      <c r="AI479" s="8">
        <v>1</v>
      </c>
      <c r="AJ479" s="8">
        <v>1</v>
      </c>
      <c r="AK479" s="12" t="s">
        <v>8</v>
      </c>
      <c r="AL479" s="3"/>
      <c r="AM479" s="3"/>
      <c r="AN479" s="3"/>
      <c r="AW479" s="143"/>
    </row>
    <row r="480" spans="2:49" ht="15">
      <c r="B480" s="46">
        <f t="shared" si="13"/>
        <v>252</v>
      </c>
      <c r="C480" s="11">
        <v>20200416</v>
      </c>
      <c r="D480" s="3" t="s">
        <v>24</v>
      </c>
      <c r="E480" s="3" t="s">
        <v>1031</v>
      </c>
      <c r="F480" s="5" t="s">
        <v>1032</v>
      </c>
      <c r="G480" s="5">
        <v>1417633</v>
      </c>
      <c r="H480" s="15" t="s">
        <v>72</v>
      </c>
      <c r="I480" s="3" t="s">
        <v>120</v>
      </c>
      <c r="J480" s="15" t="s">
        <v>72</v>
      </c>
      <c r="K480" s="3" t="s">
        <v>73</v>
      </c>
      <c r="L480" s="5">
        <v>82105</v>
      </c>
      <c r="M480" s="3" t="s">
        <v>1033</v>
      </c>
      <c r="N480" s="3" t="s">
        <v>1034</v>
      </c>
      <c r="O480" s="5" t="s">
        <v>72</v>
      </c>
      <c r="P480" s="5" t="s">
        <v>1035</v>
      </c>
      <c r="Q480" s="55"/>
      <c r="R480" s="15" t="s">
        <v>72</v>
      </c>
      <c r="S480" s="3" t="s">
        <v>573</v>
      </c>
      <c r="T480" s="3"/>
      <c r="U480" s="3"/>
      <c r="V480" s="3">
        <v>55</v>
      </c>
      <c r="W480" s="24">
        <v>394</v>
      </c>
      <c r="X480" s="3">
        <f t="shared" si="15"/>
        <v>394</v>
      </c>
      <c r="Y480" s="3">
        <f>ROUNDDOWN(W480/HLOOKUP(D480,[2]Table!$C$3:$D$4,2,0)*8,2)</f>
        <v>7</v>
      </c>
      <c r="Z480" s="3">
        <v>2</v>
      </c>
      <c r="AA480" s="3" t="s">
        <v>110</v>
      </c>
      <c r="AB480" s="6">
        <v>43938</v>
      </c>
      <c r="AC480" s="6">
        <v>43937</v>
      </c>
      <c r="AD480" s="6">
        <v>43938</v>
      </c>
      <c r="AE480" s="6">
        <v>43938</v>
      </c>
      <c r="AF480" s="6">
        <v>43938</v>
      </c>
      <c r="AG480" s="12" t="s">
        <v>75</v>
      </c>
      <c r="AH480" s="8">
        <v>1</v>
      </c>
      <c r="AI480" s="8">
        <v>1</v>
      </c>
      <c r="AJ480" s="8">
        <v>1</v>
      </c>
      <c r="AK480" s="12" t="s">
        <v>8</v>
      </c>
      <c r="AL480" s="3"/>
      <c r="AM480" s="3"/>
      <c r="AN480" s="3" t="s">
        <v>1036</v>
      </c>
      <c r="AW480" s="143"/>
    </row>
    <row r="481" spans="2:49" ht="15">
      <c r="B481" s="46">
        <f t="shared" si="13"/>
        <v>253</v>
      </c>
      <c r="C481" s="11">
        <v>20200416</v>
      </c>
      <c r="D481" s="3" t="s">
        <v>24</v>
      </c>
      <c r="E481" s="3" t="s">
        <v>1031</v>
      </c>
      <c r="F481" s="5" t="s">
        <v>1037</v>
      </c>
      <c r="G481" s="5">
        <v>1417633</v>
      </c>
      <c r="H481" s="15" t="s">
        <v>72</v>
      </c>
      <c r="I481" s="3" t="s">
        <v>1038</v>
      </c>
      <c r="J481" s="15" t="s">
        <v>72</v>
      </c>
      <c r="K481" s="3" t="s">
        <v>73</v>
      </c>
      <c r="L481" s="5">
        <v>82105</v>
      </c>
      <c r="M481" s="3" t="s">
        <v>1033</v>
      </c>
      <c r="N481" s="3" t="s">
        <v>1034</v>
      </c>
      <c r="O481" s="5" t="s">
        <v>72</v>
      </c>
      <c r="P481" s="5" t="s">
        <v>1035</v>
      </c>
      <c r="Q481" s="55"/>
      <c r="R481" s="15" t="s">
        <v>72</v>
      </c>
      <c r="S481" s="3" t="s">
        <v>573</v>
      </c>
      <c r="T481" s="3"/>
      <c r="U481" s="3"/>
      <c r="V481" s="3">
        <v>21</v>
      </c>
      <c r="W481" s="3">
        <f t="shared" si="15"/>
        <v>21</v>
      </c>
      <c r="X481" s="3">
        <f t="shared" si="15"/>
        <v>21</v>
      </c>
      <c r="Y481" s="3">
        <f>ROUNDDOWN(W481/HLOOKUP(D481,[2]Table!$C$3:$D$4,2,0)*8,2)</f>
        <v>0.37</v>
      </c>
      <c r="Z481" s="3">
        <v>2</v>
      </c>
      <c r="AA481" s="3" t="s">
        <v>110</v>
      </c>
      <c r="AB481" s="6">
        <v>43938</v>
      </c>
      <c r="AC481" s="6">
        <v>43937</v>
      </c>
      <c r="AD481" s="6">
        <v>43938</v>
      </c>
      <c r="AE481" s="6">
        <v>43938</v>
      </c>
      <c r="AF481" s="6">
        <v>43938</v>
      </c>
      <c r="AG481" s="12" t="s">
        <v>75</v>
      </c>
      <c r="AH481" s="8">
        <v>1</v>
      </c>
      <c r="AI481" s="8">
        <v>1</v>
      </c>
      <c r="AJ481" s="8">
        <v>1</v>
      </c>
      <c r="AK481" s="12" t="s">
        <v>8</v>
      </c>
      <c r="AL481" s="3"/>
      <c r="AM481" s="3"/>
      <c r="AN481" s="3"/>
      <c r="AW481" s="143"/>
    </row>
    <row r="482" spans="2:49" ht="15">
      <c r="B482" s="89">
        <f t="shared" si="13"/>
        <v>254</v>
      </c>
      <c r="C482" s="55">
        <v>20200416</v>
      </c>
      <c r="D482" s="55" t="s">
        <v>24</v>
      </c>
      <c r="E482" s="55" t="s">
        <v>1039</v>
      </c>
      <c r="F482" s="61" t="s">
        <v>1040</v>
      </c>
      <c r="G482" s="61">
        <v>1413225</v>
      </c>
      <c r="H482" s="15" t="s">
        <v>72</v>
      </c>
      <c r="I482" s="3" t="s">
        <v>955</v>
      </c>
      <c r="J482" s="15" t="s">
        <v>72</v>
      </c>
      <c r="K482" s="3" t="s">
        <v>73</v>
      </c>
      <c r="L482" s="5">
        <v>80329</v>
      </c>
      <c r="M482" s="3" t="s">
        <v>1041</v>
      </c>
      <c r="N482" s="3" t="s">
        <v>1042</v>
      </c>
      <c r="O482" s="5" t="s">
        <v>72</v>
      </c>
      <c r="P482" s="5" t="s">
        <v>1043</v>
      </c>
      <c r="Q482" s="55"/>
      <c r="R482" s="15"/>
      <c r="S482" s="3" t="s">
        <v>903</v>
      </c>
      <c r="T482" s="3"/>
      <c r="U482" s="3"/>
      <c r="V482" s="3">
        <v>199</v>
      </c>
      <c r="W482" s="3">
        <f t="shared" si="15"/>
        <v>199</v>
      </c>
      <c r="X482" s="3">
        <f t="shared" si="15"/>
        <v>199</v>
      </c>
      <c r="Y482" s="3">
        <f>ROUNDDOWN(W482/HLOOKUP(D482,[2]Table!$C$3:$D$4,2,0)*8,2)</f>
        <v>3.53</v>
      </c>
      <c r="Z482" s="3">
        <v>3</v>
      </c>
      <c r="AA482" s="3" t="s">
        <v>110</v>
      </c>
      <c r="AB482" s="6">
        <v>43938</v>
      </c>
      <c r="AC482" s="6">
        <v>43937</v>
      </c>
      <c r="AD482" s="6">
        <v>43938</v>
      </c>
      <c r="AE482" s="6">
        <v>43938</v>
      </c>
      <c r="AF482" s="6">
        <v>43938</v>
      </c>
      <c r="AG482" s="12" t="s">
        <v>75</v>
      </c>
      <c r="AH482" s="8">
        <v>1</v>
      </c>
      <c r="AI482" s="8">
        <v>1</v>
      </c>
      <c r="AJ482" s="8">
        <v>1</v>
      </c>
      <c r="AK482" s="12" t="s">
        <v>8</v>
      </c>
      <c r="AL482" s="3"/>
      <c r="AM482" s="3"/>
      <c r="AN482" s="3"/>
      <c r="AW482" s="143"/>
    </row>
    <row r="483" spans="2:49" ht="15">
      <c r="B483" s="89">
        <f t="shared" si="13"/>
        <v>255</v>
      </c>
      <c r="C483" s="55">
        <v>20200416</v>
      </c>
      <c r="D483" s="55" t="s">
        <v>24</v>
      </c>
      <c r="E483" s="55" t="s">
        <v>1039</v>
      </c>
      <c r="F483" s="61" t="s">
        <v>1040</v>
      </c>
      <c r="G483" s="61">
        <v>1413225</v>
      </c>
      <c r="H483" s="15" t="s">
        <v>72</v>
      </c>
      <c r="I483" s="3" t="s">
        <v>956</v>
      </c>
      <c r="J483" s="15" t="s">
        <v>72</v>
      </c>
      <c r="K483" s="3" t="s">
        <v>73</v>
      </c>
      <c r="L483" s="5">
        <v>80329</v>
      </c>
      <c r="M483" s="3" t="s">
        <v>1041</v>
      </c>
      <c r="N483" s="3" t="s">
        <v>1042</v>
      </c>
      <c r="O483" s="5" t="s">
        <v>72</v>
      </c>
      <c r="P483" s="5" t="s">
        <v>1043</v>
      </c>
      <c r="Q483" s="55"/>
      <c r="R483" s="15"/>
      <c r="S483" s="3" t="s">
        <v>903</v>
      </c>
      <c r="T483" s="3"/>
      <c r="U483" s="3"/>
      <c r="V483" s="3">
        <v>6</v>
      </c>
      <c r="W483" s="3">
        <f t="shared" si="15"/>
        <v>6</v>
      </c>
      <c r="X483" s="3">
        <f t="shared" si="15"/>
        <v>6</v>
      </c>
      <c r="Y483" s="3">
        <f>ROUNDDOWN(W483/HLOOKUP(D483,[2]Table!$C$3:$D$4,2,0)*8,2)</f>
        <v>0.1</v>
      </c>
      <c r="Z483" s="3">
        <v>0.1</v>
      </c>
      <c r="AA483" s="3" t="s">
        <v>110</v>
      </c>
      <c r="AB483" s="6">
        <v>43938</v>
      </c>
      <c r="AC483" s="6">
        <v>43937</v>
      </c>
      <c r="AD483" s="6">
        <v>43938</v>
      </c>
      <c r="AE483" s="6">
        <v>43938</v>
      </c>
      <c r="AF483" s="6">
        <v>43938</v>
      </c>
      <c r="AG483" s="12" t="s">
        <v>75</v>
      </c>
      <c r="AH483" s="83" t="s">
        <v>72</v>
      </c>
      <c r="AI483" s="83" t="s">
        <v>72</v>
      </c>
      <c r="AJ483" s="83" t="s">
        <v>72</v>
      </c>
      <c r="AK483" s="12" t="s">
        <v>8</v>
      </c>
      <c r="AL483" s="3"/>
      <c r="AM483" s="3"/>
      <c r="AN483" s="3" t="s">
        <v>574</v>
      </c>
      <c r="AW483" s="143"/>
    </row>
    <row r="484" spans="2:49" ht="15">
      <c r="B484" s="89">
        <f t="shared" si="13"/>
        <v>256</v>
      </c>
      <c r="C484" s="55">
        <v>20200416</v>
      </c>
      <c r="D484" s="55" t="s">
        <v>24</v>
      </c>
      <c r="E484" s="55" t="s">
        <v>1039</v>
      </c>
      <c r="F484" s="61" t="s">
        <v>1040</v>
      </c>
      <c r="G484" s="61">
        <v>1413225</v>
      </c>
      <c r="H484" s="15" t="s">
        <v>72</v>
      </c>
      <c r="I484" s="3" t="s">
        <v>270</v>
      </c>
      <c r="J484" s="15" t="s">
        <v>72</v>
      </c>
      <c r="K484" s="3" t="s">
        <v>73</v>
      </c>
      <c r="L484" s="5">
        <v>80329</v>
      </c>
      <c r="M484" s="3" t="s">
        <v>1041</v>
      </c>
      <c r="N484" s="3" t="s">
        <v>1042</v>
      </c>
      <c r="O484" s="5" t="s">
        <v>72</v>
      </c>
      <c r="P484" s="5" t="s">
        <v>1043</v>
      </c>
      <c r="Q484" s="55"/>
      <c r="R484" s="15"/>
      <c r="S484" s="3" t="s">
        <v>903</v>
      </c>
      <c r="T484" s="3"/>
      <c r="U484" s="3"/>
      <c r="V484" s="3">
        <v>72</v>
      </c>
      <c r="W484" s="3">
        <f t="shared" si="15"/>
        <v>72</v>
      </c>
      <c r="X484" s="3">
        <f t="shared" si="15"/>
        <v>72</v>
      </c>
      <c r="Y484" s="3">
        <f>ROUNDDOWN(W484/HLOOKUP(D484,[2]Table!$C$3:$D$4,2,0)*8,2)</f>
        <v>1.28</v>
      </c>
      <c r="Z484" s="3">
        <v>1</v>
      </c>
      <c r="AA484" s="3" t="s">
        <v>110</v>
      </c>
      <c r="AB484" s="6">
        <v>43938</v>
      </c>
      <c r="AC484" s="6">
        <v>43937</v>
      </c>
      <c r="AD484" s="6">
        <v>43938</v>
      </c>
      <c r="AE484" s="6">
        <v>43938</v>
      </c>
      <c r="AF484" s="6">
        <v>43938</v>
      </c>
      <c r="AG484" s="12" t="s">
        <v>75</v>
      </c>
      <c r="AH484" s="8">
        <v>1</v>
      </c>
      <c r="AI484" s="8">
        <v>1</v>
      </c>
      <c r="AJ484" s="8">
        <v>1</v>
      </c>
      <c r="AK484" s="12" t="s">
        <v>8</v>
      </c>
      <c r="AL484" s="3"/>
      <c r="AM484" s="3"/>
      <c r="AN484" s="3"/>
      <c r="AW484" s="143"/>
    </row>
    <row r="485" spans="2:49" ht="15">
      <c r="B485" s="90">
        <f t="shared" si="13"/>
        <v>257</v>
      </c>
      <c r="C485" s="11" t="s">
        <v>1044</v>
      </c>
      <c r="D485" s="3" t="s">
        <v>24</v>
      </c>
      <c r="E485" s="3" t="s">
        <v>1045</v>
      </c>
      <c r="F485" s="39" t="s">
        <v>1046</v>
      </c>
      <c r="G485" s="5">
        <v>1411690</v>
      </c>
      <c r="H485" s="15" t="s">
        <v>72</v>
      </c>
      <c r="I485" s="3" t="s">
        <v>1047</v>
      </c>
      <c r="J485" s="15" t="s">
        <v>72</v>
      </c>
      <c r="K485" s="3" t="s">
        <v>73</v>
      </c>
      <c r="L485" s="3">
        <v>81519</v>
      </c>
      <c r="M485" s="3" t="s">
        <v>72</v>
      </c>
      <c r="N485" s="3" t="s">
        <v>1048</v>
      </c>
      <c r="O485" s="5" t="s">
        <v>72</v>
      </c>
      <c r="P485" s="5" t="s">
        <v>1043</v>
      </c>
      <c r="Q485" s="55"/>
      <c r="R485" s="15" t="s">
        <v>72</v>
      </c>
      <c r="S485" s="3" t="s">
        <v>78</v>
      </c>
      <c r="T485" s="3"/>
      <c r="U485" s="3"/>
      <c r="V485" s="3">
        <v>1434</v>
      </c>
      <c r="W485" s="3">
        <f t="shared" si="15"/>
        <v>1434</v>
      </c>
      <c r="X485" s="3">
        <f>W485</f>
        <v>1434</v>
      </c>
      <c r="Y485" s="3">
        <f>ROUNDDOWN(W485/HLOOKUP(D485,[2]Table!$C$3:$D$4,2,0)*8,2)</f>
        <v>25.49</v>
      </c>
      <c r="Z485" s="3">
        <v>3</v>
      </c>
      <c r="AA485" s="3" t="s">
        <v>110</v>
      </c>
      <c r="AB485" s="91">
        <v>43945</v>
      </c>
      <c r="AC485" s="6">
        <v>43941</v>
      </c>
      <c r="AD485" s="6">
        <v>43945</v>
      </c>
      <c r="AE485" s="6">
        <v>43943</v>
      </c>
      <c r="AF485" s="6">
        <v>43943</v>
      </c>
      <c r="AG485" s="12" t="s">
        <v>79</v>
      </c>
      <c r="AH485" s="8">
        <v>1</v>
      </c>
      <c r="AI485" s="8">
        <v>0.99</v>
      </c>
      <c r="AJ485" s="92">
        <v>0.96</v>
      </c>
      <c r="AK485" s="12" t="s">
        <v>76</v>
      </c>
      <c r="AL485" s="85" t="s">
        <v>1049</v>
      </c>
      <c r="AM485" s="3"/>
      <c r="AN485" s="3" t="s">
        <v>895</v>
      </c>
      <c r="AW485" s="143"/>
    </row>
    <row r="486" spans="2:49" ht="15">
      <c r="B486" s="90">
        <f t="shared" si="13"/>
        <v>258</v>
      </c>
      <c r="C486" s="11" t="s">
        <v>1044</v>
      </c>
      <c r="D486" s="3" t="s">
        <v>24</v>
      </c>
      <c r="E486" s="3" t="s">
        <v>1045</v>
      </c>
      <c r="F486" s="39" t="s">
        <v>1050</v>
      </c>
      <c r="G486" s="5">
        <v>1411690</v>
      </c>
      <c r="H486" s="15" t="s">
        <v>72</v>
      </c>
      <c r="I486" s="3" t="s">
        <v>1051</v>
      </c>
      <c r="J486" s="15" t="s">
        <v>72</v>
      </c>
      <c r="K486" s="3" t="s">
        <v>73</v>
      </c>
      <c r="L486" s="3">
        <v>81519</v>
      </c>
      <c r="M486" s="3" t="s">
        <v>72</v>
      </c>
      <c r="N486" s="3" t="s">
        <v>1048</v>
      </c>
      <c r="O486" s="5" t="s">
        <v>72</v>
      </c>
      <c r="P486" s="5" t="s">
        <v>1043</v>
      </c>
      <c r="Q486" s="55"/>
      <c r="R486" s="15" t="s">
        <v>72</v>
      </c>
      <c r="S486" s="3" t="s">
        <v>959</v>
      </c>
      <c r="T486" s="3"/>
      <c r="U486" s="3"/>
      <c r="V486" s="3">
        <v>75</v>
      </c>
      <c r="W486" s="3">
        <f t="shared" si="15"/>
        <v>75</v>
      </c>
      <c r="X486" s="3">
        <f>W486</f>
        <v>75</v>
      </c>
      <c r="Y486" s="3">
        <f>ROUNDDOWN(W486/HLOOKUP(D486,[2]Table!$C$3:$D$4,2,0)*8,2)</f>
        <v>1.33</v>
      </c>
      <c r="Z486" s="3">
        <v>0.5</v>
      </c>
      <c r="AA486" s="3" t="s">
        <v>110</v>
      </c>
      <c r="AB486" s="91">
        <v>43945</v>
      </c>
      <c r="AC486" s="6">
        <v>43941</v>
      </c>
      <c r="AD486" s="6">
        <v>43945</v>
      </c>
      <c r="AE486" s="6">
        <v>43944</v>
      </c>
      <c r="AF486" s="6">
        <v>43944</v>
      </c>
      <c r="AG486" s="12" t="s">
        <v>75</v>
      </c>
      <c r="AH486" s="8">
        <v>1</v>
      </c>
      <c r="AI486" s="8">
        <v>1</v>
      </c>
      <c r="AJ486" s="8">
        <v>1</v>
      </c>
      <c r="AK486" s="12" t="s">
        <v>8</v>
      </c>
      <c r="AL486" s="3"/>
      <c r="AM486" s="3"/>
      <c r="AN486" s="3"/>
      <c r="AW486" s="143"/>
    </row>
    <row r="487" spans="2:49" ht="15">
      <c r="B487" s="90">
        <f t="shared" si="13"/>
        <v>259</v>
      </c>
      <c r="C487" s="93" t="s">
        <v>1044</v>
      </c>
      <c r="D487" s="93" t="s">
        <v>24</v>
      </c>
      <c r="E487" s="93" t="s">
        <v>1045</v>
      </c>
      <c r="F487" s="94" t="s">
        <v>1052</v>
      </c>
      <c r="G487" s="95">
        <v>1411690</v>
      </c>
      <c r="H487" s="15" t="s">
        <v>72</v>
      </c>
      <c r="I487" s="93" t="s">
        <v>1053</v>
      </c>
      <c r="J487" s="15" t="s">
        <v>72</v>
      </c>
      <c r="K487" s="93" t="s">
        <v>73</v>
      </c>
      <c r="L487" s="93">
        <v>81519</v>
      </c>
      <c r="M487" s="93" t="s">
        <v>72</v>
      </c>
      <c r="N487" s="93" t="s">
        <v>1048</v>
      </c>
      <c r="O487" s="95" t="s">
        <v>72</v>
      </c>
      <c r="P487" s="95" t="s">
        <v>1043</v>
      </c>
      <c r="Q487" s="55"/>
      <c r="R487" s="15" t="s">
        <v>72</v>
      </c>
      <c r="S487" s="93" t="s">
        <v>959</v>
      </c>
      <c r="T487" s="93"/>
      <c r="U487" s="93"/>
      <c r="V487" s="93">
        <v>166</v>
      </c>
      <c r="W487" s="93">
        <f t="shared" si="15"/>
        <v>166</v>
      </c>
      <c r="X487" s="93">
        <f>W487</f>
        <v>166</v>
      </c>
      <c r="Y487" s="93">
        <f>ROUNDDOWN(W487/HLOOKUP(D487,[2]Table!$C$3:$D$4,2,0)*8,2)</f>
        <v>2.95</v>
      </c>
      <c r="Z487" s="11">
        <v>0.5</v>
      </c>
      <c r="AA487" s="3" t="s">
        <v>110</v>
      </c>
      <c r="AB487" s="91">
        <v>43945</v>
      </c>
      <c r="AC487" s="6">
        <v>43941</v>
      </c>
      <c r="AD487" s="96">
        <v>43945</v>
      </c>
      <c r="AE487" s="51">
        <v>43944</v>
      </c>
      <c r="AF487" s="51">
        <v>43944</v>
      </c>
      <c r="AG487" s="97" t="s">
        <v>75</v>
      </c>
      <c r="AH487" s="92">
        <v>1</v>
      </c>
      <c r="AI487" s="92">
        <v>1</v>
      </c>
      <c r="AJ487" s="92">
        <v>1</v>
      </c>
      <c r="AK487" s="12" t="s">
        <v>8</v>
      </c>
      <c r="AL487" s="93"/>
      <c r="AM487" s="93"/>
      <c r="AN487" s="93"/>
      <c r="AW487" s="143"/>
    </row>
    <row r="488" spans="2:49" ht="15">
      <c r="B488" s="90">
        <f t="shared" si="13"/>
        <v>260</v>
      </c>
      <c r="C488" s="11" t="s">
        <v>1044</v>
      </c>
      <c r="D488" s="3" t="s">
        <v>24</v>
      </c>
      <c r="E488" s="3" t="s">
        <v>1045</v>
      </c>
      <c r="F488" s="39" t="s">
        <v>1054</v>
      </c>
      <c r="G488" s="5">
        <v>1411690</v>
      </c>
      <c r="H488" s="15" t="s">
        <v>72</v>
      </c>
      <c r="I488" s="3" t="s">
        <v>1055</v>
      </c>
      <c r="J488" s="15" t="s">
        <v>72</v>
      </c>
      <c r="K488" s="3" t="s">
        <v>73</v>
      </c>
      <c r="L488" s="3">
        <v>81519</v>
      </c>
      <c r="M488" s="3" t="s">
        <v>72</v>
      </c>
      <c r="N488" s="3" t="s">
        <v>1048</v>
      </c>
      <c r="O488" s="5" t="s">
        <v>72</v>
      </c>
      <c r="P488" s="5" t="s">
        <v>1043</v>
      </c>
      <c r="Q488" s="55"/>
      <c r="R488" s="15" t="s">
        <v>72</v>
      </c>
      <c r="S488" s="3" t="s">
        <v>74</v>
      </c>
      <c r="T488" s="3"/>
      <c r="U488" s="3"/>
      <c r="V488" s="3">
        <v>46</v>
      </c>
      <c r="W488" s="3">
        <f t="shared" si="15"/>
        <v>46</v>
      </c>
      <c r="X488" s="3">
        <f>W488</f>
        <v>46</v>
      </c>
      <c r="Y488" s="3">
        <f>ROUNDDOWN(W488/HLOOKUP(D488,[2]Table!$C$3:$D$4,2,0)*8,2)</f>
        <v>0.81</v>
      </c>
      <c r="Z488" s="3">
        <v>2</v>
      </c>
      <c r="AA488" s="3" t="s">
        <v>110</v>
      </c>
      <c r="AB488" s="91">
        <v>43945</v>
      </c>
      <c r="AC488" s="6">
        <v>43941</v>
      </c>
      <c r="AD488" s="6">
        <v>43945</v>
      </c>
      <c r="AE488" s="6">
        <v>43944</v>
      </c>
      <c r="AF488" s="6">
        <v>43944</v>
      </c>
      <c r="AG488" s="12" t="s">
        <v>75</v>
      </c>
      <c r="AH488" s="8">
        <v>1</v>
      </c>
      <c r="AI488" s="8">
        <v>1</v>
      </c>
      <c r="AJ488" s="8">
        <v>1</v>
      </c>
      <c r="AK488" s="12" t="s">
        <v>8</v>
      </c>
      <c r="AL488" s="3"/>
      <c r="AM488" s="3"/>
      <c r="AN488" s="3"/>
      <c r="AW488" s="143"/>
    </row>
    <row r="489" spans="2:49" ht="15">
      <c r="B489" s="90">
        <f t="shared" si="13"/>
        <v>261</v>
      </c>
      <c r="C489" s="11" t="s">
        <v>1044</v>
      </c>
      <c r="D489" s="3" t="s">
        <v>24</v>
      </c>
      <c r="E489" s="3" t="s">
        <v>1056</v>
      </c>
      <c r="F489" s="39" t="s">
        <v>1057</v>
      </c>
      <c r="G489" s="5">
        <v>1411700</v>
      </c>
      <c r="H489" s="15" t="s">
        <v>72</v>
      </c>
      <c r="I489" s="3" t="s">
        <v>1055</v>
      </c>
      <c r="J489" s="15" t="s">
        <v>72</v>
      </c>
      <c r="K489" s="3" t="s">
        <v>73</v>
      </c>
      <c r="L489" s="3">
        <v>81518</v>
      </c>
      <c r="M489" s="3" t="s">
        <v>1058</v>
      </c>
      <c r="N489" s="98" t="s">
        <v>1059</v>
      </c>
      <c r="O489" s="5" t="s">
        <v>72</v>
      </c>
      <c r="P489" s="5" t="s">
        <v>1043</v>
      </c>
      <c r="Q489" s="55"/>
      <c r="R489" s="15" t="s">
        <v>72</v>
      </c>
      <c r="S489" s="3" t="s">
        <v>959</v>
      </c>
      <c r="T489" s="3"/>
      <c r="U489" s="3"/>
      <c r="V489" s="3">
        <v>9</v>
      </c>
      <c r="W489" s="55">
        <v>60</v>
      </c>
      <c r="X489" s="3">
        <v>60</v>
      </c>
      <c r="Y489" s="3">
        <f>ROUNDDOWN(W489/HLOOKUP(D489,[2]Table!$C$3:$D$4,2,0)*8,2)</f>
        <v>1.06</v>
      </c>
      <c r="Z489" s="3">
        <v>0.25</v>
      </c>
      <c r="AA489" s="3" t="s">
        <v>110</v>
      </c>
      <c r="AB489" s="91">
        <v>43945</v>
      </c>
      <c r="AC489" s="6">
        <v>43941</v>
      </c>
      <c r="AD489" s="6">
        <v>43945</v>
      </c>
      <c r="AE489" s="6">
        <v>43944</v>
      </c>
      <c r="AF489" s="6">
        <v>43944</v>
      </c>
      <c r="AG489" s="12" t="s">
        <v>75</v>
      </c>
      <c r="AH489" s="8">
        <v>1</v>
      </c>
      <c r="AI489" s="8">
        <v>1</v>
      </c>
      <c r="AJ489" s="8">
        <v>1</v>
      </c>
      <c r="AK489" s="12" t="s">
        <v>8</v>
      </c>
      <c r="AL489" s="3"/>
      <c r="AM489" s="3"/>
      <c r="AN489" s="3" t="s">
        <v>1060</v>
      </c>
      <c r="AW489" s="143"/>
    </row>
    <row r="490" spans="2:49" ht="15">
      <c r="B490" s="90">
        <f t="shared" si="13"/>
        <v>262</v>
      </c>
      <c r="C490" s="11" t="s">
        <v>1044</v>
      </c>
      <c r="D490" s="11" t="s">
        <v>24</v>
      </c>
      <c r="E490" s="11" t="s">
        <v>1061</v>
      </c>
      <c r="F490" s="1" t="s">
        <v>1062</v>
      </c>
      <c r="G490" s="26">
        <v>1392220</v>
      </c>
      <c r="H490" s="15" t="s">
        <v>72</v>
      </c>
      <c r="I490" s="11" t="s">
        <v>1063</v>
      </c>
      <c r="J490" s="15" t="s">
        <v>72</v>
      </c>
      <c r="K490" s="3" t="s">
        <v>73</v>
      </c>
      <c r="L490" s="11" t="s">
        <v>8</v>
      </c>
      <c r="M490" s="11" t="s">
        <v>1064</v>
      </c>
      <c r="N490" s="99" t="s">
        <v>1065</v>
      </c>
      <c r="O490" s="5" t="s">
        <v>72</v>
      </c>
      <c r="P490" s="26" t="s">
        <v>1066</v>
      </c>
      <c r="Q490" s="55"/>
      <c r="R490" s="15" t="s">
        <v>72</v>
      </c>
      <c r="S490" s="11" t="s">
        <v>959</v>
      </c>
      <c r="T490" s="11"/>
      <c r="U490" s="11"/>
      <c r="V490" s="11">
        <v>221</v>
      </c>
      <c r="W490" s="11">
        <f t="shared" si="15"/>
        <v>221</v>
      </c>
      <c r="X490" s="11">
        <f t="shared" si="15"/>
        <v>221</v>
      </c>
      <c r="Y490" s="11">
        <f>ROUNDDOWN(W490/HLOOKUP(D490,[2]Table!$C$3:$D$4,2,0)*8,2)</f>
        <v>3.92</v>
      </c>
      <c r="Z490" s="11">
        <v>2</v>
      </c>
      <c r="AA490" s="11" t="s">
        <v>110</v>
      </c>
      <c r="AB490" s="51">
        <v>43942</v>
      </c>
      <c r="AC490" s="6">
        <v>43941</v>
      </c>
      <c r="AD490" s="51">
        <v>43942</v>
      </c>
      <c r="AE490" s="51">
        <v>43941</v>
      </c>
      <c r="AF490" s="51">
        <v>43941</v>
      </c>
      <c r="AG490" s="12" t="s">
        <v>75</v>
      </c>
      <c r="AH490" s="92">
        <v>1</v>
      </c>
      <c r="AI490" s="92">
        <v>1</v>
      </c>
      <c r="AJ490" s="92">
        <v>1</v>
      </c>
      <c r="AK490" s="12" t="s">
        <v>8</v>
      </c>
      <c r="AL490" s="11"/>
      <c r="AM490" s="11"/>
      <c r="AN490" s="11"/>
      <c r="AW490" s="143"/>
    </row>
    <row r="491" spans="2:49" ht="15">
      <c r="B491" s="90">
        <f t="shared" si="13"/>
        <v>263</v>
      </c>
      <c r="C491" s="11" t="s">
        <v>1044</v>
      </c>
      <c r="D491" s="3" t="s">
        <v>24</v>
      </c>
      <c r="E491" s="3" t="s">
        <v>1061</v>
      </c>
      <c r="F491" s="1" t="s">
        <v>1067</v>
      </c>
      <c r="G491" s="5">
        <v>1392220</v>
      </c>
      <c r="H491" s="15" t="s">
        <v>72</v>
      </c>
      <c r="I491" s="3" t="s">
        <v>1068</v>
      </c>
      <c r="J491" s="15" t="s">
        <v>72</v>
      </c>
      <c r="K491" s="3" t="s">
        <v>73</v>
      </c>
      <c r="L491" s="3" t="s">
        <v>8</v>
      </c>
      <c r="M491" s="3" t="s">
        <v>1064</v>
      </c>
      <c r="N491" s="3" t="s">
        <v>1065</v>
      </c>
      <c r="O491" s="5" t="s">
        <v>72</v>
      </c>
      <c r="P491" s="5" t="s">
        <v>1066</v>
      </c>
      <c r="Q491" s="55"/>
      <c r="R491" s="15" t="s">
        <v>72</v>
      </c>
      <c r="S491" s="3" t="s">
        <v>74</v>
      </c>
      <c r="T491" s="3"/>
      <c r="U491" s="3"/>
      <c r="V491" s="3">
        <v>919</v>
      </c>
      <c r="W491" s="3">
        <f t="shared" si="15"/>
        <v>919</v>
      </c>
      <c r="X491" s="11">
        <f t="shared" si="15"/>
        <v>919</v>
      </c>
      <c r="Y491" s="3">
        <f>ROUNDDOWN(W491/HLOOKUP(D491,[2]Table!$C$3:$D$4,2,0)*8,2)</f>
        <v>16.329999999999998</v>
      </c>
      <c r="Z491" s="3">
        <v>14</v>
      </c>
      <c r="AA491" s="3" t="s">
        <v>110</v>
      </c>
      <c r="AB491" s="51">
        <v>43942</v>
      </c>
      <c r="AC491" s="6">
        <v>43941</v>
      </c>
      <c r="AD491" s="6">
        <v>43942</v>
      </c>
      <c r="AE491" s="51">
        <v>43941</v>
      </c>
      <c r="AF491" s="6">
        <v>43942</v>
      </c>
      <c r="AG491" s="12" t="s">
        <v>79</v>
      </c>
      <c r="AH491" s="8">
        <v>1</v>
      </c>
      <c r="AI491" s="8">
        <v>1</v>
      </c>
      <c r="AJ491" s="8">
        <v>0.98</v>
      </c>
      <c r="AK491" s="12" t="s">
        <v>76</v>
      </c>
      <c r="AL491" s="3" t="s">
        <v>1069</v>
      </c>
      <c r="AM491" s="3"/>
      <c r="AN491" s="3" t="s">
        <v>895</v>
      </c>
      <c r="AW491" s="143"/>
    </row>
    <row r="492" spans="2:49" ht="15">
      <c r="B492" s="90">
        <f t="shared" si="13"/>
        <v>264</v>
      </c>
      <c r="C492" s="11" t="s">
        <v>1044</v>
      </c>
      <c r="D492" s="11" t="s">
        <v>24</v>
      </c>
      <c r="E492" s="11" t="s">
        <v>581</v>
      </c>
      <c r="F492" s="100" t="s">
        <v>1070</v>
      </c>
      <c r="G492" s="26">
        <v>1409871</v>
      </c>
      <c r="H492" s="15" t="s">
        <v>72</v>
      </c>
      <c r="I492" s="11" t="s">
        <v>241</v>
      </c>
      <c r="J492" s="15" t="s">
        <v>72</v>
      </c>
      <c r="K492" s="11" t="s">
        <v>73</v>
      </c>
      <c r="L492" s="11">
        <v>82225</v>
      </c>
      <c r="M492" s="11" t="s">
        <v>585</v>
      </c>
      <c r="N492" s="11" t="s">
        <v>1071</v>
      </c>
      <c r="O492" s="26" t="s">
        <v>72</v>
      </c>
      <c r="P492" s="26" t="s">
        <v>1072</v>
      </c>
      <c r="Q492" s="55"/>
      <c r="R492" s="15" t="s">
        <v>72</v>
      </c>
      <c r="S492" s="11" t="s">
        <v>959</v>
      </c>
      <c r="T492" s="11"/>
      <c r="U492" s="11"/>
      <c r="V492" s="11">
        <v>101</v>
      </c>
      <c r="W492" s="11">
        <f t="shared" si="15"/>
        <v>101</v>
      </c>
      <c r="X492" s="11">
        <f t="shared" si="15"/>
        <v>101</v>
      </c>
      <c r="Y492" s="11">
        <f>ROUNDDOWN(W492/HLOOKUP(D492,[2]Table!$C$3:$D$4,2,0)*8,2)</f>
        <v>1.79</v>
      </c>
      <c r="Z492" s="11">
        <v>0.5</v>
      </c>
      <c r="AA492" s="11" t="s">
        <v>110</v>
      </c>
      <c r="AB492" s="51">
        <v>43942</v>
      </c>
      <c r="AC492" s="6">
        <v>43941</v>
      </c>
      <c r="AD492" s="51">
        <v>43942</v>
      </c>
      <c r="AE492" s="51">
        <v>43941</v>
      </c>
      <c r="AF492" s="51">
        <v>43941</v>
      </c>
      <c r="AG492" s="12" t="s">
        <v>75</v>
      </c>
      <c r="AH492" s="92">
        <v>1</v>
      </c>
      <c r="AI492" s="92">
        <v>1</v>
      </c>
      <c r="AJ492" s="92">
        <v>1</v>
      </c>
      <c r="AK492" s="12" t="s">
        <v>8</v>
      </c>
      <c r="AL492" s="11"/>
      <c r="AM492" s="11"/>
      <c r="AN492" s="11" t="s">
        <v>1073</v>
      </c>
      <c r="AW492" s="143"/>
    </row>
    <row r="493" spans="2:49" ht="15">
      <c r="B493" s="90">
        <f t="shared" si="13"/>
        <v>265</v>
      </c>
      <c r="C493" s="11" t="s">
        <v>1044</v>
      </c>
      <c r="D493" s="3" t="s">
        <v>24</v>
      </c>
      <c r="E493" s="3" t="s">
        <v>581</v>
      </c>
      <c r="F493" s="100" t="s">
        <v>1074</v>
      </c>
      <c r="G493" s="5">
        <v>1409871</v>
      </c>
      <c r="H493" s="15" t="s">
        <v>72</v>
      </c>
      <c r="I493" s="3" t="s">
        <v>1075</v>
      </c>
      <c r="J493" s="15" t="s">
        <v>72</v>
      </c>
      <c r="K493" s="3" t="s">
        <v>73</v>
      </c>
      <c r="L493" s="3">
        <v>82225</v>
      </c>
      <c r="M493" s="3" t="s">
        <v>585</v>
      </c>
      <c r="N493" s="3" t="s">
        <v>1071</v>
      </c>
      <c r="O493" s="5" t="s">
        <v>72</v>
      </c>
      <c r="P493" s="5" t="s">
        <v>1072</v>
      </c>
      <c r="Q493" s="55"/>
      <c r="R493" s="15" t="s">
        <v>72</v>
      </c>
      <c r="S493" s="3" t="s">
        <v>959</v>
      </c>
      <c r="T493" s="3"/>
      <c r="U493" s="3"/>
      <c r="V493" s="3">
        <v>51</v>
      </c>
      <c r="W493" s="3">
        <f t="shared" si="15"/>
        <v>51</v>
      </c>
      <c r="X493" s="11">
        <f t="shared" si="15"/>
        <v>51</v>
      </c>
      <c r="Y493" s="3">
        <f>ROUNDDOWN(W493/HLOOKUP(D493,[2]Table!$C$3:$D$4,2,0)*8,2)</f>
        <v>0.9</v>
      </c>
      <c r="Z493" s="3">
        <v>0</v>
      </c>
      <c r="AA493" s="3" t="s">
        <v>110</v>
      </c>
      <c r="AB493" s="51">
        <v>43942</v>
      </c>
      <c r="AC493" s="6">
        <v>43941</v>
      </c>
      <c r="AD493" s="6">
        <v>43942</v>
      </c>
      <c r="AE493" s="6">
        <v>43941</v>
      </c>
      <c r="AF493" s="6">
        <v>43941</v>
      </c>
      <c r="AG493" s="12" t="s">
        <v>75</v>
      </c>
      <c r="AH493" s="83" t="s">
        <v>72</v>
      </c>
      <c r="AI493" s="83" t="s">
        <v>72</v>
      </c>
      <c r="AJ493" s="83" t="s">
        <v>72</v>
      </c>
      <c r="AK493" s="12" t="s">
        <v>8</v>
      </c>
      <c r="AL493" s="3"/>
      <c r="AM493" s="3"/>
      <c r="AN493" s="3" t="s">
        <v>574</v>
      </c>
      <c r="AW493" s="143"/>
    </row>
    <row r="494" spans="2:49" ht="15">
      <c r="B494" s="90">
        <f t="shared" si="13"/>
        <v>266</v>
      </c>
      <c r="C494" s="11" t="s">
        <v>1044</v>
      </c>
      <c r="D494" s="3" t="s">
        <v>24</v>
      </c>
      <c r="E494" s="3" t="s">
        <v>346</v>
      </c>
      <c r="F494" s="1" t="s">
        <v>1076</v>
      </c>
      <c r="G494" s="5">
        <v>1416607</v>
      </c>
      <c r="H494" s="15" t="s">
        <v>72</v>
      </c>
      <c r="I494" s="3" t="s">
        <v>949</v>
      </c>
      <c r="J494" s="15" t="s">
        <v>72</v>
      </c>
      <c r="K494" s="3" t="s">
        <v>73</v>
      </c>
      <c r="L494" s="3" t="s">
        <v>1077</v>
      </c>
      <c r="M494" s="3" t="s">
        <v>1078</v>
      </c>
      <c r="N494" s="3" t="s">
        <v>349</v>
      </c>
      <c r="O494" s="5" t="s">
        <v>72</v>
      </c>
      <c r="P494" s="5" t="s">
        <v>951</v>
      </c>
      <c r="Q494" s="55"/>
      <c r="R494" s="15" t="s">
        <v>72</v>
      </c>
      <c r="S494" s="3" t="s">
        <v>959</v>
      </c>
      <c r="T494" s="3"/>
      <c r="U494" s="3"/>
      <c r="V494" s="3">
        <v>84</v>
      </c>
      <c r="W494" s="3">
        <f t="shared" si="15"/>
        <v>84</v>
      </c>
      <c r="X494" s="3">
        <f t="shared" si="15"/>
        <v>84</v>
      </c>
      <c r="Y494" s="3">
        <f>ROUNDDOWN(W494/HLOOKUP(D494,[2]Table!$C$3:$D$4,2,0)*8,2)</f>
        <v>1.49</v>
      </c>
      <c r="Z494" s="3">
        <v>1</v>
      </c>
      <c r="AA494" s="3" t="s">
        <v>110</v>
      </c>
      <c r="AB494" s="6">
        <v>43950</v>
      </c>
      <c r="AC494" s="6">
        <v>43941</v>
      </c>
      <c r="AD494" s="6">
        <v>43951</v>
      </c>
      <c r="AE494" s="6">
        <v>43944</v>
      </c>
      <c r="AF494" s="6">
        <v>43944</v>
      </c>
      <c r="AG494" s="12" t="s">
        <v>75</v>
      </c>
      <c r="AH494" s="8">
        <v>1</v>
      </c>
      <c r="AI494" s="8">
        <v>1</v>
      </c>
      <c r="AJ494" s="8">
        <v>1</v>
      </c>
      <c r="AK494" s="12" t="s">
        <v>8</v>
      </c>
      <c r="AL494" s="3"/>
      <c r="AM494" s="3"/>
      <c r="AN494" s="3"/>
      <c r="AW494" s="143"/>
    </row>
    <row r="495" spans="2:49" ht="15">
      <c r="B495" s="90">
        <f t="shared" si="13"/>
        <v>267</v>
      </c>
      <c r="C495" s="11" t="s">
        <v>1044</v>
      </c>
      <c r="D495" s="3" t="s">
        <v>24</v>
      </c>
      <c r="E495" s="3" t="s">
        <v>346</v>
      </c>
      <c r="F495" s="1" t="s">
        <v>1079</v>
      </c>
      <c r="G495" s="5">
        <v>1416607</v>
      </c>
      <c r="H495" s="15" t="s">
        <v>72</v>
      </c>
      <c r="I495" s="3" t="s">
        <v>1080</v>
      </c>
      <c r="J495" s="15" t="s">
        <v>72</v>
      </c>
      <c r="K495" s="3" t="s">
        <v>73</v>
      </c>
      <c r="L495" s="3" t="s">
        <v>1077</v>
      </c>
      <c r="M495" s="3" t="s">
        <v>1078</v>
      </c>
      <c r="N495" s="3" t="s">
        <v>349</v>
      </c>
      <c r="O495" s="5" t="s">
        <v>72</v>
      </c>
      <c r="P495" s="5" t="s">
        <v>951</v>
      </c>
      <c r="Q495" s="55"/>
      <c r="R495" s="15" t="s">
        <v>72</v>
      </c>
      <c r="S495" s="3" t="s">
        <v>959</v>
      </c>
      <c r="T495" s="3"/>
      <c r="U495" s="3"/>
      <c r="V495" s="3">
        <v>7</v>
      </c>
      <c r="W495" s="11">
        <v>7</v>
      </c>
      <c r="X495" s="3">
        <f t="shared" si="15"/>
        <v>7</v>
      </c>
      <c r="Y495" s="3">
        <f>ROUNDDOWN(W495/HLOOKUP(D495,[2]Table!$C$3:$D$4,2,0)*8,2)</f>
        <v>0.12</v>
      </c>
      <c r="Z495" s="3">
        <v>0</v>
      </c>
      <c r="AA495" s="3" t="s">
        <v>110</v>
      </c>
      <c r="AB495" s="6">
        <v>43950</v>
      </c>
      <c r="AC495" s="6">
        <v>43941</v>
      </c>
      <c r="AD495" s="6">
        <v>43951</v>
      </c>
      <c r="AE495" s="6">
        <v>43944</v>
      </c>
      <c r="AF495" s="6">
        <v>43944</v>
      </c>
      <c r="AG495" s="12" t="s">
        <v>75</v>
      </c>
      <c r="AH495" s="8" t="s">
        <v>72</v>
      </c>
      <c r="AI495" s="8" t="s">
        <v>72</v>
      </c>
      <c r="AJ495" s="8" t="s">
        <v>72</v>
      </c>
      <c r="AK495" s="12" t="s">
        <v>8</v>
      </c>
      <c r="AL495" s="3"/>
      <c r="AM495" s="3"/>
      <c r="AN495" s="3" t="s">
        <v>1081</v>
      </c>
      <c r="AW495" s="143"/>
    </row>
    <row r="496" spans="2:49" ht="15">
      <c r="B496" s="90">
        <f t="shared" si="13"/>
        <v>268</v>
      </c>
      <c r="C496" s="11" t="s">
        <v>1044</v>
      </c>
      <c r="D496" s="3" t="s">
        <v>24</v>
      </c>
      <c r="E496" s="3" t="s">
        <v>346</v>
      </c>
      <c r="F496" s="1" t="s">
        <v>1082</v>
      </c>
      <c r="G496" s="5">
        <v>1416607</v>
      </c>
      <c r="H496" s="15" t="s">
        <v>72</v>
      </c>
      <c r="I496" s="3" t="s">
        <v>32</v>
      </c>
      <c r="J496" s="15" t="s">
        <v>72</v>
      </c>
      <c r="K496" s="3" t="s">
        <v>73</v>
      </c>
      <c r="L496" s="3" t="s">
        <v>1077</v>
      </c>
      <c r="M496" s="3" t="s">
        <v>1078</v>
      </c>
      <c r="N496" s="3" t="s">
        <v>349</v>
      </c>
      <c r="O496" s="5" t="s">
        <v>72</v>
      </c>
      <c r="P496" s="5" t="s">
        <v>951</v>
      </c>
      <c r="Q496" s="55"/>
      <c r="R496" s="15" t="s">
        <v>72</v>
      </c>
      <c r="S496" s="3" t="s">
        <v>959</v>
      </c>
      <c r="T496" s="3"/>
      <c r="U496" s="3"/>
      <c r="V496" s="3">
        <v>259</v>
      </c>
      <c r="W496" s="3">
        <f t="shared" ref="W496:X511" si="16">V496</f>
        <v>259</v>
      </c>
      <c r="X496" s="3">
        <f t="shared" si="15"/>
        <v>259</v>
      </c>
      <c r="Y496" s="3">
        <f>ROUNDDOWN(W496/HLOOKUP(D496,[2]Table!$C$3:$D$4,2,0)*8,2)</f>
        <v>4.5999999999999996</v>
      </c>
      <c r="Z496" s="3">
        <v>2</v>
      </c>
      <c r="AA496" s="3" t="s">
        <v>110</v>
      </c>
      <c r="AB496" s="6">
        <v>43950</v>
      </c>
      <c r="AC496" s="6">
        <v>43941</v>
      </c>
      <c r="AD496" s="6">
        <v>43951</v>
      </c>
      <c r="AE496" s="6">
        <v>43944</v>
      </c>
      <c r="AF496" s="6">
        <v>43944</v>
      </c>
      <c r="AG496" s="12" t="s">
        <v>79</v>
      </c>
      <c r="AH496" s="8">
        <v>1</v>
      </c>
      <c r="AI496" s="8">
        <v>1</v>
      </c>
      <c r="AJ496" s="8">
        <v>0.88</v>
      </c>
      <c r="AK496" s="12" t="s">
        <v>76</v>
      </c>
      <c r="AL496" s="3" t="s">
        <v>1083</v>
      </c>
      <c r="AM496" s="3"/>
      <c r="AN496" s="3" t="s">
        <v>895</v>
      </c>
      <c r="AW496" s="143"/>
    </row>
    <row r="497" spans="2:49" ht="15">
      <c r="B497" s="90">
        <f t="shared" si="13"/>
        <v>269</v>
      </c>
      <c r="C497" s="11" t="s">
        <v>1044</v>
      </c>
      <c r="D497" s="3" t="s">
        <v>24</v>
      </c>
      <c r="E497" s="3" t="s">
        <v>346</v>
      </c>
      <c r="F497" s="1" t="s">
        <v>1084</v>
      </c>
      <c r="G497" s="5">
        <v>1416607</v>
      </c>
      <c r="H497" s="15" t="s">
        <v>72</v>
      </c>
      <c r="I497" s="3" t="s">
        <v>355</v>
      </c>
      <c r="J497" s="15" t="s">
        <v>72</v>
      </c>
      <c r="K497" s="3" t="s">
        <v>73</v>
      </c>
      <c r="L497" s="3" t="s">
        <v>1077</v>
      </c>
      <c r="M497" s="3" t="s">
        <v>1078</v>
      </c>
      <c r="N497" s="3" t="s">
        <v>349</v>
      </c>
      <c r="O497" s="5" t="s">
        <v>72</v>
      </c>
      <c r="P497" s="5" t="s">
        <v>951</v>
      </c>
      <c r="Q497" s="55"/>
      <c r="R497" s="15" t="s">
        <v>72</v>
      </c>
      <c r="S497" s="3" t="s">
        <v>959</v>
      </c>
      <c r="T497" s="3"/>
      <c r="U497" s="3"/>
      <c r="V497" s="3">
        <v>135</v>
      </c>
      <c r="W497" s="3">
        <f t="shared" si="16"/>
        <v>135</v>
      </c>
      <c r="X497" s="3">
        <f t="shared" si="15"/>
        <v>135</v>
      </c>
      <c r="Y497" s="3">
        <f>ROUNDDOWN(W497/HLOOKUP(D497,[2]Table!$C$3:$D$4,2,0)*8,2)</f>
        <v>2.4</v>
      </c>
      <c r="Z497" s="3">
        <v>1</v>
      </c>
      <c r="AA497" s="3" t="s">
        <v>110</v>
      </c>
      <c r="AB497" s="6">
        <v>43950</v>
      </c>
      <c r="AC497" s="6">
        <v>43941</v>
      </c>
      <c r="AD497" s="6">
        <v>43951</v>
      </c>
      <c r="AE497" s="6">
        <v>43944</v>
      </c>
      <c r="AF497" s="6">
        <v>43944</v>
      </c>
      <c r="AG497" s="12" t="s">
        <v>75</v>
      </c>
      <c r="AH497" s="8">
        <v>1</v>
      </c>
      <c r="AI497" s="8">
        <v>1</v>
      </c>
      <c r="AJ497" s="8">
        <v>1</v>
      </c>
      <c r="AK497" s="12" t="s">
        <v>8</v>
      </c>
      <c r="AL497" s="3"/>
      <c r="AM497" s="3"/>
      <c r="AN497" s="3"/>
      <c r="AW497" s="143"/>
    </row>
    <row r="498" spans="2:49" ht="15">
      <c r="B498" s="90">
        <f t="shared" si="13"/>
        <v>270</v>
      </c>
      <c r="C498" s="11" t="s">
        <v>1044</v>
      </c>
      <c r="D498" s="3" t="s">
        <v>24</v>
      </c>
      <c r="E498" s="3" t="s">
        <v>346</v>
      </c>
      <c r="F498" s="1" t="s">
        <v>1085</v>
      </c>
      <c r="G498" s="5">
        <v>1416607</v>
      </c>
      <c r="H498" s="15" t="s">
        <v>72</v>
      </c>
      <c r="I498" s="3" t="s">
        <v>255</v>
      </c>
      <c r="J498" s="15" t="s">
        <v>72</v>
      </c>
      <c r="K498" s="3" t="s">
        <v>73</v>
      </c>
      <c r="L498" s="3" t="s">
        <v>1077</v>
      </c>
      <c r="M498" s="3" t="s">
        <v>1078</v>
      </c>
      <c r="N498" s="3" t="s">
        <v>349</v>
      </c>
      <c r="O498" s="5" t="s">
        <v>72</v>
      </c>
      <c r="P498" s="5" t="s">
        <v>951</v>
      </c>
      <c r="Q498" s="55"/>
      <c r="R498" s="15" t="s">
        <v>72</v>
      </c>
      <c r="S498" s="3" t="s">
        <v>959</v>
      </c>
      <c r="T498" s="3"/>
      <c r="U498" s="3"/>
      <c r="V498" s="3">
        <v>82</v>
      </c>
      <c r="W498" s="3">
        <f t="shared" si="16"/>
        <v>82</v>
      </c>
      <c r="X498" s="3">
        <f t="shared" si="16"/>
        <v>82</v>
      </c>
      <c r="Y498" s="3">
        <f>ROUNDDOWN(W498/HLOOKUP(D498,[2]Table!$C$3:$D$4,2,0)*8,2)</f>
        <v>1.45</v>
      </c>
      <c r="Z498" s="3">
        <v>1</v>
      </c>
      <c r="AA498" s="3" t="s">
        <v>110</v>
      </c>
      <c r="AB498" s="6">
        <v>43950</v>
      </c>
      <c r="AC498" s="6">
        <v>43941</v>
      </c>
      <c r="AD498" s="6">
        <v>43951</v>
      </c>
      <c r="AE498" s="6">
        <v>43944</v>
      </c>
      <c r="AF498" s="6">
        <v>43944</v>
      </c>
      <c r="AG498" s="12" t="s">
        <v>75</v>
      </c>
      <c r="AH498" s="8">
        <v>1</v>
      </c>
      <c r="AI498" s="8">
        <v>1</v>
      </c>
      <c r="AJ498" s="8">
        <v>1</v>
      </c>
      <c r="AK498" s="12" t="s">
        <v>8</v>
      </c>
      <c r="AL498" s="3"/>
      <c r="AM498" s="3"/>
      <c r="AN498" s="3"/>
      <c r="AW498" s="143"/>
    </row>
    <row r="499" spans="2:49" ht="15">
      <c r="B499" s="90">
        <f t="shared" si="13"/>
        <v>271</v>
      </c>
      <c r="C499" s="11" t="s">
        <v>1044</v>
      </c>
      <c r="D499" s="3" t="s">
        <v>24</v>
      </c>
      <c r="E499" s="3" t="s">
        <v>346</v>
      </c>
      <c r="F499" s="1" t="s">
        <v>1086</v>
      </c>
      <c r="G499" s="5">
        <v>1416607</v>
      </c>
      <c r="H499" s="15" t="s">
        <v>72</v>
      </c>
      <c r="I499" s="3" t="s">
        <v>270</v>
      </c>
      <c r="J499" s="15" t="s">
        <v>72</v>
      </c>
      <c r="K499" s="3" t="s">
        <v>73</v>
      </c>
      <c r="L499" s="3" t="s">
        <v>1077</v>
      </c>
      <c r="M499" s="3" t="s">
        <v>1078</v>
      </c>
      <c r="N499" s="3" t="s">
        <v>349</v>
      </c>
      <c r="O499" s="5" t="s">
        <v>72</v>
      </c>
      <c r="P499" s="5" t="s">
        <v>951</v>
      </c>
      <c r="Q499" s="55"/>
      <c r="R499" s="15" t="s">
        <v>72</v>
      </c>
      <c r="S499" s="3" t="s">
        <v>959</v>
      </c>
      <c r="T499" s="3"/>
      <c r="U499" s="3"/>
      <c r="V499" s="3">
        <v>313</v>
      </c>
      <c r="W499" s="3">
        <f t="shared" si="16"/>
        <v>313</v>
      </c>
      <c r="X499" s="3">
        <f t="shared" si="16"/>
        <v>313</v>
      </c>
      <c r="Y499" s="3">
        <f>ROUNDDOWN(W499/HLOOKUP(D499,[2]Table!$C$3:$D$4,2,0)*8,2)</f>
        <v>5.56</v>
      </c>
      <c r="Z499" s="3">
        <v>2</v>
      </c>
      <c r="AA499" s="3" t="s">
        <v>110</v>
      </c>
      <c r="AB499" s="6">
        <v>43950</v>
      </c>
      <c r="AC499" s="6">
        <v>43941</v>
      </c>
      <c r="AD499" s="6">
        <v>43951</v>
      </c>
      <c r="AE499" s="6">
        <v>43944</v>
      </c>
      <c r="AF499" s="6">
        <v>43944</v>
      </c>
      <c r="AG499" s="12" t="s">
        <v>75</v>
      </c>
      <c r="AH499" s="8">
        <v>1</v>
      </c>
      <c r="AI499" s="8">
        <v>1</v>
      </c>
      <c r="AJ499" s="8">
        <v>1</v>
      </c>
      <c r="AK499" s="12" t="s">
        <v>8</v>
      </c>
      <c r="AL499" s="3"/>
      <c r="AM499" s="3"/>
      <c r="AN499" s="3"/>
      <c r="AW499" s="143"/>
    </row>
    <row r="500" spans="2:49" ht="15">
      <c r="B500" s="90">
        <f t="shared" si="13"/>
        <v>272</v>
      </c>
      <c r="C500" s="11" t="s">
        <v>1044</v>
      </c>
      <c r="D500" s="3" t="s">
        <v>24</v>
      </c>
      <c r="E500" s="3" t="s">
        <v>346</v>
      </c>
      <c r="F500" s="1" t="s">
        <v>1087</v>
      </c>
      <c r="G500" s="5">
        <v>1416607</v>
      </c>
      <c r="H500" s="15" t="s">
        <v>72</v>
      </c>
      <c r="I500" s="3" t="s">
        <v>248</v>
      </c>
      <c r="J500" s="15" t="s">
        <v>72</v>
      </c>
      <c r="K500" s="3" t="s">
        <v>73</v>
      </c>
      <c r="L500" s="3" t="s">
        <v>1077</v>
      </c>
      <c r="M500" s="3" t="s">
        <v>1078</v>
      </c>
      <c r="N500" s="3" t="s">
        <v>349</v>
      </c>
      <c r="O500" s="5" t="s">
        <v>72</v>
      </c>
      <c r="P500" s="5" t="s">
        <v>951</v>
      </c>
      <c r="Q500" s="55"/>
      <c r="R500" s="15" t="s">
        <v>72</v>
      </c>
      <c r="S500" s="3" t="s">
        <v>959</v>
      </c>
      <c r="T500" s="3"/>
      <c r="U500" s="3"/>
      <c r="V500" s="3">
        <v>54</v>
      </c>
      <c r="W500" s="3">
        <f t="shared" si="16"/>
        <v>54</v>
      </c>
      <c r="X500" s="3">
        <f t="shared" si="16"/>
        <v>54</v>
      </c>
      <c r="Y500" s="3">
        <f>ROUNDDOWN(W500/HLOOKUP(D500,[2]Table!$C$3:$D$4,2,0)*8,2)</f>
        <v>0.96</v>
      </c>
      <c r="Z500" s="3">
        <v>1</v>
      </c>
      <c r="AA500" s="3" t="s">
        <v>110</v>
      </c>
      <c r="AB500" s="6">
        <v>43950</v>
      </c>
      <c r="AC500" s="6">
        <v>43941</v>
      </c>
      <c r="AD500" s="6">
        <v>43951</v>
      </c>
      <c r="AE500" s="6">
        <v>43944</v>
      </c>
      <c r="AF500" s="6">
        <v>43944</v>
      </c>
      <c r="AG500" s="12" t="s">
        <v>75</v>
      </c>
      <c r="AH500" s="8">
        <v>1</v>
      </c>
      <c r="AI500" s="8">
        <v>1</v>
      </c>
      <c r="AJ500" s="8">
        <v>1</v>
      </c>
      <c r="AK500" s="12" t="s">
        <v>8</v>
      </c>
      <c r="AL500" s="3"/>
      <c r="AM500" s="3"/>
      <c r="AN500" s="3"/>
      <c r="AW500" s="143"/>
    </row>
    <row r="501" spans="2:49" ht="15">
      <c r="B501" s="90">
        <f t="shared" si="13"/>
        <v>273</v>
      </c>
      <c r="C501" s="11" t="s">
        <v>1044</v>
      </c>
      <c r="D501" s="3" t="s">
        <v>24</v>
      </c>
      <c r="E501" s="3" t="s">
        <v>346</v>
      </c>
      <c r="F501" s="1" t="s">
        <v>1088</v>
      </c>
      <c r="G501" s="5">
        <v>1416607</v>
      </c>
      <c r="H501" s="15" t="s">
        <v>72</v>
      </c>
      <c r="I501" s="3" t="s">
        <v>256</v>
      </c>
      <c r="J501" s="15" t="s">
        <v>72</v>
      </c>
      <c r="K501" s="3" t="s">
        <v>73</v>
      </c>
      <c r="L501" s="3" t="s">
        <v>1077</v>
      </c>
      <c r="M501" s="3" t="s">
        <v>1078</v>
      </c>
      <c r="N501" s="3" t="s">
        <v>349</v>
      </c>
      <c r="O501" s="5" t="s">
        <v>72</v>
      </c>
      <c r="P501" s="5" t="s">
        <v>951</v>
      </c>
      <c r="Q501" s="55"/>
      <c r="R501" s="15" t="s">
        <v>72</v>
      </c>
      <c r="S501" s="3" t="s">
        <v>959</v>
      </c>
      <c r="T501" s="3"/>
      <c r="U501" s="3"/>
      <c r="V501" s="3">
        <v>144</v>
      </c>
      <c r="W501" s="3">
        <f t="shared" si="16"/>
        <v>144</v>
      </c>
      <c r="X501" s="3">
        <f t="shared" si="16"/>
        <v>144</v>
      </c>
      <c r="Y501" s="3">
        <f>ROUNDDOWN(W501/HLOOKUP(D501,[2]Table!$C$3:$D$4,2,0)*8,2)</f>
        <v>2.56</v>
      </c>
      <c r="Z501" s="3">
        <v>1</v>
      </c>
      <c r="AA501" s="3" t="s">
        <v>110</v>
      </c>
      <c r="AB501" s="6">
        <v>43950</v>
      </c>
      <c r="AC501" s="6">
        <v>43941</v>
      </c>
      <c r="AD501" s="6">
        <v>43951</v>
      </c>
      <c r="AE501" s="6">
        <v>43945</v>
      </c>
      <c r="AF501" s="6">
        <v>43945</v>
      </c>
      <c r="AG501" s="12" t="s">
        <v>75</v>
      </c>
      <c r="AH501" s="8">
        <v>1</v>
      </c>
      <c r="AI501" s="8">
        <v>1</v>
      </c>
      <c r="AJ501" s="8">
        <v>1</v>
      </c>
      <c r="AK501" s="12" t="s">
        <v>8</v>
      </c>
      <c r="AL501" s="3"/>
      <c r="AM501" s="3"/>
      <c r="AN501" s="3"/>
      <c r="AW501" s="143"/>
    </row>
    <row r="502" spans="2:49" ht="15">
      <c r="B502" s="90">
        <f t="shared" si="13"/>
        <v>274</v>
      </c>
      <c r="C502" s="11" t="s">
        <v>1044</v>
      </c>
      <c r="D502" s="3" t="s">
        <v>24</v>
      </c>
      <c r="E502" s="3" t="s">
        <v>346</v>
      </c>
      <c r="F502" s="1" t="s">
        <v>1089</v>
      </c>
      <c r="G502" s="5">
        <v>1416607</v>
      </c>
      <c r="H502" s="15" t="s">
        <v>72</v>
      </c>
      <c r="I502" s="3" t="s">
        <v>1090</v>
      </c>
      <c r="J502" s="15" t="s">
        <v>72</v>
      </c>
      <c r="K502" s="3" t="s">
        <v>73</v>
      </c>
      <c r="L502" s="3" t="s">
        <v>1077</v>
      </c>
      <c r="M502" s="3" t="s">
        <v>1078</v>
      </c>
      <c r="N502" s="3" t="s">
        <v>349</v>
      </c>
      <c r="O502" s="5" t="s">
        <v>72</v>
      </c>
      <c r="P502" s="5" t="s">
        <v>951</v>
      </c>
      <c r="Q502" s="55"/>
      <c r="R502" s="15" t="s">
        <v>72</v>
      </c>
      <c r="S502" s="3" t="s">
        <v>959</v>
      </c>
      <c r="T502" s="3"/>
      <c r="U502" s="3"/>
      <c r="V502" s="3">
        <v>59</v>
      </c>
      <c r="W502" s="3">
        <f t="shared" si="16"/>
        <v>59</v>
      </c>
      <c r="X502" s="3">
        <f t="shared" si="16"/>
        <v>59</v>
      </c>
      <c r="Y502" s="3">
        <f>ROUNDDOWN(W502/HLOOKUP(D502,[2]Table!$C$3:$D$4,2,0)*8,2)</f>
        <v>1.04</v>
      </c>
      <c r="Z502" s="3">
        <v>1</v>
      </c>
      <c r="AA502" s="3" t="s">
        <v>110</v>
      </c>
      <c r="AB502" s="6">
        <v>43950</v>
      </c>
      <c r="AC502" s="6">
        <v>43941</v>
      </c>
      <c r="AD502" s="6">
        <v>43951</v>
      </c>
      <c r="AE502" s="6">
        <v>43945</v>
      </c>
      <c r="AF502" s="6">
        <v>43945</v>
      </c>
      <c r="AG502" s="12" t="s">
        <v>75</v>
      </c>
      <c r="AH502" s="8">
        <v>1</v>
      </c>
      <c r="AI502" s="8">
        <v>1</v>
      </c>
      <c r="AJ502" s="8">
        <v>1</v>
      </c>
      <c r="AK502" s="12" t="s">
        <v>8</v>
      </c>
      <c r="AL502" s="3"/>
      <c r="AM502" s="3"/>
      <c r="AN502" s="3"/>
      <c r="AW502" s="143"/>
    </row>
    <row r="503" spans="2:49" ht="15">
      <c r="B503" s="90">
        <f t="shared" ref="B503:B566" si="17">B502+1</f>
        <v>275</v>
      </c>
      <c r="C503" s="11" t="s">
        <v>1044</v>
      </c>
      <c r="D503" s="3" t="s">
        <v>24</v>
      </c>
      <c r="E503" s="3" t="s">
        <v>346</v>
      </c>
      <c r="F503" s="1" t="s">
        <v>1091</v>
      </c>
      <c r="G503" s="5">
        <v>1416607</v>
      </c>
      <c r="H503" s="15" t="s">
        <v>72</v>
      </c>
      <c r="I503" s="3" t="s">
        <v>260</v>
      </c>
      <c r="J503" s="15" t="s">
        <v>72</v>
      </c>
      <c r="K503" s="3" t="s">
        <v>73</v>
      </c>
      <c r="L503" s="3" t="s">
        <v>1077</v>
      </c>
      <c r="M503" s="3" t="s">
        <v>1078</v>
      </c>
      <c r="N503" s="3" t="s">
        <v>349</v>
      </c>
      <c r="O503" s="5" t="s">
        <v>72</v>
      </c>
      <c r="P503" s="5" t="s">
        <v>951</v>
      </c>
      <c r="Q503" s="55"/>
      <c r="R503" s="15" t="s">
        <v>72</v>
      </c>
      <c r="S503" s="3" t="s">
        <v>959</v>
      </c>
      <c r="T503" s="3"/>
      <c r="U503" s="3"/>
      <c r="V503" s="3">
        <v>354</v>
      </c>
      <c r="W503" s="3">
        <f t="shared" si="16"/>
        <v>354</v>
      </c>
      <c r="X503" s="3">
        <f t="shared" si="16"/>
        <v>354</v>
      </c>
      <c r="Y503" s="3">
        <f>ROUNDDOWN(W503/HLOOKUP(D503,[2]Table!$C$3:$D$4,2,0)*8,2)</f>
        <v>6.29</v>
      </c>
      <c r="Z503" s="3">
        <v>2</v>
      </c>
      <c r="AA503" s="3" t="s">
        <v>110</v>
      </c>
      <c r="AB503" s="6">
        <v>43950</v>
      </c>
      <c r="AC503" s="6">
        <v>43941</v>
      </c>
      <c r="AD503" s="6">
        <v>43951</v>
      </c>
      <c r="AE503" s="6">
        <v>43945</v>
      </c>
      <c r="AF503" s="6">
        <v>43945</v>
      </c>
      <c r="AG503" s="12" t="s">
        <v>75</v>
      </c>
      <c r="AH503" s="8">
        <v>1</v>
      </c>
      <c r="AI503" s="8">
        <v>1</v>
      </c>
      <c r="AJ503" s="8">
        <v>1</v>
      </c>
      <c r="AK503" s="12" t="s">
        <v>8</v>
      </c>
      <c r="AL503" s="3"/>
      <c r="AM503" s="3"/>
      <c r="AN503" s="3"/>
      <c r="AW503" s="143"/>
    </row>
    <row r="504" spans="2:49" ht="15">
      <c r="B504" s="90">
        <f t="shared" si="17"/>
        <v>276</v>
      </c>
      <c r="C504" s="11" t="s">
        <v>1044</v>
      </c>
      <c r="D504" s="3" t="s">
        <v>24</v>
      </c>
      <c r="E504" s="3" t="s">
        <v>346</v>
      </c>
      <c r="F504" s="1" t="s">
        <v>1092</v>
      </c>
      <c r="G504" s="5">
        <v>1416607</v>
      </c>
      <c r="H504" s="15" t="s">
        <v>72</v>
      </c>
      <c r="I504" s="3" t="s">
        <v>272</v>
      </c>
      <c r="J504" s="15" t="s">
        <v>72</v>
      </c>
      <c r="K504" s="3" t="s">
        <v>73</v>
      </c>
      <c r="L504" s="3" t="s">
        <v>1077</v>
      </c>
      <c r="M504" s="3" t="s">
        <v>1078</v>
      </c>
      <c r="N504" s="3" t="s">
        <v>349</v>
      </c>
      <c r="O504" s="5" t="s">
        <v>72</v>
      </c>
      <c r="P504" s="5" t="s">
        <v>951</v>
      </c>
      <c r="Q504" s="55"/>
      <c r="R504" s="15" t="s">
        <v>72</v>
      </c>
      <c r="S504" s="3" t="s">
        <v>959</v>
      </c>
      <c r="T504" s="3"/>
      <c r="U504" s="3"/>
      <c r="V504" s="3">
        <v>186</v>
      </c>
      <c r="W504" s="3">
        <f t="shared" si="16"/>
        <v>186</v>
      </c>
      <c r="X504" s="3">
        <f t="shared" si="16"/>
        <v>186</v>
      </c>
      <c r="Y504" s="3">
        <f>ROUNDDOWN(W504/HLOOKUP(D504,[2]Table!$C$3:$D$4,2,0)*8,2)</f>
        <v>3.3</v>
      </c>
      <c r="Z504" s="3">
        <v>1</v>
      </c>
      <c r="AA504" s="3" t="s">
        <v>110</v>
      </c>
      <c r="AB504" s="6">
        <v>43950</v>
      </c>
      <c r="AC504" s="6">
        <v>43941</v>
      </c>
      <c r="AD504" s="6">
        <v>43951</v>
      </c>
      <c r="AE504" s="6">
        <v>43945</v>
      </c>
      <c r="AF504" s="6">
        <v>43945</v>
      </c>
      <c r="AG504" s="12" t="s">
        <v>75</v>
      </c>
      <c r="AH504" s="8">
        <v>1</v>
      </c>
      <c r="AI504" s="8">
        <v>1</v>
      </c>
      <c r="AJ504" s="8">
        <v>1</v>
      </c>
      <c r="AK504" s="12" t="s">
        <v>8</v>
      </c>
      <c r="AL504" s="3"/>
      <c r="AM504" s="3"/>
      <c r="AN504" s="3"/>
      <c r="AW504" s="143"/>
    </row>
    <row r="505" spans="2:49" ht="15">
      <c r="B505" s="90">
        <f t="shared" si="17"/>
        <v>277</v>
      </c>
      <c r="C505" s="11" t="s">
        <v>1044</v>
      </c>
      <c r="D505" s="3" t="s">
        <v>24</v>
      </c>
      <c r="E505" s="3" t="s">
        <v>346</v>
      </c>
      <c r="F505" s="1" t="s">
        <v>1093</v>
      </c>
      <c r="G505" s="5">
        <v>1416607</v>
      </c>
      <c r="H505" s="15" t="s">
        <v>72</v>
      </c>
      <c r="I505" s="3" t="s">
        <v>252</v>
      </c>
      <c r="J505" s="15" t="s">
        <v>72</v>
      </c>
      <c r="K505" s="3" t="s">
        <v>73</v>
      </c>
      <c r="L505" s="3" t="s">
        <v>1077</v>
      </c>
      <c r="M505" s="3" t="s">
        <v>1078</v>
      </c>
      <c r="N505" s="3" t="s">
        <v>349</v>
      </c>
      <c r="O505" s="5" t="s">
        <v>72</v>
      </c>
      <c r="P505" s="5" t="s">
        <v>951</v>
      </c>
      <c r="Q505" s="55"/>
      <c r="R505" s="15" t="s">
        <v>72</v>
      </c>
      <c r="S505" s="3" t="s">
        <v>959</v>
      </c>
      <c r="T505" s="3"/>
      <c r="U505" s="3"/>
      <c r="V505" s="3">
        <v>159</v>
      </c>
      <c r="W505" s="3">
        <f t="shared" si="16"/>
        <v>159</v>
      </c>
      <c r="X505" s="3">
        <f t="shared" si="16"/>
        <v>159</v>
      </c>
      <c r="Y505" s="3">
        <f>ROUNDDOWN(W505/HLOOKUP(D505,[2]Table!$C$3:$D$4,2,0)*8,2)</f>
        <v>2.82</v>
      </c>
      <c r="Z505" s="3">
        <v>1</v>
      </c>
      <c r="AA505" s="3" t="s">
        <v>110</v>
      </c>
      <c r="AB505" s="6">
        <v>43950</v>
      </c>
      <c r="AC505" s="6">
        <v>43941</v>
      </c>
      <c r="AD505" s="6">
        <v>43951</v>
      </c>
      <c r="AE505" s="6">
        <v>43945</v>
      </c>
      <c r="AF505" s="6">
        <v>43945</v>
      </c>
      <c r="AG505" s="12" t="s">
        <v>75</v>
      </c>
      <c r="AH505" s="8">
        <v>1</v>
      </c>
      <c r="AI505" s="8">
        <v>1</v>
      </c>
      <c r="AJ505" s="8">
        <v>1</v>
      </c>
      <c r="AK505" s="12" t="s">
        <v>8</v>
      </c>
      <c r="AL505" s="3"/>
      <c r="AM505" s="3"/>
      <c r="AN505" s="3"/>
      <c r="AW505" s="143"/>
    </row>
    <row r="506" spans="2:49" ht="15">
      <c r="B506" s="90">
        <f t="shared" si="17"/>
        <v>278</v>
      </c>
      <c r="C506" s="11" t="s">
        <v>1044</v>
      </c>
      <c r="D506" s="3" t="s">
        <v>24</v>
      </c>
      <c r="E506" s="3" t="s">
        <v>346</v>
      </c>
      <c r="F506" s="1" t="s">
        <v>1094</v>
      </c>
      <c r="G506" s="5">
        <v>1416607</v>
      </c>
      <c r="H506" s="15" t="s">
        <v>72</v>
      </c>
      <c r="I506" s="3" t="s">
        <v>955</v>
      </c>
      <c r="J506" s="15" t="s">
        <v>72</v>
      </c>
      <c r="K506" s="3" t="s">
        <v>73</v>
      </c>
      <c r="L506" s="3" t="s">
        <v>1077</v>
      </c>
      <c r="M506" s="3" t="s">
        <v>1078</v>
      </c>
      <c r="N506" s="3" t="s">
        <v>349</v>
      </c>
      <c r="O506" s="5" t="s">
        <v>72</v>
      </c>
      <c r="P506" s="5" t="s">
        <v>951</v>
      </c>
      <c r="Q506" s="55"/>
      <c r="R506" s="15" t="s">
        <v>72</v>
      </c>
      <c r="S506" s="3" t="s">
        <v>959</v>
      </c>
      <c r="T506" s="3"/>
      <c r="U506" s="3"/>
      <c r="V506" s="3">
        <v>199</v>
      </c>
      <c r="W506" s="3">
        <f t="shared" si="16"/>
        <v>199</v>
      </c>
      <c r="X506" s="3">
        <f t="shared" si="16"/>
        <v>199</v>
      </c>
      <c r="Y506" s="3">
        <f>ROUNDDOWN(W506/HLOOKUP(D506,[2]Table!$C$3:$D$4,2,0)*8,2)</f>
        <v>3.53</v>
      </c>
      <c r="Z506" s="3">
        <v>1</v>
      </c>
      <c r="AA506" s="3" t="s">
        <v>110</v>
      </c>
      <c r="AB506" s="6">
        <v>43950</v>
      </c>
      <c r="AC506" s="6">
        <v>43941</v>
      </c>
      <c r="AD506" s="6">
        <v>43951</v>
      </c>
      <c r="AE506" s="6">
        <v>43945</v>
      </c>
      <c r="AF506" s="6">
        <v>43945</v>
      </c>
      <c r="AG506" s="12" t="s">
        <v>75</v>
      </c>
      <c r="AH506" s="8">
        <v>1</v>
      </c>
      <c r="AI506" s="8">
        <v>1</v>
      </c>
      <c r="AJ506" s="8">
        <v>1</v>
      </c>
      <c r="AK506" s="12" t="s">
        <v>8</v>
      </c>
      <c r="AL506" s="3"/>
      <c r="AM506" s="3"/>
      <c r="AN506" s="3"/>
      <c r="AW506" s="143"/>
    </row>
    <row r="507" spans="2:49" ht="15">
      <c r="B507" s="90">
        <f t="shared" si="17"/>
        <v>279</v>
      </c>
      <c r="C507" s="11" t="s">
        <v>1044</v>
      </c>
      <c r="D507" s="3" t="s">
        <v>24</v>
      </c>
      <c r="E507" s="3" t="s">
        <v>346</v>
      </c>
      <c r="F507" s="1" t="s">
        <v>1095</v>
      </c>
      <c r="G507" s="5">
        <v>1416607</v>
      </c>
      <c r="H507" s="15" t="s">
        <v>72</v>
      </c>
      <c r="I507" s="3" t="s">
        <v>956</v>
      </c>
      <c r="J507" s="15" t="s">
        <v>72</v>
      </c>
      <c r="K507" s="3" t="s">
        <v>73</v>
      </c>
      <c r="L507" s="3" t="s">
        <v>1077</v>
      </c>
      <c r="M507" s="3" t="s">
        <v>1078</v>
      </c>
      <c r="N507" s="3" t="s">
        <v>349</v>
      </c>
      <c r="O507" s="5" t="s">
        <v>72</v>
      </c>
      <c r="P507" s="5" t="s">
        <v>951</v>
      </c>
      <c r="Q507" s="55"/>
      <c r="R507" s="15" t="s">
        <v>72</v>
      </c>
      <c r="S507" s="3" t="s">
        <v>959</v>
      </c>
      <c r="T507" s="3"/>
      <c r="U507" s="3"/>
      <c r="V507" s="3">
        <v>6</v>
      </c>
      <c r="W507" s="11">
        <v>6</v>
      </c>
      <c r="X507" s="3">
        <f t="shared" si="16"/>
        <v>6</v>
      </c>
      <c r="Y507" s="3">
        <f>ROUNDDOWN(W507/HLOOKUP(D507,[2]Table!$C$3:$D$4,2,0)*8,2)</f>
        <v>0.1</v>
      </c>
      <c r="Z507" s="3">
        <v>0</v>
      </c>
      <c r="AA507" s="3" t="s">
        <v>110</v>
      </c>
      <c r="AB507" s="6">
        <v>43950</v>
      </c>
      <c r="AC507" s="6">
        <v>43941</v>
      </c>
      <c r="AD507" s="6">
        <v>43951</v>
      </c>
      <c r="AE507" s="6">
        <v>43945</v>
      </c>
      <c r="AF507" s="6">
        <v>43945</v>
      </c>
      <c r="AG507" s="12" t="s">
        <v>75</v>
      </c>
      <c r="AH507" s="8" t="s">
        <v>72</v>
      </c>
      <c r="AI507" s="8" t="s">
        <v>72</v>
      </c>
      <c r="AJ507" s="8" t="s">
        <v>72</v>
      </c>
      <c r="AK507" s="12" t="s">
        <v>8</v>
      </c>
      <c r="AL507" s="3"/>
      <c r="AM507" s="3"/>
      <c r="AN507" s="3" t="s">
        <v>1081</v>
      </c>
      <c r="AW507" s="143"/>
    </row>
    <row r="508" spans="2:49" ht="15">
      <c r="B508" s="90">
        <f t="shared" si="17"/>
        <v>280</v>
      </c>
      <c r="C508" s="11" t="s">
        <v>1044</v>
      </c>
      <c r="D508" s="3" t="s">
        <v>24</v>
      </c>
      <c r="E508" s="3" t="s">
        <v>356</v>
      </c>
      <c r="F508" s="1" t="s">
        <v>1096</v>
      </c>
      <c r="G508" s="5">
        <v>1416606</v>
      </c>
      <c r="H508" s="15" t="s">
        <v>72</v>
      </c>
      <c r="I508" s="3" t="s">
        <v>949</v>
      </c>
      <c r="J508" s="15" t="s">
        <v>72</v>
      </c>
      <c r="K508" s="3" t="s">
        <v>73</v>
      </c>
      <c r="L508" s="3" t="s">
        <v>1097</v>
      </c>
      <c r="M508" s="3" t="s">
        <v>950</v>
      </c>
      <c r="N508" s="3" t="s">
        <v>121</v>
      </c>
      <c r="O508" s="5" t="s">
        <v>72</v>
      </c>
      <c r="P508" s="5" t="s">
        <v>951</v>
      </c>
      <c r="Q508" s="55"/>
      <c r="R508" s="15" t="s">
        <v>72</v>
      </c>
      <c r="S508" s="3" t="s">
        <v>78</v>
      </c>
      <c r="T508" s="3"/>
      <c r="U508" s="3"/>
      <c r="V508" s="3">
        <v>84</v>
      </c>
      <c r="W508" s="3">
        <f t="shared" ref="W508:X523" si="18">V508</f>
        <v>84</v>
      </c>
      <c r="X508" s="3">
        <f t="shared" si="16"/>
        <v>84</v>
      </c>
      <c r="Y508" s="3">
        <f>ROUNDDOWN(W508/HLOOKUP(D508,[2]Table!$C$3:$D$4,2,0)*8,2)</f>
        <v>1.49</v>
      </c>
      <c r="Z508" s="3">
        <v>0.5</v>
      </c>
      <c r="AA508" s="3" t="s">
        <v>110</v>
      </c>
      <c r="AB508" s="6">
        <v>43950</v>
      </c>
      <c r="AC508" s="6">
        <v>43941</v>
      </c>
      <c r="AD508" s="6">
        <v>43951</v>
      </c>
      <c r="AE508" s="6">
        <v>43945</v>
      </c>
      <c r="AF508" s="6">
        <v>43945</v>
      </c>
      <c r="AG508" s="12" t="s">
        <v>75</v>
      </c>
      <c r="AH508" s="8">
        <v>1</v>
      </c>
      <c r="AI508" s="8">
        <v>1</v>
      </c>
      <c r="AJ508" s="8">
        <v>1</v>
      </c>
      <c r="AK508" s="12" t="s">
        <v>8</v>
      </c>
      <c r="AL508" s="3"/>
      <c r="AM508" s="3"/>
      <c r="AN508" s="3"/>
      <c r="AW508" s="143"/>
    </row>
    <row r="509" spans="2:49" ht="15">
      <c r="B509" s="90">
        <f t="shared" si="17"/>
        <v>281</v>
      </c>
      <c r="C509" s="11" t="s">
        <v>1044</v>
      </c>
      <c r="D509" s="3" t="s">
        <v>24</v>
      </c>
      <c r="E509" s="3" t="s">
        <v>356</v>
      </c>
      <c r="F509" s="1" t="s">
        <v>1098</v>
      </c>
      <c r="G509" s="5">
        <v>1416606</v>
      </c>
      <c r="H509" s="15" t="s">
        <v>72</v>
      </c>
      <c r="I509" s="3" t="s">
        <v>1080</v>
      </c>
      <c r="J509" s="15" t="s">
        <v>72</v>
      </c>
      <c r="K509" s="3" t="s">
        <v>73</v>
      </c>
      <c r="L509" s="3" t="s">
        <v>1097</v>
      </c>
      <c r="M509" s="3" t="s">
        <v>950</v>
      </c>
      <c r="N509" s="3" t="s">
        <v>121</v>
      </c>
      <c r="O509" s="5" t="s">
        <v>72</v>
      </c>
      <c r="P509" s="5" t="s">
        <v>951</v>
      </c>
      <c r="Q509" s="55"/>
      <c r="R509" s="15" t="s">
        <v>72</v>
      </c>
      <c r="S509" s="3" t="s">
        <v>78</v>
      </c>
      <c r="T509" s="3"/>
      <c r="U509" s="3"/>
      <c r="V509" s="3">
        <v>7</v>
      </c>
      <c r="W509" s="3">
        <f t="shared" si="18"/>
        <v>7</v>
      </c>
      <c r="X509" s="3">
        <f t="shared" si="16"/>
        <v>7</v>
      </c>
      <c r="Y509" s="3">
        <f>ROUNDDOWN(W509/HLOOKUP(D509,[2]Table!$C$3:$D$4,2,0)*8,2)</f>
        <v>0.12</v>
      </c>
      <c r="Z509" s="3">
        <v>0.12</v>
      </c>
      <c r="AA509" s="3" t="s">
        <v>110</v>
      </c>
      <c r="AB509" s="6">
        <v>43950</v>
      </c>
      <c r="AC509" s="6">
        <v>43941</v>
      </c>
      <c r="AD509" s="6">
        <v>43951</v>
      </c>
      <c r="AE509" s="6">
        <v>43945</v>
      </c>
      <c r="AF509" s="6">
        <v>43945</v>
      </c>
      <c r="AG509" s="12" t="s">
        <v>75</v>
      </c>
      <c r="AH509" s="8" t="s">
        <v>72</v>
      </c>
      <c r="AI509" s="8" t="s">
        <v>72</v>
      </c>
      <c r="AJ509" s="8" t="s">
        <v>72</v>
      </c>
      <c r="AK509" s="12" t="s">
        <v>8</v>
      </c>
      <c r="AL509" s="3"/>
      <c r="AM509" s="3"/>
      <c r="AN509" s="3"/>
      <c r="AW509" s="143"/>
    </row>
    <row r="510" spans="2:49" ht="15">
      <c r="B510" s="90">
        <f t="shared" si="17"/>
        <v>282</v>
      </c>
      <c r="C510" s="11" t="s">
        <v>1044</v>
      </c>
      <c r="D510" s="3" t="s">
        <v>24</v>
      </c>
      <c r="E510" s="3" t="s">
        <v>356</v>
      </c>
      <c r="F510" s="1" t="s">
        <v>1099</v>
      </c>
      <c r="G510" s="5">
        <v>1416606</v>
      </c>
      <c r="H510" s="15" t="s">
        <v>72</v>
      </c>
      <c r="I510" s="3" t="s">
        <v>32</v>
      </c>
      <c r="J510" s="15" t="s">
        <v>72</v>
      </c>
      <c r="K510" s="3" t="s">
        <v>73</v>
      </c>
      <c r="L510" s="3" t="s">
        <v>1097</v>
      </c>
      <c r="M510" s="3" t="s">
        <v>950</v>
      </c>
      <c r="N510" s="3" t="s">
        <v>121</v>
      </c>
      <c r="O510" s="5" t="s">
        <v>72</v>
      </c>
      <c r="P510" s="5" t="s">
        <v>951</v>
      </c>
      <c r="Q510" s="55"/>
      <c r="R510" s="15" t="s">
        <v>72</v>
      </c>
      <c r="S510" s="3" t="s">
        <v>78</v>
      </c>
      <c r="T510" s="3"/>
      <c r="U510" s="3"/>
      <c r="V510" s="3">
        <v>259</v>
      </c>
      <c r="W510" s="3">
        <f t="shared" si="18"/>
        <v>259</v>
      </c>
      <c r="X510" s="3">
        <f t="shared" si="16"/>
        <v>259</v>
      </c>
      <c r="Y510" s="3">
        <f>ROUNDDOWN(W510/HLOOKUP(D510,[2]Table!$C$3:$D$4,2,0)*8,2)</f>
        <v>4.5999999999999996</v>
      </c>
      <c r="Z510" s="3">
        <v>0.5</v>
      </c>
      <c r="AA510" s="3" t="s">
        <v>110</v>
      </c>
      <c r="AB510" s="6">
        <v>43950</v>
      </c>
      <c r="AC510" s="6">
        <v>43941</v>
      </c>
      <c r="AD510" s="6">
        <v>43951</v>
      </c>
      <c r="AE510" s="6">
        <v>43945</v>
      </c>
      <c r="AF510" s="6">
        <v>43945</v>
      </c>
      <c r="AG510" s="12" t="s">
        <v>79</v>
      </c>
      <c r="AH510" s="8">
        <v>1</v>
      </c>
      <c r="AI510" s="8">
        <v>1</v>
      </c>
      <c r="AJ510" s="8">
        <v>0.87</v>
      </c>
      <c r="AK510" s="12" t="s">
        <v>76</v>
      </c>
      <c r="AL510" s="3" t="s">
        <v>1100</v>
      </c>
      <c r="AM510" s="3"/>
      <c r="AN510" s="3" t="s">
        <v>895</v>
      </c>
      <c r="AW510" s="143"/>
    </row>
    <row r="511" spans="2:49" ht="15">
      <c r="B511" s="90">
        <f t="shared" si="17"/>
        <v>283</v>
      </c>
      <c r="C511" s="11" t="s">
        <v>1044</v>
      </c>
      <c r="D511" s="3" t="s">
        <v>24</v>
      </c>
      <c r="E511" s="3" t="s">
        <v>356</v>
      </c>
      <c r="F511" s="1" t="s">
        <v>1101</v>
      </c>
      <c r="G511" s="5">
        <v>1416606</v>
      </c>
      <c r="H511" s="15" t="s">
        <v>72</v>
      </c>
      <c r="I511" s="3" t="s">
        <v>953</v>
      </c>
      <c r="J511" s="15" t="s">
        <v>72</v>
      </c>
      <c r="K511" s="3" t="s">
        <v>73</v>
      </c>
      <c r="L511" s="3" t="s">
        <v>1097</v>
      </c>
      <c r="M511" s="3" t="s">
        <v>950</v>
      </c>
      <c r="N511" s="3" t="s">
        <v>121</v>
      </c>
      <c r="O511" s="5" t="s">
        <v>72</v>
      </c>
      <c r="P511" s="5" t="s">
        <v>951</v>
      </c>
      <c r="Q511" s="55"/>
      <c r="R511" s="15" t="s">
        <v>72</v>
      </c>
      <c r="S511" s="3" t="s">
        <v>78</v>
      </c>
      <c r="T511" s="3"/>
      <c r="U511" s="3"/>
      <c r="V511" s="3">
        <v>140</v>
      </c>
      <c r="W511" s="3">
        <f t="shared" si="18"/>
        <v>140</v>
      </c>
      <c r="X511" s="3">
        <f t="shared" si="16"/>
        <v>140</v>
      </c>
      <c r="Y511" s="3">
        <f>ROUNDDOWN(W511/HLOOKUP(D511,[2]Table!$C$3:$D$4,2,0)*8,2)</f>
        <v>2.48</v>
      </c>
      <c r="Z511" s="3">
        <v>0.5</v>
      </c>
      <c r="AA511" s="3" t="s">
        <v>110</v>
      </c>
      <c r="AB511" s="6">
        <v>43950</v>
      </c>
      <c r="AC511" s="6">
        <v>43941</v>
      </c>
      <c r="AD511" s="6">
        <v>43951</v>
      </c>
      <c r="AE511" s="6">
        <v>43945</v>
      </c>
      <c r="AF511" s="6">
        <v>43945</v>
      </c>
      <c r="AG511" s="12" t="s">
        <v>75</v>
      </c>
      <c r="AH511" s="8">
        <v>1</v>
      </c>
      <c r="AI511" s="8">
        <v>1</v>
      </c>
      <c r="AJ511" s="8">
        <v>1</v>
      </c>
      <c r="AK511" s="12" t="s">
        <v>8</v>
      </c>
      <c r="AL511" s="3"/>
      <c r="AM511" s="3"/>
      <c r="AN511" s="3"/>
      <c r="AW511" s="143"/>
    </row>
    <row r="512" spans="2:49" ht="15">
      <c r="B512" s="90">
        <f t="shared" si="17"/>
        <v>284</v>
      </c>
      <c r="C512" s="11" t="s">
        <v>1044</v>
      </c>
      <c r="D512" s="3" t="s">
        <v>24</v>
      </c>
      <c r="E512" s="3" t="s">
        <v>356</v>
      </c>
      <c r="F512" s="1" t="s">
        <v>1102</v>
      </c>
      <c r="G512" s="5">
        <v>1416606</v>
      </c>
      <c r="H512" s="15" t="s">
        <v>72</v>
      </c>
      <c r="I512" s="3" t="s">
        <v>270</v>
      </c>
      <c r="J512" s="15" t="s">
        <v>72</v>
      </c>
      <c r="K512" s="3" t="s">
        <v>73</v>
      </c>
      <c r="L512" s="3" t="s">
        <v>1097</v>
      </c>
      <c r="M512" s="3" t="s">
        <v>950</v>
      </c>
      <c r="N512" s="3" t="s">
        <v>121</v>
      </c>
      <c r="O512" s="5" t="s">
        <v>72</v>
      </c>
      <c r="P512" s="5" t="s">
        <v>951</v>
      </c>
      <c r="Q512" s="55"/>
      <c r="R512" s="15" t="s">
        <v>72</v>
      </c>
      <c r="S512" s="3" t="s">
        <v>78</v>
      </c>
      <c r="T512" s="3"/>
      <c r="U512" s="3"/>
      <c r="V512" s="3">
        <v>313</v>
      </c>
      <c r="W512" s="3">
        <f t="shared" si="18"/>
        <v>313</v>
      </c>
      <c r="X512" s="3">
        <f t="shared" si="18"/>
        <v>313</v>
      </c>
      <c r="Y512" s="3">
        <f>ROUNDDOWN(W512/HLOOKUP(D512,[2]Table!$C$3:$D$4,2,0)*8,2)</f>
        <v>5.56</v>
      </c>
      <c r="Z512" s="3">
        <v>2</v>
      </c>
      <c r="AA512" s="3" t="s">
        <v>110</v>
      </c>
      <c r="AB512" s="6">
        <v>43950</v>
      </c>
      <c r="AC512" s="6">
        <v>43941</v>
      </c>
      <c r="AD512" s="6">
        <v>43951</v>
      </c>
      <c r="AE512" s="6">
        <v>43945</v>
      </c>
      <c r="AF512" s="6">
        <v>43945</v>
      </c>
      <c r="AG512" s="12" t="s">
        <v>75</v>
      </c>
      <c r="AH512" s="8">
        <v>1</v>
      </c>
      <c r="AI512" s="8">
        <v>1</v>
      </c>
      <c r="AJ512" s="8">
        <v>1</v>
      </c>
      <c r="AK512" s="12" t="s">
        <v>8</v>
      </c>
      <c r="AL512" s="3"/>
      <c r="AM512" s="3"/>
      <c r="AN512" s="3"/>
      <c r="AW512" s="143"/>
    </row>
    <row r="513" spans="2:49" ht="15">
      <c r="B513" s="90">
        <f t="shared" si="17"/>
        <v>285</v>
      </c>
      <c r="C513" s="11" t="s">
        <v>1044</v>
      </c>
      <c r="D513" s="3" t="s">
        <v>24</v>
      </c>
      <c r="E513" s="3" t="s">
        <v>356</v>
      </c>
      <c r="F513" s="1" t="s">
        <v>1103</v>
      </c>
      <c r="G513" s="5">
        <v>1416606</v>
      </c>
      <c r="H513" s="15" t="s">
        <v>72</v>
      </c>
      <c r="I513" s="3" t="s">
        <v>256</v>
      </c>
      <c r="J513" s="15" t="s">
        <v>72</v>
      </c>
      <c r="K513" s="3" t="s">
        <v>73</v>
      </c>
      <c r="L513" s="3" t="s">
        <v>1097</v>
      </c>
      <c r="M513" s="3" t="s">
        <v>950</v>
      </c>
      <c r="N513" s="3" t="s">
        <v>121</v>
      </c>
      <c r="O513" s="5" t="s">
        <v>72</v>
      </c>
      <c r="P513" s="5" t="s">
        <v>951</v>
      </c>
      <c r="Q513" s="55"/>
      <c r="R513" s="15" t="s">
        <v>72</v>
      </c>
      <c r="S513" s="3" t="s">
        <v>78</v>
      </c>
      <c r="T513" s="3"/>
      <c r="U513" s="3"/>
      <c r="V513" s="3">
        <v>144</v>
      </c>
      <c r="W513" s="3">
        <f t="shared" si="18"/>
        <v>144</v>
      </c>
      <c r="X513" s="3">
        <f t="shared" si="18"/>
        <v>144</v>
      </c>
      <c r="Y513" s="3">
        <f>ROUNDDOWN(W513/HLOOKUP(D513,[2]Table!$C$3:$D$4,2,0)*8,2)</f>
        <v>2.56</v>
      </c>
      <c r="Z513" s="3">
        <v>0.5</v>
      </c>
      <c r="AA513" s="3" t="s">
        <v>110</v>
      </c>
      <c r="AB513" s="6">
        <v>43950</v>
      </c>
      <c r="AC513" s="6">
        <v>43941</v>
      </c>
      <c r="AD513" s="6">
        <v>43951</v>
      </c>
      <c r="AE513" s="6">
        <v>43945</v>
      </c>
      <c r="AF513" s="6">
        <v>43945</v>
      </c>
      <c r="AG513" s="12" t="s">
        <v>75</v>
      </c>
      <c r="AH513" s="8">
        <v>1</v>
      </c>
      <c r="AI513" s="8">
        <v>1</v>
      </c>
      <c r="AJ513" s="8">
        <v>1</v>
      </c>
      <c r="AK513" s="12" t="s">
        <v>8</v>
      </c>
      <c r="AL513" s="3"/>
      <c r="AM513" s="3"/>
      <c r="AN513" s="3"/>
      <c r="AW513" s="143"/>
    </row>
    <row r="514" spans="2:49" ht="15">
      <c r="B514" s="90">
        <f t="shared" si="17"/>
        <v>286</v>
      </c>
      <c r="C514" s="11" t="s">
        <v>1044</v>
      </c>
      <c r="D514" s="3" t="s">
        <v>24</v>
      </c>
      <c r="E514" s="3" t="s">
        <v>356</v>
      </c>
      <c r="F514" s="1" t="s">
        <v>1104</v>
      </c>
      <c r="G514" s="5">
        <v>1416606</v>
      </c>
      <c r="H514" s="15" t="s">
        <v>72</v>
      </c>
      <c r="I514" s="3" t="s">
        <v>1090</v>
      </c>
      <c r="J514" s="15" t="s">
        <v>72</v>
      </c>
      <c r="K514" s="3" t="s">
        <v>73</v>
      </c>
      <c r="L514" s="3" t="s">
        <v>1097</v>
      </c>
      <c r="M514" s="3" t="s">
        <v>950</v>
      </c>
      <c r="N514" s="3" t="s">
        <v>121</v>
      </c>
      <c r="O514" s="5" t="s">
        <v>72</v>
      </c>
      <c r="P514" s="5" t="s">
        <v>951</v>
      </c>
      <c r="Q514" s="55"/>
      <c r="R514" s="15" t="s">
        <v>72</v>
      </c>
      <c r="S514" s="3" t="s">
        <v>78</v>
      </c>
      <c r="T514" s="3"/>
      <c r="U514" s="3"/>
      <c r="V514" s="3">
        <v>59</v>
      </c>
      <c r="W514" s="3">
        <f t="shared" si="18"/>
        <v>59</v>
      </c>
      <c r="X514" s="3">
        <f t="shared" si="18"/>
        <v>59</v>
      </c>
      <c r="Y514" s="3">
        <f>ROUNDDOWN(W514/HLOOKUP(D514,[2]Table!$C$3:$D$4,2,0)*8,2)</f>
        <v>1.04</v>
      </c>
      <c r="Z514" s="3">
        <v>0.5</v>
      </c>
      <c r="AA514" s="3" t="s">
        <v>110</v>
      </c>
      <c r="AB514" s="6">
        <v>43950</v>
      </c>
      <c r="AC514" s="6">
        <v>43941</v>
      </c>
      <c r="AD514" s="6">
        <v>43951</v>
      </c>
      <c r="AE514" s="6">
        <v>43945</v>
      </c>
      <c r="AF514" s="6">
        <v>43945</v>
      </c>
      <c r="AG514" s="12" t="s">
        <v>75</v>
      </c>
      <c r="AH514" s="8">
        <v>1</v>
      </c>
      <c r="AI514" s="8">
        <v>1</v>
      </c>
      <c r="AJ514" s="8">
        <v>1</v>
      </c>
      <c r="AK514" s="12" t="s">
        <v>8</v>
      </c>
      <c r="AL514" s="3"/>
      <c r="AM514" s="3"/>
      <c r="AN514" s="3"/>
      <c r="AW514" s="143"/>
    </row>
    <row r="515" spans="2:49" ht="15">
      <c r="B515" s="90">
        <f t="shared" si="17"/>
        <v>287</v>
      </c>
      <c r="C515" s="11" t="s">
        <v>1044</v>
      </c>
      <c r="D515" s="3" t="s">
        <v>24</v>
      </c>
      <c r="E515" s="3" t="s">
        <v>356</v>
      </c>
      <c r="F515" s="1" t="s">
        <v>1105</v>
      </c>
      <c r="G515" s="5">
        <v>1416606</v>
      </c>
      <c r="H515" s="15" t="s">
        <v>72</v>
      </c>
      <c r="I515" s="3" t="s">
        <v>260</v>
      </c>
      <c r="J515" s="15" t="s">
        <v>72</v>
      </c>
      <c r="K515" s="3" t="s">
        <v>73</v>
      </c>
      <c r="L515" s="3" t="s">
        <v>1097</v>
      </c>
      <c r="M515" s="3" t="s">
        <v>950</v>
      </c>
      <c r="N515" s="3" t="s">
        <v>121</v>
      </c>
      <c r="O515" s="5" t="s">
        <v>72</v>
      </c>
      <c r="P515" s="5" t="s">
        <v>951</v>
      </c>
      <c r="Q515" s="55"/>
      <c r="R515" s="15" t="s">
        <v>72</v>
      </c>
      <c r="S515" s="3" t="s">
        <v>78</v>
      </c>
      <c r="T515" s="3"/>
      <c r="U515" s="3"/>
      <c r="V515" s="3">
        <v>354</v>
      </c>
      <c r="W515" s="3">
        <f t="shared" si="18"/>
        <v>354</v>
      </c>
      <c r="X515" s="3">
        <f t="shared" si="18"/>
        <v>354</v>
      </c>
      <c r="Y515" s="3">
        <f>ROUNDDOWN(W515/HLOOKUP(D515,[2]Table!$C$3:$D$4,2,0)*8,2)</f>
        <v>6.29</v>
      </c>
      <c r="Z515" s="3">
        <v>2</v>
      </c>
      <c r="AA515" s="3" t="s">
        <v>110</v>
      </c>
      <c r="AB515" s="6">
        <v>43950</v>
      </c>
      <c r="AC515" s="6">
        <v>43941</v>
      </c>
      <c r="AD515" s="6">
        <v>43951</v>
      </c>
      <c r="AE515" s="6">
        <v>43945</v>
      </c>
      <c r="AF515" s="6">
        <v>43945</v>
      </c>
      <c r="AG515" s="12" t="s">
        <v>75</v>
      </c>
      <c r="AH515" s="8">
        <v>1</v>
      </c>
      <c r="AI515" s="8">
        <v>1</v>
      </c>
      <c r="AJ515" s="8">
        <v>1</v>
      </c>
      <c r="AK515" s="12" t="s">
        <v>8</v>
      </c>
      <c r="AL515" s="3"/>
      <c r="AM515" s="3"/>
      <c r="AN515" s="3"/>
      <c r="AW515" s="143"/>
    </row>
    <row r="516" spans="2:49" ht="15">
      <c r="B516" s="90">
        <f t="shared" si="17"/>
        <v>288</v>
      </c>
      <c r="C516" s="11" t="s">
        <v>1044</v>
      </c>
      <c r="D516" s="3" t="s">
        <v>24</v>
      </c>
      <c r="E516" s="3" t="s">
        <v>356</v>
      </c>
      <c r="F516" s="1" t="s">
        <v>1106</v>
      </c>
      <c r="G516" s="5">
        <v>1416606</v>
      </c>
      <c r="H516" s="15" t="s">
        <v>72</v>
      </c>
      <c r="I516" s="3" t="s">
        <v>272</v>
      </c>
      <c r="J516" s="15" t="s">
        <v>72</v>
      </c>
      <c r="K516" s="3" t="s">
        <v>73</v>
      </c>
      <c r="L516" s="3" t="s">
        <v>1097</v>
      </c>
      <c r="M516" s="3" t="s">
        <v>950</v>
      </c>
      <c r="N516" s="3" t="s">
        <v>121</v>
      </c>
      <c r="O516" s="5" t="s">
        <v>72</v>
      </c>
      <c r="P516" s="5" t="s">
        <v>951</v>
      </c>
      <c r="Q516" s="55"/>
      <c r="R516" s="15" t="s">
        <v>72</v>
      </c>
      <c r="S516" s="3" t="s">
        <v>78</v>
      </c>
      <c r="T516" s="3"/>
      <c r="U516" s="3"/>
      <c r="V516" s="3">
        <v>186</v>
      </c>
      <c r="W516" s="3">
        <f t="shared" si="18"/>
        <v>186</v>
      </c>
      <c r="X516" s="3">
        <f t="shared" si="18"/>
        <v>186</v>
      </c>
      <c r="Y516" s="3">
        <f>ROUNDDOWN(W516/HLOOKUP(D516,[2]Table!$C$3:$D$4,2,0)*8,2)</f>
        <v>3.3</v>
      </c>
      <c r="Z516" s="3">
        <v>0.5</v>
      </c>
      <c r="AA516" s="3" t="s">
        <v>110</v>
      </c>
      <c r="AB516" s="6">
        <v>43950</v>
      </c>
      <c r="AC516" s="6">
        <v>43941</v>
      </c>
      <c r="AD516" s="6">
        <v>43951</v>
      </c>
      <c r="AE516" s="6">
        <v>43945</v>
      </c>
      <c r="AF516" s="6">
        <v>43945</v>
      </c>
      <c r="AG516" s="12" t="s">
        <v>75</v>
      </c>
      <c r="AH516" s="8">
        <v>1</v>
      </c>
      <c r="AI516" s="8">
        <v>1</v>
      </c>
      <c r="AJ516" s="8">
        <v>1</v>
      </c>
      <c r="AK516" s="12" t="s">
        <v>8</v>
      </c>
      <c r="AL516" s="3"/>
      <c r="AM516" s="3"/>
      <c r="AN516" s="3"/>
      <c r="AW516" s="143"/>
    </row>
    <row r="517" spans="2:49" ht="15">
      <c r="B517" s="90">
        <f t="shared" si="17"/>
        <v>289</v>
      </c>
      <c r="C517" s="11" t="s">
        <v>1044</v>
      </c>
      <c r="D517" s="3" t="s">
        <v>24</v>
      </c>
      <c r="E517" s="3" t="s">
        <v>356</v>
      </c>
      <c r="F517" s="1" t="s">
        <v>1107</v>
      </c>
      <c r="G517" s="5">
        <v>1416606</v>
      </c>
      <c r="H517" s="15" t="s">
        <v>72</v>
      </c>
      <c r="I517" s="3" t="s">
        <v>252</v>
      </c>
      <c r="J517" s="15" t="s">
        <v>72</v>
      </c>
      <c r="K517" s="3" t="s">
        <v>73</v>
      </c>
      <c r="L517" s="3" t="s">
        <v>1097</v>
      </c>
      <c r="M517" s="3" t="s">
        <v>950</v>
      </c>
      <c r="N517" s="3" t="s">
        <v>121</v>
      </c>
      <c r="O517" s="5" t="s">
        <v>72</v>
      </c>
      <c r="P517" s="5" t="s">
        <v>951</v>
      </c>
      <c r="Q517" s="55"/>
      <c r="R517" s="15" t="s">
        <v>72</v>
      </c>
      <c r="S517" s="3" t="s">
        <v>78</v>
      </c>
      <c r="T517" s="3"/>
      <c r="U517" s="3"/>
      <c r="V517" s="3">
        <v>159</v>
      </c>
      <c r="W517" s="3">
        <f t="shared" si="18"/>
        <v>159</v>
      </c>
      <c r="X517" s="3">
        <f t="shared" si="18"/>
        <v>159</v>
      </c>
      <c r="Y517" s="3">
        <f>ROUNDDOWN(W517/HLOOKUP(D517,[2]Table!$C$3:$D$4,2,0)*8,2)</f>
        <v>2.82</v>
      </c>
      <c r="Z517" s="3">
        <v>0.5</v>
      </c>
      <c r="AA517" s="3" t="s">
        <v>110</v>
      </c>
      <c r="AB517" s="6">
        <v>43950</v>
      </c>
      <c r="AC517" s="6">
        <v>43941</v>
      </c>
      <c r="AD517" s="6">
        <v>43951</v>
      </c>
      <c r="AE517" s="6">
        <v>43945</v>
      </c>
      <c r="AF517" s="6">
        <v>43945</v>
      </c>
      <c r="AG517" s="12" t="s">
        <v>75</v>
      </c>
      <c r="AH517" s="8">
        <v>1</v>
      </c>
      <c r="AI517" s="8">
        <v>1</v>
      </c>
      <c r="AJ517" s="8">
        <v>1</v>
      </c>
      <c r="AK517" s="12" t="s">
        <v>8</v>
      </c>
      <c r="AL517" s="3"/>
      <c r="AM517" s="3"/>
      <c r="AN517" s="3"/>
      <c r="AW517" s="143"/>
    </row>
    <row r="518" spans="2:49" ht="15">
      <c r="B518" s="90">
        <f t="shared" si="17"/>
        <v>290</v>
      </c>
      <c r="C518" s="11" t="s">
        <v>1044</v>
      </c>
      <c r="D518" s="3" t="s">
        <v>24</v>
      </c>
      <c r="E518" s="3" t="s">
        <v>356</v>
      </c>
      <c r="F518" s="1" t="s">
        <v>1108</v>
      </c>
      <c r="G518" s="5">
        <v>1416606</v>
      </c>
      <c r="H518" s="15" t="s">
        <v>72</v>
      </c>
      <c r="I518" s="3" t="s">
        <v>955</v>
      </c>
      <c r="J518" s="15" t="s">
        <v>72</v>
      </c>
      <c r="K518" s="3" t="s">
        <v>73</v>
      </c>
      <c r="L518" s="3" t="s">
        <v>1097</v>
      </c>
      <c r="M518" s="3" t="s">
        <v>950</v>
      </c>
      <c r="N518" s="3" t="s">
        <v>121</v>
      </c>
      <c r="O518" s="5" t="s">
        <v>72</v>
      </c>
      <c r="P518" s="5" t="s">
        <v>951</v>
      </c>
      <c r="Q518" s="55"/>
      <c r="R518" s="15" t="s">
        <v>72</v>
      </c>
      <c r="S518" s="3" t="s">
        <v>78</v>
      </c>
      <c r="T518" s="3"/>
      <c r="U518" s="3"/>
      <c r="V518" s="3">
        <v>199</v>
      </c>
      <c r="W518" s="3">
        <f t="shared" si="18"/>
        <v>199</v>
      </c>
      <c r="X518" s="3">
        <f t="shared" si="18"/>
        <v>199</v>
      </c>
      <c r="Y518" s="3">
        <f>ROUNDDOWN(W518/HLOOKUP(D518,[2]Table!$C$3:$D$4,2,0)*8,2)</f>
        <v>3.53</v>
      </c>
      <c r="Z518" s="3">
        <v>0.5</v>
      </c>
      <c r="AA518" s="3" t="s">
        <v>110</v>
      </c>
      <c r="AB518" s="6">
        <v>43950</v>
      </c>
      <c r="AC518" s="6">
        <v>43941</v>
      </c>
      <c r="AD518" s="6">
        <v>43951</v>
      </c>
      <c r="AE518" s="6">
        <v>43945</v>
      </c>
      <c r="AF518" s="6">
        <v>43945</v>
      </c>
      <c r="AG518" s="12" t="s">
        <v>75</v>
      </c>
      <c r="AH518" s="8">
        <v>1</v>
      </c>
      <c r="AI518" s="8">
        <v>1</v>
      </c>
      <c r="AJ518" s="8">
        <v>1</v>
      </c>
      <c r="AK518" s="12" t="s">
        <v>8</v>
      </c>
      <c r="AL518" s="3"/>
      <c r="AM518" s="3"/>
      <c r="AN518" s="3"/>
      <c r="AW518" s="143"/>
    </row>
    <row r="519" spans="2:49" ht="15">
      <c r="B519" s="90">
        <f t="shared" si="17"/>
        <v>291</v>
      </c>
      <c r="C519" s="11" t="s">
        <v>1044</v>
      </c>
      <c r="D519" s="3" t="s">
        <v>24</v>
      </c>
      <c r="E519" s="3" t="s">
        <v>356</v>
      </c>
      <c r="F519" s="1" t="s">
        <v>1109</v>
      </c>
      <c r="G519" s="5">
        <v>1416606</v>
      </c>
      <c r="H519" s="15" t="s">
        <v>72</v>
      </c>
      <c r="I519" s="3" t="s">
        <v>956</v>
      </c>
      <c r="J519" s="15" t="s">
        <v>72</v>
      </c>
      <c r="K519" s="3" t="s">
        <v>73</v>
      </c>
      <c r="L519" s="3" t="s">
        <v>1097</v>
      </c>
      <c r="M519" s="3" t="s">
        <v>950</v>
      </c>
      <c r="N519" s="3" t="s">
        <v>121</v>
      </c>
      <c r="O519" s="5" t="s">
        <v>72</v>
      </c>
      <c r="P519" s="5" t="s">
        <v>951</v>
      </c>
      <c r="Q519" s="55"/>
      <c r="R519" s="15" t="s">
        <v>72</v>
      </c>
      <c r="S519" s="3" t="s">
        <v>78</v>
      </c>
      <c r="T519" s="3"/>
      <c r="U519" s="3"/>
      <c r="V519" s="3">
        <v>6</v>
      </c>
      <c r="W519" s="3">
        <f t="shared" si="18"/>
        <v>6</v>
      </c>
      <c r="X519" s="3">
        <f t="shared" si="18"/>
        <v>6</v>
      </c>
      <c r="Y519" s="3">
        <f>ROUNDDOWN(W519/HLOOKUP(D519,[2]Table!$C$3:$D$4,2,0)*8,2)</f>
        <v>0.1</v>
      </c>
      <c r="Z519" s="3">
        <v>0.5</v>
      </c>
      <c r="AA519" s="3" t="s">
        <v>110</v>
      </c>
      <c r="AB519" s="6">
        <v>43950</v>
      </c>
      <c r="AC519" s="6">
        <v>43941</v>
      </c>
      <c r="AD519" s="6">
        <v>43951</v>
      </c>
      <c r="AE519" s="6">
        <v>43945</v>
      </c>
      <c r="AF519" s="6">
        <v>43945</v>
      </c>
      <c r="AG519" s="12" t="s">
        <v>75</v>
      </c>
      <c r="AH519" s="8" t="s">
        <v>72</v>
      </c>
      <c r="AI519" s="8" t="s">
        <v>72</v>
      </c>
      <c r="AJ519" s="8" t="s">
        <v>72</v>
      </c>
      <c r="AK519" s="12" t="s">
        <v>8</v>
      </c>
      <c r="AL519" s="3"/>
      <c r="AM519" s="3"/>
      <c r="AN519" s="3"/>
      <c r="AW519" s="143"/>
    </row>
    <row r="520" spans="2:49" ht="15">
      <c r="B520" s="90">
        <f t="shared" si="17"/>
        <v>292</v>
      </c>
      <c r="C520" s="11" t="s">
        <v>1044</v>
      </c>
      <c r="D520" s="11" t="s">
        <v>24</v>
      </c>
      <c r="E520" s="11" t="s">
        <v>1110</v>
      </c>
      <c r="F520" s="2" t="s">
        <v>1111</v>
      </c>
      <c r="G520" s="26">
        <v>1372148</v>
      </c>
      <c r="H520" s="15" t="s">
        <v>72</v>
      </c>
      <c r="I520" s="11" t="s">
        <v>1112</v>
      </c>
      <c r="J520" s="15" t="s">
        <v>72</v>
      </c>
      <c r="K520" s="11" t="s">
        <v>73</v>
      </c>
      <c r="L520" s="11" t="s">
        <v>8</v>
      </c>
      <c r="M520" s="11" t="s">
        <v>1058</v>
      </c>
      <c r="N520" s="11" t="s">
        <v>1113</v>
      </c>
      <c r="O520" s="26" t="s">
        <v>72</v>
      </c>
      <c r="P520" s="26" t="s">
        <v>1114</v>
      </c>
      <c r="Q520" s="55"/>
      <c r="R520" s="15" t="s">
        <v>72</v>
      </c>
      <c r="S520" s="11" t="s">
        <v>959</v>
      </c>
      <c r="T520" s="11"/>
      <c r="U520" s="11"/>
      <c r="V520" s="11">
        <v>90</v>
      </c>
      <c r="W520" s="11">
        <f t="shared" si="18"/>
        <v>90</v>
      </c>
      <c r="X520" s="3">
        <f t="shared" si="18"/>
        <v>90</v>
      </c>
      <c r="Y520" s="11">
        <f>ROUNDDOWN(W520/HLOOKUP(D520,[2]Table!$C$3:$D$4,2,0)*8,2)</f>
        <v>1.6</v>
      </c>
      <c r="Z520" s="11">
        <v>2</v>
      </c>
      <c r="AA520" s="11" t="s">
        <v>110</v>
      </c>
      <c r="AB520" s="6">
        <v>43943</v>
      </c>
      <c r="AC520" s="6">
        <v>43941</v>
      </c>
      <c r="AD520" s="51">
        <v>43943</v>
      </c>
      <c r="AE520" s="51">
        <v>43942</v>
      </c>
      <c r="AF520" s="51">
        <v>43942</v>
      </c>
      <c r="AG520" s="12" t="s">
        <v>75</v>
      </c>
      <c r="AH520" s="92">
        <v>1</v>
      </c>
      <c r="AI520" s="92">
        <v>1</v>
      </c>
      <c r="AJ520" s="92">
        <v>1</v>
      </c>
      <c r="AK520" s="12" t="s">
        <v>8</v>
      </c>
      <c r="AL520" s="11"/>
      <c r="AM520" s="11"/>
      <c r="AN520" s="11"/>
      <c r="AW520" s="143"/>
    </row>
    <row r="521" spans="2:49" ht="15">
      <c r="B521" s="90">
        <f t="shared" si="17"/>
        <v>293</v>
      </c>
      <c r="C521" s="11" t="s">
        <v>1044</v>
      </c>
      <c r="D521" s="11" t="s">
        <v>24</v>
      </c>
      <c r="E521" s="11" t="s">
        <v>1110</v>
      </c>
      <c r="F521" s="2" t="s">
        <v>1115</v>
      </c>
      <c r="G521" s="26">
        <v>1372148</v>
      </c>
      <c r="H521" s="15" t="s">
        <v>72</v>
      </c>
      <c r="I521" s="11" t="s">
        <v>54</v>
      </c>
      <c r="J521" s="15" t="s">
        <v>72</v>
      </c>
      <c r="K521" s="11" t="s">
        <v>73</v>
      </c>
      <c r="L521" s="11" t="s">
        <v>8</v>
      </c>
      <c r="M521" s="11" t="s">
        <v>1058</v>
      </c>
      <c r="N521" s="11" t="s">
        <v>1113</v>
      </c>
      <c r="O521" s="26" t="s">
        <v>72</v>
      </c>
      <c r="P521" s="26" t="s">
        <v>1114</v>
      </c>
      <c r="Q521" s="55"/>
      <c r="R521" s="15" t="s">
        <v>72</v>
      </c>
      <c r="S521" s="11" t="s">
        <v>959</v>
      </c>
      <c r="T521" s="11"/>
      <c r="U521" s="11"/>
      <c r="V521" s="11">
        <v>212</v>
      </c>
      <c r="W521" s="11">
        <f t="shared" si="18"/>
        <v>212</v>
      </c>
      <c r="X521" s="3">
        <f t="shared" si="18"/>
        <v>212</v>
      </c>
      <c r="Y521" s="11">
        <f>ROUNDDOWN(W521/HLOOKUP(D521,[2]Table!$C$3:$D$4,2,0)*8,2)</f>
        <v>3.76</v>
      </c>
      <c r="Z521" s="11">
        <v>4</v>
      </c>
      <c r="AA521" s="11" t="s">
        <v>110</v>
      </c>
      <c r="AB521" s="6">
        <v>43943</v>
      </c>
      <c r="AC521" s="6">
        <v>43941</v>
      </c>
      <c r="AD521" s="51">
        <v>43943</v>
      </c>
      <c r="AE521" s="51">
        <v>43942</v>
      </c>
      <c r="AF521" s="51">
        <v>43942</v>
      </c>
      <c r="AG521" s="12" t="s">
        <v>75</v>
      </c>
      <c r="AH521" s="92">
        <v>1</v>
      </c>
      <c r="AI521" s="92">
        <v>1</v>
      </c>
      <c r="AJ521" s="92">
        <v>1</v>
      </c>
      <c r="AK521" s="12" t="s">
        <v>8</v>
      </c>
      <c r="AL521" s="11"/>
      <c r="AM521" s="11"/>
      <c r="AN521" s="11"/>
      <c r="AW521" s="143"/>
    </row>
    <row r="522" spans="2:49" ht="15">
      <c r="B522" s="90">
        <f t="shared" si="17"/>
        <v>294</v>
      </c>
      <c r="C522" s="11" t="s">
        <v>1044</v>
      </c>
      <c r="D522" s="11" t="s">
        <v>24</v>
      </c>
      <c r="E522" s="11" t="s">
        <v>1110</v>
      </c>
      <c r="F522" s="2" t="s">
        <v>1116</v>
      </c>
      <c r="G522" s="26">
        <v>1372148</v>
      </c>
      <c r="H522" s="15" t="s">
        <v>72</v>
      </c>
      <c r="I522" s="11" t="s">
        <v>1117</v>
      </c>
      <c r="J522" s="15" t="s">
        <v>72</v>
      </c>
      <c r="K522" s="11" t="s">
        <v>73</v>
      </c>
      <c r="L522" s="11" t="s">
        <v>8</v>
      </c>
      <c r="M522" s="11" t="s">
        <v>1058</v>
      </c>
      <c r="N522" s="11" t="s">
        <v>1113</v>
      </c>
      <c r="O522" s="26" t="s">
        <v>72</v>
      </c>
      <c r="P522" s="26" t="s">
        <v>1114</v>
      </c>
      <c r="Q522" s="55"/>
      <c r="R522" s="15" t="s">
        <v>72</v>
      </c>
      <c r="S522" s="11" t="s">
        <v>959</v>
      </c>
      <c r="T522" s="11"/>
      <c r="U522" s="11"/>
      <c r="V522" s="11">
        <v>361</v>
      </c>
      <c r="W522" s="11">
        <f t="shared" si="18"/>
        <v>361</v>
      </c>
      <c r="X522" s="3">
        <f t="shared" si="18"/>
        <v>361</v>
      </c>
      <c r="Y522" s="11">
        <f>ROUNDDOWN(W522/HLOOKUP(D522,[2]Table!$C$3:$D$4,2,0)*8,2)</f>
        <v>6.41</v>
      </c>
      <c r="Z522" s="11">
        <v>3</v>
      </c>
      <c r="AA522" s="11" t="s">
        <v>110</v>
      </c>
      <c r="AB522" s="6">
        <v>43943</v>
      </c>
      <c r="AC522" s="6">
        <v>43941</v>
      </c>
      <c r="AD522" s="51">
        <v>43943</v>
      </c>
      <c r="AE522" s="51">
        <v>43942</v>
      </c>
      <c r="AF522" s="51">
        <v>43942</v>
      </c>
      <c r="AG522" s="12" t="s">
        <v>75</v>
      </c>
      <c r="AH522" s="92">
        <v>1</v>
      </c>
      <c r="AI522" s="92">
        <v>1</v>
      </c>
      <c r="AJ522" s="92">
        <v>1</v>
      </c>
      <c r="AK522" s="12" t="s">
        <v>8</v>
      </c>
      <c r="AL522" s="11"/>
      <c r="AM522" s="11"/>
      <c r="AN522" s="11"/>
      <c r="AW522" s="143"/>
    </row>
    <row r="523" spans="2:49" ht="15">
      <c r="B523" s="90">
        <f t="shared" si="17"/>
        <v>295</v>
      </c>
      <c r="C523" s="11" t="s">
        <v>1044</v>
      </c>
      <c r="D523" s="3" t="s">
        <v>24</v>
      </c>
      <c r="E523" s="3" t="s">
        <v>1110</v>
      </c>
      <c r="F523" s="1" t="s">
        <v>1118</v>
      </c>
      <c r="G523" s="5">
        <v>1372148</v>
      </c>
      <c r="H523" s="15" t="s">
        <v>72</v>
      </c>
      <c r="I523" s="3" t="s">
        <v>750</v>
      </c>
      <c r="J523" s="15" t="s">
        <v>72</v>
      </c>
      <c r="K523" s="3" t="s">
        <v>73</v>
      </c>
      <c r="L523" s="3" t="s">
        <v>8</v>
      </c>
      <c r="M523" s="3" t="s">
        <v>1058</v>
      </c>
      <c r="N523" s="3" t="s">
        <v>1113</v>
      </c>
      <c r="O523" s="5" t="s">
        <v>72</v>
      </c>
      <c r="P523" s="5" t="s">
        <v>1114</v>
      </c>
      <c r="Q523" s="55"/>
      <c r="R523" s="15" t="s">
        <v>72</v>
      </c>
      <c r="S523" s="3" t="s">
        <v>959</v>
      </c>
      <c r="T523" s="3"/>
      <c r="U523" s="3"/>
      <c r="V523" s="3">
        <v>437</v>
      </c>
      <c r="W523" s="3">
        <f t="shared" si="18"/>
        <v>437</v>
      </c>
      <c r="X523" s="3">
        <f t="shared" si="18"/>
        <v>437</v>
      </c>
      <c r="Y523" s="3">
        <f>ROUNDDOWN(W523/HLOOKUP(D523,[2]Table!$C$3:$D$4,2,0)*8,2)</f>
        <v>7.76</v>
      </c>
      <c r="Z523" s="3">
        <v>4</v>
      </c>
      <c r="AA523" s="11" t="s">
        <v>110</v>
      </c>
      <c r="AB523" s="6">
        <v>43943</v>
      </c>
      <c r="AC523" s="6">
        <v>43941</v>
      </c>
      <c r="AD523" s="6">
        <v>43943</v>
      </c>
      <c r="AE523" s="6">
        <v>43943</v>
      </c>
      <c r="AF523" s="6">
        <v>43943</v>
      </c>
      <c r="AG523" s="12" t="s">
        <v>75</v>
      </c>
      <c r="AH523" s="8">
        <v>1</v>
      </c>
      <c r="AI523" s="8">
        <v>1</v>
      </c>
      <c r="AJ523" s="8">
        <v>1</v>
      </c>
      <c r="AK523" s="12" t="s">
        <v>8</v>
      </c>
      <c r="AL523" s="3"/>
      <c r="AM523" s="3"/>
      <c r="AN523" s="3"/>
      <c r="AW523" s="143"/>
    </row>
    <row r="524" spans="2:49" ht="15">
      <c r="B524" s="90">
        <f t="shared" si="17"/>
        <v>296</v>
      </c>
      <c r="C524" s="11" t="s">
        <v>1044</v>
      </c>
      <c r="D524" s="3" t="s">
        <v>24</v>
      </c>
      <c r="E524" s="3" t="s">
        <v>1110</v>
      </c>
      <c r="F524" s="1" t="s">
        <v>1119</v>
      </c>
      <c r="G524" s="5">
        <v>1372148</v>
      </c>
      <c r="H524" s="15" t="s">
        <v>72</v>
      </c>
      <c r="I524" s="3" t="s">
        <v>1120</v>
      </c>
      <c r="J524" s="15" t="s">
        <v>72</v>
      </c>
      <c r="K524" s="3" t="s">
        <v>73</v>
      </c>
      <c r="L524" s="3" t="s">
        <v>8</v>
      </c>
      <c r="M524" s="3" t="s">
        <v>1058</v>
      </c>
      <c r="N524" s="3" t="s">
        <v>1113</v>
      </c>
      <c r="O524" s="5" t="s">
        <v>72</v>
      </c>
      <c r="P524" s="5" t="s">
        <v>1114</v>
      </c>
      <c r="Q524" s="55"/>
      <c r="R524" s="15" t="s">
        <v>72</v>
      </c>
      <c r="S524" s="3" t="s">
        <v>959</v>
      </c>
      <c r="T524" s="3"/>
      <c r="U524" s="3"/>
      <c r="V524" s="3">
        <v>32</v>
      </c>
      <c r="W524" s="3">
        <f t="shared" ref="W524:X587" si="19">V524</f>
        <v>32</v>
      </c>
      <c r="X524" s="3">
        <f t="shared" si="19"/>
        <v>32</v>
      </c>
      <c r="Y524" s="3">
        <f>ROUNDDOWN(W524/HLOOKUP(D524,[2]Table!$C$3:$D$4,2,0)*8,2)</f>
        <v>0.56000000000000005</v>
      </c>
      <c r="Z524" s="3">
        <v>0.25</v>
      </c>
      <c r="AA524" s="11" t="s">
        <v>110</v>
      </c>
      <c r="AB524" s="6">
        <v>43943</v>
      </c>
      <c r="AC524" s="6">
        <v>43941</v>
      </c>
      <c r="AD524" s="6">
        <v>43943</v>
      </c>
      <c r="AE524" s="6">
        <v>43943</v>
      </c>
      <c r="AF524" s="6">
        <v>43943</v>
      </c>
      <c r="AG524" s="12" t="s">
        <v>75</v>
      </c>
      <c r="AH524" s="8">
        <v>1</v>
      </c>
      <c r="AI524" s="8">
        <v>1</v>
      </c>
      <c r="AJ524" s="8">
        <v>1</v>
      </c>
      <c r="AK524" s="12" t="s">
        <v>8</v>
      </c>
      <c r="AL524" s="3"/>
      <c r="AM524" s="3"/>
      <c r="AN524" s="3"/>
      <c r="AW524" s="143"/>
    </row>
    <row r="525" spans="2:49" ht="15">
      <c r="B525" s="90">
        <f t="shared" si="17"/>
        <v>297</v>
      </c>
      <c r="C525" s="11" t="s">
        <v>1044</v>
      </c>
      <c r="D525" s="3" t="s">
        <v>24</v>
      </c>
      <c r="E525" s="3" t="s">
        <v>1110</v>
      </c>
      <c r="F525" s="1" t="s">
        <v>1121</v>
      </c>
      <c r="G525" s="5">
        <v>1372148</v>
      </c>
      <c r="H525" s="15" t="s">
        <v>72</v>
      </c>
      <c r="I525" s="3" t="s">
        <v>120</v>
      </c>
      <c r="J525" s="15" t="s">
        <v>72</v>
      </c>
      <c r="K525" s="3" t="s">
        <v>73</v>
      </c>
      <c r="L525" s="3" t="s">
        <v>8</v>
      </c>
      <c r="M525" s="3" t="s">
        <v>1058</v>
      </c>
      <c r="N525" s="3" t="s">
        <v>1113</v>
      </c>
      <c r="O525" s="5" t="s">
        <v>72</v>
      </c>
      <c r="P525" s="5" t="s">
        <v>1114</v>
      </c>
      <c r="Q525" s="55"/>
      <c r="R525" s="15" t="s">
        <v>72</v>
      </c>
      <c r="S525" s="3" t="s">
        <v>573</v>
      </c>
      <c r="T525" s="3"/>
      <c r="U525" s="3"/>
      <c r="V525" s="3">
        <v>997</v>
      </c>
      <c r="W525" s="11">
        <v>30</v>
      </c>
      <c r="X525" s="3">
        <f t="shared" si="19"/>
        <v>30</v>
      </c>
      <c r="Y525" s="3">
        <f>ROUNDDOWN(W525/HLOOKUP(D525,[2]Table!$C$3:$D$4,2,0)*8,2)</f>
        <v>0.53</v>
      </c>
      <c r="Z525" s="3">
        <v>0.5</v>
      </c>
      <c r="AA525" s="11" t="s">
        <v>110</v>
      </c>
      <c r="AB525" s="6">
        <v>43943</v>
      </c>
      <c r="AC525" s="6">
        <v>43941</v>
      </c>
      <c r="AD525" s="6">
        <v>43943</v>
      </c>
      <c r="AE525" s="6">
        <v>43941</v>
      </c>
      <c r="AF525" s="6">
        <v>43941</v>
      </c>
      <c r="AG525" s="12" t="s">
        <v>75</v>
      </c>
      <c r="AH525" s="8">
        <v>1</v>
      </c>
      <c r="AI525" s="8">
        <v>1</v>
      </c>
      <c r="AJ525" s="8">
        <v>1</v>
      </c>
      <c r="AK525" s="12" t="s">
        <v>8</v>
      </c>
      <c r="AL525" s="3"/>
      <c r="AM525" s="3"/>
      <c r="AN525" s="3" t="s">
        <v>1122</v>
      </c>
      <c r="AW525" s="143"/>
    </row>
    <row r="526" spans="2:49" ht="15">
      <c r="B526" s="90">
        <f t="shared" si="17"/>
        <v>298</v>
      </c>
      <c r="C526" s="11" t="s">
        <v>1044</v>
      </c>
      <c r="D526" s="3" t="s">
        <v>24</v>
      </c>
      <c r="E526" s="3" t="s">
        <v>1110</v>
      </c>
      <c r="F526" s="1" t="s">
        <v>1123</v>
      </c>
      <c r="G526" s="5">
        <v>1372148</v>
      </c>
      <c r="H526" s="15" t="s">
        <v>72</v>
      </c>
      <c r="I526" s="3" t="s">
        <v>734</v>
      </c>
      <c r="J526" s="15" t="s">
        <v>72</v>
      </c>
      <c r="K526" s="3" t="s">
        <v>73</v>
      </c>
      <c r="L526" s="3" t="s">
        <v>8</v>
      </c>
      <c r="M526" s="3" t="s">
        <v>1058</v>
      </c>
      <c r="N526" s="3" t="s">
        <v>1113</v>
      </c>
      <c r="O526" s="5" t="s">
        <v>72</v>
      </c>
      <c r="P526" s="5" t="s">
        <v>1114</v>
      </c>
      <c r="Q526" s="55"/>
      <c r="R526" s="15" t="s">
        <v>72</v>
      </c>
      <c r="S526" s="3" t="s">
        <v>959</v>
      </c>
      <c r="T526" s="3"/>
      <c r="U526" s="3"/>
      <c r="V526" s="3">
        <v>99</v>
      </c>
      <c r="W526" s="3">
        <f t="shared" si="19"/>
        <v>99</v>
      </c>
      <c r="X526" s="3">
        <f t="shared" si="19"/>
        <v>99</v>
      </c>
      <c r="Y526" s="3">
        <f>ROUNDDOWN(W526/HLOOKUP(D526,[2]Table!$C$3:$D$4,2,0)*8,2)</f>
        <v>1.76</v>
      </c>
      <c r="Z526" s="3">
        <v>0.5</v>
      </c>
      <c r="AA526" s="11" t="s">
        <v>110</v>
      </c>
      <c r="AB526" s="6">
        <v>43943</v>
      </c>
      <c r="AC526" s="6">
        <v>43941</v>
      </c>
      <c r="AD526" s="6">
        <v>43943</v>
      </c>
      <c r="AE526" s="6">
        <v>43943</v>
      </c>
      <c r="AF526" s="6">
        <v>43943</v>
      </c>
      <c r="AG526" s="12" t="s">
        <v>75</v>
      </c>
      <c r="AH526" s="8">
        <v>1</v>
      </c>
      <c r="AI526" s="8">
        <v>1</v>
      </c>
      <c r="AJ526" s="8">
        <v>1</v>
      </c>
      <c r="AK526" s="12" t="s">
        <v>8</v>
      </c>
      <c r="AL526" s="3"/>
      <c r="AM526" s="3"/>
      <c r="AN526" s="3"/>
      <c r="AW526" s="143"/>
    </row>
    <row r="527" spans="2:49" ht="15">
      <c r="B527" s="90">
        <f t="shared" si="17"/>
        <v>299</v>
      </c>
      <c r="C527" s="11" t="s">
        <v>1044</v>
      </c>
      <c r="D527" s="3" t="s">
        <v>24</v>
      </c>
      <c r="E527" s="3" t="s">
        <v>18</v>
      </c>
      <c r="F527" s="1" t="s">
        <v>1124</v>
      </c>
      <c r="G527" s="5">
        <v>1416483</v>
      </c>
      <c r="H527" s="15" t="s">
        <v>72</v>
      </c>
      <c r="I527" s="3" t="s">
        <v>751</v>
      </c>
      <c r="J527" s="15" t="s">
        <v>72</v>
      </c>
      <c r="K527" s="3" t="s">
        <v>73</v>
      </c>
      <c r="L527" s="3" t="s">
        <v>1125</v>
      </c>
      <c r="M527" s="3" t="s">
        <v>19</v>
      </c>
      <c r="N527" s="3" t="s">
        <v>6</v>
      </c>
      <c r="O527" s="5" t="s">
        <v>72</v>
      </c>
      <c r="P527" s="5" t="s">
        <v>4</v>
      </c>
      <c r="Q527" s="55"/>
      <c r="R527" s="15" t="s">
        <v>72</v>
      </c>
      <c r="S527" s="3" t="s">
        <v>959</v>
      </c>
      <c r="T527" s="3"/>
      <c r="U527" s="3"/>
      <c r="V527" s="3">
        <v>368</v>
      </c>
      <c r="W527" s="3">
        <f t="shared" si="19"/>
        <v>368</v>
      </c>
      <c r="X527" s="3">
        <f t="shared" si="19"/>
        <v>368</v>
      </c>
      <c r="Y527" s="3">
        <f>ROUNDDOWN(W527/HLOOKUP(D527,[2]Table!$C$3:$D$4,2,0)*8,2)</f>
        <v>6.54</v>
      </c>
      <c r="Z527" s="3">
        <v>5</v>
      </c>
      <c r="AA527" s="11" t="s">
        <v>110</v>
      </c>
      <c r="AB527" s="6">
        <v>43943</v>
      </c>
      <c r="AC527" s="6">
        <v>43941</v>
      </c>
      <c r="AD527" s="6">
        <v>43943</v>
      </c>
      <c r="AE527" s="6">
        <v>43943</v>
      </c>
      <c r="AF527" s="6">
        <v>43943</v>
      </c>
      <c r="AG527" s="12" t="s">
        <v>75</v>
      </c>
      <c r="AH527" s="8">
        <v>1</v>
      </c>
      <c r="AI527" s="8">
        <v>1</v>
      </c>
      <c r="AJ527" s="8">
        <v>1</v>
      </c>
      <c r="AK527" s="12" t="s">
        <v>8</v>
      </c>
      <c r="AL527" s="3"/>
      <c r="AM527" s="3"/>
      <c r="AN527" s="3"/>
      <c r="AW527" s="143"/>
    </row>
    <row r="528" spans="2:49" ht="15">
      <c r="B528" s="90">
        <f t="shared" si="17"/>
        <v>300</v>
      </c>
      <c r="C528" s="11" t="s">
        <v>1044</v>
      </c>
      <c r="D528" s="3" t="s">
        <v>24</v>
      </c>
      <c r="E528" s="3" t="s">
        <v>18</v>
      </c>
      <c r="F528" s="1" t="s">
        <v>605</v>
      </c>
      <c r="G528" s="5">
        <v>1416483</v>
      </c>
      <c r="H528" s="15" t="s">
        <v>72</v>
      </c>
      <c r="I528" s="93" t="s">
        <v>20</v>
      </c>
      <c r="J528" s="15" t="s">
        <v>72</v>
      </c>
      <c r="K528" s="3" t="s">
        <v>73</v>
      </c>
      <c r="L528" s="3" t="s">
        <v>1125</v>
      </c>
      <c r="M528" s="3" t="s">
        <v>19</v>
      </c>
      <c r="N528" s="3" t="s">
        <v>6</v>
      </c>
      <c r="O528" s="5" t="s">
        <v>72</v>
      </c>
      <c r="P528" s="5" t="s">
        <v>4</v>
      </c>
      <c r="Q528" s="55"/>
      <c r="R528" s="15" t="s">
        <v>72</v>
      </c>
      <c r="S528" s="3" t="s">
        <v>77</v>
      </c>
      <c r="T528" s="3"/>
      <c r="U528" s="3"/>
      <c r="V528" s="3">
        <v>332</v>
      </c>
      <c r="W528" s="55">
        <v>636</v>
      </c>
      <c r="X528" s="3">
        <f t="shared" si="19"/>
        <v>636</v>
      </c>
      <c r="Y528" s="3">
        <f>ROUNDDOWN(W528/HLOOKUP(D528,[2]Table!$C$3:$D$4,2,0)*8,2)</f>
        <v>11.3</v>
      </c>
      <c r="Z528" s="3">
        <v>3</v>
      </c>
      <c r="AA528" s="11" t="s">
        <v>110</v>
      </c>
      <c r="AB528" s="6">
        <v>43943</v>
      </c>
      <c r="AC528" s="6">
        <v>43941</v>
      </c>
      <c r="AD528" s="6">
        <v>43943</v>
      </c>
      <c r="AE528" s="6">
        <v>43941</v>
      </c>
      <c r="AF528" s="6">
        <v>43941</v>
      </c>
      <c r="AG528" s="12" t="s">
        <v>75</v>
      </c>
      <c r="AH528" s="8">
        <v>1</v>
      </c>
      <c r="AI528" s="8">
        <v>1</v>
      </c>
      <c r="AJ528" s="8">
        <v>1</v>
      </c>
      <c r="AK528" s="12" t="s">
        <v>8</v>
      </c>
      <c r="AL528" s="3"/>
      <c r="AM528" s="3"/>
      <c r="AN528" s="3" t="s">
        <v>1126</v>
      </c>
      <c r="AW528" s="143"/>
    </row>
    <row r="529" spans="2:49" ht="15">
      <c r="B529" s="90">
        <f t="shared" si="17"/>
        <v>301</v>
      </c>
      <c r="C529" s="11" t="s">
        <v>1044</v>
      </c>
      <c r="D529" s="3" t="s">
        <v>24</v>
      </c>
      <c r="E529" s="3" t="s">
        <v>18</v>
      </c>
      <c r="F529" s="1" t="s">
        <v>1127</v>
      </c>
      <c r="G529" s="5">
        <v>1416214</v>
      </c>
      <c r="H529" s="15" t="s">
        <v>72</v>
      </c>
      <c r="I529" s="93" t="s">
        <v>265</v>
      </c>
      <c r="J529" s="15" t="s">
        <v>72</v>
      </c>
      <c r="K529" s="3" t="s">
        <v>73</v>
      </c>
      <c r="L529" s="3">
        <v>81262</v>
      </c>
      <c r="M529" s="3" t="s">
        <v>19</v>
      </c>
      <c r="N529" s="3" t="s">
        <v>6</v>
      </c>
      <c r="O529" s="5" t="s">
        <v>72</v>
      </c>
      <c r="P529" s="5" t="s">
        <v>1029</v>
      </c>
      <c r="Q529" s="55"/>
      <c r="R529" s="15" t="s">
        <v>72</v>
      </c>
      <c r="S529" s="3" t="s">
        <v>77</v>
      </c>
      <c r="T529" s="3"/>
      <c r="U529" s="3"/>
      <c r="V529" s="3">
        <v>125</v>
      </c>
      <c r="W529" s="101">
        <v>125</v>
      </c>
      <c r="X529" s="3">
        <f t="shared" si="19"/>
        <v>125</v>
      </c>
      <c r="Y529" s="102">
        <f>ROUNDDOWN(W529/HLOOKUP(D529,[2]Table!$C$3:$D$4,2,0)*8,2)</f>
        <v>2.2200000000000002</v>
      </c>
      <c r="Z529" s="102">
        <v>1</v>
      </c>
      <c r="AA529" s="11" t="s">
        <v>110</v>
      </c>
      <c r="AB529" s="6">
        <v>43943</v>
      </c>
      <c r="AC529" s="6">
        <v>43941</v>
      </c>
      <c r="AD529" s="103">
        <v>43943</v>
      </c>
      <c r="AE529" s="103">
        <v>43941</v>
      </c>
      <c r="AF529" s="103">
        <v>43941</v>
      </c>
      <c r="AG529" s="12" t="s">
        <v>75</v>
      </c>
      <c r="AH529" s="104">
        <v>1</v>
      </c>
      <c r="AI529" s="104">
        <v>1</v>
      </c>
      <c r="AJ529" s="104">
        <v>1</v>
      </c>
      <c r="AK529" s="105" t="s">
        <v>8</v>
      </c>
      <c r="AL529" s="3"/>
      <c r="AM529" s="3"/>
      <c r="AN529" s="3"/>
      <c r="AW529" s="143"/>
    </row>
    <row r="530" spans="2:49" ht="15">
      <c r="B530" s="90">
        <f t="shared" si="17"/>
        <v>302</v>
      </c>
      <c r="C530" s="11" t="s">
        <v>1044</v>
      </c>
      <c r="D530" s="3" t="s">
        <v>24</v>
      </c>
      <c r="E530" s="3" t="s">
        <v>18</v>
      </c>
      <c r="F530" s="1" t="s">
        <v>1128</v>
      </c>
      <c r="G530" s="5">
        <v>1416214</v>
      </c>
      <c r="H530" s="15" t="s">
        <v>72</v>
      </c>
      <c r="I530" s="93" t="s">
        <v>267</v>
      </c>
      <c r="J530" s="15" t="s">
        <v>72</v>
      </c>
      <c r="K530" s="3" t="s">
        <v>73</v>
      </c>
      <c r="L530" s="3">
        <v>81262</v>
      </c>
      <c r="M530" s="3" t="s">
        <v>19</v>
      </c>
      <c r="N530" s="3" t="s">
        <v>6</v>
      </c>
      <c r="O530" s="5" t="s">
        <v>72</v>
      </c>
      <c r="P530" s="5" t="s">
        <v>1029</v>
      </c>
      <c r="Q530" s="55"/>
      <c r="R530" s="15" t="s">
        <v>72</v>
      </c>
      <c r="S530" s="3" t="s">
        <v>77</v>
      </c>
      <c r="T530" s="3"/>
      <c r="U530" s="3"/>
      <c r="V530" s="3">
        <v>129</v>
      </c>
      <c r="W530" s="3">
        <f t="shared" si="19"/>
        <v>129</v>
      </c>
      <c r="X530" s="3">
        <f t="shared" si="19"/>
        <v>129</v>
      </c>
      <c r="Y530" s="3">
        <f>ROUNDDOWN(W530/HLOOKUP(D530,[2]Table!$C$3:$D$4,2,0)*8,2)</f>
        <v>2.29</v>
      </c>
      <c r="Z530" s="3">
        <v>0.25</v>
      </c>
      <c r="AA530" s="11" t="s">
        <v>110</v>
      </c>
      <c r="AB530" s="6">
        <v>43943</v>
      </c>
      <c r="AC530" s="6">
        <v>43941</v>
      </c>
      <c r="AD530" s="6">
        <v>43943</v>
      </c>
      <c r="AE530" s="6">
        <v>43942</v>
      </c>
      <c r="AF530" s="6">
        <v>43942</v>
      </c>
      <c r="AG530" s="12" t="s">
        <v>75</v>
      </c>
      <c r="AH530" s="8">
        <v>1</v>
      </c>
      <c r="AI530" s="8">
        <v>1</v>
      </c>
      <c r="AJ530" s="8">
        <v>1</v>
      </c>
      <c r="AK530" s="12" t="s">
        <v>8</v>
      </c>
      <c r="AL530" s="3"/>
      <c r="AM530" s="3"/>
      <c r="AN530" s="3"/>
      <c r="AW530" s="143"/>
    </row>
    <row r="531" spans="2:49" ht="15">
      <c r="B531" s="90">
        <f t="shared" si="17"/>
        <v>303</v>
      </c>
      <c r="C531" s="11" t="s">
        <v>1044</v>
      </c>
      <c r="D531" s="3" t="s">
        <v>24</v>
      </c>
      <c r="E531" s="3" t="s">
        <v>18</v>
      </c>
      <c r="F531" s="1" t="s">
        <v>1129</v>
      </c>
      <c r="G531" s="5">
        <v>1409385</v>
      </c>
      <c r="H531" s="15" t="s">
        <v>72</v>
      </c>
      <c r="I531" s="93" t="s">
        <v>251</v>
      </c>
      <c r="J531" s="15" t="s">
        <v>72</v>
      </c>
      <c r="K531" s="3" t="s">
        <v>73</v>
      </c>
      <c r="L531" s="3">
        <v>81262</v>
      </c>
      <c r="M531" s="3" t="s">
        <v>19</v>
      </c>
      <c r="N531" s="3" t="s">
        <v>6</v>
      </c>
      <c r="O531" s="5" t="s">
        <v>72</v>
      </c>
      <c r="P531" s="5" t="s">
        <v>1029</v>
      </c>
      <c r="Q531" s="55"/>
      <c r="R531" s="15" t="s">
        <v>72</v>
      </c>
      <c r="S531" s="3" t="s">
        <v>77</v>
      </c>
      <c r="T531" s="3"/>
      <c r="U531" s="3"/>
      <c r="V531" s="3">
        <v>229</v>
      </c>
      <c r="W531" s="55">
        <v>489</v>
      </c>
      <c r="X531" s="3">
        <f t="shared" si="19"/>
        <v>489</v>
      </c>
      <c r="Y531" s="3">
        <f>ROUNDDOWN(W531/HLOOKUP(D529,[2]Table!$C$3:$D$4,2,0)*8,2)</f>
        <v>8.69</v>
      </c>
      <c r="Z531" s="3">
        <v>3</v>
      </c>
      <c r="AA531" s="11" t="s">
        <v>110</v>
      </c>
      <c r="AB531" s="6">
        <v>43943</v>
      </c>
      <c r="AC531" s="6">
        <v>43941</v>
      </c>
      <c r="AD531" s="6">
        <v>43943</v>
      </c>
      <c r="AE531" s="6">
        <v>43942</v>
      </c>
      <c r="AF531" s="6">
        <v>43942</v>
      </c>
      <c r="AG531" s="12" t="s">
        <v>75</v>
      </c>
      <c r="AH531" s="8">
        <v>1</v>
      </c>
      <c r="AI531" s="8">
        <v>1</v>
      </c>
      <c r="AJ531" s="8">
        <v>1</v>
      </c>
      <c r="AK531" s="12" t="s">
        <v>8</v>
      </c>
      <c r="AL531" s="3"/>
      <c r="AM531" s="3"/>
      <c r="AN531" s="3" t="s">
        <v>1130</v>
      </c>
      <c r="AW531" s="143"/>
    </row>
    <row r="532" spans="2:49" ht="15">
      <c r="B532" s="90">
        <f t="shared" si="17"/>
        <v>304</v>
      </c>
      <c r="C532" s="11" t="s">
        <v>1044</v>
      </c>
      <c r="D532" s="3" t="s">
        <v>24</v>
      </c>
      <c r="E532" s="3" t="s">
        <v>18</v>
      </c>
      <c r="F532" s="1" t="s">
        <v>1131</v>
      </c>
      <c r="G532" s="5">
        <v>1409385</v>
      </c>
      <c r="H532" s="15" t="s">
        <v>72</v>
      </c>
      <c r="I532" s="93" t="s">
        <v>183</v>
      </c>
      <c r="J532" s="15" t="s">
        <v>72</v>
      </c>
      <c r="K532" s="3" t="s">
        <v>73</v>
      </c>
      <c r="L532" s="3">
        <v>81262</v>
      </c>
      <c r="M532" s="3" t="s">
        <v>19</v>
      </c>
      <c r="N532" s="3" t="s">
        <v>6</v>
      </c>
      <c r="O532" s="5" t="s">
        <v>72</v>
      </c>
      <c r="P532" s="5" t="s">
        <v>1029</v>
      </c>
      <c r="Q532" s="55"/>
      <c r="R532" s="15" t="s">
        <v>72</v>
      </c>
      <c r="S532" s="3" t="s">
        <v>77</v>
      </c>
      <c r="T532" s="3"/>
      <c r="U532" s="3"/>
      <c r="V532" s="3">
        <v>37</v>
      </c>
      <c r="W532" s="3">
        <f t="shared" si="19"/>
        <v>37</v>
      </c>
      <c r="X532" s="3">
        <f t="shared" si="19"/>
        <v>37</v>
      </c>
      <c r="Y532" s="3">
        <f>ROUNDDOWN(W532/HLOOKUP(D532,[2]Table!$C$3:$D$4,2,0)*8,2)</f>
        <v>0.65</v>
      </c>
      <c r="Z532" s="3">
        <v>0.12</v>
      </c>
      <c r="AA532" s="11" t="s">
        <v>110</v>
      </c>
      <c r="AB532" s="6">
        <v>43943</v>
      </c>
      <c r="AC532" s="6">
        <v>43941</v>
      </c>
      <c r="AD532" s="6">
        <v>43943</v>
      </c>
      <c r="AE532" s="6">
        <v>43942</v>
      </c>
      <c r="AF532" s="6">
        <v>43942</v>
      </c>
      <c r="AG532" s="12" t="s">
        <v>75</v>
      </c>
      <c r="AH532" s="8">
        <v>1</v>
      </c>
      <c r="AI532" s="8">
        <v>1</v>
      </c>
      <c r="AJ532" s="8">
        <v>1</v>
      </c>
      <c r="AK532" s="12" t="s">
        <v>8</v>
      </c>
      <c r="AL532" s="3"/>
      <c r="AM532" s="3"/>
      <c r="AN532" s="3"/>
      <c r="AW532" s="143"/>
    </row>
    <row r="533" spans="2:49" ht="15">
      <c r="B533" s="90">
        <f t="shared" si="17"/>
        <v>305</v>
      </c>
      <c r="C533" s="11" t="s">
        <v>1044</v>
      </c>
      <c r="D533" s="3" t="s">
        <v>24</v>
      </c>
      <c r="E533" s="3" t="s">
        <v>18</v>
      </c>
      <c r="F533" s="1" t="s">
        <v>1132</v>
      </c>
      <c r="G533" s="5">
        <v>1409385</v>
      </c>
      <c r="H533" s="15" t="s">
        <v>72</v>
      </c>
      <c r="I533" s="93" t="s">
        <v>281</v>
      </c>
      <c r="J533" s="15" t="s">
        <v>72</v>
      </c>
      <c r="K533" s="3" t="s">
        <v>73</v>
      </c>
      <c r="L533" s="3">
        <v>81262</v>
      </c>
      <c r="M533" s="3" t="s">
        <v>19</v>
      </c>
      <c r="N533" s="3" t="s">
        <v>6</v>
      </c>
      <c r="O533" s="5" t="s">
        <v>72</v>
      </c>
      <c r="P533" s="5" t="s">
        <v>1029</v>
      </c>
      <c r="Q533" s="55"/>
      <c r="R533" s="15" t="s">
        <v>72</v>
      </c>
      <c r="S533" s="3" t="s">
        <v>77</v>
      </c>
      <c r="T533" s="3"/>
      <c r="U533" s="3"/>
      <c r="V533" s="3">
        <v>488</v>
      </c>
      <c r="W533" s="17">
        <v>488</v>
      </c>
      <c r="X533" s="3">
        <f t="shared" si="19"/>
        <v>488</v>
      </c>
      <c r="Y533" s="3">
        <f>ROUNDDOWN(W533/HLOOKUP(D533,[2]Table!$C$3:$D$4,2,0)*8,2)</f>
        <v>8.67</v>
      </c>
      <c r="Z533" s="3">
        <v>3</v>
      </c>
      <c r="AA533" s="11" t="s">
        <v>110</v>
      </c>
      <c r="AB533" s="6">
        <v>43943</v>
      </c>
      <c r="AC533" s="6">
        <v>43941</v>
      </c>
      <c r="AD533" s="6">
        <v>43943</v>
      </c>
      <c r="AE533" s="6">
        <v>43942</v>
      </c>
      <c r="AF533" s="6">
        <v>43943</v>
      </c>
      <c r="AG533" s="12" t="s">
        <v>75</v>
      </c>
      <c r="AH533" s="8">
        <v>1</v>
      </c>
      <c r="AI533" s="8">
        <v>1</v>
      </c>
      <c r="AJ533" s="8">
        <v>1</v>
      </c>
      <c r="AK533" s="12" t="s">
        <v>8</v>
      </c>
      <c r="AL533" s="3"/>
      <c r="AM533" s="3"/>
      <c r="AN533" s="3"/>
      <c r="AW533" s="143"/>
    </row>
    <row r="534" spans="2:49" ht="15">
      <c r="B534" s="90">
        <f t="shared" si="17"/>
        <v>306</v>
      </c>
      <c r="C534" s="11" t="s">
        <v>1044</v>
      </c>
      <c r="D534" s="3" t="s">
        <v>24</v>
      </c>
      <c r="E534" s="3" t="s">
        <v>1133</v>
      </c>
      <c r="F534" s="1" t="s">
        <v>1134</v>
      </c>
      <c r="G534" s="5">
        <v>1418684</v>
      </c>
      <c r="H534" s="15" t="s">
        <v>72</v>
      </c>
      <c r="I534" s="93" t="s">
        <v>120</v>
      </c>
      <c r="J534" s="15" t="s">
        <v>72</v>
      </c>
      <c r="K534" s="3" t="s">
        <v>73</v>
      </c>
      <c r="L534" s="3" t="s">
        <v>1135</v>
      </c>
      <c r="M534" s="3" t="s">
        <v>22</v>
      </c>
      <c r="N534" s="3" t="s">
        <v>1136</v>
      </c>
      <c r="O534" s="5" t="s">
        <v>72</v>
      </c>
      <c r="P534" s="5" t="s">
        <v>1137</v>
      </c>
      <c r="Q534" s="55"/>
      <c r="R534" s="15" t="s">
        <v>72</v>
      </c>
      <c r="S534" s="3" t="s">
        <v>77</v>
      </c>
      <c r="T534" s="3"/>
      <c r="U534" s="3"/>
      <c r="V534" s="3">
        <v>55</v>
      </c>
      <c r="W534" s="3">
        <f t="shared" si="19"/>
        <v>55</v>
      </c>
      <c r="X534" s="3">
        <f t="shared" si="19"/>
        <v>55</v>
      </c>
      <c r="Y534" s="3">
        <f>ROUNDDOWN(W534/HLOOKUP(D534,[2]Table!$C$3:$D$4,2,0)*8,2)</f>
        <v>0.97</v>
      </c>
      <c r="Z534" s="3">
        <v>0.12</v>
      </c>
      <c r="AA534" s="11" t="s">
        <v>110</v>
      </c>
      <c r="AB534" s="6">
        <v>43943</v>
      </c>
      <c r="AC534" s="6">
        <v>43941</v>
      </c>
      <c r="AD534" s="6">
        <v>43943</v>
      </c>
      <c r="AE534" s="6">
        <v>43943</v>
      </c>
      <c r="AF534" s="6">
        <v>43943</v>
      </c>
      <c r="AG534" s="12" t="s">
        <v>75</v>
      </c>
      <c r="AH534" s="8">
        <v>1</v>
      </c>
      <c r="AI534" s="8">
        <v>1</v>
      </c>
      <c r="AJ534" s="8">
        <v>1</v>
      </c>
      <c r="AK534" s="12" t="s">
        <v>8</v>
      </c>
      <c r="AL534" s="3"/>
      <c r="AM534" s="3"/>
      <c r="AN534" s="3"/>
      <c r="AW534" s="143"/>
    </row>
    <row r="535" spans="2:49" ht="15">
      <c r="B535" s="90">
        <f t="shared" si="17"/>
        <v>307</v>
      </c>
      <c r="C535" s="11" t="s">
        <v>1044</v>
      </c>
      <c r="D535" s="3" t="s">
        <v>24</v>
      </c>
      <c r="E535" s="3" t="s">
        <v>1133</v>
      </c>
      <c r="F535" s="1" t="s">
        <v>1138</v>
      </c>
      <c r="G535" s="5">
        <v>1418684</v>
      </c>
      <c r="H535" s="15" t="s">
        <v>72</v>
      </c>
      <c r="I535" s="93" t="s">
        <v>120</v>
      </c>
      <c r="J535" s="15" t="s">
        <v>72</v>
      </c>
      <c r="K535" s="3" t="s">
        <v>73</v>
      </c>
      <c r="L535" s="3" t="s">
        <v>1135</v>
      </c>
      <c r="M535" s="3" t="s">
        <v>22</v>
      </c>
      <c r="N535" s="3" t="s">
        <v>1136</v>
      </c>
      <c r="O535" s="5" t="s">
        <v>72</v>
      </c>
      <c r="P535" s="5" t="s">
        <v>1137</v>
      </c>
      <c r="Q535" s="55"/>
      <c r="R535" s="15" t="s">
        <v>72</v>
      </c>
      <c r="S535" s="3" t="s">
        <v>77</v>
      </c>
      <c r="T535" s="3"/>
      <c r="U535" s="3"/>
      <c r="V535" s="3">
        <v>55</v>
      </c>
      <c r="W535" s="3">
        <f t="shared" si="19"/>
        <v>55</v>
      </c>
      <c r="X535" s="3">
        <f t="shared" si="19"/>
        <v>55</v>
      </c>
      <c r="Y535" s="3">
        <f>ROUNDDOWN(W535/HLOOKUP(D535,[2]Table!$C$3:$D$4,2,0)*8,2)</f>
        <v>0.97</v>
      </c>
      <c r="Z535" s="3">
        <v>0.12</v>
      </c>
      <c r="AA535" s="11" t="s">
        <v>110</v>
      </c>
      <c r="AB535" s="6">
        <v>43943</v>
      </c>
      <c r="AC535" s="6">
        <v>43941</v>
      </c>
      <c r="AD535" s="6">
        <v>43943</v>
      </c>
      <c r="AE535" s="6">
        <v>43943</v>
      </c>
      <c r="AF535" s="6">
        <v>43943</v>
      </c>
      <c r="AG535" s="12" t="s">
        <v>75</v>
      </c>
      <c r="AH535" s="8">
        <v>1</v>
      </c>
      <c r="AI535" s="8">
        <v>1</v>
      </c>
      <c r="AJ535" s="8">
        <v>1</v>
      </c>
      <c r="AK535" s="12" t="s">
        <v>8</v>
      </c>
      <c r="AL535" s="3"/>
      <c r="AM535" s="3"/>
      <c r="AN535" s="3"/>
      <c r="AW535" s="143"/>
    </row>
    <row r="536" spans="2:49" ht="15">
      <c r="B536" s="90">
        <f t="shared" si="17"/>
        <v>308</v>
      </c>
      <c r="C536" s="11" t="s">
        <v>1044</v>
      </c>
      <c r="D536" s="3" t="s">
        <v>24</v>
      </c>
      <c r="E536" s="3" t="s">
        <v>1133</v>
      </c>
      <c r="F536" s="1" t="s">
        <v>1139</v>
      </c>
      <c r="G536" s="5">
        <v>1418684</v>
      </c>
      <c r="H536" s="15" t="s">
        <v>72</v>
      </c>
      <c r="I536" s="93" t="s">
        <v>120</v>
      </c>
      <c r="J536" s="15" t="s">
        <v>72</v>
      </c>
      <c r="K536" s="3" t="s">
        <v>73</v>
      </c>
      <c r="L536" s="3" t="s">
        <v>1135</v>
      </c>
      <c r="M536" s="3" t="s">
        <v>22</v>
      </c>
      <c r="N536" s="3" t="s">
        <v>1136</v>
      </c>
      <c r="O536" s="5" t="s">
        <v>72</v>
      </c>
      <c r="P536" s="5" t="s">
        <v>1137</v>
      </c>
      <c r="Q536" s="55"/>
      <c r="R536" s="15" t="s">
        <v>72</v>
      </c>
      <c r="S536" s="3" t="s">
        <v>77</v>
      </c>
      <c r="T536" s="3"/>
      <c r="U536" s="3"/>
      <c r="V536" s="3">
        <v>55</v>
      </c>
      <c r="W536" s="3">
        <f t="shared" si="19"/>
        <v>55</v>
      </c>
      <c r="X536" s="3">
        <f t="shared" si="19"/>
        <v>55</v>
      </c>
      <c r="Y536" s="3">
        <f>ROUNDDOWN(W536/HLOOKUP(D536,[2]Table!$C$3:$D$4,2,0)*8,2)</f>
        <v>0.97</v>
      </c>
      <c r="Z536" s="3">
        <v>0.12</v>
      </c>
      <c r="AA536" s="11" t="s">
        <v>110</v>
      </c>
      <c r="AB536" s="6">
        <v>43943</v>
      </c>
      <c r="AC536" s="6">
        <v>43941</v>
      </c>
      <c r="AD536" s="6">
        <v>43943</v>
      </c>
      <c r="AE536" s="6">
        <v>43943</v>
      </c>
      <c r="AF536" s="6">
        <v>43943</v>
      </c>
      <c r="AG536" s="12" t="s">
        <v>75</v>
      </c>
      <c r="AH536" s="8">
        <v>1</v>
      </c>
      <c r="AI536" s="8">
        <v>1</v>
      </c>
      <c r="AJ536" s="8">
        <v>1</v>
      </c>
      <c r="AK536" s="12" t="s">
        <v>8</v>
      </c>
      <c r="AL536" s="3"/>
      <c r="AM536" s="3"/>
      <c r="AN536" s="3"/>
      <c r="AW536" s="143"/>
    </row>
    <row r="537" spans="2:49" ht="15">
      <c r="B537" s="90">
        <f t="shared" si="17"/>
        <v>309</v>
      </c>
      <c r="C537" s="11" t="s">
        <v>1044</v>
      </c>
      <c r="D537" s="3" t="s">
        <v>24</v>
      </c>
      <c r="E537" s="3" t="s">
        <v>1140</v>
      </c>
      <c r="F537" s="1" t="s">
        <v>1141</v>
      </c>
      <c r="G537" s="5">
        <v>1377406</v>
      </c>
      <c r="H537" s="15" t="s">
        <v>72</v>
      </c>
      <c r="I537" s="93" t="s">
        <v>1142</v>
      </c>
      <c r="J537" s="15" t="s">
        <v>72</v>
      </c>
      <c r="K537" s="3" t="s">
        <v>73</v>
      </c>
      <c r="L537" s="3">
        <v>99202</v>
      </c>
      <c r="M537" s="3" t="s">
        <v>52</v>
      </c>
      <c r="N537" s="3" t="s">
        <v>1136</v>
      </c>
      <c r="O537" s="5" t="s">
        <v>72</v>
      </c>
      <c r="P537" s="5" t="s">
        <v>756</v>
      </c>
      <c r="Q537" s="55"/>
      <c r="R537" s="15" t="s">
        <v>72</v>
      </c>
      <c r="S537" s="3" t="s">
        <v>77</v>
      </c>
      <c r="T537" s="3"/>
      <c r="U537" s="3"/>
      <c r="V537" s="3">
        <v>19</v>
      </c>
      <c r="W537" s="3">
        <f t="shared" si="19"/>
        <v>19</v>
      </c>
      <c r="X537" s="3">
        <f t="shared" si="19"/>
        <v>19</v>
      </c>
      <c r="Y537" s="3">
        <f>ROUNDDOWN(W537/HLOOKUP(D537,[2]Table!$C$3:$D$4,2,0)*8,2)</f>
        <v>0.33</v>
      </c>
      <c r="Z537" s="3">
        <v>0.25</v>
      </c>
      <c r="AA537" s="11" t="s">
        <v>110</v>
      </c>
      <c r="AB537" s="6">
        <v>43943</v>
      </c>
      <c r="AC537" s="6">
        <v>43941</v>
      </c>
      <c r="AD537" s="6">
        <v>43943</v>
      </c>
      <c r="AE537" s="6">
        <v>43943</v>
      </c>
      <c r="AF537" s="6">
        <v>43943</v>
      </c>
      <c r="AG537" s="12" t="s">
        <v>75</v>
      </c>
      <c r="AH537" s="8">
        <v>1</v>
      </c>
      <c r="AI537" s="8">
        <v>1</v>
      </c>
      <c r="AJ537" s="8">
        <v>1</v>
      </c>
      <c r="AK537" s="12" t="s">
        <v>8</v>
      </c>
      <c r="AL537" s="3"/>
      <c r="AM537" s="3"/>
      <c r="AN537" s="3"/>
      <c r="AW537" s="143"/>
    </row>
    <row r="538" spans="2:49" ht="15">
      <c r="B538" s="90">
        <f t="shared" si="17"/>
        <v>310</v>
      </c>
      <c r="C538" s="11" t="s">
        <v>1044</v>
      </c>
      <c r="D538" s="3" t="s">
        <v>24</v>
      </c>
      <c r="E538" s="3" t="s">
        <v>1140</v>
      </c>
      <c r="F538" s="1" t="s">
        <v>1143</v>
      </c>
      <c r="G538" s="5">
        <v>1377406</v>
      </c>
      <c r="H538" s="15" t="s">
        <v>72</v>
      </c>
      <c r="I538" s="93" t="s">
        <v>1144</v>
      </c>
      <c r="J538" s="15" t="s">
        <v>72</v>
      </c>
      <c r="K538" s="3" t="s">
        <v>73</v>
      </c>
      <c r="L538" s="3">
        <v>99202</v>
      </c>
      <c r="M538" s="3" t="s">
        <v>52</v>
      </c>
      <c r="N538" s="3" t="s">
        <v>1136</v>
      </c>
      <c r="O538" s="5" t="s">
        <v>72</v>
      </c>
      <c r="P538" s="5" t="s">
        <v>756</v>
      </c>
      <c r="Q538" s="55"/>
      <c r="R538" s="15" t="s">
        <v>72</v>
      </c>
      <c r="S538" s="3" t="s">
        <v>77</v>
      </c>
      <c r="T538" s="3"/>
      <c r="U538" s="3"/>
      <c r="V538" s="3">
        <v>244</v>
      </c>
      <c r="W538" s="3">
        <f t="shared" si="19"/>
        <v>244</v>
      </c>
      <c r="X538" s="3">
        <f t="shared" si="19"/>
        <v>244</v>
      </c>
      <c r="Y538" s="3">
        <f>ROUNDDOWN(W538/HLOOKUP(D538,[2]Table!$C$3:$D$4,2,0)*8,2)</f>
        <v>4.33</v>
      </c>
      <c r="Z538" s="3">
        <v>3</v>
      </c>
      <c r="AA538" s="11" t="s">
        <v>110</v>
      </c>
      <c r="AB538" s="6">
        <v>43943</v>
      </c>
      <c r="AC538" s="6">
        <v>43941</v>
      </c>
      <c r="AD538" s="6">
        <v>43943</v>
      </c>
      <c r="AE538" s="6">
        <v>43943</v>
      </c>
      <c r="AF538" s="6">
        <v>43943</v>
      </c>
      <c r="AG538" s="12" t="s">
        <v>75</v>
      </c>
      <c r="AH538" s="8">
        <v>1</v>
      </c>
      <c r="AI538" s="8">
        <v>1</v>
      </c>
      <c r="AJ538" s="8">
        <v>1</v>
      </c>
      <c r="AK538" s="12" t="s">
        <v>8</v>
      </c>
      <c r="AL538" s="3"/>
      <c r="AM538" s="3"/>
      <c r="AN538" s="3"/>
      <c r="AW538" s="143"/>
    </row>
    <row r="539" spans="2:49" ht="15">
      <c r="B539" s="90">
        <f t="shared" si="17"/>
        <v>311</v>
      </c>
      <c r="C539" s="11" t="s">
        <v>1044</v>
      </c>
      <c r="D539" s="3" t="s">
        <v>24</v>
      </c>
      <c r="E539" s="24" t="s">
        <v>1145</v>
      </c>
      <c r="F539" s="13"/>
      <c r="G539" s="5">
        <v>1405296</v>
      </c>
      <c r="H539" s="15" t="s">
        <v>72</v>
      </c>
      <c r="I539" s="3" t="s">
        <v>1146</v>
      </c>
      <c r="J539" s="15" t="s">
        <v>72</v>
      </c>
      <c r="K539" s="3" t="s">
        <v>73</v>
      </c>
      <c r="L539" s="3" t="s">
        <v>8</v>
      </c>
      <c r="M539" s="3" t="s">
        <v>19</v>
      </c>
      <c r="N539" s="3" t="s">
        <v>1065</v>
      </c>
      <c r="O539" s="5" t="s">
        <v>72</v>
      </c>
      <c r="P539" s="5" t="s">
        <v>1066</v>
      </c>
      <c r="Q539" s="55"/>
      <c r="R539" s="15" t="s">
        <v>72</v>
      </c>
      <c r="S539" s="3" t="s">
        <v>78</v>
      </c>
      <c r="T539" s="3"/>
      <c r="U539" s="3"/>
      <c r="V539" s="3">
        <v>803</v>
      </c>
      <c r="W539" s="3">
        <f t="shared" si="19"/>
        <v>803</v>
      </c>
      <c r="X539" s="3">
        <f t="shared" si="19"/>
        <v>803</v>
      </c>
      <c r="Y539" s="3">
        <f>ROUNDDOWN(W539/HLOOKUP(D539,[2]Table!$C$3:$D$4,2,0)*8,2)</f>
        <v>14.27</v>
      </c>
      <c r="Z539" s="3">
        <v>5</v>
      </c>
      <c r="AA539" s="3" t="s">
        <v>110</v>
      </c>
      <c r="AB539" s="51">
        <v>43942</v>
      </c>
      <c r="AC539" s="6">
        <v>43941</v>
      </c>
      <c r="AD539" s="6">
        <v>43942</v>
      </c>
      <c r="AE539" s="6">
        <v>43941</v>
      </c>
      <c r="AF539" s="6">
        <v>43942</v>
      </c>
      <c r="AG539" s="12" t="s">
        <v>79</v>
      </c>
      <c r="AH539" s="8">
        <v>1</v>
      </c>
      <c r="AI539" s="8">
        <v>1</v>
      </c>
      <c r="AJ539" s="8">
        <v>0.9</v>
      </c>
      <c r="AK539" s="12" t="s">
        <v>76</v>
      </c>
      <c r="AL539" s="3" t="s">
        <v>1147</v>
      </c>
      <c r="AM539" s="3"/>
      <c r="AN539" s="3" t="s">
        <v>895</v>
      </c>
      <c r="AW539" s="143"/>
    </row>
    <row r="540" spans="2:49" ht="15">
      <c r="B540" s="106">
        <f t="shared" si="17"/>
        <v>312</v>
      </c>
      <c r="C540" s="81" t="s">
        <v>1044</v>
      </c>
      <c r="D540" s="81" t="s">
        <v>24</v>
      </c>
      <c r="E540" s="81" t="s">
        <v>1145</v>
      </c>
      <c r="F540" s="107"/>
      <c r="G540" s="15">
        <v>1405296</v>
      </c>
      <c r="H540" s="15" t="s">
        <v>72</v>
      </c>
      <c r="I540" s="81" t="s">
        <v>1148</v>
      </c>
      <c r="J540" s="15" t="s">
        <v>72</v>
      </c>
      <c r="K540" s="81" t="s">
        <v>73</v>
      </c>
      <c r="L540" s="81" t="s">
        <v>8</v>
      </c>
      <c r="M540" s="81" t="s">
        <v>19</v>
      </c>
      <c r="N540" s="81" t="s">
        <v>1065</v>
      </c>
      <c r="O540" s="15" t="s">
        <v>72</v>
      </c>
      <c r="P540" s="15" t="s">
        <v>1066</v>
      </c>
      <c r="Q540" s="81"/>
      <c r="R540" s="15" t="s">
        <v>72</v>
      </c>
      <c r="S540" s="81"/>
      <c r="T540" s="81"/>
      <c r="U540" s="81"/>
      <c r="V540" s="81"/>
      <c r="W540" s="81"/>
      <c r="X540" s="81"/>
      <c r="Y540" s="81"/>
      <c r="Z540" s="81"/>
      <c r="AA540" s="81"/>
      <c r="AB540" s="108"/>
      <c r="AC540" s="108"/>
      <c r="AD540" s="108"/>
      <c r="AE540" s="108"/>
      <c r="AF540" s="108"/>
      <c r="AG540" s="106"/>
      <c r="AH540" s="109"/>
      <c r="AI540" s="109"/>
      <c r="AJ540" s="109"/>
      <c r="AK540" s="106"/>
      <c r="AL540" s="81"/>
      <c r="AM540" s="81"/>
      <c r="AN540" s="110" t="s">
        <v>1149</v>
      </c>
      <c r="AW540" s="143"/>
    </row>
    <row r="541" spans="2:49" ht="15">
      <c r="B541" s="90">
        <f t="shared" si="17"/>
        <v>313</v>
      </c>
      <c r="C541" s="11" t="s">
        <v>1044</v>
      </c>
      <c r="D541" s="3" t="s">
        <v>24</v>
      </c>
      <c r="E541" s="24" t="s">
        <v>326</v>
      </c>
      <c r="F541" s="13"/>
      <c r="G541" s="5">
        <v>1417022</v>
      </c>
      <c r="H541" s="15" t="s">
        <v>72</v>
      </c>
      <c r="I541" s="3" t="s">
        <v>805</v>
      </c>
      <c r="J541" s="15" t="s">
        <v>72</v>
      </c>
      <c r="K541" s="3" t="s">
        <v>73</v>
      </c>
      <c r="L541" s="3" t="s">
        <v>8</v>
      </c>
      <c r="M541" s="3" t="s">
        <v>1150</v>
      </c>
      <c r="N541" s="3" t="s">
        <v>1065</v>
      </c>
      <c r="O541" s="5" t="s">
        <v>72</v>
      </c>
      <c r="P541" s="5" t="s">
        <v>1066</v>
      </c>
      <c r="Q541" s="55"/>
      <c r="R541" s="15" t="s">
        <v>72</v>
      </c>
      <c r="S541" s="3" t="s">
        <v>903</v>
      </c>
      <c r="T541" s="3"/>
      <c r="U541" s="3"/>
      <c r="V541" s="3">
        <v>259</v>
      </c>
      <c r="W541" s="3">
        <f t="shared" si="19"/>
        <v>259</v>
      </c>
      <c r="X541" s="3">
        <v>259</v>
      </c>
      <c r="Y541" s="3">
        <f>ROUNDDOWN(W541/HLOOKUP(D541,[2]Table!$C$3:$D$4,2,0)*8,2)</f>
        <v>4.5999999999999996</v>
      </c>
      <c r="Z541" s="3">
        <v>1</v>
      </c>
      <c r="AA541" s="3" t="s">
        <v>110</v>
      </c>
      <c r="AB541" s="51">
        <v>43942</v>
      </c>
      <c r="AC541" s="6">
        <v>43941</v>
      </c>
      <c r="AD541" s="6">
        <v>43942</v>
      </c>
      <c r="AE541" s="6">
        <v>43941</v>
      </c>
      <c r="AF541" s="6">
        <v>43941</v>
      </c>
      <c r="AG541" s="12" t="s">
        <v>79</v>
      </c>
      <c r="AH541" s="8">
        <v>1</v>
      </c>
      <c r="AI541" s="8">
        <v>1</v>
      </c>
      <c r="AJ541" s="8">
        <v>0.94</v>
      </c>
      <c r="AK541" s="12" t="s">
        <v>378</v>
      </c>
      <c r="AL541" s="3" t="s">
        <v>1151</v>
      </c>
      <c r="AM541" s="3"/>
      <c r="AN541" s="3" t="s">
        <v>1152</v>
      </c>
      <c r="AW541" s="143"/>
    </row>
    <row r="542" spans="2:49" ht="15">
      <c r="B542" s="90">
        <f t="shared" si="17"/>
        <v>314</v>
      </c>
      <c r="C542" s="11" t="s">
        <v>1044</v>
      </c>
      <c r="D542" s="3" t="s">
        <v>24</v>
      </c>
      <c r="E542" s="24" t="s">
        <v>326</v>
      </c>
      <c r="F542" s="13"/>
      <c r="G542" s="5">
        <v>1417022</v>
      </c>
      <c r="H542" s="15" t="s">
        <v>72</v>
      </c>
      <c r="I542" s="3" t="s">
        <v>1153</v>
      </c>
      <c r="J542" s="15" t="s">
        <v>72</v>
      </c>
      <c r="K542" s="3" t="s">
        <v>73</v>
      </c>
      <c r="L542" s="3" t="s">
        <v>8</v>
      </c>
      <c r="M542" s="3" t="s">
        <v>1150</v>
      </c>
      <c r="N542" s="3" t="s">
        <v>1065</v>
      </c>
      <c r="O542" s="5" t="s">
        <v>72</v>
      </c>
      <c r="P542" s="5" t="s">
        <v>1066</v>
      </c>
      <c r="Q542" s="55"/>
      <c r="R542" s="15" t="s">
        <v>72</v>
      </c>
      <c r="S542" s="3" t="s">
        <v>903</v>
      </c>
      <c r="T542" s="3"/>
      <c r="U542" s="3"/>
      <c r="V542" s="3">
        <v>85</v>
      </c>
      <c r="W542" s="3">
        <f t="shared" si="19"/>
        <v>85</v>
      </c>
      <c r="X542" s="3">
        <v>85</v>
      </c>
      <c r="Y542" s="3">
        <f>ROUNDDOWN(W542/HLOOKUP(D542,[2]Table!$C$3:$D$4,2,0)*8,2)</f>
        <v>1.51</v>
      </c>
      <c r="Z542" s="3">
        <v>1</v>
      </c>
      <c r="AA542" s="3" t="s">
        <v>110</v>
      </c>
      <c r="AB542" s="51">
        <v>43942</v>
      </c>
      <c r="AC542" s="6">
        <v>43941</v>
      </c>
      <c r="AD542" s="6">
        <v>43942</v>
      </c>
      <c r="AE542" s="6">
        <v>43942</v>
      </c>
      <c r="AF542" s="6">
        <v>43942</v>
      </c>
      <c r="AG542" s="12" t="s">
        <v>75</v>
      </c>
      <c r="AH542" s="8">
        <v>1</v>
      </c>
      <c r="AI542" s="8">
        <v>1</v>
      </c>
      <c r="AJ542" s="8">
        <v>1</v>
      </c>
      <c r="AK542" s="12" t="s">
        <v>8</v>
      </c>
      <c r="AL542" s="3"/>
      <c r="AM542" s="3"/>
      <c r="AN542" s="3"/>
      <c r="AW542" s="143"/>
    </row>
    <row r="543" spans="2:49" ht="15">
      <c r="B543" s="90">
        <f t="shared" si="17"/>
        <v>315</v>
      </c>
      <c r="C543" s="11" t="s">
        <v>1044</v>
      </c>
      <c r="D543" s="3" t="s">
        <v>24</v>
      </c>
      <c r="E543" s="24" t="s">
        <v>326</v>
      </c>
      <c r="F543" s="13"/>
      <c r="G543" s="5">
        <v>1417022</v>
      </c>
      <c r="H543" s="15" t="s">
        <v>72</v>
      </c>
      <c r="I543" s="3" t="s">
        <v>1148</v>
      </c>
      <c r="J543" s="15" t="s">
        <v>72</v>
      </c>
      <c r="K543" s="3" t="s">
        <v>73</v>
      </c>
      <c r="L543" s="3" t="s">
        <v>8</v>
      </c>
      <c r="M543" s="3" t="s">
        <v>1150</v>
      </c>
      <c r="N543" s="3" t="s">
        <v>1065</v>
      </c>
      <c r="O543" s="5" t="s">
        <v>72</v>
      </c>
      <c r="P543" s="5" t="s">
        <v>1066</v>
      </c>
      <c r="Q543" s="55"/>
      <c r="R543" s="15" t="s">
        <v>72</v>
      </c>
      <c r="S543" s="3" t="s">
        <v>903</v>
      </c>
      <c r="T543" s="3"/>
      <c r="U543" s="3"/>
      <c r="V543" s="3">
        <v>208</v>
      </c>
      <c r="W543" s="3">
        <f t="shared" si="19"/>
        <v>208</v>
      </c>
      <c r="X543" s="3">
        <v>208</v>
      </c>
      <c r="Y543" s="3">
        <f>ROUNDDOWN(W543/HLOOKUP(D543,[2]Table!$C$3:$D$4,2,0)*8,2)</f>
        <v>3.69</v>
      </c>
      <c r="Z543" s="3">
        <v>2</v>
      </c>
      <c r="AA543" s="3" t="s">
        <v>110</v>
      </c>
      <c r="AB543" s="51">
        <v>43942</v>
      </c>
      <c r="AC543" s="6">
        <v>43941</v>
      </c>
      <c r="AD543" s="6">
        <v>43942</v>
      </c>
      <c r="AE543" s="6">
        <v>43942</v>
      </c>
      <c r="AF543" s="6">
        <v>43942</v>
      </c>
      <c r="AG543" s="12" t="s">
        <v>75</v>
      </c>
      <c r="AH543" s="8">
        <v>1</v>
      </c>
      <c r="AI543" s="8">
        <v>1</v>
      </c>
      <c r="AJ543" s="8">
        <v>1</v>
      </c>
      <c r="AK543" s="12" t="s">
        <v>8</v>
      </c>
      <c r="AL543" s="3"/>
      <c r="AM543" s="3"/>
      <c r="AN543" s="111" t="s">
        <v>1154</v>
      </c>
      <c r="AW543" s="143"/>
    </row>
    <row r="544" spans="2:49" ht="15">
      <c r="B544" s="90">
        <f t="shared" si="17"/>
        <v>316</v>
      </c>
      <c r="C544" s="11" t="s">
        <v>1044</v>
      </c>
      <c r="D544" s="3" t="s">
        <v>24</v>
      </c>
      <c r="E544" s="24" t="s">
        <v>326</v>
      </c>
      <c r="F544" s="13"/>
      <c r="G544" s="5">
        <v>1417022</v>
      </c>
      <c r="H544" s="15" t="s">
        <v>72</v>
      </c>
      <c r="I544" s="3" t="s">
        <v>130</v>
      </c>
      <c r="J544" s="15" t="s">
        <v>72</v>
      </c>
      <c r="K544" s="3" t="s">
        <v>73</v>
      </c>
      <c r="L544" s="3" t="s">
        <v>8</v>
      </c>
      <c r="M544" s="3" t="s">
        <v>1150</v>
      </c>
      <c r="N544" s="3" t="s">
        <v>1065</v>
      </c>
      <c r="O544" s="5" t="s">
        <v>72</v>
      </c>
      <c r="P544" s="5" t="s">
        <v>1066</v>
      </c>
      <c r="Q544" s="55"/>
      <c r="R544" s="15" t="s">
        <v>72</v>
      </c>
      <c r="S544" s="3" t="s">
        <v>903</v>
      </c>
      <c r="T544" s="3"/>
      <c r="U544" s="3"/>
      <c r="V544" s="3">
        <v>321</v>
      </c>
      <c r="W544" s="3">
        <f t="shared" si="19"/>
        <v>321</v>
      </c>
      <c r="X544" s="3">
        <v>321</v>
      </c>
      <c r="Y544" s="3">
        <f>ROUNDDOWN(W544/HLOOKUP(D544,[2]Table!$C$3:$D$4,2,0)*8,2)</f>
        <v>5.7</v>
      </c>
      <c r="Z544" s="3">
        <v>2</v>
      </c>
      <c r="AA544" s="3" t="s">
        <v>110</v>
      </c>
      <c r="AB544" s="51">
        <v>43942</v>
      </c>
      <c r="AC544" s="6">
        <v>43941</v>
      </c>
      <c r="AD544" s="6">
        <v>43942</v>
      </c>
      <c r="AE544" s="6">
        <v>43941</v>
      </c>
      <c r="AF544" s="6">
        <v>43941</v>
      </c>
      <c r="AG544" s="12" t="s">
        <v>75</v>
      </c>
      <c r="AH544" s="8">
        <v>1</v>
      </c>
      <c r="AI544" s="8">
        <v>1</v>
      </c>
      <c r="AJ544" s="8">
        <v>1</v>
      </c>
      <c r="AK544" s="12" t="s">
        <v>8</v>
      </c>
      <c r="AL544" s="3"/>
      <c r="AM544" s="3"/>
      <c r="AN544" s="3"/>
      <c r="AW544" s="143"/>
    </row>
    <row r="545" spans="2:49" ht="15">
      <c r="B545" s="90">
        <f t="shared" si="17"/>
        <v>317</v>
      </c>
      <c r="C545" s="11" t="s">
        <v>1044</v>
      </c>
      <c r="D545" s="3" t="s">
        <v>24</v>
      </c>
      <c r="E545" s="3" t="s">
        <v>1155</v>
      </c>
      <c r="F545" s="39" t="s">
        <v>1156</v>
      </c>
      <c r="G545" s="5">
        <v>1414681</v>
      </c>
      <c r="H545" s="15" t="s">
        <v>72</v>
      </c>
      <c r="I545" s="3" t="s">
        <v>1157</v>
      </c>
      <c r="J545" s="15" t="s">
        <v>72</v>
      </c>
      <c r="K545" s="3" t="s">
        <v>73</v>
      </c>
      <c r="L545" s="3">
        <v>81728</v>
      </c>
      <c r="M545" s="3" t="s">
        <v>1158</v>
      </c>
      <c r="N545" s="3" t="s">
        <v>237</v>
      </c>
      <c r="O545" s="5" t="s">
        <v>72</v>
      </c>
      <c r="P545" s="5" t="s">
        <v>806</v>
      </c>
      <c r="Q545" s="55"/>
      <c r="R545" s="15" t="s">
        <v>72</v>
      </c>
      <c r="S545" s="3" t="s">
        <v>903</v>
      </c>
      <c r="T545" s="3"/>
      <c r="U545" s="3"/>
      <c r="V545" s="3">
        <v>118</v>
      </c>
      <c r="W545" s="3">
        <f t="shared" si="19"/>
        <v>118</v>
      </c>
      <c r="X545" s="3">
        <v>118</v>
      </c>
      <c r="Y545" s="3">
        <f>ROUNDDOWN(W545/HLOOKUP(D545,[2]Table!$C$3:$D$4,2,0)*8,2)</f>
        <v>2.09</v>
      </c>
      <c r="Z545" s="3">
        <v>1</v>
      </c>
      <c r="AA545" s="3" t="s">
        <v>110</v>
      </c>
      <c r="AB545" s="51">
        <v>43942</v>
      </c>
      <c r="AC545" s="6">
        <v>43941</v>
      </c>
      <c r="AD545" s="6">
        <v>43942</v>
      </c>
      <c r="AE545" s="6">
        <v>43941</v>
      </c>
      <c r="AF545" s="6">
        <v>43941</v>
      </c>
      <c r="AG545" s="12" t="s">
        <v>75</v>
      </c>
      <c r="AH545" s="8">
        <v>1</v>
      </c>
      <c r="AI545" s="8">
        <v>1</v>
      </c>
      <c r="AJ545" s="8">
        <v>1</v>
      </c>
      <c r="AK545" s="12" t="s">
        <v>8</v>
      </c>
      <c r="AL545" s="3"/>
      <c r="AM545" s="3"/>
      <c r="AN545" s="3"/>
      <c r="AW545" s="143"/>
    </row>
    <row r="546" spans="2:49" ht="15">
      <c r="B546" s="90">
        <f t="shared" si="17"/>
        <v>318</v>
      </c>
      <c r="C546" s="11" t="s">
        <v>1044</v>
      </c>
      <c r="D546" s="3" t="s">
        <v>24</v>
      </c>
      <c r="E546" s="3" t="s">
        <v>1159</v>
      </c>
      <c r="F546" s="1" t="s">
        <v>1160</v>
      </c>
      <c r="G546" s="5">
        <v>1416204</v>
      </c>
      <c r="H546" s="15" t="s">
        <v>72</v>
      </c>
      <c r="I546" s="3" t="s">
        <v>267</v>
      </c>
      <c r="J546" s="15" t="s">
        <v>72</v>
      </c>
      <c r="K546" s="3" t="s">
        <v>73</v>
      </c>
      <c r="L546" s="3">
        <v>99308</v>
      </c>
      <c r="M546" s="3" t="s">
        <v>22</v>
      </c>
      <c r="N546" s="3" t="s">
        <v>9</v>
      </c>
      <c r="O546" s="5" t="s">
        <v>72</v>
      </c>
      <c r="P546" s="5" t="s">
        <v>1029</v>
      </c>
      <c r="Q546" s="55"/>
      <c r="R546" s="15" t="s">
        <v>72</v>
      </c>
      <c r="S546" s="3" t="s">
        <v>903</v>
      </c>
      <c r="T546" s="3"/>
      <c r="U546" s="3"/>
      <c r="V546" s="3">
        <v>116</v>
      </c>
      <c r="W546" s="3">
        <f t="shared" si="19"/>
        <v>116</v>
      </c>
      <c r="X546" s="3">
        <v>116</v>
      </c>
      <c r="Y546" s="3">
        <f>ROUNDDOWN(W546/HLOOKUP(D546,[2]Table!$C$3:$D$4,2,0)*8,2)</f>
        <v>2.06</v>
      </c>
      <c r="Z546" s="3">
        <v>1</v>
      </c>
      <c r="AA546" s="11" t="s">
        <v>110</v>
      </c>
      <c r="AB546" s="6">
        <v>43943</v>
      </c>
      <c r="AC546" s="6">
        <v>43941</v>
      </c>
      <c r="AD546" s="6">
        <v>43943</v>
      </c>
      <c r="AE546" s="6">
        <v>43942</v>
      </c>
      <c r="AF546" s="6">
        <v>43942</v>
      </c>
      <c r="AG546" s="12" t="s">
        <v>75</v>
      </c>
      <c r="AH546" s="8">
        <v>1</v>
      </c>
      <c r="AI546" s="8">
        <v>1</v>
      </c>
      <c r="AJ546" s="8">
        <v>1</v>
      </c>
      <c r="AK546" s="12" t="s">
        <v>8</v>
      </c>
      <c r="AL546" s="3"/>
      <c r="AM546" s="3"/>
      <c r="AN546" s="3"/>
      <c r="AW546" s="143"/>
    </row>
    <row r="547" spans="2:49" ht="15">
      <c r="B547" s="90">
        <f t="shared" si="17"/>
        <v>319</v>
      </c>
      <c r="C547" s="11" t="s">
        <v>1044</v>
      </c>
      <c r="D547" s="3" t="s">
        <v>24</v>
      </c>
      <c r="E547" s="3" t="s">
        <v>1159</v>
      </c>
      <c r="F547" s="1" t="s">
        <v>1161</v>
      </c>
      <c r="G547" s="5">
        <v>1416204</v>
      </c>
      <c r="H547" s="15" t="s">
        <v>72</v>
      </c>
      <c r="I547" s="3" t="s">
        <v>265</v>
      </c>
      <c r="J547" s="15" t="s">
        <v>72</v>
      </c>
      <c r="K547" s="3" t="s">
        <v>73</v>
      </c>
      <c r="L547" s="3">
        <v>99308</v>
      </c>
      <c r="M547" s="3" t="s">
        <v>22</v>
      </c>
      <c r="N547" s="3" t="s">
        <v>9</v>
      </c>
      <c r="O547" s="5" t="s">
        <v>72</v>
      </c>
      <c r="P547" s="5" t="s">
        <v>1029</v>
      </c>
      <c r="Q547" s="55"/>
      <c r="R547" s="15" t="s">
        <v>72</v>
      </c>
      <c r="S547" s="3" t="s">
        <v>903</v>
      </c>
      <c r="T547" s="3"/>
      <c r="U547" s="3"/>
      <c r="V547" s="3">
        <v>119</v>
      </c>
      <c r="W547" s="3">
        <f t="shared" si="19"/>
        <v>119</v>
      </c>
      <c r="X547" s="3">
        <v>119</v>
      </c>
      <c r="Y547" s="3">
        <f>ROUNDDOWN(W547/HLOOKUP(D547,[2]Table!$C$3:$D$4,2,0)*8,2)</f>
        <v>2.11</v>
      </c>
      <c r="Z547" s="3">
        <v>1</v>
      </c>
      <c r="AA547" s="11" t="s">
        <v>110</v>
      </c>
      <c r="AB547" s="6">
        <v>43943</v>
      </c>
      <c r="AC547" s="6">
        <v>43941</v>
      </c>
      <c r="AD547" s="6">
        <v>43943</v>
      </c>
      <c r="AE547" s="6">
        <v>43942</v>
      </c>
      <c r="AF547" s="6">
        <v>43942</v>
      </c>
      <c r="AG547" s="12" t="s">
        <v>75</v>
      </c>
      <c r="AH547" s="8">
        <v>1</v>
      </c>
      <c r="AI547" s="8">
        <v>1</v>
      </c>
      <c r="AJ547" s="8">
        <v>1</v>
      </c>
      <c r="AK547" s="12" t="s">
        <v>8</v>
      </c>
      <c r="AL547" s="3"/>
      <c r="AM547" s="3"/>
      <c r="AN547" s="3"/>
      <c r="AW547" s="143"/>
    </row>
    <row r="548" spans="2:49" ht="15">
      <c r="B548" s="90">
        <f t="shared" si="17"/>
        <v>320</v>
      </c>
      <c r="C548" s="11" t="s">
        <v>1044</v>
      </c>
      <c r="D548" s="3" t="s">
        <v>24</v>
      </c>
      <c r="E548" s="3" t="s">
        <v>1162</v>
      </c>
      <c r="F548" s="1" t="s">
        <v>1163</v>
      </c>
      <c r="G548" s="5">
        <v>1417780</v>
      </c>
      <c r="H548" s="15" t="s">
        <v>72</v>
      </c>
      <c r="I548" s="3" t="s">
        <v>1164</v>
      </c>
      <c r="J548" s="15" t="s">
        <v>72</v>
      </c>
      <c r="K548" s="3" t="s">
        <v>73</v>
      </c>
      <c r="L548" s="3" t="s">
        <v>8</v>
      </c>
      <c r="M548" s="3" t="s">
        <v>560</v>
      </c>
      <c r="N548" s="3" t="s">
        <v>1165</v>
      </c>
      <c r="O548" s="5" t="s">
        <v>72</v>
      </c>
      <c r="P548" s="5" t="s">
        <v>1166</v>
      </c>
      <c r="Q548" s="55"/>
      <c r="R548" s="15" t="s">
        <v>72</v>
      </c>
      <c r="S548" s="3" t="s">
        <v>903</v>
      </c>
      <c r="T548" s="3"/>
      <c r="U548" s="3"/>
      <c r="V548" s="3">
        <v>73</v>
      </c>
      <c r="W548" s="3">
        <f t="shared" si="19"/>
        <v>73</v>
      </c>
      <c r="X548" s="3">
        <v>73</v>
      </c>
      <c r="Y548" s="3">
        <f>ROUNDDOWN(W548/HLOOKUP(D548,[2]Table!$C$3:$D$4,2,0)*8,2)</f>
        <v>1.29</v>
      </c>
      <c r="Z548" s="3">
        <v>1</v>
      </c>
      <c r="AA548" s="3" t="s">
        <v>110</v>
      </c>
      <c r="AB548" s="6">
        <v>43950</v>
      </c>
      <c r="AC548" s="6">
        <v>43941</v>
      </c>
      <c r="AD548" s="6">
        <v>43951</v>
      </c>
      <c r="AE548" s="6">
        <v>43942</v>
      </c>
      <c r="AF548" s="6">
        <v>43942</v>
      </c>
      <c r="AG548" s="12" t="s">
        <v>75</v>
      </c>
      <c r="AH548" s="8">
        <v>1</v>
      </c>
      <c r="AI548" s="8">
        <v>1</v>
      </c>
      <c r="AJ548" s="8">
        <v>1</v>
      </c>
      <c r="AK548" s="12" t="s">
        <v>8</v>
      </c>
      <c r="AL548" s="3"/>
      <c r="AM548" s="3"/>
      <c r="AN548" s="3"/>
      <c r="AW548" s="143"/>
    </row>
    <row r="549" spans="2:49" ht="15">
      <c r="B549" s="90">
        <f t="shared" si="17"/>
        <v>321</v>
      </c>
      <c r="C549" s="11" t="s">
        <v>1044</v>
      </c>
      <c r="D549" s="3" t="s">
        <v>24</v>
      </c>
      <c r="E549" s="3" t="s">
        <v>1162</v>
      </c>
      <c r="F549" s="1" t="s">
        <v>1167</v>
      </c>
      <c r="G549" s="5">
        <v>1417780</v>
      </c>
      <c r="H549" s="15" t="s">
        <v>72</v>
      </c>
      <c r="I549" s="3" t="s">
        <v>1168</v>
      </c>
      <c r="J549" s="15" t="s">
        <v>72</v>
      </c>
      <c r="K549" s="3" t="s">
        <v>73</v>
      </c>
      <c r="L549" s="3" t="s">
        <v>8</v>
      </c>
      <c r="M549" s="3" t="s">
        <v>560</v>
      </c>
      <c r="N549" s="3" t="s">
        <v>1165</v>
      </c>
      <c r="O549" s="5" t="s">
        <v>72</v>
      </c>
      <c r="P549" s="5" t="s">
        <v>1166</v>
      </c>
      <c r="Q549" s="55"/>
      <c r="R549" s="15" t="s">
        <v>72</v>
      </c>
      <c r="S549" s="3" t="s">
        <v>903</v>
      </c>
      <c r="T549" s="3"/>
      <c r="U549" s="3"/>
      <c r="V549" s="3">
        <v>131</v>
      </c>
      <c r="W549" s="3">
        <f t="shared" si="19"/>
        <v>131</v>
      </c>
      <c r="X549" s="3">
        <v>131</v>
      </c>
      <c r="Y549" s="3">
        <f>ROUNDDOWN(W549/HLOOKUP(D549,[2]Table!$C$3:$D$4,2,0)*8,2)</f>
        <v>2.3199999999999998</v>
      </c>
      <c r="Z549" s="3">
        <v>1</v>
      </c>
      <c r="AA549" s="3" t="s">
        <v>110</v>
      </c>
      <c r="AB549" s="6">
        <v>43950</v>
      </c>
      <c r="AC549" s="6">
        <v>43941</v>
      </c>
      <c r="AD549" s="6">
        <v>43951</v>
      </c>
      <c r="AE549" s="6">
        <v>43943</v>
      </c>
      <c r="AF549" s="6">
        <v>43943</v>
      </c>
      <c r="AG549" s="12" t="s">
        <v>79</v>
      </c>
      <c r="AH549" s="8">
        <v>1</v>
      </c>
      <c r="AI549" s="8">
        <v>0.96</v>
      </c>
      <c r="AJ549" s="8">
        <v>0.88</v>
      </c>
      <c r="AK549" s="12" t="s">
        <v>76</v>
      </c>
      <c r="AL549" s="3" t="s">
        <v>1169</v>
      </c>
      <c r="AM549" s="3"/>
      <c r="AN549" s="3" t="s">
        <v>895</v>
      </c>
      <c r="AW549" s="143"/>
    </row>
    <row r="550" spans="2:49" ht="15">
      <c r="B550" s="90">
        <f t="shared" si="17"/>
        <v>322</v>
      </c>
      <c r="C550" s="11" t="s">
        <v>1044</v>
      </c>
      <c r="D550" s="3" t="s">
        <v>24</v>
      </c>
      <c r="E550" s="3" t="s">
        <v>1162</v>
      </c>
      <c r="F550" s="1" t="s">
        <v>1170</v>
      </c>
      <c r="G550" s="5">
        <v>1417780</v>
      </c>
      <c r="H550" s="15" t="s">
        <v>72</v>
      </c>
      <c r="I550" s="3" t="s">
        <v>1171</v>
      </c>
      <c r="J550" s="15" t="s">
        <v>72</v>
      </c>
      <c r="K550" s="3" t="s">
        <v>73</v>
      </c>
      <c r="L550" s="3" t="s">
        <v>8</v>
      </c>
      <c r="M550" s="3" t="s">
        <v>560</v>
      </c>
      <c r="N550" s="3" t="s">
        <v>1165</v>
      </c>
      <c r="O550" s="5" t="s">
        <v>72</v>
      </c>
      <c r="P550" s="5" t="s">
        <v>1166</v>
      </c>
      <c r="Q550" s="55"/>
      <c r="R550" s="15" t="s">
        <v>72</v>
      </c>
      <c r="S550" s="3" t="s">
        <v>903</v>
      </c>
      <c r="T550" s="3"/>
      <c r="U550" s="3"/>
      <c r="V550" s="3">
        <v>191</v>
      </c>
      <c r="W550" s="3">
        <f t="shared" si="19"/>
        <v>191</v>
      </c>
      <c r="X550" s="3">
        <v>191</v>
      </c>
      <c r="Y550" s="3">
        <f>ROUNDDOWN(W550/HLOOKUP(D550,[2]Table!$C$3:$D$4,2,0)*8,2)</f>
        <v>3.39</v>
      </c>
      <c r="Z550" s="3">
        <v>1</v>
      </c>
      <c r="AA550" s="3" t="s">
        <v>110</v>
      </c>
      <c r="AB550" s="6">
        <v>43950</v>
      </c>
      <c r="AC550" s="6">
        <v>43941</v>
      </c>
      <c r="AD550" s="6">
        <v>43951</v>
      </c>
      <c r="AE550" s="6">
        <v>43944</v>
      </c>
      <c r="AF550" s="6">
        <v>43944</v>
      </c>
      <c r="AG550" s="12" t="s">
        <v>79</v>
      </c>
      <c r="AH550" s="8">
        <v>0.94</v>
      </c>
      <c r="AI550" s="8">
        <v>0.97</v>
      </c>
      <c r="AJ550" s="8">
        <v>1</v>
      </c>
      <c r="AK550" s="12" t="s">
        <v>76</v>
      </c>
      <c r="AL550" s="85" t="s">
        <v>1172</v>
      </c>
      <c r="AM550" s="3"/>
      <c r="AN550" s="3" t="s">
        <v>895</v>
      </c>
      <c r="AW550" s="143"/>
    </row>
    <row r="551" spans="2:49" ht="15">
      <c r="B551" s="90">
        <f t="shared" si="17"/>
        <v>323</v>
      </c>
      <c r="C551" s="11" t="s">
        <v>1044</v>
      </c>
      <c r="D551" s="3" t="s">
        <v>24</v>
      </c>
      <c r="E551" s="3" t="s">
        <v>1162</v>
      </c>
      <c r="F551" s="1" t="s">
        <v>1173</v>
      </c>
      <c r="G551" s="5">
        <v>1417780</v>
      </c>
      <c r="H551" s="15" t="s">
        <v>72</v>
      </c>
      <c r="I551" s="3" t="s">
        <v>1174</v>
      </c>
      <c r="J551" s="15" t="s">
        <v>72</v>
      </c>
      <c r="K551" s="3" t="s">
        <v>73</v>
      </c>
      <c r="L551" s="3" t="s">
        <v>8</v>
      </c>
      <c r="M551" s="3" t="s">
        <v>560</v>
      </c>
      <c r="N551" s="3" t="s">
        <v>1165</v>
      </c>
      <c r="O551" s="5" t="s">
        <v>72</v>
      </c>
      <c r="P551" s="5" t="s">
        <v>1166</v>
      </c>
      <c r="Q551" s="55"/>
      <c r="R551" s="15" t="s">
        <v>72</v>
      </c>
      <c r="S551" s="3" t="s">
        <v>903</v>
      </c>
      <c r="T551" s="3"/>
      <c r="U551" s="3"/>
      <c r="V551" s="3">
        <v>344</v>
      </c>
      <c r="W551" s="3">
        <f t="shared" si="19"/>
        <v>344</v>
      </c>
      <c r="X551" s="3">
        <v>344</v>
      </c>
      <c r="Y551" s="3">
        <f>ROUNDDOWN(W551/HLOOKUP(D551,[2]Table!$C$3:$D$4,2,0)*8,2)</f>
        <v>6.11</v>
      </c>
      <c r="Z551" s="3">
        <v>1</v>
      </c>
      <c r="AA551" s="3" t="s">
        <v>110</v>
      </c>
      <c r="AB551" s="6">
        <v>43950</v>
      </c>
      <c r="AC551" s="6">
        <v>43941</v>
      </c>
      <c r="AD551" s="6">
        <v>43951</v>
      </c>
      <c r="AE551" s="6">
        <v>43943</v>
      </c>
      <c r="AF551" s="6">
        <v>43943</v>
      </c>
      <c r="AG551" s="12" t="s">
        <v>79</v>
      </c>
      <c r="AH551" s="8">
        <v>0.97</v>
      </c>
      <c r="AI551" s="8">
        <v>0.95</v>
      </c>
      <c r="AJ551" s="8">
        <v>0.83</v>
      </c>
      <c r="AK551" s="12" t="s">
        <v>76</v>
      </c>
      <c r="AL551" s="3" t="s">
        <v>1175</v>
      </c>
      <c r="AM551" s="3"/>
      <c r="AN551" s="3" t="s">
        <v>895</v>
      </c>
      <c r="AW551" s="143"/>
    </row>
    <row r="552" spans="2:49" ht="15">
      <c r="B552" s="90">
        <f t="shared" si="17"/>
        <v>324</v>
      </c>
      <c r="C552" s="11" t="s">
        <v>1044</v>
      </c>
      <c r="D552" s="3" t="s">
        <v>24</v>
      </c>
      <c r="E552" s="3" t="s">
        <v>1162</v>
      </c>
      <c r="F552" s="1" t="s">
        <v>1176</v>
      </c>
      <c r="G552" s="5">
        <v>1417780</v>
      </c>
      <c r="H552" s="15" t="s">
        <v>72</v>
      </c>
      <c r="I552" s="3" t="s">
        <v>1177</v>
      </c>
      <c r="J552" s="15" t="s">
        <v>72</v>
      </c>
      <c r="K552" s="3" t="s">
        <v>73</v>
      </c>
      <c r="L552" s="3" t="s">
        <v>8</v>
      </c>
      <c r="M552" s="3" t="s">
        <v>560</v>
      </c>
      <c r="N552" s="3" t="s">
        <v>1165</v>
      </c>
      <c r="O552" s="5" t="s">
        <v>72</v>
      </c>
      <c r="P552" s="5" t="s">
        <v>1166</v>
      </c>
      <c r="Q552" s="55"/>
      <c r="R552" s="15" t="s">
        <v>72</v>
      </c>
      <c r="S552" s="3" t="s">
        <v>903</v>
      </c>
      <c r="T552" s="3"/>
      <c r="U552" s="3"/>
      <c r="V552" s="3">
        <v>40</v>
      </c>
      <c r="W552" s="3">
        <f t="shared" si="19"/>
        <v>40</v>
      </c>
      <c r="X552" s="3">
        <v>40</v>
      </c>
      <c r="Y552" s="3">
        <f>ROUNDDOWN(W552/HLOOKUP(D552,[2]Table!$C$3:$D$4,2,0)*8,2)</f>
        <v>0.71</v>
      </c>
      <c r="Z552" s="3">
        <v>0.1</v>
      </c>
      <c r="AA552" s="3" t="s">
        <v>110</v>
      </c>
      <c r="AB552" s="6">
        <v>43950</v>
      </c>
      <c r="AC552" s="6">
        <v>43941</v>
      </c>
      <c r="AD552" s="6">
        <v>43951</v>
      </c>
      <c r="AE552" s="6">
        <v>43944</v>
      </c>
      <c r="AF552" s="6">
        <v>43944</v>
      </c>
      <c r="AG552" s="12" t="s">
        <v>75</v>
      </c>
      <c r="AH552" s="8">
        <v>1</v>
      </c>
      <c r="AI552" s="8">
        <v>1</v>
      </c>
      <c r="AJ552" s="8">
        <v>1</v>
      </c>
      <c r="AK552" s="12" t="s">
        <v>8</v>
      </c>
      <c r="AL552" s="3"/>
      <c r="AM552" s="3"/>
      <c r="AN552" s="3"/>
      <c r="AW552" s="143"/>
    </row>
    <row r="553" spans="2:49" ht="15">
      <c r="B553" s="90">
        <f t="shared" si="17"/>
        <v>325</v>
      </c>
      <c r="C553" s="11" t="s">
        <v>1044</v>
      </c>
      <c r="D553" s="3" t="s">
        <v>24</v>
      </c>
      <c r="E553" s="3" t="s">
        <v>1162</v>
      </c>
      <c r="F553" s="1" t="s">
        <v>1178</v>
      </c>
      <c r="G553" s="5">
        <v>1417780</v>
      </c>
      <c r="H553" s="15" t="s">
        <v>72</v>
      </c>
      <c r="I553" s="3" t="s">
        <v>1179</v>
      </c>
      <c r="J553" s="15" t="s">
        <v>72</v>
      </c>
      <c r="K553" s="3" t="s">
        <v>73</v>
      </c>
      <c r="L553" s="3" t="s">
        <v>8</v>
      </c>
      <c r="M553" s="3" t="s">
        <v>560</v>
      </c>
      <c r="N553" s="3" t="s">
        <v>1165</v>
      </c>
      <c r="O553" s="5" t="s">
        <v>72</v>
      </c>
      <c r="P553" s="5" t="s">
        <v>1166</v>
      </c>
      <c r="Q553" s="55"/>
      <c r="R553" s="15" t="s">
        <v>72</v>
      </c>
      <c r="S553" s="3" t="s">
        <v>903</v>
      </c>
      <c r="T553" s="3"/>
      <c r="U553" s="3"/>
      <c r="V553" s="3">
        <v>146</v>
      </c>
      <c r="W553" s="3">
        <f t="shared" si="19"/>
        <v>146</v>
      </c>
      <c r="X553" s="3">
        <v>146</v>
      </c>
      <c r="Y553" s="3">
        <f>ROUNDDOWN(W553/HLOOKUP(D553,[2]Table!$C$3:$D$4,2,0)*8,2)</f>
        <v>2.59</v>
      </c>
      <c r="Z553" s="3">
        <v>2</v>
      </c>
      <c r="AA553" s="3" t="s">
        <v>110</v>
      </c>
      <c r="AB553" s="6">
        <v>43950</v>
      </c>
      <c r="AC553" s="6">
        <v>43941</v>
      </c>
      <c r="AD553" s="6">
        <v>43951</v>
      </c>
      <c r="AE553" s="6">
        <v>43942</v>
      </c>
      <c r="AF553" s="6">
        <v>43942</v>
      </c>
      <c r="AG553" s="12" t="s">
        <v>75</v>
      </c>
      <c r="AH553" s="8">
        <v>1</v>
      </c>
      <c r="AI553" s="8">
        <v>1</v>
      </c>
      <c r="AJ553" s="8">
        <v>1</v>
      </c>
      <c r="AK553" s="12" t="s">
        <v>8</v>
      </c>
      <c r="AL553" s="3"/>
      <c r="AM553" s="3"/>
      <c r="AN553" s="3"/>
      <c r="AW553" s="143"/>
    </row>
    <row r="554" spans="2:49" ht="15">
      <c r="B554" s="90">
        <f t="shared" si="17"/>
        <v>326</v>
      </c>
      <c r="C554" s="11" t="s">
        <v>1044</v>
      </c>
      <c r="D554" s="3" t="s">
        <v>24</v>
      </c>
      <c r="E554" s="3" t="s">
        <v>1162</v>
      </c>
      <c r="F554" s="1" t="s">
        <v>1180</v>
      </c>
      <c r="G554" s="5">
        <v>1417780</v>
      </c>
      <c r="H554" s="15" t="s">
        <v>72</v>
      </c>
      <c r="I554" s="3" t="s">
        <v>261</v>
      </c>
      <c r="J554" s="15" t="s">
        <v>72</v>
      </c>
      <c r="K554" s="3" t="s">
        <v>73</v>
      </c>
      <c r="L554" s="3" t="s">
        <v>8</v>
      </c>
      <c r="M554" s="3" t="s">
        <v>560</v>
      </c>
      <c r="N554" s="3" t="s">
        <v>1165</v>
      </c>
      <c r="O554" s="5" t="s">
        <v>72</v>
      </c>
      <c r="P554" s="5" t="s">
        <v>1166</v>
      </c>
      <c r="Q554" s="55"/>
      <c r="R554" s="15" t="s">
        <v>72</v>
      </c>
      <c r="S554" s="3" t="s">
        <v>903</v>
      </c>
      <c r="T554" s="3"/>
      <c r="U554" s="3"/>
      <c r="V554" s="3">
        <v>51</v>
      </c>
      <c r="W554" s="3">
        <f t="shared" si="19"/>
        <v>51</v>
      </c>
      <c r="X554" s="3">
        <v>51</v>
      </c>
      <c r="Y554" s="3">
        <f>ROUNDDOWN(W554/HLOOKUP(D554,[2]Table!$C$3:$D$4,2,0)*8,2)</f>
        <v>0.9</v>
      </c>
      <c r="Z554" s="3">
        <v>0.1</v>
      </c>
      <c r="AA554" s="3" t="s">
        <v>110</v>
      </c>
      <c r="AB554" s="6">
        <v>43950</v>
      </c>
      <c r="AC554" s="6">
        <v>43941</v>
      </c>
      <c r="AD554" s="6">
        <v>43951</v>
      </c>
      <c r="AE554" s="6">
        <v>43942</v>
      </c>
      <c r="AF554" s="6">
        <v>43942</v>
      </c>
      <c r="AG554" s="12" t="s">
        <v>75</v>
      </c>
      <c r="AH554" s="8">
        <v>1</v>
      </c>
      <c r="AI554" s="8">
        <v>1</v>
      </c>
      <c r="AJ554" s="8">
        <v>1</v>
      </c>
      <c r="AK554" s="12" t="s">
        <v>8</v>
      </c>
      <c r="AL554" s="3"/>
      <c r="AM554" s="3"/>
      <c r="AN554" s="3"/>
      <c r="AW554" s="143"/>
    </row>
    <row r="555" spans="2:49" ht="15">
      <c r="B555" s="90">
        <f t="shared" si="17"/>
        <v>327</v>
      </c>
      <c r="C555" s="11" t="s">
        <v>1044</v>
      </c>
      <c r="D555" s="3" t="s">
        <v>24</v>
      </c>
      <c r="E555" s="3" t="s">
        <v>1181</v>
      </c>
      <c r="F555" s="1" t="s">
        <v>1182</v>
      </c>
      <c r="G555" s="5">
        <v>1423395</v>
      </c>
      <c r="H555" s="15" t="s">
        <v>72</v>
      </c>
      <c r="I555" s="3" t="s">
        <v>564</v>
      </c>
      <c r="J555" s="15" t="s">
        <v>72</v>
      </c>
      <c r="K555" s="3" t="s">
        <v>73</v>
      </c>
      <c r="L555" s="3">
        <v>81640</v>
      </c>
      <c r="M555" s="3" t="s">
        <v>19</v>
      </c>
      <c r="N555" s="3" t="s">
        <v>1065</v>
      </c>
      <c r="O555" s="5" t="s">
        <v>72</v>
      </c>
      <c r="P555" s="5" t="s">
        <v>1183</v>
      </c>
      <c r="Q555" s="55"/>
      <c r="R555" s="15" t="s">
        <v>72</v>
      </c>
      <c r="S555" s="3" t="s">
        <v>903</v>
      </c>
      <c r="T555" s="3"/>
      <c r="U555" s="3"/>
      <c r="V555" s="3">
        <v>101</v>
      </c>
      <c r="W555" s="3">
        <f t="shared" si="19"/>
        <v>101</v>
      </c>
      <c r="X555" s="3">
        <v>101</v>
      </c>
      <c r="Y555" s="3">
        <f>ROUNDDOWN(W555/HLOOKUP(D555,[2]Table!$C$3:$D$4,2,0)*8,2)</f>
        <v>1.79</v>
      </c>
      <c r="Z555" s="3">
        <v>1</v>
      </c>
      <c r="AA555" s="11" t="s">
        <v>110</v>
      </c>
      <c r="AB555" s="6">
        <v>43943</v>
      </c>
      <c r="AC555" s="6">
        <v>43941</v>
      </c>
      <c r="AD555" s="6">
        <v>43943</v>
      </c>
      <c r="AE555" s="6">
        <v>43941</v>
      </c>
      <c r="AF555" s="6">
        <v>43941</v>
      </c>
      <c r="AG555" s="12" t="s">
        <v>79</v>
      </c>
      <c r="AH555" s="8">
        <v>1</v>
      </c>
      <c r="AI555" s="8">
        <v>1</v>
      </c>
      <c r="AJ555" s="8">
        <v>0.75</v>
      </c>
      <c r="AK555" s="12" t="s">
        <v>76</v>
      </c>
      <c r="AL555" s="3" t="s">
        <v>1184</v>
      </c>
      <c r="AM555" s="3"/>
      <c r="AN555" s="3" t="s">
        <v>895</v>
      </c>
      <c r="AW555" s="143"/>
    </row>
    <row r="556" spans="2:49" ht="15">
      <c r="B556" s="90">
        <f t="shared" si="17"/>
        <v>328</v>
      </c>
      <c r="C556" s="11" t="s">
        <v>1044</v>
      </c>
      <c r="D556" s="3" t="s">
        <v>24</v>
      </c>
      <c r="E556" s="3" t="s">
        <v>1181</v>
      </c>
      <c r="F556" s="1" t="s">
        <v>1185</v>
      </c>
      <c r="G556" s="5">
        <v>1423395</v>
      </c>
      <c r="H556" s="15" t="s">
        <v>72</v>
      </c>
      <c r="I556" s="3" t="s">
        <v>566</v>
      </c>
      <c r="J556" s="15" t="s">
        <v>72</v>
      </c>
      <c r="K556" s="3" t="s">
        <v>73</v>
      </c>
      <c r="L556" s="3">
        <v>81640</v>
      </c>
      <c r="M556" s="3" t="s">
        <v>19</v>
      </c>
      <c r="N556" s="3" t="s">
        <v>1065</v>
      </c>
      <c r="O556" s="5" t="s">
        <v>72</v>
      </c>
      <c r="P556" s="5" t="s">
        <v>1183</v>
      </c>
      <c r="Q556" s="55"/>
      <c r="R556" s="15" t="s">
        <v>72</v>
      </c>
      <c r="S556" s="3" t="s">
        <v>903</v>
      </c>
      <c r="T556" s="3"/>
      <c r="U556" s="3"/>
      <c r="V556" s="3">
        <v>116</v>
      </c>
      <c r="W556" s="3">
        <f t="shared" si="19"/>
        <v>116</v>
      </c>
      <c r="X556" s="3">
        <v>116</v>
      </c>
      <c r="Y556" s="3">
        <f>ROUNDDOWN(W556/HLOOKUP(D556,[2]Table!$C$3:$D$4,2,0)*8,2)</f>
        <v>2.06</v>
      </c>
      <c r="Z556" s="3">
        <v>2</v>
      </c>
      <c r="AA556" s="11" t="s">
        <v>110</v>
      </c>
      <c r="AB556" s="6">
        <v>43943</v>
      </c>
      <c r="AC556" s="6">
        <v>43941</v>
      </c>
      <c r="AD556" s="6">
        <v>43943</v>
      </c>
      <c r="AE556" s="6">
        <v>43941</v>
      </c>
      <c r="AF556" s="6">
        <v>43941</v>
      </c>
      <c r="AG556" s="12" t="s">
        <v>79</v>
      </c>
      <c r="AH556" s="8">
        <v>0.92</v>
      </c>
      <c r="AI556" s="8">
        <v>0.85</v>
      </c>
      <c r="AJ556" s="8">
        <v>1</v>
      </c>
      <c r="AK556" s="12" t="s">
        <v>76</v>
      </c>
      <c r="AL556" s="3" t="s">
        <v>1186</v>
      </c>
      <c r="AM556" s="3"/>
      <c r="AN556" s="3" t="s">
        <v>895</v>
      </c>
      <c r="AW556" s="143"/>
    </row>
    <row r="557" spans="2:49" ht="15">
      <c r="B557" s="90">
        <f t="shared" si="17"/>
        <v>329</v>
      </c>
      <c r="C557" s="11" t="s">
        <v>1044</v>
      </c>
      <c r="D557" s="3" t="s">
        <v>24</v>
      </c>
      <c r="E557" s="3" t="s">
        <v>1181</v>
      </c>
      <c r="F557" s="1" t="s">
        <v>1187</v>
      </c>
      <c r="G557" s="5">
        <v>1423395</v>
      </c>
      <c r="H557" s="15" t="s">
        <v>72</v>
      </c>
      <c r="I557" s="3" t="s">
        <v>576</v>
      </c>
      <c r="J557" s="15" t="s">
        <v>72</v>
      </c>
      <c r="K557" s="3" t="s">
        <v>73</v>
      </c>
      <c r="L557" s="3">
        <v>81640</v>
      </c>
      <c r="M557" s="3" t="s">
        <v>19</v>
      </c>
      <c r="N557" s="3" t="s">
        <v>1065</v>
      </c>
      <c r="O557" s="5" t="s">
        <v>72</v>
      </c>
      <c r="P557" s="5" t="s">
        <v>1183</v>
      </c>
      <c r="Q557" s="55"/>
      <c r="R557" s="15" t="s">
        <v>72</v>
      </c>
      <c r="S557" s="3" t="s">
        <v>903</v>
      </c>
      <c r="T557" s="3"/>
      <c r="U557" s="3"/>
      <c r="V557" s="3">
        <v>60</v>
      </c>
      <c r="W557" s="3">
        <f t="shared" si="19"/>
        <v>60</v>
      </c>
      <c r="X557" s="3">
        <v>60</v>
      </c>
      <c r="Y557" s="3">
        <f>ROUNDDOWN(W557/HLOOKUP(D557,[2]Table!$C$3:$D$4,2,0)*8,2)</f>
        <v>1.06</v>
      </c>
      <c r="Z557" s="3">
        <v>0.5</v>
      </c>
      <c r="AA557" s="11" t="s">
        <v>110</v>
      </c>
      <c r="AB557" s="6">
        <v>43943</v>
      </c>
      <c r="AC557" s="6">
        <v>43941</v>
      </c>
      <c r="AD557" s="6">
        <v>43943</v>
      </c>
      <c r="AE557" s="6">
        <v>43941</v>
      </c>
      <c r="AF557" s="6">
        <v>43941</v>
      </c>
      <c r="AG557" s="12" t="s">
        <v>79</v>
      </c>
      <c r="AH557" s="8">
        <v>1</v>
      </c>
      <c r="AI557" s="8">
        <v>1</v>
      </c>
      <c r="AJ557" s="8">
        <v>1</v>
      </c>
      <c r="AK557" s="12" t="s">
        <v>76</v>
      </c>
      <c r="AL557" s="3" t="s">
        <v>1188</v>
      </c>
      <c r="AM557" s="3"/>
      <c r="AN557" s="3" t="s">
        <v>895</v>
      </c>
      <c r="AW557" s="143"/>
    </row>
    <row r="558" spans="2:49" ht="15">
      <c r="B558" s="69">
        <f t="shared" si="17"/>
        <v>330</v>
      </c>
      <c r="C558" s="11">
        <v>20200417</v>
      </c>
      <c r="D558" s="3" t="s">
        <v>24</v>
      </c>
      <c r="E558" s="3" t="s">
        <v>1189</v>
      </c>
      <c r="F558" s="39" t="s">
        <v>1190</v>
      </c>
      <c r="G558" s="5">
        <v>1417738</v>
      </c>
      <c r="H558" s="15" t="s">
        <v>72</v>
      </c>
      <c r="I558" s="3" t="s">
        <v>1038</v>
      </c>
      <c r="J558" s="15" t="s">
        <v>72</v>
      </c>
      <c r="K558" s="3" t="s">
        <v>73</v>
      </c>
      <c r="L558" s="3" t="s">
        <v>8</v>
      </c>
      <c r="M558" s="3" t="s">
        <v>1058</v>
      </c>
      <c r="N558" s="3" t="s">
        <v>1191</v>
      </c>
      <c r="O558" s="5" t="s">
        <v>72</v>
      </c>
      <c r="P558" s="5" t="s">
        <v>1166</v>
      </c>
      <c r="Q558" s="55"/>
      <c r="R558" s="15"/>
      <c r="S558" s="3" t="s">
        <v>78</v>
      </c>
      <c r="T558" s="3"/>
      <c r="U558" s="3"/>
      <c r="V558" s="3">
        <v>180</v>
      </c>
      <c r="W558" s="3">
        <f t="shared" si="19"/>
        <v>180</v>
      </c>
      <c r="X558" s="3">
        <f>W558</f>
        <v>180</v>
      </c>
      <c r="Y558" s="3">
        <f>ROUNDDOWN(W558/HLOOKUP(D558,[2]Table!$C$3:$D$4,2,0)*8,2)</f>
        <v>3.2</v>
      </c>
      <c r="Z558" s="3">
        <v>2</v>
      </c>
      <c r="AA558" s="3" t="s">
        <v>110</v>
      </c>
      <c r="AB558" s="91">
        <v>43945</v>
      </c>
      <c r="AC558" s="6">
        <v>43941</v>
      </c>
      <c r="AD558" s="6">
        <v>43945</v>
      </c>
      <c r="AE558" s="6">
        <v>43943</v>
      </c>
      <c r="AF558" s="6">
        <v>43943</v>
      </c>
      <c r="AG558" s="12" t="s">
        <v>75</v>
      </c>
      <c r="AH558" s="8">
        <v>1</v>
      </c>
      <c r="AI558" s="8">
        <v>1</v>
      </c>
      <c r="AJ558" s="8">
        <v>0.9</v>
      </c>
      <c r="AK558" s="12" t="s">
        <v>8</v>
      </c>
      <c r="AL558" s="3"/>
      <c r="AM558" s="3"/>
      <c r="AN558" s="3"/>
      <c r="AW558" s="143"/>
    </row>
    <row r="559" spans="2:49" ht="15">
      <c r="B559" s="69">
        <f t="shared" si="17"/>
        <v>331</v>
      </c>
      <c r="C559" s="11">
        <v>20200417</v>
      </c>
      <c r="D559" s="3" t="s">
        <v>24</v>
      </c>
      <c r="E559" s="3" t="s">
        <v>1192</v>
      </c>
      <c r="F559" s="39" t="s">
        <v>1193</v>
      </c>
      <c r="G559" s="5">
        <v>1423830</v>
      </c>
      <c r="H559" s="15" t="s">
        <v>72</v>
      </c>
      <c r="I559" s="3" t="s">
        <v>1194</v>
      </c>
      <c r="J559" s="15" t="s">
        <v>72</v>
      </c>
      <c r="K559" s="3" t="s">
        <v>73</v>
      </c>
      <c r="L559" s="3" t="s">
        <v>8</v>
      </c>
      <c r="M559" s="3" t="s">
        <v>1195</v>
      </c>
      <c r="N559" s="3" t="s">
        <v>712</v>
      </c>
      <c r="O559" s="5" t="s">
        <v>72</v>
      </c>
      <c r="P559" s="5" t="s">
        <v>1011</v>
      </c>
      <c r="Q559" s="55"/>
      <c r="R559" s="15"/>
      <c r="S559" s="3" t="s">
        <v>573</v>
      </c>
      <c r="T559" s="3"/>
      <c r="U559" s="3"/>
      <c r="V559" s="3">
        <v>224</v>
      </c>
      <c r="W559" s="3">
        <f t="shared" si="19"/>
        <v>224</v>
      </c>
      <c r="X559" s="3">
        <f t="shared" si="19"/>
        <v>224</v>
      </c>
      <c r="Y559" s="3">
        <f>ROUNDDOWN(W559/HLOOKUP(D559,[2]Table!$C$3:$D$4,2,0)*8,2)</f>
        <v>3.98</v>
      </c>
      <c r="Z559" s="3">
        <v>2</v>
      </c>
      <c r="AA559" s="3" t="s">
        <v>110</v>
      </c>
      <c r="AB559" s="91">
        <v>43945</v>
      </c>
      <c r="AC559" s="6">
        <v>43941</v>
      </c>
      <c r="AD559" s="6">
        <v>43945</v>
      </c>
      <c r="AE559" s="6">
        <v>43942</v>
      </c>
      <c r="AF559" s="6">
        <v>43942</v>
      </c>
      <c r="AG559" s="12" t="s">
        <v>75</v>
      </c>
      <c r="AH559" s="8">
        <v>1</v>
      </c>
      <c r="AI559" s="8">
        <v>1</v>
      </c>
      <c r="AJ559" s="8">
        <v>1</v>
      </c>
      <c r="AK559" s="12" t="s">
        <v>8</v>
      </c>
      <c r="AL559" s="3"/>
      <c r="AM559" s="3"/>
      <c r="AN559" s="3"/>
      <c r="AW559" s="143"/>
    </row>
    <row r="560" spans="2:49" ht="15">
      <c r="B560" s="69">
        <f t="shared" si="17"/>
        <v>332</v>
      </c>
      <c r="C560" s="11">
        <v>20200417</v>
      </c>
      <c r="D560" s="3" t="s">
        <v>24</v>
      </c>
      <c r="E560" s="3" t="s">
        <v>1192</v>
      </c>
      <c r="F560" s="39" t="s">
        <v>1196</v>
      </c>
      <c r="G560" s="5">
        <v>1423830</v>
      </c>
      <c r="H560" s="15" t="s">
        <v>72</v>
      </c>
      <c r="I560" s="3" t="s">
        <v>796</v>
      </c>
      <c r="J560" s="15" t="s">
        <v>72</v>
      </c>
      <c r="K560" s="3" t="s">
        <v>73</v>
      </c>
      <c r="L560" s="3" t="s">
        <v>8</v>
      </c>
      <c r="M560" s="3" t="s">
        <v>1195</v>
      </c>
      <c r="N560" s="3" t="s">
        <v>712</v>
      </c>
      <c r="O560" s="5" t="s">
        <v>72</v>
      </c>
      <c r="P560" s="5" t="s">
        <v>1011</v>
      </c>
      <c r="Q560" s="55"/>
      <c r="R560" s="15"/>
      <c r="S560" s="3" t="s">
        <v>573</v>
      </c>
      <c r="T560" s="3"/>
      <c r="U560" s="3"/>
      <c r="V560" s="3">
        <v>309</v>
      </c>
      <c r="W560" s="3">
        <f t="shared" si="19"/>
        <v>309</v>
      </c>
      <c r="X560" s="3">
        <f t="shared" si="19"/>
        <v>309</v>
      </c>
      <c r="Y560" s="3">
        <f>ROUNDDOWN(W560/HLOOKUP(D560,[2]Table!$C$3:$D$4,2,0)*8,2)</f>
        <v>5.49</v>
      </c>
      <c r="Z560" s="3">
        <v>2</v>
      </c>
      <c r="AA560" s="3" t="s">
        <v>110</v>
      </c>
      <c r="AB560" s="91">
        <v>43945</v>
      </c>
      <c r="AC560" s="6">
        <v>43941</v>
      </c>
      <c r="AD560" s="6">
        <v>43945</v>
      </c>
      <c r="AE560" s="6">
        <v>43942</v>
      </c>
      <c r="AF560" s="6">
        <v>43942</v>
      </c>
      <c r="AG560" s="12" t="s">
        <v>79</v>
      </c>
      <c r="AH560" s="8">
        <v>1</v>
      </c>
      <c r="AI560" s="8">
        <v>1</v>
      </c>
      <c r="AJ560" s="8">
        <v>0.91</v>
      </c>
      <c r="AK560" s="12" t="s">
        <v>76</v>
      </c>
      <c r="AL560" s="3" t="s">
        <v>1197</v>
      </c>
      <c r="AM560" s="3"/>
      <c r="AN560" s="3" t="s">
        <v>895</v>
      </c>
      <c r="AW560" s="143"/>
    </row>
    <row r="561" spans="2:49" ht="15">
      <c r="B561" s="69">
        <f t="shared" si="17"/>
        <v>333</v>
      </c>
      <c r="C561" s="11">
        <v>20200417</v>
      </c>
      <c r="D561" s="3" t="s">
        <v>24</v>
      </c>
      <c r="E561" s="3" t="s">
        <v>1192</v>
      </c>
      <c r="F561" s="39" t="s">
        <v>1198</v>
      </c>
      <c r="G561" s="5">
        <v>1423830</v>
      </c>
      <c r="H561" s="15" t="s">
        <v>72</v>
      </c>
      <c r="I561" s="3" t="s">
        <v>799</v>
      </c>
      <c r="J561" s="15" t="s">
        <v>72</v>
      </c>
      <c r="K561" s="3" t="s">
        <v>73</v>
      </c>
      <c r="L561" s="3" t="s">
        <v>8</v>
      </c>
      <c r="M561" s="3" t="s">
        <v>1195</v>
      </c>
      <c r="N561" s="3" t="s">
        <v>712</v>
      </c>
      <c r="O561" s="5" t="s">
        <v>72</v>
      </c>
      <c r="P561" s="5" t="s">
        <v>1011</v>
      </c>
      <c r="Q561" s="55"/>
      <c r="R561" s="15"/>
      <c r="S561" s="3" t="s">
        <v>573</v>
      </c>
      <c r="T561" s="3"/>
      <c r="U561" s="3"/>
      <c r="V561" s="3">
        <v>25</v>
      </c>
      <c r="W561" s="3">
        <f t="shared" si="19"/>
        <v>25</v>
      </c>
      <c r="X561" s="3">
        <f t="shared" si="19"/>
        <v>25</v>
      </c>
      <c r="Y561" s="3">
        <f>ROUNDDOWN(W561/HLOOKUP(D561,[2]Table!$C$3:$D$4,2,0)*8,2)</f>
        <v>0.44</v>
      </c>
      <c r="Z561" s="3">
        <v>2</v>
      </c>
      <c r="AA561" s="3" t="s">
        <v>110</v>
      </c>
      <c r="AB561" s="91">
        <v>43945</v>
      </c>
      <c r="AC561" s="6">
        <v>43941</v>
      </c>
      <c r="AD561" s="6">
        <v>43945</v>
      </c>
      <c r="AE561" s="6">
        <v>43942</v>
      </c>
      <c r="AF561" s="6">
        <v>43942</v>
      </c>
      <c r="AG561" s="12" t="s">
        <v>75</v>
      </c>
      <c r="AH561" s="8">
        <v>1</v>
      </c>
      <c r="AI561" s="8">
        <v>1</v>
      </c>
      <c r="AJ561" s="8">
        <v>1</v>
      </c>
      <c r="AK561" s="12" t="s">
        <v>8</v>
      </c>
      <c r="AL561" s="3"/>
      <c r="AM561" s="3"/>
      <c r="AN561" s="3"/>
      <c r="AW561" s="143"/>
    </row>
    <row r="562" spans="2:49" ht="15">
      <c r="B562" s="69">
        <f t="shared" si="17"/>
        <v>334</v>
      </c>
      <c r="C562" s="11">
        <v>20200417</v>
      </c>
      <c r="D562" s="3" t="s">
        <v>24</v>
      </c>
      <c r="E562" s="3" t="s">
        <v>1192</v>
      </c>
      <c r="F562" s="39" t="s">
        <v>1199</v>
      </c>
      <c r="G562" s="5">
        <v>1423830</v>
      </c>
      <c r="H562" s="15" t="s">
        <v>72</v>
      </c>
      <c r="I562" s="3" t="s">
        <v>801</v>
      </c>
      <c r="J562" s="15" t="s">
        <v>72</v>
      </c>
      <c r="K562" s="3" t="s">
        <v>73</v>
      </c>
      <c r="L562" s="3" t="s">
        <v>8</v>
      </c>
      <c r="M562" s="3" t="s">
        <v>1195</v>
      </c>
      <c r="N562" s="3" t="s">
        <v>712</v>
      </c>
      <c r="O562" s="5" t="s">
        <v>72</v>
      </c>
      <c r="P562" s="5" t="s">
        <v>1011</v>
      </c>
      <c r="Q562" s="55"/>
      <c r="R562" s="15"/>
      <c r="S562" s="3" t="s">
        <v>573</v>
      </c>
      <c r="T562" s="3"/>
      <c r="U562" s="3"/>
      <c r="V562" s="3">
        <v>215</v>
      </c>
      <c r="W562" s="3">
        <f t="shared" si="19"/>
        <v>215</v>
      </c>
      <c r="X562" s="3">
        <f t="shared" si="19"/>
        <v>215</v>
      </c>
      <c r="Y562" s="3">
        <f>ROUNDDOWN(W562/HLOOKUP(D562,[2]Table!$C$3:$D$4,2,0)*8,2)</f>
        <v>3.82</v>
      </c>
      <c r="Z562" s="3">
        <v>2</v>
      </c>
      <c r="AA562" s="3" t="s">
        <v>110</v>
      </c>
      <c r="AB562" s="91">
        <v>43945</v>
      </c>
      <c r="AC562" s="6">
        <v>43941</v>
      </c>
      <c r="AD562" s="6">
        <v>43945</v>
      </c>
      <c r="AE562" s="6">
        <v>43942</v>
      </c>
      <c r="AF562" s="6">
        <v>43942</v>
      </c>
      <c r="AG562" s="12" t="s">
        <v>75</v>
      </c>
      <c r="AH562" s="8">
        <v>1</v>
      </c>
      <c r="AI562" s="8">
        <v>1</v>
      </c>
      <c r="AJ562" s="8">
        <v>1</v>
      </c>
      <c r="AK562" s="12" t="s">
        <v>8</v>
      </c>
      <c r="AL562" s="3"/>
      <c r="AM562" s="3"/>
      <c r="AN562" s="3"/>
      <c r="AW562" s="143"/>
    </row>
    <row r="563" spans="2:49" ht="15">
      <c r="B563" s="69">
        <f t="shared" si="17"/>
        <v>335</v>
      </c>
      <c r="C563" s="11">
        <v>20200417</v>
      </c>
      <c r="D563" s="3" t="s">
        <v>24</v>
      </c>
      <c r="E563" s="3" t="s">
        <v>1192</v>
      </c>
      <c r="F563" s="39" t="s">
        <v>1200</v>
      </c>
      <c r="G563" s="5">
        <v>1423830</v>
      </c>
      <c r="H563" s="15" t="s">
        <v>72</v>
      </c>
      <c r="I563" s="3" t="s">
        <v>803</v>
      </c>
      <c r="J563" s="15" t="s">
        <v>72</v>
      </c>
      <c r="K563" s="3" t="s">
        <v>73</v>
      </c>
      <c r="L563" s="3" t="s">
        <v>8</v>
      </c>
      <c r="M563" s="3" t="s">
        <v>1195</v>
      </c>
      <c r="N563" s="3" t="s">
        <v>712</v>
      </c>
      <c r="O563" s="5" t="s">
        <v>72</v>
      </c>
      <c r="P563" s="5" t="s">
        <v>1011</v>
      </c>
      <c r="Q563" s="55"/>
      <c r="R563" s="15"/>
      <c r="S563" s="3" t="s">
        <v>573</v>
      </c>
      <c r="T563" s="3"/>
      <c r="U563" s="3"/>
      <c r="V563" s="3">
        <v>1703</v>
      </c>
      <c r="W563" s="3">
        <f t="shared" si="19"/>
        <v>1703</v>
      </c>
      <c r="X563" s="3">
        <f t="shared" si="19"/>
        <v>1703</v>
      </c>
      <c r="Y563" s="3">
        <f>ROUNDDOWN(W563/HLOOKUP(D563,[2]Table!$C$3:$D$4,2,0)*8,2)</f>
        <v>30.27</v>
      </c>
      <c r="Z563" s="3">
        <v>8</v>
      </c>
      <c r="AA563" s="3" t="s">
        <v>110</v>
      </c>
      <c r="AB563" s="91">
        <v>43945</v>
      </c>
      <c r="AC563" s="6">
        <v>43941</v>
      </c>
      <c r="AD563" s="6">
        <v>43945</v>
      </c>
      <c r="AE563" s="6">
        <v>43942</v>
      </c>
      <c r="AF563" s="6">
        <v>43942</v>
      </c>
      <c r="AG563" s="12" t="s">
        <v>75</v>
      </c>
      <c r="AH563" s="8">
        <v>1</v>
      </c>
      <c r="AI563" s="8">
        <v>1</v>
      </c>
      <c r="AJ563" s="8">
        <v>1</v>
      </c>
      <c r="AK563" s="12" t="s">
        <v>8</v>
      </c>
      <c r="AL563" s="3"/>
      <c r="AM563" s="3"/>
      <c r="AN563" s="3"/>
      <c r="AW563" s="143"/>
    </row>
    <row r="564" spans="2:49" ht="15">
      <c r="B564" s="69">
        <f t="shared" si="17"/>
        <v>336</v>
      </c>
      <c r="C564" s="11">
        <v>20200417</v>
      </c>
      <c r="D564" s="3" t="s">
        <v>24</v>
      </c>
      <c r="E564" s="3" t="s">
        <v>317</v>
      </c>
      <c r="F564" s="39" t="s">
        <v>1201</v>
      </c>
      <c r="G564" s="5">
        <v>1423829</v>
      </c>
      <c r="H564" s="15" t="s">
        <v>72</v>
      </c>
      <c r="I564" s="93" t="s">
        <v>1194</v>
      </c>
      <c r="J564" s="15" t="s">
        <v>72</v>
      </c>
      <c r="K564" s="3" t="s">
        <v>73</v>
      </c>
      <c r="L564" s="3" t="s">
        <v>8</v>
      </c>
      <c r="M564" s="3" t="s">
        <v>1195</v>
      </c>
      <c r="N564" s="3" t="s">
        <v>1202</v>
      </c>
      <c r="O564" s="5" t="s">
        <v>72</v>
      </c>
      <c r="P564" s="5" t="s">
        <v>1011</v>
      </c>
      <c r="Q564" s="55"/>
      <c r="R564" s="15"/>
      <c r="S564" s="3" t="s">
        <v>77</v>
      </c>
      <c r="T564" s="3"/>
      <c r="U564" s="3"/>
      <c r="V564" s="3">
        <v>224</v>
      </c>
      <c r="W564" s="3">
        <f t="shared" si="19"/>
        <v>224</v>
      </c>
      <c r="X564" s="3">
        <f t="shared" si="19"/>
        <v>224</v>
      </c>
      <c r="Y564" s="3">
        <f>ROUNDDOWN(W564/HLOOKUP(D564,[2]Table!$C$3:$D$4,2,0)*8,2)</f>
        <v>3.98</v>
      </c>
      <c r="Z564" s="3">
        <v>3</v>
      </c>
      <c r="AA564" s="3" t="s">
        <v>110</v>
      </c>
      <c r="AB564" s="91">
        <v>43945</v>
      </c>
      <c r="AC564" s="6">
        <v>43941</v>
      </c>
      <c r="AD564" s="6">
        <v>43945</v>
      </c>
      <c r="AE564" s="6">
        <v>43943</v>
      </c>
      <c r="AF564" s="6">
        <v>43943</v>
      </c>
      <c r="AG564" s="12" t="s">
        <v>75</v>
      </c>
      <c r="AH564" s="8">
        <v>1</v>
      </c>
      <c r="AI564" s="8">
        <v>1</v>
      </c>
      <c r="AJ564" s="8">
        <v>1</v>
      </c>
      <c r="AK564" s="12" t="s">
        <v>8</v>
      </c>
      <c r="AL564" s="3"/>
      <c r="AM564" s="3"/>
      <c r="AN564" s="3"/>
      <c r="AW564" s="143"/>
    </row>
    <row r="565" spans="2:49" ht="15">
      <c r="B565" s="69">
        <f t="shared" si="17"/>
        <v>337</v>
      </c>
      <c r="C565" s="11">
        <v>20200417</v>
      </c>
      <c r="D565" s="3" t="s">
        <v>24</v>
      </c>
      <c r="E565" s="3" t="s">
        <v>317</v>
      </c>
      <c r="F565" s="39" t="s">
        <v>1203</v>
      </c>
      <c r="G565" s="5">
        <v>1423829</v>
      </c>
      <c r="H565" s="15" t="s">
        <v>72</v>
      </c>
      <c r="I565" s="93" t="s">
        <v>796</v>
      </c>
      <c r="J565" s="15" t="s">
        <v>72</v>
      </c>
      <c r="K565" s="3" t="s">
        <v>73</v>
      </c>
      <c r="L565" s="3" t="s">
        <v>8</v>
      </c>
      <c r="M565" s="3" t="s">
        <v>1195</v>
      </c>
      <c r="N565" s="3" t="s">
        <v>1202</v>
      </c>
      <c r="O565" s="5" t="s">
        <v>72</v>
      </c>
      <c r="P565" s="5" t="s">
        <v>1011</v>
      </c>
      <c r="Q565" s="55"/>
      <c r="R565" s="15"/>
      <c r="S565" s="3" t="s">
        <v>77</v>
      </c>
      <c r="T565" s="3"/>
      <c r="U565" s="3"/>
      <c r="V565" s="3">
        <v>309</v>
      </c>
      <c r="W565" s="3">
        <f t="shared" si="19"/>
        <v>309</v>
      </c>
      <c r="X565" s="3">
        <f>W565</f>
        <v>309</v>
      </c>
      <c r="Y565" s="3">
        <f>ROUNDDOWN(W565/HLOOKUP(D565,[2]Table!$C$3:$D$4,2,0)*8,2)</f>
        <v>5.49</v>
      </c>
      <c r="Z565" s="3">
        <v>4</v>
      </c>
      <c r="AA565" s="3" t="s">
        <v>110</v>
      </c>
      <c r="AB565" s="91">
        <v>43945</v>
      </c>
      <c r="AC565" s="6">
        <v>43941</v>
      </c>
      <c r="AD565" s="6">
        <v>43945</v>
      </c>
      <c r="AE565" s="6">
        <v>43944</v>
      </c>
      <c r="AF565" s="6">
        <v>43944</v>
      </c>
      <c r="AG565" s="12" t="s">
        <v>79</v>
      </c>
      <c r="AH565" s="8">
        <v>1</v>
      </c>
      <c r="AI565" s="8">
        <v>1</v>
      </c>
      <c r="AJ565" s="8">
        <v>0.91</v>
      </c>
      <c r="AK565" s="12" t="s">
        <v>76</v>
      </c>
      <c r="AL565" s="3" t="s">
        <v>1204</v>
      </c>
      <c r="AM565" s="3"/>
      <c r="AN565" s="3" t="s">
        <v>1205</v>
      </c>
      <c r="AW565" s="143"/>
    </row>
    <row r="566" spans="2:49" ht="15">
      <c r="B566" s="69">
        <f t="shared" si="17"/>
        <v>338</v>
      </c>
      <c r="C566" s="11">
        <v>20200417</v>
      </c>
      <c r="D566" s="3" t="s">
        <v>24</v>
      </c>
      <c r="E566" s="3" t="s">
        <v>317</v>
      </c>
      <c r="F566" s="39" t="s">
        <v>1206</v>
      </c>
      <c r="G566" s="5">
        <v>1423829</v>
      </c>
      <c r="H566" s="15" t="s">
        <v>72</v>
      </c>
      <c r="I566" s="93" t="s">
        <v>799</v>
      </c>
      <c r="J566" s="15" t="s">
        <v>72</v>
      </c>
      <c r="K566" s="3" t="s">
        <v>73</v>
      </c>
      <c r="L566" s="3" t="s">
        <v>8</v>
      </c>
      <c r="M566" s="3" t="s">
        <v>1195</v>
      </c>
      <c r="N566" s="3" t="s">
        <v>1202</v>
      </c>
      <c r="O566" s="5" t="s">
        <v>72</v>
      </c>
      <c r="P566" s="5" t="s">
        <v>1011</v>
      </c>
      <c r="Q566" s="55"/>
      <c r="R566" s="15"/>
      <c r="S566" s="3" t="s">
        <v>77</v>
      </c>
      <c r="T566" s="3"/>
      <c r="U566" s="3"/>
      <c r="V566" s="3">
        <v>25</v>
      </c>
      <c r="W566" s="3">
        <f t="shared" si="19"/>
        <v>25</v>
      </c>
      <c r="X566" s="3">
        <f>W566</f>
        <v>25</v>
      </c>
      <c r="Y566" s="3">
        <f>ROUNDDOWN(W566/HLOOKUP(D566,[2]Table!$C$3:$D$4,2,0)*8,2)</f>
        <v>0.44</v>
      </c>
      <c r="Z566" s="3">
        <v>0.12</v>
      </c>
      <c r="AA566" s="3" t="s">
        <v>110</v>
      </c>
      <c r="AB566" s="91">
        <v>43945</v>
      </c>
      <c r="AC566" s="6">
        <v>43941</v>
      </c>
      <c r="AD566" s="6">
        <v>43945</v>
      </c>
      <c r="AE566" s="6">
        <v>43944</v>
      </c>
      <c r="AF566" s="6">
        <v>43944</v>
      </c>
      <c r="AG566" s="12" t="s">
        <v>75</v>
      </c>
      <c r="AH566" s="8">
        <v>1</v>
      </c>
      <c r="AI566" s="8">
        <v>1</v>
      </c>
      <c r="AJ566" s="8">
        <v>1</v>
      </c>
      <c r="AK566" s="12" t="s">
        <v>8</v>
      </c>
      <c r="AL566" s="3"/>
      <c r="AM566" s="3"/>
      <c r="AN566" s="3"/>
      <c r="AW566" s="143"/>
    </row>
    <row r="567" spans="2:49" ht="15">
      <c r="B567" s="69">
        <f t="shared" ref="B567:B599" si="20">B566+1</f>
        <v>339</v>
      </c>
      <c r="C567" s="11">
        <v>20200417</v>
      </c>
      <c r="D567" s="3" t="s">
        <v>24</v>
      </c>
      <c r="E567" s="3" t="s">
        <v>317</v>
      </c>
      <c r="F567" s="39" t="s">
        <v>1207</v>
      </c>
      <c r="G567" s="5">
        <v>1423829</v>
      </c>
      <c r="H567" s="15" t="s">
        <v>72</v>
      </c>
      <c r="I567" s="93" t="s">
        <v>801</v>
      </c>
      <c r="J567" s="15" t="s">
        <v>72</v>
      </c>
      <c r="K567" s="3" t="s">
        <v>73</v>
      </c>
      <c r="L567" s="3" t="s">
        <v>8</v>
      </c>
      <c r="M567" s="3" t="s">
        <v>1195</v>
      </c>
      <c r="N567" s="3" t="s">
        <v>1202</v>
      </c>
      <c r="O567" s="5" t="s">
        <v>72</v>
      </c>
      <c r="P567" s="5" t="s">
        <v>1011</v>
      </c>
      <c r="Q567" s="55"/>
      <c r="R567" s="15"/>
      <c r="S567" s="3" t="s">
        <v>77</v>
      </c>
      <c r="T567" s="3"/>
      <c r="U567" s="3"/>
      <c r="V567" s="3">
        <v>215</v>
      </c>
      <c r="W567" s="3">
        <f t="shared" si="19"/>
        <v>215</v>
      </c>
      <c r="X567" s="3">
        <f>W567</f>
        <v>215</v>
      </c>
      <c r="Y567" s="3">
        <f>ROUNDDOWN(W567/HLOOKUP(D567,[2]Table!$C$3:$D$4,2,0)*8,2)</f>
        <v>3.82</v>
      </c>
      <c r="Z567" s="3">
        <v>2</v>
      </c>
      <c r="AA567" s="3" t="s">
        <v>110</v>
      </c>
      <c r="AB567" s="91">
        <v>43945</v>
      </c>
      <c r="AC567" s="6">
        <v>43941</v>
      </c>
      <c r="AD567" s="6">
        <v>43945</v>
      </c>
      <c r="AE567" s="6">
        <v>43944</v>
      </c>
      <c r="AF567" s="6">
        <v>43944</v>
      </c>
      <c r="AG567" s="12" t="s">
        <v>75</v>
      </c>
      <c r="AH567" s="8">
        <v>1</v>
      </c>
      <c r="AI567" s="8">
        <v>1</v>
      </c>
      <c r="AJ567" s="8">
        <v>1</v>
      </c>
      <c r="AK567" s="12" t="s">
        <v>8</v>
      </c>
      <c r="AL567" s="3"/>
      <c r="AM567" s="3"/>
      <c r="AN567" s="3"/>
      <c r="AW567" s="143"/>
    </row>
    <row r="568" spans="2:49" ht="15">
      <c r="B568" s="69">
        <f t="shared" si="20"/>
        <v>340</v>
      </c>
      <c r="C568" s="11">
        <v>20200417</v>
      </c>
      <c r="D568" s="3" t="s">
        <v>24</v>
      </c>
      <c r="E568" s="3" t="s">
        <v>317</v>
      </c>
      <c r="F568" s="39" t="s">
        <v>1208</v>
      </c>
      <c r="G568" s="5">
        <v>1423829</v>
      </c>
      <c r="H568" s="15" t="s">
        <v>72</v>
      </c>
      <c r="I568" s="3" t="s">
        <v>803</v>
      </c>
      <c r="J568" s="15" t="s">
        <v>72</v>
      </c>
      <c r="K568" s="3" t="s">
        <v>73</v>
      </c>
      <c r="L568" s="3" t="s">
        <v>8</v>
      </c>
      <c r="M568" s="3" t="s">
        <v>1195</v>
      </c>
      <c r="N568" s="3" t="s">
        <v>1202</v>
      </c>
      <c r="O568" s="5" t="s">
        <v>72</v>
      </c>
      <c r="P568" s="5" t="s">
        <v>1011</v>
      </c>
      <c r="Q568" s="55"/>
      <c r="R568" s="15"/>
      <c r="S568" s="3" t="s">
        <v>74</v>
      </c>
      <c r="T568" s="3"/>
      <c r="U568" s="3"/>
      <c r="V568" s="3">
        <v>1703</v>
      </c>
      <c r="W568" s="3">
        <f t="shared" si="19"/>
        <v>1703</v>
      </c>
      <c r="X568" s="3">
        <f>W568</f>
        <v>1703</v>
      </c>
      <c r="Y568" s="3">
        <f>ROUNDDOWN(W568/HLOOKUP(D568,[2]Table!$C$3:$D$4,2,0)*8,2)</f>
        <v>30.27</v>
      </c>
      <c r="Z568" s="3">
        <v>3</v>
      </c>
      <c r="AA568" s="3" t="s">
        <v>110</v>
      </c>
      <c r="AB568" s="91">
        <v>43945</v>
      </c>
      <c r="AC568" s="6">
        <v>43941</v>
      </c>
      <c r="AD568" s="6">
        <v>43945</v>
      </c>
      <c r="AE568" s="6">
        <v>43944</v>
      </c>
      <c r="AF568" s="6">
        <v>43944</v>
      </c>
      <c r="AG568" s="12" t="s">
        <v>75</v>
      </c>
      <c r="AH568" s="8">
        <v>1</v>
      </c>
      <c r="AI568" s="8">
        <v>1</v>
      </c>
      <c r="AJ568" s="8">
        <v>1</v>
      </c>
      <c r="AK568" s="12" t="s">
        <v>8</v>
      </c>
      <c r="AL568" s="3"/>
      <c r="AM568" s="3"/>
      <c r="AN568" s="3"/>
      <c r="AW568" s="143"/>
    </row>
    <row r="569" spans="2:49" ht="15">
      <c r="B569" s="69">
        <f t="shared" si="20"/>
        <v>341</v>
      </c>
      <c r="C569" s="11">
        <v>20200417</v>
      </c>
      <c r="D569" s="3" t="s">
        <v>24</v>
      </c>
      <c r="E569" s="3" t="s">
        <v>1209</v>
      </c>
      <c r="F569" s="39" t="s">
        <v>1210</v>
      </c>
      <c r="G569" s="5">
        <v>1423560</v>
      </c>
      <c r="H569" s="15" t="s">
        <v>72</v>
      </c>
      <c r="I569" s="3" t="s">
        <v>1211</v>
      </c>
      <c r="J569" s="15" t="s">
        <v>72</v>
      </c>
      <c r="K569" s="3" t="s">
        <v>73</v>
      </c>
      <c r="L569" s="3">
        <v>99186</v>
      </c>
      <c r="M569" s="3" t="s">
        <v>1212</v>
      </c>
      <c r="N569" s="3" t="s">
        <v>1213</v>
      </c>
      <c r="O569" s="5" t="s">
        <v>72</v>
      </c>
      <c r="P569" s="5" t="s">
        <v>1214</v>
      </c>
      <c r="Q569" s="55"/>
      <c r="R569" s="15"/>
      <c r="S569" s="3" t="s">
        <v>903</v>
      </c>
      <c r="T569" s="3"/>
      <c r="U569" s="3"/>
      <c r="V569" s="3">
        <v>168</v>
      </c>
      <c r="W569" s="3">
        <f t="shared" si="19"/>
        <v>168</v>
      </c>
      <c r="X569" s="3">
        <v>168</v>
      </c>
      <c r="Y569" s="3">
        <f>ROUNDDOWN(W569/HLOOKUP(D569,[2]Table!$C$3:$D$4,2,0)*8,2)</f>
        <v>2.98</v>
      </c>
      <c r="Z569" s="3">
        <v>1</v>
      </c>
      <c r="AA569" s="3" t="s">
        <v>110</v>
      </c>
      <c r="AB569" s="51">
        <v>43942</v>
      </c>
      <c r="AC569" s="6">
        <v>43941</v>
      </c>
      <c r="AD569" s="6">
        <v>43942</v>
      </c>
      <c r="AE569" s="6">
        <v>43941</v>
      </c>
      <c r="AF569" s="6">
        <v>43941</v>
      </c>
      <c r="AG569" s="12" t="s">
        <v>75</v>
      </c>
      <c r="AH569" s="8">
        <v>1</v>
      </c>
      <c r="AI569" s="8">
        <v>1</v>
      </c>
      <c r="AJ569" s="8">
        <v>1</v>
      </c>
      <c r="AK569" s="12" t="s">
        <v>8</v>
      </c>
      <c r="AL569" s="3"/>
      <c r="AM569" s="3"/>
      <c r="AN569" s="3"/>
      <c r="AW569" s="143"/>
    </row>
    <row r="570" spans="2:49" ht="15">
      <c r="B570" s="69">
        <f t="shared" si="20"/>
        <v>342</v>
      </c>
      <c r="C570" s="11">
        <v>20200417</v>
      </c>
      <c r="D570" s="3" t="s">
        <v>24</v>
      </c>
      <c r="E570" s="3" t="s">
        <v>1215</v>
      </c>
      <c r="F570" s="1" t="s">
        <v>1216</v>
      </c>
      <c r="G570" s="5">
        <v>1424417</v>
      </c>
      <c r="H570" s="15" t="s">
        <v>72</v>
      </c>
      <c r="I570" s="93" t="s">
        <v>558</v>
      </c>
      <c r="J570" s="15" t="s">
        <v>72</v>
      </c>
      <c r="K570" s="3" t="s">
        <v>73</v>
      </c>
      <c r="L570" s="3">
        <v>81260</v>
      </c>
      <c r="M570" s="3" t="s">
        <v>1217</v>
      </c>
      <c r="N570" s="3" t="s">
        <v>1218</v>
      </c>
      <c r="O570" s="5" t="s">
        <v>72</v>
      </c>
      <c r="P570" s="5" t="s">
        <v>1219</v>
      </c>
      <c r="Q570" s="55"/>
      <c r="R570" s="15"/>
      <c r="S570" s="3" t="s">
        <v>77</v>
      </c>
      <c r="T570" s="3"/>
      <c r="U570" s="3"/>
      <c r="V570" s="3">
        <v>145</v>
      </c>
      <c r="W570" s="3">
        <f t="shared" si="19"/>
        <v>145</v>
      </c>
      <c r="X570" s="3">
        <v>145</v>
      </c>
      <c r="Y570" s="3">
        <f>ROUNDDOWN(W570/HLOOKUP(D570,[2]Table!$C$3:$D$4,2,0)*8,2)</f>
        <v>2.57</v>
      </c>
      <c r="Z570" s="3">
        <v>2</v>
      </c>
      <c r="AA570" s="3" t="s">
        <v>110</v>
      </c>
      <c r="AB570" s="6">
        <v>43949</v>
      </c>
      <c r="AC570" s="6">
        <v>43941</v>
      </c>
      <c r="AD570" s="6">
        <v>43949</v>
      </c>
      <c r="AE570" s="6">
        <v>43945</v>
      </c>
      <c r="AF570" s="6">
        <v>43945</v>
      </c>
      <c r="AG570" s="12" t="s">
        <v>75</v>
      </c>
      <c r="AH570" s="8">
        <v>1</v>
      </c>
      <c r="AI570" s="8">
        <v>1</v>
      </c>
      <c r="AJ570" s="8">
        <v>1</v>
      </c>
      <c r="AK570" s="12" t="s">
        <v>8</v>
      </c>
      <c r="AL570" s="3"/>
      <c r="AM570" s="3"/>
      <c r="AN570" s="3"/>
      <c r="AW570" s="143"/>
    </row>
    <row r="571" spans="2:49" ht="15">
      <c r="B571" s="69">
        <f t="shared" si="20"/>
        <v>343</v>
      </c>
      <c r="C571" s="11">
        <v>20200417</v>
      </c>
      <c r="D571" s="3" t="s">
        <v>24</v>
      </c>
      <c r="E571" s="3" t="s">
        <v>1215</v>
      </c>
      <c r="F571" s="1" t="s">
        <v>1220</v>
      </c>
      <c r="G571" s="5">
        <v>1424417</v>
      </c>
      <c r="H571" s="15" t="s">
        <v>72</v>
      </c>
      <c r="I571" s="93" t="s">
        <v>664</v>
      </c>
      <c r="J571" s="15" t="s">
        <v>72</v>
      </c>
      <c r="K571" s="3" t="s">
        <v>73</v>
      </c>
      <c r="L571" s="3">
        <v>81260</v>
      </c>
      <c r="M571" s="3" t="s">
        <v>1217</v>
      </c>
      <c r="N571" s="3" t="s">
        <v>1218</v>
      </c>
      <c r="O571" s="5" t="s">
        <v>72</v>
      </c>
      <c r="P571" s="5" t="s">
        <v>1219</v>
      </c>
      <c r="Q571" s="55"/>
      <c r="R571" s="15"/>
      <c r="S571" s="3" t="s">
        <v>77</v>
      </c>
      <c r="T571" s="3"/>
      <c r="U571" s="3"/>
      <c r="V571" s="3">
        <v>89</v>
      </c>
      <c r="W571" s="3">
        <f t="shared" si="19"/>
        <v>89</v>
      </c>
      <c r="X571" s="3">
        <f t="shared" si="19"/>
        <v>89</v>
      </c>
      <c r="Y571" s="3">
        <f>ROUNDDOWN(W571/HLOOKUP(D571,[2]Table!$C$3:$D$4,2,0)*8,2)</f>
        <v>1.58</v>
      </c>
      <c r="Z571" s="3">
        <v>1</v>
      </c>
      <c r="AA571" s="3" t="s">
        <v>110</v>
      </c>
      <c r="AB571" s="6">
        <v>43949</v>
      </c>
      <c r="AC571" s="6">
        <v>43941</v>
      </c>
      <c r="AD571" s="6">
        <v>43949</v>
      </c>
      <c r="AE571" s="6">
        <v>43945</v>
      </c>
      <c r="AF571" s="6">
        <v>43945</v>
      </c>
      <c r="AG571" s="12" t="s">
        <v>75</v>
      </c>
      <c r="AH571" s="8">
        <v>1</v>
      </c>
      <c r="AI571" s="8">
        <v>1</v>
      </c>
      <c r="AJ571" s="8">
        <v>1</v>
      </c>
      <c r="AK571" s="12" t="s">
        <v>8</v>
      </c>
      <c r="AL571" s="3"/>
      <c r="AM571" s="3"/>
      <c r="AN571" s="3"/>
      <c r="AW571" s="143"/>
    </row>
    <row r="572" spans="2:49" ht="15">
      <c r="B572" s="69">
        <f t="shared" si="20"/>
        <v>344</v>
      </c>
      <c r="C572" s="11">
        <v>20200417</v>
      </c>
      <c r="D572" s="3" t="s">
        <v>24</v>
      </c>
      <c r="E572" s="3" t="s">
        <v>1215</v>
      </c>
      <c r="F572" s="1" t="s">
        <v>1221</v>
      </c>
      <c r="G572" s="5">
        <v>1424417</v>
      </c>
      <c r="H572" s="15" t="s">
        <v>72</v>
      </c>
      <c r="I572" s="93" t="s">
        <v>1222</v>
      </c>
      <c r="J572" s="15" t="s">
        <v>72</v>
      </c>
      <c r="K572" s="3" t="s">
        <v>73</v>
      </c>
      <c r="L572" s="3">
        <v>81260</v>
      </c>
      <c r="M572" s="3" t="s">
        <v>1217</v>
      </c>
      <c r="N572" s="3" t="s">
        <v>1218</v>
      </c>
      <c r="O572" s="5" t="s">
        <v>72</v>
      </c>
      <c r="P572" s="5" t="s">
        <v>1219</v>
      </c>
      <c r="Q572" s="55"/>
      <c r="R572" s="15"/>
      <c r="S572" s="3" t="s">
        <v>77</v>
      </c>
      <c r="T572" s="3"/>
      <c r="U572" s="3"/>
      <c r="V572" s="3">
        <v>186</v>
      </c>
      <c r="W572" s="3">
        <f t="shared" si="19"/>
        <v>186</v>
      </c>
      <c r="X572" s="3">
        <f t="shared" si="19"/>
        <v>186</v>
      </c>
      <c r="Y572" s="3">
        <f>ROUNDDOWN(W572/HLOOKUP(D572,[2]Table!$C$3:$D$4,2,0)*8,2)</f>
        <v>3.3</v>
      </c>
      <c r="Z572" s="3">
        <v>2</v>
      </c>
      <c r="AA572" s="3" t="s">
        <v>110</v>
      </c>
      <c r="AB572" s="6">
        <v>43949</v>
      </c>
      <c r="AC572" s="6">
        <v>43941</v>
      </c>
      <c r="AD572" s="6">
        <v>43949</v>
      </c>
      <c r="AE572" s="6">
        <v>43945</v>
      </c>
      <c r="AF572" s="6">
        <v>43945</v>
      </c>
      <c r="AG572" s="12" t="s">
        <v>75</v>
      </c>
      <c r="AH572" s="8">
        <v>1</v>
      </c>
      <c r="AI572" s="8">
        <v>1</v>
      </c>
      <c r="AJ572" s="8">
        <v>1</v>
      </c>
      <c r="AK572" s="12" t="s">
        <v>8</v>
      </c>
      <c r="AL572" s="3"/>
      <c r="AM572" s="3"/>
      <c r="AN572" s="3"/>
      <c r="AW572" s="143"/>
    </row>
    <row r="573" spans="2:49" ht="15">
      <c r="B573" s="69">
        <f t="shared" si="20"/>
        <v>345</v>
      </c>
      <c r="C573" s="11">
        <v>20200417</v>
      </c>
      <c r="D573" s="3" t="s">
        <v>24</v>
      </c>
      <c r="E573" s="3" t="s">
        <v>1215</v>
      </c>
      <c r="F573" s="1" t="s">
        <v>1223</v>
      </c>
      <c r="G573" s="5">
        <v>1424417</v>
      </c>
      <c r="H573" s="15" t="s">
        <v>72</v>
      </c>
      <c r="I573" s="93" t="s">
        <v>1224</v>
      </c>
      <c r="J573" s="15" t="s">
        <v>72</v>
      </c>
      <c r="K573" s="3" t="s">
        <v>73</v>
      </c>
      <c r="L573" s="3">
        <v>81260</v>
      </c>
      <c r="M573" s="3" t="s">
        <v>1217</v>
      </c>
      <c r="N573" s="3" t="s">
        <v>1218</v>
      </c>
      <c r="O573" s="5" t="s">
        <v>72</v>
      </c>
      <c r="P573" s="5" t="s">
        <v>1219</v>
      </c>
      <c r="Q573" s="55"/>
      <c r="R573" s="15"/>
      <c r="S573" s="3" t="s">
        <v>77</v>
      </c>
      <c r="T573" s="3"/>
      <c r="U573" s="3"/>
      <c r="V573" s="3">
        <v>18</v>
      </c>
      <c r="W573" s="3">
        <f t="shared" si="19"/>
        <v>18</v>
      </c>
      <c r="X573" s="3">
        <f t="shared" si="19"/>
        <v>18</v>
      </c>
      <c r="Y573" s="3">
        <f>ROUNDDOWN(W573/HLOOKUP(D573,[2]Table!$C$3:$D$4,2,0)*8,2)</f>
        <v>0.32</v>
      </c>
      <c r="Z573" s="3">
        <v>0.12</v>
      </c>
      <c r="AA573" s="3" t="s">
        <v>110</v>
      </c>
      <c r="AB573" s="6">
        <v>43949</v>
      </c>
      <c r="AC573" s="6">
        <v>43941</v>
      </c>
      <c r="AD573" s="6">
        <v>43949</v>
      </c>
      <c r="AE573" s="6">
        <v>43948</v>
      </c>
      <c r="AF573" s="6">
        <v>43948</v>
      </c>
      <c r="AG573" s="12" t="s">
        <v>75</v>
      </c>
      <c r="AH573" s="8">
        <v>1</v>
      </c>
      <c r="AI573" s="8">
        <v>1</v>
      </c>
      <c r="AJ573" s="8">
        <v>1</v>
      </c>
      <c r="AK573" s="12" t="s">
        <v>8</v>
      </c>
      <c r="AL573" s="3"/>
      <c r="AM573" s="3"/>
      <c r="AN573" s="3"/>
      <c r="AW573" s="143"/>
    </row>
    <row r="574" spans="2:49" ht="15">
      <c r="B574" s="69">
        <f t="shared" si="20"/>
        <v>346</v>
      </c>
      <c r="C574" s="11">
        <v>20200417</v>
      </c>
      <c r="D574" s="3" t="s">
        <v>24</v>
      </c>
      <c r="E574" s="3" t="s">
        <v>1215</v>
      </c>
      <c r="F574" s="1" t="s">
        <v>1225</v>
      </c>
      <c r="G574" s="5">
        <v>1424417</v>
      </c>
      <c r="H574" s="15" t="s">
        <v>72</v>
      </c>
      <c r="I574" s="93" t="s">
        <v>564</v>
      </c>
      <c r="J574" s="15" t="s">
        <v>72</v>
      </c>
      <c r="K574" s="3" t="s">
        <v>73</v>
      </c>
      <c r="L574" s="3">
        <v>81260</v>
      </c>
      <c r="M574" s="3" t="s">
        <v>1217</v>
      </c>
      <c r="N574" s="3" t="s">
        <v>1218</v>
      </c>
      <c r="O574" s="5" t="s">
        <v>72</v>
      </c>
      <c r="P574" s="5" t="s">
        <v>1219</v>
      </c>
      <c r="Q574" s="55"/>
      <c r="R574" s="15"/>
      <c r="S574" s="3" t="s">
        <v>77</v>
      </c>
      <c r="T574" s="3"/>
      <c r="U574" s="3"/>
      <c r="V574" s="3">
        <v>124</v>
      </c>
      <c r="W574" s="3">
        <f t="shared" si="19"/>
        <v>124</v>
      </c>
      <c r="X574" s="3">
        <f t="shared" si="19"/>
        <v>124</v>
      </c>
      <c r="Y574" s="3">
        <f>ROUNDDOWN(W574/HLOOKUP(D574,[2]Table!$C$3:$D$4,2,0)*8,2)</f>
        <v>2.2000000000000002</v>
      </c>
      <c r="Z574" s="3">
        <v>1</v>
      </c>
      <c r="AA574" s="3" t="s">
        <v>110</v>
      </c>
      <c r="AB574" s="6">
        <v>43949</v>
      </c>
      <c r="AC574" s="6">
        <v>43941</v>
      </c>
      <c r="AD574" s="6">
        <v>43949</v>
      </c>
      <c r="AE574" s="6">
        <v>43948</v>
      </c>
      <c r="AF574" s="6">
        <v>43948</v>
      </c>
      <c r="AG574" s="12" t="s">
        <v>79</v>
      </c>
      <c r="AH574" s="8">
        <v>1</v>
      </c>
      <c r="AI574" s="8">
        <v>1</v>
      </c>
      <c r="AJ574" s="8">
        <v>0.5</v>
      </c>
      <c r="AK574" s="12" t="s">
        <v>76</v>
      </c>
      <c r="AL574" s="50" t="s">
        <v>1226</v>
      </c>
      <c r="AM574" s="3"/>
      <c r="AN574" s="3" t="s">
        <v>895</v>
      </c>
      <c r="AW574" s="143"/>
    </row>
    <row r="575" spans="2:49" ht="15">
      <c r="B575" s="69">
        <f t="shared" si="20"/>
        <v>347</v>
      </c>
      <c r="C575" s="11">
        <v>20200417</v>
      </c>
      <c r="D575" s="3" t="s">
        <v>24</v>
      </c>
      <c r="E575" s="3" t="s">
        <v>1215</v>
      </c>
      <c r="F575" s="1" t="s">
        <v>1227</v>
      </c>
      <c r="G575" s="5">
        <v>1424417</v>
      </c>
      <c r="H575" s="15" t="s">
        <v>72</v>
      </c>
      <c r="I575" s="93" t="s">
        <v>566</v>
      </c>
      <c r="J575" s="15" t="s">
        <v>72</v>
      </c>
      <c r="K575" s="3" t="s">
        <v>73</v>
      </c>
      <c r="L575" s="3">
        <v>81260</v>
      </c>
      <c r="M575" s="3" t="s">
        <v>1217</v>
      </c>
      <c r="N575" s="3" t="s">
        <v>1218</v>
      </c>
      <c r="O575" s="5" t="s">
        <v>72</v>
      </c>
      <c r="P575" s="5" t="s">
        <v>1219</v>
      </c>
      <c r="Q575" s="55"/>
      <c r="R575" s="15"/>
      <c r="S575" s="3" t="s">
        <v>77</v>
      </c>
      <c r="T575" s="3"/>
      <c r="U575" s="3"/>
      <c r="V575" s="3">
        <v>154</v>
      </c>
      <c r="W575" s="3">
        <f t="shared" si="19"/>
        <v>154</v>
      </c>
      <c r="X575" s="3">
        <f t="shared" si="19"/>
        <v>154</v>
      </c>
      <c r="Y575" s="3">
        <f>ROUNDDOWN(W575/HLOOKUP(D575,[2]Table!$C$3:$D$4,2,0)*8,2)</f>
        <v>2.73</v>
      </c>
      <c r="Z575" s="3">
        <v>1</v>
      </c>
      <c r="AA575" s="3" t="s">
        <v>110</v>
      </c>
      <c r="AB575" s="6">
        <v>43949</v>
      </c>
      <c r="AC575" s="6">
        <v>43941</v>
      </c>
      <c r="AD575" s="6">
        <v>43949</v>
      </c>
      <c r="AE575" s="6">
        <v>43948</v>
      </c>
      <c r="AF575" s="6">
        <v>43948</v>
      </c>
      <c r="AG575" s="12" t="s">
        <v>79</v>
      </c>
      <c r="AH575" s="8">
        <v>0.93</v>
      </c>
      <c r="AI575" s="8">
        <v>0.8</v>
      </c>
      <c r="AJ575" s="8">
        <v>1</v>
      </c>
      <c r="AK575" s="12" t="s">
        <v>76</v>
      </c>
      <c r="AL575" s="112" t="s">
        <v>1228</v>
      </c>
      <c r="AM575" s="3"/>
      <c r="AN575" s="3" t="s">
        <v>895</v>
      </c>
      <c r="AW575" s="143"/>
    </row>
    <row r="576" spans="2:49" ht="15">
      <c r="B576" s="69">
        <f t="shared" si="20"/>
        <v>348</v>
      </c>
      <c r="C576" s="11">
        <v>20200417</v>
      </c>
      <c r="D576" s="3" t="s">
        <v>24</v>
      </c>
      <c r="E576" s="3" t="s">
        <v>1215</v>
      </c>
      <c r="F576" s="1" t="s">
        <v>1229</v>
      </c>
      <c r="G576" s="5">
        <v>1424417</v>
      </c>
      <c r="H576" s="15" t="s">
        <v>72</v>
      </c>
      <c r="I576" s="93" t="s">
        <v>45</v>
      </c>
      <c r="J576" s="15" t="s">
        <v>72</v>
      </c>
      <c r="K576" s="3" t="s">
        <v>73</v>
      </c>
      <c r="L576" s="3">
        <v>81260</v>
      </c>
      <c r="M576" s="3" t="s">
        <v>1217</v>
      </c>
      <c r="N576" s="3" t="s">
        <v>1218</v>
      </c>
      <c r="O576" s="5" t="s">
        <v>72</v>
      </c>
      <c r="P576" s="5" t="s">
        <v>1219</v>
      </c>
      <c r="Q576" s="55"/>
      <c r="R576" s="15"/>
      <c r="S576" s="3" t="s">
        <v>77</v>
      </c>
      <c r="T576" s="3"/>
      <c r="U576" s="3"/>
      <c r="V576" s="3">
        <v>135</v>
      </c>
      <c r="W576" s="3">
        <f t="shared" si="19"/>
        <v>135</v>
      </c>
      <c r="X576" s="3">
        <f t="shared" si="19"/>
        <v>135</v>
      </c>
      <c r="Y576" s="3">
        <f>ROUNDDOWN(W576/HLOOKUP(D576,[2]Table!$C$3:$D$4,2,0)*8,2)</f>
        <v>2.4</v>
      </c>
      <c r="Z576" s="3">
        <v>1</v>
      </c>
      <c r="AA576" s="3" t="s">
        <v>110</v>
      </c>
      <c r="AB576" s="6">
        <v>43949</v>
      </c>
      <c r="AC576" s="6">
        <v>43941</v>
      </c>
      <c r="AD576" s="6">
        <v>43949</v>
      </c>
      <c r="AE576" s="6">
        <v>43948</v>
      </c>
      <c r="AF576" s="6">
        <v>43948</v>
      </c>
      <c r="AG576" s="12" t="s">
        <v>75</v>
      </c>
      <c r="AH576" s="8">
        <v>1</v>
      </c>
      <c r="AI576" s="8">
        <v>1</v>
      </c>
      <c r="AJ576" s="8">
        <v>1</v>
      </c>
      <c r="AK576" s="12" t="s">
        <v>8</v>
      </c>
      <c r="AL576" s="3"/>
      <c r="AM576" s="3"/>
      <c r="AN576" s="3"/>
      <c r="AW576" s="143"/>
    </row>
    <row r="577" spans="2:49" ht="15">
      <c r="B577" s="69">
        <f t="shared" si="20"/>
        <v>349</v>
      </c>
      <c r="C577" s="11">
        <v>20200417</v>
      </c>
      <c r="D577" s="3" t="s">
        <v>24</v>
      </c>
      <c r="E577" s="3" t="s">
        <v>1215</v>
      </c>
      <c r="F577" s="1" t="s">
        <v>1230</v>
      </c>
      <c r="G577" s="5">
        <v>1424417</v>
      </c>
      <c r="H577" s="15" t="s">
        <v>72</v>
      </c>
      <c r="I577" s="93" t="s">
        <v>47</v>
      </c>
      <c r="J577" s="15" t="s">
        <v>72</v>
      </c>
      <c r="K577" s="3" t="s">
        <v>73</v>
      </c>
      <c r="L577" s="3">
        <v>81260</v>
      </c>
      <c r="M577" s="3" t="s">
        <v>1217</v>
      </c>
      <c r="N577" s="3" t="s">
        <v>1218</v>
      </c>
      <c r="O577" s="5" t="s">
        <v>72</v>
      </c>
      <c r="P577" s="5" t="s">
        <v>1219</v>
      </c>
      <c r="Q577" s="55"/>
      <c r="R577" s="15"/>
      <c r="S577" s="3" t="s">
        <v>903</v>
      </c>
      <c r="T577" s="3"/>
      <c r="U577" s="3"/>
      <c r="V577" s="3">
        <v>178</v>
      </c>
      <c r="W577" s="3">
        <f t="shared" si="19"/>
        <v>178</v>
      </c>
      <c r="X577" s="3">
        <v>178</v>
      </c>
      <c r="Y577" s="3">
        <f>ROUNDDOWN(W577/HLOOKUP(D577,[2]Table!$C$3:$D$4,2,0)*8,2)</f>
        <v>3.16</v>
      </c>
      <c r="Z577" s="3">
        <v>1</v>
      </c>
      <c r="AA577" s="3" t="s">
        <v>110</v>
      </c>
      <c r="AB577" s="6">
        <v>43949</v>
      </c>
      <c r="AC577" s="6">
        <v>43941</v>
      </c>
      <c r="AD577" s="6">
        <v>43949</v>
      </c>
      <c r="AE577" s="6">
        <v>43943</v>
      </c>
      <c r="AF577" s="6">
        <v>43943</v>
      </c>
      <c r="AG577" s="12" t="s">
        <v>75</v>
      </c>
      <c r="AH577" s="83" t="s">
        <v>72</v>
      </c>
      <c r="AI577" s="83" t="s">
        <v>72</v>
      </c>
      <c r="AJ577" s="83" t="s">
        <v>72</v>
      </c>
      <c r="AK577" s="12" t="s">
        <v>8</v>
      </c>
      <c r="AL577" s="3"/>
      <c r="AM577" s="3"/>
      <c r="AN577" s="3" t="s">
        <v>574</v>
      </c>
      <c r="AW577" s="143"/>
    </row>
    <row r="578" spans="2:49" ht="15">
      <c r="B578" s="69">
        <f t="shared" si="20"/>
        <v>350</v>
      </c>
      <c r="C578" s="11">
        <v>20200417</v>
      </c>
      <c r="D578" s="3" t="s">
        <v>24</v>
      </c>
      <c r="E578" s="3" t="s">
        <v>1215</v>
      </c>
      <c r="F578" s="1" t="s">
        <v>1231</v>
      </c>
      <c r="G578" s="5">
        <v>1424417</v>
      </c>
      <c r="H578" s="15" t="s">
        <v>72</v>
      </c>
      <c r="I578" s="93" t="s">
        <v>576</v>
      </c>
      <c r="J578" s="15" t="s">
        <v>72</v>
      </c>
      <c r="K578" s="3" t="s">
        <v>73</v>
      </c>
      <c r="L578" s="3">
        <v>81260</v>
      </c>
      <c r="M578" s="3" t="s">
        <v>1217</v>
      </c>
      <c r="N578" s="3" t="s">
        <v>1218</v>
      </c>
      <c r="O578" s="5" t="s">
        <v>72</v>
      </c>
      <c r="P578" s="5" t="s">
        <v>1219</v>
      </c>
      <c r="Q578" s="55"/>
      <c r="R578" s="15"/>
      <c r="S578" s="3" t="s">
        <v>903</v>
      </c>
      <c r="T578" s="3"/>
      <c r="U578" s="3"/>
      <c r="V578" s="3">
        <v>71</v>
      </c>
      <c r="W578" s="3">
        <f t="shared" si="19"/>
        <v>71</v>
      </c>
      <c r="X578" s="3">
        <v>71</v>
      </c>
      <c r="Y578" s="3">
        <f>ROUNDDOWN(W578/HLOOKUP(D578,[2]Table!$C$3:$D$4,2,0)*8,2)</f>
        <v>1.26</v>
      </c>
      <c r="Z578" s="3">
        <v>1</v>
      </c>
      <c r="AA578" s="3" t="s">
        <v>110</v>
      </c>
      <c r="AB578" s="6">
        <v>43949</v>
      </c>
      <c r="AC578" s="6">
        <v>43941</v>
      </c>
      <c r="AD578" s="6">
        <v>43949</v>
      </c>
      <c r="AE578" s="6">
        <v>43943</v>
      </c>
      <c r="AF578" s="6">
        <v>43943</v>
      </c>
      <c r="AG578" s="12" t="s">
        <v>75</v>
      </c>
      <c r="AH578" s="8">
        <v>1</v>
      </c>
      <c r="AI578" s="8">
        <v>1</v>
      </c>
      <c r="AJ578" s="8">
        <v>1</v>
      </c>
      <c r="AK578" s="12" t="s">
        <v>8</v>
      </c>
      <c r="AL578" s="3"/>
      <c r="AM578" s="3"/>
      <c r="AN578" s="3"/>
      <c r="AW578" s="143"/>
    </row>
    <row r="579" spans="2:49" ht="15">
      <c r="B579" s="69">
        <f t="shared" si="20"/>
        <v>351</v>
      </c>
      <c r="C579" s="11">
        <v>20200417</v>
      </c>
      <c r="D579" s="3" t="s">
        <v>24</v>
      </c>
      <c r="E579" s="3" t="s">
        <v>1215</v>
      </c>
      <c r="F579" s="1" t="s">
        <v>1232</v>
      </c>
      <c r="G579" s="5">
        <v>1424417</v>
      </c>
      <c r="H579" s="15" t="s">
        <v>72</v>
      </c>
      <c r="I579" s="93" t="s">
        <v>669</v>
      </c>
      <c r="J579" s="15" t="s">
        <v>72</v>
      </c>
      <c r="K579" s="3" t="s">
        <v>73</v>
      </c>
      <c r="L579" s="3">
        <v>81260</v>
      </c>
      <c r="M579" s="3" t="s">
        <v>1217</v>
      </c>
      <c r="N579" s="3" t="s">
        <v>1218</v>
      </c>
      <c r="O579" s="5" t="s">
        <v>72</v>
      </c>
      <c r="P579" s="5" t="s">
        <v>1219</v>
      </c>
      <c r="Q579" s="55"/>
      <c r="R579" s="15"/>
      <c r="S579" s="3" t="s">
        <v>903</v>
      </c>
      <c r="T579" s="3"/>
      <c r="U579" s="3"/>
      <c r="V579" s="3">
        <v>326</v>
      </c>
      <c r="W579" s="3">
        <f t="shared" si="19"/>
        <v>326</v>
      </c>
      <c r="X579" s="3">
        <v>326</v>
      </c>
      <c r="Y579" s="3">
        <f>ROUNDDOWN(W579/HLOOKUP(D579,[2]Table!$C$3:$D$4,2,0)*8,2)</f>
        <v>5.79</v>
      </c>
      <c r="Z579" s="3">
        <v>1</v>
      </c>
      <c r="AA579" s="3" t="s">
        <v>110</v>
      </c>
      <c r="AB579" s="6">
        <v>43949</v>
      </c>
      <c r="AC579" s="6">
        <v>43941</v>
      </c>
      <c r="AD579" s="6">
        <v>43949</v>
      </c>
      <c r="AE579" s="6">
        <v>43943</v>
      </c>
      <c r="AF579" s="6">
        <v>43943</v>
      </c>
      <c r="AG579" s="12" t="s">
        <v>75</v>
      </c>
      <c r="AH579" s="8">
        <v>1</v>
      </c>
      <c r="AI579" s="8">
        <v>1</v>
      </c>
      <c r="AJ579" s="8">
        <v>1</v>
      </c>
      <c r="AK579" s="12" t="s">
        <v>8</v>
      </c>
      <c r="AL579" s="3"/>
      <c r="AM579" s="3"/>
      <c r="AN579" s="3"/>
      <c r="AW579" s="143"/>
    </row>
    <row r="580" spans="2:49" ht="15">
      <c r="B580" s="69">
        <f t="shared" si="20"/>
        <v>352</v>
      </c>
      <c r="C580" s="11">
        <v>20200417</v>
      </c>
      <c r="D580" s="3" t="s">
        <v>24</v>
      </c>
      <c r="E580" s="3" t="s">
        <v>1215</v>
      </c>
      <c r="F580" s="1" t="s">
        <v>1233</v>
      </c>
      <c r="G580" s="5">
        <v>1424417</v>
      </c>
      <c r="H580" s="15" t="s">
        <v>72</v>
      </c>
      <c r="I580" s="93" t="s">
        <v>671</v>
      </c>
      <c r="J580" s="15" t="s">
        <v>72</v>
      </c>
      <c r="K580" s="3" t="s">
        <v>73</v>
      </c>
      <c r="L580" s="3">
        <v>81260</v>
      </c>
      <c r="M580" s="3" t="s">
        <v>1217</v>
      </c>
      <c r="N580" s="3" t="s">
        <v>1218</v>
      </c>
      <c r="O580" s="5" t="s">
        <v>72</v>
      </c>
      <c r="P580" s="5" t="s">
        <v>1219</v>
      </c>
      <c r="Q580" s="55"/>
      <c r="R580" s="15"/>
      <c r="S580" s="3" t="s">
        <v>903</v>
      </c>
      <c r="T580" s="3"/>
      <c r="U580" s="3"/>
      <c r="V580" s="3">
        <v>112</v>
      </c>
      <c r="W580" s="3">
        <f t="shared" si="19"/>
        <v>112</v>
      </c>
      <c r="X580" s="3">
        <v>112</v>
      </c>
      <c r="Y580" s="3">
        <f>ROUNDDOWN(W580/HLOOKUP(D580,[2]Table!$C$3:$D$4,2,0)*8,2)</f>
        <v>1.99</v>
      </c>
      <c r="Z580" s="3">
        <v>1</v>
      </c>
      <c r="AA580" s="3" t="s">
        <v>110</v>
      </c>
      <c r="AB580" s="6">
        <v>43949</v>
      </c>
      <c r="AC580" s="6">
        <v>43941</v>
      </c>
      <c r="AD580" s="6">
        <v>43949</v>
      </c>
      <c r="AE580" s="6">
        <v>43943</v>
      </c>
      <c r="AF580" s="6">
        <v>43943</v>
      </c>
      <c r="AG580" s="12" t="s">
        <v>75</v>
      </c>
      <c r="AH580" s="8">
        <v>1</v>
      </c>
      <c r="AI580" s="8">
        <v>1</v>
      </c>
      <c r="AJ580" s="8">
        <v>1</v>
      </c>
      <c r="AK580" s="12" t="s">
        <v>8</v>
      </c>
      <c r="AL580" s="3"/>
      <c r="AM580" s="3"/>
      <c r="AN580" s="3"/>
      <c r="AW580" s="143"/>
    </row>
    <row r="581" spans="2:49" ht="15">
      <c r="B581" s="69">
        <f t="shared" si="20"/>
        <v>353</v>
      </c>
      <c r="C581" s="11">
        <v>20200417</v>
      </c>
      <c r="D581" s="3" t="s">
        <v>24</v>
      </c>
      <c r="E581" s="3" t="s">
        <v>1215</v>
      </c>
      <c r="F581" s="1" t="s">
        <v>1234</v>
      </c>
      <c r="G581" s="5">
        <v>1424417</v>
      </c>
      <c r="H581" s="15" t="s">
        <v>72</v>
      </c>
      <c r="I581" s="93" t="s">
        <v>1235</v>
      </c>
      <c r="J581" s="15" t="s">
        <v>72</v>
      </c>
      <c r="K581" s="3" t="s">
        <v>73</v>
      </c>
      <c r="L581" s="3">
        <v>81260</v>
      </c>
      <c r="M581" s="3" t="s">
        <v>1217</v>
      </c>
      <c r="N581" s="3" t="s">
        <v>1218</v>
      </c>
      <c r="O581" s="5" t="s">
        <v>72</v>
      </c>
      <c r="P581" s="5" t="s">
        <v>1219</v>
      </c>
      <c r="Q581" s="55"/>
      <c r="R581" s="15"/>
      <c r="S581" s="3" t="s">
        <v>903</v>
      </c>
      <c r="T581" s="3"/>
      <c r="U581" s="3"/>
      <c r="V581" s="3">
        <v>135</v>
      </c>
      <c r="W581" s="3">
        <f t="shared" si="19"/>
        <v>135</v>
      </c>
      <c r="X581" s="3">
        <v>135</v>
      </c>
      <c r="Y581" s="3">
        <f>ROUNDDOWN(W581/HLOOKUP(D581,[2]Table!$C$3:$D$4,2,0)*8,2)</f>
        <v>2.4</v>
      </c>
      <c r="Z581" s="3">
        <v>1</v>
      </c>
      <c r="AA581" s="3" t="s">
        <v>110</v>
      </c>
      <c r="AB581" s="6">
        <v>43949</v>
      </c>
      <c r="AC581" s="6">
        <v>43941</v>
      </c>
      <c r="AD581" s="6">
        <v>43949</v>
      </c>
      <c r="AE581" s="6">
        <v>43943</v>
      </c>
      <c r="AF581" s="6">
        <v>43943</v>
      </c>
      <c r="AG581" s="12" t="s">
        <v>79</v>
      </c>
      <c r="AH581" s="8">
        <v>1</v>
      </c>
      <c r="AI581" s="8">
        <v>0.9</v>
      </c>
      <c r="AJ581" s="8">
        <v>0.5</v>
      </c>
      <c r="AK581" s="12" t="s">
        <v>76</v>
      </c>
      <c r="AL581" s="3" t="s">
        <v>1236</v>
      </c>
      <c r="AM581" s="3"/>
      <c r="AN581" s="3" t="s">
        <v>895</v>
      </c>
      <c r="AW581" s="143"/>
    </row>
    <row r="582" spans="2:49" ht="15">
      <c r="B582" s="45">
        <f t="shared" si="20"/>
        <v>354</v>
      </c>
      <c r="C582" s="11">
        <v>20200420</v>
      </c>
      <c r="D582" s="3" t="s">
        <v>24</v>
      </c>
      <c r="E582" s="3" t="s">
        <v>1237</v>
      </c>
      <c r="F582" s="1" t="s">
        <v>1238</v>
      </c>
      <c r="G582" s="5">
        <v>1426302</v>
      </c>
      <c r="H582" s="15" t="s">
        <v>72</v>
      </c>
      <c r="I582" s="93" t="s">
        <v>128</v>
      </c>
      <c r="J582" s="15" t="s">
        <v>72</v>
      </c>
      <c r="K582" s="88" t="s">
        <v>106</v>
      </c>
      <c r="L582" s="3">
        <v>99180</v>
      </c>
      <c r="M582" s="3" t="s">
        <v>1239</v>
      </c>
      <c r="N582" s="3" t="s">
        <v>1240</v>
      </c>
      <c r="O582" s="5" t="s">
        <v>72</v>
      </c>
      <c r="P582" s="5" t="s">
        <v>1241</v>
      </c>
      <c r="Q582" s="55"/>
      <c r="R582" s="15"/>
      <c r="S582" s="3" t="s">
        <v>113</v>
      </c>
      <c r="T582" s="3"/>
      <c r="U582" s="3"/>
      <c r="V582" s="3">
        <v>260</v>
      </c>
      <c r="W582" s="3">
        <f t="shared" si="19"/>
        <v>260</v>
      </c>
      <c r="X582" s="3">
        <f>W582</f>
        <v>260</v>
      </c>
      <c r="Y582" s="3">
        <f>ROUNDDOWN(W582/HLOOKUP(D582,[2]Table!$C$3:$D$4,2,0)*8,2)</f>
        <v>4.62</v>
      </c>
      <c r="Z582" s="3">
        <v>2</v>
      </c>
      <c r="AA582" s="3" t="s">
        <v>110</v>
      </c>
      <c r="AB582" s="6">
        <v>43948</v>
      </c>
      <c r="AC582" s="6">
        <v>43941</v>
      </c>
      <c r="AD582" s="6">
        <v>43950</v>
      </c>
      <c r="AE582" s="6">
        <v>43948</v>
      </c>
      <c r="AF582" s="6">
        <v>43948</v>
      </c>
      <c r="AG582" s="12" t="s">
        <v>75</v>
      </c>
      <c r="AH582" s="8">
        <v>1</v>
      </c>
      <c r="AI582" s="8">
        <v>1</v>
      </c>
      <c r="AJ582" s="8">
        <v>1</v>
      </c>
      <c r="AK582" s="12" t="s">
        <v>8</v>
      </c>
      <c r="AL582" s="3"/>
      <c r="AM582" s="3"/>
      <c r="AN582" s="3"/>
      <c r="AW582" s="143"/>
    </row>
    <row r="583" spans="2:49" ht="15">
      <c r="B583" s="45">
        <f t="shared" si="20"/>
        <v>355</v>
      </c>
      <c r="C583" s="11">
        <v>20200420</v>
      </c>
      <c r="D583" s="3" t="s">
        <v>24</v>
      </c>
      <c r="E583" s="3" t="s">
        <v>1237</v>
      </c>
      <c r="F583" s="1" t="s">
        <v>1242</v>
      </c>
      <c r="G583" s="5">
        <v>1426302</v>
      </c>
      <c r="H583" s="15" t="s">
        <v>72</v>
      </c>
      <c r="I583" s="93" t="s">
        <v>1243</v>
      </c>
      <c r="J583" s="15" t="s">
        <v>72</v>
      </c>
      <c r="K583" s="88" t="s">
        <v>106</v>
      </c>
      <c r="L583" s="3">
        <v>99180</v>
      </c>
      <c r="M583" s="3" t="s">
        <v>1239</v>
      </c>
      <c r="N583" s="3" t="s">
        <v>1240</v>
      </c>
      <c r="O583" s="5" t="s">
        <v>72</v>
      </c>
      <c r="P583" s="5" t="s">
        <v>1241</v>
      </c>
      <c r="Q583" s="55"/>
      <c r="R583" s="15"/>
      <c r="S583" s="3" t="s">
        <v>113</v>
      </c>
      <c r="T583" s="3"/>
      <c r="U583" s="3"/>
      <c r="V583" s="3">
        <v>330</v>
      </c>
      <c r="W583" s="3">
        <f t="shared" si="19"/>
        <v>330</v>
      </c>
      <c r="X583" s="3">
        <f t="shared" si="19"/>
        <v>330</v>
      </c>
      <c r="Y583" s="3">
        <f>ROUNDDOWN(W583/HLOOKUP(D583,[2]Table!$C$3:$D$4,2,0)*8,2)</f>
        <v>5.86</v>
      </c>
      <c r="Z583" s="3">
        <v>1</v>
      </c>
      <c r="AA583" s="3" t="s">
        <v>110</v>
      </c>
      <c r="AB583" s="6">
        <v>43948</v>
      </c>
      <c r="AC583" s="6">
        <v>43941</v>
      </c>
      <c r="AD583" s="6">
        <v>43950</v>
      </c>
      <c r="AE583" s="6">
        <v>43948</v>
      </c>
      <c r="AF583" s="6">
        <v>43948</v>
      </c>
      <c r="AG583" s="12" t="s">
        <v>75</v>
      </c>
      <c r="AH583" s="8">
        <v>1</v>
      </c>
      <c r="AI583" s="8">
        <v>1</v>
      </c>
      <c r="AJ583" s="8">
        <v>1</v>
      </c>
      <c r="AK583" s="12" t="s">
        <v>8</v>
      </c>
      <c r="AL583" s="3"/>
      <c r="AM583" s="3"/>
      <c r="AN583" s="3"/>
      <c r="AW583" s="143"/>
    </row>
    <row r="584" spans="2:49" ht="15">
      <c r="B584" s="45">
        <f t="shared" si="20"/>
        <v>356</v>
      </c>
      <c r="C584" s="11">
        <v>20200420</v>
      </c>
      <c r="D584" s="3" t="s">
        <v>24</v>
      </c>
      <c r="E584" s="3" t="s">
        <v>18</v>
      </c>
      <c r="F584" s="1" t="s">
        <v>1244</v>
      </c>
      <c r="G584" s="5">
        <v>1425475</v>
      </c>
      <c r="H584" s="15" t="s">
        <v>72</v>
      </c>
      <c r="I584" s="93" t="s">
        <v>123</v>
      </c>
      <c r="J584" s="15" t="s">
        <v>72</v>
      </c>
      <c r="K584" s="88" t="s">
        <v>106</v>
      </c>
      <c r="L584" s="3" t="s">
        <v>1245</v>
      </c>
      <c r="M584" s="3" t="s">
        <v>19</v>
      </c>
      <c r="N584" s="3" t="s">
        <v>6</v>
      </c>
      <c r="O584" s="5" t="s">
        <v>72</v>
      </c>
      <c r="P584" s="5" t="s">
        <v>1246</v>
      </c>
      <c r="Q584" s="55"/>
      <c r="R584" s="15"/>
      <c r="S584" s="3" t="s">
        <v>113</v>
      </c>
      <c r="T584" s="3"/>
      <c r="U584" s="3"/>
      <c r="V584" s="3">
        <v>83</v>
      </c>
      <c r="W584" s="3">
        <f t="shared" si="19"/>
        <v>83</v>
      </c>
      <c r="X584" s="3">
        <f t="shared" si="19"/>
        <v>83</v>
      </c>
      <c r="Y584" s="3">
        <f>ROUNDDOWN(W584/HLOOKUP(D584,[2]Table!$C$3:$D$4,2,0)*8,2)</f>
        <v>1.47</v>
      </c>
      <c r="Z584" s="3">
        <v>1</v>
      </c>
      <c r="AA584" s="3" t="s">
        <v>110</v>
      </c>
      <c r="AB584" s="6">
        <v>43948</v>
      </c>
      <c r="AC584" s="6">
        <v>43941</v>
      </c>
      <c r="AD584" s="6">
        <v>43950</v>
      </c>
      <c r="AE584" s="6">
        <v>43948</v>
      </c>
      <c r="AF584" s="6">
        <v>43948</v>
      </c>
      <c r="AG584" s="12" t="s">
        <v>75</v>
      </c>
      <c r="AH584" s="8">
        <v>1</v>
      </c>
      <c r="AI584" s="8">
        <v>1</v>
      </c>
      <c r="AJ584" s="8">
        <v>1</v>
      </c>
      <c r="AK584" s="12" t="s">
        <v>8</v>
      </c>
      <c r="AL584" s="3"/>
      <c r="AM584" s="3"/>
      <c r="AN584" s="3"/>
      <c r="AW584" s="143"/>
    </row>
    <row r="585" spans="2:49" ht="15">
      <c r="B585" s="45">
        <f t="shared" si="20"/>
        <v>357</v>
      </c>
      <c r="C585" s="11">
        <v>20200420</v>
      </c>
      <c r="D585" s="3" t="s">
        <v>24</v>
      </c>
      <c r="E585" s="3" t="s">
        <v>18</v>
      </c>
      <c r="F585" s="1" t="s">
        <v>1247</v>
      </c>
      <c r="G585" s="5">
        <v>1425475</v>
      </c>
      <c r="H585" s="15" t="s">
        <v>72</v>
      </c>
      <c r="I585" s="93" t="s">
        <v>123</v>
      </c>
      <c r="J585" s="15" t="s">
        <v>72</v>
      </c>
      <c r="K585" s="88" t="s">
        <v>106</v>
      </c>
      <c r="L585" s="3" t="s">
        <v>1245</v>
      </c>
      <c r="M585" s="3" t="s">
        <v>19</v>
      </c>
      <c r="N585" s="3" t="s">
        <v>6</v>
      </c>
      <c r="O585" s="5" t="s">
        <v>72</v>
      </c>
      <c r="P585" s="5" t="s">
        <v>1246</v>
      </c>
      <c r="Q585" s="55"/>
      <c r="R585" s="15"/>
      <c r="S585" s="3" t="s">
        <v>113</v>
      </c>
      <c r="T585" s="3"/>
      <c r="U585" s="3"/>
      <c r="V585" s="3">
        <v>80</v>
      </c>
      <c r="W585" s="3">
        <f t="shared" si="19"/>
        <v>80</v>
      </c>
      <c r="X585" s="3">
        <f t="shared" si="19"/>
        <v>80</v>
      </c>
      <c r="Y585" s="3">
        <f>ROUNDDOWN(W585/HLOOKUP(D585,[2]Table!$C$3:$D$4,2,0)*8,2)</f>
        <v>1.42</v>
      </c>
      <c r="Z585" s="3">
        <v>1</v>
      </c>
      <c r="AA585" s="3" t="s">
        <v>110</v>
      </c>
      <c r="AB585" s="6">
        <v>43948</v>
      </c>
      <c r="AC585" s="6">
        <v>43941</v>
      </c>
      <c r="AD585" s="6">
        <v>43950</v>
      </c>
      <c r="AE585" s="6">
        <v>43948</v>
      </c>
      <c r="AF585" s="6">
        <v>43948</v>
      </c>
      <c r="AG585" s="12" t="s">
        <v>75</v>
      </c>
      <c r="AH585" s="8">
        <v>1</v>
      </c>
      <c r="AI585" s="8">
        <v>1</v>
      </c>
      <c r="AJ585" s="8">
        <v>1</v>
      </c>
      <c r="AK585" s="12" t="s">
        <v>8</v>
      </c>
      <c r="AL585" s="3"/>
      <c r="AM585" s="3"/>
      <c r="AN585" s="3"/>
      <c r="AW585" s="143"/>
    </row>
    <row r="586" spans="2:49" ht="15">
      <c r="B586" s="45">
        <f t="shared" si="20"/>
        <v>358</v>
      </c>
      <c r="C586" s="11">
        <v>20200420</v>
      </c>
      <c r="D586" s="3" t="s">
        <v>24</v>
      </c>
      <c r="E586" s="3" t="s">
        <v>18</v>
      </c>
      <c r="F586" s="1" t="s">
        <v>1248</v>
      </c>
      <c r="G586" s="5">
        <v>1425475</v>
      </c>
      <c r="H586" s="15" t="s">
        <v>72</v>
      </c>
      <c r="I586" s="93" t="s">
        <v>123</v>
      </c>
      <c r="J586" s="15" t="s">
        <v>72</v>
      </c>
      <c r="K586" s="88" t="s">
        <v>106</v>
      </c>
      <c r="L586" s="3" t="s">
        <v>1245</v>
      </c>
      <c r="M586" s="3" t="s">
        <v>19</v>
      </c>
      <c r="N586" s="3" t="s">
        <v>6</v>
      </c>
      <c r="O586" s="5" t="s">
        <v>72</v>
      </c>
      <c r="P586" s="5" t="s">
        <v>1246</v>
      </c>
      <c r="Q586" s="55"/>
      <c r="R586" s="15"/>
      <c r="S586" s="3" t="s">
        <v>113</v>
      </c>
      <c r="T586" s="3"/>
      <c r="U586" s="3"/>
      <c r="V586" s="3">
        <v>59</v>
      </c>
      <c r="W586" s="3">
        <f t="shared" si="19"/>
        <v>59</v>
      </c>
      <c r="X586" s="3">
        <f t="shared" si="19"/>
        <v>59</v>
      </c>
      <c r="Y586" s="3">
        <f>ROUNDDOWN(W586/HLOOKUP(D586,[2]Table!$C$3:$D$4,2,0)*8,2)</f>
        <v>1.04</v>
      </c>
      <c r="Z586" s="3">
        <v>1</v>
      </c>
      <c r="AA586" s="3" t="s">
        <v>110</v>
      </c>
      <c r="AB586" s="6">
        <v>43948</v>
      </c>
      <c r="AC586" s="6">
        <v>43941</v>
      </c>
      <c r="AD586" s="6">
        <v>43950</v>
      </c>
      <c r="AE586" s="6">
        <v>43948</v>
      </c>
      <c r="AF586" s="6">
        <v>43948</v>
      </c>
      <c r="AG586" s="12" t="s">
        <v>75</v>
      </c>
      <c r="AH586" s="8">
        <v>1</v>
      </c>
      <c r="AI586" s="8">
        <v>1</v>
      </c>
      <c r="AJ586" s="8">
        <v>1</v>
      </c>
      <c r="AK586" s="12" t="s">
        <v>8</v>
      </c>
      <c r="AL586" s="3"/>
      <c r="AM586" s="3"/>
      <c r="AN586" s="3"/>
      <c r="AW586" s="143"/>
    </row>
    <row r="587" spans="2:49" ht="15">
      <c r="B587" s="45">
        <f t="shared" si="20"/>
        <v>359</v>
      </c>
      <c r="C587" s="11">
        <v>20200420</v>
      </c>
      <c r="D587" s="3" t="s">
        <v>24</v>
      </c>
      <c r="E587" s="3" t="s">
        <v>18</v>
      </c>
      <c r="F587" s="1" t="s">
        <v>1249</v>
      </c>
      <c r="G587" s="5">
        <v>1425475</v>
      </c>
      <c r="H587" s="15" t="s">
        <v>72</v>
      </c>
      <c r="I587" s="93" t="s">
        <v>123</v>
      </c>
      <c r="J587" s="15" t="s">
        <v>72</v>
      </c>
      <c r="K587" s="88" t="s">
        <v>106</v>
      </c>
      <c r="L587" s="3" t="s">
        <v>1245</v>
      </c>
      <c r="M587" s="3" t="s">
        <v>19</v>
      </c>
      <c r="N587" s="3" t="s">
        <v>6</v>
      </c>
      <c r="O587" s="5" t="s">
        <v>72</v>
      </c>
      <c r="P587" s="5" t="s">
        <v>1246</v>
      </c>
      <c r="Q587" s="55"/>
      <c r="R587" s="15"/>
      <c r="S587" s="3" t="s">
        <v>113</v>
      </c>
      <c r="T587" s="3"/>
      <c r="U587" s="3"/>
      <c r="V587" s="3">
        <v>84</v>
      </c>
      <c r="W587" s="3">
        <f t="shared" si="19"/>
        <v>84</v>
      </c>
      <c r="X587" s="3">
        <f t="shared" si="19"/>
        <v>84</v>
      </c>
      <c r="Y587" s="3">
        <f>ROUNDDOWN(W587/HLOOKUP(D587,[2]Table!$C$3:$D$4,2,0)*8,2)</f>
        <v>1.49</v>
      </c>
      <c r="Z587" s="3">
        <v>1</v>
      </c>
      <c r="AA587" s="3" t="s">
        <v>110</v>
      </c>
      <c r="AB587" s="6">
        <v>43948</v>
      </c>
      <c r="AC587" s="6">
        <v>43941</v>
      </c>
      <c r="AD587" s="6">
        <v>43950</v>
      </c>
      <c r="AE587" s="6">
        <v>43948</v>
      </c>
      <c r="AF587" s="6">
        <v>43948</v>
      </c>
      <c r="AG587" s="12" t="s">
        <v>75</v>
      </c>
      <c r="AH587" s="8">
        <v>1</v>
      </c>
      <c r="AI587" s="8">
        <v>1</v>
      </c>
      <c r="AJ587" s="8">
        <v>1</v>
      </c>
      <c r="AK587" s="12" t="s">
        <v>8</v>
      </c>
      <c r="AL587" s="3"/>
      <c r="AM587" s="3"/>
      <c r="AN587" s="3"/>
      <c r="AW587" s="143"/>
    </row>
    <row r="588" spans="2:49" ht="15">
      <c r="B588" s="45">
        <f t="shared" si="20"/>
        <v>360</v>
      </c>
      <c r="C588" s="11">
        <v>20200420</v>
      </c>
      <c r="D588" s="3" t="s">
        <v>24</v>
      </c>
      <c r="E588" s="3" t="s">
        <v>1250</v>
      </c>
      <c r="F588" s="1" t="s">
        <v>1251</v>
      </c>
      <c r="G588" s="5">
        <v>1420442</v>
      </c>
      <c r="H588" s="15" t="s">
        <v>72</v>
      </c>
      <c r="I588" s="93" t="s">
        <v>583</v>
      </c>
      <c r="J588" s="15" t="s">
        <v>72</v>
      </c>
      <c r="K588" s="88" t="s">
        <v>106</v>
      </c>
      <c r="L588" s="3">
        <v>81770</v>
      </c>
      <c r="M588" s="3" t="s">
        <v>1252</v>
      </c>
      <c r="N588" s="3" t="s">
        <v>1253</v>
      </c>
      <c r="O588" s="5" t="s">
        <v>72</v>
      </c>
      <c r="P588" s="5" t="s">
        <v>1254</v>
      </c>
      <c r="Q588" s="55"/>
      <c r="R588" s="15"/>
      <c r="S588" s="3" t="s">
        <v>113</v>
      </c>
      <c r="T588" s="3"/>
      <c r="U588" s="3"/>
      <c r="V588" s="3">
        <v>188</v>
      </c>
      <c r="W588" s="3">
        <f t="shared" ref="W588:X599" si="21">V588</f>
        <v>188</v>
      </c>
      <c r="X588" s="3">
        <f t="shared" si="21"/>
        <v>188</v>
      </c>
      <c r="Y588" s="3">
        <f>ROUNDDOWN(W588/HLOOKUP(D588,[2]Table!$C$3:$D$4,2,0)*8,2)</f>
        <v>3.34</v>
      </c>
      <c r="Z588" s="3">
        <v>0.5</v>
      </c>
      <c r="AA588" s="3" t="s">
        <v>110</v>
      </c>
      <c r="AB588" s="6">
        <v>43948</v>
      </c>
      <c r="AC588" s="6">
        <v>43941</v>
      </c>
      <c r="AD588" s="6">
        <v>43950</v>
      </c>
      <c r="AE588" s="6">
        <v>43943</v>
      </c>
      <c r="AF588" s="6">
        <v>43943</v>
      </c>
      <c r="AG588" s="12" t="s">
        <v>75</v>
      </c>
      <c r="AH588" s="83" t="s">
        <v>72</v>
      </c>
      <c r="AI588" s="83" t="s">
        <v>72</v>
      </c>
      <c r="AJ588" s="83" t="s">
        <v>72</v>
      </c>
      <c r="AK588" s="12" t="s">
        <v>8</v>
      </c>
      <c r="AL588" s="3"/>
      <c r="AM588" s="3"/>
      <c r="AN588" s="3" t="s">
        <v>574</v>
      </c>
      <c r="AW588" s="143"/>
    </row>
    <row r="589" spans="2:49" ht="15">
      <c r="B589" s="45">
        <f t="shared" si="20"/>
        <v>361</v>
      </c>
      <c r="C589" s="11">
        <v>20200420</v>
      </c>
      <c r="D589" s="3" t="s">
        <v>24</v>
      </c>
      <c r="E589" s="3" t="s">
        <v>1250</v>
      </c>
      <c r="F589" s="1" t="s">
        <v>1255</v>
      </c>
      <c r="G589" s="5">
        <v>1420442</v>
      </c>
      <c r="H589" s="15" t="s">
        <v>72</v>
      </c>
      <c r="I589" s="93" t="s">
        <v>590</v>
      </c>
      <c r="J589" s="15" t="s">
        <v>72</v>
      </c>
      <c r="K589" s="88" t="s">
        <v>106</v>
      </c>
      <c r="L589" s="3">
        <v>81770</v>
      </c>
      <c r="M589" s="3" t="s">
        <v>1252</v>
      </c>
      <c r="N589" s="3" t="s">
        <v>1253</v>
      </c>
      <c r="O589" s="5" t="s">
        <v>72</v>
      </c>
      <c r="P589" s="5" t="s">
        <v>1254</v>
      </c>
      <c r="Q589" s="55"/>
      <c r="R589" s="15"/>
      <c r="S589" s="3" t="s">
        <v>113</v>
      </c>
      <c r="T589" s="3"/>
      <c r="U589" s="3"/>
      <c r="V589" s="3">
        <v>1141</v>
      </c>
      <c r="W589" s="3">
        <f t="shared" si="21"/>
        <v>1141</v>
      </c>
      <c r="X589" s="3">
        <f t="shared" si="21"/>
        <v>1141</v>
      </c>
      <c r="Y589" s="3">
        <f>ROUNDDOWN(W589/HLOOKUP(D589,[2]Table!$C$3:$D$4,2,0)*8,2)</f>
        <v>20.28</v>
      </c>
      <c r="Z589" s="3">
        <v>3</v>
      </c>
      <c r="AA589" s="3" t="s">
        <v>110</v>
      </c>
      <c r="AB589" s="6">
        <v>43948</v>
      </c>
      <c r="AC589" s="6">
        <v>43941</v>
      </c>
      <c r="AD589" s="6">
        <v>43950</v>
      </c>
      <c r="AE589" s="6">
        <v>43943</v>
      </c>
      <c r="AF589" s="6">
        <v>43943</v>
      </c>
      <c r="AG589" s="12" t="s">
        <v>75</v>
      </c>
      <c r="AH589" s="8">
        <v>1</v>
      </c>
      <c r="AI589" s="8">
        <v>1</v>
      </c>
      <c r="AJ589" s="8">
        <v>1</v>
      </c>
      <c r="AK589" s="12" t="s">
        <v>8</v>
      </c>
      <c r="AL589" s="3"/>
      <c r="AM589" s="3"/>
      <c r="AN589" s="3"/>
      <c r="AW589" s="143"/>
    </row>
    <row r="590" spans="2:49" ht="15">
      <c r="B590" s="45">
        <f t="shared" si="20"/>
        <v>362</v>
      </c>
      <c r="C590" s="11">
        <v>20200420</v>
      </c>
      <c r="D590" s="3" t="s">
        <v>24</v>
      </c>
      <c r="E590" s="3" t="s">
        <v>342</v>
      </c>
      <c r="F590" s="1" t="s">
        <v>1256</v>
      </c>
      <c r="G590" s="5">
        <v>1404793</v>
      </c>
      <c r="H590" s="15" t="s">
        <v>72</v>
      </c>
      <c r="I590" s="93" t="s">
        <v>1257</v>
      </c>
      <c r="J590" s="15" t="s">
        <v>72</v>
      </c>
      <c r="K590" s="88" t="s">
        <v>106</v>
      </c>
      <c r="L590" s="3" t="s">
        <v>8</v>
      </c>
      <c r="M590" s="3" t="s">
        <v>1258</v>
      </c>
      <c r="N590" s="3" t="s">
        <v>1065</v>
      </c>
      <c r="O590" s="5" t="s">
        <v>72</v>
      </c>
      <c r="P590" s="5" t="s">
        <v>1066</v>
      </c>
      <c r="Q590" s="55"/>
      <c r="R590" s="15"/>
      <c r="S590" s="3" t="s">
        <v>113</v>
      </c>
      <c r="T590" s="3"/>
      <c r="U590" s="3"/>
      <c r="V590" s="3">
        <v>574</v>
      </c>
      <c r="W590" s="3">
        <f t="shared" si="21"/>
        <v>574</v>
      </c>
      <c r="X590" s="3">
        <f t="shared" si="21"/>
        <v>574</v>
      </c>
      <c r="Y590" s="3">
        <f>ROUNDDOWN(W590/HLOOKUP(D590,[2]Table!$C$3:$D$4,2,0)*8,2)</f>
        <v>10.199999999999999</v>
      </c>
      <c r="Z590" s="3">
        <v>8</v>
      </c>
      <c r="AA590" s="3" t="s">
        <v>110</v>
      </c>
      <c r="AB590" s="6">
        <v>43948</v>
      </c>
      <c r="AC590" s="6">
        <v>43941</v>
      </c>
      <c r="AD590" s="6">
        <v>43950</v>
      </c>
      <c r="AE590" s="6">
        <v>43945</v>
      </c>
      <c r="AF590" s="6">
        <v>43945</v>
      </c>
      <c r="AG590" s="12" t="s">
        <v>75</v>
      </c>
      <c r="AH590" s="8">
        <v>1</v>
      </c>
      <c r="AI590" s="8">
        <v>1</v>
      </c>
      <c r="AJ590" s="8">
        <v>1</v>
      </c>
      <c r="AK590" s="12" t="s">
        <v>8</v>
      </c>
      <c r="AL590" s="3"/>
      <c r="AM590" s="3"/>
      <c r="AN590" s="3"/>
      <c r="AW590" s="143"/>
    </row>
    <row r="591" spans="2:49" ht="15">
      <c r="B591" s="45">
        <f t="shared" si="20"/>
        <v>363</v>
      </c>
      <c r="C591" s="11">
        <v>20200420</v>
      </c>
      <c r="D591" s="3" t="s">
        <v>24</v>
      </c>
      <c r="E591" s="3" t="s">
        <v>342</v>
      </c>
      <c r="F591" s="1" t="s">
        <v>1259</v>
      </c>
      <c r="G591" s="5">
        <v>1404793</v>
      </c>
      <c r="H591" s="15" t="s">
        <v>72</v>
      </c>
      <c r="I591" s="93" t="s">
        <v>1260</v>
      </c>
      <c r="J591" s="15" t="s">
        <v>72</v>
      </c>
      <c r="K591" s="88" t="s">
        <v>106</v>
      </c>
      <c r="L591" s="3" t="s">
        <v>8</v>
      </c>
      <c r="M591" s="3" t="s">
        <v>1258</v>
      </c>
      <c r="N591" s="3" t="s">
        <v>1065</v>
      </c>
      <c r="O591" s="5" t="s">
        <v>72</v>
      </c>
      <c r="P591" s="5" t="s">
        <v>1066</v>
      </c>
      <c r="Q591" s="55"/>
      <c r="R591" s="15"/>
      <c r="S591" s="3" t="s">
        <v>113</v>
      </c>
      <c r="T591" s="3"/>
      <c r="U591" s="3"/>
      <c r="V591" s="3">
        <v>33</v>
      </c>
      <c r="W591" s="3">
        <f t="shared" si="21"/>
        <v>33</v>
      </c>
      <c r="X591" s="3">
        <f t="shared" si="21"/>
        <v>33</v>
      </c>
      <c r="Y591" s="3">
        <f>ROUNDDOWN(W591/HLOOKUP(D591,[2]Table!$C$3:$D$4,2,0)*8,2)</f>
        <v>0.57999999999999996</v>
      </c>
      <c r="Z591" s="3">
        <v>1</v>
      </c>
      <c r="AA591" s="3" t="s">
        <v>110</v>
      </c>
      <c r="AB591" s="6">
        <v>43948</v>
      </c>
      <c r="AC591" s="6">
        <v>43941</v>
      </c>
      <c r="AD591" s="6">
        <v>43950</v>
      </c>
      <c r="AE591" s="6">
        <v>43944</v>
      </c>
      <c r="AF591" s="6">
        <v>43944</v>
      </c>
      <c r="AG591" s="12" t="s">
        <v>75</v>
      </c>
      <c r="AH591" s="8">
        <v>1</v>
      </c>
      <c r="AI591" s="8">
        <v>1</v>
      </c>
      <c r="AJ591" s="8">
        <v>1</v>
      </c>
      <c r="AK591" s="12" t="s">
        <v>8</v>
      </c>
      <c r="AL591" s="3"/>
      <c r="AM591" s="3"/>
      <c r="AN591" s="3"/>
      <c r="AW591" s="143"/>
    </row>
    <row r="592" spans="2:49" ht="15">
      <c r="B592" s="45">
        <f t="shared" si="20"/>
        <v>364</v>
      </c>
      <c r="C592" s="11">
        <v>20200420</v>
      </c>
      <c r="D592" s="3" t="s">
        <v>24</v>
      </c>
      <c r="E592" s="3" t="s">
        <v>342</v>
      </c>
      <c r="F592" s="1" t="s">
        <v>1261</v>
      </c>
      <c r="G592" s="5">
        <v>1404793</v>
      </c>
      <c r="H592" s="15" t="s">
        <v>72</v>
      </c>
      <c r="I592" s="93" t="s">
        <v>1262</v>
      </c>
      <c r="J592" s="15" t="s">
        <v>72</v>
      </c>
      <c r="K592" s="88" t="s">
        <v>106</v>
      </c>
      <c r="L592" s="3" t="s">
        <v>8</v>
      </c>
      <c r="M592" s="3" t="s">
        <v>1258</v>
      </c>
      <c r="N592" s="3" t="s">
        <v>1065</v>
      </c>
      <c r="O592" s="5" t="s">
        <v>72</v>
      </c>
      <c r="P592" s="5" t="s">
        <v>1066</v>
      </c>
      <c r="Q592" s="55"/>
      <c r="R592" s="15"/>
      <c r="S592" s="3" t="s">
        <v>113</v>
      </c>
      <c r="T592" s="3"/>
      <c r="U592" s="3"/>
      <c r="V592" s="3">
        <v>69</v>
      </c>
      <c r="W592" s="3">
        <f t="shared" si="21"/>
        <v>69</v>
      </c>
      <c r="X592" s="3">
        <f t="shared" si="21"/>
        <v>69</v>
      </c>
      <c r="Y592" s="3">
        <f>ROUNDDOWN(W592/HLOOKUP(D592,[2]Table!$C$3:$D$4,2,0)*8,2)</f>
        <v>1.22</v>
      </c>
      <c r="Z592" s="3">
        <v>1</v>
      </c>
      <c r="AA592" s="3" t="s">
        <v>110</v>
      </c>
      <c r="AB592" s="6">
        <v>43948</v>
      </c>
      <c r="AC592" s="6">
        <v>43941</v>
      </c>
      <c r="AD592" s="6">
        <v>43950</v>
      </c>
      <c r="AE592" s="6">
        <v>43944</v>
      </c>
      <c r="AF592" s="6">
        <v>43944</v>
      </c>
      <c r="AG592" s="12" t="s">
        <v>79</v>
      </c>
      <c r="AH592" s="8">
        <v>1</v>
      </c>
      <c r="AI592" s="8">
        <v>1</v>
      </c>
      <c r="AJ592" s="8">
        <v>0.93</v>
      </c>
      <c r="AK592" s="12" t="s">
        <v>76</v>
      </c>
      <c r="AL592" s="5" t="s">
        <v>1263</v>
      </c>
      <c r="AM592" s="3"/>
      <c r="AN592" s="3" t="s">
        <v>895</v>
      </c>
      <c r="AW592" s="143"/>
    </row>
    <row r="593" spans="2:49" ht="15">
      <c r="B593" s="113">
        <f t="shared" si="20"/>
        <v>365</v>
      </c>
      <c r="C593" s="11">
        <v>20200420</v>
      </c>
      <c r="D593" s="3" t="s">
        <v>24</v>
      </c>
      <c r="E593" s="11" t="s">
        <v>1264</v>
      </c>
      <c r="F593" s="88" t="s">
        <v>1265</v>
      </c>
      <c r="G593" s="17">
        <v>1428490</v>
      </c>
      <c r="H593" s="15" t="s">
        <v>72</v>
      </c>
      <c r="I593" s="93" t="s">
        <v>1266</v>
      </c>
      <c r="J593" s="15" t="s">
        <v>72</v>
      </c>
      <c r="K593" s="88" t="s">
        <v>106</v>
      </c>
      <c r="L593" s="3">
        <v>80773</v>
      </c>
      <c r="M593" s="17" t="s">
        <v>1267</v>
      </c>
      <c r="N593" s="3" t="s">
        <v>1268</v>
      </c>
      <c r="O593" s="5" t="s">
        <v>72</v>
      </c>
      <c r="P593" s="5" t="s">
        <v>1269</v>
      </c>
      <c r="Q593" s="55"/>
      <c r="R593" s="15"/>
      <c r="S593" s="3" t="s">
        <v>113</v>
      </c>
      <c r="T593" s="3"/>
      <c r="U593" s="3"/>
      <c r="V593" s="17">
        <v>386</v>
      </c>
      <c r="W593" s="3">
        <f t="shared" si="21"/>
        <v>386</v>
      </c>
      <c r="X593" s="3">
        <f t="shared" si="21"/>
        <v>386</v>
      </c>
      <c r="Y593" s="3">
        <f>ROUNDDOWN(W593/HLOOKUP(D593,[2]Table!$C$3:$D$4,2,0)*8,2)</f>
        <v>6.86</v>
      </c>
      <c r="Z593" s="3">
        <v>3</v>
      </c>
      <c r="AA593" s="3" t="s">
        <v>110</v>
      </c>
      <c r="AB593" s="6">
        <v>43943</v>
      </c>
      <c r="AC593" s="6">
        <v>43941</v>
      </c>
      <c r="AD593" s="6">
        <v>43944</v>
      </c>
      <c r="AE593" s="6">
        <v>43943</v>
      </c>
      <c r="AF593" s="6">
        <v>43943</v>
      </c>
      <c r="AG593" s="12" t="s">
        <v>75</v>
      </c>
      <c r="AH593" s="8">
        <v>1</v>
      </c>
      <c r="AI593" s="8">
        <v>1</v>
      </c>
      <c r="AJ593" s="8">
        <v>1</v>
      </c>
      <c r="AK593" s="12" t="s">
        <v>8</v>
      </c>
      <c r="AL593" s="3"/>
      <c r="AM593" s="3"/>
      <c r="AN593" s="3" t="s">
        <v>1270</v>
      </c>
      <c r="AW593" s="143"/>
    </row>
    <row r="594" spans="2:49" ht="15">
      <c r="B594" s="113">
        <f t="shared" si="20"/>
        <v>366</v>
      </c>
      <c r="C594" s="11">
        <v>20200420</v>
      </c>
      <c r="D594" s="3" t="s">
        <v>24</v>
      </c>
      <c r="E594" s="17" t="s">
        <v>1264</v>
      </c>
      <c r="F594" s="88" t="s">
        <v>1271</v>
      </c>
      <c r="G594" s="17">
        <v>1428490</v>
      </c>
      <c r="H594" s="15" t="s">
        <v>72</v>
      </c>
      <c r="I594" s="93" t="s">
        <v>1272</v>
      </c>
      <c r="J594" s="15" t="s">
        <v>72</v>
      </c>
      <c r="K594" s="88" t="s">
        <v>106</v>
      </c>
      <c r="L594" s="3">
        <v>80773</v>
      </c>
      <c r="M594" s="17" t="s">
        <v>1267</v>
      </c>
      <c r="N594" s="3" t="s">
        <v>1268</v>
      </c>
      <c r="O594" s="5" t="s">
        <v>72</v>
      </c>
      <c r="P594" s="5" t="s">
        <v>1269</v>
      </c>
      <c r="Q594" s="55"/>
      <c r="R594" s="15"/>
      <c r="S594" s="3" t="s">
        <v>113</v>
      </c>
      <c r="T594" s="3"/>
      <c r="U594" s="3"/>
      <c r="V594" s="17">
        <v>130</v>
      </c>
      <c r="W594" s="55">
        <v>303</v>
      </c>
      <c r="X594" s="3">
        <f t="shared" si="21"/>
        <v>303</v>
      </c>
      <c r="Y594" s="3">
        <f>ROUNDDOWN(W594/HLOOKUP(D594,[2]Table!$C$3:$D$4,2,0)*8,2)</f>
        <v>5.38</v>
      </c>
      <c r="Z594" s="3">
        <v>3</v>
      </c>
      <c r="AA594" s="3" t="s">
        <v>110</v>
      </c>
      <c r="AB594" s="6">
        <v>43943</v>
      </c>
      <c r="AC594" s="6">
        <v>43941</v>
      </c>
      <c r="AD594" s="6">
        <v>43944</v>
      </c>
      <c r="AE594" s="6">
        <v>43942</v>
      </c>
      <c r="AF594" s="6">
        <v>43942</v>
      </c>
      <c r="AG594" s="12" t="s">
        <v>75</v>
      </c>
      <c r="AH594" s="8">
        <v>1</v>
      </c>
      <c r="AI594" s="8">
        <v>1</v>
      </c>
      <c r="AJ594" s="8">
        <v>1</v>
      </c>
      <c r="AK594" s="12" t="s">
        <v>8</v>
      </c>
      <c r="AL594" s="3"/>
      <c r="AM594" s="3"/>
      <c r="AN594" s="3" t="s">
        <v>1273</v>
      </c>
      <c r="AW594" s="143"/>
    </row>
    <row r="595" spans="2:49" ht="15">
      <c r="B595" s="113">
        <f t="shared" si="20"/>
        <v>367</v>
      </c>
      <c r="C595" s="11">
        <v>20200420</v>
      </c>
      <c r="D595" s="3" t="s">
        <v>24</v>
      </c>
      <c r="E595" s="17" t="s">
        <v>1264</v>
      </c>
      <c r="F595" s="88" t="s">
        <v>1274</v>
      </c>
      <c r="G595" s="17">
        <v>1428490</v>
      </c>
      <c r="H595" s="15" t="s">
        <v>72</v>
      </c>
      <c r="I595" s="93" t="s">
        <v>1275</v>
      </c>
      <c r="J595" s="15" t="s">
        <v>72</v>
      </c>
      <c r="K595" s="88" t="s">
        <v>106</v>
      </c>
      <c r="L595" s="3">
        <v>80773</v>
      </c>
      <c r="M595" s="17" t="s">
        <v>1267</v>
      </c>
      <c r="N595" s="3" t="s">
        <v>1268</v>
      </c>
      <c r="O595" s="5" t="s">
        <v>72</v>
      </c>
      <c r="P595" s="5" t="s">
        <v>1269</v>
      </c>
      <c r="Q595" s="55"/>
      <c r="R595" s="15"/>
      <c r="S595" s="3" t="s">
        <v>113</v>
      </c>
      <c r="T595" s="3"/>
      <c r="U595" s="3"/>
      <c r="V595" s="17">
        <v>57</v>
      </c>
      <c r="W595" s="3">
        <f t="shared" si="21"/>
        <v>57</v>
      </c>
      <c r="X595" s="3">
        <f t="shared" si="21"/>
        <v>57</v>
      </c>
      <c r="Y595" s="3">
        <f>ROUNDDOWN(W595/HLOOKUP(D595,[2]Table!$C$3:$D$4,2,0)*8,2)</f>
        <v>1.01</v>
      </c>
      <c r="Z595" s="3">
        <v>0.5</v>
      </c>
      <c r="AA595" s="3" t="s">
        <v>110</v>
      </c>
      <c r="AB595" s="6">
        <v>43943</v>
      </c>
      <c r="AC595" s="6">
        <v>43941</v>
      </c>
      <c r="AD595" s="6">
        <v>43944</v>
      </c>
      <c r="AE595" s="6">
        <v>43942</v>
      </c>
      <c r="AF595" s="6">
        <v>43942</v>
      </c>
      <c r="AG595" s="12" t="s">
        <v>75</v>
      </c>
      <c r="AH595" s="8">
        <v>1</v>
      </c>
      <c r="AI595" s="8">
        <v>1</v>
      </c>
      <c r="AJ595" s="8">
        <v>1</v>
      </c>
      <c r="AK595" s="12" t="s">
        <v>8</v>
      </c>
      <c r="AL595" s="3"/>
      <c r="AM595" s="3"/>
      <c r="AN595" s="3" t="s">
        <v>1270</v>
      </c>
      <c r="AW595" s="143"/>
    </row>
    <row r="596" spans="2:49" ht="15">
      <c r="B596" s="113">
        <f t="shared" si="20"/>
        <v>368</v>
      </c>
      <c r="C596" s="11">
        <v>20200420</v>
      </c>
      <c r="D596" s="3" t="s">
        <v>24</v>
      </c>
      <c r="E596" s="17" t="s">
        <v>1264</v>
      </c>
      <c r="F596" s="1" t="s">
        <v>1276</v>
      </c>
      <c r="G596" s="17">
        <v>1428477</v>
      </c>
      <c r="H596" s="15" t="s">
        <v>72</v>
      </c>
      <c r="I596" s="93" t="s">
        <v>1277</v>
      </c>
      <c r="J596" s="15" t="s">
        <v>72</v>
      </c>
      <c r="K596" s="88" t="s">
        <v>106</v>
      </c>
      <c r="L596" s="3">
        <v>80773</v>
      </c>
      <c r="M596" s="17" t="s">
        <v>1267</v>
      </c>
      <c r="N596" s="3" t="s">
        <v>1268</v>
      </c>
      <c r="O596" s="5" t="s">
        <v>72</v>
      </c>
      <c r="P596" s="114" t="s">
        <v>1278</v>
      </c>
      <c r="Q596" s="55"/>
      <c r="R596" s="15"/>
      <c r="S596" s="3" t="s">
        <v>113</v>
      </c>
      <c r="T596" s="3"/>
      <c r="U596" s="3"/>
      <c r="V596" s="17">
        <v>90</v>
      </c>
      <c r="W596" s="3">
        <f t="shared" si="21"/>
        <v>90</v>
      </c>
      <c r="X596" s="3">
        <f t="shared" si="21"/>
        <v>90</v>
      </c>
      <c r="Y596" s="3">
        <f>ROUNDDOWN(W596/HLOOKUP(D596,[2]Table!$C$3:$D$4,2,0)*8,2)</f>
        <v>1.6</v>
      </c>
      <c r="Z596" s="3">
        <v>0.5</v>
      </c>
      <c r="AA596" s="3" t="s">
        <v>110</v>
      </c>
      <c r="AB596" s="6">
        <v>43943</v>
      </c>
      <c r="AC596" s="6">
        <v>43941</v>
      </c>
      <c r="AD596" s="6">
        <v>43944</v>
      </c>
      <c r="AE596" s="6">
        <v>43942</v>
      </c>
      <c r="AF596" s="6">
        <v>43942</v>
      </c>
      <c r="AG596" s="12" t="s">
        <v>75</v>
      </c>
      <c r="AH596" s="8">
        <v>1</v>
      </c>
      <c r="AI596" s="8">
        <v>1</v>
      </c>
      <c r="AJ596" s="8">
        <v>1</v>
      </c>
      <c r="AK596" s="12" t="s">
        <v>8</v>
      </c>
      <c r="AL596" s="3"/>
      <c r="AM596" s="3"/>
      <c r="AN596" s="3"/>
      <c r="AW596" s="143"/>
    </row>
    <row r="597" spans="2:49" ht="15">
      <c r="B597" s="113">
        <f t="shared" si="20"/>
        <v>369</v>
      </c>
      <c r="C597" s="11">
        <v>20200420</v>
      </c>
      <c r="D597" s="3" t="s">
        <v>24</v>
      </c>
      <c r="E597" s="17" t="s">
        <v>1264</v>
      </c>
      <c r="F597" s="1" t="s">
        <v>1279</v>
      </c>
      <c r="G597" s="17">
        <v>1428477</v>
      </c>
      <c r="H597" s="15" t="s">
        <v>72</v>
      </c>
      <c r="I597" s="93" t="s">
        <v>38</v>
      </c>
      <c r="J597" s="15" t="s">
        <v>72</v>
      </c>
      <c r="K597" s="88" t="s">
        <v>106</v>
      </c>
      <c r="L597" s="3">
        <v>80773</v>
      </c>
      <c r="M597" s="17" t="s">
        <v>1267</v>
      </c>
      <c r="N597" s="3" t="s">
        <v>1268</v>
      </c>
      <c r="O597" s="5" t="s">
        <v>72</v>
      </c>
      <c r="P597" s="114" t="s">
        <v>1278</v>
      </c>
      <c r="Q597" s="55"/>
      <c r="R597" s="15"/>
      <c r="S597" s="3" t="s">
        <v>113</v>
      </c>
      <c r="T597" s="3"/>
      <c r="U597" s="3"/>
      <c r="V597" s="17">
        <v>115</v>
      </c>
      <c r="W597" s="3">
        <f t="shared" si="21"/>
        <v>115</v>
      </c>
      <c r="X597" s="3">
        <f t="shared" si="21"/>
        <v>115</v>
      </c>
      <c r="Y597" s="3">
        <f>ROUNDDOWN(W597/HLOOKUP(D597,[2]Table!$C$3:$D$4,2,0)*8,2)</f>
        <v>2.04</v>
      </c>
      <c r="Z597" s="3">
        <v>0.5</v>
      </c>
      <c r="AA597" s="3" t="s">
        <v>110</v>
      </c>
      <c r="AB597" s="6">
        <v>43943</v>
      </c>
      <c r="AC597" s="6">
        <v>43941</v>
      </c>
      <c r="AD597" s="6">
        <v>43944</v>
      </c>
      <c r="AE597" s="6">
        <v>43942</v>
      </c>
      <c r="AF597" s="6">
        <v>43942</v>
      </c>
      <c r="AG597" s="12" t="s">
        <v>75</v>
      </c>
      <c r="AH597" s="8">
        <v>1</v>
      </c>
      <c r="AI597" s="8">
        <v>1</v>
      </c>
      <c r="AJ597" s="8">
        <v>1</v>
      </c>
      <c r="AK597" s="12" t="s">
        <v>8</v>
      </c>
      <c r="AL597" s="3"/>
      <c r="AM597" s="3"/>
      <c r="AN597" s="3"/>
      <c r="AW597" s="143"/>
    </row>
    <row r="598" spans="2:49" ht="15">
      <c r="B598" s="113">
        <f t="shared" si="20"/>
        <v>370</v>
      </c>
      <c r="C598" s="11">
        <v>20200420</v>
      </c>
      <c r="D598" s="3" t="s">
        <v>24</v>
      </c>
      <c r="E598" s="17" t="s">
        <v>1264</v>
      </c>
      <c r="F598" s="1" t="s">
        <v>1280</v>
      </c>
      <c r="G598" s="17">
        <v>1427716</v>
      </c>
      <c r="H598" s="15" t="s">
        <v>72</v>
      </c>
      <c r="I598" s="93" t="s">
        <v>128</v>
      </c>
      <c r="J598" s="15" t="s">
        <v>72</v>
      </c>
      <c r="K598" s="88" t="s">
        <v>106</v>
      </c>
      <c r="L598" s="3">
        <v>80773</v>
      </c>
      <c r="M598" s="17" t="s">
        <v>1267</v>
      </c>
      <c r="N598" s="3" t="s">
        <v>1268</v>
      </c>
      <c r="O598" s="5" t="s">
        <v>72</v>
      </c>
      <c r="P598" s="5" t="s">
        <v>1281</v>
      </c>
      <c r="Q598" s="55"/>
      <c r="R598" s="15"/>
      <c r="S598" s="3" t="s">
        <v>113</v>
      </c>
      <c r="T598" s="3"/>
      <c r="U598" s="3"/>
      <c r="V598" s="17">
        <v>280</v>
      </c>
      <c r="W598" s="3">
        <f t="shared" si="21"/>
        <v>280</v>
      </c>
      <c r="X598" s="3">
        <f t="shared" si="21"/>
        <v>280</v>
      </c>
      <c r="Y598" s="3">
        <f>ROUNDDOWN(W598/HLOOKUP(D598,[2]Table!$C$3:$D$4,2,0)*8,2)</f>
        <v>4.97</v>
      </c>
      <c r="Z598" s="3">
        <v>0.5</v>
      </c>
      <c r="AA598" s="3" t="s">
        <v>110</v>
      </c>
      <c r="AB598" s="6">
        <v>43943</v>
      </c>
      <c r="AC598" s="6">
        <v>43941</v>
      </c>
      <c r="AD598" s="6">
        <v>43944</v>
      </c>
      <c r="AE598" s="6">
        <v>43942</v>
      </c>
      <c r="AF598" s="6">
        <v>43942</v>
      </c>
      <c r="AG598" s="12" t="s">
        <v>75</v>
      </c>
      <c r="AH598" s="8">
        <v>1</v>
      </c>
      <c r="AI598" s="8">
        <v>1</v>
      </c>
      <c r="AJ598" s="8">
        <v>1</v>
      </c>
      <c r="AK598" s="12" t="s">
        <v>8</v>
      </c>
      <c r="AL598" s="3"/>
      <c r="AM598" s="3"/>
      <c r="AN598" s="3"/>
      <c r="AW598" s="143"/>
    </row>
    <row r="599" spans="2:49" ht="15">
      <c r="B599" s="113">
        <f t="shared" si="20"/>
        <v>371</v>
      </c>
      <c r="C599" s="11">
        <v>20200420</v>
      </c>
      <c r="D599" s="3" t="s">
        <v>24</v>
      </c>
      <c r="E599" s="17" t="s">
        <v>1264</v>
      </c>
      <c r="F599" s="1" t="s">
        <v>1282</v>
      </c>
      <c r="G599" s="17">
        <v>1427716</v>
      </c>
      <c r="H599" s="15" t="s">
        <v>72</v>
      </c>
      <c r="I599" s="93" t="s">
        <v>1283</v>
      </c>
      <c r="J599" s="15" t="s">
        <v>72</v>
      </c>
      <c r="K599" s="88" t="s">
        <v>106</v>
      </c>
      <c r="L599" s="3">
        <v>80773</v>
      </c>
      <c r="M599" s="17" t="s">
        <v>1267</v>
      </c>
      <c r="N599" s="3" t="s">
        <v>1268</v>
      </c>
      <c r="O599" s="5" t="s">
        <v>72</v>
      </c>
      <c r="P599" s="5" t="s">
        <v>1281</v>
      </c>
      <c r="Q599" s="55"/>
      <c r="R599" s="15"/>
      <c r="S599" s="3" t="s">
        <v>113</v>
      </c>
      <c r="T599" s="3"/>
      <c r="U599" s="3"/>
      <c r="V599" s="17">
        <v>99</v>
      </c>
      <c r="W599" s="3">
        <f t="shared" si="21"/>
        <v>99</v>
      </c>
      <c r="X599" s="3">
        <f t="shared" si="21"/>
        <v>99</v>
      </c>
      <c r="Y599" s="3">
        <f>ROUNDDOWN(W599/HLOOKUP(D599,[2]Table!$C$3:$D$4,2,0)*8,2)</f>
        <v>1.76</v>
      </c>
      <c r="Z599" s="3">
        <v>0.5</v>
      </c>
      <c r="AA599" s="3" t="s">
        <v>110</v>
      </c>
      <c r="AB599" s="6">
        <v>43943</v>
      </c>
      <c r="AC599" s="6">
        <v>43941</v>
      </c>
      <c r="AD599" s="6">
        <v>43944</v>
      </c>
      <c r="AE599" s="6">
        <v>43942</v>
      </c>
      <c r="AF599" s="6">
        <v>43942</v>
      </c>
      <c r="AG599" s="12" t="s">
        <v>75</v>
      </c>
      <c r="AH599" s="8">
        <v>1</v>
      </c>
      <c r="AI599" s="8">
        <v>1</v>
      </c>
      <c r="AJ599" s="8">
        <v>1</v>
      </c>
      <c r="AK599" s="12" t="s">
        <v>8</v>
      </c>
      <c r="AL599" s="3"/>
      <c r="AM599" s="3"/>
      <c r="AN599" s="3"/>
    </row>
  </sheetData>
  <conditionalFormatting sqref="AG244:AG245 AK244:AK245 AG247:AG374 AK247:AK374">
    <cfRule type="cellIs" dxfId="144" priority="71" operator="equal">
      <formula>"OK"</formula>
    </cfRule>
    <cfRule type="cellIs" dxfId="143" priority="72" operator="equal">
      <formula>"NG"</formula>
    </cfRule>
  </conditionalFormatting>
  <conditionalFormatting sqref="O228:P374">
    <cfRule type="cellIs" dxfId="142" priority="70" operator="equal">
      <formula>"PUT_VERSION"</formula>
    </cfRule>
  </conditionalFormatting>
  <conditionalFormatting sqref="AG228">
    <cfRule type="cellIs" dxfId="141" priority="68" operator="equal">
      <formula>"OK"</formula>
    </cfRule>
    <cfRule type="cellIs" dxfId="140" priority="69" operator="equal">
      <formula>"NG"</formula>
    </cfRule>
  </conditionalFormatting>
  <conditionalFormatting sqref="AG229:AG243">
    <cfRule type="cellIs" dxfId="139" priority="66" operator="equal">
      <formula>"OK"</formula>
    </cfRule>
    <cfRule type="cellIs" dxfId="138" priority="67" operator="equal">
      <formula>"NG"</formula>
    </cfRule>
  </conditionalFormatting>
  <conditionalFormatting sqref="K228:K374">
    <cfRule type="cellIs" dxfId="137" priority="62" operator="equal">
      <formula>"Manual"</formula>
    </cfRule>
    <cfRule type="cellIs" dxfId="136" priority="63" operator="equal">
      <formula>"Auto"</formula>
    </cfRule>
  </conditionalFormatting>
  <conditionalFormatting sqref="D228:D374">
    <cfRule type="cellIs" dxfId="135" priority="60" operator="equal">
      <formula>"ASW"</formula>
    </cfRule>
    <cfRule type="cellIs" dxfId="134" priority="61" operator="equal">
      <formula>"PSW"</formula>
    </cfRule>
  </conditionalFormatting>
  <conditionalFormatting sqref="AG375 AG379:AG428 AG430:AG528 AG530:AG599">
    <cfRule type="cellIs" dxfId="133" priority="58" operator="equal">
      <formula>"OK"</formula>
    </cfRule>
    <cfRule type="cellIs" dxfId="132" priority="59" operator="equal">
      <formula>"NG"</formula>
    </cfRule>
  </conditionalFormatting>
  <conditionalFormatting sqref="AG376">
    <cfRule type="cellIs" dxfId="131" priority="55" operator="equal">
      <formula>"OK"</formula>
    </cfRule>
    <cfRule type="cellIs" dxfId="130" priority="56" operator="equal">
      <formula>"NG"</formula>
    </cfRule>
  </conditionalFormatting>
  <conditionalFormatting sqref="AG377">
    <cfRule type="cellIs" dxfId="129" priority="52" operator="equal">
      <formula>"OK"</formula>
    </cfRule>
    <cfRule type="cellIs" dxfId="128" priority="53" operator="equal">
      <formula>"NG"</formula>
    </cfRule>
  </conditionalFormatting>
  <conditionalFormatting sqref="AG378">
    <cfRule type="cellIs" dxfId="127" priority="49" operator="equal">
      <formula>"OK"</formula>
    </cfRule>
    <cfRule type="cellIs" dxfId="126" priority="50" operator="equal">
      <formula>"NG"</formula>
    </cfRule>
  </conditionalFormatting>
  <conditionalFormatting sqref="AG429">
    <cfRule type="cellIs" dxfId="125" priority="46" operator="equal">
      <formula>"OK"</formula>
    </cfRule>
    <cfRule type="cellIs" dxfId="124" priority="47" operator="equal">
      <formula>"NG"</formula>
    </cfRule>
  </conditionalFormatting>
  <conditionalFormatting sqref="AG58:AG69 AG71:AG227 AG48:AG56">
    <cfRule type="cellIs" dxfId="123" priority="44" operator="equal">
      <formula>"OK"</formula>
    </cfRule>
    <cfRule type="cellIs" dxfId="122" priority="45" operator="equal">
      <formula>"NG"</formula>
    </cfRule>
  </conditionalFormatting>
  <conditionalFormatting sqref="O223:O227 O48:O221">
    <cfRule type="cellIs" dxfId="121" priority="43" operator="equal">
      <formula>"PUT_VERSION"</formula>
    </cfRule>
  </conditionalFormatting>
  <conditionalFormatting sqref="D48:D227">
    <cfRule type="cellIs" dxfId="120" priority="41" operator="equal">
      <formula>"PSW"</formula>
    </cfRule>
    <cfRule type="cellIs" dxfId="119" priority="42" operator="equal">
      <formula>"ASW"</formula>
    </cfRule>
  </conditionalFormatting>
  <conditionalFormatting sqref="K48:K227">
    <cfRule type="cellIs" dxfId="118" priority="39" operator="equal">
      <formula>"Manual"</formula>
    </cfRule>
    <cfRule type="cellIs" dxfId="117" priority="40" operator="equal">
      <formula>"Auto"</formula>
    </cfRule>
  </conditionalFormatting>
  <conditionalFormatting sqref="AG70">
    <cfRule type="cellIs" dxfId="116" priority="35" operator="equal">
      <formula>"OK"</formula>
    </cfRule>
    <cfRule type="cellIs" dxfId="115" priority="36" operator="equal">
      <formula>"NG"</formula>
    </cfRule>
  </conditionalFormatting>
  <conditionalFormatting sqref="AG57">
    <cfRule type="cellIs" dxfId="114" priority="31" operator="equal">
      <formula>"OK"</formula>
    </cfRule>
    <cfRule type="cellIs" dxfId="113" priority="32" operator="equal">
      <formula>"NG"</formula>
    </cfRule>
  </conditionalFormatting>
  <conditionalFormatting sqref="H4:H13 H19:H29">
    <cfRule type="cellIs" dxfId="112" priority="20" operator="equal">
      <formula>1</formula>
    </cfRule>
    <cfRule type="cellIs" dxfId="111" priority="21" operator="lessThan">
      <formula>1</formula>
    </cfRule>
  </conditionalFormatting>
  <conditionalFormatting sqref="D14">
    <cfRule type="expression" dxfId="110" priority="19">
      <formula>$D$14=SUM($D$4:$D$13)</formula>
    </cfRule>
  </conditionalFormatting>
  <conditionalFormatting sqref="E14">
    <cfRule type="expression" dxfId="109" priority="18">
      <formula>$E$14=SUM($E$4:$E$13)</formula>
    </cfRule>
  </conditionalFormatting>
  <conditionalFormatting sqref="F14">
    <cfRule type="expression" dxfId="108" priority="17">
      <formula>$F$14=SUM($F$4:$F$13)</formula>
    </cfRule>
  </conditionalFormatting>
  <conditionalFormatting sqref="D29">
    <cfRule type="expression" dxfId="107" priority="16">
      <formula>$D$29=SUM($D$19:$D$28)</formula>
    </cfRule>
  </conditionalFormatting>
  <conditionalFormatting sqref="E29">
    <cfRule type="expression" dxfId="106" priority="15">
      <formula>$E$29=SUM($E$19:$E$28)</formula>
    </cfRule>
  </conditionalFormatting>
  <conditionalFormatting sqref="H34">
    <cfRule type="cellIs" dxfId="105" priority="5" operator="equal">
      <formula>1</formula>
    </cfRule>
    <cfRule type="cellIs" dxfId="104" priority="6" operator="lessThan">
      <formula>1</formula>
    </cfRule>
  </conditionalFormatting>
  <conditionalFormatting sqref="H35:H43">
    <cfRule type="cellIs" dxfId="103" priority="3" operator="equal">
      <formula>1</formula>
    </cfRule>
    <cfRule type="cellIs" dxfId="102" priority="4" operator="lessThan">
      <formula>1</formula>
    </cfRule>
  </conditionalFormatting>
  <conditionalFormatting sqref="H44">
    <cfRule type="cellIs" dxfId="101" priority="1" operator="equal">
      <formula>1</formula>
    </cfRule>
    <cfRule type="cellIs" dxfId="100" priority="2" operator="lessThan">
      <formula>1</formula>
    </cfRule>
  </conditionalFormatting>
  <conditionalFormatting sqref="F29">
    <cfRule type="expression" dxfId="99" priority="26">
      <formula>$F$29=SUM($F$19:$F$28)</formula>
    </cfRule>
  </conditionalFormatting>
  <dataValidations count="3">
    <dataValidation type="list" allowBlank="1" showInputMessage="1" showErrorMessage="1" sqref="AG530:AG599 AK264 AK249:AK251 AK261:AK262 AG244:AG245 AG247:AG528 AG48:AG227" xr:uid="{00000000-0002-0000-0000-000000000000}">
      <formula1>"OK,NG"</formula1>
    </dataValidation>
    <dataValidation type="list" allowBlank="1" showInputMessage="1" showErrorMessage="1" sqref="U349:U374 U48:U347" xr:uid="{00000000-0002-0000-0000-000001000000}">
      <formula1>"Yes,No"</formula1>
    </dataValidation>
    <dataValidation type="list" allowBlank="1" showInputMessage="1" showErrorMessage="1" sqref="K375:K599" xr:uid="{00000000-0002-0000-0000-000002000000}">
      <formula1>"Auto,Manual"</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64" operator="equal" id="{4E143D2F-0236-47DD-AA13-430518FA5ED5}">
            <xm:f>'\\hc-ut40346c\NHI5HC\hieunguyen\0000_Project\001_Prj\02_JOEM\[Summary_JOEM_COEM_20200501.xlsm]Table'!#REF!</xm:f>
            <x14:dxf>
              <font>
                <b/>
                <i val="0"/>
              </font>
              <fill>
                <patternFill>
                  <bgColor rgb="FFFF0000"/>
                </patternFill>
              </fill>
            </x14:dxf>
          </x14:cfRule>
          <x14:cfRule type="cellIs" priority="65" operator="equal" id="{9A8AFC58-1B62-4AA6-B04E-0458FAF094FA}">
            <xm:f>'\\hc-ut40346c\NHI5HC\hieunguyen\0000_Project\001_Prj\02_JOEM\[Summary_JOEM_COEM_20200501.xlsm]Table'!#REF!</xm:f>
            <x14:dxf>
              <font>
                <b/>
                <i val="0"/>
              </font>
              <fill>
                <patternFill>
                  <bgColor rgb="FFFFFF00"/>
                </patternFill>
              </fill>
            </x14:dxf>
          </x14:cfRule>
          <xm:sqref>AK228:AK245 AK247:AK374</xm:sqref>
        </x14:conditionalFormatting>
        <x14:conditionalFormatting xmlns:xm="http://schemas.microsoft.com/office/excel/2006/main">
          <x14:cfRule type="expression" priority="57" id="{11B5AD2E-5E4C-49B2-8EDA-CD4A79C84188}">
            <xm:f>OR(AK375='\\hc-ut40346c\NHI5HC\hieunguyen\0000_Project\001_Prj\02_JOEM\[Summary_JOEM_20200401.xlsm]Table'!#REF!,AK375='\\hc-ut40346c\NHI5HC\hieunguyen\0000_Project\001_Prj\02_JOEM\[Summary_JOEM_20200401.xlsm]Table'!#REF!)</xm:f>
            <x14:dxf>
              <font>
                <color rgb="FF9C0006"/>
              </font>
              <fill>
                <patternFill>
                  <bgColor rgb="FFFFC7CE"/>
                </patternFill>
              </fill>
            </x14:dxf>
          </x14:cfRule>
          <xm:sqref>AK375 AK379:AK528 AK530:AK599</xm:sqref>
        </x14:conditionalFormatting>
        <x14:conditionalFormatting xmlns:xm="http://schemas.microsoft.com/office/excel/2006/main">
          <x14:cfRule type="expression" priority="54" id="{8DCEBC2D-5907-456A-9511-4D04749EB8A1}">
            <xm:f>OR(AK376='\\hc-ut40346c\NHI5HC\hieunguyen\0000_Project\001_Prj\02_JOEM\[Summary_JOEM_20200401.xlsm]Table'!#REF!,AK376='\\hc-ut40346c\NHI5HC\hieunguyen\0000_Project\001_Prj\02_JOEM\[Summary_JOEM_20200401.xlsm]Table'!#REF!)</xm:f>
            <x14:dxf>
              <font>
                <color rgb="FF9C0006"/>
              </font>
              <fill>
                <patternFill>
                  <bgColor rgb="FFFFC7CE"/>
                </patternFill>
              </fill>
            </x14:dxf>
          </x14:cfRule>
          <xm:sqref>AK376</xm:sqref>
        </x14:conditionalFormatting>
        <x14:conditionalFormatting xmlns:xm="http://schemas.microsoft.com/office/excel/2006/main">
          <x14:cfRule type="expression" priority="51" id="{B82623D7-3E62-46F2-A8D8-C490F24003DC}">
            <xm:f>OR(AK377='\\hc-ut40346c\NHI5HC\hieunguyen\0000_Project\001_Prj\02_JOEM\[Summary_JOEM_20200401.xlsm]Table'!#REF!,AK377='\\hc-ut40346c\NHI5HC\hieunguyen\0000_Project\001_Prj\02_JOEM\[Summary_JOEM_20200401.xlsm]Table'!#REF!)</xm:f>
            <x14:dxf>
              <font>
                <color rgb="FF9C0006"/>
              </font>
              <fill>
                <patternFill>
                  <bgColor rgb="FFFFC7CE"/>
                </patternFill>
              </fill>
            </x14:dxf>
          </x14:cfRule>
          <xm:sqref>AK377</xm:sqref>
        </x14:conditionalFormatting>
        <x14:conditionalFormatting xmlns:xm="http://schemas.microsoft.com/office/excel/2006/main">
          <x14:cfRule type="expression" priority="48" id="{1B14A0FF-53A1-432D-9628-41DC0FEE3A99}">
            <xm:f>OR(AK378='\\hc-ut40346c\NHI5HC\hieunguyen\0000_Project\001_Prj\02_JOEM\[Summary_JOEM_20200401.xlsm]Table'!#REF!,AK378='\\hc-ut40346c\NHI5HC\hieunguyen\0000_Project\001_Prj\02_JOEM\[Summary_JOEM_20200401.xlsm]Table'!#REF!)</xm:f>
            <x14:dxf>
              <font>
                <color rgb="FF9C0006"/>
              </font>
              <fill>
                <patternFill>
                  <bgColor rgb="FFFFC7CE"/>
                </patternFill>
              </fill>
            </x14:dxf>
          </x14:cfRule>
          <xm:sqref>AK378</xm:sqref>
        </x14:conditionalFormatting>
        <x14:conditionalFormatting xmlns:xm="http://schemas.microsoft.com/office/excel/2006/main">
          <x14:cfRule type="cellIs" priority="37" operator="equal" id="{5E45A9F1-598C-48D5-8E70-277CFAAD941E}">
            <xm:f>'\\hc-ut40346c\NHI5HC\hieunguyen\0000_Project\001_Prj\01_COEM\[Summary_COEM_20200401.xlsx]Table'!#REF!</xm:f>
            <x14:dxf>
              <fill>
                <patternFill>
                  <bgColor rgb="FFFF0000"/>
                </patternFill>
              </fill>
            </x14:dxf>
          </x14:cfRule>
          <x14:cfRule type="cellIs" priority="38" operator="equal" id="{2D705470-79F5-40E6-A037-0CBDF3F7437C}">
            <xm:f>'\\hc-ut40346c\NHI5HC\hieunguyen\0000_Project\001_Prj\01_COEM\[Summary_COEM_20200401.xlsx]Table'!#REF!</xm:f>
            <x14:dxf>
              <fill>
                <patternFill>
                  <bgColor rgb="FFFFFF00"/>
                </patternFill>
              </fill>
            </x14:dxf>
          </x14:cfRule>
          <xm:sqref>AK58:AK69 AK71:AK226 AK48:AK56</xm:sqref>
        </x14:conditionalFormatting>
        <x14:conditionalFormatting xmlns:xm="http://schemas.microsoft.com/office/excel/2006/main">
          <x14:cfRule type="cellIs" priority="33" operator="equal" id="{969DEA4A-E123-437B-B4D1-B7E4BF7C2D2E}">
            <xm:f>'\\hc-ut40346c\NHI5HC\hieunguyen\0000_Project\001_Prj\01_COEM\[Summary_COEM_20200401.xlsx]Table'!#REF!</xm:f>
            <x14:dxf>
              <fill>
                <patternFill>
                  <bgColor rgb="FFFF0000"/>
                </patternFill>
              </fill>
            </x14:dxf>
          </x14:cfRule>
          <x14:cfRule type="cellIs" priority="34" operator="equal" id="{C39D35D0-71B2-42A5-8A32-B98DFFE9B390}">
            <xm:f>'\\hc-ut40346c\NHI5HC\hieunguyen\0000_Project\001_Prj\01_COEM\[Summary_COEM_20200401.xlsx]Table'!#REF!</xm:f>
            <x14:dxf>
              <fill>
                <patternFill>
                  <bgColor rgb="FFFFFF00"/>
                </patternFill>
              </fill>
            </x14:dxf>
          </x14:cfRule>
          <xm:sqref>AK70</xm:sqref>
        </x14:conditionalFormatting>
        <x14:conditionalFormatting xmlns:xm="http://schemas.microsoft.com/office/excel/2006/main">
          <x14:cfRule type="cellIs" priority="29" operator="equal" id="{8BD481E4-7B0F-4909-A990-C51D687945C1}">
            <xm:f>'\\hc-ut40346c\NHI5HC\hieunguyen\0000_Project\001_Prj\01_COEM\[Summary_COEM_20200401.xlsx]Table'!#REF!</xm:f>
            <x14:dxf>
              <fill>
                <patternFill>
                  <bgColor rgb="FFFF0000"/>
                </patternFill>
              </fill>
            </x14:dxf>
          </x14:cfRule>
          <x14:cfRule type="cellIs" priority="30" operator="equal" id="{C5D58F5D-8431-4C5A-8440-733148E5C8FE}">
            <xm:f>'\\hc-ut40346c\NHI5HC\hieunguyen\0000_Project\001_Prj\01_COEM\[Summary_COEM_20200401.xlsx]Table'!#REF!</xm:f>
            <x14:dxf>
              <fill>
                <patternFill>
                  <bgColor rgb="FFFFFF00"/>
                </patternFill>
              </fill>
            </x14:dxf>
          </x14:cfRule>
          <xm:sqref>AK57</xm:sqref>
        </x14:conditionalFormatting>
        <x14:conditionalFormatting xmlns:xm="http://schemas.microsoft.com/office/excel/2006/main">
          <x14:cfRule type="cellIs" priority="27" operator="equal" id="{53156F9D-8DDF-464B-8EF5-A8894B77FB4B}">
            <xm:f>'\\hc-ut40346c\NHI5HC\hieunguyen\0000_Project\001_Prj\01_COEM\[Summary_COEM_20200401.xlsx]Table'!#REF!</xm:f>
            <x14:dxf>
              <fill>
                <patternFill>
                  <bgColor rgb="FFFF0000"/>
                </patternFill>
              </fill>
            </x14:dxf>
          </x14:cfRule>
          <x14:cfRule type="cellIs" priority="28" operator="equal" id="{CA63B29A-4435-4F5D-BB63-6A7E1BFC4858}">
            <xm:f>'\\hc-ut40346c\NHI5HC\hieunguyen\0000_Project\001_Prj\01_COEM\[Summary_COEM_20200401.xlsx]Table'!#REF!</xm:f>
            <x14:dxf>
              <fill>
                <patternFill>
                  <bgColor rgb="FFFFFF00"/>
                </patternFill>
              </fill>
            </x14:dxf>
          </x14:cfRule>
          <xm:sqref>AK227</xm:sqref>
        </x14:conditionalFormatting>
        <x14:conditionalFormatting xmlns:xm="http://schemas.microsoft.com/office/excel/2006/main">
          <x14:cfRule type="cellIs" priority="22" operator="greaterThanOrEqual" id="{3FE75EDE-F85E-45D5-B1BF-8D390DF87E7D}">
            <xm:f>'\\hc-ut40346c\NHI5HC\hieunguyen\0000_Project\001_Prj\02_JOEM\[Summary_JOEM_COEM_20200501.xlsm]Table'!#REF!</xm:f>
            <x14:dxf>
              <font>
                <color rgb="FF006100"/>
              </font>
              <fill>
                <patternFill>
                  <bgColor rgb="FFC6EFCE"/>
                </patternFill>
              </fill>
            </x14:dxf>
          </x14:cfRule>
          <x14:cfRule type="cellIs" priority="23" operator="lessThan" id="{1543A8EE-0E7C-4B51-AC66-CB7C1F81809E}">
            <xm:f>'\\hc-ut40346c\NHI5HC\hieunguyen\0000_Project\001_Prj\02_JOEM\[Summary_JOEM_COEM_20200501.xlsm]Table'!#REF!</xm:f>
            <x14:dxf>
              <font>
                <color rgb="FF9C0006"/>
              </font>
              <fill>
                <patternFill>
                  <bgColor rgb="FFFFC7CE"/>
                </patternFill>
              </fill>
            </x14:dxf>
          </x14:cfRule>
          <xm:sqref>G19:G29</xm:sqref>
        </x14:conditionalFormatting>
        <x14:conditionalFormatting xmlns:xm="http://schemas.microsoft.com/office/excel/2006/main">
          <x14:cfRule type="cellIs" priority="24" operator="greaterThanOrEqual" id="{2679193B-389C-4C16-B572-744A80FEF313}">
            <xm:f>'\\hc-ut40346c\NHI5HC\hieunguyen\0000_Project\001_Prj\02_JOEM\[Summary_JOEM_COEM_20200501.xlsm]Table'!#REF!</xm:f>
            <x14:dxf>
              <font>
                <color rgb="FF006100"/>
              </font>
              <fill>
                <patternFill>
                  <bgColor rgb="FFC6EFCE"/>
                </patternFill>
              </fill>
            </x14:dxf>
          </x14:cfRule>
          <x14:cfRule type="cellIs" priority="25" operator="lessThan" id="{FBBC0E00-83D7-40B3-82F6-7815D3A59FAA}">
            <xm:f>'\\hc-ut40346c\NHI5HC\hieunguyen\0000_Project\001_Prj\02_JOEM\[Summary_JOEM_COEM_20200501.xlsm]Table'!#REF!</xm:f>
            <x14:dxf>
              <font>
                <color rgb="FF9C0006"/>
              </font>
              <fill>
                <patternFill>
                  <bgColor rgb="FFFFC7CE"/>
                </patternFill>
              </fill>
            </x14:dxf>
          </x14:cfRule>
          <xm:sqref>G4:G13</xm:sqref>
        </x14:conditionalFormatting>
        <x14:conditionalFormatting xmlns:xm="http://schemas.microsoft.com/office/excel/2006/main">
          <x14:cfRule type="cellIs" priority="13" operator="greaterThanOrEqual" id="{6ED97CAF-0E20-4336-9333-DDECA9E4258D}">
            <xm:f>'\\hc-ut40346c\NHI5HC\hieunguyen\0000_Project\001_Prj\02_JOEM\[Summary_JOEM_COEM_20200501.xlsm]Table'!#REF!</xm:f>
            <x14:dxf>
              <font>
                <color rgb="FF006100"/>
              </font>
              <fill>
                <patternFill>
                  <bgColor rgb="FFC6EFCE"/>
                </patternFill>
              </fill>
            </x14:dxf>
          </x14:cfRule>
          <x14:cfRule type="cellIs" priority="14" operator="lessThan" id="{BF9B157F-2B96-4EAC-B866-160CC944D648}">
            <xm:f>'\\hc-ut40346c\NHI5HC\hieunguyen\0000_Project\001_Prj\02_JOEM\[Summary_JOEM_COEM_20200501.xlsm]Table'!#REF!</xm:f>
            <x14:dxf>
              <font>
                <color rgb="FF9C0006"/>
              </font>
              <fill>
                <patternFill>
                  <bgColor rgb="FFFFC7CE"/>
                </patternFill>
              </fill>
            </x14:dxf>
          </x14:cfRule>
          <xm:sqref>G14</xm:sqref>
        </x14:conditionalFormatting>
        <x14:conditionalFormatting xmlns:xm="http://schemas.microsoft.com/office/excel/2006/main">
          <x14:cfRule type="cellIs" priority="11" operator="greaterThanOrEqual" id="{DF3289CA-1EDC-4400-8571-5802EAF7A291}">
            <xm:f>'\\hc-ut40346c\NHI5HC\hieunguyen\0000_Project\001_Prj\02_JOEM\[Summary_JOEM_COEM_20200501.xlsm]Table'!#REF!</xm:f>
            <x14:dxf>
              <font>
                <color rgb="FF006100"/>
              </font>
              <fill>
                <patternFill>
                  <bgColor rgb="FFC6EFCE"/>
                </patternFill>
              </fill>
            </x14:dxf>
          </x14:cfRule>
          <x14:cfRule type="cellIs" priority="12" operator="lessThan" id="{629B2DEC-D308-4DF6-81FD-C012082658C4}">
            <xm:f>'\\hc-ut40346c\NHI5HC\hieunguyen\0000_Project\001_Prj\02_JOEM\[Summary_JOEM_COEM_20200501.xlsm]Table'!#REF!</xm:f>
            <x14:dxf>
              <font>
                <color rgb="FF9C0006"/>
              </font>
              <fill>
                <patternFill>
                  <bgColor rgb="FFFFC7CE"/>
                </patternFill>
              </fill>
            </x14:dxf>
          </x14:cfRule>
          <xm:sqref>G44</xm:sqref>
        </x14:conditionalFormatting>
        <x14:conditionalFormatting xmlns:xm="http://schemas.microsoft.com/office/excel/2006/main">
          <x14:cfRule type="cellIs" priority="9" operator="greaterThanOrEqual" id="{07B105AB-209E-488A-AC66-1842824C843C}">
            <xm:f>'\\hc-ut40346c\NHI5HC\hieunguyen\0000_Project\001_Prj\02_JOEM\[Summary_JOEM_COEM_20200501.xlsm]Table'!#REF!</xm:f>
            <x14:dxf>
              <font>
                <color rgb="FF006100"/>
              </font>
              <fill>
                <patternFill>
                  <bgColor rgb="FFC6EFCE"/>
                </patternFill>
              </fill>
            </x14:dxf>
          </x14:cfRule>
          <x14:cfRule type="cellIs" priority="10" operator="lessThan" id="{AE33F98D-93CE-4B1D-B442-7B18D0FEDECA}">
            <xm:f>'\\hc-ut40346c\NHI5HC\hieunguyen\0000_Project\001_Prj\02_JOEM\[Summary_JOEM_COEM_20200501.xlsm]Table'!#REF!</xm:f>
            <x14:dxf>
              <font>
                <color rgb="FF9C0006"/>
              </font>
              <fill>
                <patternFill>
                  <bgColor rgb="FFFFC7CE"/>
                </patternFill>
              </fill>
            </x14:dxf>
          </x14:cfRule>
          <xm:sqref>G34</xm:sqref>
        </x14:conditionalFormatting>
        <x14:conditionalFormatting xmlns:xm="http://schemas.microsoft.com/office/excel/2006/main">
          <x14:cfRule type="cellIs" priority="7" operator="greaterThanOrEqual" id="{18F52EE1-3850-4900-9780-F9E934A2A183}">
            <xm:f>'\\hc-ut40346c\NHI5HC\hieunguyen\0000_Project\001_Prj\02_JOEM\[Summary_JOEM_COEM_20200501.xlsm]Table'!#REF!</xm:f>
            <x14:dxf>
              <font>
                <color rgb="FF006100"/>
              </font>
              <fill>
                <patternFill>
                  <bgColor rgb="FFC6EFCE"/>
                </patternFill>
              </fill>
            </x14:dxf>
          </x14:cfRule>
          <x14:cfRule type="cellIs" priority="8" operator="lessThan" id="{D02C6997-8A93-4521-961E-2CC45808DEEB}">
            <xm:f>'\\hc-ut40346c\NHI5HC\hieunguyen\0000_Project\001_Prj\02_JOEM\[Summary_JOEM_COEM_20200501.xlsm]Table'!#REF!</xm:f>
            <x14:dxf>
              <font>
                <color rgb="FF9C0006"/>
              </font>
              <fill>
                <patternFill>
                  <bgColor rgb="FFFFC7CE"/>
                </patternFill>
              </fill>
            </x14:dxf>
          </x14:cfRule>
          <xm:sqref>G35:G43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3000000}">
          <x14:formula1>
            <xm:f>'C:\Users\Mr.TD\Desktop\git\script_collect_load_tracking\[Summary_JOEM_COEM_20200501.xlsm]Table'!#REF!</xm:f>
          </x14:formula1>
          <xm:sqref>K228:K374 AA228:AA245 AA247:AA374 AK252:AK260 AK263 AK247:AK248 AK228:AK245 AK265:AK374 AG228:AG243 S228:T374 D228:D374</xm:sqref>
        </x14:dataValidation>
        <x14:dataValidation type="list" allowBlank="1" showInputMessage="1" showErrorMessage="1" xr:uid="{00000000-0002-0000-0000-000004000000}">
          <x14:formula1>
            <xm:f>'C:\Users\duong.nguyentuan\Desktop\git\[Summary_JOEM_20200401.xlsm]Table'!#REF!</xm:f>
          </x14:formula1>
          <xm:sqref>D375:D599 S375:S599 AA375:AA449 AA451:AA528 AA530:AA599 AK375:AK528 AK530:AK599</xm:sqref>
        </x14:dataValidation>
        <x14:dataValidation type="list" allowBlank="1" showInputMessage="1" showErrorMessage="1" xr:uid="{00000000-0002-0000-0000-000005000000}">
          <x14:formula1>
            <xm:f>'\\hc-ut40346c\NHI5HC\hieunguyen\0000_Project\001_Prj\01_COEM\[Summary_COEM_20200401.xlsx]Table'!#REF!</xm:f>
          </x14:formula1>
          <xm:sqref>D48:D227 AA48:AB227 K48:K227 AK48:AK227 S48:T227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5FA50-FA52-4B28-89B4-8C7BD6CF1225}">
  <dimension ref="A1:AN520"/>
  <sheetViews>
    <sheetView topLeftCell="A499" workbookViewId="0">
      <selection activeCell="E523" sqref="E523"/>
    </sheetView>
  </sheetViews>
  <sheetFormatPr defaultRowHeight="12.75"/>
  <cols>
    <col min="5" max="5" width="55.42578125" bestFit="1" customWidth="1"/>
  </cols>
  <sheetData>
    <row r="1" spans="1:13" ht="15">
      <c r="A1" s="120" t="s">
        <v>1302</v>
      </c>
    </row>
    <row r="2" spans="1:13" ht="15">
      <c r="B2" s="120" t="s">
        <v>1303</v>
      </c>
      <c r="C2" s="121"/>
      <c r="D2" s="121"/>
      <c r="E2" s="121"/>
      <c r="F2" s="121"/>
      <c r="G2" s="121"/>
      <c r="H2" s="121"/>
    </row>
    <row r="3" spans="1:13" ht="15">
      <c r="B3" s="122" t="s">
        <v>80</v>
      </c>
      <c r="C3" s="122" t="s">
        <v>60</v>
      </c>
      <c r="D3" s="122" t="s">
        <v>1304</v>
      </c>
      <c r="E3" s="122" t="s">
        <v>91</v>
      </c>
      <c r="F3" s="122" t="s">
        <v>1305</v>
      </c>
      <c r="G3" s="122" t="s">
        <v>1306</v>
      </c>
      <c r="H3" s="123" t="s">
        <v>1307</v>
      </c>
      <c r="J3" s="120" t="s">
        <v>1308</v>
      </c>
    </row>
    <row r="4" spans="1:13" ht="15">
      <c r="B4" s="124">
        <v>1</v>
      </c>
      <c r="C4" s="125" t="s">
        <v>74</v>
      </c>
      <c r="D4" s="126">
        <v>0</v>
      </c>
      <c r="E4" s="126">
        <v>0</v>
      </c>
      <c r="F4" s="126">
        <v>0</v>
      </c>
      <c r="G4" s="126" t="s">
        <v>111</v>
      </c>
      <c r="H4" s="127" t="s">
        <v>111</v>
      </c>
      <c r="K4" s="120" t="s">
        <v>1309</v>
      </c>
    </row>
    <row r="5" spans="1:13" ht="15">
      <c r="B5" s="124">
        <v>2</v>
      </c>
      <c r="C5" s="125" t="s">
        <v>573</v>
      </c>
      <c r="D5" s="126">
        <v>596</v>
      </c>
      <c r="E5" s="126">
        <v>596</v>
      </c>
      <c r="F5" s="126">
        <v>0.75</v>
      </c>
      <c r="G5" s="126">
        <v>794.66666666666663</v>
      </c>
      <c r="H5" s="127">
        <v>1</v>
      </c>
      <c r="L5" s="121" t="s">
        <v>1310</v>
      </c>
    </row>
    <row r="6" spans="1:13" ht="15">
      <c r="B6" s="124">
        <v>3</v>
      </c>
      <c r="C6" s="125" t="s">
        <v>78</v>
      </c>
      <c r="D6" s="126">
        <v>0</v>
      </c>
      <c r="E6" s="126">
        <v>0</v>
      </c>
      <c r="F6" s="126">
        <v>0</v>
      </c>
      <c r="G6" s="126" t="s">
        <v>111</v>
      </c>
      <c r="H6" s="127" t="s">
        <v>111</v>
      </c>
      <c r="L6" s="121" t="s">
        <v>1311</v>
      </c>
    </row>
    <row r="7" spans="1:13" ht="15">
      <c r="B7" s="124">
        <v>4</v>
      </c>
      <c r="C7" s="128" t="s">
        <v>903</v>
      </c>
      <c r="D7" s="126">
        <v>0</v>
      </c>
      <c r="E7" s="126">
        <v>0</v>
      </c>
      <c r="F7" s="126">
        <v>0</v>
      </c>
      <c r="G7" s="126" t="s">
        <v>111</v>
      </c>
      <c r="H7" s="127" t="s">
        <v>111</v>
      </c>
      <c r="K7" s="120" t="s">
        <v>1312</v>
      </c>
    </row>
    <row r="8" spans="1:13" ht="15">
      <c r="B8" s="124">
        <v>5</v>
      </c>
      <c r="C8" s="125" t="s">
        <v>117</v>
      </c>
      <c r="D8" s="126">
        <v>6916</v>
      </c>
      <c r="E8" s="126">
        <v>6916</v>
      </c>
      <c r="F8" s="126">
        <v>8.9187500000000011</v>
      </c>
      <c r="G8" s="126">
        <v>775.44498948843716</v>
      </c>
      <c r="H8" s="127">
        <v>1</v>
      </c>
      <c r="L8" s="121" t="s">
        <v>1324</v>
      </c>
    </row>
    <row r="9" spans="1:13" ht="15">
      <c r="B9" s="124">
        <v>6</v>
      </c>
      <c r="C9" s="125" t="s">
        <v>113</v>
      </c>
      <c r="D9" s="126">
        <v>5766</v>
      </c>
      <c r="E9" s="126">
        <v>5766</v>
      </c>
      <c r="F9" s="126">
        <v>7.0625</v>
      </c>
      <c r="G9" s="126">
        <v>816.42477876106193</v>
      </c>
      <c r="H9" s="127">
        <v>1</v>
      </c>
      <c r="L9" s="121" t="s">
        <v>1325</v>
      </c>
    </row>
    <row r="10" spans="1:13" ht="15">
      <c r="B10" s="124">
        <v>7</v>
      </c>
      <c r="C10" s="125" t="s">
        <v>161</v>
      </c>
      <c r="D10" s="126">
        <v>6065</v>
      </c>
      <c r="E10" s="126">
        <v>6065</v>
      </c>
      <c r="F10" s="126">
        <v>8.5875000000000004</v>
      </c>
      <c r="G10" s="126">
        <v>706.25909752547307</v>
      </c>
      <c r="H10" s="127">
        <v>1</v>
      </c>
    </row>
    <row r="11" spans="1:13" ht="15">
      <c r="B11" s="124">
        <v>8</v>
      </c>
      <c r="C11" s="125" t="s">
        <v>109</v>
      </c>
      <c r="D11" s="126">
        <v>6314</v>
      </c>
      <c r="E11" s="126">
        <v>6314</v>
      </c>
      <c r="F11" s="126">
        <v>6.2875000000000005</v>
      </c>
      <c r="G11" s="126">
        <v>1004.2147117296222</v>
      </c>
      <c r="H11" s="127">
        <v>1</v>
      </c>
    </row>
    <row r="12" spans="1:13">
      <c r="B12" s="124">
        <v>9</v>
      </c>
      <c r="C12" s="129" t="s">
        <v>959</v>
      </c>
      <c r="D12" s="126">
        <v>0</v>
      </c>
      <c r="E12" s="126">
        <v>0</v>
      </c>
      <c r="F12" s="126">
        <v>0</v>
      </c>
      <c r="G12" s="126" t="s">
        <v>111</v>
      </c>
      <c r="H12" s="127" t="s">
        <v>111</v>
      </c>
    </row>
    <row r="13" spans="1:13" ht="15">
      <c r="B13" s="124">
        <v>10</v>
      </c>
      <c r="C13" s="125" t="s">
        <v>77</v>
      </c>
      <c r="D13" s="126">
        <v>520</v>
      </c>
      <c r="E13" s="126">
        <v>520</v>
      </c>
      <c r="F13" s="126">
        <v>0.875</v>
      </c>
      <c r="G13" s="126">
        <v>594.28571428571433</v>
      </c>
      <c r="H13" s="127">
        <v>1</v>
      </c>
      <c r="J13" s="120" t="s">
        <v>1313</v>
      </c>
      <c r="K13" s="130">
        <v>43952</v>
      </c>
      <c r="M13" s="130">
        <v>43965</v>
      </c>
    </row>
    <row r="14" spans="1:13" ht="15">
      <c r="B14" s="122" t="s">
        <v>1314</v>
      </c>
      <c r="C14" s="131"/>
      <c r="D14" s="132">
        <v>26177</v>
      </c>
      <c r="E14" s="132">
        <v>26177</v>
      </c>
      <c r="F14" s="132">
        <v>32.481249999999989</v>
      </c>
      <c r="G14" s="126">
        <v>805.91110255916908</v>
      </c>
      <c r="H14" s="127">
        <v>1</v>
      </c>
      <c r="J14" s="120" t="s">
        <v>1315</v>
      </c>
      <c r="K14" s="133">
        <v>10</v>
      </c>
    </row>
    <row r="15" spans="1:13" ht="15">
      <c r="J15" s="120" t="s">
        <v>1316</v>
      </c>
      <c r="K15" s="133">
        <v>1</v>
      </c>
      <c r="L15" s="134" t="s">
        <v>1317</v>
      </c>
    </row>
    <row r="16" spans="1:13" ht="15">
      <c r="J16" s="120" t="s">
        <v>1318</v>
      </c>
      <c r="K16" s="121">
        <v>9</v>
      </c>
    </row>
    <row r="17" spans="1:13" ht="15">
      <c r="B17" s="120" t="s">
        <v>1319</v>
      </c>
    </row>
    <row r="18" spans="1:13" ht="15">
      <c r="B18" s="122" t="s">
        <v>80</v>
      </c>
      <c r="C18" s="122" t="s">
        <v>60</v>
      </c>
      <c r="D18" s="122" t="s">
        <v>1304</v>
      </c>
      <c r="E18" s="122" t="s">
        <v>91</v>
      </c>
      <c r="F18" s="122" t="s">
        <v>1305</v>
      </c>
      <c r="G18" s="122" t="s">
        <v>1320</v>
      </c>
      <c r="H18" s="123" t="s">
        <v>1307</v>
      </c>
    </row>
    <row r="19" spans="1:13" ht="15">
      <c r="B19" s="124">
        <v>1</v>
      </c>
      <c r="C19" s="125" t="s">
        <v>74</v>
      </c>
      <c r="D19" s="126">
        <v>0</v>
      </c>
      <c r="E19" s="126">
        <v>0</v>
      </c>
      <c r="F19" s="126">
        <v>0</v>
      </c>
      <c r="G19" s="126" t="s">
        <v>111</v>
      </c>
      <c r="H19" s="127" t="s">
        <v>111</v>
      </c>
      <c r="J19" s="120"/>
      <c r="K19" s="130"/>
      <c r="M19" s="130"/>
    </row>
    <row r="20" spans="1:13" ht="15">
      <c r="B20" s="124">
        <v>2</v>
      </c>
      <c r="C20" s="125" t="s">
        <v>573</v>
      </c>
      <c r="D20" s="126">
        <v>0</v>
      </c>
      <c r="E20" s="126">
        <v>0</v>
      </c>
      <c r="F20" s="126">
        <v>0</v>
      </c>
      <c r="G20" s="126" t="s">
        <v>111</v>
      </c>
      <c r="H20" s="127" t="s">
        <v>111</v>
      </c>
      <c r="J20" s="120"/>
      <c r="K20" s="121"/>
    </row>
    <row r="21" spans="1:13" ht="15">
      <c r="B21" s="124">
        <v>3</v>
      </c>
      <c r="C21" s="125" t="s">
        <v>78</v>
      </c>
      <c r="D21" s="126">
        <v>0</v>
      </c>
      <c r="E21" s="126">
        <v>0</v>
      </c>
      <c r="F21" s="126">
        <v>0</v>
      </c>
      <c r="G21" s="126" t="s">
        <v>111</v>
      </c>
      <c r="H21" s="127" t="s">
        <v>111</v>
      </c>
      <c r="J21" s="120"/>
      <c r="K21" s="121"/>
      <c r="L21" s="134"/>
    </row>
    <row r="22" spans="1:13" ht="15">
      <c r="B22" s="124">
        <v>4</v>
      </c>
      <c r="C22" s="128" t="s">
        <v>903</v>
      </c>
      <c r="D22" s="126">
        <v>0</v>
      </c>
      <c r="E22" s="126">
        <v>0</v>
      </c>
      <c r="F22" s="126">
        <v>0</v>
      </c>
      <c r="G22" s="126" t="s">
        <v>111</v>
      </c>
      <c r="H22" s="127" t="s">
        <v>111</v>
      </c>
      <c r="J22" s="120"/>
      <c r="K22" s="121"/>
    </row>
    <row r="23" spans="1:13" ht="15">
      <c r="B23" s="124">
        <v>5</v>
      </c>
      <c r="C23" s="125" t="s">
        <v>117</v>
      </c>
      <c r="D23" s="126">
        <v>340</v>
      </c>
      <c r="E23" s="126">
        <v>340</v>
      </c>
      <c r="F23" s="126">
        <v>2.375</v>
      </c>
      <c r="G23" s="126">
        <v>143.15789473684211</v>
      </c>
      <c r="H23" s="127">
        <v>1</v>
      </c>
    </row>
    <row r="24" spans="1:13" ht="15">
      <c r="B24" s="124">
        <v>6</v>
      </c>
      <c r="C24" s="125" t="s">
        <v>113</v>
      </c>
      <c r="D24" s="126">
        <v>178</v>
      </c>
      <c r="E24" s="126">
        <v>178</v>
      </c>
      <c r="F24" s="126">
        <v>1</v>
      </c>
      <c r="G24" s="126">
        <v>178</v>
      </c>
      <c r="H24" s="127">
        <v>1</v>
      </c>
    </row>
    <row r="25" spans="1:13" ht="15">
      <c r="B25" s="124">
        <v>7</v>
      </c>
      <c r="C25" s="125" t="s">
        <v>161</v>
      </c>
      <c r="D25" s="126">
        <v>243</v>
      </c>
      <c r="E25" s="126">
        <v>243</v>
      </c>
      <c r="F25" s="126">
        <v>1.75</v>
      </c>
      <c r="G25" s="126">
        <v>138.85714285714286</v>
      </c>
      <c r="H25" s="127">
        <v>1</v>
      </c>
    </row>
    <row r="26" spans="1:13" ht="15">
      <c r="B26" s="124">
        <v>8</v>
      </c>
      <c r="C26" s="125" t="s">
        <v>109</v>
      </c>
      <c r="D26" s="126">
        <v>208</v>
      </c>
      <c r="E26" s="126">
        <v>208</v>
      </c>
      <c r="F26" s="126">
        <v>1</v>
      </c>
      <c r="G26" s="126">
        <v>208</v>
      </c>
      <c r="H26" s="127">
        <v>1</v>
      </c>
    </row>
    <row r="27" spans="1:13">
      <c r="B27" s="124">
        <v>9</v>
      </c>
      <c r="C27" s="129" t="s">
        <v>959</v>
      </c>
      <c r="D27" s="126">
        <v>0</v>
      </c>
      <c r="E27" s="126">
        <v>0</v>
      </c>
      <c r="F27" s="126">
        <v>0</v>
      </c>
      <c r="G27" s="126" t="s">
        <v>111</v>
      </c>
      <c r="H27" s="127" t="s">
        <v>111</v>
      </c>
    </row>
    <row r="28" spans="1:13" ht="15">
      <c r="B28" s="124">
        <v>10</v>
      </c>
      <c r="C28" s="125" t="s">
        <v>77</v>
      </c>
      <c r="D28" s="126">
        <v>0</v>
      </c>
      <c r="E28" s="126">
        <v>0</v>
      </c>
      <c r="F28" s="126">
        <v>0</v>
      </c>
      <c r="G28" s="126" t="s">
        <v>111</v>
      </c>
      <c r="H28" s="127" t="s">
        <v>111</v>
      </c>
    </row>
    <row r="29" spans="1:13" ht="15">
      <c r="B29" s="122" t="s">
        <v>1314</v>
      </c>
      <c r="C29" s="131"/>
      <c r="D29" s="132">
        <v>969</v>
      </c>
      <c r="E29" s="132">
        <v>969</v>
      </c>
      <c r="F29" s="132">
        <v>6.125</v>
      </c>
      <c r="G29" s="126">
        <v>158.20408163265307</v>
      </c>
      <c r="H29" s="127">
        <v>1</v>
      </c>
      <c r="L29" s="135"/>
    </row>
    <row r="31" spans="1:13" ht="19.5" customHeight="1"/>
    <row r="32" spans="1:13" ht="15">
      <c r="A32" s="136" t="s">
        <v>1321</v>
      </c>
      <c r="B32" s="120" t="s">
        <v>1322</v>
      </c>
    </row>
    <row r="33" spans="2:40" ht="15">
      <c r="B33" s="122" t="s">
        <v>80</v>
      </c>
      <c r="C33" s="122" t="s">
        <v>60</v>
      </c>
      <c r="D33" s="122" t="s">
        <v>1304</v>
      </c>
      <c r="E33" s="122" t="s">
        <v>91</v>
      </c>
      <c r="F33" s="122" t="s">
        <v>1323</v>
      </c>
      <c r="G33" s="122" t="s">
        <v>1320</v>
      </c>
      <c r="H33" s="123" t="s">
        <v>1307</v>
      </c>
      <c r="I33" s="137" t="s">
        <v>76</v>
      </c>
      <c r="J33" s="138" t="s">
        <v>378</v>
      </c>
    </row>
    <row r="34" spans="2:40" ht="15.75">
      <c r="B34" s="124">
        <v>1</v>
      </c>
      <c r="C34" s="125" t="s">
        <v>74</v>
      </c>
      <c r="D34" s="126">
        <v>0</v>
      </c>
      <c r="E34" s="126">
        <v>0</v>
      </c>
      <c r="F34" s="126">
        <v>9</v>
      </c>
      <c r="G34" s="126">
        <v>0</v>
      </c>
      <c r="H34" s="127" t="s">
        <v>111</v>
      </c>
      <c r="I34" s="139">
        <v>0</v>
      </c>
      <c r="J34" s="139">
        <v>0</v>
      </c>
    </row>
    <row r="35" spans="2:40" ht="15.75">
      <c r="B35" s="124">
        <v>2</v>
      </c>
      <c r="C35" s="125" t="s">
        <v>573</v>
      </c>
      <c r="D35" s="126">
        <v>596</v>
      </c>
      <c r="E35" s="126">
        <v>596</v>
      </c>
      <c r="F35" s="126">
        <v>9</v>
      </c>
      <c r="G35" s="126">
        <v>66.222222222222229</v>
      </c>
      <c r="H35" s="127">
        <v>1</v>
      </c>
      <c r="I35" s="139">
        <v>1</v>
      </c>
      <c r="J35" s="139">
        <v>0</v>
      </c>
    </row>
    <row r="36" spans="2:40" ht="15.75">
      <c r="B36" s="124">
        <v>3</v>
      </c>
      <c r="C36" s="125" t="s">
        <v>78</v>
      </c>
      <c r="D36" s="126">
        <v>0</v>
      </c>
      <c r="E36" s="126">
        <v>0</v>
      </c>
      <c r="F36" s="126">
        <v>9</v>
      </c>
      <c r="G36" s="126">
        <v>0</v>
      </c>
      <c r="H36" s="127" t="s">
        <v>111</v>
      </c>
      <c r="I36" s="139">
        <v>0</v>
      </c>
      <c r="J36" s="139">
        <v>0</v>
      </c>
    </row>
    <row r="37" spans="2:40" ht="15.75">
      <c r="B37" s="124">
        <v>4</v>
      </c>
      <c r="C37" s="128" t="s">
        <v>903</v>
      </c>
      <c r="D37" s="126">
        <v>0</v>
      </c>
      <c r="E37" s="126">
        <v>0</v>
      </c>
      <c r="F37" s="126">
        <v>9</v>
      </c>
      <c r="G37" s="126">
        <v>0</v>
      </c>
      <c r="H37" s="127" t="s">
        <v>111</v>
      </c>
      <c r="I37" s="139">
        <v>0</v>
      </c>
      <c r="J37" s="139">
        <v>0</v>
      </c>
    </row>
    <row r="38" spans="2:40" ht="15.75">
      <c r="B38" s="124">
        <v>5</v>
      </c>
      <c r="C38" s="125" t="s">
        <v>117</v>
      </c>
      <c r="D38" s="126">
        <v>8092.9230769230771</v>
      </c>
      <c r="E38" s="126">
        <v>8092.9230769230771</v>
      </c>
      <c r="F38" s="126">
        <v>9</v>
      </c>
      <c r="G38" s="126">
        <v>899.21367521367529</v>
      </c>
      <c r="H38" s="127">
        <v>1</v>
      </c>
      <c r="I38" s="139">
        <v>6</v>
      </c>
      <c r="J38" s="139">
        <v>1</v>
      </c>
      <c r="M38" s="140"/>
      <c r="N38" s="140"/>
      <c r="O38" s="140"/>
      <c r="P38" s="140"/>
      <c r="Q38" s="140"/>
    </row>
    <row r="39" spans="2:40" ht="15.75">
      <c r="B39" s="124">
        <v>6</v>
      </c>
      <c r="C39" s="125" t="s">
        <v>113</v>
      </c>
      <c r="D39" s="126">
        <v>6382.1538461538457</v>
      </c>
      <c r="E39" s="126">
        <v>6382.1538461538457</v>
      </c>
      <c r="F39" s="126">
        <v>9</v>
      </c>
      <c r="G39" s="126">
        <v>709.12820512820508</v>
      </c>
      <c r="H39" s="127">
        <v>1</v>
      </c>
      <c r="I39" s="139">
        <v>7</v>
      </c>
      <c r="J39" s="139">
        <v>1</v>
      </c>
      <c r="M39" s="140"/>
      <c r="N39" s="141"/>
      <c r="O39" s="142"/>
      <c r="P39" s="141"/>
      <c r="Q39" s="140"/>
    </row>
    <row r="40" spans="2:40" ht="15.75">
      <c r="B40" s="124">
        <v>7</v>
      </c>
      <c r="C40" s="125" t="s">
        <v>161</v>
      </c>
      <c r="D40" s="126">
        <v>6906.1538461538457</v>
      </c>
      <c r="E40" s="126">
        <v>6906.1538461538457</v>
      </c>
      <c r="F40" s="126">
        <v>9</v>
      </c>
      <c r="G40" s="126">
        <v>767.35042735042725</v>
      </c>
      <c r="H40" s="127">
        <v>1</v>
      </c>
      <c r="I40" s="139">
        <v>4</v>
      </c>
      <c r="J40" s="139">
        <v>0</v>
      </c>
      <c r="M40" s="140"/>
      <c r="N40" s="140"/>
      <c r="O40" s="140"/>
      <c r="P40" s="140"/>
      <c r="Q40" s="140"/>
    </row>
    <row r="41" spans="2:40" ht="15.75">
      <c r="B41" s="124">
        <v>8</v>
      </c>
      <c r="C41" s="125" t="s">
        <v>109</v>
      </c>
      <c r="D41" s="126">
        <v>7034</v>
      </c>
      <c r="E41" s="126">
        <v>7034</v>
      </c>
      <c r="F41" s="126">
        <v>9</v>
      </c>
      <c r="G41" s="126">
        <v>781.55555555555554</v>
      </c>
      <c r="H41" s="127">
        <v>1</v>
      </c>
      <c r="I41" s="139">
        <v>5</v>
      </c>
      <c r="J41" s="139">
        <v>0</v>
      </c>
    </row>
    <row r="42" spans="2:40" ht="15.75">
      <c r="B42" s="124">
        <v>9</v>
      </c>
      <c r="C42" s="129" t="s">
        <v>959</v>
      </c>
      <c r="D42" s="126">
        <v>0</v>
      </c>
      <c r="E42" s="126">
        <v>0</v>
      </c>
      <c r="F42" s="126">
        <v>9</v>
      </c>
      <c r="G42" s="126">
        <v>0</v>
      </c>
      <c r="H42" s="127" t="s">
        <v>111</v>
      </c>
      <c r="I42" s="139">
        <v>0</v>
      </c>
      <c r="J42" s="139">
        <v>0</v>
      </c>
    </row>
    <row r="43" spans="2:40" ht="15.75">
      <c r="B43" s="124">
        <v>10</v>
      </c>
      <c r="C43" s="125" t="s">
        <v>77</v>
      </c>
      <c r="D43" s="126">
        <v>520</v>
      </c>
      <c r="E43" s="126">
        <v>520</v>
      </c>
      <c r="F43" s="126">
        <v>9</v>
      </c>
      <c r="G43" s="126">
        <v>57.777777777777779</v>
      </c>
      <c r="H43" s="127">
        <v>1</v>
      </c>
      <c r="I43" s="139">
        <v>2</v>
      </c>
      <c r="J43" s="139">
        <v>0</v>
      </c>
    </row>
    <row r="44" spans="2:40" ht="15.75">
      <c r="B44" s="122" t="s">
        <v>1314</v>
      </c>
      <c r="C44" s="131"/>
      <c r="D44" s="126">
        <v>29531.23076923077</v>
      </c>
      <c r="E44" s="126">
        <v>29531.23076923077</v>
      </c>
      <c r="F44" s="126">
        <v>90</v>
      </c>
      <c r="G44" s="126">
        <v>328.12478632478633</v>
      </c>
      <c r="H44" s="127">
        <v>1</v>
      </c>
      <c r="I44" s="139">
        <v>25</v>
      </c>
      <c r="J44" s="139">
        <v>2</v>
      </c>
    </row>
    <row r="47" spans="2:40" ht="15">
      <c r="B47" s="115" t="s">
        <v>80</v>
      </c>
      <c r="C47" s="115" t="s">
        <v>81</v>
      </c>
      <c r="D47" s="115" t="s">
        <v>82</v>
      </c>
      <c r="E47" s="115" t="s">
        <v>10</v>
      </c>
      <c r="F47" s="115" t="s">
        <v>12</v>
      </c>
      <c r="G47" s="115" t="s">
        <v>57</v>
      </c>
      <c r="H47" s="115" t="s">
        <v>83</v>
      </c>
      <c r="I47" s="115" t="s">
        <v>13</v>
      </c>
      <c r="J47" s="115" t="s">
        <v>84</v>
      </c>
      <c r="K47" s="115" t="s">
        <v>58</v>
      </c>
      <c r="L47" s="9" t="s">
        <v>0</v>
      </c>
      <c r="M47" s="9" t="s">
        <v>11</v>
      </c>
      <c r="N47" s="115" t="s">
        <v>59</v>
      </c>
      <c r="O47" s="115" t="s">
        <v>85</v>
      </c>
      <c r="P47" s="115" t="s">
        <v>1284</v>
      </c>
      <c r="Q47" s="116" t="s">
        <v>86</v>
      </c>
      <c r="R47" s="116" t="s">
        <v>87</v>
      </c>
      <c r="S47" s="116" t="s">
        <v>60</v>
      </c>
      <c r="T47" s="116" t="s">
        <v>88</v>
      </c>
      <c r="U47" s="116" t="s">
        <v>89</v>
      </c>
      <c r="V47" s="116" t="s">
        <v>61</v>
      </c>
      <c r="W47" s="116" t="s">
        <v>90</v>
      </c>
      <c r="X47" s="116" t="s">
        <v>91</v>
      </c>
      <c r="Y47" s="116" t="s">
        <v>92</v>
      </c>
      <c r="Z47" s="116" t="s">
        <v>93</v>
      </c>
      <c r="AA47" s="116" t="s">
        <v>94</v>
      </c>
      <c r="AB47" s="116" t="s">
        <v>95</v>
      </c>
      <c r="AC47" s="116" t="s">
        <v>96</v>
      </c>
      <c r="AD47" s="116" t="s">
        <v>62</v>
      </c>
      <c r="AE47" s="115" t="s">
        <v>97</v>
      </c>
      <c r="AF47" s="115" t="s">
        <v>98</v>
      </c>
      <c r="AG47" s="115" t="s">
        <v>63</v>
      </c>
      <c r="AH47" s="115" t="s">
        <v>64</v>
      </c>
      <c r="AI47" s="115" t="s">
        <v>65</v>
      </c>
      <c r="AJ47" s="116" t="s">
        <v>66</v>
      </c>
      <c r="AK47" s="116" t="s">
        <v>67</v>
      </c>
      <c r="AL47" s="116" t="s">
        <v>68</v>
      </c>
      <c r="AM47" s="116" t="s">
        <v>69</v>
      </c>
      <c r="AN47" s="116" t="s">
        <v>70</v>
      </c>
    </row>
    <row r="48" spans="2:40" ht="15">
      <c r="B48" s="163">
        <v>128</v>
      </c>
      <c r="C48" s="13">
        <v>20200511</v>
      </c>
      <c r="D48" s="13" t="s">
        <v>311</v>
      </c>
      <c r="E48" s="13" t="s">
        <v>828</v>
      </c>
      <c r="F48" s="14" t="s">
        <v>72</v>
      </c>
      <c r="G48" s="14">
        <v>1460003</v>
      </c>
      <c r="H48" s="164" t="s">
        <v>72</v>
      </c>
      <c r="I48" s="13" t="s">
        <v>835</v>
      </c>
      <c r="J48" s="164" t="s">
        <v>72</v>
      </c>
      <c r="K48" s="13" t="s">
        <v>73</v>
      </c>
      <c r="L48" s="13" t="s">
        <v>8</v>
      </c>
      <c r="M48" s="13" t="s">
        <v>8</v>
      </c>
      <c r="N48" s="13" t="s">
        <v>830</v>
      </c>
      <c r="O48" s="14" t="s">
        <v>836</v>
      </c>
      <c r="P48" s="14" t="s">
        <v>832</v>
      </c>
      <c r="Q48" s="165"/>
      <c r="R48" s="164" t="s">
        <v>72</v>
      </c>
      <c r="S48" s="53" t="s">
        <v>77</v>
      </c>
      <c r="T48" s="13"/>
      <c r="U48" s="13"/>
      <c r="V48" s="13">
        <v>51</v>
      </c>
      <c r="W48" s="13">
        <v>51</v>
      </c>
      <c r="X48" s="13">
        <v>51</v>
      </c>
      <c r="Y48" s="13">
        <v>3.13</v>
      </c>
      <c r="Z48" s="13">
        <v>8</v>
      </c>
      <c r="AA48" s="13" t="s">
        <v>110</v>
      </c>
      <c r="AB48" s="58">
        <v>43969</v>
      </c>
      <c r="AC48" s="58">
        <v>43962</v>
      </c>
      <c r="AD48" s="58">
        <v>43970</v>
      </c>
      <c r="AE48" s="58">
        <v>43966</v>
      </c>
      <c r="AF48" s="58">
        <v>43966</v>
      </c>
      <c r="AG48" s="58" t="s">
        <v>75</v>
      </c>
      <c r="AH48" s="59">
        <v>1</v>
      </c>
      <c r="AI48" s="59">
        <v>1</v>
      </c>
      <c r="AJ48" s="59">
        <v>1</v>
      </c>
      <c r="AK48" s="58" t="s">
        <v>8</v>
      </c>
      <c r="AL48" s="14" t="s">
        <v>72</v>
      </c>
      <c r="AM48" s="13" t="s">
        <v>72</v>
      </c>
      <c r="AN48" s="13" t="s">
        <v>72</v>
      </c>
    </row>
    <row r="49" spans="2:40" ht="15">
      <c r="B49" s="163">
        <v>142</v>
      </c>
      <c r="C49" s="13">
        <v>20200511</v>
      </c>
      <c r="D49" s="13" t="s">
        <v>24</v>
      </c>
      <c r="E49" s="13" t="s">
        <v>837</v>
      </c>
      <c r="F49" s="39" t="s">
        <v>1473</v>
      </c>
      <c r="G49" s="14">
        <v>1461444</v>
      </c>
      <c r="H49" s="164"/>
      <c r="I49" s="13" t="s">
        <v>1474</v>
      </c>
      <c r="J49" s="164"/>
      <c r="K49" s="13" t="s">
        <v>73</v>
      </c>
      <c r="L49" s="13" t="s">
        <v>8</v>
      </c>
      <c r="M49" s="13" t="s">
        <v>840</v>
      </c>
      <c r="N49" s="13" t="s">
        <v>841</v>
      </c>
      <c r="O49" s="14" t="s">
        <v>72</v>
      </c>
      <c r="P49" s="14" t="s">
        <v>842</v>
      </c>
      <c r="Q49" s="165"/>
      <c r="R49" s="164" t="s">
        <v>72</v>
      </c>
      <c r="S49" s="53" t="s">
        <v>573</v>
      </c>
      <c r="T49" s="13"/>
      <c r="U49" s="13"/>
      <c r="V49" s="13">
        <v>104</v>
      </c>
      <c r="W49" s="13">
        <v>104</v>
      </c>
      <c r="X49" s="13">
        <v>104</v>
      </c>
      <c r="Y49" s="13">
        <v>1.84</v>
      </c>
      <c r="Z49" s="13">
        <v>2</v>
      </c>
      <c r="AA49" s="13" t="s">
        <v>110</v>
      </c>
      <c r="AB49" s="58">
        <v>43969</v>
      </c>
      <c r="AC49" s="58">
        <v>43966</v>
      </c>
      <c r="AD49" s="58">
        <v>43969</v>
      </c>
      <c r="AE49" s="58">
        <v>43969</v>
      </c>
      <c r="AF49" s="58">
        <v>43969</v>
      </c>
      <c r="AG49" s="58" t="s">
        <v>75</v>
      </c>
      <c r="AH49" s="59">
        <v>1</v>
      </c>
      <c r="AI49" s="59">
        <v>1</v>
      </c>
      <c r="AJ49" s="59">
        <v>1</v>
      </c>
      <c r="AK49" s="58" t="s">
        <v>8</v>
      </c>
      <c r="AL49" s="14" t="s">
        <v>72</v>
      </c>
      <c r="AM49" s="13" t="s">
        <v>72</v>
      </c>
      <c r="AN49" s="13" t="s">
        <v>1475</v>
      </c>
    </row>
    <row r="50" spans="2:40" ht="51">
      <c r="B50" s="166">
        <v>149</v>
      </c>
      <c r="C50" s="13">
        <v>20200514</v>
      </c>
      <c r="D50" s="13" t="s">
        <v>24</v>
      </c>
      <c r="E50" s="13" t="s">
        <v>1476</v>
      </c>
      <c r="F50" s="4" t="s">
        <v>1477</v>
      </c>
      <c r="G50" s="14">
        <v>1433776</v>
      </c>
      <c r="H50" s="164" t="s">
        <v>72</v>
      </c>
      <c r="I50" s="13" t="s">
        <v>1478</v>
      </c>
      <c r="J50" s="164" t="s">
        <v>72</v>
      </c>
      <c r="K50" s="13" t="s">
        <v>73</v>
      </c>
      <c r="L50" s="13" t="s">
        <v>1479</v>
      </c>
      <c r="M50" s="167" t="s">
        <v>1480</v>
      </c>
      <c r="N50" s="168" t="s">
        <v>1481</v>
      </c>
      <c r="O50" s="14" t="s">
        <v>72</v>
      </c>
      <c r="P50" s="14" t="s">
        <v>1241</v>
      </c>
      <c r="Q50" s="165"/>
      <c r="R50" s="164" t="s">
        <v>72</v>
      </c>
      <c r="S50" s="13" t="s">
        <v>78</v>
      </c>
      <c r="T50" s="13"/>
      <c r="U50" s="13"/>
      <c r="V50" s="13">
        <v>30</v>
      </c>
      <c r="W50" s="13">
        <v>30</v>
      </c>
      <c r="X50" s="13">
        <v>30</v>
      </c>
      <c r="Y50" s="13">
        <v>0.53</v>
      </c>
      <c r="Z50" s="13">
        <v>1</v>
      </c>
      <c r="AA50" s="13" t="s">
        <v>110</v>
      </c>
      <c r="AB50" s="58">
        <v>43970</v>
      </c>
      <c r="AC50" s="58">
        <v>43965</v>
      </c>
      <c r="AD50" s="58">
        <v>43970</v>
      </c>
      <c r="AE50" s="58">
        <v>43969</v>
      </c>
      <c r="AF50" s="58">
        <v>43969</v>
      </c>
      <c r="AG50" s="58" t="s">
        <v>75</v>
      </c>
      <c r="AH50" s="59">
        <v>1</v>
      </c>
      <c r="AI50" s="59">
        <v>1</v>
      </c>
      <c r="AJ50" s="59">
        <v>1</v>
      </c>
      <c r="AK50" s="58" t="s">
        <v>8</v>
      </c>
      <c r="AL50" s="13"/>
      <c r="AM50" s="13"/>
      <c r="AN50" s="169" t="s">
        <v>1482</v>
      </c>
    </row>
    <row r="51" spans="2:40" ht="15">
      <c r="B51" s="166">
        <v>150</v>
      </c>
      <c r="C51" s="13">
        <v>20200514</v>
      </c>
      <c r="D51" s="13" t="s">
        <v>24</v>
      </c>
      <c r="E51" s="13" t="s">
        <v>1476</v>
      </c>
      <c r="F51" s="39" t="s">
        <v>1483</v>
      </c>
      <c r="G51" s="14">
        <v>1433776</v>
      </c>
      <c r="H51" s="164" t="s">
        <v>72</v>
      </c>
      <c r="I51" s="13" t="s">
        <v>128</v>
      </c>
      <c r="J51" s="164" t="s">
        <v>72</v>
      </c>
      <c r="K51" s="13" t="s">
        <v>73</v>
      </c>
      <c r="L51" s="13" t="s">
        <v>1479</v>
      </c>
      <c r="M51" s="167" t="s">
        <v>1480</v>
      </c>
      <c r="N51" s="168" t="s">
        <v>1481</v>
      </c>
      <c r="O51" s="14" t="s">
        <v>72</v>
      </c>
      <c r="P51" s="14" t="s">
        <v>1241</v>
      </c>
      <c r="Q51" s="165"/>
      <c r="R51" s="164" t="s">
        <v>72</v>
      </c>
      <c r="S51" s="13" t="s">
        <v>78</v>
      </c>
      <c r="T51" s="13"/>
      <c r="U51" s="13"/>
      <c r="V51" s="13">
        <v>280</v>
      </c>
      <c r="W51" s="13">
        <v>280</v>
      </c>
      <c r="X51" s="13">
        <v>280</v>
      </c>
      <c r="Y51" s="13">
        <v>4.97</v>
      </c>
      <c r="Z51" s="13">
        <v>1</v>
      </c>
      <c r="AA51" s="13" t="s">
        <v>110</v>
      </c>
      <c r="AB51" s="58">
        <v>43970</v>
      </c>
      <c r="AC51" s="58">
        <v>43965</v>
      </c>
      <c r="AD51" s="58">
        <v>43970</v>
      </c>
      <c r="AE51" s="58">
        <v>43969</v>
      </c>
      <c r="AF51" s="58">
        <v>43969</v>
      </c>
      <c r="AG51" s="58" t="s">
        <v>75</v>
      </c>
      <c r="AH51" s="59">
        <v>1</v>
      </c>
      <c r="AI51" s="59">
        <v>1</v>
      </c>
      <c r="AJ51" s="59">
        <v>1</v>
      </c>
      <c r="AK51" s="58" t="s">
        <v>8</v>
      </c>
      <c r="AL51" s="13"/>
      <c r="AM51" s="13"/>
      <c r="AN51" s="13"/>
    </row>
    <row r="52" spans="2:40" ht="15">
      <c r="B52" s="166">
        <v>151</v>
      </c>
      <c r="C52" s="13">
        <v>20200514</v>
      </c>
      <c r="D52" s="13" t="s">
        <v>24</v>
      </c>
      <c r="E52" s="13" t="s">
        <v>1476</v>
      </c>
      <c r="F52" s="39" t="s">
        <v>1484</v>
      </c>
      <c r="G52" s="14">
        <v>1433776</v>
      </c>
      <c r="H52" s="164" t="s">
        <v>72</v>
      </c>
      <c r="I52" s="13" t="s">
        <v>1243</v>
      </c>
      <c r="J52" s="164" t="s">
        <v>72</v>
      </c>
      <c r="K52" s="13" t="s">
        <v>73</v>
      </c>
      <c r="L52" s="13" t="s">
        <v>1479</v>
      </c>
      <c r="M52" s="167" t="s">
        <v>1480</v>
      </c>
      <c r="N52" s="168" t="s">
        <v>1481</v>
      </c>
      <c r="O52" s="14" t="s">
        <v>72</v>
      </c>
      <c r="P52" s="14" t="s">
        <v>1241</v>
      </c>
      <c r="Q52" s="165"/>
      <c r="R52" s="164" t="s">
        <v>72</v>
      </c>
      <c r="S52" s="13" t="s">
        <v>78</v>
      </c>
      <c r="T52" s="13"/>
      <c r="U52" s="13"/>
      <c r="V52" s="13">
        <v>239</v>
      </c>
      <c r="W52" s="13">
        <v>239</v>
      </c>
      <c r="X52" s="13">
        <v>239</v>
      </c>
      <c r="Y52" s="13">
        <v>4.24</v>
      </c>
      <c r="Z52" s="13">
        <v>1</v>
      </c>
      <c r="AA52" s="13" t="s">
        <v>110</v>
      </c>
      <c r="AB52" s="58">
        <v>43970</v>
      </c>
      <c r="AC52" s="58">
        <v>43965</v>
      </c>
      <c r="AD52" s="58">
        <v>43970</v>
      </c>
      <c r="AE52" s="58">
        <v>43969</v>
      </c>
      <c r="AF52" s="58">
        <v>43969</v>
      </c>
      <c r="AG52" s="58" t="s">
        <v>75</v>
      </c>
      <c r="AH52" s="59">
        <v>1</v>
      </c>
      <c r="AI52" s="59">
        <v>1</v>
      </c>
      <c r="AJ52" s="59">
        <v>1</v>
      </c>
      <c r="AK52" s="58" t="s">
        <v>8</v>
      </c>
      <c r="AL52" s="13"/>
      <c r="AM52" s="13"/>
      <c r="AN52" s="13"/>
    </row>
    <row r="53" spans="2:40" ht="15">
      <c r="B53" s="166">
        <v>152</v>
      </c>
      <c r="C53" s="13">
        <v>20200514</v>
      </c>
      <c r="D53" s="13" t="s">
        <v>24</v>
      </c>
      <c r="E53" s="13" t="s">
        <v>1476</v>
      </c>
      <c r="F53" s="39" t="s">
        <v>1485</v>
      </c>
      <c r="G53" s="14">
        <v>1433776</v>
      </c>
      <c r="H53" s="164" t="s">
        <v>72</v>
      </c>
      <c r="I53" s="13" t="s">
        <v>130</v>
      </c>
      <c r="J53" s="164" t="s">
        <v>72</v>
      </c>
      <c r="K53" s="13" t="s">
        <v>73</v>
      </c>
      <c r="L53" s="13" t="s">
        <v>1479</v>
      </c>
      <c r="M53" s="167" t="s">
        <v>1480</v>
      </c>
      <c r="N53" s="168" t="s">
        <v>1481</v>
      </c>
      <c r="O53" s="14" t="s">
        <v>72</v>
      </c>
      <c r="P53" s="14" t="s">
        <v>1241</v>
      </c>
      <c r="Q53" s="165"/>
      <c r="R53" s="164" t="s">
        <v>72</v>
      </c>
      <c r="S53" s="13" t="s">
        <v>78</v>
      </c>
      <c r="T53" s="13"/>
      <c r="U53" s="13"/>
      <c r="V53" s="13">
        <v>220</v>
      </c>
      <c r="W53" s="13">
        <v>220</v>
      </c>
      <c r="X53" s="13">
        <v>220</v>
      </c>
      <c r="Y53" s="13">
        <v>3.91</v>
      </c>
      <c r="Z53" s="13">
        <v>1</v>
      </c>
      <c r="AA53" s="13" t="s">
        <v>110</v>
      </c>
      <c r="AB53" s="58">
        <v>43970</v>
      </c>
      <c r="AC53" s="58">
        <v>43965</v>
      </c>
      <c r="AD53" s="58">
        <v>43970</v>
      </c>
      <c r="AE53" s="58">
        <v>43969</v>
      </c>
      <c r="AF53" s="58">
        <v>43969</v>
      </c>
      <c r="AG53" s="58" t="s">
        <v>75</v>
      </c>
      <c r="AH53" s="59">
        <v>1</v>
      </c>
      <c r="AI53" s="59">
        <v>1</v>
      </c>
      <c r="AJ53" s="59">
        <v>1</v>
      </c>
      <c r="AK53" s="58" t="s">
        <v>8</v>
      </c>
      <c r="AL53" s="13"/>
      <c r="AM53" s="13"/>
      <c r="AN53" s="13"/>
    </row>
    <row r="54" spans="2:40" ht="15">
      <c r="B54" s="166">
        <v>153</v>
      </c>
      <c r="C54" s="13">
        <v>20200514</v>
      </c>
      <c r="D54" s="13" t="s">
        <v>24</v>
      </c>
      <c r="E54" s="13" t="s">
        <v>1476</v>
      </c>
      <c r="F54" s="39" t="s">
        <v>1486</v>
      </c>
      <c r="G54" s="14">
        <v>1433776</v>
      </c>
      <c r="H54" s="164" t="s">
        <v>72</v>
      </c>
      <c r="I54" s="13" t="s">
        <v>1487</v>
      </c>
      <c r="J54" s="164" t="s">
        <v>72</v>
      </c>
      <c r="K54" s="13" t="s">
        <v>73</v>
      </c>
      <c r="L54" s="13" t="s">
        <v>1479</v>
      </c>
      <c r="M54" s="167" t="s">
        <v>1480</v>
      </c>
      <c r="N54" s="168" t="s">
        <v>1481</v>
      </c>
      <c r="O54" s="14" t="s">
        <v>72</v>
      </c>
      <c r="P54" s="14" t="s">
        <v>1241</v>
      </c>
      <c r="Q54" s="165"/>
      <c r="R54" s="164" t="s">
        <v>72</v>
      </c>
      <c r="S54" s="13" t="s">
        <v>78</v>
      </c>
      <c r="T54" s="13"/>
      <c r="U54" s="13"/>
      <c r="V54" s="13">
        <v>42</v>
      </c>
      <c r="W54" s="13">
        <v>42</v>
      </c>
      <c r="X54" s="13">
        <v>42</v>
      </c>
      <c r="Y54" s="13">
        <v>0.74</v>
      </c>
      <c r="Z54" s="13">
        <v>1</v>
      </c>
      <c r="AA54" s="13" t="s">
        <v>110</v>
      </c>
      <c r="AB54" s="58">
        <v>43970</v>
      </c>
      <c r="AC54" s="58">
        <v>43965</v>
      </c>
      <c r="AD54" s="58">
        <v>43970</v>
      </c>
      <c r="AE54" s="58">
        <v>43969</v>
      </c>
      <c r="AF54" s="58">
        <v>43969</v>
      </c>
      <c r="AG54" s="58" t="s">
        <v>75</v>
      </c>
      <c r="AH54" s="59">
        <v>1</v>
      </c>
      <c r="AI54" s="59">
        <v>1</v>
      </c>
      <c r="AJ54" s="59">
        <v>1</v>
      </c>
      <c r="AK54" s="58" t="s">
        <v>8</v>
      </c>
      <c r="AL54" s="13"/>
      <c r="AM54" s="13"/>
      <c r="AN54" s="13"/>
    </row>
    <row r="55" spans="2:40" ht="15">
      <c r="B55" s="166">
        <v>154</v>
      </c>
      <c r="C55" s="13">
        <v>20200514</v>
      </c>
      <c r="D55" s="13" t="s">
        <v>24</v>
      </c>
      <c r="E55" s="13" t="s">
        <v>1476</v>
      </c>
      <c r="F55" s="39" t="s">
        <v>1488</v>
      </c>
      <c r="G55" s="14">
        <v>1433776</v>
      </c>
      <c r="H55" s="164" t="s">
        <v>72</v>
      </c>
      <c r="I55" s="13" t="s">
        <v>1489</v>
      </c>
      <c r="J55" s="164" t="s">
        <v>72</v>
      </c>
      <c r="K55" s="13" t="s">
        <v>73</v>
      </c>
      <c r="L55" s="13" t="s">
        <v>1479</v>
      </c>
      <c r="M55" s="167" t="s">
        <v>1480</v>
      </c>
      <c r="N55" s="168" t="s">
        <v>1481</v>
      </c>
      <c r="O55" s="14" t="s">
        <v>72</v>
      </c>
      <c r="P55" s="14" t="s">
        <v>1241</v>
      </c>
      <c r="Q55" s="165"/>
      <c r="R55" s="164" t="s">
        <v>72</v>
      </c>
      <c r="S55" s="13" t="s">
        <v>78</v>
      </c>
      <c r="T55" s="13"/>
      <c r="U55" s="13"/>
      <c r="V55" s="13">
        <v>91</v>
      </c>
      <c r="W55" s="13">
        <v>91</v>
      </c>
      <c r="X55" s="13">
        <v>91</v>
      </c>
      <c r="Y55" s="13">
        <v>1.61</v>
      </c>
      <c r="Z55" s="13">
        <v>1</v>
      </c>
      <c r="AA55" s="13" t="s">
        <v>110</v>
      </c>
      <c r="AB55" s="58">
        <v>43970</v>
      </c>
      <c r="AC55" s="58">
        <v>43965</v>
      </c>
      <c r="AD55" s="58">
        <v>43970</v>
      </c>
      <c r="AE55" s="58">
        <v>43969</v>
      </c>
      <c r="AF55" s="58">
        <v>43969</v>
      </c>
      <c r="AG55" s="58" t="s">
        <v>75</v>
      </c>
      <c r="AH55" s="59">
        <v>1</v>
      </c>
      <c r="AI55" s="59">
        <v>1</v>
      </c>
      <c r="AJ55" s="59">
        <v>1</v>
      </c>
      <c r="AK55" s="58" t="s">
        <v>8</v>
      </c>
      <c r="AL55" s="13"/>
      <c r="AM55" s="13"/>
      <c r="AN55" s="13"/>
    </row>
    <row r="56" spans="2:40" ht="15">
      <c r="B56" s="166">
        <v>155</v>
      </c>
      <c r="C56" s="13">
        <v>20200514</v>
      </c>
      <c r="D56" s="13" t="s">
        <v>24</v>
      </c>
      <c r="E56" s="13" t="s">
        <v>1490</v>
      </c>
      <c r="F56" s="39" t="s">
        <v>1491</v>
      </c>
      <c r="G56" s="14">
        <v>1468187</v>
      </c>
      <c r="H56" s="164" t="s">
        <v>72</v>
      </c>
      <c r="I56" s="13" t="s">
        <v>953</v>
      </c>
      <c r="J56" s="164" t="s">
        <v>72</v>
      </c>
      <c r="K56" s="13" t="s">
        <v>73</v>
      </c>
      <c r="L56" s="13" t="s">
        <v>1492</v>
      </c>
      <c r="M56" s="13" t="s">
        <v>1493</v>
      </c>
      <c r="N56" s="13" t="s">
        <v>887</v>
      </c>
      <c r="O56" s="14" t="s">
        <v>72</v>
      </c>
      <c r="P56" s="14" t="s">
        <v>951</v>
      </c>
      <c r="Q56" s="165"/>
      <c r="R56" s="164" t="s">
        <v>72</v>
      </c>
      <c r="S56" s="13" t="s">
        <v>78</v>
      </c>
      <c r="T56" s="13"/>
      <c r="U56" s="13"/>
      <c r="V56" s="13">
        <v>116</v>
      </c>
      <c r="W56" s="13">
        <v>116</v>
      </c>
      <c r="X56" s="13">
        <v>116</v>
      </c>
      <c r="Y56" s="13">
        <v>2.06</v>
      </c>
      <c r="Z56" s="13">
        <v>1</v>
      </c>
      <c r="AA56" s="13" t="s">
        <v>110</v>
      </c>
      <c r="AB56" s="58">
        <v>43970</v>
      </c>
      <c r="AC56" s="58">
        <v>43965</v>
      </c>
      <c r="AD56" s="58">
        <v>43970</v>
      </c>
      <c r="AE56" s="58">
        <v>43969</v>
      </c>
      <c r="AF56" s="58">
        <v>43969</v>
      </c>
      <c r="AG56" s="58" t="s">
        <v>75</v>
      </c>
      <c r="AH56" s="59">
        <v>1</v>
      </c>
      <c r="AI56" s="59">
        <v>1</v>
      </c>
      <c r="AJ56" s="59">
        <v>1</v>
      </c>
      <c r="AK56" s="58" t="s">
        <v>8</v>
      </c>
      <c r="AL56" s="13"/>
      <c r="AM56" s="13"/>
      <c r="AN56" s="13"/>
    </row>
    <row r="57" spans="2:40" ht="15">
      <c r="B57" s="166">
        <v>156</v>
      </c>
      <c r="C57" s="13">
        <v>20200514</v>
      </c>
      <c r="D57" s="13" t="s">
        <v>24</v>
      </c>
      <c r="E57" s="13" t="s">
        <v>1490</v>
      </c>
      <c r="F57" s="39" t="s">
        <v>1494</v>
      </c>
      <c r="G57" s="14">
        <v>1468187</v>
      </c>
      <c r="H57" s="164" t="s">
        <v>72</v>
      </c>
      <c r="I57" s="13" t="s">
        <v>1495</v>
      </c>
      <c r="J57" s="164" t="s">
        <v>72</v>
      </c>
      <c r="K57" s="13" t="s">
        <v>73</v>
      </c>
      <c r="L57" s="13" t="s">
        <v>1492</v>
      </c>
      <c r="M57" s="13" t="s">
        <v>1493</v>
      </c>
      <c r="N57" s="13" t="s">
        <v>887</v>
      </c>
      <c r="O57" s="14" t="s">
        <v>72</v>
      </c>
      <c r="P57" s="14" t="s">
        <v>951</v>
      </c>
      <c r="Q57" s="165"/>
      <c r="R57" s="164" t="s">
        <v>72</v>
      </c>
      <c r="S57" s="13" t="s">
        <v>78</v>
      </c>
      <c r="T57" s="13"/>
      <c r="U57" s="13"/>
      <c r="V57" s="13">
        <v>132</v>
      </c>
      <c r="W57" s="13">
        <v>132</v>
      </c>
      <c r="X57" s="13">
        <v>132</v>
      </c>
      <c r="Y57" s="13">
        <v>2.34</v>
      </c>
      <c r="Z57" s="13">
        <v>0.5</v>
      </c>
      <c r="AA57" s="13" t="s">
        <v>110</v>
      </c>
      <c r="AB57" s="58">
        <v>43970</v>
      </c>
      <c r="AC57" s="58">
        <v>43965</v>
      </c>
      <c r="AD57" s="58">
        <v>43970</v>
      </c>
      <c r="AE57" s="58">
        <v>43969</v>
      </c>
      <c r="AF57" s="58">
        <v>43969</v>
      </c>
      <c r="AG57" s="58" t="s">
        <v>75</v>
      </c>
      <c r="AH57" s="59">
        <v>1</v>
      </c>
      <c r="AI57" s="59">
        <v>1</v>
      </c>
      <c r="AJ57" s="59">
        <v>1</v>
      </c>
      <c r="AK57" s="58" t="s">
        <v>8</v>
      </c>
      <c r="AL57" s="13"/>
      <c r="AM57" s="13"/>
      <c r="AN57" s="13"/>
    </row>
    <row r="58" spans="2:40" ht="15">
      <c r="B58" s="166">
        <v>157</v>
      </c>
      <c r="C58" s="13">
        <v>20200514</v>
      </c>
      <c r="D58" s="13" t="s">
        <v>24</v>
      </c>
      <c r="E58" s="13" t="s">
        <v>1490</v>
      </c>
      <c r="F58" s="39" t="s">
        <v>1496</v>
      </c>
      <c r="G58" s="14">
        <v>1468187</v>
      </c>
      <c r="H58" s="164" t="s">
        <v>72</v>
      </c>
      <c r="I58" s="13" t="s">
        <v>256</v>
      </c>
      <c r="J58" s="164" t="s">
        <v>72</v>
      </c>
      <c r="K58" s="13" t="s">
        <v>73</v>
      </c>
      <c r="L58" s="13" t="s">
        <v>1492</v>
      </c>
      <c r="M58" s="13" t="s">
        <v>1493</v>
      </c>
      <c r="N58" s="13" t="s">
        <v>887</v>
      </c>
      <c r="O58" s="14" t="s">
        <v>72</v>
      </c>
      <c r="P58" s="14" t="s">
        <v>951</v>
      </c>
      <c r="Q58" s="165"/>
      <c r="R58" s="164" t="s">
        <v>72</v>
      </c>
      <c r="S58" s="13" t="s">
        <v>78</v>
      </c>
      <c r="T58" s="13"/>
      <c r="U58" s="13"/>
      <c r="V58" s="13">
        <v>162</v>
      </c>
      <c r="W58" s="13">
        <v>162</v>
      </c>
      <c r="X58" s="13">
        <v>162</v>
      </c>
      <c r="Y58" s="13">
        <v>2.88</v>
      </c>
      <c r="Z58" s="13">
        <v>0.5</v>
      </c>
      <c r="AA58" s="13" t="s">
        <v>110</v>
      </c>
      <c r="AB58" s="58">
        <v>43970</v>
      </c>
      <c r="AC58" s="58">
        <v>43965</v>
      </c>
      <c r="AD58" s="58">
        <v>43970</v>
      </c>
      <c r="AE58" s="58">
        <v>43969</v>
      </c>
      <c r="AF58" s="58">
        <v>43969</v>
      </c>
      <c r="AG58" s="58" t="s">
        <v>75</v>
      </c>
      <c r="AH58" s="59">
        <v>1</v>
      </c>
      <c r="AI58" s="59">
        <v>1</v>
      </c>
      <c r="AJ58" s="59">
        <v>1</v>
      </c>
      <c r="AK58" s="58" t="s">
        <v>8</v>
      </c>
      <c r="AL58" s="13"/>
      <c r="AM58" s="13"/>
      <c r="AN58" s="13"/>
    </row>
    <row r="59" spans="2:40" ht="15">
      <c r="B59" s="166">
        <v>158</v>
      </c>
      <c r="C59" s="13">
        <v>20200514</v>
      </c>
      <c r="D59" s="13" t="s">
        <v>24</v>
      </c>
      <c r="E59" s="13" t="s">
        <v>1490</v>
      </c>
      <c r="F59" s="39" t="s">
        <v>1497</v>
      </c>
      <c r="G59" s="14">
        <v>1468187</v>
      </c>
      <c r="H59" s="164" t="s">
        <v>72</v>
      </c>
      <c r="I59" s="13" t="s">
        <v>1090</v>
      </c>
      <c r="J59" s="164" t="s">
        <v>72</v>
      </c>
      <c r="K59" s="13" t="s">
        <v>73</v>
      </c>
      <c r="L59" s="13" t="s">
        <v>1492</v>
      </c>
      <c r="M59" s="13" t="s">
        <v>1493</v>
      </c>
      <c r="N59" s="13" t="s">
        <v>887</v>
      </c>
      <c r="O59" s="14" t="s">
        <v>72</v>
      </c>
      <c r="P59" s="14" t="s">
        <v>951</v>
      </c>
      <c r="Q59" s="165"/>
      <c r="R59" s="164" t="s">
        <v>72</v>
      </c>
      <c r="S59" s="13" t="s">
        <v>78</v>
      </c>
      <c r="T59" s="13"/>
      <c r="U59" s="13"/>
      <c r="V59" s="13">
        <v>72</v>
      </c>
      <c r="W59" s="13">
        <v>72</v>
      </c>
      <c r="X59" s="13">
        <v>72</v>
      </c>
      <c r="Y59" s="13">
        <v>1.28</v>
      </c>
      <c r="Z59" s="13">
        <v>0.5</v>
      </c>
      <c r="AA59" s="13" t="s">
        <v>110</v>
      </c>
      <c r="AB59" s="58">
        <v>43970</v>
      </c>
      <c r="AC59" s="58">
        <v>43965</v>
      </c>
      <c r="AD59" s="58">
        <v>43970</v>
      </c>
      <c r="AE59" s="58">
        <v>43969</v>
      </c>
      <c r="AF59" s="58">
        <v>43969</v>
      </c>
      <c r="AG59" s="58" t="s">
        <v>75</v>
      </c>
      <c r="AH59" s="59">
        <v>1</v>
      </c>
      <c r="AI59" s="59">
        <v>1</v>
      </c>
      <c r="AJ59" s="59">
        <v>1</v>
      </c>
      <c r="AK59" s="58" t="s">
        <v>8</v>
      </c>
      <c r="AL59" s="13"/>
      <c r="AM59" s="13"/>
      <c r="AN59" s="13"/>
    </row>
    <row r="60" spans="2:40" ht="15">
      <c r="B60" s="166">
        <v>159</v>
      </c>
      <c r="C60" s="13">
        <v>20200514</v>
      </c>
      <c r="D60" s="13" t="s">
        <v>24</v>
      </c>
      <c r="E60" s="13" t="s">
        <v>1490</v>
      </c>
      <c r="F60" s="39" t="s">
        <v>1498</v>
      </c>
      <c r="G60" s="14">
        <v>1468172</v>
      </c>
      <c r="H60" s="164" t="s">
        <v>72</v>
      </c>
      <c r="I60" s="13" t="s">
        <v>132</v>
      </c>
      <c r="J60" s="164" t="s">
        <v>72</v>
      </c>
      <c r="K60" s="13" t="s">
        <v>73</v>
      </c>
      <c r="L60" s="13" t="s">
        <v>8</v>
      </c>
      <c r="M60" s="13" t="s">
        <v>1493</v>
      </c>
      <c r="N60" s="13" t="s">
        <v>887</v>
      </c>
      <c r="O60" s="14" t="s">
        <v>72</v>
      </c>
      <c r="P60" s="14" t="s">
        <v>1499</v>
      </c>
      <c r="Q60" s="165"/>
      <c r="R60" s="164" t="s">
        <v>72</v>
      </c>
      <c r="S60" s="13" t="s">
        <v>109</v>
      </c>
      <c r="T60" s="13"/>
      <c r="U60" s="13"/>
      <c r="V60" s="13">
        <v>51</v>
      </c>
      <c r="W60" s="13">
        <v>51</v>
      </c>
      <c r="X60" s="13">
        <v>51</v>
      </c>
      <c r="Y60" s="13">
        <v>0.9</v>
      </c>
      <c r="Z60" s="13">
        <v>0.5</v>
      </c>
      <c r="AA60" s="13" t="s">
        <v>110</v>
      </c>
      <c r="AB60" s="58">
        <v>43970</v>
      </c>
      <c r="AC60" s="58">
        <v>43965</v>
      </c>
      <c r="AD60" s="58">
        <v>43970</v>
      </c>
      <c r="AE60" s="58">
        <v>43969</v>
      </c>
      <c r="AF60" s="58">
        <v>43969</v>
      </c>
      <c r="AG60" s="58" t="s">
        <v>75</v>
      </c>
      <c r="AH60" s="59">
        <v>1</v>
      </c>
      <c r="AI60" s="59">
        <v>1</v>
      </c>
      <c r="AJ60" s="59">
        <v>1</v>
      </c>
      <c r="AK60" s="58" t="s">
        <v>8</v>
      </c>
      <c r="AL60" s="13" t="s">
        <v>72</v>
      </c>
      <c r="AM60" s="13" t="s">
        <v>72</v>
      </c>
      <c r="AN60" s="13" t="s">
        <v>72</v>
      </c>
    </row>
    <row r="61" spans="2:40" ht="15">
      <c r="B61" s="166">
        <v>160</v>
      </c>
      <c r="C61" s="13">
        <v>20200514</v>
      </c>
      <c r="D61" s="13" t="s">
        <v>24</v>
      </c>
      <c r="E61" s="13" t="s">
        <v>1490</v>
      </c>
      <c r="F61" s="39" t="s">
        <v>1500</v>
      </c>
      <c r="G61" s="14">
        <v>1468172</v>
      </c>
      <c r="H61" s="164" t="s">
        <v>72</v>
      </c>
      <c r="I61" s="13" t="s">
        <v>135</v>
      </c>
      <c r="J61" s="164" t="s">
        <v>72</v>
      </c>
      <c r="K61" s="13" t="s">
        <v>73</v>
      </c>
      <c r="L61" s="13" t="s">
        <v>8</v>
      </c>
      <c r="M61" s="13" t="s">
        <v>1493</v>
      </c>
      <c r="N61" s="13" t="s">
        <v>887</v>
      </c>
      <c r="O61" s="14" t="s">
        <v>72</v>
      </c>
      <c r="P61" s="14" t="s">
        <v>1499</v>
      </c>
      <c r="Q61" s="165"/>
      <c r="R61" s="164" t="s">
        <v>72</v>
      </c>
      <c r="S61" s="13" t="s">
        <v>109</v>
      </c>
      <c r="T61" s="13"/>
      <c r="U61" s="13"/>
      <c r="V61" s="13">
        <v>109</v>
      </c>
      <c r="W61" s="13">
        <v>109</v>
      </c>
      <c r="X61" s="13">
        <v>109</v>
      </c>
      <c r="Y61" s="13">
        <v>1.93</v>
      </c>
      <c r="Z61" s="13">
        <v>0.5</v>
      </c>
      <c r="AA61" s="13" t="s">
        <v>110</v>
      </c>
      <c r="AB61" s="58">
        <v>43970</v>
      </c>
      <c r="AC61" s="58">
        <v>43965</v>
      </c>
      <c r="AD61" s="58">
        <v>43970</v>
      </c>
      <c r="AE61" s="58">
        <v>43969</v>
      </c>
      <c r="AF61" s="58">
        <v>43969</v>
      </c>
      <c r="AG61" s="58" t="s">
        <v>75</v>
      </c>
      <c r="AH61" s="59">
        <v>1</v>
      </c>
      <c r="AI61" s="59">
        <v>1</v>
      </c>
      <c r="AJ61" s="59">
        <v>1</v>
      </c>
      <c r="AK61" s="58" t="s">
        <v>8</v>
      </c>
      <c r="AL61" s="13" t="s">
        <v>72</v>
      </c>
      <c r="AM61" s="13" t="s">
        <v>72</v>
      </c>
      <c r="AN61" s="13" t="s">
        <v>72</v>
      </c>
    </row>
    <row r="62" spans="2:40" ht="15">
      <c r="B62" s="166">
        <v>161</v>
      </c>
      <c r="C62" s="13">
        <v>20200514</v>
      </c>
      <c r="D62" s="13" t="s">
        <v>24</v>
      </c>
      <c r="E62" s="13" t="s">
        <v>1490</v>
      </c>
      <c r="F62" s="39" t="s">
        <v>1501</v>
      </c>
      <c r="G62" s="14">
        <v>1468172</v>
      </c>
      <c r="H62" s="164" t="s">
        <v>72</v>
      </c>
      <c r="I62" s="13" t="s">
        <v>1502</v>
      </c>
      <c r="J62" s="164" t="s">
        <v>72</v>
      </c>
      <c r="K62" s="13" t="s">
        <v>73</v>
      </c>
      <c r="L62" s="13" t="s">
        <v>8</v>
      </c>
      <c r="M62" s="13" t="s">
        <v>1493</v>
      </c>
      <c r="N62" s="13" t="s">
        <v>887</v>
      </c>
      <c r="O62" s="14" t="s">
        <v>72</v>
      </c>
      <c r="P62" s="14" t="s">
        <v>1499</v>
      </c>
      <c r="Q62" s="165"/>
      <c r="R62" s="164" t="s">
        <v>72</v>
      </c>
      <c r="S62" s="13" t="s">
        <v>109</v>
      </c>
      <c r="T62" s="13"/>
      <c r="U62" s="13"/>
      <c r="V62" s="13">
        <v>64</v>
      </c>
      <c r="W62" s="13">
        <v>64</v>
      </c>
      <c r="X62" s="13">
        <v>64</v>
      </c>
      <c r="Y62" s="13">
        <v>1.1299999999999999</v>
      </c>
      <c r="Z62" s="13">
        <v>0.5</v>
      </c>
      <c r="AA62" s="13" t="s">
        <v>110</v>
      </c>
      <c r="AB62" s="58">
        <v>43970</v>
      </c>
      <c r="AC62" s="58">
        <v>43965</v>
      </c>
      <c r="AD62" s="58">
        <v>43970</v>
      </c>
      <c r="AE62" s="58">
        <v>43969</v>
      </c>
      <c r="AF62" s="58">
        <v>43969</v>
      </c>
      <c r="AG62" s="58" t="s">
        <v>79</v>
      </c>
      <c r="AH62" s="59">
        <v>1</v>
      </c>
      <c r="AI62" s="59">
        <v>0.9</v>
      </c>
      <c r="AJ62" s="59">
        <v>1</v>
      </c>
      <c r="AK62" s="58" t="s">
        <v>76</v>
      </c>
      <c r="AL62" s="14" t="s">
        <v>1503</v>
      </c>
      <c r="AM62" s="13" t="s">
        <v>72</v>
      </c>
      <c r="AN62" s="14" t="s">
        <v>571</v>
      </c>
    </row>
    <row r="63" spans="2:40" ht="15">
      <c r="B63" s="166">
        <v>162</v>
      </c>
      <c r="C63" s="13">
        <v>20200514</v>
      </c>
      <c r="D63" s="13" t="s">
        <v>24</v>
      </c>
      <c r="E63" s="13" t="s">
        <v>1490</v>
      </c>
      <c r="F63" s="39" t="s">
        <v>1504</v>
      </c>
      <c r="G63" s="14">
        <v>1468172</v>
      </c>
      <c r="H63" s="164" t="s">
        <v>72</v>
      </c>
      <c r="I63" s="13" t="s">
        <v>734</v>
      </c>
      <c r="J63" s="164" t="s">
        <v>72</v>
      </c>
      <c r="K63" s="13" t="s">
        <v>73</v>
      </c>
      <c r="L63" s="13" t="s">
        <v>8</v>
      </c>
      <c r="M63" s="13" t="s">
        <v>1493</v>
      </c>
      <c r="N63" s="13" t="s">
        <v>887</v>
      </c>
      <c r="O63" s="14" t="s">
        <v>72</v>
      </c>
      <c r="P63" s="14" t="s">
        <v>1499</v>
      </c>
      <c r="Q63" s="165"/>
      <c r="R63" s="164" t="s">
        <v>72</v>
      </c>
      <c r="S63" s="13" t="s">
        <v>109</v>
      </c>
      <c r="T63" s="13"/>
      <c r="U63" s="13"/>
      <c r="V63" s="13">
        <v>87</v>
      </c>
      <c r="W63" s="13">
        <v>87</v>
      </c>
      <c r="X63" s="13">
        <v>87</v>
      </c>
      <c r="Y63" s="13">
        <v>1.54</v>
      </c>
      <c r="Z63" s="13">
        <v>0.5</v>
      </c>
      <c r="AA63" s="13" t="s">
        <v>110</v>
      </c>
      <c r="AB63" s="58">
        <v>43970</v>
      </c>
      <c r="AC63" s="58">
        <v>43965</v>
      </c>
      <c r="AD63" s="58">
        <v>43970</v>
      </c>
      <c r="AE63" s="58">
        <v>43969</v>
      </c>
      <c r="AF63" s="58">
        <v>43969</v>
      </c>
      <c r="AG63" s="58" t="s">
        <v>75</v>
      </c>
      <c r="AH63" s="59">
        <v>1</v>
      </c>
      <c r="AI63" s="59">
        <v>1</v>
      </c>
      <c r="AJ63" s="59">
        <v>1</v>
      </c>
      <c r="AK63" s="58" t="s">
        <v>8</v>
      </c>
      <c r="AL63" s="13" t="s">
        <v>72</v>
      </c>
      <c r="AM63" s="13" t="s">
        <v>72</v>
      </c>
      <c r="AN63" s="13" t="s">
        <v>72</v>
      </c>
    </row>
    <row r="64" spans="2:40" ht="15">
      <c r="B64" s="166">
        <v>163</v>
      </c>
      <c r="C64" s="13">
        <v>20200514</v>
      </c>
      <c r="D64" s="13" t="s">
        <v>24</v>
      </c>
      <c r="E64" s="13" t="s">
        <v>1490</v>
      </c>
      <c r="F64" s="39" t="s">
        <v>1505</v>
      </c>
      <c r="G64" s="14">
        <v>1468172</v>
      </c>
      <c r="H64" s="164" t="s">
        <v>72</v>
      </c>
      <c r="I64" s="13" t="s">
        <v>1506</v>
      </c>
      <c r="J64" s="164" t="s">
        <v>72</v>
      </c>
      <c r="K64" s="13" t="s">
        <v>73</v>
      </c>
      <c r="L64" s="13" t="s">
        <v>8</v>
      </c>
      <c r="M64" s="13" t="s">
        <v>1493</v>
      </c>
      <c r="N64" s="13" t="s">
        <v>887</v>
      </c>
      <c r="O64" s="14" t="s">
        <v>72</v>
      </c>
      <c r="P64" s="14" t="s">
        <v>1499</v>
      </c>
      <c r="Q64" s="165"/>
      <c r="R64" s="164" t="s">
        <v>72</v>
      </c>
      <c r="S64" s="13" t="s">
        <v>109</v>
      </c>
      <c r="T64" s="13"/>
      <c r="U64" s="13"/>
      <c r="V64" s="13">
        <v>55</v>
      </c>
      <c r="W64" s="13">
        <v>55</v>
      </c>
      <c r="X64" s="13">
        <v>55</v>
      </c>
      <c r="Y64" s="13">
        <v>0.97</v>
      </c>
      <c r="Z64" s="13">
        <v>0.5</v>
      </c>
      <c r="AA64" s="13" t="s">
        <v>110</v>
      </c>
      <c r="AB64" s="58">
        <v>43970</v>
      </c>
      <c r="AC64" s="58">
        <v>43965</v>
      </c>
      <c r="AD64" s="58">
        <v>43970</v>
      </c>
      <c r="AE64" s="58">
        <v>43969</v>
      </c>
      <c r="AF64" s="58">
        <v>43969</v>
      </c>
      <c r="AG64" s="58" t="s">
        <v>75</v>
      </c>
      <c r="AH64" s="59">
        <v>1</v>
      </c>
      <c r="AI64" s="59">
        <v>1</v>
      </c>
      <c r="AJ64" s="59">
        <v>1</v>
      </c>
      <c r="AK64" s="58" t="s">
        <v>8</v>
      </c>
      <c r="AL64" s="13" t="s">
        <v>72</v>
      </c>
      <c r="AM64" s="13" t="s">
        <v>72</v>
      </c>
      <c r="AN64" s="13" t="s">
        <v>72</v>
      </c>
    </row>
    <row r="65" spans="2:40" ht="15">
      <c r="B65" s="166">
        <v>164</v>
      </c>
      <c r="C65" s="13">
        <v>20200514</v>
      </c>
      <c r="D65" s="13" t="s">
        <v>24</v>
      </c>
      <c r="E65" s="13" t="s">
        <v>1490</v>
      </c>
      <c r="F65" s="39" t="s">
        <v>1507</v>
      </c>
      <c r="G65" s="14">
        <v>1468172</v>
      </c>
      <c r="H65" s="164" t="s">
        <v>72</v>
      </c>
      <c r="I65" s="13" t="s">
        <v>1272</v>
      </c>
      <c r="J65" s="164" t="s">
        <v>72</v>
      </c>
      <c r="K65" s="13" t="s">
        <v>73</v>
      </c>
      <c r="L65" s="13" t="s">
        <v>8</v>
      </c>
      <c r="M65" s="13" t="s">
        <v>1493</v>
      </c>
      <c r="N65" s="13" t="s">
        <v>887</v>
      </c>
      <c r="O65" s="14" t="s">
        <v>72</v>
      </c>
      <c r="P65" s="14" t="s">
        <v>1499</v>
      </c>
      <c r="Q65" s="165"/>
      <c r="R65" s="164" t="s">
        <v>72</v>
      </c>
      <c r="S65" s="13" t="s">
        <v>109</v>
      </c>
      <c r="T65" s="13"/>
      <c r="U65" s="13"/>
      <c r="V65" s="13">
        <v>125</v>
      </c>
      <c r="W65" s="13">
        <v>125</v>
      </c>
      <c r="X65" s="13">
        <v>125</v>
      </c>
      <c r="Y65" s="13">
        <v>2.2200000000000002</v>
      </c>
      <c r="Z65" s="13">
        <v>0.5</v>
      </c>
      <c r="AA65" s="13" t="s">
        <v>110</v>
      </c>
      <c r="AB65" s="58">
        <v>43970</v>
      </c>
      <c r="AC65" s="58">
        <v>43965</v>
      </c>
      <c r="AD65" s="58">
        <v>43970</v>
      </c>
      <c r="AE65" s="58">
        <v>43969</v>
      </c>
      <c r="AF65" s="58">
        <v>43969</v>
      </c>
      <c r="AG65" s="58" t="s">
        <v>75</v>
      </c>
      <c r="AH65" s="59">
        <v>1</v>
      </c>
      <c r="AI65" s="59">
        <v>1</v>
      </c>
      <c r="AJ65" s="59">
        <v>1</v>
      </c>
      <c r="AK65" s="58" t="s">
        <v>8</v>
      </c>
      <c r="AL65" s="13" t="s">
        <v>72</v>
      </c>
      <c r="AM65" s="13" t="s">
        <v>72</v>
      </c>
      <c r="AN65" s="13" t="s">
        <v>72</v>
      </c>
    </row>
    <row r="66" spans="2:40" ht="15">
      <c r="B66" s="166">
        <v>165</v>
      </c>
      <c r="C66" s="13">
        <v>20200514</v>
      </c>
      <c r="D66" s="13" t="s">
        <v>24</v>
      </c>
      <c r="E66" s="13" t="s">
        <v>1490</v>
      </c>
      <c r="F66" s="39" t="s">
        <v>1508</v>
      </c>
      <c r="G66" s="14">
        <v>1468172</v>
      </c>
      <c r="H66" s="164" t="s">
        <v>72</v>
      </c>
      <c r="I66" s="13" t="s">
        <v>1509</v>
      </c>
      <c r="J66" s="164" t="s">
        <v>72</v>
      </c>
      <c r="K66" s="13" t="s">
        <v>73</v>
      </c>
      <c r="L66" s="13" t="s">
        <v>8</v>
      </c>
      <c r="M66" s="13" t="s">
        <v>1493</v>
      </c>
      <c r="N66" s="13" t="s">
        <v>887</v>
      </c>
      <c r="O66" s="14" t="s">
        <v>72</v>
      </c>
      <c r="P66" s="14" t="s">
        <v>1499</v>
      </c>
      <c r="Q66" s="165"/>
      <c r="R66" s="164" t="s">
        <v>72</v>
      </c>
      <c r="S66" s="13" t="s">
        <v>109</v>
      </c>
      <c r="T66" s="13"/>
      <c r="U66" s="13"/>
      <c r="V66" s="13">
        <v>107</v>
      </c>
      <c r="W66" s="13">
        <v>107</v>
      </c>
      <c r="X66" s="13">
        <v>107</v>
      </c>
      <c r="Y66" s="13">
        <v>1.9</v>
      </c>
      <c r="Z66" s="13">
        <v>0.5</v>
      </c>
      <c r="AA66" s="13" t="s">
        <v>110</v>
      </c>
      <c r="AB66" s="58">
        <v>43970</v>
      </c>
      <c r="AC66" s="58">
        <v>43965</v>
      </c>
      <c r="AD66" s="58">
        <v>43970</v>
      </c>
      <c r="AE66" s="58">
        <v>43969</v>
      </c>
      <c r="AF66" s="58">
        <v>43969</v>
      </c>
      <c r="AG66" s="58" t="s">
        <v>75</v>
      </c>
      <c r="AH66" s="59">
        <v>1</v>
      </c>
      <c r="AI66" s="59">
        <v>1</v>
      </c>
      <c r="AJ66" s="59">
        <v>1</v>
      </c>
      <c r="AK66" s="58" t="s">
        <v>8</v>
      </c>
      <c r="AL66" s="13" t="s">
        <v>72</v>
      </c>
      <c r="AM66" s="13" t="s">
        <v>72</v>
      </c>
      <c r="AN66" s="13" t="s">
        <v>72</v>
      </c>
    </row>
    <row r="67" spans="2:40" ht="15">
      <c r="B67" s="166">
        <v>166</v>
      </c>
      <c r="C67" s="13">
        <v>20200514</v>
      </c>
      <c r="D67" s="13" t="s">
        <v>24</v>
      </c>
      <c r="E67" s="13" t="s">
        <v>1490</v>
      </c>
      <c r="F67" s="39" t="s">
        <v>1510</v>
      </c>
      <c r="G67" s="14">
        <v>1468172</v>
      </c>
      <c r="H67" s="164" t="s">
        <v>72</v>
      </c>
      <c r="I67" s="13" t="s">
        <v>1511</v>
      </c>
      <c r="J67" s="164" t="s">
        <v>72</v>
      </c>
      <c r="K67" s="13" t="s">
        <v>73</v>
      </c>
      <c r="L67" s="13" t="s">
        <v>8</v>
      </c>
      <c r="M67" s="13" t="s">
        <v>1493</v>
      </c>
      <c r="N67" s="13" t="s">
        <v>887</v>
      </c>
      <c r="O67" s="14" t="s">
        <v>72</v>
      </c>
      <c r="P67" s="14" t="s">
        <v>1499</v>
      </c>
      <c r="Q67" s="165"/>
      <c r="R67" s="164" t="s">
        <v>72</v>
      </c>
      <c r="S67" s="13" t="s">
        <v>109</v>
      </c>
      <c r="T67" s="13"/>
      <c r="U67" s="13"/>
      <c r="V67" s="13">
        <v>41</v>
      </c>
      <c r="W67" s="13">
        <v>41</v>
      </c>
      <c r="X67" s="13">
        <v>41</v>
      </c>
      <c r="Y67" s="13">
        <v>0.72</v>
      </c>
      <c r="Z67" s="13">
        <v>0.5</v>
      </c>
      <c r="AA67" s="13" t="s">
        <v>110</v>
      </c>
      <c r="AB67" s="58">
        <v>43970</v>
      </c>
      <c r="AC67" s="58">
        <v>43965</v>
      </c>
      <c r="AD67" s="58">
        <v>43970</v>
      </c>
      <c r="AE67" s="58">
        <v>43969</v>
      </c>
      <c r="AF67" s="58">
        <v>43969</v>
      </c>
      <c r="AG67" s="58" t="s">
        <v>75</v>
      </c>
      <c r="AH67" s="59">
        <v>1</v>
      </c>
      <c r="AI67" s="59">
        <v>1</v>
      </c>
      <c r="AJ67" s="59">
        <v>1</v>
      </c>
      <c r="AK67" s="58" t="s">
        <v>8</v>
      </c>
      <c r="AL67" s="13" t="s">
        <v>72</v>
      </c>
      <c r="AM67" s="13" t="s">
        <v>72</v>
      </c>
      <c r="AN67" s="13" t="s">
        <v>72</v>
      </c>
    </row>
    <row r="68" spans="2:40" ht="15">
      <c r="B68" s="166">
        <v>167</v>
      </c>
      <c r="C68" s="13">
        <v>20200514</v>
      </c>
      <c r="D68" s="13" t="s">
        <v>24</v>
      </c>
      <c r="E68" s="13" t="s">
        <v>1490</v>
      </c>
      <c r="F68" s="39" t="s">
        <v>1512</v>
      </c>
      <c r="G68" s="14">
        <v>1468172</v>
      </c>
      <c r="H68" s="164" t="s">
        <v>72</v>
      </c>
      <c r="I68" s="13" t="s">
        <v>1513</v>
      </c>
      <c r="J68" s="164" t="s">
        <v>72</v>
      </c>
      <c r="K68" s="13" t="s">
        <v>73</v>
      </c>
      <c r="L68" s="13" t="s">
        <v>8</v>
      </c>
      <c r="M68" s="13" t="s">
        <v>1493</v>
      </c>
      <c r="N68" s="13" t="s">
        <v>887</v>
      </c>
      <c r="O68" s="14" t="s">
        <v>72</v>
      </c>
      <c r="P68" s="14" t="s">
        <v>1499</v>
      </c>
      <c r="Q68" s="165"/>
      <c r="R68" s="164" t="s">
        <v>72</v>
      </c>
      <c r="S68" s="13" t="s">
        <v>109</v>
      </c>
      <c r="T68" s="13"/>
      <c r="U68" s="13"/>
      <c r="V68" s="13">
        <v>42</v>
      </c>
      <c r="W68" s="13">
        <v>42</v>
      </c>
      <c r="X68" s="13">
        <v>42</v>
      </c>
      <c r="Y68" s="13">
        <v>0.74</v>
      </c>
      <c r="Z68" s="13">
        <v>0.5</v>
      </c>
      <c r="AA68" s="13" t="s">
        <v>110</v>
      </c>
      <c r="AB68" s="58">
        <v>43970</v>
      </c>
      <c r="AC68" s="58">
        <v>43965</v>
      </c>
      <c r="AD68" s="58">
        <v>43970</v>
      </c>
      <c r="AE68" s="58">
        <v>43969</v>
      </c>
      <c r="AF68" s="58">
        <v>43969</v>
      </c>
      <c r="AG68" s="58" t="s">
        <v>75</v>
      </c>
      <c r="AH68" s="59">
        <v>1</v>
      </c>
      <c r="AI68" s="59">
        <v>1</v>
      </c>
      <c r="AJ68" s="59">
        <v>1</v>
      </c>
      <c r="AK68" s="58" t="s">
        <v>8</v>
      </c>
      <c r="AL68" s="13" t="s">
        <v>72</v>
      </c>
      <c r="AM68" s="13" t="s">
        <v>72</v>
      </c>
      <c r="AN68" s="13" t="s">
        <v>72</v>
      </c>
    </row>
    <row r="69" spans="2:40" ht="15">
      <c r="B69" s="166">
        <v>168</v>
      </c>
      <c r="C69" s="13">
        <v>20200514</v>
      </c>
      <c r="D69" s="13" t="s">
        <v>24</v>
      </c>
      <c r="E69" s="13" t="s">
        <v>1490</v>
      </c>
      <c r="F69" s="39" t="s">
        <v>1514</v>
      </c>
      <c r="G69" s="14">
        <v>1468172</v>
      </c>
      <c r="H69" s="164" t="s">
        <v>72</v>
      </c>
      <c r="I69" s="13" t="s">
        <v>1515</v>
      </c>
      <c r="J69" s="164" t="s">
        <v>72</v>
      </c>
      <c r="K69" s="13" t="s">
        <v>73</v>
      </c>
      <c r="L69" s="13" t="s">
        <v>8</v>
      </c>
      <c r="M69" s="13" t="s">
        <v>1493</v>
      </c>
      <c r="N69" s="13" t="s">
        <v>887</v>
      </c>
      <c r="O69" s="14" t="s">
        <v>72</v>
      </c>
      <c r="P69" s="14" t="s">
        <v>1499</v>
      </c>
      <c r="Q69" s="165"/>
      <c r="R69" s="164" t="s">
        <v>72</v>
      </c>
      <c r="S69" s="13" t="s">
        <v>573</v>
      </c>
      <c r="T69" s="13"/>
      <c r="U69" s="13"/>
      <c r="V69" s="13">
        <v>11</v>
      </c>
      <c r="W69" s="13">
        <v>11</v>
      </c>
      <c r="X69" s="13">
        <v>11</v>
      </c>
      <c r="Y69" s="13">
        <v>0.19</v>
      </c>
      <c r="Z69" s="13">
        <v>0.1</v>
      </c>
      <c r="AA69" s="13" t="s">
        <v>110</v>
      </c>
      <c r="AB69" s="58">
        <v>43970</v>
      </c>
      <c r="AC69" s="58">
        <v>43965</v>
      </c>
      <c r="AD69" s="58">
        <v>43970</v>
      </c>
      <c r="AE69" s="58">
        <v>43966</v>
      </c>
      <c r="AF69" s="58">
        <v>43966</v>
      </c>
      <c r="AG69" s="58" t="s">
        <v>75</v>
      </c>
      <c r="AH69" s="59">
        <v>1</v>
      </c>
      <c r="AI69" s="59">
        <v>1</v>
      </c>
      <c r="AJ69" s="59">
        <v>1</v>
      </c>
      <c r="AK69" s="58" t="s">
        <v>8</v>
      </c>
      <c r="AL69" s="13"/>
      <c r="AM69" s="13"/>
      <c r="AN69" s="13"/>
    </row>
    <row r="70" spans="2:40" ht="15">
      <c r="B70" s="166">
        <v>169</v>
      </c>
      <c r="C70" s="13">
        <v>20200514</v>
      </c>
      <c r="D70" s="13" t="s">
        <v>24</v>
      </c>
      <c r="E70" s="13" t="s">
        <v>1490</v>
      </c>
      <c r="F70" s="39" t="s">
        <v>1516</v>
      </c>
      <c r="G70" s="14">
        <v>1468172</v>
      </c>
      <c r="H70" s="164" t="s">
        <v>72</v>
      </c>
      <c r="I70" s="13" t="s">
        <v>1517</v>
      </c>
      <c r="J70" s="164" t="s">
        <v>72</v>
      </c>
      <c r="K70" s="13" t="s">
        <v>73</v>
      </c>
      <c r="L70" s="13" t="s">
        <v>8</v>
      </c>
      <c r="M70" s="13" t="s">
        <v>1493</v>
      </c>
      <c r="N70" s="13" t="s">
        <v>887</v>
      </c>
      <c r="O70" s="14" t="s">
        <v>72</v>
      </c>
      <c r="P70" s="14" t="s">
        <v>1499</v>
      </c>
      <c r="Q70" s="165"/>
      <c r="R70" s="164" t="s">
        <v>72</v>
      </c>
      <c r="S70" s="13" t="s">
        <v>573</v>
      </c>
      <c r="T70" s="13"/>
      <c r="U70" s="13"/>
      <c r="V70" s="13">
        <v>493</v>
      </c>
      <c r="W70" s="13">
        <v>493</v>
      </c>
      <c r="X70" s="13">
        <v>493</v>
      </c>
      <c r="Y70" s="13">
        <v>8.76</v>
      </c>
      <c r="Z70" s="13">
        <v>4</v>
      </c>
      <c r="AA70" s="13" t="s">
        <v>110</v>
      </c>
      <c r="AB70" s="58">
        <v>43970</v>
      </c>
      <c r="AC70" s="58">
        <v>43965</v>
      </c>
      <c r="AD70" s="58">
        <v>43970</v>
      </c>
      <c r="AE70" s="58">
        <v>43965</v>
      </c>
      <c r="AF70" s="58">
        <v>43965</v>
      </c>
      <c r="AG70" s="58" t="s">
        <v>75</v>
      </c>
      <c r="AH70" s="59">
        <v>1</v>
      </c>
      <c r="AI70" s="59">
        <v>1</v>
      </c>
      <c r="AJ70" s="59">
        <v>1</v>
      </c>
      <c r="AK70" s="58" t="s">
        <v>8</v>
      </c>
      <c r="AL70" s="13"/>
      <c r="AM70" s="13"/>
      <c r="AN70" s="13"/>
    </row>
    <row r="71" spans="2:40" ht="15">
      <c r="B71" s="166">
        <v>170</v>
      </c>
      <c r="C71" s="13">
        <v>20200514</v>
      </c>
      <c r="D71" s="13" t="s">
        <v>24</v>
      </c>
      <c r="E71" s="13" t="s">
        <v>1490</v>
      </c>
      <c r="F71" s="39" t="s">
        <v>1518</v>
      </c>
      <c r="G71" s="14">
        <v>1468172</v>
      </c>
      <c r="H71" s="164" t="s">
        <v>72</v>
      </c>
      <c r="I71" s="13" t="s">
        <v>1519</v>
      </c>
      <c r="J71" s="164" t="s">
        <v>72</v>
      </c>
      <c r="K71" s="13" t="s">
        <v>73</v>
      </c>
      <c r="L71" s="13" t="s">
        <v>8</v>
      </c>
      <c r="M71" s="13" t="s">
        <v>1493</v>
      </c>
      <c r="N71" s="13" t="s">
        <v>887</v>
      </c>
      <c r="O71" s="14" t="s">
        <v>72</v>
      </c>
      <c r="P71" s="14" t="s">
        <v>1499</v>
      </c>
      <c r="Q71" s="165"/>
      <c r="R71" s="164" t="s">
        <v>72</v>
      </c>
      <c r="S71" s="13" t="s">
        <v>573</v>
      </c>
      <c r="T71" s="13"/>
      <c r="U71" s="13"/>
      <c r="V71" s="13">
        <v>295</v>
      </c>
      <c r="W71" s="13">
        <v>295</v>
      </c>
      <c r="X71" s="13">
        <v>295</v>
      </c>
      <c r="Y71" s="13">
        <v>5.24</v>
      </c>
      <c r="Z71" s="13">
        <v>2</v>
      </c>
      <c r="AA71" s="13" t="s">
        <v>110</v>
      </c>
      <c r="AB71" s="58">
        <v>43970</v>
      </c>
      <c r="AC71" s="58">
        <v>43965</v>
      </c>
      <c r="AD71" s="58">
        <v>43970</v>
      </c>
      <c r="AE71" s="58">
        <v>43965</v>
      </c>
      <c r="AF71" s="58">
        <v>43965</v>
      </c>
      <c r="AG71" s="58" t="s">
        <v>75</v>
      </c>
      <c r="AH71" s="59">
        <v>1</v>
      </c>
      <c r="AI71" s="59">
        <v>1</v>
      </c>
      <c r="AJ71" s="59">
        <v>1</v>
      </c>
      <c r="AK71" s="58" t="s">
        <v>8</v>
      </c>
      <c r="AL71" s="13"/>
      <c r="AM71" s="13"/>
      <c r="AN71" s="13"/>
    </row>
    <row r="72" spans="2:40" ht="15">
      <c r="B72" s="166">
        <v>171</v>
      </c>
      <c r="C72" s="13">
        <v>20200514</v>
      </c>
      <c r="D72" s="13" t="s">
        <v>24</v>
      </c>
      <c r="E72" s="13" t="s">
        <v>1490</v>
      </c>
      <c r="F72" s="39" t="s">
        <v>1520</v>
      </c>
      <c r="G72" s="14">
        <v>1468172</v>
      </c>
      <c r="H72" s="164" t="s">
        <v>72</v>
      </c>
      <c r="I72" s="13" t="s">
        <v>1521</v>
      </c>
      <c r="J72" s="164" t="s">
        <v>72</v>
      </c>
      <c r="K72" s="13" t="s">
        <v>73</v>
      </c>
      <c r="L72" s="13" t="s">
        <v>8</v>
      </c>
      <c r="M72" s="13" t="s">
        <v>1493</v>
      </c>
      <c r="N72" s="13" t="s">
        <v>887</v>
      </c>
      <c r="O72" s="14" t="s">
        <v>72</v>
      </c>
      <c r="P72" s="14" t="s">
        <v>1499</v>
      </c>
      <c r="Q72" s="165"/>
      <c r="R72" s="164" t="s">
        <v>72</v>
      </c>
      <c r="S72" s="13" t="s">
        <v>573</v>
      </c>
      <c r="T72" s="13"/>
      <c r="U72" s="13"/>
      <c r="V72" s="13">
        <v>229</v>
      </c>
      <c r="W72" s="13">
        <v>229</v>
      </c>
      <c r="X72" s="13">
        <v>229</v>
      </c>
      <c r="Y72" s="13">
        <v>4.07</v>
      </c>
      <c r="Z72" s="13">
        <v>2</v>
      </c>
      <c r="AA72" s="13" t="s">
        <v>110</v>
      </c>
      <c r="AB72" s="58">
        <v>43970</v>
      </c>
      <c r="AC72" s="58">
        <v>43965</v>
      </c>
      <c r="AD72" s="58">
        <v>43970</v>
      </c>
      <c r="AE72" s="58">
        <v>43965</v>
      </c>
      <c r="AF72" s="58">
        <v>43965</v>
      </c>
      <c r="AG72" s="58" t="s">
        <v>75</v>
      </c>
      <c r="AH72" s="59">
        <v>1</v>
      </c>
      <c r="AI72" s="59">
        <v>1</v>
      </c>
      <c r="AJ72" s="59">
        <v>1</v>
      </c>
      <c r="AK72" s="58" t="s">
        <v>8</v>
      </c>
      <c r="AL72" s="13"/>
      <c r="AM72" s="13"/>
      <c r="AN72" s="13"/>
    </row>
    <row r="73" spans="2:40" ht="15">
      <c r="B73" s="166">
        <v>172</v>
      </c>
      <c r="C73" s="13">
        <v>20200514</v>
      </c>
      <c r="D73" s="13" t="s">
        <v>24</v>
      </c>
      <c r="E73" s="13" t="s">
        <v>1490</v>
      </c>
      <c r="F73" s="39" t="s">
        <v>1522</v>
      </c>
      <c r="G73" s="14">
        <v>1468172</v>
      </c>
      <c r="H73" s="164" t="s">
        <v>72</v>
      </c>
      <c r="I73" s="13" t="s">
        <v>1523</v>
      </c>
      <c r="J73" s="164" t="s">
        <v>72</v>
      </c>
      <c r="K73" s="13" t="s">
        <v>73</v>
      </c>
      <c r="L73" s="13" t="s">
        <v>8</v>
      </c>
      <c r="M73" s="13" t="s">
        <v>1493</v>
      </c>
      <c r="N73" s="13" t="s">
        <v>887</v>
      </c>
      <c r="O73" s="14" t="s">
        <v>72</v>
      </c>
      <c r="P73" s="14" t="s">
        <v>1499</v>
      </c>
      <c r="Q73" s="165"/>
      <c r="R73" s="164" t="s">
        <v>72</v>
      </c>
      <c r="S73" s="13" t="s">
        <v>573</v>
      </c>
      <c r="T73" s="13"/>
      <c r="U73" s="13"/>
      <c r="V73" s="13">
        <v>137</v>
      </c>
      <c r="W73" s="13">
        <v>137</v>
      </c>
      <c r="X73" s="13">
        <v>137</v>
      </c>
      <c r="Y73" s="13">
        <v>2.4300000000000002</v>
      </c>
      <c r="Z73" s="13">
        <v>2</v>
      </c>
      <c r="AA73" s="13" t="s">
        <v>110</v>
      </c>
      <c r="AB73" s="58">
        <v>43970</v>
      </c>
      <c r="AC73" s="58">
        <v>43965</v>
      </c>
      <c r="AD73" s="58">
        <v>43970</v>
      </c>
      <c r="AE73" s="58">
        <v>43966</v>
      </c>
      <c r="AF73" s="58">
        <v>43966</v>
      </c>
      <c r="AG73" s="58" t="s">
        <v>75</v>
      </c>
      <c r="AH73" s="59">
        <v>1</v>
      </c>
      <c r="AI73" s="59">
        <v>1</v>
      </c>
      <c r="AJ73" s="59">
        <v>1</v>
      </c>
      <c r="AK73" s="58" t="s">
        <v>8</v>
      </c>
      <c r="AL73" s="13"/>
      <c r="AM73" s="13"/>
      <c r="AN73" s="13"/>
    </row>
    <row r="74" spans="2:40" ht="15">
      <c r="B74" s="166">
        <v>173</v>
      </c>
      <c r="C74" s="13">
        <v>20200514</v>
      </c>
      <c r="D74" s="13" t="s">
        <v>24</v>
      </c>
      <c r="E74" s="13" t="s">
        <v>1490</v>
      </c>
      <c r="F74" s="39" t="s">
        <v>1524</v>
      </c>
      <c r="G74" s="14">
        <v>1468172</v>
      </c>
      <c r="H74" s="164" t="s">
        <v>72</v>
      </c>
      <c r="I74" s="13" t="s">
        <v>1525</v>
      </c>
      <c r="J74" s="164" t="s">
        <v>72</v>
      </c>
      <c r="K74" s="13" t="s">
        <v>73</v>
      </c>
      <c r="L74" s="13" t="s">
        <v>8</v>
      </c>
      <c r="M74" s="13" t="s">
        <v>1493</v>
      </c>
      <c r="N74" s="13" t="s">
        <v>887</v>
      </c>
      <c r="O74" s="14" t="s">
        <v>72</v>
      </c>
      <c r="P74" s="14" t="s">
        <v>1499</v>
      </c>
      <c r="Q74" s="165"/>
      <c r="R74" s="164" t="s">
        <v>72</v>
      </c>
      <c r="S74" s="13" t="s">
        <v>573</v>
      </c>
      <c r="T74" s="13"/>
      <c r="U74" s="13"/>
      <c r="V74" s="13">
        <v>6</v>
      </c>
      <c r="W74" s="13">
        <v>6</v>
      </c>
      <c r="X74" s="13">
        <v>6</v>
      </c>
      <c r="Y74" s="13">
        <v>0.1</v>
      </c>
      <c r="Z74" s="13">
        <v>0.1</v>
      </c>
      <c r="AA74" s="13" t="s">
        <v>110</v>
      </c>
      <c r="AB74" s="58">
        <v>43970</v>
      </c>
      <c r="AC74" s="58">
        <v>43965</v>
      </c>
      <c r="AD74" s="58">
        <v>43970</v>
      </c>
      <c r="AE74" s="58">
        <v>43966</v>
      </c>
      <c r="AF74" s="58">
        <v>43966</v>
      </c>
      <c r="AG74" s="58" t="s">
        <v>75</v>
      </c>
      <c r="AH74" s="59" t="s">
        <v>72</v>
      </c>
      <c r="AI74" s="59" t="s">
        <v>72</v>
      </c>
      <c r="AJ74" s="59" t="s">
        <v>72</v>
      </c>
      <c r="AK74" s="58" t="s">
        <v>8</v>
      </c>
      <c r="AL74" s="13"/>
      <c r="AM74" s="13"/>
      <c r="AN74" s="13" t="s">
        <v>574</v>
      </c>
    </row>
    <row r="75" spans="2:40" ht="15">
      <c r="B75" s="166">
        <v>174</v>
      </c>
      <c r="C75" s="13">
        <v>20200514</v>
      </c>
      <c r="D75" s="13" t="s">
        <v>24</v>
      </c>
      <c r="E75" s="13" t="s">
        <v>1490</v>
      </c>
      <c r="F75" s="39" t="s">
        <v>1526</v>
      </c>
      <c r="G75" s="14">
        <v>1468219</v>
      </c>
      <c r="H75" s="164" t="s">
        <v>72</v>
      </c>
      <c r="I75" s="13" t="s">
        <v>1177</v>
      </c>
      <c r="J75" s="164" t="s">
        <v>72</v>
      </c>
      <c r="K75" s="13" t="s">
        <v>73</v>
      </c>
      <c r="L75" s="13" t="s">
        <v>1527</v>
      </c>
      <c r="M75" s="13" t="s">
        <v>1493</v>
      </c>
      <c r="N75" s="13" t="s">
        <v>887</v>
      </c>
      <c r="O75" s="14" t="s">
        <v>72</v>
      </c>
      <c r="P75" s="14" t="s">
        <v>1286</v>
      </c>
      <c r="Q75" s="165"/>
      <c r="R75" s="164" t="s">
        <v>72</v>
      </c>
      <c r="S75" s="13" t="s">
        <v>573</v>
      </c>
      <c r="T75" s="13"/>
      <c r="U75" s="13"/>
      <c r="V75" s="13">
        <v>40</v>
      </c>
      <c r="W75" s="13">
        <v>40</v>
      </c>
      <c r="X75" s="13">
        <v>40</v>
      </c>
      <c r="Y75" s="13">
        <v>0.71</v>
      </c>
      <c r="Z75" s="13">
        <v>1</v>
      </c>
      <c r="AA75" s="13" t="s">
        <v>110</v>
      </c>
      <c r="AB75" s="58">
        <v>43970</v>
      </c>
      <c r="AC75" s="58">
        <v>43965</v>
      </c>
      <c r="AD75" s="58">
        <v>43970</v>
      </c>
      <c r="AE75" s="58">
        <v>43969</v>
      </c>
      <c r="AF75" s="58">
        <v>43969</v>
      </c>
      <c r="AG75" s="58" t="s">
        <v>75</v>
      </c>
      <c r="AH75" s="59">
        <v>1</v>
      </c>
      <c r="AI75" s="59">
        <v>1</v>
      </c>
      <c r="AJ75" s="59">
        <v>1</v>
      </c>
      <c r="AK75" s="58" t="s">
        <v>8</v>
      </c>
      <c r="AL75" s="13"/>
      <c r="AM75" s="13"/>
      <c r="AN75" s="13"/>
    </row>
    <row r="76" spans="2:40" ht="15">
      <c r="B76" s="166">
        <v>175</v>
      </c>
      <c r="C76" s="13">
        <v>20200514</v>
      </c>
      <c r="D76" s="13" t="s">
        <v>24</v>
      </c>
      <c r="E76" s="13" t="s">
        <v>1490</v>
      </c>
      <c r="F76" s="39" t="s">
        <v>1528</v>
      </c>
      <c r="G76" s="14">
        <v>1468219</v>
      </c>
      <c r="H76" s="164" t="s">
        <v>72</v>
      </c>
      <c r="I76" s="13" t="s">
        <v>1529</v>
      </c>
      <c r="J76" s="164" t="s">
        <v>72</v>
      </c>
      <c r="K76" s="13" t="s">
        <v>73</v>
      </c>
      <c r="L76" s="13" t="s">
        <v>1527</v>
      </c>
      <c r="M76" s="13" t="s">
        <v>1493</v>
      </c>
      <c r="N76" s="13" t="s">
        <v>887</v>
      </c>
      <c r="O76" s="14" t="s">
        <v>72</v>
      </c>
      <c r="P76" s="14" t="s">
        <v>1286</v>
      </c>
      <c r="Q76" s="165"/>
      <c r="R76" s="164" t="s">
        <v>72</v>
      </c>
      <c r="S76" s="13" t="s">
        <v>74</v>
      </c>
      <c r="T76" s="13"/>
      <c r="U76" s="13"/>
      <c r="V76" s="13">
        <v>805</v>
      </c>
      <c r="W76" s="13">
        <v>805</v>
      </c>
      <c r="X76" s="13">
        <v>805</v>
      </c>
      <c r="Y76" s="13">
        <v>14.31</v>
      </c>
      <c r="Z76" s="13">
        <v>8</v>
      </c>
      <c r="AA76" s="13" t="s">
        <v>110</v>
      </c>
      <c r="AB76" s="58">
        <v>43970</v>
      </c>
      <c r="AC76" s="58">
        <v>43965</v>
      </c>
      <c r="AD76" s="58">
        <v>43970</v>
      </c>
      <c r="AE76" s="58">
        <v>43966</v>
      </c>
      <c r="AF76" s="58">
        <v>43966</v>
      </c>
      <c r="AG76" s="58" t="s">
        <v>75</v>
      </c>
      <c r="AH76" s="59">
        <v>1</v>
      </c>
      <c r="AI76" s="59">
        <v>1</v>
      </c>
      <c r="AJ76" s="59">
        <v>1</v>
      </c>
      <c r="AK76" s="58" t="s">
        <v>8</v>
      </c>
      <c r="AL76" s="13"/>
      <c r="AM76" s="13"/>
      <c r="AN76" s="13"/>
    </row>
    <row r="77" spans="2:40" ht="15">
      <c r="B77" s="166">
        <v>176</v>
      </c>
      <c r="C77" s="13">
        <v>20200514</v>
      </c>
      <c r="D77" s="13" t="s">
        <v>24</v>
      </c>
      <c r="E77" s="13" t="s">
        <v>1490</v>
      </c>
      <c r="F77" s="39" t="s">
        <v>1530</v>
      </c>
      <c r="G77" s="14">
        <v>1468219</v>
      </c>
      <c r="H77" s="164" t="s">
        <v>72</v>
      </c>
      <c r="I77" s="13" t="s">
        <v>1112</v>
      </c>
      <c r="J77" s="164" t="s">
        <v>72</v>
      </c>
      <c r="K77" s="13" t="s">
        <v>73</v>
      </c>
      <c r="L77" s="13" t="s">
        <v>1527</v>
      </c>
      <c r="M77" s="13" t="s">
        <v>1493</v>
      </c>
      <c r="N77" s="13" t="s">
        <v>887</v>
      </c>
      <c r="O77" s="14" t="s">
        <v>72</v>
      </c>
      <c r="P77" s="14" t="s">
        <v>1286</v>
      </c>
      <c r="Q77" s="165"/>
      <c r="R77" s="164" t="s">
        <v>72</v>
      </c>
      <c r="S77" s="13" t="s">
        <v>573</v>
      </c>
      <c r="T77" s="13"/>
      <c r="U77" s="13"/>
      <c r="V77" s="13">
        <v>73</v>
      </c>
      <c r="W77" s="13">
        <v>73</v>
      </c>
      <c r="X77" s="13">
        <v>73</v>
      </c>
      <c r="Y77" s="13">
        <v>1.29</v>
      </c>
      <c r="Z77" s="13">
        <v>1</v>
      </c>
      <c r="AA77" s="13" t="s">
        <v>110</v>
      </c>
      <c r="AB77" s="58">
        <v>43970</v>
      </c>
      <c r="AC77" s="58">
        <v>43965</v>
      </c>
      <c r="AD77" s="58">
        <v>43970</v>
      </c>
      <c r="AE77" s="58">
        <v>43966</v>
      </c>
      <c r="AF77" s="58">
        <v>43966</v>
      </c>
      <c r="AG77" s="58" t="s">
        <v>75</v>
      </c>
      <c r="AH77" s="59">
        <v>1</v>
      </c>
      <c r="AI77" s="59">
        <v>1</v>
      </c>
      <c r="AJ77" s="59">
        <v>1</v>
      </c>
      <c r="AK77" s="58" t="s">
        <v>8</v>
      </c>
      <c r="AL77" s="13"/>
      <c r="AM77" s="13"/>
      <c r="AN77" s="13"/>
    </row>
    <row r="78" spans="2:40" ht="15">
      <c r="B78" s="166">
        <v>177</v>
      </c>
      <c r="C78" s="13">
        <v>20200514</v>
      </c>
      <c r="D78" s="13" t="s">
        <v>24</v>
      </c>
      <c r="E78" s="13" t="s">
        <v>1490</v>
      </c>
      <c r="F78" s="39" t="s">
        <v>1531</v>
      </c>
      <c r="G78" s="14">
        <v>1468219</v>
      </c>
      <c r="H78" s="164" t="s">
        <v>72</v>
      </c>
      <c r="I78" s="13" t="s">
        <v>120</v>
      </c>
      <c r="J78" s="164" t="s">
        <v>72</v>
      </c>
      <c r="K78" s="13" t="s">
        <v>73</v>
      </c>
      <c r="L78" s="13" t="s">
        <v>1527</v>
      </c>
      <c r="M78" s="13" t="s">
        <v>1493</v>
      </c>
      <c r="N78" s="13" t="s">
        <v>887</v>
      </c>
      <c r="O78" s="14" t="s">
        <v>72</v>
      </c>
      <c r="P78" s="14" t="s">
        <v>1286</v>
      </c>
      <c r="Q78" s="165"/>
      <c r="R78" s="164" t="s">
        <v>72</v>
      </c>
      <c r="S78" s="13" t="s">
        <v>573</v>
      </c>
      <c r="T78" s="13"/>
      <c r="U78" s="13"/>
      <c r="V78" s="13">
        <v>175</v>
      </c>
      <c r="W78" s="13">
        <v>175</v>
      </c>
      <c r="X78" s="13">
        <v>175</v>
      </c>
      <c r="Y78" s="13">
        <v>3.11</v>
      </c>
      <c r="Z78" s="13">
        <v>3</v>
      </c>
      <c r="AA78" s="13" t="s">
        <v>110</v>
      </c>
      <c r="AB78" s="58">
        <v>43970</v>
      </c>
      <c r="AC78" s="58">
        <v>43965</v>
      </c>
      <c r="AD78" s="58">
        <v>43970</v>
      </c>
      <c r="AE78" s="58">
        <v>43966</v>
      </c>
      <c r="AF78" s="58">
        <v>43966</v>
      </c>
      <c r="AG78" s="58" t="s">
        <v>75</v>
      </c>
      <c r="AH78" s="59">
        <v>1</v>
      </c>
      <c r="AI78" s="59">
        <v>1</v>
      </c>
      <c r="AJ78" s="59">
        <v>1</v>
      </c>
      <c r="AK78" s="58" t="s">
        <v>8</v>
      </c>
      <c r="AL78" s="13"/>
      <c r="AM78" s="13"/>
      <c r="AN78" s="13"/>
    </row>
    <row r="79" spans="2:40" ht="15">
      <c r="B79" s="166">
        <v>178</v>
      </c>
      <c r="C79" s="13">
        <v>20200514</v>
      </c>
      <c r="D79" s="13" t="s">
        <v>24</v>
      </c>
      <c r="E79" s="13" t="s">
        <v>1490</v>
      </c>
      <c r="F79" s="39" t="s">
        <v>1532</v>
      </c>
      <c r="G79" s="14">
        <v>1468219</v>
      </c>
      <c r="H79" s="164" t="s">
        <v>72</v>
      </c>
      <c r="I79" s="13" t="s">
        <v>120</v>
      </c>
      <c r="J79" s="164" t="s">
        <v>72</v>
      </c>
      <c r="K79" s="13" t="s">
        <v>73</v>
      </c>
      <c r="L79" s="13" t="s">
        <v>1527</v>
      </c>
      <c r="M79" s="13" t="s">
        <v>1493</v>
      </c>
      <c r="N79" s="13" t="s">
        <v>887</v>
      </c>
      <c r="O79" s="14" t="s">
        <v>72</v>
      </c>
      <c r="P79" s="14" t="s">
        <v>1286</v>
      </c>
      <c r="Q79" s="165"/>
      <c r="R79" s="164" t="s">
        <v>72</v>
      </c>
      <c r="S79" s="13" t="s">
        <v>573</v>
      </c>
      <c r="T79" s="13"/>
      <c r="U79" s="13"/>
      <c r="V79" s="13">
        <v>175</v>
      </c>
      <c r="W79" s="13">
        <v>175</v>
      </c>
      <c r="X79" s="13">
        <v>175</v>
      </c>
      <c r="Y79" s="13">
        <v>3.11</v>
      </c>
      <c r="Z79" s="13">
        <v>3</v>
      </c>
      <c r="AA79" s="13" t="s">
        <v>110</v>
      </c>
      <c r="AB79" s="58">
        <v>43970</v>
      </c>
      <c r="AC79" s="58">
        <v>43965</v>
      </c>
      <c r="AD79" s="58">
        <v>43970</v>
      </c>
      <c r="AE79" s="58">
        <v>43966</v>
      </c>
      <c r="AF79" s="58">
        <v>43966</v>
      </c>
      <c r="AG79" s="58" t="s">
        <v>75</v>
      </c>
      <c r="AH79" s="59">
        <v>1</v>
      </c>
      <c r="AI79" s="59">
        <v>1</v>
      </c>
      <c r="AJ79" s="59">
        <v>1</v>
      </c>
      <c r="AK79" s="58" t="s">
        <v>8</v>
      </c>
      <c r="AL79" s="13"/>
      <c r="AM79" s="13"/>
      <c r="AN79" s="13"/>
    </row>
    <row r="80" spans="2:40" ht="15">
      <c r="B80" s="166">
        <v>179</v>
      </c>
      <c r="C80" s="13">
        <v>20200514</v>
      </c>
      <c r="D80" s="13" t="s">
        <v>24</v>
      </c>
      <c r="E80" s="13" t="s">
        <v>1490</v>
      </c>
      <c r="F80" s="39" t="s">
        <v>1533</v>
      </c>
      <c r="G80" s="14">
        <v>1468219</v>
      </c>
      <c r="H80" s="164" t="s">
        <v>72</v>
      </c>
      <c r="I80" s="13" t="s">
        <v>120</v>
      </c>
      <c r="J80" s="164" t="s">
        <v>72</v>
      </c>
      <c r="K80" s="13" t="s">
        <v>73</v>
      </c>
      <c r="L80" s="13" t="s">
        <v>1527</v>
      </c>
      <c r="M80" s="13" t="s">
        <v>1493</v>
      </c>
      <c r="N80" s="13" t="s">
        <v>887</v>
      </c>
      <c r="O80" s="14" t="s">
        <v>72</v>
      </c>
      <c r="P80" s="14" t="s">
        <v>1286</v>
      </c>
      <c r="Q80" s="165"/>
      <c r="R80" s="164" t="s">
        <v>72</v>
      </c>
      <c r="S80" s="13" t="s">
        <v>573</v>
      </c>
      <c r="T80" s="13"/>
      <c r="U80" s="13"/>
      <c r="V80" s="13">
        <v>175</v>
      </c>
      <c r="W80" s="13">
        <v>175</v>
      </c>
      <c r="X80" s="13">
        <v>175</v>
      </c>
      <c r="Y80" s="13">
        <v>3.11</v>
      </c>
      <c r="Z80" s="13">
        <v>3</v>
      </c>
      <c r="AA80" s="13" t="s">
        <v>110</v>
      </c>
      <c r="AB80" s="58">
        <v>43970</v>
      </c>
      <c r="AC80" s="58">
        <v>43965</v>
      </c>
      <c r="AD80" s="58">
        <v>43970</v>
      </c>
      <c r="AE80" s="58">
        <v>43966</v>
      </c>
      <c r="AF80" s="58">
        <v>43966</v>
      </c>
      <c r="AG80" s="58" t="s">
        <v>75</v>
      </c>
      <c r="AH80" s="59">
        <v>1</v>
      </c>
      <c r="AI80" s="59">
        <v>1</v>
      </c>
      <c r="AJ80" s="59">
        <v>1</v>
      </c>
      <c r="AK80" s="58" t="s">
        <v>8</v>
      </c>
      <c r="AL80" s="13"/>
      <c r="AM80" s="13"/>
      <c r="AN80" s="13"/>
    </row>
    <row r="81" spans="2:40" ht="15">
      <c r="B81" s="166">
        <v>180</v>
      </c>
      <c r="C81" s="13">
        <v>20200514</v>
      </c>
      <c r="D81" s="13" t="s">
        <v>24</v>
      </c>
      <c r="E81" s="13" t="s">
        <v>1490</v>
      </c>
      <c r="F81" s="39" t="s">
        <v>1534</v>
      </c>
      <c r="G81" s="14">
        <v>1468219</v>
      </c>
      <c r="H81" s="164" t="s">
        <v>72</v>
      </c>
      <c r="I81" s="13" t="s">
        <v>120</v>
      </c>
      <c r="J81" s="164" t="s">
        <v>72</v>
      </c>
      <c r="K81" s="13" t="s">
        <v>73</v>
      </c>
      <c r="L81" s="13" t="s">
        <v>1527</v>
      </c>
      <c r="M81" s="13" t="s">
        <v>1493</v>
      </c>
      <c r="N81" s="13" t="s">
        <v>887</v>
      </c>
      <c r="O81" s="14" t="s">
        <v>72</v>
      </c>
      <c r="P81" s="14" t="s">
        <v>1286</v>
      </c>
      <c r="Q81" s="165"/>
      <c r="R81" s="164" t="s">
        <v>72</v>
      </c>
      <c r="S81" s="13" t="s">
        <v>573</v>
      </c>
      <c r="T81" s="13"/>
      <c r="U81" s="13"/>
      <c r="V81" s="13">
        <v>175</v>
      </c>
      <c r="W81" s="13">
        <v>175</v>
      </c>
      <c r="X81" s="13">
        <v>175</v>
      </c>
      <c r="Y81" s="13">
        <v>3.11</v>
      </c>
      <c r="Z81" s="13">
        <v>3</v>
      </c>
      <c r="AA81" s="13" t="s">
        <v>110</v>
      </c>
      <c r="AB81" s="58">
        <v>43970</v>
      </c>
      <c r="AC81" s="58">
        <v>43965</v>
      </c>
      <c r="AD81" s="58">
        <v>43970</v>
      </c>
      <c r="AE81" s="58">
        <v>43966</v>
      </c>
      <c r="AF81" s="58">
        <v>43966</v>
      </c>
      <c r="AG81" s="58" t="s">
        <v>75</v>
      </c>
      <c r="AH81" s="59">
        <v>1</v>
      </c>
      <c r="AI81" s="59">
        <v>1</v>
      </c>
      <c r="AJ81" s="59">
        <v>1</v>
      </c>
      <c r="AK81" s="58" t="s">
        <v>8</v>
      </c>
      <c r="AL81" s="13"/>
      <c r="AM81" s="13"/>
      <c r="AN81" s="13"/>
    </row>
    <row r="82" spans="2:40" ht="15">
      <c r="B82" s="170">
        <v>184</v>
      </c>
      <c r="C82" s="13">
        <v>20200515</v>
      </c>
      <c r="D82" s="13" t="s">
        <v>24</v>
      </c>
      <c r="E82" s="13" t="s">
        <v>1535</v>
      </c>
      <c r="F82" s="39" t="s">
        <v>1536</v>
      </c>
      <c r="G82" s="14">
        <v>1460288</v>
      </c>
      <c r="H82" s="164" t="s">
        <v>72</v>
      </c>
      <c r="I82" s="13" t="s">
        <v>1537</v>
      </c>
      <c r="J82" s="164" t="s">
        <v>72</v>
      </c>
      <c r="K82" s="13" t="s">
        <v>73</v>
      </c>
      <c r="L82" s="13" t="s">
        <v>1538</v>
      </c>
      <c r="M82" s="13" t="s">
        <v>8</v>
      </c>
      <c r="N82" s="13" t="s">
        <v>596</v>
      </c>
      <c r="O82" s="14" t="s">
        <v>72</v>
      </c>
      <c r="P82" s="14" t="s">
        <v>1539</v>
      </c>
      <c r="Q82" s="165"/>
      <c r="R82" s="164" t="s">
        <v>72</v>
      </c>
      <c r="S82" s="13" t="s">
        <v>117</v>
      </c>
      <c r="T82" s="13"/>
      <c r="U82" s="13"/>
      <c r="V82" s="13">
        <v>417</v>
      </c>
      <c r="W82" s="13">
        <v>417</v>
      </c>
      <c r="X82" s="13">
        <v>417</v>
      </c>
      <c r="Y82" s="13">
        <v>7.41</v>
      </c>
      <c r="Z82" s="13">
        <v>7</v>
      </c>
      <c r="AA82" s="13" t="s">
        <v>110</v>
      </c>
      <c r="AB82" s="58">
        <v>43969</v>
      </c>
      <c r="AC82" s="58">
        <v>43966</v>
      </c>
      <c r="AD82" s="58">
        <v>43971</v>
      </c>
      <c r="AE82" s="58">
        <v>43966</v>
      </c>
      <c r="AF82" s="58">
        <v>43966</v>
      </c>
      <c r="AG82" s="58" t="s">
        <v>79</v>
      </c>
      <c r="AH82" s="59">
        <v>1</v>
      </c>
      <c r="AI82" s="59">
        <v>0.98</v>
      </c>
      <c r="AJ82" s="59">
        <v>0.87</v>
      </c>
      <c r="AK82" s="58" t="s">
        <v>76</v>
      </c>
      <c r="AL82" s="14" t="s">
        <v>1540</v>
      </c>
      <c r="AM82" s="14" t="s">
        <v>72</v>
      </c>
      <c r="AN82" s="14" t="s">
        <v>1541</v>
      </c>
    </row>
    <row r="83" spans="2:40" ht="15">
      <c r="B83" s="170">
        <v>185</v>
      </c>
      <c r="C83" s="13">
        <v>20200515</v>
      </c>
      <c r="D83" s="13" t="s">
        <v>24</v>
      </c>
      <c r="E83" s="13" t="s">
        <v>1535</v>
      </c>
      <c r="F83" s="39" t="s">
        <v>1542</v>
      </c>
      <c r="G83" s="14">
        <v>1460288</v>
      </c>
      <c r="H83" s="164" t="s">
        <v>72</v>
      </c>
      <c r="I83" s="13" t="s">
        <v>1543</v>
      </c>
      <c r="J83" s="164" t="s">
        <v>72</v>
      </c>
      <c r="K83" s="13" t="s">
        <v>73</v>
      </c>
      <c r="L83" s="13" t="s">
        <v>1538</v>
      </c>
      <c r="M83" s="13" t="s">
        <v>8</v>
      </c>
      <c r="N83" s="13" t="s">
        <v>596</v>
      </c>
      <c r="O83" s="14" t="s">
        <v>72</v>
      </c>
      <c r="P83" s="14" t="s">
        <v>1539</v>
      </c>
      <c r="Q83" s="165"/>
      <c r="R83" s="164" t="s">
        <v>72</v>
      </c>
      <c r="S83" s="13" t="s">
        <v>113</v>
      </c>
      <c r="T83" s="13"/>
      <c r="U83" s="13"/>
      <c r="V83" s="13">
        <v>400</v>
      </c>
      <c r="W83" s="13">
        <v>400</v>
      </c>
      <c r="X83" s="13">
        <v>400</v>
      </c>
      <c r="Y83" s="13">
        <v>7.11</v>
      </c>
      <c r="Z83" s="13">
        <v>7.11</v>
      </c>
      <c r="AA83" s="13" t="s">
        <v>110</v>
      </c>
      <c r="AB83" s="58">
        <v>43969</v>
      </c>
      <c r="AC83" s="58">
        <v>43966</v>
      </c>
      <c r="AD83" s="58">
        <v>43971</v>
      </c>
      <c r="AE83" s="58">
        <v>43969</v>
      </c>
      <c r="AF83" s="58">
        <v>43969</v>
      </c>
      <c r="AG83" s="58" t="s">
        <v>79</v>
      </c>
      <c r="AH83" s="59">
        <v>1</v>
      </c>
      <c r="AI83" s="59">
        <v>0.97</v>
      </c>
      <c r="AJ83" s="59">
        <v>0.5</v>
      </c>
      <c r="AK83" s="58" t="s">
        <v>76</v>
      </c>
      <c r="AL83" s="14" t="s">
        <v>1544</v>
      </c>
      <c r="AM83" s="14" t="s">
        <v>72</v>
      </c>
      <c r="AN83" s="14" t="s">
        <v>571</v>
      </c>
    </row>
    <row r="84" spans="2:40" ht="15">
      <c r="B84" s="170">
        <v>186</v>
      </c>
      <c r="C84" s="13">
        <v>20200515</v>
      </c>
      <c r="D84" s="13" t="s">
        <v>24</v>
      </c>
      <c r="E84" s="13" t="s">
        <v>1545</v>
      </c>
      <c r="F84" s="39" t="s">
        <v>1546</v>
      </c>
      <c r="G84" s="14">
        <v>1435414</v>
      </c>
      <c r="H84" s="164" t="s">
        <v>72</v>
      </c>
      <c r="I84" s="13" t="s">
        <v>885</v>
      </c>
      <c r="J84" s="164" t="s">
        <v>72</v>
      </c>
      <c r="K84" s="13" t="s">
        <v>73</v>
      </c>
      <c r="L84" s="13" t="s">
        <v>1527</v>
      </c>
      <c r="M84" s="13" t="s">
        <v>1493</v>
      </c>
      <c r="N84" s="13" t="s">
        <v>887</v>
      </c>
      <c r="O84" s="14" t="s">
        <v>72</v>
      </c>
      <c r="P84" s="14" t="s">
        <v>888</v>
      </c>
      <c r="Q84" s="165"/>
      <c r="R84" s="164" t="s">
        <v>72</v>
      </c>
      <c r="S84" s="13" t="s">
        <v>161</v>
      </c>
      <c r="T84" s="13"/>
      <c r="U84" s="13"/>
      <c r="V84" s="13">
        <v>62</v>
      </c>
      <c r="W84" s="13">
        <v>62</v>
      </c>
      <c r="X84" s="13">
        <v>62</v>
      </c>
      <c r="Y84" s="13">
        <v>1.1000000000000001</v>
      </c>
      <c r="Z84" s="13">
        <v>1</v>
      </c>
      <c r="AA84" s="13" t="s">
        <v>110</v>
      </c>
      <c r="AB84" s="58">
        <v>43969</v>
      </c>
      <c r="AC84" s="58">
        <v>43966</v>
      </c>
      <c r="AD84" s="58">
        <v>43971</v>
      </c>
      <c r="AE84" s="58">
        <v>43969</v>
      </c>
      <c r="AF84" s="58">
        <v>43969</v>
      </c>
      <c r="AG84" s="58" t="s">
        <v>75</v>
      </c>
      <c r="AH84" s="59">
        <v>1</v>
      </c>
      <c r="AI84" s="59">
        <v>1</v>
      </c>
      <c r="AJ84" s="59">
        <v>1</v>
      </c>
      <c r="AK84" s="58" t="s">
        <v>8</v>
      </c>
      <c r="AL84" s="14" t="s">
        <v>72</v>
      </c>
      <c r="AM84" s="14" t="s">
        <v>72</v>
      </c>
      <c r="AN84" s="14" t="s">
        <v>72</v>
      </c>
    </row>
    <row r="85" spans="2:40" ht="15">
      <c r="B85" s="170">
        <v>187</v>
      </c>
      <c r="C85" s="13">
        <v>20200515</v>
      </c>
      <c r="D85" s="13" t="s">
        <v>24</v>
      </c>
      <c r="E85" s="13" t="s">
        <v>1545</v>
      </c>
      <c r="F85" s="39" t="s">
        <v>1546</v>
      </c>
      <c r="G85" s="14">
        <v>1435414</v>
      </c>
      <c r="H85" s="164" t="s">
        <v>72</v>
      </c>
      <c r="I85" s="13" t="s">
        <v>989</v>
      </c>
      <c r="J85" s="164" t="s">
        <v>72</v>
      </c>
      <c r="K85" s="13" t="s">
        <v>73</v>
      </c>
      <c r="L85" s="13" t="s">
        <v>1527</v>
      </c>
      <c r="M85" s="13" t="s">
        <v>1493</v>
      </c>
      <c r="N85" s="13" t="s">
        <v>887</v>
      </c>
      <c r="O85" s="14" t="s">
        <v>72</v>
      </c>
      <c r="P85" s="14" t="s">
        <v>888</v>
      </c>
      <c r="Q85" s="165"/>
      <c r="R85" s="164" t="s">
        <v>72</v>
      </c>
      <c r="S85" s="13" t="s">
        <v>117</v>
      </c>
      <c r="T85" s="13"/>
      <c r="U85" s="13"/>
      <c r="V85" s="13">
        <v>3</v>
      </c>
      <c r="W85" s="13">
        <v>3</v>
      </c>
      <c r="X85" s="13">
        <v>3</v>
      </c>
      <c r="Y85" s="13">
        <v>0.05</v>
      </c>
      <c r="Z85" s="13">
        <v>0.05</v>
      </c>
      <c r="AA85" s="13" t="s">
        <v>110</v>
      </c>
      <c r="AB85" s="58">
        <v>43969</v>
      </c>
      <c r="AC85" s="58">
        <v>43966</v>
      </c>
      <c r="AD85" s="58">
        <v>43971</v>
      </c>
      <c r="AE85" s="58">
        <v>43969</v>
      </c>
      <c r="AF85" s="58">
        <v>43969</v>
      </c>
      <c r="AG85" s="58" t="s">
        <v>75</v>
      </c>
      <c r="AH85" s="171" t="s">
        <v>72</v>
      </c>
      <c r="AI85" s="171" t="s">
        <v>72</v>
      </c>
      <c r="AJ85" s="171" t="s">
        <v>72</v>
      </c>
      <c r="AK85" s="171" t="s">
        <v>8</v>
      </c>
      <c r="AL85" s="171" t="s">
        <v>72</v>
      </c>
      <c r="AM85" s="14" t="s">
        <v>72</v>
      </c>
      <c r="AN85" s="13" t="s">
        <v>574</v>
      </c>
    </row>
    <row r="86" spans="2:40" ht="15">
      <c r="B86" s="170">
        <v>188</v>
      </c>
      <c r="C86" s="13">
        <v>20200515</v>
      </c>
      <c r="D86" s="13" t="s">
        <v>24</v>
      </c>
      <c r="E86" s="13" t="s">
        <v>1545</v>
      </c>
      <c r="F86" s="39" t="s">
        <v>1547</v>
      </c>
      <c r="G86" s="14">
        <v>1435414</v>
      </c>
      <c r="H86" s="164" t="s">
        <v>72</v>
      </c>
      <c r="I86" s="13" t="s">
        <v>1548</v>
      </c>
      <c r="J86" s="164" t="s">
        <v>72</v>
      </c>
      <c r="K86" s="13" t="s">
        <v>73</v>
      </c>
      <c r="L86" s="13" t="s">
        <v>1527</v>
      </c>
      <c r="M86" s="13" t="s">
        <v>1493</v>
      </c>
      <c r="N86" s="13" t="s">
        <v>887</v>
      </c>
      <c r="O86" s="14" t="s">
        <v>72</v>
      </c>
      <c r="P86" s="14" t="s">
        <v>888</v>
      </c>
      <c r="Q86" s="165"/>
      <c r="R86" s="164" t="s">
        <v>72</v>
      </c>
      <c r="S86" s="13" t="s">
        <v>117</v>
      </c>
      <c r="T86" s="13"/>
      <c r="U86" s="13"/>
      <c r="V86" s="13">
        <v>12</v>
      </c>
      <c r="W86" s="13">
        <v>12</v>
      </c>
      <c r="X86" s="13">
        <v>12</v>
      </c>
      <c r="Y86" s="13">
        <v>0.21</v>
      </c>
      <c r="Z86" s="13">
        <v>0.21</v>
      </c>
      <c r="AA86" s="13" t="s">
        <v>110</v>
      </c>
      <c r="AB86" s="58">
        <v>43969</v>
      </c>
      <c r="AC86" s="58">
        <v>43966</v>
      </c>
      <c r="AD86" s="58">
        <v>43971</v>
      </c>
      <c r="AE86" s="58">
        <v>43969</v>
      </c>
      <c r="AF86" s="58">
        <v>43969</v>
      </c>
      <c r="AG86" s="58" t="s">
        <v>75</v>
      </c>
      <c r="AH86" s="171" t="s">
        <v>72</v>
      </c>
      <c r="AI86" s="171" t="s">
        <v>72</v>
      </c>
      <c r="AJ86" s="171" t="s">
        <v>72</v>
      </c>
      <c r="AK86" s="171" t="s">
        <v>8</v>
      </c>
      <c r="AL86" s="171" t="s">
        <v>72</v>
      </c>
      <c r="AM86" s="14" t="s">
        <v>72</v>
      </c>
      <c r="AN86" s="13" t="s">
        <v>574</v>
      </c>
    </row>
    <row r="87" spans="2:40" ht="15">
      <c r="B87" s="170">
        <v>189</v>
      </c>
      <c r="C87" s="13">
        <v>20200515</v>
      </c>
      <c r="D87" s="13" t="s">
        <v>24</v>
      </c>
      <c r="E87" s="13" t="s">
        <v>1545</v>
      </c>
      <c r="F87" s="39" t="s">
        <v>1549</v>
      </c>
      <c r="G87" s="14">
        <v>1435414</v>
      </c>
      <c r="H87" s="164" t="s">
        <v>72</v>
      </c>
      <c r="I87" s="13" t="s">
        <v>1550</v>
      </c>
      <c r="J87" s="164" t="s">
        <v>72</v>
      </c>
      <c r="K87" s="13" t="s">
        <v>73</v>
      </c>
      <c r="L87" s="13" t="s">
        <v>1527</v>
      </c>
      <c r="M87" s="13" t="s">
        <v>1493</v>
      </c>
      <c r="N87" s="13" t="s">
        <v>887</v>
      </c>
      <c r="O87" s="14" t="s">
        <v>72</v>
      </c>
      <c r="P87" s="14" t="s">
        <v>888</v>
      </c>
      <c r="Q87" s="165"/>
      <c r="R87" s="164" t="s">
        <v>72</v>
      </c>
      <c r="S87" s="13" t="s">
        <v>117</v>
      </c>
      <c r="T87" s="13"/>
      <c r="U87" s="13"/>
      <c r="V87" s="13">
        <v>3</v>
      </c>
      <c r="W87" s="13">
        <v>3</v>
      </c>
      <c r="X87" s="13">
        <v>3</v>
      </c>
      <c r="Y87" s="13">
        <v>0.05</v>
      </c>
      <c r="Z87" s="13">
        <v>0.05</v>
      </c>
      <c r="AA87" s="13" t="s">
        <v>110</v>
      </c>
      <c r="AB87" s="58">
        <v>43969</v>
      </c>
      <c r="AC87" s="58">
        <v>43966</v>
      </c>
      <c r="AD87" s="58">
        <v>43971</v>
      </c>
      <c r="AE87" s="58">
        <v>43969</v>
      </c>
      <c r="AF87" s="58">
        <v>43969</v>
      </c>
      <c r="AG87" s="58" t="s">
        <v>75</v>
      </c>
      <c r="AH87" s="171" t="s">
        <v>72</v>
      </c>
      <c r="AI87" s="171" t="s">
        <v>72</v>
      </c>
      <c r="AJ87" s="171" t="s">
        <v>72</v>
      </c>
      <c r="AK87" s="171" t="s">
        <v>8</v>
      </c>
      <c r="AL87" s="171" t="s">
        <v>72</v>
      </c>
      <c r="AM87" s="14" t="s">
        <v>72</v>
      </c>
      <c r="AN87" s="13" t="s">
        <v>574</v>
      </c>
    </row>
    <row r="88" spans="2:40" ht="15">
      <c r="B88" s="170">
        <v>190</v>
      </c>
      <c r="C88" s="13">
        <v>20200515</v>
      </c>
      <c r="D88" s="13" t="s">
        <v>24</v>
      </c>
      <c r="E88" s="13" t="s">
        <v>1545</v>
      </c>
      <c r="F88" s="39" t="s">
        <v>1549</v>
      </c>
      <c r="G88" s="14">
        <v>1435414</v>
      </c>
      <c r="H88" s="164" t="s">
        <v>72</v>
      </c>
      <c r="I88" s="13" t="s">
        <v>1551</v>
      </c>
      <c r="J88" s="164" t="s">
        <v>72</v>
      </c>
      <c r="K88" s="13" t="s">
        <v>73</v>
      </c>
      <c r="L88" s="13" t="s">
        <v>1527</v>
      </c>
      <c r="M88" s="13" t="s">
        <v>1493</v>
      </c>
      <c r="N88" s="13" t="s">
        <v>887</v>
      </c>
      <c r="O88" s="14" t="s">
        <v>72</v>
      </c>
      <c r="P88" s="14" t="s">
        <v>888</v>
      </c>
      <c r="Q88" s="165"/>
      <c r="R88" s="164" t="s">
        <v>72</v>
      </c>
      <c r="S88" s="13" t="s">
        <v>113</v>
      </c>
      <c r="T88" s="13"/>
      <c r="U88" s="13"/>
      <c r="V88" s="13">
        <v>20</v>
      </c>
      <c r="W88" s="13">
        <v>20</v>
      </c>
      <c r="X88" s="13">
        <v>20</v>
      </c>
      <c r="Y88" s="13">
        <v>0.35</v>
      </c>
      <c r="Z88" s="13">
        <v>0.35</v>
      </c>
      <c r="AA88" s="13" t="s">
        <v>110</v>
      </c>
      <c r="AB88" s="58">
        <v>43969</v>
      </c>
      <c r="AC88" s="58">
        <v>43966</v>
      </c>
      <c r="AD88" s="58">
        <v>43971</v>
      </c>
      <c r="AE88" s="58">
        <v>43969</v>
      </c>
      <c r="AF88" s="58">
        <v>43969</v>
      </c>
      <c r="AG88" s="58" t="s">
        <v>75</v>
      </c>
      <c r="AH88" s="171" t="s">
        <v>72</v>
      </c>
      <c r="AI88" s="171" t="s">
        <v>72</v>
      </c>
      <c r="AJ88" s="171" t="s">
        <v>72</v>
      </c>
      <c r="AK88" s="58" t="s">
        <v>8</v>
      </c>
      <c r="AL88" s="14" t="s">
        <v>72</v>
      </c>
      <c r="AM88" s="14" t="s">
        <v>72</v>
      </c>
      <c r="AN88" s="13" t="s">
        <v>574</v>
      </c>
    </row>
    <row r="89" spans="2:40" ht="15">
      <c r="B89" s="170">
        <v>191</v>
      </c>
      <c r="C89" s="13">
        <v>20200515</v>
      </c>
      <c r="D89" s="13" t="s">
        <v>24</v>
      </c>
      <c r="E89" s="13" t="s">
        <v>1545</v>
      </c>
      <c r="F89" s="39" t="s">
        <v>1552</v>
      </c>
      <c r="G89" s="14">
        <v>1435414</v>
      </c>
      <c r="H89" s="164" t="s">
        <v>72</v>
      </c>
      <c r="I89" s="13" t="s">
        <v>1553</v>
      </c>
      <c r="J89" s="164" t="s">
        <v>72</v>
      </c>
      <c r="K89" s="13" t="s">
        <v>73</v>
      </c>
      <c r="L89" s="13" t="s">
        <v>1527</v>
      </c>
      <c r="M89" s="13" t="s">
        <v>1493</v>
      </c>
      <c r="N89" s="13" t="s">
        <v>887</v>
      </c>
      <c r="O89" s="14" t="s">
        <v>72</v>
      </c>
      <c r="P89" s="14" t="s">
        <v>888</v>
      </c>
      <c r="Q89" s="165"/>
      <c r="R89" s="164" t="s">
        <v>72</v>
      </c>
      <c r="S89" s="13" t="s">
        <v>161</v>
      </c>
      <c r="T89" s="13"/>
      <c r="U89" s="13"/>
      <c r="V89" s="13">
        <v>111</v>
      </c>
      <c r="W89" s="13">
        <v>111</v>
      </c>
      <c r="X89" s="13">
        <v>111</v>
      </c>
      <c r="Y89" s="13">
        <v>1.97</v>
      </c>
      <c r="Z89" s="13">
        <v>2</v>
      </c>
      <c r="AA89" s="13" t="s">
        <v>110</v>
      </c>
      <c r="AB89" s="58">
        <v>43969</v>
      </c>
      <c r="AC89" s="58">
        <v>43966</v>
      </c>
      <c r="AD89" s="58">
        <v>43971</v>
      </c>
      <c r="AE89" s="58">
        <v>43969</v>
      </c>
      <c r="AF89" s="58">
        <v>43969</v>
      </c>
      <c r="AG89" s="58" t="s">
        <v>75</v>
      </c>
      <c r="AH89" s="59">
        <v>1</v>
      </c>
      <c r="AI89" s="59">
        <v>1</v>
      </c>
      <c r="AJ89" s="59">
        <v>1</v>
      </c>
      <c r="AK89" s="58" t="s">
        <v>8</v>
      </c>
      <c r="AL89" s="14" t="s">
        <v>72</v>
      </c>
      <c r="AM89" s="14" t="s">
        <v>72</v>
      </c>
      <c r="AN89" s="14" t="s">
        <v>72</v>
      </c>
    </row>
    <row r="90" spans="2:40" ht="15">
      <c r="B90" s="170">
        <v>192</v>
      </c>
      <c r="C90" s="13">
        <v>20200515</v>
      </c>
      <c r="D90" s="13" t="s">
        <v>24</v>
      </c>
      <c r="E90" s="13" t="s">
        <v>1545</v>
      </c>
      <c r="F90" s="39" t="s">
        <v>1552</v>
      </c>
      <c r="G90" s="14">
        <v>1435414</v>
      </c>
      <c r="H90" s="164" t="s">
        <v>72</v>
      </c>
      <c r="I90" s="13" t="s">
        <v>1554</v>
      </c>
      <c r="J90" s="164" t="s">
        <v>72</v>
      </c>
      <c r="K90" s="13" t="s">
        <v>73</v>
      </c>
      <c r="L90" s="13" t="s">
        <v>1527</v>
      </c>
      <c r="M90" s="13" t="s">
        <v>1493</v>
      </c>
      <c r="N90" s="13" t="s">
        <v>887</v>
      </c>
      <c r="O90" s="14" t="s">
        <v>72</v>
      </c>
      <c r="P90" s="14" t="s">
        <v>888</v>
      </c>
      <c r="Q90" s="165"/>
      <c r="R90" s="164" t="s">
        <v>72</v>
      </c>
      <c r="S90" s="13" t="s">
        <v>113</v>
      </c>
      <c r="T90" s="13"/>
      <c r="U90" s="13"/>
      <c r="V90" s="13">
        <v>28</v>
      </c>
      <c r="W90" s="13">
        <v>28</v>
      </c>
      <c r="X90" s="13">
        <v>28</v>
      </c>
      <c r="Y90" s="13">
        <v>0.49</v>
      </c>
      <c r="Z90" s="13">
        <v>0.49</v>
      </c>
      <c r="AA90" s="13" t="s">
        <v>110</v>
      </c>
      <c r="AB90" s="58">
        <v>43969</v>
      </c>
      <c r="AC90" s="58">
        <v>43966</v>
      </c>
      <c r="AD90" s="58">
        <v>43971</v>
      </c>
      <c r="AE90" s="58">
        <v>43969</v>
      </c>
      <c r="AF90" s="58">
        <v>43969</v>
      </c>
      <c r="AG90" s="58" t="s">
        <v>75</v>
      </c>
      <c r="AH90" s="59">
        <v>1</v>
      </c>
      <c r="AI90" s="59">
        <v>1</v>
      </c>
      <c r="AJ90" s="59">
        <v>1</v>
      </c>
      <c r="AK90" s="58" t="s">
        <v>8</v>
      </c>
      <c r="AL90" s="14" t="s">
        <v>72</v>
      </c>
      <c r="AM90" s="14" t="s">
        <v>72</v>
      </c>
      <c r="AN90" s="14" t="s">
        <v>72</v>
      </c>
    </row>
    <row r="91" spans="2:40" ht="15">
      <c r="B91" s="170">
        <v>193</v>
      </c>
      <c r="C91" s="13">
        <v>20200515</v>
      </c>
      <c r="D91" s="13" t="s">
        <v>24</v>
      </c>
      <c r="E91" s="13" t="s">
        <v>1545</v>
      </c>
      <c r="F91" s="39" t="s">
        <v>1552</v>
      </c>
      <c r="G91" s="14">
        <v>1435414</v>
      </c>
      <c r="H91" s="164" t="s">
        <v>72</v>
      </c>
      <c r="I91" s="13" t="s">
        <v>1555</v>
      </c>
      <c r="J91" s="164" t="s">
        <v>72</v>
      </c>
      <c r="K91" s="13" t="s">
        <v>73</v>
      </c>
      <c r="L91" s="13" t="s">
        <v>1527</v>
      </c>
      <c r="M91" s="13" t="s">
        <v>1493</v>
      </c>
      <c r="N91" s="13" t="s">
        <v>887</v>
      </c>
      <c r="O91" s="14" t="s">
        <v>72</v>
      </c>
      <c r="P91" s="14" t="s">
        <v>888</v>
      </c>
      <c r="Q91" s="165"/>
      <c r="R91" s="164" t="s">
        <v>72</v>
      </c>
      <c r="S91" s="13" t="s">
        <v>161</v>
      </c>
      <c r="T91" s="13"/>
      <c r="U91" s="13"/>
      <c r="V91" s="13">
        <v>23</v>
      </c>
      <c r="W91" s="13">
        <v>23</v>
      </c>
      <c r="X91" s="13">
        <v>23</v>
      </c>
      <c r="Y91" s="13">
        <v>0.4</v>
      </c>
      <c r="Z91" s="13">
        <v>0.5</v>
      </c>
      <c r="AA91" s="13" t="s">
        <v>110</v>
      </c>
      <c r="AB91" s="58">
        <v>43969</v>
      </c>
      <c r="AC91" s="58">
        <v>43966</v>
      </c>
      <c r="AD91" s="58">
        <v>43971</v>
      </c>
      <c r="AE91" s="58">
        <v>43969</v>
      </c>
      <c r="AF91" s="58">
        <v>43969</v>
      </c>
      <c r="AG91" s="58" t="s">
        <v>75</v>
      </c>
      <c r="AH91" s="59">
        <v>1</v>
      </c>
      <c r="AI91" s="59">
        <v>1</v>
      </c>
      <c r="AJ91" s="59">
        <v>1</v>
      </c>
      <c r="AK91" s="58" t="s">
        <v>8</v>
      </c>
      <c r="AL91" s="14" t="s">
        <v>72</v>
      </c>
      <c r="AM91" s="14" t="s">
        <v>72</v>
      </c>
      <c r="AN91" s="14" t="s">
        <v>72</v>
      </c>
    </row>
    <row r="92" spans="2:40" ht="15">
      <c r="B92" s="170">
        <v>194</v>
      </c>
      <c r="C92" s="13">
        <v>20200515</v>
      </c>
      <c r="D92" s="13" t="s">
        <v>24</v>
      </c>
      <c r="E92" s="13" t="s">
        <v>1545</v>
      </c>
      <c r="F92" s="39" t="s">
        <v>1556</v>
      </c>
      <c r="G92" s="14">
        <v>1435414</v>
      </c>
      <c r="H92" s="164" t="s">
        <v>72</v>
      </c>
      <c r="I92" s="13" t="s">
        <v>900</v>
      </c>
      <c r="J92" s="164" t="s">
        <v>72</v>
      </c>
      <c r="K92" s="13" t="s">
        <v>73</v>
      </c>
      <c r="L92" s="13" t="s">
        <v>1527</v>
      </c>
      <c r="M92" s="13" t="s">
        <v>1493</v>
      </c>
      <c r="N92" s="13" t="s">
        <v>887</v>
      </c>
      <c r="O92" s="14" t="s">
        <v>72</v>
      </c>
      <c r="P92" s="14" t="s">
        <v>888</v>
      </c>
      <c r="Q92" s="165"/>
      <c r="R92" s="164" t="s">
        <v>72</v>
      </c>
      <c r="S92" s="13" t="s">
        <v>117</v>
      </c>
      <c r="T92" s="13"/>
      <c r="U92" s="13"/>
      <c r="V92" s="13">
        <v>5</v>
      </c>
      <c r="W92" s="13">
        <v>5</v>
      </c>
      <c r="X92" s="13">
        <v>5</v>
      </c>
      <c r="Y92" s="13">
        <v>0.08</v>
      </c>
      <c r="Z92" s="13">
        <v>0.08</v>
      </c>
      <c r="AA92" s="13" t="s">
        <v>110</v>
      </c>
      <c r="AB92" s="58">
        <v>43969</v>
      </c>
      <c r="AC92" s="58">
        <v>43966</v>
      </c>
      <c r="AD92" s="58">
        <v>43971</v>
      </c>
      <c r="AE92" s="58">
        <v>43969</v>
      </c>
      <c r="AF92" s="58">
        <v>43969</v>
      </c>
      <c r="AG92" s="58" t="s">
        <v>75</v>
      </c>
      <c r="AH92" s="171" t="s">
        <v>72</v>
      </c>
      <c r="AI92" s="171" t="s">
        <v>72</v>
      </c>
      <c r="AJ92" s="171" t="s">
        <v>72</v>
      </c>
      <c r="AK92" s="58" t="s">
        <v>8</v>
      </c>
      <c r="AL92" s="14" t="s">
        <v>72</v>
      </c>
      <c r="AM92" s="14" t="s">
        <v>72</v>
      </c>
      <c r="AN92" s="13" t="s">
        <v>574</v>
      </c>
    </row>
    <row r="93" spans="2:40" ht="15">
      <c r="B93" s="170">
        <v>195</v>
      </c>
      <c r="C93" s="13">
        <v>20200515</v>
      </c>
      <c r="D93" s="13" t="s">
        <v>24</v>
      </c>
      <c r="E93" s="13" t="s">
        <v>1557</v>
      </c>
      <c r="F93" s="39" t="s">
        <v>1558</v>
      </c>
      <c r="G93" s="14">
        <v>1468235</v>
      </c>
      <c r="H93" s="164" t="s">
        <v>72</v>
      </c>
      <c r="I93" s="13" t="s">
        <v>1559</v>
      </c>
      <c r="J93" s="164" t="s">
        <v>72</v>
      </c>
      <c r="K93" s="13" t="s">
        <v>73</v>
      </c>
      <c r="L93" s="13" t="s">
        <v>1560</v>
      </c>
      <c r="M93" s="13" t="s">
        <v>52</v>
      </c>
      <c r="N93" s="13" t="s">
        <v>9</v>
      </c>
      <c r="O93" s="14" t="s">
        <v>72</v>
      </c>
      <c r="P93" s="14" t="s">
        <v>1029</v>
      </c>
      <c r="Q93" s="165"/>
      <c r="R93" s="164" t="s">
        <v>72</v>
      </c>
      <c r="S93" s="13" t="s">
        <v>109</v>
      </c>
      <c r="T93" s="13"/>
      <c r="U93" s="13"/>
      <c r="V93" s="13">
        <v>857</v>
      </c>
      <c r="W93" s="13">
        <v>857</v>
      </c>
      <c r="X93" s="13">
        <v>857</v>
      </c>
      <c r="Y93" s="13">
        <v>15.23</v>
      </c>
      <c r="Z93" s="13">
        <v>0.5</v>
      </c>
      <c r="AA93" s="13" t="s">
        <v>110</v>
      </c>
      <c r="AB93" s="58">
        <v>43969</v>
      </c>
      <c r="AC93" s="58">
        <v>43966</v>
      </c>
      <c r="AD93" s="58">
        <v>43971</v>
      </c>
      <c r="AE93" s="58">
        <v>43969</v>
      </c>
      <c r="AF93" s="58">
        <v>43969</v>
      </c>
      <c r="AG93" s="58" t="s">
        <v>75</v>
      </c>
      <c r="AH93" s="59">
        <v>1</v>
      </c>
      <c r="AI93" s="59">
        <v>1</v>
      </c>
      <c r="AJ93" s="59">
        <v>1</v>
      </c>
      <c r="AK93" s="58" t="s">
        <v>8</v>
      </c>
      <c r="AL93" s="14" t="s">
        <v>72</v>
      </c>
      <c r="AM93" s="14" t="s">
        <v>72</v>
      </c>
      <c r="AN93" s="14" t="s">
        <v>72</v>
      </c>
    </row>
    <row r="94" spans="2:40" ht="15">
      <c r="B94" s="170">
        <v>196</v>
      </c>
      <c r="C94" s="13">
        <v>20200515</v>
      </c>
      <c r="D94" s="13" t="s">
        <v>24</v>
      </c>
      <c r="E94" s="13" t="s">
        <v>1181</v>
      </c>
      <c r="F94" s="39" t="s">
        <v>1561</v>
      </c>
      <c r="G94" s="14">
        <v>1469754</v>
      </c>
      <c r="H94" s="164" t="s">
        <v>72</v>
      </c>
      <c r="I94" s="13" t="s">
        <v>1148</v>
      </c>
      <c r="J94" s="164" t="s">
        <v>72</v>
      </c>
      <c r="K94" s="13" t="s">
        <v>73</v>
      </c>
      <c r="L94" s="13" t="s">
        <v>8</v>
      </c>
      <c r="M94" s="13" t="s">
        <v>19</v>
      </c>
      <c r="N94" s="13" t="s">
        <v>1065</v>
      </c>
      <c r="O94" s="14" t="s">
        <v>72</v>
      </c>
      <c r="P94" s="14" t="s">
        <v>1066</v>
      </c>
      <c r="Q94" s="165"/>
      <c r="R94" s="164" t="s">
        <v>72</v>
      </c>
      <c r="S94" s="13" t="s">
        <v>161</v>
      </c>
      <c r="T94" s="13"/>
      <c r="U94" s="13"/>
      <c r="V94" s="13">
        <v>220</v>
      </c>
      <c r="W94" s="13">
        <v>220</v>
      </c>
      <c r="X94" s="13">
        <v>220</v>
      </c>
      <c r="Y94" s="13">
        <v>3.91</v>
      </c>
      <c r="Z94" s="13">
        <v>3</v>
      </c>
      <c r="AA94" s="13" t="s">
        <v>110</v>
      </c>
      <c r="AB94" s="58">
        <v>43969</v>
      </c>
      <c r="AC94" s="58">
        <v>43966</v>
      </c>
      <c r="AD94" s="58">
        <v>43971</v>
      </c>
      <c r="AE94" s="58">
        <v>43966</v>
      </c>
      <c r="AF94" s="58">
        <v>43966</v>
      </c>
      <c r="AG94" s="58" t="s">
        <v>75</v>
      </c>
      <c r="AH94" s="59">
        <v>1</v>
      </c>
      <c r="AI94" s="59">
        <v>1</v>
      </c>
      <c r="AJ94" s="59">
        <v>1</v>
      </c>
      <c r="AK94" s="58" t="s">
        <v>8</v>
      </c>
      <c r="AL94" s="14" t="s">
        <v>72</v>
      </c>
      <c r="AM94" s="14" t="s">
        <v>72</v>
      </c>
      <c r="AN94" s="14" t="s">
        <v>72</v>
      </c>
    </row>
    <row r="95" spans="2:40" ht="15">
      <c r="B95" s="172">
        <v>197</v>
      </c>
      <c r="C95" s="13">
        <v>20200518</v>
      </c>
      <c r="D95" s="13" t="s">
        <v>24</v>
      </c>
      <c r="E95" s="13" t="s">
        <v>1562</v>
      </c>
      <c r="F95" s="39" t="s">
        <v>1563</v>
      </c>
      <c r="G95" s="14">
        <v>1453440</v>
      </c>
      <c r="H95" s="164" t="s">
        <v>72</v>
      </c>
      <c r="I95" s="13" t="s">
        <v>135</v>
      </c>
      <c r="J95" s="164" t="s">
        <v>72</v>
      </c>
      <c r="K95" s="13" t="s">
        <v>73</v>
      </c>
      <c r="L95" s="13" t="s">
        <v>1564</v>
      </c>
      <c r="M95" s="13" t="s">
        <v>1565</v>
      </c>
      <c r="N95" s="13" t="s">
        <v>1566</v>
      </c>
      <c r="O95" s="14" t="s">
        <v>72</v>
      </c>
      <c r="P95" s="14" t="s">
        <v>1567</v>
      </c>
      <c r="Q95" s="165"/>
      <c r="R95" s="164" t="s">
        <v>72</v>
      </c>
      <c r="S95" s="13" t="s">
        <v>161</v>
      </c>
      <c r="T95" s="13"/>
      <c r="U95" s="13"/>
      <c r="V95" s="13">
        <v>109</v>
      </c>
      <c r="W95" s="13">
        <v>109</v>
      </c>
      <c r="X95" s="13">
        <v>109</v>
      </c>
      <c r="Y95" s="13">
        <v>1.93</v>
      </c>
      <c r="Z95" s="13">
        <v>1</v>
      </c>
      <c r="AA95" s="13" t="s">
        <v>110</v>
      </c>
      <c r="AB95" s="58">
        <v>43971</v>
      </c>
      <c r="AC95" s="58">
        <v>43969</v>
      </c>
      <c r="AD95" s="58">
        <v>43973</v>
      </c>
      <c r="AE95" s="58">
        <v>43969</v>
      </c>
      <c r="AF95" s="58">
        <v>43969</v>
      </c>
      <c r="AG95" s="58" t="s">
        <v>75</v>
      </c>
      <c r="AH95" s="59">
        <v>1</v>
      </c>
      <c r="AI95" s="59">
        <v>1</v>
      </c>
      <c r="AJ95" s="59">
        <v>1</v>
      </c>
      <c r="AK95" s="58" t="s">
        <v>8</v>
      </c>
      <c r="AL95" s="14" t="s">
        <v>72</v>
      </c>
      <c r="AM95" s="14" t="s">
        <v>72</v>
      </c>
      <c r="AN95" s="14" t="s">
        <v>72</v>
      </c>
    </row>
    <row r="96" spans="2:40" ht="15">
      <c r="B96" s="172">
        <v>198</v>
      </c>
      <c r="C96" s="13">
        <v>20200518</v>
      </c>
      <c r="D96" s="13" t="s">
        <v>24</v>
      </c>
      <c r="E96" s="13" t="s">
        <v>1562</v>
      </c>
      <c r="F96" s="39" t="s">
        <v>1568</v>
      </c>
      <c r="G96" s="14">
        <v>1453440</v>
      </c>
      <c r="H96" s="164" t="s">
        <v>72</v>
      </c>
      <c r="I96" s="13" t="s">
        <v>1569</v>
      </c>
      <c r="J96" s="164" t="s">
        <v>72</v>
      </c>
      <c r="K96" s="13" t="s">
        <v>73</v>
      </c>
      <c r="L96" s="13" t="s">
        <v>1564</v>
      </c>
      <c r="M96" s="13" t="s">
        <v>1565</v>
      </c>
      <c r="N96" s="13" t="s">
        <v>1566</v>
      </c>
      <c r="O96" s="14" t="s">
        <v>72</v>
      </c>
      <c r="P96" s="14" t="s">
        <v>1567</v>
      </c>
      <c r="Q96" s="165"/>
      <c r="R96" s="164" t="s">
        <v>72</v>
      </c>
      <c r="S96" s="13" t="s">
        <v>113</v>
      </c>
      <c r="T96" s="13"/>
      <c r="U96" s="13"/>
      <c r="V96" s="13">
        <v>59</v>
      </c>
      <c r="W96" s="13">
        <v>59</v>
      </c>
      <c r="X96" s="13">
        <v>59</v>
      </c>
      <c r="Y96" s="13">
        <v>1.04</v>
      </c>
      <c r="Z96" s="13">
        <v>1.04</v>
      </c>
      <c r="AA96" s="13" t="s">
        <v>110</v>
      </c>
      <c r="AB96" s="58">
        <v>43971</v>
      </c>
      <c r="AC96" s="58">
        <v>43969</v>
      </c>
      <c r="AD96" s="58">
        <v>43973</v>
      </c>
      <c r="AE96" s="58">
        <v>43969</v>
      </c>
      <c r="AF96" s="58">
        <v>43969</v>
      </c>
      <c r="AG96" s="58" t="s">
        <v>75</v>
      </c>
      <c r="AH96" s="59">
        <v>1</v>
      </c>
      <c r="AI96" s="59">
        <v>1</v>
      </c>
      <c r="AJ96" s="59">
        <v>1</v>
      </c>
      <c r="AK96" s="58" t="s">
        <v>8</v>
      </c>
      <c r="AL96" s="14" t="s">
        <v>72</v>
      </c>
      <c r="AM96" s="14" t="s">
        <v>72</v>
      </c>
      <c r="AN96" s="14" t="s">
        <v>72</v>
      </c>
    </row>
    <row r="97" spans="2:40" ht="15">
      <c r="B97" s="172">
        <v>199</v>
      </c>
      <c r="C97" s="13">
        <v>20200518</v>
      </c>
      <c r="D97" s="13" t="s">
        <v>24</v>
      </c>
      <c r="E97" s="13" t="s">
        <v>1562</v>
      </c>
      <c r="F97" s="39" t="s">
        <v>1568</v>
      </c>
      <c r="G97" s="14">
        <v>1453440</v>
      </c>
      <c r="H97" s="164" t="s">
        <v>72</v>
      </c>
      <c r="I97" s="13" t="s">
        <v>39</v>
      </c>
      <c r="J97" s="164" t="s">
        <v>72</v>
      </c>
      <c r="K97" s="13" t="s">
        <v>73</v>
      </c>
      <c r="L97" s="13" t="s">
        <v>1564</v>
      </c>
      <c r="M97" s="13" t="s">
        <v>1565</v>
      </c>
      <c r="N97" s="13" t="s">
        <v>1566</v>
      </c>
      <c r="O97" s="14" t="s">
        <v>72</v>
      </c>
      <c r="P97" s="14" t="s">
        <v>1567</v>
      </c>
      <c r="Q97" s="165"/>
      <c r="R97" s="164" t="s">
        <v>72</v>
      </c>
      <c r="S97" s="13" t="s">
        <v>113</v>
      </c>
      <c r="T97" s="13"/>
      <c r="U97" s="13"/>
      <c r="V97" s="13">
        <v>18</v>
      </c>
      <c r="W97" s="13">
        <v>18</v>
      </c>
      <c r="X97" s="13">
        <v>18</v>
      </c>
      <c r="Y97" s="13">
        <v>0.32</v>
      </c>
      <c r="Z97" s="13">
        <v>0.32</v>
      </c>
      <c r="AA97" s="13" t="s">
        <v>110</v>
      </c>
      <c r="AB97" s="58">
        <v>43971</v>
      </c>
      <c r="AC97" s="58">
        <v>43969</v>
      </c>
      <c r="AD97" s="58">
        <v>43973</v>
      </c>
      <c r="AE97" s="58">
        <v>43969</v>
      </c>
      <c r="AF97" s="58">
        <v>43969</v>
      </c>
      <c r="AG97" s="58" t="s">
        <v>75</v>
      </c>
      <c r="AH97" s="59">
        <v>1</v>
      </c>
      <c r="AI97" s="59">
        <v>1</v>
      </c>
      <c r="AJ97" s="59">
        <v>1</v>
      </c>
      <c r="AK97" s="58" t="s">
        <v>8</v>
      </c>
      <c r="AL97" s="14" t="s">
        <v>72</v>
      </c>
      <c r="AM97" s="14" t="s">
        <v>72</v>
      </c>
      <c r="AN97" s="14" t="s">
        <v>72</v>
      </c>
    </row>
    <row r="98" spans="2:40" ht="15">
      <c r="B98" s="172">
        <v>200</v>
      </c>
      <c r="C98" s="13">
        <v>20200518</v>
      </c>
      <c r="D98" s="13" t="s">
        <v>24</v>
      </c>
      <c r="E98" s="13" t="s">
        <v>1562</v>
      </c>
      <c r="F98" s="39" t="s">
        <v>1563</v>
      </c>
      <c r="G98" s="14">
        <v>1453440</v>
      </c>
      <c r="H98" s="164" t="s">
        <v>72</v>
      </c>
      <c r="I98" s="13" t="s">
        <v>1142</v>
      </c>
      <c r="J98" s="164" t="s">
        <v>72</v>
      </c>
      <c r="K98" s="13" t="s">
        <v>73</v>
      </c>
      <c r="L98" s="13" t="s">
        <v>1564</v>
      </c>
      <c r="M98" s="13" t="s">
        <v>1565</v>
      </c>
      <c r="N98" s="13" t="s">
        <v>1566</v>
      </c>
      <c r="O98" s="14" t="s">
        <v>72</v>
      </c>
      <c r="P98" s="14" t="s">
        <v>1567</v>
      </c>
      <c r="Q98" s="165"/>
      <c r="R98" s="164" t="s">
        <v>72</v>
      </c>
      <c r="S98" s="13" t="s">
        <v>161</v>
      </c>
      <c r="T98" s="13"/>
      <c r="U98" s="13"/>
      <c r="V98" s="13">
        <v>27</v>
      </c>
      <c r="W98" s="13">
        <v>27</v>
      </c>
      <c r="X98" s="13">
        <v>27</v>
      </c>
      <c r="Y98" s="13">
        <v>0.48</v>
      </c>
      <c r="Z98" s="13">
        <v>0.4</v>
      </c>
      <c r="AA98" s="13" t="s">
        <v>110</v>
      </c>
      <c r="AB98" s="58">
        <v>43971</v>
      </c>
      <c r="AC98" s="58">
        <v>43969</v>
      </c>
      <c r="AD98" s="58">
        <v>43973</v>
      </c>
      <c r="AE98" s="58">
        <v>43969</v>
      </c>
      <c r="AF98" s="58">
        <v>43969</v>
      </c>
      <c r="AG98" s="58" t="s">
        <v>75</v>
      </c>
      <c r="AH98" s="59">
        <v>1</v>
      </c>
      <c r="AI98" s="59">
        <v>1</v>
      </c>
      <c r="AJ98" s="59">
        <v>1</v>
      </c>
      <c r="AK98" s="58" t="s">
        <v>8</v>
      </c>
      <c r="AL98" s="14" t="s">
        <v>72</v>
      </c>
      <c r="AM98" s="14" t="s">
        <v>72</v>
      </c>
      <c r="AN98" s="14" t="s">
        <v>72</v>
      </c>
    </row>
    <row r="99" spans="2:40" ht="15">
      <c r="B99" s="172">
        <v>201</v>
      </c>
      <c r="C99" s="13">
        <v>20200518</v>
      </c>
      <c r="D99" s="13" t="s">
        <v>24</v>
      </c>
      <c r="E99" s="13" t="s">
        <v>1562</v>
      </c>
      <c r="F99" s="39" t="s">
        <v>1570</v>
      </c>
      <c r="G99" s="14">
        <v>1453440</v>
      </c>
      <c r="H99" s="164" t="s">
        <v>72</v>
      </c>
      <c r="I99" s="13" t="s">
        <v>130</v>
      </c>
      <c r="J99" s="164" t="s">
        <v>72</v>
      </c>
      <c r="K99" s="13" t="s">
        <v>73</v>
      </c>
      <c r="L99" s="13" t="s">
        <v>1564</v>
      </c>
      <c r="M99" s="13" t="s">
        <v>1565</v>
      </c>
      <c r="N99" s="13" t="s">
        <v>1566</v>
      </c>
      <c r="O99" s="14" t="s">
        <v>72</v>
      </c>
      <c r="P99" s="14" t="s">
        <v>1567</v>
      </c>
      <c r="Q99" s="165"/>
      <c r="R99" s="164" t="s">
        <v>72</v>
      </c>
      <c r="S99" s="13" t="s">
        <v>117</v>
      </c>
      <c r="T99" s="13"/>
      <c r="U99" s="13"/>
      <c r="V99" s="13">
        <v>220</v>
      </c>
      <c r="W99" s="13">
        <v>220</v>
      </c>
      <c r="X99" s="13">
        <v>220</v>
      </c>
      <c r="Y99" s="13">
        <v>3.91</v>
      </c>
      <c r="Z99" s="13">
        <v>3</v>
      </c>
      <c r="AA99" s="13" t="s">
        <v>110</v>
      </c>
      <c r="AB99" s="58">
        <v>43971</v>
      </c>
      <c r="AC99" s="58">
        <v>43969</v>
      </c>
      <c r="AD99" s="58">
        <v>43973</v>
      </c>
      <c r="AE99" s="58">
        <v>43969</v>
      </c>
      <c r="AF99" s="58">
        <v>43969</v>
      </c>
      <c r="AG99" s="58" t="s">
        <v>75</v>
      </c>
      <c r="AH99" s="59">
        <v>1</v>
      </c>
      <c r="AI99" s="59">
        <v>1</v>
      </c>
      <c r="AJ99" s="59">
        <v>1</v>
      </c>
      <c r="AK99" s="58" t="s">
        <v>8</v>
      </c>
      <c r="AL99" s="14" t="s">
        <v>72</v>
      </c>
      <c r="AM99" s="14" t="s">
        <v>72</v>
      </c>
      <c r="AN99" s="14" t="s">
        <v>72</v>
      </c>
    </row>
    <row r="100" spans="2:40" ht="15">
      <c r="B100" s="172">
        <v>202</v>
      </c>
      <c r="C100" s="13">
        <v>20200518</v>
      </c>
      <c r="D100" s="13" t="s">
        <v>24</v>
      </c>
      <c r="E100" s="13" t="s">
        <v>1562</v>
      </c>
      <c r="F100" s="39" t="s">
        <v>1571</v>
      </c>
      <c r="G100" s="14">
        <v>1473319</v>
      </c>
      <c r="H100" s="164" t="s">
        <v>72</v>
      </c>
      <c r="I100" s="13" t="s">
        <v>1572</v>
      </c>
      <c r="J100" s="164" t="s">
        <v>72</v>
      </c>
      <c r="K100" s="13" t="s">
        <v>73</v>
      </c>
      <c r="L100" s="13" t="s">
        <v>1564</v>
      </c>
      <c r="M100" s="13" t="s">
        <v>1565</v>
      </c>
      <c r="N100" s="13" t="s">
        <v>1566</v>
      </c>
      <c r="O100" s="14" t="s">
        <v>72</v>
      </c>
      <c r="P100" s="14" t="s">
        <v>1278</v>
      </c>
      <c r="Q100" s="165"/>
      <c r="R100" s="164" t="s">
        <v>72</v>
      </c>
      <c r="S100" s="13" t="s">
        <v>113</v>
      </c>
      <c r="T100" s="13"/>
      <c r="U100" s="13"/>
      <c r="V100" s="13">
        <v>74</v>
      </c>
      <c r="W100" s="13">
        <v>74</v>
      </c>
      <c r="X100" s="13">
        <v>74</v>
      </c>
      <c r="Y100" s="13">
        <v>1.31</v>
      </c>
      <c r="Z100" s="13">
        <v>1.31</v>
      </c>
      <c r="AA100" s="13" t="s">
        <v>110</v>
      </c>
      <c r="AB100" s="58">
        <v>43971</v>
      </c>
      <c r="AC100" s="58">
        <v>43969</v>
      </c>
      <c r="AD100" s="58">
        <v>43973</v>
      </c>
      <c r="AE100" s="58">
        <v>43969</v>
      </c>
      <c r="AF100" s="58">
        <v>43969</v>
      </c>
      <c r="AG100" s="58" t="s">
        <v>75</v>
      </c>
      <c r="AH100" s="59">
        <v>1</v>
      </c>
      <c r="AI100" s="59">
        <v>1</v>
      </c>
      <c r="AJ100" s="59">
        <v>1</v>
      </c>
      <c r="AK100" s="58" t="s">
        <v>8</v>
      </c>
      <c r="AL100" s="14" t="s">
        <v>72</v>
      </c>
      <c r="AM100" s="14" t="s">
        <v>72</v>
      </c>
      <c r="AN100" s="14" t="s">
        <v>72</v>
      </c>
    </row>
    <row r="101" spans="2:40" ht="15">
      <c r="B101" s="172">
        <v>203</v>
      </c>
      <c r="C101" s="13">
        <v>20200518</v>
      </c>
      <c r="D101" s="13" t="s">
        <v>24</v>
      </c>
      <c r="E101" s="13" t="s">
        <v>1562</v>
      </c>
      <c r="F101" s="39" t="s">
        <v>1571</v>
      </c>
      <c r="G101" s="14">
        <v>1473319</v>
      </c>
      <c r="H101" s="164" t="s">
        <v>72</v>
      </c>
      <c r="I101" s="13" t="s">
        <v>1573</v>
      </c>
      <c r="J101" s="164" t="s">
        <v>72</v>
      </c>
      <c r="K101" s="13" t="s">
        <v>73</v>
      </c>
      <c r="L101" s="13" t="s">
        <v>1564</v>
      </c>
      <c r="M101" s="13" t="s">
        <v>1565</v>
      </c>
      <c r="N101" s="13" t="s">
        <v>1566</v>
      </c>
      <c r="O101" s="14" t="s">
        <v>72</v>
      </c>
      <c r="P101" s="14" t="s">
        <v>1278</v>
      </c>
      <c r="Q101" s="165"/>
      <c r="R101" s="164" t="s">
        <v>72</v>
      </c>
      <c r="S101" s="13" t="s">
        <v>161</v>
      </c>
      <c r="T101" s="13"/>
      <c r="U101" s="13"/>
      <c r="V101" s="13">
        <v>26</v>
      </c>
      <c r="W101" s="13">
        <v>26</v>
      </c>
      <c r="X101" s="13">
        <v>26</v>
      </c>
      <c r="Y101" s="13">
        <v>0.46</v>
      </c>
      <c r="Z101" s="13">
        <v>0.4</v>
      </c>
      <c r="AA101" s="13" t="s">
        <v>110</v>
      </c>
      <c r="AB101" s="58">
        <v>43971</v>
      </c>
      <c r="AC101" s="58">
        <v>43969</v>
      </c>
      <c r="AD101" s="58">
        <v>43973</v>
      </c>
      <c r="AE101" s="58">
        <v>43969</v>
      </c>
      <c r="AF101" s="58">
        <v>43969</v>
      </c>
      <c r="AG101" s="58" t="s">
        <v>75</v>
      </c>
      <c r="AH101" s="59">
        <v>1</v>
      </c>
      <c r="AI101" s="59">
        <v>1</v>
      </c>
      <c r="AJ101" s="59">
        <v>1</v>
      </c>
      <c r="AK101" s="58" t="s">
        <v>8</v>
      </c>
      <c r="AL101" s="14" t="s">
        <v>72</v>
      </c>
      <c r="AM101" s="14" t="s">
        <v>72</v>
      </c>
      <c r="AN101" s="14" t="s">
        <v>72</v>
      </c>
    </row>
    <row r="102" spans="2:40" ht="15">
      <c r="B102" s="172">
        <v>204</v>
      </c>
      <c r="C102" s="13">
        <v>20200518</v>
      </c>
      <c r="D102" s="13" t="s">
        <v>24</v>
      </c>
      <c r="E102" s="13" t="s">
        <v>1562</v>
      </c>
      <c r="F102" s="39" t="s">
        <v>1574</v>
      </c>
      <c r="G102" s="14">
        <v>1472760</v>
      </c>
      <c r="H102" s="164" t="s">
        <v>72</v>
      </c>
      <c r="I102" s="13" t="s">
        <v>120</v>
      </c>
      <c r="J102" s="164" t="s">
        <v>72</v>
      </c>
      <c r="K102" s="13" t="s">
        <v>73</v>
      </c>
      <c r="L102" s="13" t="s">
        <v>8</v>
      </c>
      <c r="M102" s="13" t="s">
        <v>1565</v>
      </c>
      <c r="N102" s="13" t="s">
        <v>1566</v>
      </c>
      <c r="O102" s="14" t="s">
        <v>72</v>
      </c>
      <c r="P102" s="14" t="s">
        <v>1575</v>
      </c>
      <c r="Q102" s="165"/>
      <c r="R102" s="164" t="s">
        <v>72</v>
      </c>
      <c r="S102" s="13" t="s">
        <v>113</v>
      </c>
      <c r="T102" s="13"/>
      <c r="U102" s="13"/>
      <c r="V102" s="13">
        <v>175</v>
      </c>
      <c r="W102" s="13">
        <v>175</v>
      </c>
      <c r="X102" s="13">
        <v>175</v>
      </c>
      <c r="Y102" s="13">
        <v>3.11</v>
      </c>
      <c r="Z102" s="13">
        <v>3.11</v>
      </c>
      <c r="AA102" s="13" t="s">
        <v>110</v>
      </c>
      <c r="AB102" s="58">
        <v>43971</v>
      </c>
      <c r="AC102" s="58">
        <v>43969</v>
      </c>
      <c r="AD102" s="58">
        <v>43973</v>
      </c>
      <c r="AE102" s="58">
        <v>43970</v>
      </c>
      <c r="AF102" s="58">
        <v>43970</v>
      </c>
      <c r="AG102" s="58" t="s">
        <v>75</v>
      </c>
      <c r="AH102" s="59">
        <v>1</v>
      </c>
      <c r="AI102" s="59">
        <v>1</v>
      </c>
      <c r="AJ102" s="59">
        <v>1</v>
      </c>
      <c r="AK102" s="58" t="s">
        <v>8</v>
      </c>
      <c r="AL102" s="14" t="s">
        <v>72</v>
      </c>
      <c r="AM102" s="14" t="s">
        <v>72</v>
      </c>
      <c r="AN102" s="14" t="s">
        <v>72</v>
      </c>
    </row>
    <row r="103" spans="2:40" ht="15">
      <c r="B103" s="172">
        <v>205</v>
      </c>
      <c r="C103" s="13">
        <v>20200518</v>
      </c>
      <c r="D103" s="13" t="s">
        <v>24</v>
      </c>
      <c r="E103" s="13" t="s">
        <v>1562</v>
      </c>
      <c r="F103" s="39" t="s">
        <v>1576</v>
      </c>
      <c r="G103" s="14">
        <v>1362417</v>
      </c>
      <c r="H103" s="164" t="s">
        <v>72</v>
      </c>
      <c r="I103" s="53" t="s">
        <v>278</v>
      </c>
      <c r="J103" s="164" t="s">
        <v>72</v>
      </c>
      <c r="K103" s="13" t="s">
        <v>73</v>
      </c>
      <c r="L103" s="173" t="s">
        <v>1564</v>
      </c>
      <c r="M103" s="13" t="s">
        <v>1565</v>
      </c>
      <c r="N103" s="13" t="s">
        <v>1566</v>
      </c>
      <c r="O103" s="14" t="s">
        <v>72</v>
      </c>
      <c r="P103" s="14" t="s">
        <v>1043</v>
      </c>
      <c r="Q103" s="165"/>
      <c r="R103" s="164" t="s">
        <v>72</v>
      </c>
      <c r="S103" s="13" t="s">
        <v>109</v>
      </c>
      <c r="T103" s="13"/>
      <c r="U103" s="13"/>
      <c r="V103" s="13">
        <v>25</v>
      </c>
      <c r="W103" s="13">
        <v>25</v>
      </c>
      <c r="X103" s="13">
        <v>25</v>
      </c>
      <c r="Y103" s="13">
        <v>0.44</v>
      </c>
      <c r="Z103" s="13">
        <v>0.5</v>
      </c>
      <c r="AA103" s="13" t="s">
        <v>110</v>
      </c>
      <c r="AB103" s="58">
        <v>43971</v>
      </c>
      <c r="AC103" s="58">
        <v>43969</v>
      </c>
      <c r="AD103" s="58">
        <v>43973</v>
      </c>
      <c r="AE103" s="58">
        <v>43970</v>
      </c>
      <c r="AF103" s="58">
        <v>43970</v>
      </c>
      <c r="AG103" s="58" t="s">
        <v>75</v>
      </c>
      <c r="AH103" s="59">
        <v>1</v>
      </c>
      <c r="AI103" s="59">
        <v>1</v>
      </c>
      <c r="AJ103" s="59">
        <v>1</v>
      </c>
      <c r="AK103" s="58" t="s">
        <v>8</v>
      </c>
      <c r="AL103" s="14" t="s">
        <v>72</v>
      </c>
      <c r="AM103" s="14" t="s">
        <v>72</v>
      </c>
      <c r="AN103" s="14" t="s">
        <v>72</v>
      </c>
    </row>
    <row r="104" spans="2:40" ht="15">
      <c r="B104" s="172">
        <v>206</v>
      </c>
      <c r="C104" s="13">
        <v>20200518</v>
      </c>
      <c r="D104" s="13" t="s">
        <v>24</v>
      </c>
      <c r="E104" s="13" t="s">
        <v>1562</v>
      </c>
      <c r="F104" s="39" t="s">
        <v>1577</v>
      </c>
      <c r="G104" s="14">
        <v>1362417</v>
      </c>
      <c r="H104" s="164" t="s">
        <v>72</v>
      </c>
      <c r="I104" s="13" t="s">
        <v>32</v>
      </c>
      <c r="J104" s="164" t="s">
        <v>72</v>
      </c>
      <c r="K104" s="13" t="s">
        <v>73</v>
      </c>
      <c r="L104" s="173" t="s">
        <v>1564</v>
      </c>
      <c r="M104" s="13" t="s">
        <v>1565</v>
      </c>
      <c r="N104" s="13" t="s">
        <v>1566</v>
      </c>
      <c r="O104" s="14" t="s">
        <v>72</v>
      </c>
      <c r="P104" s="14" t="s">
        <v>1043</v>
      </c>
      <c r="Q104" s="165"/>
      <c r="R104" s="164" t="s">
        <v>72</v>
      </c>
      <c r="S104" s="13" t="s">
        <v>117</v>
      </c>
      <c r="T104" s="13"/>
      <c r="U104" s="13"/>
      <c r="V104" s="13">
        <v>259</v>
      </c>
      <c r="W104" s="13">
        <v>259</v>
      </c>
      <c r="X104" s="13">
        <v>259</v>
      </c>
      <c r="Y104" s="13">
        <v>4.5999999999999996</v>
      </c>
      <c r="Z104" s="13">
        <v>4</v>
      </c>
      <c r="AA104" s="13" t="s">
        <v>110</v>
      </c>
      <c r="AB104" s="58">
        <v>43971</v>
      </c>
      <c r="AC104" s="58">
        <v>43969</v>
      </c>
      <c r="AD104" s="58">
        <v>43973</v>
      </c>
      <c r="AE104" s="58">
        <v>43970</v>
      </c>
      <c r="AF104" s="58">
        <v>43970</v>
      </c>
      <c r="AG104" s="58" t="s">
        <v>79</v>
      </c>
      <c r="AH104" s="59">
        <v>1</v>
      </c>
      <c r="AI104" s="59">
        <v>1</v>
      </c>
      <c r="AJ104" s="59">
        <v>0.87</v>
      </c>
      <c r="AK104" s="58" t="s">
        <v>76</v>
      </c>
      <c r="AL104" s="14" t="s">
        <v>1578</v>
      </c>
      <c r="AM104" s="14" t="s">
        <v>72</v>
      </c>
      <c r="AN104" s="14" t="s">
        <v>1579</v>
      </c>
    </row>
    <row r="105" spans="2:40" ht="15">
      <c r="B105" s="172">
        <v>207</v>
      </c>
      <c r="C105" s="13">
        <v>20200518</v>
      </c>
      <c r="D105" s="13" t="s">
        <v>24</v>
      </c>
      <c r="E105" s="13" t="s">
        <v>1562</v>
      </c>
      <c r="F105" s="39" t="s">
        <v>1571</v>
      </c>
      <c r="G105" s="14">
        <v>1362417</v>
      </c>
      <c r="H105" s="164" t="s">
        <v>72</v>
      </c>
      <c r="I105" s="13" t="s">
        <v>270</v>
      </c>
      <c r="J105" s="164" t="s">
        <v>72</v>
      </c>
      <c r="K105" s="13" t="s">
        <v>73</v>
      </c>
      <c r="L105" s="173" t="s">
        <v>1564</v>
      </c>
      <c r="M105" s="13" t="s">
        <v>1565</v>
      </c>
      <c r="N105" s="13" t="s">
        <v>1566</v>
      </c>
      <c r="O105" s="14" t="s">
        <v>72</v>
      </c>
      <c r="P105" s="14" t="s">
        <v>1043</v>
      </c>
      <c r="Q105" s="165"/>
      <c r="R105" s="164" t="s">
        <v>72</v>
      </c>
      <c r="S105" s="13" t="s">
        <v>161</v>
      </c>
      <c r="T105" s="13"/>
      <c r="U105" s="13"/>
      <c r="V105" s="13">
        <v>77</v>
      </c>
      <c r="W105" s="13">
        <v>77</v>
      </c>
      <c r="X105" s="13">
        <v>77</v>
      </c>
      <c r="Y105" s="13">
        <v>1.36</v>
      </c>
      <c r="Z105" s="13">
        <v>1</v>
      </c>
      <c r="AA105" s="13" t="s">
        <v>110</v>
      </c>
      <c r="AB105" s="58">
        <v>43971</v>
      </c>
      <c r="AC105" s="58">
        <v>43969</v>
      </c>
      <c r="AD105" s="58">
        <v>43973</v>
      </c>
      <c r="AE105" s="58">
        <v>43969</v>
      </c>
      <c r="AF105" s="58">
        <v>43969</v>
      </c>
      <c r="AG105" s="58" t="s">
        <v>75</v>
      </c>
      <c r="AH105" s="59">
        <v>1</v>
      </c>
      <c r="AI105" s="59">
        <v>1</v>
      </c>
      <c r="AJ105" s="59">
        <v>1</v>
      </c>
      <c r="AK105" s="58" t="s">
        <v>8</v>
      </c>
      <c r="AL105" s="14" t="s">
        <v>72</v>
      </c>
      <c r="AM105" s="14" t="s">
        <v>72</v>
      </c>
      <c r="AN105" s="14" t="s">
        <v>72</v>
      </c>
    </row>
    <row r="106" spans="2:40" ht="15">
      <c r="B106" s="172">
        <v>208</v>
      </c>
      <c r="C106" s="13">
        <v>20200518</v>
      </c>
      <c r="D106" s="13" t="s">
        <v>24</v>
      </c>
      <c r="E106" s="13" t="s">
        <v>1562</v>
      </c>
      <c r="F106" s="39" t="s">
        <v>1571</v>
      </c>
      <c r="G106" s="14">
        <v>1362417</v>
      </c>
      <c r="H106" s="164" t="s">
        <v>72</v>
      </c>
      <c r="I106" s="13" t="s">
        <v>271</v>
      </c>
      <c r="J106" s="164" t="s">
        <v>72</v>
      </c>
      <c r="K106" s="13" t="s">
        <v>73</v>
      </c>
      <c r="L106" s="173" t="s">
        <v>1564</v>
      </c>
      <c r="M106" s="13" t="s">
        <v>1565</v>
      </c>
      <c r="N106" s="13" t="s">
        <v>1566</v>
      </c>
      <c r="O106" s="14" t="s">
        <v>72</v>
      </c>
      <c r="P106" s="14" t="s">
        <v>1043</v>
      </c>
      <c r="Q106" s="165"/>
      <c r="R106" s="164" t="s">
        <v>72</v>
      </c>
      <c r="S106" s="13" t="s">
        <v>117</v>
      </c>
      <c r="T106" s="13"/>
      <c r="U106" s="13"/>
      <c r="V106" s="13">
        <v>44</v>
      </c>
      <c r="W106" s="13">
        <v>44</v>
      </c>
      <c r="X106" s="13">
        <v>44</v>
      </c>
      <c r="Y106" s="13">
        <v>0.78</v>
      </c>
      <c r="Z106" s="13">
        <v>0.5</v>
      </c>
      <c r="AA106" s="13" t="s">
        <v>110</v>
      </c>
      <c r="AB106" s="58">
        <v>43971</v>
      </c>
      <c r="AC106" s="58">
        <v>43969</v>
      </c>
      <c r="AD106" s="58">
        <v>43973</v>
      </c>
      <c r="AE106" s="58">
        <v>43970</v>
      </c>
      <c r="AF106" s="58">
        <v>43970</v>
      </c>
      <c r="AG106" s="58" t="s">
        <v>75</v>
      </c>
      <c r="AH106" s="59">
        <v>1</v>
      </c>
      <c r="AI106" s="59">
        <v>1</v>
      </c>
      <c r="AJ106" s="59">
        <v>1</v>
      </c>
      <c r="AK106" s="58" t="s">
        <v>8</v>
      </c>
      <c r="AL106" s="14" t="s">
        <v>72</v>
      </c>
      <c r="AM106" s="14" t="s">
        <v>72</v>
      </c>
      <c r="AN106" s="14" t="s">
        <v>72</v>
      </c>
    </row>
    <row r="107" spans="2:40" ht="15">
      <c r="B107" s="172">
        <v>209</v>
      </c>
      <c r="C107" s="13">
        <v>20200518</v>
      </c>
      <c r="D107" s="13" t="s">
        <v>24</v>
      </c>
      <c r="E107" s="13" t="s">
        <v>1562</v>
      </c>
      <c r="F107" s="39" t="s">
        <v>1571</v>
      </c>
      <c r="G107" s="14">
        <v>1362417</v>
      </c>
      <c r="H107" s="164" t="s">
        <v>72</v>
      </c>
      <c r="I107" s="13" t="s">
        <v>1580</v>
      </c>
      <c r="J107" s="164" t="s">
        <v>72</v>
      </c>
      <c r="K107" s="13" t="s">
        <v>73</v>
      </c>
      <c r="L107" s="173" t="s">
        <v>1564</v>
      </c>
      <c r="M107" s="13" t="s">
        <v>1565</v>
      </c>
      <c r="N107" s="13" t="s">
        <v>1566</v>
      </c>
      <c r="O107" s="14" t="s">
        <v>72</v>
      </c>
      <c r="P107" s="14" t="s">
        <v>1043</v>
      </c>
      <c r="Q107" s="165"/>
      <c r="R107" s="164" t="s">
        <v>72</v>
      </c>
      <c r="S107" s="13" t="s">
        <v>117</v>
      </c>
      <c r="T107" s="13"/>
      <c r="U107" s="13"/>
      <c r="V107" s="13">
        <v>20</v>
      </c>
      <c r="W107" s="13">
        <v>20</v>
      </c>
      <c r="X107" s="13">
        <v>20</v>
      </c>
      <c r="Y107" s="13">
        <v>0.35</v>
      </c>
      <c r="Z107" s="13">
        <v>0.3</v>
      </c>
      <c r="AA107" s="13" t="s">
        <v>110</v>
      </c>
      <c r="AB107" s="58">
        <v>43971</v>
      </c>
      <c r="AC107" s="58">
        <v>43969</v>
      </c>
      <c r="AD107" s="58">
        <v>43973</v>
      </c>
      <c r="AE107" s="58">
        <v>43970</v>
      </c>
      <c r="AF107" s="58">
        <v>43970</v>
      </c>
      <c r="AG107" s="58" t="s">
        <v>75</v>
      </c>
      <c r="AH107" s="59">
        <v>1</v>
      </c>
      <c r="AI107" s="59">
        <v>1</v>
      </c>
      <c r="AJ107" s="59">
        <v>1</v>
      </c>
      <c r="AK107" s="58" t="s">
        <v>8</v>
      </c>
      <c r="AL107" s="14" t="s">
        <v>72</v>
      </c>
      <c r="AM107" s="14" t="s">
        <v>72</v>
      </c>
      <c r="AN107" s="14" t="s">
        <v>72</v>
      </c>
    </row>
    <row r="108" spans="2:40" ht="15">
      <c r="B108" s="174">
        <v>210</v>
      </c>
      <c r="C108" s="13">
        <v>20200518</v>
      </c>
      <c r="D108" s="13" t="s">
        <v>24</v>
      </c>
      <c r="E108" s="13" t="s">
        <v>1581</v>
      </c>
      <c r="F108" s="39" t="s">
        <v>1582</v>
      </c>
      <c r="G108" s="14">
        <v>1473584</v>
      </c>
      <c r="H108" s="164" t="s">
        <v>72</v>
      </c>
      <c r="I108" s="13" t="s">
        <v>558</v>
      </c>
      <c r="J108" s="164" t="s">
        <v>72</v>
      </c>
      <c r="K108" s="13" t="s">
        <v>73</v>
      </c>
      <c r="L108" s="13" t="s">
        <v>1583</v>
      </c>
      <c r="M108" s="13" t="s">
        <v>1584</v>
      </c>
      <c r="N108" s="13" t="s">
        <v>1585</v>
      </c>
      <c r="O108" s="14" t="s">
        <v>72</v>
      </c>
      <c r="P108" s="14" t="s">
        <v>562</v>
      </c>
      <c r="Q108" s="165"/>
      <c r="R108" s="164" t="s">
        <v>72</v>
      </c>
      <c r="S108" s="13" t="s">
        <v>77</v>
      </c>
      <c r="T108" s="13"/>
      <c r="U108" s="13"/>
      <c r="V108" s="13">
        <v>145</v>
      </c>
      <c r="W108" s="13">
        <v>145</v>
      </c>
      <c r="X108" s="13">
        <v>145</v>
      </c>
      <c r="Y108" s="13">
        <v>2.57</v>
      </c>
      <c r="Z108" s="13">
        <v>0.4</v>
      </c>
      <c r="AA108" s="13" t="s">
        <v>110</v>
      </c>
      <c r="AB108" s="58">
        <v>43971</v>
      </c>
      <c r="AC108" s="58">
        <v>43969</v>
      </c>
      <c r="AD108" s="175">
        <v>43971</v>
      </c>
      <c r="AE108" s="58">
        <v>43970</v>
      </c>
      <c r="AF108" s="58">
        <v>43970</v>
      </c>
      <c r="AG108" s="58" t="s">
        <v>75</v>
      </c>
      <c r="AH108" s="59">
        <v>1</v>
      </c>
      <c r="AI108" s="59">
        <v>1</v>
      </c>
      <c r="AJ108" s="59">
        <v>1</v>
      </c>
      <c r="AK108" s="58" t="s">
        <v>8</v>
      </c>
      <c r="AL108" s="176"/>
      <c r="AM108" s="59" t="s">
        <v>72</v>
      </c>
      <c r="AN108" s="59" t="s">
        <v>72</v>
      </c>
    </row>
    <row r="109" spans="2:40" ht="15">
      <c r="B109" s="174">
        <v>211</v>
      </c>
      <c r="C109" s="13">
        <v>20200518</v>
      </c>
      <c r="D109" s="13" t="s">
        <v>24</v>
      </c>
      <c r="E109" s="13" t="s">
        <v>1581</v>
      </c>
      <c r="F109" s="39" t="s">
        <v>1586</v>
      </c>
      <c r="G109" s="14">
        <v>1473584</v>
      </c>
      <c r="H109" s="164" t="s">
        <v>72</v>
      </c>
      <c r="I109" s="13" t="s">
        <v>564</v>
      </c>
      <c r="J109" s="164" t="s">
        <v>72</v>
      </c>
      <c r="K109" s="13" t="s">
        <v>73</v>
      </c>
      <c r="L109" s="13" t="s">
        <v>1583</v>
      </c>
      <c r="M109" s="13" t="s">
        <v>1584</v>
      </c>
      <c r="N109" s="13" t="s">
        <v>1585</v>
      </c>
      <c r="O109" s="14" t="s">
        <v>72</v>
      </c>
      <c r="P109" s="14" t="s">
        <v>562</v>
      </c>
      <c r="Q109" s="165"/>
      <c r="R109" s="164" t="s">
        <v>72</v>
      </c>
      <c r="S109" s="13" t="s">
        <v>77</v>
      </c>
      <c r="T109" s="13"/>
      <c r="U109" s="13"/>
      <c r="V109" s="13">
        <v>101</v>
      </c>
      <c r="W109" s="13">
        <v>101</v>
      </c>
      <c r="X109" s="13">
        <v>101</v>
      </c>
      <c r="Y109" s="13">
        <v>1.79</v>
      </c>
      <c r="Z109" s="13">
        <v>0.4</v>
      </c>
      <c r="AA109" s="13" t="s">
        <v>110</v>
      </c>
      <c r="AB109" s="58">
        <v>43971</v>
      </c>
      <c r="AC109" s="58">
        <v>43969</v>
      </c>
      <c r="AD109" s="175">
        <v>43971</v>
      </c>
      <c r="AE109" s="58">
        <v>43970</v>
      </c>
      <c r="AF109" s="58">
        <v>43970</v>
      </c>
      <c r="AG109" s="58" t="s">
        <v>79</v>
      </c>
      <c r="AH109" s="59">
        <v>1</v>
      </c>
      <c r="AI109" s="59">
        <v>1</v>
      </c>
      <c r="AJ109" s="59">
        <v>0.5</v>
      </c>
      <c r="AK109" s="58" t="s">
        <v>76</v>
      </c>
      <c r="AL109" s="177" t="s">
        <v>1587</v>
      </c>
      <c r="AM109" s="177" t="s">
        <v>72</v>
      </c>
      <c r="AN109" s="176" t="s">
        <v>571</v>
      </c>
    </row>
    <row r="110" spans="2:40" ht="15.75">
      <c r="B110" s="174">
        <v>212</v>
      </c>
      <c r="C110" s="13">
        <v>20200518</v>
      </c>
      <c r="D110" s="13" t="s">
        <v>24</v>
      </c>
      <c r="E110" s="13" t="s">
        <v>1581</v>
      </c>
      <c r="F110" s="39" t="s">
        <v>1588</v>
      </c>
      <c r="G110" s="14">
        <v>1473584</v>
      </c>
      <c r="H110" s="164" t="s">
        <v>72</v>
      </c>
      <c r="I110" s="13" t="s">
        <v>566</v>
      </c>
      <c r="J110" s="164" t="s">
        <v>72</v>
      </c>
      <c r="K110" s="13" t="s">
        <v>73</v>
      </c>
      <c r="L110" s="13" t="s">
        <v>1583</v>
      </c>
      <c r="M110" s="13" t="s">
        <v>1584</v>
      </c>
      <c r="N110" s="13" t="s">
        <v>1585</v>
      </c>
      <c r="O110" s="14" t="s">
        <v>72</v>
      </c>
      <c r="P110" s="14" t="s">
        <v>562</v>
      </c>
      <c r="Q110" s="165"/>
      <c r="R110" s="164" t="s">
        <v>72</v>
      </c>
      <c r="S110" s="13" t="s">
        <v>77</v>
      </c>
      <c r="T110" s="13"/>
      <c r="U110" s="13"/>
      <c r="V110" s="13">
        <v>154</v>
      </c>
      <c r="W110" s="13">
        <v>154</v>
      </c>
      <c r="X110" s="13">
        <v>154</v>
      </c>
      <c r="Y110" s="13">
        <v>2.73</v>
      </c>
      <c r="Z110" s="13">
        <v>0.5</v>
      </c>
      <c r="AA110" s="13" t="s">
        <v>110</v>
      </c>
      <c r="AB110" s="58">
        <v>43971</v>
      </c>
      <c r="AC110" s="58">
        <v>43969</v>
      </c>
      <c r="AD110" s="175">
        <v>43971</v>
      </c>
      <c r="AE110" s="58">
        <v>43970</v>
      </c>
      <c r="AF110" s="58">
        <v>43970</v>
      </c>
      <c r="AG110" s="58" t="s">
        <v>79</v>
      </c>
      <c r="AH110" s="59">
        <v>0.96</v>
      </c>
      <c r="AI110" s="59">
        <v>0.9</v>
      </c>
      <c r="AJ110" s="59">
        <v>1</v>
      </c>
      <c r="AK110" s="58" t="s">
        <v>76</v>
      </c>
      <c r="AL110" s="178" t="s">
        <v>1589</v>
      </c>
      <c r="AM110" s="177" t="s">
        <v>72</v>
      </c>
      <c r="AN110" s="176" t="s">
        <v>571</v>
      </c>
    </row>
    <row r="111" spans="2:40" ht="15">
      <c r="B111" s="174">
        <v>213</v>
      </c>
      <c r="C111" s="13">
        <v>20200518</v>
      </c>
      <c r="D111" s="13" t="s">
        <v>24</v>
      </c>
      <c r="E111" s="13" t="s">
        <v>1581</v>
      </c>
      <c r="F111" s="39" t="s">
        <v>1590</v>
      </c>
      <c r="G111" s="14">
        <v>1473584</v>
      </c>
      <c r="H111" s="164" t="s">
        <v>72</v>
      </c>
      <c r="I111" s="13" t="s">
        <v>45</v>
      </c>
      <c r="J111" s="164" t="s">
        <v>72</v>
      </c>
      <c r="K111" s="13" t="s">
        <v>73</v>
      </c>
      <c r="L111" s="13" t="s">
        <v>1583</v>
      </c>
      <c r="M111" s="13" t="s">
        <v>1584</v>
      </c>
      <c r="N111" s="13" t="s">
        <v>1585</v>
      </c>
      <c r="O111" s="14" t="s">
        <v>72</v>
      </c>
      <c r="P111" s="14" t="s">
        <v>562</v>
      </c>
      <c r="Q111" s="165"/>
      <c r="R111" s="164" t="s">
        <v>72</v>
      </c>
      <c r="S111" s="13" t="s">
        <v>77</v>
      </c>
      <c r="T111" s="13"/>
      <c r="U111" s="13"/>
      <c r="V111" s="13">
        <v>120</v>
      </c>
      <c r="W111" s="13">
        <v>120</v>
      </c>
      <c r="X111" s="13">
        <v>120</v>
      </c>
      <c r="Y111" s="13">
        <v>2.13</v>
      </c>
      <c r="Z111" s="13">
        <v>1</v>
      </c>
      <c r="AA111" s="13" t="s">
        <v>110</v>
      </c>
      <c r="AB111" s="58">
        <v>43971</v>
      </c>
      <c r="AC111" s="58">
        <v>43969</v>
      </c>
      <c r="AD111" s="175">
        <v>43971</v>
      </c>
      <c r="AE111" s="58">
        <v>43970</v>
      </c>
      <c r="AF111" s="58">
        <v>43970</v>
      </c>
      <c r="AG111" s="58" t="s">
        <v>79</v>
      </c>
      <c r="AH111" s="59">
        <v>1</v>
      </c>
      <c r="AI111" s="59">
        <v>0.98</v>
      </c>
      <c r="AJ111" s="59">
        <v>1</v>
      </c>
      <c r="AK111" s="58" t="s">
        <v>76</v>
      </c>
      <c r="AL111" s="176" t="s">
        <v>1591</v>
      </c>
      <c r="AM111" s="177" t="s">
        <v>72</v>
      </c>
      <c r="AN111" s="176" t="s">
        <v>571</v>
      </c>
    </row>
    <row r="112" spans="2:40" ht="15">
      <c r="B112" s="174">
        <v>214</v>
      </c>
      <c r="C112" s="13">
        <v>20200518</v>
      </c>
      <c r="D112" s="13" t="s">
        <v>24</v>
      </c>
      <c r="E112" s="13" t="s">
        <v>1581</v>
      </c>
      <c r="F112" s="39" t="s">
        <v>1592</v>
      </c>
      <c r="G112" s="14">
        <v>1473584</v>
      </c>
      <c r="H112" s="164" t="s">
        <v>72</v>
      </c>
      <c r="I112" s="13" t="s">
        <v>47</v>
      </c>
      <c r="J112" s="164" t="s">
        <v>72</v>
      </c>
      <c r="K112" s="13" t="s">
        <v>73</v>
      </c>
      <c r="L112" s="13" t="s">
        <v>1583</v>
      </c>
      <c r="M112" s="13" t="s">
        <v>1584</v>
      </c>
      <c r="N112" s="13" t="s">
        <v>1585</v>
      </c>
      <c r="O112" s="14" t="s">
        <v>72</v>
      </c>
      <c r="P112" s="14" t="s">
        <v>562</v>
      </c>
      <c r="Q112" s="165"/>
      <c r="R112" s="164" t="s">
        <v>72</v>
      </c>
      <c r="S112" s="13" t="s">
        <v>77</v>
      </c>
      <c r="T112" s="13"/>
      <c r="U112" s="13"/>
      <c r="V112" s="13">
        <v>178</v>
      </c>
      <c r="W112" s="13">
        <v>178</v>
      </c>
      <c r="X112" s="13">
        <v>178</v>
      </c>
      <c r="Y112" s="13">
        <v>3.16</v>
      </c>
      <c r="Z112" s="13">
        <v>0.1</v>
      </c>
      <c r="AA112" s="13" t="s">
        <v>110</v>
      </c>
      <c r="AB112" s="58">
        <v>43971</v>
      </c>
      <c r="AC112" s="58">
        <v>43969</v>
      </c>
      <c r="AD112" s="175">
        <v>43971</v>
      </c>
      <c r="AE112" s="58">
        <v>43970</v>
      </c>
      <c r="AF112" s="58">
        <v>43970</v>
      </c>
      <c r="AG112" s="58" t="s">
        <v>75</v>
      </c>
      <c r="AH112" s="59" t="s">
        <v>72</v>
      </c>
      <c r="AI112" s="59" t="s">
        <v>72</v>
      </c>
      <c r="AJ112" s="59" t="s">
        <v>72</v>
      </c>
      <c r="AK112" s="59" t="s">
        <v>8</v>
      </c>
      <c r="AL112" s="177" t="s">
        <v>72</v>
      </c>
      <c r="AM112" s="177" t="s">
        <v>72</v>
      </c>
      <c r="AN112" s="176" t="s">
        <v>574</v>
      </c>
    </row>
    <row r="113" spans="2:40" ht="15">
      <c r="B113" s="174">
        <v>215</v>
      </c>
      <c r="C113" s="13">
        <v>20200518</v>
      </c>
      <c r="D113" s="13" t="s">
        <v>24</v>
      </c>
      <c r="E113" s="13" t="s">
        <v>1581</v>
      </c>
      <c r="F113" s="39" t="s">
        <v>1593</v>
      </c>
      <c r="G113" s="14">
        <v>1473584</v>
      </c>
      <c r="H113" s="164" t="s">
        <v>72</v>
      </c>
      <c r="I113" s="13" t="s">
        <v>576</v>
      </c>
      <c r="J113" s="164" t="s">
        <v>72</v>
      </c>
      <c r="K113" s="13" t="s">
        <v>73</v>
      </c>
      <c r="L113" s="13" t="s">
        <v>1583</v>
      </c>
      <c r="M113" s="13" t="s">
        <v>1584</v>
      </c>
      <c r="N113" s="13" t="s">
        <v>1585</v>
      </c>
      <c r="O113" s="14" t="s">
        <v>72</v>
      </c>
      <c r="P113" s="14" t="s">
        <v>562</v>
      </c>
      <c r="Q113" s="165"/>
      <c r="R113" s="164" t="s">
        <v>72</v>
      </c>
      <c r="S113" s="13" t="s">
        <v>77</v>
      </c>
      <c r="T113" s="13"/>
      <c r="U113" s="13"/>
      <c r="V113" s="13">
        <v>124</v>
      </c>
      <c r="W113" s="13">
        <v>124</v>
      </c>
      <c r="X113" s="13">
        <v>124</v>
      </c>
      <c r="Y113" s="13">
        <v>2.2000000000000002</v>
      </c>
      <c r="Z113" s="13">
        <v>0.5</v>
      </c>
      <c r="AA113" s="13" t="s">
        <v>110</v>
      </c>
      <c r="AB113" s="58">
        <v>43971</v>
      </c>
      <c r="AC113" s="58">
        <v>43969</v>
      </c>
      <c r="AD113" s="175">
        <v>43971</v>
      </c>
      <c r="AE113" s="58">
        <v>43970</v>
      </c>
      <c r="AF113" s="58">
        <v>43970</v>
      </c>
      <c r="AG113" s="58" t="s">
        <v>75</v>
      </c>
      <c r="AH113" s="59">
        <v>1</v>
      </c>
      <c r="AI113" s="59">
        <v>1</v>
      </c>
      <c r="AJ113" s="59">
        <v>1</v>
      </c>
      <c r="AK113" s="58" t="s">
        <v>8</v>
      </c>
      <c r="AL113" s="177" t="s">
        <v>72</v>
      </c>
      <c r="AM113" s="177" t="s">
        <v>72</v>
      </c>
      <c r="AN113" s="177" t="s">
        <v>72</v>
      </c>
    </row>
    <row r="114" spans="2:40" ht="15">
      <c r="B114" s="174">
        <v>216</v>
      </c>
      <c r="C114" s="13">
        <v>20200518</v>
      </c>
      <c r="D114" s="13" t="s">
        <v>24</v>
      </c>
      <c r="E114" s="13" t="s">
        <v>1581</v>
      </c>
      <c r="F114" s="39" t="s">
        <v>1594</v>
      </c>
      <c r="G114" s="14">
        <v>1473584</v>
      </c>
      <c r="H114" s="164" t="s">
        <v>72</v>
      </c>
      <c r="I114" s="13" t="s">
        <v>686</v>
      </c>
      <c r="J114" s="164" t="s">
        <v>72</v>
      </c>
      <c r="K114" s="13" t="s">
        <v>73</v>
      </c>
      <c r="L114" s="13" t="s">
        <v>1583</v>
      </c>
      <c r="M114" s="13" t="s">
        <v>1584</v>
      </c>
      <c r="N114" s="13" t="s">
        <v>1585</v>
      </c>
      <c r="O114" s="14" t="s">
        <v>72</v>
      </c>
      <c r="P114" s="14" t="s">
        <v>562</v>
      </c>
      <c r="Q114" s="165"/>
      <c r="R114" s="164" t="s">
        <v>72</v>
      </c>
      <c r="S114" s="13" t="s">
        <v>77</v>
      </c>
      <c r="T114" s="13"/>
      <c r="U114" s="13"/>
      <c r="V114" s="13">
        <v>77</v>
      </c>
      <c r="W114" s="13">
        <v>77</v>
      </c>
      <c r="X114" s="13">
        <v>77</v>
      </c>
      <c r="Y114" s="13">
        <v>1.36</v>
      </c>
      <c r="Z114" s="13">
        <v>1</v>
      </c>
      <c r="AA114" s="13" t="s">
        <v>110</v>
      </c>
      <c r="AB114" s="58">
        <v>43971</v>
      </c>
      <c r="AC114" s="58">
        <v>43969</v>
      </c>
      <c r="AD114" s="175">
        <v>43971</v>
      </c>
      <c r="AE114" s="58">
        <v>43971</v>
      </c>
      <c r="AF114" s="58">
        <v>43971</v>
      </c>
      <c r="AG114" s="58" t="s">
        <v>75</v>
      </c>
      <c r="AH114" s="59">
        <v>1</v>
      </c>
      <c r="AI114" s="59">
        <v>1</v>
      </c>
      <c r="AJ114" s="59">
        <v>1</v>
      </c>
      <c r="AK114" s="58" t="s">
        <v>8</v>
      </c>
      <c r="AL114" s="179" t="s">
        <v>72</v>
      </c>
      <c r="AM114" s="13"/>
      <c r="AN114" s="13" t="s">
        <v>1595</v>
      </c>
    </row>
    <row r="115" spans="2:40" ht="15">
      <c r="B115" s="174">
        <v>217</v>
      </c>
      <c r="C115" s="13">
        <v>20200518</v>
      </c>
      <c r="D115" s="13" t="s">
        <v>24</v>
      </c>
      <c r="E115" s="13" t="s">
        <v>1581</v>
      </c>
      <c r="F115" s="39" t="s">
        <v>1596</v>
      </c>
      <c r="G115" s="14">
        <v>1473584</v>
      </c>
      <c r="H115" s="164" t="s">
        <v>72</v>
      </c>
      <c r="I115" s="13" t="s">
        <v>644</v>
      </c>
      <c r="J115" s="164" t="s">
        <v>72</v>
      </c>
      <c r="K115" s="13" t="s">
        <v>73</v>
      </c>
      <c r="L115" s="13" t="s">
        <v>1583</v>
      </c>
      <c r="M115" s="13" t="s">
        <v>1584</v>
      </c>
      <c r="N115" s="13" t="s">
        <v>1585</v>
      </c>
      <c r="O115" s="14" t="s">
        <v>72</v>
      </c>
      <c r="P115" s="14" t="s">
        <v>562</v>
      </c>
      <c r="Q115" s="165"/>
      <c r="R115" s="164" t="s">
        <v>72</v>
      </c>
      <c r="S115" s="13" t="s">
        <v>77</v>
      </c>
      <c r="T115" s="13"/>
      <c r="U115" s="13"/>
      <c r="V115" s="13">
        <v>58</v>
      </c>
      <c r="W115" s="13">
        <v>58</v>
      </c>
      <c r="X115" s="13">
        <v>58</v>
      </c>
      <c r="Y115" s="13">
        <v>1.03</v>
      </c>
      <c r="Z115" s="13">
        <v>0.6</v>
      </c>
      <c r="AA115" s="13" t="s">
        <v>110</v>
      </c>
      <c r="AB115" s="58">
        <v>43971</v>
      </c>
      <c r="AC115" s="58">
        <v>43969</v>
      </c>
      <c r="AD115" s="175">
        <v>43971</v>
      </c>
      <c r="AE115" s="58">
        <v>43971</v>
      </c>
      <c r="AF115" s="58">
        <v>43971</v>
      </c>
      <c r="AG115" s="58" t="s">
        <v>75</v>
      </c>
      <c r="AH115" s="59">
        <v>1</v>
      </c>
      <c r="AI115" s="59">
        <v>1</v>
      </c>
      <c r="AJ115" s="59">
        <v>1</v>
      </c>
      <c r="AK115" s="58" t="s">
        <v>8</v>
      </c>
      <c r="AL115" s="176" t="s">
        <v>72</v>
      </c>
      <c r="AM115" s="176" t="s">
        <v>72</v>
      </c>
      <c r="AN115" s="176" t="s">
        <v>1597</v>
      </c>
    </row>
    <row r="116" spans="2:40" ht="15">
      <c r="B116" s="180">
        <v>218</v>
      </c>
      <c r="C116" s="13">
        <v>20200519</v>
      </c>
      <c r="D116" s="13" t="s">
        <v>24</v>
      </c>
      <c r="E116" s="13" t="s">
        <v>1598</v>
      </c>
      <c r="F116" s="39" t="s">
        <v>1599</v>
      </c>
      <c r="G116" s="14">
        <v>1445994</v>
      </c>
      <c r="H116" s="164" t="s">
        <v>72</v>
      </c>
      <c r="I116" s="13" t="s">
        <v>1600</v>
      </c>
      <c r="J116" s="164" t="s">
        <v>72</v>
      </c>
      <c r="K116" s="13" t="s">
        <v>73</v>
      </c>
      <c r="L116" s="13" t="s">
        <v>1601</v>
      </c>
      <c r="M116" s="13" t="s">
        <v>1602</v>
      </c>
      <c r="N116" s="13" t="s">
        <v>1603</v>
      </c>
      <c r="O116" s="14" t="s">
        <v>72</v>
      </c>
      <c r="P116" s="14" t="s">
        <v>1604</v>
      </c>
      <c r="Q116" s="165"/>
      <c r="R116" s="164" t="s">
        <v>72</v>
      </c>
      <c r="S116" s="13" t="s">
        <v>573</v>
      </c>
      <c r="T116" s="13"/>
      <c r="U116" s="13"/>
      <c r="V116" s="13">
        <v>114</v>
      </c>
      <c r="W116" s="13">
        <v>114</v>
      </c>
      <c r="X116" s="13">
        <v>114</v>
      </c>
      <c r="Y116" s="13">
        <v>2.02</v>
      </c>
      <c r="Z116" s="13">
        <v>1</v>
      </c>
      <c r="AA116" s="13" t="s">
        <v>110</v>
      </c>
      <c r="AB116" s="58">
        <v>43971</v>
      </c>
      <c r="AC116" s="58">
        <v>43970</v>
      </c>
      <c r="AD116" s="58">
        <v>43971</v>
      </c>
      <c r="AE116" s="58">
        <v>43970</v>
      </c>
      <c r="AF116" s="58">
        <v>43970</v>
      </c>
      <c r="AG116" s="58" t="s">
        <v>75</v>
      </c>
      <c r="AH116" s="59">
        <v>1</v>
      </c>
      <c r="AI116" s="59">
        <v>1</v>
      </c>
      <c r="AJ116" s="59">
        <v>1</v>
      </c>
      <c r="AK116" s="58" t="s">
        <v>8</v>
      </c>
      <c r="AL116" s="13"/>
      <c r="AM116" s="13"/>
      <c r="AN116" s="13"/>
    </row>
    <row r="117" spans="2:40" ht="15">
      <c r="B117" s="180">
        <v>219</v>
      </c>
      <c r="C117" s="13">
        <v>20200519</v>
      </c>
      <c r="D117" s="13" t="s">
        <v>24</v>
      </c>
      <c r="E117" s="13" t="s">
        <v>1598</v>
      </c>
      <c r="F117" s="39" t="s">
        <v>1605</v>
      </c>
      <c r="G117" s="14">
        <v>1445994</v>
      </c>
      <c r="H117" s="164" t="s">
        <v>72</v>
      </c>
      <c r="I117" s="13" t="s">
        <v>1606</v>
      </c>
      <c r="J117" s="164" t="s">
        <v>72</v>
      </c>
      <c r="K117" s="13" t="s">
        <v>73</v>
      </c>
      <c r="L117" s="173" t="s">
        <v>1601</v>
      </c>
      <c r="M117" s="13" t="s">
        <v>1602</v>
      </c>
      <c r="N117" s="13" t="s">
        <v>1603</v>
      </c>
      <c r="O117" s="14" t="s">
        <v>72</v>
      </c>
      <c r="P117" s="14" t="s">
        <v>1604</v>
      </c>
      <c r="Q117" s="165"/>
      <c r="R117" s="164" t="s">
        <v>72</v>
      </c>
      <c r="S117" s="13" t="s">
        <v>573</v>
      </c>
      <c r="T117" s="13"/>
      <c r="U117" s="13"/>
      <c r="V117" s="13">
        <v>103</v>
      </c>
      <c r="W117" s="13">
        <v>103</v>
      </c>
      <c r="X117" s="13">
        <v>103</v>
      </c>
      <c r="Y117" s="13">
        <v>1.83</v>
      </c>
      <c r="Z117" s="13">
        <v>1</v>
      </c>
      <c r="AA117" s="13" t="s">
        <v>110</v>
      </c>
      <c r="AB117" s="58">
        <v>43971</v>
      </c>
      <c r="AC117" s="58">
        <v>43970</v>
      </c>
      <c r="AD117" s="58">
        <v>43971</v>
      </c>
      <c r="AE117" s="58">
        <v>43970</v>
      </c>
      <c r="AF117" s="58">
        <v>43970</v>
      </c>
      <c r="AG117" s="58" t="s">
        <v>75</v>
      </c>
      <c r="AH117" s="59">
        <v>1</v>
      </c>
      <c r="AI117" s="59">
        <v>1</v>
      </c>
      <c r="AJ117" s="59">
        <v>1</v>
      </c>
      <c r="AK117" s="58" t="s">
        <v>8</v>
      </c>
      <c r="AL117" s="13"/>
      <c r="AM117" s="13"/>
      <c r="AN117" s="13"/>
    </row>
    <row r="118" spans="2:40" ht="15">
      <c r="B118" s="180">
        <v>220</v>
      </c>
      <c r="C118" s="13">
        <v>20200519</v>
      </c>
      <c r="D118" s="13" t="s">
        <v>24</v>
      </c>
      <c r="E118" s="13" t="s">
        <v>1598</v>
      </c>
      <c r="F118" s="39" t="s">
        <v>1607</v>
      </c>
      <c r="G118" s="14">
        <v>1445994</v>
      </c>
      <c r="H118" s="164" t="s">
        <v>72</v>
      </c>
      <c r="I118" s="13" t="s">
        <v>1608</v>
      </c>
      <c r="J118" s="164" t="s">
        <v>72</v>
      </c>
      <c r="K118" s="13" t="s">
        <v>73</v>
      </c>
      <c r="L118" s="13" t="s">
        <v>1601</v>
      </c>
      <c r="M118" s="13" t="s">
        <v>1602</v>
      </c>
      <c r="N118" s="13" t="s">
        <v>1603</v>
      </c>
      <c r="O118" s="14" t="s">
        <v>72</v>
      </c>
      <c r="P118" s="14" t="s">
        <v>1604</v>
      </c>
      <c r="Q118" s="165"/>
      <c r="R118" s="164" t="s">
        <v>72</v>
      </c>
      <c r="S118" s="13" t="s">
        <v>573</v>
      </c>
      <c r="T118" s="13"/>
      <c r="U118" s="13"/>
      <c r="V118" s="13">
        <v>235</v>
      </c>
      <c r="W118" s="13">
        <v>235</v>
      </c>
      <c r="X118" s="13">
        <v>235</v>
      </c>
      <c r="Y118" s="13">
        <v>4.17</v>
      </c>
      <c r="Z118" s="13">
        <v>1</v>
      </c>
      <c r="AA118" s="13" t="s">
        <v>110</v>
      </c>
      <c r="AB118" s="58">
        <v>43971</v>
      </c>
      <c r="AC118" s="58">
        <v>43970</v>
      </c>
      <c r="AD118" s="58">
        <v>43971</v>
      </c>
      <c r="AE118" s="58">
        <v>43970</v>
      </c>
      <c r="AF118" s="58">
        <v>43970</v>
      </c>
      <c r="AG118" s="58" t="s">
        <v>75</v>
      </c>
      <c r="AH118" s="59">
        <v>1</v>
      </c>
      <c r="AI118" s="59">
        <v>1</v>
      </c>
      <c r="AJ118" s="59">
        <v>1</v>
      </c>
      <c r="AK118" s="58" t="s">
        <v>8</v>
      </c>
      <c r="AL118" s="13"/>
      <c r="AM118" s="13"/>
      <c r="AN118" s="13"/>
    </row>
    <row r="119" spans="2:40" ht="15">
      <c r="B119" s="180">
        <v>221</v>
      </c>
      <c r="C119" s="13">
        <v>20200519</v>
      </c>
      <c r="D119" s="13" t="s">
        <v>24</v>
      </c>
      <c r="E119" s="13" t="s">
        <v>1598</v>
      </c>
      <c r="F119" s="39" t="s">
        <v>1609</v>
      </c>
      <c r="G119" s="14">
        <v>1445994</v>
      </c>
      <c r="H119" s="164" t="s">
        <v>72</v>
      </c>
      <c r="I119" s="13" t="s">
        <v>1610</v>
      </c>
      <c r="J119" s="164" t="s">
        <v>72</v>
      </c>
      <c r="K119" s="13" t="s">
        <v>73</v>
      </c>
      <c r="L119" s="13" t="s">
        <v>1601</v>
      </c>
      <c r="M119" s="13" t="s">
        <v>1602</v>
      </c>
      <c r="N119" s="13" t="s">
        <v>1603</v>
      </c>
      <c r="O119" s="14" t="s">
        <v>72</v>
      </c>
      <c r="P119" s="14" t="s">
        <v>1604</v>
      </c>
      <c r="Q119" s="165"/>
      <c r="R119" s="164" t="s">
        <v>72</v>
      </c>
      <c r="S119" s="13" t="s">
        <v>573</v>
      </c>
      <c r="T119" s="13"/>
      <c r="U119" s="13"/>
      <c r="V119" s="13">
        <v>635</v>
      </c>
      <c r="W119" s="13">
        <v>635</v>
      </c>
      <c r="X119" s="13">
        <v>635</v>
      </c>
      <c r="Y119" s="13">
        <v>11.28</v>
      </c>
      <c r="Z119" s="13">
        <v>3</v>
      </c>
      <c r="AA119" s="13" t="s">
        <v>110</v>
      </c>
      <c r="AB119" s="58">
        <v>43971</v>
      </c>
      <c r="AC119" s="58">
        <v>43970</v>
      </c>
      <c r="AD119" s="58">
        <v>43971</v>
      </c>
      <c r="AE119" s="58">
        <v>43971</v>
      </c>
      <c r="AF119" s="58">
        <v>43971</v>
      </c>
      <c r="AG119" s="58" t="s">
        <v>79</v>
      </c>
      <c r="AH119" s="59">
        <v>1</v>
      </c>
      <c r="AI119" s="59">
        <v>0.99</v>
      </c>
      <c r="AJ119" s="59">
        <v>1</v>
      </c>
      <c r="AK119" s="58" t="s">
        <v>76</v>
      </c>
      <c r="AL119" s="13" t="s">
        <v>1611</v>
      </c>
      <c r="AM119" s="13"/>
      <c r="AN119" s="13" t="s">
        <v>1612</v>
      </c>
    </row>
    <row r="120" spans="2:40" ht="15">
      <c r="B120" s="172">
        <v>1</v>
      </c>
      <c r="C120" s="13">
        <v>20200518</v>
      </c>
      <c r="D120" s="13" t="s">
        <v>24</v>
      </c>
      <c r="E120" s="13" t="s">
        <v>837</v>
      </c>
      <c r="F120" s="39" t="s">
        <v>1613</v>
      </c>
      <c r="G120" s="14">
        <v>1452946</v>
      </c>
      <c r="H120" s="164" t="s">
        <v>72</v>
      </c>
      <c r="I120" s="13" t="s">
        <v>135</v>
      </c>
      <c r="J120" s="164" t="s">
        <v>72</v>
      </c>
      <c r="K120" s="13" t="s">
        <v>73</v>
      </c>
      <c r="L120" s="13" t="s">
        <v>1614</v>
      </c>
      <c r="M120" s="13" t="s">
        <v>840</v>
      </c>
      <c r="N120" s="13" t="s">
        <v>841</v>
      </c>
      <c r="O120" s="14" t="s">
        <v>72</v>
      </c>
      <c r="P120" s="14" t="s">
        <v>1567</v>
      </c>
      <c r="Q120" s="165"/>
      <c r="R120" s="164" t="s">
        <v>72</v>
      </c>
      <c r="S120" s="13" t="s">
        <v>113</v>
      </c>
      <c r="T120" s="13"/>
      <c r="U120" s="13"/>
      <c r="V120" s="13">
        <v>109</v>
      </c>
      <c r="W120" s="13">
        <v>109</v>
      </c>
      <c r="X120" s="13">
        <v>109</v>
      </c>
      <c r="Y120" s="13">
        <v>1.93</v>
      </c>
      <c r="Z120" s="13">
        <v>2</v>
      </c>
      <c r="AA120" s="13" t="s">
        <v>110</v>
      </c>
      <c r="AB120" s="58">
        <v>43973</v>
      </c>
      <c r="AC120" s="58">
        <v>43969</v>
      </c>
      <c r="AD120" s="58">
        <v>43973</v>
      </c>
      <c r="AE120" s="58">
        <v>43971</v>
      </c>
      <c r="AF120" s="58">
        <v>43971</v>
      </c>
      <c r="AG120" s="58" t="s">
        <v>75</v>
      </c>
      <c r="AH120" s="59">
        <v>1</v>
      </c>
      <c r="AI120" s="59">
        <v>1</v>
      </c>
      <c r="AJ120" s="59">
        <v>1</v>
      </c>
      <c r="AK120" s="58" t="s">
        <v>8</v>
      </c>
      <c r="AL120" s="14" t="s">
        <v>72</v>
      </c>
      <c r="AM120" s="14" t="s">
        <v>72</v>
      </c>
      <c r="AN120" s="14" t="s">
        <v>72</v>
      </c>
    </row>
    <row r="121" spans="2:40" ht="15">
      <c r="B121" s="172">
        <v>2</v>
      </c>
      <c r="C121" s="13">
        <v>20200518</v>
      </c>
      <c r="D121" s="13" t="s">
        <v>24</v>
      </c>
      <c r="E121" s="13" t="s">
        <v>837</v>
      </c>
      <c r="F121" s="39" t="s">
        <v>1615</v>
      </c>
      <c r="G121" s="14">
        <v>1452946</v>
      </c>
      <c r="H121" s="164" t="s">
        <v>72</v>
      </c>
      <c r="I121" s="13" t="s">
        <v>1569</v>
      </c>
      <c r="J121" s="164" t="s">
        <v>72</v>
      </c>
      <c r="K121" s="13" t="s">
        <v>73</v>
      </c>
      <c r="L121" s="13" t="s">
        <v>1614</v>
      </c>
      <c r="M121" s="13" t="s">
        <v>840</v>
      </c>
      <c r="N121" s="13" t="s">
        <v>841</v>
      </c>
      <c r="O121" s="14" t="s">
        <v>72</v>
      </c>
      <c r="P121" s="14" t="s">
        <v>1567</v>
      </c>
      <c r="Q121" s="165"/>
      <c r="R121" s="164" t="s">
        <v>72</v>
      </c>
      <c r="S121" s="13" t="s">
        <v>113</v>
      </c>
      <c r="T121" s="13"/>
      <c r="U121" s="13"/>
      <c r="V121" s="13">
        <v>59</v>
      </c>
      <c r="W121" s="13">
        <v>59</v>
      </c>
      <c r="X121" s="13">
        <v>59</v>
      </c>
      <c r="Y121" s="13">
        <v>1.04</v>
      </c>
      <c r="Z121" s="13">
        <v>1</v>
      </c>
      <c r="AA121" s="13" t="s">
        <v>110</v>
      </c>
      <c r="AB121" s="58">
        <v>43973</v>
      </c>
      <c r="AC121" s="58">
        <v>43969</v>
      </c>
      <c r="AD121" s="58">
        <v>43973</v>
      </c>
      <c r="AE121" s="58">
        <v>43971</v>
      </c>
      <c r="AF121" s="58">
        <v>43971</v>
      </c>
      <c r="AG121" s="58" t="s">
        <v>75</v>
      </c>
      <c r="AH121" s="59">
        <v>1</v>
      </c>
      <c r="AI121" s="59">
        <v>1</v>
      </c>
      <c r="AJ121" s="59">
        <v>1</v>
      </c>
      <c r="AK121" s="58" t="s">
        <v>8</v>
      </c>
      <c r="AL121" s="14" t="s">
        <v>72</v>
      </c>
      <c r="AM121" s="14" t="s">
        <v>72</v>
      </c>
      <c r="AN121" s="14" t="s">
        <v>72</v>
      </c>
    </row>
    <row r="122" spans="2:40" ht="15">
      <c r="B122" s="172">
        <v>3</v>
      </c>
      <c r="C122" s="13">
        <v>20200518</v>
      </c>
      <c r="D122" s="13" t="s">
        <v>24</v>
      </c>
      <c r="E122" s="13" t="s">
        <v>837</v>
      </c>
      <c r="F122" s="39" t="s">
        <v>1613</v>
      </c>
      <c r="G122" s="14">
        <v>1452946</v>
      </c>
      <c r="H122" s="164" t="s">
        <v>72</v>
      </c>
      <c r="I122" s="13" t="s">
        <v>1272</v>
      </c>
      <c r="J122" s="164" t="s">
        <v>72</v>
      </c>
      <c r="K122" s="13" t="s">
        <v>73</v>
      </c>
      <c r="L122" s="13" t="s">
        <v>1614</v>
      </c>
      <c r="M122" s="13" t="s">
        <v>840</v>
      </c>
      <c r="N122" s="13" t="s">
        <v>841</v>
      </c>
      <c r="O122" s="14" t="s">
        <v>72</v>
      </c>
      <c r="P122" s="14" t="s">
        <v>1567</v>
      </c>
      <c r="Q122" s="165"/>
      <c r="R122" s="164" t="s">
        <v>72</v>
      </c>
      <c r="S122" s="13" t="s">
        <v>161</v>
      </c>
      <c r="T122" s="13"/>
      <c r="U122" s="13"/>
      <c r="V122" s="13">
        <v>125</v>
      </c>
      <c r="W122" s="13">
        <v>125</v>
      </c>
      <c r="X122" s="13">
        <v>125</v>
      </c>
      <c r="Y122" s="13">
        <v>2.2200000000000002</v>
      </c>
      <c r="Z122" s="13">
        <v>2</v>
      </c>
      <c r="AA122" s="13" t="s">
        <v>110</v>
      </c>
      <c r="AB122" s="58">
        <v>43973</v>
      </c>
      <c r="AC122" s="58">
        <v>43969</v>
      </c>
      <c r="AD122" s="58">
        <v>43973</v>
      </c>
      <c r="AE122" s="58">
        <v>43969</v>
      </c>
      <c r="AF122" s="58">
        <v>43969</v>
      </c>
      <c r="AG122" s="58" t="s">
        <v>75</v>
      </c>
      <c r="AH122" s="59">
        <v>1</v>
      </c>
      <c r="AI122" s="59">
        <v>1</v>
      </c>
      <c r="AJ122" s="59">
        <v>1</v>
      </c>
      <c r="AK122" s="58" t="s">
        <v>8</v>
      </c>
      <c r="AL122" s="14" t="s">
        <v>72</v>
      </c>
      <c r="AM122" s="14" t="s">
        <v>72</v>
      </c>
      <c r="AN122" s="14" t="s">
        <v>72</v>
      </c>
    </row>
    <row r="123" spans="2:40" ht="15">
      <c r="B123" s="172">
        <v>4</v>
      </c>
      <c r="C123" s="176">
        <v>20200518</v>
      </c>
      <c r="D123" s="176" t="s">
        <v>24</v>
      </c>
      <c r="E123" s="176" t="s">
        <v>837</v>
      </c>
      <c r="F123" s="39" t="s">
        <v>1615</v>
      </c>
      <c r="G123" s="181">
        <v>1452946</v>
      </c>
      <c r="H123" s="182" t="s">
        <v>72</v>
      </c>
      <c r="I123" s="176" t="s">
        <v>39</v>
      </c>
      <c r="J123" s="182" t="s">
        <v>72</v>
      </c>
      <c r="K123" s="176" t="s">
        <v>73</v>
      </c>
      <c r="L123" s="176" t="s">
        <v>1614</v>
      </c>
      <c r="M123" s="176" t="s">
        <v>840</v>
      </c>
      <c r="N123" s="176" t="s">
        <v>841</v>
      </c>
      <c r="O123" s="181" t="s">
        <v>72</v>
      </c>
      <c r="P123" s="181" t="s">
        <v>1567</v>
      </c>
      <c r="Q123" s="165"/>
      <c r="R123" s="164" t="s">
        <v>72</v>
      </c>
      <c r="S123" s="176" t="s">
        <v>113</v>
      </c>
      <c r="T123" s="176"/>
      <c r="U123" s="176"/>
      <c r="V123" s="176">
        <v>18</v>
      </c>
      <c r="W123" s="176">
        <v>18</v>
      </c>
      <c r="X123" s="176">
        <v>18</v>
      </c>
      <c r="Y123" s="176">
        <v>0.32</v>
      </c>
      <c r="Z123" s="176">
        <v>0.32</v>
      </c>
      <c r="AA123" s="13" t="s">
        <v>110</v>
      </c>
      <c r="AB123" s="58">
        <v>43973</v>
      </c>
      <c r="AC123" s="175">
        <v>43969</v>
      </c>
      <c r="AD123" s="175">
        <v>43973</v>
      </c>
      <c r="AE123" s="175">
        <v>43971</v>
      </c>
      <c r="AF123" s="175">
        <v>43971</v>
      </c>
      <c r="AG123" s="175" t="s">
        <v>75</v>
      </c>
      <c r="AH123" s="177">
        <v>1</v>
      </c>
      <c r="AI123" s="177">
        <v>1</v>
      </c>
      <c r="AJ123" s="177">
        <v>1</v>
      </c>
      <c r="AK123" s="175" t="s">
        <v>8</v>
      </c>
      <c r="AL123" s="181" t="s">
        <v>72</v>
      </c>
      <c r="AM123" s="181" t="s">
        <v>72</v>
      </c>
      <c r="AN123" s="181" t="s">
        <v>72</v>
      </c>
    </row>
    <row r="124" spans="2:40" ht="15">
      <c r="B124" s="172">
        <v>5</v>
      </c>
      <c r="C124" s="13">
        <v>20200518</v>
      </c>
      <c r="D124" s="13" t="s">
        <v>24</v>
      </c>
      <c r="E124" s="13" t="s">
        <v>837</v>
      </c>
      <c r="F124" s="39" t="s">
        <v>1616</v>
      </c>
      <c r="G124" s="14">
        <v>1452946</v>
      </c>
      <c r="H124" s="164" t="s">
        <v>72</v>
      </c>
      <c r="I124" s="13" t="s">
        <v>130</v>
      </c>
      <c r="J124" s="164" t="s">
        <v>72</v>
      </c>
      <c r="K124" s="13" t="s">
        <v>73</v>
      </c>
      <c r="L124" s="13" t="s">
        <v>1614</v>
      </c>
      <c r="M124" s="13" t="s">
        <v>840</v>
      </c>
      <c r="N124" s="13" t="s">
        <v>841</v>
      </c>
      <c r="O124" s="14" t="s">
        <v>72</v>
      </c>
      <c r="P124" s="14" t="s">
        <v>1567</v>
      </c>
      <c r="Q124" s="165"/>
      <c r="R124" s="164" t="s">
        <v>72</v>
      </c>
      <c r="S124" s="13" t="s">
        <v>117</v>
      </c>
      <c r="T124" s="13"/>
      <c r="U124" s="13"/>
      <c r="V124" s="13">
        <v>220</v>
      </c>
      <c r="W124" s="13">
        <v>220</v>
      </c>
      <c r="X124" s="13">
        <v>220</v>
      </c>
      <c r="Y124" s="13">
        <v>3.91</v>
      </c>
      <c r="Z124" s="13">
        <v>3</v>
      </c>
      <c r="AA124" s="13" t="s">
        <v>110</v>
      </c>
      <c r="AB124" s="58">
        <v>43973</v>
      </c>
      <c r="AC124" s="58">
        <v>43969</v>
      </c>
      <c r="AD124" s="58">
        <v>43973</v>
      </c>
      <c r="AE124" s="58">
        <v>43971</v>
      </c>
      <c r="AF124" s="58">
        <v>43971</v>
      </c>
      <c r="AG124" s="58" t="s">
        <v>75</v>
      </c>
      <c r="AH124" s="59">
        <v>1</v>
      </c>
      <c r="AI124" s="59">
        <v>1</v>
      </c>
      <c r="AJ124" s="59">
        <v>1</v>
      </c>
      <c r="AK124" s="58" t="s">
        <v>8</v>
      </c>
      <c r="AL124" s="14" t="s">
        <v>72</v>
      </c>
      <c r="AM124" s="14" t="s">
        <v>72</v>
      </c>
      <c r="AN124" s="14" t="s">
        <v>72</v>
      </c>
    </row>
    <row r="125" spans="2:40" ht="15">
      <c r="B125" s="172">
        <v>6</v>
      </c>
      <c r="C125" s="176">
        <v>20200518</v>
      </c>
      <c r="D125" s="176" t="s">
        <v>24</v>
      </c>
      <c r="E125" s="176" t="s">
        <v>837</v>
      </c>
      <c r="F125" s="39" t="s">
        <v>1617</v>
      </c>
      <c r="G125" s="181">
        <v>1452946</v>
      </c>
      <c r="H125" s="182" t="s">
        <v>72</v>
      </c>
      <c r="I125" s="176" t="s">
        <v>1618</v>
      </c>
      <c r="J125" s="182" t="s">
        <v>72</v>
      </c>
      <c r="K125" s="176" t="s">
        <v>73</v>
      </c>
      <c r="L125" s="176" t="s">
        <v>1614</v>
      </c>
      <c r="M125" s="176" t="s">
        <v>840</v>
      </c>
      <c r="N125" s="176" t="s">
        <v>841</v>
      </c>
      <c r="O125" s="181" t="s">
        <v>72</v>
      </c>
      <c r="P125" s="181" t="s">
        <v>1567</v>
      </c>
      <c r="Q125" s="165"/>
      <c r="R125" s="164" t="s">
        <v>72</v>
      </c>
      <c r="S125" s="176" t="s">
        <v>113</v>
      </c>
      <c r="T125" s="176"/>
      <c r="U125" s="176"/>
      <c r="V125" s="176">
        <v>117</v>
      </c>
      <c r="W125" s="176">
        <v>117</v>
      </c>
      <c r="X125" s="176">
        <v>117</v>
      </c>
      <c r="Y125" s="176">
        <v>2.08</v>
      </c>
      <c r="Z125" s="176">
        <v>2</v>
      </c>
      <c r="AA125" s="13" t="s">
        <v>110</v>
      </c>
      <c r="AB125" s="58">
        <v>43973</v>
      </c>
      <c r="AC125" s="175">
        <v>43969</v>
      </c>
      <c r="AD125" s="175">
        <v>43973</v>
      </c>
      <c r="AE125" s="175">
        <v>43971</v>
      </c>
      <c r="AF125" s="175">
        <v>43971</v>
      </c>
      <c r="AG125" s="175" t="s">
        <v>75</v>
      </c>
      <c r="AH125" s="177">
        <v>1</v>
      </c>
      <c r="AI125" s="177">
        <v>1</v>
      </c>
      <c r="AJ125" s="177">
        <v>1</v>
      </c>
      <c r="AK125" s="175" t="s">
        <v>8</v>
      </c>
      <c r="AL125" s="181" t="s">
        <v>72</v>
      </c>
      <c r="AM125" s="181" t="s">
        <v>72</v>
      </c>
      <c r="AN125" s="181"/>
    </row>
    <row r="126" spans="2:40" ht="15">
      <c r="B126" s="172">
        <v>7</v>
      </c>
      <c r="C126" s="13">
        <v>20200518</v>
      </c>
      <c r="D126" s="13" t="s">
        <v>24</v>
      </c>
      <c r="E126" s="13" t="s">
        <v>837</v>
      </c>
      <c r="F126" s="39" t="s">
        <v>1617</v>
      </c>
      <c r="G126" s="14">
        <v>1452946</v>
      </c>
      <c r="H126" s="164" t="s">
        <v>72</v>
      </c>
      <c r="I126" s="13" t="s">
        <v>1619</v>
      </c>
      <c r="J126" s="164" t="s">
        <v>72</v>
      </c>
      <c r="K126" s="13" t="s">
        <v>73</v>
      </c>
      <c r="L126" s="13" t="s">
        <v>1614</v>
      </c>
      <c r="M126" s="13" t="s">
        <v>840</v>
      </c>
      <c r="N126" s="13" t="s">
        <v>841</v>
      </c>
      <c r="O126" s="14" t="s">
        <v>72</v>
      </c>
      <c r="P126" s="14" t="s">
        <v>1567</v>
      </c>
      <c r="Q126" s="165"/>
      <c r="R126" s="164" t="s">
        <v>72</v>
      </c>
      <c r="S126" s="13" t="s">
        <v>161</v>
      </c>
      <c r="T126" s="13"/>
      <c r="U126" s="13"/>
      <c r="V126" s="13">
        <v>18</v>
      </c>
      <c r="W126" s="13">
        <v>18</v>
      </c>
      <c r="X126" s="13">
        <v>18</v>
      </c>
      <c r="Y126" s="13">
        <v>0.32</v>
      </c>
      <c r="Z126" s="13">
        <v>0.3</v>
      </c>
      <c r="AA126" s="13" t="s">
        <v>110</v>
      </c>
      <c r="AB126" s="58">
        <v>43973</v>
      </c>
      <c r="AC126" s="58">
        <v>43969</v>
      </c>
      <c r="AD126" s="58">
        <v>43973</v>
      </c>
      <c r="AE126" s="58">
        <v>43969</v>
      </c>
      <c r="AF126" s="58">
        <v>43969</v>
      </c>
      <c r="AG126" s="58" t="s">
        <v>75</v>
      </c>
      <c r="AH126" s="59">
        <v>1</v>
      </c>
      <c r="AI126" s="59">
        <v>1</v>
      </c>
      <c r="AJ126" s="59">
        <v>1</v>
      </c>
      <c r="AK126" s="58" t="s">
        <v>8</v>
      </c>
      <c r="AL126" s="14" t="s">
        <v>72</v>
      </c>
      <c r="AM126" s="14" t="s">
        <v>72</v>
      </c>
      <c r="AN126" s="14" t="s">
        <v>72</v>
      </c>
    </row>
    <row r="127" spans="2:40" ht="15">
      <c r="B127" s="172">
        <v>8</v>
      </c>
      <c r="C127" s="13">
        <v>20200518</v>
      </c>
      <c r="D127" s="13" t="s">
        <v>24</v>
      </c>
      <c r="E127" s="13" t="s">
        <v>837</v>
      </c>
      <c r="F127" s="39" t="s">
        <v>1617</v>
      </c>
      <c r="G127" s="14">
        <v>1452946</v>
      </c>
      <c r="H127" s="164" t="s">
        <v>72</v>
      </c>
      <c r="I127" s="13" t="s">
        <v>1620</v>
      </c>
      <c r="J127" s="164" t="s">
        <v>72</v>
      </c>
      <c r="K127" s="13" t="s">
        <v>73</v>
      </c>
      <c r="L127" s="13" t="s">
        <v>1614</v>
      </c>
      <c r="M127" s="13" t="s">
        <v>840</v>
      </c>
      <c r="N127" s="13" t="s">
        <v>841</v>
      </c>
      <c r="O127" s="14" t="s">
        <v>72</v>
      </c>
      <c r="P127" s="14" t="s">
        <v>1567</v>
      </c>
      <c r="Q127" s="165"/>
      <c r="R127" s="164" t="s">
        <v>72</v>
      </c>
      <c r="S127" s="13" t="s">
        <v>113</v>
      </c>
      <c r="T127" s="13"/>
      <c r="U127" s="13"/>
      <c r="V127" s="13">
        <v>49</v>
      </c>
      <c r="W127" s="13">
        <v>49</v>
      </c>
      <c r="X127" s="13">
        <v>49</v>
      </c>
      <c r="Y127" s="13">
        <v>0.87</v>
      </c>
      <c r="Z127" s="13">
        <v>0.5</v>
      </c>
      <c r="AA127" s="13" t="s">
        <v>110</v>
      </c>
      <c r="AB127" s="58">
        <v>43973</v>
      </c>
      <c r="AC127" s="58">
        <v>43969</v>
      </c>
      <c r="AD127" s="58">
        <v>43973</v>
      </c>
      <c r="AE127" s="58">
        <v>43971</v>
      </c>
      <c r="AF127" s="58">
        <v>43971</v>
      </c>
      <c r="AG127" s="58" t="s">
        <v>75</v>
      </c>
      <c r="AH127" s="59">
        <v>1</v>
      </c>
      <c r="AI127" s="59">
        <v>1</v>
      </c>
      <c r="AJ127" s="59">
        <v>1</v>
      </c>
      <c r="AK127" s="58" t="s">
        <v>8</v>
      </c>
      <c r="AL127" s="14" t="s">
        <v>72</v>
      </c>
      <c r="AM127" s="14" t="s">
        <v>72</v>
      </c>
      <c r="AN127" s="14" t="s">
        <v>72</v>
      </c>
    </row>
    <row r="128" spans="2:40" ht="15">
      <c r="B128" s="172">
        <v>9</v>
      </c>
      <c r="C128" s="13">
        <v>20200518</v>
      </c>
      <c r="D128" s="13" t="s">
        <v>24</v>
      </c>
      <c r="E128" s="13" t="s">
        <v>837</v>
      </c>
      <c r="F128" s="39" t="s">
        <v>1617</v>
      </c>
      <c r="G128" s="14">
        <v>1452946</v>
      </c>
      <c r="H128" s="164" t="s">
        <v>72</v>
      </c>
      <c r="I128" s="13" t="s">
        <v>1621</v>
      </c>
      <c r="J128" s="164" t="s">
        <v>72</v>
      </c>
      <c r="K128" s="13" t="s">
        <v>73</v>
      </c>
      <c r="L128" s="13" t="s">
        <v>1614</v>
      </c>
      <c r="M128" s="13" t="s">
        <v>840</v>
      </c>
      <c r="N128" s="13" t="s">
        <v>841</v>
      </c>
      <c r="O128" s="14" t="s">
        <v>72</v>
      </c>
      <c r="P128" s="14" t="s">
        <v>1567</v>
      </c>
      <c r="Q128" s="165"/>
      <c r="R128" s="164" t="s">
        <v>72</v>
      </c>
      <c r="S128" s="13" t="s">
        <v>161</v>
      </c>
      <c r="T128" s="13"/>
      <c r="U128" s="13"/>
      <c r="V128" s="13">
        <v>175</v>
      </c>
      <c r="W128" s="13">
        <v>175</v>
      </c>
      <c r="X128" s="13">
        <v>175</v>
      </c>
      <c r="Y128" s="13">
        <v>3.11</v>
      </c>
      <c r="Z128" s="13">
        <v>3</v>
      </c>
      <c r="AA128" s="13" t="s">
        <v>110</v>
      </c>
      <c r="AB128" s="58">
        <v>43973</v>
      </c>
      <c r="AC128" s="58">
        <v>43969</v>
      </c>
      <c r="AD128" s="58">
        <v>43973</v>
      </c>
      <c r="AE128" s="58">
        <v>43969</v>
      </c>
      <c r="AF128" s="58">
        <v>43969</v>
      </c>
      <c r="AG128" s="58" t="s">
        <v>75</v>
      </c>
      <c r="AH128" s="59">
        <v>1</v>
      </c>
      <c r="AI128" s="59">
        <v>1</v>
      </c>
      <c r="AJ128" s="59">
        <v>1</v>
      </c>
      <c r="AK128" s="58" t="s">
        <v>8</v>
      </c>
      <c r="AL128" s="14" t="s">
        <v>72</v>
      </c>
      <c r="AM128" s="14" t="s">
        <v>72</v>
      </c>
      <c r="AN128" s="14" t="s">
        <v>72</v>
      </c>
    </row>
    <row r="129" spans="2:40" ht="15">
      <c r="B129" s="172">
        <v>10</v>
      </c>
      <c r="C129" s="13">
        <v>20200518</v>
      </c>
      <c r="D129" s="13" t="s">
        <v>24</v>
      </c>
      <c r="E129" s="13" t="s">
        <v>837</v>
      </c>
      <c r="F129" s="39" t="s">
        <v>1617</v>
      </c>
      <c r="G129" s="14">
        <v>1452946</v>
      </c>
      <c r="H129" s="164" t="s">
        <v>72</v>
      </c>
      <c r="I129" s="13" t="s">
        <v>1622</v>
      </c>
      <c r="J129" s="164" t="s">
        <v>72</v>
      </c>
      <c r="K129" s="13" t="s">
        <v>73</v>
      </c>
      <c r="L129" s="13" t="s">
        <v>1614</v>
      </c>
      <c r="M129" s="13" t="s">
        <v>840</v>
      </c>
      <c r="N129" s="13" t="s">
        <v>841</v>
      </c>
      <c r="O129" s="14" t="s">
        <v>72</v>
      </c>
      <c r="P129" s="14" t="s">
        <v>1567</v>
      </c>
      <c r="Q129" s="165"/>
      <c r="R129" s="164" t="s">
        <v>72</v>
      </c>
      <c r="S129" s="13" t="s">
        <v>161</v>
      </c>
      <c r="T129" s="13"/>
      <c r="U129" s="13"/>
      <c r="V129" s="13">
        <v>76</v>
      </c>
      <c r="W129" s="13">
        <v>76</v>
      </c>
      <c r="X129" s="13">
        <v>76</v>
      </c>
      <c r="Y129" s="13">
        <v>1.35</v>
      </c>
      <c r="Z129" s="13">
        <v>1</v>
      </c>
      <c r="AA129" s="13" t="s">
        <v>110</v>
      </c>
      <c r="AB129" s="58">
        <v>43973</v>
      </c>
      <c r="AC129" s="58">
        <v>43969</v>
      </c>
      <c r="AD129" s="58">
        <v>43973</v>
      </c>
      <c r="AE129" s="58">
        <v>43969</v>
      </c>
      <c r="AF129" s="58">
        <v>43969</v>
      </c>
      <c r="AG129" s="58" t="s">
        <v>75</v>
      </c>
      <c r="AH129" s="59">
        <v>1</v>
      </c>
      <c r="AI129" s="59">
        <v>1</v>
      </c>
      <c r="AJ129" s="59">
        <v>1</v>
      </c>
      <c r="AK129" s="58" t="s">
        <v>8</v>
      </c>
      <c r="AL129" s="14" t="s">
        <v>72</v>
      </c>
      <c r="AM129" s="14" t="s">
        <v>72</v>
      </c>
      <c r="AN129" s="14" t="s">
        <v>72</v>
      </c>
    </row>
    <row r="130" spans="2:40" ht="15">
      <c r="B130" s="172">
        <v>11</v>
      </c>
      <c r="C130" s="13">
        <v>20200518</v>
      </c>
      <c r="D130" s="13" t="s">
        <v>24</v>
      </c>
      <c r="E130" s="13" t="s">
        <v>837</v>
      </c>
      <c r="F130" s="39" t="s">
        <v>1617</v>
      </c>
      <c r="G130" s="181">
        <v>1452946</v>
      </c>
      <c r="H130" s="183" t="s">
        <v>72</v>
      </c>
      <c r="I130" s="176" t="s">
        <v>1623</v>
      </c>
      <c r="J130" s="164" t="s">
        <v>72</v>
      </c>
      <c r="K130" s="13" t="s">
        <v>73</v>
      </c>
      <c r="L130" s="13" t="s">
        <v>1614</v>
      </c>
      <c r="M130" s="13" t="s">
        <v>840</v>
      </c>
      <c r="N130" s="13" t="s">
        <v>841</v>
      </c>
      <c r="O130" s="14" t="s">
        <v>72</v>
      </c>
      <c r="P130" s="14" t="s">
        <v>1567</v>
      </c>
      <c r="Q130" s="165"/>
      <c r="R130" s="164" t="s">
        <v>72</v>
      </c>
      <c r="S130" s="13" t="s">
        <v>113</v>
      </c>
      <c r="T130" s="13"/>
      <c r="U130" s="13"/>
      <c r="V130" s="13">
        <v>124</v>
      </c>
      <c r="W130" s="13">
        <v>124</v>
      </c>
      <c r="X130" s="13">
        <v>124</v>
      </c>
      <c r="Y130" s="13">
        <v>2.2000000000000002</v>
      </c>
      <c r="Z130" s="13">
        <v>2.2000000000000002</v>
      </c>
      <c r="AA130" s="13" t="s">
        <v>110</v>
      </c>
      <c r="AB130" s="58">
        <v>43973</v>
      </c>
      <c r="AC130" s="58">
        <v>43969</v>
      </c>
      <c r="AD130" s="58">
        <v>43973</v>
      </c>
      <c r="AE130" s="58">
        <v>43971</v>
      </c>
      <c r="AF130" s="58">
        <v>43971</v>
      </c>
      <c r="AG130" s="58" t="s">
        <v>75</v>
      </c>
      <c r="AH130" s="59">
        <v>1</v>
      </c>
      <c r="AI130" s="59">
        <v>1</v>
      </c>
      <c r="AJ130" s="59">
        <v>1</v>
      </c>
      <c r="AK130" s="58" t="s">
        <v>8</v>
      </c>
      <c r="AL130" s="14" t="s">
        <v>72</v>
      </c>
      <c r="AM130" s="14" t="s">
        <v>72</v>
      </c>
      <c r="AN130" s="14" t="s">
        <v>72</v>
      </c>
    </row>
    <row r="131" spans="2:40" ht="15">
      <c r="B131" s="172">
        <v>12</v>
      </c>
      <c r="C131" s="13">
        <v>20200518</v>
      </c>
      <c r="D131" s="13" t="s">
        <v>24</v>
      </c>
      <c r="E131" s="13" t="s">
        <v>837</v>
      </c>
      <c r="F131" s="39" t="s">
        <v>1617</v>
      </c>
      <c r="G131" s="14">
        <v>1452946</v>
      </c>
      <c r="H131" s="164" t="s">
        <v>72</v>
      </c>
      <c r="I131" s="13" t="s">
        <v>1624</v>
      </c>
      <c r="J131" s="164" t="s">
        <v>72</v>
      </c>
      <c r="K131" s="13" t="s">
        <v>73</v>
      </c>
      <c r="L131" s="13" t="s">
        <v>1614</v>
      </c>
      <c r="M131" s="13" t="s">
        <v>840</v>
      </c>
      <c r="N131" s="13" t="s">
        <v>841</v>
      </c>
      <c r="O131" s="14" t="s">
        <v>72</v>
      </c>
      <c r="P131" s="14" t="s">
        <v>1567</v>
      </c>
      <c r="Q131" s="165"/>
      <c r="R131" s="164" t="s">
        <v>72</v>
      </c>
      <c r="S131" s="13" t="s">
        <v>117</v>
      </c>
      <c r="T131" s="13"/>
      <c r="U131" s="13"/>
      <c r="V131" s="13">
        <v>29</v>
      </c>
      <c r="W131" s="13">
        <v>29</v>
      </c>
      <c r="X131" s="13">
        <v>29</v>
      </c>
      <c r="Y131" s="13">
        <v>0.51</v>
      </c>
      <c r="Z131" s="13">
        <v>0.5</v>
      </c>
      <c r="AA131" s="13" t="s">
        <v>110</v>
      </c>
      <c r="AB131" s="58">
        <v>43973</v>
      </c>
      <c r="AC131" s="58">
        <v>43969</v>
      </c>
      <c r="AD131" s="58">
        <v>43973</v>
      </c>
      <c r="AE131" s="58">
        <v>43971</v>
      </c>
      <c r="AF131" s="58">
        <v>43971</v>
      </c>
      <c r="AG131" s="58" t="s">
        <v>75</v>
      </c>
      <c r="AH131" s="59">
        <v>1</v>
      </c>
      <c r="AI131" s="59">
        <v>1</v>
      </c>
      <c r="AJ131" s="59">
        <v>1</v>
      </c>
      <c r="AK131" s="58" t="s">
        <v>8</v>
      </c>
      <c r="AL131" s="14" t="s">
        <v>72</v>
      </c>
      <c r="AM131" s="14" t="s">
        <v>72</v>
      </c>
      <c r="AN131" s="14" t="s">
        <v>72</v>
      </c>
    </row>
    <row r="132" spans="2:40" ht="15">
      <c r="B132" s="172">
        <v>13</v>
      </c>
      <c r="C132" s="13">
        <v>20200518</v>
      </c>
      <c r="D132" s="13" t="s">
        <v>24</v>
      </c>
      <c r="E132" s="13" t="s">
        <v>837</v>
      </c>
      <c r="F132" s="39" t="s">
        <v>1617</v>
      </c>
      <c r="G132" s="14">
        <v>1452946</v>
      </c>
      <c r="H132" s="164" t="s">
        <v>72</v>
      </c>
      <c r="I132" s="13" t="s">
        <v>1625</v>
      </c>
      <c r="J132" s="164" t="s">
        <v>72</v>
      </c>
      <c r="K132" s="13" t="s">
        <v>73</v>
      </c>
      <c r="L132" s="13" t="s">
        <v>1614</v>
      </c>
      <c r="M132" s="13" t="s">
        <v>840</v>
      </c>
      <c r="N132" s="13" t="s">
        <v>841</v>
      </c>
      <c r="O132" s="14" t="s">
        <v>72</v>
      </c>
      <c r="P132" s="14" t="s">
        <v>1567</v>
      </c>
      <c r="Q132" s="165"/>
      <c r="R132" s="164" t="s">
        <v>72</v>
      </c>
      <c r="S132" s="13" t="s">
        <v>109</v>
      </c>
      <c r="T132" s="13"/>
      <c r="U132" s="13"/>
      <c r="V132" s="13">
        <v>17</v>
      </c>
      <c r="W132" s="13">
        <v>17</v>
      </c>
      <c r="X132" s="13">
        <v>17</v>
      </c>
      <c r="Y132" s="13">
        <v>0.3</v>
      </c>
      <c r="Z132" s="13">
        <v>0.5</v>
      </c>
      <c r="AA132" s="13" t="s">
        <v>110</v>
      </c>
      <c r="AB132" s="58">
        <v>43973</v>
      </c>
      <c r="AC132" s="58">
        <v>43969</v>
      </c>
      <c r="AD132" s="58">
        <v>43973</v>
      </c>
      <c r="AE132" s="58">
        <v>43969</v>
      </c>
      <c r="AF132" s="58">
        <v>43969</v>
      </c>
      <c r="AG132" s="58" t="s">
        <v>75</v>
      </c>
      <c r="AH132" s="59">
        <v>1</v>
      </c>
      <c r="AI132" s="59">
        <v>1</v>
      </c>
      <c r="AJ132" s="59">
        <v>1</v>
      </c>
      <c r="AK132" s="58" t="s">
        <v>8</v>
      </c>
      <c r="AL132" s="14" t="s">
        <v>72</v>
      </c>
      <c r="AM132" s="14" t="s">
        <v>72</v>
      </c>
      <c r="AN132" s="14" t="s">
        <v>72</v>
      </c>
    </row>
    <row r="133" spans="2:40" ht="15">
      <c r="B133" s="172">
        <v>14</v>
      </c>
      <c r="C133" s="13">
        <v>20200518</v>
      </c>
      <c r="D133" s="13" t="s">
        <v>24</v>
      </c>
      <c r="E133" s="13" t="s">
        <v>837</v>
      </c>
      <c r="F133" s="39" t="s">
        <v>1617</v>
      </c>
      <c r="G133" s="14">
        <v>1452946</v>
      </c>
      <c r="H133" s="164" t="s">
        <v>72</v>
      </c>
      <c r="I133" s="13" t="s">
        <v>1626</v>
      </c>
      <c r="J133" s="164" t="s">
        <v>72</v>
      </c>
      <c r="K133" s="13" t="s">
        <v>73</v>
      </c>
      <c r="L133" s="13" t="s">
        <v>1614</v>
      </c>
      <c r="M133" s="13" t="s">
        <v>840</v>
      </c>
      <c r="N133" s="13" t="s">
        <v>841</v>
      </c>
      <c r="O133" s="14" t="s">
        <v>72</v>
      </c>
      <c r="P133" s="14" t="s">
        <v>1567</v>
      </c>
      <c r="Q133" s="165"/>
      <c r="R133" s="164" t="s">
        <v>72</v>
      </c>
      <c r="S133" s="13" t="s">
        <v>161</v>
      </c>
      <c r="T133" s="13"/>
      <c r="U133" s="13"/>
      <c r="V133" s="13">
        <v>90</v>
      </c>
      <c r="W133" s="13">
        <v>90</v>
      </c>
      <c r="X133" s="13">
        <v>90</v>
      </c>
      <c r="Y133" s="13">
        <v>1.6</v>
      </c>
      <c r="Z133" s="13">
        <v>0.5</v>
      </c>
      <c r="AA133" s="13" t="s">
        <v>110</v>
      </c>
      <c r="AB133" s="58">
        <v>43973</v>
      </c>
      <c r="AC133" s="58">
        <v>43969</v>
      </c>
      <c r="AD133" s="58">
        <v>43973</v>
      </c>
      <c r="AE133" s="58">
        <v>43970</v>
      </c>
      <c r="AF133" s="58">
        <v>43970</v>
      </c>
      <c r="AG133" s="58" t="s">
        <v>75</v>
      </c>
      <c r="AH133" s="59">
        <v>1</v>
      </c>
      <c r="AI133" s="59">
        <v>1</v>
      </c>
      <c r="AJ133" s="59">
        <v>1</v>
      </c>
      <c r="AK133" s="58" t="s">
        <v>8</v>
      </c>
      <c r="AL133" s="14" t="s">
        <v>72</v>
      </c>
      <c r="AM133" s="14" t="s">
        <v>72</v>
      </c>
      <c r="AN133" s="14" t="s">
        <v>72</v>
      </c>
    </row>
    <row r="134" spans="2:40" ht="15">
      <c r="B134" s="172">
        <v>15</v>
      </c>
      <c r="C134" s="13">
        <v>20200518</v>
      </c>
      <c r="D134" s="13" t="s">
        <v>24</v>
      </c>
      <c r="E134" s="13" t="s">
        <v>837</v>
      </c>
      <c r="F134" s="39" t="s">
        <v>1617</v>
      </c>
      <c r="G134" s="14">
        <v>1452946</v>
      </c>
      <c r="H134" s="164" t="s">
        <v>72</v>
      </c>
      <c r="I134" s="13" t="s">
        <v>1627</v>
      </c>
      <c r="J134" s="164" t="s">
        <v>72</v>
      </c>
      <c r="K134" s="13" t="s">
        <v>73</v>
      </c>
      <c r="L134" s="13" t="s">
        <v>1614</v>
      </c>
      <c r="M134" s="13" t="s">
        <v>840</v>
      </c>
      <c r="N134" s="13" t="s">
        <v>841</v>
      </c>
      <c r="O134" s="14" t="s">
        <v>72</v>
      </c>
      <c r="P134" s="14" t="s">
        <v>1567</v>
      </c>
      <c r="Q134" s="165"/>
      <c r="R134" s="164" t="s">
        <v>72</v>
      </c>
      <c r="S134" s="13" t="s">
        <v>161</v>
      </c>
      <c r="T134" s="13"/>
      <c r="U134" s="13"/>
      <c r="V134" s="13">
        <v>48</v>
      </c>
      <c r="W134" s="13">
        <v>48</v>
      </c>
      <c r="X134" s="13">
        <v>48</v>
      </c>
      <c r="Y134" s="13">
        <v>0.85</v>
      </c>
      <c r="Z134" s="13">
        <v>0.5</v>
      </c>
      <c r="AA134" s="13" t="s">
        <v>110</v>
      </c>
      <c r="AB134" s="58">
        <v>43973</v>
      </c>
      <c r="AC134" s="58">
        <v>43969</v>
      </c>
      <c r="AD134" s="58">
        <v>43973</v>
      </c>
      <c r="AE134" s="58">
        <v>43970</v>
      </c>
      <c r="AF134" s="58">
        <v>43970</v>
      </c>
      <c r="AG134" s="58" t="s">
        <v>75</v>
      </c>
      <c r="AH134" s="59">
        <v>1</v>
      </c>
      <c r="AI134" s="59">
        <v>1</v>
      </c>
      <c r="AJ134" s="59">
        <v>1</v>
      </c>
      <c r="AK134" s="58" t="s">
        <v>8</v>
      </c>
      <c r="AL134" s="14" t="s">
        <v>72</v>
      </c>
      <c r="AM134" s="14" t="s">
        <v>72</v>
      </c>
      <c r="AN134" s="14" t="s">
        <v>72</v>
      </c>
    </row>
    <row r="135" spans="2:40" ht="15">
      <c r="B135" s="172">
        <v>16</v>
      </c>
      <c r="C135" s="13">
        <v>20200518</v>
      </c>
      <c r="D135" s="13" t="s">
        <v>24</v>
      </c>
      <c r="E135" s="13" t="s">
        <v>837</v>
      </c>
      <c r="F135" s="39" t="s">
        <v>1617</v>
      </c>
      <c r="G135" s="14">
        <v>1452946</v>
      </c>
      <c r="H135" s="164" t="s">
        <v>72</v>
      </c>
      <c r="I135" s="13" t="s">
        <v>1628</v>
      </c>
      <c r="J135" s="164" t="s">
        <v>72</v>
      </c>
      <c r="K135" s="13" t="s">
        <v>73</v>
      </c>
      <c r="L135" s="13" t="s">
        <v>1614</v>
      </c>
      <c r="M135" s="13" t="s">
        <v>840</v>
      </c>
      <c r="N135" s="13" t="s">
        <v>841</v>
      </c>
      <c r="O135" s="14" t="s">
        <v>72</v>
      </c>
      <c r="P135" s="14" t="s">
        <v>1567</v>
      </c>
      <c r="Q135" s="165"/>
      <c r="R135" s="164" t="s">
        <v>72</v>
      </c>
      <c r="S135" s="13" t="s">
        <v>109</v>
      </c>
      <c r="T135" s="13"/>
      <c r="U135" s="13"/>
      <c r="V135" s="13">
        <v>125</v>
      </c>
      <c r="W135" s="13">
        <v>125</v>
      </c>
      <c r="X135" s="13">
        <v>125</v>
      </c>
      <c r="Y135" s="13">
        <v>2.2200000000000002</v>
      </c>
      <c r="Z135" s="13">
        <v>0.5</v>
      </c>
      <c r="AA135" s="13" t="s">
        <v>110</v>
      </c>
      <c r="AB135" s="58">
        <v>43973</v>
      </c>
      <c r="AC135" s="58">
        <v>43969</v>
      </c>
      <c r="AD135" s="58">
        <v>43973</v>
      </c>
      <c r="AE135" s="58">
        <v>43970</v>
      </c>
      <c r="AF135" s="58">
        <v>43970</v>
      </c>
      <c r="AG135" s="58" t="s">
        <v>75</v>
      </c>
      <c r="AH135" s="59">
        <v>1</v>
      </c>
      <c r="AI135" s="59">
        <v>1</v>
      </c>
      <c r="AJ135" s="59">
        <v>1</v>
      </c>
      <c r="AK135" s="58" t="s">
        <v>8</v>
      </c>
      <c r="AL135" s="14" t="s">
        <v>72</v>
      </c>
      <c r="AM135" s="14" t="s">
        <v>72</v>
      </c>
      <c r="AN135" s="14" t="s">
        <v>72</v>
      </c>
    </row>
    <row r="136" spans="2:40" ht="15">
      <c r="B136" s="172">
        <v>17</v>
      </c>
      <c r="C136" s="13">
        <v>20200518</v>
      </c>
      <c r="D136" s="13" t="s">
        <v>24</v>
      </c>
      <c r="E136" s="13" t="s">
        <v>837</v>
      </c>
      <c r="F136" s="39" t="s">
        <v>1617</v>
      </c>
      <c r="G136" s="181">
        <v>1452946</v>
      </c>
      <c r="H136" s="183" t="s">
        <v>72</v>
      </c>
      <c r="I136" s="176" t="s">
        <v>1629</v>
      </c>
      <c r="J136" s="164" t="s">
        <v>72</v>
      </c>
      <c r="K136" s="13" t="s">
        <v>73</v>
      </c>
      <c r="L136" s="13" t="s">
        <v>1614</v>
      </c>
      <c r="M136" s="13" t="s">
        <v>840</v>
      </c>
      <c r="N136" s="13" t="s">
        <v>841</v>
      </c>
      <c r="O136" s="14" t="s">
        <v>72</v>
      </c>
      <c r="P136" s="14" t="s">
        <v>1567</v>
      </c>
      <c r="Q136" s="165"/>
      <c r="R136" s="164" t="s">
        <v>72</v>
      </c>
      <c r="S136" s="13" t="s">
        <v>113</v>
      </c>
      <c r="T136" s="13"/>
      <c r="U136" s="13"/>
      <c r="V136" s="13">
        <v>58</v>
      </c>
      <c r="W136" s="13">
        <v>58</v>
      </c>
      <c r="X136" s="13">
        <v>58</v>
      </c>
      <c r="Y136" s="13">
        <v>1.03</v>
      </c>
      <c r="Z136" s="13">
        <v>1.03</v>
      </c>
      <c r="AA136" s="13" t="s">
        <v>110</v>
      </c>
      <c r="AB136" s="58">
        <v>43973</v>
      </c>
      <c r="AC136" s="58">
        <v>43969</v>
      </c>
      <c r="AD136" s="58">
        <v>43973</v>
      </c>
      <c r="AE136" s="58">
        <v>43971</v>
      </c>
      <c r="AF136" s="58">
        <v>43971</v>
      </c>
      <c r="AG136" s="58" t="s">
        <v>75</v>
      </c>
      <c r="AH136" s="59">
        <v>1</v>
      </c>
      <c r="AI136" s="59">
        <v>1</v>
      </c>
      <c r="AJ136" s="59">
        <v>1</v>
      </c>
      <c r="AK136" s="58" t="s">
        <v>8</v>
      </c>
      <c r="AL136" s="14" t="s">
        <v>72</v>
      </c>
      <c r="AM136" s="14" t="s">
        <v>72</v>
      </c>
      <c r="AN136" s="14" t="s">
        <v>72</v>
      </c>
    </row>
    <row r="137" spans="2:40" ht="15">
      <c r="B137" s="172">
        <v>18</v>
      </c>
      <c r="C137" s="13">
        <v>20200518</v>
      </c>
      <c r="D137" s="13" t="s">
        <v>24</v>
      </c>
      <c r="E137" s="13" t="s">
        <v>837</v>
      </c>
      <c r="F137" s="39" t="s">
        <v>1617</v>
      </c>
      <c r="G137" s="14">
        <v>1452946</v>
      </c>
      <c r="H137" s="164" t="s">
        <v>72</v>
      </c>
      <c r="I137" s="13" t="s">
        <v>1630</v>
      </c>
      <c r="J137" s="164" t="s">
        <v>72</v>
      </c>
      <c r="K137" s="13" t="s">
        <v>73</v>
      </c>
      <c r="L137" s="13" t="s">
        <v>1614</v>
      </c>
      <c r="M137" s="13" t="s">
        <v>840</v>
      </c>
      <c r="N137" s="13" t="s">
        <v>841</v>
      </c>
      <c r="O137" s="14" t="s">
        <v>72</v>
      </c>
      <c r="P137" s="14" t="s">
        <v>1567</v>
      </c>
      <c r="Q137" s="165"/>
      <c r="R137" s="164" t="s">
        <v>72</v>
      </c>
      <c r="S137" s="13" t="s">
        <v>161</v>
      </c>
      <c r="T137" s="13"/>
      <c r="U137" s="13"/>
      <c r="V137" s="13">
        <v>98</v>
      </c>
      <c r="W137" s="13">
        <v>98</v>
      </c>
      <c r="X137" s="13">
        <v>98</v>
      </c>
      <c r="Y137" s="13">
        <v>1.74</v>
      </c>
      <c r="Z137" s="13">
        <v>1</v>
      </c>
      <c r="AA137" s="13" t="s">
        <v>110</v>
      </c>
      <c r="AB137" s="58">
        <v>43973</v>
      </c>
      <c r="AC137" s="58">
        <v>43969</v>
      </c>
      <c r="AD137" s="58">
        <v>43973</v>
      </c>
      <c r="AE137" s="58">
        <v>43970</v>
      </c>
      <c r="AF137" s="58">
        <v>43970</v>
      </c>
      <c r="AG137" s="58" t="s">
        <v>75</v>
      </c>
      <c r="AH137" s="59">
        <v>1</v>
      </c>
      <c r="AI137" s="59">
        <v>1</v>
      </c>
      <c r="AJ137" s="59">
        <v>1</v>
      </c>
      <c r="AK137" s="58" t="s">
        <v>8</v>
      </c>
      <c r="AL137" s="14" t="s">
        <v>72</v>
      </c>
      <c r="AM137" s="14" t="s">
        <v>72</v>
      </c>
      <c r="AN137" s="14" t="s">
        <v>72</v>
      </c>
    </row>
    <row r="138" spans="2:40" ht="15">
      <c r="B138" s="172">
        <v>19</v>
      </c>
      <c r="C138" s="13">
        <v>20200518</v>
      </c>
      <c r="D138" s="13" t="s">
        <v>24</v>
      </c>
      <c r="E138" s="13" t="s">
        <v>837</v>
      </c>
      <c r="F138" s="39" t="s">
        <v>1617</v>
      </c>
      <c r="G138" s="181">
        <v>1452946</v>
      </c>
      <c r="H138" s="183" t="s">
        <v>72</v>
      </c>
      <c r="I138" s="176" t="s">
        <v>1631</v>
      </c>
      <c r="J138" s="164" t="s">
        <v>72</v>
      </c>
      <c r="K138" s="13" t="s">
        <v>73</v>
      </c>
      <c r="L138" s="13" t="s">
        <v>1614</v>
      </c>
      <c r="M138" s="13" t="s">
        <v>840</v>
      </c>
      <c r="N138" s="13" t="s">
        <v>841</v>
      </c>
      <c r="O138" s="14" t="s">
        <v>72</v>
      </c>
      <c r="P138" s="14" t="s">
        <v>1567</v>
      </c>
      <c r="Q138" s="165"/>
      <c r="R138" s="164" t="s">
        <v>72</v>
      </c>
      <c r="S138" s="13" t="s">
        <v>113</v>
      </c>
      <c r="T138" s="13"/>
      <c r="U138" s="13"/>
      <c r="V138" s="13">
        <v>58</v>
      </c>
      <c r="W138" s="13">
        <v>58</v>
      </c>
      <c r="X138" s="13">
        <v>58</v>
      </c>
      <c r="Y138" s="13">
        <v>1.03</v>
      </c>
      <c r="Z138" s="13">
        <v>1.03</v>
      </c>
      <c r="AA138" s="13" t="s">
        <v>110</v>
      </c>
      <c r="AB138" s="58">
        <v>43973</v>
      </c>
      <c r="AC138" s="58">
        <v>43969</v>
      </c>
      <c r="AD138" s="58">
        <v>43973</v>
      </c>
      <c r="AE138" s="58">
        <v>43971</v>
      </c>
      <c r="AF138" s="58">
        <v>43971</v>
      </c>
      <c r="AG138" s="58" t="s">
        <v>75</v>
      </c>
      <c r="AH138" s="59">
        <v>1</v>
      </c>
      <c r="AI138" s="59">
        <v>1</v>
      </c>
      <c r="AJ138" s="59">
        <v>1</v>
      </c>
      <c r="AK138" s="58" t="s">
        <v>8</v>
      </c>
      <c r="AL138" s="14" t="s">
        <v>72</v>
      </c>
      <c r="AM138" s="14" t="s">
        <v>72</v>
      </c>
      <c r="AN138" s="14" t="s">
        <v>72</v>
      </c>
    </row>
    <row r="139" spans="2:40" ht="15">
      <c r="B139" s="172">
        <v>20</v>
      </c>
      <c r="C139" s="13">
        <v>20200518</v>
      </c>
      <c r="D139" s="13" t="s">
        <v>24</v>
      </c>
      <c r="E139" s="13" t="s">
        <v>837</v>
      </c>
      <c r="F139" s="39" t="s">
        <v>1617</v>
      </c>
      <c r="G139" s="14">
        <v>1452946</v>
      </c>
      <c r="H139" s="164" t="s">
        <v>72</v>
      </c>
      <c r="I139" s="13" t="s">
        <v>1632</v>
      </c>
      <c r="J139" s="164" t="s">
        <v>72</v>
      </c>
      <c r="K139" s="13" t="s">
        <v>73</v>
      </c>
      <c r="L139" s="13" t="s">
        <v>1614</v>
      </c>
      <c r="M139" s="13" t="s">
        <v>840</v>
      </c>
      <c r="N139" s="13" t="s">
        <v>841</v>
      </c>
      <c r="O139" s="14" t="s">
        <v>72</v>
      </c>
      <c r="P139" s="14" t="s">
        <v>1567</v>
      </c>
      <c r="Q139" s="165"/>
      <c r="R139" s="164" t="s">
        <v>72</v>
      </c>
      <c r="S139" s="13" t="s">
        <v>117</v>
      </c>
      <c r="T139" s="13"/>
      <c r="U139" s="13"/>
      <c r="V139" s="13">
        <v>12</v>
      </c>
      <c r="W139" s="13">
        <v>12</v>
      </c>
      <c r="X139" s="13">
        <v>12</v>
      </c>
      <c r="Y139" s="13">
        <v>0.21</v>
      </c>
      <c r="Z139" s="13">
        <v>0.2</v>
      </c>
      <c r="AA139" s="13" t="s">
        <v>110</v>
      </c>
      <c r="AB139" s="58">
        <v>43973</v>
      </c>
      <c r="AC139" s="58">
        <v>43969</v>
      </c>
      <c r="AD139" s="58">
        <v>43973</v>
      </c>
      <c r="AE139" s="58">
        <v>43971</v>
      </c>
      <c r="AF139" s="58">
        <v>43971</v>
      </c>
      <c r="AG139" s="58" t="s">
        <v>75</v>
      </c>
      <c r="AH139" s="59">
        <v>1</v>
      </c>
      <c r="AI139" s="59">
        <v>1</v>
      </c>
      <c r="AJ139" s="59">
        <v>1</v>
      </c>
      <c r="AK139" s="58" t="s">
        <v>8</v>
      </c>
      <c r="AL139" s="14" t="s">
        <v>72</v>
      </c>
      <c r="AM139" s="14" t="s">
        <v>72</v>
      </c>
      <c r="AN139" s="14" t="s">
        <v>72</v>
      </c>
    </row>
    <row r="140" spans="2:40" ht="15">
      <c r="B140" s="172">
        <v>21</v>
      </c>
      <c r="C140" s="13">
        <v>20200518</v>
      </c>
      <c r="D140" s="13" t="s">
        <v>24</v>
      </c>
      <c r="E140" s="13" t="s">
        <v>837</v>
      </c>
      <c r="F140" s="39" t="s">
        <v>1617</v>
      </c>
      <c r="G140" s="181">
        <v>1452946</v>
      </c>
      <c r="H140" s="183" t="s">
        <v>72</v>
      </c>
      <c r="I140" s="176" t="s">
        <v>1633</v>
      </c>
      <c r="J140" s="164" t="s">
        <v>72</v>
      </c>
      <c r="K140" s="13" t="s">
        <v>73</v>
      </c>
      <c r="L140" s="13" t="s">
        <v>1614</v>
      </c>
      <c r="M140" s="13" t="s">
        <v>840</v>
      </c>
      <c r="N140" s="13" t="s">
        <v>841</v>
      </c>
      <c r="O140" s="14" t="s">
        <v>72</v>
      </c>
      <c r="P140" s="14" t="s">
        <v>1567</v>
      </c>
      <c r="Q140" s="165"/>
      <c r="R140" s="164" t="s">
        <v>72</v>
      </c>
      <c r="S140" s="13" t="s">
        <v>113</v>
      </c>
      <c r="T140" s="13"/>
      <c r="U140" s="13"/>
      <c r="V140" s="13">
        <v>73</v>
      </c>
      <c r="W140" s="13">
        <v>73</v>
      </c>
      <c r="X140" s="13">
        <v>73</v>
      </c>
      <c r="Y140" s="13">
        <v>1.29</v>
      </c>
      <c r="Z140" s="13">
        <v>1.29</v>
      </c>
      <c r="AA140" s="13" t="s">
        <v>110</v>
      </c>
      <c r="AB140" s="58">
        <v>43973</v>
      </c>
      <c r="AC140" s="58">
        <v>43969</v>
      </c>
      <c r="AD140" s="58">
        <v>43973</v>
      </c>
      <c r="AE140" s="58">
        <v>43971</v>
      </c>
      <c r="AF140" s="58">
        <v>43971</v>
      </c>
      <c r="AG140" s="58" t="s">
        <v>75</v>
      </c>
      <c r="AH140" s="59">
        <v>1</v>
      </c>
      <c r="AI140" s="59">
        <v>1</v>
      </c>
      <c r="AJ140" s="59">
        <v>1</v>
      </c>
      <c r="AK140" s="58" t="s">
        <v>8</v>
      </c>
      <c r="AL140" s="14" t="s">
        <v>72</v>
      </c>
      <c r="AM140" s="14" t="s">
        <v>72</v>
      </c>
      <c r="AN140" s="14" t="s">
        <v>72</v>
      </c>
    </row>
    <row r="141" spans="2:40" ht="15">
      <c r="B141" s="172">
        <v>22</v>
      </c>
      <c r="C141" s="13">
        <v>20200518</v>
      </c>
      <c r="D141" s="13" t="s">
        <v>24</v>
      </c>
      <c r="E141" s="13" t="s">
        <v>837</v>
      </c>
      <c r="F141" s="39" t="s">
        <v>1617</v>
      </c>
      <c r="G141" s="14">
        <v>1452946</v>
      </c>
      <c r="H141" s="164" t="s">
        <v>72</v>
      </c>
      <c r="I141" s="13" t="s">
        <v>1634</v>
      </c>
      <c r="J141" s="164" t="s">
        <v>72</v>
      </c>
      <c r="K141" s="13" t="s">
        <v>73</v>
      </c>
      <c r="L141" s="13" t="s">
        <v>1614</v>
      </c>
      <c r="M141" s="13" t="s">
        <v>840</v>
      </c>
      <c r="N141" s="13" t="s">
        <v>841</v>
      </c>
      <c r="O141" s="14" t="s">
        <v>72</v>
      </c>
      <c r="P141" s="14" t="s">
        <v>1567</v>
      </c>
      <c r="Q141" s="165"/>
      <c r="R141" s="164" t="s">
        <v>72</v>
      </c>
      <c r="S141" s="13" t="s">
        <v>161</v>
      </c>
      <c r="T141" s="13"/>
      <c r="U141" s="13"/>
      <c r="V141" s="13">
        <v>72</v>
      </c>
      <c r="W141" s="13">
        <v>72</v>
      </c>
      <c r="X141" s="13">
        <v>72</v>
      </c>
      <c r="Y141" s="13">
        <v>1.28</v>
      </c>
      <c r="Z141" s="13">
        <v>0.5</v>
      </c>
      <c r="AA141" s="13" t="s">
        <v>110</v>
      </c>
      <c r="AB141" s="58">
        <v>43973</v>
      </c>
      <c r="AC141" s="58">
        <v>43969</v>
      </c>
      <c r="AD141" s="58">
        <v>43973</v>
      </c>
      <c r="AE141" s="58">
        <v>43970</v>
      </c>
      <c r="AF141" s="58">
        <v>43970</v>
      </c>
      <c r="AG141" s="58" t="s">
        <v>75</v>
      </c>
      <c r="AH141" s="59">
        <v>1</v>
      </c>
      <c r="AI141" s="59">
        <v>1</v>
      </c>
      <c r="AJ141" s="59">
        <v>1</v>
      </c>
      <c r="AK141" s="58" t="s">
        <v>8</v>
      </c>
      <c r="AL141" s="14" t="s">
        <v>72</v>
      </c>
      <c r="AM141" s="14" t="s">
        <v>72</v>
      </c>
      <c r="AN141" s="14" t="s">
        <v>72</v>
      </c>
    </row>
    <row r="142" spans="2:40" ht="15">
      <c r="B142" s="172">
        <v>23</v>
      </c>
      <c r="C142" s="13">
        <v>20200518</v>
      </c>
      <c r="D142" s="13" t="s">
        <v>24</v>
      </c>
      <c r="E142" s="13" t="s">
        <v>837</v>
      </c>
      <c r="F142" s="39" t="s">
        <v>1617</v>
      </c>
      <c r="G142" s="181">
        <v>1452946</v>
      </c>
      <c r="H142" s="183" t="s">
        <v>72</v>
      </c>
      <c r="I142" s="176" t="s">
        <v>1635</v>
      </c>
      <c r="J142" s="164" t="s">
        <v>72</v>
      </c>
      <c r="K142" s="13" t="s">
        <v>73</v>
      </c>
      <c r="L142" s="13" t="s">
        <v>1614</v>
      </c>
      <c r="M142" s="13" t="s">
        <v>840</v>
      </c>
      <c r="N142" s="13" t="s">
        <v>841</v>
      </c>
      <c r="O142" s="14" t="s">
        <v>72</v>
      </c>
      <c r="P142" s="14" t="s">
        <v>1567</v>
      </c>
      <c r="Q142" s="165"/>
      <c r="R142" s="164" t="s">
        <v>72</v>
      </c>
      <c r="S142" s="13" t="s">
        <v>113</v>
      </c>
      <c r="T142" s="13"/>
      <c r="U142" s="13"/>
      <c r="V142" s="13">
        <v>14</v>
      </c>
      <c r="W142" s="13">
        <v>14</v>
      </c>
      <c r="X142" s="13">
        <v>14</v>
      </c>
      <c r="Y142" s="13">
        <v>0.24</v>
      </c>
      <c r="Z142" s="13">
        <v>0.24</v>
      </c>
      <c r="AA142" s="13" t="s">
        <v>110</v>
      </c>
      <c r="AB142" s="58">
        <v>43973</v>
      </c>
      <c r="AC142" s="58">
        <v>43969</v>
      </c>
      <c r="AD142" s="58">
        <v>43973</v>
      </c>
      <c r="AE142" s="58">
        <v>43971</v>
      </c>
      <c r="AF142" s="58">
        <v>43971</v>
      </c>
      <c r="AG142" s="58" t="s">
        <v>75</v>
      </c>
      <c r="AH142" s="59">
        <v>1</v>
      </c>
      <c r="AI142" s="59">
        <v>1</v>
      </c>
      <c r="AJ142" s="59">
        <v>1</v>
      </c>
      <c r="AK142" s="58" t="s">
        <v>8</v>
      </c>
      <c r="AL142" s="14" t="s">
        <v>72</v>
      </c>
      <c r="AM142" s="14" t="s">
        <v>72</v>
      </c>
      <c r="AN142" s="14" t="s">
        <v>72</v>
      </c>
    </row>
    <row r="143" spans="2:40" ht="15">
      <c r="B143" s="172">
        <v>24</v>
      </c>
      <c r="C143" s="13">
        <v>20200518</v>
      </c>
      <c r="D143" s="13" t="s">
        <v>24</v>
      </c>
      <c r="E143" s="13" t="s">
        <v>837</v>
      </c>
      <c r="F143" s="39" t="s">
        <v>1636</v>
      </c>
      <c r="G143" s="14">
        <v>1472741</v>
      </c>
      <c r="H143" s="164" t="s">
        <v>72</v>
      </c>
      <c r="I143" s="13" t="s">
        <v>1637</v>
      </c>
      <c r="J143" s="164" t="s">
        <v>72</v>
      </c>
      <c r="K143" s="13" t="s">
        <v>73</v>
      </c>
      <c r="L143" s="13" t="s">
        <v>8</v>
      </c>
      <c r="M143" s="13" t="s">
        <v>840</v>
      </c>
      <c r="N143" s="13" t="s">
        <v>841</v>
      </c>
      <c r="O143" s="14" t="s">
        <v>72</v>
      </c>
      <c r="P143" s="14" t="s">
        <v>1638</v>
      </c>
      <c r="Q143" s="165"/>
      <c r="R143" s="164" t="s">
        <v>72</v>
      </c>
      <c r="S143" s="13" t="s">
        <v>117</v>
      </c>
      <c r="T143" s="13"/>
      <c r="U143" s="13"/>
      <c r="V143" s="13">
        <v>3</v>
      </c>
      <c r="W143" s="53">
        <v>355</v>
      </c>
      <c r="X143" s="13">
        <v>355</v>
      </c>
      <c r="Y143" s="13">
        <v>6.31</v>
      </c>
      <c r="Z143" s="13">
        <v>4</v>
      </c>
      <c r="AA143" s="13" t="s">
        <v>110</v>
      </c>
      <c r="AB143" s="58">
        <v>43973</v>
      </c>
      <c r="AC143" s="58">
        <v>43969</v>
      </c>
      <c r="AD143" s="58">
        <v>43973</v>
      </c>
      <c r="AE143" s="58">
        <v>43971</v>
      </c>
      <c r="AF143" s="58">
        <v>43971</v>
      </c>
      <c r="AG143" s="58" t="s">
        <v>75</v>
      </c>
      <c r="AH143" s="59">
        <v>1</v>
      </c>
      <c r="AI143" s="59">
        <v>1</v>
      </c>
      <c r="AJ143" s="59">
        <v>1</v>
      </c>
      <c r="AK143" s="58" t="s">
        <v>8</v>
      </c>
      <c r="AL143" s="14" t="s">
        <v>72</v>
      </c>
      <c r="AM143" s="14" t="s">
        <v>72</v>
      </c>
      <c r="AN143" s="14" t="s">
        <v>72</v>
      </c>
    </row>
    <row r="144" spans="2:40" ht="15">
      <c r="B144" s="172">
        <v>25</v>
      </c>
      <c r="C144" s="13">
        <v>20200518</v>
      </c>
      <c r="D144" s="13" t="s">
        <v>24</v>
      </c>
      <c r="E144" s="13" t="s">
        <v>837</v>
      </c>
      <c r="F144" s="39" t="s">
        <v>1639</v>
      </c>
      <c r="G144" s="14">
        <v>1472757</v>
      </c>
      <c r="H144" s="164" t="s">
        <v>72</v>
      </c>
      <c r="I144" s="13" t="s">
        <v>123</v>
      </c>
      <c r="J144" s="164" t="s">
        <v>72</v>
      </c>
      <c r="K144" s="13" t="s">
        <v>73</v>
      </c>
      <c r="L144" s="13" t="s">
        <v>8</v>
      </c>
      <c r="M144" s="13" t="s">
        <v>840</v>
      </c>
      <c r="N144" s="13" t="s">
        <v>841</v>
      </c>
      <c r="O144" s="14" t="s">
        <v>72</v>
      </c>
      <c r="P144" s="14" t="s">
        <v>1575</v>
      </c>
      <c r="Q144" s="165"/>
      <c r="R144" s="164" t="s">
        <v>72</v>
      </c>
      <c r="S144" s="13" t="s">
        <v>117</v>
      </c>
      <c r="T144" s="13"/>
      <c r="U144" s="13"/>
      <c r="V144" s="13">
        <v>3</v>
      </c>
      <c r="W144" s="53">
        <v>92</v>
      </c>
      <c r="X144" s="13">
        <v>92</v>
      </c>
      <c r="Y144" s="13">
        <v>1.63</v>
      </c>
      <c r="Z144" s="13">
        <v>2</v>
      </c>
      <c r="AA144" s="13" t="s">
        <v>110</v>
      </c>
      <c r="AB144" s="58">
        <v>43973</v>
      </c>
      <c r="AC144" s="58">
        <v>43969</v>
      </c>
      <c r="AD144" s="58">
        <v>43973</v>
      </c>
      <c r="AE144" s="58">
        <v>43971</v>
      </c>
      <c r="AF144" s="58">
        <v>43971</v>
      </c>
      <c r="AG144" s="58" t="s">
        <v>75</v>
      </c>
      <c r="AH144" s="59">
        <v>1</v>
      </c>
      <c r="AI144" s="59">
        <v>1</v>
      </c>
      <c r="AJ144" s="59">
        <v>1</v>
      </c>
      <c r="AK144" s="58" t="s">
        <v>8</v>
      </c>
      <c r="AL144" s="14" t="s">
        <v>72</v>
      </c>
      <c r="AM144" s="14" t="s">
        <v>72</v>
      </c>
      <c r="AN144" s="14" t="s">
        <v>72</v>
      </c>
    </row>
    <row r="145" spans="2:40" ht="15">
      <c r="B145" s="172">
        <v>26</v>
      </c>
      <c r="C145" s="13">
        <v>20200518</v>
      </c>
      <c r="D145" s="13" t="s">
        <v>24</v>
      </c>
      <c r="E145" s="13" t="s">
        <v>837</v>
      </c>
      <c r="F145" s="39" t="s">
        <v>1639</v>
      </c>
      <c r="G145" s="14">
        <v>1472757</v>
      </c>
      <c r="H145" s="164" t="s">
        <v>72</v>
      </c>
      <c r="I145" s="13" t="s">
        <v>1640</v>
      </c>
      <c r="J145" s="164" t="s">
        <v>72</v>
      </c>
      <c r="K145" s="13" t="s">
        <v>73</v>
      </c>
      <c r="L145" s="13" t="s">
        <v>8</v>
      </c>
      <c r="M145" s="13" t="s">
        <v>840</v>
      </c>
      <c r="N145" s="13" t="s">
        <v>841</v>
      </c>
      <c r="O145" s="14" t="s">
        <v>72</v>
      </c>
      <c r="P145" s="14" t="s">
        <v>1575</v>
      </c>
      <c r="Q145" s="165"/>
      <c r="R145" s="164" t="s">
        <v>72</v>
      </c>
      <c r="S145" s="13" t="s">
        <v>117</v>
      </c>
      <c r="T145" s="13"/>
      <c r="U145" s="13"/>
      <c r="V145" s="13">
        <v>3</v>
      </c>
      <c r="W145" s="13">
        <v>3</v>
      </c>
      <c r="X145" s="13">
        <v>3</v>
      </c>
      <c r="Y145" s="13">
        <v>0.05</v>
      </c>
      <c r="Z145" s="13">
        <v>0.05</v>
      </c>
      <c r="AA145" s="13" t="s">
        <v>110</v>
      </c>
      <c r="AB145" s="58">
        <v>43973</v>
      </c>
      <c r="AC145" s="58">
        <v>43969</v>
      </c>
      <c r="AD145" s="58">
        <v>43973</v>
      </c>
      <c r="AE145" s="58">
        <v>43971</v>
      </c>
      <c r="AF145" s="58">
        <v>43971</v>
      </c>
      <c r="AG145" s="58" t="s">
        <v>75</v>
      </c>
      <c r="AH145" s="171" t="s">
        <v>72</v>
      </c>
      <c r="AI145" s="171" t="s">
        <v>72</v>
      </c>
      <c r="AJ145" s="171" t="s">
        <v>72</v>
      </c>
      <c r="AK145" s="58" t="s">
        <v>8</v>
      </c>
      <c r="AL145" s="14" t="s">
        <v>72</v>
      </c>
      <c r="AM145" s="14" t="s">
        <v>72</v>
      </c>
      <c r="AN145" s="88" t="s">
        <v>574</v>
      </c>
    </row>
    <row r="146" spans="2:40" ht="15">
      <c r="B146" s="172">
        <v>27</v>
      </c>
      <c r="C146" s="13">
        <v>20200518</v>
      </c>
      <c r="D146" s="13" t="s">
        <v>24</v>
      </c>
      <c r="E146" s="13" t="s">
        <v>837</v>
      </c>
      <c r="F146" s="39" t="s">
        <v>1639</v>
      </c>
      <c r="G146" s="14">
        <v>1472757</v>
      </c>
      <c r="H146" s="164" t="s">
        <v>72</v>
      </c>
      <c r="I146" s="13" t="s">
        <v>120</v>
      </c>
      <c r="J146" s="164" t="s">
        <v>72</v>
      </c>
      <c r="K146" s="13" t="s">
        <v>73</v>
      </c>
      <c r="L146" s="13" t="s">
        <v>8</v>
      </c>
      <c r="M146" s="13" t="s">
        <v>840</v>
      </c>
      <c r="N146" s="13" t="s">
        <v>841</v>
      </c>
      <c r="O146" s="14" t="s">
        <v>72</v>
      </c>
      <c r="P146" s="14" t="s">
        <v>1575</v>
      </c>
      <c r="Q146" s="165"/>
      <c r="R146" s="164" t="s">
        <v>72</v>
      </c>
      <c r="S146" s="13" t="s">
        <v>117</v>
      </c>
      <c r="T146" s="13"/>
      <c r="U146" s="13"/>
      <c r="V146" s="13">
        <v>3</v>
      </c>
      <c r="W146" s="53">
        <v>95</v>
      </c>
      <c r="X146" s="13">
        <v>95</v>
      </c>
      <c r="Y146" s="13">
        <v>1.68</v>
      </c>
      <c r="Z146" s="13">
        <v>1</v>
      </c>
      <c r="AA146" s="13" t="s">
        <v>110</v>
      </c>
      <c r="AB146" s="58">
        <v>43973</v>
      </c>
      <c r="AC146" s="58">
        <v>43969</v>
      </c>
      <c r="AD146" s="58">
        <v>43973</v>
      </c>
      <c r="AE146" s="58">
        <v>43972</v>
      </c>
      <c r="AF146" s="58">
        <v>43972</v>
      </c>
      <c r="AG146" s="58" t="s">
        <v>79</v>
      </c>
      <c r="AH146" s="59">
        <v>1</v>
      </c>
      <c r="AI146" s="59">
        <v>0.87</v>
      </c>
      <c r="AJ146" s="59">
        <v>1</v>
      </c>
      <c r="AK146" s="58" t="s">
        <v>76</v>
      </c>
      <c r="AL146" s="14" t="s">
        <v>1641</v>
      </c>
      <c r="AM146" s="14" t="s">
        <v>72</v>
      </c>
      <c r="AN146" s="14" t="s">
        <v>72</v>
      </c>
    </row>
    <row r="147" spans="2:40" ht="15">
      <c r="B147" s="172">
        <v>28</v>
      </c>
      <c r="C147" s="13">
        <v>20200518</v>
      </c>
      <c r="D147" s="13" t="s">
        <v>24</v>
      </c>
      <c r="E147" s="13" t="s">
        <v>837</v>
      </c>
      <c r="F147" s="39" t="s">
        <v>1642</v>
      </c>
      <c r="G147" s="14">
        <v>1472757</v>
      </c>
      <c r="H147" s="164" t="s">
        <v>72</v>
      </c>
      <c r="I147" s="13" t="s">
        <v>128</v>
      </c>
      <c r="J147" s="164" t="s">
        <v>72</v>
      </c>
      <c r="K147" s="13" t="s">
        <v>73</v>
      </c>
      <c r="L147" s="13" t="s">
        <v>8</v>
      </c>
      <c r="M147" s="13" t="s">
        <v>840</v>
      </c>
      <c r="N147" s="13" t="s">
        <v>841</v>
      </c>
      <c r="O147" s="14" t="s">
        <v>72</v>
      </c>
      <c r="P147" s="14" t="s">
        <v>1575</v>
      </c>
      <c r="Q147" s="165"/>
      <c r="R147" s="164" t="s">
        <v>72</v>
      </c>
      <c r="S147" s="13" t="s">
        <v>117</v>
      </c>
      <c r="T147" s="13"/>
      <c r="U147" s="13"/>
      <c r="V147" s="13">
        <v>3</v>
      </c>
      <c r="W147" s="53">
        <v>157</v>
      </c>
      <c r="X147" s="13">
        <v>157</v>
      </c>
      <c r="Y147" s="13">
        <v>2.79</v>
      </c>
      <c r="Z147" s="13">
        <v>2</v>
      </c>
      <c r="AA147" s="13" t="s">
        <v>110</v>
      </c>
      <c r="AB147" s="58">
        <v>43973</v>
      </c>
      <c r="AC147" s="58">
        <v>43969</v>
      </c>
      <c r="AD147" s="58">
        <v>43973</v>
      </c>
      <c r="AE147" s="58">
        <v>43972</v>
      </c>
      <c r="AF147" s="58">
        <v>43972</v>
      </c>
      <c r="AG147" s="58" t="s">
        <v>75</v>
      </c>
      <c r="AH147" s="59">
        <v>1</v>
      </c>
      <c r="AI147" s="59">
        <v>1</v>
      </c>
      <c r="AJ147" s="59">
        <v>1</v>
      </c>
      <c r="AK147" s="58" t="s">
        <v>8</v>
      </c>
      <c r="AL147" s="14" t="s">
        <v>72</v>
      </c>
      <c r="AM147" s="14" t="s">
        <v>72</v>
      </c>
      <c r="AN147" s="14" t="s">
        <v>72</v>
      </c>
    </row>
    <row r="148" spans="2:40" ht="15">
      <c r="B148" s="172">
        <v>29</v>
      </c>
      <c r="C148" s="13">
        <v>20200518</v>
      </c>
      <c r="D148" s="13" t="s">
        <v>24</v>
      </c>
      <c r="E148" s="13" t="s">
        <v>837</v>
      </c>
      <c r="F148" s="39" t="s">
        <v>1643</v>
      </c>
      <c r="G148" s="14">
        <v>1472757</v>
      </c>
      <c r="H148" s="164" t="s">
        <v>72</v>
      </c>
      <c r="I148" s="13" t="s">
        <v>307</v>
      </c>
      <c r="J148" s="164" t="s">
        <v>72</v>
      </c>
      <c r="K148" s="13" t="s">
        <v>73</v>
      </c>
      <c r="L148" s="13" t="s">
        <v>8</v>
      </c>
      <c r="M148" s="13" t="s">
        <v>840</v>
      </c>
      <c r="N148" s="13" t="s">
        <v>841</v>
      </c>
      <c r="O148" s="14" t="s">
        <v>72</v>
      </c>
      <c r="P148" s="14" t="s">
        <v>1575</v>
      </c>
      <c r="Q148" s="165"/>
      <c r="R148" s="164" t="s">
        <v>72</v>
      </c>
      <c r="S148" s="13" t="s">
        <v>117</v>
      </c>
      <c r="T148" s="13"/>
      <c r="U148" s="13"/>
      <c r="V148" s="13">
        <v>3</v>
      </c>
      <c r="W148" s="53">
        <v>165</v>
      </c>
      <c r="X148" s="13">
        <v>165</v>
      </c>
      <c r="Y148" s="13">
        <v>2.93</v>
      </c>
      <c r="Z148" s="13">
        <v>2</v>
      </c>
      <c r="AA148" s="13" t="s">
        <v>110</v>
      </c>
      <c r="AB148" s="58">
        <v>43973</v>
      </c>
      <c r="AC148" s="58">
        <v>43969</v>
      </c>
      <c r="AD148" s="58">
        <v>43973</v>
      </c>
      <c r="AE148" s="58">
        <v>43972</v>
      </c>
      <c r="AF148" s="58">
        <v>43972</v>
      </c>
      <c r="AG148" s="58" t="s">
        <v>75</v>
      </c>
      <c r="AH148" s="59">
        <v>1</v>
      </c>
      <c r="AI148" s="59">
        <v>1</v>
      </c>
      <c r="AJ148" s="59">
        <v>1</v>
      </c>
      <c r="AK148" s="58" t="s">
        <v>8</v>
      </c>
      <c r="AL148" s="14" t="s">
        <v>72</v>
      </c>
      <c r="AM148" s="14" t="s">
        <v>72</v>
      </c>
      <c r="AN148" s="14" t="s">
        <v>72</v>
      </c>
    </row>
    <row r="149" spans="2:40" ht="15">
      <c r="B149" s="172">
        <v>30</v>
      </c>
      <c r="C149" s="13">
        <v>20200518</v>
      </c>
      <c r="D149" s="13" t="s">
        <v>24</v>
      </c>
      <c r="E149" s="13" t="s">
        <v>837</v>
      </c>
      <c r="F149" s="39" t="s">
        <v>1644</v>
      </c>
      <c r="G149" s="14">
        <v>1472757</v>
      </c>
      <c r="H149" s="164" t="s">
        <v>72</v>
      </c>
      <c r="I149" s="13" t="s">
        <v>1645</v>
      </c>
      <c r="J149" s="164" t="s">
        <v>72</v>
      </c>
      <c r="K149" s="13" t="s">
        <v>73</v>
      </c>
      <c r="L149" s="13" t="s">
        <v>8</v>
      </c>
      <c r="M149" s="13" t="s">
        <v>840</v>
      </c>
      <c r="N149" s="13" t="s">
        <v>841</v>
      </c>
      <c r="O149" s="14" t="s">
        <v>72</v>
      </c>
      <c r="P149" s="14" t="s">
        <v>1575</v>
      </c>
      <c r="Q149" s="165"/>
      <c r="R149" s="164" t="s">
        <v>72</v>
      </c>
      <c r="S149" s="13" t="s">
        <v>117</v>
      </c>
      <c r="T149" s="13"/>
      <c r="U149" s="13"/>
      <c r="V149" s="13">
        <v>3</v>
      </c>
      <c r="W149" s="53">
        <v>63</v>
      </c>
      <c r="X149" s="13">
        <v>63</v>
      </c>
      <c r="Y149" s="13">
        <v>1.1200000000000001</v>
      </c>
      <c r="Z149" s="13">
        <v>1</v>
      </c>
      <c r="AA149" s="13" t="s">
        <v>110</v>
      </c>
      <c r="AB149" s="58">
        <v>43973</v>
      </c>
      <c r="AC149" s="58">
        <v>43969</v>
      </c>
      <c r="AD149" s="58">
        <v>43973</v>
      </c>
      <c r="AE149" s="58">
        <v>43972</v>
      </c>
      <c r="AF149" s="58">
        <v>43972</v>
      </c>
      <c r="AG149" s="58" t="s">
        <v>75</v>
      </c>
      <c r="AH149" s="59">
        <v>1</v>
      </c>
      <c r="AI149" s="59">
        <v>1</v>
      </c>
      <c r="AJ149" s="59">
        <v>1</v>
      </c>
      <c r="AK149" s="58" t="s">
        <v>8</v>
      </c>
      <c r="AL149" s="14" t="s">
        <v>72</v>
      </c>
      <c r="AM149" s="14" t="s">
        <v>72</v>
      </c>
      <c r="AN149" s="14" t="s">
        <v>72</v>
      </c>
    </row>
    <row r="150" spans="2:40" ht="15">
      <c r="B150" s="172">
        <v>31</v>
      </c>
      <c r="C150" s="13">
        <v>20200518</v>
      </c>
      <c r="D150" s="13" t="s">
        <v>24</v>
      </c>
      <c r="E150" s="13" t="s">
        <v>837</v>
      </c>
      <c r="F150" s="39" t="s">
        <v>1646</v>
      </c>
      <c r="G150" s="14">
        <v>1472757</v>
      </c>
      <c r="H150" s="164" t="s">
        <v>72</v>
      </c>
      <c r="I150" s="13" t="s">
        <v>23</v>
      </c>
      <c r="J150" s="164" t="s">
        <v>72</v>
      </c>
      <c r="K150" s="13" t="s">
        <v>73</v>
      </c>
      <c r="L150" s="13" t="s">
        <v>8</v>
      </c>
      <c r="M150" s="13" t="s">
        <v>840</v>
      </c>
      <c r="N150" s="13" t="s">
        <v>841</v>
      </c>
      <c r="O150" s="14" t="s">
        <v>72</v>
      </c>
      <c r="P150" s="14" t="s">
        <v>1575</v>
      </c>
      <c r="Q150" s="165"/>
      <c r="R150" s="164" t="s">
        <v>72</v>
      </c>
      <c r="S150" s="13" t="s">
        <v>117</v>
      </c>
      <c r="T150" s="13"/>
      <c r="U150" s="13"/>
      <c r="V150" s="13">
        <v>5</v>
      </c>
      <c r="W150" s="53">
        <v>167</v>
      </c>
      <c r="X150" s="13">
        <v>167</v>
      </c>
      <c r="Y150" s="13">
        <v>2.96</v>
      </c>
      <c r="Z150" s="13">
        <v>2</v>
      </c>
      <c r="AA150" s="13" t="s">
        <v>110</v>
      </c>
      <c r="AB150" s="58">
        <v>43973</v>
      </c>
      <c r="AC150" s="58">
        <v>43969</v>
      </c>
      <c r="AD150" s="58">
        <v>43973</v>
      </c>
      <c r="AE150" s="58">
        <v>43972</v>
      </c>
      <c r="AF150" s="58">
        <v>43972</v>
      </c>
      <c r="AG150" s="58" t="s">
        <v>75</v>
      </c>
      <c r="AH150" s="59">
        <v>1</v>
      </c>
      <c r="AI150" s="59">
        <v>1</v>
      </c>
      <c r="AJ150" s="59">
        <v>1</v>
      </c>
      <c r="AK150" s="58" t="s">
        <v>8</v>
      </c>
      <c r="AL150" s="14" t="s">
        <v>72</v>
      </c>
      <c r="AM150" s="14" t="s">
        <v>72</v>
      </c>
      <c r="AN150" s="14" t="s">
        <v>72</v>
      </c>
    </row>
    <row r="151" spans="2:40" ht="15">
      <c r="B151" s="172">
        <v>32</v>
      </c>
      <c r="C151" s="13">
        <v>20200518</v>
      </c>
      <c r="D151" s="13" t="s">
        <v>24</v>
      </c>
      <c r="E151" s="13" t="s">
        <v>837</v>
      </c>
      <c r="F151" s="39" t="s">
        <v>1647</v>
      </c>
      <c r="G151" s="14">
        <v>1369873</v>
      </c>
      <c r="H151" s="164" t="s">
        <v>72</v>
      </c>
      <c r="I151" s="13" t="s">
        <v>32</v>
      </c>
      <c r="J151" s="164" t="s">
        <v>72</v>
      </c>
      <c r="K151" s="13" t="s">
        <v>73</v>
      </c>
      <c r="L151" s="13" t="s">
        <v>1648</v>
      </c>
      <c r="M151" s="13" t="s">
        <v>840</v>
      </c>
      <c r="N151" s="13" t="s">
        <v>841</v>
      </c>
      <c r="O151" s="14" t="s">
        <v>72</v>
      </c>
      <c r="P151" s="14" t="s">
        <v>1043</v>
      </c>
      <c r="Q151" s="165"/>
      <c r="R151" s="164" t="s">
        <v>72</v>
      </c>
      <c r="S151" s="13" t="s">
        <v>117</v>
      </c>
      <c r="T151" s="13"/>
      <c r="U151" s="13"/>
      <c r="V151" s="13">
        <v>259</v>
      </c>
      <c r="W151" s="13">
        <v>259</v>
      </c>
      <c r="X151" s="13">
        <v>259</v>
      </c>
      <c r="Y151" s="13">
        <v>4.5999999999999996</v>
      </c>
      <c r="Z151" s="13">
        <v>2</v>
      </c>
      <c r="AA151" s="13" t="s">
        <v>110</v>
      </c>
      <c r="AB151" s="58">
        <v>43973</v>
      </c>
      <c r="AC151" s="58">
        <v>43969</v>
      </c>
      <c r="AD151" s="58">
        <v>43973</v>
      </c>
      <c r="AE151" s="58">
        <v>43972</v>
      </c>
      <c r="AF151" s="58">
        <v>43972</v>
      </c>
      <c r="AG151" s="58" t="s">
        <v>79</v>
      </c>
      <c r="AH151" s="59">
        <v>1</v>
      </c>
      <c r="AI151" s="59">
        <v>1</v>
      </c>
      <c r="AJ151" s="59">
        <v>0.87</v>
      </c>
      <c r="AK151" s="58" t="s">
        <v>76</v>
      </c>
      <c r="AL151" s="14" t="s">
        <v>1649</v>
      </c>
      <c r="AM151" s="14" t="s">
        <v>72</v>
      </c>
      <c r="AN151" s="14" t="s">
        <v>1579</v>
      </c>
    </row>
    <row r="152" spans="2:40" ht="15">
      <c r="B152" s="172">
        <v>33</v>
      </c>
      <c r="C152" s="13">
        <v>20200518</v>
      </c>
      <c r="D152" s="13" t="s">
        <v>24</v>
      </c>
      <c r="E152" s="13" t="s">
        <v>837</v>
      </c>
      <c r="F152" s="39" t="s">
        <v>1650</v>
      </c>
      <c r="G152" s="14">
        <v>1369873</v>
      </c>
      <c r="H152" s="164" t="s">
        <v>72</v>
      </c>
      <c r="I152" s="13" t="s">
        <v>256</v>
      </c>
      <c r="J152" s="164" t="s">
        <v>72</v>
      </c>
      <c r="K152" s="13" t="s">
        <v>73</v>
      </c>
      <c r="L152" s="13" t="s">
        <v>1648</v>
      </c>
      <c r="M152" s="13" t="s">
        <v>840</v>
      </c>
      <c r="N152" s="13" t="s">
        <v>841</v>
      </c>
      <c r="O152" s="14" t="s">
        <v>72</v>
      </c>
      <c r="P152" s="14" t="s">
        <v>1043</v>
      </c>
      <c r="Q152" s="165"/>
      <c r="R152" s="164" t="s">
        <v>72</v>
      </c>
      <c r="S152" s="13" t="s">
        <v>109</v>
      </c>
      <c r="T152" s="13"/>
      <c r="U152" s="13"/>
      <c r="V152" s="13">
        <v>162</v>
      </c>
      <c r="W152" s="13">
        <v>162</v>
      </c>
      <c r="X152" s="13">
        <v>162</v>
      </c>
      <c r="Y152" s="13">
        <v>2.88</v>
      </c>
      <c r="Z152" s="13">
        <v>1</v>
      </c>
      <c r="AA152" s="13" t="s">
        <v>110</v>
      </c>
      <c r="AB152" s="58">
        <v>43973</v>
      </c>
      <c r="AC152" s="58">
        <v>43969</v>
      </c>
      <c r="AD152" s="58">
        <v>43973</v>
      </c>
      <c r="AE152" s="58">
        <v>43970</v>
      </c>
      <c r="AF152" s="58">
        <v>43970</v>
      </c>
      <c r="AG152" s="58" t="s">
        <v>75</v>
      </c>
      <c r="AH152" s="59">
        <v>1</v>
      </c>
      <c r="AI152" s="59">
        <v>1</v>
      </c>
      <c r="AJ152" s="59">
        <v>1</v>
      </c>
      <c r="AK152" s="58" t="s">
        <v>8</v>
      </c>
      <c r="AL152" s="14" t="s">
        <v>72</v>
      </c>
      <c r="AM152" s="14" t="s">
        <v>72</v>
      </c>
      <c r="AN152" s="14" t="s">
        <v>72</v>
      </c>
    </row>
    <row r="153" spans="2:40" ht="15">
      <c r="B153" s="172">
        <v>34</v>
      </c>
      <c r="C153" s="13">
        <v>20200518</v>
      </c>
      <c r="D153" s="13" t="s">
        <v>24</v>
      </c>
      <c r="E153" s="13" t="s">
        <v>837</v>
      </c>
      <c r="F153" s="39" t="s">
        <v>1650</v>
      </c>
      <c r="G153" s="14">
        <v>1369873</v>
      </c>
      <c r="H153" s="164" t="s">
        <v>72</v>
      </c>
      <c r="I153" s="13" t="s">
        <v>261</v>
      </c>
      <c r="J153" s="164" t="s">
        <v>72</v>
      </c>
      <c r="K153" s="13" t="s">
        <v>73</v>
      </c>
      <c r="L153" s="13" t="s">
        <v>1648</v>
      </c>
      <c r="M153" s="13" t="s">
        <v>840</v>
      </c>
      <c r="N153" s="13" t="s">
        <v>841</v>
      </c>
      <c r="O153" s="14" t="s">
        <v>72</v>
      </c>
      <c r="P153" s="14" t="s">
        <v>1043</v>
      </c>
      <c r="Q153" s="165"/>
      <c r="R153" s="164" t="s">
        <v>72</v>
      </c>
      <c r="S153" s="13" t="s">
        <v>161</v>
      </c>
      <c r="T153" s="13"/>
      <c r="U153" s="13"/>
      <c r="V153" s="13">
        <v>55</v>
      </c>
      <c r="W153" s="13">
        <v>55</v>
      </c>
      <c r="X153" s="13">
        <v>55</v>
      </c>
      <c r="Y153" s="13">
        <v>0.97</v>
      </c>
      <c r="Z153" s="13">
        <v>0.5</v>
      </c>
      <c r="AA153" s="13" t="s">
        <v>110</v>
      </c>
      <c r="AB153" s="58">
        <v>43973</v>
      </c>
      <c r="AC153" s="58">
        <v>43969</v>
      </c>
      <c r="AD153" s="58">
        <v>43973</v>
      </c>
      <c r="AE153" s="58">
        <v>43970</v>
      </c>
      <c r="AF153" s="58">
        <v>43970</v>
      </c>
      <c r="AG153" s="58" t="s">
        <v>75</v>
      </c>
      <c r="AH153" s="59">
        <v>1</v>
      </c>
      <c r="AI153" s="59">
        <v>1</v>
      </c>
      <c r="AJ153" s="59">
        <v>1</v>
      </c>
      <c r="AK153" s="58" t="s">
        <v>8</v>
      </c>
      <c r="AL153" s="14" t="s">
        <v>72</v>
      </c>
      <c r="AM153" s="14" t="s">
        <v>72</v>
      </c>
      <c r="AN153" s="14" t="s">
        <v>72</v>
      </c>
    </row>
    <row r="154" spans="2:40" ht="15">
      <c r="B154" s="172">
        <v>35</v>
      </c>
      <c r="C154" s="13">
        <v>20200518</v>
      </c>
      <c r="D154" s="13" t="s">
        <v>24</v>
      </c>
      <c r="E154" s="13" t="s">
        <v>837</v>
      </c>
      <c r="F154" s="39" t="s">
        <v>1650</v>
      </c>
      <c r="G154" s="14">
        <v>1369873</v>
      </c>
      <c r="H154" s="164" t="s">
        <v>72</v>
      </c>
      <c r="I154" s="13" t="s">
        <v>1651</v>
      </c>
      <c r="J154" s="164" t="s">
        <v>72</v>
      </c>
      <c r="K154" s="13" t="s">
        <v>73</v>
      </c>
      <c r="L154" s="13" t="s">
        <v>1648</v>
      </c>
      <c r="M154" s="13" t="s">
        <v>840</v>
      </c>
      <c r="N154" s="13" t="s">
        <v>841</v>
      </c>
      <c r="O154" s="14" t="s">
        <v>72</v>
      </c>
      <c r="P154" s="14" t="s">
        <v>1043</v>
      </c>
      <c r="Q154" s="165"/>
      <c r="R154" s="164" t="s">
        <v>72</v>
      </c>
      <c r="S154" s="13" t="s">
        <v>113</v>
      </c>
      <c r="T154" s="13"/>
      <c r="U154" s="13"/>
      <c r="V154" s="13">
        <v>35</v>
      </c>
      <c r="W154" s="13">
        <v>35</v>
      </c>
      <c r="X154" s="13">
        <v>35</v>
      </c>
      <c r="Y154" s="13">
        <v>0.62</v>
      </c>
      <c r="Z154" s="13">
        <v>0.62</v>
      </c>
      <c r="AA154" s="13" t="s">
        <v>110</v>
      </c>
      <c r="AB154" s="58">
        <v>43973</v>
      </c>
      <c r="AC154" s="58">
        <v>43969</v>
      </c>
      <c r="AD154" s="58">
        <v>43973</v>
      </c>
      <c r="AE154" s="58">
        <v>43970</v>
      </c>
      <c r="AF154" s="58">
        <v>43970</v>
      </c>
      <c r="AG154" s="58" t="s">
        <v>75</v>
      </c>
      <c r="AH154" s="59">
        <v>1</v>
      </c>
      <c r="AI154" s="59">
        <v>1</v>
      </c>
      <c r="AJ154" s="59">
        <v>1</v>
      </c>
      <c r="AK154" s="58" t="s">
        <v>8</v>
      </c>
      <c r="AL154" s="14"/>
      <c r="AM154" s="14"/>
      <c r="AN154" s="14"/>
    </row>
    <row r="155" spans="2:40" ht="15">
      <c r="B155" s="172">
        <v>36</v>
      </c>
      <c r="C155" s="13">
        <v>20200518</v>
      </c>
      <c r="D155" s="13" t="s">
        <v>24</v>
      </c>
      <c r="E155" s="13" t="s">
        <v>837</v>
      </c>
      <c r="F155" s="39" t="s">
        <v>1652</v>
      </c>
      <c r="G155" s="14">
        <v>1369873</v>
      </c>
      <c r="H155" s="164" t="s">
        <v>72</v>
      </c>
      <c r="I155" s="53" t="s">
        <v>278</v>
      </c>
      <c r="J155" s="164" t="s">
        <v>72</v>
      </c>
      <c r="K155" s="13" t="s">
        <v>73</v>
      </c>
      <c r="L155" s="13" t="s">
        <v>1648</v>
      </c>
      <c r="M155" s="13" t="s">
        <v>840</v>
      </c>
      <c r="N155" s="13" t="s">
        <v>841</v>
      </c>
      <c r="O155" s="14" t="s">
        <v>72</v>
      </c>
      <c r="P155" s="14" t="s">
        <v>1043</v>
      </c>
      <c r="Q155" s="165"/>
      <c r="R155" s="164" t="s">
        <v>72</v>
      </c>
      <c r="S155" s="13" t="s">
        <v>161</v>
      </c>
      <c r="T155" s="13"/>
      <c r="U155" s="13"/>
      <c r="V155" s="13">
        <v>25</v>
      </c>
      <c r="W155" s="13">
        <v>25</v>
      </c>
      <c r="X155" s="13">
        <v>25</v>
      </c>
      <c r="Y155" s="13">
        <v>0.44</v>
      </c>
      <c r="Z155" s="13">
        <v>0.3</v>
      </c>
      <c r="AA155" s="13" t="s">
        <v>110</v>
      </c>
      <c r="AB155" s="58">
        <v>43973</v>
      </c>
      <c r="AC155" s="58">
        <v>43969</v>
      </c>
      <c r="AD155" s="58">
        <v>43973</v>
      </c>
      <c r="AE155" s="58">
        <v>43970</v>
      </c>
      <c r="AF155" s="58">
        <v>43970</v>
      </c>
      <c r="AG155" s="58" t="s">
        <v>75</v>
      </c>
      <c r="AH155" s="59">
        <v>1</v>
      </c>
      <c r="AI155" s="59">
        <v>1</v>
      </c>
      <c r="AJ155" s="59">
        <v>1</v>
      </c>
      <c r="AK155" s="58" t="s">
        <v>8</v>
      </c>
      <c r="AL155" s="14" t="s">
        <v>72</v>
      </c>
      <c r="AM155" s="14" t="s">
        <v>72</v>
      </c>
      <c r="AN155" s="14" t="s">
        <v>72</v>
      </c>
    </row>
    <row r="156" spans="2:40" ht="15">
      <c r="B156" s="172">
        <v>37</v>
      </c>
      <c r="C156" s="13">
        <v>20200518</v>
      </c>
      <c r="D156" s="13" t="s">
        <v>24</v>
      </c>
      <c r="E156" s="13" t="s">
        <v>837</v>
      </c>
      <c r="F156" s="39" t="s">
        <v>1650</v>
      </c>
      <c r="G156" s="14">
        <v>1369873</v>
      </c>
      <c r="H156" s="164" t="s">
        <v>72</v>
      </c>
      <c r="I156" s="13" t="s">
        <v>1653</v>
      </c>
      <c r="J156" s="164" t="s">
        <v>72</v>
      </c>
      <c r="K156" s="13" t="s">
        <v>73</v>
      </c>
      <c r="L156" s="13" t="s">
        <v>1648</v>
      </c>
      <c r="M156" s="13" t="s">
        <v>840</v>
      </c>
      <c r="N156" s="13" t="s">
        <v>841</v>
      </c>
      <c r="O156" s="14" t="s">
        <v>72</v>
      </c>
      <c r="P156" s="14" t="s">
        <v>1043</v>
      </c>
      <c r="Q156" s="165"/>
      <c r="R156" s="164" t="s">
        <v>72</v>
      </c>
      <c r="S156" s="13" t="s">
        <v>161</v>
      </c>
      <c r="T156" s="13"/>
      <c r="U156" s="13"/>
      <c r="V156" s="13">
        <v>60</v>
      </c>
      <c r="W156" s="13">
        <v>60</v>
      </c>
      <c r="X156" s="13">
        <v>60</v>
      </c>
      <c r="Y156" s="13">
        <v>1.06</v>
      </c>
      <c r="Z156" s="13">
        <v>1</v>
      </c>
      <c r="AA156" s="13" t="s">
        <v>110</v>
      </c>
      <c r="AB156" s="58">
        <v>43973</v>
      </c>
      <c r="AC156" s="58">
        <v>43969</v>
      </c>
      <c r="AD156" s="58">
        <v>43973</v>
      </c>
      <c r="AE156" s="58">
        <v>43970</v>
      </c>
      <c r="AF156" s="58">
        <v>43970</v>
      </c>
      <c r="AG156" s="58" t="s">
        <v>75</v>
      </c>
      <c r="AH156" s="59">
        <v>1</v>
      </c>
      <c r="AI156" s="59">
        <v>1</v>
      </c>
      <c r="AJ156" s="59">
        <v>1</v>
      </c>
      <c r="AK156" s="58" t="s">
        <v>8</v>
      </c>
      <c r="AL156" s="14" t="s">
        <v>72</v>
      </c>
      <c r="AM156" s="14" t="s">
        <v>72</v>
      </c>
      <c r="AN156" s="14" t="s">
        <v>72</v>
      </c>
    </row>
    <row r="157" spans="2:40" ht="15">
      <c r="B157" s="174">
        <v>38</v>
      </c>
      <c r="C157" s="13">
        <v>20200518</v>
      </c>
      <c r="D157" s="13" t="s">
        <v>24</v>
      </c>
      <c r="E157" s="13" t="s">
        <v>1654</v>
      </c>
      <c r="F157" s="39" t="s">
        <v>1655</v>
      </c>
      <c r="G157" s="14">
        <v>1473225</v>
      </c>
      <c r="H157" s="164" t="s">
        <v>72</v>
      </c>
      <c r="I157" s="13" t="s">
        <v>711</v>
      </c>
      <c r="J157" s="164" t="s">
        <v>72</v>
      </c>
      <c r="K157" s="13" t="s">
        <v>73</v>
      </c>
      <c r="L157" s="13" t="s">
        <v>1656</v>
      </c>
      <c r="M157" s="167" t="s">
        <v>1657</v>
      </c>
      <c r="N157" s="13" t="s">
        <v>336</v>
      </c>
      <c r="O157" s="14" t="s">
        <v>72</v>
      </c>
      <c r="P157" s="14" t="s">
        <v>1254</v>
      </c>
      <c r="Q157" s="165"/>
      <c r="R157" s="164" t="s">
        <v>72</v>
      </c>
      <c r="S157" s="13" t="s">
        <v>77</v>
      </c>
      <c r="T157" s="13"/>
      <c r="U157" s="13"/>
      <c r="V157" s="13">
        <v>86</v>
      </c>
      <c r="W157" s="13">
        <v>86</v>
      </c>
      <c r="X157" s="13">
        <v>86</v>
      </c>
      <c r="Y157" s="13">
        <v>1.52</v>
      </c>
      <c r="Z157" s="13">
        <v>0.5</v>
      </c>
      <c r="AA157" s="13" t="s">
        <v>110</v>
      </c>
      <c r="AB157" s="58">
        <v>43978</v>
      </c>
      <c r="AC157" s="58">
        <v>43969</v>
      </c>
      <c r="AD157" s="175">
        <v>43978</v>
      </c>
      <c r="AE157" s="58">
        <v>43970</v>
      </c>
      <c r="AF157" s="58">
        <v>43970</v>
      </c>
      <c r="AG157" s="58" t="s">
        <v>75</v>
      </c>
      <c r="AH157" s="59">
        <v>1</v>
      </c>
      <c r="AI157" s="59">
        <v>1</v>
      </c>
      <c r="AJ157" s="59">
        <v>1</v>
      </c>
      <c r="AK157" s="58" t="s">
        <v>8</v>
      </c>
      <c r="AL157" s="176" t="s">
        <v>72</v>
      </c>
      <c r="AM157" s="13" t="s">
        <v>72</v>
      </c>
      <c r="AN157" s="13" t="s">
        <v>72</v>
      </c>
    </row>
    <row r="158" spans="2:40" ht="15">
      <c r="B158" s="174">
        <v>39</v>
      </c>
      <c r="C158" s="13">
        <v>20200518</v>
      </c>
      <c r="D158" s="13" t="s">
        <v>24</v>
      </c>
      <c r="E158" s="13" t="s">
        <v>1658</v>
      </c>
      <c r="F158" s="39" t="s">
        <v>1659</v>
      </c>
      <c r="G158" s="14">
        <v>1472050</v>
      </c>
      <c r="H158" s="164" t="s">
        <v>72</v>
      </c>
      <c r="I158" s="13" t="s">
        <v>1660</v>
      </c>
      <c r="J158" s="164" t="s">
        <v>72</v>
      </c>
      <c r="K158" s="13" t="s">
        <v>73</v>
      </c>
      <c r="L158" s="13" t="s">
        <v>1661</v>
      </c>
      <c r="M158" s="13" t="s">
        <v>8</v>
      </c>
      <c r="N158" s="167" t="s">
        <v>1662</v>
      </c>
      <c r="O158" s="14" t="s">
        <v>72</v>
      </c>
      <c r="P158" s="14" t="s">
        <v>1663</v>
      </c>
      <c r="Q158" s="165"/>
      <c r="R158" s="164" t="s">
        <v>72</v>
      </c>
      <c r="S158" s="13" t="s">
        <v>78</v>
      </c>
      <c r="T158" s="13"/>
      <c r="U158" s="13"/>
      <c r="V158" s="13">
        <v>641</v>
      </c>
      <c r="W158" s="13">
        <v>641</v>
      </c>
      <c r="X158" s="13">
        <v>641</v>
      </c>
      <c r="Y158" s="13">
        <v>11.39</v>
      </c>
      <c r="Z158" s="13">
        <v>2</v>
      </c>
      <c r="AA158" s="13" t="s">
        <v>110</v>
      </c>
      <c r="AB158" s="58">
        <v>43978</v>
      </c>
      <c r="AC158" s="58">
        <v>43969</v>
      </c>
      <c r="AD158" s="175">
        <v>43978</v>
      </c>
      <c r="AE158" s="58">
        <v>43971</v>
      </c>
      <c r="AF158" s="58">
        <v>43971</v>
      </c>
      <c r="AG158" s="58" t="s">
        <v>75</v>
      </c>
      <c r="AH158" s="59">
        <v>1</v>
      </c>
      <c r="AI158" s="59">
        <v>1</v>
      </c>
      <c r="AJ158" s="59">
        <v>1</v>
      </c>
      <c r="AK158" s="58" t="s">
        <v>8</v>
      </c>
      <c r="AL158" s="13"/>
      <c r="AM158" s="13"/>
      <c r="AN158" s="13" t="s">
        <v>1664</v>
      </c>
    </row>
    <row r="159" spans="2:40" ht="15">
      <c r="B159" s="174">
        <v>40</v>
      </c>
      <c r="C159" s="13">
        <v>20200518</v>
      </c>
      <c r="D159" s="13" t="s">
        <v>24</v>
      </c>
      <c r="E159" s="13" t="s">
        <v>1658</v>
      </c>
      <c r="F159" s="39" t="s">
        <v>1665</v>
      </c>
      <c r="G159" s="14">
        <v>1472050</v>
      </c>
      <c r="H159" s="164" t="s">
        <v>72</v>
      </c>
      <c r="I159" s="13" t="s">
        <v>1666</v>
      </c>
      <c r="J159" s="164" t="s">
        <v>72</v>
      </c>
      <c r="K159" s="13" t="s">
        <v>73</v>
      </c>
      <c r="L159" s="13" t="s">
        <v>1661</v>
      </c>
      <c r="M159" s="13" t="s">
        <v>8</v>
      </c>
      <c r="N159" s="167" t="s">
        <v>1662</v>
      </c>
      <c r="O159" s="14" t="s">
        <v>72</v>
      </c>
      <c r="P159" s="14" t="s">
        <v>1663</v>
      </c>
      <c r="Q159" s="165"/>
      <c r="R159" s="164" t="s">
        <v>72</v>
      </c>
      <c r="S159" s="13" t="s">
        <v>78</v>
      </c>
      <c r="T159" s="13"/>
      <c r="U159" s="13"/>
      <c r="V159" s="13">
        <v>296</v>
      </c>
      <c r="W159" s="13">
        <v>296</v>
      </c>
      <c r="X159" s="13">
        <v>296</v>
      </c>
      <c r="Y159" s="13">
        <v>5.26</v>
      </c>
      <c r="Z159" s="13">
        <v>2</v>
      </c>
      <c r="AA159" s="13" t="s">
        <v>110</v>
      </c>
      <c r="AB159" s="58">
        <v>43978</v>
      </c>
      <c r="AC159" s="58">
        <v>43969</v>
      </c>
      <c r="AD159" s="175">
        <v>43978</v>
      </c>
      <c r="AE159" s="58">
        <v>43971</v>
      </c>
      <c r="AF159" s="58">
        <v>43971</v>
      </c>
      <c r="AG159" s="58" t="s">
        <v>75</v>
      </c>
      <c r="AH159" s="59">
        <v>1</v>
      </c>
      <c r="AI159" s="59">
        <v>1</v>
      </c>
      <c r="AJ159" s="59">
        <v>1</v>
      </c>
      <c r="AK159" s="58" t="s">
        <v>8</v>
      </c>
      <c r="AL159" s="13"/>
      <c r="AM159" s="13"/>
      <c r="AN159" s="13" t="s">
        <v>1664</v>
      </c>
    </row>
    <row r="160" spans="2:40" ht="15">
      <c r="B160" s="174">
        <v>41</v>
      </c>
      <c r="C160" s="13">
        <v>20200518</v>
      </c>
      <c r="D160" s="13" t="s">
        <v>24</v>
      </c>
      <c r="E160" s="13" t="s">
        <v>1658</v>
      </c>
      <c r="F160" s="39" t="s">
        <v>1667</v>
      </c>
      <c r="G160" s="14">
        <v>1472050</v>
      </c>
      <c r="H160" s="164" t="s">
        <v>72</v>
      </c>
      <c r="I160" s="13" t="s">
        <v>32</v>
      </c>
      <c r="J160" s="164" t="s">
        <v>72</v>
      </c>
      <c r="K160" s="13" t="s">
        <v>73</v>
      </c>
      <c r="L160" s="13" t="s">
        <v>1661</v>
      </c>
      <c r="M160" s="13" t="s">
        <v>8</v>
      </c>
      <c r="N160" s="167" t="s">
        <v>1662</v>
      </c>
      <c r="O160" s="14" t="s">
        <v>72</v>
      </c>
      <c r="P160" s="14" t="s">
        <v>1663</v>
      </c>
      <c r="Q160" s="165"/>
      <c r="R160" s="164" t="s">
        <v>72</v>
      </c>
      <c r="S160" s="13" t="s">
        <v>78</v>
      </c>
      <c r="T160" s="13"/>
      <c r="U160" s="13"/>
      <c r="V160" s="13">
        <v>259</v>
      </c>
      <c r="W160" s="13">
        <v>259</v>
      </c>
      <c r="X160" s="13">
        <v>259</v>
      </c>
      <c r="Y160" s="13">
        <v>4.5999999999999996</v>
      </c>
      <c r="Z160" s="13">
        <v>1</v>
      </c>
      <c r="AA160" s="13" t="s">
        <v>110</v>
      </c>
      <c r="AB160" s="58">
        <v>43978</v>
      </c>
      <c r="AC160" s="58">
        <v>43969</v>
      </c>
      <c r="AD160" s="175">
        <v>43978</v>
      </c>
      <c r="AE160" s="58">
        <v>43971</v>
      </c>
      <c r="AF160" s="58">
        <v>43971</v>
      </c>
      <c r="AG160" s="58" t="s">
        <v>79</v>
      </c>
      <c r="AH160" s="59">
        <v>1</v>
      </c>
      <c r="AI160" s="59">
        <v>1</v>
      </c>
      <c r="AJ160" s="59">
        <v>0.83</v>
      </c>
      <c r="AK160" s="58" t="s">
        <v>76</v>
      </c>
      <c r="AL160" s="13" t="s">
        <v>1668</v>
      </c>
      <c r="AM160" s="13"/>
      <c r="AN160" s="13" t="s">
        <v>1669</v>
      </c>
    </row>
    <row r="161" spans="2:40" ht="15">
      <c r="B161" s="174">
        <v>42</v>
      </c>
      <c r="C161" s="13">
        <v>20200518</v>
      </c>
      <c r="D161" s="13" t="s">
        <v>24</v>
      </c>
      <c r="E161" s="13" t="s">
        <v>1658</v>
      </c>
      <c r="F161" s="39" t="s">
        <v>1670</v>
      </c>
      <c r="G161" s="14">
        <v>1472050</v>
      </c>
      <c r="H161" s="164" t="s">
        <v>72</v>
      </c>
      <c r="I161" s="13" t="s">
        <v>35</v>
      </c>
      <c r="J161" s="164" t="s">
        <v>72</v>
      </c>
      <c r="K161" s="13" t="s">
        <v>73</v>
      </c>
      <c r="L161" s="13" t="s">
        <v>1661</v>
      </c>
      <c r="M161" s="13" t="s">
        <v>8</v>
      </c>
      <c r="N161" s="167" t="s">
        <v>1662</v>
      </c>
      <c r="O161" s="14" t="s">
        <v>72</v>
      </c>
      <c r="P161" s="14" t="s">
        <v>1663</v>
      </c>
      <c r="Q161" s="165"/>
      <c r="R161" s="164" t="s">
        <v>72</v>
      </c>
      <c r="S161" s="13" t="s">
        <v>78</v>
      </c>
      <c r="T161" s="13"/>
      <c r="U161" s="13"/>
      <c r="V161" s="13">
        <v>371</v>
      </c>
      <c r="W161" s="13">
        <v>371</v>
      </c>
      <c r="X161" s="13">
        <v>371</v>
      </c>
      <c r="Y161" s="13">
        <v>6.59</v>
      </c>
      <c r="Z161" s="13">
        <v>2</v>
      </c>
      <c r="AA161" s="13" t="s">
        <v>110</v>
      </c>
      <c r="AB161" s="58">
        <v>43978</v>
      </c>
      <c r="AC161" s="58">
        <v>43969</v>
      </c>
      <c r="AD161" s="175">
        <v>43978</v>
      </c>
      <c r="AE161" s="58">
        <v>43971</v>
      </c>
      <c r="AF161" s="58">
        <v>43971</v>
      </c>
      <c r="AG161" s="58" t="s">
        <v>75</v>
      </c>
      <c r="AH161" s="59">
        <v>1</v>
      </c>
      <c r="AI161" s="59">
        <v>1</v>
      </c>
      <c r="AJ161" s="59">
        <v>1</v>
      </c>
      <c r="AK161" s="58" t="s">
        <v>8</v>
      </c>
      <c r="AL161" s="13"/>
      <c r="AM161" s="13"/>
      <c r="AN161" s="13" t="s">
        <v>1664</v>
      </c>
    </row>
    <row r="162" spans="2:40" ht="15">
      <c r="B162" s="184">
        <v>43</v>
      </c>
      <c r="C162" s="13">
        <v>20200519</v>
      </c>
      <c r="D162" s="13" t="s">
        <v>24</v>
      </c>
      <c r="E162" s="13" t="s">
        <v>837</v>
      </c>
      <c r="F162" s="39" t="s">
        <v>1650</v>
      </c>
      <c r="G162" s="13">
        <v>1473546</v>
      </c>
      <c r="H162" s="164" t="s">
        <v>72</v>
      </c>
      <c r="I162" s="13" t="s">
        <v>187</v>
      </c>
      <c r="J162" s="164" t="s">
        <v>72</v>
      </c>
      <c r="K162" s="13" t="s">
        <v>73</v>
      </c>
      <c r="L162" s="13" t="s">
        <v>8</v>
      </c>
      <c r="M162" s="13" t="s">
        <v>840</v>
      </c>
      <c r="N162" s="13" t="s">
        <v>841</v>
      </c>
      <c r="O162" s="14" t="s">
        <v>72</v>
      </c>
      <c r="P162" s="14" t="s">
        <v>1281</v>
      </c>
      <c r="Q162" s="165"/>
      <c r="R162" s="164" t="s">
        <v>72</v>
      </c>
      <c r="S162" s="13" t="s">
        <v>109</v>
      </c>
      <c r="T162" s="13"/>
      <c r="U162" s="13"/>
      <c r="V162" s="13">
        <v>109</v>
      </c>
      <c r="W162" s="13">
        <v>109</v>
      </c>
      <c r="X162" s="13">
        <v>109</v>
      </c>
      <c r="Y162" s="13">
        <v>1.93</v>
      </c>
      <c r="Z162" s="13">
        <v>0.5</v>
      </c>
      <c r="AA162" s="13" t="s">
        <v>110</v>
      </c>
      <c r="AB162" s="58">
        <v>43973</v>
      </c>
      <c r="AC162" s="58">
        <v>43970</v>
      </c>
      <c r="AD162" s="58">
        <v>43973</v>
      </c>
      <c r="AE162" s="58">
        <v>43970</v>
      </c>
      <c r="AF162" s="58">
        <v>43970</v>
      </c>
      <c r="AG162" s="58" t="s">
        <v>75</v>
      </c>
      <c r="AH162" s="59">
        <v>1</v>
      </c>
      <c r="AI162" s="59">
        <v>1</v>
      </c>
      <c r="AJ162" s="59">
        <v>1</v>
      </c>
      <c r="AK162" s="58" t="s">
        <v>8</v>
      </c>
      <c r="AL162" s="176" t="s">
        <v>72</v>
      </c>
      <c r="AM162" s="176" t="s">
        <v>72</v>
      </c>
      <c r="AN162" s="176" t="s">
        <v>72</v>
      </c>
    </row>
    <row r="163" spans="2:40" ht="15">
      <c r="B163" s="184">
        <v>44</v>
      </c>
      <c r="C163" s="13">
        <v>20200519</v>
      </c>
      <c r="D163" s="13" t="s">
        <v>24</v>
      </c>
      <c r="E163" s="13" t="s">
        <v>837</v>
      </c>
      <c r="F163" s="39" t="s">
        <v>1650</v>
      </c>
      <c r="G163" s="13">
        <v>1473546</v>
      </c>
      <c r="H163" s="164" t="s">
        <v>72</v>
      </c>
      <c r="I163" s="13" t="s">
        <v>268</v>
      </c>
      <c r="J163" s="164" t="s">
        <v>72</v>
      </c>
      <c r="K163" s="13" t="s">
        <v>73</v>
      </c>
      <c r="L163" s="13" t="s">
        <v>8</v>
      </c>
      <c r="M163" s="13" t="s">
        <v>840</v>
      </c>
      <c r="N163" s="13" t="s">
        <v>841</v>
      </c>
      <c r="O163" s="14" t="s">
        <v>72</v>
      </c>
      <c r="P163" s="14" t="s">
        <v>1281</v>
      </c>
      <c r="Q163" s="165"/>
      <c r="R163" s="164" t="s">
        <v>72</v>
      </c>
      <c r="S163" s="13" t="s">
        <v>161</v>
      </c>
      <c r="T163" s="13"/>
      <c r="U163" s="13"/>
      <c r="V163" s="13">
        <v>268</v>
      </c>
      <c r="W163" s="13">
        <v>268</v>
      </c>
      <c r="X163" s="13">
        <v>268</v>
      </c>
      <c r="Y163" s="13">
        <v>4.76</v>
      </c>
      <c r="Z163" s="13">
        <v>4</v>
      </c>
      <c r="AA163" s="13" t="s">
        <v>110</v>
      </c>
      <c r="AB163" s="58">
        <v>43973</v>
      </c>
      <c r="AC163" s="58">
        <v>43969</v>
      </c>
      <c r="AD163" s="58">
        <v>43973</v>
      </c>
      <c r="AE163" s="58">
        <v>43970</v>
      </c>
      <c r="AF163" s="58">
        <v>43970</v>
      </c>
      <c r="AG163" s="58" t="s">
        <v>75</v>
      </c>
      <c r="AH163" s="59">
        <v>1</v>
      </c>
      <c r="AI163" s="59">
        <v>1</v>
      </c>
      <c r="AJ163" s="59">
        <v>1</v>
      </c>
      <c r="AK163" s="58" t="s">
        <v>8</v>
      </c>
      <c r="AL163" s="176" t="s">
        <v>72</v>
      </c>
      <c r="AM163" s="176" t="s">
        <v>72</v>
      </c>
      <c r="AN163" s="176" t="s">
        <v>72</v>
      </c>
    </row>
    <row r="164" spans="2:40" ht="15">
      <c r="B164" s="184">
        <v>45</v>
      </c>
      <c r="C164" s="13">
        <v>20200519</v>
      </c>
      <c r="D164" s="13" t="s">
        <v>24</v>
      </c>
      <c r="E164" s="13" t="s">
        <v>837</v>
      </c>
      <c r="F164" s="39" t="s">
        <v>1647</v>
      </c>
      <c r="G164" s="13">
        <v>1473546</v>
      </c>
      <c r="H164" s="164" t="s">
        <v>72</v>
      </c>
      <c r="I164" s="13" t="s">
        <v>252</v>
      </c>
      <c r="J164" s="164" t="s">
        <v>72</v>
      </c>
      <c r="K164" s="13" t="s">
        <v>73</v>
      </c>
      <c r="L164" s="13" t="s">
        <v>8</v>
      </c>
      <c r="M164" s="13" t="s">
        <v>840</v>
      </c>
      <c r="N164" s="13" t="s">
        <v>841</v>
      </c>
      <c r="O164" s="14" t="s">
        <v>72</v>
      </c>
      <c r="P164" s="14" t="s">
        <v>1281</v>
      </c>
      <c r="Q164" s="165"/>
      <c r="R164" s="164" t="s">
        <v>72</v>
      </c>
      <c r="S164" s="13" t="s">
        <v>109</v>
      </c>
      <c r="T164" s="13"/>
      <c r="U164" s="13"/>
      <c r="V164" s="13">
        <v>63</v>
      </c>
      <c r="W164" s="13">
        <v>63</v>
      </c>
      <c r="X164" s="13">
        <v>63</v>
      </c>
      <c r="Y164" s="13">
        <v>1.1200000000000001</v>
      </c>
      <c r="Z164" s="13">
        <v>0.5</v>
      </c>
      <c r="AA164" s="13" t="s">
        <v>110</v>
      </c>
      <c r="AB164" s="58">
        <v>43973</v>
      </c>
      <c r="AC164" s="58">
        <v>43970</v>
      </c>
      <c r="AD164" s="58">
        <v>43973</v>
      </c>
      <c r="AE164" s="58">
        <v>43970</v>
      </c>
      <c r="AF164" s="58">
        <v>43970</v>
      </c>
      <c r="AG164" s="58" t="s">
        <v>75</v>
      </c>
      <c r="AH164" s="59">
        <v>1</v>
      </c>
      <c r="AI164" s="59">
        <v>1</v>
      </c>
      <c r="AJ164" s="59">
        <v>1</v>
      </c>
      <c r="AK164" s="58" t="s">
        <v>8</v>
      </c>
      <c r="AL164" s="176" t="s">
        <v>72</v>
      </c>
      <c r="AM164" s="176" t="s">
        <v>72</v>
      </c>
      <c r="AN164" s="176" t="s">
        <v>72</v>
      </c>
    </row>
    <row r="165" spans="2:40" ht="15">
      <c r="B165" s="184">
        <v>46</v>
      </c>
      <c r="C165" s="13">
        <v>20200519</v>
      </c>
      <c r="D165" s="13" t="s">
        <v>24</v>
      </c>
      <c r="E165" s="13" t="s">
        <v>837</v>
      </c>
      <c r="F165" s="39" t="s">
        <v>1615</v>
      </c>
      <c r="G165" s="13">
        <v>1473546</v>
      </c>
      <c r="H165" s="164" t="s">
        <v>72</v>
      </c>
      <c r="I165" s="13" t="s">
        <v>734</v>
      </c>
      <c r="J165" s="164" t="s">
        <v>72</v>
      </c>
      <c r="K165" s="13" t="s">
        <v>73</v>
      </c>
      <c r="L165" s="13" t="s">
        <v>8</v>
      </c>
      <c r="M165" s="13" t="s">
        <v>840</v>
      </c>
      <c r="N165" s="13" t="s">
        <v>841</v>
      </c>
      <c r="O165" s="14" t="s">
        <v>72</v>
      </c>
      <c r="P165" s="14" t="s">
        <v>1281</v>
      </c>
      <c r="Q165" s="165"/>
      <c r="R165" s="164" t="s">
        <v>72</v>
      </c>
      <c r="S165" s="13" t="s">
        <v>161</v>
      </c>
      <c r="T165" s="13"/>
      <c r="U165" s="13"/>
      <c r="V165" s="13">
        <v>87</v>
      </c>
      <c r="W165" s="13">
        <v>87</v>
      </c>
      <c r="X165" s="13">
        <v>87</v>
      </c>
      <c r="Y165" s="13">
        <v>1.54</v>
      </c>
      <c r="Z165" s="13">
        <v>1</v>
      </c>
      <c r="AA165" s="13" t="s">
        <v>110</v>
      </c>
      <c r="AB165" s="58">
        <v>43973</v>
      </c>
      <c r="AC165" s="58">
        <v>43969</v>
      </c>
      <c r="AD165" s="58">
        <v>43973</v>
      </c>
      <c r="AE165" s="58">
        <v>43970</v>
      </c>
      <c r="AF165" s="58">
        <v>43970</v>
      </c>
      <c r="AG165" s="58" t="s">
        <v>75</v>
      </c>
      <c r="AH165" s="59">
        <v>1</v>
      </c>
      <c r="AI165" s="59">
        <v>1</v>
      </c>
      <c r="AJ165" s="59">
        <v>1</v>
      </c>
      <c r="AK165" s="58" t="s">
        <v>8</v>
      </c>
      <c r="AL165" s="176" t="s">
        <v>72</v>
      </c>
      <c r="AM165" s="176" t="s">
        <v>72</v>
      </c>
      <c r="AN165" s="176" t="s">
        <v>72</v>
      </c>
    </row>
    <row r="166" spans="2:40" ht="15">
      <c r="B166" s="184">
        <v>47</v>
      </c>
      <c r="C166" s="13">
        <v>20200519</v>
      </c>
      <c r="D166" s="13" t="s">
        <v>24</v>
      </c>
      <c r="E166" s="13" t="s">
        <v>837</v>
      </c>
      <c r="F166" s="39" t="s">
        <v>1671</v>
      </c>
      <c r="G166" s="13">
        <v>1473546</v>
      </c>
      <c r="H166" s="164" t="s">
        <v>72</v>
      </c>
      <c r="I166" s="13" t="s">
        <v>1672</v>
      </c>
      <c r="J166" s="164" t="s">
        <v>72</v>
      </c>
      <c r="K166" s="13" t="s">
        <v>73</v>
      </c>
      <c r="L166" s="13" t="s">
        <v>8</v>
      </c>
      <c r="M166" s="13" t="s">
        <v>840</v>
      </c>
      <c r="N166" s="13" t="s">
        <v>841</v>
      </c>
      <c r="O166" s="14" t="s">
        <v>72</v>
      </c>
      <c r="P166" s="14" t="s">
        <v>1281</v>
      </c>
      <c r="Q166" s="165"/>
      <c r="R166" s="164" t="s">
        <v>72</v>
      </c>
      <c r="S166" s="13" t="s">
        <v>117</v>
      </c>
      <c r="T166" s="13"/>
      <c r="U166" s="13"/>
      <c r="V166" s="13">
        <v>164</v>
      </c>
      <c r="W166" s="13">
        <v>164</v>
      </c>
      <c r="X166" s="13">
        <v>164</v>
      </c>
      <c r="Y166" s="13">
        <v>2.91</v>
      </c>
      <c r="Z166" s="13">
        <v>2.5</v>
      </c>
      <c r="AA166" s="13" t="s">
        <v>110</v>
      </c>
      <c r="AB166" s="58">
        <v>43973</v>
      </c>
      <c r="AC166" s="58">
        <v>43970</v>
      </c>
      <c r="AD166" s="58">
        <v>43973</v>
      </c>
      <c r="AE166" s="58">
        <v>43973</v>
      </c>
      <c r="AF166" s="58">
        <v>43973</v>
      </c>
      <c r="AG166" s="58" t="s">
        <v>75</v>
      </c>
      <c r="AH166" s="59">
        <v>1</v>
      </c>
      <c r="AI166" s="59">
        <v>1</v>
      </c>
      <c r="AJ166" s="59">
        <v>1</v>
      </c>
      <c r="AK166" s="58" t="s">
        <v>8</v>
      </c>
      <c r="AL166" s="181" t="s">
        <v>72</v>
      </c>
      <c r="AM166" s="181" t="s">
        <v>72</v>
      </c>
      <c r="AN166" s="181" t="s">
        <v>72</v>
      </c>
    </row>
    <row r="167" spans="2:40" ht="15">
      <c r="B167" s="184">
        <v>48</v>
      </c>
      <c r="C167" s="13">
        <v>20200519</v>
      </c>
      <c r="D167" s="13" t="s">
        <v>24</v>
      </c>
      <c r="E167" s="13" t="s">
        <v>837</v>
      </c>
      <c r="F167" s="39" t="s">
        <v>1673</v>
      </c>
      <c r="G167" s="176">
        <v>1473546</v>
      </c>
      <c r="H167" s="183" t="s">
        <v>72</v>
      </c>
      <c r="I167" s="176" t="s">
        <v>1674</v>
      </c>
      <c r="J167" s="164" t="s">
        <v>72</v>
      </c>
      <c r="K167" s="13" t="s">
        <v>73</v>
      </c>
      <c r="L167" s="13" t="s">
        <v>8</v>
      </c>
      <c r="M167" s="13" t="s">
        <v>840</v>
      </c>
      <c r="N167" s="13" t="s">
        <v>841</v>
      </c>
      <c r="O167" s="14" t="s">
        <v>72</v>
      </c>
      <c r="P167" s="14" t="s">
        <v>1281</v>
      </c>
      <c r="Q167" s="165"/>
      <c r="R167" s="164" t="s">
        <v>72</v>
      </c>
      <c r="S167" s="13" t="s">
        <v>113</v>
      </c>
      <c r="T167" s="13"/>
      <c r="U167" s="13"/>
      <c r="V167" s="13">
        <v>200</v>
      </c>
      <c r="W167" s="13">
        <v>200</v>
      </c>
      <c r="X167" s="13">
        <v>200</v>
      </c>
      <c r="Y167" s="13">
        <v>3.55</v>
      </c>
      <c r="Z167" s="13">
        <v>3.55</v>
      </c>
      <c r="AA167" s="13" t="s">
        <v>110</v>
      </c>
      <c r="AB167" s="58">
        <v>43973</v>
      </c>
      <c r="AC167" s="58">
        <v>43970</v>
      </c>
      <c r="AD167" s="58">
        <v>43973</v>
      </c>
      <c r="AE167" s="58">
        <v>43970</v>
      </c>
      <c r="AF167" s="58">
        <v>43970</v>
      </c>
      <c r="AG167" s="58" t="s">
        <v>75</v>
      </c>
      <c r="AH167" s="59">
        <v>1</v>
      </c>
      <c r="AI167" s="59">
        <v>1</v>
      </c>
      <c r="AJ167" s="59">
        <v>1</v>
      </c>
      <c r="AK167" s="58" t="s">
        <v>8</v>
      </c>
      <c r="AL167" s="176" t="s">
        <v>72</v>
      </c>
      <c r="AM167" s="176" t="s">
        <v>72</v>
      </c>
      <c r="AN167" s="176" t="s">
        <v>72</v>
      </c>
    </row>
    <row r="168" spans="2:40" ht="15">
      <c r="B168" s="184">
        <v>49</v>
      </c>
      <c r="C168" s="13">
        <v>20200519</v>
      </c>
      <c r="D168" s="13" t="s">
        <v>24</v>
      </c>
      <c r="E168" s="13" t="s">
        <v>837</v>
      </c>
      <c r="F168" s="39" t="s">
        <v>1675</v>
      </c>
      <c r="G168" s="13">
        <v>1473546</v>
      </c>
      <c r="H168" s="164" t="s">
        <v>72</v>
      </c>
      <c r="I168" s="13" t="s">
        <v>1676</v>
      </c>
      <c r="J168" s="164" t="s">
        <v>72</v>
      </c>
      <c r="K168" s="13" t="s">
        <v>73</v>
      </c>
      <c r="L168" s="13" t="s">
        <v>8</v>
      </c>
      <c r="M168" s="13" t="s">
        <v>840</v>
      </c>
      <c r="N168" s="13" t="s">
        <v>841</v>
      </c>
      <c r="O168" s="14" t="s">
        <v>72</v>
      </c>
      <c r="P168" s="14" t="s">
        <v>1281</v>
      </c>
      <c r="Q168" s="165"/>
      <c r="R168" s="164" t="s">
        <v>72</v>
      </c>
      <c r="S168" s="13" t="s">
        <v>109</v>
      </c>
      <c r="T168" s="13"/>
      <c r="U168" s="13"/>
      <c r="V168" s="13">
        <v>58</v>
      </c>
      <c r="W168" s="13">
        <v>58</v>
      </c>
      <c r="X168" s="13">
        <v>58</v>
      </c>
      <c r="Y168" s="13">
        <v>1.03</v>
      </c>
      <c r="Z168" s="13">
        <v>0.5</v>
      </c>
      <c r="AA168" s="13" t="s">
        <v>110</v>
      </c>
      <c r="AB168" s="58">
        <v>43973</v>
      </c>
      <c r="AC168" s="58">
        <v>43970</v>
      </c>
      <c r="AD168" s="58">
        <v>43973</v>
      </c>
      <c r="AE168" s="58">
        <v>43970</v>
      </c>
      <c r="AF168" s="58">
        <v>43970</v>
      </c>
      <c r="AG168" s="58" t="s">
        <v>75</v>
      </c>
      <c r="AH168" s="59">
        <v>1</v>
      </c>
      <c r="AI168" s="59">
        <v>1</v>
      </c>
      <c r="AJ168" s="59">
        <v>1</v>
      </c>
      <c r="AK168" s="58" t="s">
        <v>8</v>
      </c>
      <c r="AL168" s="176" t="s">
        <v>72</v>
      </c>
      <c r="AM168" s="176" t="s">
        <v>72</v>
      </c>
      <c r="AN168" s="176" t="s">
        <v>72</v>
      </c>
    </row>
    <row r="169" spans="2:40" ht="15">
      <c r="B169" s="184">
        <v>50</v>
      </c>
      <c r="C169" s="13">
        <v>20200519</v>
      </c>
      <c r="D169" s="13" t="s">
        <v>24</v>
      </c>
      <c r="E169" s="13" t="s">
        <v>837</v>
      </c>
      <c r="F169" s="39" t="s">
        <v>1675</v>
      </c>
      <c r="G169" s="13">
        <v>1473546</v>
      </c>
      <c r="H169" s="164" t="s">
        <v>72</v>
      </c>
      <c r="I169" s="13" t="s">
        <v>1677</v>
      </c>
      <c r="J169" s="164" t="s">
        <v>72</v>
      </c>
      <c r="K169" s="13" t="s">
        <v>73</v>
      </c>
      <c r="L169" s="13" t="s">
        <v>8</v>
      </c>
      <c r="M169" s="13" t="s">
        <v>840</v>
      </c>
      <c r="N169" s="13" t="s">
        <v>841</v>
      </c>
      <c r="O169" s="14" t="s">
        <v>72</v>
      </c>
      <c r="P169" s="14" t="s">
        <v>1281</v>
      </c>
      <c r="Q169" s="165"/>
      <c r="R169" s="164" t="s">
        <v>72</v>
      </c>
      <c r="S169" s="13" t="s">
        <v>161</v>
      </c>
      <c r="T169" s="13"/>
      <c r="U169" s="13"/>
      <c r="V169" s="13">
        <v>66</v>
      </c>
      <c r="W169" s="13">
        <v>66</v>
      </c>
      <c r="X169" s="13">
        <v>66</v>
      </c>
      <c r="Y169" s="13">
        <v>1.17</v>
      </c>
      <c r="Z169" s="13">
        <v>1</v>
      </c>
      <c r="AA169" s="13" t="s">
        <v>110</v>
      </c>
      <c r="AB169" s="58">
        <v>43973</v>
      </c>
      <c r="AC169" s="58">
        <v>43969</v>
      </c>
      <c r="AD169" s="58">
        <v>43973</v>
      </c>
      <c r="AE169" s="58">
        <v>43970</v>
      </c>
      <c r="AF169" s="58">
        <v>43970</v>
      </c>
      <c r="AG169" s="58" t="s">
        <v>75</v>
      </c>
      <c r="AH169" s="59">
        <v>1</v>
      </c>
      <c r="AI169" s="59">
        <v>1</v>
      </c>
      <c r="AJ169" s="59">
        <v>1</v>
      </c>
      <c r="AK169" s="58" t="s">
        <v>8</v>
      </c>
      <c r="AL169" s="176" t="s">
        <v>72</v>
      </c>
      <c r="AM169" s="176" t="s">
        <v>72</v>
      </c>
      <c r="AN169" s="176" t="s">
        <v>72</v>
      </c>
    </row>
    <row r="170" spans="2:40" ht="15">
      <c r="B170" s="184">
        <v>51</v>
      </c>
      <c r="C170" s="13">
        <v>20200519</v>
      </c>
      <c r="D170" s="13" t="s">
        <v>24</v>
      </c>
      <c r="E170" s="13" t="s">
        <v>837</v>
      </c>
      <c r="F170" s="39" t="s">
        <v>1678</v>
      </c>
      <c r="G170" s="13">
        <v>1473546</v>
      </c>
      <c r="H170" s="164" t="s">
        <v>72</v>
      </c>
      <c r="I170" s="13" t="s">
        <v>1679</v>
      </c>
      <c r="J170" s="164" t="s">
        <v>72</v>
      </c>
      <c r="K170" s="13" t="s">
        <v>73</v>
      </c>
      <c r="L170" s="13" t="s">
        <v>8</v>
      </c>
      <c r="M170" s="13" t="s">
        <v>840</v>
      </c>
      <c r="N170" s="13" t="s">
        <v>841</v>
      </c>
      <c r="O170" s="14" t="s">
        <v>72</v>
      </c>
      <c r="P170" s="14" t="s">
        <v>1281</v>
      </c>
      <c r="Q170" s="165"/>
      <c r="R170" s="164" t="s">
        <v>72</v>
      </c>
      <c r="S170" s="13" t="s">
        <v>161</v>
      </c>
      <c r="T170" s="13"/>
      <c r="U170" s="13"/>
      <c r="V170" s="13">
        <v>75</v>
      </c>
      <c r="W170" s="13">
        <v>75</v>
      </c>
      <c r="X170" s="13">
        <v>75</v>
      </c>
      <c r="Y170" s="13">
        <v>1.33</v>
      </c>
      <c r="Z170" s="13">
        <v>1</v>
      </c>
      <c r="AA170" s="13" t="s">
        <v>110</v>
      </c>
      <c r="AB170" s="58">
        <v>43973</v>
      </c>
      <c r="AC170" s="58">
        <v>43969</v>
      </c>
      <c r="AD170" s="58">
        <v>43973</v>
      </c>
      <c r="AE170" s="58">
        <v>43970</v>
      </c>
      <c r="AF170" s="58">
        <v>43970</v>
      </c>
      <c r="AG170" s="58" t="s">
        <v>75</v>
      </c>
      <c r="AH170" s="59">
        <v>1</v>
      </c>
      <c r="AI170" s="59">
        <v>1</v>
      </c>
      <c r="AJ170" s="59">
        <v>1</v>
      </c>
      <c r="AK170" s="58" t="s">
        <v>8</v>
      </c>
      <c r="AL170" s="176" t="s">
        <v>72</v>
      </c>
      <c r="AM170" s="176" t="s">
        <v>72</v>
      </c>
      <c r="AN170" s="176" t="s">
        <v>72</v>
      </c>
    </row>
    <row r="171" spans="2:40" ht="15">
      <c r="B171" s="184">
        <v>52</v>
      </c>
      <c r="C171" s="13">
        <v>20200519</v>
      </c>
      <c r="D171" s="13" t="s">
        <v>24</v>
      </c>
      <c r="E171" s="13" t="s">
        <v>837</v>
      </c>
      <c r="F171" s="39" t="s">
        <v>1617</v>
      </c>
      <c r="G171" s="13">
        <v>1473546</v>
      </c>
      <c r="H171" s="164" t="s">
        <v>72</v>
      </c>
      <c r="I171" s="13" t="s">
        <v>1120</v>
      </c>
      <c r="J171" s="164" t="s">
        <v>72</v>
      </c>
      <c r="K171" s="13" t="s">
        <v>73</v>
      </c>
      <c r="L171" s="13" t="s">
        <v>8</v>
      </c>
      <c r="M171" s="13" t="s">
        <v>840</v>
      </c>
      <c r="N171" s="13" t="s">
        <v>841</v>
      </c>
      <c r="O171" s="14" t="s">
        <v>72</v>
      </c>
      <c r="P171" s="14" t="s">
        <v>1281</v>
      </c>
      <c r="Q171" s="165"/>
      <c r="R171" s="164" t="s">
        <v>72</v>
      </c>
      <c r="S171" s="13" t="s">
        <v>161</v>
      </c>
      <c r="T171" s="13"/>
      <c r="U171" s="13"/>
      <c r="V171" s="13">
        <v>33</v>
      </c>
      <c r="W171" s="13">
        <v>33</v>
      </c>
      <c r="X171" s="13">
        <v>33</v>
      </c>
      <c r="Y171" s="13">
        <v>0.57999999999999996</v>
      </c>
      <c r="Z171" s="13">
        <v>0.5</v>
      </c>
      <c r="AA171" s="13" t="s">
        <v>110</v>
      </c>
      <c r="AB171" s="58">
        <v>43973</v>
      </c>
      <c r="AC171" s="58">
        <v>43969</v>
      </c>
      <c r="AD171" s="58">
        <v>43973</v>
      </c>
      <c r="AE171" s="58">
        <v>43970</v>
      </c>
      <c r="AF171" s="58">
        <v>43970</v>
      </c>
      <c r="AG171" s="58" t="s">
        <v>75</v>
      </c>
      <c r="AH171" s="59">
        <v>1</v>
      </c>
      <c r="AI171" s="59">
        <v>1</v>
      </c>
      <c r="AJ171" s="59">
        <v>1</v>
      </c>
      <c r="AK171" s="58" t="s">
        <v>8</v>
      </c>
      <c r="AL171" s="176" t="s">
        <v>72</v>
      </c>
      <c r="AM171" s="176" t="s">
        <v>72</v>
      </c>
      <c r="AN171" s="176" t="s">
        <v>72</v>
      </c>
    </row>
    <row r="172" spans="2:40" ht="15">
      <c r="B172" s="184">
        <v>53</v>
      </c>
      <c r="C172" s="13">
        <v>20200519</v>
      </c>
      <c r="D172" s="13" t="s">
        <v>24</v>
      </c>
      <c r="E172" s="13" t="s">
        <v>837</v>
      </c>
      <c r="F172" s="39" t="s">
        <v>1617</v>
      </c>
      <c r="G172" s="13">
        <v>1473546</v>
      </c>
      <c r="H172" s="164" t="s">
        <v>72</v>
      </c>
      <c r="I172" s="13" t="s">
        <v>1680</v>
      </c>
      <c r="J172" s="164" t="s">
        <v>72</v>
      </c>
      <c r="K172" s="13" t="s">
        <v>73</v>
      </c>
      <c r="L172" s="13" t="s">
        <v>8</v>
      </c>
      <c r="M172" s="13" t="s">
        <v>840</v>
      </c>
      <c r="N172" s="13" t="s">
        <v>841</v>
      </c>
      <c r="O172" s="14" t="s">
        <v>72</v>
      </c>
      <c r="P172" s="14" t="s">
        <v>1281</v>
      </c>
      <c r="Q172" s="165"/>
      <c r="R172" s="164" t="s">
        <v>72</v>
      </c>
      <c r="S172" s="13" t="s">
        <v>109</v>
      </c>
      <c r="T172" s="13"/>
      <c r="U172" s="13"/>
      <c r="V172" s="13">
        <v>119</v>
      </c>
      <c r="W172" s="13">
        <v>119</v>
      </c>
      <c r="X172" s="13">
        <v>119</v>
      </c>
      <c r="Y172" s="13">
        <v>2.11</v>
      </c>
      <c r="Z172" s="13">
        <v>1</v>
      </c>
      <c r="AA172" s="13" t="s">
        <v>110</v>
      </c>
      <c r="AB172" s="58">
        <v>43973</v>
      </c>
      <c r="AC172" s="58">
        <v>43970</v>
      </c>
      <c r="AD172" s="58">
        <v>43973</v>
      </c>
      <c r="AE172" s="58">
        <v>43970</v>
      </c>
      <c r="AF172" s="58">
        <v>43970</v>
      </c>
      <c r="AG172" s="58" t="s">
        <v>75</v>
      </c>
      <c r="AH172" s="59">
        <v>1</v>
      </c>
      <c r="AI172" s="59">
        <v>1</v>
      </c>
      <c r="AJ172" s="59">
        <v>1</v>
      </c>
      <c r="AK172" s="58" t="s">
        <v>8</v>
      </c>
      <c r="AL172" s="176" t="s">
        <v>72</v>
      </c>
      <c r="AM172" s="176" t="s">
        <v>72</v>
      </c>
      <c r="AN172" s="176" t="s">
        <v>72</v>
      </c>
    </row>
    <row r="173" spans="2:40" ht="15">
      <c r="B173" s="184">
        <v>54</v>
      </c>
      <c r="C173" s="13">
        <v>20200519</v>
      </c>
      <c r="D173" s="13" t="s">
        <v>24</v>
      </c>
      <c r="E173" s="13" t="s">
        <v>837</v>
      </c>
      <c r="F173" s="39" t="s">
        <v>1681</v>
      </c>
      <c r="G173" s="176">
        <v>1473546</v>
      </c>
      <c r="H173" s="183" t="s">
        <v>72</v>
      </c>
      <c r="I173" s="176" t="s">
        <v>1682</v>
      </c>
      <c r="J173" s="164" t="s">
        <v>72</v>
      </c>
      <c r="K173" s="13" t="s">
        <v>73</v>
      </c>
      <c r="L173" s="13" t="s">
        <v>8</v>
      </c>
      <c r="M173" s="13" t="s">
        <v>840</v>
      </c>
      <c r="N173" s="13" t="s">
        <v>841</v>
      </c>
      <c r="O173" s="14" t="s">
        <v>72</v>
      </c>
      <c r="P173" s="14" t="s">
        <v>1281</v>
      </c>
      <c r="Q173" s="165"/>
      <c r="R173" s="164" t="s">
        <v>72</v>
      </c>
      <c r="S173" s="13" t="s">
        <v>113</v>
      </c>
      <c r="T173" s="13"/>
      <c r="U173" s="13"/>
      <c r="V173" s="13">
        <v>433</v>
      </c>
      <c r="W173" s="13">
        <v>433</v>
      </c>
      <c r="X173" s="13">
        <v>433</v>
      </c>
      <c r="Y173" s="13">
        <v>7.69</v>
      </c>
      <c r="Z173" s="13">
        <v>7.69</v>
      </c>
      <c r="AA173" s="13" t="s">
        <v>110</v>
      </c>
      <c r="AB173" s="58">
        <v>43973</v>
      </c>
      <c r="AC173" s="58">
        <v>43970</v>
      </c>
      <c r="AD173" s="58">
        <v>43973</v>
      </c>
      <c r="AE173" s="58">
        <v>43970</v>
      </c>
      <c r="AF173" s="58">
        <v>43970</v>
      </c>
      <c r="AG173" s="58" t="s">
        <v>75</v>
      </c>
      <c r="AH173" s="59">
        <v>1</v>
      </c>
      <c r="AI173" s="59">
        <v>1</v>
      </c>
      <c r="AJ173" s="59">
        <v>1</v>
      </c>
      <c r="AK173" s="58" t="s">
        <v>8</v>
      </c>
      <c r="AL173" s="176" t="s">
        <v>72</v>
      </c>
      <c r="AM173" s="176" t="s">
        <v>72</v>
      </c>
      <c r="AN173" s="176" t="s">
        <v>72</v>
      </c>
    </row>
    <row r="174" spans="2:40" ht="15">
      <c r="B174" s="184">
        <v>55</v>
      </c>
      <c r="C174" s="13">
        <v>20200519</v>
      </c>
      <c r="D174" s="13" t="s">
        <v>24</v>
      </c>
      <c r="E174" s="13" t="s">
        <v>1683</v>
      </c>
      <c r="F174" s="39" t="s">
        <v>1684</v>
      </c>
      <c r="G174" s="13">
        <v>1474054</v>
      </c>
      <c r="H174" s="164" t="s">
        <v>72</v>
      </c>
      <c r="I174" s="13" t="s">
        <v>686</v>
      </c>
      <c r="J174" s="164" t="s">
        <v>72</v>
      </c>
      <c r="K174" s="13" t="s">
        <v>106</v>
      </c>
      <c r="L174" s="13" t="s">
        <v>1685</v>
      </c>
      <c r="M174" s="13" t="s">
        <v>8</v>
      </c>
      <c r="N174" s="13" t="s">
        <v>1686</v>
      </c>
      <c r="O174" s="14" t="s">
        <v>72</v>
      </c>
      <c r="P174" s="14" t="s">
        <v>706</v>
      </c>
      <c r="Q174" s="165"/>
      <c r="R174" s="164" t="s">
        <v>72</v>
      </c>
      <c r="S174" s="13" t="s">
        <v>113</v>
      </c>
      <c r="T174" s="13"/>
      <c r="U174" s="13"/>
      <c r="V174" s="13">
        <v>96</v>
      </c>
      <c r="W174" s="13">
        <v>96</v>
      </c>
      <c r="X174" s="13">
        <v>96</v>
      </c>
      <c r="Y174" s="13">
        <v>1.7</v>
      </c>
      <c r="Z174" s="13">
        <v>1.7</v>
      </c>
      <c r="AA174" s="13" t="s">
        <v>110</v>
      </c>
      <c r="AB174" s="58">
        <v>43977</v>
      </c>
      <c r="AC174" s="58">
        <v>43970</v>
      </c>
      <c r="AD174" s="58">
        <v>43977</v>
      </c>
      <c r="AE174" s="58">
        <v>43971</v>
      </c>
      <c r="AF174" s="58">
        <v>43971</v>
      </c>
      <c r="AG174" s="58" t="s">
        <v>79</v>
      </c>
      <c r="AH174" s="59">
        <v>1</v>
      </c>
      <c r="AI174" s="59">
        <v>1</v>
      </c>
      <c r="AJ174" s="59">
        <v>1</v>
      </c>
      <c r="AK174" s="58" t="s">
        <v>76</v>
      </c>
      <c r="AL174" s="176"/>
      <c r="AM174" s="176"/>
      <c r="AN174" s="176" t="s">
        <v>1687</v>
      </c>
    </row>
    <row r="175" spans="2:40" ht="15">
      <c r="B175" s="184">
        <v>56</v>
      </c>
      <c r="C175" s="13">
        <v>20200519</v>
      </c>
      <c r="D175" s="13" t="s">
        <v>24</v>
      </c>
      <c r="E175" s="13" t="s">
        <v>1683</v>
      </c>
      <c r="F175" s="39" t="s">
        <v>1688</v>
      </c>
      <c r="G175" s="13">
        <v>1474054</v>
      </c>
      <c r="H175" s="164" t="s">
        <v>72</v>
      </c>
      <c r="I175" s="13" t="s">
        <v>644</v>
      </c>
      <c r="J175" s="164" t="s">
        <v>72</v>
      </c>
      <c r="K175" s="13" t="s">
        <v>106</v>
      </c>
      <c r="L175" s="13" t="s">
        <v>1685</v>
      </c>
      <c r="M175" s="13" t="s">
        <v>8</v>
      </c>
      <c r="N175" s="13" t="s">
        <v>1686</v>
      </c>
      <c r="O175" s="14" t="s">
        <v>72</v>
      </c>
      <c r="P175" s="14" t="s">
        <v>706</v>
      </c>
      <c r="Q175" s="165"/>
      <c r="R175" s="164" t="s">
        <v>72</v>
      </c>
      <c r="S175" s="13" t="s">
        <v>109</v>
      </c>
      <c r="T175" s="13"/>
      <c r="U175" s="13"/>
      <c r="V175" s="13">
        <v>54</v>
      </c>
      <c r="W175" s="13">
        <v>54</v>
      </c>
      <c r="X175" s="13">
        <v>54</v>
      </c>
      <c r="Y175" s="13">
        <v>0.96</v>
      </c>
      <c r="Z175" s="13">
        <v>0.5</v>
      </c>
      <c r="AA175" s="13" t="s">
        <v>110</v>
      </c>
      <c r="AB175" s="58">
        <v>43977</v>
      </c>
      <c r="AC175" s="58">
        <v>43970</v>
      </c>
      <c r="AD175" s="58">
        <v>43977</v>
      </c>
      <c r="AE175" s="58">
        <v>43971</v>
      </c>
      <c r="AF175" s="58">
        <v>43971</v>
      </c>
      <c r="AG175" s="58" t="s">
        <v>75</v>
      </c>
      <c r="AH175" s="59">
        <v>1</v>
      </c>
      <c r="AI175" s="59">
        <v>1</v>
      </c>
      <c r="AJ175" s="59">
        <v>1</v>
      </c>
      <c r="AK175" s="58" t="s">
        <v>8</v>
      </c>
      <c r="AL175" s="176" t="s">
        <v>72</v>
      </c>
      <c r="AM175" s="176" t="s">
        <v>72</v>
      </c>
      <c r="AN175" s="176" t="s">
        <v>72</v>
      </c>
    </row>
    <row r="176" spans="2:40" ht="15">
      <c r="B176" s="184">
        <v>57</v>
      </c>
      <c r="C176" s="13">
        <v>20200519</v>
      </c>
      <c r="D176" s="13" t="s">
        <v>24</v>
      </c>
      <c r="E176" s="13" t="s">
        <v>1683</v>
      </c>
      <c r="F176" s="39" t="s">
        <v>1689</v>
      </c>
      <c r="G176" s="13">
        <v>1474054</v>
      </c>
      <c r="H176" s="164" t="s">
        <v>72</v>
      </c>
      <c r="I176" s="13" t="s">
        <v>558</v>
      </c>
      <c r="J176" s="164" t="s">
        <v>72</v>
      </c>
      <c r="K176" s="13" t="s">
        <v>106</v>
      </c>
      <c r="L176" s="13" t="s">
        <v>1685</v>
      </c>
      <c r="M176" s="13" t="s">
        <v>8</v>
      </c>
      <c r="N176" s="13" t="s">
        <v>1686</v>
      </c>
      <c r="O176" s="14" t="s">
        <v>72</v>
      </c>
      <c r="P176" s="14" t="s">
        <v>706</v>
      </c>
      <c r="Q176" s="165"/>
      <c r="R176" s="164" t="s">
        <v>72</v>
      </c>
      <c r="S176" s="13" t="s">
        <v>77</v>
      </c>
      <c r="T176" s="13"/>
      <c r="U176" s="13"/>
      <c r="V176" s="13">
        <v>145</v>
      </c>
      <c r="W176" s="53">
        <v>355</v>
      </c>
      <c r="X176" s="13">
        <v>355</v>
      </c>
      <c r="Y176" s="13">
        <v>6.31</v>
      </c>
      <c r="Z176" s="13">
        <v>4</v>
      </c>
      <c r="AA176" s="13" t="s">
        <v>110</v>
      </c>
      <c r="AB176" s="58">
        <v>43977</v>
      </c>
      <c r="AC176" s="58">
        <v>43970</v>
      </c>
      <c r="AD176" s="58">
        <v>43977</v>
      </c>
      <c r="AE176" s="58">
        <v>43973</v>
      </c>
      <c r="AF176" s="58">
        <v>43976</v>
      </c>
      <c r="AG176" s="58" t="s">
        <v>79</v>
      </c>
      <c r="AH176" s="59">
        <v>1</v>
      </c>
      <c r="AI176" s="59">
        <v>0.91</v>
      </c>
      <c r="AJ176" s="59">
        <v>0.43</v>
      </c>
      <c r="AK176" s="58" t="s">
        <v>76</v>
      </c>
      <c r="AL176" s="181" t="s">
        <v>1690</v>
      </c>
      <c r="AM176" s="181" t="s">
        <v>72</v>
      </c>
      <c r="AN176" s="181" t="s">
        <v>1691</v>
      </c>
    </row>
    <row r="177" spans="2:40" ht="15">
      <c r="B177" s="184">
        <v>58</v>
      </c>
      <c r="C177" s="13">
        <v>20200519</v>
      </c>
      <c r="D177" s="13" t="s">
        <v>24</v>
      </c>
      <c r="E177" s="13" t="s">
        <v>1683</v>
      </c>
      <c r="F177" s="39" t="s">
        <v>1689</v>
      </c>
      <c r="G177" s="13">
        <v>1474054</v>
      </c>
      <c r="H177" s="164" t="s">
        <v>72</v>
      </c>
      <c r="I177" s="13" t="s">
        <v>564</v>
      </c>
      <c r="J177" s="164" t="s">
        <v>72</v>
      </c>
      <c r="K177" s="13" t="s">
        <v>106</v>
      </c>
      <c r="L177" s="13" t="s">
        <v>1685</v>
      </c>
      <c r="M177" s="13" t="s">
        <v>8</v>
      </c>
      <c r="N177" s="13" t="s">
        <v>1686</v>
      </c>
      <c r="O177" s="14" t="s">
        <v>72</v>
      </c>
      <c r="P177" s="14" t="s">
        <v>706</v>
      </c>
      <c r="Q177" s="165"/>
      <c r="R177" s="164" t="s">
        <v>72</v>
      </c>
      <c r="S177" s="13" t="s">
        <v>161</v>
      </c>
      <c r="T177" s="13"/>
      <c r="U177" s="13"/>
      <c r="V177" s="13">
        <v>124</v>
      </c>
      <c r="W177" s="13">
        <v>124</v>
      </c>
      <c r="X177" s="13">
        <v>124</v>
      </c>
      <c r="Y177" s="13">
        <v>2.2000000000000002</v>
      </c>
      <c r="Z177" s="13">
        <v>2</v>
      </c>
      <c r="AA177" s="13" t="s">
        <v>110</v>
      </c>
      <c r="AB177" s="58">
        <v>43977</v>
      </c>
      <c r="AC177" s="58">
        <v>43970</v>
      </c>
      <c r="AD177" s="58">
        <v>43977</v>
      </c>
      <c r="AE177" s="58">
        <v>43970</v>
      </c>
      <c r="AF177" s="58">
        <v>43970</v>
      </c>
      <c r="AG177" s="58" t="s">
        <v>79</v>
      </c>
      <c r="AH177" s="59">
        <v>1</v>
      </c>
      <c r="AI177" s="59">
        <v>1</v>
      </c>
      <c r="AJ177" s="59">
        <v>0.75</v>
      </c>
      <c r="AK177" s="58" t="s">
        <v>76</v>
      </c>
      <c r="AL177" s="176" t="s">
        <v>1692</v>
      </c>
      <c r="AM177" s="176"/>
      <c r="AN177" s="176"/>
    </row>
    <row r="178" spans="2:40" ht="15">
      <c r="B178" s="184">
        <v>59</v>
      </c>
      <c r="C178" s="13">
        <v>20200519</v>
      </c>
      <c r="D178" s="13" t="s">
        <v>24</v>
      </c>
      <c r="E178" s="13" t="s">
        <v>1683</v>
      </c>
      <c r="F178" s="39" t="s">
        <v>1689</v>
      </c>
      <c r="G178" s="13">
        <v>1474054</v>
      </c>
      <c r="H178" s="164" t="s">
        <v>72</v>
      </c>
      <c r="I178" s="13" t="s">
        <v>576</v>
      </c>
      <c r="J178" s="164" t="s">
        <v>72</v>
      </c>
      <c r="K178" s="13" t="s">
        <v>106</v>
      </c>
      <c r="L178" s="13" t="s">
        <v>1685</v>
      </c>
      <c r="M178" s="13" t="s">
        <v>8</v>
      </c>
      <c r="N178" s="13" t="s">
        <v>1686</v>
      </c>
      <c r="O178" s="14" t="s">
        <v>72</v>
      </c>
      <c r="P178" s="14" t="s">
        <v>706</v>
      </c>
      <c r="Q178" s="165"/>
      <c r="R178" s="164" t="s">
        <v>72</v>
      </c>
      <c r="S178" s="13" t="s">
        <v>161</v>
      </c>
      <c r="T178" s="13"/>
      <c r="U178" s="13"/>
      <c r="V178" s="13">
        <v>71</v>
      </c>
      <c r="W178" s="13">
        <v>71</v>
      </c>
      <c r="X178" s="13">
        <v>71</v>
      </c>
      <c r="Y178" s="13">
        <v>1.26</v>
      </c>
      <c r="Z178" s="13">
        <v>1</v>
      </c>
      <c r="AA178" s="13" t="s">
        <v>110</v>
      </c>
      <c r="AB178" s="58">
        <v>43977</v>
      </c>
      <c r="AC178" s="58">
        <v>43970</v>
      </c>
      <c r="AD178" s="58">
        <v>43977</v>
      </c>
      <c r="AE178" s="58">
        <v>43971</v>
      </c>
      <c r="AF178" s="58">
        <v>43971</v>
      </c>
      <c r="AG178" s="58" t="s">
        <v>79</v>
      </c>
      <c r="AH178" s="59">
        <v>0.89</v>
      </c>
      <c r="AI178" s="59">
        <v>0.78</v>
      </c>
      <c r="AJ178" s="59">
        <v>1</v>
      </c>
      <c r="AK178" s="58" t="s">
        <v>76</v>
      </c>
      <c r="AL178" s="13" t="s">
        <v>1693</v>
      </c>
      <c r="AM178" s="176"/>
      <c r="AN178" s="176"/>
    </row>
    <row r="179" spans="2:40" ht="15">
      <c r="B179" s="184">
        <v>60</v>
      </c>
      <c r="C179" s="13">
        <v>20200519</v>
      </c>
      <c r="D179" s="13" t="s">
        <v>24</v>
      </c>
      <c r="E179" s="13" t="s">
        <v>1683</v>
      </c>
      <c r="F179" s="39" t="s">
        <v>1694</v>
      </c>
      <c r="G179" s="13">
        <v>1474054</v>
      </c>
      <c r="H179" s="164" t="s">
        <v>72</v>
      </c>
      <c r="I179" s="13" t="s">
        <v>844</v>
      </c>
      <c r="J179" s="164" t="s">
        <v>72</v>
      </c>
      <c r="K179" s="13" t="s">
        <v>106</v>
      </c>
      <c r="L179" s="13" t="s">
        <v>1685</v>
      </c>
      <c r="M179" s="13" t="s">
        <v>8</v>
      </c>
      <c r="N179" s="13" t="s">
        <v>1686</v>
      </c>
      <c r="O179" s="14" t="s">
        <v>72</v>
      </c>
      <c r="P179" s="14" t="s">
        <v>706</v>
      </c>
      <c r="Q179" s="165"/>
      <c r="R179" s="164" t="s">
        <v>72</v>
      </c>
      <c r="S179" s="13" t="s">
        <v>117</v>
      </c>
      <c r="T179" s="13"/>
      <c r="U179" s="13"/>
      <c r="V179" s="13">
        <v>200</v>
      </c>
      <c r="W179" s="53">
        <v>210</v>
      </c>
      <c r="X179" s="13">
        <v>210</v>
      </c>
      <c r="Y179" s="13">
        <v>3.73</v>
      </c>
      <c r="Z179" s="13">
        <v>2</v>
      </c>
      <c r="AA179" s="13" t="s">
        <v>110</v>
      </c>
      <c r="AB179" s="58">
        <v>43977</v>
      </c>
      <c r="AC179" s="58">
        <v>43970</v>
      </c>
      <c r="AD179" s="58">
        <v>43977</v>
      </c>
      <c r="AE179" s="58">
        <v>43973</v>
      </c>
      <c r="AF179" s="58">
        <v>43973</v>
      </c>
      <c r="AG179" s="58" t="s">
        <v>75</v>
      </c>
      <c r="AH179" s="59">
        <v>1</v>
      </c>
      <c r="AI179" s="59">
        <v>1</v>
      </c>
      <c r="AJ179" s="59">
        <v>1</v>
      </c>
      <c r="AK179" s="58" t="s">
        <v>8</v>
      </c>
      <c r="AL179" s="181" t="s">
        <v>72</v>
      </c>
      <c r="AM179" s="181" t="s">
        <v>72</v>
      </c>
      <c r="AN179" s="181" t="s">
        <v>72</v>
      </c>
    </row>
    <row r="180" spans="2:40" ht="15">
      <c r="B180" s="184">
        <v>61</v>
      </c>
      <c r="C180" s="13">
        <v>20200519</v>
      </c>
      <c r="D180" s="13" t="s">
        <v>24</v>
      </c>
      <c r="E180" s="13" t="s">
        <v>1683</v>
      </c>
      <c r="F180" s="39" t="s">
        <v>1695</v>
      </c>
      <c r="G180" s="13">
        <v>1474054</v>
      </c>
      <c r="H180" s="164" t="s">
        <v>72</v>
      </c>
      <c r="I180" s="13" t="s">
        <v>839</v>
      </c>
      <c r="J180" s="164" t="s">
        <v>72</v>
      </c>
      <c r="K180" s="13" t="s">
        <v>106</v>
      </c>
      <c r="L180" s="13" t="s">
        <v>1685</v>
      </c>
      <c r="M180" s="13" t="s">
        <v>8</v>
      </c>
      <c r="N180" s="13" t="s">
        <v>1686</v>
      </c>
      <c r="O180" s="14" t="s">
        <v>72</v>
      </c>
      <c r="P180" s="14" t="s">
        <v>706</v>
      </c>
      <c r="Q180" s="165"/>
      <c r="R180" s="164" t="s">
        <v>72</v>
      </c>
      <c r="S180" s="13" t="s">
        <v>117</v>
      </c>
      <c r="T180" s="13"/>
      <c r="U180" s="13"/>
      <c r="V180" s="13">
        <v>134</v>
      </c>
      <c r="W180" s="53">
        <v>146</v>
      </c>
      <c r="X180" s="13">
        <v>146</v>
      </c>
      <c r="Y180" s="13">
        <v>2.59</v>
      </c>
      <c r="Z180" s="13">
        <v>2</v>
      </c>
      <c r="AA180" s="13" t="s">
        <v>110</v>
      </c>
      <c r="AB180" s="58">
        <v>43977</v>
      </c>
      <c r="AC180" s="58">
        <v>43970</v>
      </c>
      <c r="AD180" s="58">
        <v>43977</v>
      </c>
      <c r="AE180" s="58">
        <v>43976</v>
      </c>
      <c r="AF180" s="58">
        <v>43976</v>
      </c>
      <c r="AG180" s="58" t="s">
        <v>75</v>
      </c>
      <c r="AH180" s="59">
        <v>1</v>
      </c>
      <c r="AI180" s="59">
        <v>1</v>
      </c>
      <c r="AJ180" s="59">
        <v>1</v>
      </c>
      <c r="AK180" s="58" t="s">
        <v>8</v>
      </c>
      <c r="AL180" s="181" t="s">
        <v>72</v>
      </c>
      <c r="AM180" s="181" t="s">
        <v>72</v>
      </c>
      <c r="AN180" s="181" t="s">
        <v>72</v>
      </c>
    </row>
    <row r="181" spans="2:40" ht="15">
      <c r="B181" s="184">
        <v>62</v>
      </c>
      <c r="C181" s="13">
        <v>20200519</v>
      </c>
      <c r="D181" s="13" t="s">
        <v>24</v>
      </c>
      <c r="E181" s="13" t="s">
        <v>1683</v>
      </c>
      <c r="F181" s="39" t="s">
        <v>1696</v>
      </c>
      <c r="G181" s="13">
        <v>1474054</v>
      </c>
      <c r="H181" s="164" t="s">
        <v>72</v>
      </c>
      <c r="I181" s="13" t="s">
        <v>678</v>
      </c>
      <c r="J181" s="164" t="s">
        <v>72</v>
      </c>
      <c r="K181" s="13" t="s">
        <v>106</v>
      </c>
      <c r="L181" s="13" t="s">
        <v>1685</v>
      </c>
      <c r="M181" s="13" t="s">
        <v>8</v>
      </c>
      <c r="N181" s="13" t="s">
        <v>1686</v>
      </c>
      <c r="O181" s="14" t="s">
        <v>72</v>
      </c>
      <c r="P181" s="14" t="s">
        <v>706</v>
      </c>
      <c r="Q181" s="165"/>
      <c r="R181" s="164" t="s">
        <v>72</v>
      </c>
      <c r="S181" s="13" t="s">
        <v>161</v>
      </c>
      <c r="T181" s="13"/>
      <c r="U181" s="13"/>
      <c r="V181" s="13">
        <v>39</v>
      </c>
      <c r="W181" s="13">
        <v>39</v>
      </c>
      <c r="X181" s="13">
        <v>39</v>
      </c>
      <c r="Y181" s="13">
        <v>0.69</v>
      </c>
      <c r="Z181" s="13">
        <v>0.5</v>
      </c>
      <c r="AA181" s="13" t="s">
        <v>110</v>
      </c>
      <c r="AB181" s="58">
        <v>43977</v>
      </c>
      <c r="AC181" s="58">
        <v>43970</v>
      </c>
      <c r="AD181" s="58">
        <v>43977</v>
      </c>
      <c r="AE181" s="58">
        <v>43971</v>
      </c>
      <c r="AF181" s="58">
        <v>43971</v>
      </c>
      <c r="AG181" s="58" t="s">
        <v>79</v>
      </c>
      <c r="AH181" s="59">
        <v>0.64</v>
      </c>
      <c r="AI181" s="59">
        <v>1</v>
      </c>
      <c r="AJ181" s="59">
        <v>1</v>
      </c>
      <c r="AK181" s="58" t="s">
        <v>76</v>
      </c>
      <c r="AL181" s="13" t="s">
        <v>1697</v>
      </c>
      <c r="AM181" s="176"/>
      <c r="AN181" s="176"/>
    </row>
    <row r="182" spans="2:40" ht="15">
      <c r="B182" s="184">
        <v>63</v>
      </c>
      <c r="C182" s="13">
        <v>20200519</v>
      </c>
      <c r="D182" s="13" t="s">
        <v>24</v>
      </c>
      <c r="E182" s="13" t="s">
        <v>1683</v>
      </c>
      <c r="F182" s="39" t="s">
        <v>1698</v>
      </c>
      <c r="G182" s="13">
        <v>1474054</v>
      </c>
      <c r="H182" s="164" t="s">
        <v>72</v>
      </c>
      <c r="I182" s="13" t="s">
        <v>636</v>
      </c>
      <c r="J182" s="164" t="s">
        <v>72</v>
      </c>
      <c r="K182" s="13" t="s">
        <v>106</v>
      </c>
      <c r="L182" s="13" t="s">
        <v>1685</v>
      </c>
      <c r="M182" s="13" t="s">
        <v>8</v>
      </c>
      <c r="N182" s="13" t="s">
        <v>1686</v>
      </c>
      <c r="O182" s="14" t="s">
        <v>72</v>
      </c>
      <c r="P182" s="14" t="s">
        <v>706</v>
      </c>
      <c r="Q182" s="165"/>
      <c r="R182" s="164" t="s">
        <v>72</v>
      </c>
      <c r="S182" s="13" t="s">
        <v>109</v>
      </c>
      <c r="T182" s="13"/>
      <c r="U182" s="13"/>
      <c r="V182" s="13">
        <v>82</v>
      </c>
      <c r="W182" s="13">
        <v>82</v>
      </c>
      <c r="X182" s="13">
        <v>82</v>
      </c>
      <c r="Y182" s="13">
        <v>1.45</v>
      </c>
      <c r="Z182" s="13">
        <v>1</v>
      </c>
      <c r="AA182" s="13" t="s">
        <v>110</v>
      </c>
      <c r="AB182" s="58">
        <v>43977</v>
      </c>
      <c r="AC182" s="58">
        <v>43970</v>
      </c>
      <c r="AD182" s="58">
        <v>43977</v>
      </c>
      <c r="AE182" s="58">
        <v>43971</v>
      </c>
      <c r="AF182" s="58">
        <v>43971</v>
      </c>
      <c r="AG182" s="58" t="s">
        <v>75</v>
      </c>
      <c r="AH182" s="59">
        <v>1</v>
      </c>
      <c r="AI182" s="59">
        <v>1</v>
      </c>
      <c r="AJ182" s="59">
        <v>1</v>
      </c>
      <c r="AK182" s="58" t="s">
        <v>8</v>
      </c>
      <c r="AL182" s="176" t="s">
        <v>72</v>
      </c>
      <c r="AM182" s="176" t="s">
        <v>72</v>
      </c>
      <c r="AN182" s="176" t="s">
        <v>72</v>
      </c>
    </row>
    <row r="183" spans="2:40" ht="15">
      <c r="B183" s="184">
        <v>64</v>
      </c>
      <c r="C183" s="13">
        <v>20200519</v>
      </c>
      <c r="D183" s="13" t="s">
        <v>311</v>
      </c>
      <c r="E183" s="13" t="s">
        <v>837</v>
      </c>
      <c r="F183" s="39" t="s">
        <v>72</v>
      </c>
      <c r="G183" s="13">
        <v>1474071</v>
      </c>
      <c r="H183" s="164" t="s">
        <v>72</v>
      </c>
      <c r="I183" s="13" t="s">
        <v>1699</v>
      </c>
      <c r="J183" s="164" t="s">
        <v>72</v>
      </c>
      <c r="K183" s="13" t="s">
        <v>73</v>
      </c>
      <c r="L183" s="13" t="s">
        <v>8</v>
      </c>
      <c r="M183" s="13" t="s">
        <v>840</v>
      </c>
      <c r="N183" s="13" t="s">
        <v>1700</v>
      </c>
      <c r="O183" s="13">
        <v>1.2</v>
      </c>
      <c r="P183" s="14" t="s">
        <v>1701</v>
      </c>
      <c r="Q183" s="165"/>
      <c r="R183" s="164" t="s">
        <v>72</v>
      </c>
      <c r="S183" s="13" t="s">
        <v>117</v>
      </c>
      <c r="T183" s="13"/>
      <c r="U183" s="13"/>
      <c r="V183" s="13">
        <v>20</v>
      </c>
      <c r="W183" s="13">
        <v>20</v>
      </c>
      <c r="X183" s="13">
        <v>20</v>
      </c>
      <c r="Y183" s="13">
        <v>1.23</v>
      </c>
      <c r="Z183" s="13">
        <v>1</v>
      </c>
      <c r="AA183" s="13" t="s">
        <v>110</v>
      </c>
      <c r="AB183" s="58">
        <v>43977</v>
      </c>
      <c r="AC183" s="58">
        <v>43970</v>
      </c>
      <c r="AD183" s="58">
        <v>43977</v>
      </c>
      <c r="AE183" s="58">
        <v>43976</v>
      </c>
      <c r="AF183" s="58">
        <v>43976</v>
      </c>
      <c r="AG183" s="58" t="s">
        <v>79</v>
      </c>
      <c r="AH183" s="59">
        <v>1</v>
      </c>
      <c r="AI183" s="59">
        <v>1</v>
      </c>
      <c r="AJ183" s="59">
        <v>0.875</v>
      </c>
      <c r="AK183" s="58" t="s">
        <v>76</v>
      </c>
      <c r="AL183" s="181" t="s">
        <v>1702</v>
      </c>
      <c r="AM183" s="181" t="s">
        <v>72</v>
      </c>
      <c r="AN183" s="181" t="s">
        <v>1703</v>
      </c>
    </row>
    <row r="184" spans="2:40" ht="15">
      <c r="B184" s="184">
        <v>65</v>
      </c>
      <c r="C184" s="13">
        <v>20200519</v>
      </c>
      <c r="D184" s="13" t="s">
        <v>311</v>
      </c>
      <c r="E184" s="13" t="s">
        <v>837</v>
      </c>
      <c r="F184" s="39" t="s">
        <v>72</v>
      </c>
      <c r="G184" s="13">
        <v>1475589</v>
      </c>
      <c r="H184" s="164"/>
      <c r="I184" s="13" t="s">
        <v>1704</v>
      </c>
      <c r="J184" s="164"/>
      <c r="K184" s="13" t="s">
        <v>73</v>
      </c>
      <c r="L184" s="13" t="s">
        <v>8</v>
      </c>
      <c r="M184" s="13" t="s">
        <v>840</v>
      </c>
      <c r="N184" s="13" t="s">
        <v>1705</v>
      </c>
      <c r="O184" s="14">
        <v>1.1000000000000001</v>
      </c>
      <c r="P184" s="14" t="s">
        <v>1706</v>
      </c>
      <c r="Q184" s="165"/>
      <c r="R184" s="164" t="s">
        <v>72</v>
      </c>
      <c r="S184" s="13" t="s">
        <v>117</v>
      </c>
      <c r="T184" s="13"/>
      <c r="U184" s="13"/>
      <c r="V184" s="13">
        <v>16</v>
      </c>
      <c r="W184" s="13">
        <v>16</v>
      </c>
      <c r="X184" s="13">
        <v>16</v>
      </c>
      <c r="Y184" s="13">
        <v>0.98</v>
      </c>
      <c r="Z184" s="13">
        <v>1</v>
      </c>
      <c r="AA184" s="13" t="s">
        <v>110</v>
      </c>
      <c r="AB184" s="58">
        <v>43977</v>
      </c>
      <c r="AC184" s="58">
        <v>43970</v>
      </c>
      <c r="AD184" s="58">
        <v>43977</v>
      </c>
      <c r="AE184" s="58">
        <v>43973</v>
      </c>
      <c r="AF184" s="58">
        <v>43973</v>
      </c>
      <c r="AG184" s="58" t="s">
        <v>75</v>
      </c>
      <c r="AH184" s="59">
        <v>1</v>
      </c>
      <c r="AI184" s="59">
        <v>1</v>
      </c>
      <c r="AJ184" s="59">
        <v>1</v>
      </c>
      <c r="AK184" s="58" t="s">
        <v>8</v>
      </c>
      <c r="AL184" s="181" t="s">
        <v>72</v>
      </c>
      <c r="AM184" s="181" t="s">
        <v>72</v>
      </c>
      <c r="AN184" s="181" t="s">
        <v>72</v>
      </c>
    </row>
    <row r="185" spans="2:40" ht="15">
      <c r="B185" s="184">
        <v>66</v>
      </c>
      <c r="C185" s="13">
        <v>20200519</v>
      </c>
      <c r="D185" s="13" t="s">
        <v>311</v>
      </c>
      <c r="E185" s="13" t="s">
        <v>837</v>
      </c>
      <c r="F185" s="39" t="s">
        <v>72</v>
      </c>
      <c r="G185" s="13">
        <v>1475589</v>
      </c>
      <c r="H185" s="164" t="s">
        <v>72</v>
      </c>
      <c r="I185" s="13" t="s">
        <v>1707</v>
      </c>
      <c r="J185" s="164" t="s">
        <v>72</v>
      </c>
      <c r="K185" s="13" t="s">
        <v>73</v>
      </c>
      <c r="L185" s="13" t="s">
        <v>8</v>
      </c>
      <c r="M185" s="13" t="s">
        <v>840</v>
      </c>
      <c r="N185" s="13" t="s">
        <v>1708</v>
      </c>
      <c r="O185" s="14" t="s">
        <v>1709</v>
      </c>
      <c r="P185" s="14" t="s">
        <v>1706</v>
      </c>
      <c r="Q185" s="165"/>
      <c r="R185" s="164" t="s">
        <v>72</v>
      </c>
      <c r="S185" s="13" t="s">
        <v>161</v>
      </c>
      <c r="T185" s="13"/>
      <c r="U185" s="13"/>
      <c r="V185" s="13">
        <v>10</v>
      </c>
      <c r="W185" s="13">
        <v>10</v>
      </c>
      <c r="X185" s="13">
        <v>10</v>
      </c>
      <c r="Y185" s="13">
        <v>0.61</v>
      </c>
      <c r="Z185" s="13">
        <v>0.5</v>
      </c>
      <c r="AA185" s="13" t="s">
        <v>110</v>
      </c>
      <c r="AB185" s="58">
        <v>43977</v>
      </c>
      <c r="AC185" s="58">
        <v>43970</v>
      </c>
      <c r="AD185" s="58">
        <v>43977</v>
      </c>
      <c r="AE185" s="58">
        <v>43971</v>
      </c>
      <c r="AF185" s="58">
        <v>43971</v>
      </c>
      <c r="AG185" s="58" t="s">
        <v>79</v>
      </c>
      <c r="AH185" s="59">
        <v>0.83</v>
      </c>
      <c r="AI185" s="59">
        <v>0.83</v>
      </c>
      <c r="AJ185" s="59">
        <v>0.71</v>
      </c>
      <c r="AK185" s="58" t="s">
        <v>8</v>
      </c>
      <c r="AL185" s="13" t="s">
        <v>1710</v>
      </c>
      <c r="AM185" s="176"/>
      <c r="AN185" s="176"/>
    </row>
    <row r="186" spans="2:40" ht="15">
      <c r="B186" s="184">
        <v>67</v>
      </c>
      <c r="C186" s="13">
        <v>20200519</v>
      </c>
      <c r="D186" s="13" t="s">
        <v>311</v>
      </c>
      <c r="E186" s="13" t="s">
        <v>837</v>
      </c>
      <c r="F186" s="39" t="s">
        <v>72</v>
      </c>
      <c r="G186" s="13">
        <v>1475589</v>
      </c>
      <c r="H186" s="164" t="s">
        <v>72</v>
      </c>
      <c r="I186" s="13" t="s">
        <v>1711</v>
      </c>
      <c r="J186" s="164" t="s">
        <v>72</v>
      </c>
      <c r="K186" s="13" t="s">
        <v>73</v>
      </c>
      <c r="L186" s="13" t="s">
        <v>8</v>
      </c>
      <c r="M186" s="13" t="s">
        <v>840</v>
      </c>
      <c r="N186" s="13" t="s">
        <v>1712</v>
      </c>
      <c r="O186" s="13">
        <v>1</v>
      </c>
      <c r="P186" s="14" t="s">
        <v>1706</v>
      </c>
      <c r="Q186" s="165"/>
      <c r="R186" s="164" t="s">
        <v>72</v>
      </c>
      <c r="S186" s="13" t="s">
        <v>109</v>
      </c>
      <c r="T186" s="13"/>
      <c r="U186" s="13"/>
      <c r="V186" s="13">
        <v>11</v>
      </c>
      <c r="W186" s="13">
        <v>11</v>
      </c>
      <c r="X186" s="13">
        <v>11</v>
      </c>
      <c r="Y186" s="13">
        <v>0.67</v>
      </c>
      <c r="Z186" s="13">
        <v>0.5</v>
      </c>
      <c r="AA186" s="13" t="s">
        <v>110</v>
      </c>
      <c r="AB186" s="58">
        <v>43977</v>
      </c>
      <c r="AC186" s="58">
        <v>43970</v>
      </c>
      <c r="AD186" s="58">
        <v>43977</v>
      </c>
      <c r="AE186" s="58">
        <v>43971</v>
      </c>
      <c r="AF186" s="58">
        <v>43971</v>
      </c>
      <c r="AG186" s="58" t="s">
        <v>79</v>
      </c>
      <c r="AH186" s="59">
        <v>1</v>
      </c>
      <c r="AI186" s="59">
        <v>0.85699999999999998</v>
      </c>
      <c r="AJ186" s="59" t="s">
        <v>111</v>
      </c>
      <c r="AK186" s="58" t="s">
        <v>8</v>
      </c>
      <c r="AL186" s="181" t="s">
        <v>1713</v>
      </c>
      <c r="AM186" s="176" t="s">
        <v>72</v>
      </c>
      <c r="AN186" s="176" t="s">
        <v>72</v>
      </c>
    </row>
    <row r="187" spans="2:40" ht="15">
      <c r="B187" s="166">
        <v>68</v>
      </c>
      <c r="C187" s="13">
        <v>20200520</v>
      </c>
      <c r="D187" s="13" t="s">
        <v>24</v>
      </c>
      <c r="E187" s="13" t="s">
        <v>1714</v>
      </c>
      <c r="F187" s="39" t="s">
        <v>1715</v>
      </c>
      <c r="G187" s="14">
        <v>1329906</v>
      </c>
      <c r="H187" s="164" t="s">
        <v>72</v>
      </c>
      <c r="I187" s="13" t="s">
        <v>1716</v>
      </c>
      <c r="J187" s="164" t="s">
        <v>72</v>
      </c>
      <c r="K187" s="13" t="s">
        <v>106</v>
      </c>
      <c r="L187" s="13" t="s">
        <v>8</v>
      </c>
      <c r="M187" s="13" t="s">
        <v>1717</v>
      </c>
      <c r="N187" s="13" t="s">
        <v>618</v>
      </c>
      <c r="O187" s="14" t="s">
        <v>72</v>
      </c>
      <c r="P187" s="14" t="s">
        <v>1718</v>
      </c>
      <c r="Q187" s="165"/>
      <c r="R187" s="164" t="s">
        <v>72</v>
      </c>
      <c r="S187" s="13" t="s">
        <v>77</v>
      </c>
      <c r="T187" s="13"/>
      <c r="U187" s="13"/>
      <c r="V187" s="13">
        <v>120</v>
      </c>
      <c r="W187" s="13">
        <v>120</v>
      </c>
      <c r="X187" s="13">
        <v>120</v>
      </c>
      <c r="Y187" s="13">
        <v>2.13</v>
      </c>
      <c r="Z187" s="13">
        <v>2</v>
      </c>
      <c r="AA187" s="56" t="s">
        <v>110</v>
      </c>
      <c r="AB187" s="58">
        <v>43985</v>
      </c>
      <c r="AC187" s="58">
        <v>43971</v>
      </c>
      <c r="AD187" s="58">
        <v>43985</v>
      </c>
      <c r="AE187" s="58">
        <v>43971</v>
      </c>
      <c r="AF187" s="58">
        <v>43971</v>
      </c>
      <c r="AG187" s="58" t="s">
        <v>75</v>
      </c>
      <c r="AH187" s="59">
        <v>1</v>
      </c>
      <c r="AI187" s="59">
        <v>1</v>
      </c>
      <c r="AJ187" s="59">
        <v>1</v>
      </c>
      <c r="AK187" s="58" t="s">
        <v>8</v>
      </c>
      <c r="AL187" s="176" t="s">
        <v>72</v>
      </c>
      <c r="AM187" s="176" t="s">
        <v>72</v>
      </c>
      <c r="AN187" s="53" t="s">
        <v>1719</v>
      </c>
    </row>
    <row r="188" spans="2:40" ht="15">
      <c r="B188" s="166">
        <v>69</v>
      </c>
      <c r="C188" s="13">
        <v>20200520</v>
      </c>
      <c r="D188" s="13" t="s">
        <v>24</v>
      </c>
      <c r="E188" s="13" t="s">
        <v>1714</v>
      </c>
      <c r="F188" s="39" t="s">
        <v>1720</v>
      </c>
      <c r="G188" s="14">
        <v>1329906</v>
      </c>
      <c r="H188" s="164" t="s">
        <v>72</v>
      </c>
      <c r="I188" s="13" t="s">
        <v>1674</v>
      </c>
      <c r="J188" s="164" t="s">
        <v>72</v>
      </c>
      <c r="K188" s="13" t="s">
        <v>106</v>
      </c>
      <c r="L188" s="13" t="s">
        <v>8</v>
      </c>
      <c r="M188" s="13" t="s">
        <v>1717</v>
      </c>
      <c r="N188" s="13" t="s">
        <v>618</v>
      </c>
      <c r="O188" s="14" t="s">
        <v>72</v>
      </c>
      <c r="P188" s="14" t="s">
        <v>1718</v>
      </c>
      <c r="Q188" s="165"/>
      <c r="R188" s="164" t="s">
        <v>72</v>
      </c>
      <c r="S188" s="13" t="s">
        <v>113</v>
      </c>
      <c r="T188" s="13"/>
      <c r="U188" s="13"/>
      <c r="V188" s="13">
        <v>800</v>
      </c>
      <c r="W188" s="13">
        <v>800</v>
      </c>
      <c r="X188" s="13">
        <v>800</v>
      </c>
      <c r="Y188" s="13">
        <v>14.22</v>
      </c>
      <c r="Z188" s="13">
        <v>14.22</v>
      </c>
      <c r="AA188" s="56" t="s">
        <v>110</v>
      </c>
      <c r="AB188" s="58">
        <v>43985</v>
      </c>
      <c r="AC188" s="58">
        <v>43971</v>
      </c>
      <c r="AD188" s="58">
        <v>43985</v>
      </c>
      <c r="AE188" s="175">
        <v>43978</v>
      </c>
      <c r="AF188" s="175">
        <v>43978</v>
      </c>
      <c r="AG188" s="175" t="s">
        <v>75</v>
      </c>
      <c r="AH188" s="177">
        <v>1</v>
      </c>
      <c r="AI188" s="177">
        <v>1</v>
      </c>
      <c r="AJ188" s="177">
        <v>1</v>
      </c>
      <c r="AK188" s="175" t="s">
        <v>8</v>
      </c>
      <c r="AL188" s="13"/>
      <c r="AM188" s="13"/>
      <c r="AN188" s="53" t="s">
        <v>1719</v>
      </c>
    </row>
    <row r="189" spans="2:40" ht="15">
      <c r="B189" s="166">
        <v>70</v>
      </c>
      <c r="C189" s="13">
        <v>20200520</v>
      </c>
      <c r="D189" s="13" t="s">
        <v>24</v>
      </c>
      <c r="E189" s="13" t="s">
        <v>1714</v>
      </c>
      <c r="F189" s="39" t="s">
        <v>1721</v>
      </c>
      <c r="G189" s="14">
        <v>1329906</v>
      </c>
      <c r="H189" s="164" t="s">
        <v>72</v>
      </c>
      <c r="I189" s="13" t="s">
        <v>1722</v>
      </c>
      <c r="J189" s="164" t="s">
        <v>72</v>
      </c>
      <c r="K189" s="13" t="s">
        <v>106</v>
      </c>
      <c r="L189" s="13" t="s">
        <v>8</v>
      </c>
      <c r="M189" s="13" t="s">
        <v>1717</v>
      </c>
      <c r="N189" s="13" t="s">
        <v>618</v>
      </c>
      <c r="O189" s="14" t="s">
        <v>72</v>
      </c>
      <c r="P189" s="14" t="s">
        <v>1718</v>
      </c>
      <c r="Q189" s="165"/>
      <c r="R189" s="164" t="s">
        <v>72</v>
      </c>
      <c r="S189" s="13" t="s">
        <v>77</v>
      </c>
      <c r="T189" s="13"/>
      <c r="U189" s="13"/>
      <c r="V189" s="13">
        <v>236</v>
      </c>
      <c r="W189" s="13">
        <v>236</v>
      </c>
      <c r="X189" s="13">
        <v>236</v>
      </c>
      <c r="Y189" s="13">
        <v>4.1900000000000004</v>
      </c>
      <c r="Z189" s="13">
        <v>2</v>
      </c>
      <c r="AA189" s="56" t="s">
        <v>110</v>
      </c>
      <c r="AB189" s="58">
        <v>43985</v>
      </c>
      <c r="AC189" s="58">
        <v>43971</v>
      </c>
      <c r="AD189" s="58">
        <v>43985</v>
      </c>
      <c r="AE189" s="58">
        <v>43971</v>
      </c>
      <c r="AF189" s="58">
        <v>43971</v>
      </c>
      <c r="AG189" s="58" t="s">
        <v>75</v>
      </c>
      <c r="AH189" s="59">
        <v>1</v>
      </c>
      <c r="AI189" s="59">
        <v>1</v>
      </c>
      <c r="AJ189" s="59">
        <v>1</v>
      </c>
      <c r="AK189" s="58" t="s">
        <v>8</v>
      </c>
      <c r="AL189" s="176" t="s">
        <v>72</v>
      </c>
      <c r="AM189" s="176" t="s">
        <v>72</v>
      </c>
      <c r="AN189" s="53" t="s">
        <v>1719</v>
      </c>
    </row>
    <row r="190" spans="2:40" ht="15">
      <c r="B190" s="166">
        <v>71</v>
      </c>
      <c r="C190" s="13">
        <v>20200520</v>
      </c>
      <c r="D190" s="13" t="s">
        <v>24</v>
      </c>
      <c r="E190" s="13" t="s">
        <v>1714</v>
      </c>
      <c r="F190" s="39" t="s">
        <v>1723</v>
      </c>
      <c r="G190" s="14">
        <v>1329906</v>
      </c>
      <c r="H190" s="164" t="s">
        <v>72</v>
      </c>
      <c r="I190" s="13" t="s">
        <v>1724</v>
      </c>
      <c r="J190" s="164" t="s">
        <v>72</v>
      </c>
      <c r="K190" s="13" t="s">
        <v>106</v>
      </c>
      <c r="L190" s="13" t="s">
        <v>8</v>
      </c>
      <c r="M190" s="13" t="s">
        <v>1717</v>
      </c>
      <c r="N190" s="13" t="s">
        <v>618</v>
      </c>
      <c r="O190" s="14" t="s">
        <v>72</v>
      </c>
      <c r="P190" s="14" t="s">
        <v>1718</v>
      </c>
      <c r="Q190" s="165"/>
      <c r="R190" s="164" t="s">
        <v>72</v>
      </c>
      <c r="S190" s="13" t="s">
        <v>77</v>
      </c>
      <c r="T190" s="13"/>
      <c r="U190" s="13"/>
      <c r="V190" s="13">
        <v>236</v>
      </c>
      <c r="W190" s="13">
        <v>236</v>
      </c>
      <c r="X190" s="13">
        <v>236</v>
      </c>
      <c r="Y190" s="13">
        <v>4.1900000000000004</v>
      </c>
      <c r="Z190" s="13">
        <v>2</v>
      </c>
      <c r="AA190" s="56" t="s">
        <v>110</v>
      </c>
      <c r="AB190" s="58">
        <v>43985</v>
      </c>
      <c r="AC190" s="58">
        <v>43971</v>
      </c>
      <c r="AD190" s="58">
        <v>43985</v>
      </c>
      <c r="AE190" s="58">
        <v>43971</v>
      </c>
      <c r="AF190" s="58">
        <v>43971</v>
      </c>
      <c r="AG190" s="58" t="s">
        <v>75</v>
      </c>
      <c r="AH190" s="59">
        <v>1</v>
      </c>
      <c r="AI190" s="59">
        <v>1</v>
      </c>
      <c r="AJ190" s="59">
        <v>1</v>
      </c>
      <c r="AK190" s="58" t="s">
        <v>8</v>
      </c>
      <c r="AL190" s="176" t="s">
        <v>72</v>
      </c>
      <c r="AM190" s="176" t="s">
        <v>72</v>
      </c>
      <c r="AN190" s="53" t="s">
        <v>1719</v>
      </c>
    </row>
    <row r="191" spans="2:40" ht="15">
      <c r="B191" s="166">
        <v>72</v>
      </c>
      <c r="C191" s="13">
        <v>20200520</v>
      </c>
      <c r="D191" s="13" t="s">
        <v>24</v>
      </c>
      <c r="E191" s="13" t="s">
        <v>1714</v>
      </c>
      <c r="F191" s="39" t="s">
        <v>1725</v>
      </c>
      <c r="G191" s="14">
        <v>1329906</v>
      </c>
      <c r="H191" s="164" t="s">
        <v>72</v>
      </c>
      <c r="I191" s="13" t="s">
        <v>1726</v>
      </c>
      <c r="J191" s="164" t="s">
        <v>72</v>
      </c>
      <c r="K191" s="13" t="s">
        <v>106</v>
      </c>
      <c r="L191" s="13" t="s">
        <v>8</v>
      </c>
      <c r="M191" s="13" t="s">
        <v>1717</v>
      </c>
      <c r="N191" s="13" t="s">
        <v>618</v>
      </c>
      <c r="O191" s="14" t="s">
        <v>72</v>
      </c>
      <c r="P191" s="14" t="s">
        <v>1718</v>
      </c>
      <c r="Q191" s="165"/>
      <c r="R191" s="164" t="s">
        <v>72</v>
      </c>
      <c r="S191" s="13" t="s">
        <v>113</v>
      </c>
      <c r="T191" s="13"/>
      <c r="U191" s="13"/>
      <c r="V191" s="13">
        <v>288</v>
      </c>
      <c r="W191" s="13">
        <v>288</v>
      </c>
      <c r="X191" s="13">
        <v>288</v>
      </c>
      <c r="Y191" s="13">
        <v>5.12</v>
      </c>
      <c r="Z191" s="13">
        <v>5.12</v>
      </c>
      <c r="AA191" s="56" t="s">
        <v>110</v>
      </c>
      <c r="AB191" s="58">
        <v>43985</v>
      </c>
      <c r="AC191" s="58">
        <v>43971</v>
      </c>
      <c r="AD191" s="58">
        <v>43985</v>
      </c>
      <c r="AE191" s="175">
        <v>43978</v>
      </c>
      <c r="AF191" s="175">
        <v>43978</v>
      </c>
      <c r="AG191" s="175" t="s">
        <v>75</v>
      </c>
      <c r="AH191" s="177">
        <v>1</v>
      </c>
      <c r="AI191" s="177">
        <v>1</v>
      </c>
      <c r="AJ191" s="177">
        <v>1</v>
      </c>
      <c r="AK191" s="175" t="s">
        <v>8</v>
      </c>
      <c r="AL191" s="13"/>
      <c r="AM191" s="13"/>
      <c r="AN191" s="53" t="s">
        <v>1719</v>
      </c>
    </row>
    <row r="192" spans="2:40" ht="15">
      <c r="B192" s="166">
        <v>73</v>
      </c>
      <c r="C192" s="13">
        <v>20200520</v>
      </c>
      <c r="D192" s="13" t="s">
        <v>24</v>
      </c>
      <c r="E192" s="13" t="s">
        <v>1714</v>
      </c>
      <c r="F192" s="39" t="s">
        <v>1727</v>
      </c>
      <c r="G192" s="14">
        <v>1329906</v>
      </c>
      <c r="H192" s="164" t="s">
        <v>72</v>
      </c>
      <c r="I192" s="13" t="s">
        <v>1728</v>
      </c>
      <c r="J192" s="164" t="s">
        <v>72</v>
      </c>
      <c r="K192" s="13" t="s">
        <v>106</v>
      </c>
      <c r="L192" s="13" t="s">
        <v>8</v>
      </c>
      <c r="M192" s="13" t="s">
        <v>1717</v>
      </c>
      <c r="N192" s="13" t="s">
        <v>618</v>
      </c>
      <c r="O192" s="14" t="s">
        <v>72</v>
      </c>
      <c r="P192" s="14" t="s">
        <v>1718</v>
      </c>
      <c r="Q192" s="165"/>
      <c r="R192" s="164" t="s">
        <v>72</v>
      </c>
      <c r="S192" s="13" t="s">
        <v>109</v>
      </c>
      <c r="T192" s="13"/>
      <c r="U192" s="13"/>
      <c r="V192" s="13">
        <v>124</v>
      </c>
      <c r="W192" s="13">
        <v>124</v>
      </c>
      <c r="X192" s="13">
        <v>124</v>
      </c>
      <c r="Y192" s="13">
        <v>2.2000000000000002</v>
      </c>
      <c r="Z192" s="13">
        <v>0.5</v>
      </c>
      <c r="AA192" s="56" t="s">
        <v>110</v>
      </c>
      <c r="AB192" s="58">
        <v>43985</v>
      </c>
      <c r="AC192" s="58">
        <v>43971</v>
      </c>
      <c r="AD192" s="58">
        <v>43985</v>
      </c>
      <c r="AE192" s="58">
        <v>43971</v>
      </c>
      <c r="AF192" s="58">
        <v>43971</v>
      </c>
      <c r="AG192" s="58" t="s">
        <v>79</v>
      </c>
      <c r="AH192" s="59">
        <v>1</v>
      </c>
      <c r="AI192" s="59">
        <v>1</v>
      </c>
      <c r="AJ192" s="59">
        <v>0.5</v>
      </c>
      <c r="AK192" s="58" t="s">
        <v>8</v>
      </c>
      <c r="AL192" s="14" t="s">
        <v>1729</v>
      </c>
      <c r="AM192" s="176" t="s">
        <v>72</v>
      </c>
      <c r="AN192" s="53" t="s">
        <v>1719</v>
      </c>
    </row>
    <row r="193" spans="2:40" ht="15">
      <c r="B193" s="166">
        <v>74</v>
      </c>
      <c r="C193" s="13">
        <v>20200520</v>
      </c>
      <c r="D193" s="13" t="s">
        <v>24</v>
      </c>
      <c r="E193" s="13" t="s">
        <v>1714</v>
      </c>
      <c r="F193" s="39" t="s">
        <v>1730</v>
      </c>
      <c r="G193" s="14">
        <v>1329906</v>
      </c>
      <c r="H193" s="164" t="s">
        <v>72</v>
      </c>
      <c r="I193" s="13" t="s">
        <v>1117</v>
      </c>
      <c r="J193" s="164" t="s">
        <v>72</v>
      </c>
      <c r="K193" s="13" t="s">
        <v>106</v>
      </c>
      <c r="L193" s="13" t="s">
        <v>8</v>
      </c>
      <c r="M193" s="13" t="s">
        <v>1717</v>
      </c>
      <c r="N193" s="13" t="s">
        <v>618</v>
      </c>
      <c r="O193" s="14" t="s">
        <v>72</v>
      </c>
      <c r="P193" s="14" t="s">
        <v>1718</v>
      </c>
      <c r="Q193" s="165"/>
      <c r="R193" s="164" t="s">
        <v>72</v>
      </c>
      <c r="S193" s="13" t="s">
        <v>161</v>
      </c>
      <c r="T193" s="13"/>
      <c r="U193" s="13"/>
      <c r="V193" s="13">
        <v>724</v>
      </c>
      <c r="W193" s="13">
        <v>724</v>
      </c>
      <c r="X193" s="13">
        <v>724</v>
      </c>
      <c r="Y193" s="13">
        <v>12.87</v>
      </c>
      <c r="Z193" s="13">
        <v>8</v>
      </c>
      <c r="AA193" s="56" t="s">
        <v>110</v>
      </c>
      <c r="AB193" s="58">
        <v>43985</v>
      </c>
      <c r="AC193" s="58">
        <v>43971</v>
      </c>
      <c r="AD193" s="58">
        <v>43985</v>
      </c>
      <c r="AE193" s="58">
        <v>43973</v>
      </c>
      <c r="AF193" s="58">
        <v>43973</v>
      </c>
      <c r="AG193" s="58" t="s">
        <v>75</v>
      </c>
      <c r="AH193" s="59">
        <v>1</v>
      </c>
      <c r="AI193" s="59">
        <v>1</v>
      </c>
      <c r="AJ193" s="59">
        <v>1</v>
      </c>
      <c r="AK193" s="58" t="s">
        <v>8</v>
      </c>
      <c r="AL193" s="13"/>
      <c r="AM193" s="13"/>
      <c r="AN193" s="53" t="s">
        <v>1719</v>
      </c>
    </row>
    <row r="194" spans="2:40" ht="15">
      <c r="B194" s="185">
        <v>75</v>
      </c>
      <c r="C194" s="176">
        <v>20200520</v>
      </c>
      <c r="D194" s="176" t="s">
        <v>24</v>
      </c>
      <c r="E194" s="176" t="s">
        <v>1714</v>
      </c>
      <c r="F194" s="39" t="s">
        <v>1731</v>
      </c>
      <c r="G194" s="181">
        <v>1329906</v>
      </c>
      <c r="H194" s="182" t="s">
        <v>72</v>
      </c>
      <c r="I194" s="176" t="s">
        <v>750</v>
      </c>
      <c r="J194" s="182" t="s">
        <v>72</v>
      </c>
      <c r="K194" s="176" t="s">
        <v>106</v>
      </c>
      <c r="L194" s="176" t="s">
        <v>8</v>
      </c>
      <c r="M194" s="176" t="s">
        <v>1717</v>
      </c>
      <c r="N194" s="176" t="s">
        <v>618</v>
      </c>
      <c r="O194" s="181" t="s">
        <v>72</v>
      </c>
      <c r="P194" s="181" t="s">
        <v>1718</v>
      </c>
      <c r="Q194" s="186"/>
      <c r="R194" s="182" t="s">
        <v>72</v>
      </c>
      <c r="S194" s="176" t="s">
        <v>113</v>
      </c>
      <c r="T194" s="187"/>
      <c r="U194" s="187"/>
      <c r="V194" s="176">
        <v>796</v>
      </c>
      <c r="W194" s="176">
        <v>796</v>
      </c>
      <c r="X194" s="176">
        <v>796</v>
      </c>
      <c r="Y194" s="176">
        <v>14.15</v>
      </c>
      <c r="Z194" s="176">
        <v>14.15</v>
      </c>
      <c r="AA194" s="56" t="s">
        <v>110</v>
      </c>
      <c r="AB194" s="58">
        <v>43985</v>
      </c>
      <c r="AC194" s="175">
        <v>43971</v>
      </c>
      <c r="AD194" s="175">
        <v>43985</v>
      </c>
      <c r="AE194" s="175">
        <v>43978</v>
      </c>
      <c r="AF194" s="175">
        <v>43978</v>
      </c>
      <c r="AG194" s="188" t="s">
        <v>75</v>
      </c>
      <c r="AH194" s="177">
        <v>1</v>
      </c>
      <c r="AI194" s="177">
        <v>1</v>
      </c>
      <c r="AJ194" s="177">
        <v>1</v>
      </c>
      <c r="AK194" s="177" t="s">
        <v>8</v>
      </c>
      <c r="AL194" s="187"/>
      <c r="AM194" s="187"/>
      <c r="AN194" s="189" t="s">
        <v>1719</v>
      </c>
    </row>
    <row r="195" spans="2:40" ht="15">
      <c r="B195" s="166">
        <v>76</v>
      </c>
      <c r="C195" s="13">
        <v>20200520</v>
      </c>
      <c r="D195" s="13" t="s">
        <v>24</v>
      </c>
      <c r="E195" s="13" t="s">
        <v>1714</v>
      </c>
      <c r="F195" s="39" t="s">
        <v>1732</v>
      </c>
      <c r="G195" s="14">
        <v>1329906</v>
      </c>
      <c r="H195" s="164" t="s">
        <v>72</v>
      </c>
      <c r="I195" s="13" t="s">
        <v>1680</v>
      </c>
      <c r="J195" s="164" t="s">
        <v>72</v>
      </c>
      <c r="K195" s="13" t="s">
        <v>106</v>
      </c>
      <c r="L195" s="13" t="s">
        <v>8</v>
      </c>
      <c r="M195" s="13" t="s">
        <v>1717</v>
      </c>
      <c r="N195" s="13" t="s">
        <v>618</v>
      </c>
      <c r="O195" s="14" t="s">
        <v>72</v>
      </c>
      <c r="P195" s="14" t="s">
        <v>1718</v>
      </c>
      <c r="Q195" s="165"/>
      <c r="R195" s="164" t="s">
        <v>72</v>
      </c>
      <c r="S195" s="13" t="s">
        <v>161</v>
      </c>
      <c r="T195" s="13"/>
      <c r="U195" s="13"/>
      <c r="V195" s="13">
        <v>476</v>
      </c>
      <c r="W195" s="13">
        <v>476</v>
      </c>
      <c r="X195" s="13">
        <v>476</v>
      </c>
      <c r="Y195" s="13">
        <v>8.4600000000000009</v>
      </c>
      <c r="Z195" s="13">
        <v>8</v>
      </c>
      <c r="AA195" s="56" t="s">
        <v>110</v>
      </c>
      <c r="AB195" s="58">
        <v>43985</v>
      </c>
      <c r="AC195" s="58">
        <v>43971</v>
      </c>
      <c r="AD195" s="58">
        <v>43985</v>
      </c>
      <c r="AE195" s="58">
        <v>43976</v>
      </c>
      <c r="AF195" s="58">
        <v>43976</v>
      </c>
      <c r="AG195" s="58" t="s">
        <v>75</v>
      </c>
      <c r="AH195" s="59">
        <v>1</v>
      </c>
      <c r="AI195" s="59">
        <v>1</v>
      </c>
      <c r="AJ195" s="59">
        <v>1</v>
      </c>
      <c r="AK195" s="58" t="s">
        <v>8</v>
      </c>
      <c r="AL195" s="13"/>
      <c r="AM195" s="13"/>
      <c r="AN195" s="53" t="s">
        <v>1719</v>
      </c>
    </row>
    <row r="196" spans="2:40" ht="15">
      <c r="B196" s="166">
        <v>77</v>
      </c>
      <c r="C196" s="176">
        <v>20200520</v>
      </c>
      <c r="D196" s="176" t="s">
        <v>24</v>
      </c>
      <c r="E196" s="176" t="s">
        <v>1714</v>
      </c>
      <c r="F196" s="39" t="s">
        <v>1733</v>
      </c>
      <c r="G196" s="181">
        <v>1329906</v>
      </c>
      <c r="H196" s="164" t="s">
        <v>72</v>
      </c>
      <c r="I196" s="176" t="s">
        <v>1734</v>
      </c>
      <c r="J196" s="164" t="s">
        <v>72</v>
      </c>
      <c r="K196" s="176" t="s">
        <v>106</v>
      </c>
      <c r="L196" s="176" t="s">
        <v>8</v>
      </c>
      <c r="M196" s="176" t="s">
        <v>1717</v>
      </c>
      <c r="N196" s="176" t="s">
        <v>618</v>
      </c>
      <c r="O196" s="181" t="s">
        <v>72</v>
      </c>
      <c r="P196" s="181" t="s">
        <v>1718</v>
      </c>
      <c r="Q196" s="165"/>
      <c r="R196" s="164" t="s">
        <v>72</v>
      </c>
      <c r="S196" s="176" t="s">
        <v>113</v>
      </c>
      <c r="T196" s="176"/>
      <c r="U196" s="176"/>
      <c r="V196" s="176">
        <v>424</v>
      </c>
      <c r="W196" s="176">
        <v>424</v>
      </c>
      <c r="X196" s="176">
        <v>424</v>
      </c>
      <c r="Y196" s="176">
        <v>7.53</v>
      </c>
      <c r="Z196" s="176">
        <v>7.53</v>
      </c>
      <c r="AA196" s="56" t="s">
        <v>110</v>
      </c>
      <c r="AB196" s="58">
        <v>43985</v>
      </c>
      <c r="AC196" s="175">
        <v>43971</v>
      </c>
      <c r="AD196" s="175">
        <v>43985</v>
      </c>
      <c r="AE196" s="175">
        <v>43973</v>
      </c>
      <c r="AF196" s="175">
        <v>43973</v>
      </c>
      <c r="AG196" s="175" t="s">
        <v>75</v>
      </c>
      <c r="AH196" s="177">
        <v>1</v>
      </c>
      <c r="AI196" s="177">
        <v>1</v>
      </c>
      <c r="AJ196" s="177">
        <v>1</v>
      </c>
      <c r="AK196" s="175" t="s">
        <v>8</v>
      </c>
      <c r="AL196" s="176"/>
      <c r="AM196" s="176"/>
      <c r="AN196" s="53" t="s">
        <v>1719</v>
      </c>
    </row>
    <row r="197" spans="2:40" ht="15">
      <c r="B197" s="166">
        <v>78</v>
      </c>
      <c r="C197" s="176">
        <v>20200520</v>
      </c>
      <c r="D197" s="176" t="s">
        <v>24</v>
      </c>
      <c r="E197" s="176" t="s">
        <v>1714</v>
      </c>
      <c r="F197" s="39" t="s">
        <v>1735</v>
      </c>
      <c r="G197" s="181">
        <v>1329906</v>
      </c>
      <c r="H197" s="164" t="s">
        <v>72</v>
      </c>
      <c r="I197" s="176" t="s">
        <v>1736</v>
      </c>
      <c r="J197" s="164" t="s">
        <v>72</v>
      </c>
      <c r="K197" s="176" t="s">
        <v>106</v>
      </c>
      <c r="L197" s="176" t="s">
        <v>8</v>
      </c>
      <c r="M197" s="176" t="s">
        <v>1717</v>
      </c>
      <c r="N197" s="176" t="s">
        <v>618</v>
      </c>
      <c r="O197" s="181" t="s">
        <v>72</v>
      </c>
      <c r="P197" s="181" t="s">
        <v>1718</v>
      </c>
      <c r="Q197" s="165"/>
      <c r="R197" s="164" t="s">
        <v>72</v>
      </c>
      <c r="S197" s="176" t="s">
        <v>113</v>
      </c>
      <c r="T197" s="176"/>
      <c r="U197" s="176"/>
      <c r="V197" s="176">
        <v>948</v>
      </c>
      <c r="W197" s="189">
        <v>474</v>
      </c>
      <c r="X197" s="176">
        <v>474</v>
      </c>
      <c r="Y197" s="176">
        <v>8.42</v>
      </c>
      <c r="Z197" s="176">
        <v>8.42</v>
      </c>
      <c r="AA197" s="176" t="s">
        <v>110</v>
      </c>
      <c r="AB197" s="175">
        <v>43976</v>
      </c>
      <c r="AC197" s="175">
        <v>43971</v>
      </c>
      <c r="AD197" s="175">
        <v>43976</v>
      </c>
      <c r="AE197" s="175">
        <v>43972</v>
      </c>
      <c r="AF197" s="175">
        <v>43972</v>
      </c>
      <c r="AG197" s="175" t="s">
        <v>75</v>
      </c>
      <c r="AH197" s="177">
        <v>1</v>
      </c>
      <c r="AI197" s="177">
        <v>1</v>
      </c>
      <c r="AJ197" s="177">
        <v>1</v>
      </c>
      <c r="AK197" s="175" t="s">
        <v>8</v>
      </c>
      <c r="AL197" s="176"/>
      <c r="AM197" s="176"/>
      <c r="AN197" s="53" t="s">
        <v>1719</v>
      </c>
    </row>
    <row r="198" spans="2:40" ht="15">
      <c r="B198" s="166">
        <v>79</v>
      </c>
      <c r="C198" s="13">
        <v>20200520</v>
      </c>
      <c r="D198" s="13" t="s">
        <v>24</v>
      </c>
      <c r="E198" s="13" t="s">
        <v>1714</v>
      </c>
      <c r="F198" s="39" t="s">
        <v>1737</v>
      </c>
      <c r="G198" s="14">
        <v>1329906</v>
      </c>
      <c r="H198" s="164" t="s">
        <v>72</v>
      </c>
      <c r="I198" s="13" t="s">
        <v>50</v>
      </c>
      <c r="J198" s="164" t="s">
        <v>72</v>
      </c>
      <c r="K198" s="13" t="s">
        <v>106</v>
      </c>
      <c r="L198" s="13" t="s">
        <v>8</v>
      </c>
      <c r="M198" s="13" t="s">
        <v>1717</v>
      </c>
      <c r="N198" s="13" t="s">
        <v>618</v>
      </c>
      <c r="O198" s="14" t="s">
        <v>72</v>
      </c>
      <c r="P198" s="14" t="s">
        <v>1718</v>
      </c>
      <c r="Q198" s="165"/>
      <c r="R198" s="164" t="s">
        <v>72</v>
      </c>
      <c r="S198" s="13" t="s">
        <v>109</v>
      </c>
      <c r="T198" s="13"/>
      <c r="U198" s="13"/>
      <c r="V198" s="13">
        <v>360</v>
      </c>
      <c r="W198" s="13">
        <v>360</v>
      </c>
      <c r="X198" s="13">
        <v>360</v>
      </c>
      <c r="Y198" s="13">
        <v>6.4</v>
      </c>
      <c r="Z198" s="13">
        <v>0.5</v>
      </c>
      <c r="AA198" s="176" t="s">
        <v>110</v>
      </c>
      <c r="AB198" s="175">
        <v>43976</v>
      </c>
      <c r="AC198" s="58">
        <v>43971</v>
      </c>
      <c r="AD198" s="58">
        <v>43976</v>
      </c>
      <c r="AE198" s="58">
        <v>43971</v>
      </c>
      <c r="AF198" s="58">
        <v>43971</v>
      </c>
      <c r="AG198" s="58" t="s">
        <v>75</v>
      </c>
      <c r="AH198" s="59">
        <v>1</v>
      </c>
      <c r="AI198" s="59">
        <v>1</v>
      </c>
      <c r="AJ198" s="59">
        <v>1</v>
      </c>
      <c r="AK198" s="58" t="s">
        <v>8</v>
      </c>
      <c r="AL198" s="176" t="s">
        <v>72</v>
      </c>
      <c r="AM198" s="176" t="s">
        <v>72</v>
      </c>
      <c r="AN198" s="53" t="s">
        <v>1719</v>
      </c>
    </row>
    <row r="199" spans="2:40" ht="15">
      <c r="B199" s="166">
        <v>80</v>
      </c>
      <c r="C199" s="13">
        <v>20200520</v>
      </c>
      <c r="D199" s="13" t="s">
        <v>24</v>
      </c>
      <c r="E199" s="13" t="s">
        <v>1714</v>
      </c>
      <c r="F199" s="39" t="s">
        <v>1738</v>
      </c>
      <c r="G199" s="14">
        <v>1329906</v>
      </c>
      <c r="H199" s="164" t="s">
        <v>72</v>
      </c>
      <c r="I199" s="13" t="s">
        <v>1739</v>
      </c>
      <c r="J199" s="164" t="s">
        <v>72</v>
      </c>
      <c r="K199" s="13" t="s">
        <v>106</v>
      </c>
      <c r="L199" s="13" t="s">
        <v>8</v>
      </c>
      <c r="M199" s="13" t="s">
        <v>1717</v>
      </c>
      <c r="N199" s="13" t="s">
        <v>618</v>
      </c>
      <c r="O199" s="14" t="s">
        <v>72</v>
      </c>
      <c r="P199" s="14" t="s">
        <v>1718</v>
      </c>
      <c r="Q199" s="165"/>
      <c r="R199" s="164" t="s">
        <v>72</v>
      </c>
      <c r="S199" s="13" t="s">
        <v>109</v>
      </c>
      <c r="T199" s="13"/>
      <c r="U199" s="13"/>
      <c r="V199" s="13">
        <v>604</v>
      </c>
      <c r="W199" s="13">
        <v>604</v>
      </c>
      <c r="X199" s="13">
        <v>604</v>
      </c>
      <c r="Y199" s="13">
        <v>10.73</v>
      </c>
      <c r="Z199" s="13">
        <v>1</v>
      </c>
      <c r="AA199" s="176" t="s">
        <v>110</v>
      </c>
      <c r="AB199" s="175">
        <v>43976</v>
      </c>
      <c r="AC199" s="58">
        <v>43971</v>
      </c>
      <c r="AD199" s="58">
        <v>43976</v>
      </c>
      <c r="AE199" s="58">
        <v>43971</v>
      </c>
      <c r="AF199" s="58">
        <v>43971</v>
      </c>
      <c r="AG199" s="58" t="s">
        <v>75</v>
      </c>
      <c r="AH199" s="59">
        <v>1</v>
      </c>
      <c r="AI199" s="59">
        <v>1</v>
      </c>
      <c r="AJ199" s="59">
        <v>1</v>
      </c>
      <c r="AK199" s="58" t="s">
        <v>8</v>
      </c>
      <c r="AL199" s="176" t="s">
        <v>72</v>
      </c>
      <c r="AM199" s="176" t="s">
        <v>72</v>
      </c>
      <c r="AN199" s="53" t="s">
        <v>1719</v>
      </c>
    </row>
    <row r="200" spans="2:40" ht="15">
      <c r="B200" s="166">
        <v>81</v>
      </c>
      <c r="C200" s="13">
        <v>20200520</v>
      </c>
      <c r="D200" s="13" t="s">
        <v>24</v>
      </c>
      <c r="E200" s="13" t="s">
        <v>1714</v>
      </c>
      <c r="F200" s="39" t="s">
        <v>1740</v>
      </c>
      <c r="G200" s="14">
        <v>1329906</v>
      </c>
      <c r="H200" s="164" t="s">
        <v>72</v>
      </c>
      <c r="I200" s="13" t="s">
        <v>54</v>
      </c>
      <c r="J200" s="164" t="s">
        <v>72</v>
      </c>
      <c r="K200" s="13" t="s">
        <v>106</v>
      </c>
      <c r="L200" s="13" t="s">
        <v>8</v>
      </c>
      <c r="M200" s="13" t="s">
        <v>1717</v>
      </c>
      <c r="N200" s="13" t="s">
        <v>618</v>
      </c>
      <c r="O200" s="14" t="s">
        <v>72</v>
      </c>
      <c r="P200" s="14" t="s">
        <v>1718</v>
      </c>
      <c r="Q200" s="165"/>
      <c r="R200" s="164" t="s">
        <v>72</v>
      </c>
      <c r="S200" s="13" t="s">
        <v>161</v>
      </c>
      <c r="T200" s="13"/>
      <c r="U200" s="13"/>
      <c r="V200" s="13">
        <v>708</v>
      </c>
      <c r="W200" s="13">
        <v>708</v>
      </c>
      <c r="X200" s="13">
        <v>708</v>
      </c>
      <c r="Y200" s="13">
        <v>12.58</v>
      </c>
      <c r="Z200" s="13">
        <v>8</v>
      </c>
      <c r="AA200" s="176" t="s">
        <v>110</v>
      </c>
      <c r="AB200" s="175">
        <v>43976</v>
      </c>
      <c r="AC200" s="58">
        <v>43971</v>
      </c>
      <c r="AD200" s="58">
        <v>43976</v>
      </c>
      <c r="AE200" s="58">
        <v>43971</v>
      </c>
      <c r="AF200" s="58">
        <v>43971</v>
      </c>
      <c r="AG200" s="58" t="s">
        <v>75</v>
      </c>
      <c r="AH200" s="59">
        <v>1</v>
      </c>
      <c r="AI200" s="59">
        <v>1</v>
      </c>
      <c r="AJ200" s="59">
        <v>1</v>
      </c>
      <c r="AK200" s="58" t="s">
        <v>8</v>
      </c>
      <c r="AL200" s="13"/>
      <c r="AM200" s="13"/>
      <c r="AN200" s="53" t="s">
        <v>1719</v>
      </c>
    </row>
    <row r="201" spans="2:40" ht="15">
      <c r="B201" s="166">
        <v>82</v>
      </c>
      <c r="C201" s="13">
        <v>20200520</v>
      </c>
      <c r="D201" s="13" t="s">
        <v>24</v>
      </c>
      <c r="E201" s="13" t="s">
        <v>1714</v>
      </c>
      <c r="F201" s="39" t="s">
        <v>1735</v>
      </c>
      <c r="G201" s="13">
        <v>1470767</v>
      </c>
      <c r="H201" s="164" t="s">
        <v>72</v>
      </c>
      <c r="I201" s="13" t="s">
        <v>1736</v>
      </c>
      <c r="J201" s="164" t="s">
        <v>72</v>
      </c>
      <c r="K201" s="13" t="s">
        <v>106</v>
      </c>
      <c r="L201" s="13" t="s">
        <v>8</v>
      </c>
      <c r="M201" s="13" t="s">
        <v>1717</v>
      </c>
      <c r="N201" s="13" t="s">
        <v>618</v>
      </c>
      <c r="O201" s="14" t="s">
        <v>72</v>
      </c>
      <c r="P201" s="14" t="s">
        <v>1741</v>
      </c>
      <c r="Q201" s="165"/>
      <c r="R201" s="164" t="s">
        <v>72</v>
      </c>
      <c r="S201" s="13" t="s">
        <v>161</v>
      </c>
      <c r="T201" s="13"/>
      <c r="U201" s="13"/>
      <c r="V201" s="13">
        <v>474</v>
      </c>
      <c r="W201" s="13">
        <v>474</v>
      </c>
      <c r="X201" s="13">
        <v>474</v>
      </c>
      <c r="Y201" s="13">
        <v>8.42</v>
      </c>
      <c r="Z201" s="13">
        <v>4</v>
      </c>
      <c r="AA201" s="176" t="s">
        <v>110</v>
      </c>
      <c r="AB201" s="175">
        <v>43976</v>
      </c>
      <c r="AC201" s="58">
        <v>43971</v>
      </c>
      <c r="AD201" s="58">
        <v>43976</v>
      </c>
      <c r="AE201" s="58">
        <v>43972</v>
      </c>
      <c r="AF201" s="58">
        <v>43972</v>
      </c>
      <c r="AG201" s="58" t="s">
        <v>75</v>
      </c>
      <c r="AH201" s="59">
        <v>1</v>
      </c>
      <c r="AI201" s="59">
        <v>1</v>
      </c>
      <c r="AJ201" s="59">
        <v>1</v>
      </c>
      <c r="AK201" s="58" t="s">
        <v>8</v>
      </c>
      <c r="AL201" s="13"/>
      <c r="AM201" s="13"/>
      <c r="AN201" s="53" t="s">
        <v>1719</v>
      </c>
    </row>
    <row r="202" spans="2:40" ht="15">
      <c r="B202" s="166">
        <v>83</v>
      </c>
      <c r="C202" s="13">
        <v>20200520</v>
      </c>
      <c r="D202" s="13" t="s">
        <v>24</v>
      </c>
      <c r="E202" s="13" t="s">
        <v>1742</v>
      </c>
      <c r="F202" s="39" t="s">
        <v>1743</v>
      </c>
      <c r="G202" s="13">
        <v>1470769</v>
      </c>
      <c r="H202" s="164" t="s">
        <v>72</v>
      </c>
      <c r="I202" s="13" t="s">
        <v>1736</v>
      </c>
      <c r="J202" s="164" t="s">
        <v>72</v>
      </c>
      <c r="K202" s="13" t="s">
        <v>106</v>
      </c>
      <c r="L202" s="13" t="s">
        <v>8</v>
      </c>
      <c r="M202" s="13" t="s">
        <v>1744</v>
      </c>
      <c r="N202" s="13" t="s">
        <v>1745</v>
      </c>
      <c r="O202" s="14" t="s">
        <v>72</v>
      </c>
      <c r="P202" s="14" t="s">
        <v>1741</v>
      </c>
      <c r="Q202" s="165"/>
      <c r="R202" s="164" t="s">
        <v>72</v>
      </c>
      <c r="S202" s="13" t="s">
        <v>161</v>
      </c>
      <c r="T202" s="13"/>
      <c r="U202" s="13"/>
      <c r="V202" s="13">
        <v>474</v>
      </c>
      <c r="W202" s="13">
        <v>474</v>
      </c>
      <c r="X202" s="13">
        <v>474</v>
      </c>
      <c r="Y202" s="13">
        <v>8.42</v>
      </c>
      <c r="Z202" s="13">
        <v>4</v>
      </c>
      <c r="AA202" s="176" t="s">
        <v>110</v>
      </c>
      <c r="AB202" s="175">
        <v>43976</v>
      </c>
      <c r="AC202" s="58">
        <v>43971</v>
      </c>
      <c r="AD202" s="58">
        <v>43976</v>
      </c>
      <c r="AE202" s="58">
        <v>43972</v>
      </c>
      <c r="AF202" s="58">
        <v>43972</v>
      </c>
      <c r="AG202" s="58" t="s">
        <v>75</v>
      </c>
      <c r="AH202" s="59">
        <v>1</v>
      </c>
      <c r="AI202" s="59">
        <v>1</v>
      </c>
      <c r="AJ202" s="59">
        <v>1</v>
      </c>
      <c r="AK202" s="58" t="s">
        <v>8</v>
      </c>
      <c r="AL202" s="13"/>
      <c r="AM202" s="13"/>
      <c r="AN202" s="53" t="s">
        <v>1719</v>
      </c>
    </row>
    <row r="203" spans="2:40" ht="15">
      <c r="B203" s="166">
        <v>84</v>
      </c>
      <c r="C203" s="13">
        <v>20200520</v>
      </c>
      <c r="D203" s="13" t="s">
        <v>24</v>
      </c>
      <c r="E203" s="13" t="s">
        <v>1742</v>
      </c>
      <c r="F203" s="39" t="s">
        <v>1746</v>
      </c>
      <c r="G203" s="13">
        <v>1459843</v>
      </c>
      <c r="H203" s="164" t="s">
        <v>72</v>
      </c>
      <c r="I203" s="13" t="s">
        <v>1747</v>
      </c>
      <c r="J203" s="164" t="s">
        <v>72</v>
      </c>
      <c r="K203" s="13" t="s">
        <v>106</v>
      </c>
      <c r="L203" s="13" t="s">
        <v>8</v>
      </c>
      <c r="M203" s="13" t="s">
        <v>1744</v>
      </c>
      <c r="N203" s="13" t="s">
        <v>1745</v>
      </c>
      <c r="O203" s="14" t="s">
        <v>72</v>
      </c>
      <c r="P203" s="14" t="s">
        <v>1748</v>
      </c>
      <c r="Q203" s="165"/>
      <c r="R203" s="164" t="s">
        <v>72</v>
      </c>
      <c r="S203" s="13" t="s">
        <v>113</v>
      </c>
      <c r="T203" s="13"/>
      <c r="U203" s="13"/>
      <c r="V203" s="13">
        <v>20</v>
      </c>
      <c r="W203" s="13">
        <v>20</v>
      </c>
      <c r="X203" s="13">
        <v>20</v>
      </c>
      <c r="Y203" s="13">
        <v>0.35</v>
      </c>
      <c r="Z203" s="13">
        <v>0.35</v>
      </c>
      <c r="AA203" s="176" t="s">
        <v>110</v>
      </c>
      <c r="AB203" s="175">
        <v>43976</v>
      </c>
      <c r="AC203" s="58">
        <v>43971</v>
      </c>
      <c r="AD203" s="58">
        <v>43976</v>
      </c>
      <c r="AE203" s="58">
        <v>43972</v>
      </c>
      <c r="AF203" s="58">
        <v>43972</v>
      </c>
      <c r="AG203" s="58" t="s">
        <v>75</v>
      </c>
      <c r="AH203" s="59">
        <v>1</v>
      </c>
      <c r="AI203" s="59">
        <v>1</v>
      </c>
      <c r="AJ203" s="59">
        <v>1</v>
      </c>
      <c r="AK203" s="58" t="s">
        <v>8</v>
      </c>
      <c r="AL203" s="13"/>
      <c r="AM203" s="13"/>
      <c r="AN203" s="53" t="s">
        <v>1719</v>
      </c>
    </row>
    <row r="204" spans="2:40" ht="15">
      <c r="B204" s="166">
        <v>85</v>
      </c>
      <c r="C204" s="13">
        <v>20200520</v>
      </c>
      <c r="D204" s="13" t="s">
        <v>24</v>
      </c>
      <c r="E204" s="13" t="s">
        <v>1742</v>
      </c>
      <c r="F204" s="39" t="s">
        <v>1749</v>
      </c>
      <c r="G204" s="13">
        <v>1459843</v>
      </c>
      <c r="H204" s="164" t="s">
        <v>72</v>
      </c>
      <c r="I204" s="13" t="s">
        <v>1750</v>
      </c>
      <c r="J204" s="164" t="s">
        <v>72</v>
      </c>
      <c r="K204" s="13" t="s">
        <v>106</v>
      </c>
      <c r="L204" s="13" t="s">
        <v>8</v>
      </c>
      <c r="M204" s="13" t="s">
        <v>1744</v>
      </c>
      <c r="N204" s="13" t="s">
        <v>1745</v>
      </c>
      <c r="O204" s="14" t="s">
        <v>72</v>
      </c>
      <c r="P204" s="14" t="s">
        <v>1748</v>
      </c>
      <c r="Q204" s="165"/>
      <c r="R204" s="164" t="s">
        <v>72</v>
      </c>
      <c r="S204" s="13" t="s">
        <v>113</v>
      </c>
      <c r="T204" s="13"/>
      <c r="U204" s="13"/>
      <c r="V204" s="13">
        <v>64</v>
      </c>
      <c r="W204" s="13">
        <v>64</v>
      </c>
      <c r="X204" s="13">
        <v>64</v>
      </c>
      <c r="Y204" s="13">
        <v>1.1299999999999999</v>
      </c>
      <c r="Z204" s="13">
        <v>1.1299999999999999</v>
      </c>
      <c r="AA204" s="176" t="s">
        <v>110</v>
      </c>
      <c r="AB204" s="175">
        <v>43976</v>
      </c>
      <c r="AC204" s="58">
        <v>43971</v>
      </c>
      <c r="AD204" s="58">
        <v>43976</v>
      </c>
      <c r="AE204" s="58">
        <v>43972</v>
      </c>
      <c r="AF204" s="58">
        <v>43972</v>
      </c>
      <c r="AG204" s="58" t="s">
        <v>75</v>
      </c>
      <c r="AH204" s="59">
        <v>1</v>
      </c>
      <c r="AI204" s="59">
        <v>1</v>
      </c>
      <c r="AJ204" s="59">
        <v>1</v>
      </c>
      <c r="AK204" s="58" t="s">
        <v>8</v>
      </c>
      <c r="AL204" s="13"/>
      <c r="AM204" s="13"/>
      <c r="AN204" s="53" t="s">
        <v>1719</v>
      </c>
    </row>
    <row r="205" spans="2:40" ht="15">
      <c r="B205" s="166">
        <v>86</v>
      </c>
      <c r="C205" s="13">
        <v>20200520</v>
      </c>
      <c r="D205" s="13" t="s">
        <v>24</v>
      </c>
      <c r="E205" s="13" t="s">
        <v>1714</v>
      </c>
      <c r="F205" s="39" t="s">
        <v>1751</v>
      </c>
      <c r="G205" s="14">
        <v>1373116</v>
      </c>
      <c r="H205" s="164" t="s">
        <v>72</v>
      </c>
      <c r="I205" s="13" t="s">
        <v>254</v>
      </c>
      <c r="J205" s="164" t="s">
        <v>72</v>
      </c>
      <c r="K205" s="13" t="s">
        <v>106</v>
      </c>
      <c r="L205" s="13" t="s">
        <v>8</v>
      </c>
      <c r="M205" s="13" t="s">
        <v>1717</v>
      </c>
      <c r="N205" s="13" t="s">
        <v>618</v>
      </c>
      <c r="O205" s="14" t="s">
        <v>72</v>
      </c>
      <c r="P205" s="14" t="s">
        <v>1718</v>
      </c>
      <c r="Q205" s="165"/>
      <c r="R205" s="164" t="s">
        <v>72</v>
      </c>
      <c r="S205" s="13" t="s">
        <v>117</v>
      </c>
      <c r="T205" s="13"/>
      <c r="U205" s="13"/>
      <c r="V205" s="13">
        <v>2892</v>
      </c>
      <c r="W205" s="13">
        <v>2892</v>
      </c>
      <c r="X205" s="13">
        <v>2892</v>
      </c>
      <c r="Y205" s="13">
        <v>51.41</v>
      </c>
      <c r="Z205" s="13">
        <v>12</v>
      </c>
      <c r="AA205" s="13" t="s">
        <v>550</v>
      </c>
      <c r="AB205" s="58">
        <v>43985</v>
      </c>
      <c r="AC205" s="58">
        <v>43971</v>
      </c>
      <c r="AD205" s="58">
        <v>43985</v>
      </c>
      <c r="AE205" s="58">
        <v>43979</v>
      </c>
      <c r="AF205" s="58">
        <v>43979</v>
      </c>
      <c r="AG205" s="58" t="s">
        <v>75</v>
      </c>
      <c r="AH205" s="59">
        <v>1</v>
      </c>
      <c r="AI205" s="59">
        <v>1</v>
      </c>
      <c r="AJ205" s="59">
        <v>1</v>
      </c>
      <c r="AK205" s="58" t="s">
        <v>8</v>
      </c>
      <c r="AL205" s="181" t="s">
        <v>72</v>
      </c>
      <c r="AM205" s="181" t="s">
        <v>72</v>
      </c>
      <c r="AN205" s="53" t="s">
        <v>1719</v>
      </c>
    </row>
    <row r="206" spans="2:40" ht="15">
      <c r="B206" s="166">
        <v>87</v>
      </c>
      <c r="C206" s="13">
        <v>20200520</v>
      </c>
      <c r="D206" s="13" t="s">
        <v>24</v>
      </c>
      <c r="E206" s="13" t="s">
        <v>1714</v>
      </c>
      <c r="F206" s="39" t="s">
        <v>1752</v>
      </c>
      <c r="G206" s="14">
        <v>1373116</v>
      </c>
      <c r="H206" s="164" t="s">
        <v>72</v>
      </c>
      <c r="I206" s="13" t="s">
        <v>256</v>
      </c>
      <c r="J206" s="164" t="s">
        <v>72</v>
      </c>
      <c r="K206" s="13" t="s">
        <v>106</v>
      </c>
      <c r="L206" s="13" t="s">
        <v>8</v>
      </c>
      <c r="M206" s="13" t="s">
        <v>1717</v>
      </c>
      <c r="N206" s="13" t="s">
        <v>618</v>
      </c>
      <c r="O206" s="14" t="s">
        <v>72</v>
      </c>
      <c r="P206" s="14" t="s">
        <v>1718</v>
      </c>
      <c r="Q206" s="165"/>
      <c r="R206" s="164" t="s">
        <v>72</v>
      </c>
      <c r="S206" s="13" t="s">
        <v>161</v>
      </c>
      <c r="T206" s="13"/>
      <c r="U206" s="13"/>
      <c r="V206" s="13">
        <v>808</v>
      </c>
      <c r="W206" s="53">
        <v>404</v>
      </c>
      <c r="X206" s="13">
        <v>404</v>
      </c>
      <c r="Y206" s="13">
        <v>7.18</v>
      </c>
      <c r="Z206" s="13">
        <v>8</v>
      </c>
      <c r="AA206" s="13" t="s">
        <v>550</v>
      </c>
      <c r="AB206" s="58">
        <v>43985</v>
      </c>
      <c r="AC206" s="58">
        <v>43971</v>
      </c>
      <c r="AD206" s="58">
        <v>43985</v>
      </c>
      <c r="AE206" s="58">
        <v>43977</v>
      </c>
      <c r="AF206" s="58">
        <v>43977</v>
      </c>
      <c r="AG206" s="58" t="s">
        <v>75</v>
      </c>
      <c r="AH206" s="59">
        <v>1</v>
      </c>
      <c r="AI206" s="59">
        <v>1</v>
      </c>
      <c r="AJ206" s="59">
        <v>1</v>
      </c>
      <c r="AK206" s="58" t="s">
        <v>8</v>
      </c>
      <c r="AL206" s="181" t="s">
        <v>72</v>
      </c>
      <c r="AM206" s="181" t="s">
        <v>72</v>
      </c>
      <c r="AN206" s="53" t="s">
        <v>1719</v>
      </c>
    </row>
    <row r="207" spans="2:40" ht="15">
      <c r="B207" s="163">
        <v>88</v>
      </c>
      <c r="C207" s="13">
        <v>20200520</v>
      </c>
      <c r="D207" s="13" t="s">
        <v>24</v>
      </c>
      <c r="E207" s="13" t="s">
        <v>1753</v>
      </c>
      <c r="F207" s="39" t="s">
        <v>1754</v>
      </c>
      <c r="G207" s="14">
        <v>1452940</v>
      </c>
      <c r="H207" s="164" t="s">
        <v>72</v>
      </c>
      <c r="I207" s="13" t="s">
        <v>590</v>
      </c>
      <c r="J207" s="164" t="s">
        <v>72</v>
      </c>
      <c r="K207" s="13" t="s">
        <v>73</v>
      </c>
      <c r="L207" s="13" t="s">
        <v>8</v>
      </c>
      <c r="M207" s="13" t="s">
        <v>1755</v>
      </c>
      <c r="N207" s="13" t="s">
        <v>1756</v>
      </c>
      <c r="O207" s="14" t="s">
        <v>72</v>
      </c>
      <c r="P207" s="14" t="s">
        <v>713</v>
      </c>
      <c r="Q207" s="165"/>
      <c r="R207" s="164" t="s">
        <v>72</v>
      </c>
      <c r="S207" s="13" t="s">
        <v>573</v>
      </c>
      <c r="T207" s="13"/>
      <c r="U207" s="13"/>
      <c r="V207" s="13">
        <v>35</v>
      </c>
      <c r="W207" s="13">
        <v>35</v>
      </c>
      <c r="X207" s="13">
        <v>35</v>
      </c>
      <c r="Y207" s="13">
        <v>0.62</v>
      </c>
      <c r="Z207" s="13">
        <v>0.5</v>
      </c>
      <c r="AA207" s="13" t="s">
        <v>110</v>
      </c>
      <c r="AB207" s="58">
        <v>43973</v>
      </c>
      <c r="AC207" s="58">
        <v>43971</v>
      </c>
      <c r="AD207" s="58">
        <v>43973</v>
      </c>
      <c r="AE207" s="58">
        <v>43971</v>
      </c>
      <c r="AF207" s="58">
        <v>43971</v>
      </c>
      <c r="AG207" s="58" t="s">
        <v>75</v>
      </c>
      <c r="AH207" s="59">
        <v>1</v>
      </c>
      <c r="AI207" s="59">
        <v>1</v>
      </c>
      <c r="AJ207" s="59">
        <v>1</v>
      </c>
      <c r="AK207" s="58" t="s">
        <v>8</v>
      </c>
      <c r="AL207" s="13"/>
      <c r="AM207" s="13"/>
      <c r="AN207" s="13"/>
    </row>
    <row r="208" spans="2:40" ht="15">
      <c r="B208" s="163">
        <v>89</v>
      </c>
      <c r="C208" s="13">
        <v>20200520</v>
      </c>
      <c r="D208" s="13" t="s">
        <v>24</v>
      </c>
      <c r="E208" s="13" t="s">
        <v>1753</v>
      </c>
      <c r="F208" s="39" t="s">
        <v>1757</v>
      </c>
      <c r="G208" s="14">
        <v>1452940</v>
      </c>
      <c r="H208" s="164" t="s">
        <v>72</v>
      </c>
      <c r="I208" s="13" t="s">
        <v>1243</v>
      </c>
      <c r="J208" s="164" t="s">
        <v>72</v>
      </c>
      <c r="K208" s="13" t="s">
        <v>73</v>
      </c>
      <c r="L208" s="13" t="s">
        <v>8</v>
      </c>
      <c r="M208" s="13" t="s">
        <v>1755</v>
      </c>
      <c r="N208" s="13" t="s">
        <v>1756</v>
      </c>
      <c r="O208" s="14" t="s">
        <v>72</v>
      </c>
      <c r="P208" s="14" t="s">
        <v>713</v>
      </c>
      <c r="Q208" s="165"/>
      <c r="R208" s="164" t="s">
        <v>72</v>
      </c>
      <c r="S208" s="13" t="s">
        <v>573</v>
      </c>
      <c r="T208" s="13"/>
      <c r="U208" s="13"/>
      <c r="V208" s="13">
        <v>249</v>
      </c>
      <c r="W208" s="13">
        <v>249</v>
      </c>
      <c r="X208" s="13">
        <v>249</v>
      </c>
      <c r="Y208" s="13">
        <v>4.42</v>
      </c>
      <c r="Z208" s="13">
        <v>1</v>
      </c>
      <c r="AA208" s="13" t="s">
        <v>110</v>
      </c>
      <c r="AB208" s="58">
        <v>43973</v>
      </c>
      <c r="AC208" s="58">
        <v>43971</v>
      </c>
      <c r="AD208" s="58">
        <v>43973</v>
      </c>
      <c r="AE208" s="58">
        <v>43971</v>
      </c>
      <c r="AF208" s="58">
        <v>43971</v>
      </c>
      <c r="AG208" s="58" t="s">
        <v>75</v>
      </c>
      <c r="AH208" s="59">
        <v>1</v>
      </c>
      <c r="AI208" s="59">
        <v>1</v>
      </c>
      <c r="AJ208" s="59">
        <v>1</v>
      </c>
      <c r="AK208" s="58" t="s">
        <v>8</v>
      </c>
      <c r="AL208" s="13"/>
      <c r="AM208" s="13"/>
      <c r="AN208" s="13"/>
    </row>
    <row r="209" spans="2:40" ht="15">
      <c r="B209" s="163">
        <v>90</v>
      </c>
      <c r="C209" s="13">
        <v>20200520</v>
      </c>
      <c r="D209" s="13" t="s">
        <v>24</v>
      </c>
      <c r="E209" s="13" t="s">
        <v>1758</v>
      </c>
      <c r="F209" s="39" t="s">
        <v>1759</v>
      </c>
      <c r="G209" s="14">
        <v>1474097</v>
      </c>
      <c r="H209" s="164" t="s">
        <v>72</v>
      </c>
      <c r="I209" s="13" t="s">
        <v>1660</v>
      </c>
      <c r="J209" s="164" t="s">
        <v>72</v>
      </c>
      <c r="K209" s="13" t="s">
        <v>73</v>
      </c>
      <c r="L209" s="13" t="s">
        <v>2</v>
      </c>
      <c r="M209" s="13" t="s">
        <v>1760</v>
      </c>
      <c r="N209" s="13" t="s">
        <v>3</v>
      </c>
      <c r="O209" s="14" t="s">
        <v>72</v>
      </c>
      <c r="P209" s="14" t="s">
        <v>1</v>
      </c>
      <c r="Q209" s="165"/>
      <c r="R209" s="164" t="s">
        <v>72</v>
      </c>
      <c r="S209" s="13" t="s">
        <v>74</v>
      </c>
      <c r="T209" s="13"/>
      <c r="U209" s="13"/>
      <c r="V209" s="13">
        <v>641</v>
      </c>
      <c r="W209" s="53">
        <v>60</v>
      </c>
      <c r="X209" s="13">
        <v>60</v>
      </c>
      <c r="Y209" s="13">
        <v>1.06</v>
      </c>
      <c r="Z209" s="13">
        <v>1</v>
      </c>
      <c r="AA209" s="13" t="s">
        <v>110</v>
      </c>
      <c r="AB209" s="58">
        <v>43973</v>
      </c>
      <c r="AC209" s="58">
        <v>43971</v>
      </c>
      <c r="AD209" s="58">
        <v>43973</v>
      </c>
      <c r="AE209" s="58">
        <v>43972</v>
      </c>
      <c r="AF209" s="58">
        <v>43972</v>
      </c>
      <c r="AG209" s="58" t="s">
        <v>75</v>
      </c>
      <c r="AH209" s="59">
        <v>1</v>
      </c>
      <c r="AI209" s="59">
        <v>1</v>
      </c>
      <c r="AJ209" s="59">
        <v>1</v>
      </c>
      <c r="AK209" s="58" t="s">
        <v>8</v>
      </c>
      <c r="AL209" s="13"/>
      <c r="AM209" s="13"/>
      <c r="AN209" s="13" t="s">
        <v>1761</v>
      </c>
    </row>
    <row r="210" spans="2:40" ht="15">
      <c r="B210" s="163">
        <v>91</v>
      </c>
      <c r="C210" s="13">
        <v>20200520</v>
      </c>
      <c r="D210" s="13" t="s">
        <v>24</v>
      </c>
      <c r="E210" s="13" t="s">
        <v>1762</v>
      </c>
      <c r="F210" s="39" t="s">
        <v>1763</v>
      </c>
      <c r="G210" s="14">
        <v>1478932</v>
      </c>
      <c r="H210" s="164" t="s">
        <v>72</v>
      </c>
      <c r="I210" s="13" t="s">
        <v>1764</v>
      </c>
      <c r="J210" s="164" t="s">
        <v>72</v>
      </c>
      <c r="K210" s="13" t="s">
        <v>73</v>
      </c>
      <c r="L210" s="13" t="s">
        <v>1765</v>
      </c>
      <c r="M210" s="13" t="s">
        <v>8</v>
      </c>
      <c r="N210" s="13" t="s">
        <v>1202</v>
      </c>
      <c r="O210" s="14" t="s">
        <v>72</v>
      </c>
      <c r="P210" s="14" t="s">
        <v>1296</v>
      </c>
      <c r="Q210" s="165"/>
      <c r="R210" s="164" t="s">
        <v>72</v>
      </c>
      <c r="S210" s="13" t="s">
        <v>573</v>
      </c>
      <c r="T210" s="13"/>
      <c r="U210" s="13"/>
      <c r="V210" s="13">
        <v>81</v>
      </c>
      <c r="W210" s="13">
        <v>81</v>
      </c>
      <c r="X210" s="13">
        <v>81</v>
      </c>
      <c r="Y210" s="13">
        <v>1.44</v>
      </c>
      <c r="Z210" s="13">
        <v>1</v>
      </c>
      <c r="AA210" s="13" t="s">
        <v>110</v>
      </c>
      <c r="AB210" s="58">
        <v>43972</v>
      </c>
      <c r="AC210" s="58">
        <v>43971</v>
      </c>
      <c r="AD210" s="58">
        <v>43972</v>
      </c>
      <c r="AE210" s="58">
        <v>43972</v>
      </c>
      <c r="AF210" s="58">
        <v>43972</v>
      </c>
      <c r="AG210" s="58" t="s">
        <v>75</v>
      </c>
      <c r="AH210" s="59">
        <v>1</v>
      </c>
      <c r="AI210" s="59">
        <v>1</v>
      </c>
      <c r="AJ210" s="59">
        <v>1</v>
      </c>
      <c r="AK210" s="58" t="s">
        <v>8</v>
      </c>
      <c r="AL210" s="13"/>
      <c r="AM210" s="13"/>
      <c r="AN210" s="13"/>
    </row>
    <row r="211" spans="2:40" ht="15">
      <c r="B211" s="163">
        <v>92</v>
      </c>
      <c r="C211" s="13">
        <v>20200520</v>
      </c>
      <c r="D211" s="13" t="s">
        <v>24</v>
      </c>
      <c r="E211" s="13" t="s">
        <v>1762</v>
      </c>
      <c r="F211" s="39" t="s">
        <v>1766</v>
      </c>
      <c r="G211" s="14">
        <v>1478932</v>
      </c>
      <c r="H211" s="164" t="s">
        <v>72</v>
      </c>
      <c r="I211" s="13" t="s">
        <v>1764</v>
      </c>
      <c r="J211" s="164" t="s">
        <v>72</v>
      </c>
      <c r="K211" s="13" t="s">
        <v>73</v>
      </c>
      <c r="L211" s="13" t="s">
        <v>1767</v>
      </c>
      <c r="M211" s="13" t="s">
        <v>8</v>
      </c>
      <c r="N211" s="13" t="s">
        <v>712</v>
      </c>
      <c r="O211" s="14" t="s">
        <v>72</v>
      </c>
      <c r="P211" s="14" t="s">
        <v>1296</v>
      </c>
      <c r="Q211" s="165"/>
      <c r="R211" s="164" t="s">
        <v>72</v>
      </c>
      <c r="S211" s="13" t="s">
        <v>573</v>
      </c>
      <c r="T211" s="13"/>
      <c r="U211" s="13"/>
      <c r="V211" s="13">
        <v>81</v>
      </c>
      <c r="W211" s="13">
        <v>81</v>
      </c>
      <c r="X211" s="13">
        <v>81</v>
      </c>
      <c r="Y211" s="13">
        <v>1.44</v>
      </c>
      <c r="Z211" s="13">
        <v>1</v>
      </c>
      <c r="AA211" s="13" t="s">
        <v>110</v>
      </c>
      <c r="AB211" s="58">
        <v>43972</v>
      </c>
      <c r="AC211" s="58">
        <v>43971</v>
      </c>
      <c r="AD211" s="58">
        <v>43972</v>
      </c>
      <c r="AE211" s="58">
        <v>43972</v>
      </c>
      <c r="AF211" s="58">
        <v>43972</v>
      </c>
      <c r="AG211" s="58" t="s">
        <v>75</v>
      </c>
      <c r="AH211" s="59">
        <v>1</v>
      </c>
      <c r="AI211" s="59">
        <v>1</v>
      </c>
      <c r="AJ211" s="59">
        <v>1</v>
      </c>
      <c r="AK211" s="58" t="s">
        <v>8</v>
      </c>
      <c r="AL211" s="13"/>
      <c r="AM211" s="13"/>
      <c r="AN211" s="13"/>
    </row>
    <row r="212" spans="2:40" ht="15">
      <c r="B212" s="163">
        <v>93</v>
      </c>
      <c r="C212" s="13">
        <v>20200520</v>
      </c>
      <c r="D212" s="13" t="s">
        <v>24</v>
      </c>
      <c r="E212" s="13" t="s">
        <v>1768</v>
      </c>
      <c r="F212" s="39" t="s">
        <v>591</v>
      </c>
      <c r="G212" s="14">
        <v>1478344</v>
      </c>
      <c r="H212" s="164" t="s">
        <v>72</v>
      </c>
      <c r="I212" s="13" t="s">
        <v>120</v>
      </c>
      <c r="J212" s="164" t="s">
        <v>72</v>
      </c>
      <c r="K212" s="13" t="s">
        <v>73</v>
      </c>
      <c r="L212" s="13" t="s">
        <v>584</v>
      </c>
      <c r="M212" s="13" t="s">
        <v>8</v>
      </c>
      <c r="N212" s="13" t="s">
        <v>586</v>
      </c>
      <c r="O212" s="14" t="s">
        <v>72</v>
      </c>
      <c r="P212" s="14" t="s">
        <v>587</v>
      </c>
      <c r="Q212" s="165"/>
      <c r="R212" s="164" t="s">
        <v>72</v>
      </c>
      <c r="S212" s="13" t="s">
        <v>573</v>
      </c>
      <c r="T212" s="13"/>
      <c r="U212" s="13"/>
      <c r="V212" s="13">
        <v>42</v>
      </c>
      <c r="W212" s="53">
        <v>948</v>
      </c>
      <c r="X212" s="13">
        <v>948</v>
      </c>
      <c r="Y212" s="13">
        <v>16.850000000000001</v>
      </c>
      <c r="Z212" s="13">
        <v>1</v>
      </c>
      <c r="AA212" s="13" t="s">
        <v>110</v>
      </c>
      <c r="AB212" s="58">
        <v>43972</v>
      </c>
      <c r="AC212" s="58">
        <v>43971</v>
      </c>
      <c r="AD212" s="58">
        <v>43972</v>
      </c>
      <c r="AE212" s="58">
        <v>43972</v>
      </c>
      <c r="AF212" s="58">
        <v>43972</v>
      </c>
      <c r="AG212" s="58" t="s">
        <v>75</v>
      </c>
      <c r="AH212" s="59">
        <v>1</v>
      </c>
      <c r="AI212" s="59">
        <v>1</v>
      </c>
      <c r="AJ212" s="59">
        <v>1</v>
      </c>
      <c r="AK212" s="58" t="s">
        <v>8</v>
      </c>
      <c r="AL212" s="13"/>
      <c r="AM212" s="13"/>
      <c r="AN212" s="13" t="s">
        <v>1769</v>
      </c>
    </row>
    <row r="213" spans="2:40" ht="15">
      <c r="B213" s="180">
        <v>94</v>
      </c>
      <c r="C213" s="13">
        <v>20200521</v>
      </c>
      <c r="D213" s="13" t="s">
        <v>24</v>
      </c>
      <c r="E213" s="13" t="s">
        <v>1770</v>
      </c>
      <c r="F213" s="39" t="s">
        <v>1771</v>
      </c>
      <c r="G213" s="14">
        <v>1455638</v>
      </c>
      <c r="H213" s="164" t="s">
        <v>72</v>
      </c>
      <c r="I213" s="13" t="s">
        <v>1772</v>
      </c>
      <c r="J213" s="164" t="s">
        <v>72</v>
      </c>
      <c r="K213" s="13" t="s">
        <v>73</v>
      </c>
      <c r="L213" s="13" t="s">
        <v>1773</v>
      </c>
      <c r="M213" s="13" t="s">
        <v>8</v>
      </c>
      <c r="N213" s="13" t="s">
        <v>1034</v>
      </c>
      <c r="O213" s="14" t="s">
        <v>72</v>
      </c>
      <c r="P213" s="14" t="s">
        <v>756</v>
      </c>
      <c r="Q213" s="165"/>
      <c r="R213" s="164" t="s">
        <v>72</v>
      </c>
      <c r="S213" s="13" t="s">
        <v>78</v>
      </c>
      <c r="T213" s="13"/>
      <c r="U213" s="13"/>
      <c r="V213" s="13">
        <v>66</v>
      </c>
      <c r="W213" s="13">
        <v>66</v>
      </c>
      <c r="X213" s="13">
        <v>66</v>
      </c>
      <c r="Y213" s="13">
        <v>1.17</v>
      </c>
      <c r="Z213" s="13">
        <v>1</v>
      </c>
      <c r="AA213" s="13" t="s">
        <v>110</v>
      </c>
      <c r="AB213" s="58">
        <v>43973</v>
      </c>
      <c r="AC213" s="58">
        <v>43972</v>
      </c>
      <c r="AD213" s="58">
        <v>43973</v>
      </c>
      <c r="AE213" s="58">
        <v>43971</v>
      </c>
      <c r="AF213" s="58">
        <v>43971</v>
      </c>
      <c r="AG213" s="58" t="s">
        <v>75</v>
      </c>
      <c r="AH213" s="59">
        <v>1</v>
      </c>
      <c r="AI213" s="59">
        <v>1</v>
      </c>
      <c r="AJ213" s="59">
        <v>1</v>
      </c>
      <c r="AK213" s="58" t="s">
        <v>8</v>
      </c>
      <c r="AL213" s="13"/>
      <c r="AM213" s="13"/>
      <c r="AN213" s="13"/>
    </row>
    <row r="214" spans="2:40" ht="15">
      <c r="B214" s="180">
        <v>95</v>
      </c>
      <c r="C214" s="13">
        <v>20200521</v>
      </c>
      <c r="D214" s="13" t="s">
        <v>24</v>
      </c>
      <c r="E214" s="13" t="s">
        <v>1770</v>
      </c>
      <c r="F214" s="39" t="s">
        <v>1774</v>
      </c>
      <c r="G214" s="14">
        <v>1455638</v>
      </c>
      <c r="H214" s="164" t="s">
        <v>72</v>
      </c>
      <c r="I214" s="13" t="s">
        <v>1775</v>
      </c>
      <c r="J214" s="164" t="s">
        <v>72</v>
      </c>
      <c r="K214" s="13" t="s">
        <v>73</v>
      </c>
      <c r="L214" s="13" t="s">
        <v>1773</v>
      </c>
      <c r="M214" s="13" t="s">
        <v>8</v>
      </c>
      <c r="N214" s="13" t="s">
        <v>1034</v>
      </c>
      <c r="O214" s="14" t="s">
        <v>72</v>
      </c>
      <c r="P214" s="14" t="s">
        <v>756</v>
      </c>
      <c r="Q214" s="165"/>
      <c r="R214" s="164" t="s">
        <v>72</v>
      </c>
      <c r="S214" s="13" t="s">
        <v>78</v>
      </c>
      <c r="T214" s="13"/>
      <c r="U214" s="13"/>
      <c r="V214" s="13">
        <v>149</v>
      </c>
      <c r="W214" s="13">
        <v>149</v>
      </c>
      <c r="X214" s="13">
        <v>149</v>
      </c>
      <c r="Y214" s="13">
        <v>2.64</v>
      </c>
      <c r="Z214" s="13">
        <v>1</v>
      </c>
      <c r="AA214" s="13" t="s">
        <v>110</v>
      </c>
      <c r="AB214" s="58">
        <v>43973</v>
      </c>
      <c r="AC214" s="58">
        <v>43972</v>
      </c>
      <c r="AD214" s="58">
        <v>43973</v>
      </c>
      <c r="AE214" s="58">
        <v>43971</v>
      </c>
      <c r="AF214" s="58">
        <v>43971</v>
      </c>
      <c r="AG214" s="58" t="s">
        <v>75</v>
      </c>
      <c r="AH214" s="59">
        <v>1</v>
      </c>
      <c r="AI214" s="59">
        <v>1</v>
      </c>
      <c r="AJ214" s="59">
        <v>1</v>
      </c>
      <c r="AK214" s="58" t="s">
        <v>8</v>
      </c>
      <c r="AL214" s="13"/>
      <c r="AM214" s="13"/>
      <c r="AN214" s="13"/>
    </row>
    <row r="215" spans="2:40" ht="15">
      <c r="B215" s="180">
        <v>96</v>
      </c>
      <c r="C215" s="13">
        <v>20200521</v>
      </c>
      <c r="D215" s="13" t="s">
        <v>24</v>
      </c>
      <c r="E215" s="13" t="s">
        <v>1770</v>
      </c>
      <c r="F215" s="39" t="s">
        <v>1776</v>
      </c>
      <c r="G215" s="14">
        <v>1455638</v>
      </c>
      <c r="H215" s="164" t="s">
        <v>72</v>
      </c>
      <c r="I215" s="13" t="s">
        <v>1777</v>
      </c>
      <c r="J215" s="164" t="s">
        <v>72</v>
      </c>
      <c r="K215" s="13" t="s">
        <v>73</v>
      </c>
      <c r="L215" s="13" t="s">
        <v>1773</v>
      </c>
      <c r="M215" s="13" t="s">
        <v>8</v>
      </c>
      <c r="N215" s="13" t="s">
        <v>1034</v>
      </c>
      <c r="O215" s="14" t="s">
        <v>72</v>
      </c>
      <c r="P215" s="14" t="s">
        <v>756</v>
      </c>
      <c r="Q215" s="165"/>
      <c r="R215" s="164" t="s">
        <v>72</v>
      </c>
      <c r="S215" s="13" t="s">
        <v>78</v>
      </c>
      <c r="T215" s="13"/>
      <c r="U215" s="13"/>
      <c r="V215" s="13">
        <v>4</v>
      </c>
      <c r="W215" s="13">
        <v>4</v>
      </c>
      <c r="X215" s="13">
        <v>4</v>
      </c>
      <c r="Y215" s="13">
        <v>7.0000000000000007E-2</v>
      </c>
      <c r="Z215" s="13">
        <v>0</v>
      </c>
      <c r="AA215" s="13" t="s">
        <v>110</v>
      </c>
      <c r="AB215" s="58">
        <v>43973</v>
      </c>
      <c r="AC215" s="58">
        <v>43972</v>
      </c>
      <c r="AD215" s="58">
        <v>43973</v>
      </c>
      <c r="AE215" s="58">
        <v>43971</v>
      </c>
      <c r="AF215" s="58">
        <v>43971</v>
      </c>
      <c r="AG215" s="58" t="s">
        <v>75</v>
      </c>
      <c r="AH215" s="171" t="s">
        <v>72</v>
      </c>
      <c r="AI215" s="171" t="s">
        <v>72</v>
      </c>
      <c r="AJ215" s="171" t="s">
        <v>72</v>
      </c>
      <c r="AK215" s="58" t="s">
        <v>8</v>
      </c>
      <c r="AL215" s="13"/>
      <c r="AM215" s="13"/>
      <c r="AN215" s="13" t="s">
        <v>574</v>
      </c>
    </row>
    <row r="216" spans="2:40" ht="15">
      <c r="B216" s="180">
        <v>97</v>
      </c>
      <c r="C216" s="13">
        <v>20200521</v>
      </c>
      <c r="D216" s="13" t="s">
        <v>24</v>
      </c>
      <c r="E216" s="13" t="s">
        <v>1778</v>
      </c>
      <c r="F216" s="39" t="s">
        <v>1779</v>
      </c>
      <c r="G216" s="14">
        <v>1479500</v>
      </c>
      <c r="H216" s="164" t="s">
        <v>72</v>
      </c>
      <c r="I216" s="13" t="s">
        <v>1780</v>
      </c>
      <c r="J216" s="164" t="s">
        <v>72</v>
      </c>
      <c r="K216" s="13" t="s">
        <v>73</v>
      </c>
      <c r="L216" s="13" t="s">
        <v>8</v>
      </c>
      <c r="M216" s="13" t="s">
        <v>1781</v>
      </c>
      <c r="N216" s="13" t="s">
        <v>1782</v>
      </c>
      <c r="O216" s="14" t="s">
        <v>72</v>
      </c>
      <c r="P216" s="14" t="s">
        <v>1499</v>
      </c>
      <c r="Q216" s="165"/>
      <c r="R216" s="164" t="s">
        <v>72</v>
      </c>
      <c r="S216" s="13" t="s">
        <v>78</v>
      </c>
      <c r="T216" s="13"/>
      <c r="U216" s="13"/>
      <c r="V216" s="13">
        <v>825</v>
      </c>
      <c r="W216" s="13">
        <v>825</v>
      </c>
      <c r="X216" s="13">
        <v>825</v>
      </c>
      <c r="Y216" s="13">
        <v>14.66</v>
      </c>
      <c r="Z216" s="13">
        <v>2</v>
      </c>
      <c r="AA216" s="13" t="s">
        <v>110</v>
      </c>
      <c r="AB216" s="58">
        <v>43973</v>
      </c>
      <c r="AC216" s="58">
        <v>43972</v>
      </c>
      <c r="AD216" s="58">
        <v>43973</v>
      </c>
      <c r="AE216" s="58">
        <v>43971</v>
      </c>
      <c r="AF216" s="58">
        <v>43971</v>
      </c>
      <c r="AG216" s="58" t="s">
        <v>75</v>
      </c>
      <c r="AH216" s="59">
        <v>1</v>
      </c>
      <c r="AI216" s="59">
        <v>1</v>
      </c>
      <c r="AJ216" s="59">
        <v>1</v>
      </c>
      <c r="AK216" s="58" t="s">
        <v>8</v>
      </c>
      <c r="AL216" s="13"/>
      <c r="AM216" s="13"/>
      <c r="AN216" s="13"/>
    </row>
    <row r="217" spans="2:40" ht="15">
      <c r="B217" s="190">
        <v>98</v>
      </c>
      <c r="C217" s="13">
        <v>20200522</v>
      </c>
      <c r="D217" s="13" t="s">
        <v>24</v>
      </c>
      <c r="E217" s="13" t="s">
        <v>1783</v>
      </c>
      <c r="F217" s="39" t="s">
        <v>1500</v>
      </c>
      <c r="G217" s="14">
        <v>1481262</v>
      </c>
      <c r="H217" s="164" t="s">
        <v>72</v>
      </c>
      <c r="I217" s="13" t="s">
        <v>135</v>
      </c>
      <c r="J217" s="164" t="s">
        <v>72</v>
      </c>
      <c r="K217" s="13" t="s">
        <v>73</v>
      </c>
      <c r="L217" s="13" t="s">
        <v>8</v>
      </c>
      <c r="M217" s="13" t="s">
        <v>8</v>
      </c>
      <c r="N217" s="13" t="s">
        <v>887</v>
      </c>
      <c r="O217" s="14" t="s">
        <v>72</v>
      </c>
      <c r="P217" s="14" t="s">
        <v>1499</v>
      </c>
      <c r="Q217" s="165"/>
      <c r="R217" s="164" t="s">
        <v>72</v>
      </c>
      <c r="S217" s="13" t="s">
        <v>78</v>
      </c>
      <c r="T217" s="13"/>
      <c r="U217" s="13"/>
      <c r="V217" s="13">
        <v>106</v>
      </c>
      <c r="W217" s="13">
        <v>106</v>
      </c>
      <c r="X217" s="13">
        <v>106</v>
      </c>
      <c r="Y217" s="13">
        <v>1.88</v>
      </c>
      <c r="Z217" s="13">
        <v>1</v>
      </c>
      <c r="AA217" s="13" t="s">
        <v>110</v>
      </c>
      <c r="AB217" s="58">
        <v>43978</v>
      </c>
      <c r="AC217" s="58">
        <v>43973</v>
      </c>
      <c r="AD217" s="58">
        <v>43984</v>
      </c>
      <c r="AE217" s="58">
        <v>43977</v>
      </c>
      <c r="AF217" s="58">
        <v>43977</v>
      </c>
      <c r="AG217" s="58" t="s">
        <v>75</v>
      </c>
      <c r="AH217" s="59">
        <v>1</v>
      </c>
      <c r="AI217" s="59">
        <v>1</v>
      </c>
      <c r="AJ217" s="59">
        <v>1</v>
      </c>
      <c r="AK217" s="58" t="s">
        <v>8</v>
      </c>
      <c r="AL217" s="13"/>
      <c r="AM217" s="13"/>
      <c r="AN217" s="13"/>
    </row>
    <row r="218" spans="2:40" ht="15">
      <c r="B218" s="190">
        <v>99</v>
      </c>
      <c r="C218" s="13">
        <v>20200522</v>
      </c>
      <c r="D218" s="13" t="s">
        <v>24</v>
      </c>
      <c r="E218" s="13" t="s">
        <v>1784</v>
      </c>
      <c r="F218" s="39" t="s">
        <v>1785</v>
      </c>
      <c r="G218" s="14">
        <v>1481558</v>
      </c>
      <c r="H218" s="164" t="s">
        <v>72</v>
      </c>
      <c r="I218" s="13" t="s">
        <v>123</v>
      </c>
      <c r="J218" s="164" t="s">
        <v>72</v>
      </c>
      <c r="K218" s="13" t="s">
        <v>73</v>
      </c>
      <c r="L218" s="13" t="s">
        <v>1786</v>
      </c>
      <c r="M218" s="13" t="s">
        <v>1787</v>
      </c>
      <c r="N218" s="13" t="s">
        <v>1136</v>
      </c>
      <c r="O218" s="14" t="s">
        <v>72</v>
      </c>
      <c r="P218" s="14" t="s">
        <v>1137</v>
      </c>
      <c r="Q218" s="165"/>
      <c r="R218" s="164" t="s">
        <v>72</v>
      </c>
      <c r="S218" s="13" t="s">
        <v>78</v>
      </c>
      <c r="T218" s="13"/>
      <c r="U218" s="13"/>
      <c r="V218" s="13">
        <v>42</v>
      </c>
      <c r="W218" s="13">
        <v>42</v>
      </c>
      <c r="X218" s="13">
        <v>42</v>
      </c>
      <c r="Y218" s="13">
        <v>0.74</v>
      </c>
      <c r="Z218" s="13">
        <v>0.5</v>
      </c>
      <c r="AA218" s="13" t="s">
        <v>110</v>
      </c>
      <c r="AB218" s="58">
        <v>43978</v>
      </c>
      <c r="AC218" s="58">
        <v>43973</v>
      </c>
      <c r="AD218" s="58">
        <v>43982</v>
      </c>
      <c r="AE218" s="58">
        <v>43978</v>
      </c>
      <c r="AF218" s="58">
        <v>43978</v>
      </c>
      <c r="AG218" s="58" t="s">
        <v>75</v>
      </c>
      <c r="AH218" s="59">
        <v>1</v>
      </c>
      <c r="AI218" s="59">
        <v>1</v>
      </c>
      <c r="AJ218" s="59">
        <v>1</v>
      </c>
      <c r="AK218" s="58" t="s">
        <v>8</v>
      </c>
      <c r="AL218" s="13"/>
      <c r="AM218" s="13"/>
      <c r="AN218" s="13"/>
    </row>
    <row r="219" spans="2:40" ht="15">
      <c r="B219" s="190">
        <v>100</v>
      </c>
      <c r="C219" s="13">
        <v>20200522</v>
      </c>
      <c r="D219" s="13" t="s">
        <v>24</v>
      </c>
      <c r="E219" s="13" t="s">
        <v>1784</v>
      </c>
      <c r="F219" s="39" t="s">
        <v>1788</v>
      </c>
      <c r="G219" s="14">
        <v>1481558</v>
      </c>
      <c r="H219" s="164" t="s">
        <v>72</v>
      </c>
      <c r="I219" s="13" t="s">
        <v>123</v>
      </c>
      <c r="J219" s="164" t="s">
        <v>72</v>
      </c>
      <c r="K219" s="13" t="s">
        <v>73</v>
      </c>
      <c r="L219" s="13" t="s">
        <v>1786</v>
      </c>
      <c r="M219" s="13" t="s">
        <v>1787</v>
      </c>
      <c r="N219" s="13" t="s">
        <v>1136</v>
      </c>
      <c r="O219" s="14" t="s">
        <v>72</v>
      </c>
      <c r="P219" s="14" t="s">
        <v>1137</v>
      </c>
      <c r="Q219" s="165"/>
      <c r="R219" s="164" t="s">
        <v>72</v>
      </c>
      <c r="S219" s="13" t="s">
        <v>78</v>
      </c>
      <c r="T219" s="13"/>
      <c r="U219" s="13"/>
      <c r="V219" s="13">
        <v>42</v>
      </c>
      <c r="W219" s="13">
        <v>42</v>
      </c>
      <c r="X219" s="13">
        <v>42</v>
      </c>
      <c r="Y219" s="13">
        <v>0.74</v>
      </c>
      <c r="Z219" s="13">
        <v>0.5</v>
      </c>
      <c r="AA219" s="13" t="s">
        <v>110</v>
      </c>
      <c r="AB219" s="58">
        <v>43978</v>
      </c>
      <c r="AC219" s="58">
        <v>43973</v>
      </c>
      <c r="AD219" s="58">
        <v>43982</v>
      </c>
      <c r="AE219" s="58">
        <v>43978</v>
      </c>
      <c r="AF219" s="58">
        <v>43978</v>
      </c>
      <c r="AG219" s="58" t="s">
        <v>75</v>
      </c>
      <c r="AH219" s="59">
        <v>1</v>
      </c>
      <c r="AI219" s="59">
        <v>1</v>
      </c>
      <c r="AJ219" s="59">
        <v>1</v>
      </c>
      <c r="AK219" s="58" t="s">
        <v>8</v>
      </c>
      <c r="AL219" s="13"/>
      <c r="AM219" s="13"/>
      <c r="AN219" s="13"/>
    </row>
    <row r="220" spans="2:40" ht="15">
      <c r="B220" s="190">
        <v>101</v>
      </c>
      <c r="C220" s="13">
        <v>20200522</v>
      </c>
      <c r="D220" s="13" t="s">
        <v>24</v>
      </c>
      <c r="E220" s="13" t="s">
        <v>1789</v>
      </c>
      <c r="F220" s="39" t="s">
        <v>1790</v>
      </c>
      <c r="G220" s="14">
        <v>1479486</v>
      </c>
      <c r="H220" s="164" t="s">
        <v>72</v>
      </c>
      <c r="I220" s="13" t="s">
        <v>805</v>
      </c>
      <c r="J220" s="164" t="s">
        <v>72</v>
      </c>
      <c r="K220" s="13" t="s">
        <v>73</v>
      </c>
      <c r="L220" s="13" t="s">
        <v>8</v>
      </c>
      <c r="M220" s="13" t="s">
        <v>1791</v>
      </c>
      <c r="N220" s="13" t="s">
        <v>1065</v>
      </c>
      <c r="O220" s="14" t="s">
        <v>72</v>
      </c>
      <c r="P220" s="14" t="s">
        <v>1066</v>
      </c>
      <c r="Q220" s="165"/>
      <c r="R220" s="164" t="s">
        <v>72</v>
      </c>
      <c r="S220" s="13" t="s">
        <v>78</v>
      </c>
      <c r="T220" s="13"/>
      <c r="U220" s="13"/>
      <c r="V220" s="13">
        <v>259</v>
      </c>
      <c r="W220" s="13">
        <v>259</v>
      </c>
      <c r="X220" s="13">
        <v>259</v>
      </c>
      <c r="Y220" s="13">
        <v>4.5999999999999996</v>
      </c>
      <c r="Z220" s="13">
        <v>0.5</v>
      </c>
      <c r="AA220" s="13" t="s">
        <v>110</v>
      </c>
      <c r="AB220" s="58">
        <v>43978</v>
      </c>
      <c r="AC220" s="58">
        <v>43973</v>
      </c>
      <c r="AD220" s="58">
        <v>43982</v>
      </c>
      <c r="AE220" s="58">
        <v>43977</v>
      </c>
      <c r="AF220" s="58">
        <v>43977</v>
      </c>
      <c r="AG220" s="58" t="s">
        <v>79</v>
      </c>
      <c r="AH220" s="59">
        <v>1</v>
      </c>
      <c r="AI220" s="59">
        <v>1</v>
      </c>
      <c r="AJ220" s="59">
        <v>0.97</v>
      </c>
      <c r="AK220" s="58" t="s">
        <v>76</v>
      </c>
      <c r="AL220" s="13" t="s">
        <v>1792</v>
      </c>
      <c r="AM220" s="13"/>
      <c r="AN220" s="13" t="s">
        <v>1793</v>
      </c>
    </row>
    <row r="221" spans="2:40" ht="15">
      <c r="B221" s="190">
        <v>102</v>
      </c>
      <c r="C221" s="13">
        <v>20200522</v>
      </c>
      <c r="D221" s="13" t="s">
        <v>311</v>
      </c>
      <c r="E221" s="13" t="s">
        <v>1794</v>
      </c>
      <c r="F221" s="39" t="s">
        <v>72</v>
      </c>
      <c r="G221" s="14">
        <v>1481813</v>
      </c>
      <c r="H221" s="164" t="s">
        <v>72</v>
      </c>
      <c r="I221" s="13" t="s">
        <v>1795</v>
      </c>
      <c r="J221" s="164" t="s">
        <v>72</v>
      </c>
      <c r="K221" s="13" t="s">
        <v>106</v>
      </c>
      <c r="L221" s="14" t="s">
        <v>72</v>
      </c>
      <c r="M221" s="13" t="s">
        <v>1602</v>
      </c>
      <c r="N221" s="13" t="s">
        <v>1796</v>
      </c>
      <c r="O221" s="14" t="s">
        <v>1797</v>
      </c>
      <c r="P221" s="14" t="s">
        <v>1798</v>
      </c>
      <c r="Q221" s="165"/>
      <c r="R221" s="164" t="s">
        <v>72</v>
      </c>
      <c r="S221" s="13" t="s">
        <v>573</v>
      </c>
      <c r="T221" s="13"/>
      <c r="U221" s="13"/>
      <c r="V221" s="13">
        <v>30</v>
      </c>
      <c r="W221" s="13">
        <v>30</v>
      </c>
      <c r="X221" s="13">
        <v>30</v>
      </c>
      <c r="Y221" s="13">
        <v>1.84</v>
      </c>
      <c r="Z221" s="13">
        <v>1</v>
      </c>
      <c r="AA221" s="13" t="s">
        <v>110</v>
      </c>
      <c r="AB221" s="58">
        <v>43978</v>
      </c>
      <c r="AC221" s="58">
        <v>43973</v>
      </c>
      <c r="AD221" s="58">
        <v>43983</v>
      </c>
      <c r="AE221" s="58">
        <v>43976</v>
      </c>
      <c r="AF221" s="58">
        <v>43976</v>
      </c>
      <c r="AG221" s="58" t="s">
        <v>79</v>
      </c>
      <c r="AH221" s="59">
        <v>0.77300000000000002</v>
      </c>
      <c r="AI221" s="59">
        <v>0.8</v>
      </c>
      <c r="AJ221" s="59">
        <v>0.75</v>
      </c>
      <c r="AK221" s="58" t="s">
        <v>76</v>
      </c>
      <c r="AL221" s="14" t="s">
        <v>1799</v>
      </c>
      <c r="AM221" s="13"/>
      <c r="AN221" s="13" t="s">
        <v>1793</v>
      </c>
    </row>
    <row r="222" spans="2:40" ht="15">
      <c r="B222" s="190">
        <v>103</v>
      </c>
      <c r="C222" s="13">
        <v>20200522</v>
      </c>
      <c r="D222" s="13" t="s">
        <v>311</v>
      </c>
      <c r="E222" s="13" t="s">
        <v>1794</v>
      </c>
      <c r="F222" s="39" t="s">
        <v>72</v>
      </c>
      <c r="G222" s="14">
        <v>1482132</v>
      </c>
      <c r="H222" s="164" t="s">
        <v>72</v>
      </c>
      <c r="I222" s="13" t="s">
        <v>1800</v>
      </c>
      <c r="J222" s="164" t="s">
        <v>72</v>
      </c>
      <c r="K222" s="13" t="s">
        <v>106</v>
      </c>
      <c r="L222" s="13" t="s">
        <v>72</v>
      </c>
      <c r="M222" s="13" t="s">
        <v>1602</v>
      </c>
      <c r="N222" s="13" t="s">
        <v>1796</v>
      </c>
      <c r="O222" s="14" t="s">
        <v>1801</v>
      </c>
      <c r="P222" s="14" t="s">
        <v>1798</v>
      </c>
      <c r="Q222" s="165"/>
      <c r="R222" s="164" t="s">
        <v>72</v>
      </c>
      <c r="S222" s="13" t="s">
        <v>573</v>
      </c>
      <c r="T222" s="13"/>
      <c r="U222" s="13"/>
      <c r="V222" s="13">
        <v>50</v>
      </c>
      <c r="W222" s="13">
        <v>50</v>
      </c>
      <c r="X222" s="13">
        <v>50</v>
      </c>
      <c r="Y222" s="13">
        <v>3.07</v>
      </c>
      <c r="Z222" s="13">
        <v>3</v>
      </c>
      <c r="AA222" s="13" t="s">
        <v>110</v>
      </c>
      <c r="AB222" s="58">
        <v>43978</v>
      </c>
      <c r="AC222" s="58">
        <v>43973</v>
      </c>
      <c r="AD222" s="58">
        <v>43983</v>
      </c>
      <c r="AE222" s="58">
        <v>43976</v>
      </c>
      <c r="AF222" s="58">
        <v>43976</v>
      </c>
      <c r="AG222" s="58" t="s">
        <v>75</v>
      </c>
      <c r="AH222" s="59">
        <v>1</v>
      </c>
      <c r="AI222" s="59">
        <v>1</v>
      </c>
      <c r="AJ222" s="59">
        <v>1</v>
      </c>
      <c r="AK222" s="58" t="s">
        <v>8</v>
      </c>
      <c r="AL222" s="13" t="s">
        <v>72</v>
      </c>
      <c r="AM222" s="13" t="s">
        <v>72</v>
      </c>
      <c r="AN222" s="13" t="s">
        <v>72</v>
      </c>
    </row>
    <row r="223" spans="2:40" ht="15">
      <c r="B223" s="190">
        <v>104</v>
      </c>
      <c r="C223" s="13">
        <v>20200522</v>
      </c>
      <c r="D223" s="13" t="s">
        <v>24</v>
      </c>
      <c r="E223" s="13" t="s">
        <v>1770</v>
      </c>
      <c r="F223" s="39" t="s">
        <v>1802</v>
      </c>
      <c r="G223" s="14">
        <v>1479179</v>
      </c>
      <c r="H223" s="164" t="s">
        <v>72</v>
      </c>
      <c r="I223" s="13" t="s">
        <v>1803</v>
      </c>
      <c r="J223" s="164" t="s">
        <v>72</v>
      </c>
      <c r="K223" s="13" t="s">
        <v>73</v>
      </c>
      <c r="L223" s="13" t="s">
        <v>1804</v>
      </c>
      <c r="M223" s="13"/>
      <c r="N223" s="13" t="s">
        <v>1034</v>
      </c>
      <c r="O223" s="14" t="s">
        <v>72</v>
      </c>
      <c r="P223" s="14" t="s">
        <v>1805</v>
      </c>
      <c r="Q223" s="165"/>
      <c r="R223" s="164" t="s">
        <v>72</v>
      </c>
      <c r="S223" s="13" t="s">
        <v>78</v>
      </c>
      <c r="T223" s="13"/>
      <c r="U223" s="13"/>
      <c r="V223" s="13">
        <v>26</v>
      </c>
      <c r="W223" s="13">
        <v>26</v>
      </c>
      <c r="X223" s="13">
        <v>26</v>
      </c>
      <c r="Y223" s="13">
        <v>0.46</v>
      </c>
      <c r="Z223" s="13">
        <v>0.5</v>
      </c>
      <c r="AA223" s="13" t="s">
        <v>110</v>
      </c>
      <c r="AB223" s="58">
        <v>43977</v>
      </c>
      <c r="AC223" s="58">
        <v>43973</v>
      </c>
      <c r="AD223" s="58">
        <v>43977</v>
      </c>
      <c r="AE223" s="58">
        <v>43977</v>
      </c>
      <c r="AF223" s="58">
        <v>43977</v>
      </c>
      <c r="AG223" s="58" t="s">
        <v>75</v>
      </c>
      <c r="AH223" s="59">
        <v>1</v>
      </c>
      <c r="AI223" s="59">
        <v>1</v>
      </c>
      <c r="AJ223" s="59">
        <v>1</v>
      </c>
      <c r="AK223" s="58" t="s">
        <v>8</v>
      </c>
      <c r="AL223" s="13"/>
      <c r="AM223" s="13"/>
      <c r="AN223" s="13"/>
    </row>
    <row r="224" spans="2:40" ht="15">
      <c r="B224" s="190">
        <v>105</v>
      </c>
      <c r="C224" s="13">
        <v>20200522</v>
      </c>
      <c r="D224" s="13" t="s">
        <v>24</v>
      </c>
      <c r="E224" s="13" t="s">
        <v>1806</v>
      </c>
      <c r="F224" s="39" t="s">
        <v>1807</v>
      </c>
      <c r="G224" s="14">
        <v>1481841</v>
      </c>
      <c r="H224" s="164" t="s">
        <v>72</v>
      </c>
      <c r="I224" s="13" t="s">
        <v>1666</v>
      </c>
      <c r="J224" s="164" t="s">
        <v>72</v>
      </c>
      <c r="K224" s="13" t="s">
        <v>73</v>
      </c>
      <c r="L224" s="13" t="s">
        <v>1808</v>
      </c>
      <c r="M224" s="13" t="s">
        <v>8</v>
      </c>
      <c r="N224" s="13" t="s">
        <v>1809</v>
      </c>
      <c r="O224" s="14" t="s">
        <v>72</v>
      </c>
      <c r="P224" s="14" t="s">
        <v>1663</v>
      </c>
      <c r="Q224" s="165"/>
      <c r="R224" s="164" t="s">
        <v>72</v>
      </c>
      <c r="S224" s="13" t="s">
        <v>74</v>
      </c>
      <c r="T224" s="13"/>
      <c r="U224" s="13"/>
      <c r="V224" s="13">
        <v>296</v>
      </c>
      <c r="W224" s="13">
        <v>296</v>
      </c>
      <c r="X224" s="13">
        <v>296</v>
      </c>
      <c r="Y224" s="13">
        <v>5.26</v>
      </c>
      <c r="Z224" s="13">
        <v>2</v>
      </c>
      <c r="AA224" s="13" t="s">
        <v>110</v>
      </c>
      <c r="AB224" s="58">
        <v>43978</v>
      </c>
      <c r="AC224" s="58">
        <v>43973</v>
      </c>
      <c r="AD224" s="58">
        <v>43979</v>
      </c>
      <c r="AE224" s="58">
        <v>43977</v>
      </c>
      <c r="AF224" s="58">
        <v>43977</v>
      </c>
      <c r="AG224" s="58" t="s">
        <v>75</v>
      </c>
      <c r="AH224" s="59">
        <v>1</v>
      </c>
      <c r="AI224" s="59">
        <v>1</v>
      </c>
      <c r="AJ224" s="59">
        <v>1</v>
      </c>
      <c r="AK224" s="58" t="s">
        <v>8</v>
      </c>
      <c r="AL224" s="13"/>
      <c r="AM224" s="13"/>
      <c r="AN224" s="13"/>
    </row>
    <row r="225" spans="2:40" ht="15">
      <c r="B225" s="190">
        <v>106</v>
      </c>
      <c r="C225" s="13">
        <v>20200522</v>
      </c>
      <c r="D225" s="13" t="s">
        <v>24</v>
      </c>
      <c r="E225" s="13" t="s">
        <v>1806</v>
      </c>
      <c r="F225" s="39" t="s">
        <v>1810</v>
      </c>
      <c r="G225" s="14">
        <v>1481841</v>
      </c>
      <c r="H225" s="164" t="s">
        <v>72</v>
      </c>
      <c r="I225" s="13" t="s">
        <v>17</v>
      </c>
      <c r="J225" s="164" t="s">
        <v>72</v>
      </c>
      <c r="K225" s="13" t="s">
        <v>73</v>
      </c>
      <c r="L225" s="13" t="s">
        <v>1808</v>
      </c>
      <c r="M225" s="13" t="s">
        <v>8</v>
      </c>
      <c r="N225" s="13" t="s">
        <v>1809</v>
      </c>
      <c r="O225" s="14" t="s">
        <v>72</v>
      </c>
      <c r="P225" s="14" t="s">
        <v>1663</v>
      </c>
      <c r="Q225" s="165"/>
      <c r="R225" s="164" t="s">
        <v>72</v>
      </c>
      <c r="S225" s="13" t="s">
        <v>74</v>
      </c>
      <c r="T225" s="13"/>
      <c r="U225" s="13"/>
      <c r="V225" s="13">
        <v>184</v>
      </c>
      <c r="W225" s="13">
        <v>184</v>
      </c>
      <c r="X225" s="13">
        <v>184</v>
      </c>
      <c r="Y225" s="13">
        <v>3.27</v>
      </c>
      <c r="Z225" s="13">
        <v>1</v>
      </c>
      <c r="AA225" s="13" t="s">
        <v>110</v>
      </c>
      <c r="AB225" s="58">
        <v>43978</v>
      </c>
      <c r="AC225" s="58">
        <v>43973</v>
      </c>
      <c r="AD225" s="58">
        <v>43979</v>
      </c>
      <c r="AE225" s="58">
        <v>43977</v>
      </c>
      <c r="AF225" s="58">
        <v>43977</v>
      </c>
      <c r="AG225" s="58" t="s">
        <v>75</v>
      </c>
      <c r="AH225" s="59">
        <v>1</v>
      </c>
      <c r="AI225" s="59">
        <v>1</v>
      </c>
      <c r="AJ225" s="59">
        <v>1</v>
      </c>
      <c r="AK225" s="58" t="s">
        <v>8</v>
      </c>
      <c r="AL225" s="13"/>
      <c r="AM225" s="13"/>
      <c r="AN225" s="13"/>
    </row>
    <row r="226" spans="2:40" ht="15">
      <c r="B226" s="190">
        <v>107</v>
      </c>
      <c r="C226" s="13">
        <v>20200522</v>
      </c>
      <c r="D226" s="13" t="s">
        <v>24</v>
      </c>
      <c r="E226" s="13" t="s">
        <v>1806</v>
      </c>
      <c r="F226" s="39" t="s">
        <v>1811</v>
      </c>
      <c r="G226" s="14">
        <v>1481841</v>
      </c>
      <c r="H226" s="164" t="s">
        <v>72</v>
      </c>
      <c r="I226" s="13" t="s">
        <v>1660</v>
      </c>
      <c r="J226" s="164" t="s">
        <v>72</v>
      </c>
      <c r="K226" s="13" t="s">
        <v>73</v>
      </c>
      <c r="L226" s="13" t="s">
        <v>1808</v>
      </c>
      <c r="M226" s="13" t="s">
        <v>8</v>
      </c>
      <c r="N226" s="13" t="s">
        <v>1809</v>
      </c>
      <c r="O226" s="14" t="s">
        <v>72</v>
      </c>
      <c r="P226" s="14" t="s">
        <v>1663</v>
      </c>
      <c r="Q226" s="165"/>
      <c r="R226" s="164" t="s">
        <v>72</v>
      </c>
      <c r="S226" s="13" t="s">
        <v>74</v>
      </c>
      <c r="T226" s="13"/>
      <c r="U226" s="13"/>
      <c r="V226" s="13">
        <v>641</v>
      </c>
      <c r="W226" s="13">
        <v>641</v>
      </c>
      <c r="X226" s="13">
        <v>641</v>
      </c>
      <c r="Y226" s="13">
        <v>11.39</v>
      </c>
      <c r="Z226" s="13">
        <v>4</v>
      </c>
      <c r="AA226" s="13" t="s">
        <v>110</v>
      </c>
      <c r="AB226" s="58">
        <v>43978</v>
      </c>
      <c r="AC226" s="58">
        <v>43973</v>
      </c>
      <c r="AD226" s="58">
        <v>43979</v>
      </c>
      <c r="AE226" s="58">
        <v>43977</v>
      </c>
      <c r="AF226" s="58">
        <v>43977</v>
      </c>
      <c r="AG226" s="58" t="s">
        <v>79</v>
      </c>
      <c r="AH226" s="59">
        <v>0.98</v>
      </c>
      <c r="AI226" s="59">
        <v>0.96</v>
      </c>
      <c r="AJ226" s="59">
        <v>0.9</v>
      </c>
      <c r="AK226" s="58" t="s">
        <v>76</v>
      </c>
      <c r="AL226" s="13" t="s">
        <v>1812</v>
      </c>
      <c r="AM226" s="13"/>
      <c r="AN226" s="13" t="s">
        <v>1793</v>
      </c>
    </row>
    <row r="227" spans="2:40" ht="15">
      <c r="B227" s="190">
        <v>108</v>
      </c>
      <c r="C227" s="13">
        <v>20200522</v>
      </c>
      <c r="D227" s="13" t="s">
        <v>24</v>
      </c>
      <c r="E227" s="13" t="s">
        <v>1806</v>
      </c>
      <c r="F227" s="39" t="s">
        <v>1813</v>
      </c>
      <c r="G227" s="14">
        <v>1481841</v>
      </c>
      <c r="H227" s="164" t="s">
        <v>72</v>
      </c>
      <c r="I227" s="13" t="s">
        <v>1814</v>
      </c>
      <c r="J227" s="164" t="s">
        <v>72</v>
      </c>
      <c r="K227" s="13" t="s">
        <v>73</v>
      </c>
      <c r="L227" s="13" t="s">
        <v>1808</v>
      </c>
      <c r="M227" s="13" t="s">
        <v>8</v>
      </c>
      <c r="N227" s="13" t="s">
        <v>1809</v>
      </c>
      <c r="O227" s="14" t="s">
        <v>72</v>
      </c>
      <c r="P227" s="14" t="s">
        <v>1663</v>
      </c>
      <c r="Q227" s="165"/>
      <c r="R227" s="164" t="s">
        <v>72</v>
      </c>
      <c r="S227" s="13" t="s">
        <v>77</v>
      </c>
      <c r="T227" s="13"/>
      <c r="U227" s="13"/>
      <c r="V227" s="13">
        <v>25</v>
      </c>
      <c r="W227" s="13">
        <v>25</v>
      </c>
      <c r="X227" s="13">
        <v>25</v>
      </c>
      <c r="Y227" s="13">
        <v>0.44</v>
      </c>
      <c r="Z227" s="13">
        <v>0.1</v>
      </c>
      <c r="AA227" s="13" t="s">
        <v>110</v>
      </c>
      <c r="AB227" s="58">
        <v>43978</v>
      </c>
      <c r="AC227" s="58">
        <v>43973</v>
      </c>
      <c r="AD227" s="58">
        <v>43979</v>
      </c>
      <c r="AE227" s="58">
        <v>43977</v>
      </c>
      <c r="AF227" s="58">
        <v>43977</v>
      </c>
      <c r="AG227" s="58" t="s">
        <v>75</v>
      </c>
      <c r="AH227" s="171" t="s">
        <v>72</v>
      </c>
      <c r="AI227" s="171" t="s">
        <v>72</v>
      </c>
      <c r="AJ227" s="171" t="s">
        <v>72</v>
      </c>
      <c r="AK227" s="58" t="s">
        <v>8</v>
      </c>
      <c r="AL227" s="176" t="s">
        <v>72</v>
      </c>
      <c r="AM227" s="176" t="s">
        <v>72</v>
      </c>
      <c r="AN227" s="191" t="s">
        <v>574</v>
      </c>
    </row>
    <row r="228" spans="2:40" ht="15">
      <c r="B228" s="190">
        <v>109</v>
      </c>
      <c r="C228" s="13">
        <v>20200522</v>
      </c>
      <c r="D228" s="13" t="s">
        <v>24</v>
      </c>
      <c r="E228" s="13" t="s">
        <v>1806</v>
      </c>
      <c r="F228" s="39" t="s">
        <v>1815</v>
      </c>
      <c r="G228" s="14">
        <v>1481841</v>
      </c>
      <c r="H228" s="164" t="s">
        <v>72</v>
      </c>
      <c r="I228" s="13" t="s">
        <v>130</v>
      </c>
      <c r="J228" s="164" t="s">
        <v>72</v>
      </c>
      <c r="K228" s="13" t="s">
        <v>73</v>
      </c>
      <c r="L228" s="13" t="s">
        <v>1808</v>
      </c>
      <c r="M228" s="13" t="s">
        <v>8</v>
      </c>
      <c r="N228" s="13" t="s">
        <v>1809</v>
      </c>
      <c r="O228" s="14" t="s">
        <v>72</v>
      </c>
      <c r="P228" s="14" t="s">
        <v>1663</v>
      </c>
      <c r="Q228" s="165"/>
      <c r="R228" s="164" t="s">
        <v>72</v>
      </c>
      <c r="S228" s="13" t="s">
        <v>77</v>
      </c>
      <c r="T228" s="13"/>
      <c r="U228" s="13"/>
      <c r="V228" s="13">
        <v>220</v>
      </c>
      <c r="W228" s="13">
        <v>220</v>
      </c>
      <c r="X228" s="13">
        <v>220</v>
      </c>
      <c r="Y228" s="13">
        <v>3.91</v>
      </c>
      <c r="Z228" s="13">
        <v>2</v>
      </c>
      <c r="AA228" s="13" t="s">
        <v>110</v>
      </c>
      <c r="AB228" s="58">
        <v>43978</v>
      </c>
      <c r="AC228" s="58">
        <v>43973</v>
      </c>
      <c r="AD228" s="58">
        <v>43979</v>
      </c>
      <c r="AE228" s="58">
        <v>43977</v>
      </c>
      <c r="AF228" s="58">
        <v>43977</v>
      </c>
      <c r="AG228" s="58" t="s">
        <v>75</v>
      </c>
      <c r="AH228" s="59">
        <v>1</v>
      </c>
      <c r="AI228" s="59">
        <v>1</v>
      </c>
      <c r="AJ228" s="59">
        <v>1</v>
      </c>
      <c r="AK228" s="58" t="s">
        <v>8</v>
      </c>
      <c r="AL228" s="176" t="s">
        <v>72</v>
      </c>
      <c r="AM228" s="176" t="s">
        <v>72</v>
      </c>
      <c r="AN228" s="13" t="s">
        <v>72</v>
      </c>
    </row>
    <row r="229" spans="2:40" ht="15">
      <c r="B229" s="190">
        <v>110</v>
      </c>
      <c r="C229" s="13">
        <v>20200522</v>
      </c>
      <c r="D229" s="13" t="s">
        <v>24</v>
      </c>
      <c r="E229" s="13" t="s">
        <v>1806</v>
      </c>
      <c r="F229" s="39" t="s">
        <v>1816</v>
      </c>
      <c r="G229" s="14">
        <v>1481841</v>
      </c>
      <c r="H229" s="164" t="s">
        <v>72</v>
      </c>
      <c r="I229" s="13" t="s">
        <v>1817</v>
      </c>
      <c r="J229" s="164" t="s">
        <v>72</v>
      </c>
      <c r="K229" s="13" t="s">
        <v>73</v>
      </c>
      <c r="L229" s="13" t="s">
        <v>1808</v>
      </c>
      <c r="M229" s="13" t="s">
        <v>8</v>
      </c>
      <c r="N229" s="13" t="s">
        <v>1809</v>
      </c>
      <c r="O229" s="14" t="s">
        <v>72</v>
      </c>
      <c r="P229" s="14" t="s">
        <v>1663</v>
      </c>
      <c r="Q229" s="165"/>
      <c r="R229" s="164" t="s">
        <v>72</v>
      </c>
      <c r="S229" s="13" t="s">
        <v>77</v>
      </c>
      <c r="T229" s="13"/>
      <c r="U229" s="13"/>
      <c r="V229" s="13">
        <v>7</v>
      </c>
      <c r="W229" s="13">
        <v>7</v>
      </c>
      <c r="X229" s="13">
        <v>7</v>
      </c>
      <c r="Y229" s="13">
        <v>0.12</v>
      </c>
      <c r="Z229" s="13">
        <v>0.1</v>
      </c>
      <c r="AA229" s="13" t="s">
        <v>110</v>
      </c>
      <c r="AB229" s="58">
        <v>43978</v>
      </c>
      <c r="AC229" s="58">
        <v>43973</v>
      </c>
      <c r="AD229" s="58">
        <v>43979</v>
      </c>
      <c r="AE229" s="58">
        <v>43977</v>
      </c>
      <c r="AF229" s="58">
        <v>43977</v>
      </c>
      <c r="AG229" s="58" t="s">
        <v>75</v>
      </c>
      <c r="AH229" s="59">
        <v>1</v>
      </c>
      <c r="AI229" s="59">
        <v>1</v>
      </c>
      <c r="AJ229" s="59">
        <v>1</v>
      </c>
      <c r="AK229" s="58" t="s">
        <v>8</v>
      </c>
      <c r="AL229" s="176" t="s">
        <v>72</v>
      </c>
      <c r="AM229" s="176" t="s">
        <v>72</v>
      </c>
      <c r="AN229" s="13" t="s">
        <v>72</v>
      </c>
    </row>
    <row r="230" spans="2:40" ht="15">
      <c r="B230" s="190">
        <v>111</v>
      </c>
      <c r="C230" s="13">
        <v>20200522</v>
      </c>
      <c r="D230" s="13" t="s">
        <v>24</v>
      </c>
      <c r="E230" s="13" t="s">
        <v>1806</v>
      </c>
      <c r="F230" s="39" t="s">
        <v>1818</v>
      </c>
      <c r="G230" s="14">
        <v>1481841</v>
      </c>
      <c r="H230" s="164" t="s">
        <v>72</v>
      </c>
      <c r="I230" s="13" t="s">
        <v>1819</v>
      </c>
      <c r="J230" s="164" t="s">
        <v>72</v>
      </c>
      <c r="K230" s="13" t="s">
        <v>73</v>
      </c>
      <c r="L230" s="13" t="s">
        <v>1808</v>
      </c>
      <c r="M230" s="13" t="s">
        <v>8</v>
      </c>
      <c r="N230" s="13" t="s">
        <v>1809</v>
      </c>
      <c r="O230" s="14" t="s">
        <v>72</v>
      </c>
      <c r="P230" s="14" t="s">
        <v>1663</v>
      </c>
      <c r="Q230" s="165"/>
      <c r="R230" s="164" t="s">
        <v>72</v>
      </c>
      <c r="S230" s="13" t="s">
        <v>77</v>
      </c>
      <c r="T230" s="13"/>
      <c r="U230" s="13"/>
      <c r="V230" s="13">
        <v>7</v>
      </c>
      <c r="W230" s="13">
        <v>7</v>
      </c>
      <c r="X230" s="13">
        <v>7</v>
      </c>
      <c r="Y230" s="13">
        <v>0.12</v>
      </c>
      <c r="Z230" s="13">
        <v>0.1</v>
      </c>
      <c r="AA230" s="13" t="s">
        <v>110</v>
      </c>
      <c r="AB230" s="58">
        <v>43978</v>
      </c>
      <c r="AC230" s="58">
        <v>43973</v>
      </c>
      <c r="AD230" s="58">
        <v>43979</v>
      </c>
      <c r="AE230" s="58">
        <v>43977</v>
      </c>
      <c r="AF230" s="58">
        <v>43977</v>
      </c>
      <c r="AG230" s="58" t="s">
        <v>75</v>
      </c>
      <c r="AH230" s="59">
        <v>1</v>
      </c>
      <c r="AI230" s="59">
        <v>1</v>
      </c>
      <c r="AJ230" s="59">
        <v>1</v>
      </c>
      <c r="AK230" s="58" t="s">
        <v>8</v>
      </c>
      <c r="AL230" s="176" t="s">
        <v>72</v>
      </c>
      <c r="AM230" s="176" t="s">
        <v>72</v>
      </c>
      <c r="AN230" s="13" t="s">
        <v>72</v>
      </c>
    </row>
    <row r="231" spans="2:40" ht="15">
      <c r="B231" s="190">
        <v>112</v>
      </c>
      <c r="C231" s="13">
        <v>20200522</v>
      </c>
      <c r="D231" s="13" t="s">
        <v>24</v>
      </c>
      <c r="E231" s="13" t="s">
        <v>1806</v>
      </c>
      <c r="F231" s="39" t="s">
        <v>1820</v>
      </c>
      <c r="G231" s="14">
        <v>1481841</v>
      </c>
      <c r="H231" s="164" t="s">
        <v>72</v>
      </c>
      <c r="I231" s="13" t="s">
        <v>1821</v>
      </c>
      <c r="J231" s="164" t="s">
        <v>72</v>
      </c>
      <c r="K231" s="13" t="s">
        <v>73</v>
      </c>
      <c r="L231" s="13" t="s">
        <v>1808</v>
      </c>
      <c r="M231" s="13" t="s">
        <v>8</v>
      </c>
      <c r="N231" s="13" t="s">
        <v>1809</v>
      </c>
      <c r="O231" s="14" t="s">
        <v>72</v>
      </c>
      <c r="P231" s="14" t="s">
        <v>1663</v>
      </c>
      <c r="Q231" s="165"/>
      <c r="R231" s="164" t="s">
        <v>72</v>
      </c>
      <c r="S231" s="13" t="s">
        <v>77</v>
      </c>
      <c r="T231" s="13"/>
      <c r="U231" s="13"/>
      <c r="V231" s="13">
        <v>7</v>
      </c>
      <c r="W231" s="13">
        <v>7</v>
      </c>
      <c r="X231" s="13">
        <v>7</v>
      </c>
      <c r="Y231" s="13">
        <v>0.12</v>
      </c>
      <c r="Z231" s="13">
        <v>0.1</v>
      </c>
      <c r="AA231" s="13" t="s">
        <v>110</v>
      </c>
      <c r="AB231" s="58">
        <v>43978</v>
      </c>
      <c r="AC231" s="58">
        <v>43973</v>
      </c>
      <c r="AD231" s="58">
        <v>43979</v>
      </c>
      <c r="AE231" s="58">
        <v>43977</v>
      </c>
      <c r="AF231" s="58">
        <v>43977</v>
      </c>
      <c r="AG231" s="58" t="s">
        <v>75</v>
      </c>
      <c r="AH231" s="59">
        <v>1</v>
      </c>
      <c r="AI231" s="59">
        <v>1</v>
      </c>
      <c r="AJ231" s="59">
        <v>1</v>
      </c>
      <c r="AK231" s="58" t="s">
        <v>8</v>
      </c>
      <c r="AL231" s="176" t="s">
        <v>72</v>
      </c>
      <c r="AM231" s="176" t="s">
        <v>72</v>
      </c>
      <c r="AN231" s="13" t="s">
        <v>72</v>
      </c>
    </row>
    <row r="232" spans="2:40" ht="15">
      <c r="B232" s="190">
        <v>113</v>
      </c>
      <c r="C232" s="13">
        <v>20200522</v>
      </c>
      <c r="D232" s="13" t="s">
        <v>24</v>
      </c>
      <c r="E232" s="13" t="s">
        <v>1806</v>
      </c>
      <c r="F232" s="39" t="s">
        <v>1822</v>
      </c>
      <c r="G232" s="14">
        <v>1481841</v>
      </c>
      <c r="H232" s="164" t="s">
        <v>72</v>
      </c>
      <c r="I232" s="13" t="s">
        <v>32</v>
      </c>
      <c r="J232" s="164" t="s">
        <v>72</v>
      </c>
      <c r="K232" s="13" t="s">
        <v>73</v>
      </c>
      <c r="L232" s="13" t="s">
        <v>1808</v>
      </c>
      <c r="M232" s="13" t="s">
        <v>8</v>
      </c>
      <c r="N232" s="13" t="s">
        <v>1809</v>
      </c>
      <c r="O232" s="14" t="s">
        <v>72</v>
      </c>
      <c r="P232" s="14" t="s">
        <v>1663</v>
      </c>
      <c r="Q232" s="165"/>
      <c r="R232" s="164" t="s">
        <v>72</v>
      </c>
      <c r="S232" s="13" t="s">
        <v>77</v>
      </c>
      <c r="T232" s="13"/>
      <c r="U232" s="13"/>
      <c r="V232" s="13">
        <v>259</v>
      </c>
      <c r="W232" s="13">
        <v>259</v>
      </c>
      <c r="X232" s="13">
        <v>259</v>
      </c>
      <c r="Y232" s="13">
        <v>4.5999999999999996</v>
      </c>
      <c r="Z232" s="13">
        <v>1</v>
      </c>
      <c r="AA232" s="13" t="s">
        <v>110</v>
      </c>
      <c r="AB232" s="58">
        <v>43978</v>
      </c>
      <c r="AC232" s="58">
        <v>43973</v>
      </c>
      <c r="AD232" s="58">
        <v>43979</v>
      </c>
      <c r="AE232" s="58">
        <v>43977</v>
      </c>
      <c r="AF232" s="58">
        <v>43977</v>
      </c>
      <c r="AG232" s="58" t="s">
        <v>79</v>
      </c>
      <c r="AH232" s="59">
        <v>1</v>
      </c>
      <c r="AI232" s="59">
        <v>1</v>
      </c>
      <c r="AJ232" s="59">
        <v>0.84</v>
      </c>
      <c r="AK232" s="58" t="s">
        <v>76</v>
      </c>
      <c r="AL232" s="14" t="s">
        <v>1823</v>
      </c>
      <c r="AM232" s="13"/>
      <c r="AN232" s="14" t="s">
        <v>1824</v>
      </c>
    </row>
    <row r="233" spans="2:40" ht="15">
      <c r="B233" s="190">
        <v>114</v>
      </c>
      <c r="C233" s="13">
        <v>20200522</v>
      </c>
      <c r="D233" s="13" t="s">
        <v>24</v>
      </c>
      <c r="E233" s="13" t="s">
        <v>1806</v>
      </c>
      <c r="F233" s="39" t="s">
        <v>1825</v>
      </c>
      <c r="G233" s="14">
        <v>1481841</v>
      </c>
      <c r="H233" s="164" t="s">
        <v>72</v>
      </c>
      <c r="I233" s="13" t="s">
        <v>35</v>
      </c>
      <c r="J233" s="164" t="s">
        <v>72</v>
      </c>
      <c r="K233" s="13" t="s">
        <v>73</v>
      </c>
      <c r="L233" s="13" t="s">
        <v>1808</v>
      </c>
      <c r="M233" s="13" t="s">
        <v>8</v>
      </c>
      <c r="N233" s="13" t="s">
        <v>1809</v>
      </c>
      <c r="O233" s="14" t="s">
        <v>72</v>
      </c>
      <c r="P233" s="14" t="s">
        <v>1663</v>
      </c>
      <c r="Q233" s="165"/>
      <c r="R233" s="164" t="s">
        <v>72</v>
      </c>
      <c r="S233" s="13" t="s">
        <v>74</v>
      </c>
      <c r="T233" s="13"/>
      <c r="U233" s="13"/>
      <c r="V233" s="13">
        <v>371</v>
      </c>
      <c r="W233" s="13">
        <v>371</v>
      </c>
      <c r="X233" s="13">
        <v>371</v>
      </c>
      <c r="Y233" s="13">
        <v>6.59</v>
      </c>
      <c r="Z233" s="13">
        <v>1</v>
      </c>
      <c r="AA233" s="13" t="s">
        <v>110</v>
      </c>
      <c r="AB233" s="58">
        <v>43978</v>
      </c>
      <c r="AC233" s="58">
        <v>43973</v>
      </c>
      <c r="AD233" s="58">
        <v>43979</v>
      </c>
      <c r="AE233" s="58">
        <v>43978</v>
      </c>
      <c r="AF233" s="58">
        <v>43978</v>
      </c>
      <c r="AG233" s="58" t="s">
        <v>75</v>
      </c>
      <c r="AH233" s="59">
        <v>1</v>
      </c>
      <c r="AI233" s="59">
        <v>1</v>
      </c>
      <c r="AJ233" s="59">
        <v>1</v>
      </c>
      <c r="AK233" s="58" t="s">
        <v>8</v>
      </c>
      <c r="AL233" s="13"/>
      <c r="AM233" s="13"/>
      <c r="AN233" s="13"/>
    </row>
    <row r="234" spans="2:40" ht="15">
      <c r="B234" s="190">
        <v>115</v>
      </c>
      <c r="C234" s="13">
        <v>20200522</v>
      </c>
      <c r="D234" s="13" t="s">
        <v>24</v>
      </c>
      <c r="E234" s="13" t="s">
        <v>1806</v>
      </c>
      <c r="F234" s="39" t="s">
        <v>1826</v>
      </c>
      <c r="G234" s="14">
        <v>1481841</v>
      </c>
      <c r="H234" s="164" t="s">
        <v>72</v>
      </c>
      <c r="I234" s="13" t="s">
        <v>38</v>
      </c>
      <c r="J234" s="164" t="s">
        <v>72</v>
      </c>
      <c r="K234" s="13" t="s">
        <v>73</v>
      </c>
      <c r="L234" s="13" t="s">
        <v>1808</v>
      </c>
      <c r="M234" s="13" t="s">
        <v>8</v>
      </c>
      <c r="N234" s="13" t="s">
        <v>1809</v>
      </c>
      <c r="O234" s="14" t="s">
        <v>72</v>
      </c>
      <c r="P234" s="14" t="s">
        <v>1663</v>
      </c>
      <c r="Q234" s="165"/>
      <c r="R234" s="164" t="s">
        <v>72</v>
      </c>
      <c r="S234" s="13" t="s">
        <v>77</v>
      </c>
      <c r="T234" s="13"/>
      <c r="U234" s="13"/>
      <c r="V234" s="13">
        <v>115</v>
      </c>
      <c r="W234" s="13">
        <v>115</v>
      </c>
      <c r="X234" s="13">
        <v>115</v>
      </c>
      <c r="Y234" s="13">
        <v>2.04</v>
      </c>
      <c r="Z234" s="13">
        <v>0.5</v>
      </c>
      <c r="AA234" s="13" t="s">
        <v>110</v>
      </c>
      <c r="AB234" s="58">
        <v>43978</v>
      </c>
      <c r="AC234" s="58">
        <v>43973</v>
      </c>
      <c r="AD234" s="58">
        <v>43979</v>
      </c>
      <c r="AE234" s="58">
        <v>43977</v>
      </c>
      <c r="AF234" s="58">
        <v>43977</v>
      </c>
      <c r="AG234" s="58" t="s">
        <v>75</v>
      </c>
      <c r="AH234" s="59">
        <v>1</v>
      </c>
      <c r="AI234" s="59">
        <v>1</v>
      </c>
      <c r="AJ234" s="59">
        <v>1</v>
      </c>
      <c r="AK234" s="58" t="s">
        <v>8</v>
      </c>
      <c r="AL234" s="14" t="s">
        <v>72</v>
      </c>
      <c r="AM234" s="14" t="s">
        <v>72</v>
      </c>
      <c r="AN234" s="14" t="s">
        <v>72</v>
      </c>
    </row>
    <row r="235" spans="2:40" ht="15">
      <c r="B235" s="192">
        <v>116</v>
      </c>
      <c r="C235" s="13">
        <v>20200522</v>
      </c>
      <c r="D235" s="13" t="s">
        <v>24</v>
      </c>
      <c r="E235" s="13" t="s">
        <v>1827</v>
      </c>
      <c r="F235" s="39" t="s">
        <v>1828</v>
      </c>
      <c r="G235" s="14">
        <v>1482572</v>
      </c>
      <c r="H235" s="164" t="s">
        <v>72</v>
      </c>
      <c r="I235" s="13" t="s">
        <v>135</v>
      </c>
      <c r="J235" s="164" t="s">
        <v>72</v>
      </c>
      <c r="K235" s="13" t="s">
        <v>73</v>
      </c>
      <c r="L235" s="13" t="s">
        <v>27</v>
      </c>
      <c r="M235" s="13" t="s">
        <v>1787</v>
      </c>
      <c r="N235" s="13" t="s">
        <v>1829</v>
      </c>
      <c r="O235" s="14" t="s">
        <v>72</v>
      </c>
      <c r="P235" s="14" t="s">
        <v>7</v>
      </c>
      <c r="Q235" s="165"/>
      <c r="R235" s="164" t="s">
        <v>72</v>
      </c>
      <c r="S235" s="13" t="s">
        <v>109</v>
      </c>
      <c r="T235" s="13"/>
      <c r="U235" s="13"/>
      <c r="V235" s="13">
        <v>20</v>
      </c>
      <c r="W235" s="13">
        <v>20</v>
      </c>
      <c r="X235" s="13">
        <v>20</v>
      </c>
      <c r="Y235" s="13">
        <v>0.35</v>
      </c>
      <c r="Z235" s="13">
        <v>0.5</v>
      </c>
      <c r="AA235" s="13" t="s">
        <v>110</v>
      </c>
      <c r="AB235" s="58">
        <v>43977</v>
      </c>
      <c r="AC235" s="58">
        <v>43973</v>
      </c>
      <c r="AD235" s="58">
        <v>43977</v>
      </c>
      <c r="AE235" s="58">
        <v>43977</v>
      </c>
      <c r="AF235" s="58">
        <v>43977</v>
      </c>
      <c r="AG235" s="58" t="s">
        <v>75</v>
      </c>
      <c r="AH235" s="59">
        <v>1</v>
      </c>
      <c r="AI235" s="59">
        <v>1</v>
      </c>
      <c r="AJ235" s="59">
        <v>1</v>
      </c>
      <c r="AK235" s="58" t="s">
        <v>8</v>
      </c>
      <c r="AL235" s="181" t="s">
        <v>72</v>
      </c>
      <c r="AM235" s="181" t="s">
        <v>72</v>
      </c>
      <c r="AN235" s="181" t="s">
        <v>72</v>
      </c>
    </row>
    <row r="236" spans="2:40" ht="15">
      <c r="B236" s="192">
        <v>117</v>
      </c>
      <c r="C236" s="13">
        <v>20200522</v>
      </c>
      <c r="D236" s="13" t="s">
        <v>24</v>
      </c>
      <c r="E236" s="13" t="s">
        <v>1830</v>
      </c>
      <c r="F236" s="39" t="s">
        <v>1831</v>
      </c>
      <c r="G236" s="14">
        <v>1481766</v>
      </c>
      <c r="H236" s="164" t="s">
        <v>72</v>
      </c>
      <c r="I236" s="13" t="s">
        <v>348</v>
      </c>
      <c r="J236" s="164" t="s">
        <v>72</v>
      </c>
      <c r="K236" s="13" t="s">
        <v>73</v>
      </c>
      <c r="L236" s="13" t="s">
        <v>1832</v>
      </c>
      <c r="M236" s="13" t="s">
        <v>8</v>
      </c>
      <c r="N236" s="13" t="s">
        <v>887</v>
      </c>
      <c r="O236" s="14" t="s">
        <v>72</v>
      </c>
      <c r="P236" s="14" t="s">
        <v>951</v>
      </c>
      <c r="Q236" s="165"/>
      <c r="R236" s="164" t="s">
        <v>72</v>
      </c>
      <c r="S236" s="13" t="s">
        <v>109</v>
      </c>
      <c r="T236" s="13"/>
      <c r="U236" s="13"/>
      <c r="V236" s="13">
        <v>43</v>
      </c>
      <c r="W236" s="13">
        <v>43</v>
      </c>
      <c r="X236" s="13">
        <v>43</v>
      </c>
      <c r="Y236" s="13">
        <v>0.76</v>
      </c>
      <c r="Z236" s="13">
        <v>0.5</v>
      </c>
      <c r="AA236" s="13" t="s">
        <v>110</v>
      </c>
      <c r="AB236" s="58">
        <v>43980</v>
      </c>
      <c r="AC236" s="58">
        <v>43973</v>
      </c>
      <c r="AD236" s="58">
        <v>43982</v>
      </c>
      <c r="AE236" s="58">
        <v>43976</v>
      </c>
      <c r="AF236" s="58">
        <v>43976</v>
      </c>
      <c r="AG236" s="58" t="s">
        <v>75</v>
      </c>
      <c r="AH236" s="59">
        <v>1</v>
      </c>
      <c r="AI236" s="59">
        <v>1</v>
      </c>
      <c r="AJ236" s="59">
        <v>1</v>
      </c>
      <c r="AK236" s="58" t="s">
        <v>8</v>
      </c>
      <c r="AL236" s="181" t="s">
        <v>72</v>
      </c>
      <c r="AM236" s="181" t="s">
        <v>72</v>
      </c>
      <c r="AN236" s="181" t="s">
        <v>72</v>
      </c>
    </row>
    <row r="237" spans="2:40" ht="15">
      <c r="B237" s="192">
        <v>118</v>
      </c>
      <c r="C237" s="13">
        <v>20200522</v>
      </c>
      <c r="D237" s="13" t="s">
        <v>24</v>
      </c>
      <c r="E237" s="13" t="s">
        <v>1830</v>
      </c>
      <c r="F237" s="39" t="s">
        <v>1494</v>
      </c>
      <c r="G237" s="14">
        <v>1481766</v>
      </c>
      <c r="H237" s="164" t="s">
        <v>72</v>
      </c>
      <c r="I237" s="13" t="s">
        <v>1495</v>
      </c>
      <c r="J237" s="164" t="s">
        <v>72</v>
      </c>
      <c r="K237" s="13" t="s">
        <v>73</v>
      </c>
      <c r="L237" s="13" t="s">
        <v>1832</v>
      </c>
      <c r="M237" s="13" t="s">
        <v>8</v>
      </c>
      <c r="N237" s="13" t="s">
        <v>887</v>
      </c>
      <c r="O237" s="14" t="s">
        <v>72</v>
      </c>
      <c r="P237" s="14" t="s">
        <v>951</v>
      </c>
      <c r="Q237" s="165"/>
      <c r="R237" s="164" t="s">
        <v>72</v>
      </c>
      <c r="S237" s="13" t="s">
        <v>109</v>
      </c>
      <c r="T237" s="13"/>
      <c r="U237" s="13"/>
      <c r="V237" s="13">
        <v>132</v>
      </c>
      <c r="W237" s="13">
        <v>132</v>
      </c>
      <c r="X237" s="13">
        <v>132</v>
      </c>
      <c r="Y237" s="13">
        <v>2.34</v>
      </c>
      <c r="Z237" s="13">
        <v>0.5</v>
      </c>
      <c r="AA237" s="13" t="s">
        <v>110</v>
      </c>
      <c r="AB237" s="58">
        <v>43980</v>
      </c>
      <c r="AC237" s="58">
        <v>43973</v>
      </c>
      <c r="AD237" s="58">
        <v>43982</v>
      </c>
      <c r="AE237" s="58">
        <v>43976</v>
      </c>
      <c r="AF237" s="58">
        <v>43976</v>
      </c>
      <c r="AG237" s="58" t="s">
        <v>75</v>
      </c>
      <c r="AH237" s="59">
        <v>1</v>
      </c>
      <c r="AI237" s="59">
        <v>1</v>
      </c>
      <c r="AJ237" s="59">
        <v>1</v>
      </c>
      <c r="AK237" s="58" t="s">
        <v>8</v>
      </c>
      <c r="AL237" s="181" t="s">
        <v>72</v>
      </c>
      <c r="AM237" s="181" t="s">
        <v>72</v>
      </c>
      <c r="AN237" s="181" t="s">
        <v>72</v>
      </c>
    </row>
    <row r="238" spans="2:40" ht="15">
      <c r="B238" s="192">
        <v>119</v>
      </c>
      <c r="C238" s="13">
        <v>20200522</v>
      </c>
      <c r="D238" s="13" t="s">
        <v>24</v>
      </c>
      <c r="E238" s="13" t="s">
        <v>1830</v>
      </c>
      <c r="F238" s="39" t="s">
        <v>1497</v>
      </c>
      <c r="G238" s="14">
        <v>1481766</v>
      </c>
      <c r="H238" s="164" t="s">
        <v>72</v>
      </c>
      <c r="I238" s="13" t="s">
        <v>1090</v>
      </c>
      <c r="J238" s="164" t="s">
        <v>72</v>
      </c>
      <c r="K238" s="13" t="s">
        <v>73</v>
      </c>
      <c r="L238" s="13" t="s">
        <v>1832</v>
      </c>
      <c r="M238" s="13" t="s">
        <v>8</v>
      </c>
      <c r="N238" s="13" t="s">
        <v>887</v>
      </c>
      <c r="O238" s="14" t="s">
        <v>72</v>
      </c>
      <c r="P238" s="14" t="s">
        <v>951</v>
      </c>
      <c r="Q238" s="165"/>
      <c r="R238" s="164" t="s">
        <v>72</v>
      </c>
      <c r="S238" s="13" t="s">
        <v>117</v>
      </c>
      <c r="T238" s="13"/>
      <c r="U238" s="13"/>
      <c r="V238" s="13">
        <v>72</v>
      </c>
      <c r="W238" s="13">
        <v>72</v>
      </c>
      <c r="X238" s="13">
        <v>72</v>
      </c>
      <c r="Y238" s="13">
        <v>1.28</v>
      </c>
      <c r="Z238" s="13">
        <v>1</v>
      </c>
      <c r="AA238" s="13" t="s">
        <v>110</v>
      </c>
      <c r="AB238" s="58">
        <v>43980</v>
      </c>
      <c r="AC238" s="58">
        <v>43973</v>
      </c>
      <c r="AD238" s="58">
        <v>43982</v>
      </c>
      <c r="AE238" s="58">
        <v>43977</v>
      </c>
      <c r="AF238" s="58">
        <v>43977</v>
      </c>
      <c r="AG238" s="58" t="s">
        <v>75</v>
      </c>
      <c r="AH238" s="59">
        <v>1</v>
      </c>
      <c r="AI238" s="59">
        <v>1</v>
      </c>
      <c r="AJ238" s="59">
        <v>1</v>
      </c>
      <c r="AK238" s="58" t="s">
        <v>8</v>
      </c>
      <c r="AL238" s="181" t="s">
        <v>72</v>
      </c>
      <c r="AM238" s="181" t="s">
        <v>72</v>
      </c>
      <c r="AN238" s="181" t="s">
        <v>72</v>
      </c>
    </row>
    <row r="239" spans="2:40" ht="15">
      <c r="B239" s="192">
        <v>120</v>
      </c>
      <c r="C239" s="13">
        <v>20200522</v>
      </c>
      <c r="D239" s="13" t="s">
        <v>24</v>
      </c>
      <c r="E239" s="13" t="s">
        <v>1830</v>
      </c>
      <c r="F239" s="39" t="s">
        <v>1531</v>
      </c>
      <c r="G239" s="14">
        <v>1482047</v>
      </c>
      <c r="H239" s="164" t="s">
        <v>72</v>
      </c>
      <c r="I239" s="13" t="s">
        <v>120</v>
      </c>
      <c r="J239" s="164" t="s">
        <v>72</v>
      </c>
      <c r="K239" s="13" t="s">
        <v>73</v>
      </c>
      <c r="L239" s="13" t="s">
        <v>1527</v>
      </c>
      <c r="M239" s="13" t="s">
        <v>8</v>
      </c>
      <c r="N239" s="13" t="s">
        <v>887</v>
      </c>
      <c r="O239" s="14" t="s">
        <v>72</v>
      </c>
      <c r="P239" s="14" t="s">
        <v>1286</v>
      </c>
      <c r="Q239" s="165"/>
      <c r="R239" s="164" t="s">
        <v>72</v>
      </c>
      <c r="S239" s="13" t="s">
        <v>109</v>
      </c>
      <c r="T239" s="13"/>
      <c r="U239" s="13"/>
      <c r="V239" s="13">
        <v>175</v>
      </c>
      <c r="W239" s="13">
        <v>175</v>
      </c>
      <c r="X239" s="13">
        <v>175</v>
      </c>
      <c r="Y239" s="13">
        <v>3.11</v>
      </c>
      <c r="Z239" s="13">
        <v>0.5</v>
      </c>
      <c r="AA239" s="13" t="s">
        <v>110</v>
      </c>
      <c r="AB239" s="58">
        <v>43980</v>
      </c>
      <c r="AC239" s="58">
        <v>43973</v>
      </c>
      <c r="AD239" s="58">
        <v>43982</v>
      </c>
      <c r="AE239" s="58">
        <v>43976</v>
      </c>
      <c r="AF239" s="58">
        <v>43976</v>
      </c>
      <c r="AG239" s="58" t="s">
        <v>75</v>
      </c>
      <c r="AH239" s="59">
        <v>1</v>
      </c>
      <c r="AI239" s="59">
        <v>1</v>
      </c>
      <c r="AJ239" s="59">
        <v>1</v>
      </c>
      <c r="AK239" s="58" t="s">
        <v>8</v>
      </c>
      <c r="AL239" s="181" t="s">
        <v>72</v>
      </c>
      <c r="AM239" s="181" t="s">
        <v>72</v>
      </c>
      <c r="AN239" s="181" t="s">
        <v>72</v>
      </c>
    </row>
    <row r="240" spans="2:40" ht="15">
      <c r="B240" s="192">
        <v>121</v>
      </c>
      <c r="C240" s="13">
        <v>20200522</v>
      </c>
      <c r="D240" s="13" t="s">
        <v>311</v>
      </c>
      <c r="E240" s="13" t="s">
        <v>1794</v>
      </c>
      <c r="F240" s="39" t="s">
        <v>72</v>
      </c>
      <c r="G240" s="14">
        <v>1482841</v>
      </c>
      <c r="H240" s="164" t="s">
        <v>72</v>
      </c>
      <c r="I240" s="13" t="s">
        <v>1833</v>
      </c>
      <c r="J240" s="164" t="s">
        <v>72</v>
      </c>
      <c r="K240" s="13" t="s">
        <v>73</v>
      </c>
      <c r="L240" s="13" t="s">
        <v>8</v>
      </c>
      <c r="M240" s="13" t="s">
        <v>1834</v>
      </c>
      <c r="N240" s="13" t="s">
        <v>1835</v>
      </c>
      <c r="O240" s="14">
        <v>1.1000000000000001</v>
      </c>
      <c r="P240" s="14" t="s">
        <v>1798</v>
      </c>
      <c r="Q240" s="165"/>
      <c r="R240" s="164" t="s">
        <v>72</v>
      </c>
      <c r="S240" s="13" t="s">
        <v>161</v>
      </c>
      <c r="T240" s="13"/>
      <c r="U240" s="13"/>
      <c r="V240" s="13">
        <v>5</v>
      </c>
      <c r="W240" s="13">
        <v>5</v>
      </c>
      <c r="X240" s="13">
        <v>5</v>
      </c>
      <c r="Y240" s="13">
        <v>0.3</v>
      </c>
      <c r="Z240" s="13">
        <v>0.3</v>
      </c>
      <c r="AA240" s="13" t="s">
        <v>110</v>
      </c>
      <c r="AB240" s="58">
        <v>43984</v>
      </c>
      <c r="AC240" s="58">
        <v>43973</v>
      </c>
      <c r="AD240" s="58">
        <v>43984</v>
      </c>
      <c r="AE240" s="58">
        <v>43983</v>
      </c>
      <c r="AF240" s="58">
        <v>43983</v>
      </c>
      <c r="AG240" s="58" t="s">
        <v>75</v>
      </c>
      <c r="AH240" s="59">
        <v>1</v>
      </c>
      <c r="AI240" s="59">
        <v>1</v>
      </c>
      <c r="AJ240" s="59">
        <v>1</v>
      </c>
      <c r="AK240" s="58" t="s">
        <v>8</v>
      </c>
      <c r="AL240" s="181" t="s">
        <v>72</v>
      </c>
      <c r="AM240" s="181" t="s">
        <v>72</v>
      </c>
      <c r="AN240" s="181" t="s">
        <v>72</v>
      </c>
    </row>
    <row r="241" spans="2:40" ht="15">
      <c r="B241" s="192">
        <v>122</v>
      </c>
      <c r="C241" s="13">
        <v>20200522</v>
      </c>
      <c r="D241" s="13" t="s">
        <v>311</v>
      </c>
      <c r="E241" s="13" t="s">
        <v>1794</v>
      </c>
      <c r="F241" s="39" t="s">
        <v>72</v>
      </c>
      <c r="G241" s="14">
        <v>1482841</v>
      </c>
      <c r="H241" s="164" t="s">
        <v>72</v>
      </c>
      <c r="I241" s="13" t="s">
        <v>1836</v>
      </c>
      <c r="J241" s="164" t="s">
        <v>72</v>
      </c>
      <c r="K241" s="13" t="s">
        <v>73</v>
      </c>
      <c r="L241" s="13" t="s">
        <v>8</v>
      </c>
      <c r="M241" s="13" t="s">
        <v>1834</v>
      </c>
      <c r="N241" s="13" t="s">
        <v>1835</v>
      </c>
      <c r="O241" s="14" t="s">
        <v>1837</v>
      </c>
      <c r="P241" s="14" t="s">
        <v>1798</v>
      </c>
      <c r="Q241" s="165"/>
      <c r="R241" s="164" t="s">
        <v>72</v>
      </c>
      <c r="S241" s="13" t="s">
        <v>117</v>
      </c>
      <c r="T241" s="13"/>
      <c r="U241" s="13"/>
      <c r="V241" s="13">
        <v>150</v>
      </c>
      <c r="W241" s="13">
        <v>150</v>
      </c>
      <c r="X241" s="13">
        <v>150</v>
      </c>
      <c r="Y241" s="13">
        <v>9.23</v>
      </c>
      <c r="Z241" s="13">
        <v>9</v>
      </c>
      <c r="AA241" s="13" t="s">
        <v>110</v>
      </c>
      <c r="AB241" s="58">
        <v>43986</v>
      </c>
      <c r="AC241" s="58">
        <v>43973</v>
      </c>
      <c r="AD241" s="58">
        <v>43984</v>
      </c>
      <c r="AE241" s="58">
        <v>43986</v>
      </c>
      <c r="AF241" s="58">
        <v>43986</v>
      </c>
      <c r="AG241" s="58" t="s">
        <v>79</v>
      </c>
      <c r="AH241" s="59">
        <v>0.90200000000000002</v>
      </c>
      <c r="AI241" s="59">
        <v>0.90900000000000003</v>
      </c>
      <c r="AJ241" s="59">
        <v>0.91200000000000003</v>
      </c>
      <c r="AK241" s="58" t="s">
        <v>76</v>
      </c>
      <c r="AL241" s="14" t="s">
        <v>1838</v>
      </c>
      <c r="AM241" s="181" t="s">
        <v>72</v>
      </c>
      <c r="AN241" s="13" t="s">
        <v>1839</v>
      </c>
    </row>
    <row r="242" spans="2:40" ht="15">
      <c r="B242" s="192">
        <v>123</v>
      </c>
      <c r="C242" s="13">
        <v>20200522</v>
      </c>
      <c r="D242" s="13" t="s">
        <v>24</v>
      </c>
      <c r="E242" s="13" t="s">
        <v>1758</v>
      </c>
      <c r="F242" s="39" t="s">
        <v>1840</v>
      </c>
      <c r="G242" s="14">
        <v>1479289</v>
      </c>
      <c r="H242" s="164" t="s">
        <v>72</v>
      </c>
      <c r="I242" s="13" t="s">
        <v>1841</v>
      </c>
      <c r="J242" s="164" t="s">
        <v>72</v>
      </c>
      <c r="K242" s="13" t="s">
        <v>73</v>
      </c>
      <c r="L242" s="13" t="s">
        <v>2</v>
      </c>
      <c r="M242" s="13" t="s">
        <v>8</v>
      </c>
      <c r="N242" s="13" t="s">
        <v>3</v>
      </c>
      <c r="O242" s="14" t="s">
        <v>72</v>
      </c>
      <c r="P242" s="14" t="s">
        <v>1</v>
      </c>
      <c r="Q242" s="165"/>
      <c r="R242" s="164" t="s">
        <v>72</v>
      </c>
      <c r="S242" s="13" t="s">
        <v>109</v>
      </c>
      <c r="T242" s="13"/>
      <c r="U242" s="13"/>
      <c r="V242" s="13">
        <v>108</v>
      </c>
      <c r="W242" s="13">
        <v>108</v>
      </c>
      <c r="X242" s="13">
        <v>108</v>
      </c>
      <c r="Y242" s="13">
        <v>1.92</v>
      </c>
      <c r="Z242" s="13">
        <v>1</v>
      </c>
      <c r="AA242" s="13" t="s">
        <v>110</v>
      </c>
      <c r="AB242" s="58">
        <v>43984</v>
      </c>
      <c r="AC242" s="58">
        <v>43973</v>
      </c>
      <c r="AD242" s="58">
        <v>43984</v>
      </c>
      <c r="AE242" s="58">
        <v>43976</v>
      </c>
      <c r="AF242" s="58">
        <v>43976</v>
      </c>
      <c r="AG242" s="58" t="s">
        <v>75</v>
      </c>
      <c r="AH242" s="59">
        <v>1</v>
      </c>
      <c r="AI242" s="59">
        <v>1</v>
      </c>
      <c r="AJ242" s="59">
        <v>1</v>
      </c>
      <c r="AK242" s="58" t="s">
        <v>8</v>
      </c>
      <c r="AL242" s="181" t="s">
        <v>72</v>
      </c>
      <c r="AM242" s="181" t="s">
        <v>72</v>
      </c>
      <c r="AN242" s="181" t="s">
        <v>72</v>
      </c>
    </row>
    <row r="243" spans="2:40" ht="15">
      <c r="B243" s="184">
        <v>124</v>
      </c>
      <c r="C243" s="13">
        <v>20200525</v>
      </c>
      <c r="D243" s="13" t="s">
        <v>24</v>
      </c>
      <c r="E243" s="13" t="s">
        <v>1842</v>
      </c>
      <c r="F243" s="39" t="s">
        <v>1843</v>
      </c>
      <c r="G243" s="13">
        <v>1484917</v>
      </c>
      <c r="H243" s="164" t="s">
        <v>72</v>
      </c>
      <c r="I243" s="13" t="s">
        <v>897</v>
      </c>
      <c r="J243" s="164" t="s">
        <v>72</v>
      </c>
      <c r="K243" s="13" t="s">
        <v>106</v>
      </c>
      <c r="L243" s="13" t="s">
        <v>1844</v>
      </c>
      <c r="M243" s="13" t="s">
        <v>1033</v>
      </c>
      <c r="N243" s="13" t="s">
        <v>1845</v>
      </c>
      <c r="O243" s="14" t="s">
        <v>72</v>
      </c>
      <c r="P243" s="14" t="s">
        <v>1278</v>
      </c>
      <c r="Q243" s="165"/>
      <c r="R243" s="164" t="s">
        <v>72</v>
      </c>
      <c r="S243" s="13" t="s">
        <v>161</v>
      </c>
      <c r="T243" s="13"/>
      <c r="U243" s="13"/>
      <c r="V243" s="13">
        <v>8</v>
      </c>
      <c r="W243" s="13">
        <v>8</v>
      </c>
      <c r="X243" s="13">
        <v>8</v>
      </c>
      <c r="Y243" s="13">
        <v>0.14000000000000001</v>
      </c>
      <c r="Z243" s="13">
        <v>0.1</v>
      </c>
      <c r="AA243" s="13" t="s">
        <v>110</v>
      </c>
      <c r="AB243" s="58">
        <v>43983</v>
      </c>
      <c r="AC243" s="58">
        <v>43976</v>
      </c>
      <c r="AD243" s="58">
        <v>43983</v>
      </c>
      <c r="AE243" s="58">
        <v>43978</v>
      </c>
      <c r="AF243" s="58">
        <v>43978</v>
      </c>
      <c r="AG243" s="58" t="s">
        <v>75</v>
      </c>
      <c r="AH243" s="59">
        <v>1</v>
      </c>
      <c r="AI243" s="59">
        <v>1</v>
      </c>
      <c r="AJ243" s="59">
        <v>1</v>
      </c>
      <c r="AK243" s="58" t="s">
        <v>8</v>
      </c>
      <c r="AL243" s="181" t="s">
        <v>72</v>
      </c>
      <c r="AM243" s="181" t="s">
        <v>72</v>
      </c>
      <c r="AN243" s="193" t="s">
        <v>1846</v>
      </c>
    </row>
    <row r="244" spans="2:40" ht="15">
      <c r="B244" s="184">
        <v>125</v>
      </c>
      <c r="C244" s="13">
        <v>20200525</v>
      </c>
      <c r="D244" s="13" t="s">
        <v>24</v>
      </c>
      <c r="E244" s="13" t="s">
        <v>1842</v>
      </c>
      <c r="F244" s="39" t="s">
        <v>1847</v>
      </c>
      <c r="G244" s="13">
        <v>1484917</v>
      </c>
      <c r="H244" s="164" t="s">
        <v>72</v>
      </c>
      <c r="I244" s="13" t="s">
        <v>1848</v>
      </c>
      <c r="J244" s="164" t="s">
        <v>72</v>
      </c>
      <c r="K244" s="13" t="s">
        <v>106</v>
      </c>
      <c r="L244" s="13" t="s">
        <v>1844</v>
      </c>
      <c r="M244" s="13" t="s">
        <v>1033</v>
      </c>
      <c r="N244" s="13" t="s">
        <v>1845</v>
      </c>
      <c r="O244" s="14" t="s">
        <v>72</v>
      </c>
      <c r="P244" s="14" t="s">
        <v>1278</v>
      </c>
      <c r="Q244" s="165"/>
      <c r="R244" s="164" t="s">
        <v>72</v>
      </c>
      <c r="S244" s="13" t="s">
        <v>161</v>
      </c>
      <c r="T244" s="13"/>
      <c r="U244" s="13"/>
      <c r="V244" s="13">
        <v>25</v>
      </c>
      <c r="W244" s="13">
        <v>25</v>
      </c>
      <c r="X244" s="13">
        <v>25</v>
      </c>
      <c r="Y244" s="13">
        <v>0.44</v>
      </c>
      <c r="Z244" s="13">
        <v>0.4</v>
      </c>
      <c r="AA244" s="13" t="s">
        <v>110</v>
      </c>
      <c r="AB244" s="58">
        <v>43983</v>
      </c>
      <c r="AC244" s="58">
        <v>43976</v>
      </c>
      <c r="AD244" s="58">
        <v>43983</v>
      </c>
      <c r="AE244" s="58">
        <v>43978</v>
      </c>
      <c r="AF244" s="58">
        <v>43978</v>
      </c>
      <c r="AG244" s="58" t="s">
        <v>75</v>
      </c>
      <c r="AH244" s="59">
        <v>1</v>
      </c>
      <c r="AI244" s="59">
        <v>1</v>
      </c>
      <c r="AJ244" s="59">
        <v>1</v>
      </c>
      <c r="AK244" s="58" t="s">
        <v>8</v>
      </c>
      <c r="AL244" s="181" t="s">
        <v>72</v>
      </c>
      <c r="AM244" s="181" t="s">
        <v>72</v>
      </c>
      <c r="AN244" s="193" t="s">
        <v>1846</v>
      </c>
    </row>
    <row r="245" spans="2:40" ht="15">
      <c r="B245" s="184">
        <v>126</v>
      </c>
      <c r="C245" s="13">
        <v>20200525</v>
      </c>
      <c r="D245" s="13" t="s">
        <v>24</v>
      </c>
      <c r="E245" s="13" t="s">
        <v>1842</v>
      </c>
      <c r="F245" s="39" t="s">
        <v>1849</v>
      </c>
      <c r="G245" s="13">
        <v>1484917</v>
      </c>
      <c r="H245" s="164" t="s">
        <v>72</v>
      </c>
      <c r="I245" s="13" t="s">
        <v>1850</v>
      </c>
      <c r="J245" s="164" t="s">
        <v>72</v>
      </c>
      <c r="K245" s="13" t="s">
        <v>106</v>
      </c>
      <c r="L245" s="13" t="s">
        <v>1844</v>
      </c>
      <c r="M245" s="13" t="s">
        <v>1033</v>
      </c>
      <c r="N245" s="13" t="s">
        <v>1845</v>
      </c>
      <c r="O245" s="14" t="s">
        <v>72</v>
      </c>
      <c r="P245" s="14" t="s">
        <v>1278</v>
      </c>
      <c r="Q245" s="165"/>
      <c r="R245" s="164" t="s">
        <v>72</v>
      </c>
      <c r="S245" s="13" t="s">
        <v>161</v>
      </c>
      <c r="T245" s="13"/>
      <c r="U245" s="13"/>
      <c r="V245" s="13">
        <v>15</v>
      </c>
      <c r="W245" s="13">
        <v>15</v>
      </c>
      <c r="X245" s="13">
        <v>15</v>
      </c>
      <c r="Y245" s="13">
        <v>0.26</v>
      </c>
      <c r="Z245" s="13">
        <v>0.2</v>
      </c>
      <c r="AA245" s="13" t="s">
        <v>110</v>
      </c>
      <c r="AB245" s="58">
        <v>43983</v>
      </c>
      <c r="AC245" s="58">
        <v>43976</v>
      </c>
      <c r="AD245" s="58">
        <v>43983</v>
      </c>
      <c r="AE245" s="58">
        <v>43978</v>
      </c>
      <c r="AF245" s="58">
        <v>43978</v>
      </c>
      <c r="AG245" s="58" t="s">
        <v>75</v>
      </c>
      <c r="AH245" s="59">
        <v>1</v>
      </c>
      <c r="AI245" s="59">
        <v>1</v>
      </c>
      <c r="AJ245" s="59">
        <v>1</v>
      </c>
      <c r="AK245" s="58" t="s">
        <v>8</v>
      </c>
      <c r="AL245" s="181" t="s">
        <v>72</v>
      </c>
      <c r="AM245" s="181" t="s">
        <v>72</v>
      </c>
      <c r="AN245" s="193" t="s">
        <v>1846</v>
      </c>
    </row>
    <row r="246" spans="2:40" ht="15">
      <c r="B246" s="184">
        <v>127</v>
      </c>
      <c r="C246" s="13">
        <v>20200525</v>
      </c>
      <c r="D246" s="13" t="s">
        <v>24</v>
      </c>
      <c r="E246" s="13" t="s">
        <v>1842</v>
      </c>
      <c r="F246" s="39" t="s">
        <v>1851</v>
      </c>
      <c r="G246" s="13">
        <v>1484917</v>
      </c>
      <c r="H246" s="164" t="s">
        <v>72</v>
      </c>
      <c r="I246" s="13" t="s">
        <v>1852</v>
      </c>
      <c r="J246" s="164" t="s">
        <v>72</v>
      </c>
      <c r="K246" s="13" t="s">
        <v>106</v>
      </c>
      <c r="L246" s="13" t="s">
        <v>1844</v>
      </c>
      <c r="M246" s="13" t="s">
        <v>1033</v>
      </c>
      <c r="N246" s="13" t="s">
        <v>1845</v>
      </c>
      <c r="O246" s="14" t="s">
        <v>72</v>
      </c>
      <c r="P246" s="14" t="s">
        <v>1278</v>
      </c>
      <c r="Q246" s="165"/>
      <c r="R246" s="164" t="s">
        <v>72</v>
      </c>
      <c r="S246" s="13" t="s">
        <v>161</v>
      </c>
      <c r="T246" s="13"/>
      <c r="U246" s="13"/>
      <c r="V246" s="13">
        <v>30</v>
      </c>
      <c r="W246" s="13">
        <v>30</v>
      </c>
      <c r="X246" s="13">
        <v>30</v>
      </c>
      <c r="Y246" s="13">
        <v>0.53</v>
      </c>
      <c r="Z246" s="13">
        <v>0.5</v>
      </c>
      <c r="AA246" s="13" t="s">
        <v>110</v>
      </c>
      <c r="AB246" s="58">
        <v>43983</v>
      </c>
      <c r="AC246" s="58">
        <v>43976</v>
      </c>
      <c r="AD246" s="58">
        <v>43983</v>
      </c>
      <c r="AE246" s="58">
        <v>43978</v>
      </c>
      <c r="AF246" s="58">
        <v>43978</v>
      </c>
      <c r="AG246" s="58" t="s">
        <v>75</v>
      </c>
      <c r="AH246" s="59">
        <v>1</v>
      </c>
      <c r="AI246" s="59">
        <v>1</v>
      </c>
      <c r="AJ246" s="59">
        <v>1</v>
      </c>
      <c r="AK246" s="58" t="s">
        <v>8</v>
      </c>
      <c r="AL246" s="181" t="s">
        <v>72</v>
      </c>
      <c r="AM246" s="181" t="s">
        <v>72</v>
      </c>
      <c r="AN246" s="193" t="s">
        <v>1846</v>
      </c>
    </row>
    <row r="247" spans="2:40" ht="15">
      <c r="B247" s="184">
        <v>128</v>
      </c>
      <c r="C247" s="13">
        <v>20200525</v>
      </c>
      <c r="D247" s="13" t="s">
        <v>24</v>
      </c>
      <c r="E247" s="13" t="s">
        <v>1842</v>
      </c>
      <c r="F247" s="39" t="s">
        <v>1853</v>
      </c>
      <c r="G247" s="13">
        <v>1484917</v>
      </c>
      <c r="H247" s="164" t="s">
        <v>72</v>
      </c>
      <c r="I247" s="13" t="s">
        <v>1854</v>
      </c>
      <c r="J247" s="164" t="s">
        <v>72</v>
      </c>
      <c r="K247" s="13" t="s">
        <v>106</v>
      </c>
      <c r="L247" s="13" t="s">
        <v>1844</v>
      </c>
      <c r="M247" s="13" t="s">
        <v>1033</v>
      </c>
      <c r="N247" s="13" t="s">
        <v>1845</v>
      </c>
      <c r="O247" s="14" t="s">
        <v>72</v>
      </c>
      <c r="P247" s="14" t="s">
        <v>1278</v>
      </c>
      <c r="Q247" s="165"/>
      <c r="R247" s="164" t="s">
        <v>72</v>
      </c>
      <c r="S247" s="13" t="s">
        <v>117</v>
      </c>
      <c r="T247" s="13"/>
      <c r="U247" s="13"/>
      <c r="V247" s="13">
        <v>21</v>
      </c>
      <c r="W247" s="13">
        <v>21</v>
      </c>
      <c r="X247" s="13">
        <v>21</v>
      </c>
      <c r="Y247" s="13">
        <v>0.37</v>
      </c>
      <c r="Z247" s="13">
        <v>0.2</v>
      </c>
      <c r="AA247" s="13" t="s">
        <v>110</v>
      </c>
      <c r="AB247" s="58">
        <v>43983</v>
      </c>
      <c r="AC247" s="58">
        <v>43976</v>
      </c>
      <c r="AD247" s="58">
        <v>43983</v>
      </c>
      <c r="AE247" s="58">
        <v>43980</v>
      </c>
      <c r="AF247" s="58">
        <v>43980</v>
      </c>
      <c r="AG247" s="58" t="s">
        <v>75</v>
      </c>
      <c r="AH247" s="59">
        <v>1</v>
      </c>
      <c r="AI247" s="59">
        <v>1</v>
      </c>
      <c r="AJ247" s="59">
        <v>1</v>
      </c>
      <c r="AK247" s="58" t="s">
        <v>8</v>
      </c>
      <c r="AL247" s="181" t="s">
        <v>72</v>
      </c>
      <c r="AM247" s="181" t="s">
        <v>72</v>
      </c>
      <c r="AN247" s="193" t="s">
        <v>1846</v>
      </c>
    </row>
    <row r="248" spans="2:40" ht="15">
      <c r="B248" s="184">
        <v>129</v>
      </c>
      <c r="C248" s="13">
        <v>20200525</v>
      </c>
      <c r="D248" s="13" t="s">
        <v>24</v>
      </c>
      <c r="E248" s="13" t="s">
        <v>1842</v>
      </c>
      <c r="F248" s="39" t="s">
        <v>1855</v>
      </c>
      <c r="G248" s="13">
        <v>1484917</v>
      </c>
      <c r="H248" s="164" t="s">
        <v>72</v>
      </c>
      <c r="I248" s="13" t="s">
        <v>1856</v>
      </c>
      <c r="J248" s="164" t="s">
        <v>72</v>
      </c>
      <c r="K248" s="13" t="s">
        <v>106</v>
      </c>
      <c r="L248" s="13" t="s">
        <v>1844</v>
      </c>
      <c r="M248" s="13" t="s">
        <v>1033</v>
      </c>
      <c r="N248" s="13" t="s">
        <v>1845</v>
      </c>
      <c r="O248" s="14" t="s">
        <v>72</v>
      </c>
      <c r="P248" s="14" t="s">
        <v>1278</v>
      </c>
      <c r="Q248" s="165"/>
      <c r="R248" s="164" t="s">
        <v>72</v>
      </c>
      <c r="S248" s="13" t="s">
        <v>117</v>
      </c>
      <c r="T248" s="13"/>
      <c r="U248" s="13"/>
      <c r="V248" s="13">
        <v>17</v>
      </c>
      <c r="W248" s="13">
        <v>17</v>
      </c>
      <c r="X248" s="13">
        <v>17</v>
      </c>
      <c r="Y248" s="13">
        <v>0.3</v>
      </c>
      <c r="Z248" s="13">
        <v>0.1</v>
      </c>
      <c r="AA248" s="13" t="s">
        <v>110</v>
      </c>
      <c r="AB248" s="58">
        <v>43983</v>
      </c>
      <c r="AC248" s="58">
        <v>43976</v>
      </c>
      <c r="AD248" s="58">
        <v>43983</v>
      </c>
      <c r="AE248" s="58">
        <v>43980</v>
      </c>
      <c r="AF248" s="58">
        <v>43980</v>
      </c>
      <c r="AG248" s="58" t="s">
        <v>75</v>
      </c>
      <c r="AH248" s="59">
        <v>1</v>
      </c>
      <c r="AI248" s="59">
        <v>1</v>
      </c>
      <c r="AJ248" s="59">
        <v>1</v>
      </c>
      <c r="AK248" s="58" t="s">
        <v>8</v>
      </c>
      <c r="AL248" s="181" t="s">
        <v>72</v>
      </c>
      <c r="AM248" s="181" t="s">
        <v>72</v>
      </c>
      <c r="AN248" s="193" t="s">
        <v>1846</v>
      </c>
    </row>
    <row r="249" spans="2:40" ht="15">
      <c r="B249" s="184">
        <v>130</v>
      </c>
      <c r="C249" s="13">
        <v>20200525</v>
      </c>
      <c r="D249" s="13" t="s">
        <v>24</v>
      </c>
      <c r="E249" s="13" t="s">
        <v>1842</v>
      </c>
      <c r="F249" s="39" t="s">
        <v>1857</v>
      </c>
      <c r="G249" s="13">
        <v>1484917</v>
      </c>
      <c r="H249" s="164" t="s">
        <v>72</v>
      </c>
      <c r="I249" s="13" t="s">
        <v>1858</v>
      </c>
      <c r="J249" s="164" t="s">
        <v>72</v>
      </c>
      <c r="K249" s="13" t="s">
        <v>106</v>
      </c>
      <c r="L249" s="13" t="s">
        <v>1844</v>
      </c>
      <c r="M249" s="13" t="s">
        <v>1033</v>
      </c>
      <c r="N249" s="13" t="s">
        <v>1845</v>
      </c>
      <c r="O249" s="14" t="s">
        <v>72</v>
      </c>
      <c r="P249" s="14" t="s">
        <v>1278</v>
      </c>
      <c r="Q249" s="165"/>
      <c r="R249" s="164" t="s">
        <v>72</v>
      </c>
      <c r="S249" s="13" t="s">
        <v>117</v>
      </c>
      <c r="T249" s="13"/>
      <c r="U249" s="13"/>
      <c r="V249" s="13">
        <v>31</v>
      </c>
      <c r="W249" s="13">
        <v>31</v>
      </c>
      <c r="X249" s="13">
        <v>31</v>
      </c>
      <c r="Y249" s="13">
        <v>0.55000000000000004</v>
      </c>
      <c r="Z249" s="13">
        <v>0.5</v>
      </c>
      <c r="AA249" s="13" t="s">
        <v>110</v>
      </c>
      <c r="AB249" s="58">
        <v>43983</v>
      </c>
      <c r="AC249" s="58">
        <v>43976</v>
      </c>
      <c r="AD249" s="58">
        <v>43983</v>
      </c>
      <c r="AE249" s="58">
        <v>43980</v>
      </c>
      <c r="AF249" s="58">
        <v>43980</v>
      </c>
      <c r="AG249" s="58" t="s">
        <v>75</v>
      </c>
      <c r="AH249" s="59">
        <v>1</v>
      </c>
      <c r="AI249" s="59">
        <v>1</v>
      </c>
      <c r="AJ249" s="59">
        <v>1</v>
      </c>
      <c r="AK249" s="58" t="s">
        <v>8</v>
      </c>
      <c r="AL249" s="181" t="s">
        <v>72</v>
      </c>
      <c r="AM249" s="181" t="s">
        <v>72</v>
      </c>
      <c r="AN249" s="193" t="s">
        <v>1846</v>
      </c>
    </row>
    <row r="250" spans="2:40" ht="15">
      <c r="B250" s="184">
        <v>131</v>
      </c>
      <c r="C250" s="13">
        <v>20200525</v>
      </c>
      <c r="D250" s="13" t="s">
        <v>24</v>
      </c>
      <c r="E250" s="13" t="s">
        <v>1842</v>
      </c>
      <c r="F250" s="39" t="s">
        <v>1859</v>
      </c>
      <c r="G250" s="13">
        <v>1484917</v>
      </c>
      <c r="H250" s="164" t="s">
        <v>72</v>
      </c>
      <c r="I250" s="13" t="s">
        <v>1860</v>
      </c>
      <c r="J250" s="164" t="s">
        <v>72</v>
      </c>
      <c r="K250" s="13" t="s">
        <v>106</v>
      </c>
      <c r="L250" s="13" t="s">
        <v>1844</v>
      </c>
      <c r="M250" s="13" t="s">
        <v>1033</v>
      </c>
      <c r="N250" s="13" t="s">
        <v>1845</v>
      </c>
      <c r="O250" s="14" t="s">
        <v>72</v>
      </c>
      <c r="P250" s="14" t="s">
        <v>1278</v>
      </c>
      <c r="Q250" s="165"/>
      <c r="R250" s="164" t="s">
        <v>72</v>
      </c>
      <c r="S250" s="13" t="s">
        <v>117</v>
      </c>
      <c r="T250" s="13"/>
      <c r="U250" s="13"/>
      <c r="V250" s="13">
        <v>31</v>
      </c>
      <c r="W250" s="13">
        <v>31</v>
      </c>
      <c r="X250" s="13">
        <v>31</v>
      </c>
      <c r="Y250" s="13">
        <v>0.55000000000000004</v>
      </c>
      <c r="Z250" s="13">
        <v>0.5</v>
      </c>
      <c r="AA250" s="13" t="s">
        <v>110</v>
      </c>
      <c r="AB250" s="58">
        <v>43983</v>
      </c>
      <c r="AC250" s="58">
        <v>43976</v>
      </c>
      <c r="AD250" s="58">
        <v>43983</v>
      </c>
      <c r="AE250" s="58">
        <v>43980</v>
      </c>
      <c r="AF250" s="58">
        <v>43980</v>
      </c>
      <c r="AG250" s="58" t="s">
        <v>75</v>
      </c>
      <c r="AH250" s="59">
        <v>1</v>
      </c>
      <c r="AI250" s="59">
        <v>1</v>
      </c>
      <c r="AJ250" s="59">
        <v>1</v>
      </c>
      <c r="AK250" s="58" t="s">
        <v>8</v>
      </c>
      <c r="AL250" s="181" t="s">
        <v>72</v>
      </c>
      <c r="AM250" s="181" t="s">
        <v>72</v>
      </c>
      <c r="AN250" s="193" t="s">
        <v>1846</v>
      </c>
    </row>
    <row r="251" spans="2:40" ht="15">
      <c r="B251" s="184">
        <v>132</v>
      </c>
      <c r="C251" s="13">
        <v>20200525</v>
      </c>
      <c r="D251" s="13" t="s">
        <v>24</v>
      </c>
      <c r="E251" s="13" t="s">
        <v>1842</v>
      </c>
      <c r="F251" s="39" t="s">
        <v>1861</v>
      </c>
      <c r="G251" s="13">
        <v>1484917</v>
      </c>
      <c r="H251" s="164" t="s">
        <v>72</v>
      </c>
      <c r="I251" s="13" t="s">
        <v>1862</v>
      </c>
      <c r="J251" s="164" t="s">
        <v>72</v>
      </c>
      <c r="K251" s="13" t="s">
        <v>106</v>
      </c>
      <c r="L251" s="13" t="s">
        <v>1844</v>
      </c>
      <c r="M251" s="13" t="s">
        <v>1033</v>
      </c>
      <c r="N251" s="13" t="s">
        <v>1845</v>
      </c>
      <c r="O251" s="14" t="s">
        <v>72</v>
      </c>
      <c r="P251" s="14" t="s">
        <v>1278</v>
      </c>
      <c r="Q251" s="165"/>
      <c r="R251" s="164" t="s">
        <v>72</v>
      </c>
      <c r="S251" s="13" t="s">
        <v>109</v>
      </c>
      <c r="T251" s="13"/>
      <c r="U251" s="13"/>
      <c r="V251" s="13">
        <v>12</v>
      </c>
      <c r="W251" s="13">
        <v>12</v>
      </c>
      <c r="X251" s="13">
        <v>12</v>
      </c>
      <c r="Y251" s="13">
        <v>0.21</v>
      </c>
      <c r="Z251" s="13">
        <v>0.21</v>
      </c>
      <c r="AA251" s="13" t="s">
        <v>110</v>
      </c>
      <c r="AB251" s="58">
        <v>43983</v>
      </c>
      <c r="AC251" s="58">
        <v>43976</v>
      </c>
      <c r="AD251" s="58">
        <v>43983</v>
      </c>
      <c r="AE251" s="58">
        <v>43977</v>
      </c>
      <c r="AF251" s="58">
        <v>43977</v>
      </c>
      <c r="AG251" s="58" t="s">
        <v>75</v>
      </c>
      <c r="AH251" s="59">
        <v>1</v>
      </c>
      <c r="AI251" s="59">
        <v>1</v>
      </c>
      <c r="AJ251" s="59">
        <v>1</v>
      </c>
      <c r="AK251" s="58" t="s">
        <v>8</v>
      </c>
      <c r="AL251" s="181" t="s">
        <v>72</v>
      </c>
      <c r="AM251" s="181" t="s">
        <v>72</v>
      </c>
      <c r="AN251" s="193" t="s">
        <v>1846</v>
      </c>
    </row>
    <row r="252" spans="2:40" ht="15">
      <c r="B252" s="184">
        <v>133</v>
      </c>
      <c r="C252" s="13">
        <v>20200525</v>
      </c>
      <c r="D252" s="13" t="s">
        <v>24</v>
      </c>
      <c r="E252" s="13" t="s">
        <v>1842</v>
      </c>
      <c r="F252" s="39" t="s">
        <v>1863</v>
      </c>
      <c r="G252" s="13">
        <v>1484917</v>
      </c>
      <c r="H252" s="164" t="s">
        <v>72</v>
      </c>
      <c r="I252" s="13" t="s">
        <v>247</v>
      </c>
      <c r="J252" s="164" t="s">
        <v>72</v>
      </c>
      <c r="K252" s="13" t="s">
        <v>106</v>
      </c>
      <c r="L252" s="13" t="s">
        <v>1844</v>
      </c>
      <c r="M252" s="13" t="s">
        <v>1033</v>
      </c>
      <c r="N252" s="13" t="s">
        <v>1845</v>
      </c>
      <c r="O252" s="14" t="s">
        <v>72</v>
      </c>
      <c r="P252" s="14" t="s">
        <v>1278</v>
      </c>
      <c r="Q252" s="165"/>
      <c r="R252" s="164" t="s">
        <v>72</v>
      </c>
      <c r="S252" s="13" t="s">
        <v>109</v>
      </c>
      <c r="T252" s="13"/>
      <c r="U252" s="13"/>
      <c r="V252" s="13">
        <v>35</v>
      </c>
      <c r="W252" s="13">
        <v>35</v>
      </c>
      <c r="X252" s="13">
        <v>35</v>
      </c>
      <c r="Y252" s="13">
        <v>0.62</v>
      </c>
      <c r="Z252" s="13">
        <v>0.62</v>
      </c>
      <c r="AA252" s="13" t="s">
        <v>110</v>
      </c>
      <c r="AB252" s="58">
        <v>43983</v>
      </c>
      <c r="AC252" s="58">
        <v>43976</v>
      </c>
      <c r="AD252" s="58">
        <v>43983</v>
      </c>
      <c r="AE252" s="58">
        <v>43977</v>
      </c>
      <c r="AF252" s="58">
        <v>43977</v>
      </c>
      <c r="AG252" s="58" t="s">
        <v>75</v>
      </c>
      <c r="AH252" s="59">
        <v>1</v>
      </c>
      <c r="AI252" s="59">
        <v>1</v>
      </c>
      <c r="AJ252" s="59">
        <v>1</v>
      </c>
      <c r="AK252" s="58" t="s">
        <v>8</v>
      </c>
      <c r="AL252" s="181" t="s">
        <v>72</v>
      </c>
      <c r="AM252" s="181" t="s">
        <v>72</v>
      </c>
      <c r="AN252" s="193" t="s">
        <v>1846</v>
      </c>
    </row>
    <row r="253" spans="2:40" ht="15">
      <c r="B253" s="184">
        <v>134</v>
      </c>
      <c r="C253" s="13">
        <v>20200525</v>
      </c>
      <c r="D253" s="13" t="s">
        <v>24</v>
      </c>
      <c r="E253" s="13" t="s">
        <v>1842</v>
      </c>
      <c r="F253" s="39" t="s">
        <v>1864</v>
      </c>
      <c r="G253" s="13" t="s">
        <v>1865</v>
      </c>
      <c r="H253" s="164" t="s">
        <v>72</v>
      </c>
      <c r="I253" s="13" t="s">
        <v>1866</v>
      </c>
      <c r="J253" s="164" t="s">
        <v>72</v>
      </c>
      <c r="K253" s="13" t="s">
        <v>106</v>
      </c>
      <c r="L253" s="13" t="s">
        <v>1844</v>
      </c>
      <c r="M253" s="13" t="s">
        <v>1033</v>
      </c>
      <c r="N253" s="13" t="s">
        <v>1845</v>
      </c>
      <c r="O253" s="14" t="s">
        <v>72</v>
      </c>
      <c r="P253" s="14" t="s">
        <v>1278</v>
      </c>
      <c r="Q253" s="165"/>
      <c r="R253" s="164" t="s">
        <v>72</v>
      </c>
      <c r="S253" s="13" t="s">
        <v>109</v>
      </c>
      <c r="T253" s="13"/>
      <c r="U253" s="13"/>
      <c r="V253" s="13">
        <v>30</v>
      </c>
      <c r="W253" s="13">
        <v>30</v>
      </c>
      <c r="X253" s="13">
        <v>30</v>
      </c>
      <c r="Y253" s="13">
        <v>0.53</v>
      </c>
      <c r="Z253" s="13">
        <v>0.53</v>
      </c>
      <c r="AA253" s="13" t="s">
        <v>110</v>
      </c>
      <c r="AB253" s="58">
        <v>43983</v>
      </c>
      <c r="AC253" s="58">
        <v>43976</v>
      </c>
      <c r="AD253" s="58">
        <v>43983</v>
      </c>
      <c r="AE253" s="58">
        <v>43977</v>
      </c>
      <c r="AF253" s="58">
        <v>43977</v>
      </c>
      <c r="AG253" s="58" t="s">
        <v>75</v>
      </c>
      <c r="AH253" s="59">
        <v>1</v>
      </c>
      <c r="AI253" s="59">
        <v>1</v>
      </c>
      <c r="AJ253" s="59">
        <v>1</v>
      </c>
      <c r="AK253" s="58" t="s">
        <v>8</v>
      </c>
      <c r="AL253" s="181" t="s">
        <v>72</v>
      </c>
      <c r="AM253" s="181" t="s">
        <v>72</v>
      </c>
      <c r="AN253" s="193" t="s">
        <v>1846</v>
      </c>
    </row>
    <row r="254" spans="2:40" ht="15">
      <c r="B254" s="184">
        <v>135</v>
      </c>
      <c r="C254" s="13">
        <v>20200525</v>
      </c>
      <c r="D254" s="13" t="s">
        <v>24</v>
      </c>
      <c r="E254" s="13" t="s">
        <v>1842</v>
      </c>
      <c r="F254" s="39" t="s">
        <v>1867</v>
      </c>
      <c r="G254" s="13">
        <v>1484917</v>
      </c>
      <c r="H254" s="164" t="s">
        <v>72</v>
      </c>
      <c r="I254" s="13" t="s">
        <v>1868</v>
      </c>
      <c r="J254" s="164" t="s">
        <v>72</v>
      </c>
      <c r="K254" s="13" t="s">
        <v>106</v>
      </c>
      <c r="L254" s="13" t="s">
        <v>1844</v>
      </c>
      <c r="M254" s="13" t="s">
        <v>1033</v>
      </c>
      <c r="N254" s="13" t="s">
        <v>1845</v>
      </c>
      <c r="O254" s="14" t="s">
        <v>72</v>
      </c>
      <c r="P254" s="14" t="s">
        <v>1278</v>
      </c>
      <c r="Q254" s="165"/>
      <c r="R254" s="164" t="s">
        <v>72</v>
      </c>
      <c r="S254" s="13" t="s">
        <v>109</v>
      </c>
      <c r="T254" s="13"/>
      <c r="U254" s="13"/>
      <c r="V254" s="13">
        <v>14</v>
      </c>
      <c r="W254" s="13">
        <v>14</v>
      </c>
      <c r="X254" s="13">
        <v>14</v>
      </c>
      <c r="Y254" s="13">
        <v>0.24</v>
      </c>
      <c r="Z254" s="13">
        <v>0.24</v>
      </c>
      <c r="AA254" s="13" t="s">
        <v>110</v>
      </c>
      <c r="AB254" s="58">
        <v>43983</v>
      </c>
      <c r="AC254" s="58">
        <v>43976</v>
      </c>
      <c r="AD254" s="58">
        <v>43983</v>
      </c>
      <c r="AE254" s="58">
        <v>43977</v>
      </c>
      <c r="AF254" s="58">
        <v>43977</v>
      </c>
      <c r="AG254" s="58" t="s">
        <v>75</v>
      </c>
      <c r="AH254" s="59">
        <v>1</v>
      </c>
      <c r="AI254" s="59">
        <v>1</v>
      </c>
      <c r="AJ254" s="59">
        <v>1</v>
      </c>
      <c r="AK254" s="58" t="s">
        <v>8</v>
      </c>
      <c r="AL254" s="181" t="s">
        <v>72</v>
      </c>
      <c r="AM254" s="181" t="s">
        <v>72</v>
      </c>
      <c r="AN254" s="193" t="s">
        <v>1846</v>
      </c>
    </row>
    <row r="255" spans="2:40" ht="15">
      <c r="B255" s="184">
        <v>136</v>
      </c>
      <c r="C255" s="13">
        <v>20200525</v>
      </c>
      <c r="D255" s="13" t="s">
        <v>24</v>
      </c>
      <c r="E255" s="13" t="s">
        <v>1842</v>
      </c>
      <c r="F255" s="39" t="s">
        <v>1869</v>
      </c>
      <c r="G255" s="13">
        <v>1484917</v>
      </c>
      <c r="H255" s="164" t="s">
        <v>72</v>
      </c>
      <c r="I255" s="13" t="s">
        <v>1870</v>
      </c>
      <c r="J255" s="164" t="s">
        <v>72</v>
      </c>
      <c r="K255" s="13" t="s">
        <v>106</v>
      </c>
      <c r="L255" s="13" t="s">
        <v>1844</v>
      </c>
      <c r="M255" s="13" t="s">
        <v>1033</v>
      </c>
      <c r="N255" s="13" t="s">
        <v>1845</v>
      </c>
      <c r="O255" s="14" t="s">
        <v>72</v>
      </c>
      <c r="P255" s="14" t="s">
        <v>1278</v>
      </c>
      <c r="Q255" s="165"/>
      <c r="R255" s="164" t="s">
        <v>72</v>
      </c>
      <c r="S255" s="13" t="s">
        <v>77</v>
      </c>
      <c r="T255" s="13"/>
      <c r="U255" s="13"/>
      <c r="V255" s="13">
        <v>12</v>
      </c>
      <c r="W255" s="13">
        <v>12</v>
      </c>
      <c r="X255" s="13">
        <v>12</v>
      </c>
      <c r="Y255" s="13">
        <v>0.21</v>
      </c>
      <c r="Z255" s="13">
        <v>0.1</v>
      </c>
      <c r="AA255" s="13" t="s">
        <v>110</v>
      </c>
      <c r="AB255" s="58">
        <v>43983</v>
      </c>
      <c r="AC255" s="58">
        <v>43976</v>
      </c>
      <c r="AD255" s="58">
        <v>43983</v>
      </c>
      <c r="AE255" s="58">
        <v>43978</v>
      </c>
      <c r="AF255" s="58">
        <v>43978</v>
      </c>
      <c r="AG255" s="58" t="s">
        <v>75</v>
      </c>
      <c r="AH255" s="59">
        <v>1</v>
      </c>
      <c r="AI255" s="59">
        <v>1</v>
      </c>
      <c r="AJ255" s="59">
        <v>1</v>
      </c>
      <c r="AK255" s="58" t="s">
        <v>8</v>
      </c>
      <c r="AL255" s="181" t="s">
        <v>72</v>
      </c>
      <c r="AM255" s="181" t="s">
        <v>72</v>
      </c>
      <c r="AN255" s="193" t="s">
        <v>1846</v>
      </c>
    </row>
    <row r="256" spans="2:40" ht="15">
      <c r="B256" s="184">
        <v>137</v>
      </c>
      <c r="C256" s="13">
        <v>20200525</v>
      </c>
      <c r="D256" s="13" t="s">
        <v>24</v>
      </c>
      <c r="E256" s="13" t="s">
        <v>1842</v>
      </c>
      <c r="F256" s="39" t="s">
        <v>1871</v>
      </c>
      <c r="G256" s="13">
        <v>1484917</v>
      </c>
      <c r="H256" s="164" t="s">
        <v>72</v>
      </c>
      <c r="I256" s="13" t="s">
        <v>1872</v>
      </c>
      <c r="J256" s="164" t="s">
        <v>72</v>
      </c>
      <c r="K256" s="13" t="s">
        <v>106</v>
      </c>
      <c r="L256" s="13" t="s">
        <v>1844</v>
      </c>
      <c r="M256" s="13" t="s">
        <v>1033</v>
      </c>
      <c r="N256" s="13" t="s">
        <v>1845</v>
      </c>
      <c r="O256" s="14" t="s">
        <v>72</v>
      </c>
      <c r="P256" s="14" t="s">
        <v>1278</v>
      </c>
      <c r="Q256" s="165"/>
      <c r="R256" s="164" t="s">
        <v>72</v>
      </c>
      <c r="S256" s="13" t="s">
        <v>113</v>
      </c>
      <c r="T256" s="13"/>
      <c r="U256" s="13"/>
      <c r="V256" s="13">
        <v>45</v>
      </c>
      <c r="W256" s="13">
        <v>45</v>
      </c>
      <c r="X256" s="13">
        <v>45</v>
      </c>
      <c r="Y256" s="13">
        <v>0.8</v>
      </c>
      <c r="Z256" s="13">
        <v>0.8</v>
      </c>
      <c r="AA256" s="13" t="s">
        <v>110</v>
      </c>
      <c r="AB256" s="58">
        <v>43983</v>
      </c>
      <c r="AC256" s="58">
        <v>43976</v>
      </c>
      <c r="AD256" s="58">
        <v>43983</v>
      </c>
      <c r="AE256" s="58">
        <v>43979</v>
      </c>
      <c r="AF256" s="58">
        <v>43979</v>
      </c>
      <c r="AG256" s="58" t="s">
        <v>75</v>
      </c>
      <c r="AH256" s="59">
        <v>1</v>
      </c>
      <c r="AI256" s="59">
        <v>1</v>
      </c>
      <c r="AJ256" s="59">
        <v>1</v>
      </c>
      <c r="AK256" s="58" t="s">
        <v>8</v>
      </c>
      <c r="AL256" s="181" t="s">
        <v>72</v>
      </c>
      <c r="AM256" s="181" t="s">
        <v>72</v>
      </c>
      <c r="AN256" s="193" t="s">
        <v>1846</v>
      </c>
    </row>
    <row r="257" spans="2:40" ht="15">
      <c r="B257" s="184">
        <v>138</v>
      </c>
      <c r="C257" s="13">
        <v>20200525</v>
      </c>
      <c r="D257" s="13" t="s">
        <v>24</v>
      </c>
      <c r="E257" s="13" t="s">
        <v>1842</v>
      </c>
      <c r="F257" s="39" t="s">
        <v>1873</v>
      </c>
      <c r="G257" s="13">
        <v>1484917</v>
      </c>
      <c r="H257" s="164" t="s">
        <v>72</v>
      </c>
      <c r="I257" s="13" t="s">
        <v>1874</v>
      </c>
      <c r="J257" s="164" t="s">
        <v>72</v>
      </c>
      <c r="K257" s="13" t="s">
        <v>106</v>
      </c>
      <c r="L257" s="13" t="s">
        <v>1844</v>
      </c>
      <c r="M257" s="13" t="s">
        <v>1033</v>
      </c>
      <c r="N257" s="13" t="s">
        <v>1845</v>
      </c>
      <c r="O257" s="14" t="s">
        <v>72</v>
      </c>
      <c r="P257" s="14" t="s">
        <v>1278</v>
      </c>
      <c r="Q257" s="165"/>
      <c r="R257" s="164" t="s">
        <v>72</v>
      </c>
      <c r="S257" s="13" t="s">
        <v>113</v>
      </c>
      <c r="T257" s="13"/>
      <c r="U257" s="13"/>
      <c r="V257" s="13">
        <v>14</v>
      </c>
      <c r="W257" s="13">
        <v>14</v>
      </c>
      <c r="X257" s="13">
        <v>14</v>
      </c>
      <c r="Y257" s="13">
        <v>0.24</v>
      </c>
      <c r="Z257" s="13">
        <v>0.24</v>
      </c>
      <c r="AA257" s="13" t="s">
        <v>110</v>
      </c>
      <c r="AB257" s="58">
        <v>43983</v>
      </c>
      <c r="AC257" s="58">
        <v>43976</v>
      </c>
      <c r="AD257" s="58">
        <v>43983</v>
      </c>
      <c r="AE257" s="58">
        <v>43979</v>
      </c>
      <c r="AF257" s="58">
        <v>43979</v>
      </c>
      <c r="AG257" s="58" t="s">
        <v>75</v>
      </c>
      <c r="AH257" s="59">
        <v>1</v>
      </c>
      <c r="AI257" s="59">
        <v>1</v>
      </c>
      <c r="AJ257" s="59">
        <v>1</v>
      </c>
      <c r="AK257" s="58" t="s">
        <v>8</v>
      </c>
      <c r="AL257" s="181" t="s">
        <v>72</v>
      </c>
      <c r="AM257" s="181" t="s">
        <v>72</v>
      </c>
      <c r="AN257" s="193" t="s">
        <v>1846</v>
      </c>
    </row>
    <row r="258" spans="2:40" ht="15">
      <c r="B258" s="184">
        <v>139</v>
      </c>
      <c r="C258" s="13">
        <v>20200525</v>
      </c>
      <c r="D258" s="13" t="s">
        <v>24</v>
      </c>
      <c r="E258" s="13" t="s">
        <v>1842</v>
      </c>
      <c r="F258" s="39" t="s">
        <v>1875</v>
      </c>
      <c r="G258" s="13">
        <v>1484917</v>
      </c>
      <c r="H258" s="164" t="s">
        <v>72</v>
      </c>
      <c r="I258" s="13" t="s">
        <v>1876</v>
      </c>
      <c r="J258" s="164" t="s">
        <v>72</v>
      </c>
      <c r="K258" s="13" t="s">
        <v>106</v>
      </c>
      <c r="L258" s="13" t="s">
        <v>1844</v>
      </c>
      <c r="M258" s="13" t="s">
        <v>1033</v>
      </c>
      <c r="N258" s="13" t="s">
        <v>1845</v>
      </c>
      <c r="O258" s="14" t="s">
        <v>72</v>
      </c>
      <c r="P258" s="14" t="s">
        <v>1278</v>
      </c>
      <c r="Q258" s="165"/>
      <c r="R258" s="164" t="s">
        <v>72</v>
      </c>
      <c r="S258" s="13" t="s">
        <v>113</v>
      </c>
      <c r="T258" s="13"/>
      <c r="U258" s="13"/>
      <c r="V258" s="13">
        <v>81</v>
      </c>
      <c r="W258" s="13">
        <v>81</v>
      </c>
      <c r="X258" s="13">
        <v>81</v>
      </c>
      <c r="Y258" s="13">
        <v>1.44</v>
      </c>
      <c r="Z258" s="13">
        <v>1.44</v>
      </c>
      <c r="AA258" s="13" t="s">
        <v>110</v>
      </c>
      <c r="AB258" s="58">
        <v>43983</v>
      </c>
      <c r="AC258" s="58">
        <v>43976</v>
      </c>
      <c r="AD258" s="58">
        <v>43983</v>
      </c>
      <c r="AE258" s="58">
        <v>43979</v>
      </c>
      <c r="AF258" s="58">
        <v>43979</v>
      </c>
      <c r="AG258" s="58" t="s">
        <v>75</v>
      </c>
      <c r="AH258" s="59">
        <v>1</v>
      </c>
      <c r="AI258" s="59">
        <v>1</v>
      </c>
      <c r="AJ258" s="59">
        <v>1</v>
      </c>
      <c r="AK258" s="58" t="s">
        <v>8</v>
      </c>
      <c r="AL258" s="181" t="s">
        <v>72</v>
      </c>
      <c r="AM258" s="181" t="s">
        <v>72</v>
      </c>
      <c r="AN258" s="193" t="s">
        <v>1846</v>
      </c>
    </row>
    <row r="259" spans="2:40" ht="15">
      <c r="B259" s="184">
        <v>140</v>
      </c>
      <c r="C259" s="13">
        <v>20200525</v>
      </c>
      <c r="D259" s="13" t="s">
        <v>24</v>
      </c>
      <c r="E259" s="13" t="s">
        <v>1842</v>
      </c>
      <c r="F259" s="39" t="s">
        <v>1877</v>
      </c>
      <c r="G259" s="13">
        <v>1484917</v>
      </c>
      <c r="H259" s="164" t="s">
        <v>72</v>
      </c>
      <c r="I259" s="13" t="s">
        <v>1878</v>
      </c>
      <c r="J259" s="164" t="s">
        <v>72</v>
      </c>
      <c r="K259" s="13" t="s">
        <v>106</v>
      </c>
      <c r="L259" s="13" t="s">
        <v>1844</v>
      </c>
      <c r="M259" s="13" t="s">
        <v>1033</v>
      </c>
      <c r="N259" s="13" t="s">
        <v>1845</v>
      </c>
      <c r="O259" s="14" t="s">
        <v>72</v>
      </c>
      <c r="P259" s="14" t="s">
        <v>1278</v>
      </c>
      <c r="Q259" s="165"/>
      <c r="R259" s="164" t="s">
        <v>72</v>
      </c>
      <c r="S259" s="13" t="s">
        <v>113</v>
      </c>
      <c r="T259" s="13"/>
      <c r="U259" s="13"/>
      <c r="V259" s="13">
        <v>18</v>
      </c>
      <c r="W259" s="13">
        <v>18</v>
      </c>
      <c r="X259" s="13">
        <v>18</v>
      </c>
      <c r="Y259" s="13">
        <v>0.32</v>
      </c>
      <c r="Z259" s="13">
        <v>0.32</v>
      </c>
      <c r="AA259" s="13" t="s">
        <v>110</v>
      </c>
      <c r="AB259" s="58">
        <v>43983</v>
      </c>
      <c r="AC259" s="58">
        <v>43976</v>
      </c>
      <c r="AD259" s="58">
        <v>43983</v>
      </c>
      <c r="AE259" s="58">
        <v>43979</v>
      </c>
      <c r="AF259" s="58">
        <v>43979</v>
      </c>
      <c r="AG259" s="58" t="s">
        <v>75</v>
      </c>
      <c r="AH259" s="59">
        <v>1</v>
      </c>
      <c r="AI259" s="59">
        <v>1</v>
      </c>
      <c r="AJ259" s="59">
        <v>1</v>
      </c>
      <c r="AK259" s="58" t="s">
        <v>8</v>
      </c>
      <c r="AL259" s="181" t="s">
        <v>72</v>
      </c>
      <c r="AM259" s="181" t="s">
        <v>72</v>
      </c>
      <c r="AN259" s="193" t="s">
        <v>1846</v>
      </c>
    </row>
    <row r="260" spans="2:40" ht="15">
      <c r="B260" s="184">
        <v>141</v>
      </c>
      <c r="C260" s="13">
        <v>20200525</v>
      </c>
      <c r="D260" s="13" t="s">
        <v>24</v>
      </c>
      <c r="E260" s="13" t="s">
        <v>1842</v>
      </c>
      <c r="F260" s="39" t="s">
        <v>1879</v>
      </c>
      <c r="G260" s="13">
        <v>1484917</v>
      </c>
      <c r="H260" s="164" t="s">
        <v>72</v>
      </c>
      <c r="I260" s="13" t="s">
        <v>32</v>
      </c>
      <c r="J260" s="164" t="s">
        <v>72</v>
      </c>
      <c r="K260" s="13" t="s">
        <v>106</v>
      </c>
      <c r="L260" s="13" t="s">
        <v>1844</v>
      </c>
      <c r="M260" s="13" t="s">
        <v>1033</v>
      </c>
      <c r="N260" s="13" t="s">
        <v>1845</v>
      </c>
      <c r="O260" s="14" t="s">
        <v>72</v>
      </c>
      <c r="P260" s="14" t="s">
        <v>1278</v>
      </c>
      <c r="Q260" s="165"/>
      <c r="R260" s="164" t="s">
        <v>72</v>
      </c>
      <c r="S260" s="13" t="s">
        <v>117</v>
      </c>
      <c r="T260" s="13"/>
      <c r="U260" s="13"/>
      <c r="V260" s="13">
        <v>259</v>
      </c>
      <c r="W260" s="13">
        <v>259</v>
      </c>
      <c r="X260" s="13">
        <v>259</v>
      </c>
      <c r="Y260" s="13">
        <v>4.5999999999999996</v>
      </c>
      <c r="Z260" s="13">
        <v>2</v>
      </c>
      <c r="AA260" s="13" t="s">
        <v>110</v>
      </c>
      <c r="AB260" s="58">
        <v>43983</v>
      </c>
      <c r="AC260" s="58">
        <v>43976</v>
      </c>
      <c r="AD260" s="58">
        <v>43983</v>
      </c>
      <c r="AE260" s="58">
        <v>43980</v>
      </c>
      <c r="AF260" s="58">
        <v>43980</v>
      </c>
      <c r="AG260" s="58" t="s">
        <v>79</v>
      </c>
      <c r="AH260" s="59">
        <v>1</v>
      </c>
      <c r="AI260" s="59">
        <v>1</v>
      </c>
      <c r="AJ260" s="59">
        <v>0.87</v>
      </c>
      <c r="AK260" s="58" t="s">
        <v>76</v>
      </c>
      <c r="AL260" s="14" t="s">
        <v>1880</v>
      </c>
      <c r="AM260" s="181" t="s">
        <v>72</v>
      </c>
      <c r="AN260" s="193" t="s">
        <v>1881</v>
      </c>
    </row>
    <row r="261" spans="2:40" ht="15">
      <c r="B261" s="184">
        <v>142</v>
      </c>
      <c r="C261" s="13">
        <v>20200525</v>
      </c>
      <c r="D261" s="13" t="s">
        <v>24</v>
      </c>
      <c r="E261" s="13" t="s">
        <v>1842</v>
      </c>
      <c r="F261" s="39" t="s">
        <v>1882</v>
      </c>
      <c r="G261" s="13">
        <v>1484917</v>
      </c>
      <c r="H261" s="164" t="s">
        <v>72</v>
      </c>
      <c r="I261" s="13" t="s">
        <v>187</v>
      </c>
      <c r="J261" s="164" t="s">
        <v>72</v>
      </c>
      <c r="K261" s="13" t="s">
        <v>106</v>
      </c>
      <c r="L261" s="13" t="s">
        <v>1844</v>
      </c>
      <c r="M261" s="13" t="s">
        <v>1033</v>
      </c>
      <c r="N261" s="13" t="s">
        <v>1845</v>
      </c>
      <c r="O261" s="14" t="s">
        <v>72</v>
      </c>
      <c r="P261" s="14" t="s">
        <v>1278</v>
      </c>
      <c r="Q261" s="165"/>
      <c r="R261" s="164" t="s">
        <v>72</v>
      </c>
      <c r="S261" s="13" t="s">
        <v>109</v>
      </c>
      <c r="T261" s="13"/>
      <c r="U261" s="13"/>
      <c r="V261" s="13">
        <v>109</v>
      </c>
      <c r="W261" s="13">
        <v>109</v>
      </c>
      <c r="X261" s="13">
        <v>109</v>
      </c>
      <c r="Y261" s="13">
        <v>1.93</v>
      </c>
      <c r="Z261" s="13">
        <v>1</v>
      </c>
      <c r="AA261" s="13" t="s">
        <v>110</v>
      </c>
      <c r="AB261" s="58">
        <v>43983</v>
      </c>
      <c r="AC261" s="58">
        <v>43976</v>
      </c>
      <c r="AD261" s="58">
        <v>43983</v>
      </c>
      <c r="AE261" s="58">
        <v>43977</v>
      </c>
      <c r="AF261" s="58">
        <v>43977</v>
      </c>
      <c r="AG261" s="58" t="s">
        <v>75</v>
      </c>
      <c r="AH261" s="59">
        <v>1</v>
      </c>
      <c r="AI261" s="59">
        <v>1</v>
      </c>
      <c r="AJ261" s="59">
        <v>1</v>
      </c>
      <c r="AK261" s="58" t="s">
        <v>8</v>
      </c>
      <c r="AL261" s="181" t="s">
        <v>72</v>
      </c>
      <c r="AM261" s="181" t="s">
        <v>72</v>
      </c>
      <c r="AN261" s="193" t="s">
        <v>1846</v>
      </c>
    </row>
    <row r="262" spans="2:40" ht="15">
      <c r="B262" s="184">
        <v>143</v>
      </c>
      <c r="C262" s="13">
        <v>20200525</v>
      </c>
      <c r="D262" s="13" t="s">
        <v>24</v>
      </c>
      <c r="E262" s="13" t="s">
        <v>1842</v>
      </c>
      <c r="F262" s="39" t="s">
        <v>1883</v>
      </c>
      <c r="G262" s="13">
        <v>1484917</v>
      </c>
      <c r="H262" s="164" t="s">
        <v>72</v>
      </c>
      <c r="I262" s="13" t="s">
        <v>187</v>
      </c>
      <c r="J262" s="164" t="s">
        <v>72</v>
      </c>
      <c r="K262" s="13" t="s">
        <v>106</v>
      </c>
      <c r="L262" s="13" t="s">
        <v>1844</v>
      </c>
      <c r="M262" s="13" t="s">
        <v>1033</v>
      </c>
      <c r="N262" s="13" t="s">
        <v>1845</v>
      </c>
      <c r="O262" s="14" t="s">
        <v>72</v>
      </c>
      <c r="P262" s="14" t="s">
        <v>1278</v>
      </c>
      <c r="Q262" s="165"/>
      <c r="R262" s="164" t="s">
        <v>72</v>
      </c>
      <c r="S262" s="13" t="s">
        <v>109</v>
      </c>
      <c r="T262" s="13"/>
      <c r="U262" s="13"/>
      <c r="V262" s="13">
        <v>109</v>
      </c>
      <c r="W262" s="53">
        <v>159</v>
      </c>
      <c r="X262" s="13">
        <v>159</v>
      </c>
      <c r="Y262" s="13">
        <v>2.82</v>
      </c>
      <c r="Z262" s="13">
        <v>1</v>
      </c>
      <c r="AA262" s="13" t="s">
        <v>110</v>
      </c>
      <c r="AB262" s="58">
        <v>43983</v>
      </c>
      <c r="AC262" s="58">
        <v>43976</v>
      </c>
      <c r="AD262" s="58">
        <v>43983</v>
      </c>
      <c r="AE262" s="58">
        <v>43977</v>
      </c>
      <c r="AF262" s="58">
        <v>43977</v>
      </c>
      <c r="AG262" s="58" t="s">
        <v>75</v>
      </c>
      <c r="AH262" s="59">
        <v>1</v>
      </c>
      <c r="AI262" s="59">
        <v>1</v>
      </c>
      <c r="AJ262" s="59">
        <v>1</v>
      </c>
      <c r="AK262" s="58" t="s">
        <v>8</v>
      </c>
      <c r="AL262" s="181" t="s">
        <v>72</v>
      </c>
      <c r="AM262" s="181" t="s">
        <v>72</v>
      </c>
      <c r="AN262" s="193" t="s">
        <v>1846</v>
      </c>
    </row>
    <row r="263" spans="2:40" ht="15">
      <c r="B263" s="184">
        <v>144</v>
      </c>
      <c r="C263" s="13">
        <v>20200525</v>
      </c>
      <c r="D263" s="13" t="s">
        <v>24</v>
      </c>
      <c r="E263" s="13" t="s">
        <v>1842</v>
      </c>
      <c r="F263" s="39" t="s">
        <v>1884</v>
      </c>
      <c r="G263" s="13">
        <v>1484917</v>
      </c>
      <c r="H263" s="164" t="s">
        <v>72</v>
      </c>
      <c r="I263" s="13" t="s">
        <v>195</v>
      </c>
      <c r="J263" s="164" t="s">
        <v>72</v>
      </c>
      <c r="K263" s="13" t="s">
        <v>106</v>
      </c>
      <c r="L263" s="13" t="s">
        <v>1844</v>
      </c>
      <c r="M263" s="13" t="s">
        <v>1033</v>
      </c>
      <c r="N263" s="13" t="s">
        <v>1845</v>
      </c>
      <c r="O263" s="14" t="s">
        <v>72</v>
      </c>
      <c r="P263" s="14" t="s">
        <v>1278</v>
      </c>
      <c r="Q263" s="165"/>
      <c r="R263" s="164" t="s">
        <v>72</v>
      </c>
      <c r="S263" s="13" t="s">
        <v>109</v>
      </c>
      <c r="T263" s="13"/>
      <c r="U263" s="13"/>
      <c r="V263" s="13">
        <v>63</v>
      </c>
      <c r="W263" s="13">
        <v>63</v>
      </c>
      <c r="X263" s="13">
        <v>63</v>
      </c>
      <c r="Y263" s="13">
        <v>1.1200000000000001</v>
      </c>
      <c r="Z263" s="13">
        <v>1.1200000000000001</v>
      </c>
      <c r="AA263" s="13" t="s">
        <v>110</v>
      </c>
      <c r="AB263" s="58">
        <v>43983</v>
      </c>
      <c r="AC263" s="58">
        <v>43976</v>
      </c>
      <c r="AD263" s="58">
        <v>43983</v>
      </c>
      <c r="AE263" s="58">
        <v>43977</v>
      </c>
      <c r="AF263" s="58">
        <v>43977</v>
      </c>
      <c r="AG263" s="58" t="s">
        <v>75</v>
      </c>
      <c r="AH263" s="59">
        <v>1</v>
      </c>
      <c r="AI263" s="59">
        <v>1</v>
      </c>
      <c r="AJ263" s="59">
        <v>1</v>
      </c>
      <c r="AK263" s="58" t="s">
        <v>8</v>
      </c>
      <c r="AL263" s="181" t="s">
        <v>72</v>
      </c>
      <c r="AM263" s="181" t="s">
        <v>72</v>
      </c>
      <c r="AN263" s="193" t="s">
        <v>1846</v>
      </c>
    </row>
    <row r="264" spans="2:40" ht="15">
      <c r="B264" s="184">
        <v>145</v>
      </c>
      <c r="C264" s="13">
        <v>20200525</v>
      </c>
      <c r="D264" s="13" t="s">
        <v>24</v>
      </c>
      <c r="E264" s="13" t="s">
        <v>1842</v>
      </c>
      <c r="F264" s="39" t="s">
        <v>1885</v>
      </c>
      <c r="G264" s="13">
        <v>1484917</v>
      </c>
      <c r="H264" s="164" t="s">
        <v>72</v>
      </c>
      <c r="I264" s="13" t="s">
        <v>255</v>
      </c>
      <c r="J264" s="164" t="s">
        <v>72</v>
      </c>
      <c r="K264" s="13" t="s">
        <v>106</v>
      </c>
      <c r="L264" s="13" t="s">
        <v>1844</v>
      </c>
      <c r="M264" s="13" t="s">
        <v>1033</v>
      </c>
      <c r="N264" s="13" t="s">
        <v>1845</v>
      </c>
      <c r="O264" s="14" t="s">
        <v>72</v>
      </c>
      <c r="P264" s="14" t="s">
        <v>1278</v>
      </c>
      <c r="Q264" s="165"/>
      <c r="R264" s="164" t="s">
        <v>72</v>
      </c>
      <c r="S264" s="13" t="s">
        <v>117</v>
      </c>
      <c r="T264" s="13"/>
      <c r="U264" s="13"/>
      <c r="V264" s="13">
        <v>100</v>
      </c>
      <c r="W264" s="13">
        <v>100</v>
      </c>
      <c r="X264" s="13">
        <v>100</v>
      </c>
      <c r="Y264" s="13">
        <v>1.77</v>
      </c>
      <c r="Z264" s="13">
        <v>1</v>
      </c>
      <c r="AA264" s="13" t="s">
        <v>110</v>
      </c>
      <c r="AB264" s="58">
        <v>43983</v>
      </c>
      <c r="AC264" s="58">
        <v>43976</v>
      </c>
      <c r="AD264" s="58">
        <v>43983</v>
      </c>
      <c r="AE264" s="58">
        <v>43980</v>
      </c>
      <c r="AF264" s="58">
        <v>43980</v>
      </c>
      <c r="AG264" s="58" t="s">
        <v>75</v>
      </c>
      <c r="AH264" s="59">
        <v>1</v>
      </c>
      <c r="AI264" s="59">
        <v>1</v>
      </c>
      <c r="AJ264" s="59">
        <v>1</v>
      </c>
      <c r="AK264" s="58" t="s">
        <v>8</v>
      </c>
      <c r="AL264" s="181" t="s">
        <v>72</v>
      </c>
      <c r="AM264" s="181" t="s">
        <v>72</v>
      </c>
      <c r="AN264" s="193" t="s">
        <v>1846</v>
      </c>
    </row>
    <row r="265" spans="2:40" ht="15">
      <c r="B265" s="184">
        <v>146</v>
      </c>
      <c r="C265" s="13">
        <v>20200525</v>
      </c>
      <c r="D265" s="13" t="s">
        <v>24</v>
      </c>
      <c r="E265" s="13" t="s">
        <v>1842</v>
      </c>
      <c r="F265" s="39" t="s">
        <v>1886</v>
      </c>
      <c r="G265" s="13">
        <v>1484917</v>
      </c>
      <c r="H265" s="164" t="s">
        <v>72</v>
      </c>
      <c r="I265" s="13" t="s">
        <v>255</v>
      </c>
      <c r="J265" s="164" t="s">
        <v>72</v>
      </c>
      <c r="K265" s="13" t="s">
        <v>106</v>
      </c>
      <c r="L265" s="13" t="s">
        <v>1844</v>
      </c>
      <c r="M265" s="13" t="s">
        <v>1033</v>
      </c>
      <c r="N265" s="13" t="s">
        <v>1845</v>
      </c>
      <c r="O265" s="14" t="s">
        <v>72</v>
      </c>
      <c r="P265" s="14" t="s">
        <v>1278</v>
      </c>
      <c r="Q265" s="165"/>
      <c r="R265" s="164" t="s">
        <v>72</v>
      </c>
      <c r="S265" s="13" t="s">
        <v>117</v>
      </c>
      <c r="T265" s="13"/>
      <c r="U265" s="13"/>
      <c r="V265" s="13">
        <v>100</v>
      </c>
      <c r="W265" s="13">
        <v>100</v>
      </c>
      <c r="X265" s="13">
        <v>100</v>
      </c>
      <c r="Y265" s="13">
        <v>1.77</v>
      </c>
      <c r="Z265" s="13">
        <v>1</v>
      </c>
      <c r="AA265" s="13" t="s">
        <v>110</v>
      </c>
      <c r="AB265" s="58">
        <v>43983</v>
      </c>
      <c r="AC265" s="58">
        <v>43976</v>
      </c>
      <c r="AD265" s="58">
        <v>43983</v>
      </c>
      <c r="AE265" s="58">
        <v>43980</v>
      </c>
      <c r="AF265" s="58">
        <v>43980</v>
      </c>
      <c r="AG265" s="58" t="s">
        <v>75</v>
      </c>
      <c r="AH265" s="59">
        <v>1</v>
      </c>
      <c r="AI265" s="59">
        <v>1</v>
      </c>
      <c r="AJ265" s="59">
        <v>1</v>
      </c>
      <c r="AK265" s="58" t="s">
        <v>8</v>
      </c>
      <c r="AL265" s="181" t="s">
        <v>72</v>
      </c>
      <c r="AM265" s="181" t="s">
        <v>72</v>
      </c>
      <c r="AN265" s="193" t="s">
        <v>1846</v>
      </c>
    </row>
    <row r="266" spans="2:40" ht="15">
      <c r="B266" s="184">
        <v>147</v>
      </c>
      <c r="C266" s="13">
        <v>20200525</v>
      </c>
      <c r="D266" s="13" t="s">
        <v>24</v>
      </c>
      <c r="E266" s="13" t="s">
        <v>1842</v>
      </c>
      <c r="F266" s="39" t="s">
        <v>1887</v>
      </c>
      <c r="G266" s="13">
        <v>1484917</v>
      </c>
      <c r="H266" s="164"/>
      <c r="I266" s="13" t="s">
        <v>270</v>
      </c>
      <c r="J266" s="164" t="s">
        <v>72</v>
      </c>
      <c r="K266" s="13" t="s">
        <v>106</v>
      </c>
      <c r="L266" s="13" t="s">
        <v>1844</v>
      </c>
      <c r="M266" s="13" t="s">
        <v>1033</v>
      </c>
      <c r="N266" s="13" t="s">
        <v>1845</v>
      </c>
      <c r="O266" s="14" t="s">
        <v>72</v>
      </c>
      <c r="P266" s="14" t="s">
        <v>1278</v>
      </c>
      <c r="Q266" s="165"/>
      <c r="R266" s="164" t="s">
        <v>72</v>
      </c>
      <c r="S266" s="13" t="s">
        <v>77</v>
      </c>
      <c r="T266" s="13"/>
      <c r="U266" s="13"/>
      <c r="V266" s="13">
        <v>77</v>
      </c>
      <c r="W266" s="13">
        <v>77</v>
      </c>
      <c r="X266" s="13">
        <v>77</v>
      </c>
      <c r="Y266" s="13">
        <v>1.36</v>
      </c>
      <c r="Z266" s="13">
        <v>1</v>
      </c>
      <c r="AA266" s="13" t="s">
        <v>110</v>
      </c>
      <c r="AB266" s="58">
        <v>43983</v>
      </c>
      <c r="AC266" s="58">
        <v>43976</v>
      </c>
      <c r="AD266" s="58">
        <v>43983</v>
      </c>
      <c r="AE266" s="58">
        <v>43978</v>
      </c>
      <c r="AF266" s="58">
        <v>43978</v>
      </c>
      <c r="AG266" s="58" t="s">
        <v>75</v>
      </c>
      <c r="AH266" s="59">
        <v>1</v>
      </c>
      <c r="AI266" s="59">
        <v>1</v>
      </c>
      <c r="AJ266" s="59">
        <v>1</v>
      </c>
      <c r="AK266" s="58" t="s">
        <v>8</v>
      </c>
      <c r="AL266" s="181" t="s">
        <v>72</v>
      </c>
      <c r="AM266" s="181" t="s">
        <v>72</v>
      </c>
      <c r="AN266" s="193" t="s">
        <v>1846</v>
      </c>
    </row>
    <row r="267" spans="2:40" ht="15">
      <c r="B267" s="184">
        <v>148</v>
      </c>
      <c r="C267" s="13">
        <v>20200525</v>
      </c>
      <c r="D267" s="13" t="s">
        <v>24</v>
      </c>
      <c r="E267" s="13" t="s">
        <v>1842</v>
      </c>
      <c r="F267" s="39" t="s">
        <v>1888</v>
      </c>
      <c r="G267" s="13">
        <v>1484917</v>
      </c>
      <c r="H267" s="164" t="s">
        <v>72</v>
      </c>
      <c r="I267" s="13" t="s">
        <v>196</v>
      </c>
      <c r="J267" s="164" t="s">
        <v>72</v>
      </c>
      <c r="K267" s="13" t="s">
        <v>106</v>
      </c>
      <c r="L267" s="13" t="s">
        <v>1844</v>
      </c>
      <c r="M267" s="13" t="s">
        <v>1033</v>
      </c>
      <c r="N267" s="13" t="s">
        <v>1845</v>
      </c>
      <c r="O267" s="14" t="s">
        <v>72</v>
      </c>
      <c r="P267" s="14" t="s">
        <v>1278</v>
      </c>
      <c r="Q267" s="165"/>
      <c r="R267" s="164" t="s">
        <v>72</v>
      </c>
      <c r="S267" s="13" t="s">
        <v>161</v>
      </c>
      <c r="T267" s="13"/>
      <c r="U267" s="13"/>
      <c r="V267" s="13">
        <v>16</v>
      </c>
      <c r="W267" s="13">
        <v>16</v>
      </c>
      <c r="X267" s="13">
        <v>16</v>
      </c>
      <c r="Y267" s="13">
        <v>0.28000000000000003</v>
      </c>
      <c r="Z267" s="13">
        <v>0.2</v>
      </c>
      <c r="AA267" s="13" t="s">
        <v>110</v>
      </c>
      <c r="AB267" s="58">
        <v>43983</v>
      </c>
      <c r="AC267" s="58">
        <v>43976</v>
      </c>
      <c r="AD267" s="58">
        <v>43983</v>
      </c>
      <c r="AE267" s="58">
        <v>43978</v>
      </c>
      <c r="AF267" s="58">
        <v>43978</v>
      </c>
      <c r="AG267" s="58" t="s">
        <v>75</v>
      </c>
      <c r="AH267" s="59">
        <v>1</v>
      </c>
      <c r="AI267" s="59">
        <v>1</v>
      </c>
      <c r="AJ267" s="59">
        <v>1</v>
      </c>
      <c r="AK267" s="58" t="s">
        <v>8</v>
      </c>
      <c r="AL267" s="181" t="s">
        <v>72</v>
      </c>
      <c r="AM267" s="181" t="s">
        <v>72</v>
      </c>
      <c r="AN267" s="193" t="s">
        <v>1846</v>
      </c>
    </row>
    <row r="268" spans="2:40" ht="15">
      <c r="B268" s="184">
        <v>149</v>
      </c>
      <c r="C268" s="13">
        <v>20200525</v>
      </c>
      <c r="D268" s="13" t="s">
        <v>24</v>
      </c>
      <c r="E268" s="13" t="s">
        <v>1842</v>
      </c>
      <c r="F268" s="39" t="s">
        <v>1889</v>
      </c>
      <c r="G268" s="13">
        <v>1484917</v>
      </c>
      <c r="H268" s="164" t="s">
        <v>72</v>
      </c>
      <c r="I268" s="13" t="s">
        <v>1890</v>
      </c>
      <c r="J268" s="164" t="s">
        <v>72</v>
      </c>
      <c r="K268" s="13" t="s">
        <v>106</v>
      </c>
      <c r="L268" s="13" t="s">
        <v>1844</v>
      </c>
      <c r="M268" s="13" t="s">
        <v>1033</v>
      </c>
      <c r="N268" s="13" t="s">
        <v>1845</v>
      </c>
      <c r="O268" s="14" t="s">
        <v>72</v>
      </c>
      <c r="P268" s="14" t="s">
        <v>1278</v>
      </c>
      <c r="Q268" s="165"/>
      <c r="R268" s="164" t="s">
        <v>72</v>
      </c>
      <c r="S268" s="13" t="s">
        <v>161</v>
      </c>
      <c r="T268" s="13"/>
      <c r="U268" s="13"/>
      <c r="V268" s="13">
        <v>8</v>
      </c>
      <c r="W268" s="13">
        <v>8</v>
      </c>
      <c r="X268" s="13">
        <v>8</v>
      </c>
      <c r="Y268" s="13">
        <v>0.14000000000000001</v>
      </c>
      <c r="Z268" s="13">
        <v>0.1</v>
      </c>
      <c r="AA268" s="13" t="s">
        <v>110</v>
      </c>
      <c r="AB268" s="58">
        <v>43983</v>
      </c>
      <c r="AC268" s="58">
        <v>43976</v>
      </c>
      <c r="AD268" s="58">
        <v>43983</v>
      </c>
      <c r="AE268" s="58">
        <v>43978</v>
      </c>
      <c r="AF268" s="58">
        <v>43978</v>
      </c>
      <c r="AG268" s="58" t="s">
        <v>75</v>
      </c>
      <c r="AH268" s="59" t="s">
        <v>72</v>
      </c>
      <c r="AI268" s="59" t="s">
        <v>72</v>
      </c>
      <c r="AJ268" s="59" t="s">
        <v>72</v>
      </c>
      <c r="AK268" s="58" t="s">
        <v>8</v>
      </c>
      <c r="AL268" s="14" t="s">
        <v>1891</v>
      </c>
      <c r="AM268" s="181" t="s">
        <v>72</v>
      </c>
      <c r="AN268" s="193" t="s">
        <v>1846</v>
      </c>
    </row>
    <row r="269" spans="2:40" ht="15">
      <c r="B269" s="184">
        <v>150</v>
      </c>
      <c r="C269" s="13">
        <v>20200525</v>
      </c>
      <c r="D269" s="13" t="s">
        <v>24</v>
      </c>
      <c r="E269" s="13" t="s">
        <v>1842</v>
      </c>
      <c r="F269" s="39" t="s">
        <v>1892</v>
      </c>
      <c r="G269" s="13">
        <v>1484917</v>
      </c>
      <c r="H269" s="164" t="s">
        <v>72</v>
      </c>
      <c r="I269" s="13" t="s">
        <v>256</v>
      </c>
      <c r="J269" s="164" t="s">
        <v>72</v>
      </c>
      <c r="K269" s="13" t="s">
        <v>106</v>
      </c>
      <c r="L269" s="13" t="s">
        <v>1844</v>
      </c>
      <c r="M269" s="13" t="s">
        <v>1033</v>
      </c>
      <c r="N269" s="13" t="s">
        <v>1845</v>
      </c>
      <c r="O269" s="14" t="s">
        <v>72</v>
      </c>
      <c r="P269" s="14" t="s">
        <v>1278</v>
      </c>
      <c r="Q269" s="165"/>
      <c r="R269" s="164" t="s">
        <v>72</v>
      </c>
      <c r="S269" s="13" t="s">
        <v>161</v>
      </c>
      <c r="T269" s="13"/>
      <c r="U269" s="13"/>
      <c r="V269" s="13">
        <v>162</v>
      </c>
      <c r="W269" s="13">
        <v>162</v>
      </c>
      <c r="X269" s="13">
        <v>162</v>
      </c>
      <c r="Y269" s="13">
        <v>2.88</v>
      </c>
      <c r="Z269" s="13">
        <v>2</v>
      </c>
      <c r="AA269" s="13" t="s">
        <v>110</v>
      </c>
      <c r="AB269" s="58">
        <v>43983</v>
      </c>
      <c r="AC269" s="58">
        <v>43976</v>
      </c>
      <c r="AD269" s="58">
        <v>43983</v>
      </c>
      <c r="AE269" s="58">
        <v>43978</v>
      </c>
      <c r="AF269" s="58">
        <v>43978</v>
      </c>
      <c r="AG269" s="58" t="s">
        <v>75</v>
      </c>
      <c r="AH269" s="59">
        <v>1</v>
      </c>
      <c r="AI269" s="59">
        <v>1</v>
      </c>
      <c r="AJ269" s="59">
        <v>1</v>
      </c>
      <c r="AK269" s="58" t="s">
        <v>8</v>
      </c>
      <c r="AL269" s="181" t="s">
        <v>72</v>
      </c>
      <c r="AM269" s="181" t="s">
        <v>72</v>
      </c>
      <c r="AN269" s="193" t="s">
        <v>1846</v>
      </c>
    </row>
    <row r="270" spans="2:40" ht="15">
      <c r="B270" s="184">
        <v>151</v>
      </c>
      <c r="C270" s="13">
        <v>20200525</v>
      </c>
      <c r="D270" s="13" t="s">
        <v>24</v>
      </c>
      <c r="E270" s="13" t="s">
        <v>1842</v>
      </c>
      <c r="F270" s="39" t="s">
        <v>1893</v>
      </c>
      <c r="G270" s="13">
        <v>1484917</v>
      </c>
      <c r="H270" s="164" t="s">
        <v>72</v>
      </c>
      <c r="I270" s="13" t="s">
        <v>256</v>
      </c>
      <c r="J270" s="164" t="s">
        <v>72</v>
      </c>
      <c r="K270" s="13" t="s">
        <v>106</v>
      </c>
      <c r="L270" s="13" t="s">
        <v>1844</v>
      </c>
      <c r="M270" s="13" t="s">
        <v>1033</v>
      </c>
      <c r="N270" s="13" t="s">
        <v>1845</v>
      </c>
      <c r="O270" s="14" t="s">
        <v>72</v>
      </c>
      <c r="P270" s="14" t="s">
        <v>1278</v>
      </c>
      <c r="Q270" s="165"/>
      <c r="R270" s="164" t="s">
        <v>72</v>
      </c>
      <c r="S270" s="13" t="s">
        <v>161</v>
      </c>
      <c r="T270" s="13"/>
      <c r="U270" s="13"/>
      <c r="V270" s="13">
        <v>162</v>
      </c>
      <c r="W270" s="53">
        <v>209</v>
      </c>
      <c r="X270" s="13">
        <v>209</v>
      </c>
      <c r="Y270" s="13">
        <v>3.71</v>
      </c>
      <c r="Z270" s="13">
        <v>2</v>
      </c>
      <c r="AA270" s="13" t="s">
        <v>110</v>
      </c>
      <c r="AB270" s="58">
        <v>43983</v>
      </c>
      <c r="AC270" s="58">
        <v>43976</v>
      </c>
      <c r="AD270" s="58">
        <v>43983</v>
      </c>
      <c r="AE270" s="58">
        <v>43978</v>
      </c>
      <c r="AF270" s="58">
        <v>43978</v>
      </c>
      <c r="AG270" s="58" t="s">
        <v>75</v>
      </c>
      <c r="AH270" s="59">
        <v>1</v>
      </c>
      <c r="AI270" s="59">
        <v>1</v>
      </c>
      <c r="AJ270" s="59">
        <v>1</v>
      </c>
      <c r="AK270" s="58" t="s">
        <v>8</v>
      </c>
      <c r="AL270" s="181" t="s">
        <v>72</v>
      </c>
      <c r="AM270" s="181" t="s">
        <v>72</v>
      </c>
      <c r="AN270" s="193" t="s">
        <v>1846</v>
      </c>
    </row>
    <row r="271" spans="2:40" ht="15">
      <c r="B271" s="184">
        <v>152</v>
      </c>
      <c r="C271" s="13">
        <v>20200525</v>
      </c>
      <c r="D271" s="13" t="s">
        <v>24</v>
      </c>
      <c r="E271" s="13" t="s">
        <v>1842</v>
      </c>
      <c r="F271" s="39" t="s">
        <v>1894</v>
      </c>
      <c r="G271" s="13">
        <v>1484917</v>
      </c>
      <c r="H271" s="164"/>
      <c r="I271" s="13" t="s">
        <v>1895</v>
      </c>
      <c r="J271" s="164" t="s">
        <v>72</v>
      </c>
      <c r="K271" s="13" t="s">
        <v>106</v>
      </c>
      <c r="L271" s="13" t="s">
        <v>1844</v>
      </c>
      <c r="M271" s="13" t="s">
        <v>1033</v>
      </c>
      <c r="N271" s="13" t="s">
        <v>1845</v>
      </c>
      <c r="O271" s="14" t="s">
        <v>72</v>
      </c>
      <c r="P271" s="14" t="s">
        <v>1278</v>
      </c>
      <c r="Q271" s="165"/>
      <c r="R271" s="164" t="s">
        <v>72</v>
      </c>
      <c r="S271" s="13" t="s">
        <v>77</v>
      </c>
      <c r="T271" s="13"/>
      <c r="U271" s="13"/>
      <c r="V271" s="13">
        <v>17</v>
      </c>
      <c r="W271" s="13">
        <v>17</v>
      </c>
      <c r="X271" s="13">
        <v>17</v>
      </c>
      <c r="Y271" s="13">
        <v>0.3</v>
      </c>
      <c r="Z271" s="13">
        <v>0.1</v>
      </c>
      <c r="AA271" s="13" t="s">
        <v>110</v>
      </c>
      <c r="AB271" s="58">
        <v>43983</v>
      </c>
      <c r="AC271" s="58">
        <v>43976</v>
      </c>
      <c r="AD271" s="58">
        <v>43983</v>
      </c>
      <c r="AE271" s="58">
        <v>43978</v>
      </c>
      <c r="AF271" s="58">
        <v>43978</v>
      </c>
      <c r="AG271" s="58" t="s">
        <v>75</v>
      </c>
      <c r="AH271" s="59">
        <v>1</v>
      </c>
      <c r="AI271" s="59">
        <v>1</v>
      </c>
      <c r="AJ271" s="59">
        <v>1</v>
      </c>
      <c r="AK271" s="58" t="s">
        <v>8</v>
      </c>
      <c r="AL271" s="181" t="s">
        <v>72</v>
      </c>
      <c r="AM271" s="181" t="s">
        <v>72</v>
      </c>
      <c r="AN271" s="193" t="s">
        <v>1846</v>
      </c>
    </row>
    <row r="272" spans="2:40" ht="15">
      <c r="B272" s="184">
        <v>153</v>
      </c>
      <c r="C272" s="13">
        <v>20200525</v>
      </c>
      <c r="D272" s="13" t="s">
        <v>24</v>
      </c>
      <c r="E272" s="13" t="s">
        <v>1842</v>
      </c>
      <c r="F272" s="39" t="s">
        <v>1896</v>
      </c>
      <c r="G272" s="13">
        <v>1484917</v>
      </c>
      <c r="H272" s="164" t="s">
        <v>72</v>
      </c>
      <c r="I272" s="13" t="s">
        <v>257</v>
      </c>
      <c r="J272" s="164" t="s">
        <v>72</v>
      </c>
      <c r="K272" s="13" t="s">
        <v>106</v>
      </c>
      <c r="L272" s="13" t="s">
        <v>1844</v>
      </c>
      <c r="M272" s="13" t="s">
        <v>1033</v>
      </c>
      <c r="N272" s="13" t="s">
        <v>1845</v>
      </c>
      <c r="O272" s="14" t="s">
        <v>72</v>
      </c>
      <c r="P272" s="14" t="s">
        <v>1278</v>
      </c>
      <c r="Q272" s="165"/>
      <c r="R272" s="164" t="s">
        <v>72</v>
      </c>
      <c r="S272" s="13" t="s">
        <v>161</v>
      </c>
      <c r="T272" s="13"/>
      <c r="U272" s="13"/>
      <c r="V272" s="13">
        <v>18</v>
      </c>
      <c r="W272" s="13">
        <v>18</v>
      </c>
      <c r="X272" s="13">
        <v>18</v>
      </c>
      <c r="Y272" s="13">
        <v>0.32</v>
      </c>
      <c r="Z272" s="13">
        <v>0.3</v>
      </c>
      <c r="AA272" s="13" t="s">
        <v>110</v>
      </c>
      <c r="AB272" s="58">
        <v>43983</v>
      </c>
      <c r="AC272" s="58">
        <v>43976</v>
      </c>
      <c r="AD272" s="58">
        <v>43983</v>
      </c>
      <c r="AE272" s="58">
        <v>43978</v>
      </c>
      <c r="AF272" s="58">
        <v>43978</v>
      </c>
      <c r="AG272" s="58" t="s">
        <v>75</v>
      </c>
      <c r="AH272" s="59">
        <v>1</v>
      </c>
      <c r="AI272" s="59">
        <v>1</v>
      </c>
      <c r="AJ272" s="59">
        <v>1</v>
      </c>
      <c r="AK272" s="58" t="s">
        <v>8</v>
      </c>
      <c r="AL272" s="181" t="s">
        <v>72</v>
      </c>
      <c r="AM272" s="181" t="s">
        <v>72</v>
      </c>
      <c r="AN272" s="193" t="s">
        <v>1846</v>
      </c>
    </row>
    <row r="273" spans="2:40" ht="15">
      <c r="B273" s="184">
        <v>154</v>
      </c>
      <c r="C273" s="13">
        <v>20200525</v>
      </c>
      <c r="D273" s="13" t="s">
        <v>24</v>
      </c>
      <c r="E273" s="13" t="s">
        <v>1842</v>
      </c>
      <c r="F273" s="39" t="s">
        <v>1897</v>
      </c>
      <c r="G273" s="13">
        <v>1484917</v>
      </c>
      <c r="H273" s="164" t="s">
        <v>72</v>
      </c>
      <c r="I273" s="13" t="s">
        <v>257</v>
      </c>
      <c r="J273" s="164" t="s">
        <v>72</v>
      </c>
      <c r="K273" s="13" t="s">
        <v>106</v>
      </c>
      <c r="L273" s="13" t="s">
        <v>1844</v>
      </c>
      <c r="M273" s="13" t="s">
        <v>1033</v>
      </c>
      <c r="N273" s="13" t="s">
        <v>1845</v>
      </c>
      <c r="O273" s="14" t="s">
        <v>72</v>
      </c>
      <c r="P273" s="14" t="s">
        <v>1278</v>
      </c>
      <c r="Q273" s="165"/>
      <c r="R273" s="164" t="s">
        <v>72</v>
      </c>
      <c r="S273" s="13" t="s">
        <v>161</v>
      </c>
      <c r="T273" s="13"/>
      <c r="U273" s="13"/>
      <c r="V273" s="13">
        <v>18</v>
      </c>
      <c r="W273" s="13">
        <v>18</v>
      </c>
      <c r="X273" s="13">
        <v>18</v>
      </c>
      <c r="Y273" s="13">
        <v>0.32</v>
      </c>
      <c r="Z273" s="13">
        <v>0.3</v>
      </c>
      <c r="AA273" s="13" t="s">
        <v>110</v>
      </c>
      <c r="AB273" s="58">
        <v>43983</v>
      </c>
      <c r="AC273" s="58">
        <v>43976</v>
      </c>
      <c r="AD273" s="58">
        <v>43983</v>
      </c>
      <c r="AE273" s="58">
        <v>43978</v>
      </c>
      <c r="AF273" s="58">
        <v>43978</v>
      </c>
      <c r="AG273" s="58" t="s">
        <v>75</v>
      </c>
      <c r="AH273" s="59">
        <v>1</v>
      </c>
      <c r="AI273" s="59">
        <v>1</v>
      </c>
      <c r="AJ273" s="59">
        <v>1</v>
      </c>
      <c r="AK273" s="58" t="s">
        <v>8</v>
      </c>
      <c r="AL273" s="181" t="s">
        <v>72</v>
      </c>
      <c r="AM273" s="181" t="s">
        <v>72</v>
      </c>
      <c r="AN273" s="193" t="s">
        <v>1846</v>
      </c>
    </row>
    <row r="274" spans="2:40" ht="15">
      <c r="B274" s="184">
        <v>155</v>
      </c>
      <c r="C274" s="13">
        <v>20200525</v>
      </c>
      <c r="D274" s="13" t="s">
        <v>24</v>
      </c>
      <c r="E274" s="13" t="s">
        <v>1842</v>
      </c>
      <c r="F274" s="39" t="s">
        <v>1898</v>
      </c>
      <c r="G274" s="13">
        <v>1484917</v>
      </c>
      <c r="H274" s="164" t="s">
        <v>72</v>
      </c>
      <c r="I274" s="13" t="s">
        <v>271</v>
      </c>
      <c r="J274" s="164" t="s">
        <v>72</v>
      </c>
      <c r="K274" s="13" t="s">
        <v>106</v>
      </c>
      <c r="L274" s="13" t="s">
        <v>1844</v>
      </c>
      <c r="M274" s="13" t="s">
        <v>1033</v>
      </c>
      <c r="N274" s="13" t="s">
        <v>1845</v>
      </c>
      <c r="O274" s="14" t="s">
        <v>72</v>
      </c>
      <c r="P274" s="14" t="s">
        <v>1278</v>
      </c>
      <c r="Q274" s="165"/>
      <c r="R274" s="164" t="s">
        <v>72</v>
      </c>
      <c r="S274" s="13" t="s">
        <v>117</v>
      </c>
      <c r="T274" s="13"/>
      <c r="U274" s="13"/>
      <c r="V274" s="13">
        <v>44</v>
      </c>
      <c r="W274" s="13">
        <v>44</v>
      </c>
      <c r="X274" s="13">
        <v>44</v>
      </c>
      <c r="Y274" s="13">
        <v>0.78</v>
      </c>
      <c r="Z274" s="13">
        <v>0.5</v>
      </c>
      <c r="AA274" s="13" t="s">
        <v>110</v>
      </c>
      <c r="AB274" s="58">
        <v>43983</v>
      </c>
      <c r="AC274" s="58">
        <v>43976</v>
      </c>
      <c r="AD274" s="58">
        <v>43983</v>
      </c>
      <c r="AE274" s="58">
        <v>43980</v>
      </c>
      <c r="AF274" s="58">
        <v>43980</v>
      </c>
      <c r="AG274" s="58" t="s">
        <v>75</v>
      </c>
      <c r="AH274" s="59">
        <v>1</v>
      </c>
      <c r="AI274" s="59">
        <v>1</v>
      </c>
      <c r="AJ274" s="59">
        <v>1</v>
      </c>
      <c r="AK274" s="58" t="s">
        <v>8</v>
      </c>
      <c r="AL274" s="181" t="s">
        <v>72</v>
      </c>
      <c r="AM274" s="181" t="s">
        <v>72</v>
      </c>
      <c r="AN274" s="193" t="s">
        <v>1846</v>
      </c>
    </row>
    <row r="275" spans="2:40" ht="15">
      <c r="B275" s="184">
        <v>156</v>
      </c>
      <c r="C275" s="13">
        <v>20200525</v>
      </c>
      <c r="D275" s="13" t="s">
        <v>24</v>
      </c>
      <c r="E275" s="13" t="s">
        <v>1842</v>
      </c>
      <c r="F275" s="39" t="s">
        <v>1899</v>
      </c>
      <c r="G275" s="13">
        <v>1484917</v>
      </c>
      <c r="H275" s="164" t="s">
        <v>72</v>
      </c>
      <c r="I275" s="13" t="s">
        <v>1900</v>
      </c>
      <c r="J275" s="164" t="s">
        <v>72</v>
      </c>
      <c r="K275" s="13" t="s">
        <v>106</v>
      </c>
      <c r="L275" s="13" t="s">
        <v>1844</v>
      </c>
      <c r="M275" s="13" t="s">
        <v>1033</v>
      </c>
      <c r="N275" s="13" t="s">
        <v>1845</v>
      </c>
      <c r="O275" s="14" t="s">
        <v>72</v>
      </c>
      <c r="P275" s="14" t="s">
        <v>1278</v>
      </c>
      <c r="Q275" s="165"/>
      <c r="R275" s="164" t="s">
        <v>72</v>
      </c>
      <c r="S275" s="13" t="s">
        <v>109</v>
      </c>
      <c r="T275" s="13"/>
      <c r="U275" s="13"/>
      <c r="V275" s="13">
        <v>129</v>
      </c>
      <c r="W275" s="13">
        <v>129</v>
      </c>
      <c r="X275" s="13">
        <v>129</v>
      </c>
      <c r="Y275" s="13">
        <v>2.29</v>
      </c>
      <c r="Z275" s="13">
        <v>1</v>
      </c>
      <c r="AA275" s="13" t="s">
        <v>110</v>
      </c>
      <c r="AB275" s="58">
        <v>43983</v>
      </c>
      <c r="AC275" s="58">
        <v>43976</v>
      </c>
      <c r="AD275" s="58">
        <v>43983</v>
      </c>
      <c r="AE275" s="58">
        <v>43977</v>
      </c>
      <c r="AF275" s="58">
        <v>43977</v>
      </c>
      <c r="AG275" s="58" t="s">
        <v>75</v>
      </c>
      <c r="AH275" s="59">
        <v>1</v>
      </c>
      <c r="AI275" s="59">
        <v>1</v>
      </c>
      <c r="AJ275" s="59">
        <v>1</v>
      </c>
      <c r="AK275" s="58" t="s">
        <v>8</v>
      </c>
      <c r="AL275" s="181" t="s">
        <v>72</v>
      </c>
      <c r="AM275" s="181" t="s">
        <v>72</v>
      </c>
      <c r="AN275" s="193" t="s">
        <v>1846</v>
      </c>
    </row>
    <row r="276" spans="2:40" ht="15">
      <c r="B276" s="184">
        <v>157</v>
      </c>
      <c r="C276" s="13">
        <v>20200525</v>
      </c>
      <c r="D276" s="13" t="s">
        <v>24</v>
      </c>
      <c r="E276" s="13" t="s">
        <v>1842</v>
      </c>
      <c r="F276" s="39" t="s">
        <v>1901</v>
      </c>
      <c r="G276" s="13">
        <v>1484917</v>
      </c>
      <c r="H276" s="164" t="s">
        <v>72</v>
      </c>
      <c r="I276" s="13" t="s">
        <v>258</v>
      </c>
      <c r="J276" s="164" t="s">
        <v>72</v>
      </c>
      <c r="K276" s="13" t="s">
        <v>106</v>
      </c>
      <c r="L276" s="13" t="s">
        <v>1844</v>
      </c>
      <c r="M276" s="13" t="s">
        <v>1033</v>
      </c>
      <c r="N276" s="13" t="s">
        <v>1845</v>
      </c>
      <c r="O276" s="14" t="s">
        <v>72</v>
      </c>
      <c r="P276" s="14" t="s">
        <v>1278</v>
      </c>
      <c r="Q276" s="165"/>
      <c r="R276" s="164" t="s">
        <v>72</v>
      </c>
      <c r="S276" s="13" t="s">
        <v>109</v>
      </c>
      <c r="T276" s="13"/>
      <c r="U276" s="13"/>
      <c r="V276" s="13">
        <v>164</v>
      </c>
      <c r="W276" s="13">
        <v>164</v>
      </c>
      <c r="X276" s="13">
        <v>164</v>
      </c>
      <c r="Y276" s="13">
        <v>2.91</v>
      </c>
      <c r="Z276" s="13">
        <v>1</v>
      </c>
      <c r="AA276" s="13" t="s">
        <v>110</v>
      </c>
      <c r="AB276" s="58">
        <v>43983</v>
      </c>
      <c r="AC276" s="58">
        <v>43976</v>
      </c>
      <c r="AD276" s="58">
        <v>43983</v>
      </c>
      <c r="AE276" s="58">
        <v>43978</v>
      </c>
      <c r="AF276" s="58">
        <v>43978</v>
      </c>
      <c r="AG276" s="58" t="s">
        <v>75</v>
      </c>
      <c r="AH276" s="59">
        <v>1</v>
      </c>
      <c r="AI276" s="59">
        <v>1</v>
      </c>
      <c r="AJ276" s="59">
        <v>1</v>
      </c>
      <c r="AK276" s="58" t="s">
        <v>8</v>
      </c>
      <c r="AL276" s="181" t="s">
        <v>72</v>
      </c>
      <c r="AM276" s="181" t="s">
        <v>72</v>
      </c>
      <c r="AN276" s="193" t="s">
        <v>1846</v>
      </c>
    </row>
    <row r="277" spans="2:40" ht="15">
      <c r="B277" s="184">
        <v>158</v>
      </c>
      <c r="C277" s="13">
        <v>20200525</v>
      </c>
      <c r="D277" s="13" t="s">
        <v>24</v>
      </c>
      <c r="E277" s="13" t="s">
        <v>1842</v>
      </c>
      <c r="F277" s="39" t="s">
        <v>1902</v>
      </c>
      <c r="G277" s="13">
        <v>1484917</v>
      </c>
      <c r="H277" s="164" t="s">
        <v>72</v>
      </c>
      <c r="I277" s="13" t="s">
        <v>258</v>
      </c>
      <c r="J277" s="164" t="s">
        <v>72</v>
      </c>
      <c r="K277" s="13" t="s">
        <v>106</v>
      </c>
      <c r="L277" s="13" t="s">
        <v>1844</v>
      </c>
      <c r="M277" s="13" t="s">
        <v>1033</v>
      </c>
      <c r="N277" s="13" t="s">
        <v>1845</v>
      </c>
      <c r="O277" s="14" t="s">
        <v>72</v>
      </c>
      <c r="P277" s="14" t="s">
        <v>1278</v>
      </c>
      <c r="Q277" s="165"/>
      <c r="R277" s="164" t="s">
        <v>72</v>
      </c>
      <c r="S277" s="13" t="s">
        <v>109</v>
      </c>
      <c r="T277" s="13"/>
      <c r="U277" s="13"/>
      <c r="V277" s="13">
        <v>164</v>
      </c>
      <c r="W277" s="53">
        <v>196</v>
      </c>
      <c r="X277" s="13">
        <v>196</v>
      </c>
      <c r="Y277" s="13">
        <v>3.48</v>
      </c>
      <c r="Z277" s="13">
        <v>1</v>
      </c>
      <c r="AA277" s="13" t="s">
        <v>110</v>
      </c>
      <c r="AB277" s="58">
        <v>43983</v>
      </c>
      <c r="AC277" s="58">
        <v>43976</v>
      </c>
      <c r="AD277" s="58">
        <v>43983</v>
      </c>
      <c r="AE277" s="58">
        <v>43978</v>
      </c>
      <c r="AF277" s="58">
        <v>43978</v>
      </c>
      <c r="AG277" s="58" t="s">
        <v>75</v>
      </c>
      <c r="AH277" s="59">
        <v>1</v>
      </c>
      <c r="AI277" s="59">
        <v>1</v>
      </c>
      <c r="AJ277" s="59">
        <v>1</v>
      </c>
      <c r="AK277" s="58" t="s">
        <v>8</v>
      </c>
      <c r="AL277" s="181" t="s">
        <v>72</v>
      </c>
      <c r="AM277" s="181" t="s">
        <v>72</v>
      </c>
      <c r="AN277" s="193" t="s">
        <v>1846</v>
      </c>
    </row>
    <row r="278" spans="2:40" ht="15">
      <c r="B278" s="184">
        <v>159</v>
      </c>
      <c r="C278" s="13">
        <v>20200525</v>
      </c>
      <c r="D278" s="13" t="s">
        <v>24</v>
      </c>
      <c r="E278" s="13" t="s">
        <v>1842</v>
      </c>
      <c r="F278" s="39" t="s">
        <v>1903</v>
      </c>
      <c r="G278" s="13">
        <v>1484917</v>
      </c>
      <c r="H278" s="164"/>
      <c r="I278" s="13" t="s">
        <v>249</v>
      </c>
      <c r="J278" s="164" t="s">
        <v>72</v>
      </c>
      <c r="K278" s="13" t="s">
        <v>106</v>
      </c>
      <c r="L278" s="13" t="s">
        <v>1844</v>
      </c>
      <c r="M278" s="13" t="s">
        <v>1033</v>
      </c>
      <c r="N278" s="13" t="s">
        <v>1845</v>
      </c>
      <c r="O278" s="14" t="s">
        <v>72</v>
      </c>
      <c r="P278" s="14" t="s">
        <v>1278</v>
      </c>
      <c r="Q278" s="165"/>
      <c r="R278" s="164" t="s">
        <v>72</v>
      </c>
      <c r="S278" s="13" t="s">
        <v>77</v>
      </c>
      <c r="T278" s="13"/>
      <c r="U278" s="13"/>
      <c r="V278" s="13">
        <v>133</v>
      </c>
      <c r="W278" s="13">
        <v>133</v>
      </c>
      <c r="X278" s="13">
        <v>133</v>
      </c>
      <c r="Y278" s="13">
        <v>2.36</v>
      </c>
      <c r="Z278" s="13">
        <v>0.75</v>
      </c>
      <c r="AA278" s="13" t="s">
        <v>110</v>
      </c>
      <c r="AB278" s="58">
        <v>43983</v>
      </c>
      <c r="AC278" s="58">
        <v>43976</v>
      </c>
      <c r="AD278" s="58">
        <v>43983</v>
      </c>
      <c r="AE278" s="58">
        <v>43977</v>
      </c>
      <c r="AF278" s="58">
        <v>43977</v>
      </c>
      <c r="AG278" s="58" t="s">
        <v>75</v>
      </c>
      <c r="AH278" s="59">
        <v>1</v>
      </c>
      <c r="AI278" s="59">
        <v>1</v>
      </c>
      <c r="AJ278" s="59">
        <v>1</v>
      </c>
      <c r="AK278" s="58" t="s">
        <v>8</v>
      </c>
      <c r="AL278" s="181" t="s">
        <v>72</v>
      </c>
      <c r="AM278" s="181" t="s">
        <v>72</v>
      </c>
      <c r="AN278" s="193" t="s">
        <v>1846</v>
      </c>
    </row>
    <row r="279" spans="2:40" ht="15">
      <c r="B279" s="184">
        <v>160</v>
      </c>
      <c r="C279" s="13">
        <v>20200525</v>
      </c>
      <c r="D279" s="13" t="s">
        <v>24</v>
      </c>
      <c r="E279" s="13" t="s">
        <v>1842</v>
      </c>
      <c r="F279" s="39" t="s">
        <v>1904</v>
      </c>
      <c r="G279" s="13">
        <v>1484917</v>
      </c>
      <c r="H279" s="164" t="s">
        <v>72</v>
      </c>
      <c r="I279" s="13" t="s">
        <v>259</v>
      </c>
      <c r="J279" s="164" t="s">
        <v>72</v>
      </c>
      <c r="K279" s="13" t="s">
        <v>106</v>
      </c>
      <c r="L279" s="13" t="s">
        <v>1844</v>
      </c>
      <c r="M279" s="13" t="s">
        <v>1033</v>
      </c>
      <c r="N279" s="13" t="s">
        <v>1845</v>
      </c>
      <c r="O279" s="14" t="s">
        <v>72</v>
      </c>
      <c r="P279" s="14" t="s">
        <v>1278</v>
      </c>
      <c r="Q279" s="165"/>
      <c r="R279" s="164" t="s">
        <v>72</v>
      </c>
      <c r="S279" s="13" t="s">
        <v>161</v>
      </c>
      <c r="T279" s="13"/>
      <c r="U279" s="13"/>
      <c r="V279" s="13">
        <v>188</v>
      </c>
      <c r="W279" s="13">
        <v>188</v>
      </c>
      <c r="X279" s="13">
        <v>188</v>
      </c>
      <c r="Y279" s="13">
        <v>3.34</v>
      </c>
      <c r="Z279" s="13">
        <v>3</v>
      </c>
      <c r="AA279" s="13" t="s">
        <v>110</v>
      </c>
      <c r="AB279" s="58">
        <v>43983</v>
      </c>
      <c r="AC279" s="58">
        <v>43976</v>
      </c>
      <c r="AD279" s="58">
        <v>43983</v>
      </c>
      <c r="AE279" s="58">
        <v>43978</v>
      </c>
      <c r="AF279" s="58">
        <v>43978</v>
      </c>
      <c r="AG279" s="58" t="s">
        <v>75</v>
      </c>
      <c r="AH279" s="59">
        <v>1</v>
      </c>
      <c r="AI279" s="59">
        <v>1</v>
      </c>
      <c r="AJ279" s="59">
        <v>1</v>
      </c>
      <c r="AK279" s="58" t="s">
        <v>8</v>
      </c>
      <c r="AL279" s="181" t="s">
        <v>72</v>
      </c>
      <c r="AM279" s="181" t="s">
        <v>72</v>
      </c>
      <c r="AN279" s="193" t="s">
        <v>1846</v>
      </c>
    </row>
    <row r="280" spans="2:40" ht="15">
      <c r="B280" s="184">
        <v>161</v>
      </c>
      <c r="C280" s="13">
        <v>20200525</v>
      </c>
      <c r="D280" s="13" t="s">
        <v>24</v>
      </c>
      <c r="E280" s="13" t="s">
        <v>1842</v>
      </c>
      <c r="F280" s="39" t="s">
        <v>1905</v>
      </c>
      <c r="G280" s="13">
        <v>1484917</v>
      </c>
      <c r="H280" s="164" t="s">
        <v>72</v>
      </c>
      <c r="I280" s="13" t="s">
        <v>261</v>
      </c>
      <c r="J280" s="164" t="s">
        <v>72</v>
      </c>
      <c r="K280" s="13" t="s">
        <v>106</v>
      </c>
      <c r="L280" s="13" t="s">
        <v>1844</v>
      </c>
      <c r="M280" s="13" t="s">
        <v>1033</v>
      </c>
      <c r="N280" s="13" t="s">
        <v>1845</v>
      </c>
      <c r="O280" s="14" t="s">
        <v>72</v>
      </c>
      <c r="P280" s="14" t="s">
        <v>1278</v>
      </c>
      <c r="Q280" s="165"/>
      <c r="R280" s="164" t="s">
        <v>72</v>
      </c>
      <c r="S280" s="13" t="s">
        <v>117</v>
      </c>
      <c r="T280" s="13"/>
      <c r="U280" s="13"/>
      <c r="V280" s="13">
        <v>55</v>
      </c>
      <c r="W280" s="13">
        <v>55</v>
      </c>
      <c r="X280" s="13">
        <v>55</v>
      </c>
      <c r="Y280" s="13">
        <v>0.97</v>
      </c>
      <c r="Z280" s="13">
        <v>1</v>
      </c>
      <c r="AA280" s="13" t="s">
        <v>110</v>
      </c>
      <c r="AB280" s="58">
        <v>43983</v>
      </c>
      <c r="AC280" s="58">
        <v>43976</v>
      </c>
      <c r="AD280" s="58">
        <v>43983</v>
      </c>
      <c r="AE280" s="58">
        <v>43983</v>
      </c>
      <c r="AF280" s="58">
        <v>43983</v>
      </c>
      <c r="AG280" s="58" t="s">
        <v>75</v>
      </c>
      <c r="AH280" s="59">
        <v>1</v>
      </c>
      <c r="AI280" s="59">
        <v>1</v>
      </c>
      <c r="AJ280" s="59">
        <v>1</v>
      </c>
      <c r="AK280" s="58" t="s">
        <v>8</v>
      </c>
      <c r="AL280" s="181" t="s">
        <v>72</v>
      </c>
      <c r="AM280" s="181" t="s">
        <v>72</v>
      </c>
      <c r="AN280" s="193" t="s">
        <v>1846</v>
      </c>
    </row>
    <row r="281" spans="2:40" ht="15">
      <c r="B281" s="184">
        <v>162</v>
      </c>
      <c r="C281" s="13">
        <v>20200525</v>
      </c>
      <c r="D281" s="13" t="s">
        <v>24</v>
      </c>
      <c r="E281" s="13" t="s">
        <v>1842</v>
      </c>
      <c r="F281" s="39" t="s">
        <v>1906</v>
      </c>
      <c r="G281" s="13">
        <v>1484917</v>
      </c>
      <c r="H281" s="164" t="s">
        <v>72</v>
      </c>
      <c r="I281" s="13" t="s">
        <v>263</v>
      </c>
      <c r="J281" s="164" t="s">
        <v>72</v>
      </c>
      <c r="K281" s="13" t="s">
        <v>106</v>
      </c>
      <c r="L281" s="13" t="s">
        <v>1844</v>
      </c>
      <c r="M281" s="13" t="s">
        <v>1033</v>
      </c>
      <c r="N281" s="13" t="s">
        <v>1845</v>
      </c>
      <c r="O281" s="14" t="s">
        <v>72</v>
      </c>
      <c r="P281" s="14" t="s">
        <v>1278</v>
      </c>
      <c r="Q281" s="165"/>
      <c r="R281" s="164" t="s">
        <v>72</v>
      </c>
      <c r="S281" s="13" t="s">
        <v>117</v>
      </c>
      <c r="T281" s="13"/>
      <c r="U281" s="13"/>
      <c r="V281" s="13">
        <v>197</v>
      </c>
      <c r="W281" s="13">
        <v>197</v>
      </c>
      <c r="X281" s="13">
        <v>197</v>
      </c>
      <c r="Y281" s="13">
        <v>3.5</v>
      </c>
      <c r="Z281" s="13">
        <v>2</v>
      </c>
      <c r="AA281" s="13" t="s">
        <v>110</v>
      </c>
      <c r="AB281" s="58">
        <v>43983</v>
      </c>
      <c r="AC281" s="58">
        <v>43976</v>
      </c>
      <c r="AD281" s="58">
        <v>43983</v>
      </c>
      <c r="AE281" s="58">
        <v>43983</v>
      </c>
      <c r="AF281" s="58">
        <v>43983</v>
      </c>
      <c r="AG281" s="58" t="s">
        <v>75</v>
      </c>
      <c r="AH281" s="59">
        <v>1</v>
      </c>
      <c r="AI281" s="59">
        <v>1</v>
      </c>
      <c r="AJ281" s="59">
        <v>1</v>
      </c>
      <c r="AK281" s="58" t="s">
        <v>8</v>
      </c>
      <c r="AL281" s="181" t="s">
        <v>72</v>
      </c>
      <c r="AM281" s="181" t="s">
        <v>72</v>
      </c>
      <c r="AN281" s="193" t="s">
        <v>1846</v>
      </c>
    </row>
    <row r="282" spans="2:40" ht="15">
      <c r="B282" s="184">
        <v>163</v>
      </c>
      <c r="C282" s="13">
        <v>20200525</v>
      </c>
      <c r="D282" s="13" t="s">
        <v>24</v>
      </c>
      <c r="E282" s="13" t="s">
        <v>1842</v>
      </c>
      <c r="F282" s="39" t="s">
        <v>1907</v>
      </c>
      <c r="G282" s="13">
        <v>1484917</v>
      </c>
      <c r="H282" s="164" t="s">
        <v>72</v>
      </c>
      <c r="I282" s="13" t="s">
        <v>264</v>
      </c>
      <c r="J282" s="164" t="s">
        <v>72</v>
      </c>
      <c r="K282" s="13" t="s">
        <v>106</v>
      </c>
      <c r="L282" s="13" t="s">
        <v>1844</v>
      </c>
      <c r="M282" s="13" t="s">
        <v>1033</v>
      </c>
      <c r="N282" s="13" t="s">
        <v>1845</v>
      </c>
      <c r="O282" s="14" t="s">
        <v>72</v>
      </c>
      <c r="P282" s="14" t="s">
        <v>1278</v>
      </c>
      <c r="Q282" s="165"/>
      <c r="R282" s="164" t="s">
        <v>72</v>
      </c>
      <c r="S282" s="13" t="s">
        <v>117</v>
      </c>
      <c r="T282" s="13"/>
      <c r="U282" s="13"/>
      <c r="V282" s="13">
        <v>175</v>
      </c>
      <c r="W282" s="13">
        <v>175</v>
      </c>
      <c r="X282" s="13">
        <v>175</v>
      </c>
      <c r="Y282" s="13">
        <v>3.11</v>
      </c>
      <c r="Z282" s="13">
        <v>1</v>
      </c>
      <c r="AA282" s="13" t="s">
        <v>110</v>
      </c>
      <c r="AB282" s="58">
        <v>43983</v>
      </c>
      <c r="AC282" s="58">
        <v>43976</v>
      </c>
      <c r="AD282" s="58">
        <v>43983</v>
      </c>
      <c r="AE282" s="58">
        <v>43983</v>
      </c>
      <c r="AF282" s="58">
        <v>43983</v>
      </c>
      <c r="AG282" s="58" t="s">
        <v>79</v>
      </c>
      <c r="AH282" s="59">
        <v>1</v>
      </c>
      <c r="AI282" s="59">
        <v>1</v>
      </c>
      <c r="AJ282" s="59">
        <v>0.9</v>
      </c>
      <c r="AK282" s="58" t="s">
        <v>76</v>
      </c>
      <c r="AL282" s="194" t="s">
        <v>1908</v>
      </c>
      <c r="AM282" s="181" t="s">
        <v>72</v>
      </c>
      <c r="AN282" s="193" t="s">
        <v>1846</v>
      </c>
    </row>
    <row r="283" spans="2:40" ht="15">
      <c r="B283" s="184">
        <v>164</v>
      </c>
      <c r="C283" s="13">
        <v>20200525</v>
      </c>
      <c r="D283" s="13" t="s">
        <v>24</v>
      </c>
      <c r="E283" s="13" t="s">
        <v>1842</v>
      </c>
      <c r="F283" s="39" t="s">
        <v>1909</v>
      </c>
      <c r="G283" s="13">
        <v>1484917</v>
      </c>
      <c r="H283" s="164" t="s">
        <v>72</v>
      </c>
      <c r="I283" s="13" t="s">
        <v>272</v>
      </c>
      <c r="J283" s="164" t="s">
        <v>72</v>
      </c>
      <c r="K283" s="13" t="s">
        <v>106</v>
      </c>
      <c r="L283" s="13" t="s">
        <v>1844</v>
      </c>
      <c r="M283" s="13" t="s">
        <v>1033</v>
      </c>
      <c r="N283" s="13" t="s">
        <v>1845</v>
      </c>
      <c r="O283" s="14" t="s">
        <v>72</v>
      </c>
      <c r="P283" s="14" t="s">
        <v>1278</v>
      </c>
      <c r="Q283" s="165"/>
      <c r="R283" s="164" t="s">
        <v>72</v>
      </c>
      <c r="S283" s="13" t="s">
        <v>161</v>
      </c>
      <c r="T283" s="13"/>
      <c r="U283" s="13"/>
      <c r="V283" s="13">
        <v>210</v>
      </c>
      <c r="W283" s="13">
        <v>210</v>
      </c>
      <c r="X283" s="13">
        <v>210</v>
      </c>
      <c r="Y283" s="13">
        <v>3.73</v>
      </c>
      <c r="Z283" s="13">
        <v>3</v>
      </c>
      <c r="AA283" s="13" t="s">
        <v>110</v>
      </c>
      <c r="AB283" s="58">
        <v>43983</v>
      </c>
      <c r="AC283" s="58">
        <v>43976</v>
      </c>
      <c r="AD283" s="58">
        <v>43983</v>
      </c>
      <c r="AE283" s="58">
        <v>43980</v>
      </c>
      <c r="AF283" s="58">
        <v>43980</v>
      </c>
      <c r="AG283" s="58" t="s">
        <v>75</v>
      </c>
      <c r="AH283" s="59">
        <v>1</v>
      </c>
      <c r="AI283" s="59">
        <v>1</v>
      </c>
      <c r="AJ283" s="59">
        <v>1</v>
      </c>
      <c r="AK283" s="58" t="s">
        <v>8</v>
      </c>
      <c r="AL283" s="195" t="s">
        <v>1910</v>
      </c>
      <c r="AM283" s="181" t="s">
        <v>72</v>
      </c>
      <c r="AN283" s="193" t="s">
        <v>1846</v>
      </c>
    </row>
    <row r="284" spans="2:40" ht="15">
      <c r="B284" s="184">
        <v>165</v>
      </c>
      <c r="C284" s="13">
        <v>20200525</v>
      </c>
      <c r="D284" s="13" t="s">
        <v>24</v>
      </c>
      <c r="E284" s="13" t="s">
        <v>1842</v>
      </c>
      <c r="F284" s="39" t="s">
        <v>1911</v>
      </c>
      <c r="G284" s="13">
        <v>1484917</v>
      </c>
      <c r="H284" s="164" t="s">
        <v>72</v>
      </c>
      <c r="I284" s="13" t="s">
        <v>1912</v>
      </c>
      <c r="J284" s="164" t="s">
        <v>72</v>
      </c>
      <c r="K284" s="13" t="s">
        <v>106</v>
      </c>
      <c r="L284" s="13" t="s">
        <v>1844</v>
      </c>
      <c r="M284" s="13" t="s">
        <v>1033</v>
      </c>
      <c r="N284" s="13" t="s">
        <v>1845</v>
      </c>
      <c r="O284" s="14" t="s">
        <v>72</v>
      </c>
      <c r="P284" s="14" t="s">
        <v>1278</v>
      </c>
      <c r="Q284" s="165"/>
      <c r="R284" s="164" t="s">
        <v>72</v>
      </c>
      <c r="S284" s="13" t="s">
        <v>161</v>
      </c>
      <c r="T284" s="13"/>
      <c r="U284" s="13"/>
      <c r="V284" s="13">
        <v>154</v>
      </c>
      <c r="W284" s="13">
        <v>154</v>
      </c>
      <c r="X284" s="13">
        <v>154</v>
      </c>
      <c r="Y284" s="13">
        <v>2.73</v>
      </c>
      <c r="Z284" s="13">
        <v>2</v>
      </c>
      <c r="AA284" s="13" t="s">
        <v>110</v>
      </c>
      <c r="AB284" s="58">
        <v>43983</v>
      </c>
      <c r="AC284" s="58">
        <v>43976</v>
      </c>
      <c r="AD284" s="58">
        <v>43983</v>
      </c>
      <c r="AE284" s="58">
        <v>43980</v>
      </c>
      <c r="AF284" s="58">
        <v>43980</v>
      </c>
      <c r="AG284" s="58" t="s">
        <v>79</v>
      </c>
      <c r="AH284" s="59">
        <v>0.98</v>
      </c>
      <c r="AI284" s="59">
        <v>0.96</v>
      </c>
      <c r="AJ284" s="59">
        <v>1</v>
      </c>
      <c r="AK284" s="58" t="s">
        <v>76</v>
      </c>
      <c r="AL284" s="181" t="s">
        <v>1913</v>
      </c>
      <c r="AM284" s="181" t="s">
        <v>72</v>
      </c>
      <c r="AN284" s="193" t="s">
        <v>1846</v>
      </c>
    </row>
    <row r="285" spans="2:40" ht="15">
      <c r="B285" s="184">
        <v>166</v>
      </c>
      <c r="C285" s="13">
        <v>20200525</v>
      </c>
      <c r="D285" s="13" t="s">
        <v>24</v>
      </c>
      <c r="E285" s="13" t="s">
        <v>1842</v>
      </c>
      <c r="F285" s="39" t="s">
        <v>1914</v>
      </c>
      <c r="G285" s="13">
        <v>1484917</v>
      </c>
      <c r="H285" s="164"/>
      <c r="I285" s="13" t="s">
        <v>1915</v>
      </c>
      <c r="J285" s="164" t="s">
        <v>72</v>
      </c>
      <c r="K285" s="13" t="s">
        <v>106</v>
      </c>
      <c r="L285" s="13" t="s">
        <v>1844</v>
      </c>
      <c r="M285" s="13" t="s">
        <v>1033</v>
      </c>
      <c r="N285" s="13" t="s">
        <v>1845</v>
      </c>
      <c r="O285" s="14" t="s">
        <v>72</v>
      </c>
      <c r="P285" s="14" t="s">
        <v>1278</v>
      </c>
      <c r="Q285" s="165"/>
      <c r="R285" s="164" t="s">
        <v>72</v>
      </c>
      <c r="S285" s="13" t="s">
        <v>77</v>
      </c>
      <c r="T285" s="13"/>
      <c r="U285" s="13"/>
      <c r="V285" s="13">
        <v>167</v>
      </c>
      <c r="W285" s="13">
        <v>167</v>
      </c>
      <c r="X285" s="13">
        <v>167</v>
      </c>
      <c r="Y285" s="13">
        <v>2.96</v>
      </c>
      <c r="Z285" s="13">
        <v>1</v>
      </c>
      <c r="AA285" s="13" t="s">
        <v>110</v>
      </c>
      <c r="AB285" s="58">
        <v>43983</v>
      </c>
      <c r="AC285" s="58">
        <v>43976</v>
      </c>
      <c r="AD285" s="58">
        <v>43983</v>
      </c>
      <c r="AE285" s="58">
        <v>43977</v>
      </c>
      <c r="AF285" s="58">
        <v>43977</v>
      </c>
      <c r="AG285" s="58" t="s">
        <v>75</v>
      </c>
      <c r="AH285" s="59">
        <v>1</v>
      </c>
      <c r="AI285" s="59">
        <v>1</v>
      </c>
      <c r="AJ285" s="59">
        <v>1</v>
      </c>
      <c r="AK285" s="58" t="s">
        <v>8</v>
      </c>
      <c r="AL285" s="181" t="s">
        <v>72</v>
      </c>
      <c r="AM285" s="181" t="s">
        <v>72</v>
      </c>
      <c r="AN285" s="193" t="s">
        <v>1846</v>
      </c>
    </row>
    <row r="286" spans="2:40" ht="15">
      <c r="B286" s="184">
        <v>167</v>
      </c>
      <c r="C286" s="13">
        <v>20200525</v>
      </c>
      <c r="D286" s="13" t="s">
        <v>24</v>
      </c>
      <c r="E286" s="13" t="s">
        <v>1842</v>
      </c>
      <c r="F286" s="39" t="s">
        <v>1916</v>
      </c>
      <c r="G286" s="13">
        <v>1484917</v>
      </c>
      <c r="H286" s="164"/>
      <c r="I286" s="13" t="s">
        <v>1917</v>
      </c>
      <c r="J286" s="164" t="s">
        <v>72</v>
      </c>
      <c r="K286" s="13" t="s">
        <v>106</v>
      </c>
      <c r="L286" s="13" t="s">
        <v>1844</v>
      </c>
      <c r="M286" s="13" t="s">
        <v>1033</v>
      </c>
      <c r="N286" s="13" t="s">
        <v>1845</v>
      </c>
      <c r="O286" s="14" t="s">
        <v>72</v>
      </c>
      <c r="P286" s="14" t="s">
        <v>1278</v>
      </c>
      <c r="Q286" s="165"/>
      <c r="R286" s="164" t="s">
        <v>72</v>
      </c>
      <c r="S286" s="13" t="s">
        <v>77</v>
      </c>
      <c r="T286" s="13"/>
      <c r="U286" s="13"/>
      <c r="V286" s="13">
        <v>147</v>
      </c>
      <c r="W286" s="13">
        <v>147</v>
      </c>
      <c r="X286" s="13">
        <v>147</v>
      </c>
      <c r="Y286" s="13">
        <v>2.61</v>
      </c>
      <c r="Z286" s="13">
        <v>1.5</v>
      </c>
      <c r="AA286" s="13" t="s">
        <v>110</v>
      </c>
      <c r="AB286" s="58">
        <v>43983</v>
      </c>
      <c r="AC286" s="58">
        <v>43976</v>
      </c>
      <c r="AD286" s="58">
        <v>43983</v>
      </c>
      <c r="AE286" s="58">
        <v>43978</v>
      </c>
      <c r="AF286" s="58">
        <v>43978</v>
      </c>
      <c r="AG286" s="58" t="s">
        <v>75</v>
      </c>
      <c r="AH286" s="59">
        <v>1</v>
      </c>
      <c r="AI286" s="59">
        <v>1</v>
      </c>
      <c r="AJ286" s="59">
        <v>1</v>
      </c>
      <c r="AK286" s="58" t="s">
        <v>8</v>
      </c>
      <c r="AL286" s="181" t="s">
        <v>72</v>
      </c>
      <c r="AM286" s="181" t="s">
        <v>72</v>
      </c>
      <c r="AN286" s="193" t="s">
        <v>1846</v>
      </c>
    </row>
    <row r="287" spans="2:40" ht="15">
      <c r="B287" s="184">
        <v>168</v>
      </c>
      <c r="C287" s="13">
        <v>20200525</v>
      </c>
      <c r="D287" s="13" t="s">
        <v>24</v>
      </c>
      <c r="E287" s="13" t="s">
        <v>1842</v>
      </c>
      <c r="F287" s="39" t="s">
        <v>1918</v>
      </c>
      <c r="G287" s="13">
        <v>1484917</v>
      </c>
      <c r="H287" s="164" t="s">
        <v>72</v>
      </c>
      <c r="I287" s="13" t="s">
        <v>1919</v>
      </c>
      <c r="J287" s="164" t="s">
        <v>72</v>
      </c>
      <c r="K287" s="13" t="s">
        <v>106</v>
      </c>
      <c r="L287" s="13" t="s">
        <v>1844</v>
      </c>
      <c r="M287" s="13" t="s">
        <v>1033</v>
      </c>
      <c r="N287" s="13" t="s">
        <v>1845</v>
      </c>
      <c r="O287" s="14" t="s">
        <v>72</v>
      </c>
      <c r="P287" s="14" t="s">
        <v>1278</v>
      </c>
      <c r="Q287" s="165"/>
      <c r="R287" s="164" t="s">
        <v>72</v>
      </c>
      <c r="S287" s="13" t="s">
        <v>109</v>
      </c>
      <c r="T287" s="13"/>
      <c r="U287" s="13"/>
      <c r="V287" s="13">
        <v>254</v>
      </c>
      <c r="W287" s="13">
        <v>254</v>
      </c>
      <c r="X287" s="13">
        <v>254</v>
      </c>
      <c r="Y287" s="13">
        <v>4.51</v>
      </c>
      <c r="Z287" s="13">
        <v>1</v>
      </c>
      <c r="AA287" s="13" t="s">
        <v>110</v>
      </c>
      <c r="AB287" s="58">
        <v>43983</v>
      </c>
      <c r="AC287" s="58">
        <v>43976</v>
      </c>
      <c r="AD287" s="58">
        <v>43983</v>
      </c>
      <c r="AE287" s="58">
        <v>43978</v>
      </c>
      <c r="AF287" s="58">
        <v>43978</v>
      </c>
      <c r="AG287" s="58" t="s">
        <v>75</v>
      </c>
      <c r="AH287" s="59">
        <v>1</v>
      </c>
      <c r="AI287" s="59">
        <v>1</v>
      </c>
      <c r="AJ287" s="59">
        <v>1</v>
      </c>
      <c r="AK287" s="58" t="s">
        <v>8</v>
      </c>
      <c r="AL287" s="181" t="s">
        <v>72</v>
      </c>
      <c r="AM287" s="181" t="s">
        <v>72</v>
      </c>
      <c r="AN287" s="193" t="s">
        <v>1846</v>
      </c>
    </row>
    <row r="288" spans="2:40" ht="15">
      <c r="B288" s="184">
        <v>169</v>
      </c>
      <c r="C288" s="13">
        <v>20200525</v>
      </c>
      <c r="D288" s="13" t="s">
        <v>24</v>
      </c>
      <c r="E288" s="13" t="s">
        <v>1842</v>
      </c>
      <c r="F288" s="39" t="s">
        <v>1920</v>
      </c>
      <c r="G288" s="13">
        <v>1484917</v>
      </c>
      <c r="H288" s="164" t="s">
        <v>72</v>
      </c>
      <c r="I288" s="13" t="s">
        <v>1921</v>
      </c>
      <c r="J288" s="164" t="s">
        <v>72</v>
      </c>
      <c r="K288" s="13" t="s">
        <v>106</v>
      </c>
      <c r="L288" s="13" t="s">
        <v>1844</v>
      </c>
      <c r="M288" s="13" t="s">
        <v>1033</v>
      </c>
      <c r="N288" s="13" t="s">
        <v>1845</v>
      </c>
      <c r="O288" s="14" t="s">
        <v>72</v>
      </c>
      <c r="P288" s="14" t="s">
        <v>1278</v>
      </c>
      <c r="Q288" s="165"/>
      <c r="R288" s="164" t="s">
        <v>72</v>
      </c>
      <c r="S288" s="13" t="s">
        <v>117</v>
      </c>
      <c r="T288" s="13"/>
      <c r="U288" s="13"/>
      <c r="V288" s="13">
        <v>193</v>
      </c>
      <c r="W288" s="13">
        <v>193</v>
      </c>
      <c r="X288" s="13">
        <v>193</v>
      </c>
      <c r="Y288" s="13">
        <v>3.43</v>
      </c>
      <c r="Z288" s="13">
        <v>1</v>
      </c>
      <c r="AA288" s="13" t="s">
        <v>110</v>
      </c>
      <c r="AB288" s="58">
        <v>43983</v>
      </c>
      <c r="AC288" s="58">
        <v>43976</v>
      </c>
      <c r="AD288" s="58">
        <v>43983</v>
      </c>
      <c r="AE288" s="58">
        <v>43983</v>
      </c>
      <c r="AF288" s="58">
        <v>43983</v>
      </c>
      <c r="AG288" s="58" t="s">
        <v>79</v>
      </c>
      <c r="AH288" s="59">
        <v>1</v>
      </c>
      <c r="AI288" s="59">
        <v>1</v>
      </c>
      <c r="AJ288" s="59">
        <v>0.91</v>
      </c>
      <c r="AK288" s="58" t="s">
        <v>76</v>
      </c>
      <c r="AL288" s="196" t="s">
        <v>1922</v>
      </c>
      <c r="AM288" s="181" t="s">
        <v>72</v>
      </c>
      <c r="AN288" s="193" t="s">
        <v>1846</v>
      </c>
    </row>
    <row r="289" spans="2:40" ht="15">
      <c r="B289" s="184">
        <v>170</v>
      </c>
      <c r="C289" s="13">
        <v>20200525</v>
      </c>
      <c r="D289" s="13" t="s">
        <v>24</v>
      </c>
      <c r="E289" s="13" t="s">
        <v>1842</v>
      </c>
      <c r="F289" s="39" t="s">
        <v>1923</v>
      </c>
      <c r="G289" s="13">
        <v>1484917</v>
      </c>
      <c r="H289" s="164" t="s">
        <v>72</v>
      </c>
      <c r="I289" s="13" t="s">
        <v>1924</v>
      </c>
      <c r="J289" s="164" t="s">
        <v>72</v>
      </c>
      <c r="K289" s="13" t="s">
        <v>106</v>
      </c>
      <c r="L289" s="13" t="s">
        <v>1844</v>
      </c>
      <c r="M289" s="13" t="s">
        <v>1033</v>
      </c>
      <c r="N289" s="13" t="s">
        <v>1845</v>
      </c>
      <c r="O289" s="14" t="s">
        <v>72</v>
      </c>
      <c r="P289" s="14" t="s">
        <v>1278</v>
      </c>
      <c r="Q289" s="165"/>
      <c r="R289" s="164" t="s">
        <v>72</v>
      </c>
      <c r="S289" s="13" t="s">
        <v>109</v>
      </c>
      <c r="T289" s="13"/>
      <c r="U289" s="13"/>
      <c r="V289" s="13">
        <v>204</v>
      </c>
      <c r="W289" s="13">
        <v>204</v>
      </c>
      <c r="X289" s="13">
        <v>204</v>
      </c>
      <c r="Y289" s="13">
        <v>3.62</v>
      </c>
      <c r="Z289" s="13">
        <v>1.5</v>
      </c>
      <c r="AA289" s="13" t="s">
        <v>110</v>
      </c>
      <c r="AB289" s="58">
        <v>43983</v>
      </c>
      <c r="AC289" s="58">
        <v>43976</v>
      </c>
      <c r="AD289" s="58">
        <v>43983</v>
      </c>
      <c r="AE289" s="58">
        <v>43978</v>
      </c>
      <c r="AF289" s="58">
        <v>43978</v>
      </c>
      <c r="AG289" s="58" t="s">
        <v>75</v>
      </c>
      <c r="AH289" s="59">
        <v>1</v>
      </c>
      <c r="AI289" s="59">
        <v>1</v>
      </c>
      <c r="AJ289" s="59">
        <v>1</v>
      </c>
      <c r="AK289" s="58" t="s">
        <v>8</v>
      </c>
      <c r="AL289" s="197" t="s">
        <v>72</v>
      </c>
      <c r="AM289" s="181" t="s">
        <v>72</v>
      </c>
      <c r="AN289" s="193" t="s">
        <v>1846</v>
      </c>
    </row>
    <row r="290" spans="2:40" ht="15">
      <c r="B290" s="184">
        <v>171</v>
      </c>
      <c r="C290" s="13">
        <v>20200525</v>
      </c>
      <c r="D290" s="13" t="s">
        <v>24</v>
      </c>
      <c r="E290" s="13" t="s">
        <v>1842</v>
      </c>
      <c r="F290" s="39" t="s">
        <v>1925</v>
      </c>
      <c r="G290" s="13">
        <v>1484917</v>
      </c>
      <c r="H290" s="164" t="s">
        <v>72</v>
      </c>
      <c r="I290" s="13" t="s">
        <v>1926</v>
      </c>
      <c r="J290" s="164" t="s">
        <v>72</v>
      </c>
      <c r="K290" s="13" t="s">
        <v>106</v>
      </c>
      <c r="L290" s="13" t="s">
        <v>1844</v>
      </c>
      <c r="M290" s="13" t="s">
        <v>1033</v>
      </c>
      <c r="N290" s="13" t="s">
        <v>1845</v>
      </c>
      <c r="O290" s="14" t="s">
        <v>72</v>
      </c>
      <c r="P290" s="14" t="s">
        <v>1278</v>
      </c>
      <c r="Q290" s="165"/>
      <c r="R290" s="164" t="s">
        <v>72</v>
      </c>
      <c r="S290" s="13" t="s">
        <v>109</v>
      </c>
      <c r="T290" s="13"/>
      <c r="U290" s="13"/>
      <c r="V290" s="13">
        <v>194</v>
      </c>
      <c r="W290" s="13">
        <v>194</v>
      </c>
      <c r="X290" s="13">
        <v>194</v>
      </c>
      <c r="Y290" s="13">
        <v>3.44</v>
      </c>
      <c r="Z290" s="13">
        <v>1.5</v>
      </c>
      <c r="AA290" s="13" t="s">
        <v>110</v>
      </c>
      <c r="AB290" s="58">
        <v>43983</v>
      </c>
      <c r="AC290" s="58">
        <v>43976</v>
      </c>
      <c r="AD290" s="58">
        <v>43983</v>
      </c>
      <c r="AE290" s="58">
        <v>43978</v>
      </c>
      <c r="AF290" s="58">
        <v>43978</v>
      </c>
      <c r="AG290" s="58" t="s">
        <v>75</v>
      </c>
      <c r="AH290" s="59">
        <v>1</v>
      </c>
      <c r="AI290" s="59">
        <v>1</v>
      </c>
      <c r="AJ290" s="59">
        <v>1</v>
      </c>
      <c r="AK290" s="58" t="s">
        <v>8</v>
      </c>
      <c r="AL290" s="181" t="s">
        <v>72</v>
      </c>
      <c r="AM290" s="181" t="s">
        <v>72</v>
      </c>
      <c r="AN290" s="193" t="s">
        <v>1846</v>
      </c>
    </row>
    <row r="291" spans="2:40" ht="15">
      <c r="B291" s="184">
        <v>172</v>
      </c>
      <c r="C291" s="13">
        <v>20200525</v>
      </c>
      <c r="D291" s="13" t="s">
        <v>24</v>
      </c>
      <c r="E291" s="13" t="s">
        <v>1842</v>
      </c>
      <c r="F291" s="39" t="s">
        <v>1927</v>
      </c>
      <c r="G291" s="13">
        <v>1484917</v>
      </c>
      <c r="H291" s="164" t="s">
        <v>72</v>
      </c>
      <c r="I291" s="13" t="s">
        <v>1928</v>
      </c>
      <c r="J291" s="164" t="s">
        <v>72</v>
      </c>
      <c r="K291" s="13" t="s">
        <v>106</v>
      </c>
      <c r="L291" s="13" t="s">
        <v>1844</v>
      </c>
      <c r="M291" s="13" t="s">
        <v>1033</v>
      </c>
      <c r="N291" s="13" t="s">
        <v>1845</v>
      </c>
      <c r="O291" s="14" t="s">
        <v>72</v>
      </c>
      <c r="P291" s="14" t="s">
        <v>1278</v>
      </c>
      <c r="Q291" s="165"/>
      <c r="R291" s="164" t="s">
        <v>72</v>
      </c>
      <c r="S291" s="13" t="s">
        <v>161</v>
      </c>
      <c r="T291" s="13"/>
      <c r="U291" s="13"/>
      <c r="V291" s="13">
        <v>141</v>
      </c>
      <c r="W291" s="13">
        <v>141</v>
      </c>
      <c r="X291" s="13">
        <v>141</v>
      </c>
      <c r="Y291" s="13">
        <v>2.5</v>
      </c>
      <c r="Z291" s="13">
        <v>2</v>
      </c>
      <c r="AA291" s="13" t="s">
        <v>110</v>
      </c>
      <c r="AB291" s="58">
        <v>43983</v>
      </c>
      <c r="AC291" s="58">
        <v>43976</v>
      </c>
      <c r="AD291" s="58">
        <v>43983</v>
      </c>
      <c r="AE291" s="58">
        <v>43980</v>
      </c>
      <c r="AF291" s="58">
        <v>43980</v>
      </c>
      <c r="AG291" s="58" t="s">
        <v>79</v>
      </c>
      <c r="AH291" s="59">
        <v>0.98</v>
      </c>
      <c r="AI291" s="59">
        <v>0.95</v>
      </c>
      <c r="AJ291" s="59">
        <v>1</v>
      </c>
      <c r="AK291" s="58" t="s">
        <v>76</v>
      </c>
      <c r="AL291" s="14" t="s">
        <v>1913</v>
      </c>
      <c r="AM291" s="181" t="s">
        <v>72</v>
      </c>
      <c r="AN291" s="193" t="s">
        <v>1846</v>
      </c>
    </row>
    <row r="292" spans="2:40" ht="15">
      <c r="B292" s="184">
        <v>173</v>
      </c>
      <c r="C292" s="13">
        <v>20200525</v>
      </c>
      <c r="D292" s="13" t="s">
        <v>24</v>
      </c>
      <c r="E292" s="13" t="s">
        <v>1842</v>
      </c>
      <c r="F292" s="39" t="s">
        <v>1929</v>
      </c>
      <c r="G292" s="13">
        <v>1484917</v>
      </c>
      <c r="H292" s="164" t="s">
        <v>72</v>
      </c>
      <c r="I292" s="13" t="s">
        <v>1930</v>
      </c>
      <c r="J292" s="164" t="s">
        <v>72</v>
      </c>
      <c r="K292" s="13" t="s">
        <v>106</v>
      </c>
      <c r="L292" s="13" t="s">
        <v>1844</v>
      </c>
      <c r="M292" s="13" t="s">
        <v>1033</v>
      </c>
      <c r="N292" s="13" t="s">
        <v>1845</v>
      </c>
      <c r="O292" s="14" t="s">
        <v>72</v>
      </c>
      <c r="P292" s="14" t="s">
        <v>1278</v>
      </c>
      <c r="Q292" s="165"/>
      <c r="R292" s="164" t="s">
        <v>72</v>
      </c>
      <c r="S292" s="13" t="s">
        <v>161</v>
      </c>
      <c r="T292" s="13"/>
      <c r="U292" s="13"/>
      <c r="V292" s="13">
        <v>190</v>
      </c>
      <c r="W292" s="13">
        <v>190</v>
      </c>
      <c r="X292" s="13">
        <v>190</v>
      </c>
      <c r="Y292" s="13">
        <v>3.37</v>
      </c>
      <c r="Z292" s="13">
        <v>3</v>
      </c>
      <c r="AA292" s="13" t="s">
        <v>110</v>
      </c>
      <c r="AB292" s="58">
        <v>43983</v>
      </c>
      <c r="AC292" s="58">
        <v>43976</v>
      </c>
      <c r="AD292" s="58">
        <v>43983</v>
      </c>
      <c r="AE292" s="58">
        <v>43980</v>
      </c>
      <c r="AF292" s="58">
        <v>43980</v>
      </c>
      <c r="AG292" s="58" t="s">
        <v>75</v>
      </c>
      <c r="AH292" s="59">
        <v>1</v>
      </c>
      <c r="AI292" s="59">
        <v>1</v>
      </c>
      <c r="AJ292" s="59">
        <v>1</v>
      </c>
      <c r="AK292" s="58" t="s">
        <v>8</v>
      </c>
      <c r="AL292" s="181" t="s">
        <v>72</v>
      </c>
      <c r="AM292" s="181" t="s">
        <v>72</v>
      </c>
      <c r="AN292" s="193" t="s">
        <v>1846</v>
      </c>
    </row>
    <row r="293" spans="2:40" ht="15">
      <c r="B293" s="184">
        <v>174</v>
      </c>
      <c r="C293" s="13">
        <v>20200525</v>
      </c>
      <c r="D293" s="13" t="s">
        <v>24</v>
      </c>
      <c r="E293" s="13" t="s">
        <v>1842</v>
      </c>
      <c r="F293" s="39" t="s">
        <v>1931</v>
      </c>
      <c r="G293" s="13">
        <v>1484917</v>
      </c>
      <c r="H293" s="164" t="s">
        <v>72</v>
      </c>
      <c r="I293" s="13" t="s">
        <v>266</v>
      </c>
      <c r="J293" s="164" t="s">
        <v>72</v>
      </c>
      <c r="K293" s="13" t="s">
        <v>106</v>
      </c>
      <c r="L293" s="13" t="s">
        <v>1844</v>
      </c>
      <c r="M293" s="13" t="s">
        <v>1033</v>
      </c>
      <c r="N293" s="13" t="s">
        <v>1845</v>
      </c>
      <c r="O293" s="14" t="s">
        <v>72</v>
      </c>
      <c r="P293" s="14" t="s">
        <v>1278</v>
      </c>
      <c r="Q293" s="165"/>
      <c r="R293" s="164" t="s">
        <v>72</v>
      </c>
      <c r="S293" s="13" t="s">
        <v>113</v>
      </c>
      <c r="T293" s="13"/>
      <c r="U293" s="13"/>
      <c r="V293" s="13">
        <v>173</v>
      </c>
      <c r="W293" s="13">
        <v>173</v>
      </c>
      <c r="X293" s="13">
        <v>173</v>
      </c>
      <c r="Y293" s="13">
        <v>3.07</v>
      </c>
      <c r="Z293" s="13">
        <v>3.07</v>
      </c>
      <c r="AA293" s="13" t="s">
        <v>110</v>
      </c>
      <c r="AB293" s="58">
        <v>43983</v>
      </c>
      <c r="AC293" s="58">
        <v>43976</v>
      </c>
      <c r="AD293" s="58">
        <v>43983</v>
      </c>
      <c r="AE293" s="58">
        <v>43979</v>
      </c>
      <c r="AF293" s="58">
        <v>43979</v>
      </c>
      <c r="AG293" s="58" t="s">
        <v>79</v>
      </c>
      <c r="AH293" s="59">
        <v>0.98</v>
      </c>
      <c r="AI293" s="59">
        <v>0.97</v>
      </c>
      <c r="AJ293" s="59">
        <v>1</v>
      </c>
      <c r="AK293" s="58" t="s">
        <v>8</v>
      </c>
      <c r="AL293" s="14" t="s">
        <v>1932</v>
      </c>
      <c r="AM293" s="181" t="s">
        <v>72</v>
      </c>
      <c r="AN293" s="193" t="s">
        <v>1846</v>
      </c>
    </row>
    <row r="294" spans="2:40" ht="15">
      <c r="B294" s="184">
        <v>175</v>
      </c>
      <c r="C294" s="13">
        <v>20200525</v>
      </c>
      <c r="D294" s="13" t="s">
        <v>24</v>
      </c>
      <c r="E294" s="13" t="s">
        <v>1842</v>
      </c>
      <c r="F294" s="39" t="s">
        <v>1933</v>
      </c>
      <c r="G294" s="13">
        <v>1484917</v>
      </c>
      <c r="H294" s="164" t="s">
        <v>72</v>
      </c>
      <c r="I294" s="13" t="s">
        <v>268</v>
      </c>
      <c r="J294" s="164" t="s">
        <v>72</v>
      </c>
      <c r="K294" s="13" t="s">
        <v>106</v>
      </c>
      <c r="L294" s="13" t="s">
        <v>1844</v>
      </c>
      <c r="M294" s="13" t="s">
        <v>1033</v>
      </c>
      <c r="N294" s="13" t="s">
        <v>1845</v>
      </c>
      <c r="O294" s="14" t="s">
        <v>72</v>
      </c>
      <c r="P294" s="14" t="s">
        <v>1278</v>
      </c>
      <c r="Q294" s="165"/>
      <c r="R294" s="164" t="s">
        <v>72</v>
      </c>
      <c r="S294" s="13" t="s">
        <v>109</v>
      </c>
      <c r="T294" s="13"/>
      <c r="U294" s="13"/>
      <c r="V294" s="13">
        <v>268</v>
      </c>
      <c r="W294" s="13">
        <v>268</v>
      </c>
      <c r="X294" s="13">
        <v>268</v>
      </c>
      <c r="Y294" s="13">
        <v>4.76</v>
      </c>
      <c r="Z294" s="13">
        <v>1</v>
      </c>
      <c r="AA294" s="13" t="s">
        <v>110</v>
      </c>
      <c r="AB294" s="58">
        <v>43983</v>
      </c>
      <c r="AC294" s="58">
        <v>43976</v>
      </c>
      <c r="AD294" s="58">
        <v>43983</v>
      </c>
      <c r="AE294" s="58">
        <v>43978</v>
      </c>
      <c r="AF294" s="58">
        <v>43978</v>
      </c>
      <c r="AG294" s="58" t="s">
        <v>79</v>
      </c>
      <c r="AH294" s="59">
        <v>0.99</v>
      </c>
      <c r="AI294" s="59">
        <v>0.97</v>
      </c>
      <c r="AJ294" s="59">
        <v>1</v>
      </c>
      <c r="AK294" s="58" t="s">
        <v>76</v>
      </c>
      <c r="AL294" s="181" t="s">
        <v>1713</v>
      </c>
      <c r="AM294" s="181" t="s">
        <v>72</v>
      </c>
      <c r="AN294" s="193" t="s">
        <v>1846</v>
      </c>
    </row>
    <row r="295" spans="2:40" ht="15">
      <c r="B295" s="184">
        <v>176</v>
      </c>
      <c r="C295" s="13">
        <v>20200525</v>
      </c>
      <c r="D295" s="13" t="s">
        <v>24</v>
      </c>
      <c r="E295" s="13" t="s">
        <v>1842</v>
      </c>
      <c r="F295" s="39" t="s">
        <v>1934</v>
      </c>
      <c r="G295" s="13">
        <v>1484917</v>
      </c>
      <c r="H295" s="164" t="s">
        <v>72</v>
      </c>
      <c r="I295" s="13" t="s">
        <v>268</v>
      </c>
      <c r="J295" s="164" t="s">
        <v>72</v>
      </c>
      <c r="K295" s="13" t="s">
        <v>106</v>
      </c>
      <c r="L295" s="13" t="s">
        <v>1844</v>
      </c>
      <c r="M295" s="13" t="s">
        <v>1033</v>
      </c>
      <c r="N295" s="13" t="s">
        <v>1845</v>
      </c>
      <c r="O295" s="14" t="s">
        <v>72</v>
      </c>
      <c r="P295" s="14" t="s">
        <v>1278</v>
      </c>
      <c r="Q295" s="165"/>
      <c r="R295" s="164" t="s">
        <v>72</v>
      </c>
      <c r="S295" s="13" t="s">
        <v>109</v>
      </c>
      <c r="T295" s="13"/>
      <c r="U295" s="13"/>
      <c r="V295" s="13">
        <v>268</v>
      </c>
      <c r="W295" s="13">
        <v>268</v>
      </c>
      <c r="X295" s="13">
        <v>268</v>
      </c>
      <c r="Y295" s="13">
        <v>4.76</v>
      </c>
      <c r="Z295" s="13">
        <v>1</v>
      </c>
      <c r="AA295" s="13" t="s">
        <v>110</v>
      </c>
      <c r="AB295" s="58">
        <v>43983</v>
      </c>
      <c r="AC295" s="58">
        <v>43976</v>
      </c>
      <c r="AD295" s="58">
        <v>43983</v>
      </c>
      <c r="AE295" s="58">
        <v>43978</v>
      </c>
      <c r="AF295" s="58">
        <v>43978</v>
      </c>
      <c r="AG295" s="58" t="s">
        <v>79</v>
      </c>
      <c r="AH295" s="59">
        <v>0.99</v>
      </c>
      <c r="AI295" s="59">
        <v>0.97</v>
      </c>
      <c r="AJ295" s="59">
        <v>1</v>
      </c>
      <c r="AK295" s="58" t="s">
        <v>76</v>
      </c>
      <c r="AL295" s="181" t="s">
        <v>1713</v>
      </c>
      <c r="AM295" s="181" t="s">
        <v>72</v>
      </c>
      <c r="AN295" s="193" t="s">
        <v>1846</v>
      </c>
    </row>
    <row r="296" spans="2:40" ht="15">
      <c r="B296" s="184">
        <v>177</v>
      </c>
      <c r="C296" s="13">
        <v>20200525</v>
      </c>
      <c r="D296" s="13" t="s">
        <v>24</v>
      </c>
      <c r="E296" s="13" t="s">
        <v>1842</v>
      </c>
      <c r="F296" s="39" t="s">
        <v>1935</v>
      </c>
      <c r="G296" s="13">
        <v>1484917</v>
      </c>
      <c r="H296" s="164" t="s">
        <v>72</v>
      </c>
      <c r="I296" s="13" t="s">
        <v>205</v>
      </c>
      <c r="J296" s="164" t="s">
        <v>72</v>
      </c>
      <c r="K296" s="13" t="s">
        <v>106</v>
      </c>
      <c r="L296" s="13" t="s">
        <v>1844</v>
      </c>
      <c r="M296" s="13" t="s">
        <v>1033</v>
      </c>
      <c r="N296" s="13" t="s">
        <v>1845</v>
      </c>
      <c r="O296" s="14" t="s">
        <v>72</v>
      </c>
      <c r="P296" s="14" t="s">
        <v>1278</v>
      </c>
      <c r="Q296" s="165"/>
      <c r="R296" s="164" t="s">
        <v>72</v>
      </c>
      <c r="S296" s="13" t="s">
        <v>113</v>
      </c>
      <c r="T296" s="13"/>
      <c r="U296" s="13"/>
      <c r="V296" s="13">
        <v>237</v>
      </c>
      <c r="W296" s="13">
        <v>237</v>
      </c>
      <c r="X296" s="13">
        <v>237</v>
      </c>
      <c r="Y296" s="13">
        <v>4.21</v>
      </c>
      <c r="Z296" s="13">
        <v>4.21</v>
      </c>
      <c r="AA296" s="13" t="s">
        <v>110</v>
      </c>
      <c r="AB296" s="58">
        <v>43983</v>
      </c>
      <c r="AC296" s="58">
        <v>43976</v>
      </c>
      <c r="AD296" s="58">
        <v>43983</v>
      </c>
      <c r="AE296" s="58">
        <v>43979</v>
      </c>
      <c r="AF296" s="58">
        <v>43979</v>
      </c>
      <c r="AG296" s="58" t="s">
        <v>75</v>
      </c>
      <c r="AH296" s="59">
        <v>1</v>
      </c>
      <c r="AI296" s="59">
        <v>1</v>
      </c>
      <c r="AJ296" s="59">
        <v>1</v>
      </c>
      <c r="AK296" s="58" t="s">
        <v>8</v>
      </c>
      <c r="AL296" s="181" t="s">
        <v>72</v>
      </c>
      <c r="AM296" s="181" t="s">
        <v>72</v>
      </c>
      <c r="AN296" s="193" t="s">
        <v>1846</v>
      </c>
    </row>
    <row r="297" spans="2:40" ht="15">
      <c r="B297" s="184">
        <v>178</v>
      </c>
      <c r="C297" s="13">
        <v>20200525</v>
      </c>
      <c r="D297" s="13" t="s">
        <v>24</v>
      </c>
      <c r="E297" s="13" t="s">
        <v>1842</v>
      </c>
      <c r="F297" s="39" t="s">
        <v>1936</v>
      </c>
      <c r="G297" s="13">
        <v>1484917</v>
      </c>
      <c r="H297" s="164" t="s">
        <v>72</v>
      </c>
      <c r="I297" s="13" t="s">
        <v>252</v>
      </c>
      <c r="J297" s="164" t="s">
        <v>72</v>
      </c>
      <c r="K297" s="13" t="s">
        <v>106</v>
      </c>
      <c r="L297" s="13" t="s">
        <v>1844</v>
      </c>
      <c r="M297" s="13" t="s">
        <v>1033</v>
      </c>
      <c r="N297" s="13" t="s">
        <v>1845</v>
      </c>
      <c r="O297" s="14" t="s">
        <v>72</v>
      </c>
      <c r="P297" s="14" t="s">
        <v>1278</v>
      </c>
      <c r="Q297" s="165"/>
      <c r="R297" s="164" t="s">
        <v>72</v>
      </c>
      <c r="S297" s="13" t="s">
        <v>113</v>
      </c>
      <c r="T297" s="13"/>
      <c r="U297" s="13"/>
      <c r="V297" s="13">
        <v>63</v>
      </c>
      <c r="W297" s="53">
        <v>126</v>
      </c>
      <c r="X297" s="13">
        <v>126</v>
      </c>
      <c r="Y297" s="13">
        <v>2.2400000000000002</v>
      </c>
      <c r="Z297" s="13">
        <v>2.2400000000000002</v>
      </c>
      <c r="AA297" s="13" t="s">
        <v>110</v>
      </c>
      <c r="AB297" s="58">
        <v>43983</v>
      </c>
      <c r="AC297" s="58">
        <v>43976</v>
      </c>
      <c r="AD297" s="58">
        <v>43983</v>
      </c>
      <c r="AE297" s="58">
        <v>43979</v>
      </c>
      <c r="AF297" s="58">
        <v>43979</v>
      </c>
      <c r="AG297" s="58" t="s">
        <v>75</v>
      </c>
      <c r="AH297" s="59">
        <v>1</v>
      </c>
      <c r="AI297" s="59">
        <v>1</v>
      </c>
      <c r="AJ297" s="59">
        <v>1</v>
      </c>
      <c r="AK297" s="58" t="s">
        <v>8</v>
      </c>
      <c r="AL297" s="181" t="s">
        <v>72</v>
      </c>
      <c r="AM297" s="181" t="s">
        <v>72</v>
      </c>
      <c r="AN297" s="193" t="s">
        <v>1846</v>
      </c>
    </row>
    <row r="298" spans="2:40" ht="15">
      <c r="B298" s="184">
        <v>179</v>
      </c>
      <c r="C298" s="13">
        <v>20200525</v>
      </c>
      <c r="D298" s="13" t="s">
        <v>24</v>
      </c>
      <c r="E298" s="13" t="s">
        <v>1842</v>
      </c>
      <c r="F298" s="39" t="s">
        <v>1937</v>
      </c>
      <c r="G298" s="13">
        <v>1484917</v>
      </c>
      <c r="H298" s="164" t="s">
        <v>72</v>
      </c>
      <c r="I298" s="13" t="s">
        <v>1938</v>
      </c>
      <c r="J298" s="164" t="s">
        <v>72</v>
      </c>
      <c r="K298" s="13" t="s">
        <v>106</v>
      </c>
      <c r="L298" s="13" t="s">
        <v>1844</v>
      </c>
      <c r="M298" s="13" t="s">
        <v>1033</v>
      </c>
      <c r="N298" s="13" t="s">
        <v>1845</v>
      </c>
      <c r="O298" s="14" t="s">
        <v>72</v>
      </c>
      <c r="P298" s="14" t="s">
        <v>1278</v>
      </c>
      <c r="Q298" s="165"/>
      <c r="R298" s="164" t="s">
        <v>72</v>
      </c>
      <c r="S298" s="13" t="s">
        <v>113</v>
      </c>
      <c r="T298" s="13"/>
      <c r="U298" s="13"/>
      <c r="V298" s="13">
        <v>70</v>
      </c>
      <c r="W298" s="13">
        <v>70</v>
      </c>
      <c r="X298" s="13">
        <v>70</v>
      </c>
      <c r="Y298" s="13">
        <v>1.24</v>
      </c>
      <c r="Z298" s="13">
        <v>1.24</v>
      </c>
      <c r="AA298" s="13" t="s">
        <v>110</v>
      </c>
      <c r="AB298" s="58">
        <v>43983</v>
      </c>
      <c r="AC298" s="58">
        <v>43976</v>
      </c>
      <c r="AD298" s="58">
        <v>43983</v>
      </c>
      <c r="AE298" s="58">
        <v>43979</v>
      </c>
      <c r="AF298" s="58">
        <v>43979</v>
      </c>
      <c r="AG298" s="58" t="s">
        <v>75</v>
      </c>
      <c r="AH298" s="59">
        <v>1</v>
      </c>
      <c r="AI298" s="59">
        <v>1</v>
      </c>
      <c r="AJ298" s="59">
        <v>1</v>
      </c>
      <c r="AK298" s="58" t="s">
        <v>8</v>
      </c>
      <c r="AL298" s="181" t="s">
        <v>72</v>
      </c>
      <c r="AM298" s="181" t="s">
        <v>72</v>
      </c>
      <c r="AN298" s="193" t="s">
        <v>1846</v>
      </c>
    </row>
    <row r="299" spans="2:40" ht="15">
      <c r="B299" s="184">
        <v>180</v>
      </c>
      <c r="C299" s="13">
        <v>20200525</v>
      </c>
      <c r="D299" s="13" t="s">
        <v>24</v>
      </c>
      <c r="E299" s="13" t="s">
        <v>1842</v>
      </c>
      <c r="F299" s="39" t="s">
        <v>1939</v>
      </c>
      <c r="G299" s="13">
        <v>1484917</v>
      </c>
      <c r="H299" s="164" t="s">
        <v>72</v>
      </c>
      <c r="I299" s="13" t="s">
        <v>955</v>
      </c>
      <c r="J299" s="164" t="s">
        <v>72</v>
      </c>
      <c r="K299" s="13" t="s">
        <v>106</v>
      </c>
      <c r="L299" s="13" t="s">
        <v>1844</v>
      </c>
      <c r="M299" s="13" t="s">
        <v>1033</v>
      </c>
      <c r="N299" s="13" t="s">
        <v>1845</v>
      </c>
      <c r="O299" s="14" t="s">
        <v>72</v>
      </c>
      <c r="P299" s="14" t="s">
        <v>1278</v>
      </c>
      <c r="Q299" s="165"/>
      <c r="R299" s="164" t="s">
        <v>72</v>
      </c>
      <c r="S299" s="13" t="s">
        <v>77</v>
      </c>
      <c r="T299" s="13"/>
      <c r="U299" s="13"/>
      <c r="V299" s="13">
        <v>175</v>
      </c>
      <c r="W299" s="13">
        <v>175</v>
      </c>
      <c r="X299" s="13">
        <v>175</v>
      </c>
      <c r="Y299" s="13">
        <v>3.11</v>
      </c>
      <c r="Z299" s="13">
        <v>2</v>
      </c>
      <c r="AA299" s="13" t="s">
        <v>110</v>
      </c>
      <c r="AB299" s="58">
        <v>43983</v>
      </c>
      <c r="AC299" s="58">
        <v>43976</v>
      </c>
      <c r="AD299" s="58">
        <v>43983</v>
      </c>
      <c r="AE299" s="58">
        <v>43978</v>
      </c>
      <c r="AF299" s="58">
        <v>43978</v>
      </c>
      <c r="AG299" s="58" t="s">
        <v>75</v>
      </c>
      <c r="AH299" s="59">
        <v>1</v>
      </c>
      <c r="AI299" s="59">
        <v>1</v>
      </c>
      <c r="AJ299" s="59">
        <v>1</v>
      </c>
      <c r="AK299" s="58" t="s">
        <v>8</v>
      </c>
      <c r="AL299" s="181" t="s">
        <v>72</v>
      </c>
      <c r="AM299" s="181" t="s">
        <v>72</v>
      </c>
      <c r="AN299" s="193" t="s">
        <v>1846</v>
      </c>
    </row>
    <row r="300" spans="2:40" ht="15">
      <c r="B300" s="184">
        <v>181</v>
      </c>
      <c r="C300" s="13">
        <v>20200525</v>
      </c>
      <c r="D300" s="13" t="s">
        <v>24</v>
      </c>
      <c r="E300" s="13" t="s">
        <v>1842</v>
      </c>
      <c r="F300" s="39" t="s">
        <v>1940</v>
      </c>
      <c r="G300" s="13">
        <v>1484917</v>
      </c>
      <c r="H300" s="164" t="s">
        <v>72</v>
      </c>
      <c r="I300" s="13" t="s">
        <v>956</v>
      </c>
      <c r="J300" s="164" t="s">
        <v>72</v>
      </c>
      <c r="K300" s="13" t="s">
        <v>106</v>
      </c>
      <c r="L300" s="13" t="s">
        <v>1844</v>
      </c>
      <c r="M300" s="13" t="s">
        <v>1033</v>
      </c>
      <c r="N300" s="13" t="s">
        <v>1845</v>
      </c>
      <c r="O300" s="14" t="s">
        <v>72</v>
      </c>
      <c r="P300" s="14" t="s">
        <v>1278</v>
      </c>
      <c r="Q300" s="165"/>
      <c r="R300" s="164" t="s">
        <v>72</v>
      </c>
      <c r="S300" s="13" t="s">
        <v>77</v>
      </c>
      <c r="T300" s="13"/>
      <c r="U300" s="13"/>
      <c r="V300" s="13">
        <v>6</v>
      </c>
      <c r="W300" s="13">
        <v>6</v>
      </c>
      <c r="X300" s="13">
        <v>6</v>
      </c>
      <c r="Y300" s="13">
        <v>0.1</v>
      </c>
      <c r="Z300" s="13">
        <v>0.1</v>
      </c>
      <c r="AA300" s="13" t="s">
        <v>110</v>
      </c>
      <c r="AB300" s="58">
        <v>43983</v>
      </c>
      <c r="AC300" s="58">
        <v>43976</v>
      </c>
      <c r="AD300" s="58">
        <v>43983</v>
      </c>
      <c r="AE300" s="58">
        <v>43978</v>
      </c>
      <c r="AF300" s="58">
        <v>43978</v>
      </c>
      <c r="AG300" s="58" t="s">
        <v>75</v>
      </c>
      <c r="AH300" s="171" t="s">
        <v>72</v>
      </c>
      <c r="AI300" s="171" t="s">
        <v>72</v>
      </c>
      <c r="AJ300" s="171" t="s">
        <v>72</v>
      </c>
      <c r="AK300" s="58" t="s">
        <v>8</v>
      </c>
      <c r="AL300" s="181" t="s">
        <v>72</v>
      </c>
      <c r="AM300" s="181" t="s">
        <v>72</v>
      </c>
      <c r="AN300" s="193" t="s">
        <v>1941</v>
      </c>
    </row>
    <row r="301" spans="2:40" ht="15">
      <c r="B301" s="184">
        <v>182</v>
      </c>
      <c r="C301" s="13">
        <v>20200525</v>
      </c>
      <c r="D301" s="13" t="s">
        <v>24</v>
      </c>
      <c r="E301" s="13" t="s">
        <v>1842</v>
      </c>
      <c r="F301" s="39" t="s">
        <v>1942</v>
      </c>
      <c r="G301" s="13">
        <v>1487183</v>
      </c>
      <c r="H301" s="164" t="s">
        <v>72</v>
      </c>
      <c r="I301" s="13" t="s">
        <v>1943</v>
      </c>
      <c r="J301" s="164" t="s">
        <v>72</v>
      </c>
      <c r="K301" s="13" t="s">
        <v>106</v>
      </c>
      <c r="L301" s="13" t="s">
        <v>1844</v>
      </c>
      <c r="M301" s="13" t="s">
        <v>1033</v>
      </c>
      <c r="N301" s="13" t="s">
        <v>1845</v>
      </c>
      <c r="O301" s="14" t="s">
        <v>72</v>
      </c>
      <c r="P301" s="14" t="s">
        <v>1944</v>
      </c>
      <c r="Q301" s="165"/>
      <c r="R301" s="164" t="s">
        <v>72</v>
      </c>
      <c r="S301" s="13" t="s">
        <v>77</v>
      </c>
      <c r="T301" s="13"/>
      <c r="U301" s="13"/>
      <c r="V301" s="13">
        <v>34</v>
      </c>
      <c r="W301" s="13">
        <v>34</v>
      </c>
      <c r="X301" s="13">
        <v>34</v>
      </c>
      <c r="Y301" s="13">
        <v>0.6</v>
      </c>
      <c r="Z301" s="13">
        <v>0.1</v>
      </c>
      <c r="AA301" s="13" t="s">
        <v>110</v>
      </c>
      <c r="AB301" s="58">
        <v>43983</v>
      </c>
      <c r="AC301" s="58">
        <v>43976</v>
      </c>
      <c r="AD301" s="58">
        <v>43983</v>
      </c>
      <c r="AE301" s="58">
        <v>43978</v>
      </c>
      <c r="AF301" s="58">
        <v>43978</v>
      </c>
      <c r="AG301" s="58" t="s">
        <v>75</v>
      </c>
      <c r="AH301" s="171" t="s">
        <v>72</v>
      </c>
      <c r="AI301" s="171" t="s">
        <v>72</v>
      </c>
      <c r="AJ301" s="171" t="s">
        <v>72</v>
      </c>
      <c r="AK301" s="58" t="s">
        <v>8</v>
      </c>
      <c r="AL301" s="181" t="s">
        <v>72</v>
      </c>
      <c r="AM301" s="181" t="s">
        <v>72</v>
      </c>
      <c r="AN301" s="193" t="s">
        <v>1941</v>
      </c>
    </row>
    <row r="302" spans="2:40" ht="15">
      <c r="B302" s="198">
        <v>183</v>
      </c>
      <c r="C302" s="13">
        <v>20200526</v>
      </c>
      <c r="D302" s="13" t="s">
        <v>24</v>
      </c>
      <c r="E302" s="13" t="s">
        <v>1654</v>
      </c>
      <c r="F302" s="39" t="s">
        <v>1945</v>
      </c>
      <c r="G302" s="13">
        <v>1485214</v>
      </c>
      <c r="H302" s="164" t="s">
        <v>72</v>
      </c>
      <c r="I302" s="13" t="s">
        <v>564</v>
      </c>
      <c r="J302" s="164" t="s">
        <v>72</v>
      </c>
      <c r="K302" s="13" t="s">
        <v>73</v>
      </c>
      <c r="L302" s="13" t="s">
        <v>1946</v>
      </c>
      <c r="M302" s="13" t="s">
        <v>1657</v>
      </c>
      <c r="N302" s="13" t="s">
        <v>336</v>
      </c>
      <c r="O302" s="14" t="s">
        <v>72</v>
      </c>
      <c r="P302" s="14" t="s">
        <v>562</v>
      </c>
      <c r="Q302" s="165"/>
      <c r="R302" s="164" t="s">
        <v>72</v>
      </c>
      <c r="S302" s="13" t="s">
        <v>161</v>
      </c>
      <c r="T302" s="13"/>
      <c r="U302" s="13"/>
      <c r="V302" s="13">
        <v>101</v>
      </c>
      <c r="W302" s="53">
        <v>211</v>
      </c>
      <c r="X302" s="13">
        <v>211</v>
      </c>
      <c r="Y302" s="13">
        <v>3.75</v>
      </c>
      <c r="Z302" s="13">
        <v>3</v>
      </c>
      <c r="AA302" s="13" t="s">
        <v>110</v>
      </c>
      <c r="AB302" s="58">
        <v>43978</v>
      </c>
      <c r="AC302" s="58">
        <v>43978</v>
      </c>
      <c r="AD302" s="58">
        <v>43980</v>
      </c>
      <c r="AE302" s="58">
        <v>43978</v>
      </c>
      <c r="AF302" s="58">
        <v>43978</v>
      </c>
      <c r="AG302" s="58" t="s">
        <v>79</v>
      </c>
      <c r="AH302" s="59">
        <v>0.96</v>
      </c>
      <c r="AI302" s="59">
        <v>0.91</v>
      </c>
      <c r="AJ302" s="59">
        <v>0.5</v>
      </c>
      <c r="AK302" s="58" t="s">
        <v>76</v>
      </c>
      <c r="AL302" s="176" t="s">
        <v>1947</v>
      </c>
      <c r="AM302" s="13"/>
      <c r="AN302" s="13" t="s">
        <v>1948</v>
      </c>
    </row>
    <row r="303" spans="2:40" ht="15">
      <c r="B303" s="198">
        <v>184</v>
      </c>
      <c r="C303" s="13">
        <v>20200526</v>
      </c>
      <c r="D303" s="13" t="s">
        <v>24</v>
      </c>
      <c r="E303" s="13" t="s">
        <v>1654</v>
      </c>
      <c r="F303" s="39" t="s">
        <v>1949</v>
      </c>
      <c r="G303" s="13">
        <v>1485214</v>
      </c>
      <c r="H303" s="164" t="s">
        <v>72</v>
      </c>
      <c r="I303" s="13" t="s">
        <v>708</v>
      </c>
      <c r="J303" s="164" t="s">
        <v>72</v>
      </c>
      <c r="K303" s="13" t="s">
        <v>73</v>
      </c>
      <c r="L303" s="13" t="s">
        <v>1946</v>
      </c>
      <c r="M303" s="13" t="s">
        <v>1657</v>
      </c>
      <c r="N303" s="13" t="s">
        <v>336</v>
      </c>
      <c r="O303" s="14" t="s">
        <v>72</v>
      </c>
      <c r="P303" s="14" t="s">
        <v>562</v>
      </c>
      <c r="Q303" s="165"/>
      <c r="R303" s="164" t="s">
        <v>72</v>
      </c>
      <c r="S303" s="13" t="s">
        <v>161</v>
      </c>
      <c r="T303" s="13"/>
      <c r="U303" s="13"/>
      <c r="V303" s="13">
        <v>66</v>
      </c>
      <c r="W303" s="13">
        <v>66</v>
      </c>
      <c r="X303" s="13">
        <v>66</v>
      </c>
      <c r="Y303" s="13">
        <v>1.17</v>
      </c>
      <c r="Z303" s="13">
        <v>1</v>
      </c>
      <c r="AA303" s="13" t="s">
        <v>110</v>
      </c>
      <c r="AB303" s="58">
        <v>43978</v>
      </c>
      <c r="AC303" s="58">
        <v>43978</v>
      </c>
      <c r="AD303" s="58">
        <v>43980</v>
      </c>
      <c r="AE303" s="58">
        <v>43978</v>
      </c>
      <c r="AF303" s="58">
        <v>43978</v>
      </c>
      <c r="AG303" s="58" t="s">
        <v>75</v>
      </c>
      <c r="AH303" s="59">
        <v>1</v>
      </c>
      <c r="AI303" s="59">
        <v>1</v>
      </c>
      <c r="AJ303" s="59">
        <v>1</v>
      </c>
      <c r="AK303" s="58" t="s">
        <v>8</v>
      </c>
      <c r="AL303" s="14" t="s">
        <v>72</v>
      </c>
      <c r="AM303" s="14" t="s">
        <v>72</v>
      </c>
      <c r="AN303" s="14" t="s">
        <v>72</v>
      </c>
    </row>
    <row r="304" spans="2:40" ht="15">
      <c r="B304" s="198">
        <v>185</v>
      </c>
      <c r="C304" s="13">
        <v>20200526</v>
      </c>
      <c r="D304" s="13" t="s">
        <v>24</v>
      </c>
      <c r="E304" s="13" t="s">
        <v>1181</v>
      </c>
      <c r="F304" s="39" t="s">
        <v>1950</v>
      </c>
      <c r="G304" s="13">
        <v>1487960</v>
      </c>
      <c r="H304" s="164" t="s">
        <v>72</v>
      </c>
      <c r="I304" s="13" t="s">
        <v>123</v>
      </c>
      <c r="J304" s="164" t="s">
        <v>72</v>
      </c>
      <c r="K304" s="13" t="s">
        <v>73</v>
      </c>
      <c r="L304" s="13" t="s">
        <v>8</v>
      </c>
      <c r="M304" s="13" t="s">
        <v>19</v>
      </c>
      <c r="N304" s="13" t="s">
        <v>1065</v>
      </c>
      <c r="O304" s="14" t="s">
        <v>72</v>
      </c>
      <c r="P304" s="14" t="s">
        <v>1951</v>
      </c>
      <c r="Q304" s="165"/>
      <c r="R304" s="164" t="s">
        <v>72</v>
      </c>
      <c r="S304" s="13" t="s">
        <v>109</v>
      </c>
      <c r="T304" s="13"/>
      <c r="U304" s="13"/>
      <c r="V304" s="13">
        <v>88</v>
      </c>
      <c r="W304" s="53">
        <v>229</v>
      </c>
      <c r="X304" s="13">
        <v>229</v>
      </c>
      <c r="Y304" s="13">
        <v>4.07</v>
      </c>
      <c r="Z304" s="13">
        <v>3</v>
      </c>
      <c r="AA304" s="13" t="s">
        <v>110</v>
      </c>
      <c r="AB304" s="58">
        <v>43978</v>
      </c>
      <c r="AC304" s="58">
        <v>43978</v>
      </c>
      <c r="AD304" s="58">
        <v>43980</v>
      </c>
      <c r="AE304" s="58">
        <v>43979</v>
      </c>
      <c r="AF304" s="58">
        <v>43979</v>
      </c>
      <c r="AG304" s="58" t="s">
        <v>79</v>
      </c>
      <c r="AH304" s="59">
        <v>1</v>
      </c>
      <c r="AI304" s="59">
        <v>1</v>
      </c>
      <c r="AJ304" s="59">
        <v>1</v>
      </c>
      <c r="AK304" s="58" t="s">
        <v>76</v>
      </c>
      <c r="AL304" s="14" t="s">
        <v>1952</v>
      </c>
      <c r="AM304" s="13" t="s">
        <v>72</v>
      </c>
      <c r="AN304" s="14" t="s">
        <v>1953</v>
      </c>
    </row>
    <row r="305" spans="2:40" ht="15">
      <c r="B305" s="198">
        <v>186</v>
      </c>
      <c r="C305" s="13">
        <v>20200526</v>
      </c>
      <c r="D305" s="13" t="s">
        <v>24</v>
      </c>
      <c r="E305" s="13" t="s">
        <v>1181</v>
      </c>
      <c r="F305" s="39" t="s">
        <v>1950</v>
      </c>
      <c r="G305" s="13">
        <v>1487960</v>
      </c>
      <c r="H305" s="164" t="s">
        <v>72</v>
      </c>
      <c r="I305" s="13" t="s">
        <v>120</v>
      </c>
      <c r="J305" s="164" t="s">
        <v>72</v>
      </c>
      <c r="K305" s="13" t="s">
        <v>73</v>
      </c>
      <c r="L305" s="13" t="s">
        <v>8</v>
      </c>
      <c r="M305" s="13" t="s">
        <v>19</v>
      </c>
      <c r="N305" s="13" t="s">
        <v>1065</v>
      </c>
      <c r="O305" s="14" t="s">
        <v>72</v>
      </c>
      <c r="P305" s="14" t="s">
        <v>1951</v>
      </c>
      <c r="Q305" s="165"/>
      <c r="R305" s="164" t="s">
        <v>72</v>
      </c>
      <c r="S305" s="13" t="s">
        <v>109</v>
      </c>
      <c r="T305" s="13"/>
      <c r="U305" s="13"/>
      <c r="V305" s="13">
        <v>42</v>
      </c>
      <c r="W305" s="53">
        <v>118</v>
      </c>
      <c r="X305" s="13">
        <v>118</v>
      </c>
      <c r="Y305" s="13">
        <v>2.09</v>
      </c>
      <c r="Z305" s="13">
        <v>1</v>
      </c>
      <c r="AA305" s="13" t="s">
        <v>110</v>
      </c>
      <c r="AB305" s="58">
        <v>43978</v>
      </c>
      <c r="AC305" s="58">
        <v>43978</v>
      </c>
      <c r="AD305" s="58">
        <v>43980</v>
      </c>
      <c r="AE305" s="58">
        <v>43979</v>
      </c>
      <c r="AF305" s="58">
        <v>43979</v>
      </c>
      <c r="AG305" s="58" t="s">
        <v>75</v>
      </c>
      <c r="AH305" s="59">
        <v>1</v>
      </c>
      <c r="AI305" s="59">
        <v>1</v>
      </c>
      <c r="AJ305" s="59">
        <v>1</v>
      </c>
      <c r="AK305" s="58" t="s">
        <v>8</v>
      </c>
      <c r="AL305" s="14" t="s">
        <v>72</v>
      </c>
      <c r="AM305" s="13" t="s">
        <v>72</v>
      </c>
      <c r="AN305" s="13" t="s">
        <v>72</v>
      </c>
    </row>
    <row r="306" spans="2:40" ht="15">
      <c r="B306" s="198">
        <v>187</v>
      </c>
      <c r="C306" s="13">
        <v>20200526</v>
      </c>
      <c r="D306" s="13" t="s">
        <v>24</v>
      </c>
      <c r="E306" s="13" t="s">
        <v>1181</v>
      </c>
      <c r="F306" s="39" t="s">
        <v>1954</v>
      </c>
      <c r="G306" s="13">
        <v>1487866</v>
      </c>
      <c r="H306" s="164" t="s">
        <v>72</v>
      </c>
      <c r="I306" s="13" t="s">
        <v>123</v>
      </c>
      <c r="J306" s="164" t="s">
        <v>72</v>
      </c>
      <c r="K306" s="13" t="s">
        <v>73</v>
      </c>
      <c r="L306" s="13" t="s">
        <v>8</v>
      </c>
      <c r="M306" s="13" t="s">
        <v>19</v>
      </c>
      <c r="N306" s="13" t="s">
        <v>1955</v>
      </c>
      <c r="O306" s="14" t="s">
        <v>72</v>
      </c>
      <c r="P306" s="14" t="s">
        <v>1951</v>
      </c>
      <c r="Q306" s="165"/>
      <c r="R306" s="164" t="s">
        <v>72</v>
      </c>
      <c r="S306" s="13" t="s">
        <v>109</v>
      </c>
      <c r="T306" s="13"/>
      <c r="U306" s="13"/>
      <c r="V306" s="13">
        <v>88</v>
      </c>
      <c r="W306" s="53">
        <v>229</v>
      </c>
      <c r="X306" s="13">
        <v>229</v>
      </c>
      <c r="Y306" s="13">
        <v>4.07</v>
      </c>
      <c r="Z306" s="13">
        <v>1</v>
      </c>
      <c r="AA306" s="13" t="s">
        <v>110</v>
      </c>
      <c r="AB306" s="58">
        <v>43978</v>
      </c>
      <c r="AC306" s="58">
        <v>43978</v>
      </c>
      <c r="AD306" s="58">
        <v>43980</v>
      </c>
      <c r="AE306" s="58">
        <v>43979</v>
      </c>
      <c r="AF306" s="58">
        <v>43979</v>
      </c>
      <c r="AG306" s="58" t="s">
        <v>79</v>
      </c>
      <c r="AH306" s="59">
        <v>1</v>
      </c>
      <c r="AI306" s="59">
        <v>1</v>
      </c>
      <c r="AJ306" s="59">
        <v>1</v>
      </c>
      <c r="AK306" s="58" t="s">
        <v>76</v>
      </c>
      <c r="AL306" s="14" t="s">
        <v>1952</v>
      </c>
      <c r="AM306" s="13" t="s">
        <v>72</v>
      </c>
      <c r="AN306" s="14" t="s">
        <v>1953</v>
      </c>
    </row>
    <row r="307" spans="2:40" ht="15">
      <c r="B307" s="198">
        <v>188</v>
      </c>
      <c r="C307" s="13">
        <v>20200526</v>
      </c>
      <c r="D307" s="13" t="s">
        <v>24</v>
      </c>
      <c r="E307" s="13" t="s">
        <v>1181</v>
      </c>
      <c r="F307" s="39" t="s">
        <v>1954</v>
      </c>
      <c r="G307" s="13">
        <v>1487866</v>
      </c>
      <c r="H307" s="164" t="s">
        <v>72</v>
      </c>
      <c r="I307" s="13" t="s">
        <v>120</v>
      </c>
      <c r="J307" s="164" t="s">
        <v>72</v>
      </c>
      <c r="K307" s="13" t="s">
        <v>73</v>
      </c>
      <c r="L307" s="13" t="s">
        <v>8</v>
      </c>
      <c r="M307" s="13" t="s">
        <v>19</v>
      </c>
      <c r="N307" s="13" t="s">
        <v>1955</v>
      </c>
      <c r="O307" s="14" t="s">
        <v>72</v>
      </c>
      <c r="P307" s="14" t="s">
        <v>1951</v>
      </c>
      <c r="Q307" s="165"/>
      <c r="R307" s="164" t="s">
        <v>72</v>
      </c>
      <c r="S307" s="13" t="s">
        <v>109</v>
      </c>
      <c r="T307" s="13"/>
      <c r="U307" s="13"/>
      <c r="V307" s="13">
        <v>42</v>
      </c>
      <c r="W307" s="53">
        <v>118</v>
      </c>
      <c r="X307" s="13">
        <v>118</v>
      </c>
      <c r="Y307" s="13">
        <v>2.09</v>
      </c>
      <c r="Z307" s="13">
        <v>1</v>
      </c>
      <c r="AA307" s="13" t="s">
        <v>110</v>
      </c>
      <c r="AB307" s="58">
        <v>43978</v>
      </c>
      <c r="AC307" s="58">
        <v>43978</v>
      </c>
      <c r="AD307" s="58">
        <v>43980</v>
      </c>
      <c r="AE307" s="58">
        <v>43979</v>
      </c>
      <c r="AF307" s="58">
        <v>43979</v>
      </c>
      <c r="AG307" s="58" t="s">
        <v>75</v>
      </c>
      <c r="AH307" s="59">
        <v>1</v>
      </c>
      <c r="AI307" s="59">
        <v>1</v>
      </c>
      <c r="AJ307" s="59">
        <v>1</v>
      </c>
      <c r="AK307" s="58" t="s">
        <v>8</v>
      </c>
      <c r="AL307" s="14" t="s">
        <v>72</v>
      </c>
      <c r="AM307" s="13" t="s">
        <v>72</v>
      </c>
      <c r="AN307" s="13" t="s">
        <v>72</v>
      </c>
    </row>
    <row r="308" spans="2:40" ht="15">
      <c r="B308" s="198">
        <v>189</v>
      </c>
      <c r="C308" s="13">
        <v>20200526</v>
      </c>
      <c r="D308" s="13" t="s">
        <v>24</v>
      </c>
      <c r="E308" s="13" t="s">
        <v>1827</v>
      </c>
      <c r="F308" s="39" t="s">
        <v>1956</v>
      </c>
      <c r="G308" s="13">
        <v>1487804</v>
      </c>
      <c r="H308" s="164" t="s">
        <v>72</v>
      </c>
      <c r="I308" s="13" t="s">
        <v>1272</v>
      </c>
      <c r="J308" s="164" t="s">
        <v>72</v>
      </c>
      <c r="K308" s="13" t="s">
        <v>73</v>
      </c>
      <c r="L308" s="13" t="s">
        <v>27</v>
      </c>
      <c r="M308" s="13" t="s">
        <v>1787</v>
      </c>
      <c r="N308" s="13" t="s">
        <v>9</v>
      </c>
      <c r="O308" s="14" t="s">
        <v>72</v>
      </c>
      <c r="P308" s="14" t="s">
        <v>7</v>
      </c>
      <c r="Q308" s="165"/>
      <c r="R308" s="164" t="s">
        <v>72</v>
      </c>
      <c r="S308" s="13" t="s">
        <v>117</v>
      </c>
      <c r="T308" s="13"/>
      <c r="U308" s="13"/>
      <c r="V308" s="13">
        <v>128</v>
      </c>
      <c r="W308" s="13">
        <v>128</v>
      </c>
      <c r="X308" s="13">
        <v>128</v>
      </c>
      <c r="Y308" s="13">
        <v>2.27</v>
      </c>
      <c r="Z308" s="13">
        <v>1</v>
      </c>
      <c r="AA308" s="13" t="s">
        <v>110</v>
      </c>
      <c r="AB308" s="58">
        <v>43978</v>
      </c>
      <c r="AC308" s="58">
        <v>43978</v>
      </c>
      <c r="AD308" s="58">
        <v>43978</v>
      </c>
      <c r="AE308" s="58">
        <v>43978</v>
      </c>
      <c r="AF308" s="58">
        <v>43978</v>
      </c>
      <c r="AG308" s="58" t="s">
        <v>75</v>
      </c>
      <c r="AH308" s="59">
        <v>1</v>
      </c>
      <c r="AI308" s="59">
        <v>1</v>
      </c>
      <c r="AJ308" s="59">
        <v>1</v>
      </c>
      <c r="AK308" s="58" t="s">
        <v>8</v>
      </c>
      <c r="AL308" s="181" t="s">
        <v>72</v>
      </c>
      <c r="AM308" s="181" t="s">
        <v>72</v>
      </c>
      <c r="AN308" s="181" t="s">
        <v>72</v>
      </c>
    </row>
    <row r="309" spans="2:40" ht="15">
      <c r="B309" s="198">
        <v>190</v>
      </c>
      <c r="C309" s="13">
        <v>20200526</v>
      </c>
      <c r="D309" s="13" t="s">
        <v>24</v>
      </c>
      <c r="E309" s="13" t="s">
        <v>1827</v>
      </c>
      <c r="F309" s="39" t="s">
        <v>1957</v>
      </c>
      <c r="G309" s="13">
        <v>1487804</v>
      </c>
      <c r="H309" s="164" t="s">
        <v>72</v>
      </c>
      <c r="I309" s="13" t="s">
        <v>130</v>
      </c>
      <c r="J309" s="164" t="s">
        <v>72</v>
      </c>
      <c r="K309" s="13" t="s">
        <v>73</v>
      </c>
      <c r="L309" s="13" t="s">
        <v>27</v>
      </c>
      <c r="M309" s="13" t="s">
        <v>1787</v>
      </c>
      <c r="N309" s="13" t="s">
        <v>9</v>
      </c>
      <c r="O309" s="14" t="s">
        <v>72</v>
      </c>
      <c r="P309" s="14" t="s">
        <v>7</v>
      </c>
      <c r="Q309" s="165"/>
      <c r="R309" s="164" t="s">
        <v>72</v>
      </c>
      <c r="S309" s="13" t="s">
        <v>117</v>
      </c>
      <c r="T309" s="13"/>
      <c r="U309" s="13"/>
      <c r="V309" s="13">
        <v>261</v>
      </c>
      <c r="W309" s="13">
        <v>261</v>
      </c>
      <c r="X309" s="13">
        <v>261</v>
      </c>
      <c r="Y309" s="13">
        <v>4.6399999999999997</v>
      </c>
      <c r="Z309" s="13">
        <v>2</v>
      </c>
      <c r="AA309" s="13" t="s">
        <v>110</v>
      </c>
      <c r="AB309" s="58">
        <v>43978</v>
      </c>
      <c r="AC309" s="58">
        <v>43978</v>
      </c>
      <c r="AD309" s="58">
        <v>43978</v>
      </c>
      <c r="AE309" s="58">
        <v>43978</v>
      </c>
      <c r="AF309" s="58">
        <v>43978</v>
      </c>
      <c r="AG309" s="58" t="s">
        <v>75</v>
      </c>
      <c r="AH309" s="59">
        <v>1</v>
      </c>
      <c r="AI309" s="59">
        <v>1</v>
      </c>
      <c r="AJ309" s="59">
        <v>1</v>
      </c>
      <c r="AK309" s="58" t="s">
        <v>8</v>
      </c>
      <c r="AL309" s="181" t="s">
        <v>72</v>
      </c>
      <c r="AM309" s="181" t="s">
        <v>72</v>
      </c>
      <c r="AN309" s="181" t="s">
        <v>72</v>
      </c>
    </row>
    <row r="310" spans="2:40" ht="15">
      <c r="B310" s="198">
        <v>191</v>
      </c>
      <c r="C310" s="13">
        <v>20200526</v>
      </c>
      <c r="D310" s="13" t="s">
        <v>24</v>
      </c>
      <c r="E310" s="13" t="s">
        <v>1827</v>
      </c>
      <c r="F310" s="39" t="s">
        <v>1958</v>
      </c>
      <c r="G310" s="13">
        <v>1487804</v>
      </c>
      <c r="H310" s="164" t="s">
        <v>72</v>
      </c>
      <c r="I310" s="13" t="s">
        <v>1487</v>
      </c>
      <c r="J310" s="164" t="s">
        <v>72</v>
      </c>
      <c r="K310" s="13" t="s">
        <v>73</v>
      </c>
      <c r="L310" s="13" t="s">
        <v>27</v>
      </c>
      <c r="M310" s="13" t="s">
        <v>1787</v>
      </c>
      <c r="N310" s="13" t="s">
        <v>9</v>
      </c>
      <c r="O310" s="14" t="s">
        <v>72</v>
      </c>
      <c r="P310" s="14" t="s">
        <v>7</v>
      </c>
      <c r="Q310" s="165"/>
      <c r="R310" s="164" t="s">
        <v>72</v>
      </c>
      <c r="S310" s="13" t="s">
        <v>117</v>
      </c>
      <c r="T310" s="13"/>
      <c r="U310" s="13"/>
      <c r="V310" s="13">
        <v>45</v>
      </c>
      <c r="W310" s="13">
        <v>45</v>
      </c>
      <c r="X310" s="13">
        <v>45</v>
      </c>
      <c r="Y310" s="13">
        <v>0.8</v>
      </c>
      <c r="Z310" s="13">
        <v>0.5</v>
      </c>
      <c r="AA310" s="13" t="s">
        <v>110</v>
      </c>
      <c r="AB310" s="58">
        <v>43978</v>
      </c>
      <c r="AC310" s="58">
        <v>43978</v>
      </c>
      <c r="AD310" s="58">
        <v>43978</v>
      </c>
      <c r="AE310" s="58">
        <v>43978</v>
      </c>
      <c r="AF310" s="58">
        <v>43978</v>
      </c>
      <c r="AG310" s="58" t="s">
        <v>75</v>
      </c>
      <c r="AH310" s="59">
        <v>1</v>
      </c>
      <c r="AI310" s="59">
        <v>1</v>
      </c>
      <c r="AJ310" s="59">
        <v>1</v>
      </c>
      <c r="AK310" s="58" t="s">
        <v>8</v>
      </c>
      <c r="AL310" s="181" t="s">
        <v>72</v>
      </c>
      <c r="AM310" s="181" t="s">
        <v>72</v>
      </c>
      <c r="AN310" s="181" t="s">
        <v>72</v>
      </c>
    </row>
    <row r="311" spans="2:40" ht="15">
      <c r="B311" s="198">
        <v>192</v>
      </c>
      <c r="C311" s="13">
        <v>20200526</v>
      </c>
      <c r="D311" s="13" t="s">
        <v>24</v>
      </c>
      <c r="E311" s="13" t="s">
        <v>1959</v>
      </c>
      <c r="F311" s="39" t="s">
        <v>1960</v>
      </c>
      <c r="G311" s="13">
        <v>1475660</v>
      </c>
      <c r="H311" s="164" t="s">
        <v>72</v>
      </c>
      <c r="I311" s="13" t="s">
        <v>37</v>
      </c>
      <c r="J311" s="164" t="s">
        <v>72</v>
      </c>
      <c r="K311" s="13" t="s">
        <v>73</v>
      </c>
      <c r="L311" s="13" t="s">
        <v>1961</v>
      </c>
      <c r="M311" s="13" t="s">
        <v>19</v>
      </c>
      <c r="N311" s="13" t="s">
        <v>6</v>
      </c>
      <c r="O311" s="14" t="s">
        <v>72</v>
      </c>
      <c r="P311" s="14" t="s">
        <v>1029</v>
      </c>
      <c r="Q311" s="165"/>
      <c r="R311" s="164" t="s">
        <v>72</v>
      </c>
      <c r="S311" s="13" t="s">
        <v>113</v>
      </c>
      <c r="T311" s="13"/>
      <c r="U311" s="13"/>
      <c r="V311" s="13">
        <v>355</v>
      </c>
      <c r="W311" s="13">
        <v>355</v>
      </c>
      <c r="X311" s="13">
        <v>355</v>
      </c>
      <c r="Y311" s="13">
        <v>6.31</v>
      </c>
      <c r="Z311" s="13">
        <v>6.31</v>
      </c>
      <c r="AA311" s="13" t="s">
        <v>110</v>
      </c>
      <c r="AB311" s="58">
        <v>43978</v>
      </c>
      <c r="AC311" s="58">
        <v>43978</v>
      </c>
      <c r="AD311" s="58">
        <v>43978</v>
      </c>
      <c r="AE311" s="58">
        <v>43978</v>
      </c>
      <c r="AF311" s="58">
        <v>43978</v>
      </c>
      <c r="AG311" s="58" t="s">
        <v>79</v>
      </c>
      <c r="AH311" s="59">
        <v>1</v>
      </c>
      <c r="AI311" s="59">
        <v>1</v>
      </c>
      <c r="AJ311" s="59">
        <v>0.75</v>
      </c>
      <c r="AK311" s="58" t="s">
        <v>76</v>
      </c>
      <c r="AL311" s="181" t="s">
        <v>1962</v>
      </c>
      <c r="AM311" s="181" t="s">
        <v>72</v>
      </c>
      <c r="AN311" s="181" t="s">
        <v>1963</v>
      </c>
    </row>
    <row r="312" spans="2:40" ht="15">
      <c r="B312" s="198">
        <v>193</v>
      </c>
      <c r="C312" s="13">
        <v>20200526</v>
      </c>
      <c r="D312" s="13" t="s">
        <v>24</v>
      </c>
      <c r="E312" s="13" t="s">
        <v>1959</v>
      </c>
      <c r="F312" s="39" t="s">
        <v>1964</v>
      </c>
      <c r="G312" s="13">
        <v>1475660</v>
      </c>
      <c r="H312" s="164" t="s">
        <v>72</v>
      </c>
      <c r="I312" s="13" t="s">
        <v>1965</v>
      </c>
      <c r="J312" s="164" t="s">
        <v>72</v>
      </c>
      <c r="K312" s="13" t="s">
        <v>73</v>
      </c>
      <c r="L312" s="13" t="s">
        <v>1961</v>
      </c>
      <c r="M312" s="13" t="s">
        <v>19</v>
      </c>
      <c r="N312" s="13" t="s">
        <v>6</v>
      </c>
      <c r="O312" s="14" t="s">
        <v>72</v>
      </c>
      <c r="P312" s="14" t="s">
        <v>1029</v>
      </c>
      <c r="Q312" s="165"/>
      <c r="R312" s="164" t="s">
        <v>72</v>
      </c>
      <c r="S312" s="13" t="s">
        <v>113</v>
      </c>
      <c r="T312" s="13"/>
      <c r="U312" s="13"/>
      <c r="V312" s="13">
        <v>221</v>
      </c>
      <c r="W312" s="13">
        <v>221</v>
      </c>
      <c r="X312" s="13">
        <v>221</v>
      </c>
      <c r="Y312" s="13">
        <v>3.92</v>
      </c>
      <c r="Z312" s="13">
        <v>3.92</v>
      </c>
      <c r="AA312" s="13" t="s">
        <v>110</v>
      </c>
      <c r="AB312" s="58">
        <v>43978</v>
      </c>
      <c r="AC312" s="58">
        <v>43978</v>
      </c>
      <c r="AD312" s="58">
        <v>43978</v>
      </c>
      <c r="AE312" s="58">
        <v>43978</v>
      </c>
      <c r="AF312" s="58">
        <v>43978</v>
      </c>
      <c r="AG312" s="58" t="s">
        <v>75</v>
      </c>
      <c r="AH312" s="59">
        <v>1</v>
      </c>
      <c r="AI312" s="59">
        <v>1</v>
      </c>
      <c r="AJ312" s="59">
        <v>1</v>
      </c>
      <c r="AK312" s="58" t="s">
        <v>8</v>
      </c>
      <c r="AL312" s="181" t="s">
        <v>72</v>
      </c>
      <c r="AM312" s="181" t="s">
        <v>72</v>
      </c>
      <c r="AN312" s="181" t="s">
        <v>72</v>
      </c>
    </row>
    <row r="313" spans="2:40" ht="15">
      <c r="B313" s="198">
        <v>194</v>
      </c>
      <c r="C313" s="13">
        <v>20200526</v>
      </c>
      <c r="D313" s="13" t="s">
        <v>24</v>
      </c>
      <c r="E313" s="13" t="s">
        <v>360</v>
      </c>
      <c r="F313" s="39" t="s">
        <v>1966</v>
      </c>
      <c r="G313" s="13">
        <v>1474186</v>
      </c>
      <c r="H313" s="164" t="s">
        <v>72</v>
      </c>
      <c r="I313" s="13" t="s">
        <v>1967</v>
      </c>
      <c r="J313" s="164" t="s">
        <v>72</v>
      </c>
      <c r="K313" s="13" t="s">
        <v>73</v>
      </c>
      <c r="L313" s="13" t="s">
        <v>1968</v>
      </c>
      <c r="M313" s="13" t="s">
        <v>22</v>
      </c>
      <c r="N313" s="13" t="s">
        <v>1136</v>
      </c>
      <c r="O313" s="14" t="s">
        <v>72</v>
      </c>
      <c r="P313" s="14" t="s">
        <v>756</v>
      </c>
      <c r="Q313" s="165"/>
      <c r="R313" s="164" t="s">
        <v>72</v>
      </c>
      <c r="S313" s="13" t="s">
        <v>117</v>
      </c>
      <c r="T313" s="13"/>
      <c r="U313" s="13"/>
      <c r="V313" s="13">
        <v>46</v>
      </c>
      <c r="W313" s="13">
        <v>46</v>
      </c>
      <c r="X313" s="13">
        <v>46</v>
      </c>
      <c r="Y313" s="13">
        <v>0.81</v>
      </c>
      <c r="Z313" s="13">
        <v>0.5</v>
      </c>
      <c r="AA313" s="13" t="s">
        <v>110</v>
      </c>
      <c r="AB313" s="58">
        <v>43978</v>
      </c>
      <c r="AC313" s="58">
        <v>43978</v>
      </c>
      <c r="AD313" s="58">
        <v>43978</v>
      </c>
      <c r="AE313" s="58">
        <v>43978</v>
      </c>
      <c r="AF313" s="58">
        <v>43978</v>
      </c>
      <c r="AG313" s="58" t="s">
        <v>75</v>
      </c>
      <c r="AH313" s="59">
        <v>1</v>
      </c>
      <c r="AI313" s="59">
        <v>1</v>
      </c>
      <c r="AJ313" s="59">
        <v>1</v>
      </c>
      <c r="AK313" s="58" t="s">
        <v>8</v>
      </c>
      <c r="AL313" s="181" t="s">
        <v>72</v>
      </c>
      <c r="AM313" s="181" t="s">
        <v>72</v>
      </c>
      <c r="AN313" s="181" t="s">
        <v>72</v>
      </c>
    </row>
    <row r="314" spans="2:40" ht="15">
      <c r="B314" s="198">
        <v>195</v>
      </c>
      <c r="C314" s="13">
        <v>20200526</v>
      </c>
      <c r="D314" s="13" t="s">
        <v>24</v>
      </c>
      <c r="E314" s="13" t="s">
        <v>360</v>
      </c>
      <c r="F314" s="39" t="s">
        <v>1969</v>
      </c>
      <c r="G314" s="13">
        <v>1474186</v>
      </c>
      <c r="H314" s="164" t="s">
        <v>72</v>
      </c>
      <c r="I314" s="13" t="s">
        <v>130</v>
      </c>
      <c r="J314" s="164" t="s">
        <v>72</v>
      </c>
      <c r="K314" s="13" t="s">
        <v>73</v>
      </c>
      <c r="L314" s="13" t="s">
        <v>1968</v>
      </c>
      <c r="M314" s="13" t="s">
        <v>22</v>
      </c>
      <c r="N314" s="13" t="s">
        <v>1136</v>
      </c>
      <c r="O314" s="14" t="s">
        <v>72</v>
      </c>
      <c r="P314" s="14" t="s">
        <v>756</v>
      </c>
      <c r="Q314" s="165"/>
      <c r="R314" s="164" t="s">
        <v>72</v>
      </c>
      <c r="S314" s="13" t="s">
        <v>117</v>
      </c>
      <c r="T314" s="13"/>
      <c r="U314" s="13"/>
      <c r="V314" s="13">
        <v>261</v>
      </c>
      <c r="W314" s="13">
        <v>261</v>
      </c>
      <c r="X314" s="13">
        <v>261</v>
      </c>
      <c r="Y314" s="13">
        <v>4.6399999999999997</v>
      </c>
      <c r="Z314" s="13">
        <v>3</v>
      </c>
      <c r="AA314" s="13" t="s">
        <v>110</v>
      </c>
      <c r="AB314" s="58">
        <v>43978</v>
      </c>
      <c r="AC314" s="58">
        <v>43978</v>
      </c>
      <c r="AD314" s="58">
        <v>43978</v>
      </c>
      <c r="AE314" s="58">
        <v>43978</v>
      </c>
      <c r="AF314" s="58">
        <v>43978</v>
      </c>
      <c r="AG314" s="58" t="s">
        <v>75</v>
      </c>
      <c r="AH314" s="59">
        <v>1</v>
      </c>
      <c r="AI314" s="59">
        <v>1</v>
      </c>
      <c r="AJ314" s="59">
        <v>1</v>
      </c>
      <c r="AK314" s="58" t="s">
        <v>8</v>
      </c>
      <c r="AL314" s="181" t="s">
        <v>72</v>
      </c>
      <c r="AM314" s="181" t="s">
        <v>72</v>
      </c>
      <c r="AN314" s="181" t="s">
        <v>72</v>
      </c>
    </row>
    <row r="315" spans="2:40" ht="15">
      <c r="B315" s="198">
        <v>196</v>
      </c>
      <c r="C315" s="13">
        <v>20200526</v>
      </c>
      <c r="D315" s="13" t="s">
        <v>311</v>
      </c>
      <c r="E315" s="13" t="s">
        <v>1789</v>
      </c>
      <c r="F315" s="39" t="s">
        <v>72</v>
      </c>
      <c r="G315" s="13">
        <v>1473950</v>
      </c>
      <c r="H315" s="164" t="s">
        <v>72</v>
      </c>
      <c r="I315" s="13" t="s">
        <v>1970</v>
      </c>
      <c r="J315" s="164" t="s">
        <v>72</v>
      </c>
      <c r="K315" s="13" t="s">
        <v>73</v>
      </c>
      <c r="L315" s="13" t="s">
        <v>8</v>
      </c>
      <c r="M315" s="13" t="s">
        <v>1791</v>
      </c>
      <c r="N315" s="13" t="s">
        <v>1971</v>
      </c>
      <c r="O315" s="14">
        <v>1.2</v>
      </c>
      <c r="P315" s="14" t="s">
        <v>1701</v>
      </c>
      <c r="Q315" s="165"/>
      <c r="R315" s="164" t="s">
        <v>72</v>
      </c>
      <c r="S315" s="13" t="s">
        <v>109</v>
      </c>
      <c r="T315" s="13"/>
      <c r="U315" s="13"/>
      <c r="V315" s="13">
        <v>28</v>
      </c>
      <c r="W315" s="13">
        <v>28</v>
      </c>
      <c r="X315" s="13">
        <v>28</v>
      </c>
      <c r="Y315" s="13">
        <v>1.72</v>
      </c>
      <c r="Z315" s="13">
        <v>1</v>
      </c>
      <c r="AA315" s="13" t="s">
        <v>110</v>
      </c>
      <c r="AB315" s="58">
        <v>43978</v>
      </c>
      <c r="AC315" s="58">
        <v>43978</v>
      </c>
      <c r="AD315" s="58">
        <v>43979</v>
      </c>
      <c r="AE315" s="58">
        <v>43978</v>
      </c>
      <c r="AF315" s="58">
        <v>43978</v>
      </c>
      <c r="AG315" s="58" t="s">
        <v>75</v>
      </c>
      <c r="AH315" s="59">
        <v>1</v>
      </c>
      <c r="AI315" s="59">
        <v>1</v>
      </c>
      <c r="AJ315" s="59">
        <v>1</v>
      </c>
      <c r="AK315" s="58" t="s">
        <v>8</v>
      </c>
      <c r="AL315" s="181" t="s">
        <v>72</v>
      </c>
      <c r="AM315" s="181" t="s">
        <v>72</v>
      </c>
      <c r="AN315" s="181" t="s">
        <v>72</v>
      </c>
    </row>
    <row r="316" spans="2:40" ht="15">
      <c r="B316" s="199">
        <v>197</v>
      </c>
      <c r="C316" s="13">
        <v>20200526</v>
      </c>
      <c r="D316" s="13" t="s">
        <v>24</v>
      </c>
      <c r="E316" s="13" t="s">
        <v>1842</v>
      </c>
      <c r="F316" s="39" t="s">
        <v>1972</v>
      </c>
      <c r="G316" s="14">
        <v>1484917</v>
      </c>
      <c r="H316" s="164" t="s">
        <v>72</v>
      </c>
      <c r="I316" s="13" t="s">
        <v>132</v>
      </c>
      <c r="J316" s="164" t="s">
        <v>72</v>
      </c>
      <c r="K316" s="13" t="s">
        <v>73</v>
      </c>
      <c r="L316" s="13" t="s">
        <v>8</v>
      </c>
      <c r="M316" s="13" t="s">
        <v>1033</v>
      </c>
      <c r="N316" s="13" t="s">
        <v>1845</v>
      </c>
      <c r="O316" s="14" t="s">
        <v>72</v>
      </c>
      <c r="P316" s="14" t="s">
        <v>1278</v>
      </c>
      <c r="Q316" s="165"/>
      <c r="R316" s="164" t="s">
        <v>72</v>
      </c>
      <c r="S316" s="13" t="s">
        <v>77</v>
      </c>
      <c r="T316" s="13"/>
      <c r="U316" s="13"/>
      <c r="V316" s="13">
        <v>51</v>
      </c>
      <c r="W316" s="13">
        <v>51</v>
      </c>
      <c r="X316" s="13">
        <v>51</v>
      </c>
      <c r="Y316" s="13">
        <v>0.9</v>
      </c>
      <c r="Z316" s="13">
        <v>0.1</v>
      </c>
      <c r="AA316" s="13" t="s">
        <v>110</v>
      </c>
      <c r="AB316" s="58">
        <v>43983</v>
      </c>
      <c r="AC316" s="58">
        <v>43978</v>
      </c>
      <c r="AD316" s="58">
        <v>43984</v>
      </c>
      <c r="AE316" s="58">
        <v>43978</v>
      </c>
      <c r="AF316" s="58">
        <v>43978</v>
      </c>
      <c r="AG316" s="58" t="s">
        <v>75</v>
      </c>
      <c r="AH316" s="59">
        <v>1</v>
      </c>
      <c r="AI316" s="59">
        <v>1</v>
      </c>
      <c r="AJ316" s="59">
        <v>1</v>
      </c>
      <c r="AK316" s="58" t="s">
        <v>8</v>
      </c>
      <c r="AL316" s="181" t="s">
        <v>72</v>
      </c>
      <c r="AM316" s="181" t="s">
        <v>72</v>
      </c>
      <c r="AN316" s="181" t="s">
        <v>72</v>
      </c>
    </row>
    <row r="317" spans="2:40" ht="15">
      <c r="B317" s="199">
        <v>198</v>
      </c>
      <c r="C317" s="13">
        <v>20200526</v>
      </c>
      <c r="D317" s="13" t="s">
        <v>24</v>
      </c>
      <c r="E317" s="13" t="s">
        <v>1842</v>
      </c>
      <c r="F317" s="39" t="s">
        <v>1973</v>
      </c>
      <c r="G317" s="14">
        <v>1484917</v>
      </c>
      <c r="H317" s="164" t="s">
        <v>72</v>
      </c>
      <c r="I317" s="13" t="s">
        <v>732</v>
      </c>
      <c r="J317" s="164" t="s">
        <v>72</v>
      </c>
      <c r="K317" s="13" t="s">
        <v>73</v>
      </c>
      <c r="L317" s="13" t="s">
        <v>8</v>
      </c>
      <c r="M317" s="13" t="s">
        <v>1033</v>
      </c>
      <c r="N317" s="13" t="s">
        <v>1845</v>
      </c>
      <c r="O317" s="14" t="s">
        <v>72</v>
      </c>
      <c r="P317" s="14" t="s">
        <v>1278</v>
      </c>
      <c r="Q317" s="165"/>
      <c r="R317" s="164" t="s">
        <v>72</v>
      </c>
      <c r="S317" s="13" t="s">
        <v>77</v>
      </c>
      <c r="T317" s="13"/>
      <c r="U317" s="13"/>
      <c r="V317" s="13">
        <v>71</v>
      </c>
      <c r="W317" s="13">
        <v>71</v>
      </c>
      <c r="X317" s="13">
        <v>71</v>
      </c>
      <c r="Y317" s="13">
        <v>1.26</v>
      </c>
      <c r="Z317" s="13">
        <v>0.2</v>
      </c>
      <c r="AA317" s="13" t="s">
        <v>110</v>
      </c>
      <c r="AB317" s="58">
        <v>43983</v>
      </c>
      <c r="AC317" s="58">
        <v>43978</v>
      </c>
      <c r="AD317" s="58">
        <v>43984</v>
      </c>
      <c r="AE317" s="58">
        <v>43978</v>
      </c>
      <c r="AF317" s="58">
        <v>43978</v>
      </c>
      <c r="AG317" s="58" t="s">
        <v>75</v>
      </c>
      <c r="AH317" s="59">
        <v>1</v>
      </c>
      <c r="AI317" s="59">
        <v>1</v>
      </c>
      <c r="AJ317" s="59">
        <v>1</v>
      </c>
      <c r="AK317" s="58" t="s">
        <v>8</v>
      </c>
      <c r="AL317" s="181" t="s">
        <v>72</v>
      </c>
      <c r="AM317" s="181" t="s">
        <v>72</v>
      </c>
      <c r="AN317" s="181" t="s">
        <v>72</v>
      </c>
    </row>
    <row r="318" spans="2:40" ht="15">
      <c r="B318" s="199">
        <v>199</v>
      </c>
      <c r="C318" s="13">
        <v>20200526</v>
      </c>
      <c r="D318" s="13" t="s">
        <v>24</v>
      </c>
      <c r="E318" s="13" t="s">
        <v>1842</v>
      </c>
      <c r="F318" s="39" t="s">
        <v>1974</v>
      </c>
      <c r="G318" s="14">
        <v>1484917</v>
      </c>
      <c r="H318" s="164" t="s">
        <v>72</v>
      </c>
      <c r="I318" s="13" t="s">
        <v>1975</v>
      </c>
      <c r="J318" s="164" t="s">
        <v>72</v>
      </c>
      <c r="K318" s="13" t="s">
        <v>73</v>
      </c>
      <c r="L318" s="13" t="s">
        <v>8</v>
      </c>
      <c r="M318" s="13" t="s">
        <v>1033</v>
      </c>
      <c r="N318" s="13" t="s">
        <v>1845</v>
      </c>
      <c r="O318" s="14" t="s">
        <v>72</v>
      </c>
      <c r="P318" s="14" t="s">
        <v>1278</v>
      </c>
      <c r="Q318" s="165"/>
      <c r="R318" s="164" t="s">
        <v>72</v>
      </c>
      <c r="S318" s="13" t="s">
        <v>77</v>
      </c>
      <c r="T318" s="13"/>
      <c r="U318" s="13"/>
      <c r="V318" s="13">
        <v>100</v>
      </c>
      <c r="W318" s="13">
        <v>100</v>
      </c>
      <c r="X318" s="13">
        <v>100</v>
      </c>
      <c r="Y318" s="13">
        <v>1.77</v>
      </c>
      <c r="Z318" s="13">
        <v>0.5</v>
      </c>
      <c r="AA318" s="13" t="s">
        <v>110</v>
      </c>
      <c r="AB318" s="58">
        <v>43983</v>
      </c>
      <c r="AC318" s="58">
        <v>43978</v>
      </c>
      <c r="AD318" s="58">
        <v>43984</v>
      </c>
      <c r="AE318" s="58">
        <v>43978</v>
      </c>
      <c r="AF318" s="58">
        <v>43978</v>
      </c>
      <c r="AG318" s="58" t="s">
        <v>75</v>
      </c>
      <c r="AH318" s="59">
        <v>1</v>
      </c>
      <c r="AI318" s="59">
        <v>1</v>
      </c>
      <c r="AJ318" s="59">
        <v>1</v>
      </c>
      <c r="AK318" s="58" t="s">
        <v>8</v>
      </c>
      <c r="AL318" s="14" t="s">
        <v>72</v>
      </c>
      <c r="AM318" s="14" t="s">
        <v>72</v>
      </c>
      <c r="AN318" s="181" t="s">
        <v>72</v>
      </c>
    </row>
    <row r="319" spans="2:40" ht="15">
      <c r="B319" s="199">
        <v>200</v>
      </c>
      <c r="C319" s="13">
        <v>20200526</v>
      </c>
      <c r="D319" s="13" t="s">
        <v>24</v>
      </c>
      <c r="E319" s="13" t="s">
        <v>1842</v>
      </c>
      <c r="F319" s="39" t="s">
        <v>1976</v>
      </c>
      <c r="G319" s="14">
        <v>1484917</v>
      </c>
      <c r="H319" s="164"/>
      <c r="I319" s="13" t="s">
        <v>734</v>
      </c>
      <c r="J319" s="164"/>
      <c r="K319" s="13" t="s">
        <v>73</v>
      </c>
      <c r="L319" s="13" t="s">
        <v>8</v>
      </c>
      <c r="M319" s="13" t="s">
        <v>1033</v>
      </c>
      <c r="N319" s="13" t="s">
        <v>1845</v>
      </c>
      <c r="O319" s="14" t="s">
        <v>72</v>
      </c>
      <c r="P319" s="14" t="s">
        <v>1278</v>
      </c>
      <c r="Q319" s="165"/>
      <c r="R319" s="164" t="s">
        <v>72</v>
      </c>
      <c r="S319" s="13" t="s">
        <v>77</v>
      </c>
      <c r="T319" s="13"/>
      <c r="U319" s="13"/>
      <c r="V319" s="13">
        <v>87</v>
      </c>
      <c r="W319" s="13">
        <v>87</v>
      </c>
      <c r="X319" s="13">
        <v>87</v>
      </c>
      <c r="Y319" s="13">
        <v>1.54</v>
      </c>
      <c r="Z319" s="13">
        <v>0.5</v>
      </c>
      <c r="AA319" s="13" t="s">
        <v>110</v>
      </c>
      <c r="AB319" s="58">
        <v>43983</v>
      </c>
      <c r="AC319" s="58">
        <v>43978</v>
      </c>
      <c r="AD319" s="58">
        <v>43984</v>
      </c>
      <c r="AE319" s="58">
        <v>43978</v>
      </c>
      <c r="AF319" s="58">
        <v>43978</v>
      </c>
      <c r="AG319" s="58" t="s">
        <v>75</v>
      </c>
      <c r="AH319" s="59">
        <v>1</v>
      </c>
      <c r="AI319" s="59">
        <v>1</v>
      </c>
      <c r="AJ319" s="59">
        <v>1</v>
      </c>
      <c r="AK319" s="58" t="s">
        <v>8</v>
      </c>
      <c r="AL319" s="14" t="s">
        <v>72</v>
      </c>
      <c r="AM319" s="14" t="s">
        <v>72</v>
      </c>
      <c r="AN319" s="181" t="s">
        <v>72</v>
      </c>
    </row>
    <row r="320" spans="2:40" ht="15">
      <c r="B320" s="199">
        <v>201</v>
      </c>
      <c r="C320" s="13">
        <v>20200526</v>
      </c>
      <c r="D320" s="13" t="s">
        <v>24</v>
      </c>
      <c r="E320" s="13" t="s">
        <v>1842</v>
      </c>
      <c r="F320" s="39" t="s">
        <v>1977</v>
      </c>
      <c r="G320" s="14">
        <v>1484917</v>
      </c>
      <c r="H320" s="164"/>
      <c r="I320" s="13" t="s">
        <v>1978</v>
      </c>
      <c r="J320" s="164"/>
      <c r="K320" s="13" t="s">
        <v>73</v>
      </c>
      <c r="L320" s="13" t="s">
        <v>8</v>
      </c>
      <c r="M320" s="13" t="s">
        <v>1033</v>
      </c>
      <c r="N320" s="13" t="s">
        <v>1845</v>
      </c>
      <c r="O320" s="14" t="s">
        <v>72</v>
      </c>
      <c r="P320" s="14" t="s">
        <v>1278</v>
      </c>
      <c r="Q320" s="165"/>
      <c r="R320" s="164" t="s">
        <v>72</v>
      </c>
      <c r="S320" s="13" t="s">
        <v>77</v>
      </c>
      <c r="T320" s="13"/>
      <c r="U320" s="13"/>
      <c r="V320" s="13">
        <v>101</v>
      </c>
      <c r="W320" s="13">
        <v>101</v>
      </c>
      <c r="X320" s="13">
        <v>101</v>
      </c>
      <c r="Y320" s="13">
        <v>1.79</v>
      </c>
      <c r="Z320" s="13">
        <v>0.5</v>
      </c>
      <c r="AA320" s="13" t="s">
        <v>110</v>
      </c>
      <c r="AB320" s="58">
        <v>43983</v>
      </c>
      <c r="AC320" s="58">
        <v>43978</v>
      </c>
      <c r="AD320" s="58">
        <v>43984</v>
      </c>
      <c r="AE320" s="58">
        <v>43978</v>
      </c>
      <c r="AF320" s="58">
        <v>43978</v>
      </c>
      <c r="AG320" s="58" t="s">
        <v>75</v>
      </c>
      <c r="AH320" s="59">
        <v>1</v>
      </c>
      <c r="AI320" s="59">
        <v>1</v>
      </c>
      <c r="AJ320" s="59">
        <v>1</v>
      </c>
      <c r="AK320" s="58" t="s">
        <v>8</v>
      </c>
      <c r="AL320" s="14" t="s">
        <v>72</v>
      </c>
      <c r="AM320" s="14" t="s">
        <v>72</v>
      </c>
      <c r="AN320" s="181" t="s">
        <v>72</v>
      </c>
    </row>
    <row r="321" spans="2:40" ht="15">
      <c r="B321" s="199">
        <v>202</v>
      </c>
      <c r="C321" s="13">
        <v>20200526</v>
      </c>
      <c r="D321" s="13" t="s">
        <v>24</v>
      </c>
      <c r="E321" s="13" t="s">
        <v>1842</v>
      </c>
      <c r="F321" s="39" t="s">
        <v>1979</v>
      </c>
      <c r="G321" s="14">
        <v>1484917</v>
      </c>
      <c r="H321" s="164"/>
      <c r="I321" s="13" t="s">
        <v>1980</v>
      </c>
      <c r="J321" s="164"/>
      <c r="K321" s="13" t="s">
        <v>73</v>
      </c>
      <c r="L321" s="13" t="s">
        <v>8</v>
      </c>
      <c r="M321" s="13" t="s">
        <v>1033</v>
      </c>
      <c r="N321" s="13" t="s">
        <v>1845</v>
      </c>
      <c r="O321" s="14" t="s">
        <v>72</v>
      </c>
      <c r="P321" s="14" t="s">
        <v>1278</v>
      </c>
      <c r="Q321" s="165"/>
      <c r="R321" s="164" t="s">
        <v>72</v>
      </c>
      <c r="S321" s="13" t="s">
        <v>77</v>
      </c>
      <c r="T321" s="13"/>
      <c r="U321" s="13"/>
      <c r="V321" s="13">
        <v>4</v>
      </c>
      <c r="W321" s="13">
        <v>4</v>
      </c>
      <c r="X321" s="13">
        <v>4</v>
      </c>
      <c r="Y321" s="13">
        <v>7.0000000000000007E-2</v>
      </c>
      <c r="Z321" s="13">
        <v>0.01</v>
      </c>
      <c r="AA321" s="13" t="s">
        <v>110</v>
      </c>
      <c r="AB321" s="58">
        <v>43983</v>
      </c>
      <c r="AC321" s="58">
        <v>43978</v>
      </c>
      <c r="AD321" s="58">
        <v>43984</v>
      </c>
      <c r="AE321" s="58">
        <v>43978</v>
      </c>
      <c r="AF321" s="58">
        <v>43978</v>
      </c>
      <c r="AG321" s="58" t="s">
        <v>75</v>
      </c>
      <c r="AH321" s="171" t="s">
        <v>72</v>
      </c>
      <c r="AI321" s="171" t="s">
        <v>72</v>
      </c>
      <c r="AJ321" s="171" t="s">
        <v>72</v>
      </c>
      <c r="AK321" s="58" t="s">
        <v>8</v>
      </c>
      <c r="AL321" s="14" t="s">
        <v>72</v>
      </c>
      <c r="AM321" s="14" t="s">
        <v>72</v>
      </c>
      <c r="AN321" s="191" t="s">
        <v>574</v>
      </c>
    </row>
    <row r="322" spans="2:40" ht="15">
      <c r="B322" s="199">
        <v>203</v>
      </c>
      <c r="C322" s="13">
        <v>20200526</v>
      </c>
      <c r="D322" s="13" t="s">
        <v>24</v>
      </c>
      <c r="E322" s="13" t="s">
        <v>1842</v>
      </c>
      <c r="F322" s="39" t="s">
        <v>1981</v>
      </c>
      <c r="G322" s="14">
        <v>1484917</v>
      </c>
      <c r="H322" s="164"/>
      <c r="I322" s="13" t="s">
        <v>1982</v>
      </c>
      <c r="J322" s="164"/>
      <c r="K322" s="13" t="s">
        <v>73</v>
      </c>
      <c r="L322" s="13" t="s">
        <v>8</v>
      </c>
      <c r="M322" s="13" t="s">
        <v>1033</v>
      </c>
      <c r="N322" s="13" t="s">
        <v>1845</v>
      </c>
      <c r="O322" s="14" t="s">
        <v>72</v>
      </c>
      <c r="P322" s="14" t="s">
        <v>1278</v>
      </c>
      <c r="Q322" s="165"/>
      <c r="R322" s="164" t="s">
        <v>72</v>
      </c>
      <c r="S322" s="13" t="s">
        <v>77</v>
      </c>
      <c r="T322" s="13"/>
      <c r="U322" s="13"/>
      <c r="V322" s="13">
        <v>131</v>
      </c>
      <c r="W322" s="13">
        <v>131</v>
      </c>
      <c r="X322" s="13">
        <v>131</v>
      </c>
      <c r="Y322" s="13">
        <v>2.3199999999999998</v>
      </c>
      <c r="Z322" s="13">
        <v>0.5</v>
      </c>
      <c r="AA322" s="13" t="s">
        <v>110</v>
      </c>
      <c r="AB322" s="58">
        <v>43983</v>
      </c>
      <c r="AC322" s="58">
        <v>43978</v>
      </c>
      <c r="AD322" s="58">
        <v>43984</v>
      </c>
      <c r="AE322" s="58">
        <v>43978</v>
      </c>
      <c r="AF322" s="58">
        <v>43978</v>
      </c>
      <c r="AG322" s="58" t="s">
        <v>75</v>
      </c>
      <c r="AH322" s="59">
        <v>1</v>
      </c>
      <c r="AI322" s="59">
        <v>1</v>
      </c>
      <c r="AJ322" s="59">
        <v>1</v>
      </c>
      <c r="AK322" s="58" t="s">
        <v>8</v>
      </c>
      <c r="AL322" s="14" t="s">
        <v>72</v>
      </c>
      <c r="AM322" s="14" t="s">
        <v>72</v>
      </c>
      <c r="AN322" s="181" t="s">
        <v>72</v>
      </c>
    </row>
    <row r="323" spans="2:40" ht="15">
      <c r="B323" s="199">
        <v>204</v>
      </c>
      <c r="C323" s="13">
        <v>20200526</v>
      </c>
      <c r="D323" s="13" t="s">
        <v>24</v>
      </c>
      <c r="E323" s="13" t="s">
        <v>1842</v>
      </c>
      <c r="F323" s="39" t="s">
        <v>1983</v>
      </c>
      <c r="G323" s="14">
        <v>1484917</v>
      </c>
      <c r="H323" s="164"/>
      <c r="I323" s="13" t="s">
        <v>1984</v>
      </c>
      <c r="J323" s="164"/>
      <c r="K323" s="13" t="s">
        <v>73</v>
      </c>
      <c r="L323" s="13" t="s">
        <v>8</v>
      </c>
      <c r="M323" s="13" t="s">
        <v>1033</v>
      </c>
      <c r="N323" s="13" t="s">
        <v>1845</v>
      </c>
      <c r="O323" s="14" t="s">
        <v>72</v>
      </c>
      <c r="P323" s="14" t="s">
        <v>1278</v>
      </c>
      <c r="Q323" s="165"/>
      <c r="R323" s="164" t="s">
        <v>72</v>
      </c>
      <c r="S323" s="13" t="s">
        <v>77</v>
      </c>
      <c r="T323" s="13"/>
      <c r="U323" s="13"/>
      <c r="V323" s="13">
        <v>178</v>
      </c>
      <c r="W323" s="13">
        <v>178</v>
      </c>
      <c r="X323" s="13">
        <v>178</v>
      </c>
      <c r="Y323" s="13">
        <v>3.16</v>
      </c>
      <c r="Z323" s="13">
        <v>0.5</v>
      </c>
      <c r="AA323" s="13" t="s">
        <v>110</v>
      </c>
      <c r="AB323" s="58">
        <v>43983</v>
      </c>
      <c r="AC323" s="58">
        <v>43978</v>
      </c>
      <c r="AD323" s="58">
        <v>43984</v>
      </c>
      <c r="AE323" s="58">
        <v>43978</v>
      </c>
      <c r="AF323" s="58">
        <v>43978</v>
      </c>
      <c r="AG323" s="58" t="s">
        <v>75</v>
      </c>
      <c r="AH323" s="59">
        <v>1</v>
      </c>
      <c r="AI323" s="59">
        <v>1</v>
      </c>
      <c r="AJ323" s="59">
        <v>1</v>
      </c>
      <c r="AK323" s="58" t="s">
        <v>8</v>
      </c>
      <c r="AL323" s="14" t="s">
        <v>72</v>
      </c>
      <c r="AM323" s="14" t="s">
        <v>72</v>
      </c>
      <c r="AN323" s="181" t="s">
        <v>72</v>
      </c>
    </row>
    <row r="324" spans="2:40" ht="15">
      <c r="B324" s="199">
        <v>205</v>
      </c>
      <c r="C324" s="13">
        <v>20200526</v>
      </c>
      <c r="D324" s="13" t="s">
        <v>24</v>
      </c>
      <c r="E324" s="13" t="s">
        <v>1842</v>
      </c>
      <c r="F324" s="39" t="s">
        <v>1985</v>
      </c>
      <c r="G324" s="14">
        <v>1484917</v>
      </c>
      <c r="H324" s="164"/>
      <c r="I324" s="13" t="s">
        <v>1986</v>
      </c>
      <c r="J324" s="164"/>
      <c r="K324" s="13" t="s">
        <v>73</v>
      </c>
      <c r="L324" s="13" t="s">
        <v>8</v>
      </c>
      <c r="M324" s="13" t="s">
        <v>1033</v>
      </c>
      <c r="N324" s="13" t="s">
        <v>1845</v>
      </c>
      <c r="O324" s="14" t="s">
        <v>72</v>
      </c>
      <c r="P324" s="14" t="s">
        <v>1278</v>
      </c>
      <c r="Q324" s="165"/>
      <c r="R324" s="164" t="s">
        <v>72</v>
      </c>
      <c r="S324" s="13" t="s">
        <v>77</v>
      </c>
      <c r="T324" s="13"/>
      <c r="U324" s="13"/>
      <c r="V324" s="13">
        <v>393</v>
      </c>
      <c r="W324" s="13">
        <v>393</v>
      </c>
      <c r="X324" s="13">
        <v>393</v>
      </c>
      <c r="Y324" s="13">
        <v>6.98</v>
      </c>
      <c r="Z324" s="13">
        <v>0.2</v>
      </c>
      <c r="AA324" s="13" t="s">
        <v>110</v>
      </c>
      <c r="AB324" s="58">
        <v>43983</v>
      </c>
      <c r="AC324" s="58">
        <v>43978</v>
      </c>
      <c r="AD324" s="58">
        <v>43984</v>
      </c>
      <c r="AE324" s="58">
        <v>43978</v>
      </c>
      <c r="AF324" s="58">
        <v>43978</v>
      </c>
      <c r="AG324" s="58" t="s">
        <v>75</v>
      </c>
      <c r="AH324" s="171" t="s">
        <v>72</v>
      </c>
      <c r="AI324" s="171" t="s">
        <v>72</v>
      </c>
      <c r="AJ324" s="171" t="s">
        <v>72</v>
      </c>
      <c r="AK324" s="58" t="s">
        <v>8</v>
      </c>
      <c r="AL324" s="14" t="s">
        <v>72</v>
      </c>
      <c r="AM324" s="14" t="s">
        <v>72</v>
      </c>
      <c r="AN324" s="191" t="s">
        <v>574</v>
      </c>
    </row>
    <row r="325" spans="2:40" ht="15">
      <c r="B325" s="199">
        <v>206</v>
      </c>
      <c r="C325" s="13">
        <v>20200526</v>
      </c>
      <c r="D325" s="13" t="s">
        <v>24</v>
      </c>
      <c r="E325" s="13" t="s">
        <v>1842</v>
      </c>
      <c r="F325" s="39" t="s">
        <v>1987</v>
      </c>
      <c r="G325" s="14">
        <v>1484917</v>
      </c>
      <c r="H325" s="164"/>
      <c r="I325" s="13" t="s">
        <v>1988</v>
      </c>
      <c r="J325" s="164"/>
      <c r="K325" s="13" t="s">
        <v>73</v>
      </c>
      <c r="L325" s="13" t="s">
        <v>8</v>
      </c>
      <c r="M325" s="13" t="s">
        <v>1033</v>
      </c>
      <c r="N325" s="13" t="s">
        <v>1845</v>
      </c>
      <c r="O325" s="14" t="s">
        <v>72</v>
      </c>
      <c r="P325" s="14" t="s">
        <v>1278</v>
      </c>
      <c r="Q325" s="165"/>
      <c r="R325" s="164" t="s">
        <v>72</v>
      </c>
      <c r="S325" s="13" t="s">
        <v>77</v>
      </c>
      <c r="T325" s="13"/>
      <c r="U325" s="13"/>
      <c r="V325" s="13">
        <v>52</v>
      </c>
      <c r="W325" s="13">
        <v>52</v>
      </c>
      <c r="X325" s="13">
        <v>52</v>
      </c>
      <c r="Y325" s="13">
        <v>0.92</v>
      </c>
      <c r="Z325" s="13">
        <v>0.2</v>
      </c>
      <c r="AA325" s="13" t="s">
        <v>110</v>
      </c>
      <c r="AB325" s="58">
        <v>43983</v>
      </c>
      <c r="AC325" s="58">
        <v>43978</v>
      </c>
      <c r="AD325" s="58">
        <v>43984</v>
      </c>
      <c r="AE325" s="58">
        <v>43978</v>
      </c>
      <c r="AF325" s="58">
        <v>43978</v>
      </c>
      <c r="AG325" s="58" t="s">
        <v>75</v>
      </c>
      <c r="AH325" s="59">
        <v>1</v>
      </c>
      <c r="AI325" s="59">
        <v>1</v>
      </c>
      <c r="AJ325" s="59">
        <v>1</v>
      </c>
      <c r="AK325" s="58" t="s">
        <v>8</v>
      </c>
      <c r="AL325" s="14" t="s">
        <v>72</v>
      </c>
      <c r="AM325" s="14" t="s">
        <v>72</v>
      </c>
      <c r="AN325" s="181" t="s">
        <v>72</v>
      </c>
    </row>
    <row r="326" spans="2:40" ht="15">
      <c r="B326" s="199">
        <v>207</v>
      </c>
      <c r="C326" s="13">
        <v>20200526</v>
      </c>
      <c r="D326" s="13" t="s">
        <v>24</v>
      </c>
      <c r="E326" s="13" t="s">
        <v>1842</v>
      </c>
      <c r="F326" s="39" t="s">
        <v>1989</v>
      </c>
      <c r="G326" s="14">
        <v>1484917</v>
      </c>
      <c r="H326" s="164"/>
      <c r="I326" s="13" t="s">
        <v>1990</v>
      </c>
      <c r="J326" s="164"/>
      <c r="K326" s="13" t="s">
        <v>73</v>
      </c>
      <c r="L326" s="13" t="s">
        <v>8</v>
      </c>
      <c r="M326" s="13" t="s">
        <v>1033</v>
      </c>
      <c r="N326" s="13" t="s">
        <v>1845</v>
      </c>
      <c r="O326" s="14" t="s">
        <v>72</v>
      </c>
      <c r="P326" s="14" t="s">
        <v>1278</v>
      </c>
      <c r="Q326" s="165"/>
      <c r="R326" s="164" t="s">
        <v>72</v>
      </c>
      <c r="S326" s="13" t="s">
        <v>77</v>
      </c>
      <c r="T326" s="13"/>
      <c r="U326" s="13"/>
      <c r="V326" s="13">
        <v>975</v>
      </c>
      <c r="W326" s="13">
        <v>975</v>
      </c>
      <c r="X326" s="13">
        <v>975</v>
      </c>
      <c r="Y326" s="13">
        <v>17.329999999999998</v>
      </c>
      <c r="Z326" s="13">
        <v>0.1</v>
      </c>
      <c r="AA326" s="13" t="s">
        <v>110</v>
      </c>
      <c r="AB326" s="58">
        <v>43983</v>
      </c>
      <c r="AC326" s="58">
        <v>43978</v>
      </c>
      <c r="AD326" s="58">
        <v>43984</v>
      </c>
      <c r="AE326" s="58">
        <v>43978</v>
      </c>
      <c r="AF326" s="58">
        <v>43978</v>
      </c>
      <c r="AG326" s="200" t="s">
        <v>75</v>
      </c>
      <c r="AH326" s="171" t="s">
        <v>72</v>
      </c>
      <c r="AI326" s="171" t="s">
        <v>72</v>
      </c>
      <c r="AJ326" s="171" t="s">
        <v>72</v>
      </c>
      <c r="AK326" s="58" t="s">
        <v>8</v>
      </c>
      <c r="AL326" s="14" t="s">
        <v>72</v>
      </c>
      <c r="AM326" s="14" t="s">
        <v>72</v>
      </c>
      <c r="AN326" s="191" t="s">
        <v>574</v>
      </c>
    </row>
    <row r="327" spans="2:40" ht="15">
      <c r="B327" s="199">
        <v>208</v>
      </c>
      <c r="C327" s="13">
        <v>20200526</v>
      </c>
      <c r="D327" s="13" t="s">
        <v>24</v>
      </c>
      <c r="E327" s="13" t="s">
        <v>1842</v>
      </c>
      <c r="F327" s="39" t="s">
        <v>1991</v>
      </c>
      <c r="G327" s="14">
        <v>1484917</v>
      </c>
      <c r="H327" s="164"/>
      <c r="I327" s="13" t="s">
        <v>307</v>
      </c>
      <c r="J327" s="164"/>
      <c r="K327" s="13" t="s">
        <v>73</v>
      </c>
      <c r="L327" s="13" t="s">
        <v>8</v>
      </c>
      <c r="M327" s="13" t="s">
        <v>1033</v>
      </c>
      <c r="N327" s="13" t="s">
        <v>1845</v>
      </c>
      <c r="O327" s="14" t="s">
        <v>72</v>
      </c>
      <c r="P327" s="14" t="s">
        <v>1278</v>
      </c>
      <c r="Q327" s="165"/>
      <c r="R327" s="164" t="s">
        <v>72</v>
      </c>
      <c r="S327" s="13" t="s">
        <v>78</v>
      </c>
      <c r="T327" s="13"/>
      <c r="U327" s="13"/>
      <c r="V327" s="13">
        <v>165</v>
      </c>
      <c r="W327" s="13">
        <v>165</v>
      </c>
      <c r="X327" s="13">
        <v>165</v>
      </c>
      <c r="Y327" s="13">
        <v>2.93</v>
      </c>
      <c r="Z327" s="13">
        <v>1</v>
      </c>
      <c r="AA327" s="13" t="s">
        <v>110</v>
      </c>
      <c r="AB327" s="58">
        <v>43983</v>
      </c>
      <c r="AC327" s="58">
        <v>43978</v>
      </c>
      <c r="AD327" s="58">
        <v>43984</v>
      </c>
      <c r="AE327" s="58">
        <v>43978</v>
      </c>
      <c r="AF327" s="58">
        <v>43978</v>
      </c>
      <c r="AG327" s="58" t="s">
        <v>75</v>
      </c>
      <c r="AH327" s="59">
        <v>1</v>
      </c>
      <c r="AI327" s="59">
        <v>1</v>
      </c>
      <c r="AJ327" s="59">
        <v>1</v>
      </c>
      <c r="AK327" s="58" t="s">
        <v>8</v>
      </c>
      <c r="AL327" s="13"/>
      <c r="AM327" s="13"/>
      <c r="AN327" s="13"/>
    </row>
    <row r="328" spans="2:40" ht="15">
      <c r="B328" s="199">
        <v>209</v>
      </c>
      <c r="C328" s="13">
        <v>20200526</v>
      </c>
      <c r="D328" s="13" t="s">
        <v>24</v>
      </c>
      <c r="E328" s="13" t="s">
        <v>1842</v>
      </c>
      <c r="F328" s="39" t="s">
        <v>1992</v>
      </c>
      <c r="G328" s="14">
        <v>1484917</v>
      </c>
      <c r="H328" s="164"/>
      <c r="I328" s="13" t="s">
        <v>1993</v>
      </c>
      <c r="J328" s="164"/>
      <c r="K328" s="13" t="s">
        <v>73</v>
      </c>
      <c r="L328" s="13" t="s">
        <v>8</v>
      </c>
      <c r="M328" s="13" t="s">
        <v>1033</v>
      </c>
      <c r="N328" s="13" t="s">
        <v>1845</v>
      </c>
      <c r="O328" s="14" t="s">
        <v>72</v>
      </c>
      <c r="P328" s="14" t="s">
        <v>1278</v>
      </c>
      <c r="Q328" s="165"/>
      <c r="R328" s="164" t="s">
        <v>72</v>
      </c>
      <c r="S328" s="13" t="s">
        <v>78</v>
      </c>
      <c r="T328" s="13"/>
      <c r="U328" s="13"/>
      <c r="V328" s="13">
        <v>12</v>
      </c>
      <c r="W328" s="13">
        <v>12</v>
      </c>
      <c r="X328" s="13">
        <v>12</v>
      </c>
      <c r="Y328" s="13">
        <v>0.21</v>
      </c>
      <c r="Z328" s="13">
        <v>0</v>
      </c>
      <c r="AA328" s="13" t="s">
        <v>110</v>
      </c>
      <c r="AB328" s="58">
        <v>43983</v>
      </c>
      <c r="AC328" s="58">
        <v>43978</v>
      </c>
      <c r="AD328" s="58">
        <v>43984</v>
      </c>
      <c r="AE328" s="58">
        <v>43978</v>
      </c>
      <c r="AF328" s="58">
        <v>43978</v>
      </c>
      <c r="AG328" s="58" t="s">
        <v>75</v>
      </c>
      <c r="AH328" s="59">
        <v>1</v>
      </c>
      <c r="AI328" s="59">
        <v>1</v>
      </c>
      <c r="AJ328" s="59">
        <v>1</v>
      </c>
      <c r="AK328" s="58" t="s">
        <v>8</v>
      </c>
      <c r="AL328" s="13"/>
      <c r="AM328" s="13"/>
      <c r="AN328" s="13"/>
    </row>
    <row r="329" spans="2:40" ht="15">
      <c r="B329" s="199">
        <v>210</v>
      </c>
      <c r="C329" s="13">
        <v>20200526</v>
      </c>
      <c r="D329" s="13" t="s">
        <v>24</v>
      </c>
      <c r="E329" s="13" t="s">
        <v>1842</v>
      </c>
      <c r="F329" s="39" t="s">
        <v>1994</v>
      </c>
      <c r="G329" s="14">
        <v>1484917</v>
      </c>
      <c r="H329" s="164"/>
      <c r="I329" s="13" t="s">
        <v>1995</v>
      </c>
      <c r="J329" s="164"/>
      <c r="K329" s="13" t="s">
        <v>73</v>
      </c>
      <c r="L329" s="13" t="s">
        <v>8</v>
      </c>
      <c r="M329" s="13" t="s">
        <v>1033</v>
      </c>
      <c r="N329" s="13" t="s">
        <v>1845</v>
      </c>
      <c r="O329" s="14" t="s">
        <v>72</v>
      </c>
      <c r="P329" s="14" t="s">
        <v>1278</v>
      </c>
      <c r="Q329" s="165"/>
      <c r="R329" s="164" t="s">
        <v>72</v>
      </c>
      <c r="S329" s="13" t="s">
        <v>78</v>
      </c>
      <c r="T329" s="13"/>
      <c r="U329" s="13"/>
      <c r="V329" s="13">
        <v>144</v>
      </c>
      <c r="W329" s="13">
        <v>144</v>
      </c>
      <c r="X329" s="13">
        <v>144</v>
      </c>
      <c r="Y329" s="13">
        <v>2.56</v>
      </c>
      <c r="Z329" s="13">
        <v>1</v>
      </c>
      <c r="AA329" s="13" t="s">
        <v>110</v>
      </c>
      <c r="AB329" s="58">
        <v>43983</v>
      </c>
      <c r="AC329" s="58">
        <v>43978</v>
      </c>
      <c r="AD329" s="58">
        <v>43984</v>
      </c>
      <c r="AE329" s="58">
        <v>43978</v>
      </c>
      <c r="AF329" s="58">
        <v>43978</v>
      </c>
      <c r="AG329" s="58" t="s">
        <v>75</v>
      </c>
      <c r="AH329" s="59">
        <v>1</v>
      </c>
      <c r="AI329" s="59">
        <v>1</v>
      </c>
      <c r="AJ329" s="59">
        <v>1</v>
      </c>
      <c r="AK329" s="58" t="s">
        <v>8</v>
      </c>
      <c r="AL329" s="13"/>
      <c r="AM329" s="13"/>
      <c r="AN329" s="13"/>
    </row>
    <row r="330" spans="2:40" ht="15">
      <c r="B330" s="199">
        <v>211</v>
      </c>
      <c r="C330" s="13">
        <v>20200526</v>
      </c>
      <c r="D330" s="13" t="s">
        <v>24</v>
      </c>
      <c r="E330" s="13" t="s">
        <v>1842</v>
      </c>
      <c r="F330" s="39" t="s">
        <v>1996</v>
      </c>
      <c r="G330" s="14">
        <v>1484917</v>
      </c>
      <c r="H330" s="164"/>
      <c r="I330" s="13" t="s">
        <v>123</v>
      </c>
      <c r="J330" s="164"/>
      <c r="K330" s="13" t="s">
        <v>73</v>
      </c>
      <c r="L330" s="13" t="s">
        <v>8</v>
      </c>
      <c r="M330" s="13" t="s">
        <v>1033</v>
      </c>
      <c r="N330" s="13" t="s">
        <v>1845</v>
      </c>
      <c r="O330" s="14" t="s">
        <v>72</v>
      </c>
      <c r="P330" s="14" t="s">
        <v>1278</v>
      </c>
      <c r="Q330" s="165"/>
      <c r="R330" s="164" t="s">
        <v>72</v>
      </c>
      <c r="S330" s="13" t="s">
        <v>78</v>
      </c>
      <c r="T330" s="13"/>
      <c r="U330" s="13"/>
      <c r="V330" s="13">
        <v>65</v>
      </c>
      <c r="W330" s="13">
        <v>65</v>
      </c>
      <c r="X330" s="13">
        <v>65</v>
      </c>
      <c r="Y330" s="13">
        <v>1.1499999999999999</v>
      </c>
      <c r="Z330" s="13">
        <v>1</v>
      </c>
      <c r="AA330" s="13" t="s">
        <v>110</v>
      </c>
      <c r="AB330" s="58">
        <v>43983</v>
      </c>
      <c r="AC330" s="58">
        <v>43978</v>
      </c>
      <c r="AD330" s="58">
        <v>43984</v>
      </c>
      <c r="AE330" s="58">
        <v>43978</v>
      </c>
      <c r="AF330" s="58">
        <v>43978</v>
      </c>
      <c r="AG330" s="58" t="s">
        <v>75</v>
      </c>
      <c r="AH330" s="59">
        <v>1</v>
      </c>
      <c r="AI330" s="59">
        <v>1</v>
      </c>
      <c r="AJ330" s="59">
        <v>1</v>
      </c>
      <c r="AK330" s="58" t="s">
        <v>8</v>
      </c>
      <c r="AL330" s="13"/>
      <c r="AM330" s="13"/>
      <c r="AN330" s="13"/>
    </row>
    <row r="331" spans="2:40" ht="15">
      <c r="B331" s="199">
        <v>212</v>
      </c>
      <c r="C331" s="13">
        <v>20200526</v>
      </c>
      <c r="D331" s="13" t="s">
        <v>24</v>
      </c>
      <c r="E331" s="13" t="s">
        <v>1842</v>
      </c>
      <c r="F331" s="39" t="s">
        <v>1997</v>
      </c>
      <c r="G331" s="14">
        <v>1484917</v>
      </c>
      <c r="H331" s="164"/>
      <c r="I331" s="13" t="s">
        <v>120</v>
      </c>
      <c r="J331" s="164"/>
      <c r="K331" s="13" t="s">
        <v>73</v>
      </c>
      <c r="L331" s="13" t="s">
        <v>8</v>
      </c>
      <c r="M331" s="13" t="s">
        <v>1033</v>
      </c>
      <c r="N331" s="13" t="s">
        <v>1845</v>
      </c>
      <c r="O331" s="14" t="s">
        <v>72</v>
      </c>
      <c r="P331" s="14" t="s">
        <v>1278</v>
      </c>
      <c r="Q331" s="165"/>
      <c r="R331" s="164" t="s">
        <v>72</v>
      </c>
      <c r="S331" s="13" t="s">
        <v>78</v>
      </c>
      <c r="T331" s="13"/>
      <c r="U331" s="13"/>
      <c r="V331" s="13">
        <v>175</v>
      </c>
      <c r="W331" s="13">
        <v>175</v>
      </c>
      <c r="X331" s="13">
        <v>175</v>
      </c>
      <c r="Y331" s="13">
        <v>3.11</v>
      </c>
      <c r="Z331" s="13">
        <v>1</v>
      </c>
      <c r="AA331" s="13" t="s">
        <v>110</v>
      </c>
      <c r="AB331" s="58">
        <v>43983</v>
      </c>
      <c r="AC331" s="58">
        <v>43978</v>
      </c>
      <c r="AD331" s="58">
        <v>43984</v>
      </c>
      <c r="AE331" s="58">
        <v>43978</v>
      </c>
      <c r="AF331" s="58">
        <v>43978</v>
      </c>
      <c r="AG331" s="58" t="s">
        <v>75</v>
      </c>
      <c r="AH331" s="59">
        <v>1</v>
      </c>
      <c r="AI331" s="59">
        <v>1</v>
      </c>
      <c r="AJ331" s="59">
        <v>1</v>
      </c>
      <c r="AK331" s="58" t="s">
        <v>8</v>
      </c>
      <c r="AL331" s="13"/>
      <c r="AM331" s="13"/>
      <c r="AN331" s="13"/>
    </row>
    <row r="332" spans="2:40" ht="15">
      <c r="B332" s="199">
        <v>213</v>
      </c>
      <c r="C332" s="13">
        <v>20200526</v>
      </c>
      <c r="D332" s="13" t="s">
        <v>24</v>
      </c>
      <c r="E332" s="13" t="s">
        <v>1842</v>
      </c>
      <c r="F332" s="39" t="s">
        <v>1998</v>
      </c>
      <c r="G332" s="14">
        <v>1484917</v>
      </c>
      <c r="H332" s="164"/>
      <c r="I332" s="13" t="s">
        <v>1525</v>
      </c>
      <c r="J332" s="164"/>
      <c r="K332" s="13" t="s">
        <v>73</v>
      </c>
      <c r="L332" s="13" t="s">
        <v>8</v>
      </c>
      <c r="M332" s="13" t="s">
        <v>1033</v>
      </c>
      <c r="N332" s="13" t="s">
        <v>1845</v>
      </c>
      <c r="O332" s="14" t="s">
        <v>72</v>
      </c>
      <c r="P332" s="14" t="s">
        <v>1278</v>
      </c>
      <c r="Q332" s="165"/>
      <c r="R332" s="164" t="s">
        <v>72</v>
      </c>
      <c r="S332" s="13" t="s">
        <v>78</v>
      </c>
      <c r="T332" s="13"/>
      <c r="U332" s="13"/>
      <c r="V332" s="13">
        <v>6</v>
      </c>
      <c r="W332" s="13">
        <v>6</v>
      </c>
      <c r="X332" s="13">
        <v>6</v>
      </c>
      <c r="Y332" s="13">
        <v>0.1</v>
      </c>
      <c r="Z332" s="13">
        <v>0</v>
      </c>
      <c r="AA332" s="13" t="s">
        <v>110</v>
      </c>
      <c r="AB332" s="58">
        <v>43983</v>
      </c>
      <c r="AC332" s="58">
        <v>43978</v>
      </c>
      <c r="AD332" s="58">
        <v>43984</v>
      </c>
      <c r="AE332" s="58">
        <v>43978</v>
      </c>
      <c r="AF332" s="58">
        <v>43978</v>
      </c>
      <c r="AG332" s="58" t="s">
        <v>75</v>
      </c>
      <c r="AH332" s="59" t="s">
        <v>72</v>
      </c>
      <c r="AI332" s="59" t="s">
        <v>72</v>
      </c>
      <c r="AJ332" s="59" t="s">
        <v>72</v>
      </c>
      <c r="AK332" s="59" t="s">
        <v>72</v>
      </c>
      <c r="AL332" s="13"/>
      <c r="AM332" s="13"/>
      <c r="AN332" s="88" t="s">
        <v>574</v>
      </c>
    </row>
    <row r="333" spans="2:40" ht="15">
      <c r="B333" s="199">
        <v>214</v>
      </c>
      <c r="C333" s="13">
        <v>20200526</v>
      </c>
      <c r="D333" s="13" t="s">
        <v>24</v>
      </c>
      <c r="E333" s="13" t="s">
        <v>1842</v>
      </c>
      <c r="F333" s="39" t="s">
        <v>1999</v>
      </c>
      <c r="G333" s="14">
        <v>1484917</v>
      </c>
      <c r="H333" s="164"/>
      <c r="I333" s="13" t="s">
        <v>1967</v>
      </c>
      <c r="J333" s="164"/>
      <c r="K333" s="13" t="s">
        <v>73</v>
      </c>
      <c r="L333" s="13" t="s">
        <v>8</v>
      </c>
      <c r="M333" s="13" t="s">
        <v>1033</v>
      </c>
      <c r="N333" s="13" t="s">
        <v>1845</v>
      </c>
      <c r="O333" s="14" t="s">
        <v>72</v>
      </c>
      <c r="P333" s="14" t="s">
        <v>1278</v>
      </c>
      <c r="Q333" s="165"/>
      <c r="R333" s="164" t="s">
        <v>72</v>
      </c>
      <c r="S333" s="13" t="s">
        <v>78</v>
      </c>
      <c r="T333" s="13"/>
      <c r="U333" s="13"/>
      <c r="V333" s="13">
        <v>37</v>
      </c>
      <c r="W333" s="13">
        <v>37</v>
      </c>
      <c r="X333" s="13">
        <v>37</v>
      </c>
      <c r="Y333" s="13">
        <v>0.65</v>
      </c>
      <c r="Z333" s="13">
        <v>0.2</v>
      </c>
      <c r="AA333" s="13" t="s">
        <v>110</v>
      </c>
      <c r="AB333" s="58">
        <v>43983</v>
      </c>
      <c r="AC333" s="58">
        <v>43978</v>
      </c>
      <c r="AD333" s="58">
        <v>43984</v>
      </c>
      <c r="AE333" s="58">
        <v>43978</v>
      </c>
      <c r="AF333" s="58">
        <v>43978</v>
      </c>
      <c r="AG333" s="58" t="s">
        <v>75</v>
      </c>
      <c r="AH333" s="59">
        <v>1</v>
      </c>
      <c r="AI333" s="59">
        <v>1</v>
      </c>
      <c r="AJ333" s="59">
        <v>1</v>
      </c>
      <c r="AK333" s="58" t="s">
        <v>8</v>
      </c>
      <c r="AL333" s="13"/>
      <c r="AM333" s="13"/>
      <c r="AN333" s="13"/>
    </row>
    <row r="334" spans="2:40" ht="15">
      <c r="B334" s="199">
        <v>215</v>
      </c>
      <c r="C334" s="13">
        <v>20200526</v>
      </c>
      <c r="D334" s="13" t="s">
        <v>24</v>
      </c>
      <c r="E334" s="13" t="s">
        <v>1842</v>
      </c>
      <c r="F334" s="39" t="s">
        <v>2000</v>
      </c>
      <c r="G334" s="14">
        <v>1484917</v>
      </c>
      <c r="H334" s="164"/>
      <c r="I334" s="13" t="s">
        <v>2001</v>
      </c>
      <c r="J334" s="164"/>
      <c r="K334" s="13" t="s">
        <v>73</v>
      </c>
      <c r="L334" s="13" t="s">
        <v>8</v>
      </c>
      <c r="M334" s="13" t="s">
        <v>1033</v>
      </c>
      <c r="N334" s="13" t="s">
        <v>1845</v>
      </c>
      <c r="O334" s="14" t="s">
        <v>72</v>
      </c>
      <c r="P334" s="14" t="s">
        <v>1278</v>
      </c>
      <c r="Q334" s="165"/>
      <c r="R334" s="164" t="s">
        <v>72</v>
      </c>
      <c r="S334" s="13" t="s">
        <v>78</v>
      </c>
      <c r="T334" s="13"/>
      <c r="U334" s="13"/>
      <c r="V334" s="13">
        <v>160</v>
      </c>
      <c r="W334" s="13">
        <v>160</v>
      </c>
      <c r="X334" s="13">
        <v>160</v>
      </c>
      <c r="Y334" s="13">
        <v>2.84</v>
      </c>
      <c r="Z334" s="13">
        <v>1</v>
      </c>
      <c r="AA334" s="13" t="s">
        <v>110</v>
      </c>
      <c r="AB334" s="58">
        <v>43983</v>
      </c>
      <c r="AC334" s="58">
        <v>43978</v>
      </c>
      <c r="AD334" s="58">
        <v>43984</v>
      </c>
      <c r="AE334" s="58">
        <v>43978</v>
      </c>
      <c r="AF334" s="58">
        <v>43978</v>
      </c>
      <c r="AG334" s="58" t="s">
        <v>75</v>
      </c>
      <c r="AH334" s="59">
        <v>1</v>
      </c>
      <c r="AI334" s="59">
        <v>1</v>
      </c>
      <c r="AJ334" s="59">
        <v>1</v>
      </c>
      <c r="AK334" s="58" t="s">
        <v>8</v>
      </c>
      <c r="AL334" s="13"/>
      <c r="AM334" s="13"/>
      <c r="AN334" s="13"/>
    </row>
    <row r="335" spans="2:40" ht="15">
      <c r="B335" s="199">
        <v>216</v>
      </c>
      <c r="C335" s="13">
        <v>20200526</v>
      </c>
      <c r="D335" s="13" t="s">
        <v>24</v>
      </c>
      <c r="E335" s="13" t="s">
        <v>1842</v>
      </c>
      <c r="F335" s="39" t="s">
        <v>2002</v>
      </c>
      <c r="G335" s="14">
        <v>1484917</v>
      </c>
      <c r="H335" s="164"/>
      <c r="I335" s="13" t="s">
        <v>2003</v>
      </c>
      <c r="J335" s="164"/>
      <c r="K335" s="13" t="s">
        <v>73</v>
      </c>
      <c r="L335" s="13" t="s">
        <v>8</v>
      </c>
      <c r="M335" s="13" t="s">
        <v>1033</v>
      </c>
      <c r="N335" s="13" t="s">
        <v>1845</v>
      </c>
      <c r="O335" s="14" t="s">
        <v>72</v>
      </c>
      <c r="P335" s="14" t="s">
        <v>1278</v>
      </c>
      <c r="Q335" s="165"/>
      <c r="R335" s="164" t="s">
        <v>72</v>
      </c>
      <c r="S335" s="13" t="s">
        <v>78</v>
      </c>
      <c r="T335" s="13"/>
      <c r="U335" s="13"/>
      <c r="V335" s="13">
        <v>654</v>
      </c>
      <c r="W335" s="13">
        <v>654</v>
      </c>
      <c r="X335" s="13">
        <v>654</v>
      </c>
      <c r="Y335" s="13">
        <v>11.62</v>
      </c>
      <c r="Z335" s="13">
        <v>1</v>
      </c>
      <c r="AA335" s="13" t="s">
        <v>110</v>
      </c>
      <c r="AB335" s="58">
        <v>43983</v>
      </c>
      <c r="AC335" s="58">
        <v>43978</v>
      </c>
      <c r="AD335" s="58">
        <v>43984</v>
      </c>
      <c r="AE335" s="58">
        <v>43978</v>
      </c>
      <c r="AF335" s="58">
        <v>43978</v>
      </c>
      <c r="AG335" s="58" t="s">
        <v>75</v>
      </c>
      <c r="AH335" s="59">
        <v>1</v>
      </c>
      <c r="AI335" s="59">
        <v>1</v>
      </c>
      <c r="AJ335" s="59">
        <v>1</v>
      </c>
      <c r="AK335" s="58" t="s">
        <v>8</v>
      </c>
      <c r="AL335" s="13"/>
      <c r="AM335" s="13"/>
      <c r="AN335" s="13"/>
    </row>
    <row r="336" spans="2:40" ht="15">
      <c r="B336" s="199">
        <v>217</v>
      </c>
      <c r="C336" s="13">
        <v>20200526</v>
      </c>
      <c r="D336" s="13" t="s">
        <v>24</v>
      </c>
      <c r="E336" s="13" t="s">
        <v>1842</v>
      </c>
      <c r="F336" s="39" t="s">
        <v>2004</v>
      </c>
      <c r="G336" s="14">
        <v>1484917</v>
      </c>
      <c r="H336" s="164"/>
      <c r="I336" s="13" t="s">
        <v>2005</v>
      </c>
      <c r="J336" s="164"/>
      <c r="K336" s="13" t="s">
        <v>73</v>
      </c>
      <c r="L336" s="13" t="s">
        <v>8</v>
      </c>
      <c r="M336" s="13" t="s">
        <v>1033</v>
      </c>
      <c r="N336" s="13" t="s">
        <v>1845</v>
      </c>
      <c r="O336" s="14" t="s">
        <v>72</v>
      </c>
      <c r="P336" s="14" t="s">
        <v>1278</v>
      </c>
      <c r="Q336" s="165"/>
      <c r="R336" s="164" t="s">
        <v>72</v>
      </c>
      <c r="S336" s="13" t="s">
        <v>78</v>
      </c>
      <c r="T336" s="13"/>
      <c r="U336" s="13"/>
      <c r="V336" s="13">
        <v>44</v>
      </c>
      <c r="W336" s="13">
        <v>44</v>
      </c>
      <c r="X336" s="13">
        <v>44</v>
      </c>
      <c r="Y336" s="13">
        <v>0.78</v>
      </c>
      <c r="Z336" s="13">
        <v>0</v>
      </c>
      <c r="AA336" s="13" t="s">
        <v>110</v>
      </c>
      <c r="AB336" s="58">
        <v>43983</v>
      </c>
      <c r="AC336" s="58">
        <v>43978</v>
      </c>
      <c r="AD336" s="58">
        <v>43984</v>
      </c>
      <c r="AE336" s="58">
        <v>43978</v>
      </c>
      <c r="AF336" s="58">
        <v>43978</v>
      </c>
      <c r="AG336" s="58" t="s">
        <v>75</v>
      </c>
      <c r="AH336" s="59" t="s">
        <v>72</v>
      </c>
      <c r="AI336" s="59" t="s">
        <v>72</v>
      </c>
      <c r="AJ336" s="59" t="s">
        <v>72</v>
      </c>
      <c r="AK336" s="59" t="s">
        <v>72</v>
      </c>
      <c r="AL336" s="13"/>
      <c r="AM336" s="13"/>
      <c r="AN336" s="88" t="s">
        <v>574</v>
      </c>
    </row>
    <row r="337" spans="2:40" ht="15">
      <c r="B337" s="199">
        <v>218</v>
      </c>
      <c r="C337" s="13">
        <v>20200526</v>
      </c>
      <c r="D337" s="13" t="s">
        <v>24</v>
      </c>
      <c r="E337" s="13" t="s">
        <v>1842</v>
      </c>
      <c r="F337" s="39" t="s">
        <v>2006</v>
      </c>
      <c r="G337" s="14">
        <v>1484917</v>
      </c>
      <c r="H337" s="164"/>
      <c r="I337" s="13" t="s">
        <v>2007</v>
      </c>
      <c r="J337" s="164"/>
      <c r="K337" s="13" t="s">
        <v>73</v>
      </c>
      <c r="L337" s="13" t="s">
        <v>8</v>
      </c>
      <c r="M337" s="13" t="s">
        <v>1033</v>
      </c>
      <c r="N337" s="13" t="s">
        <v>1845</v>
      </c>
      <c r="O337" s="14" t="s">
        <v>72</v>
      </c>
      <c r="P337" s="14" t="s">
        <v>1278</v>
      </c>
      <c r="Q337" s="165"/>
      <c r="R337" s="164" t="s">
        <v>72</v>
      </c>
      <c r="S337" s="13" t="s">
        <v>78</v>
      </c>
      <c r="T337" s="13"/>
      <c r="U337" s="13"/>
      <c r="V337" s="13">
        <v>84</v>
      </c>
      <c r="W337" s="13">
        <v>84</v>
      </c>
      <c r="X337" s="13">
        <v>84</v>
      </c>
      <c r="Y337" s="13">
        <v>1.49</v>
      </c>
      <c r="Z337" s="13">
        <v>1</v>
      </c>
      <c r="AA337" s="13" t="s">
        <v>110</v>
      </c>
      <c r="AB337" s="58">
        <v>43983</v>
      </c>
      <c r="AC337" s="58">
        <v>43978</v>
      </c>
      <c r="AD337" s="58">
        <v>43984</v>
      </c>
      <c r="AE337" s="58">
        <v>43978</v>
      </c>
      <c r="AF337" s="58">
        <v>43978</v>
      </c>
      <c r="AG337" s="58" t="s">
        <v>75</v>
      </c>
      <c r="AH337" s="59">
        <v>1</v>
      </c>
      <c r="AI337" s="59">
        <v>1</v>
      </c>
      <c r="AJ337" s="59">
        <v>1</v>
      </c>
      <c r="AK337" s="58" t="s">
        <v>8</v>
      </c>
      <c r="AL337" s="13"/>
      <c r="AM337" s="13"/>
      <c r="AN337" s="13"/>
    </row>
    <row r="338" spans="2:40" ht="15">
      <c r="B338" s="199">
        <v>219</v>
      </c>
      <c r="C338" s="13">
        <v>20200526</v>
      </c>
      <c r="D338" s="13" t="s">
        <v>24</v>
      </c>
      <c r="E338" s="13" t="s">
        <v>1842</v>
      </c>
      <c r="F338" s="39" t="s">
        <v>2008</v>
      </c>
      <c r="G338" s="14">
        <v>1484917</v>
      </c>
      <c r="H338" s="164"/>
      <c r="I338" s="13" t="s">
        <v>2009</v>
      </c>
      <c r="J338" s="164"/>
      <c r="K338" s="13" t="s">
        <v>73</v>
      </c>
      <c r="L338" s="13" t="s">
        <v>8</v>
      </c>
      <c r="M338" s="13" t="s">
        <v>1033</v>
      </c>
      <c r="N338" s="13" t="s">
        <v>1845</v>
      </c>
      <c r="O338" s="14" t="s">
        <v>72</v>
      </c>
      <c r="P338" s="14" t="s">
        <v>1278</v>
      </c>
      <c r="Q338" s="165"/>
      <c r="R338" s="164" t="s">
        <v>72</v>
      </c>
      <c r="S338" s="13" t="s">
        <v>78</v>
      </c>
      <c r="T338" s="13"/>
      <c r="U338" s="13"/>
      <c r="V338" s="13">
        <v>4</v>
      </c>
      <c r="W338" s="13">
        <v>4</v>
      </c>
      <c r="X338" s="13">
        <v>4</v>
      </c>
      <c r="Y338" s="13">
        <v>7.0000000000000007E-2</v>
      </c>
      <c r="Z338" s="13">
        <v>0</v>
      </c>
      <c r="AA338" s="13" t="s">
        <v>110</v>
      </c>
      <c r="AB338" s="58">
        <v>43983</v>
      </c>
      <c r="AC338" s="58">
        <v>43978</v>
      </c>
      <c r="AD338" s="58">
        <v>43984</v>
      </c>
      <c r="AE338" s="58">
        <v>43978</v>
      </c>
      <c r="AF338" s="58">
        <v>43978</v>
      </c>
      <c r="AG338" s="58" t="s">
        <v>75</v>
      </c>
      <c r="AH338" s="59" t="s">
        <v>72</v>
      </c>
      <c r="AI338" s="59" t="s">
        <v>72</v>
      </c>
      <c r="AJ338" s="59" t="s">
        <v>72</v>
      </c>
      <c r="AK338" s="59" t="s">
        <v>72</v>
      </c>
      <c r="AL338" s="13"/>
      <c r="AM338" s="13"/>
      <c r="AN338" s="88" t="s">
        <v>574</v>
      </c>
    </row>
    <row r="339" spans="2:40" ht="15">
      <c r="B339" s="199">
        <v>220</v>
      </c>
      <c r="C339" s="13">
        <v>20200526</v>
      </c>
      <c r="D339" s="13" t="s">
        <v>24</v>
      </c>
      <c r="E339" s="13" t="s">
        <v>1842</v>
      </c>
      <c r="F339" s="39" t="s">
        <v>2010</v>
      </c>
      <c r="G339" s="14">
        <v>1484917</v>
      </c>
      <c r="H339" s="164"/>
      <c r="I339" s="13" t="s">
        <v>2011</v>
      </c>
      <c r="J339" s="164"/>
      <c r="K339" s="13" t="s">
        <v>73</v>
      </c>
      <c r="L339" s="13" t="s">
        <v>8</v>
      </c>
      <c r="M339" s="13" t="s">
        <v>1033</v>
      </c>
      <c r="N339" s="13" t="s">
        <v>1845</v>
      </c>
      <c r="O339" s="14" t="s">
        <v>72</v>
      </c>
      <c r="P339" s="14" t="s">
        <v>1278</v>
      </c>
      <c r="Q339" s="165"/>
      <c r="R339" s="164" t="s">
        <v>72</v>
      </c>
      <c r="S339" s="13" t="s">
        <v>78</v>
      </c>
      <c r="T339" s="13"/>
      <c r="U339" s="13"/>
      <c r="V339" s="13">
        <v>15</v>
      </c>
      <c r="W339" s="13">
        <v>15</v>
      </c>
      <c r="X339" s="13">
        <v>15</v>
      </c>
      <c r="Y339" s="13">
        <v>0.26</v>
      </c>
      <c r="Z339" s="13">
        <v>0.2</v>
      </c>
      <c r="AA339" s="13" t="s">
        <v>110</v>
      </c>
      <c r="AB339" s="58">
        <v>43983</v>
      </c>
      <c r="AC339" s="58">
        <v>43978</v>
      </c>
      <c r="AD339" s="58">
        <v>43984</v>
      </c>
      <c r="AE339" s="58">
        <v>43978</v>
      </c>
      <c r="AF339" s="58">
        <v>43978</v>
      </c>
      <c r="AG339" s="58" t="s">
        <v>75</v>
      </c>
      <c r="AH339" s="59">
        <v>1</v>
      </c>
      <c r="AI339" s="59">
        <v>1</v>
      </c>
      <c r="AJ339" s="59">
        <v>1</v>
      </c>
      <c r="AK339" s="58" t="s">
        <v>8</v>
      </c>
      <c r="AL339" s="13"/>
      <c r="AM339" s="13"/>
      <c r="AN339" s="13"/>
    </row>
    <row r="340" spans="2:40" ht="15">
      <c r="B340" s="199">
        <v>221</v>
      </c>
      <c r="C340" s="13">
        <v>20200526</v>
      </c>
      <c r="D340" s="13" t="s">
        <v>24</v>
      </c>
      <c r="E340" s="13" t="s">
        <v>1842</v>
      </c>
      <c r="F340" s="39" t="s">
        <v>2012</v>
      </c>
      <c r="G340" s="14">
        <v>1484917</v>
      </c>
      <c r="H340" s="164"/>
      <c r="I340" s="13" t="s">
        <v>2013</v>
      </c>
      <c r="J340" s="164"/>
      <c r="K340" s="13" t="s">
        <v>73</v>
      </c>
      <c r="L340" s="13" t="s">
        <v>8</v>
      </c>
      <c r="M340" s="13" t="s">
        <v>1033</v>
      </c>
      <c r="N340" s="13" t="s">
        <v>1845</v>
      </c>
      <c r="O340" s="14" t="s">
        <v>72</v>
      </c>
      <c r="P340" s="14" t="s">
        <v>1278</v>
      </c>
      <c r="Q340" s="165"/>
      <c r="R340" s="164" t="s">
        <v>72</v>
      </c>
      <c r="S340" s="13" t="s">
        <v>78</v>
      </c>
      <c r="T340" s="13"/>
      <c r="U340" s="13"/>
      <c r="V340" s="13">
        <v>16</v>
      </c>
      <c r="W340" s="13">
        <v>16</v>
      </c>
      <c r="X340" s="13">
        <v>16</v>
      </c>
      <c r="Y340" s="13">
        <v>0.28000000000000003</v>
      </c>
      <c r="Z340" s="13">
        <v>0.2</v>
      </c>
      <c r="AA340" s="13" t="s">
        <v>110</v>
      </c>
      <c r="AB340" s="58">
        <v>43983</v>
      </c>
      <c r="AC340" s="58">
        <v>43978</v>
      </c>
      <c r="AD340" s="58">
        <v>43984</v>
      </c>
      <c r="AE340" s="58">
        <v>43979</v>
      </c>
      <c r="AF340" s="58">
        <v>43979</v>
      </c>
      <c r="AG340" s="58" t="s">
        <v>75</v>
      </c>
      <c r="AH340" s="59">
        <v>1</v>
      </c>
      <c r="AI340" s="59">
        <v>1</v>
      </c>
      <c r="AJ340" s="59">
        <v>1</v>
      </c>
      <c r="AK340" s="58" t="s">
        <v>8</v>
      </c>
      <c r="AL340" s="13"/>
      <c r="AM340" s="13"/>
      <c r="AN340" s="13"/>
    </row>
    <row r="341" spans="2:40" ht="15">
      <c r="B341" s="199">
        <v>222</v>
      </c>
      <c r="C341" s="13">
        <v>20200526</v>
      </c>
      <c r="D341" s="13" t="s">
        <v>24</v>
      </c>
      <c r="E341" s="13" t="s">
        <v>1842</v>
      </c>
      <c r="F341" s="39" t="s">
        <v>2014</v>
      </c>
      <c r="G341" s="14">
        <v>1484917</v>
      </c>
      <c r="H341" s="164"/>
      <c r="I341" s="13" t="s">
        <v>2015</v>
      </c>
      <c r="J341" s="164"/>
      <c r="K341" s="13" t="s">
        <v>73</v>
      </c>
      <c r="L341" s="13" t="s">
        <v>8</v>
      </c>
      <c r="M341" s="13" t="s">
        <v>1033</v>
      </c>
      <c r="N341" s="13" t="s">
        <v>1845</v>
      </c>
      <c r="O341" s="14" t="s">
        <v>72</v>
      </c>
      <c r="P341" s="14" t="s">
        <v>1278</v>
      </c>
      <c r="Q341" s="165"/>
      <c r="R341" s="164" t="s">
        <v>72</v>
      </c>
      <c r="S341" s="13" t="s">
        <v>78</v>
      </c>
      <c r="T341" s="13"/>
      <c r="U341" s="13"/>
      <c r="V341" s="13">
        <v>84</v>
      </c>
      <c r="W341" s="13">
        <v>84</v>
      </c>
      <c r="X341" s="13">
        <v>84</v>
      </c>
      <c r="Y341" s="13">
        <v>1.49</v>
      </c>
      <c r="Z341" s="13">
        <v>1</v>
      </c>
      <c r="AA341" s="13" t="s">
        <v>110</v>
      </c>
      <c r="AB341" s="58">
        <v>43983</v>
      </c>
      <c r="AC341" s="58">
        <v>43978</v>
      </c>
      <c r="AD341" s="58">
        <v>43984</v>
      </c>
      <c r="AE341" s="58">
        <v>43978</v>
      </c>
      <c r="AF341" s="58">
        <v>43978</v>
      </c>
      <c r="AG341" s="58" t="s">
        <v>75</v>
      </c>
      <c r="AH341" s="59">
        <v>1</v>
      </c>
      <c r="AI341" s="59">
        <v>1</v>
      </c>
      <c r="AJ341" s="59">
        <v>1</v>
      </c>
      <c r="AK341" s="58" t="s">
        <v>8</v>
      </c>
      <c r="AL341" s="13"/>
      <c r="AM341" s="13"/>
      <c r="AN341" s="13"/>
    </row>
    <row r="342" spans="2:40" ht="15">
      <c r="B342" s="199">
        <v>223</v>
      </c>
      <c r="C342" s="13">
        <v>20200526</v>
      </c>
      <c r="D342" s="13" t="s">
        <v>24</v>
      </c>
      <c r="E342" s="13" t="s">
        <v>1842</v>
      </c>
      <c r="F342" s="39" t="s">
        <v>2016</v>
      </c>
      <c r="G342" s="14">
        <v>1484917</v>
      </c>
      <c r="H342" s="164"/>
      <c r="I342" s="13" t="s">
        <v>2017</v>
      </c>
      <c r="J342" s="164"/>
      <c r="K342" s="13" t="s">
        <v>73</v>
      </c>
      <c r="L342" s="13" t="s">
        <v>8</v>
      </c>
      <c r="M342" s="13" t="s">
        <v>1033</v>
      </c>
      <c r="N342" s="13" t="s">
        <v>1845</v>
      </c>
      <c r="O342" s="14" t="s">
        <v>72</v>
      </c>
      <c r="P342" s="14" t="s">
        <v>1278</v>
      </c>
      <c r="Q342" s="165"/>
      <c r="R342" s="164" t="s">
        <v>72</v>
      </c>
      <c r="S342" s="13" t="s">
        <v>74</v>
      </c>
      <c r="T342" s="13"/>
      <c r="U342" s="13"/>
      <c r="V342" s="13">
        <v>2713</v>
      </c>
      <c r="W342" s="13">
        <v>2713</v>
      </c>
      <c r="X342" s="13">
        <v>2713</v>
      </c>
      <c r="Y342" s="13">
        <v>48.23</v>
      </c>
      <c r="Z342" s="13">
        <v>2</v>
      </c>
      <c r="AA342" s="13" t="s">
        <v>110</v>
      </c>
      <c r="AB342" s="58">
        <v>43983</v>
      </c>
      <c r="AC342" s="58">
        <v>43978</v>
      </c>
      <c r="AD342" s="58">
        <v>43984</v>
      </c>
      <c r="AE342" s="58">
        <v>43979</v>
      </c>
      <c r="AF342" s="58">
        <v>43979</v>
      </c>
      <c r="AG342" s="58" t="s">
        <v>75</v>
      </c>
      <c r="AH342" s="59">
        <v>1</v>
      </c>
      <c r="AI342" s="59">
        <v>1</v>
      </c>
      <c r="AJ342" s="59">
        <v>1</v>
      </c>
      <c r="AK342" s="58" t="s">
        <v>8</v>
      </c>
      <c r="AL342" s="14" t="s">
        <v>72</v>
      </c>
      <c r="AM342" s="14" t="s">
        <v>72</v>
      </c>
      <c r="AN342" s="14" t="s">
        <v>72</v>
      </c>
    </row>
    <row r="343" spans="2:40" ht="15">
      <c r="B343" s="199">
        <v>224</v>
      </c>
      <c r="C343" s="13">
        <v>20200526</v>
      </c>
      <c r="D343" s="13" t="s">
        <v>24</v>
      </c>
      <c r="E343" s="13" t="s">
        <v>1842</v>
      </c>
      <c r="F343" s="39" t="s">
        <v>2018</v>
      </c>
      <c r="G343" s="14">
        <v>1484917</v>
      </c>
      <c r="H343" s="164"/>
      <c r="I343" s="13" t="s">
        <v>2019</v>
      </c>
      <c r="J343" s="164"/>
      <c r="K343" s="13" t="s">
        <v>73</v>
      </c>
      <c r="L343" s="13" t="s">
        <v>8</v>
      </c>
      <c r="M343" s="13" t="s">
        <v>1033</v>
      </c>
      <c r="N343" s="13" t="s">
        <v>1845</v>
      </c>
      <c r="O343" s="14" t="s">
        <v>72</v>
      </c>
      <c r="P343" s="14" t="s">
        <v>1278</v>
      </c>
      <c r="Q343" s="165"/>
      <c r="R343" s="164" t="s">
        <v>72</v>
      </c>
      <c r="S343" s="13" t="s">
        <v>573</v>
      </c>
      <c r="T343" s="13"/>
      <c r="U343" s="13"/>
      <c r="V343" s="13">
        <v>891</v>
      </c>
      <c r="W343" s="13">
        <v>891</v>
      </c>
      <c r="X343" s="13">
        <v>891</v>
      </c>
      <c r="Y343" s="13">
        <v>15.84</v>
      </c>
      <c r="Z343" s="13">
        <v>2</v>
      </c>
      <c r="AA343" s="13" t="s">
        <v>110</v>
      </c>
      <c r="AB343" s="58">
        <v>43983</v>
      </c>
      <c r="AC343" s="58">
        <v>43978</v>
      </c>
      <c r="AD343" s="58">
        <v>43984</v>
      </c>
      <c r="AE343" s="58">
        <v>43978</v>
      </c>
      <c r="AF343" s="58">
        <v>43978</v>
      </c>
      <c r="AG343" s="58" t="s">
        <v>75</v>
      </c>
      <c r="AH343" s="59">
        <v>1</v>
      </c>
      <c r="AI343" s="59">
        <v>1</v>
      </c>
      <c r="AJ343" s="59">
        <v>1</v>
      </c>
      <c r="AK343" s="58" t="s">
        <v>8</v>
      </c>
      <c r="AL343" s="13"/>
      <c r="AM343" s="13"/>
      <c r="AN343" s="13"/>
    </row>
    <row r="344" spans="2:40" ht="15">
      <c r="B344" s="199">
        <v>225</v>
      </c>
      <c r="C344" s="13">
        <v>20200526</v>
      </c>
      <c r="D344" s="13" t="s">
        <v>24</v>
      </c>
      <c r="E344" s="13" t="s">
        <v>1842</v>
      </c>
      <c r="F344" s="39" t="s">
        <v>2020</v>
      </c>
      <c r="G344" s="14">
        <v>1484917</v>
      </c>
      <c r="H344" s="164"/>
      <c r="I344" s="13" t="s">
        <v>2021</v>
      </c>
      <c r="J344" s="164"/>
      <c r="K344" s="13" t="s">
        <v>73</v>
      </c>
      <c r="L344" s="13" t="s">
        <v>8</v>
      </c>
      <c r="M344" s="13" t="s">
        <v>1033</v>
      </c>
      <c r="N344" s="13" t="s">
        <v>1845</v>
      </c>
      <c r="O344" s="14" t="s">
        <v>72</v>
      </c>
      <c r="P344" s="14" t="s">
        <v>1278</v>
      </c>
      <c r="Q344" s="165"/>
      <c r="R344" s="164" t="s">
        <v>72</v>
      </c>
      <c r="S344" s="13" t="s">
        <v>573</v>
      </c>
      <c r="T344" s="13"/>
      <c r="U344" s="13"/>
      <c r="V344" s="13">
        <v>6</v>
      </c>
      <c r="W344" s="13">
        <v>6</v>
      </c>
      <c r="X344" s="13">
        <v>6</v>
      </c>
      <c r="Y344" s="13">
        <v>0.1</v>
      </c>
      <c r="Z344" s="13">
        <v>0.5</v>
      </c>
      <c r="AA344" s="13" t="s">
        <v>110</v>
      </c>
      <c r="AB344" s="58">
        <v>43983</v>
      </c>
      <c r="AC344" s="58">
        <v>43978</v>
      </c>
      <c r="AD344" s="58">
        <v>43984</v>
      </c>
      <c r="AE344" s="58">
        <v>43978</v>
      </c>
      <c r="AF344" s="58">
        <v>43978</v>
      </c>
      <c r="AG344" s="58" t="s">
        <v>75</v>
      </c>
      <c r="AH344" s="59">
        <v>1</v>
      </c>
      <c r="AI344" s="59">
        <v>1</v>
      </c>
      <c r="AJ344" s="59">
        <v>1</v>
      </c>
      <c r="AK344" s="58" t="s">
        <v>8</v>
      </c>
      <c r="AL344" s="13"/>
      <c r="AM344" s="13"/>
      <c r="AN344" s="13"/>
    </row>
    <row r="345" spans="2:40" ht="15">
      <c r="B345" s="199">
        <v>226</v>
      </c>
      <c r="C345" s="13">
        <v>20200526</v>
      </c>
      <c r="D345" s="13" t="s">
        <v>24</v>
      </c>
      <c r="E345" s="13" t="s">
        <v>1842</v>
      </c>
      <c r="F345" s="39" t="s">
        <v>2022</v>
      </c>
      <c r="G345" s="14">
        <v>1484917</v>
      </c>
      <c r="H345" s="164"/>
      <c r="I345" s="13" t="s">
        <v>2023</v>
      </c>
      <c r="J345" s="164"/>
      <c r="K345" s="13" t="s">
        <v>73</v>
      </c>
      <c r="L345" s="13" t="s">
        <v>8</v>
      </c>
      <c r="M345" s="13" t="s">
        <v>1033</v>
      </c>
      <c r="N345" s="13" t="s">
        <v>1845</v>
      </c>
      <c r="O345" s="14" t="s">
        <v>72</v>
      </c>
      <c r="P345" s="14" t="s">
        <v>1278</v>
      </c>
      <c r="Q345" s="165"/>
      <c r="R345" s="164" t="s">
        <v>72</v>
      </c>
      <c r="S345" s="13" t="s">
        <v>573</v>
      </c>
      <c r="T345" s="13"/>
      <c r="U345" s="13"/>
      <c r="V345" s="13">
        <v>7</v>
      </c>
      <c r="W345" s="13">
        <v>7</v>
      </c>
      <c r="X345" s="13">
        <v>7</v>
      </c>
      <c r="Y345" s="13">
        <v>0.12</v>
      </c>
      <c r="Z345" s="13">
        <v>0.5</v>
      </c>
      <c r="AA345" s="13" t="s">
        <v>110</v>
      </c>
      <c r="AB345" s="58">
        <v>43983</v>
      </c>
      <c r="AC345" s="58">
        <v>43978</v>
      </c>
      <c r="AD345" s="58">
        <v>43984</v>
      </c>
      <c r="AE345" s="58">
        <v>43978</v>
      </c>
      <c r="AF345" s="58">
        <v>43978</v>
      </c>
      <c r="AG345" s="58" t="s">
        <v>75</v>
      </c>
      <c r="AH345" s="59">
        <v>1</v>
      </c>
      <c r="AI345" s="59">
        <v>1</v>
      </c>
      <c r="AJ345" s="59">
        <v>1</v>
      </c>
      <c r="AK345" s="58" t="s">
        <v>8</v>
      </c>
      <c r="AL345" s="13"/>
      <c r="AM345" s="13"/>
      <c r="AN345" s="13"/>
    </row>
    <row r="346" spans="2:40" ht="15">
      <c r="B346" s="199">
        <v>227</v>
      </c>
      <c r="C346" s="13">
        <v>20200526</v>
      </c>
      <c r="D346" s="13" t="s">
        <v>24</v>
      </c>
      <c r="E346" s="13" t="s">
        <v>1842</v>
      </c>
      <c r="F346" s="39" t="s">
        <v>2024</v>
      </c>
      <c r="G346" s="14">
        <v>1484917</v>
      </c>
      <c r="H346" s="164"/>
      <c r="I346" s="13" t="s">
        <v>2025</v>
      </c>
      <c r="J346" s="164"/>
      <c r="K346" s="13" t="s">
        <v>73</v>
      </c>
      <c r="L346" s="13" t="s">
        <v>8</v>
      </c>
      <c r="M346" s="13" t="s">
        <v>1033</v>
      </c>
      <c r="N346" s="13" t="s">
        <v>1845</v>
      </c>
      <c r="O346" s="14" t="s">
        <v>72</v>
      </c>
      <c r="P346" s="14" t="s">
        <v>1278</v>
      </c>
      <c r="Q346" s="165"/>
      <c r="R346" s="164" t="s">
        <v>72</v>
      </c>
      <c r="S346" s="13" t="s">
        <v>573</v>
      </c>
      <c r="T346" s="13"/>
      <c r="U346" s="13"/>
      <c r="V346" s="13">
        <v>13</v>
      </c>
      <c r="W346" s="13">
        <v>13</v>
      </c>
      <c r="X346" s="13">
        <v>13</v>
      </c>
      <c r="Y346" s="13">
        <v>0.23</v>
      </c>
      <c r="Z346" s="13">
        <v>0.5</v>
      </c>
      <c r="AA346" s="13" t="s">
        <v>110</v>
      </c>
      <c r="AB346" s="58">
        <v>43983</v>
      </c>
      <c r="AC346" s="58">
        <v>43978</v>
      </c>
      <c r="AD346" s="58">
        <v>43984</v>
      </c>
      <c r="AE346" s="58">
        <v>43978</v>
      </c>
      <c r="AF346" s="58">
        <v>43978</v>
      </c>
      <c r="AG346" s="58" t="s">
        <v>75</v>
      </c>
      <c r="AH346" s="59">
        <v>1</v>
      </c>
      <c r="AI346" s="59">
        <v>1</v>
      </c>
      <c r="AJ346" s="59">
        <v>1</v>
      </c>
      <c r="AK346" s="58" t="s">
        <v>8</v>
      </c>
      <c r="AL346" s="13"/>
      <c r="AM346" s="13"/>
      <c r="AN346" s="13"/>
    </row>
    <row r="347" spans="2:40" ht="15">
      <c r="B347" s="199">
        <v>228</v>
      </c>
      <c r="C347" s="13">
        <v>20200526</v>
      </c>
      <c r="D347" s="13" t="s">
        <v>24</v>
      </c>
      <c r="E347" s="13" t="s">
        <v>2026</v>
      </c>
      <c r="F347" s="39" t="s">
        <v>2027</v>
      </c>
      <c r="G347" s="14">
        <v>1487171</v>
      </c>
      <c r="H347" s="164"/>
      <c r="I347" s="13" t="s">
        <v>690</v>
      </c>
      <c r="J347" s="164"/>
      <c r="K347" s="13" t="s">
        <v>73</v>
      </c>
      <c r="L347" s="13" t="s">
        <v>8</v>
      </c>
      <c r="M347" s="13" t="s">
        <v>1781</v>
      </c>
      <c r="N347" s="13" t="s">
        <v>1782</v>
      </c>
      <c r="O347" s="14" t="s">
        <v>72</v>
      </c>
      <c r="P347" s="14" t="s">
        <v>1499</v>
      </c>
      <c r="Q347" s="165"/>
      <c r="R347" s="164" t="s">
        <v>72</v>
      </c>
      <c r="S347" s="13" t="s">
        <v>573</v>
      </c>
      <c r="T347" s="13"/>
      <c r="U347" s="13"/>
      <c r="V347" s="13">
        <v>59</v>
      </c>
      <c r="W347" s="13">
        <v>59</v>
      </c>
      <c r="X347" s="13">
        <v>59</v>
      </c>
      <c r="Y347" s="13">
        <v>1.04</v>
      </c>
      <c r="Z347" s="13">
        <v>1</v>
      </c>
      <c r="AA347" s="13" t="s">
        <v>110</v>
      </c>
      <c r="AB347" s="58">
        <v>43978</v>
      </c>
      <c r="AC347" s="58">
        <v>43978</v>
      </c>
      <c r="AD347" s="58">
        <v>43979</v>
      </c>
      <c r="AE347" s="58">
        <v>43978</v>
      </c>
      <c r="AF347" s="58">
        <v>43978</v>
      </c>
      <c r="AG347" s="58" t="s">
        <v>75</v>
      </c>
      <c r="AH347" s="59">
        <v>1</v>
      </c>
      <c r="AI347" s="59">
        <v>1</v>
      </c>
      <c r="AJ347" s="59">
        <v>1</v>
      </c>
      <c r="AK347" s="58" t="s">
        <v>8</v>
      </c>
      <c r="AL347" s="13"/>
      <c r="AM347" s="13"/>
      <c r="AN347" s="13"/>
    </row>
    <row r="348" spans="2:40" ht="15">
      <c r="B348" s="199">
        <v>229</v>
      </c>
      <c r="C348" s="13">
        <v>20200526</v>
      </c>
      <c r="D348" s="13" t="s">
        <v>24</v>
      </c>
      <c r="E348" s="13" t="s">
        <v>2026</v>
      </c>
      <c r="F348" s="39" t="s">
        <v>2028</v>
      </c>
      <c r="G348" s="14">
        <v>1487171</v>
      </c>
      <c r="H348" s="164"/>
      <c r="I348" s="13" t="s">
        <v>1519</v>
      </c>
      <c r="J348" s="164"/>
      <c r="K348" s="13" t="s">
        <v>73</v>
      </c>
      <c r="L348" s="13" t="s">
        <v>8</v>
      </c>
      <c r="M348" s="13" t="s">
        <v>1781</v>
      </c>
      <c r="N348" s="13" t="s">
        <v>1782</v>
      </c>
      <c r="O348" s="14" t="s">
        <v>72</v>
      </c>
      <c r="P348" s="14" t="s">
        <v>1499</v>
      </c>
      <c r="Q348" s="165"/>
      <c r="R348" s="164" t="s">
        <v>72</v>
      </c>
      <c r="S348" s="13" t="s">
        <v>573</v>
      </c>
      <c r="T348" s="13"/>
      <c r="U348" s="13"/>
      <c r="V348" s="13">
        <v>295</v>
      </c>
      <c r="W348" s="13">
        <v>295</v>
      </c>
      <c r="X348" s="13">
        <v>295</v>
      </c>
      <c r="Y348" s="13">
        <v>5.24</v>
      </c>
      <c r="Z348" s="13">
        <v>1</v>
      </c>
      <c r="AA348" s="13" t="s">
        <v>110</v>
      </c>
      <c r="AB348" s="58">
        <v>43978</v>
      </c>
      <c r="AC348" s="58">
        <v>43978</v>
      </c>
      <c r="AD348" s="58">
        <v>43979</v>
      </c>
      <c r="AE348" s="58">
        <v>43978</v>
      </c>
      <c r="AF348" s="58">
        <v>43978</v>
      </c>
      <c r="AG348" s="58" t="s">
        <v>75</v>
      </c>
      <c r="AH348" s="59">
        <v>1</v>
      </c>
      <c r="AI348" s="59">
        <v>1</v>
      </c>
      <c r="AJ348" s="59">
        <v>1</v>
      </c>
      <c r="AK348" s="58" t="s">
        <v>8</v>
      </c>
      <c r="AL348" s="13"/>
      <c r="AM348" s="13"/>
      <c r="AN348" s="13"/>
    </row>
    <row r="349" spans="2:40" ht="15">
      <c r="B349" s="199">
        <v>230</v>
      </c>
      <c r="C349" s="13">
        <v>20200526</v>
      </c>
      <c r="D349" s="13" t="s">
        <v>24</v>
      </c>
      <c r="E349" s="13" t="s">
        <v>1830</v>
      </c>
      <c r="F349" s="39" t="s">
        <v>2029</v>
      </c>
      <c r="G349" s="14">
        <v>1487218</v>
      </c>
      <c r="H349" s="164"/>
      <c r="I349" s="13" t="s">
        <v>2030</v>
      </c>
      <c r="J349" s="164"/>
      <c r="K349" s="13" t="s">
        <v>73</v>
      </c>
      <c r="L349" s="13" t="s">
        <v>8</v>
      </c>
      <c r="M349" s="13" t="s">
        <v>2031</v>
      </c>
      <c r="N349" s="13" t="s">
        <v>887</v>
      </c>
      <c r="O349" s="14" t="s">
        <v>72</v>
      </c>
      <c r="P349" s="14" t="s">
        <v>951</v>
      </c>
      <c r="Q349" s="165"/>
      <c r="R349" s="164" t="s">
        <v>72</v>
      </c>
      <c r="S349" s="13" t="s">
        <v>573</v>
      </c>
      <c r="T349" s="13"/>
      <c r="U349" s="13"/>
      <c r="V349" s="13">
        <v>23</v>
      </c>
      <c r="W349" s="13">
        <v>23</v>
      </c>
      <c r="X349" s="13">
        <v>23</v>
      </c>
      <c r="Y349" s="13">
        <v>0.4</v>
      </c>
      <c r="Z349" s="13">
        <v>1</v>
      </c>
      <c r="AA349" s="13" t="s">
        <v>110</v>
      </c>
      <c r="AB349" s="58">
        <v>43978</v>
      </c>
      <c r="AC349" s="58">
        <v>43978</v>
      </c>
      <c r="AD349" s="58">
        <v>43979</v>
      </c>
      <c r="AE349" s="58">
        <v>43978</v>
      </c>
      <c r="AF349" s="58">
        <v>43978</v>
      </c>
      <c r="AG349" s="58" t="s">
        <v>75</v>
      </c>
      <c r="AH349" s="59">
        <v>1</v>
      </c>
      <c r="AI349" s="59">
        <v>1</v>
      </c>
      <c r="AJ349" s="59">
        <v>1</v>
      </c>
      <c r="AK349" s="58" t="s">
        <v>8</v>
      </c>
      <c r="AL349" s="13"/>
      <c r="AM349" s="13"/>
      <c r="AN349" s="13"/>
    </row>
    <row r="350" spans="2:40" ht="15">
      <c r="B350" s="199">
        <v>231</v>
      </c>
      <c r="C350" s="13">
        <v>20200526</v>
      </c>
      <c r="D350" s="13" t="s">
        <v>24</v>
      </c>
      <c r="E350" s="13" t="s">
        <v>1830</v>
      </c>
      <c r="F350" s="39" t="s">
        <v>1500</v>
      </c>
      <c r="G350" s="14">
        <v>1488033</v>
      </c>
      <c r="H350" s="164"/>
      <c r="I350" s="13" t="s">
        <v>135</v>
      </c>
      <c r="J350" s="164"/>
      <c r="K350" s="13" t="s">
        <v>73</v>
      </c>
      <c r="L350" s="13" t="s">
        <v>8</v>
      </c>
      <c r="M350" s="13" t="s">
        <v>2031</v>
      </c>
      <c r="N350" s="13" t="s">
        <v>887</v>
      </c>
      <c r="O350" s="14" t="s">
        <v>72</v>
      </c>
      <c r="P350" s="14" t="s">
        <v>1499</v>
      </c>
      <c r="Q350" s="165"/>
      <c r="R350" s="164" t="s">
        <v>72</v>
      </c>
      <c r="S350" s="13" t="s">
        <v>573</v>
      </c>
      <c r="T350" s="13"/>
      <c r="U350" s="13"/>
      <c r="V350" s="13">
        <v>109</v>
      </c>
      <c r="W350" s="13">
        <v>109</v>
      </c>
      <c r="X350" s="13">
        <v>109</v>
      </c>
      <c r="Y350" s="13">
        <v>1.93</v>
      </c>
      <c r="Z350" s="13">
        <v>1</v>
      </c>
      <c r="AA350" s="13" t="s">
        <v>110</v>
      </c>
      <c r="AB350" s="58">
        <v>43978</v>
      </c>
      <c r="AC350" s="58">
        <v>43978</v>
      </c>
      <c r="AD350" s="58">
        <v>43979</v>
      </c>
      <c r="AE350" s="58">
        <v>43978</v>
      </c>
      <c r="AF350" s="58">
        <v>43978</v>
      </c>
      <c r="AG350" s="58" t="s">
        <v>75</v>
      </c>
      <c r="AH350" s="59">
        <v>1</v>
      </c>
      <c r="AI350" s="59">
        <v>1</v>
      </c>
      <c r="AJ350" s="59">
        <v>1</v>
      </c>
      <c r="AK350" s="58" t="s">
        <v>8</v>
      </c>
      <c r="AL350" s="13"/>
      <c r="AM350" s="13"/>
      <c r="AN350" s="13"/>
    </row>
    <row r="351" spans="2:40" ht="15">
      <c r="B351" s="166">
        <v>232</v>
      </c>
      <c r="C351" s="13">
        <v>20200528</v>
      </c>
      <c r="D351" s="13" t="s">
        <v>311</v>
      </c>
      <c r="E351" s="13" t="s">
        <v>748</v>
      </c>
      <c r="F351" s="14" t="s">
        <v>72</v>
      </c>
      <c r="G351" s="14">
        <v>1491355</v>
      </c>
      <c r="H351" s="164" t="s">
        <v>72</v>
      </c>
      <c r="I351" s="13" t="s">
        <v>2032</v>
      </c>
      <c r="J351" s="164" t="s">
        <v>72</v>
      </c>
      <c r="K351" s="13" t="s">
        <v>106</v>
      </c>
      <c r="L351" s="13" t="s">
        <v>8</v>
      </c>
      <c r="M351" s="13" t="s">
        <v>19</v>
      </c>
      <c r="N351" s="13" t="s">
        <v>2032</v>
      </c>
      <c r="O351" s="14" t="s">
        <v>2033</v>
      </c>
      <c r="P351" s="14" t="s">
        <v>2034</v>
      </c>
      <c r="Q351" s="165"/>
      <c r="R351" s="164" t="s">
        <v>72</v>
      </c>
      <c r="S351" s="13" t="s">
        <v>573</v>
      </c>
      <c r="T351" s="13"/>
      <c r="U351" s="13"/>
      <c r="V351" s="13">
        <v>16</v>
      </c>
      <c r="W351" s="13">
        <v>16</v>
      </c>
      <c r="X351" s="13">
        <v>16</v>
      </c>
      <c r="Y351" s="13">
        <v>0.98</v>
      </c>
      <c r="Z351" s="13">
        <v>1</v>
      </c>
      <c r="AA351" s="13" t="s">
        <v>110</v>
      </c>
      <c r="AB351" s="58">
        <v>43983</v>
      </c>
      <c r="AC351" s="58">
        <v>43979</v>
      </c>
      <c r="AD351" s="58">
        <v>43983</v>
      </c>
      <c r="AE351" s="58">
        <v>43983</v>
      </c>
      <c r="AF351" s="58">
        <v>43983</v>
      </c>
      <c r="AG351" s="58" t="s">
        <v>75</v>
      </c>
      <c r="AH351" s="59">
        <v>1</v>
      </c>
      <c r="AI351" s="59">
        <v>1</v>
      </c>
      <c r="AJ351" s="59">
        <v>1</v>
      </c>
      <c r="AK351" s="58" t="s">
        <v>76</v>
      </c>
      <c r="AL351" s="13"/>
      <c r="AM351" s="13" t="s">
        <v>2035</v>
      </c>
      <c r="AN351" s="13" t="s">
        <v>2036</v>
      </c>
    </row>
    <row r="352" spans="2:40" ht="15">
      <c r="B352" s="166">
        <v>233</v>
      </c>
      <c r="C352" s="13">
        <v>20200528</v>
      </c>
      <c r="D352" s="13" t="s">
        <v>311</v>
      </c>
      <c r="E352" s="13" t="s">
        <v>748</v>
      </c>
      <c r="F352" s="14" t="s">
        <v>72</v>
      </c>
      <c r="G352" s="14">
        <v>1491355</v>
      </c>
      <c r="H352" s="164" t="s">
        <v>72</v>
      </c>
      <c r="I352" s="13" t="s">
        <v>2037</v>
      </c>
      <c r="J352" s="164" t="s">
        <v>72</v>
      </c>
      <c r="K352" s="13" t="s">
        <v>106</v>
      </c>
      <c r="L352" s="13" t="s">
        <v>8</v>
      </c>
      <c r="M352" s="13" t="s">
        <v>19</v>
      </c>
      <c r="N352" s="13" t="s">
        <v>2037</v>
      </c>
      <c r="O352" s="14" t="s">
        <v>2038</v>
      </c>
      <c r="P352" s="14" t="s">
        <v>2034</v>
      </c>
      <c r="Q352" s="165"/>
      <c r="R352" s="164" t="s">
        <v>72</v>
      </c>
      <c r="S352" s="13" t="s">
        <v>573</v>
      </c>
      <c r="T352" s="13"/>
      <c r="U352" s="13"/>
      <c r="V352" s="13">
        <v>49</v>
      </c>
      <c r="W352" s="13">
        <v>49</v>
      </c>
      <c r="X352" s="13">
        <v>49</v>
      </c>
      <c r="Y352" s="13">
        <v>3.01</v>
      </c>
      <c r="Z352" s="13">
        <v>3</v>
      </c>
      <c r="AA352" s="13" t="s">
        <v>110</v>
      </c>
      <c r="AB352" s="58">
        <v>43983</v>
      </c>
      <c r="AC352" s="58">
        <v>43979</v>
      </c>
      <c r="AD352" s="58">
        <v>43983</v>
      </c>
      <c r="AE352" s="58">
        <v>43979</v>
      </c>
      <c r="AF352" s="58">
        <v>43979</v>
      </c>
      <c r="AG352" s="58" t="s">
        <v>75</v>
      </c>
      <c r="AH352" s="59">
        <v>1</v>
      </c>
      <c r="AI352" s="59">
        <v>1</v>
      </c>
      <c r="AJ352" s="59">
        <v>1</v>
      </c>
      <c r="AK352" s="58" t="s">
        <v>8</v>
      </c>
      <c r="AL352" s="13"/>
      <c r="AM352" s="13"/>
      <c r="AN352" s="13"/>
    </row>
    <row r="353" spans="2:40" ht="15">
      <c r="B353" s="166">
        <v>234</v>
      </c>
      <c r="C353" s="13">
        <v>20200528</v>
      </c>
      <c r="D353" s="13" t="s">
        <v>24</v>
      </c>
      <c r="E353" s="13" t="s">
        <v>360</v>
      </c>
      <c r="F353" s="39" t="s">
        <v>2039</v>
      </c>
      <c r="G353" s="14">
        <v>1492051</v>
      </c>
      <c r="H353" s="164" t="s">
        <v>72</v>
      </c>
      <c r="I353" s="13" t="s">
        <v>130</v>
      </c>
      <c r="J353" s="164" t="s">
        <v>72</v>
      </c>
      <c r="K353" s="13" t="s">
        <v>73</v>
      </c>
      <c r="L353" s="13" t="s">
        <v>1968</v>
      </c>
      <c r="M353" s="13" t="s">
        <v>22</v>
      </c>
      <c r="N353" s="13" t="s">
        <v>1136</v>
      </c>
      <c r="O353" s="14" t="s">
        <v>72</v>
      </c>
      <c r="P353" s="14" t="s">
        <v>756</v>
      </c>
      <c r="Q353" s="165"/>
      <c r="R353" s="164" t="s">
        <v>72</v>
      </c>
      <c r="S353" s="13" t="s">
        <v>573</v>
      </c>
      <c r="T353" s="13"/>
      <c r="U353" s="13"/>
      <c r="V353" s="13">
        <v>261</v>
      </c>
      <c r="W353" s="13">
        <v>261</v>
      </c>
      <c r="X353" s="13">
        <v>261</v>
      </c>
      <c r="Y353" s="13">
        <v>4.6399999999999997</v>
      </c>
      <c r="Z353" s="13">
        <v>3</v>
      </c>
      <c r="AA353" s="13" t="s">
        <v>110</v>
      </c>
      <c r="AB353" s="58">
        <v>43980</v>
      </c>
      <c r="AC353" s="58">
        <v>43979</v>
      </c>
      <c r="AD353" s="58">
        <v>43980</v>
      </c>
      <c r="AE353" s="58">
        <v>43979</v>
      </c>
      <c r="AF353" s="58">
        <v>43979</v>
      </c>
      <c r="AG353" s="58" t="s">
        <v>75</v>
      </c>
      <c r="AH353" s="59">
        <v>1</v>
      </c>
      <c r="AI353" s="59">
        <v>1</v>
      </c>
      <c r="AJ353" s="59">
        <v>1</v>
      </c>
      <c r="AK353" s="58" t="s">
        <v>8</v>
      </c>
      <c r="AL353" s="13"/>
      <c r="AM353" s="13"/>
      <c r="AN353" s="13"/>
    </row>
    <row r="354" spans="2:40" ht="15">
      <c r="B354" s="184">
        <v>235</v>
      </c>
      <c r="C354" s="13">
        <v>20200528</v>
      </c>
      <c r="D354" s="13" t="s">
        <v>24</v>
      </c>
      <c r="E354" s="13" t="s">
        <v>1654</v>
      </c>
      <c r="F354" s="39" t="s">
        <v>2040</v>
      </c>
      <c r="G354" s="14">
        <v>1490028</v>
      </c>
      <c r="H354" s="164" t="s">
        <v>72</v>
      </c>
      <c r="I354" s="13" t="s">
        <v>1764</v>
      </c>
      <c r="J354" s="164" t="s">
        <v>72</v>
      </c>
      <c r="K354" s="13" t="s">
        <v>73</v>
      </c>
      <c r="L354" s="13" t="s">
        <v>2041</v>
      </c>
      <c r="M354" s="13" t="s">
        <v>1657</v>
      </c>
      <c r="N354" s="13" t="s">
        <v>336</v>
      </c>
      <c r="O354" s="14" t="s">
        <v>72</v>
      </c>
      <c r="P354" s="14" t="s">
        <v>1296</v>
      </c>
      <c r="Q354" s="165"/>
      <c r="R354" s="164" t="s">
        <v>72</v>
      </c>
      <c r="S354" s="13" t="s">
        <v>77</v>
      </c>
      <c r="T354" s="13"/>
      <c r="U354" s="13"/>
      <c r="V354" s="13">
        <v>81</v>
      </c>
      <c r="W354" s="13">
        <v>81</v>
      </c>
      <c r="X354" s="13">
        <v>81</v>
      </c>
      <c r="Y354" s="13">
        <v>1.44</v>
      </c>
      <c r="Z354" s="13">
        <v>0.2</v>
      </c>
      <c r="AA354" s="13" t="s">
        <v>110</v>
      </c>
      <c r="AB354" s="58">
        <v>43984</v>
      </c>
      <c r="AC354" s="58">
        <v>43979</v>
      </c>
      <c r="AD354" s="58">
        <v>43984</v>
      </c>
      <c r="AE354" s="58">
        <v>43980</v>
      </c>
      <c r="AF354" s="58">
        <v>43980</v>
      </c>
      <c r="AG354" s="58" t="s">
        <v>75</v>
      </c>
      <c r="AH354" s="59">
        <v>1</v>
      </c>
      <c r="AI354" s="59">
        <v>1</v>
      </c>
      <c r="AJ354" s="59">
        <v>1</v>
      </c>
      <c r="AK354" s="58" t="s">
        <v>8</v>
      </c>
      <c r="AL354" s="14" t="s">
        <v>72</v>
      </c>
      <c r="AM354" s="14" t="s">
        <v>72</v>
      </c>
      <c r="AN354" s="181" t="s">
        <v>72</v>
      </c>
    </row>
    <row r="355" spans="2:40" ht="15">
      <c r="B355" s="184">
        <v>236</v>
      </c>
      <c r="C355" s="13">
        <v>20200528</v>
      </c>
      <c r="D355" s="13" t="s">
        <v>24</v>
      </c>
      <c r="E355" s="13" t="s">
        <v>1654</v>
      </c>
      <c r="F355" s="39" t="s">
        <v>2042</v>
      </c>
      <c r="G355" s="14">
        <v>1490028</v>
      </c>
      <c r="H355" s="164" t="s">
        <v>72</v>
      </c>
      <c r="I355" s="13" t="s">
        <v>2043</v>
      </c>
      <c r="J355" s="164" t="s">
        <v>72</v>
      </c>
      <c r="K355" s="13" t="s">
        <v>73</v>
      </c>
      <c r="L355" s="13" t="s">
        <v>2041</v>
      </c>
      <c r="M355" s="13" t="s">
        <v>1657</v>
      </c>
      <c r="N355" s="13" t="s">
        <v>336</v>
      </c>
      <c r="O355" s="14" t="s">
        <v>72</v>
      </c>
      <c r="P355" s="14" t="s">
        <v>1296</v>
      </c>
      <c r="Q355" s="165"/>
      <c r="R355" s="164" t="s">
        <v>72</v>
      </c>
      <c r="S355" s="13" t="s">
        <v>77</v>
      </c>
      <c r="T355" s="13"/>
      <c r="U355" s="13"/>
      <c r="V355" s="13">
        <v>50</v>
      </c>
      <c r="W355" s="13">
        <v>50</v>
      </c>
      <c r="X355" s="13">
        <v>50</v>
      </c>
      <c r="Y355" s="13">
        <v>0.88</v>
      </c>
      <c r="Z355" s="13">
        <v>0.2</v>
      </c>
      <c r="AA355" s="13" t="s">
        <v>110</v>
      </c>
      <c r="AB355" s="58">
        <v>43984</v>
      </c>
      <c r="AC355" s="58">
        <v>43979</v>
      </c>
      <c r="AD355" s="58">
        <v>43984</v>
      </c>
      <c r="AE355" s="58">
        <v>43980</v>
      </c>
      <c r="AF355" s="58">
        <v>43980</v>
      </c>
      <c r="AG355" s="58" t="s">
        <v>75</v>
      </c>
      <c r="AH355" s="59">
        <v>1</v>
      </c>
      <c r="AI355" s="59">
        <v>1</v>
      </c>
      <c r="AJ355" s="59">
        <v>1</v>
      </c>
      <c r="AK355" s="58" t="s">
        <v>8</v>
      </c>
      <c r="AL355" s="14" t="s">
        <v>72</v>
      </c>
      <c r="AM355" s="14" t="s">
        <v>72</v>
      </c>
      <c r="AN355" s="181" t="s">
        <v>72</v>
      </c>
    </row>
    <row r="356" spans="2:40" ht="15">
      <c r="B356" s="201">
        <v>237</v>
      </c>
      <c r="C356" s="13">
        <v>20200529</v>
      </c>
      <c r="D356" s="13" t="s">
        <v>24</v>
      </c>
      <c r="E356" s="13" t="s">
        <v>1758</v>
      </c>
      <c r="F356" s="1" t="s">
        <v>1840</v>
      </c>
      <c r="G356" s="14">
        <v>1495464</v>
      </c>
      <c r="H356" s="164" t="s">
        <v>72</v>
      </c>
      <c r="I356" s="13" t="s">
        <v>1841</v>
      </c>
      <c r="J356" s="164" t="s">
        <v>72</v>
      </c>
      <c r="K356" s="13" t="s">
        <v>73</v>
      </c>
      <c r="L356" s="13" t="s">
        <v>8</v>
      </c>
      <c r="M356" s="13" t="s">
        <v>8</v>
      </c>
      <c r="N356" s="13" t="s">
        <v>3</v>
      </c>
      <c r="O356" s="14" t="s">
        <v>72</v>
      </c>
      <c r="P356" s="14" t="s">
        <v>1</v>
      </c>
      <c r="Q356" s="165"/>
      <c r="R356" s="164" t="s">
        <v>72</v>
      </c>
      <c r="S356" s="13" t="s">
        <v>117</v>
      </c>
      <c r="T356" s="13"/>
      <c r="U356" s="13"/>
      <c r="V356" s="13">
        <v>108</v>
      </c>
      <c r="W356" s="53">
        <v>260</v>
      </c>
      <c r="X356" s="13">
        <v>260</v>
      </c>
      <c r="Y356" s="13">
        <v>4.62</v>
      </c>
      <c r="Z356" s="13">
        <v>2</v>
      </c>
      <c r="AA356" s="13" t="s">
        <v>550</v>
      </c>
      <c r="AB356" s="58">
        <v>43991</v>
      </c>
      <c r="AC356" s="58">
        <v>43980</v>
      </c>
      <c r="AD356" s="58">
        <v>43991</v>
      </c>
      <c r="AE356" s="58">
        <v>43990</v>
      </c>
      <c r="AF356" s="58">
        <v>43990</v>
      </c>
      <c r="AG356" s="58" t="s">
        <v>75</v>
      </c>
      <c r="AH356" s="59">
        <v>1</v>
      </c>
      <c r="AI356" s="59">
        <v>1</v>
      </c>
      <c r="AJ356" s="59">
        <v>1</v>
      </c>
      <c r="AK356" s="58" t="s">
        <v>8</v>
      </c>
      <c r="AL356" s="13"/>
      <c r="AM356" s="13"/>
      <c r="AN356" s="13" t="s">
        <v>2044</v>
      </c>
    </row>
    <row r="357" spans="2:40" ht="15">
      <c r="B357" s="201">
        <v>238</v>
      </c>
      <c r="C357" s="13">
        <v>20200529</v>
      </c>
      <c r="D357" s="13" t="s">
        <v>311</v>
      </c>
      <c r="E357" s="13" t="s">
        <v>2045</v>
      </c>
      <c r="F357" s="14" t="s">
        <v>72</v>
      </c>
      <c r="G357" s="14">
        <v>1493209</v>
      </c>
      <c r="H357" s="164" t="s">
        <v>72</v>
      </c>
      <c r="I357" s="13" t="s">
        <v>2046</v>
      </c>
      <c r="J357" s="164" t="s">
        <v>72</v>
      </c>
      <c r="K357" s="13" t="s">
        <v>73</v>
      </c>
      <c r="L357" s="13" t="s">
        <v>8</v>
      </c>
      <c r="M357" s="13" t="s">
        <v>8</v>
      </c>
      <c r="N357" s="13" t="s">
        <v>2047</v>
      </c>
      <c r="O357" s="14" t="s">
        <v>613</v>
      </c>
      <c r="P357" s="14" t="s">
        <v>2048</v>
      </c>
      <c r="Q357" s="165"/>
      <c r="R357" s="164" t="s">
        <v>72</v>
      </c>
      <c r="S357" s="13" t="s">
        <v>113</v>
      </c>
      <c r="T357" s="13"/>
      <c r="U357" s="13"/>
      <c r="V357" s="13">
        <v>52</v>
      </c>
      <c r="W357" s="13">
        <v>52</v>
      </c>
      <c r="X357" s="13">
        <v>52</v>
      </c>
      <c r="Y357" s="13">
        <v>3.2</v>
      </c>
      <c r="Z357" s="13">
        <v>3.2</v>
      </c>
      <c r="AA357" s="13" t="s">
        <v>550</v>
      </c>
      <c r="AB357" s="58">
        <v>43991</v>
      </c>
      <c r="AC357" s="58">
        <v>43980</v>
      </c>
      <c r="AD357" s="58">
        <v>43991</v>
      </c>
      <c r="AE357" s="58">
        <v>43983</v>
      </c>
      <c r="AF357" s="58">
        <v>43983</v>
      </c>
      <c r="AG357" s="58" t="s">
        <v>75</v>
      </c>
      <c r="AH357" s="59">
        <v>1</v>
      </c>
      <c r="AI357" s="59">
        <v>1</v>
      </c>
      <c r="AJ357" s="59">
        <v>1</v>
      </c>
      <c r="AK357" s="58" t="s">
        <v>8</v>
      </c>
      <c r="AL357" s="181" t="s">
        <v>72</v>
      </c>
      <c r="AM357" s="13"/>
      <c r="AN357" s="13"/>
    </row>
    <row r="358" spans="2:40" ht="15">
      <c r="B358" s="201">
        <v>239</v>
      </c>
      <c r="C358" s="13">
        <v>20200529</v>
      </c>
      <c r="D358" s="13" t="s">
        <v>311</v>
      </c>
      <c r="E358" s="13" t="s">
        <v>2045</v>
      </c>
      <c r="F358" s="14" t="s">
        <v>72</v>
      </c>
      <c r="G358" s="14">
        <v>1493209</v>
      </c>
      <c r="H358" s="164" t="s">
        <v>72</v>
      </c>
      <c r="I358" s="13" t="s">
        <v>2049</v>
      </c>
      <c r="J358" s="164" t="s">
        <v>72</v>
      </c>
      <c r="K358" s="13" t="s">
        <v>73</v>
      </c>
      <c r="L358" s="13" t="s">
        <v>8</v>
      </c>
      <c r="M358" s="13" t="s">
        <v>8</v>
      </c>
      <c r="N358" s="13" t="s">
        <v>2047</v>
      </c>
      <c r="O358" s="14" t="s">
        <v>2050</v>
      </c>
      <c r="P358" s="14" t="s">
        <v>2048</v>
      </c>
      <c r="Q358" s="165"/>
      <c r="R358" s="164" t="s">
        <v>72</v>
      </c>
      <c r="S358" s="13" t="s">
        <v>161</v>
      </c>
      <c r="T358" s="13"/>
      <c r="U358" s="13"/>
      <c r="V358" s="13">
        <v>15</v>
      </c>
      <c r="W358" s="13">
        <v>15</v>
      </c>
      <c r="X358" s="13">
        <v>15</v>
      </c>
      <c r="Y358" s="13">
        <v>0.92</v>
      </c>
      <c r="Z358" s="13">
        <v>1</v>
      </c>
      <c r="AA358" s="13" t="s">
        <v>550</v>
      </c>
      <c r="AB358" s="58">
        <v>43991</v>
      </c>
      <c r="AC358" s="58">
        <v>43980</v>
      </c>
      <c r="AD358" s="58">
        <v>43991</v>
      </c>
      <c r="AE358" s="58">
        <v>43983</v>
      </c>
      <c r="AF358" s="58">
        <v>43983</v>
      </c>
      <c r="AG358" s="58" t="s">
        <v>75</v>
      </c>
      <c r="AH358" s="59">
        <v>1</v>
      </c>
      <c r="AI358" s="59">
        <v>1</v>
      </c>
      <c r="AJ358" s="59">
        <v>1</v>
      </c>
      <c r="AK358" s="58" t="s">
        <v>8</v>
      </c>
      <c r="AL358" s="14" t="s">
        <v>72</v>
      </c>
      <c r="AM358" s="14" t="s">
        <v>72</v>
      </c>
      <c r="AN358" s="14" t="s">
        <v>72</v>
      </c>
    </row>
    <row r="359" spans="2:40" ht="15">
      <c r="B359" s="201">
        <v>240</v>
      </c>
      <c r="C359" s="13">
        <v>20200529</v>
      </c>
      <c r="D359" s="13" t="s">
        <v>311</v>
      </c>
      <c r="E359" s="13" t="s">
        <v>2045</v>
      </c>
      <c r="F359" s="14" t="s">
        <v>72</v>
      </c>
      <c r="G359" s="14">
        <v>1493209</v>
      </c>
      <c r="H359" s="164" t="s">
        <v>72</v>
      </c>
      <c r="I359" s="13" t="s">
        <v>2051</v>
      </c>
      <c r="J359" s="164" t="s">
        <v>72</v>
      </c>
      <c r="K359" s="13" t="s">
        <v>73</v>
      </c>
      <c r="L359" s="13" t="s">
        <v>8</v>
      </c>
      <c r="M359" s="13" t="s">
        <v>8</v>
      </c>
      <c r="N359" s="13" t="s">
        <v>2047</v>
      </c>
      <c r="O359" s="14" t="s">
        <v>2052</v>
      </c>
      <c r="P359" s="14" t="s">
        <v>2048</v>
      </c>
      <c r="Q359" s="165"/>
      <c r="R359" s="164" t="s">
        <v>72</v>
      </c>
      <c r="S359" s="13" t="s">
        <v>109</v>
      </c>
      <c r="T359" s="13"/>
      <c r="U359" s="13"/>
      <c r="V359" s="13">
        <v>149</v>
      </c>
      <c r="W359" s="13">
        <v>149</v>
      </c>
      <c r="X359" s="13">
        <v>149</v>
      </c>
      <c r="Y359" s="13">
        <v>9.16</v>
      </c>
      <c r="Z359" s="13">
        <v>9</v>
      </c>
      <c r="AA359" s="13" t="s">
        <v>550</v>
      </c>
      <c r="AB359" s="58">
        <v>43991</v>
      </c>
      <c r="AC359" s="58">
        <v>43980</v>
      </c>
      <c r="AD359" s="58">
        <v>43991</v>
      </c>
      <c r="AE359" s="58">
        <v>43987</v>
      </c>
      <c r="AF359" s="58">
        <v>43987</v>
      </c>
      <c r="AG359" s="58" t="s">
        <v>79</v>
      </c>
      <c r="AH359" s="59">
        <v>0.89</v>
      </c>
      <c r="AI359" s="59">
        <v>0.89</v>
      </c>
      <c r="AJ359" s="59">
        <v>0.95</v>
      </c>
      <c r="AK359" s="58" t="s">
        <v>76</v>
      </c>
      <c r="AL359" s="14" t="s">
        <v>2053</v>
      </c>
      <c r="AM359" s="181" t="s">
        <v>72</v>
      </c>
      <c r="AN359" s="14" t="s">
        <v>2054</v>
      </c>
    </row>
    <row r="360" spans="2:40" ht="15">
      <c r="B360" s="170">
        <v>241</v>
      </c>
      <c r="C360" s="13">
        <v>20200601</v>
      </c>
      <c r="D360" s="13" t="s">
        <v>24</v>
      </c>
      <c r="E360" s="13" t="s">
        <v>2055</v>
      </c>
      <c r="F360" s="39" t="s">
        <v>2056</v>
      </c>
      <c r="G360" s="13">
        <v>1462660</v>
      </c>
      <c r="H360" s="164" t="s">
        <v>72</v>
      </c>
      <c r="I360" s="13" t="s">
        <v>2057</v>
      </c>
      <c r="J360" s="164" t="s">
        <v>72</v>
      </c>
      <c r="K360" s="13" t="s">
        <v>73</v>
      </c>
      <c r="L360" s="13" t="s">
        <v>2058</v>
      </c>
      <c r="M360" s="13" t="s">
        <v>726</v>
      </c>
      <c r="N360" s="13" t="s">
        <v>2059</v>
      </c>
      <c r="O360" s="14" t="s">
        <v>72</v>
      </c>
      <c r="P360" s="14" t="s">
        <v>1805</v>
      </c>
      <c r="Q360" s="165"/>
      <c r="R360" s="164" t="s">
        <v>72</v>
      </c>
      <c r="S360" s="13" t="s">
        <v>77</v>
      </c>
      <c r="T360" s="13"/>
      <c r="U360" s="13"/>
      <c r="V360" s="13">
        <v>125</v>
      </c>
      <c r="W360" s="13">
        <v>125</v>
      </c>
      <c r="X360" s="13">
        <v>125</v>
      </c>
      <c r="Y360" s="13">
        <v>2.2200000000000002</v>
      </c>
      <c r="Z360" s="13">
        <v>0.2</v>
      </c>
      <c r="AA360" s="13" t="s">
        <v>550</v>
      </c>
      <c r="AB360" s="58">
        <v>43990</v>
      </c>
      <c r="AC360" s="58">
        <v>43983</v>
      </c>
      <c r="AD360" s="202">
        <v>43994</v>
      </c>
      <c r="AE360" s="58">
        <v>43986</v>
      </c>
      <c r="AF360" s="58">
        <v>43986</v>
      </c>
      <c r="AG360" s="58" t="s">
        <v>75</v>
      </c>
      <c r="AH360" s="59">
        <v>1</v>
      </c>
      <c r="AI360" s="59">
        <v>1</v>
      </c>
      <c r="AJ360" s="59">
        <v>1</v>
      </c>
      <c r="AK360" s="58" t="s">
        <v>8</v>
      </c>
      <c r="AL360" s="14" t="s">
        <v>72</v>
      </c>
      <c r="AM360" s="14" t="s">
        <v>72</v>
      </c>
      <c r="AN360" s="181" t="s">
        <v>72</v>
      </c>
    </row>
    <row r="361" spans="2:40" ht="15">
      <c r="B361" s="170">
        <v>242</v>
      </c>
      <c r="C361" s="13">
        <v>20200601</v>
      </c>
      <c r="D361" s="13" t="s">
        <v>24</v>
      </c>
      <c r="E361" s="13" t="s">
        <v>2055</v>
      </c>
      <c r="F361" s="39" t="s">
        <v>2060</v>
      </c>
      <c r="G361" s="13">
        <v>1462660</v>
      </c>
      <c r="H361" s="164" t="s">
        <v>72</v>
      </c>
      <c r="I361" s="13" t="s">
        <v>734</v>
      </c>
      <c r="J361" s="164" t="s">
        <v>72</v>
      </c>
      <c r="K361" s="13" t="s">
        <v>73</v>
      </c>
      <c r="L361" s="13" t="s">
        <v>2058</v>
      </c>
      <c r="M361" s="13" t="s">
        <v>726</v>
      </c>
      <c r="N361" s="13" t="s">
        <v>2059</v>
      </c>
      <c r="O361" s="14" t="s">
        <v>72</v>
      </c>
      <c r="P361" s="14" t="s">
        <v>1805</v>
      </c>
      <c r="Q361" s="165"/>
      <c r="R361" s="164" t="s">
        <v>72</v>
      </c>
      <c r="S361" s="13" t="s">
        <v>77</v>
      </c>
      <c r="T361" s="13"/>
      <c r="U361" s="13"/>
      <c r="V361" s="13">
        <v>108</v>
      </c>
      <c r="W361" s="13">
        <v>108</v>
      </c>
      <c r="X361" s="13">
        <v>108</v>
      </c>
      <c r="Y361" s="13">
        <v>1.92</v>
      </c>
      <c r="Z361" s="13">
        <v>0.1</v>
      </c>
      <c r="AA361" s="13" t="s">
        <v>550</v>
      </c>
      <c r="AB361" s="58">
        <v>43990</v>
      </c>
      <c r="AC361" s="58">
        <v>43983</v>
      </c>
      <c r="AD361" s="202">
        <v>43994</v>
      </c>
      <c r="AE361" s="58">
        <v>43986</v>
      </c>
      <c r="AF361" s="58">
        <v>43986</v>
      </c>
      <c r="AG361" s="58" t="s">
        <v>75</v>
      </c>
      <c r="AH361" s="59">
        <v>1</v>
      </c>
      <c r="AI361" s="59">
        <v>1</v>
      </c>
      <c r="AJ361" s="59">
        <v>1</v>
      </c>
      <c r="AK361" s="58" t="s">
        <v>8</v>
      </c>
      <c r="AL361" s="14" t="s">
        <v>72</v>
      </c>
      <c r="AM361" s="14" t="s">
        <v>72</v>
      </c>
      <c r="AN361" s="181" t="s">
        <v>72</v>
      </c>
    </row>
    <row r="362" spans="2:40" ht="15">
      <c r="B362" s="170">
        <v>243</v>
      </c>
      <c r="C362" s="13">
        <v>20200601</v>
      </c>
      <c r="D362" s="13" t="s">
        <v>24</v>
      </c>
      <c r="E362" s="13" t="s">
        <v>2061</v>
      </c>
      <c r="F362" s="39" t="s">
        <v>2062</v>
      </c>
      <c r="G362" s="13">
        <v>1405309</v>
      </c>
      <c r="H362" s="164" t="s">
        <v>72</v>
      </c>
      <c r="I362" s="13" t="s">
        <v>2063</v>
      </c>
      <c r="J362" s="164" t="s">
        <v>72</v>
      </c>
      <c r="K362" s="13" t="s">
        <v>73</v>
      </c>
      <c r="L362" s="203" t="s">
        <v>2064</v>
      </c>
      <c r="M362" s="13" t="s">
        <v>2065</v>
      </c>
      <c r="N362" t="s">
        <v>2066</v>
      </c>
      <c r="O362" s="14" t="s">
        <v>72</v>
      </c>
      <c r="P362" s="13" t="s">
        <v>2067</v>
      </c>
      <c r="Q362" s="165"/>
      <c r="R362" s="164" t="s">
        <v>72</v>
      </c>
      <c r="S362" s="13" t="s">
        <v>77</v>
      </c>
      <c r="T362" s="13"/>
      <c r="U362" s="13"/>
      <c r="V362" s="13">
        <v>60</v>
      </c>
      <c r="W362" s="13">
        <v>60</v>
      </c>
      <c r="X362" s="13">
        <v>60</v>
      </c>
      <c r="Y362" s="13">
        <v>1.06</v>
      </c>
      <c r="Z362" s="13">
        <v>0.5</v>
      </c>
      <c r="AA362" s="13" t="s">
        <v>110</v>
      </c>
      <c r="AB362" s="58">
        <v>43987</v>
      </c>
      <c r="AC362" s="58">
        <v>43983</v>
      </c>
      <c r="AD362" s="58">
        <v>43987</v>
      </c>
      <c r="AE362" s="58">
        <v>43983</v>
      </c>
      <c r="AF362" s="58">
        <v>43983</v>
      </c>
      <c r="AG362" s="58" t="s">
        <v>75</v>
      </c>
      <c r="AH362" s="59">
        <v>1</v>
      </c>
      <c r="AI362" s="59">
        <v>1</v>
      </c>
      <c r="AJ362" s="59">
        <v>1</v>
      </c>
      <c r="AK362" s="58" t="s">
        <v>8</v>
      </c>
      <c r="AL362" s="14" t="s">
        <v>72</v>
      </c>
      <c r="AM362" s="14" t="s">
        <v>72</v>
      </c>
      <c r="AN362" s="181" t="s">
        <v>72</v>
      </c>
    </row>
    <row r="363" spans="2:40" ht="15">
      <c r="B363" s="170">
        <v>244</v>
      </c>
      <c r="C363" s="13">
        <v>20200601</v>
      </c>
      <c r="D363" s="13" t="s">
        <v>24</v>
      </c>
      <c r="E363" s="13" t="s">
        <v>2061</v>
      </c>
      <c r="F363" s="39" t="s">
        <v>2068</v>
      </c>
      <c r="G363" s="13">
        <v>1405309</v>
      </c>
      <c r="H363" s="164" t="s">
        <v>72</v>
      </c>
      <c r="I363" s="13" t="s">
        <v>54</v>
      </c>
      <c r="J363" s="164" t="s">
        <v>72</v>
      </c>
      <c r="K363" s="13" t="s">
        <v>73</v>
      </c>
      <c r="L363" s="151" t="s">
        <v>2064</v>
      </c>
      <c r="M363" s="13" t="s">
        <v>2065</v>
      </c>
      <c r="N363" s="13" t="s">
        <v>2066</v>
      </c>
      <c r="O363" s="14" t="s">
        <v>72</v>
      </c>
      <c r="P363" s="14" t="s">
        <v>2067</v>
      </c>
      <c r="Q363" s="165"/>
      <c r="R363" s="164" t="s">
        <v>72</v>
      </c>
      <c r="S363" s="13" t="s">
        <v>77</v>
      </c>
      <c r="T363" s="13"/>
      <c r="U363" s="13"/>
      <c r="V363" s="13">
        <v>177</v>
      </c>
      <c r="W363" s="13">
        <v>177</v>
      </c>
      <c r="X363" s="13">
        <v>177</v>
      </c>
      <c r="Y363" s="13">
        <v>3.14</v>
      </c>
      <c r="Z363" s="13">
        <v>0.4</v>
      </c>
      <c r="AA363" s="13" t="s">
        <v>110</v>
      </c>
      <c r="AB363" s="58">
        <v>43987</v>
      </c>
      <c r="AC363" s="58">
        <v>43983</v>
      </c>
      <c r="AD363" s="58">
        <v>43987</v>
      </c>
      <c r="AE363" s="58">
        <v>43983</v>
      </c>
      <c r="AF363" s="58">
        <v>43983</v>
      </c>
      <c r="AG363" s="58" t="s">
        <v>75</v>
      </c>
      <c r="AH363" s="59">
        <v>1</v>
      </c>
      <c r="AI363" s="59">
        <v>1</v>
      </c>
      <c r="AJ363" s="59">
        <v>1</v>
      </c>
      <c r="AK363" s="58" t="s">
        <v>8</v>
      </c>
      <c r="AL363" s="14" t="s">
        <v>72</v>
      </c>
      <c r="AM363" s="14" t="s">
        <v>72</v>
      </c>
      <c r="AN363" s="181" t="s">
        <v>72</v>
      </c>
    </row>
    <row r="364" spans="2:40" ht="15">
      <c r="B364" s="170">
        <v>245</v>
      </c>
      <c r="C364" s="13">
        <v>20200601</v>
      </c>
      <c r="D364" s="13" t="s">
        <v>24</v>
      </c>
      <c r="E364" s="13" t="s">
        <v>2069</v>
      </c>
      <c r="F364" s="39" t="s">
        <v>2070</v>
      </c>
      <c r="G364" s="13">
        <v>1491873</v>
      </c>
      <c r="H364" s="164" t="s">
        <v>72</v>
      </c>
      <c r="I364" s="13" t="s">
        <v>123</v>
      </c>
      <c r="J364" s="164" t="s">
        <v>72</v>
      </c>
      <c r="K364" s="13" t="s">
        <v>73</v>
      </c>
      <c r="L364" s="13" t="s">
        <v>2071</v>
      </c>
      <c r="M364" s="13" t="s">
        <v>2072</v>
      </c>
      <c r="N364" t="s">
        <v>6</v>
      </c>
      <c r="O364" s="14" t="s">
        <v>72</v>
      </c>
      <c r="P364" s="13" t="s">
        <v>876</v>
      </c>
      <c r="Q364" s="165"/>
      <c r="R364" s="164" t="s">
        <v>72</v>
      </c>
      <c r="S364" s="13" t="s">
        <v>117</v>
      </c>
      <c r="T364" s="13"/>
      <c r="U364" s="13"/>
      <c r="V364" s="13">
        <v>88</v>
      </c>
      <c r="W364" s="13">
        <v>88</v>
      </c>
      <c r="X364" s="13">
        <v>88</v>
      </c>
      <c r="Y364" s="13">
        <v>1.56</v>
      </c>
      <c r="Z364" s="13">
        <v>1</v>
      </c>
      <c r="AA364" s="13" t="s">
        <v>550</v>
      </c>
      <c r="AB364" s="58">
        <v>43987</v>
      </c>
      <c r="AC364" s="58">
        <v>43983</v>
      </c>
      <c r="AD364" s="58">
        <v>43986</v>
      </c>
      <c r="AE364" s="58">
        <v>43986</v>
      </c>
      <c r="AF364" s="58">
        <v>43986</v>
      </c>
      <c r="AG364" s="58" t="s">
        <v>75</v>
      </c>
      <c r="AH364" s="59">
        <v>1</v>
      </c>
      <c r="AI364" s="59">
        <v>1</v>
      </c>
      <c r="AJ364" s="59">
        <v>1</v>
      </c>
      <c r="AK364" s="58" t="s">
        <v>8</v>
      </c>
      <c r="AL364" s="14" t="s">
        <v>72</v>
      </c>
      <c r="AM364" s="14" t="s">
        <v>72</v>
      </c>
      <c r="AN364" s="14" t="s">
        <v>72</v>
      </c>
    </row>
    <row r="365" spans="2:40" ht="15">
      <c r="B365" s="170">
        <v>246</v>
      </c>
      <c r="C365" s="13">
        <v>20200601</v>
      </c>
      <c r="D365" s="13" t="s">
        <v>24</v>
      </c>
      <c r="E365" s="13" t="s">
        <v>2069</v>
      </c>
      <c r="F365" s="39" t="s">
        <v>878</v>
      </c>
      <c r="G365" s="13">
        <v>1491873</v>
      </c>
      <c r="H365" s="164" t="s">
        <v>72</v>
      </c>
      <c r="I365" s="13" t="s">
        <v>123</v>
      </c>
      <c r="J365" s="164" t="s">
        <v>72</v>
      </c>
      <c r="K365" s="13" t="s">
        <v>73</v>
      </c>
      <c r="L365" s="13" t="s">
        <v>2071</v>
      </c>
      <c r="M365" s="13" t="s">
        <v>2072</v>
      </c>
      <c r="N365" s="13" t="s">
        <v>6</v>
      </c>
      <c r="O365" s="14" t="s">
        <v>72</v>
      </c>
      <c r="P365" s="14" t="s">
        <v>876</v>
      </c>
      <c r="Q365" s="165"/>
      <c r="R365" s="164" t="s">
        <v>72</v>
      </c>
      <c r="S365" s="13" t="s">
        <v>117</v>
      </c>
      <c r="T365" s="13"/>
      <c r="U365" s="13"/>
      <c r="V365" s="13">
        <v>88</v>
      </c>
      <c r="W365" s="13">
        <v>88</v>
      </c>
      <c r="X365" s="13">
        <v>88</v>
      </c>
      <c r="Y365" s="13">
        <v>1.56</v>
      </c>
      <c r="Z365" s="13">
        <v>1</v>
      </c>
      <c r="AA365" s="13" t="s">
        <v>550</v>
      </c>
      <c r="AB365" s="58">
        <v>43987</v>
      </c>
      <c r="AC365" s="58">
        <v>43983</v>
      </c>
      <c r="AD365" s="58">
        <v>43986</v>
      </c>
      <c r="AE365" s="58">
        <v>43986</v>
      </c>
      <c r="AF365" s="58">
        <v>43986</v>
      </c>
      <c r="AG365" s="58" t="s">
        <v>75</v>
      </c>
      <c r="AH365" s="59">
        <v>1</v>
      </c>
      <c r="AI365" s="59">
        <v>1</v>
      </c>
      <c r="AJ365" s="59">
        <v>1</v>
      </c>
      <c r="AK365" s="58" t="s">
        <v>8</v>
      </c>
      <c r="AL365" s="14" t="s">
        <v>72</v>
      </c>
      <c r="AM365" s="14" t="s">
        <v>72</v>
      </c>
      <c r="AN365" s="14" t="s">
        <v>72</v>
      </c>
    </row>
    <row r="366" spans="2:40" ht="15">
      <c r="B366" s="170">
        <v>247</v>
      </c>
      <c r="C366" s="13">
        <v>20200601</v>
      </c>
      <c r="D366" s="13" t="s">
        <v>24</v>
      </c>
      <c r="E366" s="13" t="s">
        <v>2069</v>
      </c>
      <c r="F366" s="39" t="s">
        <v>2070</v>
      </c>
      <c r="G366" s="13">
        <v>1475836</v>
      </c>
      <c r="H366" s="164" t="s">
        <v>72</v>
      </c>
      <c r="I366" s="13" t="s">
        <v>123</v>
      </c>
      <c r="J366" s="164" t="s">
        <v>72</v>
      </c>
      <c r="K366" s="13" t="s">
        <v>73</v>
      </c>
      <c r="L366" s="13" t="s">
        <v>1961</v>
      </c>
      <c r="M366" s="13" t="s">
        <v>2072</v>
      </c>
      <c r="N366" s="13" t="s">
        <v>6</v>
      </c>
      <c r="O366" s="14" t="s">
        <v>72</v>
      </c>
      <c r="P366" s="14" t="s">
        <v>876</v>
      </c>
      <c r="Q366" s="165"/>
      <c r="R366" s="164" t="s">
        <v>72</v>
      </c>
      <c r="S366" s="13" t="s">
        <v>117</v>
      </c>
      <c r="T366" s="13"/>
      <c r="U366" s="13"/>
      <c r="V366" s="13">
        <v>88</v>
      </c>
      <c r="W366" s="13">
        <v>88</v>
      </c>
      <c r="X366" s="13">
        <v>88</v>
      </c>
      <c r="Y366" s="13">
        <v>1.56</v>
      </c>
      <c r="Z366" s="13">
        <v>1</v>
      </c>
      <c r="AA366" s="13" t="s">
        <v>550</v>
      </c>
      <c r="AB366" s="58">
        <v>43990</v>
      </c>
      <c r="AC366" s="58">
        <v>43983</v>
      </c>
      <c r="AD366" s="202">
        <v>43994</v>
      </c>
      <c r="AE366" s="58">
        <v>43990</v>
      </c>
      <c r="AF366" s="58">
        <v>43990</v>
      </c>
      <c r="AG366" s="58" t="s">
        <v>75</v>
      </c>
      <c r="AH366" s="59">
        <v>1</v>
      </c>
      <c r="AI366" s="59">
        <v>1</v>
      </c>
      <c r="AJ366" s="59">
        <v>1</v>
      </c>
      <c r="AK366" s="58" t="s">
        <v>8</v>
      </c>
      <c r="AL366" s="14" t="s">
        <v>72</v>
      </c>
      <c r="AM366" s="14" t="s">
        <v>72</v>
      </c>
      <c r="AN366" s="14" t="s">
        <v>72</v>
      </c>
    </row>
    <row r="367" spans="2:40" ht="15">
      <c r="B367" s="170">
        <v>248</v>
      </c>
      <c r="C367" s="13">
        <v>20200601</v>
      </c>
      <c r="D367" s="13" t="s">
        <v>24</v>
      </c>
      <c r="E367" s="13" t="s">
        <v>581</v>
      </c>
      <c r="F367" s="39" t="s">
        <v>804</v>
      </c>
      <c r="G367" s="13">
        <v>1460517</v>
      </c>
      <c r="H367" s="164" t="s">
        <v>72</v>
      </c>
      <c r="I367" s="13" t="s">
        <v>805</v>
      </c>
      <c r="J367" s="164" t="s">
        <v>72</v>
      </c>
      <c r="K367" s="13" t="s">
        <v>73</v>
      </c>
      <c r="L367" s="13" t="s">
        <v>2073</v>
      </c>
      <c r="M367" s="13" t="s">
        <v>585</v>
      </c>
      <c r="N367" s="13" t="s">
        <v>586</v>
      </c>
      <c r="O367" s="14" t="s">
        <v>72</v>
      </c>
      <c r="P367" s="14" t="s">
        <v>806</v>
      </c>
      <c r="Q367" s="165"/>
      <c r="R367" s="164" t="s">
        <v>72</v>
      </c>
      <c r="S367" s="13" t="s">
        <v>77</v>
      </c>
      <c r="T367" s="13"/>
      <c r="U367" s="13"/>
      <c r="V367" s="13">
        <v>1209</v>
      </c>
      <c r="W367" s="13">
        <v>1209</v>
      </c>
      <c r="X367" s="13">
        <v>1209</v>
      </c>
      <c r="Y367" s="13">
        <v>21.49</v>
      </c>
      <c r="Z367" s="13">
        <v>0.5</v>
      </c>
      <c r="AA367" s="13" t="s">
        <v>550</v>
      </c>
      <c r="AB367" s="58">
        <v>43985</v>
      </c>
      <c r="AC367" s="58">
        <v>43983</v>
      </c>
      <c r="AD367" s="58">
        <v>43985</v>
      </c>
      <c r="AE367" s="58">
        <v>43983</v>
      </c>
      <c r="AF367" s="58">
        <v>43983</v>
      </c>
      <c r="AG367" s="58" t="s">
        <v>75</v>
      </c>
      <c r="AH367" s="59">
        <v>1</v>
      </c>
      <c r="AI367" s="59">
        <v>1</v>
      </c>
      <c r="AJ367" s="59">
        <v>1</v>
      </c>
      <c r="AK367" s="58" t="s">
        <v>8</v>
      </c>
      <c r="AL367" s="14" t="s">
        <v>72</v>
      </c>
      <c r="AM367" s="14" t="s">
        <v>72</v>
      </c>
      <c r="AN367" s="181" t="s">
        <v>72</v>
      </c>
    </row>
    <row r="368" spans="2:40" ht="15">
      <c r="B368" s="170">
        <v>249</v>
      </c>
      <c r="C368" s="13">
        <v>20200601</v>
      </c>
      <c r="D368" s="13" t="s">
        <v>24</v>
      </c>
      <c r="E368" s="13" t="s">
        <v>581</v>
      </c>
      <c r="F368" s="39" t="s">
        <v>2074</v>
      </c>
      <c r="G368" s="13">
        <v>1460517</v>
      </c>
      <c r="H368" s="164" t="s">
        <v>72</v>
      </c>
      <c r="I368" s="13" t="s">
        <v>2075</v>
      </c>
      <c r="J368" s="164" t="s">
        <v>72</v>
      </c>
      <c r="K368" s="13" t="s">
        <v>73</v>
      </c>
      <c r="L368" s="13" t="s">
        <v>2073</v>
      </c>
      <c r="M368" s="13" t="s">
        <v>585</v>
      </c>
      <c r="N368" s="13" t="s">
        <v>586</v>
      </c>
      <c r="O368" s="14" t="s">
        <v>72</v>
      </c>
      <c r="P368" s="14" t="s">
        <v>806</v>
      </c>
      <c r="Q368" s="165"/>
      <c r="R368" s="164" t="s">
        <v>72</v>
      </c>
      <c r="S368" s="13" t="s">
        <v>77</v>
      </c>
      <c r="T368" s="13"/>
      <c r="U368" s="13"/>
      <c r="V368" s="13">
        <v>48</v>
      </c>
      <c r="W368" s="13">
        <v>48</v>
      </c>
      <c r="X368" s="13">
        <v>48</v>
      </c>
      <c r="Y368" s="13">
        <v>0.85</v>
      </c>
      <c r="Z368" s="13">
        <v>0.2</v>
      </c>
      <c r="AA368" s="13" t="s">
        <v>550</v>
      </c>
      <c r="AB368" s="58">
        <v>43985</v>
      </c>
      <c r="AC368" s="58">
        <v>43983</v>
      </c>
      <c r="AD368" s="58">
        <v>43985</v>
      </c>
      <c r="AE368" s="58">
        <v>43983</v>
      </c>
      <c r="AF368" s="58">
        <v>43983</v>
      </c>
      <c r="AG368" s="58" t="s">
        <v>75</v>
      </c>
      <c r="AH368" s="59">
        <v>1</v>
      </c>
      <c r="AI368" s="59">
        <v>1</v>
      </c>
      <c r="AJ368" s="59">
        <v>1</v>
      </c>
      <c r="AK368" s="58" t="s">
        <v>8</v>
      </c>
      <c r="AL368" s="14" t="s">
        <v>72</v>
      </c>
      <c r="AM368" s="14" t="s">
        <v>72</v>
      </c>
      <c r="AN368" s="181" t="s">
        <v>72</v>
      </c>
    </row>
    <row r="369" spans="2:40" ht="15">
      <c r="B369" s="170">
        <v>250</v>
      </c>
      <c r="C369" s="13">
        <v>20200601</v>
      </c>
      <c r="D369" s="13" t="s">
        <v>24</v>
      </c>
      <c r="E369" s="13" t="s">
        <v>1959</v>
      </c>
      <c r="F369" s="39" t="s">
        <v>2076</v>
      </c>
      <c r="G369" s="13">
        <v>1465424</v>
      </c>
      <c r="H369" s="164" t="s">
        <v>72</v>
      </c>
      <c r="I369" s="13" t="s">
        <v>1117</v>
      </c>
      <c r="J369" s="164" t="s">
        <v>72</v>
      </c>
      <c r="K369" s="13" t="s">
        <v>73</v>
      </c>
      <c r="L369" s="13" t="s">
        <v>8</v>
      </c>
      <c r="M369" s="13" t="s">
        <v>19</v>
      </c>
      <c r="N369" s="13" t="s">
        <v>6</v>
      </c>
      <c r="O369" s="14" t="s">
        <v>72</v>
      </c>
      <c r="P369" s="14" t="s">
        <v>4</v>
      </c>
      <c r="Q369" s="165"/>
      <c r="R369" s="164" t="s">
        <v>72</v>
      </c>
      <c r="S369" s="13" t="s">
        <v>113</v>
      </c>
      <c r="T369" s="13"/>
      <c r="U369" s="13"/>
      <c r="V369" s="13">
        <v>200</v>
      </c>
      <c r="W369" s="13">
        <v>200</v>
      </c>
      <c r="X369" s="13">
        <v>200</v>
      </c>
      <c r="Y369" s="13">
        <v>3.55</v>
      </c>
      <c r="Z369" s="13">
        <v>3.55</v>
      </c>
      <c r="AA369" s="13" t="s">
        <v>550</v>
      </c>
      <c r="AB369" s="58">
        <v>43987</v>
      </c>
      <c r="AC369" s="58">
        <v>43983</v>
      </c>
      <c r="AD369" s="58">
        <v>43986</v>
      </c>
      <c r="AE369" s="58">
        <v>43984</v>
      </c>
      <c r="AF369" s="58">
        <v>43984</v>
      </c>
      <c r="AG369" s="58" t="s">
        <v>75</v>
      </c>
      <c r="AH369" s="59">
        <v>1</v>
      </c>
      <c r="AI369" s="59">
        <v>1</v>
      </c>
      <c r="AJ369" s="59">
        <v>1</v>
      </c>
      <c r="AK369" s="58" t="s">
        <v>8</v>
      </c>
      <c r="AL369" s="13"/>
      <c r="AM369" s="13"/>
      <c r="AN369" s="13"/>
    </row>
    <row r="370" spans="2:40" ht="15">
      <c r="B370" s="170">
        <v>251</v>
      </c>
      <c r="C370" s="13">
        <v>20200601</v>
      </c>
      <c r="D370" s="13" t="s">
        <v>24</v>
      </c>
      <c r="E370" s="13" t="s">
        <v>1959</v>
      </c>
      <c r="F370" s="39" t="s">
        <v>2077</v>
      </c>
      <c r="G370" s="13">
        <v>1465424</v>
      </c>
      <c r="H370" s="164" t="s">
        <v>72</v>
      </c>
      <c r="I370" s="13" t="s">
        <v>2078</v>
      </c>
      <c r="J370" s="164" t="s">
        <v>72</v>
      </c>
      <c r="K370" s="13" t="s">
        <v>73</v>
      </c>
      <c r="L370" s="13" t="s">
        <v>8</v>
      </c>
      <c r="M370" s="13" t="s">
        <v>19</v>
      </c>
      <c r="N370" s="13" t="s">
        <v>6</v>
      </c>
      <c r="O370" s="14" t="s">
        <v>72</v>
      </c>
      <c r="P370" s="14" t="s">
        <v>4</v>
      </c>
      <c r="Q370" s="165"/>
      <c r="R370" s="164" t="s">
        <v>72</v>
      </c>
      <c r="S370" s="13" t="s">
        <v>113</v>
      </c>
      <c r="T370" s="13"/>
      <c r="U370" s="13"/>
      <c r="V370" s="13">
        <v>61</v>
      </c>
      <c r="W370" s="13">
        <v>61</v>
      </c>
      <c r="X370" s="13">
        <v>61</v>
      </c>
      <c r="Y370" s="13">
        <v>1.08</v>
      </c>
      <c r="Z370" s="13">
        <v>1.08</v>
      </c>
      <c r="AA370" s="13" t="s">
        <v>550</v>
      </c>
      <c r="AB370" s="58">
        <v>43987</v>
      </c>
      <c r="AC370" s="58">
        <v>43983</v>
      </c>
      <c r="AD370" s="58">
        <v>43986</v>
      </c>
      <c r="AE370" s="58">
        <v>43984</v>
      </c>
      <c r="AF370" s="58">
        <v>43984</v>
      </c>
      <c r="AG370" s="58" t="s">
        <v>75</v>
      </c>
      <c r="AH370" s="59">
        <v>1</v>
      </c>
      <c r="AI370" s="59">
        <v>1</v>
      </c>
      <c r="AJ370" s="59">
        <v>1</v>
      </c>
      <c r="AK370" s="58" t="s">
        <v>8</v>
      </c>
      <c r="AL370" s="13"/>
      <c r="AM370" s="13"/>
      <c r="AN370" s="13"/>
    </row>
    <row r="371" spans="2:40" ht="15">
      <c r="B371" s="170">
        <v>252</v>
      </c>
      <c r="C371" s="13">
        <v>20200601</v>
      </c>
      <c r="D371" s="13" t="s">
        <v>24</v>
      </c>
      <c r="E371" s="13" t="s">
        <v>1959</v>
      </c>
      <c r="F371" s="39" t="s">
        <v>2079</v>
      </c>
      <c r="G371" s="13">
        <v>1465424</v>
      </c>
      <c r="H371" s="164" t="s">
        <v>72</v>
      </c>
      <c r="I371" s="13" t="s">
        <v>2080</v>
      </c>
      <c r="J371" s="164" t="s">
        <v>72</v>
      </c>
      <c r="K371" s="13" t="s">
        <v>73</v>
      </c>
      <c r="L371" s="13" t="s">
        <v>8</v>
      </c>
      <c r="M371" s="13" t="s">
        <v>19</v>
      </c>
      <c r="N371" s="13" t="s">
        <v>6</v>
      </c>
      <c r="O371" s="14" t="s">
        <v>72</v>
      </c>
      <c r="P371" s="14" t="s">
        <v>4</v>
      </c>
      <c r="Q371" s="165"/>
      <c r="R371" s="164" t="s">
        <v>72</v>
      </c>
      <c r="S371" s="13" t="s">
        <v>109</v>
      </c>
      <c r="T371" s="13"/>
      <c r="U371" s="13"/>
      <c r="V371" s="13">
        <v>238</v>
      </c>
      <c r="W371" s="13">
        <v>238</v>
      </c>
      <c r="X371" s="13">
        <v>238</v>
      </c>
      <c r="Y371" s="13">
        <v>4.2300000000000004</v>
      </c>
      <c r="Z371" s="13">
        <v>2</v>
      </c>
      <c r="AA371" s="13" t="s">
        <v>550</v>
      </c>
      <c r="AB371" s="58">
        <v>43987</v>
      </c>
      <c r="AC371" s="58">
        <v>43983</v>
      </c>
      <c r="AD371" s="58">
        <v>43986</v>
      </c>
      <c r="AE371" s="58">
        <v>43986</v>
      </c>
      <c r="AF371" s="58">
        <v>43986</v>
      </c>
      <c r="AG371" s="58" t="s">
        <v>75</v>
      </c>
      <c r="AH371" s="59">
        <v>1</v>
      </c>
      <c r="AI371" s="59">
        <v>1</v>
      </c>
      <c r="AJ371" s="59">
        <v>1</v>
      </c>
      <c r="AK371" s="58" t="s">
        <v>8</v>
      </c>
      <c r="AL371" s="13"/>
      <c r="AM371" s="13"/>
      <c r="AN371" s="13"/>
    </row>
    <row r="372" spans="2:40" ht="15">
      <c r="B372" s="170">
        <v>253</v>
      </c>
      <c r="C372" s="13">
        <v>20200601</v>
      </c>
      <c r="D372" s="13" t="s">
        <v>24</v>
      </c>
      <c r="E372" s="13" t="s">
        <v>1959</v>
      </c>
      <c r="F372" s="39" t="s">
        <v>2081</v>
      </c>
      <c r="G372" s="13">
        <v>1465424</v>
      </c>
      <c r="H372" s="164" t="s">
        <v>72</v>
      </c>
      <c r="I372" s="13" t="s">
        <v>2082</v>
      </c>
      <c r="J372" s="164" t="s">
        <v>72</v>
      </c>
      <c r="K372" s="13" t="s">
        <v>73</v>
      </c>
      <c r="L372" s="13" t="s">
        <v>8</v>
      </c>
      <c r="M372" s="13" t="s">
        <v>19</v>
      </c>
      <c r="N372" s="13" t="s">
        <v>6</v>
      </c>
      <c r="O372" s="14" t="s">
        <v>72</v>
      </c>
      <c r="P372" s="14" t="s">
        <v>4</v>
      </c>
      <c r="Q372" s="165"/>
      <c r="R372" s="164" t="s">
        <v>72</v>
      </c>
      <c r="S372" s="13" t="s">
        <v>113</v>
      </c>
      <c r="T372" s="13"/>
      <c r="U372" s="13"/>
      <c r="V372" s="13">
        <v>163</v>
      </c>
      <c r="W372" s="13">
        <v>163</v>
      </c>
      <c r="X372" s="13">
        <v>163</v>
      </c>
      <c r="Y372" s="13">
        <v>2.89</v>
      </c>
      <c r="Z372" s="13">
        <v>2.89</v>
      </c>
      <c r="AA372" s="13" t="s">
        <v>550</v>
      </c>
      <c r="AB372" s="58">
        <v>43987</v>
      </c>
      <c r="AC372" s="58">
        <v>43983</v>
      </c>
      <c r="AD372" s="58">
        <v>43986</v>
      </c>
      <c r="AE372" s="58">
        <v>43985</v>
      </c>
      <c r="AF372" s="58">
        <v>43985</v>
      </c>
      <c r="AG372" s="58" t="s">
        <v>75</v>
      </c>
      <c r="AH372" s="59">
        <v>1</v>
      </c>
      <c r="AI372" s="59">
        <v>1</v>
      </c>
      <c r="AJ372" s="59">
        <v>1</v>
      </c>
      <c r="AK372" s="58" t="s">
        <v>8</v>
      </c>
      <c r="AL372" s="13"/>
      <c r="AM372" s="13"/>
      <c r="AN372" s="13"/>
    </row>
    <row r="373" spans="2:40" ht="15">
      <c r="B373" s="170">
        <v>254</v>
      </c>
      <c r="C373" s="13">
        <v>20200601</v>
      </c>
      <c r="D373" s="13" t="s">
        <v>24</v>
      </c>
      <c r="E373" s="13" t="s">
        <v>1959</v>
      </c>
      <c r="F373" s="39" t="s">
        <v>2083</v>
      </c>
      <c r="G373" s="13">
        <v>1465424</v>
      </c>
      <c r="H373" s="164" t="s">
        <v>72</v>
      </c>
      <c r="I373" s="13" t="s">
        <v>2084</v>
      </c>
      <c r="J373" s="164" t="s">
        <v>72</v>
      </c>
      <c r="K373" s="13" t="s">
        <v>73</v>
      </c>
      <c r="L373" s="13" t="s">
        <v>8</v>
      </c>
      <c r="M373" s="13" t="s">
        <v>19</v>
      </c>
      <c r="N373" s="13" t="s">
        <v>6</v>
      </c>
      <c r="O373" s="14" t="s">
        <v>72</v>
      </c>
      <c r="P373" s="14" t="s">
        <v>4</v>
      </c>
      <c r="Q373" s="165"/>
      <c r="R373" s="164" t="s">
        <v>72</v>
      </c>
      <c r="S373" s="13" t="s">
        <v>113</v>
      </c>
      <c r="T373" s="13"/>
      <c r="U373" s="13"/>
      <c r="V373" s="13">
        <v>88</v>
      </c>
      <c r="W373" s="13">
        <v>88</v>
      </c>
      <c r="X373" s="13">
        <v>88</v>
      </c>
      <c r="Y373" s="13">
        <v>1.56</v>
      </c>
      <c r="Z373" s="13">
        <v>1.56</v>
      </c>
      <c r="AA373" s="13" t="s">
        <v>550</v>
      </c>
      <c r="AB373" s="58">
        <v>43987</v>
      </c>
      <c r="AC373" s="58">
        <v>43983</v>
      </c>
      <c r="AD373" s="58">
        <v>43986</v>
      </c>
      <c r="AE373" s="58">
        <v>43985</v>
      </c>
      <c r="AF373" s="58">
        <v>43985</v>
      </c>
      <c r="AG373" s="58" t="s">
        <v>75</v>
      </c>
      <c r="AH373" s="59">
        <v>1</v>
      </c>
      <c r="AI373" s="59">
        <v>1</v>
      </c>
      <c r="AJ373" s="59">
        <v>1</v>
      </c>
      <c r="AK373" s="58" t="s">
        <v>8</v>
      </c>
      <c r="AL373" s="13"/>
      <c r="AM373" s="13"/>
      <c r="AN373" s="13"/>
    </row>
    <row r="374" spans="2:40" ht="15">
      <c r="B374" s="170">
        <v>255</v>
      </c>
      <c r="C374" s="13">
        <v>20200601</v>
      </c>
      <c r="D374" s="13" t="s">
        <v>24</v>
      </c>
      <c r="E374" s="13" t="s">
        <v>1959</v>
      </c>
      <c r="F374" s="39" t="s">
        <v>2085</v>
      </c>
      <c r="G374" s="13">
        <v>1465424</v>
      </c>
      <c r="H374" s="164" t="s">
        <v>72</v>
      </c>
      <c r="I374" s="13" t="s">
        <v>2086</v>
      </c>
      <c r="J374" s="164" t="s">
        <v>72</v>
      </c>
      <c r="K374" s="13" t="s">
        <v>73</v>
      </c>
      <c r="L374" s="13" t="s">
        <v>8</v>
      </c>
      <c r="M374" s="13" t="s">
        <v>19</v>
      </c>
      <c r="N374" s="13" t="s">
        <v>6</v>
      </c>
      <c r="O374" s="14" t="s">
        <v>72</v>
      </c>
      <c r="P374" s="14" t="s">
        <v>4</v>
      </c>
      <c r="Q374" s="165"/>
      <c r="R374" s="164" t="s">
        <v>72</v>
      </c>
      <c r="S374" s="13" t="s">
        <v>113</v>
      </c>
      <c r="T374" s="13"/>
      <c r="U374" s="13"/>
      <c r="V374" s="13">
        <v>197</v>
      </c>
      <c r="W374" s="13">
        <v>197</v>
      </c>
      <c r="X374" s="13">
        <v>197</v>
      </c>
      <c r="Y374" s="13">
        <v>3.5</v>
      </c>
      <c r="Z374" s="13">
        <v>3.5</v>
      </c>
      <c r="AA374" s="13" t="s">
        <v>550</v>
      </c>
      <c r="AB374" s="58">
        <v>43987</v>
      </c>
      <c r="AC374" s="58">
        <v>43983</v>
      </c>
      <c r="AD374" s="58">
        <v>43986</v>
      </c>
      <c r="AE374" s="58">
        <v>43985</v>
      </c>
      <c r="AF374" s="58">
        <v>43985</v>
      </c>
      <c r="AG374" s="58" t="s">
        <v>75</v>
      </c>
      <c r="AH374" s="59">
        <v>1</v>
      </c>
      <c r="AI374" s="59">
        <v>1</v>
      </c>
      <c r="AJ374" s="59">
        <v>1</v>
      </c>
      <c r="AK374" s="58" t="s">
        <v>8</v>
      </c>
      <c r="AL374" s="13"/>
      <c r="AM374" s="13"/>
      <c r="AN374" s="13"/>
    </row>
    <row r="375" spans="2:40" ht="15">
      <c r="B375" s="170">
        <v>256</v>
      </c>
      <c r="C375" s="13">
        <v>20200601</v>
      </c>
      <c r="D375" s="13" t="s">
        <v>24</v>
      </c>
      <c r="E375" s="13" t="s">
        <v>1959</v>
      </c>
      <c r="F375" s="39" t="s">
        <v>2087</v>
      </c>
      <c r="G375" s="13">
        <v>1465424</v>
      </c>
      <c r="H375" s="164" t="s">
        <v>72</v>
      </c>
      <c r="I375" s="13" t="s">
        <v>2088</v>
      </c>
      <c r="J375" s="164" t="s">
        <v>72</v>
      </c>
      <c r="K375" s="13" t="s">
        <v>73</v>
      </c>
      <c r="L375" s="13" t="s">
        <v>8</v>
      </c>
      <c r="M375" s="13" t="s">
        <v>19</v>
      </c>
      <c r="N375" s="13" t="s">
        <v>6</v>
      </c>
      <c r="O375" s="14" t="s">
        <v>72</v>
      </c>
      <c r="P375" s="14" t="s">
        <v>4</v>
      </c>
      <c r="Q375" s="165"/>
      <c r="R375" s="164" t="s">
        <v>72</v>
      </c>
      <c r="S375" s="13" t="s">
        <v>113</v>
      </c>
      <c r="T375" s="13"/>
      <c r="U375" s="13"/>
      <c r="V375" s="13">
        <v>26</v>
      </c>
      <c r="W375" s="13">
        <v>26</v>
      </c>
      <c r="X375" s="13">
        <v>26</v>
      </c>
      <c r="Y375" s="13">
        <v>0.46</v>
      </c>
      <c r="Z375" s="13">
        <v>0.46</v>
      </c>
      <c r="AA375" s="13" t="s">
        <v>550</v>
      </c>
      <c r="AB375" s="58">
        <v>43987</v>
      </c>
      <c r="AC375" s="58">
        <v>43983</v>
      </c>
      <c r="AD375" s="58">
        <v>43986</v>
      </c>
      <c r="AE375" s="58">
        <v>43985</v>
      </c>
      <c r="AF375" s="58">
        <v>43985</v>
      </c>
      <c r="AG375" s="58" t="s">
        <v>75</v>
      </c>
      <c r="AH375" s="59">
        <v>1</v>
      </c>
      <c r="AI375" s="59">
        <v>1</v>
      </c>
      <c r="AJ375" s="59">
        <v>1</v>
      </c>
      <c r="AK375" s="58" t="s">
        <v>8</v>
      </c>
      <c r="AL375" s="13"/>
      <c r="AM375" s="13"/>
      <c r="AN375" s="13"/>
    </row>
    <row r="376" spans="2:40" ht="15">
      <c r="B376" s="170">
        <v>257</v>
      </c>
      <c r="C376" s="13">
        <v>20200601</v>
      </c>
      <c r="D376" s="13" t="s">
        <v>24</v>
      </c>
      <c r="E376" s="13" t="s">
        <v>1959</v>
      </c>
      <c r="F376" s="39" t="s">
        <v>2089</v>
      </c>
      <c r="G376" s="13">
        <v>1465424</v>
      </c>
      <c r="H376" s="164" t="s">
        <v>72</v>
      </c>
      <c r="I376" s="13" t="s">
        <v>1272</v>
      </c>
      <c r="J376" s="164" t="s">
        <v>72</v>
      </c>
      <c r="K376" s="13" t="s">
        <v>73</v>
      </c>
      <c r="L376" s="13" t="s">
        <v>8</v>
      </c>
      <c r="M376" s="13" t="s">
        <v>19</v>
      </c>
      <c r="N376" s="13" t="s">
        <v>6</v>
      </c>
      <c r="O376" s="14" t="s">
        <v>72</v>
      </c>
      <c r="P376" s="14" t="s">
        <v>4</v>
      </c>
      <c r="Q376" s="165"/>
      <c r="R376" s="164" t="s">
        <v>72</v>
      </c>
      <c r="S376" s="13" t="s">
        <v>113</v>
      </c>
      <c r="T376" s="13"/>
      <c r="U376" s="13"/>
      <c r="V376" s="13">
        <v>128</v>
      </c>
      <c r="W376" s="13">
        <v>128</v>
      </c>
      <c r="X376" s="13">
        <v>128</v>
      </c>
      <c r="Y376" s="13">
        <v>2.27</v>
      </c>
      <c r="Z376" s="13">
        <v>2.27</v>
      </c>
      <c r="AA376" s="13" t="s">
        <v>550</v>
      </c>
      <c r="AB376" s="58">
        <v>43987</v>
      </c>
      <c r="AC376" s="58">
        <v>43983</v>
      </c>
      <c r="AD376" s="58">
        <v>43986</v>
      </c>
      <c r="AE376" s="58">
        <v>43985</v>
      </c>
      <c r="AF376" s="58">
        <v>43985</v>
      </c>
      <c r="AG376" s="58" t="s">
        <v>75</v>
      </c>
      <c r="AH376" s="59">
        <v>1</v>
      </c>
      <c r="AI376" s="59">
        <v>1</v>
      </c>
      <c r="AJ376" s="59">
        <v>1</v>
      </c>
      <c r="AK376" s="58" t="s">
        <v>8</v>
      </c>
      <c r="AL376" s="13"/>
      <c r="AM376" s="13"/>
      <c r="AN376" s="13"/>
    </row>
    <row r="377" spans="2:40" ht="15">
      <c r="B377" s="170">
        <v>258</v>
      </c>
      <c r="C377" s="13">
        <v>20200601</v>
      </c>
      <c r="D377" s="13" t="s">
        <v>24</v>
      </c>
      <c r="E377" s="13" t="s">
        <v>1959</v>
      </c>
      <c r="F377" s="39" t="s">
        <v>605</v>
      </c>
      <c r="G377" s="13">
        <v>1465424</v>
      </c>
      <c r="H377" s="164" t="s">
        <v>72</v>
      </c>
      <c r="I377" s="13" t="s">
        <v>20</v>
      </c>
      <c r="J377" s="164" t="s">
        <v>72</v>
      </c>
      <c r="K377" s="13" t="s">
        <v>73</v>
      </c>
      <c r="L377" s="13" t="s">
        <v>8</v>
      </c>
      <c r="M377" s="13" t="s">
        <v>19</v>
      </c>
      <c r="N377" s="13" t="s">
        <v>6</v>
      </c>
      <c r="O377" s="14" t="s">
        <v>72</v>
      </c>
      <c r="P377" s="14" t="s">
        <v>4</v>
      </c>
      <c r="Q377" s="165"/>
      <c r="R377" s="164" t="s">
        <v>72</v>
      </c>
      <c r="S377" s="13" t="s">
        <v>113</v>
      </c>
      <c r="T377" s="13"/>
      <c r="U377" s="13"/>
      <c r="V377" s="13">
        <v>726</v>
      </c>
      <c r="W377" s="13">
        <v>726</v>
      </c>
      <c r="X377" s="13">
        <v>726</v>
      </c>
      <c r="Y377" s="13">
        <v>12.9</v>
      </c>
      <c r="Z377" s="13">
        <v>12.9</v>
      </c>
      <c r="AA377" s="13" t="s">
        <v>550</v>
      </c>
      <c r="AB377" s="58">
        <v>43987</v>
      </c>
      <c r="AC377" s="58">
        <v>43983</v>
      </c>
      <c r="AD377" s="58">
        <v>43986</v>
      </c>
      <c r="AE377" s="58">
        <v>43984</v>
      </c>
      <c r="AF377" s="58">
        <v>43984</v>
      </c>
      <c r="AG377" s="58" t="s">
        <v>79</v>
      </c>
      <c r="AH377" s="59">
        <v>1</v>
      </c>
      <c r="AI377" s="59">
        <v>1</v>
      </c>
      <c r="AJ377" s="59">
        <v>0.8</v>
      </c>
      <c r="AK377" s="58" t="s">
        <v>76</v>
      </c>
      <c r="AL377" s="13" t="s">
        <v>2090</v>
      </c>
      <c r="AM377" s="13"/>
      <c r="AN377" s="13" t="s">
        <v>2091</v>
      </c>
    </row>
    <row r="378" spans="2:40" ht="15">
      <c r="B378" s="170">
        <v>259</v>
      </c>
      <c r="C378" s="13">
        <v>20200601</v>
      </c>
      <c r="D378" s="13" t="s">
        <v>24</v>
      </c>
      <c r="E378" s="13" t="s">
        <v>1959</v>
      </c>
      <c r="F378" s="39" t="s">
        <v>1124</v>
      </c>
      <c r="G378" s="13">
        <v>1465424</v>
      </c>
      <c r="H378" s="164" t="s">
        <v>72</v>
      </c>
      <c r="I378" s="13" t="s">
        <v>751</v>
      </c>
      <c r="J378" s="164" t="s">
        <v>72</v>
      </c>
      <c r="K378" s="13" t="s">
        <v>73</v>
      </c>
      <c r="L378" s="13" t="s">
        <v>8</v>
      </c>
      <c r="M378" s="13" t="s">
        <v>19</v>
      </c>
      <c r="N378" s="13" t="s">
        <v>6</v>
      </c>
      <c r="O378" s="14" t="s">
        <v>72</v>
      </c>
      <c r="P378" s="14" t="s">
        <v>4</v>
      </c>
      <c r="Q378" s="165"/>
      <c r="R378" s="164" t="s">
        <v>72</v>
      </c>
      <c r="S378" s="13" t="s">
        <v>109</v>
      </c>
      <c r="T378" s="13"/>
      <c r="U378" s="13"/>
      <c r="V378" s="13">
        <v>367</v>
      </c>
      <c r="W378" s="13">
        <v>367</v>
      </c>
      <c r="X378" s="13">
        <v>367</v>
      </c>
      <c r="Y378" s="13">
        <v>6.52</v>
      </c>
      <c r="Z378" s="13">
        <v>1</v>
      </c>
      <c r="AA378" s="13" t="s">
        <v>550</v>
      </c>
      <c r="AB378" s="58">
        <v>43987</v>
      </c>
      <c r="AC378" s="58">
        <v>43983</v>
      </c>
      <c r="AD378" s="58">
        <v>43986</v>
      </c>
      <c r="AE378" s="58">
        <v>43983</v>
      </c>
      <c r="AF378" s="58">
        <v>43983</v>
      </c>
      <c r="AG378" s="58" t="s">
        <v>75</v>
      </c>
      <c r="AH378" s="59">
        <v>1</v>
      </c>
      <c r="AI378" s="59">
        <v>1</v>
      </c>
      <c r="AJ378" s="59">
        <v>1</v>
      </c>
      <c r="AK378" s="58" t="s">
        <v>8</v>
      </c>
      <c r="AL378" s="181" t="s">
        <v>72</v>
      </c>
      <c r="AM378" s="181" t="s">
        <v>72</v>
      </c>
      <c r="AN378" s="181" t="s">
        <v>72</v>
      </c>
    </row>
    <row r="379" spans="2:40" ht="15">
      <c r="B379" s="170">
        <v>260</v>
      </c>
      <c r="C379" s="13">
        <v>20200601</v>
      </c>
      <c r="D379" s="13" t="s">
        <v>24</v>
      </c>
      <c r="E379" s="13" t="s">
        <v>1959</v>
      </c>
      <c r="F379" s="39" t="s">
        <v>2092</v>
      </c>
      <c r="G379" s="13">
        <v>1465424</v>
      </c>
      <c r="H379" s="164" t="s">
        <v>72</v>
      </c>
      <c r="I379" s="13" t="s">
        <v>49</v>
      </c>
      <c r="J379" s="164" t="s">
        <v>72</v>
      </c>
      <c r="K379" s="13" t="s">
        <v>73</v>
      </c>
      <c r="L379" s="13" t="s">
        <v>8</v>
      </c>
      <c r="M379" s="13" t="s">
        <v>19</v>
      </c>
      <c r="N379" s="13" t="s">
        <v>6</v>
      </c>
      <c r="O379" s="14" t="s">
        <v>72</v>
      </c>
      <c r="P379" s="14" t="s">
        <v>4</v>
      </c>
      <c r="Q379" s="165"/>
      <c r="R379" s="164" t="s">
        <v>72</v>
      </c>
      <c r="S379" s="13" t="s">
        <v>109</v>
      </c>
      <c r="T379" s="13"/>
      <c r="U379" s="13"/>
      <c r="V379" s="13">
        <v>744</v>
      </c>
      <c r="W379" s="13">
        <v>744</v>
      </c>
      <c r="X379" s="13">
        <v>744</v>
      </c>
      <c r="Y379" s="13">
        <v>13.22</v>
      </c>
      <c r="Z379" s="13">
        <v>2</v>
      </c>
      <c r="AA379" s="13" t="s">
        <v>550</v>
      </c>
      <c r="AB379" s="58">
        <v>43987</v>
      </c>
      <c r="AC379" s="58">
        <v>43983</v>
      </c>
      <c r="AD379" s="58">
        <v>43986</v>
      </c>
      <c r="AE379" s="58">
        <v>43984</v>
      </c>
      <c r="AF379" s="58">
        <v>43984</v>
      </c>
      <c r="AG379" s="58" t="s">
        <v>75</v>
      </c>
      <c r="AH379" s="59">
        <v>1</v>
      </c>
      <c r="AI379" s="59">
        <v>1</v>
      </c>
      <c r="AJ379" s="59">
        <v>1</v>
      </c>
      <c r="AK379" s="58" t="s">
        <v>8</v>
      </c>
      <c r="AL379" s="181" t="s">
        <v>72</v>
      </c>
      <c r="AM379" s="181" t="s">
        <v>72</v>
      </c>
      <c r="AN379" s="181" t="s">
        <v>72</v>
      </c>
    </row>
    <row r="380" spans="2:40" ht="15">
      <c r="B380" s="170">
        <v>261</v>
      </c>
      <c r="C380" s="13">
        <v>20200601</v>
      </c>
      <c r="D380" s="13" t="s">
        <v>24</v>
      </c>
      <c r="E380" s="13" t="s">
        <v>1959</v>
      </c>
      <c r="F380" s="39" t="s">
        <v>2093</v>
      </c>
      <c r="G380" s="13">
        <v>1465424</v>
      </c>
      <c r="H380" s="164" t="s">
        <v>72</v>
      </c>
      <c r="I380" s="13" t="s">
        <v>757</v>
      </c>
      <c r="J380" s="164" t="s">
        <v>72</v>
      </c>
      <c r="K380" s="13" t="s">
        <v>73</v>
      </c>
      <c r="L380" s="13" t="s">
        <v>8</v>
      </c>
      <c r="M380" s="13" t="s">
        <v>19</v>
      </c>
      <c r="N380" s="13" t="s">
        <v>6</v>
      </c>
      <c r="O380" s="14" t="s">
        <v>72</v>
      </c>
      <c r="P380" s="14" t="s">
        <v>4</v>
      </c>
      <c r="Q380" s="165"/>
      <c r="R380" s="164" t="s">
        <v>72</v>
      </c>
      <c r="S380" s="13" t="s">
        <v>109</v>
      </c>
      <c r="T380" s="13"/>
      <c r="U380" s="13"/>
      <c r="V380" s="13">
        <v>90</v>
      </c>
      <c r="W380" s="13">
        <v>90</v>
      </c>
      <c r="X380" s="13">
        <v>90</v>
      </c>
      <c r="Y380" s="13">
        <v>1.6</v>
      </c>
      <c r="Z380" s="13">
        <v>1</v>
      </c>
      <c r="AA380" s="13" t="s">
        <v>550</v>
      </c>
      <c r="AB380" s="58">
        <v>43987</v>
      </c>
      <c r="AC380" s="58">
        <v>43983</v>
      </c>
      <c r="AD380" s="58">
        <v>43986</v>
      </c>
      <c r="AE380" s="58">
        <v>43984</v>
      </c>
      <c r="AF380" s="58">
        <v>43984</v>
      </c>
      <c r="AG380" s="58" t="s">
        <v>75</v>
      </c>
      <c r="AH380" s="59">
        <v>1</v>
      </c>
      <c r="AI380" s="59">
        <v>1</v>
      </c>
      <c r="AJ380" s="59">
        <v>1</v>
      </c>
      <c r="AK380" s="58" t="s">
        <v>8</v>
      </c>
      <c r="AL380" s="181" t="s">
        <v>72</v>
      </c>
      <c r="AM380" s="181" t="s">
        <v>72</v>
      </c>
      <c r="AN380" s="181" t="s">
        <v>72</v>
      </c>
    </row>
    <row r="381" spans="2:40" ht="15">
      <c r="B381" s="170">
        <v>262</v>
      </c>
      <c r="C381" s="13">
        <v>20200601</v>
      </c>
      <c r="D381" s="13" t="s">
        <v>24</v>
      </c>
      <c r="E381" s="13" t="s">
        <v>1959</v>
      </c>
      <c r="F381" s="39" t="s">
        <v>2094</v>
      </c>
      <c r="G381" s="13">
        <v>1465424</v>
      </c>
      <c r="H381" s="164" t="s">
        <v>72</v>
      </c>
      <c r="I381" s="13" t="s">
        <v>759</v>
      </c>
      <c r="J381" s="164" t="s">
        <v>72</v>
      </c>
      <c r="K381" s="13" t="s">
        <v>73</v>
      </c>
      <c r="L381" s="13" t="s">
        <v>8</v>
      </c>
      <c r="M381" s="13" t="s">
        <v>19</v>
      </c>
      <c r="N381" s="13" t="s">
        <v>6</v>
      </c>
      <c r="O381" s="14" t="s">
        <v>72</v>
      </c>
      <c r="P381" s="14" t="s">
        <v>4</v>
      </c>
      <c r="Q381" s="165"/>
      <c r="R381" s="164" t="s">
        <v>72</v>
      </c>
      <c r="S381" s="13" t="s">
        <v>109</v>
      </c>
      <c r="T381" s="13"/>
      <c r="U381" s="13"/>
      <c r="V381" s="13">
        <v>575</v>
      </c>
      <c r="W381" s="13">
        <v>575</v>
      </c>
      <c r="X381" s="13">
        <v>575</v>
      </c>
      <c r="Y381" s="13">
        <v>10.220000000000001</v>
      </c>
      <c r="Z381" s="13">
        <v>2</v>
      </c>
      <c r="AA381" s="13" t="s">
        <v>550</v>
      </c>
      <c r="AB381" s="58">
        <v>43987</v>
      </c>
      <c r="AC381" s="58">
        <v>43983</v>
      </c>
      <c r="AD381" s="58">
        <v>43986</v>
      </c>
      <c r="AE381" s="58">
        <v>43984</v>
      </c>
      <c r="AF381" s="58">
        <v>43984</v>
      </c>
      <c r="AG381" s="58" t="s">
        <v>75</v>
      </c>
      <c r="AH381" s="59">
        <v>1</v>
      </c>
      <c r="AI381" s="59">
        <v>1</v>
      </c>
      <c r="AJ381" s="59">
        <v>1</v>
      </c>
      <c r="AK381" s="58" t="s">
        <v>8</v>
      </c>
      <c r="AL381" s="181" t="s">
        <v>72</v>
      </c>
      <c r="AM381" s="181" t="s">
        <v>72</v>
      </c>
      <c r="AN381" s="181" t="s">
        <v>72</v>
      </c>
    </row>
    <row r="382" spans="2:40" ht="15">
      <c r="B382" s="170">
        <v>263</v>
      </c>
      <c r="C382" s="13">
        <v>20200601</v>
      </c>
      <c r="D382" s="13" t="s">
        <v>24</v>
      </c>
      <c r="E382" s="13" t="s">
        <v>1959</v>
      </c>
      <c r="F382" s="39" t="s">
        <v>2095</v>
      </c>
      <c r="G382" s="13">
        <v>1465424</v>
      </c>
      <c r="H382" s="164" t="s">
        <v>72</v>
      </c>
      <c r="I382" s="13" t="s">
        <v>130</v>
      </c>
      <c r="J382" s="164" t="s">
        <v>72</v>
      </c>
      <c r="K382" s="13" t="s">
        <v>73</v>
      </c>
      <c r="L382" s="13" t="s">
        <v>8</v>
      </c>
      <c r="M382" s="13" t="s">
        <v>19</v>
      </c>
      <c r="N382" s="13" t="s">
        <v>6</v>
      </c>
      <c r="O382" s="14" t="s">
        <v>72</v>
      </c>
      <c r="P382" s="14" t="s">
        <v>4</v>
      </c>
      <c r="Q382" s="165"/>
      <c r="R382" s="164" t="s">
        <v>72</v>
      </c>
      <c r="S382" s="13" t="s">
        <v>117</v>
      </c>
      <c r="T382" s="13"/>
      <c r="U382" s="13"/>
      <c r="V382" s="13">
        <v>261</v>
      </c>
      <c r="W382" s="13">
        <v>261</v>
      </c>
      <c r="X382" s="13">
        <v>261</v>
      </c>
      <c r="Y382" s="13">
        <v>4.6399999999999997</v>
      </c>
      <c r="Z382" s="13">
        <v>2</v>
      </c>
      <c r="AA382" s="13" t="s">
        <v>550</v>
      </c>
      <c r="AB382" s="58">
        <v>43987</v>
      </c>
      <c r="AC382" s="58">
        <v>43983</v>
      </c>
      <c r="AD382" s="58">
        <v>43986</v>
      </c>
      <c r="AE382" s="58">
        <v>43986</v>
      </c>
      <c r="AF382" s="58">
        <v>43986</v>
      </c>
      <c r="AG382" s="58" t="s">
        <v>75</v>
      </c>
      <c r="AH382" s="59">
        <v>1</v>
      </c>
      <c r="AI382" s="59">
        <v>1</v>
      </c>
      <c r="AJ382" s="59">
        <v>1</v>
      </c>
      <c r="AK382" s="58" t="s">
        <v>8</v>
      </c>
      <c r="AL382" s="14" t="s">
        <v>72</v>
      </c>
      <c r="AM382" s="14" t="s">
        <v>72</v>
      </c>
      <c r="AN382" s="14" t="s">
        <v>72</v>
      </c>
    </row>
    <row r="383" spans="2:40" ht="15">
      <c r="B383" s="170">
        <v>264</v>
      </c>
      <c r="C383" s="13">
        <v>20200601</v>
      </c>
      <c r="D383" s="13" t="s">
        <v>24</v>
      </c>
      <c r="E383" s="13" t="s">
        <v>1959</v>
      </c>
      <c r="F383" s="39" t="s">
        <v>2096</v>
      </c>
      <c r="G383" s="13">
        <v>1465424</v>
      </c>
      <c r="H383" s="164" t="s">
        <v>72</v>
      </c>
      <c r="I383" s="13" t="s">
        <v>1487</v>
      </c>
      <c r="J383" s="164" t="s">
        <v>72</v>
      </c>
      <c r="K383" s="13" t="s">
        <v>73</v>
      </c>
      <c r="L383" s="13" t="s">
        <v>8</v>
      </c>
      <c r="M383" s="13" t="s">
        <v>19</v>
      </c>
      <c r="N383" s="13" t="s">
        <v>6</v>
      </c>
      <c r="O383" s="14" t="s">
        <v>72</v>
      </c>
      <c r="P383" s="14" t="s">
        <v>4</v>
      </c>
      <c r="Q383" s="165"/>
      <c r="R383" s="164" t="s">
        <v>72</v>
      </c>
      <c r="S383" s="13" t="s">
        <v>74</v>
      </c>
      <c r="T383" s="13"/>
      <c r="U383" s="13"/>
      <c r="V383" s="13">
        <v>45</v>
      </c>
      <c r="W383" s="13">
        <v>45</v>
      </c>
      <c r="X383" s="13">
        <v>45</v>
      </c>
      <c r="Y383" s="13">
        <v>0.8</v>
      </c>
      <c r="Z383" s="13">
        <v>1</v>
      </c>
      <c r="AA383" s="13" t="s">
        <v>550</v>
      </c>
      <c r="AB383" s="58">
        <v>43987</v>
      </c>
      <c r="AC383" s="58">
        <v>43983</v>
      </c>
      <c r="AD383" s="58">
        <v>43986</v>
      </c>
      <c r="AE383" s="58">
        <v>43984</v>
      </c>
      <c r="AF383" s="58">
        <v>43984</v>
      </c>
      <c r="AG383" s="58" t="s">
        <v>75</v>
      </c>
      <c r="AH383" s="59">
        <v>1</v>
      </c>
      <c r="AI383" s="59">
        <v>1</v>
      </c>
      <c r="AJ383" s="59">
        <v>1</v>
      </c>
      <c r="AK383" s="58" t="s">
        <v>8</v>
      </c>
      <c r="AL383" s="13"/>
      <c r="AM383" s="13"/>
      <c r="AN383" s="13"/>
    </row>
    <row r="384" spans="2:40" ht="15">
      <c r="B384" s="170">
        <v>265</v>
      </c>
      <c r="C384" s="13">
        <v>20200601</v>
      </c>
      <c r="D384" s="13" t="s">
        <v>24</v>
      </c>
      <c r="E384" s="13" t="s">
        <v>1959</v>
      </c>
      <c r="F384" s="39" t="s">
        <v>605</v>
      </c>
      <c r="G384" s="13">
        <v>1476796</v>
      </c>
      <c r="H384" s="164" t="s">
        <v>72</v>
      </c>
      <c r="I384" s="13" t="s">
        <v>20</v>
      </c>
      <c r="J384" s="164" t="s">
        <v>72</v>
      </c>
      <c r="K384" s="13" t="s">
        <v>73</v>
      </c>
      <c r="L384" s="13" t="s">
        <v>1961</v>
      </c>
      <c r="M384" s="13" t="s">
        <v>19</v>
      </c>
      <c r="N384" s="13" t="s">
        <v>6</v>
      </c>
      <c r="O384" s="14" t="s">
        <v>72</v>
      </c>
      <c r="P384" s="14" t="s">
        <v>4</v>
      </c>
      <c r="Q384" s="165"/>
      <c r="R384" s="164" t="s">
        <v>72</v>
      </c>
      <c r="S384" s="13" t="s">
        <v>74</v>
      </c>
      <c r="T384" s="13"/>
      <c r="U384" s="13"/>
      <c r="V384" s="13">
        <v>726</v>
      </c>
      <c r="W384" s="13">
        <v>726</v>
      </c>
      <c r="X384" s="13">
        <v>726</v>
      </c>
      <c r="Y384" s="13">
        <v>12.9</v>
      </c>
      <c r="Z384" s="13">
        <v>2</v>
      </c>
      <c r="AA384" s="13" t="s">
        <v>550</v>
      </c>
      <c r="AB384" s="58">
        <v>43987</v>
      </c>
      <c r="AC384" s="58">
        <v>43983</v>
      </c>
      <c r="AD384" s="58">
        <v>43986</v>
      </c>
      <c r="AE384" s="58">
        <v>43984</v>
      </c>
      <c r="AF384" s="58">
        <v>43984</v>
      </c>
      <c r="AG384" s="58" t="s">
        <v>79</v>
      </c>
      <c r="AH384" s="59">
        <v>1</v>
      </c>
      <c r="AI384" s="59">
        <v>1</v>
      </c>
      <c r="AJ384" s="59">
        <v>0.8</v>
      </c>
      <c r="AK384" s="58" t="s">
        <v>76</v>
      </c>
      <c r="AL384" s="13" t="s">
        <v>2097</v>
      </c>
      <c r="AM384" s="13"/>
      <c r="AN384" s="13" t="s">
        <v>2091</v>
      </c>
    </row>
    <row r="385" spans="2:40" ht="15">
      <c r="B385" s="170">
        <v>266</v>
      </c>
      <c r="C385" s="13">
        <v>20200601</v>
      </c>
      <c r="D385" s="13" t="s">
        <v>24</v>
      </c>
      <c r="E385" s="13" t="s">
        <v>2098</v>
      </c>
      <c r="F385" s="39" t="s">
        <v>1244</v>
      </c>
      <c r="G385" s="13">
        <v>1495558</v>
      </c>
      <c r="H385" s="164" t="s">
        <v>72</v>
      </c>
      <c r="I385" s="13" t="s">
        <v>123</v>
      </c>
      <c r="J385" s="164" t="s">
        <v>72</v>
      </c>
      <c r="K385" s="13" t="s">
        <v>73</v>
      </c>
      <c r="L385" s="13" t="s">
        <v>2099</v>
      </c>
      <c r="M385" s="13" t="s">
        <v>697</v>
      </c>
      <c r="N385" s="13" t="s">
        <v>6</v>
      </c>
      <c r="O385" s="14" t="s">
        <v>72</v>
      </c>
      <c r="P385" s="14" t="s">
        <v>1246</v>
      </c>
      <c r="Q385" s="165"/>
      <c r="R385" s="164" t="s">
        <v>72</v>
      </c>
      <c r="S385" s="13" t="s">
        <v>74</v>
      </c>
      <c r="T385" s="13"/>
      <c r="U385" s="13"/>
      <c r="V385" s="13">
        <v>88</v>
      </c>
      <c r="W385" s="13">
        <v>88</v>
      </c>
      <c r="X385" s="13">
        <v>88</v>
      </c>
      <c r="Y385" s="13">
        <v>1.56</v>
      </c>
      <c r="Z385" s="13">
        <v>0.5</v>
      </c>
      <c r="AA385" s="13" t="s">
        <v>550</v>
      </c>
      <c r="AB385" s="58">
        <v>43990</v>
      </c>
      <c r="AC385" s="58">
        <v>43983</v>
      </c>
      <c r="AD385" s="202">
        <v>43994</v>
      </c>
      <c r="AE385" s="58">
        <v>43984</v>
      </c>
      <c r="AF385" s="58">
        <v>43984</v>
      </c>
      <c r="AG385" s="58" t="s">
        <v>75</v>
      </c>
      <c r="AH385" s="59">
        <v>1</v>
      </c>
      <c r="AI385" s="59">
        <v>1</v>
      </c>
      <c r="AJ385" s="59">
        <v>1</v>
      </c>
      <c r="AK385" s="58" t="s">
        <v>8</v>
      </c>
      <c r="AL385" s="13"/>
      <c r="AM385" s="13"/>
      <c r="AN385" s="13"/>
    </row>
    <row r="386" spans="2:40" ht="15">
      <c r="B386" s="170">
        <v>267</v>
      </c>
      <c r="C386" s="13">
        <v>20200601</v>
      </c>
      <c r="D386" s="13" t="s">
        <v>24</v>
      </c>
      <c r="E386" s="13" t="s">
        <v>2098</v>
      </c>
      <c r="F386" s="39" t="s">
        <v>2100</v>
      </c>
      <c r="G386" s="13">
        <v>1495558</v>
      </c>
      <c r="H386" s="164" t="s">
        <v>72</v>
      </c>
      <c r="I386" s="13" t="s">
        <v>120</v>
      </c>
      <c r="J386" s="164" t="s">
        <v>72</v>
      </c>
      <c r="K386" s="13" t="s">
        <v>73</v>
      </c>
      <c r="L386" s="13" t="s">
        <v>2099</v>
      </c>
      <c r="M386" s="13" t="s">
        <v>697</v>
      </c>
      <c r="N386" s="13" t="s">
        <v>6</v>
      </c>
      <c r="O386" s="14" t="s">
        <v>72</v>
      </c>
      <c r="P386" s="14" t="s">
        <v>1246</v>
      </c>
      <c r="Q386" s="165"/>
      <c r="R386" s="164" t="s">
        <v>72</v>
      </c>
      <c r="S386" s="13" t="s">
        <v>74</v>
      </c>
      <c r="T386" s="13"/>
      <c r="U386" s="13"/>
      <c r="V386" s="13">
        <v>42</v>
      </c>
      <c r="W386" s="13">
        <v>42</v>
      </c>
      <c r="X386" s="13">
        <v>42</v>
      </c>
      <c r="Y386" s="13">
        <v>0.74</v>
      </c>
      <c r="Z386" s="13">
        <v>0.5</v>
      </c>
      <c r="AA386" s="13" t="s">
        <v>550</v>
      </c>
      <c r="AB386" s="58">
        <v>43990</v>
      </c>
      <c r="AC386" s="58">
        <v>43983</v>
      </c>
      <c r="AD386" s="202">
        <v>43994</v>
      </c>
      <c r="AE386" s="58">
        <v>43984</v>
      </c>
      <c r="AF386" s="58">
        <v>43984</v>
      </c>
      <c r="AG386" s="58" t="s">
        <v>75</v>
      </c>
      <c r="AH386" s="59">
        <v>1</v>
      </c>
      <c r="AI386" s="59">
        <v>1</v>
      </c>
      <c r="AJ386" s="59">
        <v>1</v>
      </c>
      <c r="AK386" s="58" t="s">
        <v>8</v>
      </c>
      <c r="AL386" s="13"/>
      <c r="AM386" s="13"/>
      <c r="AN386" s="13"/>
    </row>
    <row r="387" spans="2:40" ht="15">
      <c r="B387" s="170">
        <v>268</v>
      </c>
      <c r="C387" s="13">
        <v>20200601</v>
      </c>
      <c r="D387" s="13" t="s">
        <v>24</v>
      </c>
      <c r="E387" s="13" t="s">
        <v>2098</v>
      </c>
      <c r="F387" s="39" t="s">
        <v>1247</v>
      </c>
      <c r="G387" s="13">
        <v>1495558</v>
      </c>
      <c r="H387" s="164" t="s">
        <v>72</v>
      </c>
      <c r="I387" s="13" t="s">
        <v>123</v>
      </c>
      <c r="J387" s="164" t="s">
        <v>72</v>
      </c>
      <c r="K387" s="13" t="s">
        <v>73</v>
      </c>
      <c r="L387" s="13" t="s">
        <v>2101</v>
      </c>
      <c r="M387" s="13" t="s">
        <v>697</v>
      </c>
      <c r="N387" s="13" t="s">
        <v>6</v>
      </c>
      <c r="O387" s="14" t="s">
        <v>72</v>
      </c>
      <c r="P387" s="14" t="s">
        <v>1246</v>
      </c>
      <c r="Q387" s="165"/>
      <c r="R387" s="164" t="s">
        <v>72</v>
      </c>
      <c r="S387" s="13" t="s">
        <v>74</v>
      </c>
      <c r="T387" s="13"/>
      <c r="U387" s="13"/>
      <c r="V387" s="13">
        <v>88</v>
      </c>
      <c r="W387" s="13">
        <v>88</v>
      </c>
      <c r="X387" s="13">
        <v>88</v>
      </c>
      <c r="Y387" s="13">
        <v>1.56</v>
      </c>
      <c r="Z387" s="13">
        <v>0.5</v>
      </c>
      <c r="AA387" s="13" t="s">
        <v>550</v>
      </c>
      <c r="AB387" s="58">
        <v>43990</v>
      </c>
      <c r="AC387" s="58">
        <v>43983</v>
      </c>
      <c r="AD387" s="202">
        <v>43994</v>
      </c>
      <c r="AE387" s="58">
        <v>43984</v>
      </c>
      <c r="AF387" s="58">
        <v>43984</v>
      </c>
      <c r="AG387" s="58" t="s">
        <v>75</v>
      </c>
      <c r="AH387" s="59">
        <v>1</v>
      </c>
      <c r="AI387" s="59">
        <v>1</v>
      </c>
      <c r="AJ387" s="59">
        <v>1</v>
      </c>
      <c r="AK387" s="58" t="s">
        <v>8</v>
      </c>
      <c r="AL387" s="13"/>
      <c r="AM387" s="13"/>
      <c r="AN387" s="13"/>
    </row>
    <row r="388" spans="2:40" ht="15">
      <c r="B388" s="170">
        <v>269</v>
      </c>
      <c r="C388" s="13">
        <v>20200601</v>
      </c>
      <c r="D388" s="13" t="s">
        <v>24</v>
      </c>
      <c r="E388" s="13" t="s">
        <v>2098</v>
      </c>
      <c r="F388" s="39" t="s">
        <v>2102</v>
      </c>
      <c r="G388" s="13">
        <v>1495558</v>
      </c>
      <c r="H388" s="164" t="s">
        <v>72</v>
      </c>
      <c r="I388" s="13" t="s">
        <v>120</v>
      </c>
      <c r="J388" s="164" t="s">
        <v>72</v>
      </c>
      <c r="K388" s="13" t="s">
        <v>73</v>
      </c>
      <c r="L388" s="13" t="s">
        <v>2101</v>
      </c>
      <c r="M388" s="13" t="s">
        <v>697</v>
      </c>
      <c r="N388" s="13" t="s">
        <v>6</v>
      </c>
      <c r="O388" s="14" t="s">
        <v>72</v>
      </c>
      <c r="P388" s="14" t="s">
        <v>1246</v>
      </c>
      <c r="Q388" s="165"/>
      <c r="R388" s="164" t="s">
        <v>72</v>
      </c>
      <c r="S388" s="13" t="s">
        <v>74</v>
      </c>
      <c r="T388" s="13"/>
      <c r="U388" s="13"/>
      <c r="V388" s="13">
        <v>42</v>
      </c>
      <c r="W388" s="13">
        <v>42</v>
      </c>
      <c r="X388" s="13">
        <v>42</v>
      </c>
      <c r="Y388" s="13">
        <v>0.74</v>
      </c>
      <c r="Z388" s="13">
        <v>0.5</v>
      </c>
      <c r="AA388" s="13" t="s">
        <v>550</v>
      </c>
      <c r="AB388" s="58">
        <v>43990</v>
      </c>
      <c r="AC388" s="58">
        <v>43983</v>
      </c>
      <c r="AD388" s="202">
        <v>43994</v>
      </c>
      <c r="AE388" s="58">
        <v>43984</v>
      </c>
      <c r="AF388" s="58">
        <v>43984</v>
      </c>
      <c r="AG388" s="58" t="s">
        <v>75</v>
      </c>
      <c r="AH388" s="59">
        <v>1</v>
      </c>
      <c r="AI388" s="59">
        <v>1</v>
      </c>
      <c r="AJ388" s="59">
        <v>1</v>
      </c>
      <c r="AK388" s="58" t="s">
        <v>8</v>
      </c>
      <c r="AL388" s="13"/>
      <c r="AM388" s="13"/>
      <c r="AN388" s="13"/>
    </row>
    <row r="389" spans="2:40" ht="15">
      <c r="B389" s="170">
        <v>270</v>
      </c>
      <c r="C389" s="13">
        <v>20200601</v>
      </c>
      <c r="D389" s="13" t="s">
        <v>24</v>
      </c>
      <c r="E389" s="13" t="s">
        <v>51</v>
      </c>
      <c r="F389" s="39" t="s">
        <v>605</v>
      </c>
      <c r="G389" s="13">
        <v>1495747</v>
      </c>
      <c r="H389" s="164" t="s">
        <v>72</v>
      </c>
      <c r="I389" s="13" t="s">
        <v>20</v>
      </c>
      <c r="J389" s="164" t="s">
        <v>72</v>
      </c>
      <c r="K389" s="13" t="s">
        <v>73</v>
      </c>
      <c r="L389" s="13" t="s">
        <v>28</v>
      </c>
      <c r="M389" s="13" t="s">
        <v>52</v>
      </c>
      <c r="N389" s="13" t="s">
        <v>6</v>
      </c>
      <c r="O389" s="14" t="s">
        <v>72</v>
      </c>
      <c r="P389" s="14" t="s">
        <v>4</v>
      </c>
      <c r="Q389" s="165"/>
      <c r="R389" s="164" t="s">
        <v>72</v>
      </c>
      <c r="S389" s="13" t="s">
        <v>74</v>
      </c>
      <c r="T389" s="13"/>
      <c r="U389" s="13"/>
      <c r="V389" s="13">
        <v>726</v>
      </c>
      <c r="W389" s="13">
        <v>726</v>
      </c>
      <c r="X389" s="13">
        <v>726</v>
      </c>
      <c r="Y389" s="13">
        <v>12.9</v>
      </c>
      <c r="Z389" s="13">
        <v>0.5</v>
      </c>
      <c r="AA389" s="13" t="s">
        <v>550</v>
      </c>
      <c r="AB389" s="58">
        <v>43990</v>
      </c>
      <c r="AC389" s="58">
        <v>43983</v>
      </c>
      <c r="AD389" s="202">
        <v>43994</v>
      </c>
      <c r="AE389" s="58">
        <v>43984</v>
      </c>
      <c r="AF389" s="58">
        <v>43984</v>
      </c>
      <c r="AG389" s="58" t="s">
        <v>79</v>
      </c>
      <c r="AH389" s="59">
        <v>1</v>
      </c>
      <c r="AI389" s="59">
        <v>1</v>
      </c>
      <c r="AJ389" s="59">
        <v>0.8</v>
      </c>
      <c r="AK389" s="58" t="s">
        <v>76</v>
      </c>
      <c r="AL389" s="13" t="s">
        <v>2097</v>
      </c>
      <c r="AM389" s="13"/>
      <c r="AN389" s="13" t="s">
        <v>2091</v>
      </c>
    </row>
    <row r="390" spans="2:40" ht="15">
      <c r="B390" s="170">
        <v>271</v>
      </c>
      <c r="C390" s="13">
        <v>20200601</v>
      </c>
      <c r="D390" s="13" t="s">
        <v>24</v>
      </c>
      <c r="E390" s="13" t="s">
        <v>1827</v>
      </c>
      <c r="F390" s="4" t="s">
        <v>2103</v>
      </c>
      <c r="G390" s="13">
        <v>1493621</v>
      </c>
      <c r="H390" s="164" t="s">
        <v>72</v>
      </c>
      <c r="I390" s="13" t="s">
        <v>130</v>
      </c>
      <c r="J390" s="164" t="s">
        <v>72</v>
      </c>
      <c r="K390" s="13" t="s">
        <v>73</v>
      </c>
      <c r="L390" s="13" t="s">
        <v>27</v>
      </c>
      <c r="M390" s="13" t="s">
        <v>1787</v>
      </c>
      <c r="N390" s="167" t="s">
        <v>9</v>
      </c>
      <c r="O390" s="14" t="s">
        <v>72</v>
      </c>
      <c r="P390" s="14" t="s">
        <v>7</v>
      </c>
      <c r="Q390" s="165"/>
      <c r="R390" s="164" t="s">
        <v>72</v>
      </c>
      <c r="S390" s="13" t="s">
        <v>117</v>
      </c>
      <c r="T390" s="13"/>
      <c r="U390" s="13"/>
      <c r="V390" s="13">
        <v>261</v>
      </c>
      <c r="W390" s="53">
        <v>291</v>
      </c>
      <c r="X390" s="13">
        <v>291</v>
      </c>
      <c r="Y390" s="13">
        <v>5.17</v>
      </c>
      <c r="Z390" s="13">
        <v>1</v>
      </c>
      <c r="AA390" s="13" t="s">
        <v>550</v>
      </c>
      <c r="AB390" s="58">
        <v>43985</v>
      </c>
      <c r="AC390" s="58">
        <v>43983</v>
      </c>
      <c r="AD390" s="58">
        <v>43985</v>
      </c>
      <c r="AE390" s="58">
        <v>43985</v>
      </c>
      <c r="AF390" s="58">
        <v>43985</v>
      </c>
      <c r="AG390" s="58" t="s">
        <v>75</v>
      </c>
      <c r="AH390" s="59">
        <v>1</v>
      </c>
      <c r="AI390" s="59">
        <v>1</v>
      </c>
      <c r="AJ390" s="59">
        <v>1</v>
      </c>
      <c r="AK390" s="58" t="s">
        <v>8</v>
      </c>
      <c r="AL390" s="181" t="s">
        <v>72</v>
      </c>
      <c r="AM390" s="181" t="s">
        <v>72</v>
      </c>
      <c r="AN390" s="13" t="s">
        <v>2104</v>
      </c>
    </row>
    <row r="391" spans="2:40" ht="15">
      <c r="B391" s="170">
        <v>272</v>
      </c>
      <c r="C391" s="13">
        <v>20200601</v>
      </c>
      <c r="D391" s="13" t="s">
        <v>311</v>
      </c>
      <c r="E391" s="13" t="s">
        <v>1784</v>
      </c>
      <c r="F391" s="14" t="s">
        <v>72</v>
      </c>
      <c r="G391" s="13">
        <v>1496047</v>
      </c>
      <c r="H391" s="164" t="s">
        <v>72</v>
      </c>
      <c r="I391" s="13" t="s">
        <v>2105</v>
      </c>
      <c r="J391" s="164" t="s">
        <v>72</v>
      </c>
      <c r="K391" s="13" t="s">
        <v>73</v>
      </c>
      <c r="L391" s="13" t="s">
        <v>8</v>
      </c>
      <c r="M391" s="13" t="s">
        <v>1787</v>
      </c>
      <c r="N391" s="13">
        <v>1496047</v>
      </c>
      <c r="O391" s="14" t="s">
        <v>613</v>
      </c>
      <c r="P391" s="14" t="s">
        <v>1299</v>
      </c>
      <c r="Q391" s="165"/>
      <c r="R391" s="164" t="s">
        <v>72</v>
      </c>
      <c r="S391" s="13" t="s">
        <v>161</v>
      </c>
      <c r="T391" s="13"/>
      <c r="U391" s="13"/>
      <c r="V391" s="13">
        <v>16</v>
      </c>
      <c r="W391" s="13">
        <v>16</v>
      </c>
      <c r="X391" s="13">
        <v>16</v>
      </c>
      <c r="Y391" s="13">
        <v>0.98</v>
      </c>
      <c r="Z391" s="13">
        <v>0.9</v>
      </c>
      <c r="AA391" s="13" t="s">
        <v>550</v>
      </c>
      <c r="AB391" s="58">
        <v>43985</v>
      </c>
      <c r="AC391" s="58">
        <v>43983</v>
      </c>
      <c r="AD391" s="58">
        <v>43985</v>
      </c>
      <c r="AE391" s="58">
        <v>43985</v>
      </c>
      <c r="AF391" s="58">
        <v>43985</v>
      </c>
      <c r="AG391" s="58" t="s">
        <v>79</v>
      </c>
      <c r="AH391" s="59">
        <v>0.88900000000000001</v>
      </c>
      <c r="AI391" s="59">
        <v>0.88900000000000001</v>
      </c>
      <c r="AJ391" s="59">
        <v>0.83299999999999996</v>
      </c>
      <c r="AK391" s="58" t="s">
        <v>76</v>
      </c>
      <c r="AL391" s="13" t="s">
        <v>2106</v>
      </c>
      <c r="AM391" s="13"/>
      <c r="AN391" s="13" t="s">
        <v>2091</v>
      </c>
    </row>
    <row r="392" spans="2:40" ht="15">
      <c r="B392" s="170">
        <v>273</v>
      </c>
      <c r="C392" s="13">
        <v>20200601</v>
      </c>
      <c r="D392" s="13" t="s">
        <v>311</v>
      </c>
      <c r="E392" s="13" t="s">
        <v>581</v>
      </c>
      <c r="F392" s="14" t="s">
        <v>72</v>
      </c>
      <c r="G392" s="13">
        <v>1495862</v>
      </c>
      <c r="H392" s="164" t="s">
        <v>72</v>
      </c>
      <c r="I392" s="13" t="s">
        <v>2107</v>
      </c>
      <c r="J392" s="164" t="s">
        <v>72</v>
      </c>
      <c r="K392" s="13" t="s">
        <v>73</v>
      </c>
      <c r="L392" s="13" t="s">
        <v>8</v>
      </c>
      <c r="M392" s="13" t="s">
        <v>585</v>
      </c>
      <c r="N392" s="13">
        <v>1495862</v>
      </c>
      <c r="O392" s="14" t="s">
        <v>2108</v>
      </c>
      <c r="P392" s="14" t="s">
        <v>2109</v>
      </c>
      <c r="Q392" s="165"/>
      <c r="R392" s="164" t="s">
        <v>72</v>
      </c>
      <c r="S392" s="13" t="s">
        <v>74</v>
      </c>
      <c r="T392" s="13"/>
      <c r="U392" s="13"/>
      <c r="V392" s="13">
        <v>31</v>
      </c>
      <c r="W392" s="13">
        <v>31</v>
      </c>
      <c r="X392" s="13">
        <v>31</v>
      </c>
      <c r="Y392" s="13">
        <v>1.9</v>
      </c>
      <c r="Z392" s="13">
        <v>1</v>
      </c>
      <c r="AA392" s="13" t="s">
        <v>550</v>
      </c>
      <c r="AB392" s="58">
        <v>43985</v>
      </c>
      <c r="AC392" s="58">
        <v>43983</v>
      </c>
      <c r="AD392" s="58">
        <v>43985</v>
      </c>
      <c r="AE392" s="58">
        <v>43985</v>
      </c>
      <c r="AF392" s="58">
        <v>43985</v>
      </c>
      <c r="AG392" s="58" t="s">
        <v>75</v>
      </c>
      <c r="AH392" s="59">
        <v>1</v>
      </c>
      <c r="AI392" s="59">
        <v>1</v>
      </c>
      <c r="AJ392" s="59">
        <v>1</v>
      </c>
      <c r="AK392" s="58" t="s">
        <v>8</v>
      </c>
      <c r="AL392" s="13"/>
      <c r="AM392" s="13"/>
      <c r="AN392" s="13"/>
    </row>
    <row r="393" spans="2:40" ht="15">
      <c r="B393" s="170">
        <v>274</v>
      </c>
      <c r="C393" s="13">
        <v>20200601</v>
      </c>
      <c r="D393" s="13" t="s">
        <v>24</v>
      </c>
      <c r="E393" s="13" t="s">
        <v>2061</v>
      </c>
      <c r="F393" s="4" t="s">
        <v>2110</v>
      </c>
      <c r="G393" s="13">
        <v>1493558</v>
      </c>
      <c r="H393" s="164" t="s">
        <v>72</v>
      </c>
      <c r="I393" s="13" t="s">
        <v>2111</v>
      </c>
      <c r="J393" s="164" t="s">
        <v>72</v>
      </c>
      <c r="K393" s="13" t="s">
        <v>73</v>
      </c>
      <c r="L393" s="13" t="s">
        <v>2064</v>
      </c>
      <c r="M393" s="13" t="s">
        <v>2065</v>
      </c>
      <c r="N393" s="13" t="s">
        <v>2066</v>
      </c>
      <c r="O393" s="14" t="s">
        <v>72</v>
      </c>
      <c r="P393" s="14" t="s">
        <v>2112</v>
      </c>
      <c r="Q393" s="165"/>
      <c r="R393" s="164" t="s">
        <v>72</v>
      </c>
      <c r="S393" s="13" t="s">
        <v>161</v>
      </c>
      <c r="T393" s="13"/>
      <c r="U393" s="13"/>
      <c r="V393" s="13">
        <v>8</v>
      </c>
      <c r="W393" s="13">
        <v>8</v>
      </c>
      <c r="X393" s="13">
        <v>8</v>
      </c>
      <c r="Y393" s="13">
        <v>0.14000000000000001</v>
      </c>
      <c r="Z393" s="13">
        <v>0.1</v>
      </c>
      <c r="AA393" s="13" t="s">
        <v>550</v>
      </c>
      <c r="AB393" s="58">
        <v>43987</v>
      </c>
      <c r="AC393" s="58">
        <v>43983</v>
      </c>
      <c r="AD393" s="58">
        <v>43986</v>
      </c>
      <c r="AE393" s="58">
        <v>43984</v>
      </c>
      <c r="AF393" s="58">
        <v>43984</v>
      </c>
      <c r="AG393" s="58" t="s">
        <v>75</v>
      </c>
      <c r="AH393" s="59">
        <v>1</v>
      </c>
      <c r="AI393" s="59">
        <v>1</v>
      </c>
      <c r="AJ393" s="59">
        <v>1</v>
      </c>
      <c r="AK393" s="58" t="s">
        <v>8</v>
      </c>
      <c r="AL393" s="13"/>
      <c r="AM393" s="13"/>
      <c r="AN393" s="13" t="s">
        <v>2113</v>
      </c>
    </row>
    <row r="394" spans="2:40" ht="15">
      <c r="B394" s="170">
        <v>275</v>
      </c>
      <c r="C394" s="13">
        <v>20200601</v>
      </c>
      <c r="D394" s="13" t="s">
        <v>24</v>
      </c>
      <c r="E394" s="13" t="s">
        <v>2061</v>
      </c>
      <c r="F394" s="4" t="s">
        <v>2114</v>
      </c>
      <c r="G394" s="13">
        <v>1493558</v>
      </c>
      <c r="H394" s="164" t="s">
        <v>72</v>
      </c>
      <c r="I394" s="13" t="s">
        <v>2115</v>
      </c>
      <c r="J394" s="164" t="s">
        <v>72</v>
      </c>
      <c r="K394" s="13" t="s">
        <v>73</v>
      </c>
      <c r="L394" s="13" t="s">
        <v>2064</v>
      </c>
      <c r="M394" s="13" t="s">
        <v>2065</v>
      </c>
      <c r="N394" s="13" t="s">
        <v>2066</v>
      </c>
      <c r="O394" s="14" t="s">
        <v>72</v>
      </c>
      <c r="P394" s="14" t="s">
        <v>2112</v>
      </c>
      <c r="Q394" s="165"/>
      <c r="R394" s="164" t="s">
        <v>72</v>
      </c>
      <c r="S394" s="13" t="s">
        <v>161</v>
      </c>
      <c r="T394" s="13"/>
      <c r="U394" s="13"/>
      <c r="V394" s="13">
        <v>80</v>
      </c>
      <c r="W394" s="13">
        <v>80</v>
      </c>
      <c r="X394" s="13">
        <v>80</v>
      </c>
      <c r="Y394" s="13">
        <v>1.42</v>
      </c>
      <c r="Z394" s="13">
        <v>1</v>
      </c>
      <c r="AA394" s="13" t="s">
        <v>550</v>
      </c>
      <c r="AB394" s="58">
        <v>43987</v>
      </c>
      <c r="AC394" s="58">
        <v>43983</v>
      </c>
      <c r="AD394" s="58">
        <v>43986</v>
      </c>
      <c r="AE394" s="58">
        <v>43984</v>
      </c>
      <c r="AF394" s="58">
        <v>43984</v>
      </c>
      <c r="AG394" s="58" t="s">
        <v>75</v>
      </c>
      <c r="AH394" s="59">
        <v>1</v>
      </c>
      <c r="AI394" s="59">
        <v>1</v>
      </c>
      <c r="AJ394" s="59">
        <v>1</v>
      </c>
      <c r="AK394" s="58" t="s">
        <v>8</v>
      </c>
      <c r="AL394" s="13"/>
      <c r="AM394" s="13"/>
      <c r="AN394" s="13" t="s">
        <v>2113</v>
      </c>
    </row>
    <row r="395" spans="2:40" ht="15">
      <c r="B395" s="170">
        <v>276</v>
      </c>
      <c r="C395" s="13">
        <v>20200601</v>
      </c>
      <c r="D395" s="13" t="s">
        <v>24</v>
      </c>
      <c r="E395" s="13" t="s">
        <v>2061</v>
      </c>
      <c r="F395" s="4" t="s">
        <v>2116</v>
      </c>
      <c r="G395" s="13">
        <v>1493558</v>
      </c>
      <c r="H395" s="164" t="s">
        <v>72</v>
      </c>
      <c r="I395" s="13" t="s">
        <v>2117</v>
      </c>
      <c r="J395" s="164" t="s">
        <v>72</v>
      </c>
      <c r="K395" s="13" t="s">
        <v>73</v>
      </c>
      <c r="L395" s="13" t="s">
        <v>2064</v>
      </c>
      <c r="M395" s="13" t="s">
        <v>2065</v>
      </c>
      <c r="N395" s="13" t="s">
        <v>2066</v>
      </c>
      <c r="O395" s="14" t="s">
        <v>72</v>
      </c>
      <c r="P395" s="14" t="s">
        <v>2112</v>
      </c>
      <c r="Q395" s="165"/>
      <c r="R395" s="164" t="s">
        <v>72</v>
      </c>
      <c r="S395" s="13" t="s">
        <v>161</v>
      </c>
      <c r="T395" s="13"/>
      <c r="U395" s="13"/>
      <c r="V395" s="13">
        <v>22</v>
      </c>
      <c r="W395" s="13">
        <v>22</v>
      </c>
      <c r="X395" s="13">
        <v>22</v>
      </c>
      <c r="Y395" s="13">
        <v>0.39</v>
      </c>
      <c r="Z395" s="13">
        <v>0.3</v>
      </c>
      <c r="AA395" s="13" t="s">
        <v>550</v>
      </c>
      <c r="AB395" s="58">
        <v>43987</v>
      </c>
      <c r="AC395" s="58">
        <v>43983</v>
      </c>
      <c r="AD395" s="58">
        <v>43986</v>
      </c>
      <c r="AE395" s="58">
        <v>43984</v>
      </c>
      <c r="AF395" s="58">
        <v>43984</v>
      </c>
      <c r="AG395" s="58" t="s">
        <v>75</v>
      </c>
      <c r="AH395" s="59">
        <v>1</v>
      </c>
      <c r="AI395" s="59">
        <v>1</v>
      </c>
      <c r="AJ395" s="59">
        <v>1</v>
      </c>
      <c r="AK395" s="58" t="s">
        <v>8</v>
      </c>
      <c r="AL395" s="13"/>
      <c r="AM395" s="13"/>
      <c r="AN395" s="13" t="s">
        <v>2113</v>
      </c>
    </row>
    <row r="396" spans="2:40" ht="15">
      <c r="B396" s="204">
        <v>277</v>
      </c>
      <c r="C396" s="13">
        <v>20200601</v>
      </c>
      <c r="D396" s="13" t="s">
        <v>24</v>
      </c>
      <c r="E396" s="13" t="s">
        <v>1842</v>
      </c>
      <c r="F396" s="39" t="s">
        <v>2118</v>
      </c>
      <c r="G396" s="13">
        <v>1484917</v>
      </c>
      <c r="H396" s="164" t="s">
        <v>72</v>
      </c>
      <c r="I396" s="13" t="s">
        <v>2119</v>
      </c>
      <c r="J396" s="164" t="s">
        <v>72</v>
      </c>
      <c r="K396" s="13" t="s">
        <v>106</v>
      </c>
      <c r="L396" s="13" t="s">
        <v>1844</v>
      </c>
      <c r="M396" s="13" t="s">
        <v>1033</v>
      </c>
      <c r="N396" s="13" t="s">
        <v>1845</v>
      </c>
      <c r="O396" s="14" t="s">
        <v>72</v>
      </c>
      <c r="P396" s="14" t="s">
        <v>1278</v>
      </c>
      <c r="Q396" s="165"/>
      <c r="R396" s="164" t="s">
        <v>72</v>
      </c>
      <c r="S396" s="13" t="s">
        <v>161</v>
      </c>
      <c r="T396" s="13"/>
      <c r="U396" s="13"/>
      <c r="V396" s="13">
        <v>80</v>
      </c>
      <c r="W396" s="13">
        <v>80</v>
      </c>
      <c r="X396" s="13">
        <v>80</v>
      </c>
      <c r="Y396" s="13">
        <v>1.42</v>
      </c>
      <c r="Z396" s="13">
        <v>1</v>
      </c>
      <c r="AA396" s="13" t="s">
        <v>505</v>
      </c>
      <c r="AB396" s="58"/>
      <c r="AC396" s="58">
        <v>43983</v>
      </c>
      <c r="AD396" s="58">
        <v>44001</v>
      </c>
      <c r="AE396" s="58">
        <v>43984</v>
      </c>
      <c r="AF396" s="58">
        <v>43984</v>
      </c>
      <c r="AG396" s="58" t="s">
        <v>75</v>
      </c>
      <c r="AH396" s="59">
        <v>1</v>
      </c>
      <c r="AI396" s="59">
        <v>1</v>
      </c>
      <c r="AJ396" s="59">
        <v>1</v>
      </c>
      <c r="AK396" s="58" t="s">
        <v>8</v>
      </c>
      <c r="AL396" s="13"/>
      <c r="AM396" s="13"/>
      <c r="AN396" s="100" t="s">
        <v>1846</v>
      </c>
    </row>
    <row r="397" spans="2:40" ht="15">
      <c r="B397" s="204">
        <v>278</v>
      </c>
      <c r="C397" s="13">
        <v>20200601</v>
      </c>
      <c r="D397" s="13" t="s">
        <v>24</v>
      </c>
      <c r="E397" s="13" t="s">
        <v>1842</v>
      </c>
      <c r="F397" s="39" t="s">
        <v>2120</v>
      </c>
      <c r="G397" s="13">
        <v>1484917</v>
      </c>
      <c r="H397" s="164" t="s">
        <v>72</v>
      </c>
      <c r="I397" s="13" t="s">
        <v>2121</v>
      </c>
      <c r="J397" s="164" t="s">
        <v>72</v>
      </c>
      <c r="K397" s="13" t="s">
        <v>106</v>
      </c>
      <c r="L397" s="13" t="s">
        <v>1844</v>
      </c>
      <c r="M397" s="13" t="s">
        <v>1033</v>
      </c>
      <c r="N397" s="13" t="s">
        <v>1845</v>
      </c>
      <c r="O397" s="14" t="s">
        <v>72</v>
      </c>
      <c r="P397" s="14" t="s">
        <v>1278</v>
      </c>
      <c r="Q397" s="165"/>
      <c r="R397" s="164" t="s">
        <v>72</v>
      </c>
      <c r="S397" s="13" t="s">
        <v>161</v>
      </c>
      <c r="T397" s="13"/>
      <c r="U397" s="13"/>
      <c r="V397" s="13">
        <v>144</v>
      </c>
      <c r="W397" s="13">
        <v>144</v>
      </c>
      <c r="X397" s="13">
        <v>144</v>
      </c>
      <c r="Y397" s="13">
        <v>2.56</v>
      </c>
      <c r="Z397" s="13">
        <v>2</v>
      </c>
      <c r="AA397" s="13" t="s">
        <v>505</v>
      </c>
      <c r="AB397" s="58"/>
      <c r="AC397" s="58">
        <v>43983</v>
      </c>
      <c r="AD397" s="58">
        <v>44001</v>
      </c>
      <c r="AE397" s="58">
        <v>43985</v>
      </c>
      <c r="AF397" s="58">
        <v>43985</v>
      </c>
      <c r="AG397" s="58" t="s">
        <v>75</v>
      </c>
      <c r="AH397" s="59">
        <v>1</v>
      </c>
      <c r="AI397" s="59">
        <v>1</v>
      </c>
      <c r="AJ397" s="59">
        <v>1</v>
      </c>
      <c r="AK397" s="58" t="s">
        <v>8</v>
      </c>
      <c r="AL397" s="13"/>
      <c r="AM397" s="13"/>
      <c r="AN397" s="100" t="s">
        <v>1846</v>
      </c>
    </row>
    <row r="398" spans="2:40" ht="15">
      <c r="B398" s="204">
        <v>279</v>
      </c>
      <c r="C398" s="13">
        <v>20200601</v>
      </c>
      <c r="D398" s="13" t="s">
        <v>24</v>
      </c>
      <c r="E398" s="13" t="s">
        <v>1842</v>
      </c>
      <c r="F398" s="39" t="s">
        <v>2122</v>
      </c>
      <c r="G398" s="13">
        <v>1484917</v>
      </c>
      <c r="H398" s="164" t="s">
        <v>72</v>
      </c>
      <c r="I398" s="13" t="s">
        <v>2123</v>
      </c>
      <c r="J398" s="164" t="s">
        <v>72</v>
      </c>
      <c r="K398" s="13" t="s">
        <v>106</v>
      </c>
      <c r="L398" s="13" t="s">
        <v>1844</v>
      </c>
      <c r="M398" s="13" t="s">
        <v>1033</v>
      </c>
      <c r="N398" s="13" t="s">
        <v>1845</v>
      </c>
      <c r="O398" s="14" t="s">
        <v>72</v>
      </c>
      <c r="P398" s="14" t="s">
        <v>1278</v>
      </c>
      <c r="Q398" s="165"/>
      <c r="R398" s="164" t="s">
        <v>72</v>
      </c>
      <c r="S398" s="13" t="s">
        <v>161</v>
      </c>
      <c r="T398" s="13"/>
      <c r="U398" s="13"/>
      <c r="V398" s="13">
        <v>22</v>
      </c>
      <c r="W398" s="13">
        <v>22</v>
      </c>
      <c r="X398" s="13">
        <v>22</v>
      </c>
      <c r="Y398" s="13">
        <v>0.39</v>
      </c>
      <c r="Z398" s="13">
        <v>0.3</v>
      </c>
      <c r="AA398" s="13" t="s">
        <v>505</v>
      </c>
      <c r="AB398" s="58"/>
      <c r="AC398" s="58">
        <v>43983</v>
      </c>
      <c r="AD398" s="58">
        <v>44001</v>
      </c>
      <c r="AE398" s="58">
        <v>43985</v>
      </c>
      <c r="AF398" s="58">
        <v>43985</v>
      </c>
      <c r="AG398" s="58" t="s">
        <v>75</v>
      </c>
      <c r="AH398" s="59">
        <v>1</v>
      </c>
      <c r="AI398" s="59">
        <v>1</v>
      </c>
      <c r="AJ398" s="59">
        <v>1</v>
      </c>
      <c r="AK398" s="58" t="s">
        <v>8</v>
      </c>
      <c r="AL398" s="13"/>
      <c r="AM398" s="13"/>
      <c r="AN398" s="100" t="s">
        <v>1846</v>
      </c>
    </row>
    <row r="399" spans="2:40" ht="15">
      <c r="B399" s="204">
        <v>280</v>
      </c>
      <c r="C399" s="13">
        <v>20200601</v>
      </c>
      <c r="D399" s="13" t="s">
        <v>24</v>
      </c>
      <c r="E399" s="13" t="s">
        <v>1842</v>
      </c>
      <c r="F399" s="39" t="s">
        <v>2124</v>
      </c>
      <c r="G399" s="13">
        <v>1484917</v>
      </c>
      <c r="H399" s="164" t="s">
        <v>72</v>
      </c>
      <c r="I399" s="13" t="s">
        <v>2125</v>
      </c>
      <c r="J399" s="164" t="s">
        <v>72</v>
      </c>
      <c r="K399" s="13" t="s">
        <v>106</v>
      </c>
      <c r="L399" s="13" t="s">
        <v>1844</v>
      </c>
      <c r="M399" s="13" t="s">
        <v>1033</v>
      </c>
      <c r="N399" s="13" t="s">
        <v>1845</v>
      </c>
      <c r="O399" s="14" t="s">
        <v>72</v>
      </c>
      <c r="P399" s="14" t="s">
        <v>1278</v>
      </c>
      <c r="Q399" s="165"/>
      <c r="R399" s="164" t="s">
        <v>72</v>
      </c>
      <c r="S399" s="13" t="s">
        <v>113</v>
      </c>
      <c r="T399" s="13"/>
      <c r="U399" s="13"/>
      <c r="V399" s="13">
        <v>1083</v>
      </c>
      <c r="W399" s="13">
        <v>1083</v>
      </c>
      <c r="X399" s="13">
        <v>1083</v>
      </c>
      <c r="Y399" s="13">
        <v>19.25</v>
      </c>
      <c r="Z399" s="13">
        <v>19.25</v>
      </c>
      <c r="AA399" s="13" t="s">
        <v>505</v>
      </c>
      <c r="AB399" s="58"/>
      <c r="AC399" s="58">
        <v>43983</v>
      </c>
      <c r="AD399" s="58">
        <v>44001</v>
      </c>
      <c r="AE399" s="58">
        <v>43986</v>
      </c>
      <c r="AF399" s="58">
        <v>43986</v>
      </c>
      <c r="AG399" s="58" t="s">
        <v>75</v>
      </c>
      <c r="AH399" s="59">
        <v>1</v>
      </c>
      <c r="AI399" s="59">
        <v>1</v>
      </c>
      <c r="AJ399" s="59">
        <v>1</v>
      </c>
      <c r="AK399" s="58" t="s">
        <v>8</v>
      </c>
      <c r="AL399" s="13"/>
      <c r="AM399" s="13"/>
      <c r="AN399" s="100" t="s">
        <v>2126</v>
      </c>
    </row>
    <row r="400" spans="2:40" ht="15">
      <c r="B400" s="204">
        <v>281</v>
      </c>
      <c r="C400" s="13">
        <v>20200601</v>
      </c>
      <c r="D400" s="13" t="s">
        <v>24</v>
      </c>
      <c r="E400" s="13" t="s">
        <v>1842</v>
      </c>
      <c r="F400" s="39" t="s">
        <v>2127</v>
      </c>
      <c r="G400" s="13">
        <v>1484917</v>
      </c>
      <c r="H400" s="164" t="s">
        <v>72</v>
      </c>
      <c r="I400" s="13" t="s">
        <v>2128</v>
      </c>
      <c r="J400" s="164" t="s">
        <v>72</v>
      </c>
      <c r="K400" s="13" t="s">
        <v>106</v>
      </c>
      <c r="L400" s="13" t="s">
        <v>1844</v>
      </c>
      <c r="M400" s="13" t="s">
        <v>1033</v>
      </c>
      <c r="N400" s="13" t="s">
        <v>1845</v>
      </c>
      <c r="O400" s="14" t="s">
        <v>72</v>
      </c>
      <c r="P400" s="14" t="s">
        <v>1278</v>
      </c>
      <c r="Q400" s="165"/>
      <c r="R400" s="164" t="s">
        <v>72</v>
      </c>
      <c r="S400" s="13" t="s">
        <v>113</v>
      </c>
      <c r="T400" s="13"/>
      <c r="U400" s="13"/>
      <c r="V400" s="13">
        <v>9</v>
      </c>
      <c r="W400" s="13">
        <v>9</v>
      </c>
      <c r="X400" s="13">
        <v>9</v>
      </c>
      <c r="Y400" s="13">
        <v>0.16</v>
      </c>
      <c r="Z400" s="13">
        <v>0.16</v>
      </c>
      <c r="AA400" s="13" t="s">
        <v>505</v>
      </c>
      <c r="AB400" s="58"/>
      <c r="AC400" s="58">
        <v>43983</v>
      </c>
      <c r="AD400" s="58">
        <v>44001</v>
      </c>
      <c r="AE400" s="58">
        <v>43986</v>
      </c>
      <c r="AF400" s="58">
        <v>43986</v>
      </c>
      <c r="AG400" s="58" t="s">
        <v>75</v>
      </c>
      <c r="AH400" s="59">
        <v>1</v>
      </c>
      <c r="AI400" s="59">
        <v>1</v>
      </c>
      <c r="AJ400" s="59">
        <v>1</v>
      </c>
      <c r="AK400" s="58" t="s">
        <v>8</v>
      </c>
      <c r="AL400" s="13"/>
      <c r="AM400" s="13"/>
      <c r="AN400" s="100" t="s">
        <v>1846</v>
      </c>
    </row>
    <row r="401" spans="2:40" ht="15">
      <c r="B401" s="204">
        <v>282</v>
      </c>
      <c r="C401" s="13">
        <v>20200601</v>
      </c>
      <c r="D401" s="13" t="s">
        <v>24</v>
      </c>
      <c r="E401" s="13" t="s">
        <v>1842</v>
      </c>
      <c r="F401" s="39" t="s">
        <v>2129</v>
      </c>
      <c r="G401" s="13">
        <v>1484917</v>
      </c>
      <c r="H401" s="164" t="s">
        <v>72</v>
      </c>
      <c r="I401" s="13" t="s">
        <v>2130</v>
      </c>
      <c r="J401" s="164" t="s">
        <v>72</v>
      </c>
      <c r="K401" s="13" t="s">
        <v>106</v>
      </c>
      <c r="L401" s="13" t="s">
        <v>1844</v>
      </c>
      <c r="M401" s="13" t="s">
        <v>1033</v>
      </c>
      <c r="N401" s="13" t="s">
        <v>1845</v>
      </c>
      <c r="O401" s="14" t="s">
        <v>72</v>
      </c>
      <c r="P401" s="14" t="s">
        <v>1278</v>
      </c>
      <c r="Q401" s="165"/>
      <c r="R401" s="164" t="s">
        <v>72</v>
      </c>
      <c r="S401" s="13" t="s">
        <v>113</v>
      </c>
      <c r="T401" s="13"/>
      <c r="U401" s="13"/>
      <c r="V401" s="13">
        <v>20</v>
      </c>
      <c r="W401" s="13">
        <v>20</v>
      </c>
      <c r="X401" s="13">
        <v>20</v>
      </c>
      <c r="Y401" s="13">
        <v>0.35</v>
      </c>
      <c r="Z401" s="13">
        <v>0.35</v>
      </c>
      <c r="AA401" s="13" t="s">
        <v>505</v>
      </c>
      <c r="AB401" s="58"/>
      <c r="AC401" s="58">
        <v>43983</v>
      </c>
      <c r="AD401" s="58">
        <v>44001</v>
      </c>
      <c r="AE401" s="58">
        <v>43986</v>
      </c>
      <c r="AF401" s="58">
        <v>43986</v>
      </c>
      <c r="AG401" s="58" t="s">
        <v>75</v>
      </c>
      <c r="AH401" s="59">
        <v>1</v>
      </c>
      <c r="AI401" s="59">
        <v>1</v>
      </c>
      <c r="AJ401" s="59">
        <v>1</v>
      </c>
      <c r="AK401" s="58" t="s">
        <v>8</v>
      </c>
      <c r="AL401" s="13"/>
      <c r="AM401" s="13"/>
      <c r="AN401" s="100" t="s">
        <v>1846</v>
      </c>
    </row>
    <row r="402" spans="2:40" ht="15">
      <c r="B402" s="204">
        <v>283</v>
      </c>
      <c r="C402" s="13">
        <v>20200601</v>
      </c>
      <c r="D402" s="13" t="s">
        <v>24</v>
      </c>
      <c r="E402" s="13" t="s">
        <v>1842</v>
      </c>
      <c r="F402" s="39" t="s">
        <v>2131</v>
      </c>
      <c r="G402" s="13">
        <v>1484917</v>
      </c>
      <c r="H402" s="164" t="s">
        <v>72</v>
      </c>
      <c r="I402" s="13" t="s">
        <v>2132</v>
      </c>
      <c r="J402" s="164" t="s">
        <v>72</v>
      </c>
      <c r="K402" s="13" t="s">
        <v>106</v>
      </c>
      <c r="L402" s="13" t="s">
        <v>1844</v>
      </c>
      <c r="M402" s="13" t="s">
        <v>1033</v>
      </c>
      <c r="N402" s="13" t="s">
        <v>1845</v>
      </c>
      <c r="O402" s="14" t="s">
        <v>72</v>
      </c>
      <c r="P402" s="14" t="s">
        <v>1278</v>
      </c>
      <c r="Q402" s="165"/>
      <c r="R402" s="164" t="s">
        <v>72</v>
      </c>
      <c r="S402" s="13" t="s">
        <v>113</v>
      </c>
      <c r="T402" s="13"/>
      <c r="U402" s="13"/>
      <c r="V402" s="13">
        <v>80</v>
      </c>
      <c r="W402" s="13">
        <v>80</v>
      </c>
      <c r="X402" s="13">
        <v>80</v>
      </c>
      <c r="Y402" s="13">
        <v>1.42</v>
      </c>
      <c r="Z402" s="13">
        <v>1.42</v>
      </c>
      <c r="AA402" s="13" t="s">
        <v>505</v>
      </c>
      <c r="AB402" s="58"/>
      <c r="AC402" s="58">
        <v>43983</v>
      </c>
      <c r="AD402" s="58">
        <v>44001</v>
      </c>
      <c r="AE402" s="58">
        <v>43986</v>
      </c>
      <c r="AF402" s="58">
        <v>43986</v>
      </c>
      <c r="AG402" s="58" t="s">
        <v>75</v>
      </c>
      <c r="AH402" s="59">
        <v>1</v>
      </c>
      <c r="AI402" s="59">
        <v>1</v>
      </c>
      <c r="AJ402" s="59">
        <v>1</v>
      </c>
      <c r="AK402" s="58" t="s">
        <v>8</v>
      </c>
      <c r="AL402" s="13"/>
      <c r="AM402" s="13"/>
      <c r="AN402" s="100" t="s">
        <v>574</v>
      </c>
    </row>
    <row r="403" spans="2:40" ht="15">
      <c r="B403" s="204">
        <v>284</v>
      </c>
      <c r="C403" s="13">
        <v>20200601</v>
      </c>
      <c r="D403" s="13" t="s">
        <v>24</v>
      </c>
      <c r="E403" s="13" t="s">
        <v>1842</v>
      </c>
      <c r="F403" s="39" t="s">
        <v>2133</v>
      </c>
      <c r="G403" s="13">
        <v>1484917</v>
      </c>
      <c r="H403" s="164" t="s">
        <v>72</v>
      </c>
      <c r="I403" s="13" t="s">
        <v>2134</v>
      </c>
      <c r="J403" s="164" t="s">
        <v>72</v>
      </c>
      <c r="K403" s="13" t="s">
        <v>106</v>
      </c>
      <c r="L403" s="13" t="s">
        <v>1844</v>
      </c>
      <c r="M403" s="13" t="s">
        <v>1033</v>
      </c>
      <c r="N403" s="13" t="s">
        <v>1845</v>
      </c>
      <c r="O403" s="14" t="s">
        <v>72</v>
      </c>
      <c r="P403" s="14" t="s">
        <v>1278</v>
      </c>
      <c r="Q403" s="165"/>
      <c r="R403" s="164" t="s">
        <v>72</v>
      </c>
      <c r="S403" s="13" t="s">
        <v>161</v>
      </c>
      <c r="T403" s="13"/>
      <c r="U403" s="13"/>
      <c r="V403" s="13">
        <v>11</v>
      </c>
      <c r="W403" s="13">
        <v>11</v>
      </c>
      <c r="X403" s="13">
        <v>11</v>
      </c>
      <c r="Y403" s="13">
        <v>0.19</v>
      </c>
      <c r="Z403" s="13">
        <v>0.1</v>
      </c>
      <c r="AA403" s="13" t="s">
        <v>505</v>
      </c>
      <c r="AB403" s="58"/>
      <c r="AC403" s="58">
        <v>43983</v>
      </c>
      <c r="AD403" s="58">
        <v>44001</v>
      </c>
      <c r="AE403" s="58">
        <v>43985</v>
      </c>
      <c r="AF403" s="58">
        <v>43985</v>
      </c>
      <c r="AG403" s="58" t="s">
        <v>75</v>
      </c>
      <c r="AH403" s="59">
        <v>1</v>
      </c>
      <c r="AI403" s="59">
        <v>1</v>
      </c>
      <c r="AJ403" s="59">
        <v>1</v>
      </c>
      <c r="AK403" s="58" t="s">
        <v>8</v>
      </c>
      <c r="AL403" s="13"/>
      <c r="AM403" s="13"/>
      <c r="AN403" s="100" t="s">
        <v>1846</v>
      </c>
    </row>
    <row r="404" spans="2:40" ht="15">
      <c r="B404" s="204">
        <v>285</v>
      </c>
      <c r="C404" s="13">
        <v>20200601</v>
      </c>
      <c r="D404" s="13" t="s">
        <v>24</v>
      </c>
      <c r="E404" s="13" t="s">
        <v>1842</v>
      </c>
      <c r="F404" s="39" t="s">
        <v>2135</v>
      </c>
      <c r="G404" s="13">
        <v>1484917</v>
      </c>
      <c r="H404" s="164" t="s">
        <v>72</v>
      </c>
      <c r="I404" s="13" t="s">
        <v>2136</v>
      </c>
      <c r="J404" s="164" t="s">
        <v>72</v>
      </c>
      <c r="K404" s="13" t="s">
        <v>106</v>
      </c>
      <c r="L404" s="13" t="s">
        <v>1844</v>
      </c>
      <c r="M404" s="13" t="s">
        <v>1033</v>
      </c>
      <c r="N404" s="13" t="s">
        <v>1845</v>
      </c>
      <c r="O404" s="14" t="s">
        <v>72</v>
      </c>
      <c r="P404" s="14" t="s">
        <v>1278</v>
      </c>
      <c r="Q404" s="165"/>
      <c r="R404" s="164" t="s">
        <v>72</v>
      </c>
      <c r="S404" s="13" t="s">
        <v>161</v>
      </c>
      <c r="T404" s="13"/>
      <c r="U404" s="13"/>
      <c r="V404" s="13">
        <v>24</v>
      </c>
      <c r="W404" s="13">
        <v>24</v>
      </c>
      <c r="X404" s="13">
        <v>24</v>
      </c>
      <c r="Y404" s="13">
        <v>0.42</v>
      </c>
      <c r="Z404" s="13">
        <v>0.4</v>
      </c>
      <c r="AA404" s="13" t="s">
        <v>505</v>
      </c>
      <c r="AB404" s="58"/>
      <c r="AC404" s="58">
        <v>43983</v>
      </c>
      <c r="AD404" s="58">
        <v>44001</v>
      </c>
      <c r="AE404" s="58">
        <v>43985</v>
      </c>
      <c r="AF404" s="58">
        <v>43985</v>
      </c>
      <c r="AG404" s="58" t="s">
        <v>75</v>
      </c>
      <c r="AH404" s="59">
        <v>1</v>
      </c>
      <c r="AI404" s="59">
        <v>1</v>
      </c>
      <c r="AJ404" s="59">
        <v>1</v>
      </c>
      <c r="AK404" s="58" t="s">
        <v>8</v>
      </c>
      <c r="AL404" s="13"/>
      <c r="AM404" s="13"/>
      <c r="AN404" s="100" t="s">
        <v>1846</v>
      </c>
    </row>
    <row r="405" spans="2:40" ht="15">
      <c r="B405" s="204">
        <v>286</v>
      </c>
      <c r="C405" s="13">
        <v>20200601</v>
      </c>
      <c r="D405" s="13" t="s">
        <v>24</v>
      </c>
      <c r="E405" s="13" t="s">
        <v>1842</v>
      </c>
      <c r="F405" s="39" t="s">
        <v>2137</v>
      </c>
      <c r="G405" s="13">
        <v>1484917</v>
      </c>
      <c r="H405" s="164" t="s">
        <v>72</v>
      </c>
      <c r="I405" s="13" t="s">
        <v>2138</v>
      </c>
      <c r="J405" s="164" t="s">
        <v>72</v>
      </c>
      <c r="K405" s="13" t="s">
        <v>106</v>
      </c>
      <c r="L405" s="13" t="s">
        <v>1844</v>
      </c>
      <c r="M405" s="13" t="s">
        <v>1033</v>
      </c>
      <c r="N405" s="13" t="s">
        <v>1845</v>
      </c>
      <c r="O405" s="14" t="s">
        <v>72</v>
      </c>
      <c r="P405" s="14" t="s">
        <v>1278</v>
      </c>
      <c r="Q405" s="165"/>
      <c r="R405" s="164" t="s">
        <v>72</v>
      </c>
      <c r="S405" s="13" t="s">
        <v>161</v>
      </c>
      <c r="T405" s="13"/>
      <c r="U405" s="13"/>
      <c r="V405" s="13">
        <v>432</v>
      </c>
      <c r="W405" s="13">
        <v>432</v>
      </c>
      <c r="X405" s="13">
        <v>432</v>
      </c>
      <c r="Y405" s="13">
        <v>7.68</v>
      </c>
      <c r="Z405" s="13">
        <v>7</v>
      </c>
      <c r="AA405" s="13" t="s">
        <v>505</v>
      </c>
      <c r="AB405" s="58"/>
      <c r="AC405" s="58">
        <v>43983</v>
      </c>
      <c r="AD405" s="58">
        <v>44001</v>
      </c>
      <c r="AE405" s="58">
        <v>43985</v>
      </c>
      <c r="AF405" s="58">
        <v>43985</v>
      </c>
      <c r="AG405" s="58" t="s">
        <v>75</v>
      </c>
      <c r="AH405" s="59">
        <v>1</v>
      </c>
      <c r="AI405" s="59">
        <v>1</v>
      </c>
      <c r="AJ405" s="59">
        <v>1</v>
      </c>
      <c r="AK405" s="58" t="s">
        <v>8</v>
      </c>
      <c r="AL405" s="13"/>
      <c r="AM405" s="13"/>
      <c r="AN405" s="100" t="s">
        <v>1846</v>
      </c>
    </row>
    <row r="406" spans="2:40" ht="15">
      <c r="B406" s="204">
        <v>287</v>
      </c>
      <c r="C406" s="13">
        <v>20200601</v>
      </c>
      <c r="D406" s="13" t="s">
        <v>24</v>
      </c>
      <c r="E406" s="13" t="s">
        <v>1842</v>
      </c>
      <c r="F406" s="39" t="s">
        <v>2139</v>
      </c>
      <c r="G406" s="13">
        <v>1484917</v>
      </c>
      <c r="H406" s="164" t="s">
        <v>72</v>
      </c>
      <c r="I406" s="13" t="s">
        <v>2140</v>
      </c>
      <c r="J406" s="164" t="s">
        <v>72</v>
      </c>
      <c r="K406" s="13" t="s">
        <v>106</v>
      </c>
      <c r="L406" s="13" t="s">
        <v>1844</v>
      </c>
      <c r="M406" s="13" t="s">
        <v>1033</v>
      </c>
      <c r="N406" s="13" t="s">
        <v>1845</v>
      </c>
      <c r="O406" s="14" t="s">
        <v>72</v>
      </c>
      <c r="P406" s="14" t="s">
        <v>1278</v>
      </c>
      <c r="Q406" s="165"/>
      <c r="R406" s="164" t="s">
        <v>72</v>
      </c>
      <c r="S406" s="13" t="s">
        <v>161</v>
      </c>
      <c r="T406" s="13"/>
      <c r="U406" s="13"/>
      <c r="V406" s="13">
        <v>227</v>
      </c>
      <c r="W406" s="13">
        <v>227</v>
      </c>
      <c r="X406" s="13">
        <v>227</v>
      </c>
      <c r="Y406" s="13">
        <v>4.03</v>
      </c>
      <c r="Z406" s="13">
        <v>1</v>
      </c>
      <c r="AA406" s="13" t="s">
        <v>505</v>
      </c>
      <c r="AB406" s="58"/>
      <c r="AC406" s="58">
        <v>43983</v>
      </c>
      <c r="AD406" s="58">
        <v>44001</v>
      </c>
      <c r="AE406" s="58">
        <v>43986</v>
      </c>
      <c r="AF406" s="58">
        <v>43986</v>
      </c>
      <c r="AG406" s="58" t="s">
        <v>75</v>
      </c>
      <c r="AH406" s="59" t="s">
        <v>72</v>
      </c>
      <c r="AI406" s="59" t="s">
        <v>72</v>
      </c>
      <c r="AJ406" s="59" t="s">
        <v>72</v>
      </c>
      <c r="AK406" s="58" t="s">
        <v>8</v>
      </c>
      <c r="AL406" s="14" t="s">
        <v>1891</v>
      </c>
      <c r="AM406" s="13"/>
      <c r="AN406" s="100" t="s">
        <v>1846</v>
      </c>
    </row>
    <row r="407" spans="2:40" ht="15">
      <c r="B407" s="204">
        <v>288</v>
      </c>
      <c r="C407" s="13">
        <v>20200601</v>
      </c>
      <c r="D407" s="13" t="s">
        <v>24</v>
      </c>
      <c r="E407" s="13" t="s">
        <v>1842</v>
      </c>
      <c r="F407" s="39" t="s">
        <v>2141</v>
      </c>
      <c r="G407" s="13">
        <v>1484917</v>
      </c>
      <c r="H407" s="164" t="s">
        <v>72</v>
      </c>
      <c r="I407" s="13" t="s">
        <v>2142</v>
      </c>
      <c r="J407" s="164" t="s">
        <v>72</v>
      </c>
      <c r="K407" s="13" t="s">
        <v>106</v>
      </c>
      <c r="L407" s="13" t="s">
        <v>1844</v>
      </c>
      <c r="M407" s="13" t="s">
        <v>1033</v>
      </c>
      <c r="N407" s="13" t="s">
        <v>1845</v>
      </c>
      <c r="O407" s="14" t="s">
        <v>72</v>
      </c>
      <c r="P407" s="14" t="s">
        <v>1278</v>
      </c>
      <c r="Q407" s="165"/>
      <c r="R407" s="164" t="s">
        <v>72</v>
      </c>
      <c r="S407" s="13" t="s">
        <v>161</v>
      </c>
      <c r="T407" s="13"/>
      <c r="U407" s="13"/>
      <c r="V407" s="13">
        <v>47</v>
      </c>
      <c r="W407" s="13">
        <v>47</v>
      </c>
      <c r="X407" s="13">
        <v>47</v>
      </c>
      <c r="Y407" s="13">
        <v>0.83</v>
      </c>
      <c r="Z407" s="13">
        <v>0.8</v>
      </c>
      <c r="AA407" s="13" t="s">
        <v>505</v>
      </c>
      <c r="AB407" s="58"/>
      <c r="AC407" s="58">
        <v>43983</v>
      </c>
      <c r="AD407" s="58">
        <v>44001</v>
      </c>
      <c r="AE407" s="58">
        <v>43986</v>
      </c>
      <c r="AF407" s="58">
        <v>43986</v>
      </c>
      <c r="AG407" s="58" t="s">
        <v>75</v>
      </c>
      <c r="AH407" s="59">
        <v>1</v>
      </c>
      <c r="AI407" s="59">
        <v>1</v>
      </c>
      <c r="AJ407" s="59">
        <v>1</v>
      </c>
      <c r="AK407" s="58" t="s">
        <v>8</v>
      </c>
      <c r="AL407" s="13"/>
      <c r="AM407" s="13"/>
      <c r="AN407" s="100" t="s">
        <v>1846</v>
      </c>
    </row>
    <row r="408" spans="2:40" ht="15">
      <c r="B408" s="204">
        <v>289</v>
      </c>
      <c r="C408" s="13">
        <v>20200601</v>
      </c>
      <c r="D408" s="13" t="s">
        <v>24</v>
      </c>
      <c r="E408" s="13" t="s">
        <v>1842</v>
      </c>
      <c r="F408" s="39" t="s">
        <v>2143</v>
      </c>
      <c r="G408" s="13">
        <v>1484917</v>
      </c>
      <c r="H408" s="164" t="s">
        <v>72</v>
      </c>
      <c r="I408" s="13" t="s">
        <v>2144</v>
      </c>
      <c r="J408" s="164" t="s">
        <v>72</v>
      </c>
      <c r="K408" s="13" t="s">
        <v>106</v>
      </c>
      <c r="L408" s="13" t="s">
        <v>1844</v>
      </c>
      <c r="M408" s="13" t="s">
        <v>1033</v>
      </c>
      <c r="N408" s="13" t="s">
        <v>1845</v>
      </c>
      <c r="O408" s="14" t="s">
        <v>72</v>
      </c>
      <c r="P408" s="14" t="s">
        <v>1278</v>
      </c>
      <c r="Q408" s="165"/>
      <c r="R408" s="164" t="s">
        <v>72</v>
      </c>
      <c r="S408" s="13" t="s">
        <v>161</v>
      </c>
      <c r="T408" s="13"/>
      <c r="U408" s="13"/>
      <c r="V408" s="13">
        <v>13</v>
      </c>
      <c r="W408" s="13">
        <v>13</v>
      </c>
      <c r="X408" s="13">
        <v>13</v>
      </c>
      <c r="Y408" s="13">
        <v>0.23</v>
      </c>
      <c r="Z408" s="13">
        <v>0.2</v>
      </c>
      <c r="AA408" s="13" t="s">
        <v>505</v>
      </c>
      <c r="AB408" s="58"/>
      <c r="AC408" s="58">
        <v>43983</v>
      </c>
      <c r="AD408" s="58">
        <v>44001</v>
      </c>
      <c r="AE408" s="58">
        <v>43986</v>
      </c>
      <c r="AF408" s="58">
        <v>43986</v>
      </c>
      <c r="AG408" s="58" t="s">
        <v>75</v>
      </c>
      <c r="AH408" s="59">
        <v>1</v>
      </c>
      <c r="AI408" s="59">
        <v>1</v>
      </c>
      <c r="AJ408" s="59">
        <v>1</v>
      </c>
      <c r="AK408" s="58" t="s">
        <v>8</v>
      </c>
      <c r="AL408" s="13"/>
      <c r="AM408" s="13"/>
      <c r="AN408" s="100" t="s">
        <v>1846</v>
      </c>
    </row>
    <row r="409" spans="2:40" ht="15">
      <c r="B409" s="204">
        <v>290</v>
      </c>
      <c r="C409" s="13">
        <v>20200601</v>
      </c>
      <c r="D409" s="13" t="s">
        <v>24</v>
      </c>
      <c r="E409" s="13" t="s">
        <v>1842</v>
      </c>
      <c r="F409" s="39" t="s">
        <v>2145</v>
      </c>
      <c r="G409" s="13">
        <v>1484917</v>
      </c>
      <c r="H409" s="164" t="s">
        <v>72</v>
      </c>
      <c r="I409" s="13" t="s">
        <v>2146</v>
      </c>
      <c r="J409" s="164" t="s">
        <v>72</v>
      </c>
      <c r="K409" s="13" t="s">
        <v>106</v>
      </c>
      <c r="L409" s="13" t="s">
        <v>1844</v>
      </c>
      <c r="M409" s="13" t="s">
        <v>1033</v>
      </c>
      <c r="N409" s="13" t="s">
        <v>1845</v>
      </c>
      <c r="O409" s="14" t="s">
        <v>72</v>
      </c>
      <c r="P409" s="14" t="s">
        <v>1278</v>
      </c>
      <c r="Q409" s="165"/>
      <c r="R409" s="164" t="s">
        <v>72</v>
      </c>
      <c r="S409" s="13" t="s">
        <v>161</v>
      </c>
      <c r="T409" s="13"/>
      <c r="U409" s="13"/>
      <c r="V409" s="13">
        <v>6</v>
      </c>
      <c r="W409" s="13">
        <v>6</v>
      </c>
      <c r="X409" s="13">
        <v>6</v>
      </c>
      <c r="Y409" s="13">
        <v>0.1</v>
      </c>
      <c r="Z409" s="13">
        <v>0.1</v>
      </c>
      <c r="AA409" s="13" t="s">
        <v>505</v>
      </c>
      <c r="AB409" s="58"/>
      <c r="AC409" s="58">
        <v>43983</v>
      </c>
      <c r="AD409" s="58">
        <v>44001</v>
      </c>
      <c r="AE409" s="58">
        <v>43986</v>
      </c>
      <c r="AF409" s="58">
        <v>43986</v>
      </c>
      <c r="AG409" s="58" t="s">
        <v>75</v>
      </c>
      <c r="AH409" s="59">
        <v>1</v>
      </c>
      <c r="AI409" s="59">
        <v>1</v>
      </c>
      <c r="AJ409" s="59">
        <v>1</v>
      </c>
      <c r="AK409" s="58" t="s">
        <v>8</v>
      </c>
      <c r="AL409" s="13"/>
      <c r="AM409" s="13"/>
      <c r="AN409" s="100" t="s">
        <v>1846</v>
      </c>
    </row>
    <row r="410" spans="2:40" ht="15">
      <c r="B410" s="204">
        <v>291</v>
      </c>
      <c r="C410" s="13">
        <v>20200601</v>
      </c>
      <c r="D410" s="13" t="s">
        <v>24</v>
      </c>
      <c r="E410" s="13" t="s">
        <v>1842</v>
      </c>
      <c r="F410" s="39" t="s">
        <v>2147</v>
      </c>
      <c r="G410" s="13">
        <v>1484917</v>
      </c>
      <c r="H410" s="164" t="s">
        <v>72</v>
      </c>
      <c r="I410" s="13" t="s">
        <v>2148</v>
      </c>
      <c r="J410" s="164" t="s">
        <v>72</v>
      </c>
      <c r="K410" s="13" t="s">
        <v>106</v>
      </c>
      <c r="L410" s="13" t="s">
        <v>1844</v>
      </c>
      <c r="M410" s="13" t="s">
        <v>1033</v>
      </c>
      <c r="N410" s="13" t="s">
        <v>1845</v>
      </c>
      <c r="O410" s="14" t="s">
        <v>72</v>
      </c>
      <c r="P410" s="14" t="s">
        <v>1278</v>
      </c>
      <c r="Q410" s="165"/>
      <c r="R410" s="164" t="s">
        <v>72</v>
      </c>
      <c r="S410" s="13" t="s">
        <v>161</v>
      </c>
      <c r="T410" s="13"/>
      <c r="U410" s="13"/>
      <c r="V410" s="13">
        <v>105</v>
      </c>
      <c r="W410" s="13">
        <v>105</v>
      </c>
      <c r="X410" s="13">
        <v>105</v>
      </c>
      <c r="Y410" s="13">
        <v>1.86</v>
      </c>
      <c r="Z410" s="13">
        <v>1</v>
      </c>
      <c r="AA410" s="13" t="s">
        <v>505</v>
      </c>
      <c r="AB410" s="58"/>
      <c r="AC410" s="58">
        <v>43983</v>
      </c>
      <c r="AD410" s="58">
        <v>44001</v>
      </c>
      <c r="AE410" s="58">
        <v>43986</v>
      </c>
      <c r="AF410" s="58">
        <v>43986</v>
      </c>
      <c r="AG410" s="58" t="s">
        <v>75</v>
      </c>
      <c r="AH410" s="59">
        <v>1</v>
      </c>
      <c r="AI410" s="59">
        <v>1</v>
      </c>
      <c r="AJ410" s="59">
        <v>1</v>
      </c>
      <c r="AK410" s="58" t="s">
        <v>8</v>
      </c>
      <c r="AL410" s="13"/>
      <c r="AM410" s="13"/>
      <c r="AN410" s="100" t="s">
        <v>1846</v>
      </c>
    </row>
    <row r="411" spans="2:40" ht="15">
      <c r="B411" s="204">
        <v>292</v>
      </c>
      <c r="C411" s="13">
        <v>20200601</v>
      </c>
      <c r="D411" s="13" t="s">
        <v>24</v>
      </c>
      <c r="E411" s="13" t="s">
        <v>1842</v>
      </c>
      <c r="F411" s="39" t="s">
        <v>2149</v>
      </c>
      <c r="G411" s="13">
        <v>1484917</v>
      </c>
      <c r="H411" s="164" t="s">
        <v>72</v>
      </c>
      <c r="I411" s="13" t="s">
        <v>2150</v>
      </c>
      <c r="J411" s="164" t="s">
        <v>72</v>
      </c>
      <c r="K411" s="13" t="s">
        <v>106</v>
      </c>
      <c r="L411" s="13" t="s">
        <v>1844</v>
      </c>
      <c r="M411" s="13" t="s">
        <v>1033</v>
      </c>
      <c r="N411" s="13" t="s">
        <v>1845</v>
      </c>
      <c r="O411" s="14" t="s">
        <v>72</v>
      </c>
      <c r="P411" s="14" t="s">
        <v>1278</v>
      </c>
      <c r="Q411" s="165"/>
      <c r="R411" s="164" t="s">
        <v>72</v>
      </c>
      <c r="S411" s="13" t="s">
        <v>161</v>
      </c>
      <c r="T411" s="13"/>
      <c r="U411" s="13"/>
      <c r="V411" s="13">
        <v>780</v>
      </c>
      <c r="W411" s="13">
        <v>780</v>
      </c>
      <c r="X411" s="13">
        <v>780</v>
      </c>
      <c r="Y411" s="13">
        <v>13.86</v>
      </c>
      <c r="Z411" s="13">
        <v>1</v>
      </c>
      <c r="AA411" s="13" t="s">
        <v>505</v>
      </c>
      <c r="AB411" s="58"/>
      <c r="AC411" s="58">
        <v>43983</v>
      </c>
      <c r="AD411" s="58">
        <v>44001</v>
      </c>
      <c r="AE411" s="58">
        <v>43986</v>
      </c>
      <c r="AF411" s="58">
        <v>43986</v>
      </c>
      <c r="AG411" s="58" t="s">
        <v>75</v>
      </c>
      <c r="AH411" s="59" t="s">
        <v>72</v>
      </c>
      <c r="AI411" s="59" t="s">
        <v>72</v>
      </c>
      <c r="AJ411" s="59" t="s">
        <v>72</v>
      </c>
      <c r="AK411" s="58" t="s">
        <v>8</v>
      </c>
      <c r="AL411" s="14" t="s">
        <v>1891</v>
      </c>
      <c r="AM411" s="13"/>
      <c r="AN411" s="100" t="s">
        <v>1846</v>
      </c>
    </row>
    <row r="412" spans="2:40" ht="15">
      <c r="B412" s="204">
        <v>293</v>
      </c>
      <c r="C412" s="13">
        <v>20200601</v>
      </c>
      <c r="D412" s="13" t="s">
        <v>24</v>
      </c>
      <c r="E412" s="13" t="s">
        <v>1842</v>
      </c>
      <c r="F412" s="39" t="s">
        <v>2151</v>
      </c>
      <c r="G412" s="13">
        <v>1484917</v>
      </c>
      <c r="H412" s="164" t="s">
        <v>72</v>
      </c>
      <c r="I412" s="13" t="s">
        <v>2152</v>
      </c>
      <c r="J412" s="164" t="s">
        <v>72</v>
      </c>
      <c r="K412" s="13" t="s">
        <v>106</v>
      </c>
      <c r="L412" s="13" t="s">
        <v>1844</v>
      </c>
      <c r="M412" s="13" t="s">
        <v>1033</v>
      </c>
      <c r="N412" s="13" t="s">
        <v>1845</v>
      </c>
      <c r="O412" s="14" t="s">
        <v>72</v>
      </c>
      <c r="P412" s="14" t="s">
        <v>1278</v>
      </c>
      <c r="Q412" s="165"/>
      <c r="R412" s="164" t="s">
        <v>72</v>
      </c>
      <c r="S412" s="13" t="s">
        <v>77</v>
      </c>
      <c r="T412" s="13"/>
      <c r="U412" s="13"/>
      <c r="V412" s="13">
        <v>36</v>
      </c>
      <c r="W412" s="13">
        <v>36</v>
      </c>
      <c r="X412" s="13">
        <v>36</v>
      </c>
      <c r="Y412" s="13">
        <v>0.64</v>
      </c>
      <c r="Z412" s="13">
        <v>0.2</v>
      </c>
      <c r="AA412" s="13" t="s">
        <v>505</v>
      </c>
      <c r="AB412" s="58"/>
      <c r="AC412" s="58">
        <v>43983</v>
      </c>
      <c r="AD412" s="58">
        <v>44001</v>
      </c>
      <c r="AE412" s="58">
        <v>43987</v>
      </c>
      <c r="AF412" s="58">
        <v>43987</v>
      </c>
      <c r="AG412" s="58" t="s">
        <v>75</v>
      </c>
      <c r="AH412" s="59">
        <v>1</v>
      </c>
      <c r="AI412" s="59">
        <v>1</v>
      </c>
      <c r="AJ412" s="59">
        <v>1</v>
      </c>
      <c r="AK412" s="58" t="s">
        <v>8</v>
      </c>
      <c r="AL412" s="14" t="s">
        <v>72</v>
      </c>
      <c r="AM412" s="14" t="s">
        <v>72</v>
      </c>
      <c r="AN412" s="100" t="s">
        <v>1846</v>
      </c>
    </row>
    <row r="413" spans="2:40" ht="15">
      <c r="B413" s="204">
        <v>294</v>
      </c>
      <c r="C413" s="13">
        <v>20200601</v>
      </c>
      <c r="D413" s="13" t="s">
        <v>24</v>
      </c>
      <c r="E413" s="13" t="s">
        <v>1842</v>
      </c>
      <c r="F413" s="39" t="s">
        <v>2153</v>
      </c>
      <c r="G413" s="13">
        <v>1484917</v>
      </c>
      <c r="H413" s="164" t="s">
        <v>72</v>
      </c>
      <c r="I413" s="13" t="s">
        <v>2154</v>
      </c>
      <c r="J413" s="164" t="s">
        <v>72</v>
      </c>
      <c r="K413" s="13" t="s">
        <v>106</v>
      </c>
      <c r="L413" s="13" t="s">
        <v>1844</v>
      </c>
      <c r="M413" s="13" t="s">
        <v>1033</v>
      </c>
      <c r="N413" s="13" t="s">
        <v>1845</v>
      </c>
      <c r="O413" s="14" t="s">
        <v>72</v>
      </c>
      <c r="P413" s="14" t="s">
        <v>1278</v>
      </c>
      <c r="Q413" s="165"/>
      <c r="R413" s="164" t="s">
        <v>72</v>
      </c>
      <c r="S413" s="13" t="s">
        <v>77</v>
      </c>
      <c r="T413" s="13"/>
      <c r="U413" s="13"/>
      <c r="V413" s="13">
        <v>3</v>
      </c>
      <c r="W413" s="13">
        <v>3</v>
      </c>
      <c r="X413" s="13">
        <v>3</v>
      </c>
      <c r="Y413" s="13">
        <v>0.05</v>
      </c>
      <c r="Z413" s="13">
        <v>0.01</v>
      </c>
      <c r="AA413" s="13" t="s">
        <v>505</v>
      </c>
      <c r="AB413" s="58"/>
      <c r="AC413" s="58">
        <v>43983</v>
      </c>
      <c r="AD413" s="58">
        <v>44001</v>
      </c>
      <c r="AE413" s="58">
        <v>43987</v>
      </c>
      <c r="AF413" s="58">
        <v>43987</v>
      </c>
      <c r="AG413" s="58" t="s">
        <v>75</v>
      </c>
      <c r="AH413" s="171" t="s">
        <v>72</v>
      </c>
      <c r="AI413" s="171" t="s">
        <v>72</v>
      </c>
      <c r="AJ413" s="171" t="s">
        <v>72</v>
      </c>
      <c r="AK413" s="58" t="s">
        <v>8</v>
      </c>
      <c r="AL413" s="14" t="s">
        <v>72</v>
      </c>
      <c r="AM413" s="14" t="s">
        <v>72</v>
      </c>
      <c r="AN413" s="193" t="s">
        <v>2155</v>
      </c>
    </row>
    <row r="414" spans="2:40" ht="15">
      <c r="B414" s="204">
        <v>295</v>
      </c>
      <c r="C414" s="13">
        <v>20200601</v>
      </c>
      <c r="D414" s="13" t="s">
        <v>24</v>
      </c>
      <c r="E414" s="13" t="s">
        <v>1842</v>
      </c>
      <c r="F414" s="39" t="s">
        <v>2156</v>
      </c>
      <c r="G414" s="13">
        <v>1484917</v>
      </c>
      <c r="H414" s="164" t="s">
        <v>72</v>
      </c>
      <c r="I414" s="13" t="s">
        <v>2157</v>
      </c>
      <c r="J414" s="164" t="s">
        <v>72</v>
      </c>
      <c r="K414" s="13" t="s">
        <v>106</v>
      </c>
      <c r="L414" s="13" t="s">
        <v>1844</v>
      </c>
      <c r="M414" s="13" t="s">
        <v>1033</v>
      </c>
      <c r="N414" s="13" t="s">
        <v>1845</v>
      </c>
      <c r="O414" s="14" t="s">
        <v>72</v>
      </c>
      <c r="P414" s="14" t="s">
        <v>1278</v>
      </c>
      <c r="Q414" s="165"/>
      <c r="R414" s="164" t="s">
        <v>72</v>
      </c>
      <c r="S414" s="13" t="s">
        <v>77</v>
      </c>
      <c r="T414" s="13"/>
      <c r="U414" s="13"/>
      <c r="V414" s="13">
        <v>225</v>
      </c>
      <c r="W414" s="13">
        <v>225</v>
      </c>
      <c r="X414" s="13">
        <v>225</v>
      </c>
      <c r="Y414" s="13">
        <v>4</v>
      </c>
      <c r="Z414" s="13">
        <v>3</v>
      </c>
      <c r="AA414" s="13" t="s">
        <v>505</v>
      </c>
      <c r="AB414" s="58"/>
      <c r="AC414" s="58">
        <v>43983</v>
      </c>
      <c r="AD414" s="58">
        <v>44001</v>
      </c>
      <c r="AE414" s="58">
        <v>43992</v>
      </c>
      <c r="AF414" s="58">
        <v>43992</v>
      </c>
      <c r="AG414" s="58" t="s">
        <v>75</v>
      </c>
      <c r="AH414" s="59">
        <v>1</v>
      </c>
      <c r="AI414" s="59">
        <v>1</v>
      </c>
      <c r="AJ414" s="59">
        <v>1</v>
      </c>
      <c r="AK414" s="58" t="s">
        <v>8</v>
      </c>
      <c r="AL414" s="14" t="s">
        <v>72</v>
      </c>
      <c r="AM414" s="13"/>
      <c r="AN414" s="100" t="s">
        <v>1846</v>
      </c>
    </row>
    <row r="415" spans="2:40" ht="30">
      <c r="B415" s="204">
        <v>296</v>
      </c>
      <c r="C415" s="13">
        <v>20200601</v>
      </c>
      <c r="D415" s="13" t="s">
        <v>24</v>
      </c>
      <c r="E415" s="13" t="s">
        <v>1842</v>
      </c>
      <c r="F415" s="39" t="s">
        <v>2158</v>
      </c>
      <c r="G415" s="13">
        <v>1484917</v>
      </c>
      <c r="H415" s="164" t="s">
        <v>72</v>
      </c>
      <c r="I415" s="13" t="s">
        <v>2159</v>
      </c>
      <c r="J415" s="164" t="s">
        <v>72</v>
      </c>
      <c r="K415" s="13" t="s">
        <v>106</v>
      </c>
      <c r="L415" s="13" t="s">
        <v>1844</v>
      </c>
      <c r="M415" s="13" t="s">
        <v>1033</v>
      </c>
      <c r="N415" s="13" t="s">
        <v>1845</v>
      </c>
      <c r="O415" s="14" t="s">
        <v>72</v>
      </c>
      <c r="P415" s="14" t="s">
        <v>1278</v>
      </c>
      <c r="Q415" s="165"/>
      <c r="R415" s="164" t="s">
        <v>72</v>
      </c>
      <c r="S415" s="13" t="s">
        <v>77</v>
      </c>
      <c r="T415" s="13"/>
      <c r="U415" s="13"/>
      <c r="V415" s="13">
        <v>530</v>
      </c>
      <c r="W415" s="13">
        <v>530</v>
      </c>
      <c r="X415" s="13">
        <v>530</v>
      </c>
      <c r="Y415" s="13">
        <v>9.42</v>
      </c>
      <c r="Z415" s="13">
        <v>4</v>
      </c>
      <c r="AA415" s="13" t="s">
        <v>505</v>
      </c>
      <c r="AB415" s="58"/>
      <c r="AC415" s="58">
        <v>43983</v>
      </c>
      <c r="AD415" s="58">
        <v>44001</v>
      </c>
      <c r="AE415" s="58">
        <v>43992</v>
      </c>
      <c r="AF415" s="58">
        <v>43992</v>
      </c>
      <c r="AG415" s="58" t="s">
        <v>75</v>
      </c>
      <c r="AH415" s="59">
        <v>1</v>
      </c>
      <c r="AI415" s="59">
        <v>1</v>
      </c>
      <c r="AJ415" s="59">
        <v>1</v>
      </c>
      <c r="AK415" s="58" t="s">
        <v>8</v>
      </c>
      <c r="AL415" s="14" t="s">
        <v>72</v>
      </c>
      <c r="AM415" s="14"/>
      <c r="AN415" s="205" t="s">
        <v>1846</v>
      </c>
    </row>
    <row r="416" spans="2:40" ht="15">
      <c r="B416" s="204">
        <v>297</v>
      </c>
      <c r="C416" s="13">
        <v>20200601</v>
      </c>
      <c r="D416" s="13" t="s">
        <v>24</v>
      </c>
      <c r="E416" s="13" t="s">
        <v>1842</v>
      </c>
      <c r="F416" s="39" t="s">
        <v>2160</v>
      </c>
      <c r="G416" s="13">
        <v>1484917</v>
      </c>
      <c r="H416" s="164" t="s">
        <v>72</v>
      </c>
      <c r="I416" s="13" t="s">
        <v>2161</v>
      </c>
      <c r="J416" s="164" t="s">
        <v>72</v>
      </c>
      <c r="K416" s="13" t="s">
        <v>106</v>
      </c>
      <c r="L416" s="13" t="s">
        <v>1844</v>
      </c>
      <c r="M416" s="13" t="s">
        <v>1033</v>
      </c>
      <c r="N416" s="13" t="s">
        <v>1845</v>
      </c>
      <c r="O416" s="14" t="s">
        <v>72</v>
      </c>
      <c r="P416" s="14" t="s">
        <v>1278</v>
      </c>
      <c r="Q416" s="165"/>
      <c r="R416" s="164" t="s">
        <v>72</v>
      </c>
      <c r="S416" s="13" t="s">
        <v>77</v>
      </c>
      <c r="T416" s="13"/>
      <c r="U416" s="13"/>
      <c r="V416" s="13">
        <v>18</v>
      </c>
      <c r="W416" s="13">
        <v>18</v>
      </c>
      <c r="X416" s="13">
        <v>18</v>
      </c>
      <c r="Y416" s="13">
        <v>0.32</v>
      </c>
      <c r="Z416" s="13">
        <v>0.1</v>
      </c>
      <c r="AA416" s="13" t="s">
        <v>505</v>
      </c>
      <c r="AB416" s="58"/>
      <c r="AC416" s="58">
        <v>43983</v>
      </c>
      <c r="AD416" s="58">
        <v>44001</v>
      </c>
      <c r="AE416" s="58">
        <v>43987</v>
      </c>
      <c r="AF416" s="58">
        <v>43987</v>
      </c>
      <c r="AG416" s="58" t="s">
        <v>75</v>
      </c>
      <c r="AH416" s="59">
        <v>1</v>
      </c>
      <c r="AI416" s="59">
        <v>1</v>
      </c>
      <c r="AJ416" s="59">
        <v>1</v>
      </c>
      <c r="AK416" s="58" t="s">
        <v>8</v>
      </c>
      <c r="AL416" s="14" t="s">
        <v>72</v>
      </c>
      <c r="AM416" s="14" t="s">
        <v>72</v>
      </c>
      <c r="AN416" s="100" t="s">
        <v>1846</v>
      </c>
    </row>
    <row r="417" spans="2:40" ht="15">
      <c r="B417" s="204">
        <v>298</v>
      </c>
      <c r="C417" s="13">
        <v>20200601</v>
      </c>
      <c r="D417" s="13" t="s">
        <v>24</v>
      </c>
      <c r="E417" s="13" t="s">
        <v>1842</v>
      </c>
      <c r="F417" s="39" t="s">
        <v>2162</v>
      </c>
      <c r="G417" s="13">
        <v>1484917</v>
      </c>
      <c r="H417" s="164" t="s">
        <v>72</v>
      </c>
      <c r="I417" s="13" t="s">
        <v>2163</v>
      </c>
      <c r="J417" s="164" t="s">
        <v>72</v>
      </c>
      <c r="K417" s="13" t="s">
        <v>106</v>
      </c>
      <c r="L417" s="13" t="s">
        <v>1844</v>
      </c>
      <c r="M417" s="13" t="s">
        <v>1033</v>
      </c>
      <c r="N417" s="13" t="s">
        <v>1845</v>
      </c>
      <c r="O417" s="14" t="s">
        <v>72</v>
      </c>
      <c r="P417" s="14" t="s">
        <v>1278</v>
      </c>
      <c r="Q417" s="165"/>
      <c r="R417" s="164" t="s">
        <v>72</v>
      </c>
      <c r="S417" s="13" t="s">
        <v>77</v>
      </c>
      <c r="T417" s="13"/>
      <c r="U417" s="13"/>
      <c r="V417" s="13">
        <v>17</v>
      </c>
      <c r="W417" s="13">
        <v>17</v>
      </c>
      <c r="X417" s="13">
        <v>17</v>
      </c>
      <c r="Y417" s="13">
        <v>0.3</v>
      </c>
      <c r="Z417" s="13">
        <v>0.1</v>
      </c>
      <c r="AA417" s="13" t="s">
        <v>505</v>
      </c>
      <c r="AB417" s="58"/>
      <c r="AC417" s="58">
        <v>43983</v>
      </c>
      <c r="AD417" s="58">
        <v>44001</v>
      </c>
      <c r="AE417" s="58">
        <v>43987</v>
      </c>
      <c r="AF417" s="58">
        <v>43987</v>
      </c>
      <c r="AG417" s="58" t="s">
        <v>75</v>
      </c>
      <c r="AH417" s="59">
        <v>1</v>
      </c>
      <c r="AI417" s="59">
        <v>1</v>
      </c>
      <c r="AJ417" s="59">
        <v>1</v>
      </c>
      <c r="AK417" s="58" t="s">
        <v>8</v>
      </c>
      <c r="AL417" s="14" t="s">
        <v>72</v>
      </c>
      <c r="AM417" s="14" t="s">
        <v>72</v>
      </c>
      <c r="AN417" s="100" t="s">
        <v>1846</v>
      </c>
    </row>
    <row r="418" spans="2:40" ht="15">
      <c r="B418" s="204">
        <v>299</v>
      </c>
      <c r="C418" s="13">
        <v>20200601</v>
      </c>
      <c r="D418" s="13" t="s">
        <v>24</v>
      </c>
      <c r="E418" s="13" t="s">
        <v>1842</v>
      </c>
      <c r="F418" s="39" t="s">
        <v>2164</v>
      </c>
      <c r="G418" s="13">
        <v>1484917</v>
      </c>
      <c r="H418" s="164" t="s">
        <v>72</v>
      </c>
      <c r="I418" s="13" t="s">
        <v>2165</v>
      </c>
      <c r="J418" s="164" t="s">
        <v>72</v>
      </c>
      <c r="K418" s="13" t="s">
        <v>106</v>
      </c>
      <c r="L418" s="13" t="s">
        <v>1844</v>
      </c>
      <c r="M418" s="13" t="s">
        <v>1033</v>
      </c>
      <c r="N418" s="13" t="s">
        <v>1845</v>
      </c>
      <c r="O418" s="14" t="s">
        <v>72</v>
      </c>
      <c r="P418" s="14" t="s">
        <v>1278</v>
      </c>
      <c r="Q418" s="165"/>
      <c r="R418" s="164" t="s">
        <v>72</v>
      </c>
      <c r="S418" s="13" t="s">
        <v>109</v>
      </c>
      <c r="T418" s="13"/>
      <c r="U418" s="13"/>
      <c r="V418" s="13">
        <v>143</v>
      </c>
      <c r="W418" s="13">
        <v>143</v>
      </c>
      <c r="X418" s="13">
        <v>143</v>
      </c>
      <c r="Y418" s="13">
        <v>2.54</v>
      </c>
      <c r="Z418" s="13">
        <v>3</v>
      </c>
      <c r="AA418" s="13" t="s">
        <v>505</v>
      </c>
      <c r="AB418" s="58"/>
      <c r="AC418" s="58">
        <v>43983</v>
      </c>
      <c r="AD418" s="58">
        <v>44001</v>
      </c>
      <c r="AE418" s="58">
        <v>43984</v>
      </c>
      <c r="AF418" s="58">
        <v>43984</v>
      </c>
      <c r="AG418" s="58" t="s">
        <v>75</v>
      </c>
      <c r="AH418" s="59">
        <v>1</v>
      </c>
      <c r="AI418" s="59">
        <v>1</v>
      </c>
      <c r="AJ418" s="59">
        <v>1</v>
      </c>
      <c r="AK418" s="58" t="s">
        <v>8</v>
      </c>
      <c r="AL418" s="181" t="s">
        <v>72</v>
      </c>
      <c r="AM418" s="13" t="s">
        <v>72</v>
      </c>
      <c r="AN418" s="100" t="s">
        <v>1846</v>
      </c>
    </row>
    <row r="419" spans="2:40" ht="15">
      <c r="B419" s="204">
        <v>300</v>
      </c>
      <c r="C419" s="13">
        <v>20200601</v>
      </c>
      <c r="D419" s="13" t="s">
        <v>24</v>
      </c>
      <c r="E419" s="13" t="s">
        <v>1842</v>
      </c>
      <c r="F419" s="39" t="s">
        <v>2166</v>
      </c>
      <c r="G419" s="13">
        <v>1484917</v>
      </c>
      <c r="H419" s="164" t="s">
        <v>72</v>
      </c>
      <c r="I419" s="13" t="s">
        <v>2167</v>
      </c>
      <c r="J419" s="164" t="s">
        <v>72</v>
      </c>
      <c r="K419" s="13" t="s">
        <v>106</v>
      </c>
      <c r="L419" s="13" t="s">
        <v>1844</v>
      </c>
      <c r="M419" s="13" t="s">
        <v>1033</v>
      </c>
      <c r="N419" s="13" t="s">
        <v>1845</v>
      </c>
      <c r="O419" s="14" t="s">
        <v>72</v>
      </c>
      <c r="P419" s="14" t="s">
        <v>1278</v>
      </c>
      <c r="Q419" s="165"/>
      <c r="R419" s="164" t="s">
        <v>72</v>
      </c>
      <c r="S419" s="13" t="s">
        <v>109</v>
      </c>
      <c r="T419" s="13"/>
      <c r="U419" s="13"/>
      <c r="V419" s="13">
        <v>69</v>
      </c>
      <c r="W419" s="13">
        <v>69</v>
      </c>
      <c r="X419" s="13">
        <v>69</v>
      </c>
      <c r="Y419" s="13">
        <v>1.22</v>
      </c>
      <c r="Z419" s="13">
        <v>1</v>
      </c>
      <c r="AA419" s="13" t="s">
        <v>505</v>
      </c>
      <c r="AB419" s="58"/>
      <c r="AC419" s="58">
        <v>43983</v>
      </c>
      <c r="AD419" s="58">
        <v>44001</v>
      </c>
      <c r="AE419" s="58">
        <v>43984</v>
      </c>
      <c r="AF419" s="58">
        <v>43984</v>
      </c>
      <c r="AG419" s="58" t="s">
        <v>75</v>
      </c>
      <c r="AH419" s="59">
        <v>1</v>
      </c>
      <c r="AI419" s="59">
        <v>1</v>
      </c>
      <c r="AJ419" s="59">
        <v>1</v>
      </c>
      <c r="AK419" s="58" t="s">
        <v>8</v>
      </c>
      <c r="AL419" s="14" t="s">
        <v>72</v>
      </c>
      <c r="AM419" s="13" t="s">
        <v>72</v>
      </c>
      <c r="AN419" s="100" t="s">
        <v>1846</v>
      </c>
    </row>
    <row r="420" spans="2:40" ht="15">
      <c r="B420" s="204">
        <v>301</v>
      </c>
      <c r="C420" s="13">
        <v>20200601</v>
      </c>
      <c r="D420" s="13" t="s">
        <v>24</v>
      </c>
      <c r="E420" s="13" t="s">
        <v>1842</v>
      </c>
      <c r="F420" s="39" t="s">
        <v>2168</v>
      </c>
      <c r="G420" s="13">
        <v>1484917</v>
      </c>
      <c r="H420" s="164" t="s">
        <v>72</v>
      </c>
      <c r="I420" s="13" t="s">
        <v>2169</v>
      </c>
      <c r="J420" s="164" t="s">
        <v>72</v>
      </c>
      <c r="K420" s="13" t="s">
        <v>106</v>
      </c>
      <c r="L420" s="13" t="s">
        <v>1844</v>
      </c>
      <c r="M420" s="13" t="s">
        <v>1033</v>
      </c>
      <c r="N420" s="13" t="s">
        <v>1845</v>
      </c>
      <c r="O420" s="14" t="s">
        <v>72</v>
      </c>
      <c r="P420" s="14" t="s">
        <v>1278</v>
      </c>
      <c r="Q420" s="165"/>
      <c r="R420" s="164" t="s">
        <v>72</v>
      </c>
      <c r="S420" s="13" t="s">
        <v>109</v>
      </c>
      <c r="T420" s="13"/>
      <c r="U420" s="13"/>
      <c r="V420" s="13">
        <v>129</v>
      </c>
      <c r="W420" s="13">
        <v>129</v>
      </c>
      <c r="X420" s="13">
        <v>129</v>
      </c>
      <c r="Y420" s="13">
        <v>2.29</v>
      </c>
      <c r="Z420" s="13">
        <v>2</v>
      </c>
      <c r="AA420" s="13" t="s">
        <v>505</v>
      </c>
      <c r="AB420" s="58"/>
      <c r="AC420" s="58">
        <v>43983</v>
      </c>
      <c r="AD420" s="58">
        <v>44001</v>
      </c>
      <c r="AE420" s="58">
        <v>43984</v>
      </c>
      <c r="AF420" s="58">
        <v>43984</v>
      </c>
      <c r="AG420" s="58" t="s">
        <v>75</v>
      </c>
      <c r="AH420" s="59">
        <v>1</v>
      </c>
      <c r="AI420" s="59">
        <v>1</v>
      </c>
      <c r="AJ420" s="59">
        <v>1</v>
      </c>
      <c r="AK420" s="58" t="s">
        <v>8</v>
      </c>
      <c r="AL420" s="14" t="s">
        <v>72</v>
      </c>
      <c r="AM420" s="13" t="s">
        <v>72</v>
      </c>
      <c r="AN420" s="100" t="s">
        <v>1846</v>
      </c>
    </row>
    <row r="421" spans="2:40" ht="15">
      <c r="B421" s="204">
        <v>302</v>
      </c>
      <c r="C421" s="13">
        <v>20200601</v>
      </c>
      <c r="D421" s="13" t="s">
        <v>24</v>
      </c>
      <c r="E421" s="13" t="s">
        <v>1842</v>
      </c>
      <c r="F421" s="4" t="s">
        <v>2170</v>
      </c>
      <c r="G421" s="13">
        <v>1489760</v>
      </c>
      <c r="H421" s="164" t="s">
        <v>72</v>
      </c>
      <c r="I421" s="13" t="s">
        <v>2171</v>
      </c>
      <c r="J421" s="164" t="s">
        <v>72</v>
      </c>
      <c r="K421" s="13" t="s">
        <v>106</v>
      </c>
      <c r="L421" s="13" t="s">
        <v>1844</v>
      </c>
      <c r="M421" s="13" t="s">
        <v>1033</v>
      </c>
      <c r="N421" s="13" t="s">
        <v>1845</v>
      </c>
      <c r="O421" s="14" t="s">
        <v>72</v>
      </c>
      <c r="P421" s="14" t="s">
        <v>1286</v>
      </c>
      <c r="Q421" s="165"/>
      <c r="R421" s="164" t="s">
        <v>72</v>
      </c>
      <c r="S421" s="13" t="s">
        <v>109</v>
      </c>
      <c r="T421" s="13"/>
      <c r="U421" s="13"/>
      <c r="V421" s="13">
        <v>39</v>
      </c>
      <c r="W421" s="13">
        <v>39</v>
      </c>
      <c r="X421" s="13">
        <v>39</v>
      </c>
      <c r="Y421" s="13">
        <v>0.69</v>
      </c>
      <c r="Z421" s="13">
        <v>0.8</v>
      </c>
      <c r="AA421" s="13" t="s">
        <v>505</v>
      </c>
      <c r="AB421" s="58"/>
      <c r="AC421" s="58">
        <v>43983</v>
      </c>
      <c r="AD421" s="58">
        <v>44001</v>
      </c>
      <c r="AE421" s="58">
        <v>43984</v>
      </c>
      <c r="AF421" s="58">
        <v>43984</v>
      </c>
      <c r="AG421" s="58" t="s">
        <v>75</v>
      </c>
      <c r="AH421" s="59">
        <v>1</v>
      </c>
      <c r="AI421" s="59">
        <v>1</v>
      </c>
      <c r="AJ421" s="59">
        <v>1</v>
      </c>
      <c r="AK421" s="58" t="s">
        <v>8</v>
      </c>
      <c r="AL421" s="14" t="s">
        <v>72</v>
      </c>
      <c r="AM421" s="13" t="s">
        <v>72</v>
      </c>
      <c r="AN421" s="100" t="s">
        <v>2172</v>
      </c>
    </row>
    <row r="422" spans="2:40" ht="15">
      <c r="B422" s="204">
        <v>303</v>
      </c>
      <c r="C422" s="13">
        <v>20200601</v>
      </c>
      <c r="D422" s="13" t="s">
        <v>24</v>
      </c>
      <c r="E422" s="13" t="s">
        <v>1842</v>
      </c>
      <c r="F422" s="4" t="s">
        <v>2173</v>
      </c>
      <c r="G422" s="13">
        <v>1489760</v>
      </c>
      <c r="H422" s="164" t="s">
        <v>72</v>
      </c>
      <c r="I422" s="13" t="s">
        <v>37</v>
      </c>
      <c r="J422" s="164" t="s">
        <v>72</v>
      </c>
      <c r="K422" s="13" t="s">
        <v>106</v>
      </c>
      <c r="L422" s="13" t="s">
        <v>1844</v>
      </c>
      <c r="M422" s="13" t="s">
        <v>1033</v>
      </c>
      <c r="N422" s="13" t="s">
        <v>1845</v>
      </c>
      <c r="O422" s="14" t="s">
        <v>72</v>
      </c>
      <c r="P422" s="14" t="s">
        <v>1286</v>
      </c>
      <c r="Q422" s="165"/>
      <c r="R422" s="164" t="s">
        <v>72</v>
      </c>
      <c r="S422" s="13" t="s">
        <v>109</v>
      </c>
      <c r="T422" s="13"/>
      <c r="U422" s="13"/>
      <c r="V422" s="13">
        <v>276</v>
      </c>
      <c r="W422" s="13">
        <v>276</v>
      </c>
      <c r="X422" s="13">
        <v>276</v>
      </c>
      <c r="Y422" s="13">
        <v>4.9000000000000004</v>
      </c>
      <c r="Z422" s="13">
        <v>1</v>
      </c>
      <c r="AA422" s="13" t="s">
        <v>505</v>
      </c>
      <c r="AB422" s="58"/>
      <c r="AC422" s="58">
        <v>43983</v>
      </c>
      <c r="AD422" s="58">
        <v>44001</v>
      </c>
      <c r="AE422" s="58">
        <v>43985</v>
      </c>
      <c r="AF422" s="58">
        <v>43985</v>
      </c>
      <c r="AG422" s="58" t="s">
        <v>75</v>
      </c>
      <c r="AH422" s="59">
        <v>1</v>
      </c>
      <c r="AI422" s="59">
        <v>1</v>
      </c>
      <c r="AJ422" s="59">
        <v>1</v>
      </c>
      <c r="AK422" s="58" t="s">
        <v>8</v>
      </c>
      <c r="AL422" s="14" t="s">
        <v>72</v>
      </c>
      <c r="AM422" s="13" t="s">
        <v>72</v>
      </c>
      <c r="AN422" s="100" t="s">
        <v>2172</v>
      </c>
    </row>
    <row r="423" spans="2:40" ht="15">
      <c r="B423" s="184">
        <v>304</v>
      </c>
      <c r="C423" s="13">
        <v>20200602</v>
      </c>
      <c r="D423" s="13" t="s">
        <v>311</v>
      </c>
      <c r="E423" s="14" t="s">
        <v>2174</v>
      </c>
      <c r="F423" s="14" t="s">
        <v>72</v>
      </c>
      <c r="G423" s="13">
        <v>1458019</v>
      </c>
      <c r="H423" s="164" t="s">
        <v>72</v>
      </c>
      <c r="I423" s="13" t="s">
        <v>2175</v>
      </c>
      <c r="J423" s="164" t="s">
        <v>72</v>
      </c>
      <c r="K423" s="13" t="s">
        <v>106</v>
      </c>
      <c r="L423" s="13" t="s">
        <v>8</v>
      </c>
      <c r="M423" s="13" t="s">
        <v>8</v>
      </c>
      <c r="N423" s="13" t="s">
        <v>2176</v>
      </c>
      <c r="O423" s="14" t="s">
        <v>2177</v>
      </c>
      <c r="P423" s="14" t="s">
        <v>2178</v>
      </c>
      <c r="Q423" s="165"/>
      <c r="R423" s="164" t="s">
        <v>72</v>
      </c>
      <c r="S423" s="13" t="s">
        <v>77</v>
      </c>
      <c r="T423" s="13"/>
      <c r="U423" s="13"/>
      <c r="V423" s="13">
        <v>25</v>
      </c>
      <c r="W423" s="13">
        <v>25</v>
      </c>
      <c r="X423" s="13">
        <v>25</v>
      </c>
      <c r="Y423" s="13">
        <v>1.53</v>
      </c>
      <c r="Z423" s="13">
        <v>2</v>
      </c>
      <c r="AA423" s="13" t="s">
        <v>550</v>
      </c>
      <c r="AB423" s="58">
        <v>43985</v>
      </c>
      <c r="AC423" s="58">
        <v>43984</v>
      </c>
      <c r="AD423" s="58">
        <v>43985</v>
      </c>
      <c r="AE423" s="58">
        <v>43984</v>
      </c>
      <c r="AF423" s="58">
        <v>43984</v>
      </c>
      <c r="AG423" s="58" t="s">
        <v>75</v>
      </c>
      <c r="AH423" s="59">
        <v>1</v>
      </c>
      <c r="AI423" s="59">
        <v>1</v>
      </c>
      <c r="AJ423" s="59">
        <v>1</v>
      </c>
      <c r="AK423" s="58" t="s">
        <v>8</v>
      </c>
      <c r="AL423" s="14" t="s">
        <v>72</v>
      </c>
      <c r="AM423" s="14" t="s">
        <v>72</v>
      </c>
      <c r="AN423" s="100" t="s">
        <v>2179</v>
      </c>
    </row>
    <row r="424" spans="2:40" ht="15">
      <c r="B424" s="184">
        <v>305</v>
      </c>
      <c r="C424" s="13">
        <v>20200602</v>
      </c>
      <c r="D424" s="13" t="s">
        <v>311</v>
      </c>
      <c r="E424" s="14" t="s">
        <v>2174</v>
      </c>
      <c r="F424" s="14" t="s">
        <v>72</v>
      </c>
      <c r="G424" s="14">
        <v>1458019</v>
      </c>
      <c r="H424" s="164" t="s">
        <v>72</v>
      </c>
      <c r="I424" s="13" t="s">
        <v>2180</v>
      </c>
      <c r="J424" s="164" t="s">
        <v>72</v>
      </c>
      <c r="K424" s="13" t="s">
        <v>106</v>
      </c>
      <c r="L424" s="13" t="s">
        <v>8</v>
      </c>
      <c r="M424" s="13" t="s">
        <v>8</v>
      </c>
      <c r="N424" s="13" t="s">
        <v>2176</v>
      </c>
      <c r="O424" s="13">
        <v>1.3</v>
      </c>
      <c r="P424" s="14" t="s">
        <v>2178</v>
      </c>
      <c r="Q424" s="165"/>
      <c r="R424" s="164" t="s">
        <v>72</v>
      </c>
      <c r="S424" s="13" t="s">
        <v>77</v>
      </c>
      <c r="T424" s="13"/>
      <c r="U424" s="13"/>
      <c r="V424" s="13">
        <v>25</v>
      </c>
      <c r="W424" s="13">
        <v>25</v>
      </c>
      <c r="X424" s="13">
        <v>25</v>
      </c>
      <c r="Y424" s="13">
        <v>1.53</v>
      </c>
      <c r="Z424" s="13">
        <v>2</v>
      </c>
      <c r="AA424" s="13" t="s">
        <v>550</v>
      </c>
      <c r="AB424" s="58">
        <v>43985</v>
      </c>
      <c r="AC424" s="58">
        <v>43984</v>
      </c>
      <c r="AD424" s="58">
        <v>43985</v>
      </c>
      <c r="AE424" s="58">
        <v>43985</v>
      </c>
      <c r="AF424" s="58">
        <v>43985</v>
      </c>
      <c r="AG424" s="58" t="s">
        <v>75</v>
      </c>
      <c r="AH424" s="59">
        <v>1</v>
      </c>
      <c r="AI424" s="59">
        <v>1</v>
      </c>
      <c r="AJ424" s="59">
        <v>1</v>
      </c>
      <c r="AK424" s="58" t="s">
        <v>8</v>
      </c>
      <c r="AL424" s="14" t="s">
        <v>72</v>
      </c>
      <c r="AM424" s="13"/>
      <c r="AN424" s="100" t="s">
        <v>2179</v>
      </c>
    </row>
    <row r="425" spans="2:40" ht="15">
      <c r="B425" s="184">
        <v>306</v>
      </c>
      <c r="C425" s="13">
        <v>20200602</v>
      </c>
      <c r="D425" s="13" t="s">
        <v>311</v>
      </c>
      <c r="E425" s="14" t="s">
        <v>2181</v>
      </c>
      <c r="F425" s="14" t="s">
        <v>72</v>
      </c>
      <c r="G425" s="13">
        <v>1499718</v>
      </c>
      <c r="H425" s="164" t="s">
        <v>72</v>
      </c>
      <c r="I425" s="13" t="s">
        <v>1800</v>
      </c>
      <c r="J425" s="164" t="s">
        <v>72</v>
      </c>
      <c r="K425" s="13" t="s">
        <v>73</v>
      </c>
      <c r="L425" s="13" t="s">
        <v>8</v>
      </c>
      <c r="M425" s="13" t="s">
        <v>1602</v>
      </c>
      <c r="N425" s="13">
        <v>1499718</v>
      </c>
      <c r="O425" s="14" t="s">
        <v>2182</v>
      </c>
      <c r="P425" s="14" t="s">
        <v>1798</v>
      </c>
      <c r="Q425" s="165"/>
      <c r="R425" s="164" t="s">
        <v>72</v>
      </c>
      <c r="S425" s="13" t="s">
        <v>117</v>
      </c>
      <c r="T425" s="13"/>
      <c r="U425" s="13"/>
      <c r="V425" s="13">
        <v>43</v>
      </c>
      <c r="W425" s="13">
        <v>43</v>
      </c>
      <c r="X425" s="13">
        <v>43</v>
      </c>
      <c r="Y425" s="13">
        <v>2.64</v>
      </c>
      <c r="Z425" s="13">
        <v>1</v>
      </c>
      <c r="AA425" s="13" t="s">
        <v>550</v>
      </c>
      <c r="AB425" s="58">
        <v>43987</v>
      </c>
      <c r="AC425" s="58">
        <v>43984</v>
      </c>
      <c r="AD425" s="58">
        <v>43986</v>
      </c>
      <c r="AE425" s="58">
        <v>43987</v>
      </c>
      <c r="AF425" s="58">
        <v>43987</v>
      </c>
      <c r="AG425" s="58" t="s">
        <v>75</v>
      </c>
      <c r="AH425" s="59">
        <v>1</v>
      </c>
      <c r="AI425" s="59">
        <v>1</v>
      </c>
      <c r="AJ425" s="59">
        <v>1</v>
      </c>
      <c r="AK425" s="58" t="s">
        <v>8</v>
      </c>
      <c r="AL425" s="13" t="s">
        <v>72</v>
      </c>
      <c r="AM425" s="13" t="s">
        <v>72</v>
      </c>
      <c r="AN425" s="13" t="s">
        <v>72</v>
      </c>
    </row>
    <row r="426" spans="2:40" ht="15">
      <c r="B426" s="206">
        <v>307</v>
      </c>
      <c r="C426" s="13">
        <v>20200603</v>
      </c>
      <c r="D426" s="13" t="s">
        <v>24</v>
      </c>
      <c r="E426" s="13" t="s">
        <v>837</v>
      </c>
      <c r="F426" s="39" t="s">
        <v>2183</v>
      </c>
      <c r="G426" s="14">
        <v>1495985</v>
      </c>
      <c r="H426" s="164" t="s">
        <v>72</v>
      </c>
      <c r="I426" s="13" t="s">
        <v>1487</v>
      </c>
      <c r="J426" s="164" t="s">
        <v>72</v>
      </c>
      <c r="K426" s="13" t="s">
        <v>73</v>
      </c>
      <c r="L426" s="13" t="s">
        <v>8</v>
      </c>
      <c r="M426" s="13" t="s">
        <v>840</v>
      </c>
      <c r="N426" s="13" t="s">
        <v>2184</v>
      </c>
      <c r="O426" s="14" t="s">
        <v>72</v>
      </c>
      <c r="P426" s="14" t="s">
        <v>1567</v>
      </c>
      <c r="Q426" s="165"/>
      <c r="R426" s="164" t="s">
        <v>72</v>
      </c>
      <c r="S426" s="13" t="s">
        <v>109</v>
      </c>
      <c r="T426" s="13"/>
      <c r="U426" s="13"/>
      <c r="V426" s="13">
        <v>42</v>
      </c>
      <c r="W426" s="13">
        <v>42</v>
      </c>
      <c r="X426" s="13">
        <v>42</v>
      </c>
      <c r="Y426" s="13">
        <v>0.74</v>
      </c>
      <c r="Z426" s="13">
        <v>0.5</v>
      </c>
      <c r="AA426" s="13" t="s">
        <v>550</v>
      </c>
      <c r="AB426" s="58">
        <v>43985</v>
      </c>
      <c r="AC426" s="58">
        <v>43985</v>
      </c>
      <c r="AD426" s="58">
        <v>43985</v>
      </c>
      <c r="AE426" s="58">
        <v>43985</v>
      </c>
      <c r="AF426" s="58">
        <v>43985</v>
      </c>
      <c r="AG426" s="58" t="s">
        <v>75</v>
      </c>
      <c r="AH426" s="59">
        <v>1</v>
      </c>
      <c r="AI426" s="59">
        <v>1</v>
      </c>
      <c r="AJ426" s="59">
        <v>1</v>
      </c>
      <c r="AK426" s="58" t="s">
        <v>8</v>
      </c>
      <c r="AL426" s="14" t="s">
        <v>72</v>
      </c>
      <c r="AM426" s="13" t="s">
        <v>72</v>
      </c>
      <c r="AN426" s="13"/>
    </row>
    <row r="427" spans="2:40" ht="15">
      <c r="B427" s="206">
        <v>308</v>
      </c>
      <c r="C427" s="13">
        <v>20200603</v>
      </c>
      <c r="D427" s="13" t="s">
        <v>24</v>
      </c>
      <c r="E427" s="13" t="s">
        <v>837</v>
      </c>
      <c r="F427" s="39" t="s">
        <v>2185</v>
      </c>
      <c r="G427" s="14">
        <v>1495985</v>
      </c>
      <c r="H427" s="164" t="s">
        <v>72</v>
      </c>
      <c r="I427" s="13" t="s">
        <v>1618</v>
      </c>
      <c r="J427" s="164" t="s">
        <v>72</v>
      </c>
      <c r="K427" s="13" t="s">
        <v>73</v>
      </c>
      <c r="L427" s="13" t="s">
        <v>8</v>
      </c>
      <c r="M427" s="13" t="s">
        <v>840</v>
      </c>
      <c r="N427" s="13" t="s">
        <v>2184</v>
      </c>
      <c r="O427" s="14" t="s">
        <v>72</v>
      </c>
      <c r="P427" s="14" t="s">
        <v>1567</v>
      </c>
      <c r="Q427" s="165"/>
      <c r="R427" s="164" t="s">
        <v>72</v>
      </c>
      <c r="S427" s="13" t="s">
        <v>109</v>
      </c>
      <c r="T427" s="13"/>
      <c r="U427" s="13"/>
      <c r="V427" s="13">
        <v>117</v>
      </c>
      <c r="W427" s="13">
        <v>117</v>
      </c>
      <c r="X427" s="13">
        <v>117</v>
      </c>
      <c r="Y427" s="13">
        <v>2.08</v>
      </c>
      <c r="Z427" s="13">
        <v>1</v>
      </c>
      <c r="AA427" s="13" t="s">
        <v>550</v>
      </c>
      <c r="AB427" s="58">
        <v>43985</v>
      </c>
      <c r="AC427" s="58">
        <v>43985</v>
      </c>
      <c r="AD427" s="58">
        <v>43985</v>
      </c>
      <c r="AE427" s="58">
        <v>43985</v>
      </c>
      <c r="AF427" s="58">
        <v>43985</v>
      </c>
      <c r="AG427" s="58" t="s">
        <v>75</v>
      </c>
      <c r="AH427" s="59">
        <v>1</v>
      </c>
      <c r="AI427" s="59">
        <v>1</v>
      </c>
      <c r="AJ427" s="59">
        <v>1</v>
      </c>
      <c r="AK427" s="58" t="s">
        <v>8</v>
      </c>
      <c r="AL427" s="14" t="s">
        <v>72</v>
      </c>
      <c r="AM427" s="13" t="s">
        <v>72</v>
      </c>
      <c r="AN427" s="13"/>
    </row>
    <row r="428" spans="2:40" ht="15">
      <c r="B428" s="206">
        <v>309</v>
      </c>
      <c r="C428" s="13">
        <v>20200603</v>
      </c>
      <c r="D428" s="13" t="s">
        <v>24</v>
      </c>
      <c r="E428" s="13" t="s">
        <v>837</v>
      </c>
      <c r="F428" s="39" t="s">
        <v>2186</v>
      </c>
      <c r="G428" s="14">
        <v>1495985</v>
      </c>
      <c r="H428" s="164" t="s">
        <v>72</v>
      </c>
      <c r="I428" s="13" t="s">
        <v>1142</v>
      </c>
      <c r="J428" s="164" t="s">
        <v>72</v>
      </c>
      <c r="K428" s="13" t="s">
        <v>73</v>
      </c>
      <c r="L428" s="13" t="s">
        <v>8</v>
      </c>
      <c r="M428" s="13" t="s">
        <v>840</v>
      </c>
      <c r="N428" s="13" t="s">
        <v>2184</v>
      </c>
      <c r="O428" s="14" t="s">
        <v>72</v>
      </c>
      <c r="P428" s="14" t="s">
        <v>1567</v>
      </c>
      <c r="Q428" s="165"/>
      <c r="R428" s="164" t="s">
        <v>72</v>
      </c>
      <c r="S428" s="13" t="s">
        <v>109</v>
      </c>
      <c r="T428" s="13"/>
      <c r="U428" s="13"/>
      <c r="V428" s="13">
        <v>90</v>
      </c>
      <c r="W428" s="13">
        <v>90</v>
      </c>
      <c r="X428" s="13">
        <v>90</v>
      </c>
      <c r="Y428" s="13">
        <v>1.6</v>
      </c>
      <c r="Z428" s="13">
        <v>0.5</v>
      </c>
      <c r="AA428" s="13" t="s">
        <v>550</v>
      </c>
      <c r="AB428" s="58">
        <v>43985</v>
      </c>
      <c r="AC428" s="58">
        <v>43985</v>
      </c>
      <c r="AD428" s="58">
        <v>43985</v>
      </c>
      <c r="AE428" s="58">
        <v>43985</v>
      </c>
      <c r="AF428" s="58">
        <v>43985</v>
      </c>
      <c r="AG428" s="58" t="s">
        <v>75</v>
      </c>
      <c r="AH428" s="59">
        <v>1</v>
      </c>
      <c r="AI428" s="59">
        <v>1</v>
      </c>
      <c r="AJ428" s="59">
        <v>1</v>
      </c>
      <c r="AK428" s="58" t="s">
        <v>8</v>
      </c>
      <c r="AL428" s="14" t="s">
        <v>72</v>
      </c>
      <c r="AM428" s="13" t="s">
        <v>72</v>
      </c>
      <c r="AN428" s="13"/>
    </row>
    <row r="429" spans="2:40" ht="15">
      <c r="B429" s="206">
        <v>310</v>
      </c>
      <c r="C429" s="13">
        <v>20200603</v>
      </c>
      <c r="D429" s="13" t="s">
        <v>24</v>
      </c>
      <c r="E429" s="13" t="s">
        <v>837</v>
      </c>
      <c r="F429" s="39" t="s">
        <v>2187</v>
      </c>
      <c r="G429" s="14">
        <v>1495985</v>
      </c>
      <c r="H429" s="164" t="s">
        <v>72</v>
      </c>
      <c r="I429" s="13" t="s">
        <v>1626</v>
      </c>
      <c r="J429" s="164" t="s">
        <v>72</v>
      </c>
      <c r="K429" s="13" t="s">
        <v>73</v>
      </c>
      <c r="L429" s="13" t="s">
        <v>8</v>
      </c>
      <c r="M429" s="13" t="s">
        <v>840</v>
      </c>
      <c r="N429" s="13" t="s">
        <v>2184</v>
      </c>
      <c r="O429" s="14" t="s">
        <v>72</v>
      </c>
      <c r="P429" s="14" t="s">
        <v>1567</v>
      </c>
      <c r="Q429" s="165"/>
      <c r="R429" s="164" t="s">
        <v>72</v>
      </c>
      <c r="S429" s="13" t="s">
        <v>109</v>
      </c>
      <c r="T429" s="13"/>
      <c r="U429" s="13"/>
      <c r="V429" s="13">
        <v>27</v>
      </c>
      <c r="W429" s="13">
        <v>27</v>
      </c>
      <c r="X429" s="13">
        <v>27</v>
      </c>
      <c r="Y429" s="13">
        <v>0.48</v>
      </c>
      <c r="Z429" s="13">
        <v>0.5</v>
      </c>
      <c r="AA429" s="13" t="s">
        <v>550</v>
      </c>
      <c r="AB429" s="58">
        <v>43985</v>
      </c>
      <c r="AC429" s="58">
        <v>43985</v>
      </c>
      <c r="AD429" s="58">
        <v>43985</v>
      </c>
      <c r="AE429" s="58">
        <v>43985</v>
      </c>
      <c r="AF429" s="58">
        <v>43985</v>
      </c>
      <c r="AG429" s="58" t="s">
        <v>75</v>
      </c>
      <c r="AH429" s="59">
        <v>1</v>
      </c>
      <c r="AI429" s="59">
        <v>1</v>
      </c>
      <c r="AJ429" s="59">
        <v>1</v>
      </c>
      <c r="AK429" s="58" t="s">
        <v>8</v>
      </c>
      <c r="AL429" s="14" t="s">
        <v>72</v>
      </c>
      <c r="AM429" s="13" t="s">
        <v>72</v>
      </c>
      <c r="AN429" s="13"/>
    </row>
    <row r="430" spans="2:40" ht="15">
      <c r="B430" s="206">
        <v>311</v>
      </c>
      <c r="C430" s="13">
        <v>20200603</v>
      </c>
      <c r="D430" s="13" t="s">
        <v>311</v>
      </c>
      <c r="E430" s="13" t="s">
        <v>1562</v>
      </c>
      <c r="F430" s="14" t="s">
        <v>72</v>
      </c>
      <c r="G430" s="14">
        <v>1497370</v>
      </c>
      <c r="H430" s="164" t="s">
        <v>72</v>
      </c>
      <c r="I430" s="13" t="s">
        <v>2188</v>
      </c>
      <c r="J430" s="164" t="s">
        <v>72</v>
      </c>
      <c r="K430" s="13" t="s">
        <v>73</v>
      </c>
      <c r="L430" s="13" t="s">
        <v>8</v>
      </c>
      <c r="M430" s="13" t="s">
        <v>1565</v>
      </c>
      <c r="N430" s="13" t="s">
        <v>2189</v>
      </c>
      <c r="O430" s="207" t="s">
        <v>2190</v>
      </c>
      <c r="P430" s="208" t="s">
        <v>1701</v>
      </c>
      <c r="Q430" s="165"/>
      <c r="R430" s="164" t="s">
        <v>72</v>
      </c>
      <c r="S430" s="13" t="s">
        <v>117</v>
      </c>
      <c r="T430" s="13"/>
      <c r="U430" s="13"/>
      <c r="V430" s="13">
        <v>150</v>
      </c>
      <c r="W430" s="13">
        <v>150</v>
      </c>
      <c r="X430" s="13">
        <v>150</v>
      </c>
      <c r="Y430" s="13">
        <v>9.23</v>
      </c>
      <c r="Z430" s="13">
        <v>9</v>
      </c>
      <c r="AA430" s="13" t="s">
        <v>550</v>
      </c>
      <c r="AB430" s="58">
        <v>43986</v>
      </c>
      <c r="AC430" s="58">
        <v>43985</v>
      </c>
      <c r="AD430" s="58">
        <v>43986</v>
      </c>
      <c r="AE430" s="58">
        <v>43986</v>
      </c>
      <c r="AF430" s="58">
        <v>43986</v>
      </c>
      <c r="AG430" s="58" t="s">
        <v>79</v>
      </c>
      <c r="AH430" s="59">
        <v>0.92100000000000004</v>
      </c>
      <c r="AI430" s="59">
        <v>0.93200000000000005</v>
      </c>
      <c r="AJ430" s="59">
        <v>1</v>
      </c>
      <c r="AK430" s="58" t="s">
        <v>76</v>
      </c>
      <c r="AL430" s="13" t="s">
        <v>2191</v>
      </c>
      <c r="AM430" s="13"/>
      <c r="AN430" s="13" t="s">
        <v>1839</v>
      </c>
    </row>
    <row r="431" spans="2:40" ht="15">
      <c r="B431" s="209">
        <v>312</v>
      </c>
      <c r="C431" s="13">
        <v>20200603</v>
      </c>
      <c r="D431" s="13" t="s">
        <v>311</v>
      </c>
      <c r="E431" s="13" t="s">
        <v>2192</v>
      </c>
      <c r="F431" s="14" t="s">
        <v>72</v>
      </c>
      <c r="G431" s="14">
        <v>1501554</v>
      </c>
      <c r="H431" s="164" t="s">
        <v>72</v>
      </c>
      <c r="I431" s="13" t="s">
        <v>2193</v>
      </c>
      <c r="J431" s="164" t="s">
        <v>72</v>
      </c>
      <c r="K431" s="13" t="s">
        <v>73</v>
      </c>
      <c r="L431" s="13" t="s">
        <v>8</v>
      </c>
      <c r="M431" s="13" t="s">
        <v>2194</v>
      </c>
      <c r="N431" s="203" t="s">
        <v>1700</v>
      </c>
      <c r="O431" s="14" t="s">
        <v>2195</v>
      </c>
      <c r="P431" s="13" t="s">
        <v>2196</v>
      </c>
      <c r="Q431" s="165"/>
      <c r="R431" s="164" t="s">
        <v>72</v>
      </c>
      <c r="S431" s="13" t="s">
        <v>117</v>
      </c>
      <c r="T431" s="13"/>
      <c r="U431" s="13"/>
      <c r="V431" s="13">
        <v>83</v>
      </c>
      <c r="W431" s="53">
        <v>91</v>
      </c>
      <c r="X431" s="13">
        <v>91</v>
      </c>
      <c r="Y431" s="13">
        <v>5.6</v>
      </c>
      <c r="Z431" s="13">
        <v>4</v>
      </c>
      <c r="AA431" s="13" t="s">
        <v>550</v>
      </c>
      <c r="AB431" s="58">
        <v>43991</v>
      </c>
      <c r="AC431" s="58">
        <v>43985</v>
      </c>
      <c r="AD431" s="58">
        <v>43991</v>
      </c>
      <c r="AE431" s="58">
        <v>43991</v>
      </c>
      <c r="AF431" s="58">
        <v>43991</v>
      </c>
      <c r="AG431" s="58" t="s">
        <v>75</v>
      </c>
      <c r="AH431" s="59">
        <v>1</v>
      </c>
      <c r="AI431" s="59">
        <v>1</v>
      </c>
      <c r="AJ431" s="59">
        <v>1</v>
      </c>
      <c r="AK431" s="58" t="s">
        <v>8</v>
      </c>
      <c r="AL431" s="13"/>
      <c r="AM431" s="13"/>
      <c r="AN431" s="13"/>
    </row>
    <row r="432" spans="2:40" ht="15">
      <c r="B432" s="209">
        <v>313</v>
      </c>
      <c r="C432" s="13">
        <v>20200603</v>
      </c>
      <c r="D432" s="13" t="s">
        <v>311</v>
      </c>
      <c r="E432" s="13" t="s">
        <v>2192</v>
      </c>
      <c r="F432" s="14" t="s">
        <v>72</v>
      </c>
      <c r="G432" s="14">
        <v>1501554</v>
      </c>
      <c r="H432" s="164" t="s">
        <v>72</v>
      </c>
      <c r="I432" s="13" t="s">
        <v>2197</v>
      </c>
      <c r="J432" s="164" t="s">
        <v>72</v>
      </c>
      <c r="K432" s="13" t="s">
        <v>73</v>
      </c>
      <c r="L432" s="13" t="s">
        <v>8</v>
      </c>
      <c r="M432" s="13" t="s">
        <v>2194</v>
      </c>
      <c r="N432" s="210" t="s">
        <v>1700</v>
      </c>
      <c r="O432" s="14" t="s">
        <v>2198</v>
      </c>
      <c r="P432" s="13" t="s">
        <v>2196</v>
      </c>
      <c r="Q432" s="165"/>
      <c r="R432" s="164" t="s">
        <v>72</v>
      </c>
      <c r="S432" s="13" t="s">
        <v>117</v>
      </c>
      <c r="T432" s="13"/>
      <c r="U432" s="13"/>
      <c r="V432" s="13">
        <v>50</v>
      </c>
      <c r="W432" s="53">
        <v>54</v>
      </c>
      <c r="X432" s="13">
        <v>54</v>
      </c>
      <c r="Y432" s="13">
        <v>3.32</v>
      </c>
      <c r="Z432" s="13">
        <v>2</v>
      </c>
      <c r="AA432" s="13" t="s">
        <v>550</v>
      </c>
      <c r="AB432" s="58">
        <v>43991</v>
      </c>
      <c r="AC432" s="58">
        <v>43985</v>
      </c>
      <c r="AD432" s="58">
        <v>43991</v>
      </c>
      <c r="AE432" s="58">
        <v>43991</v>
      </c>
      <c r="AF432" s="58">
        <v>43991</v>
      </c>
      <c r="AG432" s="58" t="s">
        <v>75</v>
      </c>
      <c r="AH432" s="59">
        <v>1</v>
      </c>
      <c r="AI432" s="59">
        <v>1</v>
      </c>
      <c r="AJ432" s="59">
        <v>1</v>
      </c>
      <c r="AK432" s="58" t="s">
        <v>8</v>
      </c>
      <c r="AL432" s="13"/>
      <c r="AM432" s="13"/>
      <c r="AN432" s="13"/>
    </row>
    <row r="433" spans="2:40" ht="15">
      <c r="B433" s="184">
        <v>314</v>
      </c>
      <c r="C433" s="13">
        <v>20200603</v>
      </c>
      <c r="D433" s="13" t="s">
        <v>311</v>
      </c>
      <c r="E433" s="13" t="s">
        <v>2199</v>
      </c>
      <c r="F433" s="14" t="s">
        <v>72</v>
      </c>
      <c r="G433" s="14">
        <v>1498630</v>
      </c>
      <c r="H433" s="164" t="s">
        <v>72</v>
      </c>
      <c r="I433" s="13" t="s">
        <v>2200</v>
      </c>
      <c r="J433" s="164" t="s">
        <v>72</v>
      </c>
      <c r="K433" s="13" t="s">
        <v>73</v>
      </c>
      <c r="L433" s="13" t="s">
        <v>8</v>
      </c>
      <c r="M433" s="13" t="s">
        <v>2201</v>
      </c>
      <c r="N433" s="13">
        <v>1498630</v>
      </c>
      <c r="O433" s="14">
        <v>1.3</v>
      </c>
      <c r="P433" s="14" t="s">
        <v>2202</v>
      </c>
      <c r="Q433" s="165"/>
      <c r="R433" s="164" t="s">
        <v>72</v>
      </c>
      <c r="S433" s="13" t="s">
        <v>117</v>
      </c>
      <c r="T433" s="13"/>
      <c r="U433" s="13"/>
      <c r="V433" s="13">
        <v>72</v>
      </c>
      <c r="W433" s="13">
        <v>72</v>
      </c>
      <c r="X433" s="13">
        <v>72</v>
      </c>
      <c r="Y433" s="13">
        <v>4.43</v>
      </c>
      <c r="Z433" s="13">
        <v>2</v>
      </c>
      <c r="AA433" s="13" t="s">
        <v>550</v>
      </c>
      <c r="AB433" s="58">
        <v>43987</v>
      </c>
      <c r="AC433" s="58">
        <v>43985</v>
      </c>
      <c r="AD433" s="58">
        <v>43986</v>
      </c>
      <c r="AE433" s="58">
        <v>43987</v>
      </c>
      <c r="AF433" s="58">
        <v>43987</v>
      </c>
      <c r="AG433" s="58" t="s">
        <v>79</v>
      </c>
      <c r="AH433" s="59">
        <v>0.90500000000000003</v>
      </c>
      <c r="AI433" s="59">
        <v>0.90900000000000003</v>
      </c>
      <c r="AJ433" s="59">
        <v>0.85699999999999998</v>
      </c>
      <c r="AK433" s="58" t="s">
        <v>76</v>
      </c>
      <c r="AL433" s="13" t="s">
        <v>2203</v>
      </c>
      <c r="AM433" s="13"/>
      <c r="AN433" s="13" t="s">
        <v>1839</v>
      </c>
    </row>
    <row r="434" spans="2:40" ht="15">
      <c r="B434" s="184">
        <v>319</v>
      </c>
      <c r="C434" s="13">
        <v>20200603</v>
      </c>
      <c r="D434" s="13" t="s">
        <v>24</v>
      </c>
      <c r="E434" s="13" t="s">
        <v>2204</v>
      </c>
      <c r="F434" s="39" t="s">
        <v>2205</v>
      </c>
      <c r="G434" s="14">
        <v>1496822</v>
      </c>
      <c r="H434" s="164" t="s">
        <v>72</v>
      </c>
      <c r="I434" s="13" t="s">
        <v>2206</v>
      </c>
      <c r="J434" s="164" t="s">
        <v>72</v>
      </c>
      <c r="K434" s="13" t="s">
        <v>73</v>
      </c>
      <c r="L434" s="13" t="s">
        <v>2207</v>
      </c>
      <c r="M434" s="13" t="s">
        <v>2208</v>
      </c>
      <c r="N434" s="13" t="s">
        <v>2209</v>
      </c>
      <c r="O434" s="14" t="s">
        <v>72</v>
      </c>
      <c r="P434" s="14" t="s">
        <v>2210</v>
      </c>
      <c r="Q434" s="165"/>
      <c r="R434" s="164" t="s">
        <v>72</v>
      </c>
      <c r="S434" s="13" t="s">
        <v>161</v>
      </c>
      <c r="T434" s="13"/>
      <c r="U434" s="13"/>
      <c r="V434" s="13">
        <v>23</v>
      </c>
      <c r="W434" s="13">
        <v>23</v>
      </c>
      <c r="X434" s="13">
        <v>23</v>
      </c>
      <c r="Y434" s="13">
        <v>0.4</v>
      </c>
      <c r="Z434" s="13">
        <v>0.2</v>
      </c>
      <c r="AA434" s="13" t="s">
        <v>505</v>
      </c>
      <c r="AB434" s="58"/>
      <c r="AC434" s="58">
        <v>43985</v>
      </c>
      <c r="AD434" s="58">
        <v>43996</v>
      </c>
      <c r="AE434" s="58">
        <v>43986</v>
      </c>
      <c r="AF434" s="58">
        <v>43986</v>
      </c>
      <c r="AG434" s="58" t="s">
        <v>75</v>
      </c>
      <c r="AH434" s="59" t="s">
        <v>72</v>
      </c>
      <c r="AI434" s="59" t="s">
        <v>72</v>
      </c>
      <c r="AJ434" s="59" t="s">
        <v>72</v>
      </c>
      <c r="AK434" s="58" t="s">
        <v>8</v>
      </c>
      <c r="AL434" s="14" t="s">
        <v>1891</v>
      </c>
      <c r="AM434" s="13"/>
      <c r="AN434" s="13"/>
    </row>
    <row r="435" spans="2:40" ht="15">
      <c r="B435" s="184">
        <v>320</v>
      </c>
      <c r="C435" s="13">
        <v>20200603</v>
      </c>
      <c r="D435" s="13" t="s">
        <v>24</v>
      </c>
      <c r="E435" s="13" t="s">
        <v>2204</v>
      </c>
      <c r="F435" s="39" t="s">
        <v>2211</v>
      </c>
      <c r="G435" s="14">
        <v>1496822</v>
      </c>
      <c r="H435" s="164" t="s">
        <v>72</v>
      </c>
      <c r="I435" s="13" t="s">
        <v>2212</v>
      </c>
      <c r="J435" s="164" t="s">
        <v>72</v>
      </c>
      <c r="K435" s="13" t="s">
        <v>73</v>
      </c>
      <c r="L435" s="13" t="s">
        <v>2207</v>
      </c>
      <c r="M435" s="13" t="s">
        <v>2208</v>
      </c>
      <c r="N435" s="13" t="s">
        <v>2209</v>
      </c>
      <c r="O435" s="14" t="s">
        <v>72</v>
      </c>
      <c r="P435" s="14" t="s">
        <v>2210</v>
      </c>
      <c r="Q435" s="165"/>
      <c r="R435" s="164" t="s">
        <v>72</v>
      </c>
      <c r="S435" s="13" t="s">
        <v>161</v>
      </c>
      <c r="T435" s="13"/>
      <c r="U435" s="13"/>
      <c r="V435" s="13">
        <v>30</v>
      </c>
      <c r="W435" s="13">
        <v>30</v>
      </c>
      <c r="X435" s="13">
        <v>30</v>
      </c>
      <c r="Y435" s="13">
        <v>0.53</v>
      </c>
      <c r="Z435" s="13">
        <v>0.1</v>
      </c>
      <c r="AA435" s="13" t="s">
        <v>505</v>
      </c>
      <c r="AB435" s="58"/>
      <c r="AC435" s="58">
        <v>43985</v>
      </c>
      <c r="AD435" s="58">
        <v>43996</v>
      </c>
      <c r="AE435" s="58">
        <v>43986</v>
      </c>
      <c r="AF435" s="58">
        <v>43986</v>
      </c>
      <c r="AG435" s="58" t="s">
        <v>75</v>
      </c>
      <c r="AH435" s="59" t="s">
        <v>72</v>
      </c>
      <c r="AI435" s="59" t="s">
        <v>72</v>
      </c>
      <c r="AJ435" s="59" t="s">
        <v>72</v>
      </c>
      <c r="AK435" s="58" t="s">
        <v>8</v>
      </c>
      <c r="AL435" s="14" t="s">
        <v>1891</v>
      </c>
      <c r="AM435" s="13"/>
      <c r="AN435" s="13"/>
    </row>
    <row r="436" spans="2:40" ht="15">
      <c r="B436" s="184">
        <v>321</v>
      </c>
      <c r="C436" s="13">
        <v>20200603</v>
      </c>
      <c r="D436" s="13" t="s">
        <v>24</v>
      </c>
      <c r="E436" s="13" t="s">
        <v>2204</v>
      </c>
      <c r="F436" s="39" t="s">
        <v>2213</v>
      </c>
      <c r="G436" s="14">
        <v>1496822</v>
      </c>
      <c r="H436" s="164" t="s">
        <v>72</v>
      </c>
      <c r="I436" s="13" t="s">
        <v>2214</v>
      </c>
      <c r="J436" s="164" t="s">
        <v>72</v>
      </c>
      <c r="K436" s="13" t="s">
        <v>73</v>
      </c>
      <c r="L436" s="13" t="s">
        <v>2207</v>
      </c>
      <c r="M436" s="13" t="s">
        <v>2208</v>
      </c>
      <c r="N436" s="13" t="s">
        <v>2209</v>
      </c>
      <c r="O436" s="14" t="s">
        <v>72</v>
      </c>
      <c r="P436" s="14" t="s">
        <v>2210</v>
      </c>
      <c r="Q436" s="165"/>
      <c r="R436" s="164" t="s">
        <v>72</v>
      </c>
      <c r="S436" s="13" t="s">
        <v>161</v>
      </c>
      <c r="T436" s="13"/>
      <c r="U436" s="13"/>
      <c r="V436" s="13">
        <v>36</v>
      </c>
      <c r="W436" s="13">
        <v>36</v>
      </c>
      <c r="X436" s="13">
        <v>36</v>
      </c>
      <c r="Y436" s="13">
        <v>0.64</v>
      </c>
      <c r="Z436" s="13">
        <v>0.2</v>
      </c>
      <c r="AA436" s="13" t="s">
        <v>505</v>
      </c>
      <c r="AB436" s="58"/>
      <c r="AC436" s="58">
        <v>43985</v>
      </c>
      <c r="AD436" s="58">
        <v>43996</v>
      </c>
      <c r="AE436" s="58">
        <v>43986</v>
      </c>
      <c r="AF436" s="58">
        <v>43986</v>
      </c>
      <c r="AG436" s="58" t="s">
        <v>75</v>
      </c>
      <c r="AH436" s="59" t="s">
        <v>72</v>
      </c>
      <c r="AI436" s="59" t="s">
        <v>72</v>
      </c>
      <c r="AJ436" s="59" t="s">
        <v>72</v>
      </c>
      <c r="AK436" s="58" t="s">
        <v>8</v>
      </c>
      <c r="AL436" s="14" t="s">
        <v>1891</v>
      </c>
      <c r="AM436" s="13"/>
      <c r="AN436" s="13"/>
    </row>
    <row r="437" spans="2:40" ht="15">
      <c r="B437" s="184">
        <v>322</v>
      </c>
      <c r="C437" s="13">
        <v>20200603</v>
      </c>
      <c r="D437" s="13" t="s">
        <v>24</v>
      </c>
      <c r="E437" s="13" t="s">
        <v>2204</v>
      </c>
      <c r="F437" s="39" t="s">
        <v>2215</v>
      </c>
      <c r="G437" s="14">
        <v>1496822</v>
      </c>
      <c r="H437" s="164" t="s">
        <v>72</v>
      </c>
      <c r="I437" s="13" t="s">
        <v>2216</v>
      </c>
      <c r="J437" s="164" t="s">
        <v>72</v>
      </c>
      <c r="K437" s="13" t="s">
        <v>73</v>
      </c>
      <c r="L437" s="13" t="s">
        <v>2207</v>
      </c>
      <c r="M437" s="13" t="s">
        <v>2208</v>
      </c>
      <c r="N437" s="13" t="s">
        <v>2209</v>
      </c>
      <c r="O437" s="14" t="s">
        <v>72</v>
      </c>
      <c r="P437" s="14" t="s">
        <v>2210</v>
      </c>
      <c r="Q437" s="165"/>
      <c r="R437" s="164" t="s">
        <v>72</v>
      </c>
      <c r="S437" s="13" t="s">
        <v>161</v>
      </c>
      <c r="T437" s="13"/>
      <c r="U437" s="13"/>
      <c r="V437" s="13">
        <v>22</v>
      </c>
      <c r="W437" s="13">
        <v>22</v>
      </c>
      <c r="X437" s="13">
        <v>22</v>
      </c>
      <c r="Y437" s="13">
        <v>0.39</v>
      </c>
      <c r="Z437" s="13">
        <v>0.1</v>
      </c>
      <c r="AA437" s="13" t="s">
        <v>505</v>
      </c>
      <c r="AB437" s="58"/>
      <c r="AC437" s="58">
        <v>43985</v>
      </c>
      <c r="AD437" s="58">
        <v>43996</v>
      </c>
      <c r="AE437" s="58">
        <v>43986</v>
      </c>
      <c r="AF437" s="58">
        <v>43986</v>
      </c>
      <c r="AG437" s="58" t="s">
        <v>75</v>
      </c>
      <c r="AH437" s="59" t="s">
        <v>72</v>
      </c>
      <c r="AI437" s="59" t="s">
        <v>72</v>
      </c>
      <c r="AJ437" s="59" t="s">
        <v>72</v>
      </c>
      <c r="AK437" s="58" t="s">
        <v>8</v>
      </c>
      <c r="AL437" s="14" t="s">
        <v>1891</v>
      </c>
      <c r="AM437" s="13"/>
      <c r="AN437" s="13"/>
    </row>
    <row r="438" spans="2:40" ht="15">
      <c r="B438" s="184">
        <v>323</v>
      </c>
      <c r="C438" s="13">
        <v>20200603</v>
      </c>
      <c r="D438" s="13" t="s">
        <v>24</v>
      </c>
      <c r="E438" s="13" t="s">
        <v>2204</v>
      </c>
      <c r="F438" s="39" t="s">
        <v>2217</v>
      </c>
      <c r="G438" s="14">
        <v>1496822</v>
      </c>
      <c r="H438" s="164" t="s">
        <v>72</v>
      </c>
      <c r="I438" s="13" t="s">
        <v>2218</v>
      </c>
      <c r="J438" s="164" t="s">
        <v>72</v>
      </c>
      <c r="K438" s="13" t="s">
        <v>73</v>
      </c>
      <c r="L438" s="13" t="s">
        <v>2207</v>
      </c>
      <c r="M438" s="13" t="s">
        <v>2208</v>
      </c>
      <c r="N438" s="13" t="s">
        <v>2209</v>
      </c>
      <c r="O438" s="14" t="s">
        <v>72</v>
      </c>
      <c r="P438" s="14" t="s">
        <v>2210</v>
      </c>
      <c r="Q438" s="165"/>
      <c r="R438" s="164" t="s">
        <v>72</v>
      </c>
      <c r="S438" s="13" t="s">
        <v>161</v>
      </c>
      <c r="T438" s="13"/>
      <c r="U438" s="13"/>
      <c r="V438" s="13">
        <v>36</v>
      </c>
      <c r="W438" s="13">
        <v>36</v>
      </c>
      <c r="X438" s="13">
        <v>36</v>
      </c>
      <c r="Y438" s="13">
        <v>0.64</v>
      </c>
      <c r="Z438" s="13">
        <v>0.1</v>
      </c>
      <c r="AA438" s="13" t="s">
        <v>505</v>
      </c>
      <c r="AB438" s="58"/>
      <c r="AC438" s="58">
        <v>43985</v>
      </c>
      <c r="AD438" s="58">
        <v>43996</v>
      </c>
      <c r="AE438" s="58">
        <v>43986</v>
      </c>
      <c r="AF438" s="58">
        <v>43986</v>
      </c>
      <c r="AG438" s="58" t="s">
        <v>75</v>
      </c>
      <c r="AH438" s="59" t="s">
        <v>72</v>
      </c>
      <c r="AI438" s="59" t="s">
        <v>72</v>
      </c>
      <c r="AJ438" s="59" t="s">
        <v>72</v>
      </c>
      <c r="AK438" s="58" t="s">
        <v>8</v>
      </c>
      <c r="AL438" s="14" t="s">
        <v>1891</v>
      </c>
      <c r="AM438" s="13"/>
      <c r="AN438" s="13"/>
    </row>
    <row r="439" spans="2:40" ht="15">
      <c r="B439" s="184">
        <v>324</v>
      </c>
      <c r="C439" s="13">
        <v>20200603</v>
      </c>
      <c r="D439" s="13" t="s">
        <v>24</v>
      </c>
      <c r="E439" s="13" t="s">
        <v>2204</v>
      </c>
      <c r="F439" s="39" t="s">
        <v>2219</v>
      </c>
      <c r="G439" s="14">
        <v>1496822</v>
      </c>
      <c r="H439" s="164" t="s">
        <v>72</v>
      </c>
      <c r="I439" s="13" t="s">
        <v>2220</v>
      </c>
      <c r="J439" s="164" t="s">
        <v>72</v>
      </c>
      <c r="K439" s="13" t="s">
        <v>73</v>
      </c>
      <c r="L439" s="13" t="s">
        <v>2207</v>
      </c>
      <c r="M439" s="13" t="s">
        <v>2208</v>
      </c>
      <c r="N439" s="13" t="s">
        <v>2209</v>
      </c>
      <c r="O439" s="14" t="s">
        <v>72</v>
      </c>
      <c r="P439" s="14" t="s">
        <v>2210</v>
      </c>
      <c r="Q439" s="165"/>
      <c r="R439" s="164" t="s">
        <v>72</v>
      </c>
      <c r="S439" s="13" t="s">
        <v>109</v>
      </c>
      <c r="T439" s="13"/>
      <c r="U439" s="13"/>
      <c r="V439" s="13">
        <v>60</v>
      </c>
      <c r="W439" s="13">
        <v>60</v>
      </c>
      <c r="X439" s="13">
        <v>60</v>
      </c>
      <c r="Y439" s="13">
        <v>1.06</v>
      </c>
      <c r="Z439" s="13">
        <v>0.5</v>
      </c>
      <c r="AA439" s="13" t="s">
        <v>505</v>
      </c>
      <c r="AB439" s="58"/>
      <c r="AC439" s="58">
        <v>43985</v>
      </c>
      <c r="AD439" s="58">
        <v>43996</v>
      </c>
      <c r="AE439" s="58">
        <v>43986</v>
      </c>
      <c r="AF439" s="58">
        <v>43986</v>
      </c>
      <c r="AG439" s="58" t="s">
        <v>75</v>
      </c>
      <c r="AH439" s="59" t="s">
        <v>72</v>
      </c>
      <c r="AI439" s="59" t="s">
        <v>72</v>
      </c>
      <c r="AJ439" s="59" t="s">
        <v>72</v>
      </c>
      <c r="AK439" s="58" t="s">
        <v>8</v>
      </c>
      <c r="AL439" s="13" t="s">
        <v>72</v>
      </c>
      <c r="AM439" s="13" t="s">
        <v>72</v>
      </c>
      <c r="AN439" s="14" t="s">
        <v>418</v>
      </c>
    </row>
    <row r="440" spans="2:40" ht="15">
      <c r="B440" s="184">
        <v>325</v>
      </c>
      <c r="C440" s="13">
        <v>20200603</v>
      </c>
      <c r="D440" s="13" t="s">
        <v>24</v>
      </c>
      <c r="E440" s="13" t="s">
        <v>2204</v>
      </c>
      <c r="F440" s="39" t="s">
        <v>2221</v>
      </c>
      <c r="G440" s="14">
        <v>1496822</v>
      </c>
      <c r="H440" s="164" t="s">
        <v>72</v>
      </c>
      <c r="I440" s="13" t="s">
        <v>2222</v>
      </c>
      <c r="J440" s="164" t="s">
        <v>72</v>
      </c>
      <c r="K440" s="13" t="s">
        <v>73</v>
      </c>
      <c r="L440" s="13" t="s">
        <v>2207</v>
      </c>
      <c r="M440" s="13" t="s">
        <v>2208</v>
      </c>
      <c r="N440" s="13" t="s">
        <v>2209</v>
      </c>
      <c r="O440" s="14" t="s">
        <v>72</v>
      </c>
      <c r="P440" s="14" t="s">
        <v>2210</v>
      </c>
      <c r="Q440" s="165"/>
      <c r="R440" s="164" t="s">
        <v>72</v>
      </c>
      <c r="S440" s="13" t="s">
        <v>109</v>
      </c>
      <c r="T440" s="13"/>
      <c r="U440" s="13"/>
      <c r="V440" s="13">
        <v>33</v>
      </c>
      <c r="W440" s="13">
        <v>33</v>
      </c>
      <c r="X440" s="13">
        <v>33</v>
      </c>
      <c r="Y440" s="13">
        <v>0.57999999999999996</v>
      </c>
      <c r="Z440" s="13">
        <v>0.1</v>
      </c>
      <c r="AA440" s="13" t="s">
        <v>505</v>
      </c>
      <c r="AB440" s="58"/>
      <c r="AC440" s="58">
        <v>43985</v>
      </c>
      <c r="AD440" s="58">
        <v>43996</v>
      </c>
      <c r="AE440" s="58">
        <v>43986</v>
      </c>
      <c r="AF440" s="58">
        <v>43986</v>
      </c>
      <c r="AG440" s="58" t="s">
        <v>75</v>
      </c>
      <c r="AH440" s="59" t="s">
        <v>72</v>
      </c>
      <c r="AI440" s="59" t="s">
        <v>72</v>
      </c>
      <c r="AJ440" s="59" t="s">
        <v>72</v>
      </c>
      <c r="AK440" s="58" t="s">
        <v>8</v>
      </c>
      <c r="AL440" s="13" t="s">
        <v>72</v>
      </c>
      <c r="AM440" s="13" t="s">
        <v>72</v>
      </c>
      <c r="AN440" s="14" t="s">
        <v>418</v>
      </c>
    </row>
    <row r="441" spans="2:40" ht="15">
      <c r="B441" s="184">
        <v>326</v>
      </c>
      <c r="C441" s="13">
        <v>20200603</v>
      </c>
      <c r="D441" s="13" t="s">
        <v>24</v>
      </c>
      <c r="E441" s="13" t="s">
        <v>2204</v>
      </c>
      <c r="F441" s="39" t="s">
        <v>2223</v>
      </c>
      <c r="G441" s="14">
        <v>1496822</v>
      </c>
      <c r="H441" s="164" t="s">
        <v>72</v>
      </c>
      <c r="I441" s="13" t="s">
        <v>2224</v>
      </c>
      <c r="J441" s="164" t="s">
        <v>72</v>
      </c>
      <c r="K441" s="13" t="s">
        <v>73</v>
      </c>
      <c r="L441" s="13" t="s">
        <v>2207</v>
      </c>
      <c r="M441" s="13" t="s">
        <v>2208</v>
      </c>
      <c r="N441" s="13" t="s">
        <v>2209</v>
      </c>
      <c r="O441" s="14" t="s">
        <v>72</v>
      </c>
      <c r="P441" s="14" t="s">
        <v>2210</v>
      </c>
      <c r="Q441" s="165"/>
      <c r="R441" s="164" t="s">
        <v>72</v>
      </c>
      <c r="S441" s="13" t="s">
        <v>109</v>
      </c>
      <c r="T441" s="13"/>
      <c r="U441" s="13"/>
      <c r="V441" s="13">
        <v>19</v>
      </c>
      <c r="W441" s="13">
        <v>19</v>
      </c>
      <c r="X441" s="13">
        <v>19</v>
      </c>
      <c r="Y441" s="13">
        <v>0.33</v>
      </c>
      <c r="Z441" s="13">
        <v>0.1</v>
      </c>
      <c r="AA441" s="13" t="s">
        <v>505</v>
      </c>
      <c r="AB441" s="58"/>
      <c r="AC441" s="58">
        <v>43985</v>
      </c>
      <c r="AD441" s="58">
        <v>43996</v>
      </c>
      <c r="AE441" s="58">
        <v>43986</v>
      </c>
      <c r="AF441" s="58">
        <v>43986</v>
      </c>
      <c r="AG441" s="58" t="s">
        <v>75</v>
      </c>
      <c r="AH441" s="59" t="s">
        <v>72</v>
      </c>
      <c r="AI441" s="59" t="s">
        <v>72</v>
      </c>
      <c r="AJ441" s="59" t="s">
        <v>72</v>
      </c>
      <c r="AK441" s="58" t="s">
        <v>8</v>
      </c>
      <c r="AL441" s="13" t="s">
        <v>72</v>
      </c>
      <c r="AM441" s="13" t="s">
        <v>72</v>
      </c>
      <c r="AN441" s="14" t="s">
        <v>418</v>
      </c>
    </row>
    <row r="442" spans="2:40" ht="15">
      <c r="B442" s="184">
        <v>327</v>
      </c>
      <c r="C442" s="13">
        <v>20200603</v>
      </c>
      <c r="D442" s="13" t="s">
        <v>24</v>
      </c>
      <c r="E442" s="13" t="s">
        <v>2204</v>
      </c>
      <c r="F442" s="39" t="s">
        <v>2225</v>
      </c>
      <c r="G442" s="14">
        <v>1496822</v>
      </c>
      <c r="H442" s="164" t="s">
        <v>72</v>
      </c>
      <c r="I442" s="13" t="s">
        <v>2226</v>
      </c>
      <c r="J442" s="164" t="s">
        <v>72</v>
      </c>
      <c r="K442" s="13" t="s">
        <v>73</v>
      </c>
      <c r="L442" s="13" t="s">
        <v>2207</v>
      </c>
      <c r="M442" s="13" t="s">
        <v>2208</v>
      </c>
      <c r="N442" s="13" t="s">
        <v>2209</v>
      </c>
      <c r="O442" s="14" t="s">
        <v>72</v>
      </c>
      <c r="P442" s="14" t="s">
        <v>2210</v>
      </c>
      <c r="Q442" s="165"/>
      <c r="R442" s="164" t="s">
        <v>72</v>
      </c>
      <c r="S442" s="13" t="s">
        <v>109</v>
      </c>
      <c r="T442" s="13"/>
      <c r="U442" s="13"/>
      <c r="V442" s="13">
        <v>33</v>
      </c>
      <c r="W442" s="13">
        <v>33</v>
      </c>
      <c r="X442" s="13">
        <v>33</v>
      </c>
      <c r="Y442" s="13">
        <v>0.57999999999999996</v>
      </c>
      <c r="Z442" s="13">
        <v>0.1</v>
      </c>
      <c r="AA442" s="13" t="s">
        <v>505</v>
      </c>
      <c r="AB442" s="58"/>
      <c r="AC442" s="58">
        <v>43985</v>
      </c>
      <c r="AD442" s="58">
        <v>43996</v>
      </c>
      <c r="AE442" s="58">
        <v>43986</v>
      </c>
      <c r="AF442" s="58">
        <v>43986</v>
      </c>
      <c r="AG442" s="58" t="s">
        <v>75</v>
      </c>
      <c r="AH442" s="59" t="s">
        <v>72</v>
      </c>
      <c r="AI442" s="59" t="s">
        <v>72</v>
      </c>
      <c r="AJ442" s="59" t="s">
        <v>72</v>
      </c>
      <c r="AK442" s="58" t="s">
        <v>8</v>
      </c>
      <c r="AL442" s="13" t="s">
        <v>72</v>
      </c>
      <c r="AM442" s="13" t="s">
        <v>72</v>
      </c>
      <c r="AN442" s="14" t="s">
        <v>418</v>
      </c>
    </row>
    <row r="443" spans="2:40" ht="15">
      <c r="B443" s="184">
        <v>328</v>
      </c>
      <c r="C443" s="13">
        <v>20200603</v>
      </c>
      <c r="D443" s="13" t="s">
        <v>24</v>
      </c>
      <c r="E443" s="13" t="s">
        <v>2204</v>
      </c>
      <c r="F443" s="39" t="s">
        <v>2227</v>
      </c>
      <c r="G443" s="14">
        <v>1496822</v>
      </c>
      <c r="H443" s="164" t="s">
        <v>72</v>
      </c>
      <c r="I443" s="13" t="s">
        <v>2228</v>
      </c>
      <c r="J443" s="164" t="s">
        <v>72</v>
      </c>
      <c r="K443" s="13" t="s">
        <v>73</v>
      </c>
      <c r="L443" s="13" t="s">
        <v>2207</v>
      </c>
      <c r="M443" s="13" t="s">
        <v>2208</v>
      </c>
      <c r="N443" s="13" t="s">
        <v>2209</v>
      </c>
      <c r="O443" s="14" t="s">
        <v>72</v>
      </c>
      <c r="P443" s="14" t="s">
        <v>2210</v>
      </c>
      <c r="Q443" s="165"/>
      <c r="R443" s="164" t="s">
        <v>72</v>
      </c>
      <c r="S443" s="13" t="s">
        <v>109</v>
      </c>
      <c r="T443" s="13"/>
      <c r="U443" s="13"/>
      <c r="V443" s="13">
        <v>40</v>
      </c>
      <c r="W443" s="13">
        <v>40</v>
      </c>
      <c r="X443" s="13">
        <v>40</v>
      </c>
      <c r="Y443" s="13">
        <v>0.71</v>
      </c>
      <c r="Z443" s="13">
        <v>0.1</v>
      </c>
      <c r="AA443" s="13" t="s">
        <v>505</v>
      </c>
      <c r="AB443" s="58"/>
      <c r="AC443" s="58">
        <v>43985</v>
      </c>
      <c r="AD443" s="58">
        <v>43996</v>
      </c>
      <c r="AE443" s="58">
        <v>43986</v>
      </c>
      <c r="AF443" s="58">
        <v>43986</v>
      </c>
      <c r="AG443" s="58" t="s">
        <v>75</v>
      </c>
      <c r="AH443" s="59" t="s">
        <v>72</v>
      </c>
      <c r="AI443" s="59" t="s">
        <v>72</v>
      </c>
      <c r="AJ443" s="59" t="s">
        <v>72</v>
      </c>
      <c r="AK443" s="58" t="s">
        <v>8</v>
      </c>
      <c r="AL443" s="13" t="s">
        <v>72</v>
      </c>
      <c r="AM443" s="13" t="s">
        <v>72</v>
      </c>
      <c r="AN443" s="14" t="s">
        <v>418</v>
      </c>
    </row>
    <row r="444" spans="2:40" ht="15">
      <c r="B444" s="184">
        <v>334</v>
      </c>
      <c r="C444" s="13">
        <v>20200603</v>
      </c>
      <c r="D444" s="13" t="s">
        <v>24</v>
      </c>
      <c r="E444" s="13" t="s">
        <v>2229</v>
      </c>
      <c r="F444" s="39" t="s">
        <v>2230</v>
      </c>
      <c r="G444" s="14">
        <v>1490120</v>
      </c>
      <c r="H444" s="164" t="s">
        <v>72</v>
      </c>
      <c r="I444" s="13" t="s">
        <v>1179</v>
      </c>
      <c r="J444" s="164" t="s">
        <v>72</v>
      </c>
      <c r="K444" s="13" t="s">
        <v>73</v>
      </c>
      <c r="L444" s="13" t="s">
        <v>2231</v>
      </c>
      <c r="M444" s="13" t="s">
        <v>2232</v>
      </c>
      <c r="N444" s="13" t="s">
        <v>2233</v>
      </c>
      <c r="O444" s="14" t="s">
        <v>72</v>
      </c>
      <c r="P444" s="14" t="s">
        <v>2234</v>
      </c>
      <c r="Q444" s="165"/>
      <c r="R444" s="164" t="s">
        <v>72</v>
      </c>
      <c r="S444" s="13" t="s">
        <v>113</v>
      </c>
      <c r="T444" s="13"/>
      <c r="U444" s="13"/>
      <c r="V444" s="13">
        <v>155</v>
      </c>
      <c r="W444" s="13">
        <v>155</v>
      </c>
      <c r="X444" s="13">
        <v>155</v>
      </c>
      <c r="Y444" s="13">
        <v>2.75</v>
      </c>
      <c r="Z444" s="13">
        <v>2.75</v>
      </c>
      <c r="AA444" s="13" t="s">
        <v>550</v>
      </c>
      <c r="AB444" s="58">
        <v>43991</v>
      </c>
      <c r="AC444" s="58">
        <v>43985</v>
      </c>
      <c r="AD444" s="58">
        <v>43991</v>
      </c>
      <c r="AE444" s="58">
        <v>43990</v>
      </c>
      <c r="AF444" s="58">
        <v>43990</v>
      </c>
      <c r="AG444" s="58" t="s">
        <v>75</v>
      </c>
      <c r="AH444" s="59">
        <v>1</v>
      </c>
      <c r="AI444" s="59">
        <v>1</v>
      </c>
      <c r="AJ444" s="59">
        <v>1</v>
      </c>
      <c r="AK444" s="58" t="s">
        <v>8</v>
      </c>
      <c r="AL444" s="13"/>
      <c r="AM444" s="13"/>
      <c r="AN444" s="13"/>
    </row>
    <row r="445" spans="2:40" ht="15">
      <c r="B445" s="184">
        <v>335</v>
      </c>
      <c r="C445" s="13">
        <v>20200603</v>
      </c>
      <c r="D445" s="13" t="s">
        <v>24</v>
      </c>
      <c r="E445" s="13" t="s">
        <v>2229</v>
      </c>
      <c r="F445" s="39" t="s">
        <v>2235</v>
      </c>
      <c r="G445" s="14">
        <v>1490120</v>
      </c>
      <c r="H445" s="164" t="s">
        <v>72</v>
      </c>
      <c r="I445" s="13" t="s">
        <v>120</v>
      </c>
      <c r="J445" s="164" t="s">
        <v>72</v>
      </c>
      <c r="K445" s="13" t="s">
        <v>73</v>
      </c>
      <c r="L445" s="13" t="s">
        <v>2231</v>
      </c>
      <c r="M445" s="13" t="s">
        <v>2232</v>
      </c>
      <c r="N445" s="13" t="s">
        <v>2233</v>
      </c>
      <c r="O445" s="14" t="s">
        <v>72</v>
      </c>
      <c r="P445" s="14" t="s">
        <v>2234</v>
      </c>
      <c r="Q445" s="165"/>
      <c r="R445" s="164" t="s">
        <v>72</v>
      </c>
      <c r="S445" s="13" t="s">
        <v>113</v>
      </c>
      <c r="T445" s="13"/>
      <c r="U445" s="13"/>
      <c r="V445" s="13">
        <v>34</v>
      </c>
      <c r="W445" s="13">
        <v>34</v>
      </c>
      <c r="X445" s="13">
        <v>34</v>
      </c>
      <c r="Y445" s="13">
        <v>0.6</v>
      </c>
      <c r="Z445" s="13">
        <v>0.6</v>
      </c>
      <c r="AA445" s="13" t="s">
        <v>550</v>
      </c>
      <c r="AB445" s="58">
        <v>43991</v>
      </c>
      <c r="AC445" s="58">
        <v>43985</v>
      </c>
      <c r="AD445" s="58">
        <v>43991</v>
      </c>
      <c r="AE445" s="58">
        <v>43990</v>
      </c>
      <c r="AF445" s="58">
        <v>43990</v>
      </c>
      <c r="AG445" s="58" t="s">
        <v>75</v>
      </c>
      <c r="AH445" s="59">
        <v>1</v>
      </c>
      <c r="AI445" s="59">
        <v>1</v>
      </c>
      <c r="AJ445" s="59">
        <v>1</v>
      </c>
      <c r="AK445" s="58" t="s">
        <v>8</v>
      </c>
      <c r="AL445" s="13"/>
      <c r="AM445" s="13"/>
      <c r="AN445" s="13"/>
    </row>
    <row r="446" spans="2:40" ht="15">
      <c r="B446" s="184">
        <v>336</v>
      </c>
      <c r="C446" s="13">
        <v>20200603</v>
      </c>
      <c r="D446" s="13" t="s">
        <v>24</v>
      </c>
      <c r="E446" s="13" t="s">
        <v>2229</v>
      </c>
      <c r="F446" s="39" t="s">
        <v>2236</v>
      </c>
      <c r="G446" s="14">
        <v>1490120</v>
      </c>
      <c r="H446" s="164" t="s">
        <v>72</v>
      </c>
      <c r="I446" s="13" t="s">
        <v>123</v>
      </c>
      <c r="J446" s="164" t="s">
        <v>72</v>
      </c>
      <c r="K446" s="13" t="s">
        <v>73</v>
      </c>
      <c r="L446" s="13" t="s">
        <v>2231</v>
      </c>
      <c r="M446" s="13" t="s">
        <v>2232</v>
      </c>
      <c r="N446" s="13" t="s">
        <v>2233</v>
      </c>
      <c r="O446" s="14" t="s">
        <v>72</v>
      </c>
      <c r="P446" s="14" t="s">
        <v>2234</v>
      </c>
      <c r="Q446" s="165"/>
      <c r="R446" s="164" t="s">
        <v>72</v>
      </c>
      <c r="S446" s="13" t="s">
        <v>113</v>
      </c>
      <c r="T446" s="13"/>
      <c r="U446" s="13"/>
      <c r="V446" s="13">
        <v>65</v>
      </c>
      <c r="W446" s="13">
        <v>65</v>
      </c>
      <c r="X446" s="13">
        <v>65</v>
      </c>
      <c r="Y446" s="13">
        <v>1.1499999999999999</v>
      </c>
      <c r="Z446" s="13">
        <v>1.1499999999999999</v>
      </c>
      <c r="AA446" s="13" t="s">
        <v>550</v>
      </c>
      <c r="AB446" s="58">
        <v>43991</v>
      </c>
      <c r="AC446" s="58">
        <v>43985</v>
      </c>
      <c r="AD446" s="58">
        <v>43991</v>
      </c>
      <c r="AE446" s="58">
        <v>43990</v>
      </c>
      <c r="AF446" s="58">
        <v>43990</v>
      </c>
      <c r="AG446" s="58" t="s">
        <v>75</v>
      </c>
      <c r="AH446" s="59">
        <v>1</v>
      </c>
      <c r="AI446" s="59">
        <v>1</v>
      </c>
      <c r="AJ446" s="59">
        <v>1</v>
      </c>
      <c r="AK446" s="58" t="s">
        <v>8</v>
      </c>
      <c r="AL446" s="13"/>
      <c r="AM446" s="13"/>
      <c r="AN446" s="13"/>
    </row>
    <row r="447" spans="2:40" ht="15">
      <c r="B447" s="184">
        <v>337</v>
      </c>
      <c r="C447" s="13">
        <v>20200603</v>
      </c>
      <c r="D447" s="13" t="s">
        <v>24</v>
      </c>
      <c r="E447" s="13" t="s">
        <v>2237</v>
      </c>
      <c r="F447" s="39" t="s">
        <v>2238</v>
      </c>
      <c r="G447" s="14">
        <v>1495479</v>
      </c>
      <c r="H447" s="164" t="s">
        <v>72</v>
      </c>
      <c r="I447" s="13" t="s">
        <v>1775</v>
      </c>
      <c r="J447" s="164" t="s">
        <v>72</v>
      </c>
      <c r="K447" s="13" t="s">
        <v>73</v>
      </c>
      <c r="L447" s="13" t="s">
        <v>2239</v>
      </c>
      <c r="M447" s="13" t="s">
        <v>1033</v>
      </c>
      <c r="N447" s="13" t="s">
        <v>1034</v>
      </c>
      <c r="O447" s="14" t="s">
        <v>72</v>
      </c>
      <c r="P447" s="14" t="s">
        <v>2067</v>
      </c>
      <c r="Q447" s="165"/>
      <c r="R447" s="164" t="s">
        <v>72</v>
      </c>
      <c r="S447" s="13" t="s">
        <v>74</v>
      </c>
      <c r="T447" s="13"/>
      <c r="U447" s="13"/>
      <c r="V447" s="13">
        <v>149</v>
      </c>
      <c r="W447" s="53">
        <v>509</v>
      </c>
      <c r="X447" s="13">
        <v>509</v>
      </c>
      <c r="Y447" s="13">
        <v>9.0399999999999991</v>
      </c>
      <c r="Z447" s="13">
        <v>4</v>
      </c>
      <c r="AA447" s="13" t="s">
        <v>550</v>
      </c>
      <c r="AB447" s="58">
        <v>43987</v>
      </c>
      <c r="AC447" s="58">
        <v>43985</v>
      </c>
      <c r="AD447" s="58">
        <v>43987</v>
      </c>
      <c r="AE447" s="58">
        <v>43986</v>
      </c>
      <c r="AF447" s="58">
        <v>43986</v>
      </c>
      <c r="AG447" s="58" t="s">
        <v>75</v>
      </c>
      <c r="AH447" s="59">
        <v>1</v>
      </c>
      <c r="AI447" s="59">
        <v>1</v>
      </c>
      <c r="AJ447" s="59">
        <v>1</v>
      </c>
      <c r="AK447" s="58" t="s">
        <v>8</v>
      </c>
      <c r="AL447" s="14" t="s">
        <v>72</v>
      </c>
      <c r="AM447" s="14" t="s">
        <v>72</v>
      </c>
      <c r="AN447" s="13" t="s">
        <v>2240</v>
      </c>
    </row>
    <row r="448" spans="2:40" ht="15">
      <c r="B448" s="184">
        <v>338</v>
      </c>
      <c r="C448" s="13">
        <v>20200603</v>
      </c>
      <c r="D448" s="13" t="s">
        <v>24</v>
      </c>
      <c r="E448" s="13" t="s">
        <v>2241</v>
      </c>
      <c r="F448" s="39" t="s">
        <v>2242</v>
      </c>
      <c r="G448" s="14">
        <v>1495485</v>
      </c>
      <c r="H448" s="164" t="s">
        <v>72</v>
      </c>
      <c r="I448" s="13" t="s">
        <v>2243</v>
      </c>
      <c r="J448" s="164" t="s">
        <v>72</v>
      </c>
      <c r="K448" s="13" t="s">
        <v>73</v>
      </c>
      <c r="L448" s="13" t="s">
        <v>778</v>
      </c>
      <c r="M448" s="13" t="s">
        <v>2244</v>
      </c>
      <c r="N448" s="13" t="s">
        <v>780</v>
      </c>
      <c r="O448" s="14" t="s">
        <v>72</v>
      </c>
      <c r="P448" s="14" t="s">
        <v>785</v>
      </c>
      <c r="Q448" s="165"/>
      <c r="R448" s="164" t="s">
        <v>72</v>
      </c>
      <c r="S448" s="13" t="s">
        <v>74</v>
      </c>
      <c r="T448" s="13"/>
      <c r="U448" s="13"/>
      <c r="V448" s="13">
        <v>233</v>
      </c>
      <c r="W448" s="13">
        <v>233</v>
      </c>
      <c r="X448" s="13">
        <v>233</v>
      </c>
      <c r="Y448" s="13">
        <v>4.1399999999999997</v>
      </c>
      <c r="Z448" s="13">
        <v>2</v>
      </c>
      <c r="AA448" s="13" t="s">
        <v>550</v>
      </c>
      <c r="AB448" s="58">
        <v>43990</v>
      </c>
      <c r="AC448" s="58">
        <v>43985</v>
      </c>
      <c r="AD448" s="58">
        <v>43990</v>
      </c>
      <c r="AE448" s="58">
        <v>43990</v>
      </c>
      <c r="AF448" s="58">
        <v>43990</v>
      </c>
      <c r="AG448" s="58" t="s">
        <v>75</v>
      </c>
      <c r="AH448" s="59">
        <v>1</v>
      </c>
      <c r="AI448" s="59">
        <v>1</v>
      </c>
      <c r="AJ448" s="59">
        <v>1</v>
      </c>
      <c r="AK448" s="58" t="s">
        <v>8</v>
      </c>
      <c r="AL448" s="13"/>
      <c r="AM448" s="13"/>
      <c r="AN448" s="13"/>
    </row>
    <row r="449" spans="2:40" ht="15">
      <c r="B449" s="184">
        <v>339</v>
      </c>
      <c r="C449" s="13">
        <v>20200603</v>
      </c>
      <c r="D449" s="13" t="s">
        <v>24</v>
      </c>
      <c r="E449" s="13" t="s">
        <v>2241</v>
      </c>
      <c r="F449" s="39" t="s">
        <v>2245</v>
      </c>
      <c r="G449" s="14">
        <v>1495485</v>
      </c>
      <c r="H449" s="164" t="s">
        <v>72</v>
      </c>
      <c r="I449" s="13" t="s">
        <v>1272</v>
      </c>
      <c r="J449" s="164" t="s">
        <v>72</v>
      </c>
      <c r="K449" s="13" t="s">
        <v>73</v>
      </c>
      <c r="L449" s="13" t="s">
        <v>778</v>
      </c>
      <c r="M449" s="13" t="s">
        <v>2244</v>
      </c>
      <c r="N449" s="13" t="s">
        <v>780</v>
      </c>
      <c r="O449" s="14" t="s">
        <v>72</v>
      </c>
      <c r="P449" s="14" t="s">
        <v>785</v>
      </c>
      <c r="Q449" s="165"/>
      <c r="R449" s="164" t="s">
        <v>72</v>
      </c>
      <c r="S449" s="13" t="s">
        <v>74</v>
      </c>
      <c r="T449" s="13"/>
      <c r="U449" s="13"/>
      <c r="V449" s="13">
        <v>130</v>
      </c>
      <c r="W449" s="211">
        <v>357</v>
      </c>
      <c r="X449" s="13">
        <v>357</v>
      </c>
      <c r="Y449" s="13">
        <v>6.34</v>
      </c>
      <c r="Z449" s="13">
        <v>2</v>
      </c>
      <c r="AA449" s="13" t="s">
        <v>550</v>
      </c>
      <c r="AB449" s="58">
        <v>43990</v>
      </c>
      <c r="AC449" s="58">
        <v>43985</v>
      </c>
      <c r="AD449" s="58">
        <v>43990</v>
      </c>
      <c r="AE449" s="58">
        <v>43990</v>
      </c>
      <c r="AF449" s="58">
        <v>43990</v>
      </c>
      <c r="AG449" s="58" t="s">
        <v>75</v>
      </c>
      <c r="AH449" s="59">
        <v>1</v>
      </c>
      <c r="AI449" s="59">
        <v>1</v>
      </c>
      <c r="AJ449" s="59">
        <v>1</v>
      </c>
      <c r="AK449" s="58" t="s">
        <v>8</v>
      </c>
      <c r="AL449" s="13"/>
      <c r="AM449" s="13"/>
      <c r="AN449" s="13" t="s">
        <v>2246</v>
      </c>
    </row>
    <row r="450" spans="2:40" ht="15">
      <c r="B450" s="184">
        <v>340</v>
      </c>
      <c r="C450" s="13">
        <v>20200603</v>
      </c>
      <c r="D450" s="13" t="s">
        <v>24</v>
      </c>
      <c r="E450" s="13" t="s">
        <v>1429</v>
      </c>
      <c r="F450" s="39" t="s">
        <v>2247</v>
      </c>
      <c r="G450" s="14">
        <v>1500417</v>
      </c>
      <c r="H450" s="164" t="s">
        <v>72</v>
      </c>
      <c r="I450" s="13" t="s">
        <v>564</v>
      </c>
      <c r="J450" s="164" t="s">
        <v>72</v>
      </c>
      <c r="K450" s="13" t="s">
        <v>73</v>
      </c>
      <c r="L450" s="13" t="s">
        <v>2</v>
      </c>
      <c r="M450" s="13" t="s">
        <v>704</v>
      </c>
      <c r="N450" s="13" t="s">
        <v>3</v>
      </c>
      <c r="O450" s="14" t="s">
        <v>72</v>
      </c>
      <c r="P450" s="14" t="s">
        <v>2248</v>
      </c>
      <c r="Q450" s="165"/>
      <c r="R450" s="164" t="s">
        <v>72</v>
      </c>
      <c r="S450" s="13" t="s">
        <v>74</v>
      </c>
      <c r="T450" s="13"/>
      <c r="U450" s="13"/>
      <c r="V450" s="13">
        <v>101</v>
      </c>
      <c r="W450" s="53">
        <v>292</v>
      </c>
      <c r="X450" s="13">
        <v>292</v>
      </c>
      <c r="Y450" s="13">
        <v>5.19</v>
      </c>
      <c r="Z450" s="13">
        <v>1</v>
      </c>
      <c r="AA450" s="13" t="s">
        <v>505</v>
      </c>
      <c r="AB450" s="58"/>
      <c r="AC450" s="58">
        <v>43985</v>
      </c>
      <c r="AD450" s="58">
        <v>43996</v>
      </c>
      <c r="AE450" s="58">
        <v>43990</v>
      </c>
      <c r="AF450" s="58">
        <v>43990</v>
      </c>
      <c r="AG450" s="58" t="s">
        <v>75</v>
      </c>
      <c r="AH450" s="59">
        <v>1</v>
      </c>
      <c r="AI450" s="59">
        <v>1</v>
      </c>
      <c r="AJ450" s="59">
        <v>1</v>
      </c>
      <c r="AK450" s="58" t="s">
        <v>8</v>
      </c>
      <c r="AL450" s="13"/>
      <c r="AM450" s="13"/>
      <c r="AN450" s="13" t="s">
        <v>2249</v>
      </c>
    </row>
    <row r="451" spans="2:40" ht="15">
      <c r="B451" s="184">
        <v>341</v>
      </c>
      <c r="C451" s="13">
        <v>20200603</v>
      </c>
      <c r="D451" s="13" t="s">
        <v>24</v>
      </c>
      <c r="E451" s="13" t="s">
        <v>1429</v>
      </c>
      <c r="F451" s="39" t="s">
        <v>2250</v>
      </c>
      <c r="G451" s="14">
        <v>1500417</v>
      </c>
      <c r="H451" s="164" t="s">
        <v>72</v>
      </c>
      <c r="I451" s="13" t="s">
        <v>708</v>
      </c>
      <c r="J451" s="164" t="s">
        <v>72</v>
      </c>
      <c r="K451" s="13" t="s">
        <v>73</v>
      </c>
      <c r="L451" s="13" t="s">
        <v>2</v>
      </c>
      <c r="M451" s="13" t="s">
        <v>704</v>
      </c>
      <c r="N451" s="13" t="s">
        <v>3</v>
      </c>
      <c r="O451" s="14" t="s">
        <v>72</v>
      </c>
      <c r="P451" s="14" t="s">
        <v>2248</v>
      </c>
      <c r="Q451" s="165"/>
      <c r="R451" s="164" t="s">
        <v>72</v>
      </c>
      <c r="S451" s="13" t="s">
        <v>74</v>
      </c>
      <c r="T451" s="13"/>
      <c r="U451" s="13"/>
      <c r="V451" s="13">
        <v>66</v>
      </c>
      <c r="W451" s="53">
        <v>69</v>
      </c>
      <c r="X451" s="13">
        <v>69</v>
      </c>
      <c r="Y451" s="13">
        <v>1.22</v>
      </c>
      <c r="Z451" s="13">
        <v>1</v>
      </c>
      <c r="AA451" s="13" t="s">
        <v>505</v>
      </c>
      <c r="AB451" s="58"/>
      <c r="AC451" s="58">
        <v>43985</v>
      </c>
      <c r="AD451" s="58">
        <v>43996</v>
      </c>
      <c r="AE451" s="58">
        <v>43991</v>
      </c>
      <c r="AF451" s="58">
        <v>43991</v>
      </c>
      <c r="AG451" s="58" t="s">
        <v>75</v>
      </c>
      <c r="AH451" s="59">
        <v>1</v>
      </c>
      <c r="AI451" s="59">
        <v>1</v>
      </c>
      <c r="AJ451" s="59">
        <v>1</v>
      </c>
      <c r="AK451" s="58" t="s">
        <v>8</v>
      </c>
      <c r="AL451" s="13"/>
      <c r="AM451" s="13"/>
      <c r="AN451" s="13" t="s">
        <v>2251</v>
      </c>
    </row>
    <row r="452" spans="2:40" ht="15">
      <c r="B452" s="184">
        <v>342</v>
      </c>
      <c r="C452" s="13">
        <v>20200603</v>
      </c>
      <c r="D452" s="13" t="s">
        <v>311</v>
      </c>
      <c r="E452" s="13" t="s">
        <v>2252</v>
      </c>
      <c r="F452" s="14" t="s">
        <v>72</v>
      </c>
      <c r="G452" s="14">
        <v>1458593</v>
      </c>
      <c r="H452" s="164" t="s">
        <v>72</v>
      </c>
      <c r="I452" s="13" t="s">
        <v>2253</v>
      </c>
      <c r="J452" s="164" t="s">
        <v>72</v>
      </c>
      <c r="K452" s="13" t="s">
        <v>73</v>
      </c>
      <c r="L452" s="13" t="s">
        <v>778</v>
      </c>
      <c r="M452" s="13" t="s">
        <v>2254</v>
      </c>
      <c r="N452" s="13">
        <v>1458593</v>
      </c>
      <c r="O452" s="14">
        <v>1</v>
      </c>
      <c r="P452" s="14" t="s">
        <v>2255</v>
      </c>
      <c r="Q452" s="165"/>
      <c r="R452" s="164" t="s">
        <v>72</v>
      </c>
      <c r="S452" s="13" t="s">
        <v>161</v>
      </c>
      <c r="T452" s="13"/>
      <c r="U452" s="13"/>
      <c r="V452" s="13">
        <v>80</v>
      </c>
      <c r="W452" s="13">
        <v>80</v>
      </c>
      <c r="X452" s="13">
        <v>80</v>
      </c>
      <c r="Y452" s="13">
        <v>4.92</v>
      </c>
      <c r="Z452" s="13">
        <v>4</v>
      </c>
      <c r="AA452" s="13" t="s">
        <v>505</v>
      </c>
      <c r="AB452" s="58"/>
      <c r="AC452" s="58">
        <v>43985</v>
      </c>
      <c r="AD452" s="58">
        <v>44002</v>
      </c>
      <c r="AE452" s="58">
        <v>43987</v>
      </c>
      <c r="AF452" s="58">
        <v>43987</v>
      </c>
      <c r="AG452" s="58" t="s">
        <v>79</v>
      </c>
      <c r="AH452" s="59">
        <v>0.93300000000000005</v>
      </c>
      <c r="AI452" s="59">
        <v>0.93899999999999995</v>
      </c>
      <c r="AJ452" s="59">
        <v>1</v>
      </c>
      <c r="AK452" s="58" t="s">
        <v>76</v>
      </c>
      <c r="AL452" s="13" t="s">
        <v>2256</v>
      </c>
      <c r="AM452" s="13"/>
      <c r="AN452" s="13"/>
    </row>
    <row r="453" spans="2:40" ht="15">
      <c r="B453" s="184">
        <v>347</v>
      </c>
      <c r="C453" s="13">
        <v>20200603</v>
      </c>
      <c r="D453" s="13" t="s">
        <v>311</v>
      </c>
      <c r="E453" s="13" t="s">
        <v>2252</v>
      </c>
      <c r="F453" s="14" t="s">
        <v>72</v>
      </c>
      <c r="G453" s="14">
        <v>1458593</v>
      </c>
      <c r="H453" s="164" t="s">
        <v>72</v>
      </c>
      <c r="I453" s="13" t="s">
        <v>2257</v>
      </c>
      <c r="J453" s="164" t="s">
        <v>72</v>
      </c>
      <c r="K453" s="13" t="s">
        <v>73</v>
      </c>
      <c r="L453" s="13" t="s">
        <v>778</v>
      </c>
      <c r="M453" s="13" t="s">
        <v>2254</v>
      </c>
      <c r="N453" s="13">
        <v>1458593</v>
      </c>
      <c r="O453" s="14" t="s">
        <v>2258</v>
      </c>
      <c r="P453" s="14" t="s">
        <v>2255</v>
      </c>
      <c r="Q453" s="165"/>
      <c r="R453" s="164" t="s">
        <v>72</v>
      </c>
      <c r="S453" s="13" t="s">
        <v>109</v>
      </c>
      <c r="T453" s="13"/>
      <c r="U453" s="13"/>
      <c r="V453" s="13">
        <v>33</v>
      </c>
      <c r="W453" s="13">
        <v>33</v>
      </c>
      <c r="X453" s="13">
        <v>33</v>
      </c>
      <c r="Y453" s="13">
        <v>2.0299999999999998</v>
      </c>
      <c r="Z453" s="13">
        <v>1</v>
      </c>
      <c r="AA453" s="13" t="s">
        <v>505</v>
      </c>
      <c r="AB453" s="58"/>
      <c r="AC453" s="58">
        <v>43985</v>
      </c>
      <c r="AD453" s="58">
        <v>44002</v>
      </c>
      <c r="AE453" s="58">
        <v>43987</v>
      </c>
      <c r="AF453" s="58">
        <v>43987</v>
      </c>
      <c r="AG453" s="58" t="s">
        <v>75</v>
      </c>
      <c r="AH453" s="59">
        <v>1</v>
      </c>
      <c r="AI453" s="59">
        <v>1</v>
      </c>
      <c r="AJ453" s="59">
        <v>1</v>
      </c>
      <c r="AK453" s="58" t="s">
        <v>8</v>
      </c>
      <c r="AL453" s="13" t="s">
        <v>72</v>
      </c>
      <c r="AM453" s="13" t="s">
        <v>72</v>
      </c>
      <c r="AN453" s="14" t="s">
        <v>72</v>
      </c>
    </row>
    <row r="454" spans="2:40" ht="15">
      <c r="B454" s="184">
        <v>349</v>
      </c>
      <c r="C454" s="13">
        <v>20200603</v>
      </c>
      <c r="D454" s="13" t="s">
        <v>311</v>
      </c>
      <c r="E454" s="13" t="s">
        <v>2181</v>
      </c>
      <c r="F454" s="14" t="s">
        <v>72</v>
      </c>
      <c r="G454" s="14">
        <v>1499718</v>
      </c>
      <c r="H454" s="164" t="s">
        <v>72</v>
      </c>
      <c r="I454" s="13" t="s">
        <v>1800</v>
      </c>
      <c r="J454" s="164" t="s">
        <v>72</v>
      </c>
      <c r="K454" s="13" t="s">
        <v>73</v>
      </c>
      <c r="L454" s="13" t="s">
        <v>8</v>
      </c>
      <c r="M454" s="13" t="s">
        <v>2259</v>
      </c>
      <c r="N454" s="13">
        <v>1499718</v>
      </c>
      <c r="O454" s="14" t="s">
        <v>2182</v>
      </c>
      <c r="P454" s="14" t="s">
        <v>1798</v>
      </c>
      <c r="Q454" s="165"/>
      <c r="R454" s="164" t="s">
        <v>72</v>
      </c>
      <c r="S454" s="13" t="s">
        <v>109</v>
      </c>
      <c r="T454" s="13"/>
      <c r="U454" s="13"/>
      <c r="V454" s="13">
        <v>50</v>
      </c>
      <c r="W454" s="13">
        <v>50</v>
      </c>
      <c r="X454" s="13">
        <v>50</v>
      </c>
      <c r="Y454" s="13">
        <v>3.07</v>
      </c>
      <c r="Z454" s="13">
        <v>3</v>
      </c>
      <c r="AA454" s="13" t="s">
        <v>505</v>
      </c>
      <c r="AB454" s="58"/>
      <c r="AC454" s="58">
        <v>43985</v>
      </c>
      <c r="AD454" s="58">
        <v>43996</v>
      </c>
      <c r="AE454" s="58">
        <v>43986</v>
      </c>
      <c r="AF454" s="58">
        <v>43986</v>
      </c>
      <c r="AG454" s="58" t="s">
        <v>75</v>
      </c>
      <c r="AH454" s="59">
        <v>1</v>
      </c>
      <c r="AI454" s="59">
        <v>1</v>
      </c>
      <c r="AJ454" s="59">
        <v>1</v>
      </c>
      <c r="AK454" s="58" t="s">
        <v>8</v>
      </c>
      <c r="AL454" s="13" t="s">
        <v>72</v>
      </c>
      <c r="AM454" s="13" t="s">
        <v>72</v>
      </c>
      <c r="AN454" s="13" t="s">
        <v>72</v>
      </c>
    </row>
    <row r="455" spans="2:40" ht="15">
      <c r="B455" s="184">
        <v>350</v>
      </c>
      <c r="C455" s="13">
        <v>20200603</v>
      </c>
      <c r="D455" s="13" t="s">
        <v>311</v>
      </c>
      <c r="E455" s="13" t="s">
        <v>1654</v>
      </c>
      <c r="F455" s="14" t="s">
        <v>72</v>
      </c>
      <c r="G455" s="14">
        <v>1497973</v>
      </c>
      <c r="H455" s="164" t="s">
        <v>72</v>
      </c>
      <c r="I455" s="13" t="s">
        <v>2260</v>
      </c>
      <c r="J455" s="164" t="s">
        <v>72</v>
      </c>
      <c r="K455" s="13" t="s">
        <v>73</v>
      </c>
      <c r="L455" s="13" t="s">
        <v>8</v>
      </c>
      <c r="M455" s="13" t="s">
        <v>1657</v>
      </c>
      <c r="N455" s="13">
        <v>1497973</v>
      </c>
      <c r="O455" s="14">
        <v>1.2</v>
      </c>
      <c r="P455" s="14" t="s">
        <v>2261</v>
      </c>
      <c r="Q455" s="165"/>
      <c r="R455" s="164" t="s">
        <v>72</v>
      </c>
      <c r="S455" s="13" t="s">
        <v>113</v>
      </c>
      <c r="T455" s="13"/>
      <c r="U455" s="13"/>
      <c r="V455" s="13">
        <v>40</v>
      </c>
      <c r="W455" s="13">
        <v>40</v>
      </c>
      <c r="X455" s="13">
        <v>40</v>
      </c>
      <c r="Y455" s="13">
        <v>2.46</v>
      </c>
      <c r="Z455" s="13">
        <v>2.46</v>
      </c>
      <c r="AA455" s="13" t="s">
        <v>550</v>
      </c>
      <c r="AB455" s="58">
        <v>43990</v>
      </c>
      <c r="AC455" s="58">
        <v>43985</v>
      </c>
      <c r="AD455" s="58">
        <v>43990</v>
      </c>
      <c r="AE455" s="58">
        <v>43987</v>
      </c>
      <c r="AF455" s="58">
        <v>43987</v>
      </c>
      <c r="AG455" s="58" t="s">
        <v>75</v>
      </c>
      <c r="AH455" s="59">
        <v>1</v>
      </c>
      <c r="AI455" s="59">
        <v>1</v>
      </c>
      <c r="AJ455" s="59">
        <v>1</v>
      </c>
      <c r="AK455" s="58" t="s">
        <v>8</v>
      </c>
      <c r="AL455" s="13"/>
      <c r="AM455" s="13"/>
      <c r="AN455" s="13"/>
    </row>
    <row r="456" spans="2:40" ht="15">
      <c r="B456" s="184">
        <v>351</v>
      </c>
      <c r="C456" s="13">
        <v>20200603</v>
      </c>
      <c r="D456" s="13" t="s">
        <v>24</v>
      </c>
      <c r="E456" s="13" t="s">
        <v>2262</v>
      </c>
      <c r="F456" s="39" t="s">
        <v>2263</v>
      </c>
      <c r="G456" s="14">
        <v>1500742</v>
      </c>
      <c r="H456" s="164" t="s">
        <v>72</v>
      </c>
      <c r="I456" s="13" t="s">
        <v>558</v>
      </c>
      <c r="J456" s="164" t="s">
        <v>72</v>
      </c>
      <c r="K456" s="13" t="s">
        <v>73</v>
      </c>
      <c r="L456" s="13" t="s">
        <v>2264</v>
      </c>
      <c r="M456" s="13" t="s">
        <v>2265</v>
      </c>
      <c r="N456" s="13" t="s">
        <v>2266</v>
      </c>
      <c r="O456" s="14" t="s">
        <v>72</v>
      </c>
      <c r="P456" s="14" t="s">
        <v>562</v>
      </c>
      <c r="Q456" s="165"/>
      <c r="R456" s="164" t="s">
        <v>72</v>
      </c>
      <c r="S456" s="13" t="s">
        <v>74</v>
      </c>
      <c r="T456" s="13"/>
      <c r="U456" s="13"/>
      <c r="V456" s="13">
        <v>145</v>
      </c>
      <c r="W456" s="13">
        <v>145</v>
      </c>
      <c r="X456" s="13">
        <v>145</v>
      </c>
      <c r="Y456" s="13">
        <v>2.57</v>
      </c>
      <c r="Z456" s="13">
        <v>1</v>
      </c>
      <c r="AA456" s="13" t="s">
        <v>505</v>
      </c>
      <c r="AB456" s="58"/>
      <c r="AC456" s="58">
        <v>43985</v>
      </c>
      <c r="AD456" s="58">
        <v>43996</v>
      </c>
      <c r="AE456" s="58">
        <v>43991</v>
      </c>
      <c r="AF456" s="58">
        <v>43991</v>
      </c>
      <c r="AG456" s="58" t="s">
        <v>75</v>
      </c>
      <c r="AH456" s="59">
        <v>1</v>
      </c>
      <c r="AI456" s="59">
        <v>1</v>
      </c>
      <c r="AJ456" s="59">
        <v>1</v>
      </c>
      <c r="AK456" s="58" t="s">
        <v>8</v>
      </c>
      <c r="AL456" s="13"/>
      <c r="AM456" s="13"/>
      <c r="AN456" s="13" t="s">
        <v>2267</v>
      </c>
    </row>
    <row r="457" spans="2:40" ht="15">
      <c r="B457" s="184">
        <v>352</v>
      </c>
      <c r="C457" s="13">
        <v>20200603</v>
      </c>
      <c r="D457" s="13" t="s">
        <v>24</v>
      </c>
      <c r="E457" s="13" t="s">
        <v>2262</v>
      </c>
      <c r="F457" s="39" t="s">
        <v>2268</v>
      </c>
      <c r="G457" s="14">
        <v>1500742</v>
      </c>
      <c r="H457" s="164" t="s">
        <v>72</v>
      </c>
      <c r="I457" s="13" t="s">
        <v>566</v>
      </c>
      <c r="J457" s="164" t="s">
        <v>72</v>
      </c>
      <c r="K457" s="13" t="s">
        <v>73</v>
      </c>
      <c r="L457" s="13" t="s">
        <v>2264</v>
      </c>
      <c r="M457" s="13" t="s">
        <v>2265</v>
      </c>
      <c r="N457" s="13" t="s">
        <v>2266</v>
      </c>
      <c r="O457" s="14" t="s">
        <v>72</v>
      </c>
      <c r="P457" s="14" t="s">
        <v>562</v>
      </c>
      <c r="Q457" s="165"/>
      <c r="R457" s="164" t="s">
        <v>72</v>
      </c>
      <c r="S457" s="13" t="s">
        <v>74</v>
      </c>
      <c r="T457" s="13"/>
      <c r="U457" s="13"/>
      <c r="V457" s="13">
        <v>154</v>
      </c>
      <c r="W457" s="13">
        <v>154</v>
      </c>
      <c r="X457" s="13">
        <v>154</v>
      </c>
      <c r="Y457" s="13">
        <v>2.73</v>
      </c>
      <c r="Z457" s="13">
        <v>1</v>
      </c>
      <c r="AA457" s="13" t="s">
        <v>505</v>
      </c>
      <c r="AB457" s="58"/>
      <c r="AC457" s="58">
        <v>43985</v>
      </c>
      <c r="AD457" s="58">
        <v>43996</v>
      </c>
      <c r="AE457" s="58">
        <v>43991</v>
      </c>
      <c r="AF457" s="58">
        <v>43991</v>
      </c>
      <c r="AG457" s="58" t="s">
        <v>75</v>
      </c>
      <c r="AH457" s="59">
        <v>0.93</v>
      </c>
      <c r="AI457" s="59">
        <v>0.8</v>
      </c>
      <c r="AJ457" s="59">
        <v>1</v>
      </c>
      <c r="AK457" s="58" t="s">
        <v>76</v>
      </c>
      <c r="AL457" s="13" t="s">
        <v>2269</v>
      </c>
      <c r="AM457" s="13"/>
      <c r="AN457" s="13" t="s">
        <v>2091</v>
      </c>
    </row>
    <row r="458" spans="2:40" ht="15">
      <c r="B458" s="184">
        <v>353</v>
      </c>
      <c r="C458" s="13">
        <v>20200603</v>
      </c>
      <c r="D458" s="13" t="s">
        <v>24</v>
      </c>
      <c r="E458" s="13" t="s">
        <v>2262</v>
      </c>
      <c r="F458" s="39" t="s">
        <v>2270</v>
      </c>
      <c r="G458" s="14">
        <v>1500742</v>
      </c>
      <c r="H458" s="164" t="s">
        <v>72</v>
      </c>
      <c r="I458" s="13" t="s">
        <v>45</v>
      </c>
      <c r="J458" s="164" t="s">
        <v>72</v>
      </c>
      <c r="K458" s="13" t="s">
        <v>73</v>
      </c>
      <c r="L458" s="13" t="s">
        <v>2264</v>
      </c>
      <c r="M458" s="13" t="s">
        <v>2265</v>
      </c>
      <c r="N458" s="13" t="s">
        <v>2266</v>
      </c>
      <c r="O458" s="14" t="s">
        <v>72</v>
      </c>
      <c r="P458" s="14" t="s">
        <v>562</v>
      </c>
      <c r="Q458" s="165"/>
      <c r="R458" s="164" t="s">
        <v>72</v>
      </c>
      <c r="S458" s="13" t="s">
        <v>74</v>
      </c>
      <c r="T458" s="13"/>
      <c r="U458" s="13"/>
      <c r="V458" s="13">
        <v>120</v>
      </c>
      <c r="W458" s="53">
        <v>458</v>
      </c>
      <c r="X458" s="13">
        <v>458</v>
      </c>
      <c r="Y458" s="13">
        <v>8.14</v>
      </c>
      <c r="Z458" s="13">
        <v>1</v>
      </c>
      <c r="AA458" s="13" t="s">
        <v>505</v>
      </c>
      <c r="AB458" s="58"/>
      <c r="AC458" s="58">
        <v>43985</v>
      </c>
      <c r="AD458" s="58">
        <v>43996</v>
      </c>
      <c r="AE458" s="58">
        <v>43991</v>
      </c>
      <c r="AF458" s="58">
        <v>43991</v>
      </c>
      <c r="AG458" s="58" t="s">
        <v>75</v>
      </c>
      <c r="AH458" s="59">
        <v>1</v>
      </c>
      <c r="AI458" s="59">
        <v>1</v>
      </c>
      <c r="AJ458" s="59">
        <v>1</v>
      </c>
      <c r="AK458" s="58" t="s">
        <v>8</v>
      </c>
      <c r="AL458" s="13"/>
      <c r="AM458" s="13"/>
      <c r="AN458" s="13" t="s">
        <v>2271</v>
      </c>
    </row>
    <row r="459" spans="2:40" ht="15">
      <c r="B459" s="212">
        <v>354</v>
      </c>
      <c r="C459" s="13">
        <v>20200603</v>
      </c>
      <c r="D459" s="13" t="s">
        <v>24</v>
      </c>
      <c r="E459" s="13" t="s">
        <v>2272</v>
      </c>
      <c r="F459" s="39" t="s">
        <v>2273</v>
      </c>
      <c r="G459" s="13">
        <v>1498009</v>
      </c>
      <c r="H459" s="164" t="s">
        <v>72</v>
      </c>
      <c r="I459" s="13" t="s">
        <v>2274</v>
      </c>
      <c r="J459" s="164" t="s">
        <v>72</v>
      </c>
      <c r="K459" s="13" t="s">
        <v>73</v>
      </c>
      <c r="L459" s="13" t="s">
        <v>2275</v>
      </c>
      <c r="M459" s="13" t="s">
        <v>2276</v>
      </c>
      <c r="N459" s="13" t="s">
        <v>2277</v>
      </c>
      <c r="O459" s="14" t="s">
        <v>72</v>
      </c>
      <c r="P459" s="14" t="s">
        <v>713</v>
      </c>
      <c r="Q459" s="165"/>
      <c r="R459" s="164" t="s">
        <v>72</v>
      </c>
      <c r="S459" s="13" t="s">
        <v>77</v>
      </c>
      <c r="T459" s="13"/>
      <c r="U459" s="13"/>
      <c r="V459" s="13">
        <v>125</v>
      </c>
      <c r="W459" s="213">
        <v>904</v>
      </c>
      <c r="X459" s="36">
        <v>904</v>
      </c>
      <c r="Y459" s="13">
        <v>16.07</v>
      </c>
      <c r="Z459" s="13">
        <v>4</v>
      </c>
      <c r="AA459" s="13" t="s">
        <v>550</v>
      </c>
      <c r="AB459" s="58">
        <v>43987</v>
      </c>
      <c r="AC459" s="58">
        <v>43986</v>
      </c>
      <c r="AD459" s="58">
        <v>43986</v>
      </c>
      <c r="AE459" s="58">
        <v>43986</v>
      </c>
      <c r="AF459" s="58">
        <v>43986</v>
      </c>
      <c r="AG459" s="58" t="s">
        <v>79</v>
      </c>
      <c r="AH459" s="59">
        <v>1</v>
      </c>
      <c r="AI459" s="59">
        <v>1</v>
      </c>
      <c r="AJ459" s="59">
        <v>0.99</v>
      </c>
      <c r="AK459" s="58" t="s">
        <v>76</v>
      </c>
      <c r="AL459" t="s">
        <v>2278</v>
      </c>
      <c r="AM459" s="13"/>
      <c r="AN459" s="14" t="s">
        <v>1824</v>
      </c>
    </row>
    <row r="460" spans="2:40" ht="15">
      <c r="B460" s="212">
        <v>355</v>
      </c>
      <c r="C460" s="13">
        <v>20200603</v>
      </c>
      <c r="D460" s="13" t="s">
        <v>24</v>
      </c>
      <c r="E460" s="13" t="s">
        <v>2181</v>
      </c>
      <c r="F460" s="39" t="s">
        <v>2279</v>
      </c>
      <c r="G460" s="13">
        <v>1497948</v>
      </c>
      <c r="H460" s="164" t="s">
        <v>72</v>
      </c>
      <c r="I460" s="13" t="s">
        <v>2280</v>
      </c>
      <c r="J460" s="164" t="s">
        <v>72</v>
      </c>
      <c r="K460" s="13" t="s">
        <v>73</v>
      </c>
      <c r="L460" s="13" t="s">
        <v>1601</v>
      </c>
      <c r="M460" s="13" t="s">
        <v>2259</v>
      </c>
      <c r="N460" s="13" t="s">
        <v>1603</v>
      </c>
      <c r="O460" s="14" t="s">
        <v>72</v>
      </c>
      <c r="P460" s="14" t="s">
        <v>2281</v>
      </c>
      <c r="Q460" s="165"/>
      <c r="R460" s="164" t="s">
        <v>72</v>
      </c>
      <c r="S460" s="13" t="s">
        <v>74</v>
      </c>
      <c r="T460" s="13"/>
      <c r="U460" s="13"/>
      <c r="V460" s="13">
        <v>1092</v>
      </c>
      <c r="W460" s="13">
        <v>1092</v>
      </c>
      <c r="X460" s="13">
        <v>1092</v>
      </c>
      <c r="Y460" s="13">
        <v>19.41</v>
      </c>
      <c r="Z460" s="13">
        <v>8</v>
      </c>
      <c r="AA460" s="13" t="s">
        <v>550</v>
      </c>
      <c r="AB460" s="58">
        <v>43987</v>
      </c>
      <c r="AC460" s="58">
        <v>43986</v>
      </c>
      <c r="AD460" s="58">
        <v>43988</v>
      </c>
      <c r="AE460" s="58">
        <v>43987</v>
      </c>
      <c r="AF460" s="58">
        <v>43987</v>
      </c>
      <c r="AG460" s="58" t="s">
        <v>79</v>
      </c>
      <c r="AH460" s="59">
        <v>1</v>
      </c>
      <c r="AI460" s="59">
        <v>1</v>
      </c>
      <c r="AJ460" s="59">
        <v>0.97</v>
      </c>
      <c r="AK460" s="58" t="s">
        <v>76</v>
      </c>
      <c r="AL460" s="13" t="s">
        <v>2282</v>
      </c>
      <c r="AM460" s="13"/>
      <c r="AN460" s="13" t="s">
        <v>2091</v>
      </c>
    </row>
    <row r="461" spans="2:40" ht="15">
      <c r="B461" s="212">
        <v>356</v>
      </c>
      <c r="C461" s="13">
        <v>20200603</v>
      </c>
      <c r="D461" s="13" t="s">
        <v>24</v>
      </c>
      <c r="E461" s="13" t="s">
        <v>2283</v>
      </c>
      <c r="F461" s="39" t="s">
        <v>2284</v>
      </c>
      <c r="G461" s="13">
        <v>1445631</v>
      </c>
      <c r="H461" s="164" t="s">
        <v>72</v>
      </c>
      <c r="I461" s="13" t="s">
        <v>2285</v>
      </c>
      <c r="J461" s="164" t="s">
        <v>72</v>
      </c>
      <c r="K461" s="13" t="s">
        <v>73</v>
      </c>
      <c r="L461" s="13" t="s">
        <v>2286</v>
      </c>
      <c r="M461" s="13" t="s">
        <v>2287</v>
      </c>
      <c r="N461" s="13" t="s">
        <v>2288</v>
      </c>
      <c r="O461" s="14" t="s">
        <v>72</v>
      </c>
      <c r="P461" s="14" t="s">
        <v>1604</v>
      </c>
      <c r="Q461" s="165"/>
      <c r="R461" s="164" t="s">
        <v>72</v>
      </c>
      <c r="S461" s="13" t="s">
        <v>77</v>
      </c>
      <c r="T461" s="13"/>
      <c r="U461" s="13"/>
      <c r="V461" s="13">
        <v>87</v>
      </c>
      <c r="W461" s="13">
        <v>87</v>
      </c>
      <c r="X461" s="13">
        <v>87</v>
      </c>
      <c r="Y461" s="13">
        <v>1.54</v>
      </c>
      <c r="Z461" s="13">
        <v>0.5</v>
      </c>
      <c r="AA461" s="13" t="s">
        <v>550</v>
      </c>
      <c r="AB461" s="58">
        <v>43992</v>
      </c>
      <c r="AC461" s="58">
        <v>43986</v>
      </c>
      <c r="AD461" s="202">
        <v>43992</v>
      </c>
      <c r="AE461" s="58">
        <v>43987</v>
      </c>
      <c r="AF461" s="58">
        <v>43987</v>
      </c>
      <c r="AG461" s="58" t="s">
        <v>75</v>
      </c>
      <c r="AH461" s="59">
        <v>1</v>
      </c>
      <c r="AI461" s="59">
        <v>1</v>
      </c>
      <c r="AJ461" s="59">
        <v>1</v>
      </c>
      <c r="AK461" s="58" t="s">
        <v>8</v>
      </c>
      <c r="AL461" s="14" t="s">
        <v>72</v>
      </c>
      <c r="AM461" s="14" t="s">
        <v>72</v>
      </c>
      <c r="AN461" s="14" t="s">
        <v>72</v>
      </c>
    </row>
    <row r="462" spans="2:40" ht="15">
      <c r="B462" s="212">
        <v>357</v>
      </c>
      <c r="C462" s="13">
        <v>20200603</v>
      </c>
      <c r="D462" s="13" t="s">
        <v>24</v>
      </c>
      <c r="E462" s="13" t="s">
        <v>2283</v>
      </c>
      <c r="F462" s="39" t="s">
        <v>2284</v>
      </c>
      <c r="G462" s="13">
        <v>1445631</v>
      </c>
      <c r="H462" s="164" t="s">
        <v>72</v>
      </c>
      <c r="I462" s="13" t="s">
        <v>2289</v>
      </c>
      <c r="J462" s="164" t="s">
        <v>72</v>
      </c>
      <c r="K462" s="13" t="s">
        <v>73</v>
      </c>
      <c r="L462" s="13" t="s">
        <v>2286</v>
      </c>
      <c r="M462" s="13" t="s">
        <v>2287</v>
      </c>
      <c r="N462" s="13" t="s">
        <v>2288</v>
      </c>
      <c r="O462" s="14" t="s">
        <v>72</v>
      </c>
      <c r="P462" s="14" t="s">
        <v>1604</v>
      </c>
      <c r="Q462" s="165"/>
      <c r="R462" s="164" t="s">
        <v>72</v>
      </c>
      <c r="S462" s="13" t="s">
        <v>77</v>
      </c>
      <c r="T462" s="13"/>
      <c r="U462" s="13"/>
      <c r="V462" s="13">
        <v>166</v>
      </c>
      <c r="W462" s="13">
        <v>166</v>
      </c>
      <c r="X462" s="13">
        <v>166</v>
      </c>
      <c r="Y462" s="13">
        <v>2.95</v>
      </c>
      <c r="Z462" s="13">
        <v>1</v>
      </c>
      <c r="AA462" s="13" t="s">
        <v>550</v>
      </c>
      <c r="AB462" s="58">
        <v>43992</v>
      </c>
      <c r="AC462" s="58">
        <v>43986</v>
      </c>
      <c r="AD462" s="202">
        <v>43992</v>
      </c>
      <c r="AE462" s="58">
        <v>43987</v>
      </c>
      <c r="AF462" s="58">
        <v>43987</v>
      </c>
      <c r="AG462" s="58" t="s">
        <v>79</v>
      </c>
      <c r="AH462" s="59">
        <v>1</v>
      </c>
      <c r="AI462" s="59">
        <v>1</v>
      </c>
      <c r="AJ462" s="59">
        <v>0.81</v>
      </c>
      <c r="AK462" s="58" t="s">
        <v>76</v>
      </c>
      <c r="AL462" s="14" t="s">
        <v>2290</v>
      </c>
      <c r="AM462" s="14" t="s">
        <v>72</v>
      </c>
      <c r="AN462" s="14" t="s">
        <v>1824</v>
      </c>
    </row>
    <row r="463" spans="2:40" ht="15">
      <c r="B463" s="212">
        <v>358</v>
      </c>
      <c r="C463" s="13">
        <v>20200603</v>
      </c>
      <c r="D463" s="13" t="s">
        <v>24</v>
      </c>
      <c r="E463" s="13" t="s">
        <v>14</v>
      </c>
      <c r="F463" s="39" t="s">
        <v>2291</v>
      </c>
      <c r="G463" s="13">
        <v>1461527</v>
      </c>
      <c r="H463" s="164" t="s">
        <v>72</v>
      </c>
      <c r="I463" s="13" t="s">
        <v>1004</v>
      </c>
      <c r="J463" s="164" t="s">
        <v>72</v>
      </c>
      <c r="K463" s="13" t="s">
        <v>73</v>
      </c>
      <c r="L463" s="13" t="s">
        <v>2</v>
      </c>
      <c r="M463" s="13" t="s">
        <v>15</v>
      </c>
      <c r="N463" s="13" t="s">
        <v>3</v>
      </c>
      <c r="O463" s="14" t="s">
        <v>72</v>
      </c>
      <c r="P463" s="14" t="s">
        <v>873</v>
      </c>
      <c r="Q463" s="165"/>
      <c r="R463" s="164" t="s">
        <v>72</v>
      </c>
      <c r="S463" s="13" t="s">
        <v>77</v>
      </c>
      <c r="T463" s="13"/>
      <c r="U463" s="13"/>
      <c r="V463" s="13">
        <v>74</v>
      </c>
      <c r="W463" s="13">
        <v>74</v>
      </c>
      <c r="X463" s="13">
        <v>74</v>
      </c>
      <c r="Y463" s="13">
        <v>1.31</v>
      </c>
      <c r="Z463" s="13">
        <v>0.2</v>
      </c>
      <c r="AA463" s="13" t="s">
        <v>550</v>
      </c>
      <c r="AB463" s="58">
        <v>43992</v>
      </c>
      <c r="AC463" s="58">
        <v>43986</v>
      </c>
      <c r="AD463" s="202">
        <v>43992</v>
      </c>
      <c r="AE463" s="58">
        <v>43987</v>
      </c>
      <c r="AF463" s="58">
        <v>43987</v>
      </c>
      <c r="AG463" s="58" t="s">
        <v>75</v>
      </c>
      <c r="AH463" s="171">
        <v>1</v>
      </c>
      <c r="AI463" s="171">
        <v>1</v>
      </c>
      <c r="AJ463" s="171">
        <v>1</v>
      </c>
      <c r="AK463" s="58" t="s">
        <v>8</v>
      </c>
      <c r="AL463" s="14" t="s">
        <v>72</v>
      </c>
      <c r="AM463" s="14" t="s">
        <v>72</v>
      </c>
      <c r="AN463" s="14" t="s">
        <v>72</v>
      </c>
    </row>
    <row r="464" spans="2:40" ht="15">
      <c r="B464" s="212">
        <v>359</v>
      </c>
      <c r="C464" s="13">
        <v>20200603</v>
      </c>
      <c r="D464" s="13" t="s">
        <v>24</v>
      </c>
      <c r="E464" s="13" t="s">
        <v>14</v>
      </c>
      <c r="F464" s="39" t="s">
        <v>2291</v>
      </c>
      <c r="G464" s="13">
        <v>1489611</v>
      </c>
      <c r="H464" s="164" t="s">
        <v>72</v>
      </c>
      <c r="I464" s="13" t="s">
        <v>1004</v>
      </c>
      <c r="J464" s="164" t="s">
        <v>72</v>
      </c>
      <c r="K464" s="13" t="s">
        <v>73</v>
      </c>
      <c r="L464" s="13" t="s">
        <v>2286</v>
      </c>
      <c r="M464" s="13" t="s">
        <v>15</v>
      </c>
      <c r="N464" s="13" t="s">
        <v>3</v>
      </c>
      <c r="O464" s="14" t="s">
        <v>72</v>
      </c>
      <c r="P464" s="14" t="s">
        <v>873</v>
      </c>
      <c r="Q464" s="165"/>
      <c r="R464" s="164" t="s">
        <v>72</v>
      </c>
      <c r="S464" s="13" t="s">
        <v>77</v>
      </c>
      <c r="T464" s="13"/>
      <c r="U464" s="13"/>
      <c r="V464" s="13">
        <v>74</v>
      </c>
      <c r="W464" s="13">
        <v>74</v>
      </c>
      <c r="X464" s="13">
        <v>74</v>
      </c>
      <c r="Y464" s="13">
        <v>1.31</v>
      </c>
      <c r="Z464" s="13">
        <v>0.2</v>
      </c>
      <c r="AA464" s="13" t="s">
        <v>550</v>
      </c>
      <c r="AB464" s="58">
        <v>43992</v>
      </c>
      <c r="AC464" s="58">
        <v>43986</v>
      </c>
      <c r="AD464" s="202">
        <v>43992</v>
      </c>
      <c r="AE464" s="58">
        <v>43987</v>
      </c>
      <c r="AF464" s="58">
        <v>43987</v>
      </c>
      <c r="AG464" s="58" t="s">
        <v>75</v>
      </c>
      <c r="AH464" s="171">
        <v>1</v>
      </c>
      <c r="AI464" s="171">
        <v>1</v>
      </c>
      <c r="AJ464" s="171">
        <v>1</v>
      </c>
      <c r="AK464" s="58" t="s">
        <v>8</v>
      </c>
      <c r="AL464" s="14" t="s">
        <v>72</v>
      </c>
      <c r="AM464" s="14" t="s">
        <v>72</v>
      </c>
      <c r="AN464" s="14" t="s">
        <v>72</v>
      </c>
    </row>
    <row r="465" spans="2:40" ht="15">
      <c r="B465" s="214">
        <v>360</v>
      </c>
      <c r="C465" s="13">
        <v>20200604</v>
      </c>
      <c r="D465" s="13" t="s">
        <v>24</v>
      </c>
      <c r="E465" s="13" t="s">
        <v>51</v>
      </c>
      <c r="F465" s="39" t="s">
        <v>2292</v>
      </c>
      <c r="G465" s="14">
        <v>1465509</v>
      </c>
      <c r="H465" s="164" t="s">
        <v>72</v>
      </c>
      <c r="I465" s="13" t="s">
        <v>123</v>
      </c>
      <c r="J465" s="164" t="s">
        <v>72</v>
      </c>
      <c r="K465" s="13" t="s">
        <v>73</v>
      </c>
      <c r="L465" s="13" t="s">
        <v>8</v>
      </c>
      <c r="M465" s="13" t="s">
        <v>52</v>
      </c>
      <c r="N465" s="13" t="s">
        <v>6</v>
      </c>
      <c r="O465" s="14" t="s">
        <v>72</v>
      </c>
      <c r="P465" s="14" t="s">
        <v>876</v>
      </c>
      <c r="Q465" s="165"/>
      <c r="R465" s="164" t="s">
        <v>72</v>
      </c>
      <c r="S465" s="13" t="s">
        <v>109</v>
      </c>
      <c r="T465" s="13"/>
      <c r="U465" s="13"/>
      <c r="V465" s="13">
        <v>88</v>
      </c>
      <c r="W465" s="53">
        <v>229</v>
      </c>
      <c r="X465" s="13">
        <v>229</v>
      </c>
      <c r="Y465" s="13">
        <v>4.07</v>
      </c>
      <c r="Z465" s="13">
        <v>0.5</v>
      </c>
      <c r="AA465" s="13" t="s">
        <v>550</v>
      </c>
      <c r="AB465" s="58">
        <v>43992</v>
      </c>
      <c r="AC465" s="58">
        <v>43986</v>
      </c>
      <c r="AD465" s="58">
        <v>43992</v>
      </c>
      <c r="AE465" s="58">
        <v>43987</v>
      </c>
      <c r="AF465" s="58">
        <v>43987</v>
      </c>
      <c r="AG465" s="58" t="s">
        <v>75</v>
      </c>
      <c r="AH465" s="59">
        <v>1</v>
      </c>
      <c r="AI465" s="59">
        <v>1</v>
      </c>
      <c r="AJ465" s="59">
        <v>1</v>
      </c>
      <c r="AK465" s="58" t="s">
        <v>8</v>
      </c>
      <c r="AL465" s="13" t="s">
        <v>72</v>
      </c>
      <c r="AM465" s="13" t="s">
        <v>72</v>
      </c>
      <c r="AN465" s="13" t="s">
        <v>72</v>
      </c>
    </row>
    <row r="466" spans="2:40" ht="15">
      <c r="B466" s="214">
        <v>361</v>
      </c>
      <c r="C466" s="13">
        <v>20200604</v>
      </c>
      <c r="D466" s="13" t="s">
        <v>24</v>
      </c>
      <c r="E466" s="13" t="s">
        <v>51</v>
      </c>
      <c r="F466" s="39" t="s">
        <v>2293</v>
      </c>
      <c r="G466" s="14">
        <v>1465509</v>
      </c>
      <c r="H466" s="164" t="s">
        <v>72</v>
      </c>
      <c r="I466" s="13" t="s">
        <v>123</v>
      </c>
      <c r="J466" s="164" t="s">
        <v>72</v>
      </c>
      <c r="K466" s="13" t="s">
        <v>73</v>
      </c>
      <c r="L466" s="13" t="s">
        <v>8</v>
      </c>
      <c r="M466" s="13" t="s">
        <v>52</v>
      </c>
      <c r="N466" s="13" t="s">
        <v>6</v>
      </c>
      <c r="O466" s="14" t="s">
        <v>72</v>
      </c>
      <c r="P466" s="14" t="s">
        <v>876</v>
      </c>
      <c r="Q466" s="165"/>
      <c r="R466" s="164" t="s">
        <v>72</v>
      </c>
      <c r="S466" s="13" t="s">
        <v>109</v>
      </c>
      <c r="T466" s="13"/>
      <c r="U466" s="13"/>
      <c r="V466" s="13">
        <v>88</v>
      </c>
      <c r="W466" s="53">
        <v>229</v>
      </c>
      <c r="X466" s="13">
        <v>229</v>
      </c>
      <c r="Y466" s="13">
        <v>4.07</v>
      </c>
      <c r="Z466" s="13">
        <v>0.5</v>
      </c>
      <c r="AA466" s="13" t="s">
        <v>550</v>
      </c>
      <c r="AB466" s="58">
        <v>43992</v>
      </c>
      <c r="AC466" s="58">
        <v>43986</v>
      </c>
      <c r="AD466" s="58">
        <v>43992</v>
      </c>
      <c r="AE466" s="58">
        <v>43987</v>
      </c>
      <c r="AF466" s="58">
        <v>43987</v>
      </c>
      <c r="AG466" s="58" t="s">
        <v>75</v>
      </c>
      <c r="AH466" s="59">
        <v>1</v>
      </c>
      <c r="AI466" s="59">
        <v>1</v>
      </c>
      <c r="AJ466" s="59">
        <v>1</v>
      </c>
      <c r="AK466" s="58" t="s">
        <v>8</v>
      </c>
      <c r="AL466" s="13" t="s">
        <v>72</v>
      </c>
      <c r="AM466" s="13" t="s">
        <v>72</v>
      </c>
      <c r="AN466" s="13" t="s">
        <v>72</v>
      </c>
    </row>
    <row r="467" spans="2:40" ht="15">
      <c r="B467" s="214">
        <v>362</v>
      </c>
      <c r="C467" s="13">
        <v>20200604</v>
      </c>
      <c r="D467" s="13" t="s">
        <v>24</v>
      </c>
      <c r="E467" s="13" t="s">
        <v>51</v>
      </c>
      <c r="F467" s="39" t="s">
        <v>2292</v>
      </c>
      <c r="G467" s="14">
        <v>1465509</v>
      </c>
      <c r="H467" s="164" t="s">
        <v>72</v>
      </c>
      <c r="I467" s="13" t="s">
        <v>120</v>
      </c>
      <c r="J467" s="164" t="s">
        <v>72</v>
      </c>
      <c r="K467" s="13" t="s">
        <v>73</v>
      </c>
      <c r="L467" s="13" t="s">
        <v>8</v>
      </c>
      <c r="M467" s="13" t="s">
        <v>52</v>
      </c>
      <c r="N467" s="13" t="s">
        <v>6</v>
      </c>
      <c r="O467" s="14" t="s">
        <v>72</v>
      </c>
      <c r="P467" s="14" t="s">
        <v>876</v>
      </c>
      <c r="Q467" s="165"/>
      <c r="R467" s="164" t="s">
        <v>72</v>
      </c>
      <c r="S467" s="13" t="s">
        <v>109</v>
      </c>
      <c r="T467" s="13"/>
      <c r="U467" s="13"/>
      <c r="V467" s="13">
        <v>42</v>
      </c>
      <c r="W467" s="53">
        <v>118</v>
      </c>
      <c r="X467" s="13">
        <v>118</v>
      </c>
      <c r="Y467" s="13">
        <v>2.09</v>
      </c>
      <c r="Z467" s="13">
        <v>0.5</v>
      </c>
      <c r="AA467" s="13" t="s">
        <v>550</v>
      </c>
      <c r="AB467" s="58">
        <v>43992</v>
      </c>
      <c r="AC467" s="58">
        <v>43986</v>
      </c>
      <c r="AD467" s="58">
        <v>43992</v>
      </c>
      <c r="AE467" s="58">
        <v>43987</v>
      </c>
      <c r="AF467" s="58">
        <v>43987</v>
      </c>
      <c r="AG467" s="58" t="s">
        <v>75</v>
      </c>
      <c r="AH467" s="59">
        <v>1</v>
      </c>
      <c r="AI467" s="59">
        <v>1</v>
      </c>
      <c r="AJ467" s="59">
        <v>1</v>
      </c>
      <c r="AK467" s="58" t="s">
        <v>8</v>
      </c>
      <c r="AL467" s="13" t="s">
        <v>72</v>
      </c>
      <c r="AM467" s="13" t="s">
        <v>72</v>
      </c>
      <c r="AN467" s="13" t="s">
        <v>72</v>
      </c>
    </row>
    <row r="468" spans="2:40" ht="15">
      <c r="B468" s="214">
        <v>363</v>
      </c>
      <c r="C468" s="13">
        <v>20200604</v>
      </c>
      <c r="D468" s="13" t="s">
        <v>24</v>
      </c>
      <c r="E468" s="13" t="s">
        <v>51</v>
      </c>
      <c r="F468" s="39" t="s">
        <v>2293</v>
      </c>
      <c r="G468" s="14">
        <v>1465509</v>
      </c>
      <c r="H468" s="164" t="s">
        <v>72</v>
      </c>
      <c r="I468" s="13" t="s">
        <v>120</v>
      </c>
      <c r="J468" s="164" t="s">
        <v>72</v>
      </c>
      <c r="K468" s="13" t="s">
        <v>73</v>
      </c>
      <c r="L468" s="13" t="s">
        <v>8</v>
      </c>
      <c r="M468" s="13" t="s">
        <v>52</v>
      </c>
      <c r="N468" s="13" t="s">
        <v>6</v>
      </c>
      <c r="O468" s="14" t="s">
        <v>72</v>
      </c>
      <c r="P468" s="14" t="s">
        <v>876</v>
      </c>
      <c r="Q468" s="165"/>
      <c r="R468" s="164" t="s">
        <v>72</v>
      </c>
      <c r="S468" s="13" t="s">
        <v>109</v>
      </c>
      <c r="T468" s="13"/>
      <c r="U468" s="13"/>
      <c r="V468" s="13">
        <v>42</v>
      </c>
      <c r="W468" s="53">
        <v>118</v>
      </c>
      <c r="X468" s="13">
        <v>118</v>
      </c>
      <c r="Y468" s="13">
        <v>2.09</v>
      </c>
      <c r="Z468" s="13">
        <v>0.5</v>
      </c>
      <c r="AA468" s="13" t="s">
        <v>550</v>
      </c>
      <c r="AB468" s="58">
        <v>43992</v>
      </c>
      <c r="AC468" s="58">
        <v>43986</v>
      </c>
      <c r="AD468" s="58">
        <v>43992</v>
      </c>
      <c r="AE468" s="58">
        <v>43987</v>
      </c>
      <c r="AF468" s="58">
        <v>43987</v>
      </c>
      <c r="AG468" s="58" t="s">
        <v>75</v>
      </c>
      <c r="AH468" s="59">
        <v>1</v>
      </c>
      <c r="AI468" s="59">
        <v>1</v>
      </c>
      <c r="AJ468" s="59">
        <v>1</v>
      </c>
      <c r="AK468" s="58" t="s">
        <v>8</v>
      </c>
      <c r="AL468" s="13" t="s">
        <v>72</v>
      </c>
      <c r="AM468" s="13" t="s">
        <v>72</v>
      </c>
      <c r="AN468" s="13" t="s">
        <v>72</v>
      </c>
    </row>
    <row r="469" spans="2:40" ht="15">
      <c r="B469" s="214">
        <v>364</v>
      </c>
      <c r="C469" s="13">
        <v>20200604</v>
      </c>
      <c r="D469" s="13" t="s">
        <v>311</v>
      </c>
      <c r="E469" s="13" t="s">
        <v>2181</v>
      </c>
      <c r="F469" s="14" t="s">
        <v>72</v>
      </c>
      <c r="G469" s="14">
        <v>1499648</v>
      </c>
      <c r="H469" s="164" t="s">
        <v>72</v>
      </c>
      <c r="I469" s="13" t="s">
        <v>2294</v>
      </c>
      <c r="J469" s="164" t="s">
        <v>72</v>
      </c>
      <c r="K469" s="13" t="s">
        <v>73</v>
      </c>
      <c r="L469" s="13" t="s">
        <v>8</v>
      </c>
      <c r="M469" s="13" t="s">
        <v>2259</v>
      </c>
      <c r="N469" s="13">
        <v>1499648</v>
      </c>
      <c r="O469" s="14" t="s">
        <v>2295</v>
      </c>
      <c r="P469" s="14" t="s">
        <v>1798</v>
      </c>
      <c r="Q469" s="165"/>
      <c r="R469" s="164" t="s">
        <v>72</v>
      </c>
      <c r="S469" s="13" t="s">
        <v>109</v>
      </c>
      <c r="T469" s="13"/>
      <c r="U469" s="13"/>
      <c r="V469" s="13">
        <v>30</v>
      </c>
      <c r="W469" s="13">
        <v>30</v>
      </c>
      <c r="X469" s="13">
        <v>30</v>
      </c>
      <c r="Y469" s="13">
        <v>1.84</v>
      </c>
      <c r="Z469" s="13">
        <v>1</v>
      </c>
      <c r="AA469" s="13" t="s">
        <v>550</v>
      </c>
      <c r="AB469" s="58">
        <v>43990</v>
      </c>
      <c r="AC469" s="58">
        <v>43986</v>
      </c>
      <c r="AD469" s="215">
        <v>43990</v>
      </c>
      <c r="AE469" s="58">
        <v>43987</v>
      </c>
      <c r="AF469" s="58">
        <v>43987</v>
      </c>
      <c r="AG469" s="58" t="s">
        <v>75</v>
      </c>
      <c r="AH469" s="59">
        <v>1</v>
      </c>
      <c r="AI469" s="59">
        <v>1</v>
      </c>
      <c r="AJ469" s="59">
        <v>1</v>
      </c>
      <c r="AK469" s="58" t="s">
        <v>8</v>
      </c>
      <c r="AL469" s="13" t="s">
        <v>72</v>
      </c>
      <c r="AM469" s="13" t="s">
        <v>72</v>
      </c>
      <c r="AN469" s="13" t="s">
        <v>72</v>
      </c>
    </row>
    <row r="470" spans="2:40" ht="15">
      <c r="B470" s="214">
        <v>365</v>
      </c>
      <c r="C470" s="13">
        <v>20200604</v>
      </c>
      <c r="D470" s="13" t="s">
        <v>311</v>
      </c>
      <c r="E470" s="13" t="s">
        <v>2181</v>
      </c>
      <c r="F470" s="14" t="s">
        <v>72</v>
      </c>
      <c r="G470" s="14">
        <v>1499648</v>
      </c>
      <c r="H470" s="164" t="s">
        <v>72</v>
      </c>
      <c r="I470" s="13" t="s">
        <v>2296</v>
      </c>
      <c r="J470" s="164" t="s">
        <v>72</v>
      </c>
      <c r="K470" s="13" t="s">
        <v>73</v>
      </c>
      <c r="L470" s="13" t="s">
        <v>8</v>
      </c>
      <c r="M470" s="13" t="s">
        <v>2259</v>
      </c>
      <c r="N470" s="13">
        <v>1499648</v>
      </c>
      <c r="O470" s="14" t="s">
        <v>2297</v>
      </c>
      <c r="P470" s="14" t="s">
        <v>1798</v>
      </c>
      <c r="Q470" s="165"/>
      <c r="R470" s="164" t="s">
        <v>72</v>
      </c>
      <c r="S470" s="13" t="s">
        <v>113</v>
      </c>
      <c r="T470" s="13"/>
      <c r="U470" s="13"/>
      <c r="V470" s="13">
        <v>90</v>
      </c>
      <c r="W470" s="13">
        <v>90</v>
      </c>
      <c r="X470" s="13">
        <v>90</v>
      </c>
      <c r="Y470" s="13">
        <v>5.53</v>
      </c>
      <c r="Z470" s="13">
        <v>90</v>
      </c>
      <c r="AA470" s="13" t="s">
        <v>550</v>
      </c>
      <c r="AB470" s="58">
        <v>43990</v>
      </c>
      <c r="AC470" s="58">
        <v>43986</v>
      </c>
      <c r="AD470" s="215">
        <v>43990</v>
      </c>
      <c r="AE470" s="58">
        <v>43987</v>
      </c>
      <c r="AF470" s="58">
        <v>43987</v>
      </c>
      <c r="AG470" s="58" t="s">
        <v>75</v>
      </c>
      <c r="AH470" s="59">
        <v>1</v>
      </c>
      <c r="AI470" s="59">
        <v>1</v>
      </c>
      <c r="AJ470" s="59">
        <v>1</v>
      </c>
      <c r="AK470" s="58" t="s">
        <v>8</v>
      </c>
      <c r="AL470" s="13"/>
      <c r="AM470" s="13"/>
      <c r="AN470" s="13"/>
    </row>
    <row r="471" spans="2:40" ht="15">
      <c r="B471" s="214">
        <v>366</v>
      </c>
      <c r="C471" s="13">
        <v>20200604</v>
      </c>
      <c r="D471" s="13" t="s">
        <v>311</v>
      </c>
      <c r="E471" s="13" t="s">
        <v>2181</v>
      </c>
      <c r="F471" s="14" t="s">
        <v>72</v>
      </c>
      <c r="G471" s="14">
        <v>1499648</v>
      </c>
      <c r="H471" s="164" t="s">
        <v>72</v>
      </c>
      <c r="I471" s="13" t="s">
        <v>2298</v>
      </c>
      <c r="J471" s="164" t="s">
        <v>72</v>
      </c>
      <c r="K471" s="13" t="s">
        <v>73</v>
      </c>
      <c r="L471" s="13" t="s">
        <v>8</v>
      </c>
      <c r="M471" s="13" t="s">
        <v>2259</v>
      </c>
      <c r="N471" s="13">
        <v>1499648</v>
      </c>
      <c r="O471" s="14" t="s">
        <v>2299</v>
      </c>
      <c r="P471" s="14" t="s">
        <v>1798</v>
      </c>
      <c r="Q471" s="165"/>
      <c r="R471" s="164" t="s">
        <v>72</v>
      </c>
      <c r="S471" s="13" t="s">
        <v>161</v>
      </c>
      <c r="T471" s="13"/>
      <c r="U471" s="13"/>
      <c r="V471" s="13">
        <v>50</v>
      </c>
      <c r="W471" s="13">
        <v>50</v>
      </c>
      <c r="X471" s="13">
        <v>50</v>
      </c>
      <c r="Y471" s="13">
        <v>3.07</v>
      </c>
      <c r="Z471" s="13">
        <v>3</v>
      </c>
      <c r="AA471" s="13" t="s">
        <v>550</v>
      </c>
      <c r="AB471" s="58">
        <v>43990</v>
      </c>
      <c r="AC471" s="58">
        <v>43986</v>
      </c>
      <c r="AD471" s="215">
        <v>43990</v>
      </c>
      <c r="AE471" s="58">
        <v>43990</v>
      </c>
      <c r="AF471" s="58">
        <v>43990</v>
      </c>
      <c r="AG471" s="58" t="s">
        <v>75</v>
      </c>
      <c r="AH471" s="59">
        <v>1</v>
      </c>
      <c r="AI471" s="59">
        <v>1</v>
      </c>
      <c r="AJ471" s="59">
        <v>1</v>
      </c>
      <c r="AK471" s="58" t="s">
        <v>8</v>
      </c>
      <c r="AL471" s="13"/>
      <c r="AM471" s="13"/>
      <c r="AN471" s="13"/>
    </row>
    <row r="472" spans="2:40" ht="15">
      <c r="B472" s="214">
        <v>367</v>
      </c>
      <c r="C472" s="13">
        <v>20200604</v>
      </c>
      <c r="D472" s="13" t="s">
        <v>24</v>
      </c>
      <c r="E472" s="13" t="s">
        <v>2300</v>
      </c>
      <c r="F472" s="39" t="s">
        <v>2301</v>
      </c>
      <c r="G472" s="14">
        <v>1311762</v>
      </c>
      <c r="H472" s="164" t="s">
        <v>72</v>
      </c>
      <c r="I472" s="13" t="s">
        <v>2302</v>
      </c>
      <c r="J472" s="164" t="s">
        <v>72</v>
      </c>
      <c r="K472" s="13" t="s">
        <v>73</v>
      </c>
      <c r="L472" s="13" t="s">
        <v>2239</v>
      </c>
      <c r="M472" s="13" t="s">
        <v>1033</v>
      </c>
      <c r="N472" s="13" t="s">
        <v>1034</v>
      </c>
      <c r="O472" s="14" t="s">
        <v>72</v>
      </c>
      <c r="P472" s="14" t="s">
        <v>2067</v>
      </c>
      <c r="Q472" s="165"/>
      <c r="R472" s="164" t="s">
        <v>72</v>
      </c>
      <c r="S472" s="13" t="s">
        <v>117</v>
      </c>
      <c r="T472" s="13"/>
      <c r="U472" s="13"/>
      <c r="V472" s="13">
        <v>160</v>
      </c>
      <c r="W472" s="13">
        <v>160</v>
      </c>
      <c r="X472" s="13">
        <v>160</v>
      </c>
      <c r="Y472" s="13">
        <v>2.84</v>
      </c>
      <c r="Z472" s="13">
        <v>1</v>
      </c>
      <c r="AA472" s="13" t="s">
        <v>550</v>
      </c>
      <c r="AB472" s="58">
        <v>43992</v>
      </c>
      <c r="AC472" s="58">
        <v>43986</v>
      </c>
      <c r="AD472" s="58">
        <v>43992</v>
      </c>
      <c r="AE472" s="58">
        <v>43992</v>
      </c>
      <c r="AF472" s="58">
        <v>43992</v>
      </c>
      <c r="AG472" s="58" t="s">
        <v>75</v>
      </c>
      <c r="AH472" s="59">
        <v>1</v>
      </c>
      <c r="AI472" s="59">
        <v>1</v>
      </c>
      <c r="AJ472" s="59">
        <v>1</v>
      </c>
      <c r="AK472" s="58" t="s">
        <v>8</v>
      </c>
      <c r="AL472" s="13"/>
      <c r="AM472" s="13"/>
      <c r="AN472" s="13"/>
    </row>
    <row r="473" spans="2:40" ht="15">
      <c r="B473" s="214">
        <v>374</v>
      </c>
      <c r="C473" s="13">
        <v>20200604</v>
      </c>
      <c r="D473" s="13" t="s">
        <v>24</v>
      </c>
      <c r="E473" s="13" t="s">
        <v>2303</v>
      </c>
      <c r="F473" s="39" t="s">
        <v>2304</v>
      </c>
      <c r="G473" s="14">
        <v>1498232</v>
      </c>
      <c r="H473" s="164" t="s">
        <v>72</v>
      </c>
      <c r="I473" s="13" t="s">
        <v>2212</v>
      </c>
      <c r="J473" s="164" t="s">
        <v>72</v>
      </c>
      <c r="K473" s="13" t="s">
        <v>73</v>
      </c>
      <c r="L473" s="13" t="s">
        <v>2305</v>
      </c>
      <c r="M473" s="13" t="s">
        <v>2306</v>
      </c>
      <c r="N473" s="13" t="s">
        <v>2307</v>
      </c>
      <c r="O473" s="14" t="s">
        <v>72</v>
      </c>
      <c r="P473" s="14" t="s">
        <v>2210</v>
      </c>
      <c r="Q473" s="165"/>
      <c r="R473" s="164" t="s">
        <v>72</v>
      </c>
      <c r="S473" s="13" t="s">
        <v>77</v>
      </c>
      <c r="T473" s="13"/>
      <c r="U473" s="13"/>
      <c r="V473" s="13">
        <v>30</v>
      </c>
      <c r="W473" s="13">
        <v>30</v>
      </c>
      <c r="X473" s="13">
        <v>30</v>
      </c>
      <c r="Y473" s="13">
        <v>0.53</v>
      </c>
      <c r="Z473" s="13">
        <v>0.1</v>
      </c>
      <c r="AA473" s="13" t="s">
        <v>505</v>
      </c>
      <c r="AB473" s="58"/>
      <c r="AC473" s="58">
        <v>43986</v>
      </c>
      <c r="AD473" s="58">
        <v>43996</v>
      </c>
      <c r="AE473" s="58">
        <v>43987</v>
      </c>
      <c r="AF473" s="58">
        <v>43987</v>
      </c>
      <c r="AG473" s="58" t="s">
        <v>75</v>
      </c>
      <c r="AH473" s="171" t="s">
        <v>72</v>
      </c>
      <c r="AI473" s="171" t="s">
        <v>72</v>
      </c>
      <c r="AJ473" s="171" t="s">
        <v>72</v>
      </c>
      <c r="AK473" s="58" t="s">
        <v>8</v>
      </c>
      <c r="AL473" s="14" t="s">
        <v>72</v>
      </c>
      <c r="AM473" s="14" t="s">
        <v>72</v>
      </c>
      <c r="AN473" s="14" t="s">
        <v>2308</v>
      </c>
    </row>
    <row r="474" spans="2:40" ht="15">
      <c r="B474" s="214">
        <v>375</v>
      </c>
      <c r="C474" s="13">
        <v>20200604</v>
      </c>
      <c r="D474" s="13" t="s">
        <v>24</v>
      </c>
      <c r="E474" s="13" t="s">
        <v>2303</v>
      </c>
      <c r="F474" s="39" t="s">
        <v>2304</v>
      </c>
      <c r="G474" s="14">
        <v>1498232</v>
      </c>
      <c r="H474" s="164" t="s">
        <v>72</v>
      </c>
      <c r="I474" s="13" t="s">
        <v>2214</v>
      </c>
      <c r="J474" s="164" t="s">
        <v>72</v>
      </c>
      <c r="K474" s="13" t="s">
        <v>73</v>
      </c>
      <c r="L474" s="13" t="s">
        <v>2305</v>
      </c>
      <c r="M474" s="13" t="s">
        <v>2306</v>
      </c>
      <c r="N474" s="13" t="s">
        <v>2307</v>
      </c>
      <c r="O474" s="14" t="s">
        <v>72</v>
      </c>
      <c r="P474" s="14" t="s">
        <v>2210</v>
      </c>
      <c r="Q474" s="165"/>
      <c r="R474" s="164" t="s">
        <v>72</v>
      </c>
      <c r="S474" s="13" t="s">
        <v>77</v>
      </c>
      <c r="T474" s="13"/>
      <c r="U474" s="13"/>
      <c r="V474" s="13">
        <v>36</v>
      </c>
      <c r="W474" s="13">
        <v>36</v>
      </c>
      <c r="X474" s="13">
        <v>36</v>
      </c>
      <c r="Y474" s="13">
        <v>0.64</v>
      </c>
      <c r="Z474" s="13">
        <v>0.1</v>
      </c>
      <c r="AA474" s="13" t="s">
        <v>505</v>
      </c>
      <c r="AB474" s="58"/>
      <c r="AC474" s="58">
        <v>43986</v>
      </c>
      <c r="AD474" s="58">
        <v>43996</v>
      </c>
      <c r="AE474" s="58">
        <v>43987</v>
      </c>
      <c r="AF474" s="58">
        <v>43987</v>
      </c>
      <c r="AG474" s="58" t="s">
        <v>75</v>
      </c>
      <c r="AH474" s="171" t="s">
        <v>72</v>
      </c>
      <c r="AI474" s="171" t="s">
        <v>72</v>
      </c>
      <c r="AJ474" s="171" t="s">
        <v>72</v>
      </c>
      <c r="AK474" s="58" t="s">
        <v>8</v>
      </c>
      <c r="AL474" s="14" t="s">
        <v>72</v>
      </c>
      <c r="AM474" s="14" t="s">
        <v>72</v>
      </c>
      <c r="AN474" s="14" t="s">
        <v>2308</v>
      </c>
    </row>
    <row r="475" spans="2:40" ht="15">
      <c r="B475" s="214">
        <v>376</v>
      </c>
      <c r="C475" s="13">
        <v>20200604</v>
      </c>
      <c r="D475" s="13" t="s">
        <v>24</v>
      </c>
      <c r="E475" s="13" t="s">
        <v>2303</v>
      </c>
      <c r="F475" s="39" t="s">
        <v>2304</v>
      </c>
      <c r="G475" s="14">
        <v>1498232</v>
      </c>
      <c r="H475" s="164" t="s">
        <v>72</v>
      </c>
      <c r="I475" s="13" t="s">
        <v>2216</v>
      </c>
      <c r="J475" s="164" t="s">
        <v>72</v>
      </c>
      <c r="K475" s="13" t="s">
        <v>73</v>
      </c>
      <c r="L475" s="13" t="s">
        <v>2305</v>
      </c>
      <c r="M475" s="13" t="s">
        <v>2306</v>
      </c>
      <c r="N475" s="13" t="s">
        <v>2307</v>
      </c>
      <c r="O475" s="14" t="s">
        <v>72</v>
      </c>
      <c r="P475" s="14" t="s">
        <v>2210</v>
      </c>
      <c r="Q475" s="165"/>
      <c r="R475" s="164" t="s">
        <v>72</v>
      </c>
      <c r="S475" s="13" t="s">
        <v>77</v>
      </c>
      <c r="T475" s="13"/>
      <c r="U475" s="13"/>
      <c r="V475" s="13">
        <v>22</v>
      </c>
      <c r="W475" s="13">
        <v>22</v>
      </c>
      <c r="X475" s="13">
        <v>22</v>
      </c>
      <c r="Y475" s="13">
        <v>0.39</v>
      </c>
      <c r="Z475" s="13">
        <v>0.1</v>
      </c>
      <c r="AA475" s="13" t="s">
        <v>505</v>
      </c>
      <c r="AB475" s="58"/>
      <c r="AC475" s="58">
        <v>43986</v>
      </c>
      <c r="AD475" s="58">
        <v>43996</v>
      </c>
      <c r="AE475" s="58">
        <v>43987</v>
      </c>
      <c r="AF475" s="58">
        <v>43987</v>
      </c>
      <c r="AG475" s="58" t="s">
        <v>75</v>
      </c>
      <c r="AH475" s="171" t="s">
        <v>72</v>
      </c>
      <c r="AI475" s="171" t="s">
        <v>72</v>
      </c>
      <c r="AJ475" s="171" t="s">
        <v>72</v>
      </c>
      <c r="AK475" s="58" t="s">
        <v>8</v>
      </c>
      <c r="AL475" s="14" t="s">
        <v>72</v>
      </c>
      <c r="AM475" s="14" t="s">
        <v>72</v>
      </c>
      <c r="AN475" s="14" t="s">
        <v>2308</v>
      </c>
    </row>
    <row r="476" spans="2:40" ht="15">
      <c r="B476" s="214">
        <v>377</v>
      </c>
      <c r="C476" s="13">
        <v>20200604</v>
      </c>
      <c r="D476" s="13" t="s">
        <v>24</v>
      </c>
      <c r="E476" s="13" t="s">
        <v>2303</v>
      </c>
      <c r="F476" s="39" t="s">
        <v>2304</v>
      </c>
      <c r="G476" s="14">
        <v>1498232</v>
      </c>
      <c r="H476" s="164" t="s">
        <v>72</v>
      </c>
      <c r="I476" s="13" t="s">
        <v>2218</v>
      </c>
      <c r="J476" s="164" t="s">
        <v>72</v>
      </c>
      <c r="K476" s="13" t="s">
        <v>73</v>
      </c>
      <c r="L476" s="13" t="s">
        <v>2305</v>
      </c>
      <c r="M476" s="13" t="s">
        <v>2306</v>
      </c>
      <c r="N476" s="13" t="s">
        <v>2307</v>
      </c>
      <c r="O476" s="14" t="s">
        <v>72</v>
      </c>
      <c r="P476" s="14" t="s">
        <v>2210</v>
      </c>
      <c r="Q476" s="165"/>
      <c r="R476" s="164" t="s">
        <v>72</v>
      </c>
      <c r="S476" s="13" t="s">
        <v>77</v>
      </c>
      <c r="T476" s="13"/>
      <c r="U476" s="13"/>
      <c r="V476" s="13">
        <v>36</v>
      </c>
      <c r="W476" s="13">
        <v>36</v>
      </c>
      <c r="X476" s="13">
        <v>36</v>
      </c>
      <c r="Y476" s="13">
        <v>0.64</v>
      </c>
      <c r="Z476" s="13">
        <v>0.1</v>
      </c>
      <c r="AA476" s="13" t="s">
        <v>505</v>
      </c>
      <c r="AB476" s="58"/>
      <c r="AC476" s="58">
        <v>43986</v>
      </c>
      <c r="AD476" s="58">
        <v>43996</v>
      </c>
      <c r="AE476" s="58">
        <v>43987</v>
      </c>
      <c r="AF476" s="58">
        <v>43987</v>
      </c>
      <c r="AG476" s="58" t="s">
        <v>75</v>
      </c>
      <c r="AH476" s="171" t="s">
        <v>72</v>
      </c>
      <c r="AI476" s="171" t="s">
        <v>72</v>
      </c>
      <c r="AJ476" s="171" t="s">
        <v>72</v>
      </c>
      <c r="AK476" s="58" t="s">
        <v>8</v>
      </c>
      <c r="AL476" s="14" t="s">
        <v>72</v>
      </c>
      <c r="AM476" s="14" t="s">
        <v>72</v>
      </c>
      <c r="AN476" s="14" t="s">
        <v>2308</v>
      </c>
    </row>
    <row r="477" spans="2:40" ht="15">
      <c r="B477" s="214">
        <v>378</v>
      </c>
      <c r="C477" s="13">
        <v>20200604</v>
      </c>
      <c r="D477" s="13" t="s">
        <v>24</v>
      </c>
      <c r="E477" s="13" t="s">
        <v>2303</v>
      </c>
      <c r="F477" s="39" t="s">
        <v>2304</v>
      </c>
      <c r="G477" s="14">
        <v>1498232</v>
      </c>
      <c r="H477" s="164" t="s">
        <v>72</v>
      </c>
      <c r="I477" s="13" t="s">
        <v>2220</v>
      </c>
      <c r="J477" s="164" t="s">
        <v>72</v>
      </c>
      <c r="K477" s="13" t="s">
        <v>73</v>
      </c>
      <c r="L477" s="13" t="s">
        <v>2305</v>
      </c>
      <c r="M477" s="13" t="s">
        <v>2306</v>
      </c>
      <c r="N477" s="13" t="s">
        <v>2307</v>
      </c>
      <c r="O477" s="14" t="s">
        <v>72</v>
      </c>
      <c r="P477" s="14" t="s">
        <v>2210</v>
      </c>
      <c r="Q477" s="165"/>
      <c r="R477" s="164" t="s">
        <v>72</v>
      </c>
      <c r="S477" s="13" t="s">
        <v>77</v>
      </c>
      <c r="T477" s="13"/>
      <c r="U477" s="13"/>
      <c r="V477" s="13">
        <v>60</v>
      </c>
      <c r="W477" s="13">
        <v>60</v>
      </c>
      <c r="X477" s="13">
        <v>60</v>
      </c>
      <c r="Y477" s="13">
        <v>1.06</v>
      </c>
      <c r="Z477" s="13">
        <v>0.1</v>
      </c>
      <c r="AA477" s="13" t="s">
        <v>505</v>
      </c>
      <c r="AB477" s="58"/>
      <c r="AC477" s="58">
        <v>43986</v>
      </c>
      <c r="AD477" s="58">
        <v>43996</v>
      </c>
      <c r="AE477" s="58">
        <v>43987</v>
      </c>
      <c r="AF477" s="58">
        <v>43987</v>
      </c>
      <c r="AG477" s="58" t="s">
        <v>75</v>
      </c>
      <c r="AH477" s="171" t="s">
        <v>72</v>
      </c>
      <c r="AI477" s="171" t="s">
        <v>72</v>
      </c>
      <c r="AJ477" s="171" t="s">
        <v>72</v>
      </c>
      <c r="AK477" s="58" t="s">
        <v>8</v>
      </c>
      <c r="AL477" s="14" t="s">
        <v>72</v>
      </c>
      <c r="AM477" s="14" t="s">
        <v>72</v>
      </c>
      <c r="AN477" s="14" t="s">
        <v>2308</v>
      </c>
    </row>
    <row r="478" spans="2:40" ht="15">
      <c r="B478" s="214">
        <v>379</v>
      </c>
      <c r="C478" s="13">
        <v>20200604</v>
      </c>
      <c r="D478" s="13" t="s">
        <v>24</v>
      </c>
      <c r="E478" s="13" t="s">
        <v>2303</v>
      </c>
      <c r="F478" s="39" t="s">
        <v>2304</v>
      </c>
      <c r="G478" s="14">
        <v>1498232</v>
      </c>
      <c r="H478" s="164" t="s">
        <v>72</v>
      </c>
      <c r="I478" s="13" t="s">
        <v>2222</v>
      </c>
      <c r="J478" s="164" t="s">
        <v>72</v>
      </c>
      <c r="K478" s="13" t="s">
        <v>73</v>
      </c>
      <c r="L478" s="13" t="s">
        <v>2305</v>
      </c>
      <c r="M478" s="13" t="s">
        <v>2306</v>
      </c>
      <c r="N478" s="13" t="s">
        <v>2307</v>
      </c>
      <c r="O478" s="14" t="s">
        <v>72</v>
      </c>
      <c r="P478" s="14" t="s">
        <v>2210</v>
      </c>
      <c r="Q478" s="165"/>
      <c r="R478" s="164" t="s">
        <v>72</v>
      </c>
      <c r="S478" s="13" t="s">
        <v>77</v>
      </c>
      <c r="T478" s="13"/>
      <c r="U478" s="13"/>
      <c r="V478" s="13">
        <v>33</v>
      </c>
      <c r="W478" s="13">
        <v>33</v>
      </c>
      <c r="X478" s="13">
        <v>33</v>
      </c>
      <c r="Y478" s="13">
        <v>0.57999999999999996</v>
      </c>
      <c r="Z478" s="13">
        <v>0.1</v>
      </c>
      <c r="AA478" s="13" t="s">
        <v>505</v>
      </c>
      <c r="AB478" s="58"/>
      <c r="AC478" s="58">
        <v>43986</v>
      </c>
      <c r="AD478" s="58">
        <v>43996</v>
      </c>
      <c r="AE478" s="58">
        <v>43987</v>
      </c>
      <c r="AF478" s="58">
        <v>43987</v>
      </c>
      <c r="AG478" s="58" t="s">
        <v>75</v>
      </c>
      <c r="AH478" s="171" t="s">
        <v>72</v>
      </c>
      <c r="AI478" s="171" t="s">
        <v>72</v>
      </c>
      <c r="AJ478" s="171" t="s">
        <v>72</v>
      </c>
      <c r="AK478" s="58" t="s">
        <v>8</v>
      </c>
      <c r="AL478" s="14" t="s">
        <v>72</v>
      </c>
      <c r="AM478" s="14" t="s">
        <v>72</v>
      </c>
      <c r="AN478" s="14" t="s">
        <v>2308</v>
      </c>
    </row>
    <row r="479" spans="2:40" ht="15">
      <c r="B479" s="214">
        <v>380</v>
      </c>
      <c r="C479" s="13">
        <v>20200604</v>
      </c>
      <c r="D479" s="13" t="s">
        <v>24</v>
      </c>
      <c r="E479" s="13" t="s">
        <v>2303</v>
      </c>
      <c r="F479" s="39" t="s">
        <v>2304</v>
      </c>
      <c r="G479" s="14">
        <v>1498232</v>
      </c>
      <c r="H479" s="164" t="s">
        <v>72</v>
      </c>
      <c r="I479" s="13" t="s">
        <v>2224</v>
      </c>
      <c r="J479" s="164" t="s">
        <v>72</v>
      </c>
      <c r="K479" s="13" t="s">
        <v>73</v>
      </c>
      <c r="L479" s="13" t="s">
        <v>2305</v>
      </c>
      <c r="M479" s="13" t="s">
        <v>2306</v>
      </c>
      <c r="N479" s="13" t="s">
        <v>2307</v>
      </c>
      <c r="O479" s="14" t="s">
        <v>72</v>
      </c>
      <c r="P479" s="14" t="s">
        <v>2210</v>
      </c>
      <c r="Q479" s="165"/>
      <c r="R479" s="164" t="s">
        <v>72</v>
      </c>
      <c r="S479" s="13" t="s">
        <v>77</v>
      </c>
      <c r="T479" s="13"/>
      <c r="U479" s="13"/>
      <c r="V479" s="13">
        <v>19</v>
      </c>
      <c r="W479" s="13">
        <v>19</v>
      </c>
      <c r="X479" s="13">
        <v>19</v>
      </c>
      <c r="Y479" s="13">
        <v>0.33</v>
      </c>
      <c r="Z479" s="13">
        <v>0.1</v>
      </c>
      <c r="AA479" s="13" t="s">
        <v>505</v>
      </c>
      <c r="AB479" s="58"/>
      <c r="AC479" s="58">
        <v>43986</v>
      </c>
      <c r="AD479" s="58">
        <v>43996</v>
      </c>
      <c r="AE479" s="58">
        <v>43987</v>
      </c>
      <c r="AF479" s="58">
        <v>43987</v>
      </c>
      <c r="AG479" s="58" t="s">
        <v>75</v>
      </c>
      <c r="AH479" s="171" t="s">
        <v>72</v>
      </c>
      <c r="AI479" s="171" t="s">
        <v>72</v>
      </c>
      <c r="AJ479" s="171" t="s">
        <v>72</v>
      </c>
      <c r="AK479" s="58" t="s">
        <v>8</v>
      </c>
      <c r="AL479" s="14" t="s">
        <v>72</v>
      </c>
      <c r="AM479" s="14" t="s">
        <v>72</v>
      </c>
      <c r="AN479" s="14" t="s">
        <v>2308</v>
      </c>
    </row>
    <row r="480" spans="2:40" ht="15">
      <c r="B480" s="214">
        <v>381</v>
      </c>
      <c r="C480" s="13">
        <v>20200604</v>
      </c>
      <c r="D480" s="13" t="s">
        <v>24</v>
      </c>
      <c r="E480" s="13" t="s">
        <v>2303</v>
      </c>
      <c r="F480" s="39" t="s">
        <v>2304</v>
      </c>
      <c r="G480" s="14">
        <v>1498232</v>
      </c>
      <c r="H480" s="164" t="s">
        <v>72</v>
      </c>
      <c r="I480" s="13" t="s">
        <v>2226</v>
      </c>
      <c r="J480" s="164" t="s">
        <v>72</v>
      </c>
      <c r="K480" s="13" t="s">
        <v>73</v>
      </c>
      <c r="L480" s="13" t="s">
        <v>2305</v>
      </c>
      <c r="M480" s="13" t="s">
        <v>2306</v>
      </c>
      <c r="N480" s="13" t="s">
        <v>2307</v>
      </c>
      <c r="O480" s="14" t="s">
        <v>72</v>
      </c>
      <c r="P480" s="14" t="s">
        <v>2210</v>
      </c>
      <c r="Q480" s="165"/>
      <c r="R480" s="164" t="s">
        <v>72</v>
      </c>
      <c r="S480" s="13" t="s">
        <v>77</v>
      </c>
      <c r="T480" s="13"/>
      <c r="U480" s="13"/>
      <c r="V480" s="13">
        <v>33</v>
      </c>
      <c r="W480" s="13">
        <v>33</v>
      </c>
      <c r="X480" s="13">
        <v>33</v>
      </c>
      <c r="Y480" s="13">
        <v>0.57999999999999996</v>
      </c>
      <c r="Z480" s="13">
        <v>0.1</v>
      </c>
      <c r="AA480" s="13" t="s">
        <v>505</v>
      </c>
      <c r="AB480" s="58"/>
      <c r="AC480" s="58">
        <v>43986</v>
      </c>
      <c r="AD480" s="58">
        <v>43996</v>
      </c>
      <c r="AE480" s="58">
        <v>43987</v>
      </c>
      <c r="AF480" s="58">
        <v>43987</v>
      </c>
      <c r="AG480" s="58" t="s">
        <v>75</v>
      </c>
      <c r="AH480" s="171" t="s">
        <v>72</v>
      </c>
      <c r="AI480" s="171" t="s">
        <v>72</v>
      </c>
      <c r="AJ480" s="171" t="s">
        <v>72</v>
      </c>
      <c r="AK480" s="58" t="s">
        <v>8</v>
      </c>
      <c r="AL480" s="14" t="s">
        <v>72</v>
      </c>
      <c r="AM480" s="14" t="s">
        <v>72</v>
      </c>
      <c r="AN480" s="14" t="s">
        <v>2308</v>
      </c>
    </row>
    <row r="481" spans="2:40" ht="15">
      <c r="B481" s="214">
        <v>382</v>
      </c>
      <c r="C481" s="13">
        <v>20200604</v>
      </c>
      <c r="D481" s="13" t="s">
        <v>24</v>
      </c>
      <c r="E481" s="13" t="s">
        <v>2303</v>
      </c>
      <c r="F481" s="39" t="s">
        <v>2304</v>
      </c>
      <c r="G481" s="14">
        <v>1498232</v>
      </c>
      <c r="H481" s="164" t="s">
        <v>72</v>
      </c>
      <c r="I481" s="13" t="s">
        <v>2228</v>
      </c>
      <c r="J481" s="164" t="s">
        <v>72</v>
      </c>
      <c r="K481" s="13" t="s">
        <v>73</v>
      </c>
      <c r="L481" s="13" t="s">
        <v>2305</v>
      </c>
      <c r="M481" s="13" t="s">
        <v>2306</v>
      </c>
      <c r="N481" s="13" t="s">
        <v>2307</v>
      </c>
      <c r="O481" s="14" t="s">
        <v>72</v>
      </c>
      <c r="P481" s="14" t="s">
        <v>2210</v>
      </c>
      <c r="Q481" s="165"/>
      <c r="R481" s="164" t="s">
        <v>72</v>
      </c>
      <c r="S481" s="13" t="s">
        <v>161</v>
      </c>
      <c r="T481" s="13"/>
      <c r="U481" s="13"/>
      <c r="V481" s="13">
        <v>40</v>
      </c>
      <c r="W481" s="13">
        <v>40</v>
      </c>
      <c r="X481" s="13">
        <v>40</v>
      </c>
      <c r="Y481" s="13">
        <v>0.71</v>
      </c>
      <c r="Z481" s="13">
        <v>0.1</v>
      </c>
      <c r="AA481" s="13" t="s">
        <v>505</v>
      </c>
      <c r="AB481" s="58"/>
      <c r="AC481" s="58">
        <v>43986</v>
      </c>
      <c r="AD481" s="58">
        <v>43996</v>
      </c>
      <c r="AE481" s="58">
        <v>43992</v>
      </c>
      <c r="AF481" s="58">
        <v>43992</v>
      </c>
      <c r="AG481" s="58" t="s">
        <v>75</v>
      </c>
      <c r="AH481" s="59" t="s">
        <v>72</v>
      </c>
      <c r="AI481" s="59" t="s">
        <v>72</v>
      </c>
      <c r="AJ481" s="59" t="s">
        <v>72</v>
      </c>
      <c r="AK481" s="58" t="s">
        <v>8</v>
      </c>
      <c r="AL481" s="14" t="s">
        <v>1891</v>
      </c>
      <c r="AM481" s="13"/>
      <c r="AN481" s="13"/>
    </row>
    <row r="482" spans="2:40" ht="15">
      <c r="B482" s="214">
        <v>383</v>
      </c>
      <c r="C482" s="13">
        <v>20200604</v>
      </c>
      <c r="D482" s="13" t="s">
        <v>24</v>
      </c>
      <c r="E482" s="13" t="s">
        <v>2303</v>
      </c>
      <c r="F482" s="39" t="s">
        <v>2304</v>
      </c>
      <c r="G482" s="14">
        <v>1498232</v>
      </c>
      <c r="H482" s="164" t="s">
        <v>72</v>
      </c>
      <c r="I482" s="13" t="s">
        <v>2309</v>
      </c>
      <c r="J482" s="164" t="s">
        <v>72</v>
      </c>
      <c r="K482" s="13" t="s">
        <v>73</v>
      </c>
      <c r="L482" s="13" t="s">
        <v>2305</v>
      </c>
      <c r="M482" s="13" t="s">
        <v>2306</v>
      </c>
      <c r="N482" s="13" t="s">
        <v>2307</v>
      </c>
      <c r="O482" s="14" t="s">
        <v>72</v>
      </c>
      <c r="P482" s="14" t="s">
        <v>2210</v>
      </c>
      <c r="Q482" s="165"/>
      <c r="R482" s="164" t="s">
        <v>72</v>
      </c>
      <c r="S482" s="13" t="s">
        <v>161</v>
      </c>
      <c r="T482" s="13"/>
      <c r="U482" s="13"/>
      <c r="V482" s="13">
        <v>29</v>
      </c>
      <c r="W482" s="13">
        <v>29</v>
      </c>
      <c r="X482" s="13">
        <v>29</v>
      </c>
      <c r="Y482" s="13">
        <v>0.51</v>
      </c>
      <c r="Z482" s="13">
        <v>0.1</v>
      </c>
      <c r="AA482" s="13" t="s">
        <v>505</v>
      </c>
      <c r="AB482" s="58"/>
      <c r="AC482" s="58">
        <v>43986</v>
      </c>
      <c r="AD482" s="58">
        <v>43996</v>
      </c>
      <c r="AE482" s="58">
        <v>43992</v>
      </c>
      <c r="AF482" s="58">
        <v>43992</v>
      </c>
      <c r="AG482" s="58" t="s">
        <v>75</v>
      </c>
      <c r="AH482" s="59" t="s">
        <v>72</v>
      </c>
      <c r="AI482" s="59" t="s">
        <v>72</v>
      </c>
      <c r="AJ482" s="59" t="s">
        <v>72</v>
      </c>
      <c r="AK482" s="58" t="s">
        <v>8</v>
      </c>
      <c r="AL482" s="14" t="s">
        <v>1891</v>
      </c>
      <c r="AM482" s="13"/>
      <c r="AN482" s="13"/>
    </row>
    <row r="483" spans="2:40" ht="15">
      <c r="B483" s="214">
        <v>384</v>
      </c>
      <c r="C483" s="13">
        <v>20200604</v>
      </c>
      <c r="D483" s="13" t="s">
        <v>24</v>
      </c>
      <c r="E483" s="13" t="s">
        <v>2303</v>
      </c>
      <c r="F483" s="39" t="s">
        <v>2304</v>
      </c>
      <c r="G483" s="14">
        <v>1498232</v>
      </c>
      <c r="H483" s="164" t="s">
        <v>72</v>
      </c>
      <c r="I483" s="13" t="s">
        <v>2310</v>
      </c>
      <c r="J483" s="164" t="s">
        <v>72</v>
      </c>
      <c r="K483" s="13" t="s">
        <v>73</v>
      </c>
      <c r="L483" s="13" t="s">
        <v>2305</v>
      </c>
      <c r="M483" s="13" t="s">
        <v>2306</v>
      </c>
      <c r="N483" s="13" t="s">
        <v>2307</v>
      </c>
      <c r="O483" s="14" t="s">
        <v>72</v>
      </c>
      <c r="P483" s="14" t="s">
        <v>2210</v>
      </c>
      <c r="Q483" s="165"/>
      <c r="R483" s="164" t="s">
        <v>72</v>
      </c>
      <c r="S483" s="13" t="s">
        <v>161</v>
      </c>
      <c r="T483" s="13"/>
      <c r="U483" s="13"/>
      <c r="V483" s="13">
        <v>29</v>
      </c>
      <c r="W483" s="13">
        <v>29</v>
      </c>
      <c r="X483" s="13">
        <v>29</v>
      </c>
      <c r="Y483" s="13">
        <v>0.51</v>
      </c>
      <c r="Z483" s="13">
        <v>0.1</v>
      </c>
      <c r="AA483" s="13" t="s">
        <v>505</v>
      </c>
      <c r="AB483" s="58"/>
      <c r="AC483" s="58">
        <v>43986</v>
      </c>
      <c r="AD483" s="58">
        <v>43996</v>
      </c>
      <c r="AE483" s="58">
        <v>43992</v>
      </c>
      <c r="AF483" s="58">
        <v>43992</v>
      </c>
      <c r="AG483" s="58" t="s">
        <v>75</v>
      </c>
      <c r="AH483" s="59" t="s">
        <v>72</v>
      </c>
      <c r="AI483" s="59" t="s">
        <v>72</v>
      </c>
      <c r="AJ483" s="59" t="s">
        <v>72</v>
      </c>
      <c r="AK483" s="58" t="s">
        <v>8</v>
      </c>
      <c r="AL483" s="14" t="s">
        <v>1891</v>
      </c>
      <c r="AM483" s="13"/>
      <c r="AN483" s="13"/>
    </row>
    <row r="484" spans="2:40" ht="15">
      <c r="B484" s="214">
        <v>385</v>
      </c>
      <c r="C484" s="13">
        <v>20200604</v>
      </c>
      <c r="D484" s="13" t="s">
        <v>24</v>
      </c>
      <c r="E484" s="13" t="s">
        <v>2303</v>
      </c>
      <c r="F484" s="39" t="s">
        <v>2304</v>
      </c>
      <c r="G484" s="14">
        <v>1498232</v>
      </c>
      <c r="H484" s="164" t="s">
        <v>72</v>
      </c>
      <c r="I484" s="13" t="s">
        <v>2311</v>
      </c>
      <c r="J484" s="164" t="s">
        <v>72</v>
      </c>
      <c r="K484" s="13" t="s">
        <v>73</v>
      </c>
      <c r="L484" s="13" t="s">
        <v>2305</v>
      </c>
      <c r="M484" s="13" t="s">
        <v>2306</v>
      </c>
      <c r="N484" s="13" t="s">
        <v>2307</v>
      </c>
      <c r="O484" s="14" t="s">
        <v>72</v>
      </c>
      <c r="P484" s="14" t="s">
        <v>2210</v>
      </c>
      <c r="Q484" s="165"/>
      <c r="R484" s="164" t="s">
        <v>72</v>
      </c>
      <c r="S484" s="13" t="s">
        <v>161</v>
      </c>
      <c r="T484" s="13"/>
      <c r="U484" s="13"/>
      <c r="V484" s="13">
        <v>24</v>
      </c>
      <c r="W484" s="13">
        <v>24</v>
      </c>
      <c r="X484" s="13">
        <v>24</v>
      </c>
      <c r="Y484" s="13">
        <v>0.42</v>
      </c>
      <c r="Z484" s="13">
        <v>0.1</v>
      </c>
      <c r="AA484" s="13" t="s">
        <v>505</v>
      </c>
      <c r="AB484" s="58"/>
      <c r="AC484" s="58">
        <v>43986</v>
      </c>
      <c r="AD484" s="58">
        <v>43996</v>
      </c>
      <c r="AE484" s="58">
        <v>43992</v>
      </c>
      <c r="AF484" s="58">
        <v>43992</v>
      </c>
      <c r="AG484" s="58" t="s">
        <v>75</v>
      </c>
      <c r="AH484" s="59" t="s">
        <v>72</v>
      </c>
      <c r="AI484" s="59" t="s">
        <v>72</v>
      </c>
      <c r="AJ484" s="59" t="s">
        <v>72</v>
      </c>
      <c r="AK484" s="58" t="s">
        <v>8</v>
      </c>
      <c r="AL484" s="14" t="s">
        <v>1891</v>
      </c>
      <c r="AM484" s="13"/>
      <c r="AN484" s="13"/>
    </row>
    <row r="485" spans="2:40" ht="15">
      <c r="B485" s="214">
        <v>386</v>
      </c>
      <c r="C485" s="13">
        <v>20200604</v>
      </c>
      <c r="D485" s="13" t="s">
        <v>24</v>
      </c>
      <c r="E485" s="13" t="s">
        <v>2303</v>
      </c>
      <c r="F485" s="39" t="s">
        <v>2304</v>
      </c>
      <c r="G485" s="14">
        <v>1498232</v>
      </c>
      <c r="H485" s="164" t="s">
        <v>72</v>
      </c>
      <c r="I485" s="13" t="s">
        <v>2312</v>
      </c>
      <c r="J485" s="164" t="s">
        <v>72</v>
      </c>
      <c r="K485" s="13" t="s">
        <v>73</v>
      </c>
      <c r="L485" s="13" t="s">
        <v>2305</v>
      </c>
      <c r="M485" s="13" t="s">
        <v>2306</v>
      </c>
      <c r="N485" s="13" t="s">
        <v>2307</v>
      </c>
      <c r="O485" s="14" t="s">
        <v>72</v>
      </c>
      <c r="P485" s="14" t="s">
        <v>2210</v>
      </c>
      <c r="Q485" s="165"/>
      <c r="R485" s="164" t="s">
        <v>72</v>
      </c>
      <c r="S485" s="13" t="s">
        <v>161</v>
      </c>
      <c r="T485" s="13"/>
      <c r="U485" s="13"/>
      <c r="V485" s="13">
        <v>23</v>
      </c>
      <c r="W485" s="13">
        <v>23</v>
      </c>
      <c r="X485" s="13">
        <v>23</v>
      </c>
      <c r="Y485" s="13">
        <v>0.4</v>
      </c>
      <c r="Z485" s="13">
        <v>0.1</v>
      </c>
      <c r="AA485" s="13" t="s">
        <v>505</v>
      </c>
      <c r="AB485" s="58"/>
      <c r="AC485" s="58">
        <v>43986</v>
      </c>
      <c r="AD485" s="58">
        <v>43996</v>
      </c>
      <c r="AE485" s="58">
        <v>43992</v>
      </c>
      <c r="AF485" s="58">
        <v>43992</v>
      </c>
      <c r="AG485" s="58" t="s">
        <v>75</v>
      </c>
      <c r="AH485" s="59" t="s">
        <v>72</v>
      </c>
      <c r="AI485" s="59" t="s">
        <v>72</v>
      </c>
      <c r="AJ485" s="59" t="s">
        <v>72</v>
      </c>
      <c r="AK485" s="58" t="s">
        <v>8</v>
      </c>
      <c r="AL485" s="14" t="s">
        <v>1891</v>
      </c>
      <c r="AM485" s="13"/>
      <c r="AN485" s="13"/>
    </row>
    <row r="486" spans="2:40" ht="15">
      <c r="B486" s="214">
        <v>387</v>
      </c>
      <c r="C486" s="13">
        <v>20200604</v>
      </c>
      <c r="D486" s="13" t="s">
        <v>24</v>
      </c>
      <c r="E486" s="13" t="s">
        <v>2303</v>
      </c>
      <c r="F486" s="39" t="s">
        <v>2313</v>
      </c>
      <c r="G486" s="14">
        <v>1498232</v>
      </c>
      <c r="H486" s="164" t="s">
        <v>72</v>
      </c>
      <c r="I486" s="13" t="s">
        <v>2314</v>
      </c>
      <c r="J486" s="164" t="s">
        <v>72</v>
      </c>
      <c r="K486" s="13" t="s">
        <v>73</v>
      </c>
      <c r="L486" s="13" t="s">
        <v>2305</v>
      </c>
      <c r="M486" s="13" t="s">
        <v>2306</v>
      </c>
      <c r="N486" s="13" t="s">
        <v>2307</v>
      </c>
      <c r="O486" s="14" t="s">
        <v>72</v>
      </c>
      <c r="P486" s="14" t="s">
        <v>2210</v>
      </c>
      <c r="Q486" s="165"/>
      <c r="R486" s="164" t="s">
        <v>72</v>
      </c>
      <c r="S486" s="13" t="s">
        <v>161</v>
      </c>
      <c r="T486" s="13"/>
      <c r="U486" s="13"/>
      <c r="V486" s="13">
        <v>20</v>
      </c>
      <c r="W486" s="13">
        <v>20</v>
      </c>
      <c r="X486" s="13">
        <v>20</v>
      </c>
      <c r="Y486" s="13">
        <v>0.35</v>
      </c>
      <c r="Z486" s="13">
        <v>0.2</v>
      </c>
      <c r="AA486" s="13" t="s">
        <v>505</v>
      </c>
      <c r="AB486" s="58"/>
      <c r="AC486" s="58">
        <v>43986</v>
      </c>
      <c r="AD486" s="58">
        <v>43996</v>
      </c>
      <c r="AE486" s="58">
        <v>43992</v>
      </c>
      <c r="AF486" s="58">
        <v>43992</v>
      </c>
      <c r="AG486" s="58" t="s">
        <v>75</v>
      </c>
      <c r="AH486" s="59">
        <v>1</v>
      </c>
      <c r="AI486" s="59">
        <v>1</v>
      </c>
      <c r="AJ486" s="59">
        <v>1</v>
      </c>
      <c r="AK486" s="58" t="s">
        <v>8</v>
      </c>
      <c r="AL486" s="13"/>
      <c r="AM486" s="13"/>
      <c r="AN486" s="13"/>
    </row>
    <row r="487" spans="2:40" ht="15">
      <c r="B487" s="214">
        <v>388</v>
      </c>
      <c r="C487" s="13">
        <v>20200604</v>
      </c>
      <c r="D487" s="13" t="s">
        <v>24</v>
      </c>
      <c r="E487" s="13" t="s">
        <v>2303</v>
      </c>
      <c r="F487" s="39" t="s">
        <v>2313</v>
      </c>
      <c r="G487" s="14">
        <v>1498232</v>
      </c>
      <c r="H487" s="164" t="s">
        <v>72</v>
      </c>
      <c r="I487" s="13" t="s">
        <v>2315</v>
      </c>
      <c r="J487" s="164" t="s">
        <v>72</v>
      </c>
      <c r="K487" s="13" t="s">
        <v>73</v>
      </c>
      <c r="L487" s="13" t="s">
        <v>2305</v>
      </c>
      <c r="M487" s="13" t="s">
        <v>2306</v>
      </c>
      <c r="N487" s="13" t="s">
        <v>2307</v>
      </c>
      <c r="O487" s="14" t="s">
        <v>72</v>
      </c>
      <c r="P487" s="14" t="s">
        <v>2210</v>
      </c>
      <c r="Q487" s="165"/>
      <c r="R487" s="164" t="s">
        <v>72</v>
      </c>
      <c r="S487" s="13" t="s">
        <v>161</v>
      </c>
      <c r="T487" s="13"/>
      <c r="U487" s="13"/>
      <c r="V487" s="13">
        <v>20</v>
      </c>
      <c r="W487" s="13">
        <v>20</v>
      </c>
      <c r="X487" s="13">
        <v>20</v>
      </c>
      <c r="Y487" s="13">
        <v>0.35</v>
      </c>
      <c r="Z487" s="13">
        <v>0.2</v>
      </c>
      <c r="AA487" s="13" t="s">
        <v>505</v>
      </c>
      <c r="AB487" s="58"/>
      <c r="AC487" s="58">
        <v>43986</v>
      </c>
      <c r="AD487" s="58">
        <v>43996</v>
      </c>
      <c r="AE487" s="58">
        <v>43992</v>
      </c>
      <c r="AF487" s="58">
        <v>43992</v>
      </c>
      <c r="AG487" s="58" t="s">
        <v>75</v>
      </c>
      <c r="AH487" s="59">
        <v>1</v>
      </c>
      <c r="AI487" s="59">
        <v>1</v>
      </c>
      <c r="AJ487" s="59">
        <v>1</v>
      </c>
      <c r="AK487" s="58" t="s">
        <v>8</v>
      </c>
      <c r="AL487" s="13"/>
      <c r="AM487" s="13"/>
      <c r="AN487" s="13"/>
    </row>
    <row r="488" spans="2:40" ht="15">
      <c r="B488" s="214">
        <v>389</v>
      </c>
      <c r="C488" s="13">
        <v>20200604</v>
      </c>
      <c r="D488" s="13" t="s">
        <v>311</v>
      </c>
      <c r="E488" s="13" t="s">
        <v>2316</v>
      </c>
      <c r="F488" s="14" t="s">
        <v>72</v>
      </c>
      <c r="G488" s="14">
        <v>1502055</v>
      </c>
      <c r="H488" s="164" t="s">
        <v>72</v>
      </c>
      <c r="I488" s="13" t="s">
        <v>2317</v>
      </c>
      <c r="J488" s="164" t="s">
        <v>72</v>
      </c>
      <c r="K488" s="13" t="s">
        <v>106</v>
      </c>
      <c r="L488" s="13" t="s">
        <v>8</v>
      </c>
      <c r="M488" s="13" t="s">
        <v>2318</v>
      </c>
      <c r="N488" s="13" t="s">
        <v>2319</v>
      </c>
      <c r="O488" s="14" t="s">
        <v>2177</v>
      </c>
      <c r="P488" s="14" t="s">
        <v>2178</v>
      </c>
      <c r="Q488" s="165"/>
      <c r="R488" s="164" t="s">
        <v>72</v>
      </c>
      <c r="S488" s="13" t="s">
        <v>117</v>
      </c>
      <c r="T488" s="13"/>
      <c r="U488" s="13"/>
      <c r="V488" s="13">
        <v>0</v>
      </c>
      <c r="W488" s="13">
        <v>0</v>
      </c>
      <c r="X488" s="13">
        <v>0</v>
      </c>
      <c r="Y488" s="13">
        <v>0</v>
      </c>
      <c r="Z488" s="13">
        <v>0.1</v>
      </c>
      <c r="AA488" s="13" t="s">
        <v>550</v>
      </c>
      <c r="AB488" s="58">
        <v>43992</v>
      </c>
      <c r="AC488" s="58">
        <v>43986</v>
      </c>
      <c r="AD488" s="58">
        <v>43992</v>
      </c>
      <c r="AE488" s="58">
        <v>43990</v>
      </c>
      <c r="AF488" s="58">
        <v>43990</v>
      </c>
      <c r="AG488" s="58" t="s">
        <v>75</v>
      </c>
      <c r="AH488" s="59">
        <v>1</v>
      </c>
      <c r="AI488" s="59">
        <v>1</v>
      </c>
      <c r="AJ488" s="59">
        <v>1</v>
      </c>
      <c r="AK488" s="58" t="s">
        <v>8</v>
      </c>
      <c r="AL488" s="13" t="s">
        <v>72</v>
      </c>
      <c r="AM488" s="13" t="s">
        <v>72</v>
      </c>
      <c r="AN488" s="53" t="s">
        <v>2320</v>
      </c>
    </row>
    <row r="489" spans="2:40" ht="15">
      <c r="B489" s="214">
        <v>390</v>
      </c>
      <c r="C489" s="13">
        <v>20200604</v>
      </c>
      <c r="D489" s="13" t="s">
        <v>311</v>
      </c>
      <c r="E489" s="13" t="s">
        <v>2316</v>
      </c>
      <c r="F489" s="14" t="s">
        <v>72</v>
      </c>
      <c r="G489" s="14">
        <v>1502055</v>
      </c>
      <c r="H489" s="164" t="s">
        <v>72</v>
      </c>
      <c r="I489" s="13" t="s">
        <v>2180</v>
      </c>
      <c r="J489" s="164" t="s">
        <v>72</v>
      </c>
      <c r="K489" s="13" t="s">
        <v>106</v>
      </c>
      <c r="L489" s="13" t="s">
        <v>8</v>
      </c>
      <c r="M489" s="13" t="s">
        <v>2318</v>
      </c>
      <c r="N489" s="13" t="s">
        <v>2319</v>
      </c>
      <c r="O489" s="14">
        <v>1.3</v>
      </c>
      <c r="P489" s="14" t="s">
        <v>2178</v>
      </c>
      <c r="Q489" s="165"/>
      <c r="R489" s="164" t="s">
        <v>72</v>
      </c>
      <c r="S489" s="13" t="s">
        <v>117</v>
      </c>
      <c r="T489" s="13"/>
      <c r="U489" s="13"/>
      <c r="V489" s="13">
        <v>0</v>
      </c>
      <c r="W489" s="13">
        <v>0</v>
      </c>
      <c r="X489" s="13">
        <v>0</v>
      </c>
      <c r="Y489" s="13">
        <v>0</v>
      </c>
      <c r="Z489" s="13">
        <v>0.1</v>
      </c>
      <c r="AA489" s="13" t="s">
        <v>550</v>
      </c>
      <c r="AB489" s="58">
        <v>43992</v>
      </c>
      <c r="AC489" s="58">
        <v>43986</v>
      </c>
      <c r="AD489" s="58">
        <v>43992</v>
      </c>
      <c r="AE489" s="58">
        <v>43990</v>
      </c>
      <c r="AF489" s="58">
        <v>43990</v>
      </c>
      <c r="AG489" s="58" t="s">
        <v>75</v>
      </c>
      <c r="AH489" s="59">
        <v>1</v>
      </c>
      <c r="AI489" s="59">
        <v>1</v>
      </c>
      <c r="AJ489" s="59">
        <v>1</v>
      </c>
      <c r="AK489" s="58" t="s">
        <v>8</v>
      </c>
      <c r="AL489" s="13" t="s">
        <v>72</v>
      </c>
      <c r="AM489" s="13" t="s">
        <v>72</v>
      </c>
      <c r="AN489" s="53" t="s">
        <v>2320</v>
      </c>
    </row>
    <row r="490" spans="2:40" ht="15">
      <c r="B490" s="216">
        <v>391</v>
      </c>
      <c r="C490" s="13">
        <v>20200605</v>
      </c>
      <c r="D490" s="13" t="s">
        <v>24</v>
      </c>
      <c r="E490" s="13" t="s">
        <v>2321</v>
      </c>
      <c r="F490" s="39" t="s">
        <v>2322</v>
      </c>
      <c r="G490" s="13">
        <v>1508787</v>
      </c>
      <c r="H490" s="164" t="s">
        <v>72</v>
      </c>
      <c r="I490" s="13" t="s">
        <v>1728</v>
      </c>
      <c r="J490" s="164" t="s">
        <v>72</v>
      </c>
      <c r="K490" s="13" t="s">
        <v>106</v>
      </c>
      <c r="L490" s="13" t="s">
        <v>8</v>
      </c>
      <c r="M490" s="13" t="s">
        <v>1744</v>
      </c>
      <c r="N490" s="13" t="s">
        <v>1745</v>
      </c>
      <c r="O490" s="14" t="s">
        <v>72</v>
      </c>
      <c r="P490" s="14" t="s">
        <v>1741</v>
      </c>
      <c r="Q490" s="165"/>
      <c r="R490" s="164" t="s">
        <v>72</v>
      </c>
      <c r="S490" s="13" t="s">
        <v>113</v>
      </c>
      <c r="T490" s="13"/>
      <c r="U490" s="13"/>
      <c r="V490" s="165">
        <v>31</v>
      </c>
      <c r="W490" s="53">
        <v>62</v>
      </c>
      <c r="X490" s="13">
        <v>62</v>
      </c>
      <c r="Y490" s="13">
        <v>1.1000000000000001</v>
      </c>
      <c r="Z490" s="13">
        <v>1.1000000000000001</v>
      </c>
      <c r="AA490" s="13" t="s">
        <v>505</v>
      </c>
      <c r="AB490" s="58"/>
      <c r="AC490" s="58">
        <v>43987</v>
      </c>
      <c r="AD490" s="202">
        <v>43993</v>
      </c>
      <c r="AE490" s="58">
        <v>43990</v>
      </c>
      <c r="AF490" s="58">
        <v>43990</v>
      </c>
      <c r="AG490" s="58" t="s">
        <v>79</v>
      </c>
      <c r="AH490" s="59">
        <v>1</v>
      </c>
      <c r="AI490" s="59">
        <v>1</v>
      </c>
      <c r="AJ490" s="59">
        <v>0.5</v>
      </c>
      <c r="AK490" s="58" t="s">
        <v>76</v>
      </c>
      <c r="AL490" s="13" t="s">
        <v>2323</v>
      </c>
      <c r="AM490" s="13"/>
      <c r="AN490" s="53" t="s">
        <v>2324</v>
      </c>
    </row>
    <row r="491" spans="2:40" ht="15">
      <c r="B491" s="216">
        <v>392</v>
      </c>
      <c r="C491" s="13">
        <v>20200605</v>
      </c>
      <c r="D491" s="13" t="s">
        <v>24</v>
      </c>
      <c r="E491" s="13" t="s">
        <v>2321</v>
      </c>
      <c r="F491" s="39" t="s">
        <v>2325</v>
      </c>
      <c r="G491" s="13">
        <v>1508787</v>
      </c>
      <c r="H491" s="164" t="s">
        <v>72</v>
      </c>
      <c r="I491" s="13" t="s">
        <v>1117</v>
      </c>
      <c r="J491" s="164" t="s">
        <v>72</v>
      </c>
      <c r="K491" s="13" t="s">
        <v>106</v>
      </c>
      <c r="L491" s="13" t="s">
        <v>8</v>
      </c>
      <c r="M491" s="13" t="s">
        <v>1744</v>
      </c>
      <c r="N491" s="13" t="s">
        <v>1745</v>
      </c>
      <c r="O491" s="14" t="s">
        <v>72</v>
      </c>
      <c r="P491" s="14" t="s">
        <v>1741</v>
      </c>
      <c r="Q491" s="165"/>
      <c r="R491" s="164" t="s">
        <v>72</v>
      </c>
      <c r="S491" s="13" t="s">
        <v>113</v>
      </c>
      <c r="T491" s="13"/>
      <c r="U491" s="13"/>
      <c r="V491" s="165">
        <v>181</v>
      </c>
      <c r="W491" s="53">
        <v>362</v>
      </c>
      <c r="X491" s="13">
        <v>362</v>
      </c>
      <c r="Y491" s="13">
        <v>6.43</v>
      </c>
      <c r="Z491" s="13">
        <v>6.43</v>
      </c>
      <c r="AA491" s="13" t="s">
        <v>505</v>
      </c>
      <c r="AB491" s="58"/>
      <c r="AC491" s="58">
        <v>43987</v>
      </c>
      <c r="AD491" s="202">
        <v>43993</v>
      </c>
      <c r="AE491" s="58">
        <v>43990</v>
      </c>
      <c r="AF491" s="58">
        <v>43990</v>
      </c>
      <c r="AG491" s="58" t="s">
        <v>75</v>
      </c>
      <c r="AH491" s="59">
        <v>1</v>
      </c>
      <c r="AI491" s="59">
        <v>1</v>
      </c>
      <c r="AJ491" s="59">
        <v>1</v>
      </c>
      <c r="AK491" s="58" t="s">
        <v>8</v>
      </c>
      <c r="AL491" s="13"/>
      <c r="AM491" s="13"/>
      <c r="AN491" s="53" t="s">
        <v>2326</v>
      </c>
    </row>
    <row r="492" spans="2:40" ht="15">
      <c r="B492" s="216">
        <v>393</v>
      </c>
      <c r="C492" s="13">
        <v>20200605</v>
      </c>
      <c r="D492" s="13" t="s">
        <v>24</v>
      </c>
      <c r="E492" s="13" t="s">
        <v>2321</v>
      </c>
      <c r="F492" s="39" t="s">
        <v>2327</v>
      </c>
      <c r="G492" s="13">
        <v>1508787</v>
      </c>
      <c r="H492" s="164" t="s">
        <v>72</v>
      </c>
      <c r="I492" s="13" t="s">
        <v>1680</v>
      </c>
      <c r="J492" s="164" t="s">
        <v>72</v>
      </c>
      <c r="K492" s="13" t="s">
        <v>106</v>
      </c>
      <c r="L492" s="13" t="s">
        <v>8</v>
      </c>
      <c r="M492" s="13" t="s">
        <v>1744</v>
      </c>
      <c r="N492" s="13" t="s">
        <v>1745</v>
      </c>
      <c r="O492" s="14" t="s">
        <v>72</v>
      </c>
      <c r="P492" s="14" t="s">
        <v>1741</v>
      </c>
      <c r="Q492" s="165"/>
      <c r="R492" s="164" t="s">
        <v>72</v>
      </c>
      <c r="S492" s="13" t="s">
        <v>161</v>
      </c>
      <c r="T492" s="13"/>
      <c r="U492" s="13"/>
      <c r="V492" s="165">
        <v>119</v>
      </c>
      <c r="W492" s="53">
        <v>238</v>
      </c>
      <c r="X492" s="13">
        <v>238</v>
      </c>
      <c r="Y492" s="13">
        <v>4.2300000000000004</v>
      </c>
      <c r="Z492" s="13">
        <v>4</v>
      </c>
      <c r="AA492" s="13" t="s">
        <v>505</v>
      </c>
      <c r="AB492" s="58"/>
      <c r="AC492" s="58">
        <v>43987</v>
      </c>
      <c r="AD492" s="202">
        <v>43993</v>
      </c>
      <c r="AE492" s="58">
        <v>43991</v>
      </c>
      <c r="AF492" s="58">
        <v>43991</v>
      </c>
      <c r="AG492" s="58" t="s">
        <v>75</v>
      </c>
      <c r="AH492" s="59">
        <v>1</v>
      </c>
      <c r="AI492" s="59">
        <v>1</v>
      </c>
      <c r="AJ492" s="59">
        <v>1</v>
      </c>
      <c r="AK492" s="58" t="s">
        <v>8</v>
      </c>
      <c r="AL492" s="13"/>
      <c r="AM492" s="13"/>
      <c r="AN492" s="53" t="s">
        <v>2326</v>
      </c>
    </row>
    <row r="493" spans="2:40" ht="15">
      <c r="B493" s="216">
        <v>394</v>
      </c>
      <c r="C493" s="13">
        <v>20200605</v>
      </c>
      <c r="D493" s="13" t="s">
        <v>24</v>
      </c>
      <c r="E493" s="13" t="s">
        <v>2321</v>
      </c>
      <c r="F493" s="39" t="s">
        <v>2328</v>
      </c>
      <c r="G493" s="13">
        <v>1508787</v>
      </c>
      <c r="H493" s="164" t="s">
        <v>72</v>
      </c>
      <c r="I493" s="13" t="s">
        <v>1734</v>
      </c>
      <c r="J493" s="164" t="s">
        <v>72</v>
      </c>
      <c r="K493" s="13" t="s">
        <v>106</v>
      </c>
      <c r="L493" s="13" t="s">
        <v>8</v>
      </c>
      <c r="M493" s="13" t="s">
        <v>1744</v>
      </c>
      <c r="N493" s="13" t="s">
        <v>1745</v>
      </c>
      <c r="O493" s="14" t="s">
        <v>72</v>
      </c>
      <c r="P493" s="14" t="s">
        <v>1741</v>
      </c>
      <c r="Q493" s="165"/>
      <c r="R493" s="164" t="s">
        <v>72</v>
      </c>
      <c r="S493" s="13" t="s">
        <v>161</v>
      </c>
      <c r="T493" s="13"/>
      <c r="U493" s="13"/>
      <c r="V493" s="165">
        <v>106</v>
      </c>
      <c r="W493" s="53">
        <v>212</v>
      </c>
      <c r="X493" s="13">
        <v>212</v>
      </c>
      <c r="Y493" s="13">
        <v>3.76</v>
      </c>
      <c r="Z493" s="13">
        <v>3</v>
      </c>
      <c r="AA493" s="13" t="s">
        <v>505</v>
      </c>
      <c r="AB493" s="58"/>
      <c r="AC493" s="58">
        <v>43987</v>
      </c>
      <c r="AD493" s="202">
        <v>43993</v>
      </c>
      <c r="AE493" s="58">
        <v>43990</v>
      </c>
      <c r="AF493" s="58">
        <v>43990</v>
      </c>
      <c r="AG493" s="58" t="s">
        <v>75</v>
      </c>
      <c r="AH493" s="59">
        <v>1</v>
      </c>
      <c r="AI493" s="59">
        <v>1</v>
      </c>
      <c r="AJ493" s="59">
        <v>1</v>
      </c>
      <c r="AK493" s="58" t="s">
        <v>8</v>
      </c>
      <c r="AL493" s="13"/>
      <c r="AM493" s="13"/>
      <c r="AN493" s="53" t="s">
        <v>2326</v>
      </c>
    </row>
    <row r="494" spans="2:40" ht="15">
      <c r="B494" s="216">
        <v>395</v>
      </c>
      <c r="C494" s="13">
        <v>20200605</v>
      </c>
      <c r="D494" s="13" t="s">
        <v>24</v>
      </c>
      <c r="E494" s="13" t="s">
        <v>2321</v>
      </c>
      <c r="F494" s="39" t="s">
        <v>2329</v>
      </c>
      <c r="G494" s="13">
        <v>1508787</v>
      </c>
      <c r="H494" s="164" t="s">
        <v>72</v>
      </c>
      <c r="I494" s="13" t="s">
        <v>50</v>
      </c>
      <c r="J494" s="164" t="s">
        <v>72</v>
      </c>
      <c r="K494" s="13" t="s">
        <v>106</v>
      </c>
      <c r="L494" s="13" t="s">
        <v>8</v>
      </c>
      <c r="M494" s="13" t="s">
        <v>1744</v>
      </c>
      <c r="N494" s="13" t="s">
        <v>1745</v>
      </c>
      <c r="O494" s="14" t="s">
        <v>72</v>
      </c>
      <c r="P494" s="14" t="s">
        <v>1741</v>
      </c>
      <c r="Q494" s="165"/>
      <c r="R494" s="164" t="s">
        <v>72</v>
      </c>
      <c r="S494" s="13" t="s">
        <v>161</v>
      </c>
      <c r="T494" s="13"/>
      <c r="U494" s="13"/>
      <c r="V494" s="165">
        <v>90</v>
      </c>
      <c r="W494" s="53">
        <v>180</v>
      </c>
      <c r="X494" s="13">
        <v>180</v>
      </c>
      <c r="Y494" s="13">
        <v>3.2</v>
      </c>
      <c r="Z494" s="13">
        <v>3</v>
      </c>
      <c r="AA494" s="13" t="s">
        <v>505</v>
      </c>
      <c r="AB494" s="58"/>
      <c r="AC494" s="58">
        <v>43987</v>
      </c>
      <c r="AD494" s="202">
        <v>43993</v>
      </c>
      <c r="AE494" s="58">
        <v>43990</v>
      </c>
      <c r="AF494" s="58">
        <v>43990</v>
      </c>
      <c r="AG494" s="58" t="s">
        <v>75</v>
      </c>
      <c r="AH494" s="59">
        <v>1</v>
      </c>
      <c r="AI494" s="59">
        <v>1</v>
      </c>
      <c r="AJ494" s="59">
        <v>1</v>
      </c>
      <c r="AK494" s="58" t="s">
        <v>8</v>
      </c>
      <c r="AL494" s="13"/>
      <c r="AM494" s="13"/>
      <c r="AN494" s="53" t="s">
        <v>2326</v>
      </c>
    </row>
    <row r="495" spans="2:40" ht="15">
      <c r="B495" s="216">
        <v>396</v>
      </c>
      <c r="C495" s="13">
        <v>20200605</v>
      </c>
      <c r="D495" s="13" t="s">
        <v>24</v>
      </c>
      <c r="E495" s="13" t="s">
        <v>2321</v>
      </c>
      <c r="F495" s="39" t="s">
        <v>2330</v>
      </c>
      <c r="G495" s="13">
        <v>1508787</v>
      </c>
      <c r="H495" s="164" t="s">
        <v>72</v>
      </c>
      <c r="I495" s="13" t="s">
        <v>1716</v>
      </c>
      <c r="J495" s="164" t="s">
        <v>72</v>
      </c>
      <c r="K495" s="13" t="s">
        <v>106</v>
      </c>
      <c r="L495" s="13" t="s">
        <v>8</v>
      </c>
      <c r="M495" s="13" t="s">
        <v>1744</v>
      </c>
      <c r="N495" s="13" t="s">
        <v>1745</v>
      </c>
      <c r="O495" s="14" t="s">
        <v>72</v>
      </c>
      <c r="P495" s="14" t="s">
        <v>1741</v>
      </c>
      <c r="Q495" s="165"/>
      <c r="R495" s="164" t="s">
        <v>72</v>
      </c>
      <c r="S495" s="13" t="s">
        <v>161</v>
      </c>
      <c r="T495" s="13"/>
      <c r="U495" s="13"/>
      <c r="V495" s="165">
        <v>30</v>
      </c>
      <c r="W495" s="53">
        <v>60</v>
      </c>
      <c r="X495" s="13">
        <v>60</v>
      </c>
      <c r="Y495" s="13">
        <v>1.06</v>
      </c>
      <c r="Z495" s="13">
        <v>1</v>
      </c>
      <c r="AA495" s="13" t="s">
        <v>505</v>
      </c>
      <c r="AB495" s="58"/>
      <c r="AC495" s="58">
        <v>43987</v>
      </c>
      <c r="AD495" s="202">
        <v>43993</v>
      </c>
      <c r="AE495" s="58">
        <v>43991</v>
      </c>
      <c r="AF495" s="58">
        <v>43991</v>
      </c>
      <c r="AG495" s="58" t="s">
        <v>75</v>
      </c>
      <c r="AH495" s="59">
        <v>1</v>
      </c>
      <c r="AI495" s="59">
        <v>1</v>
      </c>
      <c r="AJ495" s="59">
        <v>1</v>
      </c>
      <c r="AK495" s="58" t="s">
        <v>8</v>
      </c>
      <c r="AL495" s="13"/>
      <c r="AM495" s="13"/>
      <c r="AN495" s="53" t="s">
        <v>2326</v>
      </c>
    </row>
    <row r="496" spans="2:40" ht="15">
      <c r="B496" s="216">
        <v>397</v>
      </c>
      <c r="C496" s="13">
        <v>20200605</v>
      </c>
      <c r="D496" s="13" t="s">
        <v>24</v>
      </c>
      <c r="E496" s="13" t="s">
        <v>2321</v>
      </c>
      <c r="F496" s="39" t="s">
        <v>2331</v>
      </c>
      <c r="G496" s="13">
        <v>1508787</v>
      </c>
      <c r="H496" s="164" t="s">
        <v>72</v>
      </c>
      <c r="I496" s="13" t="s">
        <v>132</v>
      </c>
      <c r="J496" s="164" t="s">
        <v>72</v>
      </c>
      <c r="K496" s="13" t="s">
        <v>106</v>
      </c>
      <c r="L496" s="13" t="s">
        <v>8</v>
      </c>
      <c r="M496" s="13" t="s">
        <v>1744</v>
      </c>
      <c r="N496" s="13" t="s">
        <v>1745</v>
      </c>
      <c r="O496" s="14" t="s">
        <v>72</v>
      </c>
      <c r="P496" s="14" t="s">
        <v>1741</v>
      </c>
      <c r="Q496" s="165"/>
      <c r="R496" s="164" t="s">
        <v>72</v>
      </c>
      <c r="S496" s="13" t="s">
        <v>161</v>
      </c>
      <c r="T496" s="13"/>
      <c r="U496" s="13"/>
      <c r="V496" s="165">
        <v>51</v>
      </c>
      <c r="W496" s="53">
        <v>102</v>
      </c>
      <c r="X496" s="13">
        <v>102</v>
      </c>
      <c r="Y496" s="13">
        <v>1.81</v>
      </c>
      <c r="Z496" s="13">
        <v>1</v>
      </c>
      <c r="AA496" s="13" t="s">
        <v>505</v>
      </c>
      <c r="AB496" s="58"/>
      <c r="AC496" s="58">
        <v>43987</v>
      </c>
      <c r="AD496" s="202">
        <v>43993</v>
      </c>
      <c r="AE496" s="58">
        <v>43991</v>
      </c>
      <c r="AF496" s="58">
        <v>43991</v>
      </c>
      <c r="AG496" s="58" t="s">
        <v>75</v>
      </c>
      <c r="AH496" s="59">
        <v>1</v>
      </c>
      <c r="AI496" s="59">
        <v>1</v>
      </c>
      <c r="AJ496" s="59">
        <v>1</v>
      </c>
      <c r="AK496" s="58" t="s">
        <v>8</v>
      </c>
      <c r="AL496" s="13"/>
      <c r="AM496" s="13"/>
      <c r="AN496" s="53" t="s">
        <v>2326</v>
      </c>
    </row>
    <row r="497" spans="2:40" ht="15">
      <c r="B497" s="216">
        <v>398</v>
      </c>
      <c r="C497" s="13">
        <v>20200605</v>
      </c>
      <c r="D497" s="13" t="s">
        <v>24</v>
      </c>
      <c r="E497" s="13" t="s">
        <v>2321</v>
      </c>
      <c r="F497" s="39" t="s">
        <v>2332</v>
      </c>
      <c r="G497" s="13">
        <v>1508787</v>
      </c>
      <c r="H497" s="164" t="s">
        <v>72</v>
      </c>
      <c r="I497" s="13" t="s">
        <v>135</v>
      </c>
      <c r="J497" s="164" t="s">
        <v>72</v>
      </c>
      <c r="K497" s="13" t="s">
        <v>106</v>
      </c>
      <c r="L497" s="13" t="s">
        <v>8</v>
      </c>
      <c r="M497" s="13" t="s">
        <v>1744</v>
      </c>
      <c r="N497" s="13" t="s">
        <v>1745</v>
      </c>
      <c r="O497" s="14" t="s">
        <v>72</v>
      </c>
      <c r="P497" s="14" t="s">
        <v>1741</v>
      </c>
      <c r="Q497" s="165"/>
      <c r="R497" s="164" t="s">
        <v>72</v>
      </c>
      <c r="S497" s="13" t="s">
        <v>77</v>
      </c>
      <c r="T497" s="13"/>
      <c r="U497" s="13"/>
      <c r="V497" s="165">
        <v>109</v>
      </c>
      <c r="W497" s="53">
        <v>218</v>
      </c>
      <c r="X497" s="13">
        <v>218</v>
      </c>
      <c r="Y497" s="13">
        <v>3.87</v>
      </c>
      <c r="Z497" s="13">
        <v>0.5</v>
      </c>
      <c r="AA497" s="13" t="s">
        <v>505</v>
      </c>
      <c r="AB497" s="58"/>
      <c r="AC497" s="58">
        <v>43987</v>
      </c>
      <c r="AD497" s="202">
        <v>43993</v>
      </c>
      <c r="AE497" s="58">
        <v>43990</v>
      </c>
      <c r="AF497" s="58">
        <v>43990</v>
      </c>
      <c r="AG497" s="58" t="s">
        <v>75</v>
      </c>
      <c r="AH497" s="59">
        <v>1</v>
      </c>
      <c r="AI497" s="59">
        <v>1</v>
      </c>
      <c r="AJ497" s="59">
        <v>1</v>
      </c>
      <c r="AK497" s="58" t="s">
        <v>8</v>
      </c>
      <c r="AL497" s="14" t="s">
        <v>72</v>
      </c>
      <c r="AM497" s="14" t="s">
        <v>72</v>
      </c>
      <c r="AN497" s="53" t="s">
        <v>2326</v>
      </c>
    </row>
    <row r="498" spans="2:40" ht="15">
      <c r="B498" s="216">
        <v>399</v>
      </c>
      <c r="C498" s="13">
        <v>20200605</v>
      </c>
      <c r="D498" s="13" t="s">
        <v>24</v>
      </c>
      <c r="E498" s="13" t="s">
        <v>2321</v>
      </c>
      <c r="F498" s="39" t="s">
        <v>2333</v>
      </c>
      <c r="G498" s="13">
        <v>1508787</v>
      </c>
      <c r="H498" s="164" t="s">
        <v>72</v>
      </c>
      <c r="I498" s="13" t="s">
        <v>1525</v>
      </c>
      <c r="J498" s="164" t="s">
        <v>72</v>
      </c>
      <c r="K498" s="13" t="s">
        <v>106</v>
      </c>
      <c r="L498" s="13" t="s">
        <v>8</v>
      </c>
      <c r="M498" s="13" t="s">
        <v>1744</v>
      </c>
      <c r="N498" s="13" t="s">
        <v>1745</v>
      </c>
      <c r="O498" s="14" t="s">
        <v>72</v>
      </c>
      <c r="P498" s="14" t="s">
        <v>1741</v>
      </c>
      <c r="Q498" s="165"/>
      <c r="R498" s="164" t="s">
        <v>72</v>
      </c>
      <c r="S498" s="13" t="s">
        <v>77</v>
      </c>
      <c r="T498" s="13"/>
      <c r="U498" s="13"/>
      <c r="V498" s="165">
        <v>6</v>
      </c>
      <c r="W498" s="53">
        <v>12</v>
      </c>
      <c r="X498" s="13">
        <v>12</v>
      </c>
      <c r="Y498" s="13">
        <v>0.21</v>
      </c>
      <c r="Z498" s="13">
        <v>0.1</v>
      </c>
      <c r="AA498" s="13" t="s">
        <v>505</v>
      </c>
      <c r="AB498" s="58"/>
      <c r="AC498" s="58">
        <v>43987</v>
      </c>
      <c r="AD498" s="202">
        <v>43993</v>
      </c>
      <c r="AE498" s="58">
        <v>43990</v>
      </c>
      <c r="AF498" s="58">
        <v>43990</v>
      </c>
      <c r="AG498" s="58" t="s">
        <v>75</v>
      </c>
      <c r="AH498" s="171" t="s">
        <v>72</v>
      </c>
      <c r="AI498" s="171" t="s">
        <v>72</v>
      </c>
      <c r="AJ498" s="171" t="s">
        <v>72</v>
      </c>
      <c r="AK498" s="58" t="s">
        <v>8</v>
      </c>
      <c r="AL498" s="14" t="s">
        <v>72</v>
      </c>
      <c r="AM498" s="14" t="s">
        <v>72</v>
      </c>
      <c r="AN498" s="53" t="s">
        <v>2326</v>
      </c>
    </row>
    <row r="499" spans="2:40" ht="15">
      <c r="B499" s="216">
        <v>400</v>
      </c>
      <c r="C499" s="13">
        <v>20200605</v>
      </c>
      <c r="D499" s="13" t="s">
        <v>24</v>
      </c>
      <c r="E499" s="13" t="s">
        <v>2321</v>
      </c>
      <c r="F499" s="39" t="s">
        <v>2334</v>
      </c>
      <c r="G499" s="13">
        <v>1508787</v>
      </c>
      <c r="H499" s="164" t="s">
        <v>72</v>
      </c>
      <c r="I499" s="13" t="s">
        <v>54</v>
      </c>
      <c r="J499" s="164" t="s">
        <v>72</v>
      </c>
      <c r="K499" s="13" t="s">
        <v>106</v>
      </c>
      <c r="L499" s="13" t="s">
        <v>8</v>
      </c>
      <c r="M499" s="13" t="s">
        <v>1744</v>
      </c>
      <c r="N499" s="13" t="s">
        <v>1745</v>
      </c>
      <c r="O499" s="14" t="s">
        <v>72</v>
      </c>
      <c r="P499" s="14" t="s">
        <v>1741</v>
      </c>
      <c r="Q499" s="165"/>
      <c r="R499" s="164" t="s">
        <v>72</v>
      </c>
      <c r="S499" s="13" t="s">
        <v>77</v>
      </c>
      <c r="T499" s="13"/>
      <c r="U499" s="13"/>
      <c r="V499" s="165">
        <v>177</v>
      </c>
      <c r="W499" s="53">
        <v>354</v>
      </c>
      <c r="X499" s="13">
        <v>354</v>
      </c>
      <c r="Y499" s="13">
        <v>6.29</v>
      </c>
      <c r="Z499" s="13">
        <v>2</v>
      </c>
      <c r="AA499" s="13" t="s">
        <v>505</v>
      </c>
      <c r="AB499" s="58"/>
      <c r="AC499" s="58">
        <v>43987</v>
      </c>
      <c r="AD499" s="202">
        <v>43993</v>
      </c>
      <c r="AE499" s="58">
        <v>43990</v>
      </c>
      <c r="AF499" s="58">
        <v>43990</v>
      </c>
      <c r="AG499" s="58" t="s">
        <v>75</v>
      </c>
      <c r="AH499" s="59">
        <v>1</v>
      </c>
      <c r="AI499" s="59">
        <v>1</v>
      </c>
      <c r="AJ499" s="59">
        <v>1</v>
      </c>
      <c r="AK499" s="58" t="s">
        <v>8</v>
      </c>
      <c r="AL499" s="14" t="s">
        <v>72</v>
      </c>
      <c r="AM499" s="14" t="s">
        <v>72</v>
      </c>
      <c r="AN499" s="53" t="s">
        <v>2326</v>
      </c>
    </row>
    <row r="500" spans="2:40" ht="15">
      <c r="B500" s="216">
        <v>401</v>
      </c>
      <c r="C500" s="13">
        <v>20200605</v>
      </c>
      <c r="D500" s="13" t="s">
        <v>24</v>
      </c>
      <c r="E500" s="13" t="s">
        <v>2321</v>
      </c>
      <c r="F500" s="39" t="s">
        <v>2335</v>
      </c>
      <c r="G500" s="13">
        <v>1508787</v>
      </c>
      <c r="H500" s="164" t="s">
        <v>72</v>
      </c>
      <c r="I500" s="13" t="s">
        <v>750</v>
      </c>
      <c r="J500" s="164" t="s">
        <v>72</v>
      </c>
      <c r="K500" s="13" t="s">
        <v>106</v>
      </c>
      <c r="L500" s="13" t="s">
        <v>8</v>
      </c>
      <c r="M500" s="13" t="s">
        <v>1744</v>
      </c>
      <c r="N500" s="13" t="s">
        <v>1745</v>
      </c>
      <c r="O500" s="14" t="s">
        <v>72</v>
      </c>
      <c r="P500" s="14" t="s">
        <v>1741</v>
      </c>
      <c r="Q500" s="165"/>
      <c r="R500" s="164" t="s">
        <v>72</v>
      </c>
      <c r="S500" s="13" t="s">
        <v>77</v>
      </c>
      <c r="T500" s="13"/>
      <c r="U500" s="13"/>
      <c r="V500" s="165">
        <v>199</v>
      </c>
      <c r="W500" s="53">
        <v>398</v>
      </c>
      <c r="X500" s="13">
        <v>398</v>
      </c>
      <c r="Y500" s="13">
        <v>7.07</v>
      </c>
      <c r="Z500" s="13">
        <v>2.5</v>
      </c>
      <c r="AA500" s="13" t="s">
        <v>505</v>
      </c>
      <c r="AB500" s="58"/>
      <c r="AC500" s="58">
        <v>43987</v>
      </c>
      <c r="AD500" s="202">
        <v>43993</v>
      </c>
      <c r="AE500" s="58">
        <v>43990</v>
      </c>
      <c r="AF500" s="58">
        <v>43990</v>
      </c>
      <c r="AG500" s="58" t="s">
        <v>75</v>
      </c>
      <c r="AH500" s="59">
        <v>1</v>
      </c>
      <c r="AI500" s="59">
        <v>1</v>
      </c>
      <c r="AJ500" s="59">
        <v>1</v>
      </c>
      <c r="AK500" s="58" t="s">
        <v>8</v>
      </c>
      <c r="AL500" s="14" t="s">
        <v>72</v>
      </c>
      <c r="AM500" s="14" t="s">
        <v>72</v>
      </c>
      <c r="AN500" s="53" t="s">
        <v>2326</v>
      </c>
    </row>
    <row r="501" spans="2:40" ht="15">
      <c r="B501" s="192">
        <v>402</v>
      </c>
      <c r="C501" s="13">
        <v>20200608</v>
      </c>
      <c r="D501" s="13" t="s">
        <v>24</v>
      </c>
      <c r="E501" s="13" t="s">
        <v>2336</v>
      </c>
      <c r="F501" s="39" t="s">
        <v>2337</v>
      </c>
      <c r="G501" s="13">
        <v>1508795</v>
      </c>
      <c r="H501" s="164" t="s">
        <v>72</v>
      </c>
      <c r="I501" s="13" t="s">
        <v>1272</v>
      </c>
      <c r="J501" s="164" t="s">
        <v>72</v>
      </c>
      <c r="K501" s="13" t="s">
        <v>106</v>
      </c>
      <c r="L501" s="13" t="s">
        <v>8</v>
      </c>
      <c r="M501" s="13" t="s">
        <v>2338</v>
      </c>
      <c r="N501" s="13" t="s">
        <v>2339</v>
      </c>
      <c r="O501" s="14" t="s">
        <v>72</v>
      </c>
      <c r="P501" s="14" t="s">
        <v>1741</v>
      </c>
      <c r="Q501" s="165"/>
      <c r="R501" s="164" t="s">
        <v>72</v>
      </c>
      <c r="S501" s="13" t="s">
        <v>109</v>
      </c>
      <c r="T501" s="13"/>
      <c r="U501" s="13"/>
      <c r="V501" s="165">
        <v>125</v>
      </c>
      <c r="W501" s="53">
        <v>250</v>
      </c>
      <c r="X501" s="13">
        <v>250</v>
      </c>
      <c r="Y501" s="13">
        <v>4.4400000000000004</v>
      </c>
      <c r="Z501" s="13">
        <v>2</v>
      </c>
      <c r="AA501" s="13" t="s">
        <v>505</v>
      </c>
      <c r="AB501" s="58"/>
      <c r="AC501" s="58">
        <v>43990</v>
      </c>
      <c r="AD501" s="58">
        <v>43997</v>
      </c>
      <c r="AE501" s="58">
        <v>43991</v>
      </c>
      <c r="AF501" s="58">
        <v>43991</v>
      </c>
      <c r="AG501" s="58" t="s">
        <v>75</v>
      </c>
      <c r="AH501" s="59">
        <v>1</v>
      </c>
      <c r="AI501" s="59">
        <v>1</v>
      </c>
      <c r="AJ501" s="59">
        <v>1</v>
      </c>
      <c r="AK501" s="58" t="s">
        <v>8</v>
      </c>
      <c r="AL501" s="13" t="s">
        <v>72</v>
      </c>
      <c r="AM501" s="13" t="s">
        <v>72</v>
      </c>
      <c r="AN501" s="53" t="s">
        <v>2326</v>
      </c>
    </row>
    <row r="502" spans="2:40" ht="15">
      <c r="B502" s="192">
        <v>403</v>
      </c>
      <c r="C502" s="13">
        <v>20200608</v>
      </c>
      <c r="D502" s="13" t="s">
        <v>24</v>
      </c>
      <c r="E502" s="13" t="s">
        <v>2336</v>
      </c>
      <c r="F502" s="39" t="s">
        <v>2340</v>
      </c>
      <c r="G502" s="13">
        <v>1508795</v>
      </c>
      <c r="H502" s="164" t="s">
        <v>72</v>
      </c>
      <c r="I502" s="13" t="s">
        <v>1272</v>
      </c>
      <c r="J502" s="164"/>
      <c r="K502" s="13" t="s">
        <v>106</v>
      </c>
      <c r="L502" s="13" t="s">
        <v>8</v>
      </c>
      <c r="M502" s="13" t="s">
        <v>2338</v>
      </c>
      <c r="N502" s="13" t="s">
        <v>2339</v>
      </c>
      <c r="O502" s="14" t="s">
        <v>72</v>
      </c>
      <c r="P502" s="14" t="s">
        <v>1741</v>
      </c>
      <c r="Q502" s="165"/>
      <c r="R502" s="164" t="s">
        <v>72</v>
      </c>
      <c r="S502" s="13" t="s">
        <v>109</v>
      </c>
      <c r="T502" s="13"/>
      <c r="U502" s="13"/>
      <c r="V502" s="165">
        <v>125</v>
      </c>
      <c r="W502" s="53">
        <v>250</v>
      </c>
      <c r="X502" s="13">
        <v>250</v>
      </c>
      <c r="Y502" s="13">
        <v>4.4400000000000004</v>
      </c>
      <c r="Z502" s="13">
        <v>1</v>
      </c>
      <c r="AA502" s="13" t="s">
        <v>505</v>
      </c>
      <c r="AB502" s="58"/>
      <c r="AC502" s="58">
        <v>43990</v>
      </c>
      <c r="AD502" s="58">
        <v>43997</v>
      </c>
      <c r="AE502" s="58">
        <v>43991</v>
      </c>
      <c r="AF502" s="58">
        <v>43991</v>
      </c>
      <c r="AG502" s="58" t="s">
        <v>75</v>
      </c>
      <c r="AH502" s="59">
        <v>1</v>
      </c>
      <c r="AI502" s="59">
        <v>1</v>
      </c>
      <c r="AJ502" s="59">
        <v>1</v>
      </c>
      <c r="AK502" s="58" t="s">
        <v>8</v>
      </c>
      <c r="AL502" s="13" t="s">
        <v>72</v>
      </c>
      <c r="AM502" s="13" t="s">
        <v>72</v>
      </c>
      <c r="AN502" s="53" t="s">
        <v>2326</v>
      </c>
    </row>
    <row r="503" spans="2:40" ht="15">
      <c r="B503" s="192">
        <v>407</v>
      </c>
      <c r="C503" s="13">
        <v>20200608</v>
      </c>
      <c r="D503" s="13" t="s">
        <v>24</v>
      </c>
      <c r="E503" s="13" t="s">
        <v>2341</v>
      </c>
      <c r="F503" s="39" t="s">
        <v>1733</v>
      </c>
      <c r="G503" s="13">
        <v>1508791</v>
      </c>
      <c r="H503" s="164" t="s">
        <v>72</v>
      </c>
      <c r="I503" s="13" t="s">
        <v>1734</v>
      </c>
      <c r="J503" s="164"/>
      <c r="K503" s="13" t="s">
        <v>106</v>
      </c>
      <c r="L503" s="13" t="s">
        <v>8</v>
      </c>
      <c r="M503" s="13" t="s">
        <v>2318</v>
      </c>
      <c r="N503" s="13" t="s">
        <v>618</v>
      </c>
      <c r="O503" s="14" t="s">
        <v>72</v>
      </c>
      <c r="P503" s="14" t="s">
        <v>1741</v>
      </c>
      <c r="Q503" s="165"/>
      <c r="R503" s="164" t="s">
        <v>72</v>
      </c>
      <c r="S503" s="13" t="s">
        <v>109</v>
      </c>
      <c r="T503" s="13"/>
      <c r="U503" s="13"/>
      <c r="V503" s="165">
        <v>107</v>
      </c>
      <c r="W503" s="53">
        <v>214</v>
      </c>
      <c r="X503" s="13">
        <v>214</v>
      </c>
      <c r="Y503" s="13">
        <v>3.8</v>
      </c>
      <c r="Z503" s="13">
        <v>2</v>
      </c>
      <c r="AA503" s="13" t="s">
        <v>505</v>
      </c>
      <c r="AB503" s="58"/>
      <c r="AC503" s="58">
        <v>43990</v>
      </c>
      <c r="AD503" s="58">
        <v>43997</v>
      </c>
      <c r="AE503" s="58">
        <v>43992</v>
      </c>
      <c r="AF503" s="58">
        <v>43992</v>
      </c>
      <c r="AG503" s="58" t="s">
        <v>75</v>
      </c>
      <c r="AH503" s="59">
        <v>1</v>
      </c>
      <c r="AI503" s="59">
        <v>1</v>
      </c>
      <c r="AJ503" s="59">
        <v>1</v>
      </c>
      <c r="AK503" s="58" t="s">
        <v>8</v>
      </c>
      <c r="AL503" s="13" t="s">
        <v>72</v>
      </c>
      <c r="AM503" s="13" t="s">
        <v>72</v>
      </c>
      <c r="AN503" s="53" t="s">
        <v>2326</v>
      </c>
    </row>
    <row r="504" spans="2:40" ht="15">
      <c r="B504" s="192">
        <v>408</v>
      </c>
      <c r="C504" s="13">
        <v>20200608</v>
      </c>
      <c r="D504" s="13" t="s">
        <v>24</v>
      </c>
      <c r="E504" s="13" t="s">
        <v>2341</v>
      </c>
      <c r="F504" s="39" t="s">
        <v>1737</v>
      </c>
      <c r="G504" s="13">
        <v>1508791</v>
      </c>
      <c r="H504" s="164" t="s">
        <v>72</v>
      </c>
      <c r="I504" s="13" t="s">
        <v>50</v>
      </c>
      <c r="J504" s="164"/>
      <c r="K504" s="13" t="s">
        <v>106</v>
      </c>
      <c r="L504" s="13" t="s">
        <v>8</v>
      </c>
      <c r="M504" s="13" t="s">
        <v>2318</v>
      </c>
      <c r="N504" s="13" t="s">
        <v>618</v>
      </c>
      <c r="O504" s="14" t="s">
        <v>72</v>
      </c>
      <c r="P504" s="14" t="s">
        <v>1741</v>
      </c>
      <c r="Q504" s="165"/>
      <c r="R504" s="164" t="s">
        <v>72</v>
      </c>
      <c r="S504" s="13" t="s">
        <v>109</v>
      </c>
      <c r="T504" s="13"/>
      <c r="U504" s="13"/>
      <c r="V504" s="165">
        <v>90</v>
      </c>
      <c r="W504" s="53">
        <v>180</v>
      </c>
      <c r="X504" s="13">
        <v>180</v>
      </c>
      <c r="Y504" s="13">
        <v>3.2</v>
      </c>
      <c r="Z504" s="13">
        <v>1</v>
      </c>
      <c r="AA504" s="13" t="s">
        <v>505</v>
      </c>
      <c r="AB504" s="58"/>
      <c r="AC504" s="58">
        <v>43990</v>
      </c>
      <c r="AD504" s="58">
        <v>43997</v>
      </c>
      <c r="AE504" s="58">
        <v>43992</v>
      </c>
      <c r="AF504" s="58">
        <v>43992</v>
      </c>
      <c r="AG504" s="58" t="s">
        <v>75</v>
      </c>
      <c r="AH504" s="59">
        <v>1</v>
      </c>
      <c r="AI504" s="59">
        <v>1</v>
      </c>
      <c r="AJ504" s="59">
        <v>1</v>
      </c>
      <c r="AK504" s="58" t="s">
        <v>8</v>
      </c>
      <c r="AL504" s="13" t="s">
        <v>72</v>
      </c>
      <c r="AM504" s="13" t="s">
        <v>72</v>
      </c>
      <c r="AN504" s="53" t="s">
        <v>2326</v>
      </c>
    </row>
    <row r="505" spans="2:40" ht="15">
      <c r="B505" s="192">
        <v>409</v>
      </c>
      <c r="C505" s="13">
        <v>20200608</v>
      </c>
      <c r="D505" s="13" t="s">
        <v>24</v>
      </c>
      <c r="E505" s="13" t="s">
        <v>2341</v>
      </c>
      <c r="F505" s="39" t="s">
        <v>1715</v>
      </c>
      <c r="G505" s="13">
        <v>1508791</v>
      </c>
      <c r="H505" s="164" t="s">
        <v>72</v>
      </c>
      <c r="I505" s="13" t="s">
        <v>1716</v>
      </c>
      <c r="J505" s="164"/>
      <c r="K505" s="13" t="s">
        <v>106</v>
      </c>
      <c r="L505" s="13" t="s">
        <v>8</v>
      </c>
      <c r="M505" s="13" t="s">
        <v>2318</v>
      </c>
      <c r="N505" s="13" t="s">
        <v>618</v>
      </c>
      <c r="O505" s="14" t="s">
        <v>72</v>
      </c>
      <c r="P505" s="14" t="s">
        <v>1741</v>
      </c>
      <c r="Q505" s="165"/>
      <c r="R505" s="164" t="s">
        <v>72</v>
      </c>
      <c r="S505" s="13" t="s">
        <v>77</v>
      </c>
      <c r="T505" s="13"/>
      <c r="U505" s="13"/>
      <c r="V505" s="165">
        <v>31</v>
      </c>
      <c r="W505" s="53">
        <v>62</v>
      </c>
      <c r="X505" s="13">
        <v>62</v>
      </c>
      <c r="Y505" s="13">
        <v>1.1000000000000001</v>
      </c>
      <c r="Z505" s="13">
        <v>0.5</v>
      </c>
      <c r="AA505" s="13" t="s">
        <v>505</v>
      </c>
      <c r="AB505" s="58"/>
      <c r="AC505" s="58">
        <v>43990</v>
      </c>
      <c r="AD505" s="58">
        <v>43997</v>
      </c>
      <c r="AE505" s="58">
        <v>43991</v>
      </c>
      <c r="AF505" s="58">
        <v>43991</v>
      </c>
      <c r="AG505" s="58" t="s">
        <v>75</v>
      </c>
      <c r="AH505" s="59">
        <v>1</v>
      </c>
      <c r="AI505" s="59">
        <v>1</v>
      </c>
      <c r="AJ505" s="59">
        <v>1</v>
      </c>
      <c r="AK505" s="58" t="s">
        <v>8</v>
      </c>
      <c r="AL505" s="14" t="s">
        <v>72</v>
      </c>
      <c r="AM505" s="14" t="s">
        <v>72</v>
      </c>
      <c r="AN505" s="53" t="s">
        <v>2326</v>
      </c>
    </row>
    <row r="506" spans="2:40" ht="15">
      <c r="B506" s="192">
        <v>410</v>
      </c>
      <c r="C506" s="13">
        <v>20200608</v>
      </c>
      <c r="D506" s="13" t="s">
        <v>24</v>
      </c>
      <c r="E506" s="13" t="s">
        <v>2341</v>
      </c>
      <c r="F506" s="39" t="s">
        <v>2342</v>
      </c>
      <c r="G506" s="13">
        <v>1508791</v>
      </c>
      <c r="H506" s="164" t="s">
        <v>72</v>
      </c>
      <c r="I506" s="13" t="s">
        <v>132</v>
      </c>
      <c r="J506" s="164"/>
      <c r="K506" s="13" t="s">
        <v>106</v>
      </c>
      <c r="L506" s="13" t="s">
        <v>8</v>
      </c>
      <c r="M506" s="13" t="s">
        <v>2318</v>
      </c>
      <c r="N506" s="13" t="s">
        <v>618</v>
      </c>
      <c r="O506" s="14" t="s">
        <v>72</v>
      </c>
      <c r="P506" s="14" t="s">
        <v>1741</v>
      </c>
      <c r="Q506" s="165"/>
      <c r="R506" s="164" t="s">
        <v>72</v>
      </c>
      <c r="S506" s="13" t="s">
        <v>77</v>
      </c>
      <c r="T506" s="13"/>
      <c r="U506" s="13"/>
      <c r="V506" s="165">
        <v>51</v>
      </c>
      <c r="W506" s="53">
        <v>102</v>
      </c>
      <c r="X506" s="13">
        <v>102</v>
      </c>
      <c r="Y506" s="13">
        <v>1.81</v>
      </c>
      <c r="Z506" s="13">
        <v>1</v>
      </c>
      <c r="AA506" s="13" t="s">
        <v>505</v>
      </c>
      <c r="AB506" s="58"/>
      <c r="AC506" s="58">
        <v>43990</v>
      </c>
      <c r="AD506" s="58">
        <v>43997</v>
      </c>
      <c r="AE506" s="58">
        <v>43991</v>
      </c>
      <c r="AF506" s="58">
        <v>43991</v>
      </c>
      <c r="AG506" s="58" t="s">
        <v>75</v>
      </c>
      <c r="AH506" s="59">
        <v>1</v>
      </c>
      <c r="AI506" s="59">
        <v>1</v>
      </c>
      <c r="AJ506" s="59">
        <v>1</v>
      </c>
      <c r="AK506" s="58" t="s">
        <v>8</v>
      </c>
      <c r="AL506" s="14" t="s">
        <v>72</v>
      </c>
      <c r="AM506" s="14" t="s">
        <v>72</v>
      </c>
      <c r="AN506" s="53" t="s">
        <v>2326</v>
      </c>
    </row>
    <row r="507" spans="2:40" ht="134.25">
      <c r="B507" s="192">
        <v>411</v>
      </c>
      <c r="C507" s="13">
        <v>20200608</v>
      </c>
      <c r="D507" s="13" t="s">
        <v>24</v>
      </c>
      <c r="E507" s="13" t="s">
        <v>2341</v>
      </c>
      <c r="F507" s="39" t="s">
        <v>2343</v>
      </c>
      <c r="G507" s="13">
        <v>1508791</v>
      </c>
      <c r="H507" s="164" t="s">
        <v>72</v>
      </c>
      <c r="I507" s="13" t="s">
        <v>135</v>
      </c>
      <c r="J507" s="164"/>
      <c r="K507" s="13" t="s">
        <v>106</v>
      </c>
      <c r="L507" s="13" t="s">
        <v>8</v>
      </c>
      <c r="M507" s="13" t="s">
        <v>2318</v>
      </c>
      <c r="N507" s="13" t="s">
        <v>618</v>
      </c>
      <c r="O507" s="14" t="s">
        <v>72</v>
      </c>
      <c r="P507" s="14" t="s">
        <v>1741</v>
      </c>
      <c r="Q507" s="165"/>
      <c r="R507" s="164" t="s">
        <v>72</v>
      </c>
      <c r="S507" s="13" t="s">
        <v>161</v>
      </c>
      <c r="T507" s="13"/>
      <c r="U507" s="13"/>
      <c r="V507" s="165">
        <v>67</v>
      </c>
      <c r="W507" s="53">
        <v>268</v>
      </c>
      <c r="X507" s="13">
        <v>268</v>
      </c>
      <c r="Y507" s="13">
        <v>4.76</v>
      </c>
      <c r="Z507" s="13">
        <v>4</v>
      </c>
      <c r="AA507" s="13" t="s">
        <v>505</v>
      </c>
      <c r="AB507" s="58"/>
      <c r="AC507" s="58">
        <v>43990</v>
      </c>
      <c r="AD507" s="58">
        <v>43997</v>
      </c>
      <c r="AE507" s="58">
        <v>43991</v>
      </c>
      <c r="AF507" s="58">
        <v>43991</v>
      </c>
      <c r="AG507" s="58" t="s">
        <v>75</v>
      </c>
      <c r="AH507" s="59">
        <v>1</v>
      </c>
      <c r="AI507" s="59">
        <v>1</v>
      </c>
      <c r="AJ507" s="59">
        <v>1</v>
      </c>
      <c r="AK507" s="58" t="s">
        <v>8</v>
      </c>
      <c r="AL507" s="14"/>
      <c r="AM507" s="13"/>
      <c r="AN507" s="217" t="s">
        <v>2344</v>
      </c>
    </row>
    <row r="508" spans="2:40" ht="15">
      <c r="B508" s="192">
        <v>412</v>
      </c>
      <c r="C508" s="13">
        <v>20200608</v>
      </c>
      <c r="D508" s="13" t="s">
        <v>24</v>
      </c>
      <c r="E508" s="13" t="s">
        <v>2341</v>
      </c>
      <c r="F508" s="39" t="s">
        <v>2345</v>
      </c>
      <c r="G508" s="13">
        <v>1508791</v>
      </c>
      <c r="H508" s="164" t="s">
        <v>72</v>
      </c>
      <c r="I508" s="13" t="s">
        <v>1525</v>
      </c>
      <c r="J508" s="164"/>
      <c r="K508" s="13" t="s">
        <v>106</v>
      </c>
      <c r="L508" s="13" t="s">
        <v>8</v>
      </c>
      <c r="M508" s="13" t="s">
        <v>2318</v>
      </c>
      <c r="N508" s="13" t="s">
        <v>618</v>
      </c>
      <c r="O508" s="14" t="s">
        <v>72</v>
      </c>
      <c r="P508" s="14" t="s">
        <v>1741</v>
      </c>
      <c r="Q508" s="165"/>
      <c r="R508" s="164" t="s">
        <v>72</v>
      </c>
      <c r="S508" s="13" t="s">
        <v>161</v>
      </c>
      <c r="T508" s="13"/>
      <c r="U508" s="13"/>
      <c r="V508" s="165">
        <v>6</v>
      </c>
      <c r="W508" s="53">
        <v>12</v>
      </c>
      <c r="X508" s="13">
        <v>12</v>
      </c>
      <c r="Y508" s="13">
        <v>0.21</v>
      </c>
      <c r="Z508" s="13">
        <v>0.1</v>
      </c>
      <c r="AA508" s="13" t="s">
        <v>505</v>
      </c>
      <c r="AB508" s="58"/>
      <c r="AC508" s="58">
        <v>43990</v>
      </c>
      <c r="AD508" s="58">
        <v>43997</v>
      </c>
      <c r="AE508" s="58">
        <v>43992</v>
      </c>
      <c r="AF508" s="58">
        <v>43992</v>
      </c>
      <c r="AG508" s="58" t="s">
        <v>75</v>
      </c>
      <c r="AH508" s="59" t="s">
        <v>72</v>
      </c>
      <c r="AI508" s="59" t="s">
        <v>72</v>
      </c>
      <c r="AJ508" s="59" t="s">
        <v>72</v>
      </c>
      <c r="AK508" s="58" t="s">
        <v>8</v>
      </c>
      <c r="AL508" s="14" t="s">
        <v>1891</v>
      </c>
      <c r="AM508" s="13"/>
      <c r="AN508" s="53" t="s">
        <v>2326</v>
      </c>
    </row>
    <row r="509" spans="2:40" ht="15">
      <c r="B509" s="192">
        <v>413</v>
      </c>
      <c r="C509" s="13">
        <v>20200608</v>
      </c>
      <c r="D509" s="13" t="s">
        <v>24</v>
      </c>
      <c r="E509" s="13" t="s">
        <v>2341</v>
      </c>
      <c r="F509" s="39" t="s">
        <v>1740</v>
      </c>
      <c r="G509" s="13">
        <v>1508791</v>
      </c>
      <c r="H509" s="164" t="s">
        <v>72</v>
      </c>
      <c r="I509" s="13" t="s">
        <v>54</v>
      </c>
      <c r="J509" s="164" t="s">
        <v>72</v>
      </c>
      <c r="K509" s="13" t="s">
        <v>106</v>
      </c>
      <c r="L509" s="13" t="s">
        <v>8</v>
      </c>
      <c r="M509" s="13" t="s">
        <v>2318</v>
      </c>
      <c r="N509" s="13" t="s">
        <v>618</v>
      </c>
      <c r="O509" s="14" t="s">
        <v>72</v>
      </c>
      <c r="P509" s="14" t="s">
        <v>1741</v>
      </c>
      <c r="Q509" s="165"/>
      <c r="R509" s="164" t="s">
        <v>72</v>
      </c>
      <c r="S509" s="13" t="s">
        <v>77</v>
      </c>
      <c r="T509" s="13"/>
      <c r="U509" s="13"/>
      <c r="V509" s="165">
        <v>178</v>
      </c>
      <c r="W509" s="53">
        <v>356</v>
      </c>
      <c r="X509" s="13">
        <v>356</v>
      </c>
      <c r="Y509" s="13">
        <v>6.32</v>
      </c>
      <c r="Z509" s="13">
        <v>2</v>
      </c>
      <c r="AA509" s="13" t="s">
        <v>505</v>
      </c>
      <c r="AB509" s="58"/>
      <c r="AC509" s="58">
        <v>43990</v>
      </c>
      <c r="AD509" s="58">
        <v>43997</v>
      </c>
      <c r="AE509" s="58">
        <v>43991</v>
      </c>
      <c r="AF509" s="58">
        <v>43991</v>
      </c>
      <c r="AG509" s="58" t="s">
        <v>75</v>
      </c>
      <c r="AH509" s="59">
        <v>1</v>
      </c>
      <c r="AI509" s="59">
        <v>1</v>
      </c>
      <c r="AJ509" s="59">
        <v>1</v>
      </c>
      <c r="AK509" s="58" t="s">
        <v>8</v>
      </c>
      <c r="AL509" s="14" t="s">
        <v>72</v>
      </c>
      <c r="AM509" s="14" t="s">
        <v>72</v>
      </c>
      <c r="AN509" s="53" t="s">
        <v>2326</v>
      </c>
    </row>
    <row r="510" spans="2:40" ht="15">
      <c r="B510" s="184">
        <v>415</v>
      </c>
      <c r="C510" s="13">
        <v>20200608</v>
      </c>
      <c r="D510" s="13" t="s">
        <v>24</v>
      </c>
      <c r="E510" s="13" t="s">
        <v>2346</v>
      </c>
      <c r="F510" s="39" t="s">
        <v>2347</v>
      </c>
      <c r="G510" s="13">
        <v>1509577</v>
      </c>
      <c r="H510" s="164" t="s">
        <v>72</v>
      </c>
      <c r="I510" s="13" t="s">
        <v>839</v>
      </c>
      <c r="J510" s="164" t="s">
        <v>72</v>
      </c>
      <c r="K510" s="13" t="s">
        <v>73</v>
      </c>
      <c r="L510" s="13" t="s">
        <v>1527</v>
      </c>
      <c r="M510" s="13" t="s">
        <v>1493</v>
      </c>
      <c r="N510" s="13" t="s">
        <v>887</v>
      </c>
      <c r="O510" s="14" t="s">
        <v>72</v>
      </c>
      <c r="P510" s="14" t="s">
        <v>2348</v>
      </c>
      <c r="Q510" s="165"/>
      <c r="R510" s="164" t="s">
        <v>72</v>
      </c>
      <c r="S510" s="13" t="s">
        <v>117</v>
      </c>
      <c r="T510" s="13"/>
      <c r="U510" s="13"/>
      <c r="V510" s="13">
        <v>134</v>
      </c>
      <c r="W510" s="13">
        <v>146</v>
      </c>
      <c r="X510" s="13">
        <v>146</v>
      </c>
      <c r="Y510" s="13">
        <v>2.59</v>
      </c>
      <c r="Z510" s="13">
        <v>1</v>
      </c>
      <c r="AA510" s="13" t="s">
        <v>505</v>
      </c>
      <c r="AB510" s="58"/>
      <c r="AC510" s="58">
        <v>43991</v>
      </c>
      <c r="AD510" s="202">
        <v>43993</v>
      </c>
      <c r="AE510" s="58">
        <v>43992</v>
      </c>
      <c r="AF510" s="58">
        <v>43992</v>
      </c>
      <c r="AG510" s="58" t="s">
        <v>75</v>
      </c>
      <c r="AH510" s="59">
        <v>1</v>
      </c>
      <c r="AI510" s="59">
        <v>1</v>
      </c>
      <c r="AJ510" s="59">
        <v>1</v>
      </c>
      <c r="AK510" s="58" t="s">
        <v>8</v>
      </c>
      <c r="AL510" s="13"/>
      <c r="AM510" s="13"/>
      <c r="AN510" s="13"/>
    </row>
    <row r="511" spans="2:40" ht="15">
      <c r="B511" s="184">
        <v>417</v>
      </c>
      <c r="C511" s="13">
        <v>20200608</v>
      </c>
      <c r="D511" s="13" t="s">
        <v>24</v>
      </c>
      <c r="E511" s="13" t="s">
        <v>2346</v>
      </c>
      <c r="F511" s="39" t="s">
        <v>2349</v>
      </c>
      <c r="G511" s="13">
        <v>1509577</v>
      </c>
      <c r="H511" s="164" t="s">
        <v>72</v>
      </c>
      <c r="I511" s="13" t="s">
        <v>558</v>
      </c>
      <c r="J511" s="164" t="s">
        <v>72</v>
      </c>
      <c r="K511" s="13" t="s">
        <v>73</v>
      </c>
      <c r="L511" s="13" t="s">
        <v>1527</v>
      </c>
      <c r="M511" s="13" t="s">
        <v>1493</v>
      </c>
      <c r="N511" s="13" t="s">
        <v>887</v>
      </c>
      <c r="O511" s="14" t="s">
        <v>72</v>
      </c>
      <c r="P511" s="14" t="s">
        <v>2348</v>
      </c>
      <c r="Q511" s="165"/>
      <c r="R511" s="164" t="s">
        <v>72</v>
      </c>
      <c r="S511" s="13" t="s">
        <v>117</v>
      </c>
      <c r="T511" s="13"/>
      <c r="U511" s="13"/>
      <c r="V511" s="13">
        <v>145</v>
      </c>
      <c r="W511" s="13">
        <v>236</v>
      </c>
      <c r="X511" s="13">
        <v>236</v>
      </c>
      <c r="Y511" s="13">
        <v>4.1900000000000004</v>
      </c>
      <c r="Z511" s="13">
        <v>3</v>
      </c>
      <c r="AA511" s="13" t="s">
        <v>505</v>
      </c>
      <c r="AB511" s="58"/>
      <c r="AC511" s="58">
        <v>43991</v>
      </c>
      <c r="AD511" s="202">
        <v>43993</v>
      </c>
      <c r="AE511" s="58">
        <v>43992</v>
      </c>
      <c r="AF511" s="58">
        <v>43992</v>
      </c>
      <c r="AG511" s="58" t="s">
        <v>75</v>
      </c>
      <c r="AH511" s="59">
        <v>1</v>
      </c>
      <c r="AI511" s="59">
        <v>1</v>
      </c>
      <c r="AJ511" s="59">
        <v>1</v>
      </c>
      <c r="AK511" s="58" t="s">
        <v>8</v>
      </c>
      <c r="AL511" s="13"/>
      <c r="AM511" s="13"/>
      <c r="AN511" s="13"/>
    </row>
    <row r="512" spans="2:40" ht="15">
      <c r="B512" s="184">
        <v>418</v>
      </c>
      <c r="C512" s="13">
        <v>20200608</v>
      </c>
      <c r="D512" s="13" t="s">
        <v>24</v>
      </c>
      <c r="E512" s="13" t="s">
        <v>2346</v>
      </c>
      <c r="F512" s="39" t="s">
        <v>2350</v>
      </c>
      <c r="G512" s="13">
        <v>1509577</v>
      </c>
      <c r="H512" s="164" t="s">
        <v>72</v>
      </c>
      <c r="I512" s="13" t="s">
        <v>564</v>
      </c>
      <c r="J512" s="164" t="s">
        <v>72</v>
      </c>
      <c r="K512" s="13" t="s">
        <v>73</v>
      </c>
      <c r="L512" s="13" t="s">
        <v>1527</v>
      </c>
      <c r="M512" s="13" t="s">
        <v>1493</v>
      </c>
      <c r="N512" s="13" t="s">
        <v>887</v>
      </c>
      <c r="O512" s="14" t="s">
        <v>72</v>
      </c>
      <c r="P512" s="14" t="s">
        <v>2348</v>
      </c>
      <c r="Q512" s="165"/>
      <c r="R512" s="164" t="s">
        <v>72</v>
      </c>
      <c r="S512" s="13" t="s">
        <v>109</v>
      </c>
      <c r="T512" s="13"/>
      <c r="U512" s="13"/>
      <c r="V512" s="13">
        <v>124</v>
      </c>
      <c r="W512" s="13">
        <v>124</v>
      </c>
      <c r="X512" s="13">
        <v>124</v>
      </c>
      <c r="Y512" s="13">
        <v>2.2000000000000002</v>
      </c>
      <c r="Z512" s="13">
        <v>2</v>
      </c>
      <c r="AA512" s="13" t="s">
        <v>505</v>
      </c>
      <c r="AB512" s="58"/>
      <c r="AC512" s="58">
        <v>43991</v>
      </c>
      <c r="AD512" s="202">
        <v>43993</v>
      </c>
      <c r="AE512" s="58">
        <v>43992</v>
      </c>
      <c r="AF512" s="58">
        <v>43992</v>
      </c>
      <c r="AG512" s="58" t="s">
        <v>79</v>
      </c>
      <c r="AH512" s="59">
        <v>1</v>
      </c>
      <c r="AI512" s="59">
        <v>1</v>
      </c>
      <c r="AJ512" s="59">
        <v>0.5</v>
      </c>
      <c r="AK512" s="58" t="s">
        <v>76</v>
      </c>
      <c r="AL512" s="13" t="s">
        <v>72</v>
      </c>
      <c r="AM512" s="13" t="s">
        <v>72</v>
      </c>
      <c r="AN512" s="13"/>
    </row>
    <row r="513" spans="2:40" ht="15">
      <c r="B513" s="184">
        <v>422</v>
      </c>
      <c r="C513" s="13">
        <v>20200608</v>
      </c>
      <c r="D513" s="13" t="s">
        <v>24</v>
      </c>
      <c r="E513" s="13" t="s">
        <v>2346</v>
      </c>
      <c r="F513" s="39" t="s">
        <v>2351</v>
      </c>
      <c r="G513" s="13">
        <v>1509577</v>
      </c>
      <c r="H513" s="164" t="s">
        <v>72</v>
      </c>
      <c r="I513" s="13" t="s">
        <v>664</v>
      </c>
      <c r="J513" s="164" t="s">
        <v>72</v>
      </c>
      <c r="K513" s="13" t="s">
        <v>73</v>
      </c>
      <c r="L513" s="13" t="s">
        <v>1527</v>
      </c>
      <c r="M513" s="13" t="s">
        <v>1493</v>
      </c>
      <c r="N513" s="13" t="s">
        <v>887</v>
      </c>
      <c r="O513" s="14" t="s">
        <v>72</v>
      </c>
      <c r="P513" s="14" t="s">
        <v>2348</v>
      </c>
      <c r="Q513" s="165"/>
      <c r="R513" s="164" t="s">
        <v>72</v>
      </c>
      <c r="S513" s="13" t="s">
        <v>77</v>
      </c>
      <c r="T513" s="13"/>
      <c r="U513" s="13"/>
      <c r="V513" s="13">
        <v>89</v>
      </c>
      <c r="W513" s="13">
        <v>89</v>
      </c>
      <c r="X513" s="13">
        <v>89</v>
      </c>
      <c r="Y513" s="13">
        <v>1.58</v>
      </c>
      <c r="Z513" s="13">
        <v>1</v>
      </c>
      <c r="AA513" s="13" t="s">
        <v>505</v>
      </c>
      <c r="AB513" s="58"/>
      <c r="AC513" s="58">
        <v>43991</v>
      </c>
      <c r="AD513" s="202">
        <v>43993</v>
      </c>
      <c r="AE513" s="58">
        <v>43991</v>
      </c>
      <c r="AF513" s="58">
        <v>43991</v>
      </c>
      <c r="AG513" s="58" t="s">
        <v>75</v>
      </c>
      <c r="AH513" s="59">
        <v>1</v>
      </c>
      <c r="AI513" s="59">
        <v>1</v>
      </c>
      <c r="AJ513" s="59">
        <v>1</v>
      </c>
      <c r="AK513" s="58" t="s">
        <v>8</v>
      </c>
      <c r="AL513" s="14" t="s">
        <v>72</v>
      </c>
      <c r="AM513" s="14" t="s">
        <v>72</v>
      </c>
      <c r="AN513" s="14" t="s">
        <v>72</v>
      </c>
    </row>
    <row r="514" spans="2:40" ht="15">
      <c r="B514" s="184">
        <v>423</v>
      </c>
      <c r="C514" s="13">
        <v>20200608</v>
      </c>
      <c r="D514" s="13" t="s">
        <v>24</v>
      </c>
      <c r="E514" s="13" t="s">
        <v>2346</v>
      </c>
      <c r="F514" s="39" t="s">
        <v>2352</v>
      </c>
      <c r="G514" s="13">
        <v>1509577</v>
      </c>
      <c r="H514" s="164" t="s">
        <v>72</v>
      </c>
      <c r="I514" s="13" t="s">
        <v>678</v>
      </c>
      <c r="J514" s="164" t="s">
        <v>72</v>
      </c>
      <c r="K514" s="13" t="s">
        <v>73</v>
      </c>
      <c r="L514" s="13" t="s">
        <v>1527</v>
      </c>
      <c r="M514" s="13" t="s">
        <v>1493</v>
      </c>
      <c r="N514" s="13" t="s">
        <v>887</v>
      </c>
      <c r="O514" s="14" t="s">
        <v>72</v>
      </c>
      <c r="P514" s="14" t="s">
        <v>2348</v>
      </c>
      <c r="Q514" s="165"/>
      <c r="R514" s="164" t="s">
        <v>72</v>
      </c>
      <c r="S514" s="13" t="s">
        <v>77</v>
      </c>
      <c r="T514" s="13"/>
      <c r="U514" s="13"/>
      <c r="V514" s="13">
        <v>39</v>
      </c>
      <c r="W514" s="13">
        <v>39</v>
      </c>
      <c r="X514" s="13">
        <v>39</v>
      </c>
      <c r="Y514" s="13">
        <v>0.69</v>
      </c>
      <c r="Z514" s="13">
        <v>0.5</v>
      </c>
      <c r="AA514" s="13" t="s">
        <v>505</v>
      </c>
      <c r="AB514" s="58"/>
      <c r="AC514" s="58">
        <v>43991</v>
      </c>
      <c r="AD514" s="202">
        <v>43993</v>
      </c>
      <c r="AE514" s="58">
        <v>43991</v>
      </c>
      <c r="AF514" s="58">
        <v>43991</v>
      </c>
      <c r="AG514" s="58" t="s">
        <v>79</v>
      </c>
      <c r="AH514" s="59">
        <v>0.68</v>
      </c>
      <c r="AI514" s="59">
        <v>1</v>
      </c>
      <c r="AJ514" s="59">
        <v>1</v>
      </c>
      <c r="AK514" s="58" t="s">
        <v>8</v>
      </c>
      <c r="AL514" s="14" t="s">
        <v>2353</v>
      </c>
      <c r="AM514" s="14" t="s">
        <v>72</v>
      </c>
      <c r="AN514" s="14" t="s">
        <v>2354</v>
      </c>
    </row>
    <row r="515" spans="2:40" ht="15">
      <c r="B515" s="184">
        <v>424</v>
      </c>
      <c r="C515" s="13">
        <v>20200608</v>
      </c>
      <c r="D515" s="13" t="s">
        <v>24</v>
      </c>
      <c r="E515" s="13" t="s">
        <v>2346</v>
      </c>
      <c r="F515" s="39" t="s">
        <v>2355</v>
      </c>
      <c r="G515" s="13">
        <v>1509577</v>
      </c>
      <c r="H515" s="164" t="s">
        <v>72</v>
      </c>
      <c r="I515" s="13" t="s">
        <v>636</v>
      </c>
      <c r="J515" s="164" t="s">
        <v>72</v>
      </c>
      <c r="K515" s="13" t="s">
        <v>73</v>
      </c>
      <c r="L515" s="13" t="s">
        <v>1527</v>
      </c>
      <c r="M515" s="13" t="s">
        <v>1493</v>
      </c>
      <c r="N515" s="13" t="s">
        <v>887</v>
      </c>
      <c r="O515" s="14" t="s">
        <v>72</v>
      </c>
      <c r="P515" s="14" t="s">
        <v>2348</v>
      </c>
      <c r="Q515" s="165"/>
      <c r="R515" s="164" t="s">
        <v>72</v>
      </c>
      <c r="S515" s="13" t="s">
        <v>77</v>
      </c>
      <c r="T515" s="13"/>
      <c r="U515" s="13"/>
      <c r="V515" s="13">
        <v>82</v>
      </c>
      <c r="W515" s="13">
        <v>82</v>
      </c>
      <c r="X515" s="13">
        <v>82</v>
      </c>
      <c r="Y515" s="13">
        <v>1.45</v>
      </c>
      <c r="Z515" s="13">
        <v>0.75</v>
      </c>
      <c r="AA515" s="13" t="s">
        <v>505</v>
      </c>
      <c r="AB515" s="58"/>
      <c r="AC515" s="58">
        <v>43991</v>
      </c>
      <c r="AD515" s="202">
        <v>43993</v>
      </c>
      <c r="AE515" s="58">
        <v>43991</v>
      </c>
      <c r="AF515" s="58">
        <v>43991</v>
      </c>
      <c r="AG515" s="58" t="s">
        <v>75</v>
      </c>
      <c r="AH515" s="59">
        <v>1</v>
      </c>
      <c r="AI515" s="59">
        <v>1</v>
      </c>
      <c r="AJ515" s="59">
        <v>1</v>
      </c>
      <c r="AK515" s="58" t="s">
        <v>8</v>
      </c>
      <c r="AL515" s="14" t="s">
        <v>72</v>
      </c>
      <c r="AM515" s="14" t="s">
        <v>72</v>
      </c>
      <c r="AN515" s="14" t="s">
        <v>72</v>
      </c>
    </row>
    <row r="516" spans="2:40" ht="15">
      <c r="B516" s="184">
        <v>425</v>
      </c>
      <c r="C516" s="13">
        <v>20200608</v>
      </c>
      <c r="D516" s="13" t="s">
        <v>24</v>
      </c>
      <c r="E516" s="13" t="s">
        <v>2346</v>
      </c>
      <c r="F516" s="39" t="s">
        <v>2356</v>
      </c>
      <c r="G516" s="13">
        <v>1509577</v>
      </c>
      <c r="H516" s="164" t="s">
        <v>72</v>
      </c>
      <c r="I516" s="13" t="s">
        <v>644</v>
      </c>
      <c r="J516" s="164" t="s">
        <v>72</v>
      </c>
      <c r="K516" s="13" t="s">
        <v>73</v>
      </c>
      <c r="L516" s="13" t="s">
        <v>1527</v>
      </c>
      <c r="M516" s="13" t="s">
        <v>1493</v>
      </c>
      <c r="N516" s="13" t="s">
        <v>887</v>
      </c>
      <c r="O516" s="14" t="s">
        <v>72</v>
      </c>
      <c r="P516" s="14" t="s">
        <v>2348</v>
      </c>
      <c r="Q516" s="165"/>
      <c r="R516" s="164" t="s">
        <v>72</v>
      </c>
      <c r="S516" s="13" t="s">
        <v>77</v>
      </c>
      <c r="T516" s="13"/>
      <c r="U516" s="13"/>
      <c r="V516" s="13">
        <v>54</v>
      </c>
      <c r="W516" s="13">
        <v>54</v>
      </c>
      <c r="X516" s="13">
        <v>54</v>
      </c>
      <c r="Y516" s="13">
        <v>0.96</v>
      </c>
      <c r="Z516" s="13">
        <v>1</v>
      </c>
      <c r="AA516" s="13" t="s">
        <v>505</v>
      </c>
      <c r="AB516" s="58"/>
      <c r="AC516" s="58">
        <v>43991</v>
      </c>
      <c r="AD516" s="202">
        <v>43993</v>
      </c>
      <c r="AE516" s="58">
        <v>43991</v>
      </c>
      <c r="AF516" s="58">
        <v>43991</v>
      </c>
      <c r="AG516" s="58" t="s">
        <v>75</v>
      </c>
      <c r="AH516" s="59">
        <v>1</v>
      </c>
      <c r="AI516" s="59">
        <v>1</v>
      </c>
      <c r="AJ516" s="59">
        <v>1</v>
      </c>
      <c r="AK516" s="58" t="s">
        <v>8</v>
      </c>
      <c r="AL516" s="14" t="s">
        <v>72</v>
      </c>
      <c r="AM516" s="14" t="s">
        <v>72</v>
      </c>
      <c r="AN516" s="14" t="s">
        <v>72</v>
      </c>
    </row>
    <row r="517" spans="2:40" ht="15">
      <c r="B517" s="184">
        <v>426</v>
      </c>
      <c r="C517" s="13">
        <v>20200608</v>
      </c>
      <c r="D517" s="13" t="s">
        <v>24</v>
      </c>
      <c r="E517" s="13" t="s">
        <v>2346</v>
      </c>
      <c r="F517" s="39" t="s">
        <v>2357</v>
      </c>
      <c r="G517" s="13">
        <v>1509577</v>
      </c>
      <c r="H517" s="164" t="s">
        <v>72</v>
      </c>
      <c r="I517" s="13" t="s">
        <v>579</v>
      </c>
      <c r="J517" s="164" t="s">
        <v>72</v>
      </c>
      <c r="K517" s="13" t="s">
        <v>73</v>
      </c>
      <c r="L517" s="13" t="s">
        <v>1527</v>
      </c>
      <c r="M517" s="13" t="s">
        <v>1493</v>
      </c>
      <c r="N517" s="13" t="s">
        <v>887</v>
      </c>
      <c r="O517" s="14" t="s">
        <v>72</v>
      </c>
      <c r="P517" s="14" t="s">
        <v>2348</v>
      </c>
      <c r="Q517" s="165"/>
      <c r="R517" s="164" t="s">
        <v>72</v>
      </c>
      <c r="S517" s="13" t="s">
        <v>77</v>
      </c>
      <c r="T517" s="13"/>
      <c r="U517" s="13"/>
      <c r="V517" s="13">
        <v>109</v>
      </c>
      <c r="W517" s="13">
        <v>109</v>
      </c>
      <c r="X517" s="13">
        <v>109</v>
      </c>
      <c r="Y517" s="13">
        <v>1.93</v>
      </c>
      <c r="Z517" s="13">
        <v>1</v>
      </c>
      <c r="AA517" s="13" t="s">
        <v>505</v>
      </c>
      <c r="AB517" s="58"/>
      <c r="AC517" s="58">
        <v>43991</v>
      </c>
      <c r="AD517" s="202">
        <v>43993</v>
      </c>
      <c r="AE517" s="58">
        <v>43991</v>
      </c>
      <c r="AF517" s="58">
        <v>43991</v>
      </c>
      <c r="AG517" s="58" t="s">
        <v>75</v>
      </c>
      <c r="AH517" s="59">
        <v>1</v>
      </c>
      <c r="AI517" s="59">
        <v>1</v>
      </c>
      <c r="AJ517" s="59">
        <v>1</v>
      </c>
      <c r="AK517" s="58" t="s">
        <v>8</v>
      </c>
      <c r="AL517" s="14" t="s">
        <v>72</v>
      </c>
      <c r="AM517" s="14" t="s">
        <v>72</v>
      </c>
      <c r="AN517" s="14" t="s">
        <v>72</v>
      </c>
    </row>
    <row r="518" spans="2:40" ht="15">
      <c r="B518" s="184">
        <v>430</v>
      </c>
      <c r="C518" s="13">
        <v>20200608</v>
      </c>
      <c r="D518" s="13" t="s">
        <v>24</v>
      </c>
      <c r="E518" s="13" t="s">
        <v>2346</v>
      </c>
      <c r="F518" s="39" t="s">
        <v>2358</v>
      </c>
      <c r="G518" s="13">
        <v>1509577</v>
      </c>
      <c r="H518" s="164" t="s">
        <v>72</v>
      </c>
      <c r="I518" s="13" t="s">
        <v>855</v>
      </c>
      <c r="J518" s="164" t="s">
        <v>72</v>
      </c>
      <c r="K518" s="13" t="s">
        <v>73</v>
      </c>
      <c r="L518" s="13" t="s">
        <v>1527</v>
      </c>
      <c r="M518" s="13" t="s">
        <v>1493</v>
      </c>
      <c r="N518" s="13" t="s">
        <v>887</v>
      </c>
      <c r="O518" s="14" t="s">
        <v>72</v>
      </c>
      <c r="P518" s="14" t="s">
        <v>2348</v>
      </c>
      <c r="Q518" s="165"/>
      <c r="R518" s="164" t="s">
        <v>72</v>
      </c>
      <c r="S518" s="13" t="s">
        <v>161</v>
      </c>
      <c r="T518" s="13"/>
      <c r="U518" s="13"/>
      <c r="V518" s="13">
        <v>146</v>
      </c>
      <c r="W518" s="13">
        <v>146</v>
      </c>
      <c r="X518" s="13">
        <v>146</v>
      </c>
      <c r="Y518" s="13">
        <v>2.59</v>
      </c>
      <c r="Z518" s="13">
        <v>1</v>
      </c>
      <c r="AA518" s="13" t="s">
        <v>505</v>
      </c>
      <c r="AB518" s="58"/>
      <c r="AC518" s="58">
        <v>43991</v>
      </c>
      <c r="AD518" s="202">
        <v>43993</v>
      </c>
      <c r="AE518" s="58">
        <v>43991</v>
      </c>
      <c r="AF518" s="58">
        <v>43991</v>
      </c>
      <c r="AG518" s="58" t="s">
        <v>75</v>
      </c>
      <c r="AH518" s="59" t="s">
        <v>72</v>
      </c>
      <c r="AI518" s="59" t="s">
        <v>72</v>
      </c>
      <c r="AJ518" s="59" t="s">
        <v>72</v>
      </c>
      <c r="AK518" s="58" t="s">
        <v>8</v>
      </c>
      <c r="AL518" s="14" t="s">
        <v>1891</v>
      </c>
      <c r="AM518" s="13"/>
      <c r="AN518" s="13"/>
    </row>
    <row r="519" spans="2:40" ht="15">
      <c r="B519" s="184">
        <v>431</v>
      </c>
      <c r="C519" s="13">
        <v>20200608</v>
      </c>
      <c r="D519" s="13" t="s">
        <v>24</v>
      </c>
      <c r="E519" s="13" t="s">
        <v>2346</v>
      </c>
      <c r="F519" s="39" t="s">
        <v>2359</v>
      </c>
      <c r="G519" s="13">
        <v>1509577</v>
      </c>
      <c r="H519" s="164" t="s">
        <v>72</v>
      </c>
      <c r="I519" s="13" t="s">
        <v>686</v>
      </c>
      <c r="J519" s="164" t="s">
        <v>72</v>
      </c>
      <c r="K519" s="13" t="s">
        <v>73</v>
      </c>
      <c r="L519" s="13" t="s">
        <v>1527</v>
      </c>
      <c r="M519" s="13" t="s">
        <v>1493</v>
      </c>
      <c r="N519" s="13" t="s">
        <v>887</v>
      </c>
      <c r="O519" s="14" t="s">
        <v>72</v>
      </c>
      <c r="P519" s="14" t="s">
        <v>2348</v>
      </c>
      <c r="Q519" s="165"/>
      <c r="R519" s="164" t="s">
        <v>72</v>
      </c>
      <c r="S519" s="13" t="s">
        <v>161</v>
      </c>
      <c r="T519" s="13"/>
      <c r="U519" s="13"/>
      <c r="V519" s="13">
        <v>96</v>
      </c>
      <c r="W519" s="53">
        <v>206</v>
      </c>
      <c r="X519" s="13">
        <v>206</v>
      </c>
      <c r="Y519" s="13">
        <v>3.66</v>
      </c>
      <c r="Z519" s="13">
        <v>3</v>
      </c>
      <c r="AA519" s="13" t="s">
        <v>505</v>
      </c>
      <c r="AB519" s="58"/>
      <c r="AC519" s="58">
        <v>43991</v>
      </c>
      <c r="AD519" s="202">
        <v>43993</v>
      </c>
      <c r="AE519" s="58">
        <v>43991</v>
      </c>
      <c r="AF519" s="58">
        <v>43991</v>
      </c>
      <c r="AG519" s="58" t="s">
        <v>79</v>
      </c>
      <c r="AH519" s="59">
        <v>0.67</v>
      </c>
      <c r="AI519" s="59">
        <v>0.72</v>
      </c>
      <c r="AJ519" s="59">
        <v>0.75</v>
      </c>
      <c r="AK519" s="58" t="s">
        <v>76</v>
      </c>
      <c r="AL519" s="13" t="s">
        <v>2360</v>
      </c>
      <c r="AM519" s="13"/>
      <c r="AN519" s="13"/>
    </row>
    <row r="520" spans="2:40" ht="15">
      <c r="B520" s="184">
        <v>436</v>
      </c>
      <c r="C520" s="13">
        <v>20200608</v>
      </c>
      <c r="D520" s="13" t="s">
        <v>311</v>
      </c>
      <c r="E520" s="13" t="s">
        <v>2361</v>
      </c>
      <c r="F520" s="14" t="s">
        <v>72</v>
      </c>
      <c r="G520" s="13">
        <v>1511618</v>
      </c>
      <c r="H520" s="164" t="s">
        <v>72</v>
      </c>
      <c r="I520" s="13" t="s">
        <v>2362</v>
      </c>
      <c r="J520" s="164" t="s">
        <v>72</v>
      </c>
      <c r="K520" s="13" t="s">
        <v>73</v>
      </c>
      <c r="L520" s="13" t="s">
        <v>8</v>
      </c>
      <c r="M520" s="13" t="s">
        <v>2363</v>
      </c>
      <c r="N520" s="13">
        <v>1511618</v>
      </c>
      <c r="O520" s="14">
        <v>1.1200000000000001</v>
      </c>
      <c r="P520" s="14" t="s">
        <v>700</v>
      </c>
      <c r="Q520" s="165"/>
      <c r="R520" s="164" t="s">
        <v>72</v>
      </c>
      <c r="S520" s="13" t="s">
        <v>74</v>
      </c>
      <c r="T520" s="13"/>
      <c r="U520" s="13"/>
      <c r="V520" s="13">
        <v>150</v>
      </c>
      <c r="W520" s="13">
        <v>150</v>
      </c>
      <c r="X520" s="13">
        <v>150</v>
      </c>
      <c r="Y520" s="13">
        <v>9.23</v>
      </c>
      <c r="Z520" s="13">
        <v>5</v>
      </c>
      <c r="AA520" s="13" t="s">
        <v>505</v>
      </c>
      <c r="AB520" s="58"/>
      <c r="AC520" s="58">
        <v>43991</v>
      </c>
      <c r="AD520" s="202">
        <v>43993</v>
      </c>
      <c r="AE520" s="58">
        <v>43992</v>
      </c>
      <c r="AF520" s="58">
        <v>43992</v>
      </c>
      <c r="AG520" s="58" t="s">
        <v>75</v>
      </c>
      <c r="AH520" s="59">
        <v>1</v>
      </c>
      <c r="AI520" s="59">
        <v>1</v>
      </c>
      <c r="AJ520" s="59">
        <v>1</v>
      </c>
      <c r="AK520" s="58" t="s">
        <v>8</v>
      </c>
      <c r="AL520" s="13"/>
      <c r="AM520" s="13"/>
      <c r="AN520" s="13"/>
    </row>
  </sheetData>
  <conditionalFormatting sqref="AG48:AG119 AK48:AK119">
    <cfRule type="cellIs" dxfId="72" priority="35" operator="equal">
      <formula>"OK"</formula>
    </cfRule>
    <cfRule type="cellIs" dxfId="71" priority="36" operator="equal">
      <formula>"NG"</formula>
    </cfRule>
  </conditionalFormatting>
  <conditionalFormatting sqref="O48:P119">
    <cfRule type="cellIs" dxfId="70" priority="34" operator="equal">
      <formula>"PUT_VERSION"</formula>
    </cfRule>
  </conditionalFormatting>
  <conditionalFormatting sqref="K48:K119">
    <cfRule type="cellIs" dxfId="69" priority="32" operator="equal">
      <formula>"Manual"</formula>
    </cfRule>
    <cfRule type="cellIs" dxfId="68" priority="33" operator="equal">
      <formula>"Auto"</formula>
    </cfRule>
  </conditionalFormatting>
  <conditionalFormatting sqref="AK327:AK520 AK120:AK325 AG327:AG520 AG120:AG325">
    <cfRule type="cellIs" dxfId="67" priority="30" operator="equal">
      <formula>"OK"</formula>
    </cfRule>
    <cfRule type="cellIs" dxfId="66" priority="31" operator="equal">
      <formula>"NG"</formula>
    </cfRule>
  </conditionalFormatting>
  <conditionalFormatting sqref="O120:P361 O363:P363 O362 O365:P430 O364 O432:P520 O431">
    <cfRule type="cellIs" dxfId="65" priority="29" operator="equal">
      <formula>"PUT_VERSION"</formula>
    </cfRule>
  </conditionalFormatting>
  <conditionalFormatting sqref="K120:K520">
    <cfRule type="cellIs" dxfId="64" priority="27" operator="equal">
      <formula>"Manual"</formula>
    </cfRule>
    <cfRule type="cellIs" dxfId="63" priority="28" operator="equal">
      <formula>"Auto"</formula>
    </cfRule>
  </conditionalFormatting>
  <conditionalFormatting sqref="H4:H13 H19:H29">
    <cfRule type="cellIs" dxfId="61" priority="20" operator="equal">
      <formula>1</formula>
    </cfRule>
    <cfRule type="cellIs" dxfId="60" priority="21" operator="lessThan">
      <formula>1</formula>
    </cfRule>
  </conditionalFormatting>
  <conditionalFormatting sqref="D14">
    <cfRule type="expression" dxfId="59" priority="19">
      <formula>$D$14=SUM($D$4:$D$13)</formula>
    </cfRule>
  </conditionalFormatting>
  <conditionalFormatting sqref="E14">
    <cfRule type="expression" dxfId="58" priority="18">
      <formula>$E$14=SUM($E$4:$E$13)</formula>
    </cfRule>
  </conditionalFormatting>
  <conditionalFormatting sqref="F14">
    <cfRule type="expression" dxfId="57" priority="17">
      <formula>$F$14=SUM($F$4:$F$13)</formula>
    </cfRule>
  </conditionalFormatting>
  <conditionalFormatting sqref="D29">
    <cfRule type="expression" dxfId="56" priority="16">
      <formula>$D$29=SUM($D$19:$D$28)</formula>
    </cfRule>
  </conditionalFormatting>
  <conditionalFormatting sqref="E29">
    <cfRule type="expression" dxfId="55" priority="15">
      <formula>$E$29=SUM($E$19:$E$28)</formula>
    </cfRule>
  </conditionalFormatting>
  <conditionalFormatting sqref="H34">
    <cfRule type="cellIs" dxfId="54" priority="5" operator="equal">
      <formula>1</formula>
    </cfRule>
    <cfRule type="cellIs" dxfId="53" priority="6" operator="lessThan">
      <formula>1</formula>
    </cfRule>
  </conditionalFormatting>
  <conditionalFormatting sqref="H35:H43">
    <cfRule type="cellIs" dxfId="52" priority="3" operator="equal">
      <formula>1</formula>
    </cfRule>
    <cfRule type="cellIs" dxfId="51" priority="4" operator="lessThan">
      <formula>1</formula>
    </cfRule>
  </conditionalFormatting>
  <conditionalFormatting sqref="H44">
    <cfRule type="cellIs" dxfId="50" priority="1" operator="equal">
      <formula>1</formula>
    </cfRule>
    <cfRule type="cellIs" dxfId="49" priority="2" operator="lessThan">
      <formula>1</formula>
    </cfRule>
  </conditionalFormatting>
  <conditionalFormatting sqref="F29">
    <cfRule type="expression" dxfId="48" priority="26">
      <formula>$F$29=SUM($F$19:$F$28)</formula>
    </cfRule>
  </conditionalFormatting>
  <dataValidations count="2">
    <dataValidation type="list" allowBlank="1" showInputMessage="1" showErrorMessage="1" sqref="U48:U520" xr:uid="{782F08B8-8845-4977-8E40-B50233F221F9}">
      <formula1>"Yes,No"</formula1>
    </dataValidation>
    <dataValidation type="list" allowBlank="1" showInputMessage="1" showErrorMessage="1" sqref="AG48:AG325 AG327:AG520" xr:uid="{9465CE44-387A-41AD-965D-05CA4D35FA65}">
      <formula1>"OK,NG"</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22" operator="greaterThanOrEqual" id="{B014B2CB-2B5D-4B3B-96FE-CF29AB265F28}">
            <xm:f>'\\hc-ut40346c\NHI5HC\hieunguyen\0000_Project\001_Prj\02_JOEM\[Summary_JOEM_COEM_20200501.xlsm]Table'!#REF!</xm:f>
            <x14:dxf>
              <font>
                <color rgb="FF006100"/>
              </font>
              <fill>
                <patternFill>
                  <bgColor rgb="FFC6EFCE"/>
                </patternFill>
              </fill>
            </x14:dxf>
          </x14:cfRule>
          <x14:cfRule type="cellIs" priority="23" operator="lessThan" id="{F6656B47-190C-4FE4-A717-D8431FF261A8}">
            <xm:f>'\\hc-ut40346c\NHI5HC\hieunguyen\0000_Project\001_Prj\02_JOEM\[Summary_JOEM_COEM_20200501.xlsm]Table'!#REF!</xm:f>
            <x14:dxf>
              <font>
                <color rgb="FF9C0006"/>
              </font>
              <fill>
                <patternFill>
                  <bgColor rgb="FFFFC7CE"/>
                </patternFill>
              </fill>
            </x14:dxf>
          </x14:cfRule>
          <xm:sqref>G19:G29</xm:sqref>
        </x14:conditionalFormatting>
        <x14:conditionalFormatting xmlns:xm="http://schemas.microsoft.com/office/excel/2006/main">
          <x14:cfRule type="cellIs" priority="24" operator="greaterThanOrEqual" id="{1EC21A3E-1809-4872-BB10-A96748DB29A5}">
            <xm:f>'\\hc-ut40346c\NHI5HC\hieunguyen\0000_Project\001_Prj\02_JOEM\[Summary_JOEM_COEM_20200501.xlsm]Table'!#REF!</xm:f>
            <x14:dxf>
              <font>
                <color rgb="FF006100"/>
              </font>
              <fill>
                <patternFill>
                  <bgColor rgb="FFC6EFCE"/>
                </patternFill>
              </fill>
            </x14:dxf>
          </x14:cfRule>
          <x14:cfRule type="cellIs" priority="25" operator="lessThan" id="{61D9CC4B-A907-4A39-9CD0-E146A3FA1535}">
            <xm:f>'\\hc-ut40346c\NHI5HC\hieunguyen\0000_Project\001_Prj\02_JOEM\[Summary_JOEM_COEM_20200501.xlsm]Table'!#REF!</xm:f>
            <x14:dxf>
              <font>
                <color rgb="FF9C0006"/>
              </font>
              <fill>
                <patternFill>
                  <bgColor rgb="FFFFC7CE"/>
                </patternFill>
              </fill>
            </x14:dxf>
          </x14:cfRule>
          <xm:sqref>G4:G13</xm:sqref>
        </x14:conditionalFormatting>
        <x14:conditionalFormatting xmlns:xm="http://schemas.microsoft.com/office/excel/2006/main">
          <x14:cfRule type="cellIs" priority="13" operator="greaterThanOrEqual" id="{9C735503-415E-4B09-9805-3D78F7070878}">
            <xm:f>'\\hc-ut40346c\NHI5HC\hieunguyen\0000_Project\001_Prj\02_JOEM\[Summary_JOEM_COEM_20200501.xlsm]Table'!#REF!</xm:f>
            <x14:dxf>
              <font>
                <color rgb="FF006100"/>
              </font>
              <fill>
                <patternFill>
                  <bgColor rgb="FFC6EFCE"/>
                </patternFill>
              </fill>
            </x14:dxf>
          </x14:cfRule>
          <x14:cfRule type="cellIs" priority="14" operator="lessThan" id="{352ECF6F-F74B-4B46-BBB6-E6FA70AD7B08}">
            <xm:f>'\\hc-ut40346c\NHI5HC\hieunguyen\0000_Project\001_Prj\02_JOEM\[Summary_JOEM_COEM_20200501.xlsm]Table'!#REF!</xm:f>
            <x14:dxf>
              <font>
                <color rgb="FF9C0006"/>
              </font>
              <fill>
                <patternFill>
                  <bgColor rgb="FFFFC7CE"/>
                </patternFill>
              </fill>
            </x14:dxf>
          </x14:cfRule>
          <xm:sqref>G14</xm:sqref>
        </x14:conditionalFormatting>
        <x14:conditionalFormatting xmlns:xm="http://schemas.microsoft.com/office/excel/2006/main">
          <x14:cfRule type="cellIs" priority="11" operator="greaterThanOrEqual" id="{D25227F2-720D-48F9-B3A0-E7AE395016ED}">
            <xm:f>'\\hc-ut40346c\NHI5HC\hieunguyen\0000_Project\001_Prj\02_JOEM\[Summary_JOEM_COEM_20200501.xlsm]Table'!#REF!</xm:f>
            <x14:dxf>
              <font>
                <color rgb="FF006100"/>
              </font>
              <fill>
                <patternFill>
                  <bgColor rgb="FFC6EFCE"/>
                </patternFill>
              </fill>
            </x14:dxf>
          </x14:cfRule>
          <x14:cfRule type="cellIs" priority="12" operator="lessThan" id="{15C8F57F-4546-4881-8EA8-5C6945D2C5CB}">
            <xm:f>'\\hc-ut40346c\NHI5HC\hieunguyen\0000_Project\001_Prj\02_JOEM\[Summary_JOEM_COEM_20200501.xlsm]Table'!#REF!</xm:f>
            <x14:dxf>
              <font>
                <color rgb="FF9C0006"/>
              </font>
              <fill>
                <patternFill>
                  <bgColor rgb="FFFFC7CE"/>
                </patternFill>
              </fill>
            </x14:dxf>
          </x14:cfRule>
          <xm:sqref>G44</xm:sqref>
        </x14:conditionalFormatting>
        <x14:conditionalFormatting xmlns:xm="http://schemas.microsoft.com/office/excel/2006/main">
          <x14:cfRule type="cellIs" priority="9" operator="greaterThanOrEqual" id="{7D933493-CD60-4B34-A1A3-13266D0B9D3E}">
            <xm:f>'\\hc-ut40346c\NHI5HC\hieunguyen\0000_Project\001_Prj\02_JOEM\[Summary_JOEM_COEM_20200501.xlsm]Table'!#REF!</xm:f>
            <x14:dxf>
              <font>
                <color rgb="FF006100"/>
              </font>
              <fill>
                <patternFill>
                  <bgColor rgb="FFC6EFCE"/>
                </patternFill>
              </fill>
            </x14:dxf>
          </x14:cfRule>
          <x14:cfRule type="cellIs" priority="10" operator="lessThan" id="{6DEF4364-7F27-4183-AE3A-91042E12D157}">
            <xm:f>'\\hc-ut40346c\NHI5HC\hieunguyen\0000_Project\001_Prj\02_JOEM\[Summary_JOEM_COEM_20200501.xlsm]Table'!#REF!</xm:f>
            <x14:dxf>
              <font>
                <color rgb="FF9C0006"/>
              </font>
              <fill>
                <patternFill>
                  <bgColor rgb="FFFFC7CE"/>
                </patternFill>
              </fill>
            </x14:dxf>
          </x14:cfRule>
          <xm:sqref>G34</xm:sqref>
        </x14:conditionalFormatting>
        <x14:conditionalFormatting xmlns:xm="http://schemas.microsoft.com/office/excel/2006/main">
          <x14:cfRule type="cellIs" priority="7" operator="greaterThanOrEqual" id="{065B5531-8E84-4F78-B5A9-48C3D6BE81C8}">
            <xm:f>'\\hc-ut40346c\NHI5HC\hieunguyen\0000_Project\001_Prj\02_JOEM\[Summary_JOEM_COEM_20200501.xlsm]Table'!#REF!</xm:f>
            <x14:dxf>
              <font>
                <color rgb="FF006100"/>
              </font>
              <fill>
                <patternFill>
                  <bgColor rgb="FFC6EFCE"/>
                </patternFill>
              </fill>
            </x14:dxf>
          </x14:cfRule>
          <x14:cfRule type="cellIs" priority="8" operator="lessThan" id="{F53B4CB7-9C53-499F-9DC8-149C7CA9005F}">
            <xm:f>'\\hc-ut40346c\NHI5HC\hieunguyen\0000_Project\001_Prj\02_JOEM\[Summary_JOEM_COEM_20200501.xlsm]Table'!#REF!</xm:f>
            <x14:dxf>
              <font>
                <color rgb="FF9C0006"/>
              </font>
              <fill>
                <patternFill>
                  <bgColor rgb="FFFFC7CE"/>
                </patternFill>
              </fill>
            </x14:dxf>
          </x14:cfRule>
          <xm:sqref>G35:G43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B145-D941-4F63-9FEC-289579D77328}">
  <dimension ref="A1:AN520"/>
  <sheetViews>
    <sheetView tabSelected="1" topLeftCell="A490" workbookViewId="0">
      <selection activeCell="E507" sqref="E507"/>
    </sheetView>
  </sheetViews>
  <sheetFormatPr defaultRowHeight="12.75"/>
  <cols>
    <col min="5" max="5" width="55.42578125" bestFit="1" customWidth="1"/>
  </cols>
  <sheetData>
    <row r="1" spans="1:13" ht="15">
      <c r="A1" s="120" t="s">
        <v>1302</v>
      </c>
    </row>
    <row r="2" spans="1:13" ht="15">
      <c r="B2" s="120" t="s">
        <v>1303</v>
      </c>
      <c r="C2" s="121"/>
      <c r="D2" s="121"/>
      <c r="E2" s="121"/>
      <c r="F2" s="121"/>
      <c r="G2" s="121"/>
      <c r="H2" s="121"/>
    </row>
    <row r="3" spans="1:13" ht="15">
      <c r="B3" s="122" t="s">
        <v>80</v>
      </c>
      <c r="C3" s="122" t="s">
        <v>60</v>
      </c>
      <c r="D3" s="122" t="s">
        <v>1304</v>
      </c>
      <c r="E3" s="122" t="s">
        <v>91</v>
      </c>
      <c r="F3" s="122" t="s">
        <v>1305</v>
      </c>
      <c r="G3" s="122" t="s">
        <v>1306</v>
      </c>
      <c r="H3" s="123" t="s">
        <v>1307</v>
      </c>
      <c r="J3" s="120" t="s">
        <v>1308</v>
      </c>
    </row>
    <row r="4" spans="1:13" ht="15">
      <c r="B4" s="124">
        <v>1</v>
      </c>
      <c r="C4" s="125" t="s">
        <v>74</v>
      </c>
      <c r="D4" s="126">
        <v>0</v>
      </c>
      <c r="E4" s="126">
        <v>0</v>
      </c>
      <c r="F4" s="126">
        <v>0</v>
      </c>
      <c r="G4" s="126" t="s">
        <v>111</v>
      </c>
      <c r="H4" s="127" t="s">
        <v>111</v>
      </c>
      <c r="K4" s="120" t="s">
        <v>1309</v>
      </c>
    </row>
    <row r="5" spans="1:13" ht="15">
      <c r="B5" s="124">
        <v>2</v>
      </c>
      <c r="C5" s="125" t="s">
        <v>573</v>
      </c>
      <c r="D5" s="126">
        <v>596</v>
      </c>
      <c r="E5" s="126">
        <v>596</v>
      </c>
      <c r="F5" s="126">
        <v>0.75</v>
      </c>
      <c r="G5" s="126">
        <v>794.66666666666663</v>
      </c>
      <c r="H5" s="127">
        <v>1</v>
      </c>
      <c r="L5" s="121" t="s">
        <v>1310</v>
      </c>
    </row>
    <row r="6" spans="1:13" ht="15">
      <c r="B6" s="124">
        <v>3</v>
      </c>
      <c r="C6" s="125" t="s">
        <v>78</v>
      </c>
      <c r="D6" s="126">
        <v>0</v>
      </c>
      <c r="E6" s="126">
        <v>0</v>
      </c>
      <c r="F6" s="126">
        <v>0</v>
      </c>
      <c r="G6" s="126" t="s">
        <v>111</v>
      </c>
      <c r="H6" s="127" t="s">
        <v>111</v>
      </c>
      <c r="L6" s="121" t="s">
        <v>1311</v>
      </c>
    </row>
    <row r="7" spans="1:13" ht="15">
      <c r="B7" s="124">
        <v>4</v>
      </c>
      <c r="C7" s="128" t="s">
        <v>903</v>
      </c>
      <c r="D7" s="126">
        <v>0</v>
      </c>
      <c r="E7" s="126">
        <v>0</v>
      </c>
      <c r="F7" s="126">
        <v>0</v>
      </c>
      <c r="G7" s="126" t="s">
        <v>111</v>
      </c>
      <c r="H7" s="127" t="s">
        <v>111</v>
      </c>
      <c r="K7" s="120" t="s">
        <v>1312</v>
      </c>
    </row>
    <row r="8" spans="1:13" ht="15">
      <c r="B8" s="124">
        <v>5</v>
      </c>
      <c r="C8" s="125" t="s">
        <v>117</v>
      </c>
      <c r="D8" s="126">
        <v>6916</v>
      </c>
      <c r="E8" s="126">
        <v>6916</v>
      </c>
      <c r="F8" s="126">
        <v>8.9187500000000011</v>
      </c>
      <c r="G8" s="126">
        <v>775.44498948843716</v>
      </c>
      <c r="H8" s="127">
        <v>1</v>
      </c>
      <c r="L8" s="121" t="s">
        <v>1324</v>
      </c>
    </row>
    <row r="9" spans="1:13" ht="15">
      <c r="B9" s="124">
        <v>6</v>
      </c>
      <c r="C9" s="125" t="s">
        <v>113</v>
      </c>
      <c r="D9" s="126">
        <v>5766</v>
      </c>
      <c r="E9" s="126">
        <v>5766</v>
      </c>
      <c r="F9" s="126">
        <v>7.0625</v>
      </c>
      <c r="G9" s="126">
        <v>816.42477876106193</v>
      </c>
      <c r="H9" s="127">
        <v>1</v>
      </c>
      <c r="L9" s="121" t="s">
        <v>1325</v>
      </c>
    </row>
    <row r="10" spans="1:13" ht="15">
      <c r="B10" s="124">
        <v>7</v>
      </c>
      <c r="C10" s="125" t="s">
        <v>161</v>
      </c>
      <c r="D10" s="126">
        <v>6065</v>
      </c>
      <c r="E10" s="126">
        <v>6065</v>
      </c>
      <c r="F10" s="126">
        <v>8.5875000000000004</v>
      </c>
      <c r="G10" s="126">
        <v>706.25909752547307</v>
      </c>
      <c r="H10" s="127">
        <v>1</v>
      </c>
    </row>
    <row r="11" spans="1:13" ht="15">
      <c r="B11" s="124">
        <v>8</v>
      </c>
      <c r="C11" s="125" t="s">
        <v>109</v>
      </c>
      <c r="D11" s="126">
        <v>6314</v>
      </c>
      <c r="E11" s="126">
        <v>6314</v>
      </c>
      <c r="F11" s="126">
        <v>6.2875000000000005</v>
      </c>
      <c r="G11" s="126">
        <v>1004.2147117296222</v>
      </c>
      <c r="H11" s="127">
        <v>1</v>
      </c>
    </row>
    <row r="12" spans="1:13">
      <c r="B12" s="124">
        <v>9</v>
      </c>
      <c r="C12" s="129" t="s">
        <v>959</v>
      </c>
      <c r="D12" s="126">
        <v>0</v>
      </c>
      <c r="E12" s="126">
        <v>0</v>
      </c>
      <c r="F12" s="126">
        <v>0</v>
      </c>
      <c r="G12" s="126" t="s">
        <v>111</v>
      </c>
      <c r="H12" s="127" t="s">
        <v>111</v>
      </c>
    </row>
    <row r="13" spans="1:13" ht="15">
      <c r="B13" s="124">
        <v>10</v>
      </c>
      <c r="C13" s="125" t="s">
        <v>77</v>
      </c>
      <c r="D13" s="126">
        <v>520</v>
      </c>
      <c r="E13" s="126">
        <v>520</v>
      </c>
      <c r="F13" s="126">
        <v>0.875</v>
      </c>
      <c r="G13" s="126">
        <v>594.28571428571433</v>
      </c>
      <c r="H13" s="127">
        <v>1</v>
      </c>
      <c r="J13" s="120" t="s">
        <v>1313</v>
      </c>
      <c r="K13" s="130">
        <v>43952</v>
      </c>
      <c r="M13" s="130">
        <v>43965</v>
      </c>
    </row>
    <row r="14" spans="1:13" ht="15">
      <c r="B14" s="122" t="s">
        <v>1314</v>
      </c>
      <c r="C14" s="131"/>
      <c r="D14" s="132">
        <v>26177</v>
      </c>
      <c r="E14" s="132">
        <v>26177</v>
      </c>
      <c r="F14" s="132">
        <v>32.481249999999989</v>
      </c>
      <c r="G14" s="126">
        <v>805.91110255916908</v>
      </c>
      <c r="H14" s="127">
        <v>1</v>
      </c>
      <c r="J14" s="120" t="s">
        <v>1315</v>
      </c>
      <c r="K14" s="133">
        <v>10</v>
      </c>
    </row>
    <row r="15" spans="1:13" ht="15">
      <c r="J15" s="120" t="s">
        <v>1316</v>
      </c>
      <c r="K15" s="133">
        <v>1</v>
      </c>
      <c r="L15" s="134" t="s">
        <v>1317</v>
      </c>
    </row>
    <row r="16" spans="1:13" ht="15">
      <c r="J16" s="120" t="s">
        <v>1318</v>
      </c>
      <c r="K16" s="121">
        <v>9</v>
      </c>
    </row>
    <row r="17" spans="1:13" ht="15">
      <c r="B17" s="120" t="s">
        <v>1319</v>
      </c>
    </row>
    <row r="18" spans="1:13" ht="15">
      <c r="B18" s="122" t="s">
        <v>80</v>
      </c>
      <c r="C18" s="122" t="s">
        <v>60</v>
      </c>
      <c r="D18" s="122" t="s">
        <v>1304</v>
      </c>
      <c r="E18" s="122" t="s">
        <v>91</v>
      </c>
      <c r="F18" s="122" t="s">
        <v>1305</v>
      </c>
      <c r="G18" s="122" t="s">
        <v>1320</v>
      </c>
      <c r="H18" s="123" t="s">
        <v>1307</v>
      </c>
    </row>
    <row r="19" spans="1:13" ht="15">
      <c r="B19" s="124">
        <v>1</v>
      </c>
      <c r="C19" s="125" t="s">
        <v>74</v>
      </c>
      <c r="D19" s="126">
        <v>0</v>
      </c>
      <c r="E19" s="126">
        <v>0</v>
      </c>
      <c r="F19" s="126">
        <v>0</v>
      </c>
      <c r="G19" s="126" t="s">
        <v>111</v>
      </c>
      <c r="H19" s="127" t="s">
        <v>111</v>
      </c>
      <c r="J19" s="120"/>
      <c r="K19" s="130"/>
      <c r="M19" s="130"/>
    </row>
    <row r="20" spans="1:13" ht="15">
      <c r="B20" s="124">
        <v>2</v>
      </c>
      <c r="C20" s="125" t="s">
        <v>573</v>
      </c>
      <c r="D20" s="126">
        <v>0</v>
      </c>
      <c r="E20" s="126">
        <v>0</v>
      </c>
      <c r="F20" s="126">
        <v>0</v>
      </c>
      <c r="G20" s="126" t="s">
        <v>111</v>
      </c>
      <c r="H20" s="127" t="s">
        <v>111</v>
      </c>
      <c r="J20" s="120"/>
      <c r="K20" s="121"/>
    </row>
    <row r="21" spans="1:13" ht="15">
      <c r="B21" s="124">
        <v>3</v>
      </c>
      <c r="C21" s="125" t="s">
        <v>78</v>
      </c>
      <c r="D21" s="126">
        <v>0</v>
      </c>
      <c r="E21" s="126">
        <v>0</v>
      </c>
      <c r="F21" s="126">
        <v>0</v>
      </c>
      <c r="G21" s="126" t="s">
        <v>111</v>
      </c>
      <c r="H21" s="127" t="s">
        <v>111</v>
      </c>
      <c r="J21" s="120"/>
      <c r="K21" s="121"/>
      <c r="L21" s="134"/>
    </row>
    <row r="22" spans="1:13" ht="15">
      <c r="B22" s="124">
        <v>4</v>
      </c>
      <c r="C22" s="128" t="s">
        <v>903</v>
      </c>
      <c r="D22" s="126">
        <v>0</v>
      </c>
      <c r="E22" s="126">
        <v>0</v>
      </c>
      <c r="F22" s="126">
        <v>0</v>
      </c>
      <c r="G22" s="126" t="s">
        <v>111</v>
      </c>
      <c r="H22" s="127" t="s">
        <v>111</v>
      </c>
      <c r="J22" s="120"/>
      <c r="K22" s="121"/>
    </row>
    <row r="23" spans="1:13" ht="15">
      <c r="B23" s="124">
        <v>5</v>
      </c>
      <c r="C23" s="125" t="s">
        <v>117</v>
      </c>
      <c r="D23" s="126">
        <v>340</v>
      </c>
      <c r="E23" s="126">
        <v>340</v>
      </c>
      <c r="F23" s="126">
        <v>2.375</v>
      </c>
      <c r="G23" s="126">
        <v>143.15789473684211</v>
      </c>
      <c r="H23" s="127">
        <v>1</v>
      </c>
    </row>
    <row r="24" spans="1:13" ht="15">
      <c r="B24" s="124">
        <v>6</v>
      </c>
      <c r="C24" s="125" t="s">
        <v>113</v>
      </c>
      <c r="D24" s="126">
        <v>178</v>
      </c>
      <c r="E24" s="126">
        <v>178</v>
      </c>
      <c r="F24" s="126">
        <v>1</v>
      </c>
      <c r="G24" s="126">
        <v>178</v>
      </c>
      <c r="H24" s="127">
        <v>1</v>
      </c>
    </row>
    <row r="25" spans="1:13" ht="15">
      <c r="B25" s="124">
        <v>7</v>
      </c>
      <c r="C25" s="125" t="s">
        <v>161</v>
      </c>
      <c r="D25" s="126">
        <v>243</v>
      </c>
      <c r="E25" s="126">
        <v>243</v>
      </c>
      <c r="F25" s="126">
        <v>1.75</v>
      </c>
      <c r="G25" s="126">
        <v>138.85714285714286</v>
      </c>
      <c r="H25" s="127">
        <v>1</v>
      </c>
    </row>
    <row r="26" spans="1:13" ht="15">
      <c r="B26" s="124">
        <v>8</v>
      </c>
      <c r="C26" s="125" t="s">
        <v>109</v>
      </c>
      <c r="D26" s="126">
        <v>208</v>
      </c>
      <c r="E26" s="126">
        <v>208</v>
      </c>
      <c r="F26" s="126">
        <v>1</v>
      </c>
      <c r="G26" s="126">
        <v>208</v>
      </c>
      <c r="H26" s="127">
        <v>1</v>
      </c>
    </row>
    <row r="27" spans="1:13">
      <c r="B27" s="124">
        <v>9</v>
      </c>
      <c r="C27" s="129" t="s">
        <v>959</v>
      </c>
      <c r="D27" s="126">
        <v>0</v>
      </c>
      <c r="E27" s="126">
        <v>0</v>
      </c>
      <c r="F27" s="126">
        <v>0</v>
      </c>
      <c r="G27" s="126" t="s">
        <v>111</v>
      </c>
      <c r="H27" s="127" t="s">
        <v>111</v>
      </c>
    </row>
    <row r="28" spans="1:13" ht="15">
      <c r="B28" s="124">
        <v>10</v>
      </c>
      <c r="C28" s="125" t="s">
        <v>77</v>
      </c>
      <c r="D28" s="126">
        <v>0</v>
      </c>
      <c r="E28" s="126">
        <v>0</v>
      </c>
      <c r="F28" s="126">
        <v>0</v>
      </c>
      <c r="G28" s="126" t="s">
        <v>111</v>
      </c>
      <c r="H28" s="127" t="s">
        <v>111</v>
      </c>
    </row>
    <row r="29" spans="1:13" ht="15">
      <c r="B29" s="122" t="s">
        <v>1314</v>
      </c>
      <c r="C29" s="131"/>
      <c r="D29" s="132">
        <v>969</v>
      </c>
      <c r="E29" s="132">
        <v>969</v>
      </c>
      <c r="F29" s="132">
        <v>6.125</v>
      </c>
      <c r="G29" s="126">
        <v>158.20408163265307</v>
      </c>
      <c r="H29" s="127">
        <v>1</v>
      </c>
      <c r="L29" s="135"/>
    </row>
    <row r="31" spans="1:13" ht="19.5" customHeight="1"/>
    <row r="32" spans="1:13" ht="15">
      <c r="A32" s="136" t="s">
        <v>1321</v>
      </c>
      <c r="B32" s="120" t="s">
        <v>1322</v>
      </c>
    </row>
    <row r="33" spans="2:40" ht="15">
      <c r="B33" s="122" t="s">
        <v>80</v>
      </c>
      <c r="C33" s="122" t="s">
        <v>60</v>
      </c>
      <c r="D33" s="122" t="s">
        <v>1304</v>
      </c>
      <c r="E33" s="122" t="s">
        <v>91</v>
      </c>
      <c r="F33" s="122" t="s">
        <v>1323</v>
      </c>
      <c r="G33" s="122" t="s">
        <v>1320</v>
      </c>
      <c r="H33" s="123" t="s">
        <v>1307</v>
      </c>
      <c r="I33" s="137" t="s">
        <v>76</v>
      </c>
      <c r="J33" s="138" t="s">
        <v>378</v>
      </c>
    </row>
    <row r="34" spans="2:40" ht="15.75">
      <c r="B34" s="124">
        <v>1</v>
      </c>
      <c r="C34" s="125" t="s">
        <v>74</v>
      </c>
      <c r="D34" s="126">
        <v>0</v>
      </c>
      <c r="E34" s="126">
        <v>0</v>
      </c>
      <c r="F34" s="126">
        <v>9</v>
      </c>
      <c r="G34" s="126">
        <v>0</v>
      </c>
      <c r="H34" s="127" t="s">
        <v>111</v>
      </c>
      <c r="I34" s="139">
        <v>0</v>
      </c>
      <c r="J34" s="139">
        <v>0</v>
      </c>
    </row>
    <row r="35" spans="2:40" ht="15.75">
      <c r="B35" s="124">
        <v>2</v>
      </c>
      <c r="C35" s="125" t="s">
        <v>573</v>
      </c>
      <c r="D35" s="126">
        <v>596</v>
      </c>
      <c r="E35" s="126">
        <v>596</v>
      </c>
      <c r="F35" s="126">
        <v>9</v>
      </c>
      <c r="G35" s="126">
        <v>66.222222222222229</v>
      </c>
      <c r="H35" s="127">
        <v>1</v>
      </c>
      <c r="I35" s="139">
        <v>1</v>
      </c>
      <c r="J35" s="139">
        <v>0</v>
      </c>
    </row>
    <row r="36" spans="2:40" ht="15.75">
      <c r="B36" s="124">
        <v>3</v>
      </c>
      <c r="C36" s="125" t="s">
        <v>78</v>
      </c>
      <c r="D36" s="126">
        <v>0</v>
      </c>
      <c r="E36" s="126">
        <v>0</v>
      </c>
      <c r="F36" s="126">
        <v>9</v>
      </c>
      <c r="G36" s="126">
        <v>0</v>
      </c>
      <c r="H36" s="127" t="s">
        <v>111</v>
      </c>
      <c r="I36" s="139">
        <v>0</v>
      </c>
      <c r="J36" s="139">
        <v>0</v>
      </c>
    </row>
    <row r="37" spans="2:40" ht="15.75">
      <c r="B37" s="124">
        <v>4</v>
      </c>
      <c r="C37" s="128" t="s">
        <v>903</v>
      </c>
      <c r="D37" s="126">
        <v>0</v>
      </c>
      <c r="E37" s="126">
        <v>0</v>
      </c>
      <c r="F37" s="126">
        <v>9</v>
      </c>
      <c r="G37" s="126">
        <v>0</v>
      </c>
      <c r="H37" s="127" t="s">
        <v>111</v>
      </c>
      <c r="I37" s="139">
        <v>0</v>
      </c>
      <c r="J37" s="139">
        <v>0</v>
      </c>
    </row>
    <row r="38" spans="2:40" ht="15.75">
      <c r="B38" s="124">
        <v>5</v>
      </c>
      <c r="C38" s="125" t="s">
        <v>117</v>
      </c>
      <c r="D38" s="126">
        <v>8092.9230769230771</v>
      </c>
      <c r="E38" s="126">
        <v>8092.9230769230771</v>
      </c>
      <c r="F38" s="126">
        <v>9</v>
      </c>
      <c r="G38" s="126">
        <v>899.21367521367529</v>
      </c>
      <c r="H38" s="127">
        <v>1</v>
      </c>
      <c r="I38" s="139">
        <v>6</v>
      </c>
      <c r="J38" s="139">
        <v>1</v>
      </c>
      <c r="M38" s="140"/>
      <c r="N38" s="140"/>
      <c r="O38" s="140"/>
      <c r="P38" s="140"/>
      <c r="Q38" s="140"/>
    </row>
    <row r="39" spans="2:40" ht="15.75">
      <c r="B39" s="124">
        <v>6</v>
      </c>
      <c r="C39" s="125" t="s">
        <v>113</v>
      </c>
      <c r="D39" s="126">
        <v>6382.1538461538457</v>
      </c>
      <c r="E39" s="126">
        <v>6382.1538461538457</v>
      </c>
      <c r="F39" s="126">
        <v>9</v>
      </c>
      <c r="G39" s="126">
        <v>709.12820512820508</v>
      </c>
      <c r="H39" s="127">
        <v>1</v>
      </c>
      <c r="I39" s="139">
        <v>7</v>
      </c>
      <c r="J39" s="139">
        <v>1</v>
      </c>
      <c r="M39" s="140"/>
      <c r="N39" s="141"/>
      <c r="O39" s="142"/>
      <c r="P39" s="141"/>
      <c r="Q39" s="140"/>
    </row>
    <row r="40" spans="2:40" ht="15.75">
      <c r="B40" s="124">
        <v>7</v>
      </c>
      <c r="C40" s="125" t="s">
        <v>161</v>
      </c>
      <c r="D40" s="126">
        <v>6906.1538461538457</v>
      </c>
      <c r="E40" s="126">
        <v>6906.1538461538457</v>
      </c>
      <c r="F40" s="126">
        <v>9</v>
      </c>
      <c r="G40" s="126">
        <v>767.35042735042725</v>
      </c>
      <c r="H40" s="127">
        <v>1</v>
      </c>
      <c r="I40" s="139">
        <v>4</v>
      </c>
      <c r="J40" s="139">
        <v>0</v>
      </c>
      <c r="M40" s="140"/>
      <c r="N40" s="140"/>
      <c r="O40" s="140"/>
      <c r="P40" s="140"/>
      <c r="Q40" s="140"/>
    </row>
    <row r="41" spans="2:40" ht="15.75">
      <c r="B41" s="124">
        <v>8</v>
      </c>
      <c r="C41" s="125" t="s">
        <v>109</v>
      </c>
      <c r="D41" s="126">
        <v>7034</v>
      </c>
      <c r="E41" s="126">
        <v>7034</v>
      </c>
      <c r="F41" s="126">
        <v>9</v>
      </c>
      <c r="G41" s="126">
        <v>781.55555555555554</v>
      </c>
      <c r="H41" s="127">
        <v>1</v>
      </c>
      <c r="I41" s="139">
        <v>5</v>
      </c>
      <c r="J41" s="139">
        <v>0</v>
      </c>
    </row>
    <row r="42" spans="2:40" ht="15.75">
      <c r="B42" s="124">
        <v>9</v>
      </c>
      <c r="C42" s="129" t="s">
        <v>959</v>
      </c>
      <c r="D42" s="126">
        <v>0</v>
      </c>
      <c r="E42" s="126">
        <v>0</v>
      </c>
      <c r="F42" s="126">
        <v>9</v>
      </c>
      <c r="G42" s="126">
        <v>0</v>
      </c>
      <c r="H42" s="127" t="s">
        <v>111</v>
      </c>
      <c r="I42" s="139">
        <v>0</v>
      </c>
      <c r="J42" s="139">
        <v>0</v>
      </c>
    </row>
    <row r="43" spans="2:40" ht="15.75">
      <c r="B43" s="124">
        <v>10</v>
      </c>
      <c r="C43" s="125" t="s">
        <v>77</v>
      </c>
      <c r="D43" s="126">
        <v>520</v>
      </c>
      <c r="E43" s="126">
        <v>520</v>
      </c>
      <c r="F43" s="126">
        <v>9</v>
      </c>
      <c r="G43" s="126">
        <v>57.777777777777779</v>
      </c>
      <c r="H43" s="127">
        <v>1</v>
      </c>
      <c r="I43" s="139">
        <v>2</v>
      </c>
      <c r="J43" s="139">
        <v>0</v>
      </c>
    </row>
    <row r="44" spans="2:40" ht="15.75">
      <c r="B44" s="122" t="s">
        <v>1314</v>
      </c>
      <c r="C44" s="131"/>
      <c r="D44" s="126">
        <v>29531.23076923077</v>
      </c>
      <c r="E44" s="126">
        <v>29531.23076923077</v>
      </c>
      <c r="F44" s="126">
        <v>90</v>
      </c>
      <c r="G44" s="126">
        <v>328.12478632478633</v>
      </c>
      <c r="H44" s="127">
        <v>1</v>
      </c>
      <c r="I44" s="139">
        <v>25</v>
      </c>
      <c r="J44" s="139">
        <v>2</v>
      </c>
    </row>
    <row r="47" spans="2:40" ht="15">
      <c r="B47" s="115" t="s">
        <v>80</v>
      </c>
      <c r="C47" s="115" t="s">
        <v>81</v>
      </c>
      <c r="D47" s="115" t="s">
        <v>82</v>
      </c>
      <c r="E47" s="115" t="s">
        <v>10</v>
      </c>
      <c r="F47" s="115" t="s">
        <v>12</v>
      </c>
      <c r="G47" s="115" t="s">
        <v>57</v>
      </c>
      <c r="H47" s="115" t="s">
        <v>83</v>
      </c>
      <c r="I47" s="115" t="s">
        <v>13</v>
      </c>
      <c r="J47" s="115" t="s">
        <v>84</v>
      </c>
      <c r="K47" s="115" t="s">
        <v>58</v>
      </c>
      <c r="L47" s="9" t="s">
        <v>0</v>
      </c>
      <c r="M47" s="9" t="s">
        <v>11</v>
      </c>
      <c r="N47" s="115" t="s">
        <v>59</v>
      </c>
      <c r="O47" s="115" t="s">
        <v>85</v>
      </c>
      <c r="P47" s="115" t="s">
        <v>1284</v>
      </c>
      <c r="Q47" s="116" t="s">
        <v>86</v>
      </c>
      <c r="R47" s="116" t="s">
        <v>87</v>
      </c>
      <c r="S47" s="116" t="s">
        <v>60</v>
      </c>
      <c r="T47" s="116" t="s">
        <v>88</v>
      </c>
      <c r="U47" s="116" t="s">
        <v>89</v>
      </c>
      <c r="V47" s="116" t="s">
        <v>61</v>
      </c>
      <c r="W47" s="116" t="s">
        <v>90</v>
      </c>
      <c r="X47" s="116" t="s">
        <v>91</v>
      </c>
      <c r="Y47" s="116" t="s">
        <v>92</v>
      </c>
      <c r="Z47" s="116" t="s">
        <v>93</v>
      </c>
      <c r="AA47" s="116" t="s">
        <v>94</v>
      </c>
      <c r="AB47" s="116" t="s">
        <v>95</v>
      </c>
      <c r="AC47" s="116" t="s">
        <v>96</v>
      </c>
      <c r="AD47" s="116" t="s">
        <v>62</v>
      </c>
      <c r="AE47" s="115" t="s">
        <v>97</v>
      </c>
      <c r="AF47" s="115" t="s">
        <v>98</v>
      </c>
      <c r="AG47" s="115" t="s">
        <v>63</v>
      </c>
      <c r="AH47" s="115" t="s">
        <v>64</v>
      </c>
      <c r="AI47" s="115" t="s">
        <v>65</v>
      </c>
      <c r="AJ47" s="116" t="s">
        <v>66</v>
      </c>
      <c r="AK47" s="116" t="s">
        <v>67</v>
      </c>
      <c r="AL47" s="116" t="s">
        <v>68</v>
      </c>
      <c r="AM47" s="116" t="s">
        <v>69</v>
      </c>
      <c r="AN47" s="116" t="s">
        <v>70</v>
      </c>
    </row>
    <row r="48" spans="2:40" ht="15">
      <c r="B48" s="163">
        <v>128</v>
      </c>
      <c r="C48" s="13">
        <v>20200511</v>
      </c>
      <c r="D48" s="13" t="s">
        <v>311</v>
      </c>
      <c r="E48" s="13" t="s">
        <v>1237</v>
      </c>
      <c r="F48" s="14" t="s">
        <v>72</v>
      </c>
      <c r="G48" s="14">
        <v>1460003</v>
      </c>
      <c r="H48" s="164" t="s">
        <v>72</v>
      </c>
      <c r="I48" s="13" t="s">
        <v>835</v>
      </c>
      <c r="J48" s="164" t="s">
        <v>72</v>
      </c>
      <c r="K48" s="13" t="s">
        <v>73</v>
      </c>
      <c r="L48" s="13" t="s">
        <v>8</v>
      </c>
      <c r="M48" s="13" t="s">
        <v>8</v>
      </c>
      <c r="N48" s="13" t="s">
        <v>830</v>
      </c>
      <c r="O48" s="14" t="s">
        <v>836</v>
      </c>
      <c r="P48" s="14" t="s">
        <v>832</v>
      </c>
      <c r="Q48" s="165"/>
      <c r="R48" s="164" t="s">
        <v>72</v>
      </c>
      <c r="S48" s="53" t="s">
        <v>77</v>
      </c>
      <c r="T48" s="13"/>
      <c r="U48" s="13"/>
      <c r="V48" s="13">
        <v>51</v>
      </c>
      <c r="W48" s="13">
        <v>51</v>
      </c>
      <c r="X48" s="13">
        <v>51</v>
      </c>
      <c r="Y48" s="13">
        <v>3.13</v>
      </c>
      <c r="Z48" s="13">
        <v>8</v>
      </c>
      <c r="AA48" s="13" t="s">
        <v>110</v>
      </c>
      <c r="AB48" s="58">
        <v>43969</v>
      </c>
      <c r="AC48" s="58">
        <v>43962</v>
      </c>
      <c r="AD48" s="58">
        <v>43970</v>
      </c>
      <c r="AE48" s="58">
        <v>43966</v>
      </c>
      <c r="AF48" s="58">
        <v>43966</v>
      </c>
      <c r="AG48" s="58" t="s">
        <v>75</v>
      </c>
      <c r="AH48" s="59">
        <v>1</v>
      </c>
      <c r="AI48" s="59">
        <v>1</v>
      </c>
      <c r="AJ48" s="59">
        <v>1</v>
      </c>
      <c r="AK48" s="58" t="s">
        <v>8</v>
      </c>
      <c r="AL48" s="14" t="s">
        <v>72</v>
      </c>
      <c r="AM48" s="13" t="s">
        <v>72</v>
      </c>
      <c r="AN48" s="13" t="s">
        <v>72</v>
      </c>
    </row>
    <row r="49" spans="2:40" ht="15">
      <c r="B49" s="163">
        <v>142</v>
      </c>
      <c r="C49" s="13">
        <v>20200511</v>
      </c>
      <c r="D49" s="13" t="s">
        <v>24</v>
      </c>
      <c r="E49" s="13" t="s">
        <v>837</v>
      </c>
      <c r="F49" s="39" t="s">
        <v>1473</v>
      </c>
      <c r="G49" s="14">
        <v>1461444</v>
      </c>
      <c r="H49" s="164"/>
      <c r="I49" s="13" t="s">
        <v>1474</v>
      </c>
      <c r="J49" s="164"/>
      <c r="K49" s="13" t="s">
        <v>73</v>
      </c>
      <c r="L49" s="13" t="s">
        <v>8</v>
      </c>
      <c r="M49" s="13" t="s">
        <v>840</v>
      </c>
      <c r="N49" s="13" t="s">
        <v>841</v>
      </c>
      <c r="O49" s="14" t="s">
        <v>72</v>
      </c>
      <c r="P49" s="14" t="s">
        <v>842</v>
      </c>
      <c r="Q49" s="165"/>
      <c r="R49" s="164" t="s">
        <v>72</v>
      </c>
      <c r="S49" s="53" t="s">
        <v>573</v>
      </c>
      <c r="T49" s="13"/>
      <c r="U49" s="13"/>
      <c r="V49" s="13">
        <v>104</v>
      </c>
      <c r="W49" s="13">
        <v>104</v>
      </c>
      <c r="X49" s="13">
        <v>104</v>
      </c>
      <c r="Y49" s="13">
        <v>1.84</v>
      </c>
      <c r="Z49" s="13">
        <v>2</v>
      </c>
      <c r="AA49" s="13" t="s">
        <v>110</v>
      </c>
      <c r="AB49" s="58">
        <v>43969</v>
      </c>
      <c r="AC49" s="58">
        <v>43966</v>
      </c>
      <c r="AD49" s="58">
        <v>43969</v>
      </c>
      <c r="AE49" s="58">
        <v>43969</v>
      </c>
      <c r="AF49" s="58">
        <v>43969</v>
      </c>
      <c r="AG49" s="58" t="s">
        <v>75</v>
      </c>
      <c r="AH49" s="59">
        <v>1</v>
      </c>
      <c r="AI49" s="59">
        <v>1</v>
      </c>
      <c r="AJ49" s="59">
        <v>1</v>
      </c>
      <c r="AK49" s="58" t="s">
        <v>8</v>
      </c>
      <c r="AL49" s="14" t="s">
        <v>72</v>
      </c>
      <c r="AM49" s="13" t="s">
        <v>72</v>
      </c>
      <c r="AN49" s="13" t="s">
        <v>1475</v>
      </c>
    </row>
    <row r="50" spans="2:40" ht="51">
      <c r="B50" s="166">
        <v>149</v>
      </c>
      <c r="C50" s="13">
        <v>20200514</v>
      </c>
      <c r="D50" s="13" t="s">
        <v>24</v>
      </c>
      <c r="E50" s="13" t="s">
        <v>1237</v>
      </c>
      <c r="F50" s="4" t="s">
        <v>1477</v>
      </c>
      <c r="G50" s="14">
        <v>1433776</v>
      </c>
      <c r="H50" s="164" t="s">
        <v>72</v>
      </c>
      <c r="I50" s="13" t="s">
        <v>1478</v>
      </c>
      <c r="J50" s="164" t="s">
        <v>72</v>
      </c>
      <c r="K50" s="13" t="s">
        <v>73</v>
      </c>
      <c r="L50" s="13" t="s">
        <v>1479</v>
      </c>
      <c r="M50" s="167" t="s">
        <v>1480</v>
      </c>
      <c r="N50" s="168" t="s">
        <v>1481</v>
      </c>
      <c r="O50" s="14" t="s">
        <v>72</v>
      </c>
      <c r="P50" s="14" t="s">
        <v>1241</v>
      </c>
      <c r="Q50" s="165"/>
      <c r="R50" s="164" t="s">
        <v>72</v>
      </c>
      <c r="S50" s="13" t="s">
        <v>78</v>
      </c>
      <c r="T50" s="13"/>
      <c r="U50" s="13"/>
      <c r="V50" s="13">
        <v>30</v>
      </c>
      <c r="W50" s="13">
        <v>30</v>
      </c>
      <c r="X50" s="13">
        <v>30</v>
      </c>
      <c r="Y50" s="13">
        <v>0.53</v>
      </c>
      <c r="Z50" s="13">
        <v>1</v>
      </c>
      <c r="AA50" s="13" t="s">
        <v>110</v>
      </c>
      <c r="AB50" s="58">
        <v>43970</v>
      </c>
      <c r="AC50" s="58">
        <v>43965</v>
      </c>
      <c r="AD50" s="58">
        <v>43970</v>
      </c>
      <c r="AE50" s="58">
        <v>43969</v>
      </c>
      <c r="AF50" s="58">
        <v>43969</v>
      </c>
      <c r="AG50" s="58" t="s">
        <v>75</v>
      </c>
      <c r="AH50" s="59">
        <v>1</v>
      </c>
      <c r="AI50" s="59">
        <v>1</v>
      </c>
      <c r="AJ50" s="59">
        <v>1</v>
      </c>
      <c r="AK50" s="58" t="s">
        <v>8</v>
      </c>
      <c r="AL50" s="13"/>
      <c r="AM50" s="13"/>
      <c r="AN50" s="169" t="s">
        <v>1482</v>
      </c>
    </row>
    <row r="51" spans="2:40" ht="15">
      <c r="B51" s="166">
        <v>150</v>
      </c>
      <c r="C51" s="13">
        <v>20200514</v>
      </c>
      <c r="D51" s="13" t="s">
        <v>24</v>
      </c>
      <c r="E51" s="13" t="s">
        <v>1237</v>
      </c>
      <c r="F51" s="39" t="s">
        <v>1483</v>
      </c>
      <c r="G51" s="14">
        <v>1433776</v>
      </c>
      <c r="H51" s="164" t="s">
        <v>72</v>
      </c>
      <c r="I51" s="13" t="s">
        <v>128</v>
      </c>
      <c r="J51" s="164" t="s">
        <v>72</v>
      </c>
      <c r="K51" s="13" t="s">
        <v>73</v>
      </c>
      <c r="L51" s="13" t="s">
        <v>1479</v>
      </c>
      <c r="M51" s="167" t="s">
        <v>1480</v>
      </c>
      <c r="N51" s="168" t="s">
        <v>1481</v>
      </c>
      <c r="O51" s="14" t="s">
        <v>72</v>
      </c>
      <c r="P51" s="14" t="s">
        <v>1241</v>
      </c>
      <c r="Q51" s="165"/>
      <c r="R51" s="164" t="s">
        <v>72</v>
      </c>
      <c r="S51" s="13" t="s">
        <v>78</v>
      </c>
      <c r="T51" s="13"/>
      <c r="U51" s="13"/>
      <c r="V51" s="13">
        <v>280</v>
      </c>
      <c r="W51" s="13">
        <v>280</v>
      </c>
      <c r="X51" s="13">
        <v>280</v>
      </c>
      <c r="Y51" s="13">
        <v>4.97</v>
      </c>
      <c r="Z51" s="13">
        <v>1</v>
      </c>
      <c r="AA51" s="13" t="s">
        <v>110</v>
      </c>
      <c r="AB51" s="58">
        <v>43970</v>
      </c>
      <c r="AC51" s="58">
        <v>43965</v>
      </c>
      <c r="AD51" s="58">
        <v>43970</v>
      </c>
      <c r="AE51" s="58">
        <v>43969</v>
      </c>
      <c r="AF51" s="58">
        <v>43969</v>
      </c>
      <c r="AG51" s="58" t="s">
        <v>75</v>
      </c>
      <c r="AH51" s="59">
        <v>1</v>
      </c>
      <c r="AI51" s="59">
        <v>1</v>
      </c>
      <c r="AJ51" s="59">
        <v>1</v>
      </c>
      <c r="AK51" s="58" t="s">
        <v>8</v>
      </c>
      <c r="AL51" s="13"/>
      <c r="AM51" s="13"/>
      <c r="AN51" s="13"/>
    </row>
    <row r="52" spans="2:40" ht="15">
      <c r="B52" s="166">
        <v>151</v>
      </c>
      <c r="C52" s="13">
        <v>20200514</v>
      </c>
      <c r="D52" s="13" t="s">
        <v>24</v>
      </c>
      <c r="E52" s="13" t="s">
        <v>1237</v>
      </c>
      <c r="F52" s="39" t="s">
        <v>1484</v>
      </c>
      <c r="G52" s="14">
        <v>1433776</v>
      </c>
      <c r="H52" s="164" t="s">
        <v>72</v>
      </c>
      <c r="I52" s="13" t="s">
        <v>1243</v>
      </c>
      <c r="J52" s="164" t="s">
        <v>72</v>
      </c>
      <c r="K52" s="13" t="s">
        <v>73</v>
      </c>
      <c r="L52" s="13" t="s">
        <v>1479</v>
      </c>
      <c r="M52" s="167" t="s">
        <v>1480</v>
      </c>
      <c r="N52" s="168" t="s">
        <v>1481</v>
      </c>
      <c r="O52" s="14" t="s">
        <v>72</v>
      </c>
      <c r="P52" s="14" t="s">
        <v>1241</v>
      </c>
      <c r="Q52" s="165"/>
      <c r="R52" s="164" t="s">
        <v>72</v>
      </c>
      <c r="S52" s="13" t="s">
        <v>78</v>
      </c>
      <c r="T52" s="13"/>
      <c r="U52" s="13"/>
      <c r="V52" s="13">
        <v>239</v>
      </c>
      <c r="W52" s="13">
        <v>239</v>
      </c>
      <c r="X52" s="13">
        <v>239</v>
      </c>
      <c r="Y52" s="13">
        <v>4.24</v>
      </c>
      <c r="Z52" s="13">
        <v>1</v>
      </c>
      <c r="AA52" s="13" t="s">
        <v>110</v>
      </c>
      <c r="AB52" s="58">
        <v>43970</v>
      </c>
      <c r="AC52" s="58">
        <v>43965</v>
      </c>
      <c r="AD52" s="58">
        <v>43970</v>
      </c>
      <c r="AE52" s="58">
        <v>43969</v>
      </c>
      <c r="AF52" s="58">
        <v>43969</v>
      </c>
      <c r="AG52" s="58" t="s">
        <v>75</v>
      </c>
      <c r="AH52" s="59">
        <v>1</v>
      </c>
      <c r="AI52" s="59">
        <v>1</v>
      </c>
      <c r="AJ52" s="59">
        <v>1</v>
      </c>
      <c r="AK52" s="58" t="s">
        <v>8</v>
      </c>
      <c r="AL52" s="13"/>
      <c r="AM52" s="13"/>
      <c r="AN52" s="13"/>
    </row>
    <row r="53" spans="2:40" ht="15">
      <c r="B53" s="166">
        <v>152</v>
      </c>
      <c r="C53" s="13">
        <v>20200514</v>
      </c>
      <c r="D53" s="13" t="s">
        <v>24</v>
      </c>
      <c r="E53" s="13" t="s">
        <v>1237</v>
      </c>
      <c r="F53" s="39" t="s">
        <v>1485</v>
      </c>
      <c r="G53" s="14">
        <v>1433776</v>
      </c>
      <c r="H53" s="164" t="s">
        <v>72</v>
      </c>
      <c r="I53" s="13" t="s">
        <v>130</v>
      </c>
      <c r="J53" s="164" t="s">
        <v>72</v>
      </c>
      <c r="K53" s="13" t="s">
        <v>73</v>
      </c>
      <c r="L53" s="13" t="s">
        <v>1479</v>
      </c>
      <c r="M53" s="167" t="s">
        <v>1480</v>
      </c>
      <c r="N53" s="168" t="s">
        <v>1481</v>
      </c>
      <c r="O53" s="14" t="s">
        <v>72</v>
      </c>
      <c r="P53" s="14" t="s">
        <v>1241</v>
      </c>
      <c r="Q53" s="165"/>
      <c r="R53" s="164" t="s">
        <v>72</v>
      </c>
      <c r="S53" s="13" t="s">
        <v>78</v>
      </c>
      <c r="T53" s="13"/>
      <c r="U53" s="13"/>
      <c r="V53" s="13">
        <v>220</v>
      </c>
      <c r="W53" s="13">
        <v>220</v>
      </c>
      <c r="X53" s="13">
        <v>220</v>
      </c>
      <c r="Y53" s="13">
        <v>3.91</v>
      </c>
      <c r="Z53" s="13">
        <v>1</v>
      </c>
      <c r="AA53" s="13" t="s">
        <v>110</v>
      </c>
      <c r="AB53" s="58">
        <v>43970</v>
      </c>
      <c r="AC53" s="58">
        <v>43965</v>
      </c>
      <c r="AD53" s="58">
        <v>43970</v>
      </c>
      <c r="AE53" s="58">
        <v>43969</v>
      </c>
      <c r="AF53" s="58">
        <v>43969</v>
      </c>
      <c r="AG53" s="58" t="s">
        <v>75</v>
      </c>
      <c r="AH53" s="59">
        <v>1</v>
      </c>
      <c r="AI53" s="59">
        <v>1</v>
      </c>
      <c r="AJ53" s="59">
        <v>1</v>
      </c>
      <c r="AK53" s="58" t="s">
        <v>8</v>
      </c>
      <c r="AL53" s="13"/>
      <c r="AM53" s="13"/>
      <c r="AN53" s="13"/>
    </row>
    <row r="54" spans="2:40" ht="15">
      <c r="B54" s="166">
        <v>153</v>
      </c>
      <c r="C54" s="13">
        <v>20200514</v>
      </c>
      <c r="D54" s="13" t="s">
        <v>24</v>
      </c>
      <c r="E54" s="13" t="s">
        <v>1237</v>
      </c>
      <c r="F54" s="39" t="s">
        <v>1486</v>
      </c>
      <c r="G54" s="14">
        <v>1433776</v>
      </c>
      <c r="H54" s="164" t="s">
        <v>72</v>
      </c>
      <c r="I54" s="13" t="s">
        <v>1487</v>
      </c>
      <c r="J54" s="164" t="s">
        <v>72</v>
      </c>
      <c r="K54" s="13" t="s">
        <v>73</v>
      </c>
      <c r="L54" s="13" t="s">
        <v>1479</v>
      </c>
      <c r="M54" s="167" t="s">
        <v>1480</v>
      </c>
      <c r="N54" s="168" t="s">
        <v>1481</v>
      </c>
      <c r="O54" s="14" t="s">
        <v>72</v>
      </c>
      <c r="P54" s="14" t="s">
        <v>1241</v>
      </c>
      <c r="Q54" s="165"/>
      <c r="R54" s="164" t="s">
        <v>72</v>
      </c>
      <c r="S54" s="13" t="s">
        <v>78</v>
      </c>
      <c r="T54" s="13"/>
      <c r="U54" s="13"/>
      <c r="V54" s="13">
        <v>42</v>
      </c>
      <c r="W54" s="13">
        <v>42</v>
      </c>
      <c r="X54" s="13">
        <v>42</v>
      </c>
      <c r="Y54" s="13">
        <v>0.74</v>
      </c>
      <c r="Z54" s="13">
        <v>1</v>
      </c>
      <c r="AA54" s="13" t="s">
        <v>110</v>
      </c>
      <c r="AB54" s="58">
        <v>43970</v>
      </c>
      <c r="AC54" s="58">
        <v>43965</v>
      </c>
      <c r="AD54" s="58">
        <v>43970</v>
      </c>
      <c r="AE54" s="58">
        <v>43969</v>
      </c>
      <c r="AF54" s="58">
        <v>43969</v>
      </c>
      <c r="AG54" s="58" t="s">
        <v>75</v>
      </c>
      <c r="AH54" s="59">
        <v>1</v>
      </c>
      <c r="AI54" s="59">
        <v>1</v>
      </c>
      <c r="AJ54" s="59">
        <v>1</v>
      </c>
      <c r="AK54" s="58" t="s">
        <v>8</v>
      </c>
      <c r="AL54" s="13"/>
      <c r="AM54" s="13"/>
      <c r="AN54" s="13"/>
    </row>
    <row r="55" spans="2:40" ht="15">
      <c r="B55" s="166">
        <v>154</v>
      </c>
      <c r="C55" s="13">
        <v>20200514</v>
      </c>
      <c r="D55" s="13" t="s">
        <v>24</v>
      </c>
      <c r="E55" s="13" t="s">
        <v>1237</v>
      </c>
      <c r="F55" s="39" t="s">
        <v>1488</v>
      </c>
      <c r="G55" s="14">
        <v>1433776</v>
      </c>
      <c r="H55" s="164" t="s">
        <v>72</v>
      </c>
      <c r="I55" s="13" t="s">
        <v>1489</v>
      </c>
      <c r="J55" s="164" t="s">
        <v>72</v>
      </c>
      <c r="K55" s="13" t="s">
        <v>73</v>
      </c>
      <c r="L55" s="13" t="s">
        <v>1479</v>
      </c>
      <c r="M55" s="167" t="s">
        <v>1480</v>
      </c>
      <c r="N55" s="168" t="s">
        <v>1481</v>
      </c>
      <c r="O55" s="14" t="s">
        <v>72</v>
      </c>
      <c r="P55" s="14" t="s">
        <v>1241</v>
      </c>
      <c r="Q55" s="165"/>
      <c r="R55" s="164" t="s">
        <v>72</v>
      </c>
      <c r="S55" s="13" t="s">
        <v>78</v>
      </c>
      <c r="T55" s="13"/>
      <c r="U55" s="13"/>
      <c r="V55" s="13">
        <v>91</v>
      </c>
      <c r="W55" s="13">
        <v>91</v>
      </c>
      <c r="X55" s="13">
        <v>91</v>
      </c>
      <c r="Y55" s="13">
        <v>1.61</v>
      </c>
      <c r="Z55" s="13">
        <v>1</v>
      </c>
      <c r="AA55" s="13" t="s">
        <v>110</v>
      </c>
      <c r="AB55" s="58">
        <v>43970</v>
      </c>
      <c r="AC55" s="58">
        <v>43965</v>
      </c>
      <c r="AD55" s="58">
        <v>43970</v>
      </c>
      <c r="AE55" s="58">
        <v>43969</v>
      </c>
      <c r="AF55" s="58">
        <v>43969</v>
      </c>
      <c r="AG55" s="58" t="s">
        <v>75</v>
      </c>
      <c r="AH55" s="59">
        <v>1</v>
      </c>
      <c r="AI55" s="59">
        <v>1</v>
      </c>
      <c r="AJ55" s="59">
        <v>1</v>
      </c>
      <c r="AK55" s="58" t="s">
        <v>8</v>
      </c>
      <c r="AL55" s="13"/>
      <c r="AM55" s="13"/>
      <c r="AN55" s="13"/>
    </row>
    <row r="56" spans="2:40" ht="15">
      <c r="B56" s="166">
        <v>155</v>
      </c>
      <c r="C56" s="13">
        <v>20200514</v>
      </c>
      <c r="D56" s="13" t="s">
        <v>24</v>
      </c>
      <c r="E56" s="13" t="s">
        <v>1490</v>
      </c>
      <c r="F56" s="39" t="s">
        <v>1491</v>
      </c>
      <c r="G56" s="14">
        <v>1468187</v>
      </c>
      <c r="H56" s="164" t="s">
        <v>72</v>
      </c>
      <c r="I56" s="13" t="s">
        <v>953</v>
      </c>
      <c r="J56" s="164" t="s">
        <v>72</v>
      </c>
      <c r="K56" s="13" t="s">
        <v>73</v>
      </c>
      <c r="L56" s="13" t="s">
        <v>1492</v>
      </c>
      <c r="M56" s="13" t="s">
        <v>1493</v>
      </c>
      <c r="N56" s="13" t="s">
        <v>887</v>
      </c>
      <c r="O56" s="14" t="s">
        <v>72</v>
      </c>
      <c r="P56" s="14" t="s">
        <v>951</v>
      </c>
      <c r="Q56" s="165"/>
      <c r="R56" s="164" t="s">
        <v>72</v>
      </c>
      <c r="S56" s="13" t="s">
        <v>78</v>
      </c>
      <c r="T56" s="13"/>
      <c r="U56" s="13"/>
      <c r="V56" s="13">
        <v>116</v>
      </c>
      <c r="W56" s="13">
        <v>116</v>
      </c>
      <c r="X56" s="13">
        <v>116</v>
      </c>
      <c r="Y56" s="13">
        <v>2.06</v>
      </c>
      <c r="Z56" s="13">
        <v>1</v>
      </c>
      <c r="AA56" s="13" t="s">
        <v>110</v>
      </c>
      <c r="AB56" s="58">
        <v>43970</v>
      </c>
      <c r="AC56" s="58">
        <v>43965</v>
      </c>
      <c r="AD56" s="58">
        <v>43970</v>
      </c>
      <c r="AE56" s="58">
        <v>43969</v>
      </c>
      <c r="AF56" s="58">
        <v>43969</v>
      </c>
      <c r="AG56" s="58" t="s">
        <v>75</v>
      </c>
      <c r="AH56" s="59">
        <v>1</v>
      </c>
      <c r="AI56" s="59">
        <v>1</v>
      </c>
      <c r="AJ56" s="59">
        <v>1</v>
      </c>
      <c r="AK56" s="58" t="s">
        <v>8</v>
      </c>
      <c r="AL56" s="13"/>
      <c r="AM56" s="13"/>
      <c r="AN56" s="13"/>
    </row>
    <row r="57" spans="2:40" ht="15">
      <c r="B57" s="166">
        <v>156</v>
      </c>
      <c r="C57" s="13">
        <v>20200514</v>
      </c>
      <c r="D57" s="13" t="s">
        <v>24</v>
      </c>
      <c r="E57" s="13" t="s">
        <v>1490</v>
      </c>
      <c r="F57" s="39" t="s">
        <v>1494</v>
      </c>
      <c r="G57" s="14">
        <v>1468187</v>
      </c>
      <c r="H57" s="164" t="s">
        <v>72</v>
      </c>
      <c r="I57" s="13" t="s">
        <v>1495</v>
      </c>
      <c r="J57" s="164" t="s">
        <v>72</v>
      </c>
      <c r="K57" s="13" t="s">
        <v>73</v>
      </c>
      <c r="L57" s="13" t="s">
        <v>1492</v>
      </c>
      <c r="M57" s="13" t="s">
        <v>1493</v>
      </c>
      <c r="N57" s="13" t="s">
        <v>887</v>
      </c>
      <c r="O57" s="14" t="s">
        <v>72</v>
      </c>
      <c r="P57" s="14" t="s">
        <v>951</v>
      </c>
      <c r="Q57" s="165"/>
      <c r="R57" s="164" t="s">
        <v>72</v>
      </c>
      <c r="S57" s="13" t="s">
        <v>78</v>
      </c>
      <c r="T57" s="13"/>
      <c r="U57" s="13"/>
      <c r="V57" s="13">
        <v>132</v>
      </c>
      <c r="W57" s="13">
        <v>132</v>
      </c>
      <c r="X57" s="13">
        <v>132</v>
      </c>
      <c r="Y57" s="13">
        <v>2.34</v>
      </c>
      <c r="Z57" s="13">
        <v>0.5</v>
      </c>
      <c r="AA57" s="13" t="s">
        <v>110</v>
      </c>
      <c r="AB57" s="58">
        <v>43970</v>
      </c>
      <c r="AC57" s="58">
        <v>43965</v>
      </c>
      <c r="AD57" s="58">
        <v>43970</v>
      </c>
      <c r="AE57" s="58">
        <v>43969</v>
      </c>
      <c r="AF57" s="58">
        <v>43969</v>
      </c>
      <c r="AG57" s="58" t="s">
        <v>75</v>
      </c>
      <c r="AH57" s="59">
        <v>1</v>
      </c>
      <c r="AI57" s="59">
        <v>1</v>
      </c>
      <c r="AJ57" s="59">
        <v>1</v>
      </c>
      <c r="AK57" s="58" t="s">
        <v>8</v>
      </c>
      <c r="AL57" s="13"/>
      <c r="AM57" s="13"/>
      <c r="AN57" s="13"/>
    </row>
    <row r="58" spans="2:40" ht="15">
      <c r="B58" s="166">
        <v>157</v>
      </c>
      <c r="C58" s="13">
        <v>20200514</v>
      </c>
      <c r="D58" s="13" t="s">
        <v>24</v>
      </c>
      <c r="E58" s="13" t="s">
        <v>1490</v>
      </c>
      <c r="F58" s="39" t="s">
        <v>1496</v>
      </c>
      <c r="G58" s="14">
        <v>1468187</v>
      </c>
      <c r="H58" s="164" t="s">
        <v>72</v>
      </c>
      <c r="I58" s="13" t="s">
        <v>256</v>
      </c>
      <c r="J58" s="164" t="s">
        <v>72</v>
      </c>
      <c r="K58" s="13" t="s">
        <v>73</v>
      </c>
      <c r="L58" s="13" t="s">
        <v>1492</v>
      </c>
      <c r="M58" s="13" t="s">
        <v>1493</v>
      </c>
      <c r="N58" s="13" t="s">
        <v>887</v>
      </c>
      <c r="O58" s="14" t="s">
        <v>72</v>
      </c>
      <c r="P58" s="14" t="s">
        <v>951</v>
      </c>
      <c r="Q58" s="165"/>
      <c r="R58" s="164" t="s">
        <v>72</v>
      </c>
      <c r="S58" s="13" t="s">
        <v>78</v>
      </c>
      <c r="T58" s="13"/>
      <c r="U58" s="13"/>
      <c r="V58" s="13">
        <v>162</v>
      </c>
      <c r="W58" s="13">
        <v>162</v>
      </c>
      <c r="X58" s="13">
        <v>162</v>
      </c>
      <c r="Y58" s="13">
        <v>2.88</v>
      </c>
      <c r="Z58" s="13">
        <v>0.5</v>
      </c>
      <c r="AA58" s="13" t="s">
        <v>110</v>
      </c>
      <c r="AB58" s="58">
        <v>43970</v>
      </c>
      <c r="AC58" s="58">
        <v>43965</v>
      </c>
      <c r="AD58" s="58">
        <v>43970</v>
      </c>
      <c r="AE58" s="58">
        <v>43969</v>
      </c>
      <c r="AF58" s="58">
        <v>43969</v>
      </c>
      <c r="AG58" s="58" t="s">
        <v>75</v>
      </c>
      <c r="AH58" s="59">
        <v>1</v>
      </c>
      <c r="AI58" s="59">
        <v>1</v>
      </c>
      <c r="AJ58" s="59">
        <v>1</v>
      </c>
      <c r="AK58" s="58" t="s">
        <v>8</v>
      </c>
      <c r="AL58" s="13"/>
      <c r="AM58" s="13"/>
      <c r="AN58" s="13"/>
    </row>
    <row r="59" spans="2:40" ht="15">
      <c r="B59" s="166">
        <v>158</v>
      </c>
      <c r="C59" s="13">
        <v>20200514</v>
      </c>
      <c r="D59" s="13" t="s">
        <v>24</v>
      </c>
      <c r="E59" s="13" t="s">
        <v>1490</v>
      </c>
      <c r="F59" s="39" t="s">
        <v>1497</v>
      </c>
      <c r="G59" s="14">
        <v>1468187</v>
      </c>
      <c r="H59" s="164" t="s">
        <v>72</v>
      </c>
      <c r="I59" s="13" t="s">
        <v>1090</v>
      </c>
      <c r="J59" s="164" t="s">
        <v>72</v>
      </c>
      <c r="K59" s="13" t="s">
        <v>73</v>
      </c>
      <c r="L59" s="13" t="s">
        <v>1492</v>
      </c>
      <c r="M59" s="13" t="s">
        <v>1493</v>
      </c>
      <c r="N59" s="13" t="s">
        <v>887</v>
      </c>
      <c r="O59" s="14" t="s">
        <v>72</v>
      </c>
      <c r="P59" s="14" t="s">
        <v>951</v>
      </c>
      <c r="Q59" s="165"/>
      <c r="R59" s="164" t="s">
        <v>72</v>
      </c>
      <c r="S59" s="13" t="s">
        <v>78</v>
      </c>
      <c r="T59" s="13"/>
      <c r="U59" s="13"/>
      <c r="V59" s="13">
        <v>72</v>
      </c>
      <c r="W59" s="13">
        <v>72</v>
      </c>
      <c r="X59" s="13">
        <v>72</v>
      </c>
      <c r="Y59" s="13">
        <v>1.28</v>
      </c>
      <c r="Z59" s="13">
        <v>0.5</v>
      </c>
      <c r="AA59" s="13" t="s">
        <v>110</v>
      </c>
      <c r="AB59" s="58">
        <v>43970</v>
      </c>
      <c r="AC59" s="58">
        <v>43965</v>
      </c>
      <c r="AD59" s="58">
        <v>43970</v>
      </c>
      <c r="AE59" s="58">
        <v>43969</v>
      </c>
      <c r="AF59" s="58">
        <v>43969</v>
      </c>
      <c r="AG59" s="58" t="s">
        <v>75</v>
      </c>
      <c r="AH59" s="59">
        <v>1</v>
      </c>
      <c r="AI59" s="59">
        <v>1</v>
      </c>
      <c r="AJ59" s="59">
        <v>1</v>
      </c>
      <c r="AK59" s="58" t="s">
        <v>8</v>
      </c>
      <c r="AL59" s="13"/>
      <c r="AM59" s="13"/>
      <c r="AN59" s="13"/>
    </row>
    <row r="60" spans="2:40" ht="15">
      <c r="B60" s="166">
        <v>159</v>
      </c>
      <c r="C60" s="13">
        <v>20200514</v>
      </c>
      <c r="D60" s="13" t="s">
        <v>24</v>
      </c>
      <c r="E60" s="13" t="s">
        <v>1490</v>
      </c>
      <c r="F60" s="39" t="s">
        <v>1498</v>
      </c>
      <c r="G60" s="14">
        <v>1468172</v>
      </c>
      <c r="H60" s="164" t="s">
        <v>72</v>
      </c>
      <c r="I60" s="13" t="s">
        <v>132</v>
      </c>
      <c r="J60" s="164" t="s">
        <v>72</v>
      </c>
      <c r="K60" s="13" t="s">
        <v>73</v>
      </c>
      <c r="L60" s="13" t="s">
        <v>8</v>
      </c>
      <c r="M60" s="13" t="s">
        <v>1493</v>
      </c>
      <c r="N60" s="13" t="s">
        <v>887</v>
      </c>
      <c r="O60" s="14" t="s">
        <v>72</v>
      </c>
      <c r="P60" s="14" t="s">
        <v>1499</v>
      </c>
      <c r="Q60" s="165"/>
      <c r="R60" s="164" t="s">
        <v>72</v>
      </c>
      <c r="S60" s="13" t="s">
        <v>109</v>
      </c>
      <c r="T60" s="13"/>
      <c r="U60" s="13"/>
      <c r="V60" s="13">
        <v>51</v>
      </c>
      <c r="W60" s="13">
        <v>51</v>
      </c>
      <c r="X60" s="13">
        <v>51</v>
      </c>
      <c r="Y60" s="13">
        <v>0.9</v>
      </c>
      <c r="Z60" s="13">
        <v>0.5</v>
      </c>
      <c r="AA60" s="13" t="s">
        <v>110</v>
      </c>
      <c r="AB60" s="58">
        <v>43970</v>
      </c>
      <c r="AC60" s="58">
        <v>43965</v>
      </c>
      <c r="AD60" s="58">
        <v>43970</v>
      </c>
      <c r="AE60" s="58">
        <v>43969</v>
      </c>
      <c r="AF60" s="58">
        <v>43969</v>
      </c>
      <c r="AG60" s="58" t="s">
        <v>75</v>
      </c>
      <c r="AH60" s="59">
        <v>1</v>
      </c>
      <c r="AI60" s="59">
        <v>1</v>
      </c>
      <c r="AJ60" s="59">
        <v>1</v>
      </c>
      <c r="AK60" s="58" t="s">
        <v>8</v>
      </c>
      <c r="AL60" s="13" t="s">
        <v>72</v>
      </c>
      <c r="AM60" s="13" t="s">
        <v>72</v>
      </c>
      <c r="AN60" s="13" t="s">
        <v>72</v>
      </c>
    </row>
    <row r="61" spans="2:40" ht="15">
      <c r="B61" s="166">
        <v>160</v>
      </c>
      <c r="C61" s="13">
        <v>20200514</v>
      </c>
      <c r="D61" s="13" t="s">
        <v>24</v>
      </c>
      <c r="E61" s="13" t="s">
        <v>1490</v>
      </c>
      <c r="F61" s="39" t="s">
        <v>1500</v>
      </c>
      <c r="G61" s="14">
        <v>1468172</v>
      </c>
      <c r="H61" s="164" t="s">
        <v>72</v>
      </c>
      <c r="I61" s="13" t="s">
        <v>135</v>
      </c>
      <c r="J61" s="164" t="s">
        <v>72</v>
      </c>
      <c r="K61" s="13" t="s">
        <v>73</v>
      </c>
      <c r="L61" s="13" t="s">
        <v>8</v>
      </c>
      <c r="M61" s="13" t="s">
        <v>1493</v>
      </c>
      <c r="N61" s="13" t="s">
        <v>887</v>
      </c>
      <c r="O61" s="14" t="s">
        <v>72</v>
      </c>
      <c r="P61" s="14" t="s">
        <v>1499</v>
      </c>
      <c r="Q61" s="165"/>
      <c r="R61" s="164" t="s">
        <v>72</v>
      </c>
      <c r="S61" s="13" t="s">
        <v>109</v>
      </c>
      <c r="T61" s="13"/>
      <c r="U61" s="13"/>
      <c r="V61" s="13">
        <v>109</v>
      </c>
      <c r="W61" s="13">
        <v>109</v>
      </c>
      <c r="X61" s="13">
        <v>109</v>
      </c>
      <c r="Y61" s="13">
        <v>1.93</v>
      </c>
      <c r="Z61" s="13">
        <v>0.5</v>
      </c>
      <c r="AA61" s="13" t="s">
        <v>110</v>
      </c>
      <c r="AB61" s="58">
        <v>43970</v>
      </c>
      <c r="AC61" s="58">
        <v>43965</v>
      </c>
      <c r="AD61" s="58">
        <v>43970</v>
      </c>
      <c r="AE61" s="58">
        <v>43969</v>
      </c>
      <c r="AF61" s="58">
        <v>43969</v>
      </c>
      <c r="AG61" s="58" t="s">
        <v>75</v>
      </c>
      <c r="AH61" s="59">
        <v>1</v>
      </c>
      <c r="AI61" s="59">
        <v>1</v>
      </c>
      <c r="AJ61" s="59">
        <v>1</v>
      </c>
      <c r="AK61" s="58" t="s">
        <v>8</v>
      </c>
      <c r="AL61" s="13" t="s">
        <v>72</v>
      </c>
      <c r="AM61" s="13" t="s">
        <v>72</v>
      </c>
      <c r="AN61" s="13" t="s">
        <v>72</v>
      </c>
    </row>
    <row r="62" spans="2:40" ht="15">
      <c r="B62" s="166">
        <v>161</v>
      </c>
      <c r="C62" s="13">
        <v>20200514</v>
      </c>
      <c r="D62" s="13" t="s">
        <v>24</v>
      </c>
      <c r="E62" s="13" t="s">
        <v>1490</v>
      </c>
      <c r="F62" s="39" t="s">
        <v>1501</v>
      </c>
      <c r="G62" s="14">
        <v>1468172</v>
      </c>
      <c r="H62" s="164" t="s">
        <v>72</v>
      </c>
      <c r="I62" s="13" t="s">
        <v>1502</v>
      </c>
      <c r="J62" s="164" t="s">
        <v>72</v>
      </c>
      <c r="K62" s="13" t="s">
        <v>73</v>
      </c>
      <c r="L62" s="13" t="s">
        <v>8</v>
      </c>
      <c r="M62" s="13" t="s">
        <v>1493</v>
      </c>
      <c r="N62" s="13" t="s">
        <v>887</v>
      </c>
      <c r="O62" s="14" t="s">
        <v>72</v>
      </c>
      <c r="P62" s="14" t="s">
        <v>1499</v>
      </c>
      <c r="Q62" s="165"/>
      <c r="R62" s="164" t="s">
        <v>72</v>
      </c>
      <c r="S62" s="13" t="s">
        <v>109</v>
      </c>
      <c r="T62" s="13"/>
      <c r="U62" s="13"/>
      <c r="V62" s="13">
        <v>64</v>
      </c>
      <c r="W62" s="13">
        <v>64</v>
      </c>
      <c r="X62" s="13">
        <v>64</v>
      </c>
      <c r="Y62" s="13">
        <v>1.1299999999999999</v>
      </c>
      <c r="Z62" s="13">
        <v>0.5</v>
      </c>
      <c r="AA62" s="13" t="s">
        <v>110</v>
      </c>
      <c r="AB62" s="58">
        <v>43970</v>
      </c>
      <c r="AC62" s="58">
        <v>43965</v>
      </c>
      <c r="AD62" s="58">
        <v>43970</v>
      </c>
      <c r="AE62" s="58">
        <v>43969</v>
      </c>
      <c r="AF62" s="58">
        <v>43969</v>
      </c>
      <c r="AG62" s="58" t="s">
        <v>79</v>
      </c>
      <c r="AH62" s="59">
        <v>1</v>
      </c>
      <c r="AI62" s="59">
        <v>0.9</v>
      </c>
      <c r="AJ62" s="59">
        <v>1</v>
      </c>
      <c r="AK62" s="58" t="s">
        <v>76</v>
      </c>
      <c r="AL62" s="14" t="s">
        <v>1503</v>
      </c>
      <c r="AM62" s="13" t="s">
        <v>72</v>
      </c>
      <c r="AN62" s="14" t="s">
        <v>571</v>
      </c>
    </row>
    <row r="63" spans="2:40" ht="15">
      <c r="B63" s="166">
        <v>162</v>
      </c>
      <c r="C63" s="13">
        <v>20200514</v>
      </c>
      <c r="D63" s="13" t="s">
        <v>24</v>
      </c>
      <c r="E63" s="13" t="s">
        <v>1490</v>
      </c>
      <c r="F63" s="39" t="s">
        <v>1504</v>
      </c>
      <c r="G63" s="14">
        <v>1468172</v>
      </c>
      <c r="H63" s="164" t="s">
        <v>72</v>
      </c>
      <c r="I63" s="13" t="s">
        <v>734</v>
      </c>
      <c r="J63" s="164" t="s">
        <v>72</v>
      </c>
      <c r="K63" s="13" t="s">
        <v>73</v>
      </c>
      <c r="L63" s="13" t="s">
        <v>8</v>
      </c>
      <c r="M63" s="13" t="s">
        <v>1493</v>
      </c>
      <c r="N63" s="13" t="s">
        <v>887</v>
      </c>
      <c r="O63" s="14" t="s">
        <v>72</v>
      </c>
      <c r="P63" s="14" t="s">
        <v>1499</v>
      </c>
      <c r="Q63" s="165"/>
      <c r="R63" s="164" t="s">
        <v>72</v>
      </c>
      <c r="S63" s="13" t="s">
        <v>109</v>
      </c>
      <c r="T63" s="13"/>
      <c r="U63" s="13"/>
      <c r="V63" s="13">
        <v>87</v>
      </c>
      <c r="W63" s="13">
        <v>87</v>
      </c>
      <c r="X63" s="13">
        <v>87</v>
      </c>
      <c r="Y63" s="13">
        <v>1.54</v>
      </c>
      <c r="Z63" s="13">
        <v>0.5</v>
      </c>
      <c r="AA63" s="13" t="s">
        <v>110</v>
      </c>
      <c r="AB63" s="58">
        <v>43970</v>
      </c>
      <c r="AC63" s="58">
        <v>43965</v>
      </c>
      <c r="AD63" s="58">
        <v>43970</v>
      </c>
      <c r="AE63" s="58">
        <v>43969</v>
      </c>
      <c r="AF63" s="58">
        <v>43969</v>
      </c>
      <c r="AG63" s="58" t="s">
        <v>75</v>
      </c>
      <c r="AH63" s="59">
        <v>1</v>
      </c>
      <c r="AI63" s="59">
        <v>1</v>
      </c>
      <c r="AJ63" s="59">
        <v>1</v>
      </c>
      <c r="AK63" s="58" t="s">
        <v>8</v>
      </c>
      <c r="AL63" s="13" t="s">
        <v>72</v>
      </c>
      <c r="AM63" s="13" t="s">
        <v>72</v>
      </c>
      <c r="AN63" s="13" t="s">
        <v>72</v>
      </c>
    </row>
    <row r="64" spans="2:40" ht="15">
      <c r="B64" s="166">
        <v>163</v>
      </c>
      <c r="C64" s="13">
        <v>20200514</v>
      </c>
      <c r="D64" s="13" t="s">
        <v>24</v>
      </c>
      <c r="E64" s="13" t="s">
        <v>1490</v>
      </c>
      <c r="F64" s="39" t="s">
        <v>1505</v>
      </c>
      <c r="G64" s="14">
        <v>1468172</v>
      </c>
      <c r="H64" s="164" t="s">
        <v>72</v>
      </c>
      <c r="I64" s="13" t="s">
        <v>1506</v>
      </c>
      <c r="J64" s="164" t="s">
        <v>72</v>
      </c>
      <c r="K64" s="13" t="s">
        <v>73</v>
      </c>
      <c r="L64" s="13" t="s">
        <v>8</v>
      </c>
      <c r="M64" s="13" t="s">
        <v>1493</v>
      </c>
      <c r="N64" s="13" t="s">
        <v>887</v>
      </c>
      <c r="O64" s="14" t="s">
        <v>72</v>
      </c>
      <c r="P64" s="14" t="s">
        <v>1499</v>
      </c>
      <c r="Q64" s="165"/>
      <c r="R64" s="164" t="s">
        <v>72</v>
      </c>
      <c r="S64" s="13" t="s">
        <v>109</v>
      </c>
      <c r="T64" s="13"/>
      <c r="U64" s="13"/>
      <c r="V64" s="13">
        <v>55</v>
      </c>
      <c r="W64" s="13">
        <v>55</v>
      </c>
      <c r="X64" s="13">
        <v>55</v>
      </c>
      <c r="Y64" s="13">
        <v>0.97</v>
      </c>
      <c r="Z64" s="13">
        <v>0.5</v>
      </c>
      <c r="AA64" s="13" t="s">
        <v>110</v>
      </c>
      <c r="AB64" s="58">
        <v>43970</v>
      </c>
      <c r="AC64" s="58">
        <v>43965</v>
      </c>
      <c r="AD64" s="58">
        <v>43970</v>
      </c>
      <c r="AE64" s="58">
        <v>43969</v>
      </c>
      <c r="AF64" s="58">
        <v>43969</v>
      </c>
      <c r="AG64" s="58" t="s">
        <v>75</v>
      </c>
      <c r="AH64" s="59">
        <v>1</v>
      </c>
      <c r="AI64" s="59">
        <v>1</v>
      </c>
      <c r="AJ64" s="59">
        <v>1</v>
      </c>
      <c r="AK64" s="58" t="s">
        <v>8</v>
      </c>
      <c r="AL64" s="13" t="s">
        <v>72</v>
      </c>
      <c r="AM64" s="13" t="s">
        <v>72</v>
      </c>
      <c r="AN64" s="13" t="s">
        <v>72</v>
      </c>
    </row>
    <row r="65" spans="2:40" ht="15">
      <c r="B65" s="166">
        <v>164</v>
      </c>
      <c r="C65" s="13">
        <v>20200514</v>
      </c>
      <c r="D65" s="13" t="s">
        <v>24</v>
      </c>
      <c r="E65" s="13" t="s">
        <v>1490</v>
      </c>
      <c r="F65" s="39" t="s">
        <v>1507</v>
      </c>
      <c r="G65" s="14">
        <v>1468172</v>
      </c>
      <c r="H65" s="164" t="s">
        <v>72</v>
      </c>
      <c r="I65" s="13" t="s">
        <v>1272</v>
      </c>
      <c r="J65" s="164" t="s">
        <v>72</v>
      </c>
      <c r="K65" s="13" t="s">
        <v>73</v>
      </c>
      <c r="L65" s="13" t="s">
        <v>8</v>
      </c>
      <c r="M65" s="13" t="s">
        <v>1493</v>
      </c>
      <c r="N65" s="13" t="s">
        <v>887</v>
      </c>
      <c r="O65" s="14" t="s">
        <v>72</v>
      </c>
      <c r="P65" s="14" t="s">
        <v>1499</v>
      </c>
      <c r="Q65" s="165"/>
      <c r="R65" s="164" t="s">
        <v>72</v>
      </c>
      <c r="S65" s="13" t="s">
        <v>109</v>
      </c>
      <c r="T65" s="13"/>
      <c r="U65" s="13"/>
      <c r="V65" s="13">
        <v>125</v>
      </c>
      <c r="W65" s="13">
        <v>125</v>
      </c>
      <c r="X65" s="13">
        <v>125</v>
      </c>
      <c r="Y65" s="13">
        <v>2.2200000000000002</v>
      </c>
      <c r="Z65" s="13">
        <v>0.5</v>
      </c>
      <c r="AA65" s="13" t="s">
        <v>110</v>
      </c>
      <c r="AB65" s="58">
        <v>43970</v>
      </c>
      <c r="AC65" s="58">
        <v>43965</v>
      </c>
      <c r="AD65" s="58">
        <v>43970</v>
      </c>
      <c r="AE65" s="58">
        <v>43969</v>
      </c>
      <c r="AF65" s="58">
        <v>43969</v>
      </c>
      <c r="AG65" s="58" t="s">
        <v>75</v>
      </c>
      <c r="AH65" s="59">
        <v>1</v>
      </c>
      <c r="AI65" s="59">
        <v>1</v>
      </c>
      <c r="AJ65" s="59">
        <v>1</v>
      </c>
      <c r="AK65" s="58" t="s">
        <v>8</v>
      </c>
      <c r="AL65" s="13" t="s">
        <v>72</v>
      </c>
      <c r="AM65" s="13" t="s">
        <v>72</v>
      </c>
      <c r="AN65" s="13" t="s">
        <v>72</v>
      </c>
    </row>
    <row r="66" spans="2:40" ht="15">
      <c r="B66" s="166">
        <v>165</v>
      </c>
      <c r="C66" s="13">
        <v>20200514</v>
      </c>
      <c r="D66" s="13" t="s">
        <v>24</v>
      </c>
      <c r="E66" s="13" t="s">
        <v>1490</v>
      </c>
      <c r="F66" s="39" t="s">
        <v>1508</v>
      </c>
      <c r="G66" s="14">
        <v>1468172</v>
      </c>
      <c r="H66" s="164" t="s">
        <v>72</v>
      </c>
      <c r="I66" s="13" t="s">
        <v>1509</v>
      </c>
      <c r="J66" s="164" t="s">
        <v>72</v>
      </c>
      <c r="K66" s="13" t="s">
        <v>73</v>
      </c>
      <c r="L66" s="13" t="s">
        <v>8</v>
      </c>
      <c r="M66" s="13" t="s">
        <v>1493</v>
      </c>
      <c r="N66" s="13" t="s">
        <v>887</v>
      </c>
      <c r="O66" s="14" t="s">
        <v>72</v>
      </c>
      <c r="P66" s="14" t="s">
        <v>1499</v>
      </c>
      <c r="Q66" s="165"/>
      <c r="R66" s="164" t="s">
        <v>72</v>
      </c>
      <c r="S66" s="13" t="s">
        <v>109</v>
      </c>
      <c r="T66" s="13"/>
      <c r="U66" s="13"/>
      <c r="V66" s="13">
        <v>107</v>
      </c>
      <c r="W66" s="13">
        <v>107</v>
      </c>
      <c r="X66" s="13">
        <v>107</v>
      </c>
      <c r="Y66" s="13">
        <v>1.9</v>
      </c>
      <c r="Z66" s="13">
        <v>0.5</v>
      </c>
      <c r="AA66" s="13" t="s">
        <v>110</v>
      </c>
      <c r="AB66" s="58">
        <v>43970</v>
      </c>
      <c r="AC66" s="58">
        <v>43965</v>
      </c>
      <c r="AD66" s="58">
        <v>43970</v>
      </c>
      <c r="AE66" s="58">
        <v>43969</v>
      </c>
      <c r="AF66" s="58">
        <v>43969</v>
      </c>
      <c r="AG66" s="58" t="s">
        <v>75</v>
      </c>
      <c r="AH66" s="59">
        <v>1</v>
      </c>
      <c r="AI66" s="59">
        <v>1</v>
      </c>
      <c r="AJ66" s="59">
        <v>1</v>
      </c>
      <c r="AK66" s="58" t="s">
        <v>8</v>
      </c>
      <c r="AL66" s="13" t="s">
        <v>72</v>
      </c>
      <c r="AM66" s="13" t="s">
        <v>72</v>
      </c>
      <c r="AN66" s="13" t="s">
        <v>72</v>
      </c>
    </row>
    <row r="67" spans="2:40" ht="15">
      <c r="B67" s="166">
        <v>166</v>
      </c>
      <c r="C67" s="13">
        <v>20200514</v>
      </c>
      <c r="D67" s="13" t="s">
        <v>24</v>
      </c>
      <c r="E67" s="13" t="s">
        <v>1490</v>
      </c>
      <c r="F67" s="39" t="s">
        <v>1510</v>
      </c>
      <c r="G67" s="14">
        <v>1468172</v>
      </c>
      <c r="H67" s="164" t="s">
        <v>72</v>
      </c>
      <c r="I67" s="13" t="s">
        <v>1511</v>
      </c>
      <c r="J67" s="164" t="s">
        <v>72</v>
      </c>
      <c r="K67" s="13" t="s">
        <v>73</v>
      </c>
      <c r="L67" s="13" t="s">
        <v>8</v>
      </c>
      <c r="M67" s="13" t="s">
        <v>1493</v>
      </c>
      <c r="N67" s="13" t="s">
        <v>887</v>
      </c>
      <c r="O67" s="14" t="s">
        <v>72</v>
      </c>
      <c r="P67" s="14" t="s">
        <v>1499</v>
      </c>
      <c r="Q67" s="165"/>
      <c r="R67" s="164" t="s">
        <v>72</v>
      </c>
      <c r="S67" s="13" t="s">
        <v>109</v>
      </c>
      <c r="T67" s="13"/>
      <c r="U67" s="13"/>
      <c r="V67" s="13">
        <v>41</v>
      </c>
      <c r="W67" s="13">
        <v>41</v>
      </c>
      <c r="X67" s="13">
        <v>41</v>
      </c>
      <c r="Y67" s="13">
        <v>0.72</v>
      </c>
      <c r="Z67" s="13">
        <v>0.5</v>
      </c>
      <c r="AA67" s="13" t="s">
        <v>110</v>
      </c>
      <c r="AB67" s="58">
        <v>43970</v>
      </c>
      <c r="AC67" s="58">
        <v>43965</v>
      </c>
      <c r="AD67" s="58">
        <v>43970</v>
      </c>
      <c r="AE67" s="58">
        <v>43969</v>
      </c>
      <c r="AF67" s="58">
        <v>43969</v>
      </c>
      <c r="AG67" s="58" t="s">
        <v>75</v>
      </c>
      <c r="AH67" s="59">
        <v>1</v>
      </c>
      <c r="AI67" s="59">
        <v>1</v>
      </c>
      <c r="AJ67" s="59">
        <v>1</v>
      </c>
      <c r="AK67" s="58" t="s">
        <v>8</v>
      </c>
      <c r="AL67" s="13" t="s">
        <v>72</v>
      </c>
      <c r="AM67" s="13" t="s">
        <v>72</v>
      </c>
      <c r="AN67" s="13" t="s">
        <v>72</v>
      </c>
    </row>
    <row r="68" spans="2:40" ht="15">
      <c r="B68" s="166">
        <v>167</v>
      </c>
      <c r="C68" s="13">
        <v>20200514</v>
      </c>
      <c r="D68" s="13" t="s">
        <v>24</v>
      </c>
      <c r="E68" s="13" t="s">
        <v>1490</v>
      </c>
      <c r="F68" s="39" t="s">
        <v>1512</v>
      </c>
      <c r="G68" s="14">
        <v>1468172</v>
      </c>
      <c r="H68" s="164" t="s">
        <v>72</v>
      </c>
      <c r="I68" s="13" t="s">
        <v>1513</v>
      </c>
      <c r="J68" s="164" t="s">
        <v>72</v>
      </c>
      <c r="K68" s="13" t="s">
        <v>73</v>
      </c>
      <c r="L68" s="13" t="s">
        <v>8</v>
      </c>
      <c r="M68" s="13" t="s">
        <v>1493</v>
      </c>
      <c r="N68" s="13" t="s">
        <v>887</v>
      </c>
      <c r="O68" s="14" t="s">
        <v>72</v>
      </c>
      <c r="P68" s="14" t="s">
        <v>1499</v>
      </c>
      <c r="Q68" s="165"/>
      <c r="R68" s="164" t="s">
        <v>72</v>
      </c>
      <c r="S68" s="13" t="s">
        <v>109</v>
      </c>
      <c r="T68" s="13"/>
      <c r="U68" s="13"/>
      <c r="V68" s="13">
        <v>42</v>
      </c>
      <c r="W68" s="13">
        <v>42</v>
      </c>
      <c r="X68" s="13">
        <v>42</v>
      </c>
      <c r="Y68" s="13">
        <v>0.74</v>
      </c>
      <c r="Z68" s="13">
        <v>0.5</v>
      </c>
      <c r="AA68" s="13" t="s">
        <v>110</v>
      </c>
      <c r="AB68" s="58">
        <v>43970</v>
      </c>
      <c r="AC68" s="58">
        <v>43965</v>
      </c>
      <c r="AD68" s="58">
        <v>43970</v>
      </c>
      <c r="AE68" s="58">
        <v>43969</v>
      </c>
      <c r="AF68" s="58">
        <v>43969</v>
      </c>
      <c r="AG68" s="58" t="s">
        <v>75</v>
      </c>
      <c r="AH68" s="59">
        <v>1</v>
      </c>
      <c r="AI68" s="59">
        <v>1</v>
      </c>
      <c r="AJ68" s="59">
        <v>1</v>
      </c>
      <c r="AK68" s="58" t="s">
        <v>8</v>
      </c>
      <c r="AL68" s="13" t="s">
        <v>72</v>
      </c>
      <c r="AM68" s="13" t="s">
        <v>72</v>
      </c>
      <c r="AN68" s="13" t="s">
        <v>72</v>
      </c>
    </row>
    <row r="69" spans="2:40" ht="15">
      <c r="B69" s="166">
        <v>168</v>
      </c>
      <c r="C69" s="13">
        <v>20200514</v>
      </c>
      <c r="D69" s="13" t="s">
        <v>24</v>
      </c>
      <c r="E69" s="13" t="s">
        <v>1490</v>
      </c>
      <c r="F69" s="39" t="s">
        <v>1514</v>
      </c>
      <c r="G69" s="14">
        <v>1468172</v>
      </c>
      <c r="H69" s="164" t="s">
        <v>72</v>
      </c>
      <c r="I69" s="13" t="s">
        <v>1515</v>
      </c>
      <c r="J69" s="164" t="s">
        <v>72</v>
      </c>
      <c r="K69" s="13" t="s">
        <v>73</v>
      </c>
      <c r="L69" s="13" t="s">
        <v>8</v>
      </c>
      <c r="M69" s="13" t="s">
        <v>1493</v>
      </c>
      <c r="N69" s="13" t="s">
        <v>887</v>
      </c>
      <c r="O69" s="14" t="s">
        <v>72</v>
      </c>
      <c r="P69" s="14" t="s">
        <v>1499</v>
      </c>
      <c r="Q69" s="165"/>
      <c r="R69" s="164" t="s">
        <v>72</v>
      </c>
      <c r="S69" s="13" t="s">
        <v>573</v>
      </c>
      <c r="T69" s="13"/>
      <c r="U69" s="13"/>
      <c r="V69" s="13">
        <v>11</v>
      </c>
      <c r="W69" s="13">
        <v>11</v>
      </c>
      <c r="X69" s="13">
        <v>11</v>
      </c>
      <c r="Y69" s="13">
        <v>0.19</v>
      </c>
      <c r="Z69" s="13">
        <v>0.1</v>
      </c>
      <c r="AA69" s="13" t="s">
        <v>110</v>
      </c>
      <c r="AB69" s="58">
        <v>43970</v>
      </c>
      <c r="AC69" s="58">
        <v>43965</v>
      </c>
      <c r="AD69" s="58">
        <v>43970</v>
      </c>
      <c r="AE69" s="58">
        <v>43966</v>
      </c>
      <c r="AF69" s="58">
        <v>43966</v>
      </c>
      <c r="AG69" s="58" t="s">
        <v>75</v>
      </c>
      <c r="AH69" s="59">
        <v>1</v>
      </c>
      <c r="AI69" s="59">
        <v>1</v>
      </c>
      <c r="AJ69" s="59">
        <v>1</v>
      </c>
      <c r="AK69" s="58" t="s">
        <v>8</v>
      </c>
      <c r="AL69" s="13"/>
      <c r="AM69" s="13"/>
      <c r="AN69" s="13"/>
    </row>
    <row r="70" spans="2:40" ht="15">
      <c r="B70" s="166">
        <v>169</v>
      </c>
      <c r="C70" s="13">
        <v>20200514</v>
      </c>
      <c r="D70" s="13" t="s">
        <v>24</v>
      </c>
      <c r="E70" s="13" t="s">
        <v>1490</v>
      </c>
      <c r="F70" s="39" t="s">
        <v>1516</v>
      </c>
      <c r="G70" s="14">
        <v>1468172</v>
      </c>
      <c r="H70" s="164" t="s">
        <v>72</v>
      </c>
      <c r="I70" s="13" t="s">
        <v>1517</v>
      </c>
      <c r="J70" s="164" t="s">
        <v>72</v>
      </c>
      <c r="K70" s="13" t="s">
        <v>73</v>
      </c>
      <c r="L70" s="13" t="s">
        <v>8</v>
      </c>
      <c r="M70" s="13" t="s">
        <v>1493</v>
      </c>
      <c r="N70" s="13" t="s">
        <v>887</v>
      </c>
      <c r="O70" s="14" t="s">
        <v>72</v>
      </c>
      <c r="P70" s="14" t="s">
        <v>1499</v>
      </c>
      <c r="Q70" s="165"/>
      <c r="R70" s="164" t="s">
        <v>72</v>
      </c>
      <c r="S70" s="13" t="s">
        <v>573</v>
      </c>
      <c r="T70" s="13"/>
      <c r="U70" s="13"/>
      <c r="V70" s="13">
        <v>493</v>
      </c>
      <c r="W70" s="13">
        <v>493</v>
      </c>
      <c r="X70" s="13">
        <v>493</v>
      </c>
      <c r="Y70" s="13">
        <v>8.76</v>
      </c>
      <c r="Z70" s="13">
        <v>4</v>
      </c>
      <c r="AA70" s="13" t="s">
        <v>110</v>
      </c>
      <c r="AB70" s="58">
        <v>43970</v>
      </c>
      <c r="AC70" s="58">
        <v>43965</v>
      </c>
      <c r="AD70" s="58">
        <v>43970</v>
      </c>
      <c r="AE70" s="58">
        <v>43965</v>
      </c>
      <c r="AF70" s="58">
        <v>43965</v>
      </c>
      <c r="AG70" s="58" t="s">
        <v>75</v>
      </c>
      <c r="AH70" s="59">
        <v>1</v>
      </c>
      <c r="AI70" s="59">
        <v>1</v>
      </c>
      <c r="AJ70" s="59">
        <v>1</v>
      </c>
      <c r="AK70" s="58" t="s">
        <v>8</v>
      </c>
      <c r="AL70" s="13"/>
      <c r="AM70" s="13"/>
      <c r="AN70" s="13"/>
    </row>
    <row r="71" spans="2:40" ht="15">
      <c r="B71" s="166">
        <v>170</v>
      </c>
      <c r="C71" s="13">
        <v>20200514</v>
      </c>
      <c r="D71" s="13" t="s">
        <v>24</v>
      </c>
      <c r="E71" s="13" t="s">
        <v>1490</v>
      </c>
      <c r="F71" s="39" t="s">
        <v>1518</v>
      </c>
      <c r="G71" s="14">
        <v>1468172</v>
      </c>
      <c r="H71" s="164" t="s">
        <v>72</v>
      </c>
      <c r="I71" s="13" t="s">
        <v>1519</v>
      </c>
      <c r="J71" s="164" t="s">
        <v>72</v>
      </c>
      <c r="K71" s="13" t="s">
        <v>73</v>
      </c>
      <c r="L71" s="13" t="s">
        <v>8</v>
      </c>
      <c r="M71" s="13" t="s">
        <v>1493</v>
      </c>
      <c r="N71" s="13" t="s">
        <v>887</v>
      </c>
      <c r="O71" s="14" t="s">
        <v>72</v>
      </c>
      <c r="P71" s="14" t="s">
        <v>1499</v>
      </c>
      <c r="Q71" s="165"/>
      <c r="R71" s="164" t="s">
        <v>72</v>
      </c>
      <c r="S71" s="13" t="s">
        <v>573</v>
      </c>
      <c r="T71" s="13"/>
      <c r="U71" s="13"/>
      <c r="V71" s="13">
        <v>295</v>
      </c>
      <c r="W71" s="13">
        <v>295</v>
      </c>
      <c r="X71" s="13">
        <v>295</v>
      </c>
      <c r="Y71" s="13">
        <v>5.24</v>
      </c>
      <c r="Z71" s="13">
        <v>2</v>
      </c>
      <c r="AA71" s="13" t="s">
        <v>110</v>
      </c>
      <c r="AB71" s="58">
        <v>43970</v>
      </c>
      <c r="AC71" s="58">
        <v>43965</v>
      </c>
      <c r="AD71" s="58">
        <v>43970</v>
      </c>
      <c r="AE71" s="58">
        <v>43965</v>
      </c>
      <c r="AF71" s="58">
        <v>43965</v>
      </c>
      <c r="AG71" s="58" t="s">
        <v>75</v>
      </c>
      <c r="AH71" s="59">
        <v>1</v>
      </c>
      <c r="AI71" s="59">
        <v>1</v>
      </c>
      <c r="AJ71" s="59">
        <v>1</v>
      </c>
      <c r="AK71" s="58" t="s">
        <v>8</v>
      </c>
      <c r="AL71" s="13"/>
      <c r="AM71" s="13"/>
      <c r="AN71" s="13"/>
    </row>
    <row r="72" spans="2:40" ht="15">
      <c r="B72" s="166">
        <v>171</v>
      </c>
      <c r="C72" s="13">
        <v>20200514</v>
      </c>
      <c r="D72" s="13" t="s">
        <v>24</v>
      </c>
      <c r="E72" s="13" t="s">
        <v>1490</v>
      </c>
      <c r="F72" s="39" t="s">
        <v>1520</v>
      </c>
      <c r="G72" s="14">
        <v>1468172</v>
      </c>
      <c r="H72" s="164" t="s">
        <v>72</v>
      </c>
      <c r="I72" s="13" t="s">
        <v>1521</v>
      </c>
      <c r="J72" s="164" t="s">
        <v>72</v>
      </c>
      <c r="K72" s="13" t="s">
        <v>73</v>
      </c>
      <c r="L72" s="13" t="s">
        <v>8</v>
      </c>
      <c r="M72" s="13" t="s">
        <v>1493</v>
      </c>
      <c r="N72" s="13" t="s">
        <v>887</v>
      </c>
      <c r="O72" s="14" t="s">
        <v>72</v>
      </c>
      <c r="P72" s="14" t="s">
        <v>1499</v>
      </c>
      <c r="Q72" s="165"/>
      <c r="R72" s="164" t="s">
        <v>72</v>
      </c>
      <c r="S72" s="13" t="s">
        <v>573</v>
      </c>
      <c r="T72" s="13"/>
      <c r="U72" s="13"/>
      <c r="V72" s="13">
        <v>229</v>
      </c>
      <c r="W72" s="13">
        <v>229</v>
      </c>
      <c r="X72" s="13">
        <v>229</v>
      </c>
      <c r="Y72" s="13">
        <v>4.07</v>
      </c>
      <c r="Z72" s="13">
        <v>2</v>
      </c>
      <c r="AA72" s="13" t="s">
        <v>110</v>
      </c>
      <c r="AB72" s="58">
        <v>43970</v>
      </c>
      <c r="AC72" s="58">
        <v>43965</v>
      </c>
      <c r="AD72" s="58">
        <v>43970</v>
      </c>
      <c r="AE72" s="58">
        <v>43965</v>
      </c>
      <c r="AF72" s="58">
        <v>43965</v>
      </c>
      <c r="AG72" s="58" t="s">
        <v>75</v>
      </c>
      <c r="AH72" s="59">
        <v>1</v>
      </c>
      <c r="AI72" s="59">
        <v>1</v>
      </c>
      <c r="AJ72" s="59">
        <v>1</v>
      </c>
      <c r="AK72" s="58" t="s">
        <v>8</v>
      </c>
      <c r="AL72" s="13"/>
      <c r="AM72" s="13"/>
      <c r="AN72" s="13"/>
    </row>
    <row r="73" spans="2:40" ht="15">
      <c r="B73" s="166">
        <v>172</v>
      </c>
      <c r="C73" s="13">
        <v>20200514</v>
      </c>
      <c r="D73" s="13" t="s">
        <v>24</v>
      </c>
      <c r="E73" s="13" t="s">
        <v>1490</v>
      </c>
      <c r="F73" s="39" t="s">
        <v>1522</v>
      </c>
      <c r="G73" s="14">
        <v>1468172</v>
      </c>
      <c r="H73" s="164" t="s">
        <v>72</v>
      </c>
      <c r="I73" s="13" t="s">
        <v>1523</v>
      </c>
      <c r="J73" s="164" t="s">
        <v>72</v>
      </c>
      <c r="K73" s="13" t="s">
        <v>73</v>
      </c>
      <c r="L73" s="13" t="s">
        <v>8</v>
      </c>
      <c r="M73" s="13" t="s">
        <v>1493</v>
      </c>
      <c r="N73" s="13" t="s">
        <v>887</v>
      </c>
      <c r="O73" s="14" t="s">
        <v>72</v>
      </c>
      <c r="P73" s="14" t="s">
        <v>1499</v>
      </c>
      <c r="Q73" s="165"/>
      <c r="R73" s="164" t="s">
        <v>72</v>
      </c>
      <c r="S73" s="13" t="s">
        <v>573</v>
      </c>
      <c r="T73" s="13"/>
      <c r="U73" s="13"/>
      <c r="V73" s="13">
        <v>137</v>
      </c>
      <c r="W73" s="13">
        <v>137</v>
      </c>
      <c r="X73" s="13">
        <v>137</v>
      </c>
      <c r="Y73" s="13">
        <v>2.4300000000000002</v>
      </c>
      <c r="Z73" s="13">
        <v>2</v>
      </c>
      <c r="AA73" s="13" t="s">
        <v>110</v>
      </c>
      <c r="AB73" s="58">
        <v>43970</v>
      </c>
      <c r="AC73" s="58">
        <v>43965</v>
      </c>
      <c r="AD73" s="58">
        <v>43970</v>
      </c>
      <c r="AE73" s="58">
        <v>43966</v>
      </c>
      <c r="AF73" s="58">
        <v>43966</v>
      </c>
      <c r="AG73" s="58" t="s">
        <v>75</v>
      </c>
      <c r="AH73" s="59">
        <v>1</v>
      </c>
      <c r="AI73" s="59">
        <v>1</v>
      </c>
      <c r="AJ73" s="59">
        <v>1</v>
      </c>
      <c r="AK73" s="58" t="s">
        <v>8</v>
      </c>
      <c r="AL73" s="13"/>
      <c r="AM73" s="13"/>
      <c r="AN73" s="13"/>
    </row>
    <row r="74" spans="2:40" ht="15">
      <c r="B74" s="166">
        <v>173</v>
      </c>
      <c r="C74" s="13">
        <v>20200514</v>
      </c>
      <c r="D74" s="13" t="s">
        <v>24</v>
      </c>
      <c r="E74" s="13" t="s">
        <v>1490</v>
      </c>
      <c r="F74" s="39" t="s">
        <v>1524</v>
      </c>
      <c r="G74" s="14">
        <v>1468172</v>
      </c>
      <c r="H74" s="164" t="s">
        <v>72</v>
      </c>
      <c r="I74" s="13" t="s">
        <v>1525</v>
      </c>
      <c r="J74" s="164" t="s">
        <v>72</v>
      </c>
      <c r="K74" s="13" t="s">
        <v>73</v>
      </c>
      <c r="L74" s="13" t="s">
        <v>8</v>
      </c>
      <c r="M74" s="13" t="s">
        <v>1493</v>
      </c>
      <c r="N74" s="13" t="s">
        <v>887</v>
      </c>
      <c r="O74" s="14" t="s">
        <v>72</v>
      </c>
      <c r="P74" s="14" t="s">
        <v>1499</v>
      </c>
      <c r="Q74" s="165"/>
      <c r="R74" s="164" t="s">
        <v>72</v>
      </c>
      <c r="S74" s="13" t="s">
        <v>573</v>
      </c>
      <c r="T74" s="13"/>
      <c r="U74" s="13"/>
      <c r="V74" s="13">
        <v>6</v>
      </c>
      <c r="W74" s="13">
        <v>6</v>
      </c>
      <c r="X74" s="13">
        <v>6</v>
      </c>
      <c r="Y74" s="13">
        <v>0.1</v>
      </c>
      <c r="Z74" s="13">
        <v>0.1</v>
      </c>
      <c r="AA74" s="13" t="s">
        <v>110</v>
      </c>
      <c r="AB74" s="58">
        <v>43970</v>
      </c>
      <c r="AC74" s="58">
        <v>43965</v>
      </c>
      <c r="AD74" s="58">
        <v>43970</v>
      </c>
      <c r="AE74" s="58">
        <v>43966</v>
      </c>
      <c r="AF74" s="58">
        <v>43966</v>
      </c>
      <c r="AG74" s="58" t="s">
        <v>75</v>
      </c>
      <c r="AH74" s="59" t="s">
        <v>72</v>
      </c>
      <c r="AI74" s="59" t="s">
        <v>72</v>
      </c>
      <c r="AJ74" s="59" t="s">
        <v>72</v>
      </c>
      <c r="AK74" s="58" t="s">
        <v>8</v>
      </c>
      <c r="AL74" s="13"/>
      <c r="AM74" s="13"/>
      <c r="AN74" s="13" t="s">
        <v>574</v>
      </c>
    </row>
    <row r="75" spans="2:40" ht="15">
      <c r="B75" s="166">
        <v>174</v>
      </c>
      <c r="C75" s="13">
        <v>20200514</v>
      </c>
      <c r="D75" s="13" t="s">
        <v>24</v>
      </c>
      <c r="E75" s="13" t="s">
        <v>1490</v>
      </c>
      <c r="F75" s="39" t="s">
        <v>1526</v>
      </c>
      <c r="G75" s="14">
        <v>1468219</v>
      </c>
      <c r="H75" s="164" t="s">
        <v>72</v>
      </c>
      <c r="I75" s="13" t="s">
        <v>1177</v>
      </c>
      <c r="J75" s="164" t="s">
        <v>72</v>
      </c>
      <c r="K75" s="13" t="s">
        <v>73</v>
      </c>
      <c r="L75" s="13" t="s">
        <v>1527</v>
      </c>
      <c r="M75" s="13" t="s">
        <v>1493</v>
      </c>
      <c r="N75" s="13" t="s">
        <v>887</v>
      </c>
      <c r="O75" s="14" t="s">
        <v>72</v>
      </c>
      <c r="P75" s="14" t="s">
        <v>1286</v>
      </c>
      <c r="Q75" s="165"/>
      <c r="R75" s="164" t="s">
        <v>72</v>
      </c>
      <c r="S75" s="13" t="s">
        <v>573</v>
      </c>
      <c r="T75" s="13"/>
      <c r="U75" s="13"/>
      <c r="V75" s="13">
        <v>40</v>
      </c>
      <c r="W75" s="13">
        <v>40</v>
      </c>
      <c r="X75" s="13">
        <v>40</v>
      </c>
      <c r="Y75" s="13">
        <v>0.71</v>
      </c>
      <c r="Z75" s="13">
        <v>1</v>
      </c>
      <c r="AA75" s="13" t="s">
        <v>110</v>
      </c>
      <c r="AB75" s="58">
        <v>43970</v>
      </c>
      <c r="AC75" s="58">
        <v>43965</v>
      </c>
      <c r="AD75" s="58">
        <v>43970</v>
      </c>
      <c r="AE75" s="58">
        <v>43969</v>
      </c>
      <c r="AF75" s="58">
        <v>43969</v>
      </c>
      <c r="AG75" s="58" t="s">
        <v>75</v>
      </c>
      <c r="AH75" s="59">
        <v>1</v>
      </c>
      <c r="AI75" s="59">
        <v>1</v>
      </c>
      <c r="AJ75" s="59">
        <v>1</v>
      </c>
      <c r="AK75" s="58" t="s">
        <v>8</v>
      </c>
      <c r="AL75" s="13"/>
      <c r="AM75" s="13"/>
      <c r="AN75" s="13"/>
    </row>
    <row r="76" spans="2:40" ht="15">
      <c r="B76" s="166">
        <v>175</v>
      </c>
      <c r="C76" s="13">
        <v>20200514</v>
      </c>
      <c r="D76" s="13" t="s">
        <v>24</v>
      </c>
      <c r="E76" s="13" t="s">
        <v>1490</v>
      </c>
      <c r="F76" s="39" t="s">
        <v>1528</v>
      </c>
      <c r="G76" s="14">
        <v>1468219</v>
      </c>
      <c r="H76" s="164" t="s">
        <v>72</v>
      </c>
      <c r="I76" s="13" t="s">
        <v>1529</v>
      </c>
      <c r="J76" s="164" t="s">
        <v>72</v>
      </c>
      <c r="K76" s="13" t="s">
        <v>73</v>
      </c>
      <c r="L76" s="13" t="s">
        <v>1527</v>
      </c>
      <c r="M76" s="13" t="s">
        <v>1493</v>
      </c>
      <c r="N76" s="13" t="s">
        <v>887</v>
      </c>
      <c r="O76" s="14" t="s">
        <v>72</v>
      </c>
      <c r="P76" s="14" t="s">
        <v>1286</v>
      </c>
      <c r="Q76" s="165"/>
      <c r="R76" s="164" t="s">
        <v>72</v>
      </c>
      <c r="S76" s="13" t="s">
        <v>74</v>
      </c>
      <c r="T76" s="13"/>
      <c r="U76" s="13"/>
      <c r="V76" s="13">
        <v>805</v>
      </c>
      <c r="W76" s="13">
        <v>805</v>
      </c>
      <c r="X76" s="13">
        <v>805</v>
      </c>
      <c r="Y76" s="13">
        <v>14.31</v>
      </c>
      <c r="Z76" s="13">
        <v>8</v>
      </c>
      <c r="AA76" s="13" t="s">
        <v>110</v>
      </c>
      <c r="AB76" s="58">
        <v>43970</v>
      </c>
      <c r="AC76" s="58">
        <v>43965</v>
      </c>
      <c r="AD76" s="58">
        <v>43970</v>
      </c>
      <c r="AE76" s="58">
        <v>43966</v>
      </c>
      <c r="AF76" s="58">
        <v>43966</v>
      </c>
      <c r="AG76" s="58" t="s">
        <v>75</v>
      </c>
      <c r="AH76" s="59">
        <v>1</v>
      </c>
      <c r="AI76" s="59">
        <v>1</v>
      </c>
      <c r="AJ76" s="59">
        <v>1</v>
      </c>
      <c r="AK76" s="58" t="s">
        <v>8</v>
      </c>
      <c r="AL76" s="13"/>
      <c r="AM76" s="13"/>
      <c r="AN76" s="13"/>
    </row>
    <row r="77" spans="2:40" ht="15">
      <c r="B77" s="166">
        <v>176</v>
      </c>
      <c r="C77" s="13">
        <v>20200514</v>
      </c>
      <c r="D77" s="13" t="s">
        <v>24</v>
      </c>
      <c r="E77" s="13" t="s">
        <v>1490</v>
      </c>
      <c r="F77" s="39" t="s">
        <v>1530</v>
      </c>
      <c r="G77" s="14">
        <v>1468219</v>
      </c>
      <c r="H77" s="164" t="s">
        <v>72</v>
      </c>
      <c r="I77" s="13" t="s">
        <v>1112</v>
      </c>
      <c r="J77" s="164" t="s">
        <v>72</v>
      </c>
      <c r="K77" s="13" t="s">
        <v>73</v>
      </c>
      <c r="L77" s="13" t="s">
        <v>1527</v>
      </c>
      <c r="M77" s="13" t="s">
        <v>1493</v>
      </c>
      <c r="N77" s="13" t="s">
        <v>887</v>
      </c>
      <c r="O77" s="14" t="s">
        <v>72</v>
      </c>
      <c r="P77" s="14" t="s">
        <v>1286</v>
      </c>
      <c r="Q77" s="165"/>
      <c r="R77" s="164" t="s">
        <v>72</v>
      </c>
      <c r="S77" s="13" t="s">
        <v>573</v>
      </c>
      <c r="T77" s="13"/>
      <c r="U77" s="13"/>
      <c r="V77" s="13">
        <v>73</v>
      </c>
      <c r="W77" s="13">
        <v>73</v>
      </c>
      <c r="X77" s="13">
        <v>73</v>
      </c>
      <c r="Y77" s="13">
        <v>1.29</v>
      </c>
      <c r="Z77" s="13">
        <v>1</v>
      </c>
      <c r="AA77" s="13" t="s">
        <v>110</v>
      </c>
      <c r="AB77" s="58">
        <v>43970</v>
      </c>
      <c r="AC77" s="58">
        <v>43965</v>
      </c>
      <c r="AD77" s="58">
        <v>43970</v>
      </c>
      <c r="AE77" s="58">
        <v>43966</v>
      </c>
      <c r="AF77" s="58">
        <v>43966</v>
      </c>
      <c r="AG77" s="58" t="s">
        <v>75</v>
      </c>
      <c r="AH77" s="59">
        <v>1</v>
      </c>
      <c r="AI77" s="59">
        <v>1</v>
      </c>
      <c r="AJ77" s="59">
        <v>1</v>
      </c>
      <c r="AK77" s="58" t="s">
        <v>8</v>
      </c>
      <c r="AL77" s="13"/>
      <c r="AM77" s="13"/>
      <c r="AN77" s="13"/>
    </row>
    <row r="78" spans="2:40" ht="15">
      <c r="B78" s="166">
        <v>177</v>
      </c>
      <c r="C78" s="13">
        <v>20200514</v>
      </c>
      <c r="D78" s="13" t="s">
        <v>24</v>
      </c>
      <c r="E78" s="13" t="s">
        <v>1490</v>
      </c>
      <c r="F78" s="39" t="s">
        <v>1531</v>
      </c>
      <c r="G78" s="14">
        <v>1468219</v>
      </c>
      <c r="H78" s="164" t="s">
        <v>72</v>
      </c>
      <c r="I78" s="13" t="s">
        <v>120</v>
      </c>
      <c r="J78" s="164" t="s">
        <v>72</v>
      </c>
      <c r="K78" s="13" t="s">
        <v>73</v>
      </c>
      <c r="L78" s="13" t="s">
        <v>1527</v>
      </c>
      <c r="M78" s="13" t="s">
        <v>1493</v>
      </c>
      <c r="N78" s="13" t="s">
        <v>887</v>
      </c>
      <c r="O78" s="14" t="s">
        <v>72</v>
      </c>
      <c r="P78" s="14" t="s">
        <v>1286</v>
      </c>
      <c r="Q78" s="165"/>
      <c r="R78" s="164" t="s">
        <v>72</v>
      </c>
      <c r="S78" s="13" t="s">
        <v>573</v>
      </c>
      <c r="T78" s="13"/>
      <c r="U78" s="13"/>
      <c r="V78" s="13">
        <v>175</v>
      </c>
      <c r="W78" s="13">
        <v>175</v>
      </c>
      <c r="X78" s="13">
        <v>175</v>
      </c>
      <c r="Y78" s="13">
        <v>3.11</v>
      </c>
      <c r="Z78" s="13">
        <v>3</v>
      </c>
      <c r="AA78" s="13" t="s">
        <v>110</v>
      </c>
      <c r="AB78" s="58">
        <v>43970</v>
      </c>
      <c r="AC78" s="58">
        <v>43965</v>
      </c>
      <c r="AD78" s="58">
        <v>43970</v>
      </c>
      <c r="AE78" s="58">
        <v>43966</v>
      </c>
      <c r="AF78" s="58">
        <v>43966</v>
      </c>
      <c r="AG78" s="58" t="s">
        <v>75</v>
      </c>
      <c r="AH78" s="59">
        <v>1</v>
      </c>
      <c r="AI78" s="59">
        <v>1</v>
      </c>
      <c r="AJ78" s="59">
        <v>1</v>
      </c>
      <c r="AK78" s="58" t="s">
        <v>8</v>
      </c>
      <c r="AL78" s="13"/>
      <c r="AM78" s="13"/>
      <c r="AN78" s="13"/>
    </row>
    <row r="79" spans="2:40" ht="15">
      <c r="B79" s="166">
        <v>178</v>
      </c>
      <c r="C79" s="13">
        <v>20200514</v>
      </c>
      <c r="D79" s="13" t="s">
        <v>24</v>
      </c>
      <c r="E79" s="13" t="s">
        <v>1490</v>
      </c>
      <c r="F79" s="39" t="s">
        <v>1532</v>
      </c>
      <c r="G79" s="14">
        <v>1468219</v>
      </c>
      <c r="H79" s="164" t="s">
        <v>72</v>
      </c>
      <c r="I79" s="13" t="s">
        <v>120</v>
      </c>
      <c r="J79" s="164" t="s">
        <v>72</v>
      </c>
      <c r="K79" s="13" t="s">
        <v>73</v>
      </c>
      <c r="L79" s="13" t="s">
        <v>1527</v>
      </c>
      <c r="M79" s="13" t="s">
        <v>1493</v>
      </c>
      <c r="N79" s="13" t="s">
        <v>887</v>
      </c>
      <c r="O79" s="14" t="s">
        <v>72</v>
      </c>
      <c r="P79" s="14" t="s">
        <v>1286</v>
      </c>
      <c r="Q79" s="165"/>
      <c r="R79" s="164" t="s">
        <v>72</v>
      </c>
      <c r="S79" s="13" t="s">
        <v>573</v>
      </c>
      <c r="T79" s="13"/>
      <c r="U79" s="13"/>
      <c r="V79" s="13">
        <v>175</v>
      </c>
      <c r="W79" s="13">
        <v>175</v>
      </c>
      <c r="X79" s="13">
        <v>175</v>
      </c>
      <c r="Y79" s="13">
        <v>3.11</v>
      </c>
      <c r="Z79" s="13">
        <v>3</v>
      </c>
      <c r="AA79" s="13" t="s">
        <v>110</v>
      </c>
      <c r="AB79" s="58">
        <v>43970</v>
      </c>
      <c r="AC79" s="58">
        <v>43965</v>
      </c>
      <c r="AD79" s="58">
        <v>43970</v>
      </c>
      <c r="AE79" s="58">
        <v>43966</v>
      </c>
      <c r="AF79" s="58">
        <v>43966</v>
      </c>
      <c r="AG79" s="58" t="s">
        <v>75</v>
      </c>
      <c r="AH79" s="59">
        <v>1</v>
      </c>
      <c r="AI79" s="59">
        <v>1</v>
      </c>
      <c r="AJ79" s="59">
        <v>1</v>
      </c>
      <c r="AK79" s="58" t="s">
        <v>8</v>
      </c>
      <c r="AL79" s="13"/>
      <c r="AM79" s="13"/>
      <c r="AN79" s="13"/>
    </row>
    <row r="80" spans="2:40" ht="15">
      <c r="B80" s="166">
        <v>179</v>
      </c>
      <c r="C80" s="13">
        <v>20200514</v>
      </c>
      <c r="D80" s="13" t="s">
        <v>24</v>
      </c>
      <c r="E80" s="13" t="s">
        <v>1490</v>
      </c>
      <c r="F80" s="39" t="s">
        <v>1533</v>
      </c>
      <c r="G80" s="14">
        <v>1468219</v>
      </c>
      <c r="H80" s="164" t="s">
        <v>72</v>
      </c>
      <c r="I80" s="13" t="s">
        <v>120</v>
      </c>
      <c r="J80" s="164" t="s">
        <v>72</v>
      </c>
      <c r="K80" s="13" t="s">
        <v>73</v>
      </c>
      <c r="L80" s="13" t="s">
        <v>1527</v>
      </c>
      <c r="M80" s="13" t="s">
        <v>1493</v>
      </c>
      <c r="N80" s="13" t="s">
        <v>887</v>
      </c>
      <c r="O80" s="14" t="s">
        <v>72</v>
      </c>
      <c r="P80" s="14" t="s">
        <v>1286</v>
      </c>
      <c r="Q80" s="165"/>
      <c r="R80" s="164" t="s">
        <v>72</v>
      </c>
      <c r="S80" s="13" t="s">
        <v>573</v>
      </c>
      <c r="T80" s="13"/>
      <c r="U80" s="13"/>
      <c r="V80" s="13">
        <v>175</v>
      </c>
      <c r="W80" s="13">
        <v>175</v>
      </c>
      <c r="X80" s="13">
        <v>175</v>
      </c>
      <c r="Y80" s="13">
        <v>3.11</v>
      </c>
      <c r="Z80" s="13">
        <v>3</v>
      </c>
      <c r="AA80" s="13" t="s">
        <v>110</v>
      </c>
      <c r="AB80" s="58">
        <v>43970</v>
      </c>
      <c r="AC80" s="58">
        <v>43965</v>
      </c>
      <c r="AD80" s="58">
        <v>43970</v>
      </c>
      <c r="AE80" s="58">
        <v>43966</v>
      </c>
      <c r="AF80" s="58">
        <v>43966</v>
      </c>
      <c r="AG80" s="58" t="s">
        <v>75</v>
      </c>
      <c r="AH80" s="59">
        <v>1</v>
      </c>
      <c r="AI80" s="59">
        <v>1</v>
      </c>
      <c r="AJ80" s="59">
        <v>1</v>
      </c>
      <c r="AK80" s="58" t="s">
        <v>8</v>
      </c>
      <c r="AL80" s="13"/>
      <c r="AM80" s="13"/>
      <c r="AN80" s="13"/>
    </row>
    <row r="81" spans="2:40" ht="15">
      <c r="B81" s="166">
        <v>180</v>
      </c>
      <c r="C81" s="13">
        <v>20200514</v>
      </c>
      <c r="D81" s="13" t="s">
        <v>24</v>
      </c>
      <c r="E81" s="13" t="s">
        <v>1490</v>
      </c>
      <c r="F81" s="39" t="s">
        <v>1534</v>
      </c>
      <c r="G81" s="14">
        <v>1468219</v>
      </c>
      <c r="H81" s="164" t="s">
        <v>72</v>
      </c>
      <c r="I81" s="13" t="s">
        <v>120</v>
      </c>
      <c r="J81" s="164" t="s">
        <v>72</v>
      </c>
      <c r="K81" s="13" t="s">
        <v>73</v>
      </c>
      <c r="L81" s="13" t="s">
        <v>1527</v>
      </c>
      <c r="M81" s="13" t="s">
        <v>1493</v>
      </c>
      <c r="N81" s="13" t="s">
        <v>887</v>
      </c>
      <c r="O81" s="14" t="s">
        <v>72</v>
      </c>
      <c r="P81" s="14" t="s">
        <v>1286</v>
      </c>
      <c r="Q81" s="165"/>
      <c r="R81" s="164" t="s">
        <v>72</v>
      </c>
      <c r="S81" s="13" t="s">
        <v>573</v>
      </c>
      <c r="T81" s="13"/>
      <c r="U81" s="13"/>
      <c r="V81" s="13">
        <v>175</v>
      </c>
      <c r="W81" s="13">
        <v>175</v>
      </c>
      <c r="X81" s="13">
        <v>175</v>
      </c>
      <c r="Y81" s="13">
        <v>3.11</v>
      </c>
      <c r="Z81" s="13">
        <v>3</v>
      </c>
      <c r="AA81" s="13" t="s">
        <v>110</v>
      </c>
      <c r="AB81" s="58">
        <v>43970</v>
      </c>
      <c r="AC81" s="58">
        <v>43965</v>
      </c>
      <c r="AD81" s="58">
        <v>43970</v>
      </c>
      <c r="AE81" s="58">
        <v>43966</v>
      </c>
      <c r="AF81" s="58">
        <v>43966</v>
      </c>
      <c r="AG81" s="58" t="s">
        <v>75</v>
      </c>
      <c r="AH81" s="59">
        <v>1</v>
      </c>
      <c r="AI81" s="59">
        <v>1</v>
      </c>
      <c r="AJ81" s="59">
        <v>1</v>
      </c>
      <c r="AK81" s="58" t="s">
        <v>8</v>
      </c>
      <c r="AL81" s="13"/>
      <c r="AM81" s="13"/>
      <c r="AN81" s="13"/>
    </row>
    <row r="82" spans="2:40" ht="15">
      <c r="B82" s="170">
        <v>184</v>
      </c>
      <c r="C82" s="13">
        <v>20200515</v>
      </c>
      <c r="D82" s="13" t="s">
        <v>24</v>
      </c>
      <c r="E82" s="13" t="s">
        <v>1535</v>
      </c>
      <c r="F82" s="39" t="s">
        <v>1536</v>
      </c>
      <c r="G82" s="14">
        <v>1460288</v>
      </c>
      <c r="H82" s="164" t="s">
        <v>72</v>
      </c>
      <c r="I82" s="13" t="s">
        <v>1537</v>
      </c>
      <c r="J82" s="164" t="s">
        <v>72</v>
      </c>
      <c r="K82" s="13" t="s">
        <v>73</v>
      </c>
      <c r="L82" s="13" t="s">
        <v>1538</v>
      </c>
      <c r="M82" s="13" t="s">
        <v>8</v>
      </c>
      <c r="N82" s="13" t="s">
        <v>596</v>
      </c>
      <c r="O82" s="14" t="s">
        <v>72</v>
      </c>
      <c r="P82" s="14" t="s">
        <v>1539</v>
      </c>
      <c r="Q82" s="165"/>
      <c r="R82" s="164" t="s">
        <v>72</v>
      </c>
      <c r="S82" s="13" t="s">
        <v>117</v>
      </c>
      <c r="T82" s="13"/>
      <c r="U82" s="13"/>
      <c r="V82" s="13">
        <v>417</v>
      </c>
      <c r="W82" s="13">
        <v>417</v>
      </c>
      <c r="X82" s="13">
        <v>417</v>
      </c>
      <c r="Y82" s="13">
        <v>7.41</v>
      </c>
      <c r="Z82" s="13">
        <v>7</v>
      </c>
      <c r="AA82" s="13" t="s">
        <v>110</v>
      </c>
      <c r="AB82" s="58">
        <v>43969</v>
      </c>
      <c r="AC82" s="58">
        <v>43966</v>
      </c>
      <c r="AD82" s="58">
        <v>43971</v>
      </c>
      <c r="AE82" s="58">
        <v>43966</v>
      </c>
      <c r="AF82" s="58">
        <v>43966</v>
      </c>
      <c r="AG82" s="58" t="s">
        <v>79</v>
      </c>
      <c r="AH82" s="59">
        <v>1</v>
      </c>
      <c r="AI82" s="59">
        <v>0.98</v>
      </c>
      <c r="AJ82" s="59">
        <v>0.87</v>
      </c>
      <c r="AK82" s="58" t="s">
        <v>76</v>
      </c>
      <c r="AL82" s="14" t="s">
        <v>1540</v>
      </c>
      <c r="AM82" s="14" t="s">
        <v>72</v>
      </c>
      <c r="AN82" s="14" t="s">
        <v>1541</v>
      </c>
    </row>
    <row r="83" spans="2:40" ht="15">
      <c r="B83" s="170">
        <v>185</v>
      </c>
      <c r="C83" s="13">
        <v>20200515</v>
      </c>
      <c r="D83" s="13" t="s">
        <v>24</v>
      </c>
      <c r="E83" s="13" t="s">
        <v>1535</v>
      </c>
      <c r="F83" s="39" t="s">
        <v>1542</v>
      </c>
      <c r="G83" s="14">
        <v>1460288</v>
      </c>
      <c r="H83" s="164" t="s">
        <v>72</v>
      </c>
      <c r="I83" s="13" t="s">
        <v>1543</v>
      </c>
      <c r="J83" s="164" t="s">
        <v>72</v>
      </c>
      <c r="K83" s="13" t="s">
        <v>73</v>
      </c>
      <c r="L83" s="13" t="s">
        <v>1538</v>
      </c>
      <c r="M83" s="13" t="s">
        <v>8</v>
      </c>
      <c r="N83" s="13" t="s">
        <v>596</v>
      </c>
      <c r="O83" s="14" t="s">
        <v>72</v>
      </c>
      <c r="P83" s="14" t="s">
        <v>1539</v>
      </c>
      <c r="Q83" s="165"/>
      <c r="R83" s="164" t="s">
        <v>72</v>
      </c>
      <c r="S83" s="13" t="s">
        <v>113</v>
      </c>
      <c r="T83" s="13"/>
      <c r="U83" s="13"/>
      <c r="V83" s="13">
        <v>400</v>
      </c>
      <c r="W83" s="13">
        <v>400</v>
      </c>
      <c r="X83" s="13">
        <v>400</v>
      </c>
      <c r="Y83" s="13">
        <v>7.11</v>
      </c>
      <c r="Z83" s="13">
        <v>7.11</v>
      </c>
      <c r="AA83" s="13" t="s">
        <v>110</v>
      </c>
      <c r="AB83" s="58">
        <v>43969</v>
      </c>
      <c r="AC83" s="58">
        <v>43966</v>
      </c>
      <c r="AD83" s="58">
        <v>43971</v>
      </c>
      <c r="AE83" s="58">
        <v>43969</v>
      </c>
      <c r="AF83" s="58">
        <v>43969</v>
      </c>
      <c r="AG83" s="58" t="s">
        <v>79</v>
      </c>
      <c r="AH83" s="59">
        <v>1</v>
      </c>
      <c r="AI83" s="59">
        <v>0.97</v>
      </c>
      <c r="AJ83" s="59">
        <v>0.5</v>
      </c>
      <c r="AK83" s="58" t="s">
        <v>76</v>
      </c>
      <c r="AL83" s="14" t="s">
        <v>1544</v>
      </c>
      <c r="AM83" s="14" t="s">
        <v>72</v>
      </c>
      <c r="AN83" s="14" t="s">
        <v>571</v>
      </c>
    </row>
    <row r="84" spans="2:40" ht="15">
      <c r="B84" s="170">
        <v>186</v>
      </c>
      <c r="C84" s="13">
        <v>20200515</v>
      </c>
      <c r="D84" s="13" t="s">
        <v>24</v>
      </c>
      <c r="E84" s="13" t="s">
        <v>2364</v>
      </c>
      <c r="F84" s="39" t="s">
        <v>1546</v>
      </c>
      <c r="G84" s="14">
        <v>1435414</v>
      </c>
      <c r="H84" s="164" t="s">
        <v>72</v>
      </c>
      <c r="I84" s="13" t="s">
        <v>885</v>
      </c>
      <c r="J84" s="164" t="s">
        <v>72</v>
      </c>
      <c r="K84" s="13" t="s">
        <v>73</v>
      </c>
      <c r="L84" s="13" t="s">
        <v>1527</v>
      </c>
      <c r="M84" s="13" t="s">
        <v>1493</v>
      </c>
      <c r="N84" s="13" t="s">
        <v>887</v>
      </c>
      <c r="O84" s="14" t="s">
        <v>72</v>
      </c>
      <c r="P84" s="14" t="s">
        <v>888</v>
      </c>
      <c r="Q84" s="165"/>
      <c r="R84" s="164" t="s">
        <v>72</v>
      </c>
      <c r="S84" s="13" t="s">
        <v>161</v>
      </c>
      <c r="T84" s="13"/>
      <c r="U84" s="13"/>
      <c r="V84" s="13">
        <v>62</v>
      </c>
      <c r="W84" s="13">
        <v>62</v>
      </c>
      <c r="X84" s="13">
        <v>62</v>
      </c>
      <c r="Y84" s="13">
        <v>1.1000000000000001</v>
      </c>
      <c r="Z84" s="13">
        <v>1</v>
      </c>
      <c r="AA84" s="13" t="s">
        <v>110</v>
      </c>
      <c r="AB84" s="58">
        <v>43969</v>
      </c>
      <c r="AC84" s="58">
        <v>43966</v>
      </c>
      <c r="AD84" s="58">
        <v>43971</v>
      </c>
      <c r="AE84" s="58">
        <v>43969</v>
      </c>
      <c r="AF84" s="58">
        <v>43969</v>
      </c>
      <c r="AG84" s="58" t="s">
        <v>75</v>
      </c>
      <c r="AH84" s="59">
        <v>1</v>
      </c>
      <c r="AI84" s="59">
        <v>1</v>
      </c>
      <c r="AJ84" s="59">
        <v>1</v>
      </c>
      <c r="AK84" s="58" t="s">
        <v>8</v>
      </c>
      <c r="AL84" s="14" t="s">
        <v>72</v>
      </c>
      <c r="AM84" s="14" t="s">
        <v>72</v>
      </c>
      <c r="AN84" s="14" t="s">
        <v>72</v>
      </c>
    </row>
    <row r="85" spans="2:40" ht="15">
      <c r="B85" s="170">
        <v>187</v>
      </c>
      <c r="C85" s="13">
        <v>20200515</v>
      </c>
      <c r="D85" s="13" t="s">
        <v>24</v>
      </c>
      <c r="E85" s="13" t="s">
        <v>2364</v>
      </c>
      <c r="F85" s="39" t="s">
        <v>1546</v>
      </c>
      <c r="G85" s="14">
        <v>1435414</v>
      </c>
      <c r="H85" s="164" t="s">
        <v>72</v>
      </c>
      <c r="I85" s="13" t="s">
        <v>989</v>
      </c>
      <c r="J85" s="164" t="s">
        <v>72</v>
      </c>
      <c r="K85" s="13" t="s">
        <v>73</v>
      </c>
      <c r="L85" s="13" t="s">
        <v>1527</v>
      </c>
      <c r="M85" s="13" t="s">
        <v>1493</v>
      </c>
      <c r="N85" s="13" t="s">
        <v>887</v>
      </c>
      <c r="O85" s="14" t="s">
        <v>72</v>
      </c>
      <c r="P85" s="14" t="s">
        <v>888</v>
      </c>
      <c r="Q85" s="165"/>
      <c r="R85" s="164" t="s">
        <v>72</v>
      </c>
      <c r="S85" s="13" t="s">
        <v>117</v>
      </c>
      <c r="T85" s="13"/>
      <c r="U85" s="13"/>
      <c r="V85" s="13">
        <v>3</v>
      </c>
      <c r="W85" s="13">
        <v>3</v>
      </c>
      <c r="X85" s="13">
        <v>3</v>
      </c>
      <c r="Y85" s="13">
        <v>0.05</v>
      </c>
      <c r="Z85" s="13">
        <v>0.05</v>
      </c>
      <c r="AA85" s="13" t="s">
        <v>110</v>
      </c>
      <c r="AB85" s="58">
        <v>43969</v>
      </c>
      <c r="AC85" s="58">
        <v>43966</v>
      </c>
      <c r="AD85" s="58">
        <v>43971</v>
      </c>
      <c r="AE85" s="58">
        <v>43969</v>
      </c>
      <c r="AF85" s="58">
        <v>43969</v>
      </c>
      <c r="AG85" s="58" t="s">
        <v>75</v>
      </c>
      <c r="AH85" s="171" t="s">
        <v>72</v>
      </c>
      <c r="AI85" s="171" t="s">
        <v>72</v>
      </c>
      <c r="AJ85" s="171" t="s">
        <v>72</v>
      </c>
      <c r="AK85" s="171" t="s">
        <v>8</v>
      </c>
      <c r="AL85" s="171" t="s">
        <v>72</v>
      </c>
      <c r="AM85" s="14" t="s">
        <v>72</v>
      </c>
      <c r="AN85" s="13" t="s">
        <v>574</v>
      </c>
    </row>
    <row r="86" spans="2:40" ht="15">
      <c r="B86" s="170">
        <v>188</v>
      </c>
      <c r="C86" s="13">
        <v>20200515</v>
      </c>
      <c r="D86" s="13" t="s">
        <v>24</v>
      </c>
      <c r="E86" s="13" t="s">
        <v>2364</v>
      </c>
      <c r="F86" s="39" t="s">
        <v>1547</v>
      </c>
      <c r="G86" s="14">
        <v>1435414</v>
      </c>
      <c r="H86" s="164" t="s">
        <v>72</v>
      </c>
      <c r="I86" s="13" t="s">
        <v>1548</v>
      </c>
      <c r="J86" s="164" t="s">
        <v>72</v>
      </c>
      <c r="K86" s="13" t="s">
        <v>73</v>
      </c>
      <c r="L86" s="13" t="s">
        <v>1527</v>
      </c>
      <c r="M86" s="13" t="s">
        <v>1493</v>
      </c>
      <c r="N86" s="13" t="s">
        <v>887</v>
      </c>
      <c r="O86" s="14" t="s">
        <v>72</v>
      </c>
      <c r="P86" s="14" t="s">
        <v>888</v>
      </c>
      <c r="Q86" s="165"/>
      <c r="R86" s="164" t="s">
        <v>72</v>
      </c>
      <c r="S86" s="13" t="s">
        <v>117</v>
      </c>
      <c r="T86" s="13"/>
      <c r="U86" s="13"/>
      <c r="V86" s="13">
        <v>12</v>
      </c>
      <c r="W86" s="13">
        <v>12</v>
      </c>
      <c r="X86" s="13">
        <v>12</v>
      </c>
      <c r="Y86" s="13">
        <v>0.21</v>
      </c>
      <c r="Z86" s="13">
        <v>0.21</v>
      </c>
      <c r="AA86" s="13" t="s">
        <v>110</v>
      </c>
      <c r="AB86" s="58">
        <v>43969</v>
      </c>
      <c r="AC86" s="58">
        <v>43966</v>
      </c>
      <c r="AD86" s="58">
        <v>43971</v>
      </c>
      <c r="AE86" s="58">
        <v>43969</v>
      </c>
      <c r="AF86" s="58">
        <v>43969</v>
      </c>
      <c r="AG86" s="58" t="s">
        <v>75</v>
      </c>
      <c r="AH86" s="171" t="s">
        <v>72</v>
      </c>
      <c r="AI86" s="171" t="s">
        <v>72</v>
      </c>
      <c r="AJ86" s="171" t="s">
        <v>72</v>
      </c>
      <c r="AK86" s="171" t="s">
        <v>8</v>
      </c>
      <c r="AL86" s="171" t="s">
        <v>72</v>
      </c>
      <c r="AM86" s="14" t="s">
        <v>72</v>
      </c>
      <c r="AN86" s="13" t="s">
        <v>574</v>
      </c>
    </row>
    <row r="87" spans="2:40" ht="15">
      <c r="B87" s="170">
        <v>189</v>
      </c>
      <c r="C87" s="13">
        <v>20200515</v>
      </c>
      <c r="D87" s="13" t="s">
        <v>24</v>
      </c>
      <c r="E87" s="13" t="s">
        <v>2364</v>
      </c>
      <c r="F87" s="39" t="s">
        <v>1549</v>
      </c>
      <c r="G87" s="14">
        <v>1435414</v>
      </c>
      <c r="H87" s="164" t="s">
        <v>72</v>
      </c>
      <c r="I87" s="13" t="s">
        <v>1550</v>
      </c>
      <c r="J87" s="164" t="s">
        <v>72</v>
      </c>
      <c r="K87" s="13" t="s">
        <v>73</v>
      </c>
      <c r="L87" s="13" t="s">
        <v>1527</v>
      </c>
      <c r="M87" s="13" t="s">
        <v>1493</v>
      </c>
      <c r="N87" s="13" t="s">
        <v>887</v>
      </c>
      <c r="O87" s="14" t="s">
        <v>72</v>
      </c>
      <c r="P87" s="14" t="s">
        <v>888</v>
      </c>
      <c r="Q87" s="165"/>
      <c r="R87" s="164" t="s">
        <v>72</v>
      </c>
      <c r="S87" s="13" t="s">
        <v>117</v>
      </c>
      <c r="T87" s="13"/>
      <c r="U87" s="13"/>
      <c r="V87" s="13">
        <v>3</v>
      </c>
      <c r="W87" s="13">
        <v>3</v>
      </c>
      <c r="X87" s="13">
        <v>3</v>
      </c>
      <c r="Y87" s="13">
        <v>0.05</v>
      </c>
      <c r="Z87" s="13">
        <v>0.05</v>
      </c>
      <c r="AA87" s="13" t="s">
        <v>110</v>
      </c>
      <c r="AB87" s="58">
        <v>43969</v>
      </c>
      <c r="AC87" s="58">
        <v>43966</v>
      </c>
      <c r="AD87" s="58">
        <v>43971</v>
      </c>
      <c r="AE87" s="58">
        <v>43969</v>
      </c>
      <c r="AF87" s="58">
        <v>43969</v>
      </c>
      <c r="AG87" s="58" t="s">
        <v>75</v>
      </c>
      <c r="AH87" s="171" t="s">
        <v>72</v>
      </c>
      <c r="AI87" s="171" t="s">
        <v>72</v>
      </c>
      <c r="AJ87" s="171" t="s">
        <v>72</v>
      </c>
      <c r="AK87" s="171" t="s">
        <v>8</v>
      </c>
      <c r="AL87" s="171" t="s">
        <v>72</v>
      </c>
      <c r="AM87" s="14" t="s">
        <v>72</v>
      </c>
      <c r="AN87" s="13" t="s">
        <v>574</v>
      </c>
    </row>
    <row r="88" spans="2:40" ht="15">
      <c r="B88" s="170">
        <v>190</v>
      </c>
      <c r="C88" s="13">
        <v>20200515</v>
      </c>
      <c r="D88" s="13" t="s">
        <v>24</v>
      </c>
      <c r="E88" s="13" t="s">
        <v>2364</v>
      </c>
      <c r="F88" s="39" t="s">
        <v>1549</v>
      </c>
      <c r="G88" s="14">
        <v>1435414</v>
      </c>
      <c r="H88" s="164" t="s">
        <v>72</v>
      </c>
      <c r="I88" s="13" t="s">
        <v>1551</v>
      </c>
      <c r="J88" s="164" t="s">
        <v>72</v>
      </c>
      <c r="K88" s="13" t="s">
        <v>73</v>
      </c>
      <c r="L88" s="13" t="s">
        <v>1527</v>
      </c>
      <c r="M88" s="13" t="s">
        <v>1493</v>
      </c>
      <c r="N88" s="13" t="s">
        <v>887</v>
      </c>
      <c r="O88" s="14" t="s">
        <v>72</v>
      </c>
      <c r="P88" s="14" t="s">
        <v>888</v>
      </c>
      <c r="Q88" s="165"/>
      <c r="R88" s="164" t="s">
        <v>72</v>
      </c>
      <c r="S88" s="13" t="s">
        <v>113</v>
      </c>
      <c r="T88" s="13"/>
      <c r="U88" s="13"/>
      <c r="V88" s="13">
        <v>20</v>
      </c>
      <c r="W88" s="13">
        <v>20</v>
      </c>
      <c r="X88" s="13">
        <v>20</v>
      </c>
      <c r="Y88" s="13">
        <v>0.35</v>
      </c>
      <c r="Z88" s="13">
        <v>0.35</v>
      </c>
      <c r="AA88" s="13" t="s">
        <v>110</v>
      </c>
      <c r="AB88" s="58">
        <v>43969</v>
      </c>
      <c r="AC88" s="58">
        <v>43966</v>
      </c>
      <c r="AD88" s="58">
        <v>43971</v>
      </c>
      <c r="AE88" s="58">
        <v>43969</v>
      </c>
      <c r="AF88" s="58">
        <v>43969</v>
      </c>
      <c r="AG88" s="58" t="s">
        <v>75</v>
      </c>
      <c r="AH88" s="171" t="s">
        <v>72</v>
      </c>
      <c r="AI88" s="171" t="s">
        <v>72</v>
      </c>
      <c r="AJ88" s="171" t="s">
        <v>72</v>
      </c>
      <c r="AK88" s="58" t="s">
        <v>8</v>
      </c>
      <c r="AL88" s="14" t="s">
        <v>72</v>
      </c>
      <c r="AM88" s="14" t="s">
        <v>72</v>
      </c>
      <c r="AN88" s="13" t="s">
        <v>574</v>
      </c>
    </row>
    <row r="89" spans="2:40" ht="15">
      <c r="B89" s="170">
        <v>191</v>
      </c>
      <c r="C89" s="13">
        <v>20200515</v>
      </c>
      <c r="D89" s="13" t="s">
        <v>24</v>
      </c>
      <c r="E89" s="13" t="s">
        <v>2364</v>
      </c>
      <c r="F89" s="39" t="s">
        <v>1552</v>
      </c>
      <c r="G89" s="14">
        <v>1435414</v>
      </c>
      <c r="H89" s="164" t="s">
        <v>72</v>
      </c>
      <c r="I89" s="13" t="s">
        <v>1553</v>
      </c>
      <c r="J89" s="164" t="s">
        <v>72</v>
      </c>
      <c r="K89" s="13" t="s">
        <v>73</v>
      </c>
      <c r="L89" s="13" t="s">
        <v>1527</v>
      </c>
      <c r="M89" s="13" t="s">
        <v>1493</v>
      </c>
      <c r="N89" s="13" t="s">
        <v>887</v>
      </c>
      <c r="O89" s="14" t="s">
        <v>72</v>
      </c>
      <c r="P89" s="14" t="s">
        <v>888</v>
      </c>
      <c r="Q89" s="165"/>
      <c r="R89" s="164" t="s">
        <v>72</v>
      </c>
      <c r="S89" s="13" t="s">
        <v>161</v>
      </c>
      <c r="T89" s="13"/>
      <c r="U89" s="13"/>
      <c r="V89" s="13">
        <v>111</v>
      </c>
      <c r="W89" s="13">
        <v>111</v>
      </c>
      <c r="X89" s="13">
        <v>111</v>
      </c>
      <c r="Y89" s="13">
        <v>1.97</v>
      </c>
      <c r="Z89" s="13">
        <v>2</v>
      </c>
      <c r="AA89" s="13" t="s">
        <v>110</v>
      </c>
      <c r="AB89" s="58">
        <v>43969</v>
      </c>
      <c r="AC89" s="58">
        <v>43966</v>
      </c>
      <c r="AD89" s="58">
        <v>43971</v>
      </c>
      <c r="AE89" s="58">
        <v>43969</v>
      </c>
      <c r="AF89" s="58">
        <v>43969</v>
      </c>
      <c r="AG89" s="58" t="s">
        <v>75</v>
      </c>
      <c r="AH89" s="59">
        <v>1</v>
      </c>
      <c r="AI89" s="59">
        <v>1</v>
      </c>
      <c r="AJ89" s="59">
        <v>1</v>
      </c>
      <c r="AK89" s="58" t="s">
        <v>8</v>
      </c>
      <c r="AL89" s="14" t="s">
        <v>72</v>
      </c>
      <c r="AM89" s="14" t="s">
        <v>72</v>
      </c>
      <c r="AN89" s="14" t="s">
        <v>72</v>
      </c>
    </row>
    <row r="90" spans="2:40" ht="15">
      <c r="B90" s="170">
        <v>192</v>
      </c>
      <c r="C90" s="13">
        <v>20200515</v>
      </c>
      <c r="D90" s="13" t="s">
        <v>24</v>
      </c>
      <c r="E90" s="13" t="s">
        <v>2364</v>
      </c>
      <c r="F90" s="39" t="s">
        <v>1552</v>
      </c>
      <c r="G90" s="14">
        <v>1435414</v>
      </c>
      <c r="H90" s="164" t="s">
        <v>72</v>
      </c>
      <c r="I90" s="13" t="s">
        <v>1554</v>
      </c>
      <c r="J90" s="164" t="s">
        <v>72</v>
      </c>
      <c r="K90" s="13" t="s">
        <v>73</v>
      </c>
      <c r="L90" s="13" t="s">
        <v>1527</v>
      </c>
      <c r="M90" s="13" t="s">
        <v>1493</v>
      </c>
      <c r="N90" s="13" t="s">
        <v>887</v>
      </c>
      <c r="O90" s="14" t="s">
        <v>72</v>
      </c>
      <c r="P90" s="14" t="s">
        <v>888</v>
      </c>
      <c r="Q90" s="165"/>
      <c r="R90" s="164" t="s">
        <v>72</v>
      </c>
      <c r="S90" s="13" t="s">
        <v>113</v>
      </c>
      <c r="T90" s="13"/>
      <c r="U90" s="13"/>
      <c r="V90" s="13">
        <v>28</v>
      </c>
      <c r="W90" s="13">
        <v>28</v>
      </c>
      <c r="X90" s="13">
        <v>28</v>
      </c>
      <c r="Y90" s="13">
        <v>0.49</v>
      </c>
      <c r="Z90" s="13">
        <v>0.49</v>
      </c>
      <c r="AA90" s="13" t="s">
        <v>110</v>
      </c>
      <c r="AB90" s="58">
        <v>43969</v>
      </c>
      <c r="AC90" s="58">
        <v>43966</v>
      </c>
      <c r="AD90" s="58">
        <v>43971</v>
      </c>
      <c r="AE90" s="58">
        <v>43969</v>
      </c>
      <c r="AF90" s="58">
        <v>43969</v>
      </c>
      <c r="AG90" s="58" t="s">
        <v>75</v>
      </c>
      <c r="AH90" s="59">
        <v>1</v>
      </c>
      <c r="AI90" s="59">
        <v>1</v>
      </c>
      <c r="AJ90" s="59">
        <v>1</v>
      </c>
      <c r="AK90" s="58" t="s">
        <v>8</v>
      </c>
      <c r="AL90" s="14" t="s">
        <v>72</v>
      </c>
      <c r="AM90" s="14" t="s">
        <v>72</v>
      </c>
      <c r="AN90" s="14" t="s">
        <v>72</v>
      </c>
    </row>
    <row r="91" spans="2:40" ht="15">
      <c r="B91" s="170">
        <v>193</v>
      </c>
      <c r="C91" s="13">
        <v>20200515</v>
      </c>
      <c r="D91" s="13" t="s">
        <v>24</v>
      </c>
      <c r="E91" s="13" t="s">
        <v>2364</v>
      </c>
      <c r="F91" s="39" t="s">
        <v>1552</v>
      </c>
      <c r="G91" s="14">
        <v>1435414</v>
      </c>
      <c r="H91" s="164" t="s">
        <v>72</v>
      </c>
      <c r="I91" s="13" t="s">
        <v>1555</v>
      </c>
      <c r="J91" s="164" t="s">
        <v>72</v>
      </c>
      <c r="K91" s="13" t="s">
        <v>73</v>
      </c>
      <c r="L91" s="13" t="s">
        <v>1527</v>
      </c>
      <c r="M91" s="13" t="s">
        <v>1493</v>
      </c>
      <c r="N91" s="13" t="s">
        <v>887</v>
      </c>
      <c r="O91" s="14" t="s">
        <v>72</v>
      </c>
      <c r="P91" s="14" t="s">
        <v>888</v>
      </c>
      <c r="Q91" s="165"/>
      <c r="R91" s="164" t="s">
        <v>72</v>
      </c>
      <c r="S91" s="13" t="s">
        <v>161</v>
      </c>
      <c r="T91" s="13"/>
      <c r="U91" s="13"/>
      <c r="V91" s="13">
        <v>23</v>
      </c>
      <c r="W91" s="13">
        <v>23</v>
      </c>
      <c r="X91" s="13">
        <v>23</v>
      </c>
      <c r="Y91" s="13">
        <v>0.4</v>
      </c>
      <c r="Z91" s="13">
        <v>0.5</v>
      </c>
      <c r="AA91" s="13" t="s">
        <v>110</v>
      </c>
      <c r="AB91" s="58">
        <v>43969</v>
      </c>
      <c r="AC91" s="58">
        <v>43966</v>
      </c>
      <c r="AD91" s="58">
        <v>43971</v>
      </c>
      <c r="AE91" s="58">
        <v>43969</v>
      </c>
      <c r="AF91" s="58">
        <v>43969</v>
      </c>
      <c r="AG91" s="58" t="s">
        <v>75</v>
      </c>
      <c r="AH91" s="59">
        <v>1</v>
      </c>
      <c r="AI91" s="59">
        <v>1</v>
      </c>
      <c r="AJ91" s="59">
        <v>1</v>
      </c>
      <c r="AK91" s="58" t="s">
        <v>8</v>
      </c>
      <c r="AL91" s="14" t="s">
        <v>72</v>
      </c>
      <c r="AM91" s="14" t="s">
        <v>72</v>
      </c>
      <c r="AN91" s="14" t="s">
        <v>72</v>
      </c>
    </row>
    <row r="92" spans="2:40" ht="15">
      <c r="B92" s="170">
        <v>194</v>
      </c>
      <c r="C92" s="13">
        <v>20200515</v>
      </c>
      <c r="D92" s="13" t="s">
        <v>24</v>
      </c>
      <c r="E92" s="13" t="s">
        <v>2364</v>
      </c>
      <c r="F92" s="39" t="s">
        <v>1556</v>
      </c>
      <c r="G92" s="14">
        <v>1435414</v>
      </c>
      <c r="H92" s="164" t="s">
        <v>72</v>
      </c>
      <c r="I92" s="13" t="s">
        <v>900</v>
      </c>
      <c r="J92" s="164" t="s">
        <v>72</v>
      </c>
      <c r="K92" s="13" t="s">
        <v>73</v>
      </c>
      <c r="L92" s="13" t="s">
        <v>1527</v>
      </c>
      <c r="M92" s="13" t="s">
        <v>1493</v>
      </c>
      <c r="N92" s="13" t="s">
        <v>887</v>
      </c>
      <c r="O92" s="14" t="s">
        <v>72</v>
      </c>
      <c r="P92" s="14" t="s">
        <v>888</v>
      </c>
      <c r="Q92" s="165"/>
      <c r="R92" s="164" t="s">
        <v>72</v>
      </c>
      <c r="S92" s="13" t="s">
        <v>117</v>
      </c>
      <c r="T92" s="13"/>
      <c r="U92" s="13"/>
      <c r="V92" s="13">
        <v>5</v>
      </c>
      <c r="W92" s="13">
        <v>5</v>
      </c>
      <c r="X92" s="13">
        <v>5</v>
      </c>
      <c r="Y92" s="13">
        <v>0.08</v>
      </c>
      <c r="Z92" s="13">
        <v>0.08</v>
      </c>
      <c r="AA92" s="13" t="s">
        <v>110</v>
      </c>
      <c r="AB92" s="58">
        <v>43969</v>
      </c>
      <c r="AC92" s="58">
        <v>43966</v>
      </c>
      <c r="AD92" s="58">
        <v>43971</v>
      </c>
      <c r="AE92" s="58">
        <v>43969</v>
      </c>
      <c r="AF92" s="58">
        <v>43969</v>
      </c>
      <c r="AG92" s="58" t="s">
        <v>75</v>
      </c>
      <c r="AH92" s="171" t="s">
        <v>72</v>
      </c>
      <c r="AI92" s="171" t="s">
        <v>72</v>
      </c>
      <c r="AJ92" s="171" t="s">
        <v>72</v>
      </c>
      <c r="AK92" s="58" t="s">
        <v>8</v>
      </c>
      <c r="AL92" s="14" t="s">
        <v>72</v>
      </c>
      <c r="AM92" s="14" t="s">
        <v>72</v>
      </c>
      <c r="AN92" s="13" t="s">
        <v>574</v>
      </c>
    </row>
    <row r="93" spans="2:40" ht="15">
      <c r="B93" s="170">
        <v>195</v>
      </c>
      <c r="C93" s="13">
        <v>20200515</v>
      </c>
      <c r="D93" s="13" t="s">
        <v>24</v>
      </c>
      <c r="E93" s="13" t="s">
        <v>2365</v>
      </c>
      <c r="F93" s="39" t="s">
        <v>1558</v>
      </c>
      <c r="G93" s="14">
        <v>1468235</v>
      </c>
      <c r="H93" s="164" t="s">
        <v>72</v>
      </c>
      <c r="I93" s="13" t="s">
        <v>1559</v>
      </c>
      <c r="J93" s="164" t="s">
        <v>72</v>
      </c>
      <c r="K93" s="13" t="s">
        <v>73</v>
      </c>
      <c r="L93" s="13" t="s">
        <v>1560</v>
      </c>
      <c r="M93" s="13" t="s">
        <v>52</v>
      </c>
      <c r="N93" s="13" t="s">
        <v>9</v>
      </c>
      <c r="O93" s="14" t="s">
        <v>72</v>
      </c>
      <c r="P93" s="14" t="s">
        <v>1029</v>
      </c>
      <c r="Q93" s="165"/>
      <c r="R93" s="164" t="s">
        <v>72</v>
      </c>
      <c r="S93" s="13" t="s">
        <v>109</v>
      </c>
      <c r="T93" s="13"/>
      <c r="U93" s="13"/>
      <c r="V93" s="13">
        <v>857</v>
      </c>
      <c r="W93" s="13">
        <v>857</v>
      </c>
      <c r="X93" s="13">
        <v>857</v>
      </c>
      <c r="Y93" s="13">
        <v>15.23</v>
      </c>
      <c r="Z93" s="13">
        <v>0.5</v>
      </c>
      <c r="AA93" s="13" t="s">
        <v>110</v>
      </c>
      <c r="AB93" s="58">
        <v>43969</v>
      </c>
      <c r="AC93" s="58">
        <v>43966</v>
      </c>
      <c r="AD93" s="58">
        <v>43971</v>
      </c>
      <c r="AE93" s="58">
        <v>43969</v>
      </c>
      <c r="AF93" s="58">
        <v>43969</v>
      </c>
      <c r="AG93" s="58" t="s">
        <v>75</v>
      </c>
      <c r="AH93" s="59">
        <v>1</v>
      </c>
      <c r="AI93" s="59">
        <v>1</v>
      </c>
      <c r="AJ93" s="59">
        <v>1</v>
      </c>
      <c r="AK93" s="58" t="s">
        <v>8</v>
      </c>
      <c r="AL93" s="14" t="s">
        <v>72</v>
      </c>
      <c r="AM93" s="14" t="s">
        <v>72</v>
      </c>
      <c r="AN93" s="14" t="s">
        <v>72</v>
      </c>
    </row>
    <row r="94" spans="2:40" ht="15">
      <c r="B94" s="170">
        <v>196</v>
      </c>
      <c r="C94" s="13">
        <v>20200515</v>
      </c>
      <c r="D94" s="13" t="s">
        <v>24</v>
      </c>
      <c r="E94" s="13" t="s">
        <v>1373</v>
      </c>
      <c r="F94" s="39" t="s">
        <v>1561</v>
      </c>
      <c r="G94" s="14">
        <v>1469754</v>
      </c>
      <c r="H94" s="164" t="s">
        <v>72</v>
      </c>
      <c r="I94" s="13" t="s">
        <v>1148</v>
      </c>
      <c r="J94" s="164" t="s">
        <v>72</v>
      </c>
      <c r="K94" s="13" t="s">
        <v>73</v>
      </c>
      <c r="L94" s="13" t="s">
        <v>8</v>
      </c>
      <c r="M94" s="13" t="s">
        <v>19</v>
      </c>
      <c r="N94" s="13" t="s">
        <v>1065</v>
      </c>
      <c r="O94" s="14" t="s">
        <v>72</v>
      </c>
      <c r="P94" s="14" t="s">
        <v>1066</v>
      </c>
      <c r="Q94" s="165"/>
      <c r="R94" s="164" t="s">
        <v>72</v>
      </c>
      <c r="S94" s="13" t="s">
        <v>161</v>
      </c>
      <c r="T94" s="13"/>
      <c r="U94" s="13"/>
      <c r="V94" s="13">
        <v>220</v>
      </c>
      <c r="W94" s="13">
        <v>220</v>
      </c>
      <c r="X94" s="13">
        <v>220</v>
      </c>
      <c r="Y94" s="13">
        <v>3.91</v>
      </c>
      <c r="Z94" s="13">
        <v>3</v>
      </c>
      <c r="AA94" s="13" t="s">
        <v>110</v>
      </c>
      <c r="AB94" s="58">
        <v>43969</v>
      </c>
      <c r="AC94" s="58">
        <v>43966</v>
      </c>
      <c r="AD94" s="58">
        <v>43971</v>
      </c>
      <c r="AE94" s="58">
        <v>43966</v>
      </c>
      <c r="AF94" s="58">
        <v>43966</v>
      </c>
      <c r="AG94" s="58" t="s">
        <v>75</v>
      </c>
      <c r="AH94" s="59">
        <v>1</v>
      </c>
      <c r="AI94" s="59">
        <v>1</v>
      </c>
      <c r="AJ94" s="59">
        <v>1</v>
      </c>
      <c r="AK94" s="58" t="s">
        <v>8</v>
      </c>
      <c r="AL94" s="14" t="s">
        <v>72</v>
      </c>
      <c r="AM94" s="14" t="s">
        <v>72</v>
      </c>
      <c r="AN94" s="14" t="s">
        <v>72</v>
      </c>
    </row>
    <row r="95" spans="2:40" ht="15">
      <c r="B95" s="172">
        <v>197</v>
      </c>
      <c r="C95" s="13">
        <v>20200518</v>
      </c>
      <c r="D95" s="13" t="s">
        <v>24</v>
      </c>
      <c r="E95" s="13" t="s">
        <v>1562</v>
      </c>
      <c r="F95" s="39" t="s">
        <v>1563</v>
      </c>
      <c r="G95" s="14">
        <v>1453440</v>
      </c>
      <c r="H95" s="164" t="s">
        <v>72</v>
      </c>
      <c r="I95" s="13" t="s">
        <v>135</v>
      </c>
      <c r="J95" s="164" t="s">
        <v>72</v>
      </c>
      <c r="K95" s="13" t="s">
        <v>73</v>
      </c>
      <c r="L95" s="13" t="s">
        <v>1564</v>
      </c>
      <c r="M95" s="13" t="s">
        <v>1565</v>
      </c>
      <c r="N95" s="13" t="s">
        <v>1566</v>
      </c>
      <c r="O95" s="14" t="s">
        <v>72</v>
      </c>
      <c r="P95" s="14" t="s">
        <v>1567</v>
      </c>
      <c r="Q95" s="165"/>
      <c r="R95" s="164" t="s">
        <v>72</v>
      </c>
      <c r="S95" s="13" t="s">
        <v>161</v>
      </c>
      <c r="T95" s="13"/>
      <c r="U95" s="13"/>
      <c r="V95" s="13">
        <v>109</v>
      </c>
      <c r="W95" s="13">
        <v>109</v>
      </c>
      <c r="X95" s="13">
        <v>109</v>
      </c>
      <c r="Y95" s="13">
        <v>1.93</v>
      </c>
      <c r="Z95" s="13">
        <v>1</v>
      </c>
      <c r="AA95" s="13" t="s">
        <v>110</v>
      </c>
      <c r="AB95" s="58">
        <v>43971</v>
      </c>
      <c r="AC95" s="58">
        <v>43969</v>
      </c>
      <c r="AD95" s="58">
        <v>43973</v>
      </c>
      <c r="AE95" s="58">
        <v>43969</v>
      </c>
      <c r="AF95" s="58">
        <v>43969</v>
      </c>
      <c r="AG95" s="58" t="s">
        <v>75</v>
      </c>
      <c r="AH95" s="59">
        <v>1</v>
      </c>
      <c r="AI95" s="59">
        <v>1</v>
      </c>
      <c r="AJ95" s="59">
        <v>1</v>
      </c>
      <c r="AK95" s="58" t="s">
        <v>8</v>
      </c>
      <c r="AL95" s="14" t="s">
        <v>72</v>
      </c>
      <c r="AM95" s="14" t="s">
        <v>72</v>
      </c>
      <c r="AN95" s="14" t="s">
        <v>72</v>
      </c>
    </row>
    <row r="96" spans="2:40" ht="15">
      <c r="B96" s="172">
        <v>198</v>
      </c>
      <c r="C96" s="13">
        <v>20200518</v>
      </c>
      <c r="D96" s="13" t="s">
        <v>24</v>
      </c>
      <c r="E96" s="13" t="s">
        <v>1562</v>
      </c>
      <c r="F96" s="39" t="s">
        <v>1568</v>
      </c>
      <c r="G96" s="14">
        <v>1453440</v>
      </c>
      <c r="H96" s="164" t="s">
        <v>72</v>
      </c>
      <c r="I96" s="13" t="s">
        <v>1569</v>
      </c>
      <c r="J96" s="164" t="s">
        <v>72</v>
      </c>
      <c r="K96" s="13" t="s">
        <v>73</v>
      </c>
      <c r="L96" s="13" t="s">
        <v>1564</v>
      </c>
      <c r="M96" s="13" t="s">
        <v>1565</v>
      </c>
      <c r="N96" s="13" t="s">
        <v>1566</v>
      </c>
      <c r="O96" s="14" t="s">
        <v>72</v>
      </c>
      <c r="P96" s="14" t="s">
        <v>1567</v>
      </c>
      <c r="Q96" s="165"/>
      <c r="R96" s="164" t="s">
        <v>72</v>
      </c>
      <c r="S96" s="13" t="s">
        <v>113</v>
      </c>
      <c r="T96" s="13"/>
      <c r="U96" s="13"/>
      <c r="V96" s="13">
        <v>59</v>
      </c>
      <c r="W96" s="13">
        <v>59</v>
      </c>
      <c r="X96" s="13">
        <v>59</v>
      </c>
      <c r="Y96" s="13">
        <v>1.04</v>
      </c>
      <c r="Z96" s="13">
        <v>1.04</v>
      </c>
      <c r="AA96" s="13" t="s">
        <v>110</v>
      </c>
      <c r="AB96" s="58">
        <v>43971</v>
      </c>
      <c r="AC96" s="58">
        <v>43969</v>
      </c>
      <c r="AD96" s="58">
        <v>43973</v>
      </c>
      <c r="AE96" s="58">
        <v>43969</v>
      </c>
      <c r="AF96" s="58">
        <v>43969</v>
      </c>
      <c r="AG96" s="58" t="s">
        <v>75</v>
      </c>
      <c r="AH96" s="59">
        <v>1</v>
      </c>
      <c r="AI96" s="59">
        <v>1</v>
      </c>
      <c r="AJ96" s="59">
        <v>1</v>
      </c>
      <c r="AK96" s="58" t="s">
        <v>8</v>
      </c>
      <c r="AL96" s="14" t="s">
        <v>72</v>
      </c>
      <c r="AM96" s="14" t="s">
        <v>72</v>
      </c>
      <c r="AN96" s="14" t="s">
        <v>72</v>
      </c>
    </row>
    <row r="97" spans="2:40" ht="15">
      <c r="B97" s="172">
        <v>199</v>
      </c>
      <c r="C97" s="13">
        <v>20200518</v>
      </c>
      <c r="D97" s="13" t="s">
        <v>24</v>
      </c>
      <c r="E97" s="13" t="s">
        <v>1562</v>
      </c>
      <c r="F97" s="39" t="s">
        <v>1568</v>
      </c>
      <c r="G97" s="14">
        <v>1453440</v>
      </c>
      <c r="H97" s="164" t="s">
        <v>72</v>
      </c>
      <c r="I97" s="13" t="s">
        <v>39</v>
      </c>
      <c r="J97" s="164" t="s">
        <v>72</v>
      </c>
      <c r="K97" s="13" t="s">
        <v>73</v>
      </c>
      <c r="L97" s="13" t="s">
        <v>1564</v>
      </c>
      <c r="M97" s="13" t="s">
        <v>1565</v>
      </c>
      <c r="N97" s="13" t="s">
        <v>1566</v>
      </c>
      <c r="O97" s="14" t="s">
        <v>72</v>
      </c>
      <c r="P97" s="14" t="s">
        <v>1567</v>
      </c>
      <c r="Q97" s="165"/>
      <c r="R97" s="164" t="s">
        <v>72</v>
      </c>
      <c r="S97" s="13" t="s">
        <v>113</v>
      </c>
      <c r="T97" s="13"/>
      <c r="U97" s="13"/>
      <c r="V97" s="13">
        <v>18</v>
      </c>
      <c r="W97" s="13">
        <v>18</v>
      </c>
      <c r="X97" s="13">
        <v>18</v>
      </c>
      <c r="Y97" s="13">
        <v>0.32</v>
      </c>
      <c r="Z97" s="13">
        <v>0.32</v>
      </c>
      <c r="AA97" s="13" t="s">
        <v>110</v>
      </c>
      <c r="AB97" s="58">
        <v>43971</v>
      </c>
      <c r="AC97" s="58">
        <v>43969</v>
      </c>
      <c r="AD97" s="58">
        <v>43973</v>
      </c>
      <c r="AE97" s="58">
        <v>43969</v>
      </c>
      <c r="AF97" s="58">
        <v>43969</v>
      </c>
      <c r="AG97" s="58" t="s">
        <v>75</v>
      </c>
      <c r="AH97" s="59">
        <v>1</v>
      </c>
      <c r="AI97" s="59">
        <v>1</v>
      </c>
      <c r="AJ97" s="59">
        <v>1</v>
      </c>
      <c r="AK97" s="58" t="s">
        <v>8</v>
      </c>
      <c r="AL97" s="14" t="s">
        <v>72</v>
      </c>
      <c r="AM97" s="14" t="s">
        <v>72</v>
      </c>
      <c r="AN97" s="14" t="s">
        <v>72</v>
      </c>
    </row>
    <row r="98" spans="2:40" ht="15">
      <c r="B98" s="172">
        <v>200</v>
      </c>
      <c r="C98" s="13">
        <v>20200518</v>
      </c>
      <c r="D98" s="13" t="s">
        <v>24</v>
      </c>
      <c r="E98" s="13" t="s">
        <v>1562</v>
      </c>
      <c r="F98" s="39" t="s">
        <v>1563</v>
      </c>
      <c r="G98" s="14">
        <v>1453440</v>
      </c>
      <c r="H98" s="164" t="s">
        <v>72</v>
      </c>
      <c r="I98" s="13" t="s">
        <v>1142</v>
      </c>
      <c r="J98" s="164" t="s">
        <v>72</v>
      </c>
      <c r="K98" s="13" t="s">
        <v>73</v>
      </c>
      <c r="L98" s="13" t="s">
        <v>1564</v>
      </c>
      <c r="M98" s="13" t="s">
        <v>1565</v>
      </c>
      <c r="N98" s="13" t="s">
        <v>1566</v>
      </c>
      <c r="O98" s="14" t="s">
        <v>72</v>
      </c>
      <c r="P98" s="14" t="s">
        <v>1567</v>
      </c>
      <c r="Q98" s="165"/>
      <c r="R98" s="164" t="s">
        <v>72</v>
      </c>
      <c r="S98" s="13" t="s">
        <v>161</v>
      </c>
      <c r="T98" s="13"/>
      <c r="U98" s="13"/>
      <c r="V98" s="13">
        <v>27</v>
      </c>
      <c r="W98" s="13">
        <v>27</v>
      </c>
      <c r="X98" s="13">
        <v>27</v>
      </c>
      <c r="Y98" s="13">
        <v>0.48</v>
      </c>
      <c r="Z98" s="13">
        <v>0.4</v>
      </c>
      <c r="AA98" s="13" t="s">
        <v>110</v>
      </c>
      <c r="AB98" s="58">
        <v>43971</v>
      </c>
      <c r="AC98" s="58">
        <v>43969</v>
      </c>
      <c r="AD98" s="58">
        <v>43973</v>
      </c>
      <c r="AE98" s="58">
        <v>43969</v>
      </c>
      <c r="AF98" s="58">
        <v>43969</v>
      </c>
      <c r="AG98" s="58" t="s">
        <v>75</v>
      </c>
      <c r="AH98" s="59">
        <v>1</v>
      </c>
      <c r="AI98" s="59">
        <v>1</v>
      </c>
      <c r="AJ98" s="59">
        <v>1</v>
      </c>
      <c r="AK98" s="58" t="s">
        <v>8</v>
      </c>
      <c r="AL98" s="14" t="s">
        <v>72</v>
      </c>
      <c r="AM98" s="14" t="s">
        <v>72</v>
      </c>
      <c r="AN98" s="14" t="s">
        <v>72</v>
      </c>
    </row>
    <row r="99" spans="2:40" ht="15">
      <c r="B99" s="172">
        <v>201</v>
      </c>
      <c r="C99" s="13">
        <v>20200518</v>
      </c>
      <c r="D99" s="13" t="s">
        <v>24</v>
      </c>
      <c r="E99" s="13" t="s">
        <v>1562</v>
      </c>
      <c r="F99" s="39" t="s">
        <v>1570</v>
      </c>
      <c r="G99" s="14">
        <v>1453440</v>
      </c>
      <c r="H99" s="164" t="s">
        <v>72</v>
      </c>
      <c r="I99" s="13" t="s">
        <v>130</v>
      </c>
      <c r="J99" s="164" t="s">
        <v>72</v>
      </c>
      <c r="K99" s="13" t="s">
        <v>73</v>
      </c>
      <c r="L99" s="13" t="s">
        <v>1564</v>
      </c>
      <c r="M99" s="13" t="s">
        <v>1565</v>
      </c>
      <c r="N99" s="13" t="s">
        <v>1566</v>
      </c>
      <c r="O99" s="14" t="s">
        <v>72</v>
      </c>
      <c r="P99" s="14" t="s">
        <v>1567</v>
      </c>
      <c r="Q99" s="165"/>
      <c r="R99" s="164" t="s">
        <v>72</v>
      </c>
      <c r="S99" s="13" t="s">
        <v>117</v>
      </c>
      <c r="T99" s="13"/>
      <c r="U99" s="13"/>
      <c r="V99" s="13">
        <v>220</v>
      </c>
      <c r="W99" s="13">
        <v>220</v>
      </c>
      <c r="X99" s="13">
        <v>220</v>
      </c>
      <c r="Y99" s="13">
        <v>3.91</v>
      </c>
      <c r="Z99" s="13">
        <v>3</v>
      </c>
      <c r="AA99" s="13" t="s">
        <v>110</v>
      </c>
      <c r="AB99" s="58">
        <v>43971</v>
      </c>
      <c r="AC99" s="58">
        <v>43969</v>
      </c>
      <c r="AD99" s="58">
        <v>43973</v>
      </c>
      <c r="AE99" s="58">
        <v>43969</v>
      </c>
      <c r="AF99" s="58">
        <v>43969</v>
      </c>
      <c r="AG99" s="58" t="s">
        <v>75</v>
      </c>
      <c r="AH99" s="59">
        <v>1</v>
      </c>
      <c r="AI99" s="59">
        <v>1</v>
      </c>
      <c r="AJ99" s="59">
        <v>1</v>
      </c>
      <c r="AK99" s="58" t="s">
        <v>8</v>
      </c>
      <c r="AL99" s="14" t="s">
        <v>72</v>
      </c>
      <c r="AM99" s="14" t="s">
        <v>72</v>
      </c>
      <c r="AN99" s="14" t="s">
        <v>72</v>
      </c>
    </row>
    <row r="100" spans="2:40" ht="15">
      <c r="B100" s="172">
        <v>202</v>
      </c>
      <c r="C100" s="13">
        <v>20200518</v>
      </c>
      <c r="D100" s="13" t="s">
        <v>24</v>
      </c>
      <c r="E100" s="13" t="s">
        <v>1562</v>
      </c>
      <c r="F100" s="39" t="s">
        <v>1571</v>
      </c>
      <c r="G100" s="14">
        <v>1473319</v>
      </c>
      <c r="H100" s="164" t="s">
        <v>72</v>
      </c>
      <c r="I100" s="13" t="s">
        <v>1572</v>
      </c>
      <c r="J100" s="164" t="s">
        <v>72</v>
      </c>
      <c r="K100" s="13" t="s">
        <v>73</v>
      </c>
      <c r="L100" s="13" t="s">
        <v>1564</v>
      </c>
      <c r="M100" s="13" t="s">
        <v>1565</v>
      </c>
      <c r="N100" s="13" t="s">
        <v>1566</v>
      </c>
      <c r="O100" s="14" t="s">
        <v>72</v>
      </c>
      <c r="P100" s="14" t="s">
        <v>1278</v>
      </c>
      <c r="Q100" s="165"/>
      <c r="R100" s="164" t="s">
        <v>72</v>
      </c>
      <c r="S100" s="13" t="s">
        <v>113</v>
      </c>
      <c r="T100" s="13"/>
      <c r="U100" s="13"/>
      <c r="V100" s="13">
        <v>74</v>
      </c>
      <c r="W100" s="13">
        <v>74</v>
      </c>
      <c r="X100" s="13">
        <v>74</v>
      </c>
      <c r="Y100" s="13">
        <v>1.31</v>
      </c>
      <c r="Z100" s="13">
        <v>1.31</v>
      </c>
      <c r="AA100" s="13" t="s">
        <v>110</v>
      </c>
      <c r="AB100" s="58">
        <v>43971</v>
      </c>
      <c r="AC100" s="58">
        <v>43969</v>
      </c>
      <c r="AD100" s="58">
        <v>43973</v>
      </c>
      <c r="AE100" s="58">
        <v>43969</v>
      </c>
      <c r="AF100" s="58">
        <v>43969</v>
      </c>
      <c r="AG100" s="58" t="s">
        <v>75</v>
      </c>
      <c r="AH100" s="59">
        <v>1</v>
      </c>
      <c r="AI100" s="59">
        <v>1</v>
      </c>
      <c r="AJ100" s="59">
        <v>1</v>
      </c>
      <c r="AK100" s="58" t="s">
        <v>8</v>
      </c>
      <c r="AL100" s="14" t="s">
        <v>72</v>
      </c>
      <c r="AM100" s="14" t="s">
        <v>72</v>
      </c>
      <c r="AN100" s="14" t="s">
        <v>72</v>
      </c>
    </row>
    <row r="101" spans="2:40" ht="15">
      <c r="B101" s="172">
        <v>203</v>
      </c>
      <c r="C101" s="13">
        <v>20200518</v>
      </c>
      <c r="D101" s="13" t="s">
        <v>24</v>
      </c>
      <c r="E101" s="13" t="s">
        <v>1562</v>
      </c>
      <c r="F101" s="39" t="s">
        <v>1571</v>
      </c>
      <c r="G101" s="14">
        <v>1473319</v>
      </c>
      <c r="H101" s="164" t="s">
        <v>72</v>
      </c>
      <c r="I101" s="13" t="s">
        <v>1573</v>
      </c>
      <c r="J101" s="164" t="s">
        <v>72</v>
      </c>
      <c r="K101" s="13" t="s">
        <v>73</v>
      </c>
      <c r="L101" s="13" t="s">
        <v>1564</v>
      </c>
      <c r="M101" s="13" t="s">
        <v>1565</v>
      </c>
      <c r="N101" s="13" t="s">
        <v>1566</v>
      </c>
      <c r="O101" s="14" t="s">
        <v>72</v>
      </c>
      <c r="P101" s="14" t="s">
        <v>1278</v>
      </c>
      <c r="Q101" s="165"/>
      <c r="R101" s="164" t="s">
        <v>72</v>
      </c>
      <c r="S101" s="13" t="s">
        <v>161</v>
      </c>
      <c r="T101" s="13"/>
      <c r="U101" s="13"/>
      <c r="V101" s="13">
        <v>26</v>
      </c>
      <c r="W101" s="13">
        <v>26</v>
      </c>
      <c r="X101" s="13">
        <v>26</v>
      </c>
      <c r="Y101" s="13">
        <v>0.46</v>
      </c>
      <c r="Z101" s="13">
        <v>0.4</v>
      </c>
      <c r="AA101" s="13" t="s">
        <v>110</v>
      </c>
      <c r="AB101" s="58">
        <v>43971</v>
      </c>
      <c r="AC101" s="58">
        <v>43969</v>
      </c>
      <c r="AD101" s="58">
        <v>43973</v>
      </c>
      <c r="AE101" s="58">
        <v>43969</v>
      </c>
      <c r="AF101" s="58">
        <v>43969</v>
      </c>
      <c r="AG101" s="58" t="s">
        <v>75</v>
      </c>
      <c r="AH101" s="59">
        <v>1</v>
      </c>
      <c r="AI101" s="59">
        <v>1</v>
      </c>
      <c r="AJ101" s="59">
        <v>1</v>
      </c>
      <c r="AK101" s="58" t="s">
        <v>8</v>
      </c>
      <c r="AL101" s="14" t="s">
        <v>72</v>
      </c>
      <c r="AM101" s="14" t="s">
        <v>72</v>
      </c>
      <c r="AN101" s="14" t="s">
        <v>72</v>
      </c>
    </row>
    <row r="102" spans="2:40" ht="15">
      <c r="B102" s="172">
        <v>204</v>
      </c>
      <c r="C102" s="13">
        <v>20200518</v>
      </c>
      <c r="D102" s="13" t="s">
        <v>24</v>
      </c>
      <c r="E102" s="13" t="s">
        <v>1562</v>
      </c>
      <c r="F102" s="39" t="s">
        <v>1574</v>
      </c>
      <c r="G102" s="14">
        <v>1472760</v>
      </c>
      <c r="H102" s="164" t="s">
        <v>72</v>
      </c>
      <c r="I102" s="13" t="s">
        <v>120</v>
      </c>
      <c r="J102" s="164" t="s">
        <v>72</v>
      </c>
      <c r="K102" s="13" t="s">
        <v>73</v>
      </c>
      <c r="L102" s="13" t="s">
        <v>8</v>
      </c>
      <c r="M102" s="13" t="s">
        <v>1565</v>
      </c>
      <c r="N102" s="13" t="s">
        <v>1566</v>
      </c>
      <c r="O102" s="14" t="s">
        <v>72</v>
      </c>
      <c r="P102" s="14" t="s">
        <v>1575</v>
      </c>
      <c r="Q102" s="165"/>
      <c r="R102" s="164" t="s">
        <v>72</v>
      </c>
      <c r="S102" s="13" t="s">
        <v>113</v>
      </c>
      <c r="T102" s="13"/>
      <c r="U102" s="13"/>
      <c r="V102" s="13">
        <v>175</v>
      </c>
      <c r="W102" s="13">
        <v>175</v>
      </c>
      <c r="X102" s="13">
        <v>175</v>
      </c>
      <c r="Y102" s="13">
        <v>3.11</v>
      </c>
      <c r="Z102" s="13">
        <v>3.11</v>
      </c>
      <c r="AA102" s="13" t="s">
        <v>110</v>
      </c>
      <c r="AB102" s="58">
        <v>43971</v>
      </c>
      <c r="AC102" s="58">
        <v>43969</v>
      </c>
      <c r="AD102" s="58">
        <v>43973</v>
      </c>
      <c r="AE102" s="58">
        <v>43970</v>
      </c>
      <c r="AF102" s="58">
        <v>43970</v>
      </c>
      <c r="AG102" s="58" t="s">
        <v>75</v>
      </c>
      <c r="AH102" s="59">
        <v>1</v>
      </c>
      <c r="AI102" s="59">
        <v>1</v>
      </c>
      <c r="AJ102" s="59">
        <v>1</v>
      </c>
      <c r="AK102" s="58" t="s">
        <v>8</v>
      </c>
      <c r="AL102" s="14" t="s">
        <v>72</v>
      </c>
      <c r="AM102" s="14" t="s">
        <v>72</v>
      </c>
      <c r="AN102" s="14" t="s">
        <v>72</v>
      </c>
    </row>
    <row r="103" spans="2:40" ht="15">
      <c r="B103" s="172">
        <v>205</v>
      </c>
      <c r="C103" s="13">
        <v>20200518</v>
      </c>
      <c r="D103" s="13" t="s">
        <v>24</v>
      </c>
      <c r="E103" s="13" t="s">
        <v>1562</v>
      </c>
      <c r="F103" s="39" t="s">
        <v>1576</v>
      </c>
      <c r="G103" s="14">
        <v>1362417</v>
      </c>
      <c r="H103" s="164" t="s">
        <v>72</v>
      </c>
      <c r="I103" s="53" t="s">
        <v>278</v>
      </c>
      <c r="J103" s="164" t="s">
        <v>72</v>
      </c>
      <c r="K103" s="13" t="s">
        <v>73</v>
      </c>
      <c r="L103" s="173" t="s">
        <v>1564</v>
      </c>
      <c r="M103" s="13" t="s">
        <v>1565</v>
      </c>
      <c r="N103" s="13" t="s">
        <v>1566</v>
      </c>
      <c r="O103" s="14" t="s">
        <v>72</v>
      </c>
      <c r="P103" s="14" t="s">
        <v>1043</v>
      </c>
      <c r="Q103" s="165"/>
      <c r="R103" s="164" t="s">
        <v>72</v>
      </c>
      <c r="S103" s="13" t="s">
        <v>109</v>
      </c>
      <c r="T103" s="13"/>
      <c r="U103" s="13"/>
      <c r="V103" s="13">
        <v>25</v>
      </c>
      <c r="W103" s="13">
        <v>25</v>
      </c>
      <c r="X103" s="13">
        <v>25</v>
      </c>
      <c r="Y103" s="13">
        <v>0.44</v>
      </c>
      <c r="Z103" s="13">
        <v>0.5</v>
      </c>
      <c r="AA103" s="13" t="s">
        <v>110</v>
      </c>
      <c r="AB103" s="58">
        <v>43971</v>
      </c>
      <c r="AC103" s="58">
        <v>43969</v>
      </c>
      <c r="AD103" s="58">
        <v>43973</v>
      </c>
      <c r="AE103" s="58">
        <v>43970</v>
      </c>
      <c r="AF103" s="58">
        <v>43970</v>
      </c>
      <c r="AG103" s="58" t="s">
        <v>75</v>
      </c>
      <c r="AH103" s="59">
        <v>1</v>
      </c>
      <c r="AI103" s="59">
        <v>1</v>
      </c>
      <c r="AJ103" s="59">
        <v>1</v>
      </c>
      <c r="AK103" s="58" t="s">
        <v>8</v>
      </c>
      <c r="AL103" s="14" t="s">
        <v>72</v>
      </c>
      <c r="AM103" s="14" t="s">
        <v>72</v>
      </c>
      <c r="AN103" s="14" t="s">
        <v>72</v>
      </c>
    </row>
    <row r="104" spans="2:40" ht="15">
      <c r="B104" s="172">
        <v>206</v>
      </c>
      <c r="C104" s="13">
        <v>20200518</v>
      </c>
      <c r="D104" s="13" t="s">
        <v>24</v>
      </c>
      <c r="E104" s="13" t="s">
        <v>1562</v>
      </c>
      <c r="F104" s="39" t="s">
        <v>1577</v>
      </c>
      <c r="G104" s="14">
        <v>1362417</v>
      </c>
      <c r="H104" s="164" t="s">
        <v>72</v>
      </c>
      <c r="I104" s="13" t="s">
        <v>32</v>
      </c>
      <c r="J104" s="164" t="s">
        <v>72</v>
      </c>
      <c r="K104" s="13" t="s">
        <v>73</v>
      </c>
      <c r="L104" s="173" t="s">
        <v>1564</v>
      </c>
      <c r="M104" s="13" t="s">
        <v>1565</v>
      </c>
      <c r="N104" s="13" t="s">
        <v>1566</v>
      </c>
      <c r="O104" s="14" t="s">
        <v>72</v>
      </c>
      <c r="P104" s="14" t="s">
        <v>1043</v>
      </c>
      <c r="Q104" s="165"/>
      <c r="R104" s="164" t="s">
        <v>72</v>
      </c>
      <c r="S104" s="13" t="s">
        <v>117</v>
      </c>
      <c r="T104" s="13"/>
      <c r="U104" s="13"/>
      <c r="V104" s="13">
        <v>259</v>
      </c>
      <c r="W104" s="13">
        <v>259</v>
      </c>
      <c r="X104" s="13">
        <v>259</v>
      </c>
      <c r="Y104" s="13">
        <v>4.5999999999999996</v>
      </c>
      <c r="Z104" s="13">
        <v>4</v>
      </c>
      <c r="AA104" s="13" t="s">
        <v>110</v>
      </c>
      <c r="AB104" s="58">
        <v>43971</v>
      </c>
      <c r="AC104" s="58">
        <v>43969</v>
      </c>
      <c r="AD104" s="58">
        <v>43973</v>
      </c>
      <c r="AE104" s="58">
        <v>43970</v>
      </c>
      <c r="AF104" s="58">
        <v>43970</v>
      </c>
      <c r="AG104" s="58" t="s">
        <v>79</v>
      </c>
      <c r="AH104" s="59">
        <v>1</v>
      </c>
      <c r="AI104" s="59">
        <v>1</v>
      </c>
      <c r="AJ104" s="59">
        <v>0.87</v>
      </c>
      <c r="AK104" s="58" t="s">
        <v>76</v>
      </c>
      <c r="AL104" s="14" t="s">
        <v>1578</v>
      </c>
      <c r="AM104" s="14" t="s">
        <v>72</v>
      </c>
      <c r="AN104" s="14" t="s">
        <v>1579</v>
      </c>
    </row>
    <row r="105" spans="2:40" ht="15">
      <c r="B105" s="172">
        <v>207</v>
      </c>
      <c r="C105" s="13">
        <v>20200518</v>
      </c>
      <c r="D105" s="13" t="s">
        <v>24</v>
      </c>
      <c r="E105" s="13" t="s">
        <v>1562</v>
      </c>
      <c r="F105" s="39" t="s">
        <v>1571</v>
      </c>
      <c r="G105" s="14">
        <v>1362417</v>
      </c>
      <c r="H105" s="164" t="s">
        <v>72</v>
      </c>
      <c r="I105" s="13" t="s">
        <v>270</v>
      </c>
      <c r="J105" s="164" t="s">
        <v>72</v>
      </c>
      <c r="K105" s="13" t="s">
        <v>73</v>
      </c>
      <c r="L105" s="173" t="s">
        <v>1564</v>
      </c>
      <c r="M105" s="13" t="s">
        <v>1565</v>
      </c>
      <c r="N105" s="13" t="s">
        <v>1566</v>
      </c>
      <c r="O105" s="14" t="s">
        <v>72</v>
      </c>
      <c r="P105" s="14" t="s">
        <v>1043</v>
      </c>
      <c r="Q105" s="165"/>
      <c r="R105" s="164" t="s">
        <v>72</v>
      </c>
      <c r="S105" s="13" t="s">
        <v>161</v>
      </c>
      <c r="T105" s="13"/>
      <c r="U105" s="13"/>
      <c r="V105" s="13">
        <v>77</v>
      </c>
      <c r="W105" s="13">
        <v>77</v>
      </c>
      <c r="X105" s="13">
        <v>77</v>
      </c>
      <c r="Y105" s="13">
        <v>1.36</v>
      </c>
      <c r="Z105" s="13">
        <v>1</v>
      </c>
      <c r="AA105" s="13" t="s">
        <v>110</v>
      </c>
      <c r="AB105" s="58">
        <v>43971</v>
      </c>
      <c r="AC105" s="58">
        <v>43969</v>
      </c>
      <c r="AD105" s="58">
        <v>43973</v>
      </c>
      <c r="AE105" s="58">
        <v>43969</v>
      </c>
      <c r="AF105" s="58">
        <v>43969</v>
      </c>
      <c r="AG105" s="58" t="s">
        <v>75</v>
      </c>
      <c r="AH105" s="59">
        <v>1</v>
      </c>
      <c r="AI105" s="59">
        <v>1</v>
      </c>
      <c r="AJ105" s="59">
        <v>1</v>
      </c>
      <c r="AK105" s="58" t="s">
        <v>8</v>
      </c>
      <c r="AL105" s="14" t="s">
        <v>72</v>
      </c>
      <c r="AM105" s="14" t="s">
        <v>72</v>
      </c>
      <c r="AN105" s="14" t="s">
        <v>72</v>
      </c>
    </row>
    <row r="106" spans="2:40" ht="15">
      <c r="B106" s="172">
        <v>208</v>
      </c>
      <c r="C106" s="13">
        <v>20200518</v>
      </c>
      <c r="D106" s="13" t="s">
        <v>24</v>
      </c>
      <c r="E106" s="13" t="s">
        <v>1562</v>
      </c>
      <c r="F106" s="39" t="s">
        <v>1571</v>
      </c>
      <c r="G106" s="14">
        <v>1362417</v>
      </c>
      <c r="H106" s="164" t="s">
        <v>72</v>
      </c>
      <c r="I106" s="13" t="s">
        <v>271</v>
      </c>
      <c r="J106" s="164" t="s">
        <v>72</v>
      </c>
      <c r="K106" s="13" t="s">
        <v>73</v>
      </c>
      <c r="L106" s="173" t="s">
        <v>1564</v>
      </c>
      <c r="M106" s="13" t="s">
        <v>1565</v>
      </c>
      <c r="N106" s="13" t="s">
        <v>1566</v>
      </c>
      <c r="O106" s="14" t="s">
        <v>72</v>
      </c>
      <c r="P106" s="14" t="s">
        <v>1043</v>
      </c>
      <c r="Q106" s="165"/>
      <c r="R106" s="164" t="s">
        <v>72</v>
      </c>
      <c r="S106" s="13" t="s">
        <v>117</v>
      </c>
      <c r="T106" s="13"/>
      <c r="U106" s="13"/>
      <c r="V106" s="13">
        <v>44</v>
      </c>
      <c r="W106" s="13">
        <v>44</v>
      </c>
      <c r="X106" s="13">
        <v>44</v>
      </c>
      <c r="Y106" s="13">
        <v>0.78</v>
      </c>
      <c r="Z106" s="13">
        <v>0.5</v>
      </c>
      <c r="AA106" s="13" t="s">
        <v>110</v>
      </c>
      <c r="AB106" s="58">
        <v>43971</v>
      </c>
      <c r="AC106" s="58">
        <v>43969</v>
      </c>
      <c r="AD106" s="58">
        <v>43973</v>
      </c>
      <c r="AE106" s="58">
        <v>43970</v>
      </c>
      <c r="AF106" s="58">
        <v>43970</v>
      </c>
      <c r="AG106" s="58" t="s">
        <v>75</v>
      </c>
      <c r="AH106" s="59">
        <v>1</v>
      </c>
      <c r="AI106" s="59">
        <v>1</v>
      </c>
      <c r="AJ106" s="59">
        <v>1</v>
      </c>
      <c r="AK106" s="58" t="s">
        <v>8</v>
      </c>
      <c r="AL106" s="14" t="s">
        <v>72</v>
      </c>
      <c r="AM106" s="14" t="s">
        <v>72</v>
      </c>
      <c r="AN106" s="14" t="s">
        <v>72</v>
      </c>
    </row>
    <row r="107" spans="2:40" ht="15">
      <c r="B107" s="172">
        <v>209</v>
      </c>
      <c r="C107" s="13">
        <v>20200518</v>
      </c>
      <c r="D107" s="13" t="s">
        <v>24</v>
      </c>
      <c r="E107" s="13" t="s">
        <v>1562</v>
      </c>
      <c r="F107" s="39" t="s">
        <v>1571</v>
      </c>
      <c r="G107" s="14">
        <v>1362417</v>
      </c>
      <c r="H107" s="164" t="s">
        <v>72</v>
      </c>
      <c r="I107" s="13" t="s">
        <v>1580</v>
      </c>
      <c r="J107" s="164" t="s">
        <v>72</v>
      </c>
      <c r="K107" s="13" t="s">
        <v>73</v>
      </c>
      <c r="L107" s="173" t="s">
        <v>1564</v>
      </c>
      <c r="M107" s="13" t="s">
        <v>1565</v>
      </c>
      <c r="N107" s="13" t="s">
        <v>1566</v>
      </c>
      <c r="O107" s="14" t="s">
        <v>72</v>
      </c>
      <c r="P107" s="14" t="s">
        <v>1043</v>
      </c>
      <c r="Q107" s="165"/>
      <c r="R107" s="164" t="s">
        <v>72</v>
      </c>
      <c r="S107" s="13" t="s">
        <v>117</v>
      </c>
      <c r="T107" s="13"/>
      <c r="U107" s="13"/>
      <c r="V107" s="13">
        <v>20</v>
      </c>
      <c r="W107" s="13">
        <v>20</v>
      </c>
      <c r="X107" s="13">
        <v>20</v>
      </c>
      <c r="Y107" s="13">
        <v>0.35</v>
      </c>
      <c r="Z107" s="13">
        <v>0.3</v>
      </c>
      <c r="AA107" s="13" t="s">
        <v>110</v>
      </c>
      <c r="AB107" s="58">
        <v>43971</v>
      </c>
      <c r="AC107" s="58">
        <v>43969</v>
      </c>
      <c r="AD107" s="58">
        <v>43973</v>
      </c>
      <c r="AE107" s="58">
        <v>43970</v>
      </c>
      <c r="AF107" s="58">
        <v>43970</v>
      </c>
      <c r="AG107" s="58" t="s">
        <v>75</v>
      </c>
      <c r="AH107" s="59">
        <v>1</v>
      </c>
      <c r="AI107" s="59">
        <v>1</v>
      </c>
      <c r="AJ107" s="59">
        <v>1</v>
      </c>
      <c r="AK107" s="58" t="s">
        <v>8</v>
      </c>
      <c r="AL107" s="14" t="s">
        <v>72</v>
      </c>
      <c r="AM107" s="14" t="s">
        <v>72</v>
      </c>
      <c r="AN107" s="14" t="s">
        <v>72</v>
      </c>
    </row>
    <row r="108" spans="2:40" ht="15">
      <c r="B108" s="174">
        <v>210</v>
      </c>
      <c r="C108" s="13">
        <v>20200518</v>
      </c>
      <c r="D108" s="13" t="s">
        <v>24</v>
      </c>
      <c r="E108" s="13" t="s">
        <v>1458</v>
      </c>
      <c r="F108" s="39" t="s">
        <v>1582</v>
      </c>
      <c r="G108" s="14">
        <v>1473584</v>
      </c>
      <c r="H108" s="164" t="s">
        <v>72</v>
      </c>
      <c r="I108" s="13" t="s">
        <v>558</v>
      </c>
      <c r="J108" s="164" t="s">
        <v>72</v>
      </c>
      <c r="K108" s="13" t="s">
        <v>73</v>
      </c>
      <c r="L108" s="13" t="s">
        <v>1583</v>
      </c>
      <c r="M108" s="13" t="s">
        <v>1584</v>
      </c>
      <c r="N108" s="13" t="s">
        <v>1585</v>
      </c>
      <c r="O108" s="14" t="s">
        <v>72</v>
      </c>
      <c r="P108" s="14" t="s">
        <v>562</v>
      </c>
      <c r="Q108" s="165"/>
      <c r="R108" s="164" t="s">
        <v>72</v>
      </c>
      <c r="S108" s="13" t="s">
        <v>77</v>
      </c>
      <c r="T108" s="13"/>
      <c r="U108" s="13"/>
      <c r="V108" s="13">
        <v>145</v>
      </c>
      <c r="W108" s="13">
        <v>145</v>
      </c>
      <c r="X108" s="13">
        <v>145</v>
      </c>
      <c r="Y108" s="13">
        <v>2.57</v>
      </c>
      <c r="Z108" s="13">
        <v>0.4</v>
      </c>
      <c r="AA108" s="13" t="s">
        <v>110</v>
      </c>
      <c r="AB108" s="58">
        <v>43971</v>
      </c>
      <c r="AC108" s="58">
        <v>43969</v>
      </c>
      <c r="AD108" s="175">
        <v>43971</v>
      </c>
      <c r="AE108" s="58">
        <v>43970</v>
      </c>
      <c r="AF108" s="58">
        <v>43970</v>
      </c>
      <c r="AG108" s="58" t="s">
        <v>75</v>
      </c>
      <c r="AH108" s="59">
        <v>1</v>
      </c>
      <c r="AI108" s="59">
        <v>1</v>
      </c>
      <c r="AJ108" s="59">
        <v>1</v>
      </c>
      <c r="AK108" s="58" t="s">
        <v>8</v>
      </c>
      <c r="AL108" s="176"/>
      <c r="AM108" s="59" t="s">
        <v>72</v>
      </c>
      <c r="AN108" s="59" t="s">
        <v>72</v>
      </c>
    </row>
    <row r="109" spans="2:40" ht="15">
      <c r="B109" s="174">
        <v>211</v>
      </c>
      <c r="C109" s="13">
        <v>20200518</v>
      </c>
      <c r="D109" s="13" t="s">
        <v>24</v>
      </c>
      <c r="E109" s="13" t="s">
        <v>1458</v>
      </c>
      <c r="F109" s="39" t="s">
        <v>1586</v>
      </c>
      <c r="G109" s="14">
        <v>1473584</v>
      </c>
      <c r="H109" s="164" t="s">
        <v>72</v>
      </c>
      <c r="I109" s="13" t="s">
        <v>564</v>
      </c>
      <c r="J109" s="164" t="s">
        <v>72</v>
      </c>
      <c r="K109" s="13" t="s">
        <v>73</v>
      </c>
      <c r="L109" s="13" t="s">
        <v>1583</v>
      </c>
      <c r="M109" s="13" t="s">
        <v>1584</v>
      </c>
      <c r="N109" s="13" t="s">
        <v>1585</v>
      </c>
      <c r="O109" s="14" t="s">
        <v>72</v>
      </c>
      <c r="P109" s="14" t="s">
        <v>562</v>
      </c>
      <c r="Q109" s="165"/>
      <c r="R109" s="164" t="s">
        <v>72</v>
      </c>
      <c r="S109" s="13" t="s">
        <v>77</v>
      </c>
      <c r="T109" s="13"/>
      <c r="U109" s="13"/>
      <c r="V109" s="13">
        <v>101</v>
      </c>
      <c r="W109" s="13">
        <v>101</v>
      </c>
      <c r="X109" s="13">
        <v>101</v>
      </c>
      <c r="Y109" s="13">
        <v>1.79</v>
      </c>
      <c r="Z109" s="13">
        <v>0.4</v>
      </c>
      <c r="AA109" s="13" t="s">
        <v>110</v>
      </c>
      <c r="AB109" s="58">
        <v>43971</v>
      </c>
      <c r="AC109" s="58">
        <v>43969</v>
      </c>
      <c r="AD109" s="175">
        <v>43971</v>
      </c>
      <c r="AE109" s="58">
        <v>43970</v>
      </c>
      <c r="AF109" s="58">
        <v>43970</v>
      </c>
      <c r="AG109" s="58" t="s">
        <v>79</v>
      </c>
      <c r="AH109" s="59">
        <v>1</v>
      </c>
      <c r="AI109" s="59">
        <v>1</v>
      </c>
      <c r="AJ109" s="59">
        <v>0.5</v>
      </c>
      <c r="AK109" s="58" t="s">
        <v>76</v>
      </c>
      <c r="AL109" s="177" t="s">
        <v>1587</v>
      </c>
      <c r="AM109" s="177" t="s">
        <v>72</v>
      </c>
      <c r="AN109" s="176" t="s">
        <v>571</v>
      </c>
    </row>
    <row r="110" spans="2:40" ht="15.75">
      <c r="B110" s="174">
        <v>212</v>
      </c>
      <c r="C110" s="13">
        <v>20200518</v>
      </c>
      <c r="D110" s="13" t="s">
        <v>24</v>
      </c>
      <c r="E110" s="13" t="s">
        <v>1458</v>
      </c>
      <c r="F110" s="39" t="s">
        <v>1588</v>
      </c>
      <c r="G110" s="14">
        <v>1473584</v>
      </c>
      <c r="H110" s="164" t="s">
        <v>72</v>
      </c>
      <c r="I110" s="13" t="s">
        <v>566</v>
      </c>
      <c r="J110" s="164" t="s">
        <v>72</v>
      </c>
      <c r="K110" s="13" t="s">
        <v>73</v>
      </c>
      <c r="L110" s="13" t="s">
        <v>1583</v>
      </c>
      <c r="M110" s="13" t="s">
        <v>1584</v>
      </c>
      <c r="N110" s="13" t="s">
        <v>1585</v>
      </c>
      <c r="O110" s="14" t="s">
        <v>72</v>
      </c>
      <c r="P110" s="14" t="s">
        <v>562</v>
      </c>
      <c r="Q110" s="165"/>
      <c r="R110" s="164" t="s">
        <v>72</v>
      </c>
      <c r="S110" s="13" t="s">
        <v>77</v>
      </c>
      <c r="T110" s="13"/>
      <c r="U110" s="13"/>
      <c r="V110" s="13">
        <v>154</v>
      </c>
      <c r="W110" s="13">
        <v>154</v>
      </c>
      <c r="X110" s="13">
        <v>154</v>
      </c>
      <c r="Y110" s="13">
        <v>2.73</v>
      </c>
      <c r="Z110" s="13">
        <v>0.5</v>
      </c>
      <c r="AA110" s="13" t="s">
        <v>110</v>
      </c>
      <c r="AB110" s="58">
        <v>43971</v>
      </c>
      <c r="AC110" s="58">
        <v>43969</v>
      </c>
      <c r="AD110" s="175">
        <v>43971</v>
      </c>
      <c r="AE110" s="58">
        <v>43970</v>
      </c>
      <c r="AF110" s="58">
        <v>43970</v>
      </c>
      <c r="AG110" s="58" t="s">
        <v>79</v>
      </c>
      <c r="AH110" s="59">
        <v>0.96</v>
      </c>
      <c r="AI110" s="59">
        <v>0.9</v>
      </c>
      <c r="AJ110" s="59">
        <v>1</v>
      </c>
      <c r="AK110" s="58" t="s">
        <v>76</v>
      </c>
      <c r="AL110" s="178" t="s">
        <v>1589</v>
      </c>
      <c r="AM110" s="177" t="s">
        <v>72</v>
      </c>
      <c r="AN110" s="176" t="s">
        <v>571</v>
      </c>
    </row>
    <row r="111" spans="2:40" ht="15">
      <c r="B111" s="174">
        <v>213</v>
      </c>
      <c r="C111" s="13">
        <v>20200518</v>
      </c>
      <c r="D111" s="13" t="s">
        <v>24</v>
      </c>
      <c r="E111" s="13" t="s">
        <v>1458</v>
      </c>
      <c r="F111" s="39" t="s">
        <v>1590</v>
      </c>
      <c r="G111" s="14">
        <v>1473584</v>
      </c>
      <c r="H111" s="164" t="s">
        <v>72</v>
      </c>
      <c r="I111" s="13" t="s">
        <v>45</v>
      </c>
      <c r="J111" s="164" t="s">
        <v>72</v>
      </c>
      <c r="K111" s="13" t="s">
        <v>73</v>
      </c>
      <c r="L111" s="13" t="s">
        <v>1583</v>
      </c>
      <c r="M111" s="13" t="s">
        <v>1584</v>
      </c>
      <c r="N111" s="13" t="s">
        <v>1585</v>
      </c>
      <c r="O111" s="14" t="s">
        <v>72</v>
      </c>
      <c r="P111" s="14" t="s">
        <v>562</v>
      </c>
      <c r="Q111" s="165"/>
      <c r="R111" s="164" t="s">
        <v>72</v>
      </c>
      <c r="S111" s="13" t="s">
        <v>77</v>
      </c>
      <c r="T111" s="13"/>
      <c r="U111" s="13"/>
      <c r="V111" s="13">
        <v>120</v>
      </c>
      <c r="W111" s="13">
        <v>120</v>
      </c>
      <c r="X111" s="13">
        <v>120</v>
      </c>
      <c r="Y111" s="13">
        <v>2.13</v>
      </c>
      <c r="Z111" s="13">
        <v>1</v>
      </c>
      <c r="AA111" s="13" t="s">
        <v>110</v>
      </c>
      <c r="AB111" s="58">
        <v>43971</v>
      </c>
      <c r="AC111" s="58">
        <v>43969</v>
      </c>
      <c r="AD111" s="175">
        <v>43971</v>
      </c>
      <c r="AE111" s="58">
        <v>43970</v>
      </c>
      <c r="AF111" s="58">
        <v>43970</v>
      </c>
      <c r="AG111" s="58" t="s">
        <v>79</v>
      </c>
      <c r="AH111" s="59">
        <v>1</v>
      </c>
      <c r="AI111" s="59">
        <v>0.98</v>
      </c>
      <c r="AJ111" s="59">
        <v>1</v>
      </c>
      <c r="AK111" s="58" t="s">
        <v>76</v>
      </c>
      <c r="AL111" s="176" t="s">
        <v>1591</v>
      </c>
      <c r="AM111" s="177" t="s">
        <v>72</v>
      </c>
      <c r="AN111" s="176" t="s">
        <v>571</v>
      </c>
    </row>
    <row r="112" spans="2:40" ht="15">
      <c r="B112" s="174">
        <v>214</v>
      </c>
      <c r="C112" s="13">
        <v>20200518</v>
      </c>
      <c r="D112" s="13" t="s">
        <v>24</v>
      </c>
      <c r="E112" s="13" t="s">
        <v>1458</v>
      </c>
      <c r="F112" s="39" t="s">
        <v>1592</v>
      </c>
      <c r="G112" s="14">
        <v>1473584</v>
      </c>
      <c r="H112" s="164" t="s">
        <v>72</v>
      </c>
      <c r="I112" s="13" t="s">
        <v>47</v>
      </c>
      <c r="J112" s="164" t="s">
        <v>72</v>
      </c>
      <c r="K112" s="13" t="s">
        <v>73</v>
      </c>
      <c r="L112" s="13" t="s">
        <v>1583</v>
      </c>
      <c r="M112" s="13" t="s">
        <v>1584</v>
      </c>
      <c r="N112" s="13" t="s">
        <v>1585</v>
      </c>
      <c r="O112" s="14" t="s">
        <v>72</v>
      </c>
      <c r="P112" s="14" t="s">
        <v>562</v>
      </c>
      <c r="Q112" s="165"/>
      <c r="R112" s="164" t="s">
        <v>72</v>
      </c>
      <c r="S112" s="13" t="s">
        <v>77</v>
      </c>
      <c r="T112" s="13"/>
      <c r="U112" s="13"/>
      <c r="V112" s="13">
        <v>178</v>
      </c>
      <c r="W112" s="13">
        <v>178</v>
      </c>
      <c r="X112" s="13">
        <v>178</v>
      </c>
      <c r="Y112" s="13">
        <v>3.16</v>
      </c>
      <c r="Z112" s="13">
        <v>0.1</v>
      </c>
      <c r="AA112" s="13" t="s">
        <v>110</v>
      </c>
      <c r="AB112" s="58">
        <v>43971</v>
      </c>
      <c r="AC112" s="58">
        <v>43969</v>
      </c>
      <c r="AD112" s="175">
        <v>43971</v>
      </c>
      <c r="AE112" s="58">
        <v>43970</v>
      </c>
      <c r="AF112" s="58">
        <v>43970</v>
      </c>
      <c r="AG112" s="58" t="s">
        <v>75</v>
      </c>
      <c r="AH112" s="59" t="s">
        <v>72</v>
      </c>
      <c r="AI112" s="59" t="s">
        <v>72</v>
      </c>
      <c r="AJ112" s="59" t="s">
        <v>72</v>
      </c>
      <c r="AK112" s="59" t="s">
        <v>8</v>
      </c>
      <c r="AL112" s="177" t="s">
        <v>72</v>
      </c>
      <c r="AM112" s="177" t="s">
        <v>72</v>
      </c>
      <c r="AN112" s="176" t="s">
        <v>574</v>
      </c>
    </row>
    <row r="113" spans="2:40" ht="15">
      <c r="B113" s="174">
        <v>215</v>
      </c>
      <c r="C113" s="13">
        <v>20200518</v>
      </c>
      <c r="D113" s="13" t="s">
        <v>24</v>
      </c>
      <c r="E113" s="13" t="s">
        <v>1458</v>
      </c>
      <c r="F113" s="39" t="s">
        <v>1593</v>
      </c>
      <c r="G113" s="14">
        <v>1473584</v>
      </c>
      <c r="H113" s="164" t="s">
        <v>72</v>
      </c>
      <c r="I113" s="13" t="s">
        <v>576</v>
      </c>
      <c r="J113" s="164" t="s">
        <v>72</v>
      </c>
      <c r="K113" s="13" t="s">
        <v>73</v>
      </c>
      <c r="L113" s="13" t="s">
        <v>1583</v>
      </c>
      <c r="M113" s="13" t="s">
        <v>1584</v>
      </c>
      <c r="N113" s="13" t="s">
        <v>1585</v>
      </c>
      <c r="O113" s="14" t="s">
        <v>72</v>
      </c>
      <c r="P113" s="14" t="s">
        <v>562</v>
      </c>
      <c r="Q113" s="165"/>
      <c r="R113" s="164" t="s">
        <v>72</v>
      </c>
      <c r="S113" s="13" t="s">
        <v>77</v>
      </c>
      <c r="T113" s="13"/>
      <c r="U113" s="13"/>
      <c r="V113" s="13">
        <v>124</v>
      </c>
      <c r="W113" s="13">
        <v>124</v>
      </c>
      <c r="X113" s="13">
        <v>124</v>
      </c>
      <c r="Y113" s="13">
        <v>2.2000000000000002</v>
      </c>
      <c r="Z113" s="13">
        <v>0.5</v>
      </c>
      <c r="AA113" s="13" t="s">
        <v>110</v>
      </c>
      <c r="AB113" s="58">
        <v>43971</v>
      </c>
      <c r="AC113" s="58">
        <v>43969</v>
      </c>
      <c r="AD113" s="175">
        <v>43971</v>
      </c>
      <c r="AE113" s="58">
        <v>43970</v>
      </c>
      <c r="AF113" s="58">
        <v>43970</v>
      </c>
      <c r="AG113" s="58" t="s">
        <v>75</v>
      </c>
      <c r="AH113" s="59">
        <v>1</v>
      </c>
      <c r="AI113" s="59">
        <v>1</v>
      </c>
      <c r="AJ113" s="59">
        <v>1</v>
      </c>
      <c r="AK113" s="58" t="s">
        <v>8</v>
      </c>
      <c r="AL113" s="177" t="s">
        <v>72</v>
      </c>
      <c r="AM113" s="177" t="s">
        <v>72</v>
      </c>
      <c r="AN113" s="177" t="s">
        <v>72</v>
      </c>
    </row>
    <row r="114" spans="2:40" ht="15">
      <c r="B114" s="174">
        <v>216</v>
      </c>
      <c r="C114" s="13">
        <v>20200518</v>
      </c>
      <c r="D114" s="13" t="s">
        <v>24</v>
      </c>
      <c r="E114" s="13" t="s">
        <v>1458</v>
      </c>
      <c r="F114" s="39" t="s">
        <v>1594</v>
      </c>
      <c r="G114" s="14">
        <v>1473584</v>
      </c>
      <c r="H114" s="164" t="s">
        <v>72</v>
      </c>
      <c r="I114" s="13" t="s">
        <v>686</v>
      </c>
      <c r="J114" s="164" t="s">
        <v>72</v>
      </c>
      <c r="K114" s="13" t="s">
        <v>73</v>
      </c>
      <c r="L114" s="13" t="s">
        <v>1583</v>
      </c>
      <c r="M114" s="13" t="s">
        <v>1584</v>
      </c>
      <c r="N114" s="13" t="s">
        <v>1585</v>
      </c>
      <c r="O114" s="14" t="s">
        <v>72</v>
      </c>
      <c r="P114" s="14" t="s">
        <v>562</v>
      </c>
      <c r="Q114" s="165"/>
      <c r="R114" s="164" t="s">
        <v>72</v>
      </c>
      <c r="S114" s="13" t="s">
        <v>77</v>
      </c>
      <c r="T114" s="13"/>
      <c r="U114" s="13"/>
      <c r="V114" s="13">
        <v>77</v>
      </c>
      <c r="W114" s="13">
        <v>77</v>
      </c>
      <c r="X114" s="13">
        <v>77</v>
      </c>
      <c r="Y114" s="13">
        <v>1.36</v>
      </c>
      <c r="Z114" s="13">
        <v>1</v>
      </c>
      <c r="AA114" s="13" t="s">
        <v>110</v>
      </c>
      <c r="AB114" s="58">
        <v>43971</v>
      </c>
      <c r="AC114" s="58">
        <v>43969</v>
      </c>
      <c r="AD114" s="175">
        <v>43971</v>
      </c>
      <c r="AE114" s="58">
        <v>43971</v>
      </c>
      <c r="AF114" s="58">
        <v>43971</v>
      </c>
      <c r="AG114" s="58" t="s">
        <v>75</v>
      </c>
      <c r="AH114" s="59">
        <v>1</v>
      </c>
      <c r="AI114" s="59">
        <v>1</v>
      </c>
      <c r="AJ114" s="59">
        <v>1</v>
      </c>
      <c r="AK114" s="58" t="s">
        <v>8</v>
      </c>
      <c r="AL114" s="179" t="s">
        <v>72</v>
      </c>
      <c r="AM114" s="13"/>
      <c r="AN114" s="13" t="s">
        <v>1595</v>
      </c>
    </row>
    <row r="115" spans="2:40" ht="15">
      <c r="B115" s="174">
        <v>217</v>
      </c>
      <c r="C115" s="13">
        <v>20200518</v>
      </c>
      <c r="D115" s="13" t="s">
        <v>24</v>
      </c>
      <c r="E115" s="13" t="s">
        <v>1458</v>
      </c>
      <c r="F115" s="39" t="s">
        <v>1596</v>
      </c>
      <c r="G115" s="14">
        <v>1473584</v>
      </c>
      <c r="H115" s="164" t="s">
        <v>72</v>
      </c>
      <c r="I115" s="13" t="s">
        <v>644</v>
      </c>
      <c r="J115" s="164" t="s">
        <v>72</v>
      </c>
      <c r="K115" s="13" t="s">
        <v>73</v>
      </c>
      <c r="L115" s="13" t="s">
        <v>1583</v>
      </c>
      <c r="M115" s="13" t="s">
        <v>1584</v>
      </c>
      <c r="N115" s="13" t="s">
        <v>1585</v>
      </c>
      <c r="O115" s="14" t="s">
        <v>72</v>
      </c>
      <c r="P115" s="14" t="s">
        <v>562</v>
      </c>
      <c r="Q115" s="165"/>
      <c r="R115" s="164" t="s">
        <v>72</v>
      </c>
      <c r="S115" s="13" t="s">
        <v>77</v>
      </c>
      <c r="T115" s="13"/>
      <c r="U115" s="13"/>
      <c r="V115" s="13">
        <v>58</v>
      </c>
      <c r="W115" s="13">
        <v>58</v>
      </c>
      <c r="X115" s="13">
        <v>58</v>
      </c>
      <c r="Y115" s="13">
        <v>1.03</v>
      </c>
      <c r="Z115" s="13">
        <v>0.6</v>
      </c>
      <c r="AA115" s="13" t="s">
        <v>110</v>
      </c>
      <c r="AB115" s="58">
        <v>43971</v>
      </c>
      <c r="AC115" s="58">
        <v>43969</v>
      </c>
      <c r="AD115" s="175">
        <v>43971</v>
      </c>
      <c r="AE115" s="58">
        <v>43971</v>
      </c>
      <c r="AF115" s="58">
        <v>43971</v>
      </c>
      <c r="AG115" s="58" t="s">
        <v>75</v>
      </c>
      <c r="AH115" s="59">
        <v>1</v>
      </c>
      <c r="AI115" s="59">
        <v>1</v>
      </c>
      <c r="AJ115" s="59">
        <v>1</v>
      </c>
      <c r="AK115" s="58" t="s">
        <v>8</v>
      </c>
      <c r="AL115" s="176" t="s">
        <v>72</v>
      </c>
      <c r="AM115" s="176" t="s">
        <v>72</v>
      </c>
      <c r="AN115" s="176" t="s">
        <v>1597</v>
      </c>
    </row>
    <row r="116" spans="2:40" ht="15">
      <c r="B116" s="180">
        <v>218</v>
      </c>
      <c r="C116" s="13">
        <v>20200519</v>
      </c>
      <c r="D116" s="13" t="s">
        <v>24</v>
      </c>
      <c r="E116" s="13" t="s">
        <v>2366</v>
      </c>
      <c r="F116" s="39" t="s">
        <v>1599</v>
      </c>
      <c r="G116" s="14">
        <v>1445994</v>
      </c>
      <c r="H116" s="164" t="s">
        <v>72</v>
      </c>
      <c r="I116" s="13" t="s">
        <v>1600</v>
      </c>
      <c r="J116" s="164" t="s">
        <v>72</v>
      </c>
      <c r="K116" s="13" t="s">
        <v>73</v>
      </c>
      <c r="L116" s="13" t="s">
        <v>1601</v>
      </c>
      <c r="M116" s="13" t="s">
        <v>1602</v>
      </c>
      <c r="N116" s="13" t="s">
        <v>1603</v>
      </c>
      <c r="O116" s="14" t="s">
        <v>72</v>
      </c>
      <c r="P116" s="14" t="s">
        <v>1604</v>
      </c>
      <c r="Q116" s="165"/>
      <c r="R116" s="164" t="s">
        <v>72</v>
      </c>
      <c r="S116" s="13" t="s">
        <v>573</v>
      </c>
      <c r="T116" s="13"/>
      <c r="U116" s="13"/>
      <c r="V116" s="13">
        <v>114</v>
      </c>
      <c r="W116" s="13">
        <v>114</v>
      </c>
      <c r="X116" s="13">
        <v>114</v>
      </c>
      <c r="Y116" s="13">
        <v>2.02</v>
      </c>
      <c r="Z116" s="13">
        <v>1</v>
      </c>
      <c r="AA116" s="13" t="s">
        <v>110</v>
      </c>
      <c r="AB116" s="58">
        <v>43971</v>
      </c>
      <c r="AC116" s="58">
        <v>43970</v>
      </c>
      <c r="AD116" s="58">
        <v>43971</v>
      </c>
      <c r="AE116" s="58">
        <v>43970</v>
      </c>
      <c r="AF116" s="58">
        <v>43970</v>
      </c>
      <c r="AG116" s="58" t="s">
        <v>75</v>
      </c>
      <c r="AH116" s="59">
        <v>1</v>
      </c>
      <c r="AI116" s="59">
        <v>1</v>
      </c>
      <c r="AJ116" s="59">
        <v>1</v>
      </c>
      <c r="AK116" s="58" t="s">
        <v>8</v>
      </c>
      <c r="AL116" s="13"/>
      <c r="AM116" s="13"/>
      <c r="AN116" s="13"/>
    </row>
    <row r="117" spans="2:40" ht="15">
      <c r="B117" s="180">
        <v>219</v>
      </c>
      <c r="C117" s="13">
        <v>20200519</v>
      </c>
      <c r="D117" s="13" t="s">
        <v>24</v>
      </c>
      <c r="E117" s="13" t="s">
        <v>2366</v>
      </c>
      <c r="F117" s="39" t="s">
        <v>1605</v>
      </c>
      <c r="G117" s="14">
        <v>1445994</v>
      </c>
      <c r="H117" s="164" t="s">
        <v>72</v>
      </c>
      <c r="I117" s="13" t="s">
        <v>1606</v>
      </c>
      <c r="J117" s="164" t="s">
        <v>72</v>
      </c>
      <c r="K117" s="13" t="s">
        <v>73</v>
      </c>
      <c r="L117" s="173" t="s">
        <v>1601</v>
      </c>
      <c r="M117" s="13" t="s">
        <v>1602</v>
      </c>
      <c r="N117" s="13" t="s">
        <v>1603</v>
      </c>
      <c r="O117" s="14" t="s">
        <v>72</v>
      </c>
      <c r="P117" s="14" t="s">
        <v>1604</v>
      </c>
      <c r="Q117" s="165"/>
      <c r="R117" s="164" t="s">
        <v>72</v>
      </c>
      <c r="S117" s="13" t="s">
        <v>573</v>
      </c>
      <c r="T117" s="13"/>
      <c r="U117" s="13"/>
      <c r="V117" s="13">
        <v>103</v>
      </c>
      <c r="W117" s="13">
        <v>103</v>
      </c>
      <c r="X117" s="13">
        <v>103</v>
      </c>
      <c r="Y117" s="13">
        <v>1.83</v>
      </c>
      <c r="Z117" s="13">
        <v>1</v>
      </c>
      <c r="AA117" s="13" t="s">
        <v>110</v>
      </c>
      <c r="AB117" s="58">
        <v>43971</v>
      </c>
      <c r="AC117" s="58">
        <v>43970</v>
      </c>
      <c r="AD117" s="58">
        <v>43971</v>
      </c>
      <c r="AE117" s="58">
        <v>43970</v>
      </c>
      <c r="AF117" s="58">
        <v>43970</v>
      </c>
      <c r="AG117" s="58" t="s">
        <v>75</v>
      </c>
      <c r="AH117" s="59">
        <v>1</v>
      </c>
      <c r="AI117" s="59">
        <v>1</v>
      </c>
      <c r="AJ117" s="59">
        <v>1</v>
      </c>
      <c r="AK117" s="58" t="s">
        <v>8</v>
      </c>
      <c r="AL117" s="13"/>
      <c r="AM117" s="13"/>
      <c r="AN117" s="13"/>
    </row>
    <row r="118" spans="2:40" ht="15">
      <c r="B118" s="180">
        <v>220</v>
      </c>
      <c r="C118" s="13">
        <v>20200519</v>
      </c>
      <c r="D118" s="13" t="s">
        <v>24</v>
      </c>
      <c r="E118" s="13" t="s">
        <v>2366</v>
      </c>
      <c r="F118" s="39" t="s">
        <v>1607</v>
      </c>
      <c r="G118" s="14">
        <v>1445994</v>
      </c>
      <c r="H118" s="164" t="s">
        <v>72</v>
      </c>
      <c r="I118" s="13" t="s">
        <v>1608</v>
      </c>
      <c r="J118" s="164" t="s">
        <v>72</v>
      </c>
      <c r="K118" s="13" t="s">
        <v>73</v>
      </c>
      <c r="L118" s="13" t="s">
        <v>1601</v>
      </c>
      <c r="M118" s="13" t="s">
        <v>1602</v>
      </c>
      <c r="N118" s="13" t="s">
        <v>1603</v>
      </c>
      <c r="O118" s="14" t="s">
        <v>72</v>
      </c>
      <c r="P118" s="14" t="s">
        <v>1604</v>
      </c>
      <c r="Q118" s="165"/>
      <c r="R118" s="164" t="s">
        <v>72</v>
      </c>
      <c r="S118" s="13" t="s">
        <v>573</v>
      </c>
      <c r="T118" s="13"/>
      <c r="U118" s="13"/>
      <c r="V118" s="13">
        <v>235</v>
      </c>
      <c r="W118" s="13">
        <v>235</v>
      </c>
      <c r="X118" s="13">
        <v>235</v>
      </c>
      <c r="Y118" s="13">
        <v>4.17</v>
      </c>
      <c r="Z118" s="13">
        <v>1</v>
      </c>
      <c r="AA118" s="13" t="s">
        <v>110</v>
      </c>
      <c r="AB118" s="58">
        <v>43971</v>
      </c>
      <c r="AC118" s="58">
        <v>43970</v>
      </c>
      <c r="AD118" s="58">
        <v>43971</v>
      </c>
      <c r="AE118" s="58">
        <v>43970</v>
      </c>
      <c r="AF118" s="58">
        <v>43970</v>
      </c>
      <c r="AG118" s="58" t="s">
        <v>75</v>
      </c>
      <c r="AH118" s="59">
        <v>1</v>
      </c>
      <c r="AI118" s="59">
        <v>1</v>
      </c>
      <c r="AJ118" s="59">
        <v>1</v>
      </c>
      <c r="AK118" s="58" t="s">
        <v>8</v>
      </c>
      <c r="AL118" s="13"/>
      <c r="AM118" s="13"/>
      <c r="AN118" s="13"/>
    </row>
    <row r="119" spans="2:40" ht="15">
      <c r="B119" s="180">
        <v>221</v>
      </c>
      <c r="C119" s="13">
        <v>20200519</v>
      </c>
      <c r="D119" s="13" t="s">
        <v>24</v>
      </c>
      <c r="E119" s="13" t="s">
        <v>2366</v>
      </c>
      <c r="F119" s="39" t="s">
        <v>1609</v>
      </c>
      <c r="G119" s="14">
        <v>1445994</v>
      </c>
      <c r="H119" s="164" t="s">
        <v>72</v>
      </c>
      <c r="I119" s="13" t="s">
        <v>1610</v>
      </c>
      <c r="J119" s="164" t="s">
        <v>72</v>
      </c>
      <c r="K119" s="13" t="s">
        <v>73</v>
      </c>
      <c r="L119" s="13" t="s">
        <v>1601</v>
      </c>
      <c r="M119" s="13" t="s">
        <v>1602</v>
      </c>
      <c r="N119" s="13" t="s">
        <v>1603</v>
      </c>
      <c r="O119" s="14" t="s">
        <v>72</v>
      </c>
      <c r="P119" s="14" t="s">
        <v>1604</v>
      </c>
      <c r="Q119" s="165"/>
      <c r="R119" s="164" t="s">
        <v>72</v>
      </c>
      <c r="S119" s="13" t="s">
        <v>573</v>
      </c>
      <c r="T119" s="13"/>
      <c r="U119" s="13"/>
      <c r="V119" s="13">
        <v>635</v>
      </c>
      <c r="W119" s="13">
        <v>635</v>
      </c>
      <c r="X119" s="13">
        <v>635</v>
      </c>
      <c r="Y119" s="13">
        <v>11.28</v>
      </c>
      <c r="Z119" s="13">
        <v>3</v>
      </c>
      <c r="AA119" s="13" t="s">
        <v>110</v>
      </c>
      <c r="AB119" s="58">
        <v>43971</v>
      </c>
      <c r="AC119" s="58">
        <v>43970</v>
      </c>
      <c r="AD119" s="58">
        <v>43971</v>
      </c>
      <c r="AE119" s="58">
        <v>43971</v>
      </c>
      <c r="AF119" s="58">
        <v>43971</v>
      </c>
      <c r="AG119" s="58" t="s">
        <v>79</v>
      </c>
      <c r="AH119" s="59">
        <v>1</v>
      </c>
      <c r="AI119" s="59">
        <v>0.99</v>
      </c>
      <c r="AJ119" s="59">
        <v>1</v>
      </c>
      <c r="AK119" s="58" t="s">
        <v>76</v>
      </c>
      <c r="AL119" s="13" t="s">
        <v>1611</v>
      </c>
      <c r="AM119" s="13"/>
      <c r="AN119" s="13" t="s">
        <v>1612</v>
      </c>
    </row>
    <row r="120" spans="2:40" ht="15">
      <c r="B120" s="172">
        <v>1</v>
      </c>
      <c r="C120" s="13">
        <v>20200518</v>
      </c>
      <c r="D120" s="13" t="s">
        <v>24</v>
      </c>
      <c r="E120" s="13" t="s">
        <v>837</v>
      </c>
      <c r="F120" s="39" t="s">
        <v>1613</v>
      </c>
      <c r="G120" s="14">
        <v>1452946</v>
      </c>
      <c r="H120" s="164" t="s">
        <v>72</v>
      </c>
      <c r="I120" s="13" t="s">
        <v>135</v>
      </c>
      <c r="J120" s="164" t="s">
        <v>72</v>
      </c>
      <c r="K120" s="13" t="s">
        <v>73</v>
      </c>
      <c r="L120" s="13" t="s">
        <v>1614</v>
      </c>
      <c r="M120" s="13" t="s">
        <v>840</v>
      </c>
      <c r="N120" s="13" t="s">
        <v>841</v>
      </c>
      <c r="O120" s="14" t="s">
        <v>72</v>
      </c>
      <c r="P120" s="14" t="s">
        <v>1567</v>
      </c>
      <c r="Q120" s="165"/>
      <c r="R120" s="164" t="s">
        <v>72</v>
      </c>
      <c r="S120" s="13" t="s">
        <v>113</v>
      </c>
      <c r="T120" s="13"/>
      <c r="U120" s="13"/>
      <c r="V120" s="13">
        <v>109</v>
      </c>
      <c r="W120" s="13">
        <v>109</v>
      </c>
      <c r="X120" s="13">
        <v>109</v>
      </c>
      <c r="Y120" s="13">
        <v>1.93</v>
      </c>
      <c r="Z120" s="13">
        <v>2</v>
      </c>
      <c r="AA120" s="13" t="s">
        <v>110</v>
      </c>
      <c r="AB120" s="58">
        <v>43973</v>
      </c>
      <c r="AC120" s="58">
        <v>43969</v>
      </c>
      <c r="AD120" s="58">
        <v>43973</v>
      </c>
      <c r="AE120" s="58">
        <v>43971</v>
      </c>
      <c r="AF120" s="58">
        <v>43971</v>
      </c>
      <c r="AG120" s="58" t="s">
        <v>75</v>
      </c>
      <c r="AH120" s="59">
        <v>1</v>
      </c>
      <c r="AI120" s="59">
        <v>1</v>
      </c>
      <c r="AJ120" s="59">
        <v>1</v>
      </c>
      <c r="AK120" s="58" t="s">
        <v>8</v>
      </c>
      <c r="AL120" s="14" t="s">
        <v>72</v>
      </c>
      <c r="AM120" s="14" t="s">
        <v>72</v>
      </c>
      <c r="AN120" s="14" t="s">
        <v>72</v>
      </c>
    </row>
    <row r="121" spans="2:40" ht="15">
      <c r="B121" s="172">
        <v>2</v>
      </c>
      <c r="C121" s="13">
        <v>20200518</v>
      </c>
      <c r="D121" s="13" t="s">
        <v>24</v>
      </c>
      <c r="E121" s="13" t="s">
        <v>837</v>
      </c>
      <c r="F121" s="39" t="s">
        <v>1615</v>
      </c>
      <c r="G121" s="14">
        <v>1452946</v>
      </c>
      <c r="H121" s="164" t="s">
        <v>72</v>
      </c>
      <c r="I121" s="13" t="s">
        <v>1569</v>
      </c>
      <c r="J121" s="164" t="s">
        <v>72</v>
      </c>
      <c r="K121" s="13" t="s">
        <v>73</v>
      </c>
      <c r="L121" s="13" t="s">
        <v>1614</v>
      </c>
      <c r="M121" s="13" t="s">
        <v>840</v>
      </c>
      <c r="N121" s="13" t="s">
        <v>841</v>
      </c>
      <c r="O121" s="14" t="s">
        <v>72</v>
      </c>
      <c r="P121" s="14" t="s">
        <v>1567</v>
      </c>
      <c r="Q121" s="165"/>
      <c r="R121" s="164" t="s">
        <v>72</v>
      </c>
      <c r="S121" s="13" t="s">
        <v>113</v>
      </c>
      <c r="T121" s="13"/>
      <c r="U121" s="13"/>
      <c r="V121" s="13">
        <v>59</v>
      </c>
      <c r="W121" s="13">
        <v>59</v>
      </c>
      <c r="X121" s="13">
        <v>59</v>
      </c>
      <c r="Y121" s="13">
        <v>1.04</v>
      </c>
      <c r="Z121" s="13">
        <v>1</v>
      </c>
      <c r="AA121" s="13" t="s">
        <v>110</v>
      </c>
      <c r="AB121" s="58">
        <v>43973</v>
      </c>
      <c r="AC121" s="58">
        <v>43969</v>
      </c>
      <c r="AD121" s="58">
        <v>43973</v>
      </c>
      <c r="AE121" s="58">
        <v>43971</v>
      </c>
      <c r="AF121" s="58">
        <v>43971</v>
      </c>
      <c r="AG121" s="58" t="s">
        <v>75</v>
      </c>
      <c r="AH121" s="59">
        <v>1</v>
      </c>
      <c r="AI121" s="59">
        <v>1</v>
      </c>
      <c r="AJ121" s="59">
        <v>1</v>
      </c>
      <c r="AK121" s="58" t="s">
        <v>8</v>
      </c>
      <c r="AL121" s="14" t="s">
        <v>72</v>
      </c>
      <c r="AM121" s="14" t="s">
        <v>72</v>
      </c>
      <c r="AN121" s="14" t="s">
        <v>72</v>
      </c>
    </row>
    <row r="122" spans="2:40" ht="15">
      <c r="B122" s="172">
        <v>3</v>
      </c>
      <c r="C122" s="13">
        <v>20200518</v>
      </c>
      <c r="D122" s="13" t="s">
        <v>24</v>
      </c>
      <c r="E122" s="13" t="s">
        <v>837</v>
      </c>
      <c r="F122" s="39" t="s">
        <v>1613</v>
      </c>
      <c r="G122" s="14">
        <v>1452946</v>
      </c>
      <c r="H122" s="164" t="s">
        <v>72</v>
      </c>
      <c r="I122" s="13" t="s">
        <v>1272</v>
      </c>
      <c r="J122" s="164" t="s">
        <v>72</v>
      </c>
      <c r="K122" s="13" t="s">
        <v>73</v>
      </c>
      <c r="L122" s="13" t="s">
        <v>1614</v>
      </c>
      <c r="M122" s="13" t="s">
        <v>840</v>
      </c>
      <c r="N122" s="13" t="s">
        <v>841</v>
      </c>
      <c r="O122" s="14" t="s">
        <v>72</v>
      </c>
      <c r="P122" s="14" t="s">
        <v>1567</v>
      </c>
      <c r="Q122" s="165"/>
      <c r="R122" s="164" t="s">
        <v>72</v>
      </c>
      <c r="S122" s="13" t="s">
        <v>161</v>
      </c>
      <c r="T122" s="13"/>
      <c r="U122" s="13"/>
      <c r="V122" s="13">
        <v>125</v>
      </c>
      <c r="W122" s="13">
        <v>125</v>
      </c>
      <c r="X122" s="13">
        <v>125</v>
      </c>
      <c r="Y122" s="13">
        <v>2.2200000000000002</v>
      </c>
      <c r="Z122" s="13">
        <v>2</v>
      </c>
      <c r="AA122" s="13" t="s">
        <v>110</v>
      </c>
      <c r="AB122" s="58">
        <v>43973</v>
      </c>
      <c r="AC122" s="58">
        <v>43969</v>
      </c>
      <c r="AD122" s="58">
        <v>43973</v>
      </c>
      <c r="AE122" s="58">
        <v>43969</v>
      </c>
      <c r="AF122" s="58">
        <v>43969</v>
      </c>
      <c r="AG122" s="58" t="s">
        <v>75</v>
      </c>
      <c r="AH122" s="59">
        <v>1</v>
      </c>
      <c r="AI122" s="59">
        <v>1</v>
      </c>
      <c r="AJ122" s="59">
        <v>1</v>
      </c>
      <c r="AK122" s="58" t="s">
        <v>8</v>
      </c>
      <c r="AL122" s="14" t="s">
        <v>72</v>
      </c>
      <c r="AM122" s="14" t="s">
        <v>72</v>
      </c>
      <c r="AN122" s="14" t="s">
        <v>72</v>
      </c>
    </row>
    <row r="123" spans="2:40" ht="15">
      <c r="B123" s="172">
        <v>4</v>
      </c>
      <c r="C123" s="176">
        <v>20200518</v>
      </c>
      <c r="D123" s="176" t="s">
        <v>24</v>
      </c>
      <c r="E123" s="176" t="s">
        <v>837</v>
      </c>
      <c r="F123" s="39" t="s">
        <v>1615</v>
      </c>
      <c r="G123" s="181">
        <v>1452946</v>
      </c>
      <c r="H123" s="182" t="s">
        <v>72</v>
      </c>
      <c r="I123" s="176" t="s">
        <v>39</v>
      </c>
      <c r="J123" s="182" t="s">
        <v>72</v>
      </c>
      <c r="K123" s="176" t="s">
        <v>73</v>
      </c>
      <c r="L123" s="176" t="s">
        <v>1614</v>
      </c>
      <c r="M123" s="176" t="s">
        <v>840</v>
      </c>
      <c r="N123" s="176" t="s">
        <v>841</v>
      </c>
      <c r="O123" s="181" t="s">
        <v>72</v>
      </c>
      <c r="P123" s="181" t="s">
        <v>1567</v>
      </c>
      <c r="Q123" s="165"/>
      <c r="R123" s="164" t="s">
        <v>72</v>
      </c>
      <c r="S123" s="176" t="s">
        <v>113</v>
      </c>
      <c r="T123" s="176"/>
      <c r="U123" s="176"/>
      <c r="V123" s="176">
        <v>18</v>
      </c>
      <c r="W123" s="176">
        <v>18</v>
      </c>
      <c r="X123" s="176">
        <v>18</v>
      </c>
      <c r="Y123" s="176">
        <v>0.32</v>
      </c>
      <c r="Z123" s="176">
        <v>0.32</v>
      </c>
      <c r="AA123" s="13" t="s">
        <v>110</v>
      </c>
      <c r="AB123" s="58">
        <v>43973</v>
      </c>
      <c r="AC123" s="175">
        <v>43969</v>
      </c>
      <c r="AD123" s="175">
        <v>43973</v>
      </c>
      <c r="AE123" s="175">
        <v>43971</v>
      </c>
      <c r="AF123" s="175">
        <v>43971</v>
      </c>
      <c r="AG123" s="175" t="s">
        <v>75</v>
      </c>
      <c r="AH123" s="177">
        <v>1</v>
      </c>
      <c r="AI123" s="177">
        <v>1</v>
      </c>
      <c r="AJ123" s="177">
        <v>1</v>
      </c>
      <c r="AK123" s="175" t="s">
        <v>8</v>
      </c>
      <c r="AL123" s="181" t="s">
        <v>72</v>
      </c>
      <c r="AM123" s="181" t="s">
        <v>72</v>
      </c>
      <c r="AN123" s="181" t="s">
        <v>72</v>
      </c>
    </row>
    <row r="124" spans="2:40" ht="15">
      <c r="B124" s="172">
        <v>5</v>
      </c>
      <c r="C124" s="13">
        <v>20200518</v>
      </c>
      <c r="D124" s="13" t="s">
        <v>24</v>
      </c>
      <c r="E124" s="13" t="s">
        <v>837</v>
      </c>
      <c r="F124" s="39" t="s">
        <v>1616</v>
      </c>
      <c r="G124" s="14">
        <v>1452946</v>
      </c>
      <c r="H124" s="164" t="s">
        <v>72</v>
      </c>
      <c r="I124" s="13" t="s">
        <v>130</v>
      </c>
      <c r="J124" s="164" t="s">
        <v>72</v>
      </c>
      <c r="K124" s="13" t="s">
        <v>73</v>
      </c>
      <c r="L124" s="13" t="s">
        <v>1614</v>
      </c>
      <c r="M124" s="13" t="s">
        <v>840</v>
      </c>
      <c r="N124" s="13" t="s">
        <v>841</v>
      </c>
      <c r="O124" s="14" t="s">
        <v>72</v>
      </c>
      <c r="P124" s="14" t="s">
        <v>1567</v>
      </c>
      <c r="Q124" s="165"/>
      <c r="R124" s="164" t="s">
        <v>72</v>
      </c>
      <c r="S124" s="13" t="s">
        <v>117</v>
      </c>
      <c r="T124" s="13"/>
      <c r="U124" s="13"/>
      <c r="V124" s="13">
        <v>220</v>
      </c>
      <c r="W124" s="13">
        <v>220</v>
      </c>
      <c r="X124" s="13">
        <v>220</v>
      </c>
      <c r="Y124" s="13">
        <v>3.91</v>
      </c>
      <c r="Z124" s="13">
        <v>3</v>
      </c>
      <c r="AA124" s="13" t="s">
        <v>110</v>
      </c>
      <c r="AB124" s="58">
        <v>43973</v>
      </c>
      <c r="AC124" s="58">
        <v>43969</v>
      </c>
      <c r="AD124" s="58">
        <v>43973</v>
      </c>
      <c r="AE124" s="58">
        <v>43971</v>
      </c>
      <c r="AF124" s="58">
        <v>43971</v>
      </c>
      <c r="AG124" s="58" t="s">
        <v>75</v>
      </c>
      <c r="AH124" s="59">
        <v>1</v>
      </c>
      <c r="AI124" s="59">
        <v>1</v>
      </c>
      <c r="AJ124" s="59">
        <v>1</v>
      </c>
      <c r="AK124" s="58" t="s">
        <v>8</v>
      </c>
      <c r="AL124" s="14" t="s">
        <v>72</v>
      </c>
      <c r="AM124" s="14" t="s">
        <v>72</v>
      </c>
      <c r="AN124" s="14" t="s">
        <v>72</v>
      </c>
    </row>
    <row r="125" spans="2:40" ht="15">
      <c r="B125" s="172">
        <v>6</v>
      </c>
      <c r="C125" s="176">
        <v>20200518</v>
      </c>
      <c r="D125" s="176" t="s">
        <v>24</v>
      </c>
      <c r="E125" s="176" t="s">
        <v>837</v>
      </c>
      <c r="F125" s="39" t="s">
        <v>1617</v>
      </c>
      <c r="G125" s="181">
        <v>1452946</v>
      </c>
      <c r="H125" s="182" t="s">
        <v>72</v>
      </c>
      <c r="I125" s="176" t="s">
        <v>1618</v>
      </c>
      <c r="J125" s="182" t="s">
        <v>72</v>
      </c>
      <c r="K125" s="176" t="s">
        <v>73</v>
      </c>
      <c r="L125" s="176" t="s">
        <v>1614</v>
      </c>
      <c r="M125" s="176" t="s">
        <v>840</v>
      </c>
      <c r="N125" s="176" t="s">
        <v>841</v>
      </c>
      <c r="O125" s="181" t="s">
        <v>72</v>
      </c>
      <c r="P125" s="181" t="s">
        <v>1567</v>
      </c>
      <c r="Q125" s="165"/>
      <c r="R125" s="164" t="s">
        <v>72</v>
      </c>
      <c r="S125" s="176" t="s">
        <v>113</v>
      </c>
      <c r="T125" s="176"/>
      <c r="U125" s="176"/>
      <c r="V125" s="176">
        <v>117</v>
      </c>
      <c r="W125" s="176">
        <v>117</v>
      </c>
      <c r="X125" s="176">
        <v>117</v>
      </c>
      <c r="Y125" s="176">
        <v>2.08</v>
      </c>
      <c r="Z125" s="176">
        <v>2</v>
      </c>
      <c r="AA125" s="13" t="s">
        <v>110</v>
      </c>
      <c r="AB125" s="58">
        <v>43973</v>
      </c>
      <c r="AC125" s="175">
        <v>43969</v>
      </c>
      <c r="AD125" s="175">
        <v>43973</v>
      </c>
      <c r="AE125" s="175">
        <v>43971</v>
      </c>
      <c r="AF125" s="175">
        <v>43971</v>
      </c>
      <c r="AG125" s="175" t="s">
        <v>75</v>
      </c>
      <c r="AH125" s="177">
        <v>1</v>
      </c>
      <c r="AI125" s="177">
        <v>1</v>
      </c>
      <c r="AJ125" s="177">
        <v>1</v>
      </c>
      <c r="AK125" s="175" t="s">
        <v>8</v>
      </c>
      <c r="AL125" s="181" t="s">
        <v>72</v>
      </c>
      <c r="AM125" s="181" t="s">
        <v>72</v>
      </c>
      <c r="AN125" s="181"/>
    </row>
    <row r="126" spans="2:40" ht="15">
      <c r="B126" s="172">
        <v>7</v>
      </c>
      <c r="C126" s="13">
        <v>20200518</v>
      </c>
      <c r="D126" s="13" t="s">
        <v>24</v>
      </c>
      <c r="E126" s="13" t="s">
        <v>837</v>
      </c>
      <c r="F126" s="39" t="s">
        <v>1617</v>
      </c>
      <c r="G126" s="14">
        <v>1452946</v>
      </c>
      <c r="H126" s="164" t="s">
        <v>72</v>
      </c>
      <c r="I126" s="13" t="s">
        <v>1619</v>
      </c>
      <c r="J126" s="164" t="s">
        <v>72</v>
      </c>
      <c r="K126" s="13" t="s">
        <v>73</v>
      </c>
      <c r="L126" s="13" t="s">
        <v>1614</v>
      </c>
      <c r="M126" s="13" t="s">
        <v>840</v>
      </c>
      <c r="N126" s="13" t="s">
        <v>841</v>
      </c>
      <c r="O126" s="14" t="s">
        <v>72</v>
      </c>
      <c r="P126" s="14" t="s">
        <v>1567</v>
      </c>
      <c r="Q126" s="165"/>
      <c r="R126" s="164" t="s">
        <v>72</v>
      </c>
      <c r="S126" s="13" t="s">
        <v>161</v>
      </c>
      <c r="T126" s="13"/>
      <c r="U126" s="13"/>
      <c r="V126" s="13">
        <v>18</v>
      </c>
      <c r="W126" s="13">
        <v>18</v>
      </c>
      <c r="X126" s="13">
        <v>18</v>
      </c>
      <c r="Y126" s="13">
        <v>0.32</v>
      </c>
      <c r="Z126" s="13">
        <v>0.3</v>
      </c>
      <c r="AA126" s="13" t="s">
        <v>110</v>
      </c>
      <c r="AB126" s="58">
        <v>43973</v>
      </c>
      <c r="AC126" s="58">
        <v>43969</v>
      </c>
      <c r="AD126" s="58">
        <v>43973</v>
      </c>
      <c r="AE126" s="58">
        <v>43969</v>
      </c>
      <c r="AF126" s="58">
        <v>43969</v>
      </c>
      <c r="AG126" s="58" t="s">
        <v>75</v>
      </c>
      <c r="AH126" s="59">
        <v>1</v>
      </c>
      <c r="AI126" s="59">
        <v>1</v>
      </c>
      <c r="AJ126" s="59">
        <v>1</v>
      </c>
      <c r="AK126" s="58" t="s">
        <v>8</v>
      </c>
      <c r="AL126" s="14" t="s">
        <v>72</v>
      </c>
      <c r="AM126" s="14" t="s">
        <v>72</v>
      </c>
      <c r="AN126" s="14" t="s">
        <v>72</v>
      </c>
    </row>
    <row r="127" spans="2:40" ht="15">
      <c r="B127" s="172">
        <v>8</v>
      </c>
      <c r="C127" s="13">
        <v>20200518</v>
      </c>
      <c r="D127" s="13" t="s">
        <v>24</v>
      </c>
      <c r="E127" s="13" t="s">
        <v>837</v>
      </c>
      <c r="F127" s="39" t="s">
        <v>1617</v>
      </c>
      <c r="G127" s="14">
        <v>1452946</v>
      </c>
      <c r="H127" s="164" t="s">
        <v>72</v>
      </c>
      <c r="I127" s="13" t="s">
        <v>1620</v>
      </c>
      <c r="J127" s="164" t="s">
        <v>72</v>
      </c>
      <c r="K127" s="13" t="s">
        <v>73</v>
      </c>
      <c r="L127" s="13" t="s">
        <v>1614</v>
      </c>
      <c r="M127" s="13" t="s">
        <v>840</v>
      </c>
      <c r="N127" s="13" t="s">
        <v>841</v>
      </c>
      <c r="O127" s="14" t="s">
        <v>72</v>
      </c>
      <c r="P127" s="14" t="s">
        <v>1567</v>
      </c>
      <c r="Q127" s="165"/>
      <c r="R127" s="164" t="s">
        <v>72</v>
      </c>
      <c r="S127" s="13" t="s">
        <v>113</v>
      </c>
      <c r="T127" s="13"/>
      <c r="U127" s="13"/>
      <c r="V127" s="13">
        <v>49</v>
      </c>
      <c r="W127" s="13">
        <v>49</v>
      </c>
      <c r="X127" s="13">
        <v>49</v>
      </c>
      <c r="Y127" s="13">
        <v>0.87</v>
      </c>
      <c r="Z127" s="13">
        <v>0.5</v>
      </c>
      <c r="AA127" s="13" t="s">
        <v>110</v>
      </c>
      <c r="AB127" s="58">
        <v>43973</v>
      </c>
      <c r="AC127" s="58">
        <v>43969</v>
      </c>
      <c r="AD127" s="58">
        <v>43973</v>
      </c>
      <c r="AE127" s="58">
        <v>43971</v>
      </c>
      <c r="AF127" s="58">
        <v>43971</v>
      </c>
      <c r="AG127" s="58" t="s">
        <v>75</v>
      </c>
      <c r="AH127" s="59">
        <v>1</v>
      </c>
      <c r="AI127" s="59">
        <v>1</v>
      </c>
      <c r="AJ127" s="59">
        <v>1</v>
      </c>
      <c r="AK127" s="58" t="s">
        <v>8</v>
      </c>
      <c r="AL127" s="14" t="s">
        <v>72</v>
      </c>
      <c r="AM127" s="14" t="s">
        <v>72</v>
      </c>
      <c r="AN127" s="14" t="s">
        <v>72</v>
      </c>
    </row>
    <row r="128" spans="2:40" ht="15">
      <c r="B128" s="172">
        <v>9</v>
      </c>
      <c r="C128" s="13">
        <v>20200518</v>
      </c>
      <c r="D128" s="13" t="s">
        <v>24</v>
      </c>
      <c r="E128" s="13" t="s">
        <v>837</v>
      </c>
      <c r="F128" s="39" t="s">
        <v>1617</v>
      </c>
      <c r="G128" s="14">
        <v>1452946</v>
      </c>
      <c r="H128" s="164" t="s">
        <v>72</v>
      </c>
      <c r="I128" s="13" t="s">
        <v>1621</v>
      </c>
      <c r="J128" s="164" t="s">
        <v>72</v>
      </c>
      <c r="K128" s="13" t="s">
        <v>73</v>
      </c>
      <c r="L128" s="13" t="s">
        <v>1614</v>
      </c>
      <c r="M128" s="13" t="s">
        <v>840</v>
      </c>
      <c r="N128" s="13" t="s">
        <v>841</v>
      </c>
      <c r="O128" s="14" t="s">
        <v>72</v>
      </c>
      <c r="P128" s="14" t="s">
        <v>1567</v>
      </c>
      <c r="Q128" s="165"/>
      <c r="R128" s="164" t="s">
        <v>72</v>
      </c>
      <c r="S128" s="13" t="s">
        <v>161</v>
      </c>
      <c r="T128" s="13"/>
      <c r="U128" s="13"/>
      <c r="V128" s="13">
        <v>175</v>
      </c>
      <c r="W128" s="13">
        <v>175</v>
      </c>
      <c r="X128" s="13">
        <v>175</v>
      </c>
      <c r="Y128" s="13">
        <v>3.11</v>
      </c>
      <c r="Z128" s="13">
        <v>3</v>
      </c>
      <c r="AA128" s="13" t="s">
        <v>110</v>
      </c>
      <c r="AB128" s="58">
        <v>43973</v>
      </c>
      <c r="AC128" s="58">
        <v>43969</v>
      </c>
      <c r="AD128" s="58">
        <v>43973</v>
      </c>
      <c r="AE128" s="58">
        <v>43969</v>
      </c>
      <c r="AF128" s="58">
        <v>43969</v>
      </c>
      <c r="AG128" s="58" t="s">
        <v>75</v>
      </c>
      <c r="AH128" s="59">
        <v>1</v>
      </c>
      <c r="AI128" s="59">
        <v>1</v>
      </c>
      <c r="AJ128" s="59">
        <v>1</v>
      </c>
      <c r="AK128" s="58" t="s">
        <v>8</v>
      </c>
      <c r="AL128" s="14" t="s">
        <v>72</v>
      </c>
      <c r="AM128" s="14" t="s">
        <v>72</v>
      </c>
      <c r="AN128" s="14" t="s">
        <v>72</v>
      </c>
    </row>
    <row r="129" spans="2:40" ht="15">
      <c r="B129" s="172">
        <v>10</v>
      </c>
      <c r="C129" s="13">
        <v>20200518</v>
      </c>
      <c r="D129" s="13" t="s">
        <v>24</v>
      </c>
      <c r="E129" s="13" t="s">
        <v>837</v>
      </c>
      <c r="F129" s="39" t="s">
        <v>1617</v>
      </c>
      <c r="G129" s="14">
        <v>1452946</v>
      </c>
      <c r="H129" s="164" t="s">
        <v>72</v>
      </c>
      <c r="I129" s="13" t="s">
        <v>1622</v>
      </c>
      <c r="J129" s="164" t="s">
        <v>72</v>
      </c>
      <c r="K129" s="13" t="s">
        <v>73</v>
      </c>
      <c r="L129" s="13" t="s">
        <v>1614</v>
      </c>
      <c r="M129" s="13" t="s">
        <v>840</v>
      </c>
      <c r="N129" s="13" t="s">
        <v>841</v>
      </c>
      <c r="O129" s="14" t="s">
        <v>72</v>
      </c>
      <c r="P129" s="14" t="s">
        <v>1567</v>
      </c>
      <c r="Q129" s="165"/>
      <c r="R129" s="164" t="s">
        <v>72</v>
      </c>
      <c r="S129" s="13" t="s">
        <v>161</v>
      </c>
      <c r="T129" s="13"/>
      <c r="U129" s="13"/>
      <c r="V129" s="13">
        <v>76</v>
      </c>
      <c r="W129" s="13">
        <v>76</v>
      </c>
      <c r="X129" s="13">
        <v>76</v>
      </c>
      <c r="Y129" s="13">
        <v>1.35</v>
      </c>
      <c r="Z129" s="13">
        <v>1</v>
      </c>
      <c r="AA129" s="13" t="s">
        <v>110</v>
      </c>
      <c r="AB129" s="58">
        <v>43973</v>
      </c>
      <c r="AC129" s="58">
        <v>43969</v>
      </c>
      <c r="AD129" s="58">
        <v>43973</v>
      </c>
      <c r="AE129" s="58">
        <v>43969</v>
      </c>
      <c r="AF129" s="58">
        <v>43969</v>
      </c>
      <c r="AG129" s="58" t="s">
        <v>75</v>
      </c>
      <c r="AH129" s="59">
        <v>1</v>
      </c>
      <c r="AI129" s="59">
        <v>1</v>
      </c>
      <c r="AJ129" s="59">
        <v>1</v>
      </c>
      <c r="AK129" s="58" t="s">
        <v>8</v>
      </c>
      <c r="AL129" s="14" t="s">
        <v>72</v>
      </c>
      <c r="AM129" s="14" t="s">
        <v>72</v>
      </c>
      <c r="AN129" s="14" t="s">
        <v>72</v>
      </c>
    </row>
    <row r="130" spans="2:40" ht="15">
      <c r="B130" s="172">
        <v>11</v>
      </c>
      <c r="C130" s="13">
        <v>20200518</v>
      </c>
      <c r="D130" s="13" t="s">
        <v>24</v>
      </c>
      <c r="E130" s="13" t="s">
        <v>837</v>
      </c>
      <c r="F130" s="39" t="s">
        <v>1617</v>
      </c>
      <c r="G130" s="181">
        <v>1452946</v>
      </c>
      <c r="H130" s="183" t="s">
        <v>72</v>
      </c>
      <c r="I130" s="176" t="s">
        <v>1623</v>
      </c>
      <c r="J130" s="164" t="s">
        <v>72</v>
      </c>
      <c r="K130" s="13" t="s">
        <v>73</v>
      </c>
      <c r="L130" s="13" t="s">
        <v>1614</v>
      </c>
      <c r="M130" s="13" t="s">
        <v>840</v>
      </c>
      <c r="N130" s="13" t="s">
        <v>841</v>
      </c>
      <c r="O130" s="14" t="s">
        <v>72</v>
      </c>
      <c r="P130" s="14" t="s">
        <v>1567</v>
      </c>
      <c r="Q130" s="165"/>
      <c r="R130" s="164" t="s">
        <v>72</v>
      </c>
      <c r="S130" s="13" t="s">
        <v>113</v>
      </c>
      <c r="T130" s="13"/>
      <c r="U130" s="13"/>
      <c r="V130" s="13">
        <v>124</v>
      </c>
      <c r="W130" s="13">
        <v>124</v>
      </c>
      <c r="X130" s="13">
        <v>124</v>
      </c>
      <c r="Y130" s="13">
        <v>2.2000000000000002</v>
      </c>
      <c r="Z130" s="13">
        <v>2.2000000000000002</v>
      </c>
      <c r="AA130" s="13" t="s">
        <v>110</v>
      </c>
      <c r="AB130" s="58">
        <v>43973</v>
      </c>
      <c r="AC130" s="58">
        <v>43969</v>
      </c>
      <c r="AD130" s="58">
        <v>43973</v>
      </c>
      <c r="AE130" s="58">
        <v>43971</v>
      </c>
      <c r="AF130" s="58">
        <v>43971</v>
      </c>
      <c r="AG130" s="58" t="s">
        <v>75</v>
      </c>
      <c r="AH130" s="59">
        <v>1</v>
      </c>
      <c r="AI130" s="59">
        <v>1</v>
      </c>
      <c r="AJ130" s="59">
        <v>1</v>
      </c>
      <c r="AK130" s="58" t="s">
        <v>8</v>
      </c>
      <c r="AL130" s="14" t="s">
        <v>72</v>
      </c>
      <c r="AM130" s="14" t="s">
        <v>72</v>
      </c>
      <c r="AN130" s="14" t="s">
        <v>72</v>
      </c>
    </row>
    <row r="131" spans="2:40" ht="15">
      <c r="B131" s="172">
        <v>12</v>
      </c>
      <c r="C131" s="13">
        <v>20200518</v>
      </c>
      <c r="D131" s="13" t="s">
        <v>24</v>
      </c>
      <c r="E131" s="13" t="s">
        <v>837</v>
      </c>
      <c r="F131" s="39" t="s">
        <v>1617</v>
      </c>
      <c r="G131" s="14">
        <v>1452946</v>
      </c>
      <c r="H131" s="164" t="s">
        <v>72</v>
      </c>
      <c r="I131" s="13" t="s">
        <v>1624</v>
      </c>
      <c r="J131" s="164" t="s">
        <v>72</v>
      </c>
      <c r="K131" s="13" t="s">
        <v>73</v>
      </c>
      <c r="L131" s="13" t="s">
        <v>1614</v>
      </c>
      <c r="M131" s="13" t="s">
        <v>840</v>
      </c>
      <c r="N131" s="13" t="s">
        <v>841</v>
      </c>
      <c r="O131" s="14" t="s">
        <v>72</v>
      </c>
      <c r="P131" s="14" t="s">
        <v>1567</v>
      </c>
      <c r="Q131" s="165"/>
      <c r="R131" s="164" t="s">
        <v>72</v>
      </c>
      <c r="S131" s="13" t="s">
        <v>117</v>
      </c>
      <c r="T131" s="13"/>
      <c r="U131" s="13"/>
      <c r="V131" s="13">
        <v>29</v>
      </c>
      <c r="W131" s="13">
        <v>29</v>
      </c>
      <c r="X131" s="13">
        <v>29</v>
      </c>
      <c r="Y131" s="13">
        <v>0.51</v>
      </c>
      <c r="Z131" s="13">
        <v>0.5</v>
      </c>
      <c r="AA131" s="13" t="s">
        <v>110</v>
      </c>
      <c r="AB131" s="58">
        <v>43973</v>
      </c>
      <c r="AC131" s="58">
        <v>43969</v>
      </c>
      <c r="AD131" s="58">
        <v>43973</v>
      </c>
      <c r="AE131" s="58">
        <v>43971</v>
      </c>
      <c r="AF131" s="58">
        <v>43971</v>
      </c>
      <c r="AG131" s="58" t="s">
        <v>75</v>
      </c>
      <c r="AH131" s="59">
        <v>1</v>
      </c>
      <c r="AI131" s="59">
        <v>1</v>
      </c>
      <c r="AJ131" s="59">
        <v>1</v>
      </c>
      <c r="AK131" s="58" t="s">
        <v>8</v>
      </c>
      <c r="AL131" s="14" t="s">
        <v>72</v>
      </c>
      <c r="AM131" s="14" t="s">
        <v>72</v>
      </c>
      <c r="AN131" s="14" t="s">
        <v>72</v>
      </c>
    </row>
    <row r="132" spans="2:40" ht="15">
      <c r="B132" s="172">
        <v>13</v>
      </c>
      <c r="C132" s="13">
        <v>20200518</v>
      </c>
      <c r="D132" s="13" t="s">
        <v>24</v>
      </c>
      <c r="E132" s="13" t="s">
        <v>837</v>
      </c>
      <c r="F132" s="39" t="s">
        <v>1617</v>
      </c>
      <c r="G132" s="14">
        <v>1452946</v>
      </c>
      <c r="H132" s="164" t="s">
        <v>72</v>
      </c>
      <c r="I132" s="13" t="s">
        <v>1625</v>
      </c>
      <c r="J132" s="164" t="s">
        <v>72</v>
      </c>
      <c r="K132" s="13" t="s">
        <v>73</v>
      </c>
      <c r="L132" s="13" t="s">
        <v>1614</v>
      </c>
      <c r="M132" s="13" t="s">
        <v>840</v>
      </c>
      <c r="N132" s="13" t="s">
        <v>841</v>
      </c>
      <c r="O132" s="14" t="s">
        <v>72</v>
      </c>
      <c r="P132" s="14" t="s">
        <v>1567</v>
      </c>
      <c r="Q132" s="165"/>
      <c r="R132" s="164" t="s">
        <v>72</v>
      </c>
      <c r="S132" s="13" t="s">
        <v>109</v>
      </c>
      <c r="T132" s="13"/>
      <c r="U132" s="13"/>
      <c r="V132" s="13">
        <v>17</v>
      </c>
      <c r="W132" s="13">
        <v>17</v>
      </c>
      <c r="X132" s="13">
        <v>17</v>
      </c>
      <c r="Y132" s="13">
        <v>0.3</v>
      </c>
      <c r="Z132" s="13">
        <v>0.5</v>
      </c>
      <c r="AA132" s="13" t="s">
        <v>110</v>
      </c>
      <c r="AB132" s="58">
        <v>43973</v>
      </c>
      <c r="AC132" s="58">
        <v>43969</v>
      </c>
      <c r="AD132" s="58">
        <v>43973</v>
      </c>
      <c r="AE132" s="58">
        <v>43969</v>
      </c>
      <c r="AF132" s="58">
        <v>43969</v>
      </c>
      <c r="AG132" s="58" t="s">
        <v>75</v>
      </c>
      <c r="AH132" s="59">
        <v>1</v>
      </c>
      <c r="AI132" s="59">
        <v>1</v>
      </c>
      <c r="AJ132" s="59">
        <v>1</v>
      </c>
      <c r="AK132" s="58" t="s">
        <v>8</v>
      </c>
      <c r="AL132" s="14" t="s">
        <v>72</v>
      </c>
      <c r="AM132" s="14" t="s">
        <v>72</v>
      </c>
      <c r="AN132" s="14" t="s">
        <v>72</v>
      </c>
    </row>
    <row r="133" spans="2:40" ht="15">
      <c r="B133" s="172">
        <v>14</v>
      </c>
      <c r="C133" s="13">
        <v>20200518</v>
      </c>
      <c r="D133" s="13" t="s">
        <v>24</v>
      </c>
      <c r="E133" s="13" t="s">
        <v>837</v>
      </c>
      <c r="F133" s="39" t="s">
        <v>1617</v>
      </c>
      <c r="G133" s="14">
        <v>1452946</v>
      </c>
      <c r="H133" s="164" t="s">
        <v>72</v>
      </c>
      <c r="I133" s="13" t="s">
        <v>1626</v>
      </c>
      <c r="J133" s="164" t="s">
        <v>72</v>
      </c>
      <c r="K133" s="13" t="s">
        <v>73</v>
      </c>
      <c r="L133" s="13" t="s">
        <v>1614</v>
      </c>
      <c r="M133" s="13" t="s">
        <v>840</v>
      </c>
      <c r="N133" s="13" t="s">
        <v>841</v>
      </c>
      <c r="O133" s="14" t="s">
        <v>72</v>
      </c>
      <c r="P133" s="14" t="s">
        <v>1567</v>
      </c>
      <c r="Q133" s="165"/>
      <c r="R133" s="164" t="s">
        <v>72</v>
      </c>
      <c r="S133" s="13" t="s">
        <v>161</v>
      </c>
      <c r="T133" s="13"/>
      <c r="U133" s="13"/>
      <c r="V133" s="13">
        <v>90</v>
      </c>
      <c r="W133" s="13">
        <v>90</v>
      </c>
      <c r="X133" s="13">
        <v>90</v>
      </c>
      <c r="Y133" s="13">
        <v>1.6</v>
      </c>
      <c r="Z133" s="13">
        <v>0.5</v>
      </c>
      <c r="AA133" s="13" t="s">
        <v>110</v>
      </c>
      <c r="AB133" s="58">
        <v>43973</v>
      </c>
      <c r="AC133" s="58">
        <v>43969</v>
      </c>
      <c r="AD133" s="58">
        <v>43973</v>
      </c>
      <c r="AE133" s="58">
        <v>43970</v>
      </c>
      <c r="AF133" s="58">
        <v>43970</v>
      </c>
      <c r="AG133" s="58" t="s">
        <v>75</v>
      </c>
      <c r="AH133" s="59">
        <v>1</v>
      </c>
      <c r="AI133" s="59">
        <v>1</v>
      </c>
      <c r="AJ133" s="59">
        <v>1</v>
      </c>
      <c r="AK133" s="58" t="s">
        <v>8</v>
      </c>
      <c r="AL133" s="14" t="s">
        <v>72</v>
      </c>
      <c r="AM133" s="14" t="s">
        <v>72</v>
      </c>
      <c r="AN133" s="14" t="s">
        <v>72</v>
      </c>
    </row>
    <row r="134" spans="2:40" ht="15">
      <c r="B134" s="172">
        <v>15</v>
      </c>
      <c r="C134" s="13">
        <v>20200518</v>
      </c>
      <c r="D134" s="13" t="s">
        <v>24</v>
      </c>
      <c r="E134" s="13" t="s">
        <v>837</v>
      </c>
      <c r="F134" s="39" t="s">
        <v>1617</v>
      </c>
      <c r="G134" s="14">
        <v>1452946</v>
      </c>
      <c r="H134" s="164" t="s">
        <v>72</v>
      </c>
      <c r="I134" s="13" t="s">
        <v>1627</v>
      </c>
      <c r="J134" s="164" t="s">
        <v>72</v>
      </c>
      <c r="K134" s="13" t="s">
        <v>73</v>
      </c>
      <c r="L134" s="13" t="s">
        <v>1614</v>
      </c>
      <c r="M134" s="13" t="s">
        <v>840</v>
      </c>
      <c r="N134" s="13" t="s">
        <v>841</v>
      </c>
      <c r="O134" s="14" t="s">
        <v>72</v>
      </c>
      <c r="P134" s="14" t="s">
        <v>1567</v>
      </c>
      <c r="Q134" s="165"/>
      <c r="R134" s="164" t="s">
        <v>72</v>
      </c>
      <c r="S134" s="13" t="s">
        <v>161</v>
      </c>
      <c r="T134" s="13"/>
      <c r="U134" s="13"/>
      <c r="V134" s="13">
        <v>48</v>
      </c>
      <c r="W134" s="13">
        <v>48</v>
      </c>
      <c r="X134" s="13">
        <v>48</v>
      </c>
      <c r="Y134" s="13">
        <v>0.85</v>
      </c>
      <c r="Z134" s="13">
        <v>0.5</v>
      </c>
      <c r="AA134" s="13" t="s">
        <v>110</v>
      </c>
      <c r="AB134" s="58">
        <v>43973</v>
      </c>
      <c r="AC134" s="58">
        <v>43969</v>
      </c>
      <c r="AD134" s="58">
        <v>43973</v>
      </c>
      <c r="AE134" s="58">
        <v>43970</v>
      </c>
      <c r="AF134" s="58">
        <v>43970</v>
      </c>
      <c r="AG134" s="58" t="s">
        <v>75</v>
      </c>
      <c r="AH134" s="59">
        <v>1</v>
      </c>
      <c r="AI134" s="59">
        <v>1</v>
      </c>
      <c r="AJ134" s="59">
        <v>1</v>
      </c>
      <c r="AK134" s="58" t="s">
        <v>8</v>
      </c>
      <c r="AL134" s="14" t="s">
        <v>72</v>
      </c>
      <c r="AM134" s="14" t="s">
        <v>72</v>
      </c>
      <c r="AN134" s="14" t="s">
        <v>72</v>
      </c>
    </row>
    <row r="135" spans="2:40" ht="15">
      <c r="B135" s="172">
        <v>16</v>
      </c>
      <c r="C135" s="13">
        <v>20200518</v>
      </c>
      <c r="D135" s="13" t="s">
        <v>24</v>
      </c>
      <c r="E135" s="13" t="s">
        <v>837</v>
      </c>
      <c r="F135" s="39" t="s">
        <v>1617</v>
      </c>
      <c r="G135" s="14">
        <v>1452946</v>
      </c>
      <c r="H135" s="164" t="s">
        <v>72</v>
      </c>
      <c r="I135" s="13" t="s">
        <v>1628</v>
      </c>
      <c r="J135" s="164" t="s">
        <v>72</v>
      </c>
      <c r="K135" s="13" t="s">
        <v>73</v>
      </c>
      <c r="L135" s="13" t="s">
        <v>1614</v>
      </c>
      <c r="M135" s="13" t="s">
        <v>840</v>
      </c>
      <c r="N135" s="13" t="s">
        <v>841</v>
      </c>
      <c r="O135" s="14" t="s">
        <v>72</v>
      </c>
      <c r="P135" s="14" t="s">
        <v>1567</v>
      </c>
      <c r="Q135" s="165"/>
      <c r="R135" s="164" t="s">
        <v>72</v>
      </c>
      <c r="S135" s="13" t="s">
        <v>109</v>
      </c>
      <c r="T135" s="13"/>
      <c r="U135" s="13"/>
      <c r="V135" s="13">
        <v>125</v>
      </c>
      <c r="W135" s="13">
        <v>125</v>
      </c>
      <c r="X135" s="13">
        <v>125</v>
      </c>
      <c r="Y135" s="13">
        <v>2.2200000000000002</v>
      </c>
      <c r="Z135" s="13">
        <v>0.5</v>
      </c>
      <c r="AA135" s="13" t="s">
        <v>110</v>
      </c>
      <c r="AB135" s="58">
        <v>43973</v>
      </c>
      <c r="AC135" s="58">
        <v>43969</v>
      </c>
      <c r="AD135" s="58">
        <v>43973</v>
      </c>
      <c r="AE135" s="58">
        <v>43970</v>
      </c>
      <c r="AF135" s="58">
        <v>43970</v>
      </c>
      <c r="AG135" s="58" t="s">
        <v>75</v>
      </c>
      <c r="AH135" s="59">
        <v>1</v>
      </c>
      <c r="AI135" s="59">
        <v>1</v>
      </c>
      <c r="AJ135" s="59">
        <v>1</v>
      </c>
      <c r="AK135" s="58" t="s">
        <v>8</v>
      </c>
      <c r="AL135" s="14" t="s">
        <v>72</v>
      </c>
      <c r="AM135" s="14" t="s">
        <v>72</v>
      </c>
      <c r="AN135" s="14" t="s">
        <v>72</v>
      </c>
    </row>
    <row r="136" spans="2:40" ht="15">
      <c r="B136" s="172">
        <v>17</v>
      </c>
      <c r="C136" s="13">
        <v>20200518</v>
      </c>
      <c r="D136" s="13" t="s">
        <v>24</v>
      </c>
      <c r="E136" s="13" t="s">
        <v>837</v>
      </c>
      <c r="F136" s="39" t="s">
        <v>1617</v>
      </c>
      <c r="G136" s="181">
        <v>1452946</v>
      </c>
      <c r="H136" s="183" t="s">
        <v>72</v>
      </c>
      <c r="I136" s="176" t="s">
        <v>1629</v>
      </c>
      <c r="J136" s="164" t="s">
        <v>72</v>
      </c>
      <c r="K136" s="13" t="s">
        <v>73</v>
      </c>
      <c r="L136" s="13" t="s">
        <v>1614</v>
      </c>
      <c r="M136" s="13" t="s">
        <v>840</v>
      </c>
      <c r="N136" s="13" t="s">
        <v>841</v>
      </c>
      <c r="O136" s="14" t="s">
        <v>72</v>
      </c>
      <c r="P136" s="14" t="s">
        <v>1567</v>
      </c>
      <c r="Q136" s="165"/>
      <c r="R136" s="164" t="s">
        <v>72</v>
      </c>
      <c r="S136" s="13" t="s">
        <v>113</v>
      </c>
      <c r="T136" s="13"/>
      <c r="U136" s="13"/>
      <c r="V136" s="13">
        <v>58</v>
      </c>
      <c r="W136" s="13">
        <v>58</v>
      </c>
      <c r="X136" s="13">
        <v>58</v>
      </c>
      <c r="Y136" s="13">
        <v>1.03</v>
      </c>
      <c r="Z136" s="13">
        <v>1.03</v>
      </c>
      <c r="AA136" s="13" t="s">
        <v>110</v>
      </c>
      <c r="AB136" s="58">
        <v>43973</v>
      </c>
      <c r="AC136" s="58">
        <v>43969</v>
      </c>
      <c r="AD136" s="58">
        <v>43973</v>
      </c>
      <c r="AE136" s="58">
        <v>43971</v>
      </c>
      <c r="AF136" s="58">
        <v>43971</v>
      </c>
      <c r="AG136" s="58" t="s">
        <v>75</v>
      </c>
      <c r="AH136" s="59">
        <v>1</v>
      </c>
      <c r="AI136" s="59">
        <v>1</v>
      </c>
      <c r="AJ136" s="59">
        <v>1</v>
      </c>
      <c r="AK136" s="58" t="s">
        <v>8</v>
      </c>
      <c r="AL136" s="14" t="s">
        <v>72</v>
      </c>
      <c r="AM136" s="14" t="s">
        <v>72</v>
      </c>
      <c r="AN136" s="14" t="s">
        <v>72</v>
      </c>
    </row>
    <row r="137" spans="2:40" ht="15">
      <c r="B137" s="172">
        <v>18</v>
      </c>
      <c r="C137" s="13">
        <v>20200518</v>
      </c>
      <c r="D137" s="13" t="s">
        <v>24</v>
      </c>
      <c r="E137" s="13" t="s">
        <v>837</v>
      </c>
      <c r="F137" s="39" t="s">
        <v>1617</v>
      </c>
      <c r="G137" s="14">
        <v>1452946</v>
      </c>
      <c r="H137" s="164" t="s">
        <v>72</v>
      </c>
      <c r="I137" s="13" t="s">
        <v>1630</v>
      </c>
      <c r="J137" s="164" t="s">
        <v>72</v>
      </c>
      <c r="K137" s="13" t="s">
        <v>73</v>
      </c>
      <c r="L137" s="13" t="s">
        <v>1614</v>
      </c>
      <c r="M137" s="13" t="s">
        <v>840</v>
      </c>
      <c r="N137" s="13" t="s">
        <v>841</v>
      </c>
      <c r="O137" s="14" t="s">
        <v>72</v>
      </c>
      <c r="P137" s="14" t="s">
        <v>1567</v>
      </c>
      <c r="Q137" s="165"/>
      <c r="R137" s="164" t="s">
        <v>72</v>
      </c>
      <c r="S137" s="13" t="s">
        <v>161</v>
      </c>
      <c r="T137" s="13"/>
      <c r="U137" s="13"/>
      <c r="V137" s="13">
        <v>98</v>
      </c>
      <c r="W137" s="13">
        <v>98</v>
      </c>
      <c r="X137" s="13">
        <v>98</v>
      </c>
      <c r="Y137" s="13">
        <v>1.74</v>
      </c>
      <c r="Z137" s="13">
        <v>1</v>
      </c>
      <c r="AA137" s="13" t="s">
        <v>110</v>
      </c>
      <c r="AB137" s="58">
        <v>43973</v>
      </c>
      <c r="AC137" s="58">
        <v>43969</v>
      </c>
      <c r="AD137" s="58">
        <v>43973</v>
      </c>
      <c r="AE137" s="58">
        <v>43970</v>
      </c>
      <c r="AF137" s="58">
        <v>43970</v>
      </c>
      <c r="AG137" s="58" t="s">
        <v>75</v>
      </c>
      <c r="AH137" s="59">
        <v>1</v>
      </c>
      <c r="AI137" s="59">
        <v>1</v>
      </c>
      <c r="AJ137" s="59">
        <v>1</v>
      </c>
      <c r="AK137" s="58" t="s">
        <v>8</v>
      </c>
      <c r="AL137" s="14" t="s">
        <v>72</v>
      </c>
      <c r="AM137" s="14" t="s">
        <v>72</v>
      </c>
      <c r="AN137" s="14" t="s">
        <v>72</v>
      </c>
    </row>
    <row r="138" spans="2:40" ht="15">
      <c r="B138" s="172">
        <v>19</v>
      </c>
      <c r="C138" s="13">
        <v>20200518</v>
      </c>
      <c r="D138" s="13" t="s">
        <v>24</v>
      </c>
      <c r="E138" s="13" t="s">
        <v>837</v>
      </c>
      <c r="F138" s="39" t="s">
        <v>1617</v>
      </c>
      <c r="G138" s="181">
        <v>1452946</v>
      </c>
      <c r="H138" s="183" t="s">
        <v>72</v>
      </c>
      <c r="I138" s="176" t="s">
        <v>1631</v>
      </c>
      <c r="J138" s="164" t="s">
        <v>72</v>
      </c>
      <c r="K138" s="13" t="s">
        <v>73</v>
      </c>
      <c r="L138" s="13" t="s">
        <v>1614</v>
      </c>
      <c r="M138" s="13" t="s">
        <v>840</v>
      </c>
      <c r="N138" s="13" t="s">
        <v>841</v>
      </c>
      <c r="O138" s="14" t="s">
        <v>72</v>
      </c>
      <c r="P138" s="14" t="s">
        <v>1567</v>
      </c>
      <c r="Q138" s="165"/>
      <c r="R138" s="164" t="s">
        <v>72</v>
      </c>
      <c r="S138" s="13" t="s">
        <v>113</v>
      </c>
      <c r="T138" s="13"/>
      <c r="U138" s="13"/>
      <c r="V138" s="13">
        <v>58</v>
      </c>
      <c r="W138" s="13">
        <v>58</v>
      </c>
      <c r="X138" s="13">
        <v>58</v>
      </c>
      <c r="Y138" s="13">
        <v>1.03</v>
      </c>
      <c r="Z138" s="13">
        <v>1.03</v>
      </c>
      <c r="AA138" s="13" t="s">
        <v>110</v>
      </c>
      <c r="AB138" s="58">
        <v>43973</v>
      </c>
      <c r="AC138" s="58">
        <v>43969</v>
      </c>
      <c r="AD138" s="58">
        <v>43973</v>
      </c>
      <c r="AE138" s="58">
        <v>43971</v>
      </c>
      <c r="AF138" s="58">
        <v>43971</v>
      </c>
      <c r="AG138" s="58" t="s">
        <v>75</v>
      </c>
      <c r="AH138" s="59">
        <v>1</v>
      </c>
      <c r="AI138" s="59">
        <v>1</v>
      </c>
      <c r="AJ138" s="59">
        <v>1</v>
      </c>
      <c r="AK138" s="58" t="s">
        <v>8</v>
      </c>
      <c r="AL138" s="14" t="s">
        <v>72</v>
      </c>
      <c r="AM138" s="14" t="s">
        <v>72</v>
      </c>
      <c r="AN138" s="14" t="s">
        <v>72</v>
      </c>
    </row>
    <row r="139" spans="2:40" ht="15">
      <c r="B139" s="172">
        <v>20</v>
      </c>
      <c r="C139" s="13">
        <v>20200518</v>
      </c>
      <c r="D139" s="13" t="s">
        <v>24</v>
      </c>
      <c r="E139" s="13" t="s">
        <v>837</v>
      </c>
      <c r="F139" s="39" t="s">
        <v>1617</v>
      </c>
      <c r="G139" s="14">
        <v>1452946</v>
      </c>
      <c r="H139" s="164" t="s">
        <v>72</v>
      </c>
      <c r="I139" s="13" t="s">
        <v>1632</v>
      </c>
      <c r="J139" s="164" t="s">
        <v>72</v>
      </c>
      <c r="K139" s="13" t="s">
        <v>73</v>
      </c>
      <c r="L139" s="13" t="s">
        <v>1614</v>
      </c>
      <c r="M139" s="13" t="s">
        <v>840</v>
      </c>
      <c r="N139" s="13" t="s">
        <v>841</v>
      </c>
      <c r="O139" s="14" t="s">
        <v>72</v>
      </c>
      <c r="P139" s="14" t="s">
        <v>1567</v>
      </c>
      <c r="Q139" s="165"/>
      <c r="R139" s="164" t="s">
        <v>72</v>
      </c>
      <c r="S139" s="13" t="s">
        <v>117</v>
      </c>
      <c r="T139" s="13"/>
      <c r="U139" s="13"/>
      <c r="V139" s="13">
        <v>12</v>
      </c>
      <c r="W139" s="13">
        <v>12</v>
      </c>
      <c r="X139" s="13">
        <v>12</v>
      </c>
      <c r="Y139" s="13">
        <v>0.21</v>
      </c>
      <c r="Z139" s="13">
        <v>0.2</v>
      </c>
      <c r="AA139" s="13" t="s">
        <v>110</v>
      </c>
      <c r="AB139" s="58">
        <v>43973</v>
      </c>
      <c r="AC139" s="58">
        <v>43969</v>
      </c>
      <c r="AD139" s="58">
        <v>43973</v>
      </c>
      <c r="AE139" s="58">
        <v>43971</v>
      </c>
      <c r="AF139" s="58">
        <v>43971</v>
      </c>
      <c r="AG139" s="58" t="s">
        <v>75</v>
      </c>
      <c r="AH139" s="59">
        <v>1</v>
      </c>
      <c r="AI139" s="59">
        <v>1</v>
      </c>
      <c r="AJ139" s="59">
        <v>1</v>
      </c>
      <c r="AK139" s="58" t="s">
        <v>8</v>
      </c>
      <c r="AL139" s="14" t="s">
        <v>72</v>
      </c>
      <c r="AM139" s="14" t="s">
        <v>72</v>
      </c>
      <c r="AN139" s="14" t="s">
        <v>72</v>
      </c>
    </row>
    <row r="140" spans="2:40" ht="15">
      <c r="B140" s="172">
        <v>21</v>
      </c>
      <c r="C140" s="13">
        <v>20200518</v>
      </c>
      <c r="D140" s="13" t="s">
        <v>24</v>
      </c>
      <c r="E140" s="13" t="s">
        <v>837</v>
      </c>
      <c r="F140" s="39" t="s">
        <v>1617</v>
      </c>
      <c r="G140" s="181">
        <v>1452946</v>
      </c>
      <c r="H140" s="183" t="s">
        <v>72</v>
      </c>
      <c r="I140" s="176" t="s">
        <v>1633</v>
      </c>
      <c r="J140" s="164" t="s">
        <v>72</v>
      </c>
      <c r="K140" s="13" t="s">
        <v>73</v>
      </c>
      <c r="L140" s="13" t="s">
        <v>1614</v>
      </c>
      <c r="M140" s="13" t="s">
        <v>840</v>
      </c>
      <c r="N140" s="13" t="s">
        <v>841</v>
      </c>
      <c r="O140" s="14" t="s">
        <v>72</v>
      </c>
      <c r="P140" s="14" t="s">
        <v>1567</v>
      </c>
      <c r="Q140" s="165"/>
      <c r="R140" s="164" t="s">
        <v>72</v>
      </c>
      <c r="S140" s="13" t="s">
        <v>113</v>
      </c>
      <c r="T140" s="13"/>
      <c r="U140" s="13"/>
      <c r="V140" s="13">
        <v>73</v>
      </c>
      <c r="W140" s="13">
        <v>73</v>
      </c>
      <c r="X140" s="13">
        <v>73</v>
      </c>
      <c r="Y140" s="13">
        <v>1.29</v>
      </c>
      <c r="Z140" s="13">
        <v>1.29</v>
      </c>
      <c r="AA140" s="13" t="s">
        <v>110</v>
      </c>
      <c r="AB140" s="58">
        <v>43973</v>
      </c>
      <c r="AC140" s="58">
        <v>43969</v>
      </c>
      <c r="AD140" s="58">
        <v>43973</v>
      </c>
      <c r="AE140" s="58">
        <v>43971</v>
      </c>
      <c r="AF140" s="58">
        <v>43971</v>
      </c>
      <c r="AG140" s="58" t="s">
        <v>75</v>
      </c>
      <c r="AH140" s="59">
        <v>1</v>
      </c>
      <c r="AI140" s="59">
        <v>1</v>
      </c>
      <c r="AJ140" s="59">
        <v>1</v>
      </c>
      <c r="AK140" s="58" t="s">
        <v>8</v>
      </c>
      <c r="AL140" s="14" t="s">
        <v>72</v>
      </c>
      <c r="AM140" s="14" t="s">
        <v>72</v>
      </c>
      <c r="AN140" s="14" t="s">
        <v>72</v>
      </c>
    </row>
    <row r="141" spans="2:40" ht="15">
      <c r="B141" s="172">
        <v>22</v>
      </c>
      <c r="C141" s="13">
        <v>20200518</v>
      </c>
      <c r="D141" s="13" t="s">
        <v>24</v>
      </c>
      <c r="E141" s="13" t="s">
        <v>837</v>
      </c>
      <c r="F141" s="39" t="s">
        <v>1617</v>
      </c>
      <c r="G141" s="14">
        <v>1452946</v>
      </c>
      <c r="H141" s="164" t="s">
        <v>72</v>
      </c>
      <c r="I141" s="13" t="s">
        <v>1634</v>
      </c>
      <c r="J141" s="164" t="s">
        <v>72</v>
      </c>
      <c r="K141" s="13" t="s">
        <v>73</v>
      </c>
      <c r="L141" s="13" t="s">
        <v>1614</v>
      </c>
      <c r="M141" s="13" t="s">
        <v>840</v>
      </c>
      <c r="N141" s="13" t="s">
        <v>841</v>
      </c>
      <c r="O141" s="14" t="s">
        <v>72</v>
      </c>
      <c r="P141" s="14" t="s">
        <v>1567</v>
      </c>
      <c r="Q141" s="165"/>
      <c r="R141" s="164" t="s">
        <v>72</v>
      </c>
      <c r="S141" s="13" t="s">
        <v>161</v>
      </c>
      <c r="T141" s="13"/>
      <c r="U141" s="13"/>
      <c r="V141" s="13">
        <v>72</v>
      </c>
      <c r="W141" s="13">
        <v>72</v>
      </c>
      <c r="X141" s="13">
        <v>72</v>
      </c>
      <c r="Y141" s="13">
        <v>1.28</v>
      </c>
      <c r="Z141" s="13">
        <v>0.5</v>
      </c>
      <c r="AA141" s="13" t="s">
        <v>110</v>
      </c>
      <c r="AB141" s="58">
        <v>43973</v>
      </c>
      <c r="AC141" s="58">
        <v>43969</v>
      </c>
      <c r="AD141" s="58">
        <v>43973</v>
      </c>
      <c r="AE141" s="58">
        <v>43970</v>
      </c>
      <c r="AF141" s="58">
        <v>43970</v>
      </c>
      <c r="AG141" s="58" t="s">
        <v>75</v>
      </c>
      <c r="AH141" s="59">
        <v>1</v>
      </c>
      <c r="AI141" s="59">
        <v>1</v>
      </c>
      <c r="AJ141" s="59">
        <v>1</v>
      </c>
      <c r="AK141" s="58" t="s">
        <v>8</v>
      </c>
      <c r="AL141" s="14" t="s">
        <v>72</v>
      </c>
      <c r="AM141" s="14" t="s">
        <v>72</v>
      </c>
      <c r="AN141" s="14" t="s">
        <v>72</v>
      </c>
    </row>
    <row r="142" spans="2:40" ht="15">
      <c r="B142" s="172">
        <v>23</v>
      </c>
      <c r="C142" s="13">
        <v>20200518</v>
      </c>
      <c r="D142" s="13" t="s">
        <v>24</v>
      </c>
      <c r="E142" s="13" t="s">
        <v>837</v>
      </c>
      <c r="F142" s="39" t="s">
        <v>1617</v>
      </c>
      <c r="G142" s="181">
        <v>1452946</v>
      </c>
      <c r="H142" s="183" t="s">
        <v>72</v>
      </c>
      <c r="I142" s="176" t="s">
        <v>1635</v>
      </c>
      <c r="J142" s="164" t="s">
        <v>72</v>
      </c>
      <c r="K142" s="13" t="s">
        <v>73</v>
      </c>
      <c r="L142" s="13" t="s">
        <v>1614</v>
      </c>
      <c r="M142" s="13" t="s">
        <v>840</v>
      </c>
      <c r="N142" s="13" t="s">
        <v>841</v>
      </c>
      <c r="O142" s="14" t="s">
        <v>72</v>
      </c>
      <c r="P142" s="14" t="s">
        <v>1567</v>
      </c>
      <c r="Q142" s="165"/>
      <c r="R142" s="164" t="s">
        <v>72</v>
      </c>
      <c r="S142" s="13" t="s">
        <v>113</v>
      </c>
      <c r="T142" s="13"/>
      <c r="U142" s="13"/>
      <c r="V142" s="13">
        <v>14</v>
      </c>
      <c r="W142" s="13">
        <v>14</v>
      </c>
      <c r="X142" s="13">
        <v>14</v>
      </c>
      <c r="Y142" s="13">
        <v>0.24</v>
      </c>
      <c r="Z142" s="13">
        <v>0.24</v>
      </c>
      <c r="AA142" s="13" t="s">
        <v>110</v>
      </c>
      <c r="AB142" s="58">
        <v>43973</v>
      </c>
      <c r="AC142" s="58">
        <v>43969</v>
      </c>
      <c r="AD142" s="58">
        <v>43973</v>
      </c>
      <c r="AE142" s="58">
        <v>43971</v>
      </c>
      <c r="AF142" s="58">
        <v>43971</v>
      </c>
      <c r="AG142" s="58" t="s">
        <v>75</v>
      </c>
      <c r="AH142" s="59">
        <v>1</v>
      </c>
      <c r="AI142" s="59">
        <v>1</v>
      </c>
      <c r="AJ142" s="59">
        <v>1</v>
      </c>
      <c r="AK142" s="58" t="s">
        <v>8</v>
      </c>
      <c r="AL142" s="14" t="s">
        <v>72</v>
      </c>
      <c r="AM142" s="14" t="s">
        <v>72</v>
      </c>
      <c r="AN142" s="14" t="s">
        <v>72</v>
      </c>
    </row>
    <row r="143" spans="2:40" ht="15">
      <c r="B143" s="172">
        <v>24</v>
      </c>
      <c r="C143" s="13">
        <v>20200518</v>
      </c>
      <c r="D143" s="13" t="s">
        <v>24</v>
      </c>
      <c r="E143" s="13" t="s">
        <v>837</v>
      </c>
      <c r="F143" s="39" t="s">
        <v>1636</v>
      </c>
      <c r="G143" s="14">
        <v>1472741</v>
      </c>
      <c r="H143" s="164" t="s">
        <v>72</v>
      </c>
      <c r="I143" s="13" t="s">
        <v>1637</v>
      </c>
      <c r="J143" s="164" t="s">
        <v>72</v>
      </c>
      <c r="K143" s="13" t="s">
        <v>73</v>
      </c>
      <c r="L143" s="13" t="s">
        <v>8</v>
      </c>
      <c r="M143" s="13" t="s">
        <v>840</v>
      </c>
      <c r="N143" s="13" t="s">
        <v>841</v>
      </c>
      <c r="O143" s="14" t="s">
        <v>72</v>
      </c>
      <c r="P143" s="14" t="s">
        <v>1638</v>
      </c>
      <c r="Q143" s="165"/>
      <c r="R143" s="164" t="s">
        <v>72</v>
      </c>
      <c r="S143" s="13" t="s">
        <v>117</v>
      </c>
      <c r="T143" s="13"/>
      <c r="U143" s="13"/>
      <c r="V143" s="13">
        <v>3</v>
      </c>
      <c r="W143" s="53">
        <v>355</v>
      </c>
      <c r="X143" s="13">
        <v>355</v>
      </c>
      <c r="Y143" s="13">
        <v>6.31</v>
      </c>
      <c r="Z143" s="13">
        <v>4</v>
      </c>
      <c r="AA143" s="13" t="s">
        <v>110</v>
      </c>
      <c r="AB143" s="58">
        <v>43973</v>
      </c>
      <c r="AC143" s="58">
        <v>43969</v>
      </c>
      <c r="AD143" s="58">
        <v>43973</v>
      </c>
      <c r="AE143" s="58">
        <v>43971</v>
      </c>
      <c r="AF143" s="58">
        <v>43971</v>
      </c>
      <c r="AG143" s="58" t="s">
        <v>75</v>
      </c>
      <c r="AH143" s="59">
        <v>1</v>
      </c>
      <c r="AI143" s="59">
        <v>1</v>
      </c>
      <c r="AJ143" s="59">
        <v>1</v>
      </c>
      <c r="AK143" s="58" t="s">
        <v>8</v>
      </c>
      <c r="AL143" s="14" t="s">
        <v>72</v>
      </c>
      <c r="AM143" s="14" t="s">
        <v>72</v>
      </c>
      <c r="AN143" s="14" t="s">
        <v>72</v>
      </c>
    </row>
    <row r="144" spans="2:40" ht="15">
      <c r="B144" s="172">
        <v>25</v>
      </c>
      <c r="C144" s="13">
        <v>20200518</v>
      </c>
      <c r="D144" s="13" t="s">
        <v>24</v>
      </c>
      <c r="E144" s="13" t="s">
        <v>837</v>
      </c>
      <c r="F144" s="39" t="s">
        <v>1639</v>
      </c>
      <c r="G144" s="14">
        <v>1472757</v>
      </c>
      <c r="H144" s="164" t="s">
        <v>72</v>
      </c>
      <c r="I144" s="13" t="s">
        <v>123</v>
      </c>
      <c r="J144" s="164" t="s">
        <v>72</v>
      </c>
      <c r="K144" s="13" t="s">
        <v>73</v>
      </c>
      <c r="L144" s="13" t="s">
        <v>8</v>
      </c>
      <c r="M144" s="13" t="s">
        <v>840</v>
      </c>
      <c r="N144" s="13" t="s">
        <v>841</v>
      </c>
      <c r="O144" s="14" t="s">
        <v>72</v>
      </c>
      <c r="P144" s="14" t="s">
        <v>1575</v>
      </c>
      <c r="Q144" s="165"/>
      <c r="R144" s="164" t="s">
        <v>72</v>
      </c>
      <c r="S144" s="13" t="s">
        <v>117</v>
      </c>
      <c r="T144" s="13"/>
      <c r="U144" s="13"/>
      <c r="V144" s="13">
        <v>3</v>
      </c>
      <c r="W144" s="53">
        <v>92</v>
      </c>
      <c r="X144" s="13">
        <v>92</v>
      </c>
      <c r="Y144" s="13">
        <v>1.63</v>
      </c>
      <c r="Z144" s="13">
        <v>2</v>
      </c>
      <c r="AA144" s="13" t="s">
        <v>110</v>
      </c>
      <c r="AB144" s="58">
        <v>43973</v>
      </c>
      <c r="AC144" s="58">
        <v>43969</v>
      </c>
      <c r="AD144" s="58">
        <v>43973</v>
      </c>
      <c r="AE144" s="58">
        <v>43971</v>
      </c>
      <c r="AF144" s="58">
        <v>43971</v>
      </c>
      <c r="AG144" s="58" t="s">
        <v>75</v>
      </c>
      <c r="AH144" s="59">
        <v>1</v>
      </c>
      <c r="AI144" s="59">
        <v>1</v>
      </c>
      <c r="AJ144" s="59">
        <v>1</v>
      </c>
      <c r="AK144" s="58" t="s">
        <v>8</v>
      </c>
      <c r="AL144" s="14" t="s">
        <v>72</v>
      </c>
      <c r="AM144" s="14" t="s">
        <v>72</v>
      </c>
      <c r="AN144" s="14" t="s">
        <v>72</v>
      </c>
    </row>
    <row r="145" spans="2:40" ht="15">
      <c r="B145" s="172">
        <v>26</v>
      </c>
      <c r="C145" s="13">
        <v>20200518</v>
      </c>
      <c r="D145" s="13" t="s">
        <v>24</v>
      </c>
      <c r="E145" s="13" t="s">
        <v>837</v>
      </c>
      <c r="F145" s="39" t="s">
        <v>1639</v>
      </c>
      <c r="G145" s="14">
        <v>1472757</v>
      </c>
      <c r="H145" s="164" t="s">
        <v>72</v>
      </c>
      <c r="I145" s="13" t="s">
        <v>1640</v>
      </c>
      <c r="J145" s="164" t="s">
        <v>72</v>
      </c>
      <c r="K145" s="13" t="s">
        <v>73</v>
      </c>
      <c r="L145" s="13" t="s">
        <v>8</v>
      </c>
      <c r="M145" s="13" t="s">
        <v>840</v>
      </c>
      <c r="N145" s="13" t="s">
        <v>841</v>
      </c>
      <c r="O145" s="14" t="s">
        <v>72</v>
      </c>
      <c r="P145" s="14" t="s">
        <v>1575</v>
      </c>
      <c r="Q145" s="165"/>
      <c r="R145" s="164" t="s">
        <v>72</v>
      </c>
      <c r="S145" s="13" t="s">
        <v>117</v>
      </c>
      <c r="T145" s="13"/>
      <c r="U145" s="13"/>
      <c r="V145" s="13">
        <v>3</v>
      </c>
      <c r="W145" s="13">
        <v>3</v>
      </c>
      <c r="X145" s="13">
        <v>3</v>
      </c>
      <c r="Y145" s="13">
        <v>0.05</v>
      </c>
      <c r="Z145" s="13">
        <v>0.05</v>
      </c>
      <c r="AA145" s="13" t="s">
        <v>110</v>
      </c>
      <c r="AB145" s="58">
        <v>43973</v>
      </c>
      <c r="AC145" s="58">
        <v>43969</v>
      </c>
      <c r="AD145" s="58">
        <v>43973</v>
      </c>
      <c r="AE145" s="58">
        <v>43971</v>
      </c>
      <c r="AF145" s="58">
        <v>43971</v>
      </c>
      <c r="AG145" s="58" t="s">
        <v>75</v>
      </c>
      <c r="AH145" s="171" t="s">
        <v>72</v>
      </c>
      <c r="AI145" s="171" t="s">
        <v>72</v>
      </c>
      <c r="AJ145" s="171" t="s">
        <v>72</v>
      </c>
      <c r="AK145" s="58" t="s">
        <v>8</v>
      </c>
      <c r="AL145" s="14" t="s">
        <v>72</v>
      </c>
      <c r="AM145" s="14" t="s">
        <v>72</v>
      </c>
      <c r="AN145" s="88" t="s">
        <v>574</v>
      </c>
    </row>
    <row r="146" spans="2:40" ht="15">
      <c r="B146" s="172">
        <v>27</v>
      </c>
      <c r="C146" s="13">
        <v>20200518</v>
      </c>
      <c r="D146" s="13" t="s">
        <v>24</v>
      </c>
      <c r="E146" s="13" t="s">
        <v>837</v>
      </c>
      <c r="F146" s="39" t="s">
        <v>1639</v>
      </c>
      <c r="G146" s="14">
        <v>1472757</v>
      </c>
      <c r="H146" s="164" t="s">
        <v>72</v>
      </c>
      <c r="I146" s="13" t="s">
        <v>120</v>
      </c>
      <c r="J146" s="164" t="s">
        <v>72</v>
      </c>
      <c r="K146" s="13" t="s">
        <v>73</v>
      </c>
      <c r="L146" s="13" t="s">
        <v>8</v>
      </c>
      <c r="M146" s="13" t="s">
        <v>840</v>
      </c>
      <c r="N146" s="13" t="s">
        <v>841</v>
      </c>
      <c r="O146" s="14" t="s">
        <v>72</v>
      </c>
      <c r="P146" s="14" t="s">
        <v>1575</v>
      </c>
      <c r="Q146" s="165"/>
      <c r="R146" s="164" t="s">
        <v>72</v>
      </c>
      <c r="S146" s="13" t="s">
        <v>117</v>
      </c>
      <c r="T146" s="13"/>
      <c r="U146" s="13"/>
      <c r="V146" s="13">
        <v>3</v>
      </c>
      <c r="W146" s="53">
        <v>95</v>
      </c>
      <c r="X146" s="13">
        <v>95</v>
      </c>
      <c r="Y146" s="13">
        <v>1.68</v>
      </c>
      <c r="Z146" s="13">
        <v>1</v>
      </c>
      <c r="AA146" s="13" t="s">
        <v>110</v>
      </c>
      <c r="AB146" s="58">
        <v>43973</v>
      </c>
      <c r="AC146" s="58">
        <v>43969</v>
      </c>
      <c r="AD146" s="58">
        <v>43973</v>
      </c>
      <c r="AE146" s="58">
        <v>43972</v>
      </c>
      <c r="AF146" s="58">
        <v>43972</v>
      </c>
      <c r="AG146" s="58" t="s">
        <v>79</v>
      </c>
      <c r="AH146" s="59">
        <v>1</v>
      </c>
      <c r="AI146" s="59">
        <v>0.87</v>
      </c>
      <c r="AJ146" s="59">
        <v>1</v>
      </c>
      <c r="AK146" s="58" t="s">
        <v>76</v>
      </c>
      <c r="AL146" s="14" t="s">
        <v>1641</v>
      </c>
      <c r="AM146" s="14" t="s">
        <v>72</v>
      </c>
      <c r="AN146" s="14" t="s">
        <v>72</v>
      </c>
    </row>
    <row r="147" spans="2:40" ht="15">
      <c r="B147" s="172">
        <v>28</v>
      </c>
      <c r="C147" s="13">
        <v>20200518</v>
      </c>
      <c r="D147" s="13" t="s">
        <v>24</v>
      </c>
      <c r="E147" s="13" t="s">
        <v>837</v>
      </c>
      <c r="F147" s="39" t="s">
        <v>1642</v>
      </c>
      <c r="G147" s="14">
        <v>1472757</v>
      </c>
      <c r="H147" s="164" t="s">
        <v>72</v>
      </c>
      <c r="I147" s="13" t="s">
        <v>128</v>
      </c>
      <c r="J147" s="164" t="s">
        <v>72</v>
      </c>
      <c r="K147" s="13" t="s">
        <v>73</v>
      </c>
      <c r="L147" s="13" t="s">
        <v>8</v>
      </c>
      <c r="M147" s="13" t="s">
        <v>840</v>
      </c>
      <c r="N147" s="13" t="s">
        <v>841</v>
      </c>
      <c r="O147" s="14" t="s">
        <v>72</v>
      </c>
      <c r="P147" s="14" t="s">
        <v>1575</v>
      </c>
      <c r="Q147" s="165"/>
      <c r="R147" s="164" t="s">
        <v>72</v>
      </c>
      <c r="S147" s="13" t="s">
        <v>117</v>
      </c>
      <c r="T147" s="13"/>
      <c r="U147" s="13"/>
      <c r="V147" s="13">
        <v>3</v>
      </c>
      <c r="W147" s="53">
        <v>157</v>
      </c>
      <c r="X147" s="13">
        <v>157</v>
      </c>
      <c r="Y147" s="13">
        <v>2.79</v>
      </c>
      <c r="Z147" s="13">
        <v>2</v>
      </c>
      <c r="AA147" s="13" t="s">
        <v>110</v>
      </c>
      <c r="AB147" s="58">
        <v>43973</v>
      </c>
      <c r="AC147" s="58">
        <v>43969</v>
      </c>
      <c r="AD147" s="58">
        <v>43973</v>
      </c>
      <c r="AE147" s="58">
        <v>43972</v>
      </c>
      <c r="AF147" s="58">
        <v>43972</v>
      </c>
      <c r="AG147" s="58" t="s">
        <v>75</v>
      </c>
      <c r="AH147" s="59">
        <v>1</v>
      </c>
      <c r="AI147" s="59">
        <v>1</v>
      </c>
      <c r="AJ147" s="59">
        <v>1</v>
      </c>
      <c r="AK147" s="58" t="s">
        <v>8</v>
      </c>
      <c r="AL147" s="14" t="s">
        <v>72</v>
      </c>
      <c r="AM147" s="14" t="s">
        <v>72</v>
      </c>
      <c r="AN147" s="14" t="s">
        <v>72</v>
      </c>
    </row>
    <row r="148" spans="2:40" ht="15">
      <c r="B148" s="172">
        <v>29</v>
      </c>
      <c r="C148" s="13">
        <v>20200518</v>
      </c>
      <c r="D148" s="13" t="s">
        <v>24</v>
      </c>
      <c r="E148" s="13" t="s">
        <v>837</v>
      </c>
      <c r="F148" s="39" t="s">
        <v>1643</v>
      </c>
      <c r="G148" s="14">
        <v>1472757</v>
      </c>
      <c r="H148" s="164" t="s">
        <v>72</v>
      </c>
      <c r="I148" s="13" t="s">
        <v>307</v>
      </c>
      <c r="J148" s="164" t="s">
        <v>72</v>
      </c>
      <c r="K148" s="13" t="s">
        <v>73</v>
      </c>
      <c r="L148" s="13" t="s">
        <v>8</v>
      </c>
      <c r="M148" s="13" t="s">
        <v>840</v>
      </c>
      <c r="N148" s="13" t="s">
        <v>841</v>
      </c>
      <c r="O148" s="14" t="s">
        <v>72</v>
      </c>
      <c r="P148" s="14" t="s">
        <v>1575</v>
      </c>
      <c r="Q148" s="165"/>
      <c r="R148" s="164" t="s">
        <v>72</v>
      </c>
      <c r="S148" s="13" t="s">
        <v>117</v>
      </c>
      <c r="T148" s="13"/>
      <c r="U148" s="13"/>
      <c r="V148" s="13">
        <v>3</v>
      </c>
      <c r="W148" s="53">
        <v>165</v>
      </c>
      <c r="X148" s="13">
        <v>165</v>
      </c>
      <c r="Y148" s="13">
        <v>2.93</v>
      </c>
      <c r="Z148" s="13">
        <v>2</v>
      </c>
      <c r="AA148" s="13" t="s">
        <v>110</v>
      </c>
      <c r="AB148" s="58">
        <v>43973</v>
      </c>
      <c r="AC148" s="58">
        <v>43969</v>
      </c>
      <c r="AD148" s="58">
        <v>43973</v>
      </c>
      <c r="AE148" s="58">
        <v>43972</v>
      </c>
      <c r="AF148" s="58">
        <v>43972</v>
      </c>
      <c r="AG148" s="58" t="s">
        <v>75</v>
      </c>
      <c r="AH148" s="59">
        <v>1</v>
      </c>
      <c r="AI148" s="59">
        <v>1</v>
      </c>
      <c r="AJ148" s="59">
        <v>1</v>
      </c>
      <c r="AK148" s="58" t="s">
        <v>8</v>
      </c>
      <c r="AL148" s="14" t="s">
        <v>72</v>
      </c>
      <c r="AM148" s="14" t="s">
        <v>72</v>
      </c>
      <c r="AN148" s="14" t="s">
        <v>72</v>
      </c>
    </row>
    <row r="149" spans="2:40" ht="15">
      <c r="B149" s="172">
        <v>30</v>
      </c>
      <c r="C149" s="13">
        <v>20200518</v>
      </c>
      <c r="D149" s="13" t="s">
        <v>24</v>
      </c>
      <c r="E149" s="13" t="s">
        <v>837</v>
      </c>
      <c r="F149" s="39" t="s">
        <v>1644</v>
      </c>
      <c r="G149" s="14">
        <v>1472757</v>
      </c>
      <c r="H149" s="164" t="s">
        <v>72</v>
      </c>
      <c r="I149" s="13" t="s">
        <v>1645</v>
      </c>
      <c r="J149" s="164" t="s">
        <v>72</v>
      </c>
      <c r="K149" s="13" t="s">
        <v>73</v>
      </c>
      <c r="L149" s="13" t="s">
        <v>8</v>
      </c>
      <c r="M149" s="13" t="s">
        <v>840</v>
      </c>
      <c r="N149" s="13" t="s">
        <v>841</v>
      </c>
      <c r="O149" s="14" t="s">
        <v>72</v>
      </c>
      <c r="P149" s="14" t="s">
        <v>1575</v>
      </c>
      <c r="Q149" s="165"/>
      <c r="R149" s="164" t="s">
        <v>72</v>
      </c>
      <c r="S149" s="13" t="s">
        <v>117</v>
      </c>
      <c r="T149" s="13"/>
      <c r="U149" s="13"/>
      <c r="V149" s="13">
        <v>3</v>
      </c>
      <c r="W149" s="53">
        <v>63</v>
      </c>
      <c r="X149" s="13">
        <v>63</v>
      </c>
      <c r="Y149" s="13">
        <v>1.1200000000000001</v>
      </c>
      <c r="Z149" s="13">
        <v>1</v>
      </c>
      <c r="AA149" s="13" t="s">
        <v>110</v>
      </c>
      <c r="AB149" s="58">
        <v>43973</v>
      </c>
      <c r="AC149" s="58">
        <v>43969</v>
      </c>
      <c r="AD149" s="58">
        <v>43973</v>
      </c>
      <c r="AE149" s="58">
        <v>43972</v>
      </c>
      <c r="AF149" s="58">
        <v>43972</v>
      </c>
      <c r="AG149" s="58" t="s">
        <v>75</v>
      </c>
      <c r="AH149" s="59">
        <v>1</v>
      </c>
      <c r="AI149" s="59">
        <v>1</v>
      </c>
      <c r="AJ149" s="59">
        <v>1</v>
      </c>
      <c r="AK149" s="58" t="s">
        <v>8</v>
      </c>
      <c r="AL149" s="14" t="s">
        <v>72</v>
      </c>
      <c r="AM149" s="14" t="s">
        <v>72</v>
      </c>
      <c r="AN149" s="14" t="s">
        <v>72</v>
      </c>
    </row>
    <row r="150" spans="2:40" ht="15">
      <c r="B150" s="172">
        <v>31</v>
      </c>
      <c r="C150" s="13">
        <v>20200518</v>
      </c>
      <c r="D150" s="13" t="s">
        <v>24</v>
      </c>
      <c r="E150" s="13" t="s">
        <v>837</v>
      </c>
      <c r="F150" s="39" t="s">
        <v>1646</v>
      </c>
      <c r="G150" s="14">
        <v>1472757</v>
      </c>
      <c r="H150" s="164" t="s">
        <v>72</v>
      </c>
      <c r="I150" s="13" t="s">
        <v>23</v>
      </c>
      <c r="J150" s="164" t="s">
        <v>72</v>
      </c>
      <c r="K150" s="13" t="s">
        <v>73</v>
      </c>
      <c r="L150" s="13" t="s">
        <v>8</v>
      </c>
      <c r="M150" s="13" t="s">
        <v>840</v>
      </c>
      <c r="N150" s="13" t="s">
        <v>841</v>
      </c>
      <c r="O150" s="14" t="s">
        <v>72</v>
      </c>
      <c r="P150" s="14" t="s">
        <v>1575</v>
      </c>
      <c r="Q150" s="165"/>
      <c r="R150" s="164" t="s">
        <v>72</v>
      </c>
      <c r="S150" s="13" t="s">
        <v>117</v>
      </c>
      <c r="T150" s="13"/>
      <c r="U150" s="13"/>
      <c r="V150" s="13">
        <v>5</v>
      </c>
      <c r="W150" s="53">
        <v>167</v>
      </c>
      <c r="X150" s="13">
        <v>167</v>
      </c>
      <c r="Y150" s="13">
        <v>2.96</v>
      </c>
      <c r="Z150" s="13">
        <v>2</v>
      </c>
      <c r="AA150" s="13" t="s">
        <v>110</v>
      </c>
      <c r="AB150" s="58">
        <v>43973</v>
      </c>
      <c r="AC150" s="58">
        <v>43969</v>
      </c>
      <c r="AD150" s="58">
        <v>43973</v>
      </c>
      <c r="AE150" s="58">
        <v>43972</v>
      </c>
      <c r="AF150" s="58">
        <v>43972</v>
      </c>
      <c r="AG150" s="58" t="s">
        <v>75</v>
      </c>
      <c r="AH150" s="59">
        <v>1</v>
      </c>
      <c r="AI150" s="59">
        <v>1</v>
      </c>
      <c r="AJ150" s="59">
        <v>1</v>
      </c>
      <c r="AK150" s="58" t="s">
        <v>8</v>
      </c>
      <c r="AL150" s="14" t="s">
        <v>72</v>
      </c>
      <c r="AM150" s="14" t="s">
        <v>72</v>
      </c>
      <c r="AN150" s="14" t="s">
        <v>72</v>
      </c>
    </row>
    <row r="151" spans="2:40" ht="15">
      <c r="B151" s="172">
        <v>32</v>
      </c>
      <c r="C151" s="13">
        <v>20200518</v>
      </c>
      <c r="D151" s="13" t="s">
        <v>24</v>
      </c>
      <c r="E151" s="13" t="s">
        <v>837</v>
      </c>
      <c r="F151" s="39" t="s">
        <v>1647</v>
      </c>
      <c r="G151" s="14">
        <v>1369873</v>
      </c>
      <c r="H151" s="164" t="s">
        <v>72</v>
      </c>
      <c r="I151" s="13" t="s">
        <v>32</v>
      </c>
      <c r="J151" s="164" t="s">
        <v>72</v>
      </c>
      <c r="K151" s="13" t="s">
        <v>73</v>
      </c>
      <c r="L151" s="13" t="s">
        <v>1648</v>
      </c>
      <c r="M151" s="13" t="s">
        <v>840</v>
      </c>
      <c r="N151" s="13" t="s">
        <v>841</v>
      </c>
      <c r="O151" s="14" t="s">
        <v>72</v>
      </c>
      <c r="P151" s="14" t="s">
        <v>1043</v>
      </c>
      <c r="Q151" s="165"/>
      <c r="R151" s="164" t="s">
        <v>72</v>
      </c>
      <c r="S151" s="13" t="s">
        <v>117</v>
      </c>
      <c r="T151" s="13"/>
      <c r="U151" s="13"/>
      <c r="V151" s="13">
        <v>259</v>
      </c>
      <c r="W151" s="13">
        <v>259</v>
      </c>
      <c r="X151" s="13">
        <v>259</v>
      </c>
      <c r="Y151" s="13">
        <v>4.5999999999999996</v>
      </c>
      <c r="Z151" s="13">
        <v>2</v>
      </c>
      <c r="AA151" s="13" t="s">
        <v>110</v>
      </c>
      <c r="AB151" s="58">
        <v>43973</v>
      </c>
      <c r="AC151" s="58">
        <v>43969</v>
      </c>
      <c r="AD151" s="58">
        <v>43973</v>
      </c>
      <c r="AE151" s="58">
        <v>43972</v>
      </c>
      <c r="AF151" s="58">
        <v>43972</v>
      </c>
      <c r="AG151" s="58" t="s">
        <v>79</v>
      </c>
      <c r="AH151" s="59">
        <v>1</v>
      </c>
      <c r="AI151" s="59">
        <v>1</v>
      </c>
      <c r="AJ151" s="59">
        <v>0.87</v>
      </c>
      <c r="AK151" s="58" t="s">
        <v>76</v>
      </c>
      <c r="AL151" s="14" t="s">
        <v>1649</v>
      </c>
      <c r="AM151" s="14" t="s">
        <v>72</v>
      </c>
      <c r="AN151" s="14" t="s">
        <v>1579</v>
      </c>
    </row>
    <row r="152" spans="2:40" ht="15">
      <c r="B152" s="172">
        <v>33</v>
      </c>
      <c r="C152" s="13">
        <v>20200518</v>
      </c>
      <c r="D152" s="13" t="s">
        <v>24</v>
      </c>
      <c r="E152" s="13" t="s">
        <v>837</v>
      </c>
      <c r="F152" s="39" t="s">
        <v>1650</v>
      </c>
      <c r="G152" s="14">
        <v>1369873</v>
      </c>
      <c r="H152" s="164" t="s">
        <v>72</v>
      </c>
      <c r="I152" s="13" t="s">
        <v>256</v>
      </c>
      <c r="J152" s="164" t="s">
        <v>72</v>
      </c>
      <c r="K152" s="13" t="s">
        <v>73</v>
      </c>
      <c r="L152" s="13" t="s">
        <v>1648</v>
      </c>
      <c r="M152" s="13" t="s">
        <v>840</v>
      </c>
      <c r="N152" s="13" t="s">
        <v>841</v>
      </c>
      <c r="O152" s="14" t="s">
        <v>72</v>
      </c>
      <c r="P152" s="14" t="s">
        <v>1043</v>
      </c>
      <c r="Q152" s="165"/>
      <c r="R152" s="164" t="s">
        <v>72</v>
      </c>
      <c r="S152" s="13" t="s">
        <v>109</v>
      </c>
      <c r="T152" s="13"/>
      <c r="U152" s="13"/>
      <c r="V152" s="13">
        <v>162</v>
      </c>
      <c r="W152" s="13">
        <v>162</v>
      </c>
      <c r="X152" s="13">
        <v>162</v>
      </c>
      <c r="Y152" s="13">
        <v>2.88</v>
      </c>
      <c r="Z152" s="13">
        <v>1</v>
      </c>
      <c r="AA152" s="13" t="s">
        <v>110</v>
      </c>
      <c r="AB152" s="58">
        <v>43973</v>
      </c>
      <c r="AC152" s="58">
        <v>43969</v>
      </c>
      <c r="AD152" s="58">
        <v>43973</v>
      </c>
      <c r="AE152" s="58">
        <v>43970</v>
      </c>
      <c r="AF152" s="58">
        <v>43970</v>
      </c>
      <c r="AG152" s="58" t="s">
        <v>75</v>
      </c>
      <c r="AH152" s="59">
        <v>1</v>
      </c>
      <c r="AI152" s="59">
        <v>1</v>
      </c>
      <c r="AJ152" s="59">
        <v>1</v>
      </c>
      <c r="AK152" s="58" t="s">
        <v>8</v>
      </c>
      <c r="AL152" s="14" t="s">
        <v>72</v>
      </c>
      <c r="AM152" s="14" t="s">
        <v>72</v>
      </c>
      <c r="AN152" s="14" t="s">
        <v>72</v>
      </c>
    </row>
    <row r="153" spans="2:40" ht="15">
      <c r="B153" s="172">
        <v>34</v>
      </c>
      <c r="C153" s="13">
        <v>20200518</v>
      </c>
      <c r="D153" s="13" t="s">
        <v>24</v>
      </c>
      <c r="E153" s="13" t="s">
        <v>837</v>
      </c>
      <c r="F153" s="39" t="s">
        <v>1650</v>
      </c>
      <c r="G153" s="14">
        <v>1369873</v>
      </c>
      <c r="H153" s="164" t="s">
        <v>72</v>
      </c>
      <c r="I153" s="13" t="s">
        <v>261</v>
      </c>
      <c r="J153" s="164" t="s">
        <v>72</v>
      </c>
      <c r="K153" s="13" t="s">
        <v>73</v>
      </c>
      <c r="L153" s="13" t="s">
        <v>1648</v>
      </c>
      <c r="M153" s="13" t="s">
        <v>840</v>
      </c>
      <c r="N153" s="13" t="s">
        <v>841</v>
      </c>
      <c r="O153" s="14" t="s">
        <v>72</v>
      </c>
      <c r="P153" s="14" t="s">
        <v>1043</v>
      </c>
      <c r="Q153" s="165"/>
      <c r="R153" s="164" t="s">
        <v>72</v>
      </c>
      <c r="S153" s="13" t="s">
        <v>161</v>
      </c>
      <c r="T153" s="13"/>
      <c r="U153" s="13"/>
      <c r="V153" s="13">
        <v>55</v>
      </c>
      <c r="W153" s="13">
        <v>55</v>
      </c>
      <c r="X153" s="13">
        <v>55</v>
      </c>
      <c r="Y153" s="13">
        <v>0.97</v>
      </c>
      <c r="Z153" s="13">
        <v>0.5</v>
      </c>
      <c r="AA153" s="13" t="s">
        <v>110</v>
      </c>
      <c r="AB153" s="58">
        <v>43973</v>
      </c>
      <c r="AC153" s="58">
        <v>43969</v>
      </c>
      <c r="AD153" s="58">
        <v>43973</v>
      </c>
      <c r="AE153" s="58">
        <v>43970</v>
      </c>
      <c r="AF153" s="58">
        <v>43970</v>
      </c>
      <c r="AG153" s="58" t="s">
        <v>75</v>
      </c>
      <c r="AH153" s="59">
        <v>1</v>
      </c>
      <c r="AI153" s="59">
        <v>1</v>
      </c>
      <c r="AJ153" s="59">
        <v>1</v>
      </c>
      <c r="AK153" s="58" t="s">
        <v>8</v>
      </c>
      <c r="AL153" s="14" t="s">
        <v>72</v>
      </c>
      <c r="AM153" s="14" t="s">
        <v>72</v>
      </c>
      <c r="AN153" s="14" t="s">
        <v>72</v>
      </c>
    </row>
    <row r="154" spans="2:40" ht="15">
      <c r="B154" s="172">
        <v>35</v>
      </c>
      <c r="C154" s="13">
        <v>20200518</v>
      </c>
      <c r="D154" s="13" t="s">
        <v>24</v>
      </c>
      <c r="E154" s="13" t="s">
        <v>837</v>
      </c>
      <c r="F154" s="39" t="s">
        <v>1650</v>
      </c>
      <c r="G154" s="14">
        <v>1369873</v>
      </c>
      <c r="H154" s="164" t="s">
        <v>72</v>
      </c>
      <c r="I154" s="13" t="s">
        <v>1651</v>
      </c>
      <c r="J154" s="164" t="s">
        <v>72</v>
      </c>
      <c r="K154" s="13" t="s">
        <v>73</v>
      </c>
      <c r="L154" s="13" t="s">
        <v>1648</v>
      </c>
      <c r="M154" s="13" t="s">
        <v>840</v>
      </c>
      <c r="N154" s="13" t="s">
        <v>841</v>
      </c>
      <c r="O154" s="14" t="s">
        <v>72</v>
      </c>
      <c r="P154" s="14" t="s">
        <v>1043</v>
      </c>
      <c r="Q154" s="165"/>
      <c r="R154" s="164" t="s">
        <v>72</v>
      </c>
      <c r="S154" s="13" t="s">
        <v>113</v>
      </c>
      <c r="T154" s="13"/>
      <c r="U154" s="13"/>
      <c r="V154" s="13">
        <v>35</v>
      </c>
      <c r="W154" s="13">
        <v>35</v>
      </c>
      <c r="X154" s="13">
        <v>35</v>
      </c>
      <c r="Y154" s="13">
        <v>0.62</v>
      </c>
      <c r="Z154" s="13">
        <v>0.62</v>
      </c>
      <c r="AA154" s="13" t="s">
        <v>110</v>
      </c>
      <c r="AB154" s="58">
        <v>43973</v>
      </c>
      <c r="AC154" s="58">
        <v>43969</v>
      </c>
      <c r="AD154" s="58">
        <v>43973</v>
      </c>
      <c r="AE154" s="58">
        <v>43970</v>
      </c>
      <c r="AF154" s="58">
        <v>43970</v>
      </c>
      <c r="AG154" s="58" t="s">
        <v>75</v>
      </c>
      <c r="AH154" s="59">
        <v>1</v>
      </c>
      <c r="AI154" s="59">
        <v>1</v>
      </c>
      <c r="AJ154" s="59">
        <v>1</v>
      </c>
      <c r="AK154" s="58" t="s">
        <v>8</v>
      </c>
      <c r="AL154" s="14"/>
      <c r="AM154" s="14"/>
      <c r="AN154" s="14"/>
    </row>
    <row r="155" spans="2:40" ht="15">
      <c r="B155" s="172">
        <v>36</v>
      </c>
      <c r="C155" s="13">
        <v>20200518</v>
      </c>
      <c r="D155" s="13" t="s">
        <v>24</v>
      </c>
      <c r="E155" s="13" t="s">
        <v>837</v>
      </c>
      <c r="F155" s="39" t="s">
        <v>1652</v>
      </c>
      <c r="G155" s="14">
        <v>1369873</v>
      </c>
      <c r="H155" s="164" t="s">
        <v>72</v>
      </c>
      <c r="I155" s="53" t="s">
        <v>278</v>
      </c>
      <c r="J155" s="164" t="s">
        <v>72</v>
      </c>
      <c r="K155" s="13" t="s">
        <v>73</v>
      </c>
      <c r="L155" s="13" t="s">
        <v>1648</v>
      </c>
      <c r="M155" s="13" t="s">
        <v>840</v>
      </c>
      <c r="N155" s="13" t="s">
        <v>841</v>
      </c>
      <c r="O155" s="14" t="s">
        <v>72</v>
      </c>
      <c r="P155" s="14" t="s">
        <v>1043</v>
      </c>
      <c r="Q155" s="165"/>
      <c r="R155" s="164" t="s">
        <v>72</v>
      </c>
      <c r="S155" s="13" t="s">
        <v>161</v>
      </c>
      <c r="T155" s="13"/>
      <c r="U155" s="13"/>
      <c r="V155" s="13">
        <v>25</v>
      </c>
      <c r="W155" s="13">
        <v>25</v>
      </c>
      <c r="X155" s="13">
        <v>25</v>
      </c>
      <c r="Y155" s="13">
        <v>0.44</v>
      </c>
      <c r="Z155" s="13">
        <v>0.3</v>
      </c>
      <c r="AA155" s="13" t="s">
        <v>110</v>
      </c>
      <c r="AB155" s="58">
        <v>43973</v>
      </c>
      <c r="AC155" s="58">
        <v>43969</v>
      </c>
      <c r="AD155" s="58">
        <v>43973</v>
      </c>
      <c r="AE155" s="58">
        <v>43970</v>
      </c>
      <c r="AF155" s="58">
        <v>43970</v>
      </c>
      <c r="AG155" s="58" t="s">
        <v>75</v>
      </c>
      <c r="AH155" s="59">
        <v>1</v>
      </c>
      <c r="AI155" s="59">
        <v>1</v>
      </c>
      <c r="AJ155" s="59">
        <v>1</v>
      </c>
      <c r="AK155" s="58" t="s">
        <v>8</v>
      </c>
      <c r="AL155" s="14" t="s">
        <v>72</v>
      </c>
      <c r="AM155" s="14" t="s">
        <v>72</v>
      </c>
      <c r="AN155" s="14" t="s">
        <v>72</v>
      </c>
    </row>
    <row r="156" spans="2:40" ht="15">
      <c r="B156" s="172">
        <v>37</v>
      </c>
      <c r="C156" s="13">
        <v>20200518</v>
      </c>
      <c r="D156" s="13" t="s">
        <v>24</v>
      </c>
      <c r="E156" s="13" t="s">
        <v>837</v>
      </c>
      <c r="F156" s="39" t="s">
        <v>1650</v>
      </c>
      <c r="G156" s="14">
        <v>1369873</v>
      </c>
      <c r="H156" s="164" t="s">
        <v>72</v>
      </c>
      <c r="I156" s="13" t="s">
        <v>1653</v>
      </c>
      <c r="J156" s="164" t="s">
        <v>72</v>
      </c>
      <c r="K156" s="13" t="s">
        <v>73</v>
      </c>
      <c r="L156" s="13" t="s">
        <v>1648</v>
      </c>
      <c r="M156" s="13" t="s">
        <v>840</v>
      </c>
      <c r="N156" s="13" t="s">
        <v>841</v>
      </c>
      <c r="O156" s="14" t="s">
        <v>72</v>
      </c>
      <c r="P156" s="14" t="s">
        <v>1043</v>
      </c>
      <c r="Q156" s="165"/>
      <c r="R156" s="164" t="s">
        <v>72</v>
      </c>
      <c r="S156" s="13" t="s">
        <v>161</v>
      </c>
      <c r="T156" s="13"/>
      <c r="U156" s="13"/>
      <c r="V156" s="13">
        <v>60</v>
      </c>
      <c r="W156" s="13">
        <v>60</v>
      </c>
      <c r="X156" s="13">
        <v>60</v>
      </c>
      <c r="Y156" s="13">
        <v>1.06</v>
      </c>
      <c r="Z156" s="13">
        <v>1</v>
      </c>
      <c r="AA156" s="13" t="s">
        <v>110</v>
      </c>
      <c r="AB156" s="58">
        <v>43973</v>
      </c>
      <c r="AC156" s="58">
        <v>43969</v>
      </c>
      <c r="AD156" s="58">
        <v>43973</v>
      </c>
      <c r="AE156" s="58">
        <v>43970</v>
      </c>
      <c r="AF156" s="58">
        <v>43970</v>
      </c>
      <c r="AG156" s="58" t="s">
        <v>75</v>
      </c>
      <c r="AH156" s="59">
        <v>1</v>
      </c>
      <c r="AI156" s="59">
        <v>1</v>
      </c>
      <c r="AJ156" s="59">
        <v>1</v>
      </c>
      <c r="AK156" s="58" t="s">
        <v>8</v>
      </c>
      <c r="AL156" s="14" t="s">
        <v>72</v>
      </c>
      <c r="AM156" s="14" t="s">
        <v>72</v>
      </c>
      <c r="AN156" s="14" t="s">
        <v>72</v>
      </c>
    </row>
    <row r="157" spans="2:40" ht="15">
      <c r="B157" s="174">
        <v>38</v>
      </c>
      <c r="C157" s="13">
        <v>20200518</v>
      </c>
      <c r="D157" s="13" t="s">
        <v>24</v>
      </c>
      <c r="E157" s="13" t="s">
        <v>2367</v>
      </c>
      <c r="F157" s="39" t="s">
        <v>1655</v>
      </c>
      <c r="G157" s="14">
        <v>1473225</v>
      </c>
      <c r="H157" s="164" t="s">
        <v>72</v>
      </c>
      <c r="I157" s="13" t="s">
        <v>711</v>
      </c>
      <c r="J157" s="164" t="s">
        <v>72</v>
      </c>
      <c r="K157" s="13" t="s">
        <v>73</v>
      </c>
      <c r="L157" s="13" t="s">
        <v>1656</v>
      </c>
      <c r="M157" s="167" t="s">
        <v>1657</v>
      </c>
      <c r="N157" s="13" t="s">
        <v>336</v>
      </c>
      <c r="O157" s="14" t="s">
        <v>72</v>
      </c>
      <c r="P157" s="14" t="s">
        <v>1254</v>
      </c>
      <c r="Q157" s="165"/>
      <c r="R157" s="164" t="s">
        <v>72</v>
      </c>
      <c r="S157" s="13" t="s">
        <v>77</v>
      </c>
      <c r="T157" s="13"/>
      <c r="U157" s="13"/>
      <c r="V157" s="13">
        <v>86</v>
      </c>
      <c r="W157" s="13">
        <v>86</v>
      </c>
      <c r="X157" s="13">
        <v>86</v>
      </c>
      <c r="Y157" s="13">
        <v>1.52</v>
      </c>
      <c r="Z157" s="13">
        <v>0.5</v>
      </c>
      <c r="AA157" s="13" t="s">
        <v>110</v>
      </c>
      <c r="AB157" s="58">
        <v>43978</v>
      </c>
      <c r="AC157" s="58">
        <v>43969</v>
      </c>
      <c r="AD157" s="175">
        <v>43978</v>
      </c>
      <c r="AE157" s="58">
        <v>43970</v>
      </c>
      <c r="AF157" s="58">
        <v>43970</v>
      </c>
      <c r="AG157" s="58" t="s">
        <v>75</v>
      </c>
      <c r="AH157" s="59">
        <v>1</v>
      </c>
      <c r="AI157" s="59">
        <v>1</v>
      </c>
      <c r="AJ157" s="59">
        <v>1</v>
      </c>
      <c r="AK157" s="58" t="s">
        <v>8</v>
      </c>
      <c r="AL157" s="176" t="s">
        <v>72</v>
      </c>
      <c r="AM157" s="13" t="s">
        <v>72</v>
      </c>
      <c r="AN157" s="13" t="s">
        <v>72</v>
      </c>
    </row>
    <row r="158" spans="2:40" ht="15">
      <c r="B158" s="174">
        <v>39</v>
      </c>
      <c r="C158" s="13">
        <v>20200518</v>
      </c>
      <c r="D158" s="13" t="s">
        <v>24</v>
      </c>
      <c r="E158" s="13" t="s">
        <v>1658</v>
      </c>
      <c r="F158" s="39" t="s">
        <v>1659</v>
      </c>
      <c r="G158" s="14">
        <v>1472050</v>
      </c>
      <c r="H158" s="164" t="s">
        <v>72</v>
      </c>
      <c r="I158" s="13" t="s">
        <v>1660</v>
      </c>
      <c r="J158" s="164" t="s">
        <v>72</v>
      </c>
      <c r="K158" s="13" t="s">
        <v>73</v>
      </c>
      <c r="L158" s="13" t="s">
        <v>1661</v>
      </c>
      <c r="M158" s="13" t="s">
        <v>8</v>
      </c>
      <c r="N158" s="167" t="s">
        <v>1662</v>
      </c>
      <c r="O158" s="14" t="s">
        <v>72</v>
      </c>
      <c r="P158" s="14" t="s">
        <v>1663</v>
      </c>
      <c r="Q158" s="165"/>
      <c r="R158" s="164" t="s">
        <v>72</v>
      </c>
      <c r="S158" s="13" t="s">
        <v>78</v>
      </c>
      <c r="T158" s="13"/>
      <c r="U158" s="13"/>
      <c r="V158" s="13">
        <v>641</v>
      </c>
      <c r="W158" s="13">
        <v>641</v>
      </c>
      <c r="X158" s="13">
        <v>641</v>
      </c>
      <c r="Y158" s="13">
        <v>11.39</v>
      </c>
      <c r="Z158" s="13">
        <v>2</v>
      </c>
      <c r="AA158" s="13" t="s">
        <v>110</v>
      </c>
      <c r="AB158" s="58">
        <v>43978</v>
      </c>
      <c r="AC158" s="58">
        <v>43969</v>
      </c>
      <c r="AD158" s="175">
        <v>43978</v>
      </c>
      <c r="AE158" s="58">
        <v>43971</v>
      </c>
      <c r="AF158" s="58">
        <v>43971</v>
      </c>
      <c r="AG158" s="58" t="s">
        <v>75</v>
      </c>
      <c r="AH158" s="59">
        <v>1</v>
      </c>
      <c r="AI158" s="59">
        <v>1</v>
      </c>
      <c r="AJ158" s="59">
        <v>1</v>
      </c>
      <c r="AK158" s="58" t="s">
        <v>8</v>
      </c>
      <c r="AL158" s="13"/>
      <c r="AM158" s="13"/>
      <c r="AN158" s="13" t="s">
        <v>1664</v>
      </c>
    </row>
    <row r="159" spans="2:40" ht="15">
      <c r="B159" s="174">
        <v>40</v>
      </c>
      <c r="C159" s="13">
        <v>20200518</v>
      </c>
      <c r="D159" s="13" t="s">
        <v>24</v>
      </c>
      <c r="E159" s="13" t="s">
        <v>1658</v>
      </c>
      <c r="F159" s="39" t="s">
        <v>1665</v>
      </c>
      <c r="G159" s="14">
        <v>1472050</v>
      </c>
      <c r="H159" s="164" t="s">
        <v>72</v>
      </c>
      <c r="I159" s="13" t="s">
        <v>1666</v>
      </c>
      <c r="J159" s="164" t="s">
        <v>72</v>
      </c>
      <c r="K159" s="13" t="s">
        <v>73</v>
      </c>
      <c r="L159" s="13" t="s">
        <v>1661</v>
      </c>
      <c r="M159" s="13" t="s">
        <v>8</v>
      </c>
      <c r="N159" s="167" t="s">
        <v>1662</v>
      </c>
      <c r="O159" s="14" t="s">
        <v>72</v>
      </c>
      <c r="P159" s="14" t="s">
        <v>1663</v>
      </c>
      <c r="Q159" s="165"/>
      <c r="R159" s="164" t="s">
        <v>72</v>
      </c>
      <c r="S159" s="13" t="s">
        <v>78</v>
      </c>
      <c r="T159" s="13"/>
      <c r="U159" s="13"/>
      <c r="V159" s="13">
        <v>296</v>
      </c>
      <c r="W159" s="13">
        <v>296</v>
      </c>
      <c r="X159" s="13">
        <v>296</v>
      </c>
      <c r="Y159" s="13">
        <v>5.26</v>
      </c>
      <c r="Z159" s="13">
        <v>2</v>
      </c>
      <c r="AA159" s="13" t="s">
        <v>110</v>
      </c>
      <c r="AB159" s="58">
        <v>43978</v>
      </c>
      <c r="AC159" s="58">
        <v>43969</v>
      </c>
      <c r="AD159" s="175">
        <v>43978</v>
      </c>
      <c r="AE159" s="58">
        <v>43971</v>
      </c>
      <c r="AF159" s="58">
        <v>43971</v>
      </c>
      <c r="AG159" s="58" t="s">
        <v>75</v>
      </c>
      <c r="AH159" s="59">
        <v>1</v>
      </c>
      <c r="AI159" s="59">
        <v>1</v>
      </c>
      <c r="AJ159" s="59">
        <v>1</v>
      </c>
      <c r="AK159" s="58" t="s">
        <v>8</v>
      </c>
      <c r="AL159" s="13"/>
      <c r="AM159" s="13"/>
      <c r="AN159" s="13" t="s">
        <v>1664</v>
      </c>
    </row>
    <row r="160" spans="2:40" ht="15">
      <c r="B160" s="174">
        <v>41</v>
      </c>
      <c r="C160" s="13">
        <v>20200518</v>
      </c>
      <c r="D160" s="13" t="s">
        <v>24</v>
      </c>
      <c r="E160" s="13" t="s">
        <v>1658</v>
      </c>
      <c r="F160" s="39" t="s">
        <v>1667</v>
      </c>
      <c r="G160" s="14">
        <v>1472050</v>
      </c>
      <c r="H160" s="164" t="s">
        <v>72</v>
      </c>
      <c r="I160" s="13" t="s">
        <v>32</v>
      </c>
      <c r="J160" s="164" t="s">
        <v>72</v>
      </c>
      <c r="K160" s="13" t="s">
        <v>73</v>
      </c>
      <c r="L160" s="13" t="s">
        <v>1661</v>
      </c>
      <c r="M160" s="13" t="s">
        <v>8</v>
      </c>
      <c r="N160" s="167" t="s">
        <v>1662</v>
      </c>
      <c r="O160" s="14" t="s">
        <v>72</v>
      </c>
      <c r="P160" s="14" t="s">
        <v>1663</v>
      </c>
      <c r="Q160" s="165"/>
      <c r="R160" s="164" t="s">
        <v>72</v>
      </c>
      <c r="S160" s="13" t="s">
        <v>78</v>
      </c>
      <c r="T160" s="13"/>
      <c r="U160" s="13"/>
      <c r="V160" s="13">
        <v>259</v>
      </c>
      <c r="W160" s="13">
        <v>259</v>
      </c>
      <c r="X160" s="13">
        <v>259</v>
      </c>
      <c r="Y160" s="13">
        <v>4.5999999999999996</v>
      </c>
      <c r="Z160" s="13">
        <v>1</v>
      </c>
      <c r="AA160" s="13" t="s">
        <v>110</v>
      </c>
      <c r="AB160" s="58">
        <v>43978</v>
      </c>
      <c r="AC160" s="58">
        <v>43969</v>
      </c>
      <c r="AD160" s="175">
        <v>43978</v>
      </c>
      <c r="AE160" s="58">
        <v>43971</v>
      </c>
      <c r="AF160" s="58">
        <v>43971</v>
      </c>
      <c r="AG160" s="58" t="s">
        <v>79</v>
      </c>
      <c r="AH160" s="59">
        <v>1</v>
      </c>
      <c r="AI160" s="59">
        <v>1</v>
      </c>
      <c r="AJ160" s="59">
        <v>0.83</v>
      </c>
      <c r="AK160" s="58" t="s">
        <v>76</v>
      </c>
      <c r="AL160" s="13" t="s">
        <v>1668</v>
      </c>
      <c r="AM160" s="13"/>
      <c r="AN160" s="13" t="s">
        <v>1669</v>
      </c>
    </row>
    <row r="161" spans="2:40" ht="15">
      <c r="B161" s="174">
        <v>42</v>
      </c>
      <c r="C161" s="13">
        <v>20200518</v>
      </c>
      <c r="D161" s="13" t="s">
        <v>24</v>
      </c>
      <c r="E161" s="13" t="s">
        <v>1658</v>
      </c>
      <c r="F161" s="39" t="s">
        <v>1670</v>
      </c>
      <c r="G161" s="14">
        <v>1472050</v>
      </c>
      <c r="H161" s="164" t="s">
        <v>72</v>
      </c>
      <c r="I161" s="13" t="s">
        <v>35</v>
      </c>
      <c r="J161" s="164" t="s">
        <v>72</v>
      </c>
      <c r="K161" s="13" t="s">
        <v>73</v>
      </c>
      <c r="L161" s="13" t="s">
        <v>1661</v>
      </c>
      <c r="M161" s="13" t="s">
        <v>8</v>
      </c>
      <c r="N161" s="167" t="s">
        <v>1662</v>
      </c>
      <c r="O161" s="14" t="s">
        <v>72</v>
      </c>
      <c r="P161" s="14" t="s">
        <v>1663</v>
      </c>
      <c r="Q161" s="165"/>
      <c r="R161" s="164" t="s">
        <v>72</v>
      </c>
      <c r="S161" s="13" t="s">
        <v>78</v>
      </c>
      <c r="T161" s="13"/>
      <c r="U161" s="13"/>
      <c r="V161" s="13">
        <v>371</v>
      </c>
      <c r="W161" s="13">
        <v>371</v>
      </c>
      <c r="X161" s="13">
        <v>371</v>
      </c>
      <c r="Y161" s="13">
        <v>6.59</v>
      </c>
      <c r="Z161" s="13">
        <v>2</v>
      </c>
      <c r="AA161" s="13" t="s">
        <v>110</v>
      </c>
      <c r="AB161" s="58">
        <v>43978</v>
      </c>
      <c r="AC161" s="58">
        <v>43969</v>
      </c>
      <c r="AD161" s="175">
        <v>43978</v>
      </c>
      <c r="AE161" s="58">
        <v>43971</v>
      </c>
      <c r="AF161" s="58">
        <v>43971</v>
      </c>
      <c r="AG161" s="58" t="s">
        <v>75</v>
      </c>
      <c r="AH161" s="59">
        <v>1</v>
      </c>
      <c r="AI161" s="59">
        <v>1</v>
      </c>
      <c r="AJ161" s="59">
        <v>1</v>
      </c>
      <c r="AK161" s="58" t="s">
        <v>8</v>
      </c>
      <c r="AL161" s="13"/>
      <c r="AM161" s="13"/>
      <c r="AN161" s="13" t="s">
        <v>1664</v>
      </c>
    </row>
    <row r="162" spans="2:40" ht="15">
      <c r="B162" s="184">
        <v>43</v>
      </c>
      <c r="C162" s="13">
        <v>20200519</v>
      </c>
      <c r="D162" s="13" t="s">
        <v>24</v>
      </c>
      <c r="E162" s="13" t="s">
        <v>837</v>
      </c>
      <c r="F162" s="39" t="s">
        <v>1650</v>
      </c>
      <c r="G162" s="13">
        <v>1473546</v>
      </c>
      <c r="H162" s="164" t="s">
        <v>72</v>
      </c>
      <c r="I162" s="13" t="s">
        <v>187</v>
      </c>
      <c r="J162" s="164" t="s">
        <v>72</v>
      </c>
      <c r="K162" s="13" t="s">
        <v>73</v>
      </c>
      <c r="L162" s="13" t="s">
        <v>8</v>
      </c>
      <c r="M162" s="13" t="s">
        <v>840</v>
      </c>
      <c r="N162" s="13" t="s">
        <v>841</v>
      </c>
      <c r="O162" s="14" t="s">
        <v>72</v>
      </c>
      <c r="P162" s="14" t="s">
        <v>1281</v>
      </c>
      <c r="Q162" s="165"/>
      <c r="R162" s="164" t="s">
        <v>72</v>
      </c>
      <c r="S162" s="13" t="s">
        <v>109</v>
      </c>
      <c r="T162" s="13"/>
      <c r="U162" s="13"/>
      <c r="V162" s="13">
        <v>109</v>
      </c>
      <c r="W162" s="13">
        <v>109</v>
      </c>
      <c r="X162" s="13">
        <v>109</v>
      </c>
      <c r="Y162" s="13">
        <v>1.93</v>
      </c>
      <c r="Z162" s="13">
        <v>0.5</v>
      </c>
      <c r="AA162" s="13" t="s">
        <v>110</v>
      </c>
      <c r="AB162" s="58">
        <v>43973</v>
      </c>
      <c r="AC162" s="58">
        <v>43970</v>
      </c>
      <c r="AD162" s="58">
        <v>43973</v>
      </c>
      <c r="AE162" s="58">
        <v>43970</v>
      </c>
      <c r="AF162" s="58">
        <v>43970</v>
      </c>
      <c r="AG162" s="58" t="s">
        <v>75</v>
      </c>
      <c r="AH162" s="59">
        <v>1</v>
      </c>
      <c r="AI162" s="59">
        <v>1</v>
      </c>
      <c r="AJ162" s="59">
        <v>1</v>
      </c>
      <c r="AK162" s="58" t="s">
        <v>8</v>
      </c>
      <c r="AL162" s="176" t="s">
        <v>72</v>
      </c>
      <c r="AM162" s="176" t="s">
        <v>72</v>
      </c>
      <c r="AN162" s="176" t="s">
        <v>72</v>
      </c>
    </row>
    <row r="163" spans="2:40" ht="15">
      <c r="B163" s="184">
        <v>44</v>
      </c>
      <c r="C163" s="13">
        <v>20200519</v>
      </c>
      <c r="D163" s="13" t="s">
        <v>24</v>
      </c>
      <c r="E163" s="13" t="s">
        <v>837</v>
      </c>
      <c r="F163" s="39" t="s">
        <v>1650</v>
      </c>
      <c r="G163" s="13">
        <v>1473546</v>
      </c>
      <c r="H163" s="164" t="s">
        <v>72</v>
      </c>
      <c r="I163" s="13" t="s">
        <v>268</v>
      </c>
      <c r="J163" s="164" t="s">
        <v>72</v>
      </c>
      <c r="K163" s="13" t="s">
        <v>73</v>
      </c>
      <c r="L163" s="13" t="s">
        <v>8</v>
      </c>
      <c r="M163" s="13" t="s">
        <v>840</v>
      </c>
      <c r="N163" s="13" t="s">
        <v>841</v>
      </c>
      <c r="O163" s="14" t="s">
        <v>72</v>
      </c>
      <c r="P163" s="14" t="s">
        <v>1281</v>
      </c>
      <c r="Q163" s="165"/>
      <c r="R163" s="164" t="s">
        <v>72</v>
      </c>
      <c r="S163" s="13" t="s">
        <v>161</v>
      </c>
      <c r="T163" s="13"/>
      <c r="U163" s="13"/>
      <c r="V163" s="13">
        <v>268</v>
      </c>
      <c r="W163" s="13">
        <v>268</v>
      </c>
      <c r="X163" s="13">
        <v>268</v>
      </c>
      <c r="Y163" s="13">
        <v>4.76</v>
      </c>
      <c r="Z163" s="13">
        <v>4</v>
      </c>
      <c r="AA163" s="13" t="s">
        <v>110</v>
      </c>
      <c r="AB163" s="58">
        <v>43973</v>
      </c>
      <c r="AC163" s="58">
        <v>43969</v>
      </c>
      <c r="AD163" s="58">
        <v>43973</v>
      </c>
      <c r="AE163" s="58">
        <v>43970</v>
      </c>
      <c r="AF163" s="58">
        <v>43970</v>
      </c>
      <c r="AG163" s="58" t="s">
        <v>75</v>
      </c>
      <c r="AH163" s="59">
        <v>1</v>
      </c>
      <c r="AI163" s="59">
        <v>1</v>
      </c>
      <c r="AJ163" s="59">
        <v>1</v>
      </c>
      <c r="AK163" s="58" t="s">
        <v>8</v>
      </c>
      <c r="AL163" s="176" t="s">
        <v>72</v>
      </c>
      <c r="AM163" s="176" t="s">
        <v>72</v>
      </c>
      <c r="AN163" s="176" t="s">
        <v>72</v>
      </c>
    </row>
    <row r="164" spans="2:40" ht="15">
      <c r="B164" s="184">
        <v>45</v>
      </c>
      <c r="C164" s="13">
        <v>20200519</v>
      </c>
      <c r="D164" s="13" t="s">
        <v>24</v>
      </c>
      <c r="E164" s="13" t="s">
        <v>837</v>
      </c>
      <c r="F164" s="39" t="s">
        <v>1647</v>
      </c>
      <c r="G164" s="13">
        <v>1473546</v>
      </c>
      <c r="H164" s="164" t="s">
        <v>72</v>
      </c>
      <c r="I164" s="13" t="s">
        <v>252</v>
      </c>
      <c r="J164" s="164" t="s">
        <v>72</v>
      </c>
      <c r="K164" s="13" t="s">
        <v>73</v>
      </c>
      <c r="L164" s="13" t="s">
        <v>8</v>
      </c>
      <c r="M164" s="13" t="s">
        <v>840</v>
      </c>
      <c r="N164" s="13" t="s">
        <v>841</v>
      </c>
      <c r="O164" s="14" t="s">
        <v>72</v>
      </c>
      <c r="P164" s="14" t="s">
        <v>1281</v>
      </c>
      <c r="Q164" s="165"/>
      <c r="R164" s="164" t="s">
        <v>72</v>
      </c>
      <c r="S164" s="13" t="s">
        <v>109</v>
      </c>
      <c r="T164" s="13"/>
      <c r="U164" s="13"/>
      <c r="V164" s="13">
        <v>63</v>
      </c>
      <c r="W164" s="13">
        <v>63</v>
      </c>
      <c r="X164" s="13">
        <v>63</v>
      </c>
      <c r="Y164" s="13">
        <v>1.1200000000000001</v>
      </c>
      <c r="Z164" s="13">
        <v>0.5</v>
      </c>
      <c r="AA164" s="13" t="s">
        <v>110</v>
      </c>
      <c r="AB164" s="58">
        <v>43973</v>
      </c>
      <c r="AC164" s="58">
        <v>43970</v>
      </c>
      <c r="AD164" s="58">
        <v>43973</v>
      </c>
      <c r="AE164" s="58">
        <v>43970</v>
      </c>
      <c r="AF164" s="58">
        <v>43970</v>
      </c>
      <c r="AG164" s="58" t="s">
        <v>75</v>
      </c>
      <c r="AH164" s="59">
        <v>1</v>
      </c>
      <c r="AI164" s="59">
        <v>1</v>
      </c>
      <c r="AJ164" s="59">
        <v>1</v>
      </c>
      <c r="AK164" s="58" t="s">
        <v>8</v>
      </c>
      <c r="AL164" s="176" t="s">
        <v>72</v>
      </c>
      <c r="AM164" s="176" t="s">
        <v>72</v>
      </c>
      <c r="AN164" s="176" t="s">
        <v>72</v>
      </c>
    </row>
    <row r="165" spans="2:40" ht="15">
      <c r="B165" s="184">
        <v>46</v>
      </c>
      <c r="C165" s="13">
        <v>20200519</v>
      </c>
      <c r="D165" s="13" t="s">
        <v>24</v>
      </c>
      <c r="E165" s="13" t="s">
        <v>837</v>
      </c>
      <c r="F165" s="39" t="s">
        <v>1615</v>
      </c>
      <c r="G165" s="13">
        <v>1473546</v>
      </c>
      <c r="H165" s="164" t="s">
        <v>72</v>
      </c>
      <c r="I165" s="13" t="s">
        <v>734</v>
      </c>
      <c r="J165" s="164" t="s">
        <v>72</v>
      </c>
      <c r="K165" s="13" t="s">
        <v>73</v>
      </c>
      <c r="L165" s="13" t="s">
        <v>8</v>
      </c>
      <c r="M165" s="13" t="s">
        <v>840</v>
      </c>
      <c r="N165" s="13" t="s">
        <v>841</v>
      </c>
      <c r="O165" s="14" t="s">
        <v>72</v>
      </c>
      <c r="P165" s="14" t="s">
        <v>1281</v>
      </c>
      <c r="Q165" s="165"/>
      <c r="R165" s="164" t="s">
        <v>72</v>
      </c>
      <c r="S165" s="13" t="s">
        <v>161</v>
      </c>
      <c r="T165" s="13"/>
      <c r="U165" s="13"/>
      <c r="V165" s="13">
        <v>87</v>
      </c>
      <c r="W165" s="13">
        <v>87</v>
      </c>
      <c r="X165" s="13">
        <v>87</v>
      </c>
      <c r="Y165" s="13">
        <v>1.54</v>
      </c>
      <c r="Z165" s="13">
        <v>1</v>
      </c>
      <c r="AA165" s="13" t="s">
        <v>110</v>
      </c>
      <c r="AB165" s="58">
        <v>43973</v>
      </c>
      <c r="AC165" s="58">
        <v>43969</v>
      </c>
      <c r="AD165" s="58">
        <v>43973</v>
      </c>
      <c r="AE165" s="58">
        <v>43970</v>
      </c>
      <c r="AF165" s="58">
        <v>43970</v>
      </c>
      <c r="AG165" s="58" t="s">
        <v>75</v>
      </c>
      <c r="AH165" s="59">
        <v>1</v>
      </c>
      <c r="AI165" s="59">
        <v>1</v>
      </c>
      <c r="AJ165" s="59">
        <v>1</v>
      </c>
      <c r="AK165" s="58" t="s">
        <v>8</v>
      </c>
      <c r="AL165" s="176" t="s">
        <v>72</v>
      </c>
      <c r="AM165" s="176" t="s">
        <v>72</v>
      </c>
      <c r="AN165" s="176" t="s">
        <v>72</v>
      </c>
    </row>
    <row r="166" spans="2:40" ht="15">
      <c r="B166" s="184">
        <v>47</v>
      </c>
      <c r="C166" s="13">
        <v>20200519</v>
      </c>
      <c r="D166" s="13" t="s">
        <v>24</v>
      </c>
      <c r="E166" s="13" t="s">
        <v>837</v>
      </c>
      <c r="F166" s="39" t="s">
        <v>1671</v>
      </c>
      <c r="G166" s="13">
        <v>1473546</v>
      </c>
      <c r="H166" s="164" t="s">
        <v>72</v>
      </c>
      <c r="I166" s="13" t="s">
        <v>1672</v>
      </c>
      <c r="J166" s="164" t="s">
        <v>72</v>
      </c>
      <c r="K166" s="13" t="s">
        <v>73</v>
      </c>
      <c r="L166" s="13" t="s">
        <v>8</v>
      </c>
      <c r="M166" s="13" t="s">
        <v>840</v>
      </c>
      <c r="N166" s="13" t="s">
        <v>841</v>
      </c>
      <c r="O166" s="14" t="s">
        <v>72</v>
      </c>
      <c r="P166" s="14" t="s">
        <v>1281</v>
      </c>
      <c r="Q166" s="165"/>
      <c r="R166" s="164" t="s">
        <v>72</v>
      </c>
      <c r="S166" s="13" t="s">
        <v>117</v>
      </c>
      <c r="T166" s="13"/>
      <c r="U166" s="13"/>
      <c r="V166" s="13">
        <v>164</v>
      </c>
      <c r="W166" s="13">
        <v>164</v>
      </c>
      <c r="X166" s="13">
        <v>164</v>
      </c>
      <c r="Y166" s="13">
        <v>2.91</v>
      </c>
      <c r="Z166" s="13">
        <v>2.5</v>
      </c>
      <c r="AA166" s="13" t="s">
        <v>110</v>
      </c>
      <c r="AB166" s="58">
        <v>43973</v>
      </c>
      <c r="AC166" s="58">
        <v>43970</v>
      </c>
      <c r="AD166" s="58">
        <v>43973</v>
      </c>
      <c r="AE166" s="58">
        <v>43973</v>
      </c>
      <c r="AF166" s="58">
        <v>43973</v>
      </c>
      <c r="AG166" s="58" t="s">
        <v>75</v>
      </c>
      <c r="AH166" s="59">
        <v>1</v>
      </c>
      <c r="AI166" s="59">
        <v>1</v>
      </c>
      <c r="AJ166" s="59">
        <v>1</v>
      </c>
      <c r="AK166" s="58" t="s">
        <v>8</v>
      </c>
      <c r="AL166" s="181" t="s">
        <v>72</v>
      </c>
      <c r="AM166" s="181" t="s">
        <v>72</v>
      </c>
      <c r="AN166" s="181" t="s">
        <v>72</v>
      </c>
    </row>
    <row r="167" spans="2:40" ht="15">
      <c r="B167" s="184">
        <v>48</v>
      </c>
      <c r="C167" s="13">
        <v>20200519</v>
      </c>
      <c r="D167" s="13" t="s">
        <v>24</v>
      </c>
      <c r="E167" s="13" t="s">
        <v>837</v>
      </c>
      <c r="F167" s="39" t="s">
        <v>1673</v>
      </c>
      <c r="G167" s="176">
        <v>1473546</v>
      </c>
      <c r="H167" s="183" t="s">
        <v>72</v>
      </c>
      <c r="I167" s="176" t="s">
        <v>1674</v>
      </c>
      <c r="J167" s="164" t="s">
        <v>72</v>
      </c>
      <c r="K167" s="13" t="s">
        <v>73</v>
      </c>
      <c r="L167" s="13" t="s">
        <v>8</v>
      </c>
      <c r="M167" s="13" t="s">
        <v>840</v>
      </c>
      <c r="N167" s="13" t="s">
        <v>841</v>
      </c>
      <c r="O167" s="14" t="s">
        <v>72</v>
      </c>
      <c r="P167" s="14" t="s">
        <v>1281</v>
      </c>
      <c r="Q167" s="165"/>
      <c r="R167" s="164" t="s">
        <v>72</v>
      </c>
      <c r="S167" s="13" t="s">
        <v>113</v>
      </c>
      <c r="T167" s="13"/>
      <c r="U167" s="13"/>
      <c r="V167" s="13">
        <v>200</v>
      </c>
      <c r="W167" s="13">
        <v>200</v>
      </c>
      <c r="X167" s="13">
        <v>200</v>
      </c>
      <c r="Y167" s="13">
        <v>3.55</v>
      </c>
      <c r="Z167" s="13">
        <v>3.55</v>
      </c>
      <c r="AA167" s="13" t="s">
        <v>110</v>
      </c>
      <c r="AB167" s="58">
        <v>43973</v>
      </c>
      <c r="AC167" s="58">
        <v>43970</v>
      </c>
      <c r="AD167" s="58">
        <v>43973</v>
      </c>
      <c r="AE167" s="58">
        <v>43970</v>
      </c>
      <c r="AF167" s="58">
        <v>43970</v>
      </c>
      <c r="AG167" s="58" t="s">
        <v>75</v>
      </c>
      <c r="AH167" s="59">
        <v>1</v>
      </c>
      <c r="AI167" s="59">
        <v>1</v>
      </c>
      <c r="AJ167" s="59">
        <v>1</v>
      </c>
      <c r="AK167" s="58" t="s">
        <v>8</v>
      </c>
      <c r="AL167" s="176" t="s">
        <v>72</v>
      </c>
      <c r="AM167" s="176" t="s">
        <v>72</v>
      </c>
      <c r="AN167" s="176" t="s">
        <v>72</v>
      </c>
    </row>
    <row r="168" spans="2:40" ht="15">
      <c r="B168" s="184">
        <v>49</v>
      </c>
      <c r="C168" s="13">
        <v>20200519</v>
      </c>
      <c r="D168" s="13" t="s">
        <v>24</v>
      </c>
      <c r="E168" s="13" t="s">
        <v>837</v>
      </c>
      <c r="F168" s="39" t="s">
        <v>1675</v>
      </c>
      <c r="G168" s="13">
        <v>1473546</v>
      </c>
      <c r="H168" s="164" t="s">
        <v>72</v>
      </c>
      <c r="I168" s="13" t="s">
        <v>1676</v>
      </c>
      <c r="J168" s="164" t="s">
        <v>72</v>
      </c>
      <c r="K168" s="13" t="s">
        <v>73</v>
      </c>
      <c r="L168" s="13" t="s">
        <v>8</v>
      </c>
      <c r="M168" s="13" t="s">
        <v>840</v>
      </c>
      <c r="N168" s="13" t="s">
        <v>841</v>
      </c>
      <c r="O168" s="14" t="s">
        <v>72</v>
      </c>
      <c r="P168" s="14" t="s">
        <v>1281</v>
      </c>
      <c r="Q168" s="165"/>
      <c r="R168" s="164" t="s">
        <v>72</v>
      </c>
      <c r="S168" s="13" t="s">
        <v>109</v>
      </c>
      <c r="T168" s="13"/>
      <c r="U168" s="13"/>
      <c r="V168" s="13">
        <v>58</v>
      </c>
      <c r="W168" s="13">
        <v>58</v>
      </c>
      <c r="X168" s="13">
        <v>58</v>
      </c>
      <c r="Y168" s="13">
        <v>1.03</v>
      </c>
      <c r="Z168" s="13">
        <v>0.5</v>
      </c>
      <c r="AA168" s="13" t="s">
        <v>110</v>
      </c>
      <c r="AB168" s="58">
        <v>43973</v>
      </c>
      <c r="AC168" s="58">
        <v>43970</v>
      </c>
      <c r="AD168" s="58">
        <v>43973</v>
      </c>
      <c r="AE168" s="58">
        <v>43970</v>
      </c>
      <c r="AF168" s="58">
        <v>43970</v>
      </c>
      <c r="AG168" s="58" t="s">
        <v>75</v>
      </c>
      <c r="AH168" s="59">
        <v>1</v>
      </c>
      <c r="AI168" s="59">
        <v>1</v>
      </c>
      <c r="AJ168" s="59">
        <v>1</v>
      </c>
      <c r="AK168" s="58" t="s">
        <v>8</v>
      </c>
      <c r="AL168" s="176" t="s">
        <v>72</v>
      </c>
      <c r="AM168" s="176" t="s">
        <v>72</v>
      </c>
      <c r="AN168" s="176" t="s">
        <v>72</v>
      </c>
    </row>
    <row r="169" spans="2:40" ht="15">
      <c r="B169" s="184">
        <v>50</v>
      </c>
      <c r="C169" s="13">
        <v>20200519</v>
      </c>
      <c r="D169" s="13" t="s">
        <v>24</v>
      </c>
      <c r="E169" s="13" t="s">
        <v>837</v>
      </c>
      <c r="F169" s="39" t="s">
        <v>1675</v>
      </c>
      <c r="G169" s="13">
        <v>1473546</v>
      </c>
      <c r="H169" s="164" t="s">
        <v>72</v>
      </c>
      <c r="I169" s="13" t="s">
        <v>1677</v>
      </c>
      <c r="J169" s="164" t="s">
        <v>72</v>
      </c>
      <c r="K169" s="13" t="s">
        <v>73</v>
      </c>
      <c r="L169" s="13" t="s">
        <v>8</v>
      </c>
      <c r="M169" s="13" t="s">
        <v>840</v>
      </c>
      <c r="N169" s="13" t="s">
        <v>841</v>
      </c>
      <c r="O169" s="14" t="s">
        <v>72</v>
      </c>
      <c r="P169" s="14" t="s">
        <v>1281</v>
      </c>
      <c r="Q169" s="165"/>
      <c r="R169" s="164" t="s">
        <v>72</v>
      </c>
      <c r="S169" s="13" t="s">
        <v>161</v>
      </c>
      <c r="T169" s="13"/>
      <c r="U169" s="13"/>
      <c r="V169" s="13">
        <v>66</v>
      </c>
      <c r="W169" s="13">
        <v>66</v>
      </c>
      <c r="X169" s="13">
        <v>66</v>
      </c>
      <c r="Y169" s="13">
        <v>1.17</v>
      </c>
      <c r="Z169" s="13">
        <v>1</v>
      </c>
      <c r="AA169" s="13" t="s">
        <v>110</v>
      </c>
      <c r="AB169" s="58">
        <v>43973</v>
      </c>
      <c r="AC169" s="58">
        <v>43969</v>
      </c>
      <c r="AD169" s="58">
        <v>43973</v>
      </c>
      <c r="AE169" s="58">
        <v>43970</v>
      </c>
      <c r="AF169" s="58">
        <v>43970</v>
      </c>
      <c r="AG169" s="58" t="s">
        <v>75</v>
      </c>
      <c r="AH169" s="59">
        <v>1</v>
      </c>
      <c r="AI169" s="59">
        <v>1</v>
      </c>
      <c r="AJ169" s="59">
        <v>1</v>
      </c>
      <c r="AK169" s="58" t="s">
        <v>8</v>
      </c>
      <c r="AL169" s="176" t="s">
        <v>72</v>
      </c>
      <c r="AM169" s="176" t="s">
        <v>72</v>
      </c>
      <c r="AN169" s="176" t="s">
        <v>72</v>
      </c>
    </row>
    <row r="170" spans="2:40" ht="15">
      <c r="B170" s="184">
        <v>51</v>
      </c>
      <c r="C170" s="13">
        <v>20200519</v>
      </c>
      <c r="D170" s="13" t="s">
        <v>24</v>
      </c>
      <c r="E170" s="13" t="s">
        <v>837</v>
      </c>
      <c r="F170" s="39" t="s">
        <v>1678</v>
      </c>
      <c r="G170" s="13">
        <v>1473546</v>
      </c>
      <c r="H170" s="164" t="s">
        <v>72</v>
      </c>
      <c r="I170" s="13" t="s">
        <v>1679</v>
      </c>
      <c r="J170" s="164" t="s">
        <v>72</v>
      </c>
      <c r="K170" s="13" t="s">
        <v>73</v>
      </c>
      <c r="L170" s="13" t="s">
        <v>8</v>
      </c>
      <c r="M170" s="13" t="s">
        <v>840</v>
      </c>
      <c r="N170" s="13" t="s">
        <v>841</v>
      </c>
      <c r="O170" s="14" t="s">
        <v>72</v>
      </c>
      <c r="P170" s="14" t="s">
        <v>1281</v>
      </c>
      <c r="Q170" s="165"/>
      <c r="R170" s="164" t="s">
        <v>72</v>
      </c>
      <c r="S170" s="13" t="s">
        <v>161</v>
      </c>
      <c r="T170" s="13"/>
      <c r="U170" s="13"/>
      <c r="V170" s="13">
        <v>75</v>
      </c>
      <c r="W170" s="13">
        <v>75</v>
      </c>
      <c r="X170" s="13">
        <v>75</v>
      </c>
      <c r="Y170" s="13">
        <v>1.33</v>
      </c>
      <c r="Z170" s="13">
        <v>1</v>
      </c>
      <c r="AA170" s="13" t="s">
        <v>110</v>
      </c>
      <c r="AB170" s="58">
        <v>43973</v>
      </c>
      <c r="AC170" s="58">
        <v>43969</v>
      </c>
      <c r="AD170" s="58">
        <v>43973</v>
      </c>
      <c r="AE170" s="58">
        <v>43970</v>
      </c>
      <c r="AF170" s="58">
        <v>43970</v>
      </c>
      <c r="AG170" s="58" t="s">
        <v>75</v>
      </c>
      <c r="AH170" s="59">
        <v>1</v>
      </c>
      <c r="AI170" s="59">
        <v>1</v>
      </c>
      <c r="AJ170" s="59">
        <v>1</v>
      </c>
      <c r="AK170" s="58" t="s">
        <v>8</v>
      </c>
      <c r="AL170" s="176" t="s">
        <v>72</v>
      </c>
      <c r="AM170" s="176" t="s">
        <v>72</v>
      </c>
      <c r="AN170" s="176" t="s">
        <v>72</v>
      </c>
    </row>
    <row r="171" spans="2:40" ht="15">
      <c r="B171" s="184">
        <v>52</v>
      </c>
      <c r="C171" s="13">
        <v>20200519</v>
      </c>
      <c r="D171" s="13" t="s">
        <v>24</v>
      </c>
      <c r="E171" s="13" t="s">
        <v>837</v>
      </c>
      <c r="F171" s="39" t="s">
        <v>1617</v>
      </c>
      <c r="G171" s="13">
        <v>1473546</v>
      </c>
      <c r="H171" s="164" t="s">
        <v>72</v>
      </c>
      <c r="I171" s="13" t="s">
        <v>1120</v>
      </c>
      <c r="J171" s="164" t="s">
        <v>72</v>
      </c>
      <c r="K171" s="13" t="s">
        <v>73</v>
      </c>
      <c r="L171" s="13" t="s">
        <v>8</v>
      </c>
      <c r="M171" s="13" t="s">
        <v>840</v>
      </c>
      <c r="N171" s="13" t="s">
        <v>841</v>
      </c>
      <c r="O171" s="14" t="s">
        <v>72</v>
      </c>
      <c r="P171" s="14" t="s">
        <v>1281</v>
      </c>
      <c r="Q171" s="165"/>
      <c r="R171" s="164" t="s">
        <v>72</v>
      </c>
      <c r="S171" s="13" t="s">
        <v>161</v>
      </c>
      <c r="T171" s="13"/>
      <c r="U171" s="13"/>
      <c r="V171" s="13">
        <v>33</v>
      </c>
      <c r="W171" s="13">
        <v>33</v>
      </c>
      <c r="X171" s="13">
        <v>33</v>
      </c>
      <c r="Y171" s="13">
        <v>0.57999999999999996</v>
      </c>
      <c r="Z171" s="13">
        <v>0.5</v>
      </c>
      <c r="AA171" s="13" t="s">
        <v>110</v>
      </c>
      <c r="AB171" s="58">
        <v>43973</v>
      </c>
      <c r="AC171" s="58">
        <v>43969</v>
      </c>
      <c r="AD171" s="58">
        <v>43973</v>
      </c>
      <c r="AE171" s="58">
        <v>43970</v>
      </c>
      <c r="AF171" s="58">
        <v>43970</v>
      </c>
      <c r="AG171" s="58" t="s">
        <v>75</v>
      </c>
      <c r="AH171" s="59">
        <v>1</v>
      </c>
      <c r="AI171" s="59">
        <v>1</v>
      </c>
      <c r="AJ171" s="59">
        <v>1</v>
      </c>
      <c r="AK171" s="58" t="s">
        <v>8</v>
      </c>
      <c r="AL171" s="176" t="s">
        <v>72</v>
      </c>
      <c r="AM171" s="176" t="s">
        <v>72</v>
      </c>
      <c r="AN171" s="176" t="s">
        <v>72</v>
      </c>
    </row>
    <row r="172" spans="2:40" ht="15">
      <c r="B172" s="184">
        <v>53</v>
      </c>
      <c r="C172" s="13">
        <v>20200519</v>
      </c>
      <c r="D172" s="13" t="s">
        <v>24</v>
      </c>
      <c r="E172" s="13" t="s">
        <v>837</v>
      </c>
      <c r="F172" s="39" t="s">
        <v>1617</v>
      </c>
      <c r="G172" s="13">
        <v>1473546</v>
      </c>
      <c r="H172" s="164" t="s">
        <v>72</v>
      </c>
      <c r="I172" s="13" t="s">
        <v>1680</v>
      </c>
      <c r="J172" s="164" t="s">
        <v>72</v>
      </c>
      <c r="K172" s="13" t="s">
        <v>73</v>
      </c>
      <c r="L172" s="13" t="s">
        <v>8</v>
      </c>
      <c r="M172" s="13" t="s">
        <v>840</v>
      </c>
      <c r="N172" s="13" t="s">
        <v>841</v>
      </c>
      <c r="O172" s="14" t="s">
        <v>72</v>
      </c>
      <c r="P172" s="14" t="s">
        <v>1281</v>
      </c>
      <c r="Q172" s="165"/>
      <c r="R172" s="164" t="s">
        <v>72</v>
      </c>
      <c r="S172" s="13" t="s">
        <v>109</v>
      </c>
      <c r="T172" s="13"/>
      <c r="U172" s="13"/>
      <c r="V172" s="13">
        <v>119</v>
      </c>
      <c r="W172" s="13">
        <v>119</v>
      </c>
      <c r="X172" s="13">
        <v>119</v>
      </c>
      <c r="Y172" s="13">
        <v>2.11</v>
      </c>
      <c r="Z172" s="13">
        <v>1</v>
      </c>
      <c r="AA172" s="13" t="s">
        <v>110</v>
      </c>
      <c r="AB172" s="58">
        <v>43973</v>
      </c>
      <c r="AC172" s="58">
        <v>43970</v>
      </c>
      <c r="AD172" s="58">
        <v>43973</v>
      </c>
      <c r="AE172" s="58">
        <v>43970</v>
      </c>
      <c r="AF172" s="58">
        <v>43970</v>
      </c>
      <c r="AG172" s="58" t="s">
        <v>75</v>
      </c>
      <c r="AH172" s="59">
        <v>1</v>
      </c>
      <c r="AI172" s="59">
        <v>1</v>
      </c>
      <c r="AJ172" s="59">
        <v>1</v>
      </c>
      <c r="AK172" s="58" t="s">
        <v>8</v>
      </c>
      <c r="AL172" s="176" t="s">
        <v>72</v>
      </c>
      <c r="AM172" s="176" t="s">
        <v>72</v>
      </c>
      <c r="AN172" s="176" t="s">
        <v>72</v>
      </c>
    </row>
    <row r="173" spans="2:40" ht="15">
      <c r="B173" s="184">
        <v>54</v>
      </c>
      <c r="C173" s="13">
        <v>20200519</v>
      </c>
      <c r="D173" s="13" t="s">
        <v>24</v>
      </c>
      <c r="E173" s="13" t="s">
        <v>837</v>
      </c>
      <c r="F173" s="39" t="s">
        <v>1681</v>
      </c>
      <c r="G173" s="176">
        <v>1473546</v>
      </c>
      <c r="H173" s="183" t="s">
        <v>72</v>
      </c>
      <c r="I173" s="176" t="s">
        <v>1682</v>
      </c>
      <c r="J173" s="164" t="s">
        <v>72</v>
      </c>
      <c r="K173" s="13" t="s">
        <v>73</v>
      </c>
      <c r="L173" s="13" t="s">
        <v>8</v>
      </c>
      <c r="M173" s="13" t="s">
        <v>840</v>
      </c>
      <c r="N173" s="13" t="s">
        <v>841</v>
      </c>
      <c r="O173" s="14" t="s">
        <v>72</v>
      </c>
      <c r="P173" s="14" t="s">
        <v>1281</v>
      </c>
      <c r="Q173" s="165"/>
      <c r="R173" s="164" t="s">
        <v>72</v>
      </c>
      <c r="S173" s="13" t="s">
        <v>113</v>
      </c>
      <c r="T173" s="13"/>
      <c r="U173" s="13"/>
      <c r="V173" s="13">
        <v>433</v>
      </c>
      <c r="W173" s="13">
        <v>433</v>
      </c>
      <c r="X173" s="13">
        <v>433</v>
      </c>
      <c r="Y173" s="13">
        <v>7.69</v>
      </c>
      <c r="Z173" s="13">
        <v>7.69</v>
      </c>
      <c r="AA173" s="13" t="s">
        <v>110</v>
      </c>
      <c r="AB173" s="58">
        <v>43973</v>
      </c>
      <c r="AC173" s="58">
        <v>43970</v>
      </c>
      <c r="AD173" s="58">
        <v>43973</v>
      </c>
      <c r="AE173" s="58">
        <v>43970</v>
      </c>
      <c r="AF173" s="58">
        <v>43970</v>
      </c>
      <c r="AG173" s="58" t="s">
        <v>75</v>
      </c>
      <c r="AH173" s="59">
        <v>1</v>
      </c>
      <c r="AI173" s="59">
        <v>1</v>
      </c>
      <c r="AJ173" s="59">
        <v>1</v>
      </c>
      <c r="AK173" s="58" t="s">
        <v>8</v>
      </c>
      <c r="AL173" s="176" t="s">
        <v>72</v>
      </c>
      <c r="AM173" s="176" t="s">
        <v>72</v>
      </c>
      <c r="AN173" s="176" t="s">
        <v>72</v>
      </c>
    </row>
    <row r="174" spans="2:40" ht="15">
      <c r="B174" s="184">
        <v>55</v>
      </c>
      <c r="C174" s="13">
        <v>20200519</v>
      </c>
      <c r="D174" s="13" t="s">
        <v>24</v>
      </c>
      <c r="E174" s="13" t="s">
        <v>2368</v>
      </c>
      <c r="F174" s="39" t="s">
        <v>1684</v>
      </c>
      <c r="G174" s="13">
        <v>1474054</v>
      </c>
      <c r="H174" s="164" t="s">
        <v>72</v>
      </c>
      <c r="I174" s="13" t="s">
        <v>686</v>
      </c>
      <c r="J174" s="164" t="s">
        <v>72</v>
      </c>
      <c r="K174" s="13" t="s">
        <v>106</v>
      </c>
      <c r="L174" s="13" t="s">
        <v>1685</v>
      </c>
      <c r="M174" s="13" t="s">
        <v>8</v>
      </c>
      <c r="N174" s="13" t="s">
        <v>1686</v>
      </c>
      <c r="O174" s="14" t="s">
        <v>72</v>
      </c>
      <c r="P174" s="14" t="s">
        <v>706</v>
      </c>
      <c r="Q174" s="165"/>
      <c r="R174" s="164" t="s">
        <v>72</v>
      </c>
      <c r="S174" s="13" t="s">
        <v>113</v>
      </c>
      <c r="T174" s="13"/>
      <c r="U174" s="13"/>
      <c r="V174" s="13">
        <v>96</v>
      </c>
      <c r="W174" s="13">
        <v>96</v>
      </c>
      <c r="X174" s="13">
        <v>96</v>
      </c>
      <c r="Y174" s="13">
        <v>1.7</v>
      </c>
      <c r="Z174" s="13">
        <v>1.7</v>
      </c>
      <c r="AA174" s="13" t="s">
        <v>110</v>
      </c>
      <c r="AB174" s="58">
        <v>43977</v>
      </c>
      <c r="AC174" s="58">
        <v>43970</v>
      </c>
      <c r="AD174" s="58">
        <v>43977</v>
      </c>
      <c r="AE174" s="58">
        <v>43971</v>
      </c>
      <c r="AF174" s="58">
        <v>43971</v>
      </c>
      <c r="AG174" s="58" t="s">
        <v>79</v>
      </c>
      <c r="AH174" s="59">
        <v>1</v>
      </c>
      <c r="AI174" s="59">
        <v>1</v>
      </c>
      <c r="AJ174" s="59">
        <v>1</v>
      </c>
      <c r="AK174" s="58" t="s">
        <v>76</v>
      </c>
      <c r="AL174" s="176"/>
      <c r="AM174" s="176"/>
      <c r="AN174" s="176" t="s">
        <v>1687</v>
      </c>
    </row>
    <row r="175" spans="2:40" ht="15">
      <c r="B175" s="184">
        <v>56</v>
      </c>
      <c r="C175" s="13">
        <v>20200519</v>
      </c>
      <c r="D175" s="13" t="s">
        <v>24</v>
      </c>
      <c r="E175" s="13" t="s">
        <v>2368</v>
      </c>
      <c r="F175" s="39" t="s">
        <v>1688</v>
      </c>
      <c r="G175" s="13">
        <v>1474054</v>
      </c>
      <c r="H175" s="164" t="s">
        <v>72</v>
      </c>
      <c r="I175" s="13" t="s">
        <v>644</v>
      </c>
      <c r="J175" s="164" t="s">
        <v>72</v>
      </c>
      <c r="K175" s="13" t="s">
        <v>106</v>
      </c>
      <c r="L175" s="13" t="s">
        <v>1685</v>
      </c>
      <c r="M175" s="13" t="s">
        <v>8</v>
      </c>
      <c r="N175" s="13" t="s">
        <v>1686</v>
      </c>
      <c r="O175" s="14" t="s">
        <v>72</v>
      </c>
      <c r="P175" s="14" t="s">
        <v>706</v>
      </c>
      <c r="Q175" s="165"/>
      <c r="R175" s="164" t="s">
        <v>72</v>
      </c>
      <c r="S175" s="13" t="s">
        <v>109</v>
      </c>
      <c r="T175" s="13"/>
      <c r="U175" s="13"/>
      <c r="V175" s="13">
        <v>54</v>
      </c>
      <c r="W175" s="13">
        <v>54</v>
      </c>
      <c r="X175" s="13">
        <v>54</v>
      </c>
      <c r="Y175" s="13">
        <v>0.96</v>
      </c>
      <c r="Z175" s="13">
        <v>0.5</v>
      </c>
      <c r="AA175" s="13" t="s">
        <v>110</v>
      </c>
      <c r="AB175" s="58">
        <v>43977</v>
      </c>
      <c r="AC175" s="58">
        <v>43970</v>
      </c>
      <c r="AD175" s="58">
        <v>43977</v>
      </c>
      <c r="AE175" s="58">
        <v>43971</v>
      </c>
      <c r="AF175" s="58">
        <v>43971</v>
      </c>
      <c r="AG175" s="58" t="s">
        <v>75</v>
      </c>
      <c r="AH175" s="59">
        <v>1</v>
      </c>
      <c r="AI175" s="59">
        <v>1</v>
      </c>
      <c r="AJ175" s="59">
        <v>1</v>
      </c>
      <c r="AK175" s="58" t="s">
        <v>8</v>
      </c>
      <c r="AL175" s="176" t="s">
        <v>72</v>
      </c>
      <c r="AM175" s="176" t="s">
        <v>72</v>
      </c>
      <c r="AN175" s="176" t="s">
        <v>72</v>
      </c>
    </row>
    <row r="176" spans="2:40" ht="15">
      <c r="B176" s="184">
        <v>57</v>
      </c>
      <c r="C176" s="13">
        <v>20200519</v>
      </c>
      <c r="D176" s="13" t="s">
        <v>24</v>
      </c>
      <c r="E176" s="13" t="s">
        <v>2368</v>
      </c>
      <c r="F176" s="39" t="s">
        <v>1689</v>
      </c>
      <c r="G176" s="13">
        <v>1474054</v>
      </c>
      <c r="H176" s="164" t="s">
        <v>72</v>
      </c>
      <c r="I176" s="13" t="s">
        <v>558</v>
      </c>
      <c r="J176" s="164" t="s">
        <v>72</v>
      </c>
      <c r="K176" s="13" t="s">
        <v>106</v>
      </c>
      <c r="L176" s="13" t="s">
        <v>1685</v>
      </c>
      <c r="M176" s="13" t="s">
        <v>8</v>
      </c>
      <c r="N176" s="13" t="s">
        <v>1686</v>
      </c>
      <c r="O176" s="14" t="s">
        <v>72</v>
      </c>
      <c r="P176" s="14" t="s">
        <v>706</v>
      </c>
      <c r="Q176" s="165"/>
      <c r="R176" s="164" t="s">
        <v>72</v>
      </c>
      <c r="S176" s="13" t="s">
        <v>77</v>
      </c>
      <c r="T176" s="13"/>
      <c r="U176" s="13"/>
      <c r="V176" s="13">
        <v>145</v>
      </c>
      <c r="W176" s="53">
        <v>355</v>
      </c>
      <c r="X176" s="13">
        <v>355</v>
      </c>
      <c r="Y176" s="13">
        <v>6.31</v>
      </c>
      <c r="Z176" s="13">
        <v>4</v>
      </c>
      <c r="AA176" s="13" t="s">
        <v>110</v>
      </c>
      <c r="AB176" s="58">
        <v>43977</v>
      </c>
      <c r="AC176" s="58">
        <v>43970</v>
      </c>
      <c r="AD176" s="58">
        <v>43977</v>
      </c>
      <c r="AE176" s="58">
        <v>43973</v>
      </c>
      <c r="AF176" s="58">
        <v>43976</v>
      </c>
      <c r="AG176" s="58" t="s">
        <v>79</v>
      </c>
      <c r="AH176" s="59">
        <v>1</v>
      </c>
      <c r="AI176" s="59">
        <v>0.91</v>
      </c>
      <c r="AJ176" s="59">
        <v>0.43</v>
      </c>
      <c r="AK176" s="58" t="s">
        <v>76</v>
      </c>
      <c r="AL176" s="181" t="s">
        <v>1690</v>
      </c>
      <c r="AM176" s="181" t="s">
        <v>72</v>
      </c>
      <c r="AN176" s="181" t="s">
        <v>1691</v>
      </c>
    </row>
    <row r="177" spans="2:40" ht="15">
      <c r="B177" s="184">
        <v>58</v>
      </c>
      <c r="C177" s="13">
        <v>20200519</v>
      </c>
      <c r="D177" s="13" t="s">
        <v>24</v>
      </c>
      <c r="E177" s="13" t="s">
        <v>2368</v>
      </c>
      <c r="F177" s="39" t="s">
        <v>1689</v>
      </c>
      <c r="G177" s="13">
        <v>1474054</v>
      </c>
      <c r="H177" s="164" t="s">
        <v>72</v>
      </c>
      <c r="I177" s="13" t="s">
        <v>564</v>
      </c>
      <c r="J177" s="164" t="s">
        <v>72</v>
      </c>
      <c r="K177" s="13" t="s">
        <v>106</v>
      </c>
      <c r="L177" s="13" t="s">
        <v>1685</v>
      </c>
      <c r="M177" s="13" t="s">
        <v>8</v>
      </c>
      <c r="N177" s="13" t="s">
        <v>1686</v>
      </c>
      <c r="O177" s="14" t="s">
        <v>72</v>
      </c>
      <c r="P177" s="14" t="s">
        <v>706</v>
      </c>
      <c r="Q177" s="165"/>
      <c r="R177" s="164" t="s">
        <v>72</v>
      </c>
      <c r="S177" s="13" t="s">
        <v>161</v>
      </c>
      <c r="T177" s="13"/>
      <c r="U177" s="13"/>
      <c r="V177" s="13">
        <v>124</v>
      </c>
      <c r="W177" s="13">
        <v>124</v>
      </c>
      <c r="X177" s="13">
        <v>124</v>
      </c>
      <c r="Y177" s="13">
        <v>2.2000000000000002</v>
      </c>
      <c r="Z177" s="13">
        <v>2</v>
      </c>
      <c r="AA177" s="13" t="s">
        <v>110</v>
      </c>
      <c r="AB177" s="58">
        <v>43977</v>
      </c>
      <c r="AC177" s="58">
        <v>43970</v>
      </c>
      <c r="AD177" s="58">
        <v>43977</v>
      </c>
      <c r="AE177" s="58">
        <v>43970</v>
      </c>
      <c r="AF177" s="58">
        <v>43970</v>
      </c>
      <c r="AG177" s="58" t="s">
        <v>79</v>
      </c>
      <c r="AH177" s="59">
        <v>1</v>
      </c>
      <c r="AI177" s="59">
        <v>1</v>
      </c>
      <c r="AJ177" s="59">
        <v>0.75</v>
      </c>
      <c r="AK177" s="58" t="s">
        <v>76</v>
      </c>
      <c r="AL177" s="176" t="s">
        <v>1692</v>
      </c>
      <c r="AM177" s="176"/>
      <c r="AN177" s="176"/>
    </row>
    <row r="178" spans="2:40" ht="15">
      <c r="B178" s="184">
        <v>59</v>
      </c>
      <c r="C178" s="13">
        <v>20200519</v>
      </c>
      <c r="D178" s="13" t="s">
        <v>24</v>
      </c>
      <c r="E178" s="13" t="s">
        <v>2368</v>
      </c>
      <c r="F178" s="39" t="s">
        <v>1689</v>
      </c>
      <c r="G178" s="13">
        <v>1474054</v>
      </c>
      <c r="H178" s="164" t="s">
        <v>72</v>
      </c>
      <c r="I178" s="13" t="s">
        <v>576</v>
      </c>
      <c r="J178" s="164" t="s">
        <v>72</v>
      </c>
      <c r="K178" s="13" t="s">
        <v>106</v>
      </c>
      <c r="L178" s="13" t="s">
        <v>1685</v>
      </c>
      <c r="M178" s="13" t="s">
        <v>8</v>
      </c>
      <c r="N178" s="13" t="s">
        <v>1686</v>
      </c>
      <c r="O178" s="14" t="s">
        <v>72</v>
      </c>
      <c r="P178" s="14" t="s">
        <v>706</v>
      </c>
      <c r="Q178" s="165"/>
      <c r="R178" s="164" t="s">
        <v>72</v>
      </c>
      <c r="S178" s="13" t="s">
        <v>161</v>
      </c>
      <c r="T178" s="13"/>
      <c r="U178" s="13"/>
      <c r="V178" s="13">
        <v>71</v>
      </c>
      <c r="W178" s="13">
        <v>71</v>
      </c>
      <c r="X178" s="13">
        <v>71</v>
      </c>
      <c r="Y178" s="13">
        <v>1.26</v>
      </c>
      <c r="Z178" s="13">
        <v>1</v>
      </c>
      <c r="AA178" s="13" t="s">
        <v>110</v>
      </c>
      <c r="AB178" s="58">
        <v>43977</v>
      </c>
      <c r="AC178" s="58">
        <v>43970</v>
      </c>
      <c r="AD178" s="58">
        <v>43977</v>
      </c>
      <c r="AE178" s="58">
        <v>43971</v>
      </c>
      <c r="AF178" s="58">
        <v>43971</v>
      </c>
      <c r="AG178" s="58" t="s">
        <v>79</v>
      </c>
      <c r="AH178" s="59">
        <v>0.89</v>
      </c>
      <c r="AI178" s="59">
        <v>0.78</v>
      </c>
      <c r="AJ178" s="59">
        <v>1</v>
      </c>
      <c r="AK178" s="58" t="s">
        <v>76</v>
      </c>
      <c r="AL178" s="13" t="s">
        <v>1693</v>
      </c>
      <c r="AM178" s="176"/>
      <c r="AN178" s="176"/>
    </row>
    <row r="179" spans="2:40" ht="15">
      <c r="B179" s="184">
        <v>60</v>
      </c>
      <c r="C179" s="13">
        <v>20200519</v>
      </c>
      <c r="D179" s="13" t="s">
        <v>24</v>
      </c>
      <c r="E179" s="13" t="s">
        <v>2368</v>
      </c>
      <c r="F179" s="39" t="s">
        <v>1694</v>
      </c>
      <c r="G179" s="13">
        <v>1474054</v>
      </c>
      <c r="H179" s="164" t="s">
        <v>72</v>
      </c>
      <c r="I179" s="13" t="s">
        <v>844</v>
      </c>
      <c r="J179" s="164" t="s">
        <v>72</v>
      </c>
      <c r="K179" s="13" t="s">
        <v>106</v>
      </c>
      <c r="L179" s="13" t="s">
        <v>1685</v>
      </c>
      <c r="M179" s="13" t="s">
        <v>8</v>
      </c>
      <c r="N179" s="13" t="s">
        <v>1686</v>
      </c>
      <c r="O179" s="14" t="s">
        <v>72</v>
      </c>
      <c r="P179" s="14" t="s">
        <v>706</v>
      </c>
      <c r="Q179" s="165"/>
      <c r="R179" s="164" t="s">
        <v>72</v>
      </c>
      <c r="S179" s="13" t="s">
        <v>117</v>
      </c>
      <c r="T179" s="13"/>
      <c r="U179" s="13"/>
      <c r="V179" s="13">
        <v>200</v>
      </c>
      <c r="W179" s="53">
        <v>210</v>
      </c>
      <c r="X179" s="13">
        <v>210</v>
      </c>
      <c r="Y179" s="13">
        <v>3.73</v>
      </c>
      <c r="Z179" s="13">
        <v>2</v>
      </c>
      <c r="AA179" s="13" t="s">
        <v>110</v>
      </c>
      <c r="AB179" s="58">
        <v>43977</v>
      </c>
      <c r="AC179" s="58">
        <v>43970</v>
      </c>
      <c r="AD179" s="58">
        <v>43977</v>
      </c>
      <c r="AE179" s="58">
        <v>43973</v>
      </c>
      <c r="AF179" s="58">
        <v>43973</v>
      </c>
      <c r="AG179" s="58" t="s">
        <v>75</v>
      </c>
      <c r="AH179" s="59">
        <v>1</v>
      </c>
      <c r="AI179" s="59">
        <v>1</v>
      </c>
      <c r="AJ179" s="59">
        <v>1</v>
      </c>
      <c r="AK179" s="58" t="s">
        <v>8</v>
      </c>
      <c r="AL179" s="181" t="s">
        <v>72</v>
      </c>
      <c r="AM179" s="181" t="s">
        <v>72</v>
      </c>
      <c r="AN179" s="181" t="s">
        <v>72</v>
      </c>
    </row>
    <row r="180" spans="2:40" ht="15">
      <c r="B180" s="184">
        <v>61</v>
      </c>
      <c r="C180" s="13">
        <v>20200519</v>
      </c>
      <c r="D180" s="13" t="s">
        <v>24</v>
      </c>
      <c r="E180" s="13" t="s">
        <v>2368</v>
      </c>
      <c r="F180" s="39" t="s">
        <v>1695</v>
      </c>
      <c r="G180" s="13">
        <v>1474054</v>
      </c>
      <c r="H180" s="164" t="s">
        <v>72</v>
      </c>
      <c r="I180" s="13" t="s">
        <v>839</v>
      </c>
      <c r="J180" s="164" t="s">
        <v>72</v>
      </c>
      <c r="K180" s="13" t="s">
        <v>106</v>
      </c>
      <c r="L180" s="13" t="s">
        <v>1685</v>
      </c>
      <c r="M180" s="13" t="s">
        <v>8</v>
      </c>
      <c r="N180" s="13" t="s">
        <v>1686</v>
      </c>
      <c r="O180" s="14" t="s">
        <v>72</v>
      </c>
      <c r="P180" s="14" t="s">
        <v>706</v>
      </c>
      <c r="Q180" s="165"/>
      <c r="R180" s="164" t="s">
        <v>72</v>
      </c>
      <c r="S180" s="13" t="s">
        <v>117</v>
      </c>
      <c r="T180" s="13"/>
      <c r="U180" s="13"/>
      <c r="V180" s="13">
        <v>134</v>
      </c>
      <c r="W180" s="53">
        <v>146</v>
      </c>
      <c r="X180" s="13">
        <v>146</v>
      </c>
      <c r="Y180" s="13">
        <v>2.59</v>
      </c>
      <c r="Z180" s="13">
        <v>2</v>
      </c>
      <c r="AA180" s="13" t="s">
        <v>110</v>
      </c>
      <c r="AB180" s="58">
        <v>43977</v>
      </c>
      <c r="AC180" s="58">
        <v>43970</v>
      </c>
      <c r="AD180" s="58">
        <v>43977</v>
      </c>
      <c r="AE180" s="58">
        <v>43976</v>
      </c>
      <c r="AF180" s="58">
        <v>43976</v>
      </c>
      <c r="AG180" s="58" t="s">
        <v>75</v>
      </c>
      <c r="AH180" s="59">
        <v>1</v>
      </c>
      <c r="AI180" s="59">
        <v>1</v>
      </c>
      <c r="AJ180" s="59">
        <v>1</v>
      </c>
      <c r="AK180" s="58" t="s">
        <v>8</v>
      </c>
      <c r="AL180" s="181" t="s">
        <v>72</v>
      </c>
      <c r="AM180" s="181" t="s">
        <v>72</v>
      </c>
      <c r="AN180" s="181" t="s">
        <v>72</v>
      </c>
    </row>
    <row r="181" spans="2:40" ht="15">
      <c r="B181" s="184">
        <v>62</v>
      </c>
      <c r="C181" s="13">
        <v>20200519</v>
      </c>
      <c r="D181" s="13" t="s">
        <v>24</v>
      </c>
      <c r="E181" s="13" t="s">
        <v>2368</v>
      </c>
      <c r="F181" s="39" t="s">
        <v>1696</v>
      </c>
      <c r="G181" s="13">
        <v>1474054</v>
      </c>
      <c r="H181" s="164" t="s">
        <v>72</v>
      </c>
      <c r="I181" s="13" t="s">
        <v>678</v>
      </c>
      <c r="J181" s="164" t="s">
        <v>72</v>
      </c>
      <c r="K181" s="13" t="s">
        <v>106</v>
      </c>
      <c r="L181" s="13" t="s">
        <v>1685</v>
      </c>
      <c r="M181" s="13" t="s">
        <v>8</v>
      </c>
      <c r="N181" s="13" t="s">
        <v>1686</v>
      </c>
      <c r="O181" s="14" t="s">
        <v>72</v>
      </c>
      <c r="P181" s="14" t="s">
        <v>706</v>
      </c>
      <c r="Q181" s="165"/>
      <c r="R181" s="164" t="s">
        <v>72</v>
      </c>
      <c r="S181" s="13" t="s">
        <v>161</v>
      </c>
      <c r="T181" s="13"/>
      <c r="U181" s="13"/>
      <c r="V181" s="13">
        <v>39</v>
      </c>
      <c r="W181" s="13">
        <v>39</v>
      </c>
      <c r="X181" s="13">
        <v>39</v>
      </c>
      <c r="Y181" s="13">
        <v>0.69</v>
      </c>
      <c r="Z181" s="13">
        <v>0.5</v>
      </c>
      <c r="AA181" s="13" t="s">
        <v>110</v>
      </c>
      <c r="AB181" s="58">
        <v>43977</v>
      </c>
      <c r="AC181" s="58">
        <v>43970</v>
      </c>
      <c r="AD181" s="58">
        <v>43977</v>
      </c>
      <c r="AE181" s="58">
        <v>43971</v>
      </c>
      <c r="AF181" s="58">
        <v>43971</v>
      </c>
      <c r="AG181" s="58" t="s">
        <v>79</v>
      </c>
      <c r="AH181" s="59">
        <v>0.64</v>
      </c>
      <c r="AI181" s="59">
        <v>1</v>
      </c>
      <c r="AJ181" s="59">
        <v>1</v>
      </c>
      <c r="AK181" s="58" t="s">
        <v>76</v>
      </c>
      <c r="AL181" s="13" t="s">
        <v>1697</v>
      </c>
      <c r="AM181" s="176"/>
      <c r="AN181" s="176"/>
    </row>
    <row r="182" spans="2:40" ht="15">
      <c r="B182" s="184">
        <v>63</v>
      </c>
      <c r="C182" s="13">
        <v>20200519</v>
      </c>
      <c r="D182" s="13" t="s">
        <v>24</v>
      </c>
      <c r="E182" s="13" t="s">
        <v>2368</v>
      </c>
      <c r="F182" s="39" t="s">
        <v>1698</v>
      </c>
      <c r="G182" s="13">
        <v>1474054</v>
      </c>
      <c r="H182" s="164" t="s">
        <v>72</v>
      </c>
      <c r="I182" s="13" t="s">
        <v>636</v>
      </c>
      <c r="J182" s="164" t="s">
        <v>72</v>
      </c>
      <c r="K182" s="13" t="s">
        <v>106</v>
      </c>
      <c r="L182" s="13" t="s">
        <v>1685</v>
      </c>
      <c r="M182" s="13" t="s">
        <v>8</v>
      </c>
      <c r="N182" s="13" t="s">
        <v>1686</v>
      </c>
      <c r="O182" s="14" t="s">
        <v>72</v>
      </c>
      <c r="P182" s="14" t="s">
        <v>706</v>
      </c>
      <c r="Q182" s="165"/>
      <c r="R182" s="164" t="s">
        <v>72</v>
      </c>
      <c r="S182" s="13" t="s">
        <v>109</v>
      </c>
      <c r="T182" s="13"/>
      <c r="U182" s="13"/>
      <c r="V182" s="13">
        <v>82</v>
      </c>
      <c r="W182" s="13">
        <v>82</v>
      </c>
      <c r="X182" s="13">
        <v>82</v>
      </c>
      <c r="Y182" s="13">
        <v>1.45</v>
      </c>
      <c r="Z182" s="13">
        <v>1</v>
      </c>
      <c r="AA182" s="13" t="s">
        <v>110</v>
      </c>
      <c r="AB182" s="58">
        <v>43977</v>
      </c>
      <c r="AC182" s="58">
        <v>43970</v>
      </c>
      <c r="AD182" s="58">
        <v>43977</v>
      </c>
      <c r="AE182" s="58">
        <v>43971</v>
      </c>
      <c r="AF182" s="58">
        <v>43971</v>
      </c>
      <c r="AG182" s="58" t="s">
        <v>75</v>
      </c>
      <c r="AH182" s="59">
        <v>1</v>
      </c>
      <c r="AI182" s="59">
        <v>1</v>
      </c>
      <c r="AJ182" s="59">
        <v>1</v>
      </c>
      <c r="AK182" s="58" t="s">
        <v>8</v>
      </c>
      <c r="AL182" s="176" t="s">
        <v>72</v>
      </c>
      <c r="AM182" s="176" t="s">
        <v>72</v>
      </c>
      <c r="AN182" s="176" t="s">
        <v>72</v>
      </c>
    </row>
    <row r="183" spans="2:40" ht="15">
      <c r="B183" s="184">
        <v>64</v>
      </c>
      <c r="C183" s="13">
        <v>20200519</v>
      </c>
      <c r="D183" s="13" t="s">
        <v>311</v>
      </c>
      <c r="E183" s="13" t="s">
        <v>837</v>
      </c>
      <c r="F183" s="39" t="s">
        <v>72</v>
      </c>
      <c r="G183" s="13">
        <v>1474071</v>
      </c>
      <c r="H183" s="164" t="s">
        <v>72</v>
      </c>
      <c r="I183" s="13" t="s">
        <v>1699</v>
      </c>
      <c r="J183" s="164" t="s">
        <v>72</v>
      </c>
      <c r="K183" s="13" t="s">
        <v>73</v>
      </c>
      <c r="L183" s="13" t="s">
        <v>8</v>
      </c>
      <c r="M183" s="13" t="s">
        <v>840</v>
      </c>
      <c r="N183" s="13" t="s">
        <v>1700</v>
      </c>
      <c r="O183" s="13">
        <v>1.2</v>
      </c>
      <c r="P183" s="14" t="s">
        <v>1701</v>
      </c>
      <c r="Q183" s="165"/>
      <c r="R183" s="164" t="s">
        <v>72</v>
      </c>
      <c r="S183" s="13" t="s">
        <v>117</v>
      </c>
      <c r="T183" s="13"/>
      <c r="U183" s="13"/>
      <c r="V183" s="13">
        <v>20</v>
      </c>
      <c r="W183" s="13">
        <v>20</v>
      </c>
      <c r="X183" s="13">
        <v>20</v>
      </c>
      <c r="Y183" s="13">
        <v>1.23</v>
      </c>
      <c r="Z183" s="13">
        <v>1</v>
      </c>
      <c r="AA183" s="13" t="s">
        <v>110</v>
      </c>
      <c r="AB183" s="58">
        <v>43977</v>
      </c>
      <c r="AC183" s="58">
        <v>43970</v>
      </c>
      <c r="AD183" s="58">
        <v>43977</v>
      </c>
      <c r="AE183" s="58">
        <v>43976</v>
      </c>
      <c r="AF183" s="58">
        <v>43976</v>
      </c>
      <c r="AG183" s="58" t="s">
        <v>79</v>
      </c>
      <c r="AH183" s="59">
        <v>1</v>
      </c>
      <c r="AI183" s="59">
        <v>1</v>
      </c>
      <c r="AJ183" s="59">
        <v>0.875</v>
      </c>
      <c r="AK183" s="58" t="s">
        <v>76</v>
      </c>
      <c r="AL183" s="181" t="s">
        <v>1702</v>
      </c>
      <c r="AM183" s="181" t="s">
        <v>72</v>
      </c>
      <c r="AN183" s="181" t="s">
        <v>1703</v>
      </c>
    </row>
    <row r="184" spans="2:40" ht="15">
      <c r="B184" s="184">
        <v>65</v>
      </c>
      <c r="C184" s="13">
        <v>20200519</v>
      </c>
      <c r="D184" s="13" t="s">
        <v>311</v>
      </c>
      <c r="E184" s="13" t="s">
        <v>837</v>
      </c>
      <c r="F184" s="39" t="s">
        <v>72</v>
      </c>
      <c r="G184" s="13">
        <v>1475589</v>
      </c>
      <c r="H184" s="164"/>
      <c r="I184" s="13" t="s">
        <v>1704</v>
      </c>
      <c r="J184" s="164"/>
      <c r="K184" s="13" t="s">
        <v>73</v>
      </c>
      <c r="L184" s="13" t="s">
        <v>8</v>
      </c>
      <c r="M184" s="13" t="s">
        <v>840</v>
      </c>
      <c r="N184" s="13" t="s">
        <v>1705</v>
      </c>
      <c r="O184" s="14">
        <v>1.1000000000000001</v>
      </c>
      <c r="P184" s="14" t="s">
        <v>1706</v>
      </c>
      <c r="Q184" s="165"/>
      <c r="R184" s="164" t="s">
        <v>72</v>
      </c>
      <c r="S184" s="13" t="s">
        <v>117</v>
      </c>
      <c r="T184" s="13"/>
      <c r="U184" s="13"/>
      <c r="V184" s="13">
        <v>16</v>
      </c>
      <c r="W184" s="13">
        <v>16</v>
      </c>
      <c r="X184" s="13">
        <v>16</v>
      </c>
      <c r="Y184" s="13">
        <v>0.98</v>
      </c>
      <c r="Z184" s="13">
        <v>1</v>
      </c>
      <c r="AA184" s="13" t="s">
        <v>110</v>
      </c>
      <c r="AB184" s="58">
        <v>43977</v>
      </c>
      <c r="AC184" s="58">
        <v>43970</v>
      </c>
      <c r="AD184" s="58">
        <v>43977</v>
      </c>
      <c r="AE184" s="58">
        <v>43973</v>
      </c>
      <c r="AF184" s="58">
        <v>43973</v>
      </c>
      <c r="AG184" s="58" t="s">
        <v>75</v>
      </c>
      <c r="AH184" s="59">
        <v>1</v>
      </c>
      <c r="AI184" s="59">
        <v>1</v>
      </c>
      <c r="AJ184" s="59">
        <v>1</v>
      </c>
      <c r="AK184" s="58" t="s">
        <v>8</v>
      </c>
      <c r="AL184" s="181" t="s">
        <v>72</v>
      </c>
      <c r="AM184" s="181" t="s">
        <v>72</v>
      </c>
      <c r="AN184" s="181" t="s">
        <v>72</v>
      </c>
    </row>
    <row r="185" spans="2:40" ht="15">
      <c r="B185" s="184">
        <v>66</v>
      </c>
      <c r="C185" s="13">
        <v>20200519</v>
      </c>
      <c r="D185" s="13" t="s">
        <v>311</v>
      </c>
      <c r="E185" s="13" t="s">
        <v>837</v>
      </c>
      <c r="F185" s="39" t="s">
        <v>72</v>
      </c>
      <c r="G185" s="13">
        <v>1475589</v>
      </c>
      <c r="H185" s="164" t="s">
        <v>72</v>
      </c>
      <c r="I185" s="13" t="s">
        <v>1707</v>
      </c>
      <c r="J185" s="164" t="s">
        <v>72</v>
      </c>
      <c r="K185" s="13" t="s">
        <v>73</v>
      </c>
      <c r="L185" s="13" t="s">
        <v>8</v>
      </c>
      <c r="M185" s="13" t="s">
        <v>840</v>
      </c>
      <c r="N185" s="13" t="s">
        <v>1708</v>
      </c>
      <c r="O185" s="14" t="s">
        <v>1709</v>
      </c>
      <c r="P185" s="14" t="s">
        <v>1706</v>
      </c>
      <c r="Q185" s="165"/>
      <c r="R185" s="164" t="s">
        <v>72</v>
      </c>
      <c r="S185" s="13" t="s">
        <v>161</v>
      </c>
      <c r="T185" s="13"/>
      <c r="U185" s="13"/>
      <c r="V185" s="13">
        <v>10</v>
      </c>
      <c r="W185" s="13">
        <v>10</v>
      </c>
      <c r="X185" s="13">
        <v>10</v>
      </c>
      <c r="Y185" s="13">
        <v>0.61</v>
      </c>
      <c r="Z185" s="13">
        <v>0.5</v>
      </c>
      <c r="AA185" s="13" t="s">
        <v>110</v>
      </c>
      <c r="AB185" s="58">
        <v>43977</v>
      </c>
      <c r="AC185" s="58">
        <v>43970</v>
      </c>
      <c r="AD185" s="58">
        <v>43977</v>
      </c>
      <c r="AE185" s="58">
        <v>43971</v>
      </c>
      <c r="AF185" s="58">
        <v>43971</v>
      </c>
      <c r="AG185" s="58" t="s">
        <v>79</v>
      </c>
      <c r="AH185" s="59">
        <v>0.83</v>
      </c>
      <c r="AI185" s="59">
        <v>0.83</v>
      </c>
      <c r="AJ185" s="59">
        <v>0.71</v>
      </c>
      <c r="AK185" s="58" t="s">
        <v>8</v>
      </c>
      <c r="AL185" s="13" t="s">
        <v>1710</v>
      </c>
      <c r="AM185" s="176"/>
      <c r="AN185" s="176"/>
    </row>
    <row r="186" spans="2:40" ht="15">
      <c r="B186" s="184">
        <v>67</v>
      </c>
      <c r="C186" s="13">
        <v>20200519</v>
      </c>
      <c r="D186" s="13" t="s">
        <v>311</v>
      </c>
      <c r="E186" s="13" t="s">
        <v>837</v>
      </c>
      <c r="F186" s="39" t="s">
        <v>72</v>
      </c>
      <c r="G186" s="13">
        <v>1475589</v>
      </c>
      <c r="H186" s="164" t="s">
        <v>72</v>
      </c>
      <c r="I186" s="13" t="s">
        <v>1711</v>
      </c>
      <c r="J186" s="164" t="s">
        <v>72</v>
      </c>
      <c r="K186" s="13" t="s">
        <v>73</v>
      </c>
      <c r="L186" s="13" t="s">
        <v>8</v>
      </c>
      <c r="M186" s="13" t="s">
        <v>840</v>
      </c>
      <c r="N186" s="13" t="s">
        <v>1712</v>
      </c>
      <c r="O186" s="13">
        <v>1</v>
      </c>
      <c r="P186" s="14" t="s">
        <v>1706</v>
      </c>
      <c r="Q186" s="165"/>
      <c r="R186" s="164" t="s">
        <v>72</v>
      </c>
      <c r="S186" s="13" t="s">
        <v>109</v>
      </c>
      <c r="T186" s="13"/>
      <c r="U186" s="13"/>
      <c r="V186" s="13">
        <v>11</v>
      </c>
      <c r="W186" s="13">
        <v>11</v>
      </c>
      <c r="X186" s="13">
        <v>11</v>
      </c>
      <c r="Y186" s="13">
        <v>0.67</v>
      </c>
      <c r="Z186" s="13">
        <v>0.5</v>
      </c>
      <c r="AA186" s="13" t="s">
        <v>110</v>
      </c>
      <c r="AB186" s="58">
        <v>43977</v>
      </c>
      <c r="AC186" s="58">
        <v>43970</v>
      </c>
      <c r="AD186" s="58">
        <v>43977</v>
      </c>
      <c r="AE186" s="58">
        <v>43971</v>
      </c>
      <c r="AF186" s="58">
        <v>43971</v>
      </c>
      <c r="AG186" s="58" t="s">
        <v>79</v>
      </c>
      <c r="AH186" s="59">
        <v>1</v>
      </c>
      <c r="AI186" s="59">
        <v>0.85699999999999998</v>
      </c>
      <c r="AJ186" s="59" t="s">
        <v>111</v>
      </c>
      <c r="AK186" s="58" t="s">
        <v>8</v>
      </c>
      <c r="AL186" s="181" t="s">
        <v>1713</v>
      </c>
      <c r="AM186" s="176" t="s">
        <v>72</v>
      </c>
      <c r="AN186" s="176" t="s">
        <v>72</v>
      </c>
    </row>
    <row r="187" spans="2:40" ht="15">
      <c r="B187" s="166">
        <v>68</v>
      </c>
      <c r="C187" s="13">
        <v>20200520</v>
      </c>
      <c r="D187" s="13" t="s">
        <v>24</v>
      </c>
      <c r="E187" s="13" t="s">
        <v>2369</v>
      </c>
      <c r="F187" s="39" t="s">
        <v>1715</v>
      </c>
      <c r="G187" s="14">
        <v>1329906</v>
      </c>
      <c r="H187" s="164" t="s">
        <v>72</v>
      </c>
      <c r="I187" s="13" t="s">
        <v>1716</v>
      </c>
      <c r="J187" s="164" t="s">
        <v>72</v>
      </c>
      <c r="K187" s="13" t="s">
        <v>106</v>
      </c>
      <c r="L187" s="13" t="s">
        <v>8</v>
      </c>
      <c r="M187" s="13" t="s">
        <v>1717</v>
      </c>
      <c r="N187" s="13" t="s">
        <v>618</v>
      </c>
      <c r="O187" s="14" t="s">
        <v>72</v>
      </c>
      <c r="P187" s="14" t="s">
        <v>1718</v>
      </c>
      <c r="Q187" s="165"/>
      <c r="R187" s="164" t="s">
        <v>72</v>
      </c>
      <c r="S187" s="13" t="s">
        <v>77</v>
      </c>
      <c r="T187" s="13"/>
      <c r="U187" s="13"/>
      <c r="V187" s="13">
        <v>120</v>
      </c>
      <c r="W187" s="13">
        <v>120</v>
      </c>
      <c r="X187" s="13">
        <v>120</v>
      </c>
      <c r="Y187" s="13">
        <v>2.13</v>
      </c>
      <c r="Z187" s="13">
        <v>2</v>
      </c>
      <c r="AA187" s="56" t="s">
        <v>110</v>
      </c>
      <c r="AB187" s="58">
        <v>43985</v>
      </c>
      <c r="AC187" s="58">
        <v>43971</v>
      </c>
      <c r="AD187" s="58">
        <v>43985</v>
      </c>
      <c r="AE187" s="58">
        <v>43971</v>
      </c>
      <c r="AF187" s="58">
        <v>43971</v>
      </c>
      <c r="AG187" s="58" t="s">
        <v>75</v>
      </c>
      <c r="AH187" s="59">
        <v>1</v>
      </c>
      <c r="AI187" s="59">
        <v>1</v>
      </c>
      <c r="AJ187" s="59">
        <v>1</v>
      </c>
      <c r="AK187" s="58" t="s">
        <v>8</v>
      </c>
      <c r="AL187" s="176" t="s">
        <v>72</v>
      </c>
      <c r="AM187" s="176" t="s">
        <v>72</v>
      </c>
      <c r="AN187" s="53" t="s">
        <v>1719</v>
      </c>
    </row>
    <row r="188" spans="2:40" ht="15">
      <c r="B188" s="166">
        <v>69</v>
      </c>
      <c r="C188" s="13">
        <v>20200520</v>
      </c>
      <c r="D188" s="13" t="s">
        <v>24</v>
      </c>
      <c r="E188" s="13" t="s">
        <v>2369</v>
      </c>
      <c r="F188" s="39" t="s">
        <v>1720</v>
      </c>
      <c r="G188" s="14">
        <v>1329906</v>
      </c>
      <c r="H188" s="164" t="s">
        <v>72</v>
      </c>
      <c r="I188" s="13" t="s">
        <v>1674</v>
      </c>
      <c r="J188" s="164" t="s">
        <v>72</v>
      </c>
      <c r="K188" s="13" t="s">
        <v>106</v>
      </c>
      <c r="L188" s="13" t="s">
        <v>8</v>
      </c>
      <c r="M188" s="13" t="s">
        <v>1717</v>
      </c>
      <c r="N188" s="13" t="s">
        <v>618</v>
      </c>
      <c r="O188" s="14" t="s">
        <v>72</v>
      </c>
      <c r="P188" s="14" t="s">
        <v>1718</v>
      </c>
      <c r="Q188" s="165"/>
      <c r="R188" s="164" t="s">
        <v>72</v>
      </c>
      <c r="S188" s="13" t="s">
        <v>113</v>
      </c>
      <c r="T188" s="13"/>
      <c r="U188" s="13"/>
      <c r="V188" s="13">
        <v>800</v>
      </c>
      <c r="W188" s="13">
        <v>800</v>
      </c>
      <c r="X188" s="13">
        <v>800</v>
      </c>
      <c r="Y188" s="13">
        <v>14.22</v>
      </c>
      <c r="Z188" s="13">
        <v>14.22</v>
      </c>
      <c r="AA188" s="56" t="s">
        <v>110</v>
      </c>
      <c r="AB188" s="58">
        <v>43985</v>
      </c>
      <c r="AC188" s="58">
        <v>43971</v>
      </c>
      <c r="AD188" s="58">
        <v>43985</v>
      </c>
      <c r="AE188" s="175">
        <v>43978</v>
      </c>
      <c r="AF188" s="175">
        <v>43978</v>
      </c>
      <c r="AG188" s="175" t="s">
        <v>75</v>
      </c>
      <c r="AH188" s="177">
        <v>1</v>
      </c>
      <c r="AI188" s="177">
        <v>1</v>
      </c>
      <c r="AJ188" s="177">
        <v>1</v>
      </c>
      <c r="AK188" s="175" t="s">
        <v>8</v>
      </c>
      <c r="AL188" s="13"/>
      <c r="AM188" s="13"/>
      <c r="AN188" s="53" t="s">
        <v>1719</v>
      </c>
    </row>
    <row r="189" spans="2:40" ht="15">
      <c r="B189" s="166">
        <v>70</v>
      </c>
      <c r="C189" s="13">
        <v>20200520</v>
      </c>
      <c r="D189" s="13" t="s">
        <v>24</v>
      </c>
      <c r="E189" s="13" t="s">
        <v>2369</v>
      </c>
      <c r="F189" s="39" t="s">
        <v>1721</v>
      </c>
      <c r="G189" s="14">
        <v>1329906</v>
      </c>
      <c r="H189" s="164" t="s">
        <v>72</v>
      </c>
      <c r="I189" s="13" t="s">
        <v>1722</v>
      </c>
      <c r="J189" s="164" t="s">
        <v>72</v>
      </c>
      <c r="K189" s="13" t="s">
        <v>106</v>
      </c>
      <c r="L189" s="13" t="s">
        <v>8</v>
      </c>
      <c r="M189" s="13" t="s">
        <v>1717</v>
      </c>
      <c r="N189" s="13" t="s">
        <v>618</v>
      </c>
      <c r="O189" s="14" t="s">
        <v>72</v>
      </c>
      <c r="P189" s="14" t="s">
        <v>1718</v>
      </c>
      <c r="Q189" s="165"/>
      <c r="R189" s="164" t="s">
        <v>72</v>
      </c>
      <c r="S189" s="13" t="s">
        <v>77</v>
      </c>
      <c r="T189" s="13"/>
      <c r="U189" s="13"/>
      <c r="V189" s="13">
        <v>236</v>
      </c>
      <c r="W189" s="13">
        <v>236</v>
      </c>
      <c r="X189" s="13">
        <v>236</v>
      </c>
      <c r="Y189" s="13">
        <v>4.1900000000000004</v>
      </c>
      <c r="Z189" s="13">
        <v>2</v>
      </c>
      <c r="AA189" s="56" t="s">
        <v>110</v>
      </c>
      <c r="AB189" s="58">
        <v>43985</v>
      </c>
      <c r="AC189" s="58">
        <v>43971</v>
      </c>
      <c r="AD189" s="58">
        <v>43985</v>
      </c>
      <c r="AE189" s="58">
        <v>43971</v>
      </c>
      <c r="AF189" s="58">
        <v>43971</v>
      </c>
      <c r="AG189" s="58" t="s">
        <v>75</v>
      </c>
      <c r="AH189" s="59">
        <v>1</v>
      </c>
      <c r="AI189" s="59">
        <v>1</v>
      </c>
      <c r="AJ189" s="59">
        <v>1</v>
      </c>
      <c r="AK189" s="58" t="s">
        <v>8</v>
      </c>
      <c r="AL189" s="176" t="s">
        <v>72</v>
      </c>
      <c r="AM189" s="176" t="s">
        <v>72</v>
      </c>
      <c r="AN189" s="53" t="s">
        <v>1719</v>
      </c>
    </row>
    <row r="190" spans="2:40" ht="15">
      <c r="B190" s="166">
        <v>71</v>
      </c>
      <c r="C190" s="13">
        <v>20200520</v>
      </c>
      <c r="D190" s="13" t="s">
        <v>24</v>
      </c>
      <c r="E190" s="13" t="s">
        <v>2369</v>
      </c>
      <c r="F190" s="39" t="s">
        <v>1723</v>
      </c>
      <c r="G190" s="14">
        <v>1329906</v>
      </c>
      <c r="H190" s="164" t="s">
        <v>72</v>
      </c>
      <c r="I190" s="13" t="s">
        <v>1724</v>
      </c>
      <c r="J190" s="164" t="s">
        <v>72</v>
      </c>
      <c r="K190" s="13" t="s">
        <v>106</v>
      </c>
      <c r="L190" s="13" t="s">
        <v>8</v>
      </c>
      <c r="M190" s="13" t="s">
        <v>1717</v>
      </c>
      <c r="N190" s="13" t="s">
        <v>618</v>
      </c>
      <c r="O190" s="14" t="s">
        <v>72</v>
      </c>
      <c r="P190" s="14" t="s">
        <v>1718</v>
      </c>
      <c r="Q190" s="165"/>
      <c r="R190" s="164" t="s">
        <v>72</v>
      </c>
      <c r="S190" s="13" t="s">
        <v>77</v>
      </c>
      <c r="T190" s="13"/>
      <c r="U190" s="13"/>
      <c r="V190" s="13">
        <v>236</v>
      </c>
      <c r="W190" s="13">
        <v>236</v>
      </c>
      <c r="X190" s="13">
        <v>236</v>
      </c>
      <c r="Y190" s="13">
        <v>4.1900000000000004</v>
      </c>
      <c r="Z190" s="13">
        <v>2</v>
      </c>
      <c r="AA190" s="56" t="s">
        <v>110</v>
      </c>
      <c r="AB190" s="58">
        <v>43985</v>
      </c>
      <c r="AC190" s="58">
        <v>43971</v>
      </c>
      <c r="AD190" s="58">
        <v>43985</v>
      </c>
      <c r="AE190" s="58">
        <v>43971</v>
      </c>
      <c r="AF190" s="58">
        <v>43971</v>
      </c>
      <c r="AG190" s="58" t="s">
        <v>75</v>
      </c>
      <c r="AH190" s="59">
        <v>1</v>
      </c>
      <c r="AI190" s="59">
        <v>1</v>
      </c>
      <c r="AJ190" s="59">
        <v>1</v>
      </c>
      <c r="AK190" s="58" t="s">
        <v>8</v>
      </c>
      <c r="AL190" s="176" t="s">
        <v>72</v>
      </c>
      <c r="AM190" s="176" t="s">
        <v>72</v>
      </c>
      <c r="AN190" s="53" t="s">
        <v>1719</v>
      </c>
    </row>
    <row r="191" spans="2:40" ht="15">
      <c r="B191" s="166">
        <v>72</v>
      </c>
      <c r="C191" s="13">
        <v>20200520</v>
      </c>
      <c r="D191" s="13" t="s">
        <v>24</v>
      </c>
      <c r="E191" s="13" t="s">
        <v>2369</v>
      </c>
      <c r="F191" s="39" t="s">
        <v>1725</v>
      </c>
      <c r="G191" s="14">
        <v>1329906</v>
      </c>
      <c r="H191" s="164" t="s">
        <v>72</v>
      </c>
      <c r="I191" s="13" t="s">
        <v>1726</v>
      </c>
      <c r="J191" s="164" t="s">
        <v>72</v>
      </c>
      <c r="K191" s="13" t="s">
        <v>106</v>
      </c>
      <c r="L191" s="13" t="s">
        <v>8</v>
      </c>
      <c r="M191" s="13" t="s">
        <v>1717</v>
      </c>
      <c r="N191" s="13" t="s">
        <v>618</v>
      </c>
      <c r="O191" s="14" t="s">
        <v>72</v>
      </c>
      <c r="P191" s="14" t="s">
        <v>1718</v>
      </c>
      <c r="Q191" s="165"/>
      <c r="R191" s="164" t="s">
        <v>72</v>
      </c>
      <c r="S191" s="13" t="s">
        <v>113</v>
      </c>
      <c r="T191" s="13"/>
      <c r="U191" s="13"/>
      <c r="V191" s="13">
        <v>288</v>
      </c>
      <c r="W191" s="13">
        <v>288</v>
      </c>
      <c r="X191" s="13">
        <v>288</v>
      </c>
      <c r="Y191" s="13">
        <v>5.12</v>
      </c>
      <c r="Z191" s="13">
        <v>5.12</v>
      </c>
      <c r="AA191" s="56" t="s">
        <v>110</v>
      </c>
      <c r="AB191" s="58">
        <v>43985</v>
      </c>
      <c r="AC191" s="58">
        <v>43971</v>
      </c>
      <c r="AD191" s="58">
        <v>43985</v>
      </c>
      <c r="AE191" s="175">
        <v>43978</v>
      </c>
      <c r="AF191" s="175">
        <v>43978</v>
      </c>
      <c r="AG191" s="175" t="s">
        <v>75</v>
      </c>
      <c r="AH191" s="177">
        <v>1</v>
      </c>
      <c r="AI191" s="177">
        <v>1</v>
      </c>
      <c r="AJ191" s="177">
        <v>1</v>
      </c>
      <c r="AK191" s="175" t="s">
        <v>8</v>
      </c>
      <c r="AL191" s="13"/>
      <c r="AM191" s="13"/>
      <c r="AN191" s="53" t="s">
        <v>1719</v>
      </c>
    </row>
    <row r="192" spans="2:40" ht="15">
      <c r="B192" s="166">
        <v>73</v>
      </c>
      <c r="C192" s="13">
        <v>20200520</v>
      </c>
      <c r="D192" s="13" t="s">
        <v>24</v>
      </c>
      <c r="E192" s="13" t="s">
        <v>2369</v>
      </c>
      <c r="F192" s="39" t="s">
        <v>1727</v>
      </c>
      <c r="G192" s="14">
        <v>1329906</v>
      </c>
      <c r="H192" s="164" t="s">
        <v>72</v>
      </c>
      <c r="I192" s="13" t="s">
        <v>1728</v>
      </c>
      <c r="J192" s="164" t="s">
        <v>72</v>
      </c>
      <c r="K192" s="13" t="s">
        <v>106</v>
      </c>
      <c r="L192" s="13" t="s">
        <v>8</v>
      </c>
      <c r="M192" s="13" t="s">
        <v>1717</v>
      </c>
      <c r="N192" s="13" t="s">
        <v>618</v>
      </c>
      <c r="O192" s="14" t="s">
        <v>72</v>
      </c>
      <c r="P192" s="14" t="s">
        <v>1718</v>
      </c>
      <c r="Q192" s="165"/>
      <c r="R192" s="164" t="s">
        <v>72</v>
      </c>
      <c r="S192" s="13" t="s">
        <v>109</v>
      </c>
      <c r="T192" s="13"/>
      <c r="U192" s="13"/>
      <c r="V192" s="13">
        <v>124</v>
      </c>
      <c r="W192" s="13">
        <v>124</v>
      </c>
      <c r="X192" s="13">
        <v>124</v>
      </c>
      <c r="Y192" s="13">
        <v>2.2000000000000002</v>
      </c>
      <c r="Z192" s="13">
        <v>0.5</v>
      </c>
      <c r="AA192" s="56" t="s">
        <v>110</v>
      </c>
      <c r="AB192" s="58">
        <v>43985</v>
      </c>
      <c r="AC192" s="58">
        <v>43971</v>
      </c>
      <c r="AD192" s="58">
        <v>43985</v>
      </c>
      <c r="AE192" s="58">
        <v>43971</v>
      </c>
      <c r="AF192" s="58">
        <v>43971</v>
      </c>
      <c r="AG192" s="58" t="s">
        <v>79</v>
      </c>
      <c r="AH192" s="59">
        <v>1</v>
      </c>
      <c r="AI192" s="59">
        <v>1</v>
      </c>
      <c r="AJ192" s="59">
        <v>0.5</v>
      </c>
      <c r="AK192" s="58" t="s">
        <v>8</v>
      </c>
      <c r="AL192" s="14" t="s">
        <v>1729</v>
      </c>
      <c r="AM192" s="176" t="s">
        <v>72</v>
      </c>
      <c r="AN192" s="53" t="s">
        <v>1719</v>
      </c>
    </row>
    <row r="193" spans="2:40" ht="15">
      <c r="B193" s="166">
        <v>74</v>
      </c>
      <c r="C193" s="13">
        <v>20200520</v>
      </c>
      <c r="D193" s="13" t="s">
        <v>24</v>
      </c>
      <c r="E193" s="13" t="s">
        <v>2369</v>
      </c>
      <c r="F193" s="39" t="s">
        <v>1730</v>
      </c>
      <c r="G193" s="14">
        <v>1329906</v>
      </c>
      <c r="H193" s="164" t="s">
        <v>72</v>
      </c>
      <c r="I193" s="13" t="s">
        <v>1117</v>
      </c>
      <c r="J193" s="164" t="s">
        <v>72</v>
      </c>
      <c r="K193" s="13" t="s">
        <v>106</v>
      </c>
      <c r="L193" s="13" t="s">
        <v>8</v>
      </c>
      <c r="M193" s="13" t="s">
        <v>1717</v>
      </c>
      <c r="N193" s="13" t="s">
        <v>618</v>
      </c>
      <c r="O193" s="14" t="s">
        <v>72</v>
      </c>
      <c r="P193" s="14" t="s">
        <v>1718</v>
      </c>
      <c r="Q193" s="165"/>
      <c r="R193" s="164" t="s">
        <v>72</v>
      </c>
      <c r="S193" s="13" t="s">
        <v>161</v>
      </c>
      <c r="T193" s="13"/>
      <c r="U193" s="13"/>
      <c r="V193" s="13">
        <v>724</v>
      </c>
      <c r="W193" s="13">
        <v>724</v>
      </c>
      <c r="X193" s="13">
        <v>724</v>
      </c>
      <c r="Y193" s="13">
        <v>12.87</v>
      </c>
      <c r="Z193" s="13">
        <v>8</v>
      </c>
      <c r="AA193" s="56" t="s">
        <v>110</v>
      </c>
      <c r="AB193" s="58">
        <v>43985</v>
      </c>
      <c r="AC193" s="58">
        <v>43971</v>
      </c>
      <c r="AD193" s="58">
        <v>43985</v>
      </c>
      <c r="AE193" s="58">
        <v>43973</v>
      </c>
      <c r="AF193" s="58">
        <v>43973</v>
      </c>
      <c r="AG193" s="58" t="s">
        <v>75</v>
      </c>
      <c r="AH193" s="59">
        <v>1</v>
      </c>
      <c r="AI193" s="59">
        <v>1</v>
      </c>
      <c r="AJ193" s="59">
        <v>1</v>
      </c>
      <c r="AK193" s="58" t="s">
        <v>8</v>
      </c>
      <c r="AL193" s="13"/>
      <c r="AM193" s="13"/>
      <c r="AN193" s="53" t="s">
        <v>1719</v>
      </c>
    </row>
    <row r="194" spans="2:40" ht="15">
      <c r="B194" s="185">
        <v>75</v>
      </c>
      <c r="C194" s="176">
        <v>20200520</v>
      </c>
      <c r="D194" s="176" t="s">
        <v>24</v>
      </c>
      <c r="E194" s="176" t="s">
        <v>2369</v>
      </c>
      <c r="F194" s="39" t="s">
        <v>1731</v>
      </c>
      <c r="G194" s="181">
        <v>1329906</v>
      </c>
      <c r="H194" s="182" t="s">
        <v>72</v>
      </c>
      <c r="I194" s="176" t="s">
        <v>750</v>
      </c>
      <c r="J194" s="182" t="s">
        <v>72</v>
      </c>
      <c r="K194" s="176" t="s">
        <v>106</v>
      </c>
      <c r="L194" s="176" t="s">
        <v>8</v>
      </c>
      <c r="M194" s="176" t="s">
        <v>1717</v>
      </c>
      <c r="N194" s="176" t="s">
        <v>618</v>
      </c>
      <c r="O194" s="181" t="s">
        <v>72</v>
      </c>
      <c r="P194" s="181" t="s">
        <v>1718</v>
      </c>
      <c r="Q194" s="186"/>
      <c r="R194" s="182" t="s">
        <v>72</v>
      </c>
      <c r="S194" s="176" t="s">
        <v>113</v>
      </c>
      <c r="T194" s="187"/>
      <c r="U194" s="187"/>
      <c r="V194" s="176">
        <v>796</v>
      </c>
      <c r="W194" s="176">
        <v>796</v>
      </c>
      <c r="X194" s="176">
        <v>796</v>
      </c>
      <c r="Y194" s="176">
        <v>14.15</v>
      </c>
      <c r="Z194" s="176">
        <v>14.15</v>
      </c>
      <c r="AA194" s="56" t="s">
        <v>110</v>
      </c>
      <c r="AB194" s="58">
        <v>43985</v>
      </c>
      <c r="AC194" s="175">
        <v>43971</v>
      </c>
      <c r="AD194" s="175">
        <v>43985</v>
      </c>
      <c r="AE194" s="175">
        <v>43978</v>
      </c>
      <c r="AF194" s="175">
        <v>43978</v>
      </c>
      <c r="AG194" s="188" t="s">
        <v>75</v>
      </c>
      <c r="AH194" s="177">
        <v>1</v>
      </c>
      <c r="AI194" s="177">
        <v>1</v>
      </c>
      <c r="AJ194" s="177">
        <v>1</v>
      </c>
      <c r="AK194" s="177" t="s">
        <v>8</v>
      </c>
      <c r="AL194" s="187"/>
      <c r="AM194" s="187"/>
      <c r="AN194" s="189" t="s">
        <v>1719</v>
      </c>
    </row>
    <row r="195" spans="2:40" ht="15">
      <c r="B195" s="166">
        <v>76</v>
      </c>
      <c r="C195" s="13">
        <v>20200520</v>
      </c>
      <c r="D195" s="13" t="s">
        <v>24</v>
      </c>
      <c r="E195" s="13" t="s">
        <v>2369</v>
      </c>
      <c r="F195" s="39" t="s">
        <v>1732</v>
      </c>
      <c r="G195" s="14">
        <v>1329906</v>
      </c>
      <c r="H195" s="164" t="s">
        <v>72</v>
      </c>
      <c r="I195" s="13" t="s">
        <v>1680</v>
      </c>
      <c r="J195" s="164" t="s">
        <v>72</v>
      </c>
      <c r="K195" s="13" t="s">
        <v>106</v>
      </c>
      <c r="L195" s="13" t="s">
        <v>8</v>
      </c>
      <c r="M195" s="13" t="s">
        <v>1717</v>
      </c>
      <c r="N195" s="13" t="s">
        <v>618</v>
      </c>
      <c r="O195" s="14" t="s">
        <v>72</v>
      </c>
      <c r="P195" s="14" t="s">
        <v>1718</v>
      </c>
      <c r="Q195" s="165"/>
      <c r="R195" s="164" t="s">
        <v>72</v>
      </c>
      <c r="S195" s="13" t="s">
        <v>161</v>
      </c>
      <c r="T195" s="13"/>
      <c r="U195" s="13"/>
      <c r="V195" s="13">
        <v>476</v>
      </c>
      <c r="W195" s="13">
        <v>476</v>
      </c>
      <c r="X195" s="13">
        <v>476</v>
      </c>
      <c r="Y195" s="13">
        <v>8.4600000000000009</v>
      </c>
      <c r="Z195" s="13">
        <v>8</v>
      </c>
      <c r="AA195" s="56" t="s">
        <v>110</v>
      </c>
      <c r="AB195" s="58">
        <v>43985</v>
      </c>
      <c r="AC195" s="58">
        <v>43971</v>
      </c>
      <c r="AD195" s="58">
        <v>43985</v>
      </c>
      <c r="AE195" s="58">
        <v>43976</v>
      </c>
      <c r="AF195" s="58">
        <v>43976</v>
      </c>
      <c r="AG195" s="58" t="s">
        <v>75</v>
      </c>
      <c r="AH195" s="59">
        <v>1</v>
      </c>
      <c r="AI195" s="59">
        <v>1</v>
      </c>
      <c r="AJ195" s="59">
        <v>1</v>
      </c>
      <c r="AK195" s="58" t="s">
        <v>8</v>
      </c>
      <c r="AL195" s="13"/>
      <c r="AM195" s="13"/>
      <c r="AN195" s="53" t="s">
        <v>1719</v>
      </c>
    </row>
    <row r="196" spans="2:40" ht="15">
      <c r="B196" s="166">
        <v>77</v>
      </c>
      <c r="C196" s="176">
        <v>20200520</v>
      </c>
      <c r="D196" s="176" t="s">
        <v>24</v>
      </c>
      <c r="E196" s="176" t="s">
        <v>2369</v>
      </c>
      <c r="F196" s="39" t="s">
        <v>1733</v>
      </c>
      <c r="G196" s="181">
        <v>1329906</v>
      </c>
      <c r="H196" s="164" t="s">
        <v>72</v>
      </c>
      <c r="I196" s="176" t="s">
        <v>1734</v>
      </c>
      <c r="J196" s="164" t="s">
        <v>72</v>
      </c>
      <c r="K196" s="176" t="s">
        <v>106</v>
      </c>
      <c r="L196" s="176" t="s">
        <v>8</v>
      </c>
      <c r="M196" s="176" t="s">
        <v>1717</v>
      </c>
      <c r="N196" s="176" t="s">
        <v>618</v>
      </c>
      <c r="O196" s="181" t="s">
        <v>72</v>
      </c>
      <c r="P196" s="181" t="s">
        <v>1718</v>
      </c>
      <c r="Q196" s="165"/>
      <c r="R196" s="164" t="s">
        <v>72</v>
      </c>
      <c r="S196" s="176" t="s">
        <v>113</v>
      </c>
      <c r="T196" s="176"/>
      <c r="U196" s="176"/>
      <c r="V196" s="176">
        <v>424</v>
      </c>
      <c r="W196" s="176">
        <v>424</v>
      </c>
      <c r="X196" s="176">
        <v>424</v>
      </c>
      <c r="Y196" s="176">
        <v>7.53</v>
      </c>
      <c r="Z196" s="176">
        <v>7.53</v>
      </c>
      <c r="AA196" s="56" t="s">
        <v>110</v>
      </c>
      <c r="AB196" s="58">
        <v>43985</v>
      </c>
      <c r="AC196" s="175">
        <v>43971</v>
      </c>
      <c r="AD196" s="175">
        <v>43985</v>
      </c>
      <c r="AE196" s="175">
        <v>43973</v>
      </c>
      <c r="AF196" s="175">
        <v>43973</v>
      </c>
      <c r="AG196" s="175" t="s">
        <v>75</v>
      </c>
      <c r="AH196" s="177">
        <v>1</v>
      </c>
      <c r="AI196" s="177">
        <v>1</v>
      </c>
      <c r="AJ196" s="177">
        <v>1</v>
      </c>
      <c r="AK196" s="175" t="s">
        <v>8</v>
      </c>
      <c r="AL196" s="176"/>
      <c r="AM196" s="176"/>
      <c r="AN196" s="53" t="s">
        <v>1719</v>
      </c>
    </row>
    <row r="197" spans="2:40" ht="15">
      <c r="B197" s="166">
        <v>78</v>
      </c>
      <c r="C197" s="176">
        <v>20200520</v>
      </c>
      <c r="D197" s="176" t="s">
        <v>24</v>
      </c>
      <c r="E197" s="176" t="s">
        <v>2369</v>
      </c>
      <c r="F197" s="39" t="s">
        <v>1735</v>
      </c>
      <c r="G197" s="181">
        <v>1329906</v>
      </c>
      <c r="H197" s="164" t="s">
        <v>72</v>
      </c>
      <c r="I197" s="176" t="s">
        <v>1736</v>
      </c>
      <c r="J197" s="164" t="s">
        <v>72</v>
      </c>
      <c r="K197" s="176" t="s">
        <v>106</v>
      </c>
      <c r="L197" s="176" t="s">
        <v>8</v>
      </c>
      <c r="M197" s="176" t="s">
        <v>1717</v>
      </c>
      <c r="N197" s="176" t="s">
        <v>618</v>
      </c>
      <c r="O197" s="181" t="s">
        <v>72</v>
      </c>
      <c r="P197" s="181" t="s">
        <v>1718</v>
      </c>
      <c r="Q197" s="165"/>
      <c r="R197" s="164" t="s">
        <v>72</v>
      </c>
      <c r="S197" s="176" t="s">
        <v>113</v>
      </c>
      <c r="T197" s="176"/>
      <c r="U197" s="176"/>
      <c r="V197" s="176">
        <v>948</v>
      </c>
      <c r="W197" s="189">
        <v>474</v>
      </c>
      <c r="X197" s="176">
        <v>474</v>
      </c>
      <c r="Y197" s="176">
        <v>8.42</v>
      </c>
      <c r="Z197" s="176">
        <v>8.42</v>
      </c>
      <c r="AA197" s="176" t="s">
        <v>110</v>
      </c>
      <c r="AB197" s="175">
        <v>43976</v>
      </c>
      <c r="AC197" s="175">
        <v>43971</v>
      </c>
      <c r="AD197" s="175">
        <v>43976</v>
      </c>
      <c r="AE197" s="175">
        <v>43972</v>
      </c>
      <c r="AF197" s="175">
        <v>43972</v>
      </c>
      <c r="AG197" s="175" t="s">
        <v>75</v>
      </c>
      <c r="AH197" s="177">
        <v>1</v>
      </c>
      <c r="AI197" s="177">
        <v>1</v>
      </c>
      <c r="AJ197" s="177">
        <v>1</v>
      </c>
      <c r="AK197" s="175" t="s">
        <v>8</v>
      </c>
      <c r="AL197" s="176"/>
      <c r="AM197" s="176"/>
      <c r="AN197" s="53" t="s">
        <v>1719</v>
      </c>
    </row>
    <row r="198" spans="2:40" ht="15">
      <c r="B198" s="166">
        <v>79</v>
      </c>
      <c r="C198" s="13">
        <v>20200520</v>
      </c>
      <c r="D198" s="13" t="s">
        <v>24</v>
      </c>
      <c r="E198" s="13" t="s">
        <v>2369</v>
      </c>
      <c r="F198" s="39" t="s">
        <v>1737</v>
      </c>
      <c r="G198" s="14">
        <v>1329906</v>
      </c>
      <c r="H198" s="164" t="s">
        <v>72</v>
      </c>
      <c r="I198" s="13" t="s">
        <v>50</v>
      </c>
      <c r="J198" s="164" t="s">
        <v>72</v>
      </c>
      <c r="K198" s="13" t="s">
        <v>106</v>
      </c>
      <c r="L198" s="13" t="s">
        <v>8</v>
      </c>
      <c r="M198" s="13" t="s">
        <v>1717</v>
      </c>
      <c r="N198" s="13" t="s">
        <v>618</v>
      </c>
      <c r="O198" s="14" t="s">
        <v>72</v>
      </c>
      <c r="P198" s="14" t="s">
        <v>1718</v>
      </c>
      <c r="Q198" s="165"/>
      <c r="R198" s="164" t="s">
        <v>72</v>
      </c>
      <c r="S198" s="13" t="s">
        <v>109</v>
      </c>
      <c r="T198" s="13"/>
      <c r="U198" s="13"/>
      <c r="V198" s="13">
        <v>360</v>
      </c>
      <c r="W198" s="13">
        <v>360</v>
      </c>
      <c r="X198" s="13">
        <v>360</v>
      </c>
      <c r="Y198" s="13">
        <v>6.4</v>
      </c>
      <c r="Z198" s="13">
        <v>0.5</v>
      </c>
      <c r="AA198" s="176" t="s">
        <v>110</v>
      </c>
      <c r="AB198" s="175">
        <v>43976</v>
      </c>
      <c r="AC198" s="58">
        <v>43971</v>
      </c>
      <c r="AD198" s="58">
        <v>43976</v>
      </c>
      <c r="AE198" s="58">
        <v>43971</v>
      </c>
      <c r="AF198" s="58">
        <v>43971</v>
      </c>
      <c r="AG198" s="58" t="s">
        <v>75</v>
      </c>
      <c r="AH198" s="59">
        <v>1</v>
      </c>
      <c r="AI198" s="59">
        <v>1</v>
      </c>
      <c r="AJ198" s="59">
        <v>1</v>
      </c>
      <c r="AK198" s="58" t="s">
        <v>8</v>
      </c>
      <c r="AL198" s="176" t="s">
        <v>72</v>
      </c>
      <c r="AM198" s="176" t="s">
        <v>72</v>
      </c>
      <c r="AN198" s="53" t="s">
        <v>1719</v>
      </c>
    </row>
    <row r="199" spans="2:40" ht="15">
      <c r="B199" s="166">
        <v>80</v>
      </c>
      <c r="C199" s="13">
        <v>20200520</v>
      </c>
      <c r="D199" s="13" t="s">
        <v>24</v>
      </c>
      <c r="E199" s="13" t="s">
        <v>2369</v>
      </c>
      <c r="F199" s="39" t="s">
        <v>1738</v>
      </c>
      <c r="G199" s="14">
        <v>1329906</v>
      </c>
      <c r="H199" s="164" t="s">
        <v>72</v>
      </c>
      <c r="I199" s="13" t="s">
        <v>1739</v>
      </c>
      <c r="J199" s="164" t="s">
        <v>72</v>
      </c>
      <c r="K199" s="13" t="s">
        <v>106</v>
      </c>
      <c r="L199" s="13" t="s">
        <v>8</v>
      </c>
      <c r="M199" s="13" t="s">
        <v>1717</v>
      </c>
      <c r="N199" s="13" t="s">
        <v>618</v>
      </c>
      <c r="O199" s="14" t="s">
        <v>72</v>
      </c>
      <c r="P199" s="14" t="s">
        <v>1718</v>
      </c>
      <c r="Q199" s="165"/>
      <c r="R199" s="164" t="s">
        <v>72</v>
      </c>
      <c r="S199" s="13" t="s">
        <v>109</v>
      </c>
      <c r="T199" s="13"/>
      <c r="U199" s="13"/>
      <c r="V199" s="13">
        <v>604</v>
      </c>
      <c r="W199" s="13">
        <v>604</v>
      </c>
      <c r="X199" s="13">
        <v>604</v>
      </c>
      <c r="Y199" s="13">
        <v>10.73</v>
      </c>
      <c r="Z199" s="13">
        <v>1</v>
      </c>
      <c r="AA199" s="176" t="s">
        <v>110</v>
      </c>
      <c r="AB199" s="175">
        <v>43976</v>
      </c>
      <c r="AC199" s="58">
        <v>43971</v>
      </c>
      <c r="AD199" s="58">
        <v>43976</v>
      </c>
      <c r="AE199" s="58">
        <v>43971</v>
      </c>
      <c r="AF199" s="58">
        <v>43971</v>
      </c>
      <c r="AG199" s="58" t="s">
        <v>75</v>
      </c>
      <c r="AH199" s="59">
        <v>1</v>
      </c>
      <c r="AI199" s="59">
        <v>1</v>
      </c>
      <c r="AJ199" s="59">
        <v>1</v>
      </c>
      <c r="AK199" s="58" t="s">
        <v>8</v>
      </c>
      <c r="AL199" s="176" t="s">
        <v>72</v>
      </c>
      <c r="AM199" s="176" t="s">
        <v>72</v>
      </c>
      <c r="AN199" s="53" t="s">
        <v>1719</v>
      </c>
    </row>
    <row r="200" spans="2:40" ht="15">
      <c r="B200" s="166">
        <v>81</v>
      </c>
      <c r="C200" s="13">
        <v>20200520</v>
      </c>
      <c r="D200" s="13" t="s">
        <v>24</v>
      </c>
      <c r="E200" s="13" t="s">
        <v>2369</v>
      </c>
      <c r="F200" s="39" t="s">
        <v>1740</v>
      </c>
      <c r="G200" s="14">
        <v>1329906</v>
      </c>
      <c r="H200" s="164" t="s">
        <v>72</v>
      </c>
      <c r="I200" s="13" t="s">
        <v>54</v>
      </c>
      <c r="J200" s="164" t="s">
        <v>72</v>
      </c>
      <c r="K200" s="13" t="s">
        <v>106</v>
      </c>
      <c r="L200" s="13" t="s">
        <v>8</v>
      </c>
      <c r="M200" s="13" t="s">
        <v>1717</v>
      </c>
      <c r="N200" s="13" t="s">
        <v>618</v>
      </c>
      <c r="O200" s="14" t="s">
        <v>72</v>
      </c>
      <c r="P200" s="14" t="s">
        <v>1718</v>
      </c>
      <c r="Q200" s="165"/>
      <c r="R200" s="164" t="s">
        <v>72</v>
      </c>
      <c r="S200" s="13" t="s">
        <v>161</v>
      </c>
      <c r="T200" s="13"/>
      <c r="U200" s="13"/>
      <c r="V200" s="13">
        <v>708</v>
      </c>
      <c r="W200" s="13">
        <v>708</v>
      </c>
      <c r="X200" s="13">
        <v>708</v>
      </c>
      <c r="Y200" s="13">
        <v>12.58</v>
      </c>
      <c r="Z200" s="13">
        <v>8</v>
      </c>
      <c r="AA200" s="176" t="s">
        <v>110</v>
      </c>
      <c r="AB200" s="175">
        <v>43976</v>
      </c>
      <c r="AC200" s="58">
        <v>43971</v>
      </c>
      <c r="AD200" s="58">
        <v>43976</v>
      </c>
      <c r="AE200" s="58">
        <v>43971</v>
      </c>
      <c r="AF200" s="58">
        <v>43971</v>
      </c>
      <c r="AG200" s="58" t="s">
        <v>75</v>
      </c>
      <c r="AH200" s="59">
        <v>1</v>
      </c>
      <c r="AI200" s="59">
        <v>1</v>
      </c>
      <c r="AJ200" s="59">
        <v>1</v>
      </c>
      <c r="AK200" s="58" t="s">
        <v>8</v>
      </c>
      <c r="AL200" s="13"/>
      <c r="AM200" s="13"/>
      <c r="AN200" s="53" t="s">
        <v>1719</v>
      </c>
    </row>
    <row r="201" spans="2:40" ht="15">
      <c r="B201" s="166">
        <v>82</v>
      </c>
      <c r="C201" s="13">
        <v>20200520</v>
      </c>
      <c r="D201" s="13" t="s">
        <v>24</v>
      </c>
      <c r="E201" s="13" t="s">
        <v>2369</v>
      </c>
      <c r="F201" s="39" t="s">
        <v>1735</v>
      </c>
      <c r="G201" s="13">
        <v>1470767</v>
      </c>
      <c r="H201" s="164" t="s">
        <v>72</v>
      </c>
      <c r="I201" s="13" t="s">
        <v>1736</v>
      </c>
      <c r="J201" s="164" t="s">
        <v>72</v>
      </c>
      <c r="K201" s="13" t="s">
        <v>106</v>
      </c>
      <c r="L201" s="13" t="s">
        <v>8</v>
      </c>
      <c r="M201" s="13" t="s">
        <v>1717</v>
      </c>
      <c r="N201" s="13" t="s">
        <v>618</v>
      </c>
      <c r="O201" s="14" t="s">
        <v>72</v>
      </c>
      <c r="P201" s="14" t="s">
        <v>1741</v>
      </c>
      <c r="Q201" s="165"/>
      <c r="R201" s="164" t="s">
        <v>72</v>
      </c>
      <c r="S201" s="13" t="s">
        <v>161</v>
      </c>
      <c r="T201" s="13"/>
      <c r="U201" s="13"/>
      <c r="V201" s="13">
        <v>474</v>
      </c>
      <c r="W201" s="13">
        <v>474</v>
      </c>
      <c r="X201" s="13">
        <v>474</v>
      </c>
      <c r="Y201" s="13">
        <v>8.42</v>
      </c>
      <c r="Z201" s="13">
        <v>4</v>
      </c>
      <c r="AA201" s="176" t="s">
        <v>110</v>
      </c>
      <c r="AB201" s="175">
        <v>43976</v>
      </c>
      <c r="AC201" s="58">
        <v>43971</v>
      </c>
      <c r="AD201" s="58">
        <v>43976</v>
      </c>
      <c r="AE201" s="58">
        <v>43972</v>
      </c>
      <c r="AF201" s="58">
        <v>43972</v>
      </c>
      <c r="AG201" s="58" t="s">
        <v>75</v>
      </c>
      <c r="AH201" s="59">
        <v>1</v>
      </c>
      <c r="AI201" s="59">
        <v>1</v>
      </c>
      <c r="AJ201" s="59">
        <v>1</v>
      </c>
      <c r="AK201" s="58" t="s">
        <v>8</v>
      </c>
      <c r="AL201" s="13"/>
      <c r="AM201" s="13"/>
      <c r="AN201" s="53" t="s">
        <v>1719</v>
      </c>
    </row>
    <row r="202" spans="2:40" ht="15">
      <c r="B202" s="166">
        <v>83</v>
      </c>
      <c r="C202" s="13">
        <v>20200520</v>
      </c>
      <c r="D202" s="13" t="s">
        <v>24</v>
      </c>
      <c r="E202" s="13" t="s">
        <v>2370</v>
      </c>
      <c r="F202" s="39" t="s">
        <v>1743</v>
      </c>
      <c r="G202" s="13">
        <v>1470769</v>
      </c>
      <c r="H202" s="164" t="s">
        <v>72</v>
      </c>
      <c r="I202" s="13" t="s">
        <v>1736</v>
      </c>
      <c r="J202" s="164" t="s">
        <v>72</v>
      </c>
      <c r="K202" s="13" t="s">
        <v>106</v>
      </c>
      <c r="L202" s="13" t="s">
        <v>8</v>
      </c>
      <c r="M202" s="13" t="s">
        <v>1744</v>
      </c>
      <c r="N202" s="13" t="s">
        <v>1745</v>
      </c>
      <c r="O202" s="14" t="s">
        <v>72</v>
      </c>
      <c r="P202" s="14" t="s">
        <v>1741</v>
      </c>
      <c r="Q202" s="165"/>
      <c r="R202" s="164" t="s">
        <v>72</v>
      </c>
      <c r="S202" s="13" t="s">
        <v>161</v>
      </c>
      <c r="T202" s="13"/>
      <c r="U202" s="13"/>
      <c r="V202" s="13">
        <v>474</v>
      </c>
      <c r="W202" s="13">
        <v>474</v>
      </c>
      <c r="X202" s="13">
        <v>474</v>
      </c>
      <c r="Y202" s="13">
        <v>8.42</v>
      </c>
      <c r="Z202" s="13">
        <v>4</v>
      </c>
      <c r="AA202" s="176" t="s">
        <v>110</v>
      </c>
      <c r="AB202" s="175">
        <v>43976</v>
      </c>
      <c r="AC202" s="58">
        <v>43971</v>
      </c>
      <c r="AD202" s="58">
        <v>43976</v>
      </c>
      <c r="AE202" s="58">
        <v>43972</v>
      </c>
      <c r="AF202" s="58">
        <v>43972</v>
      </c>
      <c r="AG202" s="58" t="s">
        <v>75</v>
      </c>
      <c r="AH202" s="59">
        <v>1</v>
      </c>
      <c r="AI202" s="59">
        <v>1</v>
      </c>
      <c r="AJ202" s="59">
        <v>1</v>
      </c>
      <c r="AK202" s="58" t="s">
        <v>8</v>
      </c>
      <c r="AL202" s="13"/>
      <c r="AM202" s="13"/>
      <c r="AN202" s="53" t="s">
        <v>1719</v>
      </c>
    </row>
    <row r="203" spans="2:40" ht="15">
      <c r="B203" s="166">
        <v>84</v>
      </c>
      <c r="C203" s="13">
        <v>20200520</v>
      </c>
      <c r="D203" s="13" t="s">
        <v>24</v>
      </c>
      <c r="E203" s="13" t="s">
        <v>2370</v>
      </c>
      <c r="F203" s="39" t="s">
        <v>1746</v>
      </c>
      <c r="G203" s="13">
        <v>1459843</v>
      </c>
      <c r="H203" s="164" t="s">
        <v>72</v>
      </c>
      <c r="I203" s="13" t="s">
        <v>1747</v>
      </c>
      <c r="J203" s="164" t="s">
        <v>72</v>
      </c>
      <c r="K203" s="13" t="s">
        <v>106</v>
      </c>
      <c r="L203" s="13" t="s">
        <v>8</v>
      </c>
      <c r="M203" s="13" t="s">
        <v>1744</v>
      </c>
      <c r="N203" s="13" t="s">
        <v>1745</v>
      </c>
      <c r="O203" s="14" t="s">
        <v>72</v>
      </c>
      <c r="P203" s="14" t="s">
        <v>1748</v>
      </c>
      <c r="Q203" s="165"/>
      <c r="R203" s="164" t="s">
        <v>72</v>
      </c>
      <c r="S203" s="13" t="s">
        <v>113</v>
      </c>
      <c r="T203" s="13"/>
      <c r="U203" s="13"/>
      <c r="V203" s="13">
        <v>20</v>
      </c>
      <c r="W203" s="13">
        <v>20</v>
      </c>
      <c r="X203" s="13">
        <v>20</v>
      </c>
      <c r="Y203" s="13">
        <v>0.35</v>
      </c>
      <c r="Z203" s="13">
        <v>0.35</v>
      </c>
      <c r="AA203" s="176" t="s">
        <v>110</v>
      </c>
      <c r="AB203" s="175">
        <v>43976</v>
      </c>
      <c r="AC203" s="58">
        <v>43971</v>
      </c>
      <c r="AD203" s="58">
        <v>43976</v>
      </c>
      <c r="AE203" s="58">
        <v>43972</v>
      </c>
      <c r="AF203" s="58">
        <v>43972</v>
      </c>
      <c r="AG203" s="58" t="s">
        <v>75</v>
      </c>
      <c r="AH203" s="59">
        <v>1</v>
      </c>
      <c r="AI203" s="59">
        <v>1</v>
      </c>
      <c r="AJ203" s="59">
        <v>1</v>
      </c>
      <c r="AK203" s="58" t="s">
        <v>8</v>
      </c>
      <c r="AL203" s="13"/>
      <c r="AM203" s="13"/>
      <c r="AN203" s="53" t="s">
        <v>1719</v>
      </c>
    </row>
    <row r="204" spans="2:40" ht="15">
      <c r="B204" s="166">
        <v>85</v>
      </c>
      <c r="C204" s="13">
        <v>20200520</v>
      </c>
      <c r="D204" s="13" t="s">
        <v>24</v>
      </c>
      <c r="E204" s="13" t="s">
        <v>2370</v>
      </c>
      <c r="F204" s="39" t="s">
        <v>1749</v>
      </c>
      <c r="G204" s="13">
        <v>1459843</v>
      </c>
      <c r="H204" s="164" t="s">
        <v>72</v>
      </c>
      <c r="I204" s="13" t="s">
        <v>1750</v>
      </c>
      <c r="J204" s="164" t="s">
        <v>72</v>
      </c>
      <c r="K204" s="13" t="s">
        <v>106</v>
      </c>
      <c r="L204" s="13" t="s">
        <v>8</v>
      </c>
      <c r="M204" s="13" t="s">
        <v>1744</v>
      </c>
      <c r="N204" s="13" t="s">
        <v>1745</v>
      </c>
      <c r="O204" s="14" t="s">
        <v>72</v>
      </c>
      <c r="P204" s="14" t="s">
        <v>1748</v>
      </c>
      <c r="Q204" s="165"/>
      <c r="R204" s="164" t="s">
        <v>72</v>
      </c>
      <c r="S204" s="13" t="s">
        <v>113</v>
      </c>
      <c r="T204" s="13"/>
      <c r="U204" s="13"/>
      <c r="V204" s="13">
        <v>64</v>
      </c>
      <c r="W204" s="13">
        <v>64</v>
      </c>
      <c r="X204" s="13">
        <v>64</v>
      </c>
      <c r="Y204" s="13">
        <v>1.1299999999999999</v>
      </c>
      <c r="Z204" s="13">
        <v>1.1299999999999999</v>
      </c>
      <c r="AA204" s="176" t="s">
        <v>110</v>
      </c>
      <c r="AB204" s="175">
        <v>43976</v>
      </c>
      <c r="AC204" s="58">
        <v>43971</v>
      </c>
      <c r="AD204" s="58">
        <v>43976</v>
      </c>
      <c r="AE204" s="58">
        <v>43972</v>
      </c>
      <c r="AF204" s="58">
        <v>43972</v>
      </c>
      <c r="AG204" s="58" t="s">
        <v>75</v>
      </c>
      <c r="AH204" s="59">
        <v>1</v>
      </c>
      <c r="AI204" s="59">
        <v>1</v>
      </c>
      <c r="AJ204" s="59">
        <v>1</v>
      </c>
      <c r="AK204" s="58" t="s">
        <v>8</v>
      </c>
      <c r="AL204" s="13"/>
      <c r="AM204" s="13"/>
      <c r="AN204" s="53" t="s">
        <v>1719</v>
      </c>
    </row>
    <row r="205" spans="2:40" ht="15">
      <c r="B205" s="166">
        <v>86</v>
      </c>
      <c r="C205" s="13">
        <v>20200520</v>
      </c>
      <c r="D205" s="13" t="s">
        <v>24</v>
      </c>
      <c r="E205" s="13" t="s">
        <v>2369</v>
      </c>
      <c r="F205" s="39" t="s">
        <v>1751</v>
      </c>
      <c r="G205" s="14">
        <v>1373116</v>
      </c>
      <c r="H205" s="164" t="s">
        <v>72</v>
      </c>
      <c r="I205" s="13" t="s">
        <v>254</v>
      </c>
      <c r="J205" s="164" t="s">
        <v>72</v>
      </c>
      <c r="K205" s="13" t="s">
        <v>106</v>
      </c>
      <c r="L205" s="13" t="s">
        <v>8</v>
      </c>
      <c r="M205" s="13" t="s">
        <v>1717</v>
      </c>
      <c r="N205" s="13" t="s">
        <v>618</v>
      </c>
      <c r="O205" s="14" t="s">
        <v>72</v>
      </c>
      <c r="P205" s="14" t="s">
        <v>1718</v>
      </c>
      <c r="Q205" s="165"/>
      <c r="R205" s="164" t="s">
        <v>72</v>
      </c>
      <c r="S205" s="13" t="s">
        <v>117</v>
      </c>
      <c r="T205" s="13"/>
      <c r="U205" s="13"/>
      <c r="V205" s="13">
        <v>2892</v>
      </c>
      <c r="W205" s="13">
        <v>2892</v>
      </c>
      <c r="X205" s="13">
        <v>2892</v>
      </c>
      <c r="Y205" s="13">
        <v>51.41</v>
      </c>
      <c r="Z205" s="13">
        <v>12</v>
      </c>
      <c r="AA205" s="13" t="s">
        <v>550</v>
      </c>
      <c r="AB205" s="58">
        <v>43985</v>
      </c>
      <c r="AC205" s="58">
        <v>43971</v>
      </c>
      <c r="AD205" s="58">
        <v>43985</v>
      </c>
      <c r="AE205" s="58">
        <v>43979</v>
      </c>
      <c r="AF205" s="58">
        <v>43979</v>
      </c>
      <c r="AG205" s="58" t="s">
        <v>75</v>
      </c>
      <c r="AH205" s="59">
        <v>1</v>
      </c>
      <c r="AI205" s="59">
        <v>1</v>
      </c>
      <c r="AJ205" s="59">
        <v>1</v>
      </c>
      <c r="AK205" s="58" t="s">
        <v>8</v>
      </c>
      <c r="AL205" s="181" t="s">
        <v>72</v>
      </c>
      <c r="AM205" s="181" t="s">
        <v>72</v>
      </c>
      <c r="AN205" s="53" t="s">
        <v>1719</v>
      </c>
    </row>
    <row r="206" spans="2:40" ht="15">
      <c r="B206" s="166">
        <v>87</v>
      </c>
      <c r="C206" s="13">
        <v>20200520</v>
      </c>
      <c r="D206" s="13" t="s">
        <v>24</v>
      </c>
      <c r="E206" s="13" t="s">
        <v>2369</v>
      </c>
      <c r="F206" s="39" t="s">
        <v>1752</v>
      </c>
      <c r="G206" s="14">
        <v>1373116</v>
      </c>
      <c r="H206" s="164" t="s">
        <v>72</v>
      </c>
      <c r="I206" s="13" t="s">
        <v>256</v>
      </c>
      <c r="J206" s="164" t="s">
        <v>72</v>
      </c>
      <c r="K206" s="13" t="s">
        <v>106</v>
      </c>
      <c r="L206" s="13" t="s">
        <v>8</v>
      </c>
      <c r="M206" s="13" t="s">
        <v>1717</v>
      </c>
      <c r="N206" s="13" t="s">
        <v>618</v>
      </c>
      <c r="O206" s="14" t="s">
        <v>72</v>
      </c>
      <c r="P206" s="14" t="s">
        <v>1718</v>
      </c>
      <c r="Q206" s="165"/>
      <c r="R206" s="164" t="s">
        <v>72</v>
      </c>
      <c r="S206" s="13" t="s">
        <v>161</v>
      </c>
      <c r="T206" s="13"/>
      <c r="U206" s="13"/>
      <c r="V206" s="13">
        <v>808</v>
      </c>
      <c r="W206" s="53">
        <v>404</v>
      </c>
      <c r="X206" s="13">
        <v>404</v>
      </c>
      <c r="Y206" s="13">
        <v>7.18</v>
      </c>
      <c r="Z206" s="13">
        <v>8</v>
      </c>
      <c r="AA206" s="13" t="s">
        <v>550</v>
      </c>
      <c r="AB206" s="58">
        <v>43985</v>
      </c>
      <c r="AC206" s="58">
        <v>43971</v>
      </c>
      <c r="AD206" s="58">
        <v>43985</v>
      </c>
      <c r="AE206" s="58">
        <v>43977</v>
      </c>
      <c r="AF206" s="58">
        <v>43977</v>
      </c>
      <c r="AG206" s="58" t="s">
        <v>75</v>
      </c>
      <c r="AH206" s="59">
        <v>1</v>
      </c>
      <c r="AI206" s="59">
        <v>1</v>
      </c>
      <c r="AJ206" s="59">
        <v>1</v>
      </c>
      <c r="AK206" s="58" t="s">
        <v>8</v>
      </c>
      <c r="AL206" s="181" t="s">
        <v>72</v>
      </c>
      <c r="AM206" s="181" t="s">
        <v>72</v>
      </c>
      <c r="AN206" s="53" t="s">
        <v>1719</v>
      </c>
    </row>
    <row r="207" spans="2:40" ht="15">
      <c r="B207" s="163">
        <v>88</v>
      </c>
      <c r="C207" s="13">
        <v>20200520</v>
      </c>
      <c r="D207" s="13" t="s">
        <v>24</v>
      </c>
      <c r="E207" s="13" t="s">
        <v>2371</v>
      </c>
      <c r="F207" s="39" t="s">
        <v>1754</v>
      </c>
      <c r="G207" s="14">
        <v>1452940</v>
      </c>
      <c r="H207" s="164" t="s">
        <v>72</v>
      </c>
      <c r="I207" s="13" t="s">
        <v>590</v>
      </c>
      <c r="J207" s="164" t="s">
        <v>72</v>
      </c>
      <c r="K207" s="13" t="s">
        <v>73</v>
      </c>
      <c r="L207" s="13" t="s">
        <v>8</v>
      </c>
      <c r="M207" s="13" t="s">
        <v>1755</v>
      </c>
      <c r="N207" s="13" t="s">
        <v>1756</v>
      </c>
      <c r="O207" s="14" t="s">
        <v>72</v>
      </c>
      <c r="P207" s="14" t="s">
        <v>713</v>
      </c>
      <c r="Q207" s="165"/>
      <c r="R207" s="164" t="s">
        <v>72</v>
      </c>
      <c r="S207" s="13" t="s">
        <v>573</v>
      </c>
      <c r="T207" s="13"/>
      <c r="U207" s="13"/>
      <c r="V207" s="13">
        <v>35</v>
      </c>
      <c r="W207" s="13">
        <v>35</v>
      </c>
      <c r="X207" s="13">
        <v>35</v>
      </c>
      <c r="Y207" s="13">
        <v>0.62</v>
      </c>
      <c r="Z207" s="13">
        <v>0.5</v>
      </c>
      <c r="AA207" s="13" t="s">
        <v>110</v>
      </c>
      <c r="AB207" s="58">
        <v>43973</v>
      </c>
      <c r="AC207" s="58">
        <v>43971</v>
      </c>
      <c r="AD207" s="58">
        <v>43973</v>
      </c>
      <c r="AE207" s="58">
        <v>43971</v>
      </c>
      <c r="AF207" s="58">
        <v>43971</v>
      </c>
      <c r="AG207" s="58" t="s">
        <v>75</v>
      </c>
      <c r="AH207" s="59">
        <v>1</v>
      </c>
      <c r="AI207" s="59">
        <v>1</v>
      </c>
      <c r="AJ207" s="59">
        <v>1</v>
      </c>
      <c r="AK207" s="58" t="s">
        <v>8</v>
      </c>
      <c r="AL207" s="13"/>
      <c r="AM207" s="13"/>
      <c r="AN207" s="13"/>
    </row>
    <row r="208" spans="2:40" ht="15">
      <c r="B208" s="163">
        <v>89</v>
      </c>
      <c r="C208" s="13">
        <v>20200520</v>
      </c>
      <c r="D208" s="13" t="s">
        <v>24</v>
      </c>
      <c r="E208" s="13" t="s">
        <v>2371</v>
      </c>
      <c r="F208" s="39" t="s">
        <v>1757</v>
      </c>
      <c r="G208" s="14">
        <v>1452940</v>
      </c>
      <c r="H208" s="164" t="s">
        <v>72</v>
      </c>
      <c r="I208" s="13" t="s">
        <v>1243</v>
      </c>
      <c r="J208" s="164" t="s">
        <v>72</v>
      </c>
      <c r="K208" s="13" t="s">
        <v>73</v>
      </c>
      <c r="L208" s="13" t="s">
        <v>8</v>
      </c>
      <c r="M208" s="13" t="s">
        <v>1755</v>
      </c>
      <c r="N208" s="13" t="s">
        <v>1756</v>
      </c>
      <c r="O208" s="14" t="s">
        <v>72</v>
      </c>
      <c r="P208" s="14" t="s">
        <v>713</v>
      </c>
      <c r="Q208" s="165"/>
      <c r="R208" s="164" t="s">
        <v>72</v>
      </c>
      <c r="S208" s="13" t="s">
        <v>573</v>
      </c>
      <c r="T208" s="13"/>
      <c r="U208" s="13"/>
      <c r="V208" s="13">
        <v>249</v>
      </c>
      <c r="W208" s="13">
        <v>249</v>
      </c>
      <c r="X208" s="13">
        <v>249</v>
      </c>
      <c r="Y208" s="13">
        <v>4.42</v>
      </c>
      <c r="Z208" s="13">
        <v>1</v>
      </c>
      <c r="AA208" s="13" t="s">
        <v>110</v>
      </c>
      <c r="AB208" s="58">
        <v>43973</v>
      </c>
      <c r="AC208" s="58">
        <v>43971</v>
      </c>
      <c r="AD208" s="58">
        <v>43973</v>
      </c>
      <c r="AE208" s="58">
        <v>43971</v>
      </c>
      <c r="AF208" s="58">
        <v>43971</v>
      </c>
      <c r="AG208" s="58" t="s">
        <v>75</v>
      </c>
      <c r="AH208" s="59">
        <v>1</v>
      </c>
      <c r="AI208" s="59">
        <v>1</v>
      </c>
      <c r="AJ208" s="59">
        <v>1</v>
      </c>
      <c r="AK208" s="58" t="s">
        <v>8</v>
      </c>
      <c r="AL208" s="13"/>
      <c r="AM208" s="13"/>
      <c r="AN208" s="13"/>
    </row>
    <row r="209" spans="2:40" ht="15">
      <c r="B209" s="163">
        <v>90</v>
      </c>
      <c r="C209" s="13">
        <v>20200520</v>
      </c>
      <c r="D209" s="13" t="s">
        <v>24</v>
      </c>
      <c r="E209" s="13" t="s">
        <v>1758</v>
      </c>
      <c r="F209" s="39" t="s">
        <v>1759</v>
      </c>
      <c r="G209" s="14">
        <v>1474097</v>
      </c>
      <c r="H209" s="164" t="s">
        <v>72</v>
      </c>
      <c r="I209" s="13" t="s">
        <v>1660</v>
      </c>
      <c r="J209" s="164" t="s">
        <v>72</v>
      </c>
      <c r="K209" s="13" t="s">
        <v>73</v>
      </c>
      <c r="L209" s="13" t="s">
        <v>2</v>
      </c>
      <c r="M209" s="13" t="s">
        <v>1760</v>
      </c>
      <c r="N209" s="13" t="s">
        <v>3</v>
      </c>
      <c r="O209" s="14" t="s">
        <v>72</v>
      </c>
      <c r="P209" s="14" t="s">
        <v>1</v>
      </c>
      <c r="Q209" s="165"/>
      <c r="R209" s="164" t="s">
        <v>72</v>
      </c>
      <c r="S209" s="13" t="s">
        <v>74</v>
      </c>
      <c r="T209" s="13"/>
      <c r="U209" s="13"/>
      <c r="V209" s="13">
        <v>641</v>
      </c>
      <c r="W209" s="53">
        <v>60</v>
      </c>
      <c r="X209" s="13">
        <v>60</v>
      </c>
      <c r="Y209" s="13">
        <v>1.06</v>
      </c>
      <c r="Z209" s="13">
        <v>1</v>
      </c>
      <c r="AA209" s="13" t="s">
        <v>110</v>
      </c>
      <c r="AB209" s="58">
        <v>43973</v>
      </c>
      <c r="AC209" s="58">
        <v>43971</v>
      </c>
      <c r="AD209" s="58">
        <v>43973</v>
      </c>
      <c r="AE209" s="58">
        <v>43972</v>
      </c>
      <c r="AF209" s="58">
        <v>43972</v>
      </c>
      <c r="AG209" s="58" t="s">
        <v>75</v>
      </c>
      <c r="AH209" s="59">
        <v>1</v>
      </c>
      <c r="AI209" s="59">
        <v>1</v>
      </c>
      <c r="AJ209" s="59">
        <v>1</v>
      </c>
      <c r="AK209" s="58" t="s">
        <v>8</v>
      </c>
      <c r="AL209" s="13"/>
      <c r="AM209" s="13"/>
      <c r="AN209" s="13" t="s">
        <v>1761</v>
      </c>
    </row>
    <row r="210" spans="2:40" ht="15">
      <c r="B210" s="163">
        <v>91</v>
      </c>
      <c r="C210" s="13">
        <v>20200520</v>
      </c>
      <c r="D210" s="13" t="s">
        <v>24</v>
      </c>
      <c r="E210" s="13" t="s">
        <v>1762</v>
      </c>
      <c r="F210" s="39" t="s">
        <v>1763</v>
      </c>
      <c r="G210" s="14">
        <v>1478932</v>
      </c>
      <c r="H210" s="164" t="s">
        <v>72</v>
      </c>
      <c r="I210" s="13" t="s">
        <v>1764</v>
      </c>
      <c r="J210" s="164" t="s">
        <v>72</v>
      </c>
      <c r="K210" s="13" t="s">
        <v>73</v>
      </c>
      <c r="L210" s="13" t="s">
        <v>1765</v>
      </c>
      <c r="M210" s="13" t="s">
        <v>8</v>
      </c>
      <c r="N210" s="13" t="s">
        <v>1202</v>
      </c>
      <c r="O210" s="14" t="s">
        <v>72</v>
      </c>
      <c r="P210" s="14" t="s">
        <v>1296</v>
      </c>
      <c r="Q210" s="165"/>
      <c r="R210" s="164" t="s">
        <v>72</v>
      </c>
      <c r="S210" s="13" t="s">
        <v>573</v>
      </c>
      <c r="T210" s="13"/>
      <c r="U210" s="13"/>
      <c r="V210" s="13">
        <v>81</v>
      </c>
      <c r="W210" s="13">
        <v>81</v>
      </c>
      <c r="X210" s="13">
        <v>81</v>
      </c>
      <c r="Y210" s="13">
        <v>1.44</v>
      </c>
      <c r="Z210" s="13">
        <v>1</v>
      </c>
      <c r="AA210" s="13" t="s">
        <v>110</v>
      </c>
      <c r="AB210" s="58">
        <v>43972</v>
      </c>
      <c r="AC210" s="58">
        <v>43971</v>
      </c>
      <c r="AD210" s="58">
        <v>43972</v>
      </c>
      <c r="AE210" s="58">
        <v>43972</v>
      </c>
      <c r="AF210" s="58">
        <v>43972</v>
      </c>
      <c r="AG210" s="58" t="s">
        <v>75</v>
      </c>
      <c r="AH210" s="59">
        <v>1</v>
      </c>
      <c r="AI210" s="59">
        <v>1</v>
      </c>
      <c r="AJ210" s="59">
        <v>1</v>
      </c>
      <c r="AK210" s="58" t="s">
        <v>8</v>
      </c>
      <c r="AL210" s="13"/>
      <c r="AM210" s="13"/>
      <c r="AN210" s="13"/>
    </row>
    <row r="211" spans="2:40" ht="15">
      <c r="B211" s="163">
        <v>92</v>
      </c>
      <c r="C211" s="13">
        <v>20200520</v>
      </c>
      <c r="D211" s="13" t="s">
        <v>24</v>
      </c>
      <c r="E211" s="13" t="s">
        <v>1762</v>
      </c>
      <c r="F211" s="39" t="s">
        <v>1766</v>
      </c>
      <c r="G211" s="14">
        <v>1478932</v>
      </c>
      <c r="H211" s="164" t="s">
        <v>72</v>
      </c>
      <c r="I211" s="13" t="s">
        <v>1764</v>
      </c>
      <c r="J211" s="164" t="s">
        <v>72</v>
      </c>
      <c r="K211" s="13" t="s">
        <v>73</v>
      </c>
      <c r="L211" s="13" t="s">
        <v>1767</v>
      </c>
      <c r="M211" s="13" t="s">
        <v>8</v>
      </c>
      <c r="N211" s="13" t="s">
        <v>712</v>
      </c>
      <c r="O211" s="14" t="s">
        <v>72</v>
      </c>
      <c r="P211" s="14" t="s">
        <v>1296</v>
      </c>
      <c r="Q211" s="165"/>
      <c r="R211" s="164" t="s">
        <v>72</v>
      </c>
      <c r="S211" s="13" t="s">
        <v>573</v>
      </c>
      <c r="T211" s="13"/>
      <c r="U211" s="13"/>
      <c r="V211" s="13">
        <v>81</v>
      </c>
      <c r="W211" s="13">
        <v>81</v>
      </c>
      <c r="X211" s="13">
        <v>81</v>
      </c>
      <c r="Y211" s="13">
        <v>1.44</v>
      </c>
      <c r="Z211" s="13">
        <v>1</v>
      </c>
      <c r="AA211" s="13" t="s">
        <v>110</v>
      </c>
      <c r="AB211" s="58">
        <v>43972</v>
      </c>
      <c r="AC211" s="58">
        <v>43971</v>
      </c>
      <c r="AD211" s="58">
        <v>43972</v>
      </c>
      <c r="AE211" s="58">
        <v>43972</v>
      </c>
      <c r="AF211" s="58">
        <v>43972</v>
      </c>
      <c r="AG211" s="58" t="s">
        <v>75</v>
      </c>
      <c r="AH211" s="59">
        <v>1</v>
      </c>
      <c r="AI211" s="59">
        <v>1</v>
      </c>
      <c r="AJ211" s="59">
        <v>1</v>
      </c>
      <c r="AK211" s="58" t="s">
        <v>8</v>
      </c>
      <c r="AL211" s="13"/>
      <c r="AM211" s="13"/>
      <c r="AN211" s="13"/>
    </row>
    <row r="212" spans="2:40" ht="15">
      <c r="B212" s="163">
        <v>93</v>
      </c>
      <c r="C212" s="13">
        <v>20200520</v>
      </c>
      <c r="D212" s="13" t="s">
        <v>24</v>
      </c>
      <c r="E212" s="13" t="s">
        <v>1768</v>
      </c>
      <c r="F212" s="39" t="s">
        <v>591</v>
      </c>
      <c r="G212" s="14">
        <v>1478344</v>
      </c>
      <c r="H212" s="164" t="s">
        <v>72</v>
      </c>
      <c r="I212" s="13" t="s">
        <v>120</v>
      </c>
      <c r="J212" s="164" t="s">
        <v>72</v>
      </c>
      <c r="K212" s="13" t="s">
        <v>73</v>
      </c>
      <c r="L212" s="13" t="s">
        <v>584</v>
      </c>
      <c r="M212" s="13" t="s">
        <v>8</v>
      </c>
      <c r="N212" s="13" t="s">
        <v>586</v>
      </c>
      <c r="O212" s="14" t="s">
        <v>72</v>
      </c>
      <c r="P212" s="14" t="s">
        <v>587</v>
      </c>
      <c r="Q212" s="165"/>
      <c r="R212" s="164" t="s">
        <v>72</v>
      </c>
      <c r="S212" s="13" t="s">
        <v>573</v>
      </c>
      <c r="T212" s="13"/>
      <c r="U212" s="13"/>
      <c r="V212" s="13">
        <v>42</v>
      </c>
      <c r="W212" s="53">
        <v>948</v>
      </c>
      <c r="X212" s="13">
        <v>948</v>
      </c>
      <c r="Y212" s="13">
        <v>16.850000000000001</v>
      </c>
      <c r="Z212" s="13">
        <v>1</v>
      </c>
      <c r="AA212" s="13" t="s">
        <v>110</v>
      </c>
      <c r="AB212" s="58">
        <v>43972</v>
      </c>
      <c r="AC212" s="58">
        <v>43971</v>
      </c>
      <c r="AD212" s="58">
        <v>43972</v>
      </c>
      <c r="AE212" s="58">
        <v>43972</v>
      </c>
      <c r="AF212" s="58">
        <v>43972</v>
      </c>
      <c r="AG212" s="58" t="s">
        <v>75</v>
      </c>
      <c r="AH212" s="59">
        <v>1</v>
      </c>
      <c r="AI212" s="59">
        <v>1</v>
      </c>
      <c r="AJ212" s="59">
        <v>1</v>
      </c>
      <c r="AK212" s="58" t="s">
        <v>8</v>
      </c>
      <c r="AL212" s="13"/>
      <c r="AM212" s="13"/>
      <c r="AN212" s="13" t="s">
        <v>1769</v>
      </c>
    </row>
    <row r="213" spans="2:40" ht="15">
      <c r="B213" s="180">
        <v>94</v>
      </c>
      <c r="C213" s="13">
        <v>20200521</v>
      </c>
      <c r="D213" s="13" t="s">
        <v>24</v>
      </c>
      <c r="E213" s="13" t="s">
        <v>1770</v>
      </c>
      <c r="F213" s="39" t="s">
        <v>1771</v>
      </c>
      <c r="G213" s="14">
        <v>1455638</v>
      </c>
      <c r="H213" s="164" t="s">
        <v>72</v>
      </c>
      <c r="I213" s="13" t="s">
        <v>1772</v>
      </c>
      <c r="J213" s="164" t="s">
        <v>72</v>
      </c>
      <c r="K213" s="13" t="s">
        <v>73</v>
      </c>
      <c r="L213" s="13" t="s">
        <v>1773</v>
      </c>
      <c r="M213" s="13" t="s">
        <v>8</v>
      </c>
      <c r="N213" s="13" t="s">
        <v>1034</v>
      </c>
      <c r="O213" s="14" t="s">
        <v>72</v>
      </c>
      <c r="P213" s="14" t="s">
        <v>756</v>
      </c>
      <c r="Q213" s="165"/>
      <c r="R213" s="164" t="s">
        <v>72</v>
      </c>
      <c r="S213" s="13" t="s">
        <v>78</v>
      </c>
      <c r="T213" s="13"/>
      <c r="U213" s="13"/>
      <c r="V213" s="13">
        <v>66</v>
      </c>
      <c r="W213" s="13">
        <v>66</v>
      </c>
      <c r="X213" s="13">
        <v>66</v>
      </c>
      <c r="Y213" s="13">
        <v>1.17</v>
      </c>
      <c r="Z213" s="13">
        <v>1</v>
      </c>
      <c r="AA213" s="13" t="s">
        <v>110</v>
      </c>
      <c r="AB213" s="58">
        <v>43973</v>
      </c>
      <c r="AC213" s="58">
        <v>43972</v>
      </c>
      <c r="AD213" s="58">
        <v>43973</v>
      </c>
      <c r="AE213" s="58">
        <v>43971</v>
      </c>
      <c r="AF213" s="58">
        <v>43971</v>
      </c>
      <c r="AG213" s="58" t="s">
        <v>75</v>
      </c>
      <c r="AH213" s="59">
        <v>1</v>
      </c>
      <c r="AI213" s="59">
        <v>1</v>
      </c>
      <c r="AJ213" s="59">
        <v>1</v>
      </c>
      <c r="AK213" s="58" t="s">
        <v>8</v>
      </c>
      <c r="AL213" s="13"/>
      <c r="AM213" s="13"/>
      <c r="AN213" s="13"/>
    </row>
    <row r="214" spans="2:40" ht="15">
      <c r="B214" s="180">
        <v>95</v>
      </c>
      <c r="C214" s="13">
        <v>20200521</v>
      </c>
      <c r="D214" s="13" t="s">
        <v>24</v>
      </c>
      <c r="E214" s="13" t="s">
        <v>1770</v>
      </c>
      <c r="F214" s="39" t="s">
        <v>1774</v>
      </c>
      <c r="G214" s="14">
        <v>1455638</v>
      </c>
      <c r="H214" s="164" t="s">
        <v>72</v>
      </c>
      <c r="I214" s="13" t="s">
        <v>1775</v>
      </c>
      <c r="J214" s="164" t="s">
        <v>72</v>
      </c>
      <c r="K214" s="13" t="s">
        <v>73</v>
      </c>
      <c r="L214" s="13" t="s">
        <v>1773</v>
      </c>
      <c r="M214" s="13" t="s">
        <v>8</v>
      </c>
      <c r="N214" s="13" t="s">
        <v>1034</v>
      </c>
      <c r="O214" s="14" t="s">
        <v>72</v>
      </c>
      <c r="P214" s="14" t="s">
        <v>756</v>
      </c>
      <c r="Q214" s="165"/>
      <c r="R214" s="164" t="s">
        <v>72</v>
      </c>
      <c r="S214" s="13" t="s">
        <v>78</v>
      </c>
      <c r="T214" s="13"/>
      <c r="U214" s="13"/>
      <c r="V214" s="13">
        <v>149</v>
      </c>
      <c r="W214" s="13">
        <v>149</v>
      </c>
      <c r="X214" s="13">
        <v>149</v>
      </c>
      <c r="Y214" s="13">
        <v>2.64</v>
      </c>
      <c r="Z214" s="13">
        <v>1</v>
      </c>
      <c r="AA214" s="13" t="s">
        <v>110</v>
      </c>
      <c r="AB214" s="58">
        <v>43973</v>
      </c>
      <c r="AC214" s="58">
        <v>43972</v>
      </c>
      <c r="AD214" s="58">
        <v>43973</v>
      </c>
      <c r="AE214" s="58">
        <v>43971</v>
      </c>
      <c r="AF214" s="58">
        <v>43971</v>
      </c>
      <c r="AG214" s="58" t="s">
        <v>75</v>
      </c>
      <c r="AH214" s="59">
        <v>1</v>
      </c>
      <c r="AI214" s="59">
        <v>1</v>
      </c>
      <c r="AJ214" s="59">
        <v>1</v>
      </c>
      <c r="AK214" s="58" t="s">
        <v>8</v>
      </c>
      <c r="AL214" s="13"/>
      <c r="AM214" s="13"/>
      <c r="AN214" s="13"/>
    </row>
    <row r="215" spans="2:40" ht="15">
      <c r="B215" s="180">
        <v>96</v>
      </c>
      <c r="C215" s="13">
        <v>20200521</v>
      </c>
      <c r="D215" s="13" t="s">
        <v>24</v>
      </c>
      <c r="E215" s="13" t="s">
        <v>1770</v>
      </c>
      <c r="F215" s="39" t="s">
        <v>1776</v>
      </c>
      <c r="G215" s="14">
        <v>1455638</v>
      </c>
      <c r="H215" s="164" t="s">
        <v>72</v>
      </c>
      <c r="I215" s="13" t="s">
        <v>1777</v>
      </c>
      <c r="J215" s="164" t="s">
        <v>72</v>
      </c>
      <c r="K215" s="13" t="s">
        <v>73</v>
      </c>
      <c r="L215" s="13" t="s">
        <v>1773</v>
      </c>
      <c r="M215" s="13" t="s">
        <v>8</v>
      </c>
      <c r="N215" s="13" t="s">
        <v>1034</v>
      </c>
      <c r="O215" s="14" t="s">
        <v>72</v>
      </c>
      <c r="P215" s="14" t="s">
        <v>756</v>
      </c>
      <c r="Q215" s="165"/>
      <c r="R215" s="164" t="s">
        <v>72</v>
      </c>
      <c r="S215" s="13" t="s">
        <v>78</v>
      </c>
      <c r="T215" s="13"/>
      <c r="U215" s="13"/>
      <c r="V215" s="13">
        <v>4</v>
      </c>
      <c r="W215" s="13">
        <v>4</v>
      </c>
      <c r="X215" s="13">
        <v>4</v>
      </c>
      <c r="Y215" s="13">
        <v>7.0000000000000007E-2</v>
      </c>
      <c r="Z215" s="13">
        <v>0</v>
      </c>
      <c r="AA215" s="13" t="s">
        <v>110</v>
      </c>
      <c r="AB215" s="58">
        <v>43973</v>
      </c>
      <c r="AC215" s="58">
        <v>43972</v>
      </c>
      <c r="AD215" s="58">
        <v>43973</v>
      </c>
      <c r="AE215" s="58">
        <v>43971</v>
      </c>
      <c r="AF215" s="58">
        <v>43971</v>
      </c>
      <c r="AG215" s="58" t="s">
        <v>75</v>
      </c>
      <c r="AH215" s="171" t="s">
        <v>72</v>
      </c>
      <c r="AI215" s="171" t="s">
        <v>72</v>
      </c>
      <c r="AJ215" s="171" t="s">
        <v>72</v>
      </c>
      <c r="AK215" s="58" t="s">
        <v>8</v>
      </c>
      <c r="AL215" s="13"/>
      <c r="AM215" s="13"/>
      <c r="AN215" s="13" t="s">
        <v>574</v>
      </c>
    </row>
    <row r="216" spans="2:40" ht="15">
      <c r="B216" s="180">
        <v>97</v>
      </c>
      <c r="C216" s="13">
        <v>20200521</v>
      </c>
      <c r="D216" s="13" t="s">
        <v>24</v>
      </c>
      <c r="E216" s="13" t="s">
        <v>1778</v>
      </c>
      <c r="F216" s="39" t="s">
        <v>1779</v>
      </c>
      <c r="G216" s="14">
        <v>1479500</v>
      </c>
      <c r="H216" s="164" t="s">
        <v>72</v>
      </c>
      <c r="I216" s="13" t="s">
        <v>1780</v>
      </c>
      <c r="J216" s="164" t="s">
        <v>72</v>
      </c>
      <c r="K216" s="13" t="s">
        <v>73</v>
      </c>
      <c r="L216" s="13" t="s">
        <v>8</v>
      </c>
      <c r="M216" s="13" t="s">
        <v>1781</v>
      </c>
      <c r="N216" s="13" t="s">
        <v>1782</v>
      </c>
      <c r="O216" s="14" t="s">
        <v>72</v>
      </c>
      <c r="P216" s="14" t="s">
        <v>1499</v>
      </c>
      <c r="Q216" s="165"/>
      <c r="R216" s="164" t="s">
        <v>72</v>
      </c>
      <c r="S216" s="13" t="s">
        <v>78</v>
      </c>
      <c r="T216" s="13"/>
      <c r="U216" s="13"/>
      <c r="V216" s="13">
        <v>825</v>
      </c>
      <c r="W216" s="13">
        <v>825</v>
      </c>
      <c r="X216" s="13">
        <v>825</v>
      </c>
      <c r="Y216" s="13">
        <v>14.66</v>
      </c>
      <c r="Z216" s="13">
        <v>2</v>
      </c>
      <c r="AA216" s="13" t="s">
        <v>110</v>
      </c>
      <c r="AB216" s="58">
        <v>43973</v>
      </c>
      <c r="AC216" s="58">
        <v>43972</v>
      </c>
      <c r="AD216" s="58">
        <v>43973</v>
      </c>
      <c r="AE216" s="58">
        <v>43971</v>
      </c>
      <c r="AF216" s="58">
        <v>43971</v>
      </c>
      <c r="AG216" s="58" t="s">
        <v>75</v>
      </c>
      <c r="AH216" s="59">
        <v>1</v>
      </c>
      <c r="AI216" s="59">
        <v>1</v>
      </c>
      <c r="AJ216" s="59">
        <v>1</v>
      </c>
      <c r="AK216" s="58" t="s">
        <v>8</v>
      </c>
      <c r="AL216" s="13"/>
      <c r="AM216" s="13"/>
      <c r="AN216" s="13"/>
    </row>
    <row r="217" spans="2:40" ht="15">
      <c r="B217" s="190">
        <v>98</v>
      </c>
      <c r="C217" s="13">
        <v>20200522</v>
      </c>
      <c r="D217" s="13" t="s">
        <v>24</v>
      </c>
      <c r="E217" s="13" t="s">
        <v>1783</v>
      </c>
      <c r="F217" s="39" t="s">
        <v>1500</v>
      </c>
      <c r="G217" s="14">
        <v>1481262</v>
      </c>
      <c r="H217" s="164" t="s">
        <v>72</v>
      </c>
      <c r="I217" s="13" t="s">
        <v>135</v>
      </c>
      <c r="J217" s="164" t="s">
        <v>72</v>
      </c>
      <c r="K217" s="13" t="s">
        <v>73</v>
      </c>
      <c r="L217" s="13" t="s">
        <v>8</v>
      </c>
      <c r="M217" s="13" t="s">
        <v>8</v>
      </c>
      <c r="N217" s="13" t="s">
        <v>887</v>
      </c>
      <c r="O217" s="14" t="s">
        <v>72</v>
      </c>
      <c r="P217" s="14" t="s">
        <v>1499</v>
      </c>
      <c r="Q217" s="165"/>
      <c r="R217" s="164" t="s">
        <v>72</v>
      </c>
      <c r="S217" s="13" t="s">
        <v>78</v>
      </c>
      <c r="T217" s="13"/>
      <c r="U217" s="13"/>
      <c r="V217" s="13">
        <v>106</v>
      </c>
      <c r="W217" s="13">
        <v>106</v>
      </c>
      <c r="X217" s="13">
        <v>106</v>
      </c>
      <c r="Y217" s="13">
        <v>1.88</v>
      </c>
      <c r="Z217" s="13">
        <v>1</v>
      </c>
      <c r="AA217" s="13" t="s">
        <v>110</v>
      </c>
      <c r="AB217" s="58">
        <v>43978</v>
      </c>
      <c r="AC217" s="58">
        <v>43973</v>
      </c>
      <c r="AD217" s="58">
        <v>43984</v>
      </c>
      <c r="AE217" s="58">
        <v>43977</v>
      </c>
      <c r="AF217" s="58">
        <v>43977</v>
      </c>
      <c r="AG217" s="58" t="s">
        <v>75</v>
      </c>
      <c r="AH217" s="59">
        <v>1</v>
      </c>
      <c r="AI217" s="59">
        <v>1</v>
      </c>
      <c r="AJ217" s="59">
        <v>1</v>
      </c>
      <c r="AK217" s="58" t="s">
        <v>8</v>
      </c>
      <c r="AL217" s="13"/>
      <c r="AM217" s="13"/>
      <c r="AN217" s="13"/>
    </row>
    <row r="218" spans="2:40" ht="15">
      <c r="B218" s="190">
        <v>99</v>
      </c>
      <c r="C218" s="13">
        <v>20200522</v>
      </c>
      <c r="D218" s="13" t="s">
        <v>24</v>
      </c>
      <c r="E218" s="13" t="s">
        <v>1469</v>
      </c>
      <c r="F218" s="39" t="s">
        <v>1785</v>
      </c>
      <c r="G218" s="14">
        <v>1481558</v>
      </c>
      <c r="H218" s="164" t="s">
        <v>72</v>
      </c>
      <c r="I218" s="13" t="s">
        <v>123</v>
      </c>
      <c r="J218" s="164" t="s">
        <v>72</v>
      </c>
      <c r="K218" s="13" t="s">
        <v>73</v>
      </c>
      <c r="L218" s="13" t="s">
        <v>1786</v>
      </c>
      <c r="M218" s="13" t="s">
        <v>1787</v>
      </c>
      <c r="N218" s="13" t="s">
        <v>1136</v>
      </c>
      <c r="O218" s="14" t="s">
        <v>72</v>
      </c>
      <c r="P218" s="14" t="s">
        <v>1137</v>
      </c>
      <c r="Q218" s="165"/>
      <c r="R218" s="164" t="s">
        <v>72</v>
      </c>
      <c r="S218" s="13" t="s">
        <v>78</v>
      </c>
      <c r="T218" s="13"/>
      <c r="U218" s="13"/>
      <c r="V218" s="13">
        <v>42</v>
      </c>
      <c r="W218" s="13">
        <v>42</v>
      </c>
      <c r="X218" s="13">
        <v>42</v>
      </c>
      <c r="Y218" s="13">
        <v>0.74</v>
      </c>
      <c r="Z218" s="13">
        <v>0.5</v>
      </c>
      <c r="AA218" s="13" t="s">
        <v>110</v>
      </c>
      <c r="AB218" s="58">
        <v>43978</v>
      </c>
      <c r="AC218" s="58">
        <v>43973</v>
      </c>
      <c r="AD218" s="58">
        <v>43982</v>
      </c>
      <c r="AE218" s="58">
        <v>43978</v>
      </c>
      <c r="AF218" s="58">
        <v>43978</v>
      </c>
      <c r="AG218" s="58" t="s">
        <v>75</v>
      </c>
      <c r="AH218" s="59">
        <v>1</v>
      </c>
      <c r="AI218" s="59">
        <v>1</v>
      </c>
      <c r="AJ218" s="59">
        <v>1</v>
      </c>
      <c r="AK218" s="58" t="s">
        <v>8</v>
      </c>
      <c r="AL218" s="13"/>
      <c r="AM218" s="13"/>
      <c r="AN218" s="13"/>
    </row>
    <row r="219" spans="2:40" ht="15">
      <c r="B219" s="190">
        <v>100</v>
      </c>
      <c r="C219" s="13">
        <v>20200522</v>
      </c>
      <c r="D219" s="13" t="s">
        <v>24</v>
      </c>
      <c r="E219" s="13" t="s">
        <v>1469</v>
      </c>
      <c r="F219" s="39" t="s">
        <v>1788</v>
      </c>
      <c r="G219" s="14">
        <v>1481558</v>
      </c>
      <c r="H219" s="164" t="s">
        <v>72</v>
      </c>
      <c r="I219" s="13" t="s">
        <v>123</v>
      </c>
      <c r="J219" s="164" t="s">
        <v>72</v>
      </c>
      <c r="K219" s="13" t="s">
        <v>73</v>
      </c>
      <c r="L219" s="13" t="s">
        <v>1786</v>
      </c>
      <c r="M219" s="13" t="s">
        <v>1787</v>
      </c>
      <c r="N219" s="13" t="s">
        <v>1136</v>
      </c>
      <c r="O219" s="14" t="s">
        <v>72</v>
      </c>
      <c r="P219" s="14" t="s">
        <v>1137</v>
      </c>
      <c r="Q219" s="165"/>
      <c r="R219" s="164" t="s">
        <v>72</v>
      </c>
      <c r="S219" s="13" t="s">
        <v>78</v>
      </c>
      <c r="T219" s="13"/>
      <c r="U219" s="13"/>
      <c r="V219" s="13">
        <v>42</v>
      </c>
      <c r="W219" s="13">
        <v>42</v>
      </c>
      <c r="X219" s="13">
        <v>42</v>
      </c>
      <c r="Y219" s="13">
        <v>0.74</v>
      </c>
      <c r="Z219" s="13">
        <v>0.5</v>
      </c>
      <c r="AA219" s="13" t="s">
        <v>110</v>
      </c>
      <c r="AB219" s="58">
        <v>43978</v>
      </c>
      <c r="AC219" s="58">
        <v>43973</v>
      </c>
      <c r="AD219" s="58">
        <v>43982</v>
      </c>
      <c r="AE219" s="58">
        <v>43978</v>
      </c>
      <c r="AF219" s="58">
        <v>43978</v>
      </c>
      <c r="AG219" s="58" t="s">
        <v>75</v>
      </c>
      <c r="AH219" s="59">
        <v>1</v>
      </c>
      <c r="AI219" s="59">
        <v>1</v>
      </c>
      <c r="AJ219" s="59">
        <v>1</v>
      </c>
      <c r="AK219" s="58" t="s">
        <v>8</v>
      </c>
      <c r="AL219" s="13"/>
      <c r="AM219" s="13"/>
      <c r="AN219" s="13"/>
    </row>
    <row r="220" spans="2:40" ht="15">
      <c r="B220" s="190">
        <v>101</v>
      </c>
      <c r="C220" s="13">
        <v>20200522</v>
      </c>
      <c r="D220" s="13" t="s">
        <v>24</v>
      </c>
      <c r="E220" s="13" t="s">
        <v>1373</v>
      </c>
      <c r="F220" s="39" t="s">
        <v>1790</v>
      </c>
      <c r="G220" s="14">
        <v>1479486</v>
      </c>
      <c r="H220" s="164" t="s">
        <v>72</v>
      </c>
      <c r="I220" s="13" t="s">
        <v>805</v>
      </c>
      <c r="J220" s="164" t="s">
        <v>72</v>
      </c>
      <c r="K220" s="13" t="s">
        <v>73</v>
      </c>
      <c r="L220" s="13" t="s">
        <v>8</v>
      </c>
      <c r="M220" s="13" t="s">
        <v>1791</v>
      </c>
      <c r="N220" s="13" t="s">
        <v>1065</v>
      </c>
      <c r="O220" s="14" t="s">
        <v>72</v>
      </c>
      <c r="P220" s="14" t="s">
        <v>1066</v>
      </c>
      <c r="Q220" s="165"/>
      <c r="R220" s="164" t="s">
        <v>72</v>
      </c>
      <c r="S220" s="13" t="s">
        <v>78</v>
      </c>
      <c r="T220" s="13"/>
      <c r="U220" s="13"/>
      <c r="V220" s="13">
        <v>259</v>
      </c>
      <c r="W220" s="13">
        <v>259</v>
      </c>
      <c r="X220" s="13">
        <v>259</v>
      </c>
      <c r="Y220" s="13">
        <v>4.5999999999999996</v>
      </c>
      <c r="Z220" s="13">
        <v>0.5</v>
      </c>
      <c r="AA220" s="13" t="s">
        <v>110</v>
      </c>
      <c r="AB220" s="58">
        <v>43978</v>
      </c>
      <c r="AC220" s="58">
        <v>43973</v>
      </c>
      <c r="AD220" s="58">
        <v>43982</v>
      </c>
      <c r="AE220" s="58">
        <v>43977</v>
      </c>
      <c r="AF220" s="58">
        <v>43977</v>
      </c>
      <c r="AG220" s="58" t="s">
        <v>79</v>
      </c>
      <c r="AH220" s="59">
        <v>1</v>
      </c>
      <c r="AI220" s="59">
        <v>1</v>
      </c>
      <c r="AJ220" s="59">
        <v>0.97</v>
      </c>
      <c r="AK220" s="58" t="s">
        <v>76</v>
      </c>
      <c r="AL220" s="13" t="s">
        <v>1792</v>
      </c>
      <c r="AM220" s="13"/>
      <c r="AN220" s="13" t="s">
        <v>1793</v>
      </c>
    </row>
    <row r="221" spans="2:40" ht="15">
      <c r="B221" s="190">
        <v>102</v>
      </c>
      <c r="C221" s="13">
        <v>20200522</v>
      </c>
      <c r="D221" s="13" t="s">
        <v>311</v>
      </c>
      <c r="E221" s="13" t="s">
        <v>2366</v>
      </c>
      <c r="F221" s="39" t="s">
        <v>72</v>
      </c>
      <c r="G221" s="14">
        <v>1481813</v>
      </c>
      <c r="H221" s="164" t="s">
        <v>72</v>
      </c>
      <c r="I221" s="13" t="s">
        <v>1795</v>
      </c>
      <c r="J221" s="164" t="s">
        <v>72</v>
      </c>
      <c r="K221" s="13" t="s">
        <v>106</v>
      </c>
      <c r="L221" s="14" t="s">
        <v>72</v>
      </c>
      <c r="M221" s="13" t="s">
        <v>1602</v>
      </c>
      <c r="N221" s="13" t="s">
        <v>1796</v>
      </c>
      <c r="O221" s="14" t="s">
        <v>1797</v>
      </c>
      <c r="P221" s="14" t="s">
        <v>1798</v>
      </c>
      <c r="Q221" s="165"/>
      <c r="R221" s="164" t="s">
        <v>72</v>
      </c>
      <c r="S221" s="13" t="s">
        <v>573</v>
      </c>
      <c r="T221" s="13"/>
      <c r="U221" s="13"/>
      <c r="V221" s="13">
        <v>30</v>
      </c>
      <c r="W221" s="13">
        <v>30</v>
      </c>
      <c r="X221" s="13">
        <v>30</v>
      </c>
      <c r="Y221" s="13">
        <v>1.84</v>
      </c>
      <c r="Z221" s="13">
        <v>1</v>
      </c>
      <c r="AA221" s="13" t="s">
        <v>110</v>
      </c>
      <c r="AB221" s="58">
        <v>43978</v>
      </c>
      <c r="AC221" s="58">
        <v>43973</v>
      </c>
      <c r="AD221" s="58">
        <v>43983</v>
      </c>
      <c r="AE221" s="58">
        <v>43976</v>
      </c>
      <c r="AF221" s="58">
        <v>43976</v>
      </c>
      <c r="AG221" s="58" t="s">
        <v>79</v>
      </c>
      <c r="AH221" s="59">
        <v>0.77300000000000002</v>
      </c>
      <c r="AI221" s="59">
        <v>0.8</v>
      </c>
      <c r="AJ221" s="59">
        <v>0.75</v>
      </c>
      <c r="AK221" s="58" t="s">
        <v>76</v>
      </c>
      <c r="AL221" s="14" t="s">
        <v>1799</v>
      </c>
      <c r="AM221" s="13"/>
      <c r="AN221" s="13" t="s">
        <v>1793</v>
      </c>
    </row>
    <row r="222" spans="2:40" ht="15">
      <c r="B222" s="190">
        <v>103</v>
      </c>
      <c r="C222" s="13">
        <v>20200522</v>
      </c>
      <c r="D222" s="13" t="s">
        <v>311</v>
      </c>
      <c r="E222" s="13" t="s">
        <v>2366</v>
      </c>
      <c r="F222" s="39" t="s">
        <v>72</v>
      </c>
      <c r="G222" s="14">
        <v>1482132</v>
      </c>
      <c r="H222" s="164" t="s">
        <v>72</v>
      </c>
      <c r="I222" s="13" t="s">
        <v>1800</v>
      </c>
      <c r="J222" s="164" t="s">
        <v>72</v>
      </c>
      <c r="K222" s="13" t="s">
        <v>106</v>
      </c>
      <c r="L222" s="13" t="s">
        <v>72</v>
      </c>
      <c r="M222" s="13" t="s">
        <v>1602</v>
      </c>
      <c r="N222" s="13" t="s">
        <v>1796</v>
      </c>
      <c r="O222" s="14" t="s">
        <v>1801</v>
      </c>
      <c r="P222" s="14" t="s">
        <v>1798</v>
      </c>
      <c r="Q222" s="165"/>
      <c r="R222" s="164" t="s">
        <v>72</v>
      </c>
      <c r="S222" s="13" t="s">
        <v>573</v>
      </c>
      <c r="T222" s="13"/>
      <c r="U222" s="13"/>
      <c r="V222" s="13">
        <v>50</v>
      </c>
      <c r="W222" s="13">
        <v>50</v>
      </c>
      <c r="X222" s="13">
        <v>50</v>
      </c>
      <c r="Y222" s="13">
        <v>3.07</v>
      </c>
      <c r="Z222" s="13">
        <v>3</v>
      </c>
      <c r="AA222" s="13" t="s">
        <v>110</v>
      </c>
      <c r="AB222" s="58">
        <v>43978</v>
      </c>
      <c r="AC222" s="58">
        <v>43973</v>
      </c>
      <c r="AD222" s="58">
        <v>43983</v>
      </c>
      <c r="AE222" s="58">
        <v>43976</v>
      </c>
      <c r="AF222" s="58">
        <v>43976</v>
      </c>
      <c r="AG222" s="58" t="s">
        <v>75</v>
      </c>
      <c r="AH222" s="59">
        <v>1</v>
      </c>
      <c r="AI222" s="59">
        <v>1</v>
      </c>
      <c r="AJ222" s="59">
        <v>1</v>
      </c>
      <c r="AK222" s="58" t="s">
        <v>8</v>
      </c>
      <c r="AL222" s="13" t="s">
        <v>72</v>
      </c>
      <c r="AM222" s="13" t="s">
        <v>72</v>
      </c>
      <c r="AN222" s="13" t="s">
        <v>72</v>
      </c>
    </row>
    <row r="223" spans="2:40" ht="15">
      <c r="B223" s="190">
        <v>104</v>
      </c>
      <c r="C223" s="13">
        <v>20200522</v>
      </c>
      <c r="D223" s="13" t="s">
        <v>24</v>
      </c>
      <c r="E223" s="13" t="s">
        <v>1770</v>
      </c>
      <c r="F223" s="39" t="s">
        <v>1802</v>
      </c>
      <c r="G223" s="14">
        <v>1479179</v>
      </c>
      <c r="H223" s="164" t="s">
        <v>72</v>
      </c>
      <c r="I223" s="13" t="s">
        <v>1803</v>
      </c>
      <c r="J223" s="164" t="s">
        <v>72</v>
      </c>
      <c r="K223" s="13" t="s">
        <v>73</v>
      </c>
      <c r="L223" s="13" t="s">
        <v>1804</v>
      </c>
      <c r="M223" s="13"/>
      <c r="N223" s="13" t="s">
        <v>1034</v>
      </c>
      <c r="O223" s="14" t="s">
        <v>72</v>
      </c>
      <c r="P223" s="14" t="s">
        <v>1805</v>
      </c>
      <c r="Q223" s="165"/>
      <c r="R223" s="164" t="s">
        <v>72</v>
      </c>
      <c r="S223" s="13" t="s">
        <v>78</v>
      </c>
      <c r="T223" s="13"/>
      <c r="U223" s="13"/>
      <c r="V223" s="13">
        <v>26</v>
      </c>
      <c r="W223" s="13">
        <v>26</v>
      </c>
      <c r="X223" s="13">
        <v>26</v>
      </c>
      <c r="Y223" s="13">
        <v>0.46</v>
      </c>
      <c r="Z223" s="13">
        <v>0.5</v>
      </c>
      <c r="AA223" s="13" t="s">
        <v>110</v>
      </c>
      <c r="AB223" s="58">
        <v>43977</v>
      </c>
      <c r="AC223" s="58">
        <v>43973</v>
      </c>
      <c r="AD223" s="58">
        <v>43977</v>
      </c>
      <c r="AE223" s="58">
        <v>43977</v>
      </c>
      <c r="AF223" s="58">
        <v>43977</v>
      </c>
      <c r="AG223" s="58" t="s">
        <v>75</v>
      </c>
      <c r="AH223" s="59">
        <v>1</v>
      </c>
      <c r="AI223" s="59">
        <v>1</v>
      </c>
      <c r="AJ223" s="59">
        <v>1</v>
      </c>
      <c r="AK223" s="58" t="s">
        <v>8</v>
      </c>
      <c r="AL223" s="13"/>
      <c r="AM223" s="13"/>
      <c r="AN223" s="13"/>
    </row>
    <row r="224" spans="2:40" ht="15">
      <c r="B224" s="190">
        <v>105</v>
      </c>
      <c r="C224" s="13">
        <v>20200522</v>
      </c>
      <c r="D224" s="13" t="s">
        <v>24</v>
      </c>
      <c r="E224" s="13" t="s">
        <v>1806</v>
      </c>
      <c r="F224" s="39" t="s">
        <v>1807</v>
      </c>
      <c r="G224" s="14">
        <v>1481841</v>
      </c>
      <c r="H224" s="164" t="s">
        <v>72</v>
      </c>
      <c r="I224" s="13" t="s">
        <v>1666</v>
      </c>
      <c r="J224" s="164" t="s">
        <v>72</v>
      </c>
      <c r="K224" s="13" t="s">
        <v>73</v>
      </c>
      <c r="L224" s="13" t="s">
        <v>1808</v>
      </c>
      <c r="M224" s="13" t="s">
        <v>8</v>
      </c>
      <c r="N224" s="13" t="s">
        <v>1809</v>
      </c>
      <c r="O224" s="14" t="s">
        <v>72</v>
      </c>
      <c r="P224" s="14" t="s">
        <v>1663</v>
      </c>
      <c r="Q224" s="165"/>
      <c r="R224" s="164" t="s">
        <v>72</v>
      </c>
      <c r="S224" s="13" t="s">
        <v>74</v>
      </c>
      <c r="T224" s="13"/>
      <c r="U224" s="13"/>
      <c r="V224" s="13">
        <v>296</v>
      </c>
      <c r="W224" s="13">
        <v>296</v>
      </c>
      <c r="X224" s="13">
        <v>296</v>
      </c>
      <c r="Y224" s="13">
        <v>5.26</v>
      </c>
      <c r="Z224" s="13">
        <v>2</v>
      </c>
      <c r="AA224" s="13" t="s">
        <v>110</v>
      </c>
      <c r="AB224" s="58">
        <v>43978</v>
      </c>
      <c r="AC224" s="58">
        <v>43973</v>
      </c>
      <c r="AD224" s="58">
        <v>43979</v>
      </c>
      <c r="AE224" s="58">
        <v>43977</v>
      </c>
      <c r="AF224" s="58">
        <v>43977</v>
      </c>
      <c r="AG224" s="58" t="s">
        <v>75</v>
      </c>
      <c r="AH224" s="59">
        <v>1</v>
      </c>
      <c r="AI224" s="59">
        <v>1</v>
      </c>
      <c r="AJ224" s="59">
        <v>1</v>
      </c>
      <c r="AK224" s="58" t="s">
        <v>8</v>
      </c>
      <c r="AL224" s="13"/>
      <c r="AM224" s="13"/>
      <c r="AN224" s="13"/>
    </row>
    <row r="225" spans="2:40" ht="15">
      <c r="B225" s="190">
        <v>106</v>
      </c>
      <c r="C225" s="13">
        <v>20200522</v>
      </c>
      <c r="D225" s="13" t="s">
        <v>24</v>
      </c>
      <c r="E225" s="13" t="s">
        <v>1806</v>
      </c>
      <c r="F225" s="39" t="s">
        <v>1810</v>
      </c>
      <c r="G225" s="14">
        <v>1481841</v>
      </c>
      <c r="H225" s="164" t="s">
        <v>72</v>
      </c>
      <c r="I225" s="13" t="s">
        <v>17</v>
      </c>
      <c r="J225" s="164" t="s">
        <v>72</v>
      </c>
      <c r="K225" s="13" t="s">
        <v>73</v>
      </c>
      <c r="L225" s="13" t="s">
        <v>1808</v>
      </c>
      <c r="M225" s="13" t="s">
        <v>8</v>
      </c>
      <c r="N225" s="13" t="s">
        <v>1809</v>
      </c>
      <c r="O225" s="14" t="s">
        <v>72</v>
      </c>
      <c r="P225" s="14" t="s">
        <v>1663</v>
      </c>
      <c r="Q225" s="165"/>
      <c r="R225" s="164" t="s">
        <v>72</v>
      </c>
      <c r="S225" s="13" t="s">
        <v>74</v>
      </c>
      <c r="T225" s="13"/>
      <c r="U225" s="13"/>
      <c r="V225" s="13">
        <v>184</v>
      </c>
      <c r="W225" s="13">
        <v>184</v>
      </c>
      <c r="X225" s="13">
        <v>184</v>
      </c>
      <c r="Y225" s="13">
        <v>3.27</v>
      </c>
      <c r="Z225" s="13">
        <v>1</v>
      </c>
      <c r="AA225" s="13" t="s">
        <v>110</v>
      </c>
      <c r="AB225" s="58">
        <v>43978</v>
      </c>
      <c r="AC225" s="58">
        <v>43973</v>
      </c>
      <c r="AD225" s="58">
        <v>43979</v>
      </c>
      <c r="AE225" s="58">
        <v>43977</v>
      </c>
      <c r="AF225" s="58">
        <v>43977</v>
      </c>
      <c r="AG225" s="58" t="s">
        <v>75</v>
      </c>
      <c r="AH225" s="59">
        <v>1</v>
      </c>
      <c r="AI225" s="59">
        <v>1</v>
      </c>
      <c r="AJ225" s="59">
        <v>1</v>
      </c>
      <c r="AK225" s="58" t="s">
        <v>8</v>
      </c>
      <c r="AL225" s="13"/>
      <c r="AM225" s="13"/>
      <c r="AN225" s="13"/>
    </row>
    <row r="226" spans="2:40" ht="15">
      <c r="B226" s="190">
        <v>107</v>
      </c>
      <c r="C226" s="13">
        <v>20200522</v>
      </c>
      <c r="D226" s="13" t="s">
        <v>24</v>
      </c>
      <c r="E226" s="13" t="s">
        <v>1806</v>
      </c>
      <c r="F226" s="39" t="s">
        <v>1811</v>
      </c>
      <c r="G226" s="14">
        <v>1481841</v>
      </c>
      <c r="H226" s="164" t="s">
        <v>72</v>
      </c>
      <c r="I226" s="13" t="s">
        <v>1660</v>
      </c>
      <c r="J226" s="164" t="s">
        <v>72</v>
      </c>
      <c r="K226" s="13" t="s">
        <v>73</v>
      </c>
      <c r="L226" s="13" t="s">
        <v>1808</v>
      </c>
      <c r="M226" s="13" t="s">
        <v>8</v>
      </c>
      <c r="N226" s="13" t="s">
        <v>1809</v>
      </c>
      <c r="O226" s="14" t="s">
        <v>72</v>
      </c>
      <c r="P226" s="14" t="s">
        <v>1663</v>
      </c>
      <c r="Q226" s="165"/>
      <c r="R226" s="164" t="s">
        <v>72</v>
      </c>
      <c r="S226" s="13" t="s">
        <v>74</v>
      </c>
      <c r="T226" s="13"/>
      <c r="U226" s="13"/>
      <c r="V226" s="13">
        <v>641</v>
      </c>
      <c r="W226" s="13">
        <v>641</v>
      </c>
      <c r="X226" s="13">
        <v>641</v>
      </c>
      <c r="Y226" s="13">
        <v>11.39</v>
      </c>
      <c r="Z226" s="13">
        <v>4</v>
      </c>
      <c r="AA226" s="13" t="s">
        <v>110</v>
      </c>
      <c r="AB226" s="58">
        <v>43978</v>
      </c>
      <c r="AC226" s="58">
        <v>43973</v>
      </c>
      <c r="AD226" s="58">
        <v>43979</v>
      </c>
      <c r="AE226" s="58">
        <v>43977</v>
      </c>
      <c r="AF226" s="58">
        <v>43977</v>
      </c>
      <c r="AG226" s="58" t="s">
        <v>79</v>
      </c>
      <c r="AH226" s="59">
        <v>0.98</v>
      </c>
      <c r="AI226" s="59">
        <v>0.96</v>
      </c>
      <c r="AJ226" s="59">
        <v>0.9</v>
      </c>
      <c r="AK226" s="58" t="s">
        <v>76</v>
      </c>
      <c r="AL226" s="13" t="s">
        <v>1812</v>
      </c>
      <c r="AM226" s="13"/>
      <c r="AN226" s="13" t="s">
        <v>1793</v>
      </c>
    </row>
    <row r="227" spans="2:40" ht="15">
      <c r="B227" s="190">
        <v>108</v>
      </c>
      <c r="C227" s="13">
        <v>20200522</v>
      </c>
      <c r="D227" s="13" t="s">
        <v>24</v>
      </c>
      <c r="E227" s="13" t="s">
        <v>1806</v>
      </c>
      <c r="F227" s="39" t="s">
        <v>1813</v>
      </c>
      <c r="G227" s="14">
        <v>1481841</v>
      </c>
      <c r="H227" s="164" t="s">
        <v>72</v>
      </c>
      <c r="I227" s="13" t="s">
        <v>1814</v>
      </c>
      <c r="J227" s="164" t="s">
        <v>72</v>
      </c>
      <c r="K227" s="13" t="s">
        <v>73</v>
      </c>
      <c r="L227" s="13" t="s">
        <v>1808</v>
      </c>
      <c r="M227" s="13" t="s">
        <v>8</v>
      </c>
      <c r="N227" s="13" t="s">
        <v>1809</v>
      </c>
      <c r="O227" s="14" t="s">
        <v>72</v>
      </c>
      <c r="P227" s="14" t="s">
        <v>1663</v>
      </c>
      <c r="Q227" s="165"/>
      <c r="R227" s="164" t="s">
        <v>72</v>
      </c>
      <c r="S227" s="13" t="s">
        <v>77</v>
      </c>
      <c r="T227" s="13"/>
      <c r="U227" s="13"/>
      <c r="V227" s="13">
        <v>25</v>
      </c>
      <c r="W227" s="13">
        <v>25</v>
      </c>
      <c r="X227" s="13">
        <v>25</v>
      </c>
      <c r="Y227" s="13">
        <v>0.44</v>
      </c>
      <c r="Z227" s="13">
        <v>0.1</v>
      </c>
      <c r="AA227" s="13" t="s">
        <v>110</v>
      </c>
      <c r="AB227" s="58">
        <v>43978</v>
      </c>
      <c r="AC227" s="58">
        <v>43973</v>
      </c>
      <c r="AD227" s="58">
        <v>43979</v>
      </c>
      <c r="AE227" s="58">
        <v>43977</v>
      </c>
      <c r="AF227" s="58">
        <v>43977</v>
      </c>
      <c r="AG227" s="58" t="s">
        <v>75</v>
      </c>
      <c r="AH227" s="171" t="s">
        <v>72</v>
      </c>
      <c r="AI227" s="171" t="s">
        <v>72</v>
      </c>
      <c r="AJ227" s="171" t="s">
        <v>72</v>
      </c>
      <c r="AK227" s="58" t="s">
        <v>8</v>
      </c>
      <c r="AL227" s="176" t="s">
        <v>72</v>
      </c>
      <c r="AM227" s="176" t="s">
        <v>72</v>
      </c>
      <c r="AN227" s="191" t="s">
        <v>574</v>
      </c>
    </row>
    <row r="228" spans="2:40" ht="15">
      <c r="B228" s="190">
        <v>109</v>
      </c>
      <c r="C228" s="13">
        <v>20200522</v>
      </c>
      <c r="D228" s="13" t="s">
        <v>24</v>
      </c>
      <c r="E228" s="13" t="s">
        <v>1806</v>
      </c>
      <c r="F228" s="39" t="s">
        <v>1815</v>
      </c>
      <c r="G228" s="14">
        <v>1481841</v>
      </c>
      <c r="H228" s="164" t="s">
        <v>72</v>
      </c>
      <c r="I228" s="13" t="s">
        <v>130</v>
      </c>
      <c r="J228" s="164" t="s">
        <v>72</v>
      </c>
      <c r="K228" s="13" t="s">
        <v>73</v>
      </c>
      <c r="L228" s="13" t="s">
        <v>1808</v>
      </c>
      <c r="M228" s="13" t="s">
        <v>8</v>
      </c>
      <c r="N228" s="13" t="s">
        <v>1809</v>
      </c>
      <c r="O228" s="14" t="s">
        <v>72</v>
      </c>
      <c r="P228" s="14" t="s">
        <v>1663</v>
      </c>
      <c r="Q228" s="165"/>
      <c r="R228" s="164" t="s">
        <v>72</v>
      </c>
      <c r="S228" s="13" t="s">
        <v>77</v>
      </c>
      <c r="T228" s="13"/>
      <c r="U228" s="13"/>
      <c r="V228" s="13">
        <v>220</v>
      </c>
      <c r="W228" s="13">
        <v>220</v>
      </c>
      <c r="X228" s="13">
        <v>220</v>
      </c>
      <c r="Y228" s="13">
        <v>3.91</v>
      </c>
      <c r="Z228" s="13">
        <v>2</v>
      </c>
      <c r="AA228" s="13" t="s">
        <v>110</v>
      </c>
      <c r="AB228" s="58">
        <v>43978</v>
      </c>
      <c r="AC228" s="58">
        <v>43973</v>
      </c>
      <c r="AD228" s="58">
        <v>43979</v>
      </c>
      <c r="AE228" s="58">
        <v>43977</v>
      </c>
      <c r="AF228" s="58">
        <v>43977</v>
      </c>
      <c r="AG228" s="58" t="s">
        <v>75</v>
      </c>
      <c r="AH228" s="59">
        <v>1</v>
      </c>
      <c r="AI228" s="59">
        <v>1</v>
      </c>
      <c r="AJ228" s="59">
        <v>1</v>
      </c>
      <c r="AK228" s="58" t="s">
        <v>8</v>
      </c>
      <c r="AL228" s="176" t="s">
        <v>72</v>
      </c>
      <c r="AM228" s="176" t="s">
        <v>72</v>
      </c>
      <c r="AN228" s="13" t="s">
        <v>72</v>
      </c>
    </row>
    <row r="229" spans="2:40" ht="15">
      <c r="B229" s="190">
        <v>110</v>
      </c>
      <c r="C229" s="13">
        <v>20200522</v>
      </c>
      <c r="D229" s="13" t="s">
        <v>24</v>
      </c>
      <c r="E229" s="13" t="s">
        <v>1806</v>
      </c>
      <c r="F229" s="39" t="s">
        <v>1816</v>
      </c>
      <c r="G229" s="14">
        <v>1481841</v>
      </c>
      <c r="H229" s="164" t="s">
        <v>72</v>
      </c>
      <c r="I229" s="13" t="s">
        <v>1817</v>
      </c>
      <c r="J229" s="164" t="s">
        <v>72</v>
      </c>
      <c r="K229" s="13" t="s">
        <v>73</v>
      </c>
      <c r="L229" s="13" t="s">
        <v>1808</v>
      </c>
      <c r="M229" s="13" t="s">
        <v>8</v>
      </c>
      <c r="N229" s="13" t="s">
        <v>1809</v>
      </c>
      <c r="O229" s="14" t="s">
        <v>72</v>
      </c>
      <c r="P229" s="14" t="s">
        <v>1663</v>
      </c>
      <c r="Q229" s="165"/>
      <c r="R229" s="164" t="s">
        <v>72</v>
      </c>
      <c r="S229" s="13" t="s">
        <v>77</v>
      </c>
      <c r="T229" s="13"/>
      <c r="U229" s="13"/>
      <c r="V229" s="13">
        <v>7</v>
      </c>
      <c r="W229" s="13">
        <v>7</v>
      </c>
      <c r="X229" s="13">
        <v>7</v>
      </c>
      <c r="Y229" s="13">
        <v>0.12</v>
      </c>
      <c r="Z229" s="13">
        <v>0.1</v>
      </c>
      <c r="AA229" s="13" t="s">
        <v>110</v>
      </c>
      <c r="AB229" s="58">
        <v>43978</v>
      </c>
      <c r="AC229" s="58">
        <v>43973</v>
      </c>
      <c r="AD229" s="58">
        <v>43979</v>
      </c>
      <c r="AE229" s="58">
        <v>43977</v>
      </c>
      <c r="AF229" s="58">
        <v>43977</v>
      </c>
      <c r="AG229" s="58" t="s">
        <v>75</v>
      </c>
      <c r="AH229" s="59">
        <v>1</v>
      </c>
      <c r="AI229" s="59">
        <v>1</v>
      </c>
      <c r="AJ229" s="59">
        <v>1</v>
      </c>
      <c r="AK229" s="58" t="s">
        <v>8</v>
      </c>
      <c r="AL229" s="176" t="s">
        <v>72</v>
      </c>
      <c r="AM229" s="176" t="s">
        <v>72</v>
      </c>
      <c r="AN229" s="13" t="s">
        <v>72</v>
      </c>
    </row>
    <row r="230" spans="2:40" ht="15">
      <c r="B230" s="190">
        <v>111</v>
      </c>
      <c r="C230" s="13">
        <v>20200522</v>
      </c>
      <c r="D230" s="13" t="s">
        <v>24</v>
      </c>
      <c r="E230" s="13" t="s">
        <v>1806</v>
      </c>
      <c r="F230" s="39" t="s">
        <v>1818</v>
      </c>
      <c r="G230" s="14">
        <v>1481841</v>
      </c>
      <c r="H230" s="164" t="s">
        <v>72</v>
      </c>
      <c r="I230" s="13" t="s">
        <v>1819</v>
      </c>
      <c r="J230" s="164" t="s">
        <v>72</v>
      </c>
      <c r="K230" s="13" t="s">
        <v>73</v>
      </c>
      <c r="L230" s="13" t="s">
        <v>1808</v>
      </c>
      <c r="M230" s="13" t="s">
        <v>8</v>
      </c>
      <c r="N230" s="13" t="s">
        <v>1809</v>
      </c>
      <c r="O230" s="14" t="s">
        <v>72</v>
      </c>
      <c r="P230" s="14" t="s">
        <v>1663</v>
      </c>
      <c r="Q230" s="165"/>
      <c r="R230" s="164" t="s">
        <v>72</v>
      </c>
      <c r="S230" s="13" t="s">
        <v>77</v>
      </c>
      <c r="T230" s="13"/>
      <c r="U230" s="13"/>
      <c r="V230" s="13">
        <v>7</v>
      </c>
      <c r="W230" s="13">
        <v>7</v>
      </c>
      <c r="X230" s="13">
        <v>7</v>
      </c>
      <c r="Y230" s="13">
        <v>0.12</v>
      </c>
      <c r="Z230" s="13">
        <v>0.1</v>
      </c>
      <c r="AA230" s="13" t="s">
        <v>110</v>
      </c>
      <c r="AB230" s="58">
        <v>43978</v>
      </c>
      <c r="AC230" s="58">
        <v>43973</v>
      </c>
      <c r="AD230" s="58">
        <v>43979</v>
      </c>
      <c r="AE230" s="58">
        <v>43977</v>
      </c>
      <c r="AF230" s="58">
        <v>43977</v>
      </c>
      <c r="AG230" s="58" t="s">
        <v>75</v>
      </c>
      <c r="AH230" s="59">
        <v>1</v>
      </c>
      <c r="AI230" s="59">
        <v>1</v>
      </c>
      <c r="AJ230" s="59">
        <v>1</v>
      </c>
      <c r="AK230" s="58" t="s">
        <v>8</v>
      </c>
      <c r="AL230" s="176" t="s">
        <v>72</v>
      </c>
      <c r="AM230" s="176" t="s">
        <v>72</v>
      </c>
      <c r="AN230" s="13" t="s">
        <v>72</v>
      </c>
    </row>
    <row r="231" spans="2:40" ht="15">
      <c r="B231" s="190">
        <v>112</v>
      </c>
      <c r="C231" s="13">
        <v>20200522</v>
      </c>
      <c r="D231" s="13" t="s">
        <v>24</v>
      </c>
      <c r="E231" s="13" t="s">
        <v>1806</v>
      </c>
      <c r="F231" s="39" t="s">
        <v>1820</v>
      </c>
      <c r="G231" s="14">
        <v>1481841</v>
      </c>
      <c r="H231" s="164" t="s">
        <v>72</v>
      </c>
      <c r="I231" s="13" t="s">
        <v>1821</v>
      </c>
      <c r="J231" s="164" t="s">
        <v>72</v>
      </c>
      <c r="K231" s="13" t="s">
        <v>73</v>
      </c>
      <c r="L231" s="13" t="s">
        <v>1808</v>
      </c>
      <c r="M231" s="13" t="s">
        <v>8</v>
      </c>
      <c r="N231" s="13" t="s">
        <v>1809</v>
      </c>
      <c r="O231" s="14" t="s">
        <v>72</v>
      </c>
      <c r="P231" s="14" t="s">
        <v>1663</v>
      </c>
      <c r="Q231" s="165"/>
      <c r="R231" s="164" t="s">
        <v>72</v>
      </c>
      <c r="S231" s="13" t="s">
        <v>77</v>
      </c>
      <c r="T231" s="13"/>
      <c r="U231" s="13"/>
      <c r="V231" s="13">
        <v>7</v>
      </c>
      <c r="W231" s="13">
        <v>7</v>
      </c>
      <c r="X231" s="13">
        <v>7</v>
      </c>
      <c r="Y231" s="13">
        <v>0.12</v>
      </c>
      <c r="Z231" s="13">
        <v>0.1</v>
      </c>
      <c r="AA231" s="13" t="s">
        <v>110</v>
      </c>
      <c r="AB231" s="58">
        <v>43978</v>
      </c>
      <c r="AC231" s="58">
        <v>43973</v>
      </c>
      <c r="AD231" s="58">
        <v>43979</v>
      </c>
      <c r="AE231" s="58">
        <v>43977</v>
      </c>
      <c r="AF231" s="58">
        <v>43977</v>
      </c>
      <c r="AG231" s="58" t="s">
        <v>75</v>
      </c>
      <c r="AH231" s="59">
        <v>1</v>
      </c>
      <c r="AI231" s="59">
        <v>1</v>
      </c>
      <c r="AJ231" s="59">
        <v>1</v>
      </c>
      <c r="AK231" s="58" t="s">
        <v>8</v>
      </c>
      <c r="AL231" s="176" t="s">
        <v>72</v>
      </c>
      <c r="AM231" s="176" t="s">
        <v>72</v>
      </c>
      <c r="AN231" s="13" t="s">
        <v>72</v>
      </c>
    </row>
    <row r="232" spans="2:40" ht="15">
      <c r="B232" s="190">
        <v>113</v>
      </c>
      <c r="C232" s="13">
        <v>20200522</v>
      </c>
      <c r="D232" s="13" t="s">
        <v>24</v>
      </c>
      <c r="E232" s="13" t="s">
        <v>1806</v>
      </c>
      <c r="F232" s="39" t="s">
        <v>1822</v>
      </c>
      <c r="G232" s="14">
        <v>1481841</v>
      </c>
      <c r="H232" s="164" t="s">
        <v>72</v>
      </c>
      <c r="I232" s="13" t="s">
        <v>32</v>
      </c>
      <c r="J232" s="164" t="s">
        <v>72</v>
      </c>
      <c r="K232" s="13" t="s">
        <v>73</v>
      </c>
      <c r="L232" s="13" t="s">
        <v>1808</v>
      </c>
      <c r="M232" s="13" t="s">
        <v>8</v>
      </c>
      <c r="N232" s="13" t="s">
        <v>1809</v>
      </c>
      <c r="O232" s="14" t="s">
        <v>72</v>
      </c>
      <c r="P232" s="14" t="s">
        <v>1663</v>
      </c>
      <c r="Q232" s="165"/>
      <c r="R232" s="164" t="s">
        <v>72</v>
      </c>
      <c r="S232" s="13" t="s">
        <v>77</v>
      </c>
      <c r="T232" s="13"/>
      <c r="U232" s="13"/>
      <c r="V232" s="13">
        <v>259</v>
      </c>
      <c r="W232" s="13">
        <v>259</v>
      </c>
      <c r="X232" s="13">
        <v>259</v>
      </c>
      <c r="Y232" s="13">
        <v>4.5999999999999996</v>
      </c>
      <c r="Z232" s="13">
        <v>1</v>
      </c>
      <c r="AA232" s="13" t="s">
        <v>110</v>
      </c>
      <c r="AB232" s="58">
        <v>43978</v>
      </c>
      <c r="AC232" s="58">
        <v>43973</v>
      </c>
      <c r="AD232" s="58">
        <v>43979</v>
      </c>
      <c r="AE232" s="58">
        <v>43977</v>
      </c>
      <c r="AF232" s="58">
        <v>43977</v>
      </c>
      <c r="AG232" s="58" t="s">
        <v>79</v>
      </c>
      <c r="AH232" s="59">
        <v>1</v>
      </c>
      <c r="AI232" s="59">
        <v>1</v>
      </c>
      <c r="AJ232" s="59">
        <v>0.84</v>
      </c>
      <c r="AK232" s="58" t="s">
        <v>76</v>
      </c>
      <c r="AL232" s="14" t="s">
        <v>1823</v>
      </c>
      <c r="AM232" s="13"/>
      <c r="AN232" s="14" t="s">
        <v>1824</v>
      </c>
    </row>
    <row r="233" spans="2:40" ht="15">
      <c r="B233" s="190">
        <v>114</v>
      </c>
      <c r="C233" s="13">
        <v>20200522</v>
      </c>
      <c r="D233" s="13" t="s">
        <v>24</v>
      </c>
      <c r="E233" s="13" t="s">
        <v>1806</v>
      </c>
      <c r="F233" s="39" t="s">
        <v>1825</v>
      </c>
      <c r="G233" s="14">
        <v>1481841</v>
      </c>
      <c r="H233" s="164" t="s">
        <v>72</v>
      </c>
      <c r="I233" s="13" t="s">
        <v>35</v>
      </c>
      <c r="J233" s="164" t="s">
        <v>72</v>
      </c>
      <c r="K233" s="13" t="s">
        <v>73</v>
      </c>
      <c r="L233" s="13" t="s">
        <v>1808</v>
      </c>
      <c r="M233" s="13" t="s">
        <v>8</v>
      </c>
      <c r="N233" s="13" t="s">
        <v>1809</v>
      </c>
      <c r="O233" s="14" t="s">
        <v>72</v>
      </c>
      <c r="P233" s="14" t="s">
        <v>1663</v>
      </c>
      <c r="Q233" s="165"/>
      <c r="R233" s="164" t="s">
        <v>72</v>
      </c>
      <c r="S233" s="13" t="s">
        <v>74</v>
      </c>
      <c r="T233" s="13"/>
      <c r="U233" s="13"/>
      <c r="V233" s="13">
        <v>371</v>
      </c>
      <c r="W233" s="13">
        <v>371</v>
      </c>
      <c r="X233" s="13">
        <v>371</v>
      </c>
      <c r="Y233" s="13">
        <v>6.59</v>
      </c>
      <c r="Z233" s="13">
        <v>1</v>
      </c>
      <c r="AA233" s="13" t="s">
        <v>110</v>
      </c>
      <c r="AB233" s="58">
        <v>43978</v>
      </c>
      <c r="AC233" s="58">
        <v>43973</v>
      </c>
      <c r="AD233" s="58">
        <v>43979</v>
      </c>
      <c r="AE233" s="58">
        <v>43978</v>
      </c>
      <c r="AF233" s="58">
        <v>43978</v>
      </c>
      <c r="AG233" s="58" t="s">
        <v>75</v>
      </c>
      <c r="AH233" s="59">
        <v>1</v>
      </c>
      <c r="AI233" s="59">
        <v>1</v>
      </c>
      <c r="AJ233" s="59">
        <v>1</v>
      </c>
      <c r="AK233" s="58" t="s">
        <v>8</v>
      </c>
      <c r="AL233" s="13"/>
      <c r="AM233" s="13"/>
      <c r="AN233" s="13"/>
    </row>
    <row r="234" spans="2:40" ht="15">
      <c r="B234" s="190">
        <v>115</v>
      </c>
      <c r="C234" s="13">
        <v>20200522</v>
      </c>
      <c r="D234" s="13" t="s">
        <v>24</v>
      </c>
      <c r="E234" s="13" t="s">
        <v>1806</v>
      </c>
      <c r="F234" s="39" t="s">
        <v>1826</v>
      </c>
      <c r="G234" s="14">
        <v>1481841</v>
      </c>
      <c r="H234" s="164" t="s">
        <v>72</v>
      </c>
      <c r="I234" s="13" t="s">
        <v>38</v>
      </c>
      <c r="J234" s="164" t="s">
        <v>72</v>
      </c>
      <c r="K234" s="13" t="s">
        <v>73</v>
      </c>
      <c r="L234" s="13" t="s">
        <v>1808</v>
      </c>
      <c r="M234" s="13" t="s">
        <v>8</v>
      </c>
      <c r="N234" s="13" t="s">
        <v>1809</v>
      </c>
      <c r="O234" s="14" t="s">
        <v>72</v>
      </c>
      <c r="P234" s="14" t="s">
        <v>1663</v>
      </c>
      <c r="Q234" s="165"/>
      <c r="R234" s="164" t="s">
        <v>72</v>
      </c>
      <c r="S234" s="13" t="s">
        <v>77</v>
      </c>
      <c r="T234" s="13"/>
      <c r="U234" s="13"/>
      <c r="V234" s="13">
        <v>115</v>
      </c>
      <c r="W234" s="13">
        <v>115</v>
      </c>
      <c r="X234" s="13">
        <v>115</v>
      </c>
      <c r="Y234" s="13">
        <v>2.04</v>
      </c>
      <c r="Z234" s="13">
        <v>0.5</v>
      </c>
      <c r="AA234" s="13" t="s">
        <v>110</v>
      </c>
      <c r="AB234" s="58">
        <v>43978</v>
      </c>
      <c r="AC234" s="58">
        <v>43973</v>
      </c>
      <c r="AD234" s="58">
        <v>43979</v>
      </c>
      <c r="AE234" s="58">
        <v>43977</v>
      </c>
      <c r="AF234" s="58">
        <v>43977</v>
      </c>
      <c r="AG234" s="58" t="s">
        <v>75</v>
      </c>
      <c r="AH234" s="59">
        <v>1</v>
      </c>
      <c r="AI234" s="59">
        <v>1</v>
      </c>
      <c r="AJ234" s="59">
        <v>1</v>
      </c>
      <c r="AK234" s="58" t="s">
        <v>8</v>
      </c>
      <c r="AL234" s="14" t="s">
        <v>72</v>
      </c>
      <c r="AM234" s="14" t="s">
        <v>72</v>
      </c>
      <c r="AN234" s="14" t="s">
        <v>72</v>
      </c>
    </row>
    <row r="235" spans="2:40" ht="15">
      <c r="B235" s="192">
        <v>116</v>
      </c>
      <c r="C235" s="13">
        <v>20200522</v>
      </c>
      <c r="D235" s="13" t="s">
        <v>24</v>
      </c>
      <c r="E235" s="13" t="s">
        <v>1422</v>
      </c>
      <c r="F235" s="39" t="s">
        <v>1828</v>
      </c>
      <c r="G235" s="14">
        <v>1482572</v>
      </c>
      <c r="H235" s="164" t="s">
        <v>72</v>
      </c>
      <c r="I235" s="13" t="s">
        <v>135</v>
      </c>
      <c r="J235" s="164" t="s">
        <v>72</v>
      </c>
      <c r="K235" s="13" t="s">
        <v>73</v>
      </c>
      <c r="L235" s="13" t="s">
        <v>27</v>
      </c>
      <c r="M235" s="13" t="s">
        <v>1787</v>
      </c>
      <c r="N235" s="13" t="s">
        <v>1829</v>
      </c>
      <c r="O235" s="14" t="s">
        <v>72</v>
      </c>
      <c r="P235" s="14" t="s">
        <v>7</v>
      </c>
      <c r="Q235" s="165"/>
      <c r="R235" s="164" t="s">
        <v>72</v>
      </c>
      <c r="S235" s="13" t="s">
        <v>109</v>
      </c>
      <c r="T235" s="13"/>
      <c r="U235" s="13"/>
      <c r="V235" s="13">
        <v>20</v>
      </c>
      <c r="W235" s="13">
        <v>20</v>
      </c>
      <c r="X235" s="13">
        <v>20</v>
      </c>
      <c r="Y235" s="13">
        <v>0.35</v>
      </c>
      <c r="Z235" s="13">
        <v>0.5</v>
      </c>
      <c r="AA235" s="13" t="s">
        <v>110</v>
      </c>
      <c r="AB235" s="58">
        <v>43977</v>
      </c>
      <c r="AC235" s="58">
        <v>43973</v>
      </c>
      <c r="AD235" s="58">
        <v>43977</v>
      </c>
      <c r="AE235" s="58">
        <v>43977</v>
      </c>
      <c r="AF235" s="58">
        <v>43977</v>
      </c>
      <c r="AG235" s="58" t="s">
        <v>75</v>
      </c>
      <c r="AH235" s="59">
        <v>1</v>
      </c>
      <c r="AI235" s="59">
        <v>1</v>
      </c>
      <c r="AJ235" s="59">
        <v>1</v>
      </c>
      <c r="AK235" s="58" t="s">
        <v>8</v>
      </c>
      <c r="AL235" s="181" t="s">
        <v>72</v>
      </c>
      <c r="AM235" s="181" t="s">
        <v>72</v>
      </c>
      <c r="AN235" s="181" t="s">
        <v>72</v>
      </c>
    </row>
    <row r="236" spans="2:40" ht="15">
      <c r="B236" s="192">
        <v>117</v>
      </c>
      <c r="C236" s="13">
        <v>20200522</v>
      </c>
      <c r="D236" s="13" t="s">
        <v>24</v>
      </c>
      <c r="E236" s="13" t="s">
        <v>2372</v>
      </c>
      <c r="F236" s="39" t="s">
        <v>1831</v>
      </c>
      <c r="G236" s="14">
        <v>1481766</v>
      </c>
      <c r="H236" s="164" t="s">
        <v>72</v>
      </c>
      <c r="I236" s="13" t="s">
        <v>348</v>
      </c>
      <c r="J236" s="164" t="s">
        <v>72</v>
      </c>
      <c r="K236" s="13" t="s">
        <v>73</v>
      </c>
      <c r="L236" s="13" t="s">
        <v>1832</v>
      </c>
      <c r="M236" s="13" t="s">
        <v>8</v>
      </c>
      <c r="N236" s="13" t="s">
        <v>887</v>
      </c>
      <c r="O236" s="14" t="s">
        <v>72</v>
      </c>
      <c r="P236" s="14" t="s">
        <v>951</v>
      </c>
      <c r="Q236" s="165"/>
      <c r="R236" s="164" t="s">
        <v>72</v>
      </c>
      <c r="S236" s="13" t="s">
        <v>109</v>
      </c>
      <c r="T236" s="13"/>
      <c r="U236" s="13"/>
      <c r="V236" s="13">
        <v>43</v>
      </c>
      <c r="W236" s="13">
        <v>43</v>
      </c>
      <c r="X236" s="13">
        <v>43</v>
      </c>
      <c r="Y236" s="13">
        <v>0.76</v>
      </c>
      <c r="Z236" s="13">
        <v>0.5</v>
      </c>
      <c r="AA236" s="13" t="s">
        <v>110</v>
      </c>
      <c r="AB236" s="58">
        <v>43980</v>
      </c>
      <c r="AC236" s="58">
        <v>43973</v>
      </c>
      <c r="AD236" s="58">
        <v>43982</v>
      </c>
      <c r="AE236" s="58">
        <v>43976</v>
      </c>
      <c r="AF236" s="58">
        <v>43976</v>
      </c>
      <c r="AG236" s="58" t="s">
        <v>75</v>
      </c>
      <c r="AH236" s="59">
        <v>1</v>
      </c>
      <c r="AI236" s="59">
        <v>1</v>
      </c>
      <c r="AJ236" s="59">
        <v>1</v>
      </c>
      <c r="AK236" s="58" t="s">
        <v>8</v>
      </c>
      <c r="AL236" s="181" t="s">
        <v>72</v>
      </c>
      <c r="AM236" s="181" t="s">
        <v>72</v>
      </c>
      <c r="AN236" s="181" t="s">
        <v>72</v>
      </c>
    </row>
    <row r="237" spans="2:40" ht="15">
      <c r="B237" s="192">
        <v>118</v>
      </c>
      <c r="C237" s="13">
        <v>20200522</v>
      </c>
      <c r="D237" s="13" t="s">
        <v>24</v>
      </c>
      <c r="E237" s="13" t="s">
        <v>2372</v>
      </c>
      <c r="F237" s="39" t="s">
        <v>1494</v>
      </c>
      <c r="G237" s="14">
        <v>1481766</v>
      </c>
      <c r="H237" s="164" t="s">
        <v>72</v>
      </c>
      <c r="I237" s="13" t="s">
        <v>1495</v>
      </c>
      <c r="J237" s="164" t="s">
        <v>72</v>
      </c>
      <c r="K237" s="13" t="s">
        <v>73</v>
      </c>
      <c r="L237" s="13" t="s">
        <v>1832</v>
      </c>
      <c r="M237" s="13" t="s">
        <v>8</v>
      </c>
      <c r="N237" s="13" t="s">
        <v>887</v>
      </c>
      <c r="O237" s="14" t="s">
        <v>72</v>
      </c>
      <c r="P237" s="14" t="s">
        <v>951</v>
      </c>
      <c r="Q237" s="165"/>
      <c r="R237" s="164" t="s">
        <v>72</v>
      </c>
      <c r="S237" s="13" t="s">
        <v>109</v>
      </c>
      <c r="T237" s="13"/>
      <c r="U237" s="13"/>
      <c r="V237" s="13">
        <v>132</v>
      </c>
      <c r="W237" s="13">
        <v>132</v>
      </c>
      <c r="X237" s="13">
        <v>132</v>
      </c>
      <c r="Y237" s="13">
        <v>2.34</v>
      </c>
      <c r="Z237" s="13">
        <v>0.5</v>
      </c>
      <c r="AA237" s="13" t="s">
        <v>110</v>
      </c>
      <c r="AB237" s="58">
        <v>43980</v>
      </c>
      <c r="AC237" s="58">
        <v>43973</v>
      </c>
      <c r="AD237" s="58">
        <v>43982</v>
      </c>
      <c r="AE237" s="58">
        <v>43976</v>
      </c>
      <c r="AF237" s="58">
        <v>43976</v>
      </c>
      <c r="AG237" s="58" t="s">
        <v>75</v>
      </c>
      <c r="AH237" s="59">
        <v>1</v>
      </c>
      <c r="AI237" s="59">
        <v>1</v>
      </c>
      <c r="AJ237" s="59">
        <v>1</v>
      </c>
      <c r="AK237" s="58" t="s">
        <v>8</v>
      </c>
      <c r="AL237" s="181" t="s">
        <v>72</v>
      </c>
      <c r="AM237" s="181" t="s">
        <v>72</v>
      </c>
      <c r="AN237" s="181" t="s">
        <v>72</v>
      </c>
    </row>
    <row r="238" spans="2:40" ht="15">
      <c r="B238" s="192">
        <v>119</v>
      </c>
      <c r="C238" s="13">
        <v>20200522</v>
      </c>
      <c r="D238" s="13" t="s">
        <v>24</v>
      </c>
      <c r="E238" s="13" t="s">
        <v>2372</v>
      </c>
      <c r="F238" s="39" t="s">
        <v>1497</v>
      </c>
      <c r="G238" s="14">
        <v>1481766</v>
      </c>
      <c r="H238" s="164" t="s">
        <v>72</v>
      </c>
      <c r="I238" s="13" t="s">
        <v>1090</v>
      </c>
      <c r="J238" s="164" t="s">
        <v>72</v>
      </c>
      <c r="K238" s="13" t="s">
        <v>73</v>
      </c>
      <c r="L238" s="13" t="s">
        <v>1832</v>
      </c>
      <c r="M238" s="13" t="s">
        <v>8</v>
      </c>
      <c r="N238" s="13" t="s">
        <v>887</v>
      </c>
      <c r="O238" s="14" t="s">
        <v>72</v>
      </c>
      <c r="P238" s="14" t="s">
        <v>951</v>
      </c>
      <c r="Q238" s="165"/>
      <c r="R238" s="164" t="s">
        <v>72</v>
      </c>
      <c r="S238" s="13" t="s">
        <v>117</v>
      </c>
      <c r="T238" s="13"/>
      <c r="U238" s="13"/>
      <c r="V238" s="13">
        <v>72</v>
      </c>
      <c r="W238" s="13">
        <v>72</v>
      </c>
      <c r="X238" s="13">
        <v>72</v>
      </c>
      <c r="Y238" s="13">
        <v>1.28</v>
      </c>
      <c r="Z238" s="13">
        <v>1</v>
      </c>
      <c r="AA238" s="13" t="s">
        <v>110</v>
      </c>
      <c r="AB238" s="58">
        <v>43980</v>
      </c>
      <c r="AC238" s="58">
        <v>43973</v>
      </c>
      <c r="AD238" s="58">
        <v>43982</v>
      </c>
      <c r="AE238" s="58">
        <v>43977</v>
      </c>
      <c r="AF238" s="58">
        <v>43977</v>
      </c>
      <c r="AG238" s="58" t="s">
        <v>75</v>
      </c>
      <c r="AH238" s="59">
        <v>1</v>
      </c>
      <c r="AI238" s="59">
        <v>1</v>
      </c>
      <c r="AJ238" s="59">
        <v>1</v>
      </c>
      <c r="AK238" s="58" t="s">
        <v>8</v>
      </c>
      <c r="AL238" s="181" t="s">
        <v>72</v>
      </c>
      <c r="AM238" s="181" t="s">
        <v>72</v>
      </c>
      <c r="AN238" s="181" t="s">
        <v>72</v>
      </c>
    </row>
    <row r="239" spans="2:40" ht="15">
      <c r="B239" s="192">
        <v>120</v>
      </c>
      <c r="C239" s="13">
        <v>20200522</v>
      </c>
      <c r="D239" s="13" t="s">
        <v>24</v>
      </c>
      <c r="E239" s="13" t="s">
        <v>2372</v>
      </c>
      <c r="F239" s="39" t="s">
        <v>1531</v>
      </c>
      <c r="G239" s="14">
        <v>1482047</v>
      </c>
      <c r="H239" s="164" t="s">
        <v>72</v>
      </c>
      <c r="I239" s="13" t="s">
        <v>120</v>
      </c>
      <c r="J239" s="164" t="s">
        <v>72</v>
      </c>
      <c r="K239" s="13" t="s">
        <v>73</v>
      </c>
      <c r="L239" s="13" t="s">
        <v>1527</v>
      </c>
      <c r="M239" s="13" t="s">
        <v>8</v>
      </c>
      <c r="N239" s="13" t="s">
        <v>887</v>
      </c>
      <c r="O239" s="14" t="s">
        <v>72</v>
      </c>
      <c r="P239" s="14" t="s">
        <v>1286</v>
      </c>
      <c r="Q239" s="165"/>
      <c r="R239" s="164" t="s">
        <v>72</v>
      </c>
      <c r="S239" s="13" t="s">
        <v>109</v>
      </c>
      <c r="T239" s="13"/>
      <c r="U239" s="13"/>
      <c r="V239" s="13">
        <v>175</v>
      </c>
      <c r="W239" s="13">
        <v>175</v>
      </c>
      <c r="X239" s="13">
        <v>175</v>
      </c>
      <c r="Y239" s="13">
        <v>3.11</v>
      </c>
      <c r="Z239" s="13">
        <v>0.5</v>
      </c>
      <c r="AA239" s="13" t="s">
        <v>110</v>
      </c>
      <c r="AB239" s="58">
        <v>43980</v>
      </c>
      <c r="AC239" s="58">
        <v>43973</v>
      </c>
      <c r="AD239" s="58">
        <v>43982</v>
      </c>
      <c r="AE239" s="58">
        <v>43976</v>
      </c>
      <c r="AF239" s="58">
        <v>43976</v>
      </c>
      <c r="AG239" s="58" t="s">
        <v>75</v>
      </c>
      <c r="AH239" s="59">
        <v>1</v>
      </c>
      <c r="AI239" s="59">
        <v>1</v>
      </c>
      <c r="AJ239" s="59">
        <v>1</v>
      </c>
      <c r="AK239" s="58" t="s">
        <v>8</v>
      </c>
      <c r="AL239" s="181" t="s">
        <v>72</v>
      </c>
      <c r="AM239" s="181" t="s">
        <v>72</v>
      </c>
      <c r="AN239" s="181" t="s">
        <v>72</v>
      </c>
    </row>
    <row r="240" spans="2:40" ht="15">
      <c r="B240" s="192">
        <v>121</v>
      </c>
      <c r="C240" s="13">
        <v>20200522</v>
      </c>
      <c r="D240" s="13" t="s">
        <v>311</v>
      </c>
      <c r="E240" s="13" t="s">
        <v>2366</v>
      </c>
      <c r="F240" s="39" t="s">
        <v>72</v>
      </c>
      <c r="G240" s="14">
        <v>1482841</v>
      </c>
      <c r="H240" s="164" t="s">
        <v>72</v>
      </c>
      <c r="I240" s="13" t="s">
        <v>1833</v>
      </c>
      <c r="J240" s="164" t="s">
        <v>72</v>
      </c>
      <c r="K240" s="13" t="s">
        <v>73</v>
      </c>
      <c r="L240" s="13" t="s">
        <v>8</v>
      </c>
      <c r="M240" s="13" t="s">
        <v>1834</v>
      </c>
      <c r="N240" s="13" t="s">
        <v>1835</v>
      </c>
      <c r="O240" s="14">
        <v>1.1000000000000001</v>
      </c>
      <c r="P240" s="14" t="s">
        <v>1798</v>
      </c>
      <c r="Q240" s="165"/>
      <c r="R240" s="164" t="s">
        <v>72</v>
      </c>
      <c r="S240" s="13" t="s">
        <v>161</v>
      </c>
      <c r="T240" s="13"/>
      <c r="U240" s="13"/>
      <c r="V240" s="13">
        <v>5</v>
      </c>
      <c r="W240" s="13">
        <v>5</v>
      </c>
      <c r="X240" s="13">
        <v>5</v>
      </c>
      <c r="Y240" s="13">
        <v>0.3</v>
      </c>
      <c r="Z240" s="13">
        <v>0.3</v>
      </c>
      <c r="AA240" s="13" t="s">
        <v>110</v>
      </c>
      <c r="AB240" s="58">
        <v>43984</v>
      </c>
      <c r="AC240" s="58">
        <v>43973</v>
      </c>
      <c r="AD240" s="58">
        <v>43984</v>
      </c>
      <c r="AE240" s="58">
        <v>43983</v>
      </c>
      <c r="AF240" s="58">
        <v>43983</v>
      </c>
      <c r="AG240" s="58" t="s">
        <v>75</v>
      </c>
      <c r="AH240" s="59">
        <v>1</v>
      </c>
      <c r="AI240" s="59">
        <v>1</v>
      </c>
      <c r="AJ240" s="59">
        <v>1</v>
      </c>
      <c r="AK240" s="58" t="s">
        <v>8</v>
      </c>
      <c r="AL240" s="181" t="s">
        <v>72</v>
      </c>
      <c r="AM240" s="181" t="s">
        <v>72</v>
      </c>
      <c r="AN240" s="181" t="s">
        <v>72</v>
      </c>
    </row>
    <row r="241" spans="2:40" ht="15">
      <c r="B241" s="192">
        <v>122</v>
      </c>
      <c r="C241" s="13">
        <v>20200522</v>
      </c>
      <c r="D241" s="13" t="s">
        <v>311</v>
      </c>
      <c r="E241" s="13" t="s">
        <v>2366</v>
      </c>
      <c r="F241" s="39" t="s">
        <v>72</v>
      </c>
      <c r="G241" s="14">
        <v>1482841</v>
      </c>
      <c r="H241" s="164" t="s">
        <v>72</v>
      </c>
      <c r="I241" s="13" t="s">
        <v>1836</v>
      </c>
      <c r="J241" s="164" t="s">
        <v>72</v>
      </c>
      <c r="K241" s="13" t="s">
        <v>73</v>
      </c>
      <c r="L241" s="13" t="s">
        <v>8</v>
      </c>
      <c r="M241" s="13" t="s">
        <v>1834</v>
      </c>
      <c r="N241" s="13" t="s">
        <v>1835</v>
      </c>
      <c r="O241" s="14" t="s">
        <v>1837</v>
      </c>
      <c r="P241" s="14" t="s">
        <v>1798</v>
      </c>
      <c r="Q241" s="165"/>
      <c r="R241" s="164" t="s">
        <v>72</v>
      </c>
      <c r="S241" s="13" t="s">
        <v>117</v>
      </c>
      <c r="T241" s="13"/>
      <c r="U241" s="13"/>
      <c r="V241" s="13">
        <v>150</v>
      </c>
      <c r="W241" s="13">
        <v>150</v>
      </c>
      <c r="X241" s="13">
        <v>150</v>
      </c>
      <c r="Y241" s="13">
        <v>9.23</v>
      </c>
      <c r="Z241" s="13">
        <v>9</v>
      </c>
      <c r="AA241" s="13" t="s">
        <v>110</v>
      </c>
      <c r="AB241" s="58">
        <v>43986</v>
      </c>
      <c r="AC241" s="58">
        <v>43973</v>
      </c>
      <c r="AD241" s="58">
        <v>43984</v>
      </c>
      <c r="AE241" s="58">
        <v>43986</v>
      </c>
      <c r="AF241" s="58">
        <v>43986</v>
      </c>
      <c r="AG241" s="58" t="s">
        <v>79</v>
      </c>
      <c r="AH241" s="59">
        <v>0.90200000000000002</v>
      </c>
      <c r="AI241" s="59">
        <v>0.90900000000000003</v>
      </c>
      <c r="AJ241" s="59">
        <v>0.91200000000000003</v>
      </c>
      <c r="AK241" s="58" t="s">
        <v>76</v>
      </c>
      <c r="AL241" s="14" t="s">
        <v>1838</v>
      </c>
      <c r="AM241" s="181" t="s">
        <v>72</v>
      </c>
      <c r="AN241" s="13" t="s">
        <v>1839</v>
      </c>
    </row>
    <row r="242" spans="2:40" ht="15">
      <c r="B242" s="192">
        <v>123</v>
      </c>
      <c r="C242" s="13">
        <v>20200522</v>
      </c>
      <c r="D242" s="13" t="s">
        <v>24</v>
      </c>
      <c r="E242" s="13" t="s">
        <v>1758</v>
      </c>
      <c r="F242" s="39" t="s">
        <v>1840</v>
      </c>
      <c r="G242" s="14">
        <v>1479289</v>
      </c>
      <c r="H242" s="164" t="s">
        <v>72</v>
      </c>
      <c r="I242" s="13" t="s">
        <v>1841</v>
      </c>
      <c r="J242" s="164" t="s">
        <v>72</v>
      </c>
      <c r="K242" s="13" t="s">
        <v>73</v>
      </c>
      <c r="L242" s="13" t="s">
        <v>2</v>
      </c>
      <c r="M242" s="13" t="s">
        <v>8</v>
      </c>
      <c r="N242" s="13" t="s">
        <v>3</v>
      </c>
      <c r="O242" s="14" t="s">
        <v>72</v>
      </c>
      <c r="P242" s="14" t="s">
        <v>1</v>
      </c>
      <c r="Q242" s="165"/>
      <c r="R242" s="164" t="s">
        <v>72</v>
      </c>
      <c r="S242" s="13" t="s">
        <v>109</v>
      </c>
      <c r="T242" s="13"/>
      <c r="U242" s="13"/>
      <c r="V242" s="13">
        <v>108</v>
      </c>
      <c r="W242" s="13">
        <v>108</v>
      </c>
      <c r="X242" s="13">
        <v>108</v>
      </c>
      <c r="Y242" s="13">
        <v>1.92</v>
      </c>
      <c r="Z242" s="13">
        <v>1</v>
      </c>
      <c r="AA242" s="13" t="s">
        <v>110</v>
      </c>
      <c r="AB242" s="58">
        <v>43984</v>
      </c>
      <c r="AC242" s="58">
        <v>43973</v>
      </c>
      <c r="AD242" s="58">
        <v>43984</v>
      </c>
      <c r="AE242" s="58">
        <v>43976</v>
      </c>
      <c r="AF242" s="58">
        <v>43976</v>
      </c>
      <c r="AG242" s="58" t="s">
        <v>75</v>
      </c>
      <c r="AH242" s="59">
        <v>1</v>
      </c>
      <c r="AI242" s="59">
        <v>1</v>
      </c>
      <c r="AJ242" s="59">
        <v>1</v>
      </c>
      <c r="AK242" s="58" t="s">
        <v>8</v>
      </c>
      <c r="AL242" s="181" t="s">
        <v>72</v>
      </c>
      <c r="AM242" s="181" t="s">
        <v>72</v>
      </c>
      <c r="AN242" s="181" t="s">
        <v>72</v>
      </c>
    </row>
    <row r="243" spans="2:40" ht="15">
      <c r="B243" s="184">
        <v>124</v>
      </c>
      <c r="C243" s="13">
        <v>20200525</v>
      </c>
      <c r="D243" s="13" t="s">
        <v>24</v>
      </c>
      <c r="E243" s="13" t="s">
        <v>2373</v>
      </c>
      <c r="F243" s="39" t="s">
        <v>1843</v>
      </c>
      <c r="G243" s="13">
        <v>1484917</v>
      </c>
      <c r="H243" s="164" t="s">
        <v>72</v>
      </c>
      <c r="I243" s="13" t="s">
        <v>897</v>
      </c>
      <c r="J243" s="164" t="s">
        <v>72</v>
      </c>
      <c r="K243" s="13" t="s">
        <v>106</v>
      </c>
      <c r="L243" s="13" t="s">
        <v>1844</v>
      </c>
      <c r="M243" s="13" t="s">
        <v>1033</v>
      </c>
      <c r="N243" s="13" t="s">
        <v>1845</v>
      </c>
      <c r="O243" s="14" t="s">
        <v>72</v>
      </c>
      <c r="P243" s="14" t="s">
        <v>1278</v>
      </c>
      <c r="Q243" s="165"/>
      <c r="R243" s="164" t="s">
        <v>72</v>
      </c>
      <c r="S243" s="13" t="s">
        <v>161</v>
      </c>
      <c r="T243" s="13"/>
      <c r="U243" s="13"/>
      <c r="V243" s="13">
        <v>8</v>
      </c>
      <c r="W243" s="13">
        <v>8</v>
      </c>
      <c r="X243" s="13">
        <v>8</v>
      </c>
      <c r="Y243" s="13">
        <v>0.14000000000000001</v>
      </c>
      <c r="Z243" s="13">
        <v>0.1</v>
      </c>
      <c r="AA243" s="13" t="s">
        <v>110</v>
      </c>
      <c r="AB243" s="58">
        <v>43983</v>
      </c>
      <c r="AC243" s="58">
        <v>43976</v>
      </c>
      <c r="AD243" s="58">
        <v>43983</v>
      </c>
      <c r="AE243" s="58">
        <v>43978</v>
      </c>
      <c r="AF243" s="58">
        <v>43978</v>
      </c>
      <c r="AG243" s="58" t="s">
        <v>75</v>
      </c>
      <c r="AH243" s="59">
        <v>1</v>
      </c>
      <c r="AI243" s="59">
        <v>1</v>
      </c>
      <c r="AJ243" s="59">
        <v>1</v>
      </c>
      <c r="AK243" s="58" t="s">
        <v>8</v>
      </c>
      <c r="AL243" s="181" t="s">
        <v>72</v>
      </c>
      <c r="AM243" s="181" t="s">
        <v>72</v>
      </c>
      <c r="AN243" s="193" t="s">
        <v>1846</v>
      </c>
    </row>
    <row r="244" spans="2:40" ht="15">
      <c r="B244" s="184">
        <v>125</v>
      </c>
      <c r="C244" s="13">
        <v>20200525</v>
      </c>
      <c r="D244" s="13" t="s">
        <v>24</v>
      </c>
      <c r="E244" s="13" t="s">
        <v>2373</v>
      </c>
      <c r="F244" s="39" t="s">
        <v>1847</v>
      </c>
      <c r="G244" s="13">
        <v>1484917</v>
      </c>
      <c r="H244" s="164" t="s">
        <v>72</v>
      </c>
      <c r="I244" s="13" t="s">
        <v>1848</v>
      </c>
      <c r="J244" s="164" t="s">
        <v>72</v>
      </c>
      <c r="K244" s="13" t="s">
        <v>106</v>
      </c>
      <c r="L244" s="13" t="s">
        <v>1844</v>
      </c>
      <c r="M244" s="13" t="s">
        <v>1033</v>
      </c>
      <c r="N244" s="13" t="s">
        <v>1845</v>
      </c>
      <c r="O244" s="14" t="s">
        <v>72</v>
      </c>
      <c r="P244" s="14" t="s">
        <v>1278</v>
      </c>
      <c r="Q244" s="165"/>
      <c r="R244" s="164" t="s">
        <v>72</v>
      </c>
      <c r="S244" s="13" t="s">
        <v>161</v>
      </c>
      <c r="T244" s="13"/>
      <c r="U244" s="13"/>
      <c r="V244" s="13">
        <v>25</v>
      </c>
      <c r="W244" s="13">
        <v>25</v>
      </c>
      <c r="X244" s="13">
        <v>25</v>
      </c>
      <c r="Y244" s="13">
        <v>0.44</v>
      </c>
      <c r="Z244" s="13">
        <v>0.4</v>
      </c>
      <c r="AA244" s="13" t="s">
        <v>110</v>
      </c>
      <c r="AB244" s="58">
        <v>43983</v>
      </c>
      <c r="AC244" s="58">
        <v>43976</v>
      </c>
      <c r="AD244" s="58">
        <v>43983</v>
      </c>
      <c r="AE244" s="58">
        <v>43978</v>
      </c>
      <c r="AF244" s="58">
        <v>43978</v>
      </c>
      <c r="AG244" s="58" t="s">
        <v>75</v>
      </c>
      <c r="AH244" s="59">
        <v>1</v>
      </c>
      <c r="AI244" s="59">
        <v>1</v>
      </c>
      <c r="AJ244" s="59">
        <v>1</v>
      </c>
      <c r="AK244" s="58" t="s">
        <v>8</v>
      </c>
      <c r="AL244" s="181" t="s">
        <v>72</v>
      </c>
      <c r="AM244" s="181" t="s">
        <v>72</v>
      </c>
      <c r="AN244" s="193" t="s">
        <v>1846</v>
      </c>
    </row>
    <row r="245" spans="2:40" ht="15">
      <c r="B245" s="184">
        <v>126</v>
      </c>
      <c r="C245" s="13">
        <v>20200525</v>
      </c>
      <c r="D245" s="13" t="s">
        <v>24</v>
      </c>
      <c r="E245" s="13" t="s">
        <v>2373</v>
      </c>
      <c r="F245" s="39" t="s">
        <v>1849</v>
      </c>
      <c r="G245" s="13">
        <v>1484917</v>
      </c>
      <c r="H245" s="164" t="s">
        <v>72</v>
      </c>
      <c r="I245" s="13" t="s">
        <v>1850</v>
      </c>
      <c r="J245" s="164" t="s">
        <v>72</v>
      </c>
      <c r="K245" s="13" t="s">
        <v>106</v>
      </c>
      <c r="L245" s="13" t="s">
        <v>1844</v>
      </c>
      <c r="M245" s="13" t="s">
        <v>1033</v>
      </c>
      <c r="N245" s="13" t="s">
        <v>1845</v>
      </c>
      <c r="O245" s="14" t="s">
        <v>72</v>
      </c>
      <c r="P245" s="14" t="s">
        <v>1278</v>
      </c>
      <c r="Q245" s="165"/>
      <c r="R245" s="164" t="s">
        <v>72</v>
      </c>
      <c r="S245" s="13" t="s">
        <v>161</v>
      </c>
      <c r="T245" s="13"/>
      <c r="U245" s="13"/>
      <c r="V245" s="13">
        <v>15</v>
      </c>
      <c r="W245" s="13">
        <v>15</v>
      </c>
      <c r="X245" s="13">
        <v>15</v>
      </c>
      <c r="Y245" s="13">
        <v>0.26</v>
      </c>
      <c r="Z245" s="13">
        <v>0.2</v>
      </c>
      <c r="AA245" s="13" t="s">
        <v>110</v>
      </c>
      <c r="AB245" s="58">
        <v>43983</v>
      </c>
      <c r="AC245" s="58">
        <v>43976</v>
      </c>
      <c r="AD245" s="58">
        <v>43983</v>
      </c>
      <c r="AE245" s="58">
        <v>43978</v>
      </c>
      <c r="AF245" s="58">
        <v>43978</v>
      </c>
      <c r="AG245" s="58" t="s">
        <v>75</v>
      </c>
      <c r="AH245" s="59">
        <v>1</v>
      </c>
      <c r="AI245" s="59">
        <v>1</v>
      </c>
      <c r="AJ245" s="59">
        <v>1</v>
      </c>
      <c r="AK245" s="58" t="s">
        <v>8</v>
      </c>
      <c r="AL245" s="181" t="s">
        <v>72</v>
      </c>
      <c r="AM245" s="181" t="s">
        <v>72</v>
      </c>
      <c r="AN245" s="193" t="s">
        <v>1846</v>
      </c>
    </row>
    <row r="246" spans="2:40" ht="15">
      <c r="B246" s="184">
        <v>127</v>
      </c>
      <c r="C246" s="13">
        <v>20200525</v>
      </c>
      <c r="D246" s="13" t="s">
        <v>24</v>
      </c>
      <c r="E246" s="13" t="s">
        <v>2373</v>
      </c>
      <c r="F246" s="39" t="s">
        <v>1851</v>
      </c>
      <c r="G246" s="13">
        <v>1484917</v>
      </c>
      <c r="H246" s="164" t="s">
        <v>72</v>
      </c>
      <c r="I246" s="13" t="s">
        <v>1852</v>
      </c>
      <c r="J246" s="164" t="s">
        <v>72</v>
      </c>
      <c r="K246" s="13" t="s">
        <v>106</v>
      </c>
      <c r="L246" s="13" t="s">
        <v>1844</v>
      </c>
      <c r="M246" s="13" t="s">
        <v>1033</v>
      </c>
      <c r="N246" s="13" t="s">
        <v>1845</v>
      </c>
      <c r="O246" s="14" t="s">
        <v>72</v>
      </c>
      <c r="P246" s="14" t="s">
        <v>1278</v>
      </c>
      <c r="Q246" s="165"/>
      <c r="R246" s="164" t="s">
        <v>72</v>
      </c>
      <c r="S246" s="13" t="s">
        <v>161</v>
      </c>
      <c r="T246" s="13"/>
      <c r="U246" s="13"/>
      <c r="V246" s="13">
        <v>30</v>
      </c>
      <c r="W246" s="13">
        <v>30</v>
      </c>
      <c r="X246" s="13">
        <v>30</v>
      </c>
      <c r="Y246" s="13">
        <v>0.53</v>
      </c>
      <c r="Z246" s="13">
        <v>0.5</v>
      </c>
      <c r="AA246" s="13" t="s">
        <v>110</v>
      </c>
      <c r="AB246" s="58">
        <v>43983</v>
      </c>
      <c r="AC246" s="58">
        <v>43976</v>
      </c>
      <c r="AD246" s="58">
        <v>43983</v>
      </c>
      <c r="AE246" s="58">
        <v>43978</v>
      </c>
      <c r="AF246" s="58">
        <v>43978</v>
      </c>
      <c r="AG246" s="58" t="s">
        <v>75</v>
      </c>
      <c r="AH246" s="59">
        <v>1</v>
      </c>
      <c r="AI246" s="59">
        <v>1</v>
      </c>
      <c r="AJ246" s="59">
        <v>1</v>
      </c>
      <c r="AK246" s="58" t="s">
        <v>8</v>
      </c>
      <c r="AL246" s="181" t="s">
        <v>72</v>
      </c>
      <c r="AM246" s="181" t="s">
        <v>72</v>
      </c>
      <c r="AN246" s="193" t="s">
        <v>1846</v>
      </c>
    </row>
    <row r="247" spans="2:40" ht="15">
      <c r="B247" s="184">
        <v>128</v>
      </c>
      <c r="C247" s="13">
        <v>20200525</v>
      </c>
      <c r="D247" s="13" t="s">
        <v>24</v>
      </c>
      <c r="E247" s="13" t="s">
        <v>2373</v>
      </c>
      <c r="F247" s="39" t="s">
        <v>1853</v>
      </c>
      <c r="G247" s="13">
        <v>1484917</v>
      </c>
      <c r="H247" s="164" t="s">
        <v>72</v>
      </c>
      <c r="I247" s="13" t="s">
        <v>1854</v>
      </c>
      <c r="J247" s="164" t="s">
        <v>72</v>
      </c>
      <c r="K247" s="13" t="s">
        <v>106</v>
      </c>
      <c r="L247" s="13" t="s">
        <v>1844</v>
      </c>
      <c r="M247" s="13" t="s">
        <v>1033</v>
      </c>
      <c r="N247" s="13" t="s">
        <v>1845</v>
      </c>
      <c r="O247" s="14" t="s">
        <v>72</v>
      </c>
      <c r="P247" s="14" t="s">
        <v>1278</v>
      </c>
      <c r="Q247" s="165"/>
      <c r="R247" s="164" t="s">
        <v>72</v>
      </c>
      <c r="S247" s="13" t="s">
        <v>117</v>
      </c>
      <c r="T247" s="13"/>
      <c r="U247" s="13"/>
      <c r="V247" s="13">
        <v>21</v>
      </c>
      <c r="W247" s="13">
        <v>21</v>
      </c>
      <c r="X247" s="13">
        <v>21</v>
      </c>
      <c r="Y247" s="13">
        <v>0.37</v>
      </c>
      <c r="Z247" s="13">
        <v>0.2</v>
      </c>
      <c r="AA247" s="13" t="s">
        <v>110</v>
      </c>
      <c r="AB247" s="58">
        <v>43983</v>
      </c>
      <c r="AC247" s="58">
        <v>43976</v>
      </c>
      <c r="AD247" s="58">
        <v>43983</v>
      </c>
      <c r="AE247" s="58">
        <v>43980</v>
      </c>
      <c r="AF247" s="58">
        <v>43980</v>
      </c>
      <c r="AG247" s="58" t="s">
        <v>75</v>
      </c>
      <c r="AH247" s="59">
        <v>1</v>
      </c>
      <c r="AI247" s="59">
        <v>1</v>
      </c>
      <c r="AJ247" s="59">
        <v>1</v>
      </c>
      <c r="AK247" s="58" t="s">
        <v>8</v>
      </c>
      <c r="AL247" s="181" t="s">
        <v>72</v>
      </c>
      <c r="AM247" s="181" t="s">
        <v>72</v>
      </c>
      <c r="AN247" s="193" t="s">
        <v>1846</v>
      </c>
    </row>
    <row r="248" spans="2:40" ht="15">
      <c r="B248" s="184">
        <v>129</v>
      </c>
      <c r="C248" s="13">
        <v>20200525</v>
      </c>
      <c r="D248" s="13" t="s">
        <v>24</v>
      </c>
      <c r="E248" s="13" t="s">
        <v>2373</v>
      </c>
      <c r="F248" s="39" t="s">
        <v>1855</v>
      </c>
      <c r="G248" s="13">
        <v>1484917</v>
      </c>
      <c r="H248" s="164" t="s">
        <v>72</v>
      </c>
      <c r="I248" s="13" t="s">
        <v>1856</v>
      </c>
      <c r="J248" s="164" t="s">
        <v>72</v>
      </c>
      <c r="K248" s="13" t="s">
        <v>106</v>
      </c>
      <c r="L248" s="13" t="s">
        <v>1844</v>
      </c>
      <c r="M248" s="13" t="s">
        <v>1033</v>
      </c>
      <c r="N248" s="13" t="s">
        <v>1845</v>
      </c>
      <c r="O248" s="14" t="s">
        <v>72</v>
      </c>
      <c r="P248" s="14" t="s">
        <v>1278</v>
      </c>
      <c r="Q248" s="165"/>
      <c r="R248" s="164" t="s">
        <v>72</v>
      </c>
      <c r="S248" s="13" t="s">
        <v>117</v>
      </c>
      <c r="T248" s="13"/>
      <c r="U248" s="13"/>
      <c r="V248" s="13">
        <v>17</v>
      </c>
      <c r="W248" s="13">
        <v>17</v>
      </c>
      <c r="X248" s="13">
        <v>17</v>
      </c>
      <c r="Y248" s="13">
        <v>0.3</v>
      </c>
      <c r="Z248" s="13">
        <v>0.1</v>
      </c>
      <c r="AA248" s="13" t="s">
        <v>110</v>
      </c>
      <c r="AB248" s="58">
        <v>43983</v>
      </c>
      <c r="AC248" s="58">
        <v>43976</v>
      </c>
      <c r="AD248" s="58">
        <v>43983</v>
      </c>
      <c r="AE248" s="58">
        <v>43980</v>
      </c>
      <c r="AF248" s="58">
        <v>43980</v>
      </c>
      <c r="AG248" s="58" t="s">
        <v>75</v>
      </c>
      <c r="AH248" s="59">
        <v>1</v>
      </c>
      <c r="AI248" s="59">
        <v>1</v>
      </c>
      <c r="AJ248" s="59">
        <v>1</v>
      </c>
      <c r="AK248" s="58" t="s">
        <v>8</v>
      </c>
      <c r="AL248" s="181" t="s">
        <v>72</v>
      </c>
      <c r="AM248" s="181" t="s">
        <v>72</v>
      </c>
      <c r="AN248" s="193" t="s">
        <v>1846</v>
      </c>
    </row>
    <row r="249" spans="2:40" ht="15">
      <c r="B249" s="184">
        <v>130</v>
      </c>
      <c r="C249" s="13">
        <v>20200525</v>
      </c>
      <c r="D249" s="13" t="s">
        <v>24</v>
      </c>
      <c r="E249" s="13" t="s">
        <v>2373</v>
      </c>
      <c r="F249" s="39" t="s">
        <v>1857</v>
      </c>
      <c r="G249" s="13">
        <v>1484917</v>
      </c>
      <c r="H249" s="164" t="s">
        <v>72</v>
      </c>
      <c r="I249" s="13" t="s">
        <v>1858</v>
      </c>
      <c r="J249" s="164" t="s">
        <v>72</v>
      </c>
      <c r="K249" s="13" t="s">
        <v>106</v>
      </c>
      <c r="L249" s="13" t="s">
        <v>1844</v>
      </c>
      <c r="M249" s="13" t="s">
        <v>1033</v>
      </c>
      <c r="N249" s="13" t="s">
        <v>1845</v>
      </c>
      <c r="O249" s="14" t="s">
        <v>72</v>
      </c>
      <c r="P249" s="14" t="s">
        <v>1278</v>
      </c>
      <c r="Q249" s="165"/>
      <c r="R249" s="164" t="s">
        <v>72</v>
      </c>
      <c r="S249" s="13" t="s">
        <v>117</v>
      </c>
      <c r="T249" s="13"/>
      <c r="U249" s="13"/>
      <c r="V249" s="13">
        <v>31</v>
      </c>
      <c r="W249" s="13">
        <v>31</v>
      </c>
      <c r="X249" s="13">
        <v>31</v>
      </c>
      <c r="Y249" s="13">
        <v>0.55000000000000004</v>
      </c>
      <c r="Z249" s="13">
        <v>0.5</v>
      </c>
      <c r="AA249" s="13" t="s">
        <v>110</v>
      </c>
      <c r="AB249" s="58">
        <v>43983</v>
      </c>
      <c r="AC249" s="58">
        <v>43976</v>
      </c>
      <c r="AD249" s="58">
        <v>43983</v>
      </c>
      <c r="AE249" s="58">
        <v>43980</v>
      </c>
      <c r="AF249" s="58">
        <v>43980</v>
      </c>
      <c r="AG249" s="58" t="s">
        <v>75</v>
      </c>
      <c r="AH249" s="59">
        <v>1</v>
      </c>
      <c r="AI249" s="59">
        <v>1</v>
      </c>
      <c r="AJ249" s="59">
        <v>1</v>
      </c>
      <c r="AK249" s="58" t="s">
        <v>8</v>
      </c>
      <c r="AL249" s="181" t="s">
        <v>72</v>
      </c>
      <c r="AM249" s="181" t="s">
        <v>72</v>
      </c>
      <c r="AN249" s="193" t="s">
        <v>1846</v>
      </c>
    </row>
    <row r="250" spans="2:40" ht="15">
      <c r="B250" s="184">
        <v>131</v>
      </c>
      <c r="C250" s="13">
        <v>20200525</v>
      </c>
      <c r="D250" s="13" t="s">
        <v>24</v>
      </c>
      <c r="E250" s="13" t="s">
        <v>2373</v>
      </c>
      <c r="F250" s="39" t="s">
        <v>1859</v>
      </c>
      <c r="G250" s="13">
        <v>1484917</v>
      </c>
      <c r="H250" s="164" t="s">
        <v>72</v>
      </c>
      <c r="I250" s="13" t="s">
        <v>1860</v>
      </c>
      <c r="J250" s="164" t="s">
        <v>72</v>
      </c>
      <c r="K250" s="13" t="s">
        <v>106</v>
      </c>
      <c r="L250" s="13" t="s">
        <v>1844</v>
      </c>
      <c r="M250" s="13" t="s">
        <v>1033</v>
      </c>
      <c r="N250" s="13" t="s">
        <v>1845</v>
      </c>
      <c r="O250" s="14" t="s">
        <v>72</v>
      </c>
      <c r="P250" s="14" t="s">
        <v>1278</v>
      </c>
      <c r="Q250" s="165"/>
      <c r="R250" s="164" t="s">
        <v>72</v>
      </c>
      <c r="S250" s="13" t="s">
        <v>117</v>
      </c>
      <c r="T250" s="13"/>
      <c r="U250" s="13"/>
      <c r="V250" s="13">
        <v>31</v>
      </c>
      <c r="W250" s="13">
        <v>31</v>
      </c>
      <c r="X250" s="13">
        <v>31</v>
      </c>
      <c r="Y250" s="13">
        <v>0.55000000000000004</v>
      </c>
      <c r="Z250" s="13">
        <v>0.5</v>
      </c>
      <c r="AA250" s="13" t="s">
        <v>110</v>
      </c>
      <c r="AB250" s="58">
        <v>43983</v>
      </c>
      <c r="AC250" s="58">
        <v>43976</v>
      </c>
      <c r="AD250" s="58">
        <v>43983</v>
      </c>
      <c r="AE250" s="58">
        <v>43980</v>
      </c>
      <c r="AF250" s="58">
        <v>43980</v>
      </c>
      <c r="AG250" s="58" t="s">
        <v>75</v>
      </c>
      <c r="AH250" s="59">
        <v>1</v>
      </c>
      <c r="AI250" s="59">
        <v>1</v>
      </c>
      <c r="AJ250" s="59">
        <v>1</v>
      </c>
      <c r="AK250" s="58" t="s">
        <v>8</v>
      </c>
      <c r="AL250" s="181" t="s">
        <v>72</v>
      </c>
      <c r="AM250" s="181" t="s">
        <v>72</v>
      </c>
      <c r="AN250" s="193" t="s">
        <v>1846</v>
      </c>
    </row>
    <row r="251" spans="2:40" ht="15">
      <c r="B251" s="184">
        <v>132</v>
      </c>
      <c r="C251" s="13">
        <v>20200525</v>
      </c>
      <c r="D251" s="13" t="s">
        <v>24</v>
      </c>
      <c r="E251" s="13" t="s">
        <v>2373</v>
      </c>
      <c r="F251" s="39" t="s">
        <v>1861</v>
      </c>
      <c r="G251" s="13">
        <v>1484917</v>
      </c>
      <c r="H251" s="164" t="s">
        <v>72</v>
      </c>
      <c r="I251" s="13" t="s">
        <v>1862</v>
      </c>
      <c r="J251" s="164" t="s">
        <v>72</v>
      </c>
      <c r="K251" s="13" t="s">
        <v>106</v>
      </c>
      <c r="L251" s="13" t="s">
        <v>1844</v>
      </c>
      <c r="M251" s="13" t="s">
        <v>1033</v>
      </c>
      <c r="N251" s="13" t="s">
        <v>1845</v>
      </c>
      <c r="O251" s="14" t="s">
        <v>72</v>
      </c>
      <c r="P251" s="14" t="s">
        <v>1278</v>
      </c>
      <c r="Q251" s="165"/>
      <c r="R251" s="164" t="s">
        <v>72</v>
      </c>
      <c r="S251" s="13" t="s">
        <v>109</v>
      </c>
      <c r="T251" s="13"/>
      <c r="U251" s="13"/>
      <c r="V251" s="13">
        <v>12</v>
      </c>
      <c r="W251" s="13">
        <v>12</v>
      </c>
      <c r="X251" s="13">
        <v>12</v>
      </c>
      <c r="Y251" s="13">
        <v>0.21</v>
      </c>
      <c r="Z251" s="13">
        <v>0.21</v>
      </c>
      <c r="AA251" s="13" t="s">
        <v>110</v>
      </c>
      <c r="AB251" s="58">
        <v>43983</v>
      </c>
      <c r="AC251" s="58">
        <v>43976</v>
      </c>
      <c r="AD251" s="58">
        <v>43983</v>
      </c>
      <c r="AE251" s="58">
        <v>43977</v>
      </c>
      <c r="AF251" s="58">
        <v>43977</v>
      </c>
      <c r="AG251" s="58" t="s">
        <v>75</v>
      </c>
      <c r="AH251" s="59">
        <v>1</v>
      </c>
      <c r="AI251" s="59">
        <v>1</v>
      </c>
      <c r="AJ251" s="59">
        <v>1</v>
      </c>
      <c r="AK251" s="58" t="s">
        <v>8</v>
      </c>
      <c r="AL251" s="181" t="s">
        <v>72</v>
      </c>
      <c r="AM251" s="181" t="s">
        <v>72</v>
      </c>
      <c r="AN251" s="193" t="s">
        <v>1846</v>
      </c>
    </row>
    <row r="252" spans="2:40" ht="15">
      <c r="B252" s="184">
        <v>133</v>
      </c>
      <c r="C252" s="13">
        <v>20200525</v>
      </c>
      <c r="D252" s="13" t="s">
        <v>24</v>
      </c>
      <c r="E252" s="13" t="s">
        <v>2373</v>
      </c>
      <c r="F252" s="39" t="s">
        <v>1863</v>
      </c>
      <c r="G252" s="13">
        <v>1484917</v>
      </c>
      <c r="H252" s="164" t="s">
        <v>72</v>
      </c>
      <c r="I252" s="13" t="s">
        <v>247</v>
      </c>
      <c r="J252" s="164" t="s">
        <v>72</v>
      </c>
      <c r="K252" s="13" t="s">
        <v>106</v>
      </c>
      <c r="L252" s="13" t="s">
        <v>1844</v>
      </c>
      <c r="M252" s="13" t="s">
        <v>1033</v>
      </c>
      <c r="N252" s="13" t="s">
        <v>1845</v>
      </c>
      <c r="O252" s="14" t="s">
        <v>72</v>
      </c>
      <c r="P252" s="14" t="s">
        <v>1278</v>
      </c>
      <c r="Q252" s="165"/>
      <c r="R252" s="164" t="s">
        <v>72</v>
      </c>
      <c r="S252" s="13" t="s">
        <v>109</v>
      </c>
      <c r="T252" s="13"/>
      <c r="U252" s="13"/>
      <c r="V252" s="13">
        <v>35</v>
      </c>
      <c r="W252" s="13">
        <v>35</v>
      </c>
      <c r="X252" s="13">
        <v>35</v>
      </c>
      <c r="Y252" s="13">
        <v>0.62</v>
      </c>
      <c r="Z252" s="13">
        <v>0.62</v>
      </c>
      <c r="AA252" s="13" t="s">
        <v>110</v>
      </c>
      <c r="AB252" s="58">
        <v>43983</v>
      </c>
      <c r="AC252" s="58">
        <v>43976</v>
      </c>
      <c r="AD252" s="58">
        <v>43983</v>
      </c>
      <c r="AE252" s="58">
        <v>43977</v>
      </c>
      <c r="AF252" s="58">
        <v>43977</v>
      </c>
      <c r="AG252" s="58" t="s">
        <v>75</v>
      </c>
      <c r="AH252" s="59">
        <v>1</v>
      </c>
      <c r="AI252" s="59">
        <v>1</v>
      </c>
      <c r="AJ252" s="59">
        <v>1</v>
      </c>
      <c r="AK252" s="58" t="s">
        <v>8</v>
      </c>
      <c r="AL252" s="181" t="s">
        <v>72</v>
      </c>
      <c r="AM252" s="181" t="s">
        <v>72</v>
      </c>
      <c r="AN252" s="193" t="s">
        <v>1846</v>
      </c>
    </row>
    <row r="253" spans="2:40" ht="15">
      <c r="B253" s="184">
        <v>134</v>
      </c>
      <c r="C253" s="13">
        <v>20200525</v>
      </c>
      <c r="D253" s="13" t="s">
        <v>24</v>
      </c>
      <c r="E253" s="13" t="s">
        <v>2373</v>
      </c>
      <c r="F253" s="39" t="s">
        <v>1864</v>
      </c>
      <c r="G253" s="13" t="s">
        <v>1865</v>
      </c>
      <c r="H253" s="164" t="s">
        <v>72</v>
      </c>
      <c r="I253" s="13" t="s">
        <v>1866</v>
      </c>
      <c r="J253" s="164" t="s">
        <v>72</v>
      </c>
      <c r="K253" s="13" t="s">
        <v>106</v>
      </c>
      <c r="L253" s="13" t="s">
        <v>1844</v>
      </c>
      <c r="M253" s="13" t="s">
        <v>1033</v>
      </c>
      <c r="N253" s="13" t="s">
        <v>1845</v>
      </c>
      <c r="O253" s="14" t="s">
        <v>72</v>
      </c>
      <c r="P253" s="14" t="s">
        <v>1278</v>
      </c>
      <c r="Q253" s="165"/>
      <c r="R253" s="164" t="s">
        <v>72</v>
      </c>
      <c r="S253" s="13" t="s">
        <v>109</v>
      </c>
      <c r="T253" s="13"/>
      <c r="U253" s="13"/>
      <c r="V253" s="13">
        <v>30</v>
      </c>
      <c r="W253" s="13">
        <v>30</v>
      </c>
      <c r="X253" s="13">
        <v>30</v>
      </c>
      <c r="Y253" s="13">
        <v>0.53</v>
      </c>
      <c r="Z253" s="13">
        <v>0.53</v>
      </c>
      <c r="AA253" s="13" t="s">
        <v>110</v>
      </c>
      <c r="AB253" s="58">
        <v>43983</v>
      </c>
      <c r="AC253" s="58">
        <v>43976</v>
      </c>
      <c r="AD253" s="58">
        <v>43983</v>
      </c>
      <c r="AE253" s="58">
        <v>43977</v>
      </c>
      <c r="AF253" s="58">
        <v>43977</v>
      </c>
      <c r="AG253" s="58" t="s">
        <v>75</v>
      </c>
      <c r="AH253" s="59">
        <v>1</v>
      </c>
      <c r="AI253" s="59">
        <v>1</v>
      </c>
      <c r="AJ253" s="59">
        <v>1</v>
      </c>
      <c r="AK253" s="58" t="s">
        <v>8</v>
      </c>
      <c r="AL253" s="181" t="s">
        <v>72</v>
      </c>
      <c r="AM253" s="181" t="s">
        <v>72</v>
      </c>
      <c r="AN253" s="193" t="s">
        <v>1846</v>
      </c>
    </row>
    <row r="254" spans="2:40" ht="15">
      <c r="B254" s="184">
        <v>135</v>
      </c>
      <c r="C254" s="13">
        <v>20200525</v>
      </c>
      <c r="D254" s="13" t="s">
        <v>24</v>
      </c>
      <c r="E254" s="13" t="s">
        <v>2373</v>
      </c>
      <c r="F254" s="39" t="s">
        <v>1867</v>
      </c>
      <c r="G254" s="13">
        <v>1484917</v>
      </c>
      <c r="H254" s="164" t="s">
        <v>72</v>
      </c>
      <c r="I254" s="13" t="s">
        <v>1868</v>
      </c>
      <c r="J254" s="164" t="s">
        <v>72</v>
      </c>
      <c r="K254" s="13" t="s">
        <v>106</v>
      </c>
      <c r="L254" s="13" t="s">
        <v>1844</v>
      </c>
      <c r="M254" s="13" t="s">
        <v>1033</v>
      </c>
      <c r="N254" s="13" t="s">
        <v>1845</v>
      </c>
      <c r="O254" s="14" t="s">
        <v>72</v>
      </c>
      <c r="P254" s="14" t="s">
        <v>1278</v>
      </c>
      <c r="Q254" s="165"/>
      <c r="R254" s="164" t="s">
        <v>72</v>
      </c>
      <c r="S254" s="13" t="s">
        <v>109</v>
      </c>
      <c r="T254" s="13"/>
      <c r="U254" s="13"/>
      <c r="V254" s="13">
        <v>14</v>
      </c>
      <c r="W254" s="13">
        <v>14</v>
      </c>
      <c r="X254" s="13">
        <v>14</v>
      </c>
      <c r="Y254" s="13">
        <v>0.24</v>
      </c>
      <c r="Z254" s="13">
        <v>0.24</v>
      </c>
      <c r="AA254" s="13" t="s">
        <v>110</v>
      </c>
      <c r="AB254" s="58">
        <v>43983</v>
      </c>
      <c r="AC254" s="58">
        <v>43976</v>
      </c>
      <c r="AD254" s="58">
        <v>43983</v>
      </c>
      <c r="AE254" s="58">
        <v>43977</v>
      </c>
      <c r="AF254" s="58">
        <v>43977</v>
      </c>
      <c r="AG254" s="58" t="s">
        <v>75</v>
      </c>
      <c r="AH254" s="59">
        <v>1</v>
      </c>
      <c r="AI254" s="59">
        <v>1</v>
      </c>
      <c r="AJ254" s="59">
        <v>1</v>
      </c>
      <c r="AK254" s="58" t="s">
        <v>8</v>
      </c>
      <c r="AL254" s="181" t="s">
        <v>72</v>
      </c>
      <c r="AM254" s="181" t="s">
        <v>72</v>
      </c>
      <c r="AN254" s="193" t="s">
        <v>1846</v>
      </c>
    </row>
    <row r="255" spans="2:40" ht="15">
      <c r="B255" s="184">
        <v>136</v>
      </c>
      <c r="C255" s="13">
        <v>20200525</v>
      </c>
      <c r="D255" s="13" t="s">
        <v>24</v>
      </c>
      <c r="E255" s="13" t="s">
        <v>2373</v>
      </c>
      <c r="F255" s="39" t="s">
        <v>1869</v>
      </c>
      <c r="G255" s="13">
        <v>1484917</v>
      </c>
      <c r="H255" s="164" t="s">
        <v>72</v>
      </c>
      <c r="I255" s="13" t="s">
        <v>1870</v>
      </c>
      <c r="J255" s="164" t="s">
        <v>72</v>
      </c>
      <c r="K255" s="13" t="s">
        <v>106</v>
      </c>
      <c r="L255" s="13" t="s">
        <v>1844</v>
      </c>
      <c r="M255" s="13" t="s">
        <v>1033</v>
      </c>
      <c r="N255" s="13" t="s">
        <v>1845</v>
      </c>
      <c r="O255" s="14" t="s">
        <v>72</v>
      </c>
      <c r="P255" s="14" t="s">
        <v>1278</v>
      </c>
      <c r="Q255" s="165"/>
      <c r="R255" s="164" t="s">
        <v>72</v>
      </c>
      <c r="S255" s="13" t="s">
        <v>77</v>
      </c>
      <c r="T255" s="13"/>
      <c r="U255" s="13"/>
      <c r="V255" s="13">
        <v>12</v>
      </c>
      <c r="W255" s="13">
        <v>12</v>
      </c>
      <c r="X255" s="13">
        <v>12</v>
      </c>
      <c r="Y255" s="13">
        <v>0.21</v>
      </c>
      <c r="Z255" s="13">
        <v>0.1</v>
      </c>
      <c r="AA255" s="13" t="s">
        <v>110</v>
      </c>
      <c r="AB255" s="58">
        <v>43983</v>
      </c>
      <c r="AC255" s="58">
        <v>43976</v>
      </c>
      <c r="AD255" s="58">
        <v>43983</v>
      </c>
      <c r="AE255" s="58">
        <v>43978</v>
      </c>
      <c r="AF255" s="58">
        <v>43978</v>
      </c>
      <c r="AG255" s="58" t="s">
        <v>75</v>
      </c>
      <c r="AH255" s="59">
        <v>1</v>
      </c>
      <c r="AI255" s="59">
        <v>1</v>
      </c>
      <c r="AJ255" s="59">
        <v>1</v>
      </c>
      <c r="AK255" s="58" t="s">
        <v>8</v>
      </c>
      <c r="AL255" s="181" t="s">
        <v>72</v>
      </c>
      <c r="AM255" s="181" t="s">
        <v>72</v>
      </c>
      <c r="AN255" s="193" t="s">
        <v>1846</v>
      </c>
    </row>
    <row r="256" spans="2:40" ht="15">
      <c r="B256" s="184">
        <v>137</v>
      </c>
      <c r="C256" s="13">
        <v>20200525</v>
      </c>
      <c r="D256" s="13" t="s">
        <v>24</v>
      </c>
      <c r="E256" s="13" t="s">
        <v>2373</v>
      </c>
      <c r="F256" s="39" t="s">
        <v>1871</v>
      </c>
      <c r="G256" s="13">
        <v>1484917</v>
      </c>
      <c r="H256" s="164" t="s">
        <v>72</v>
      </c>
      <c r="I256" s="13" t="s">
        <v>1872</v>
      </c>
      <c r="J256" s="164" t="s">
        <v>72</v>
      </c>
      <c r="K256" s="13" t="s">
        <v>106</v>
      </c>
      <c r="L256" s="13" t="s">
        <v>1844</v>
      </c>
      <c r="M256" s="13" t="s">
        <v>1033</v>
      </c>
      <c r="N256" s="13" t="s">
        <v>1845</v>
      </c>
      <c r="O256" s="14" t="s">
        <v>72</v>
      </c>
      <c r="P256" s="14" t="s">
        <v>1278</v>
      </c>
      <c r="Q256" s="165"/>
      <c r="R256" s="164" t="s">
        <v>72</v>
      </c>
      <c r="S256" s="13" t="s">
        <v>113</v>
      </c>
      <c r="T256" s="13"/>
      <c r="U256" s="13"/>
      <c r="V256" s="13">
        <v>45</v>
      </c>
      <c r="W256" s="13">
        <v>45</v>
      </c>
      <c r="X256" s="13">
        <v>45</v>
      </c>
      <c r="Y256" s="13">
        <v>0.8</v>
      </c>
      <c r="Z256" s="13">
        <v>0.8</v>
      </c>
      <c r="AA256" s="13" t="s">
        <v>110</v>
      </c>
      <c r="AB256" s="58">
        <v>43983</v>
      </c>
      <c r="AC256" s="58">
        <v>43976</v>
      </c>
      <c r="AD256" s="58">
        <v>43983</v>
      </c>
      <c r="AE256" s="58">
        <v>43979</v>
      </c>
      <c r="AF256" s="58">
        <v>43979</v>
      </c>
      <c r="AG256" s="58" t="s">
        <v>75</v>
      </c>
      <c r="AH256" s="59">
        <v>1</v>
      </c>
      <c r="AI256" s="59">
        <v>1</v>
      </c>
      <c r="AJ256" s="59">
        <v>1</v>
      </c>
      <c r="AK256" s="58" t="s">
        <v>8</v>
      </c>
      <c r="AL256" s="181" t="s">
        <v>72</v>
      </c>
      <c r="AM256" s="181" t="s">
        <v>72</v>
      </c>
      <c r="AN256" s="193" t="s">
        <v>1846</v>
      </c>
    </row>
    <row r="257" spans="2:40" ht="15">
      <c r="B257" s="184">
        <v>138</v>
      </c>
      <c r="C257" s="13">
        <v>20200525</v>
      </c>
      <c r="D257" s="13" t="s">
        <v>24</v>
      </c>
      <c r="E257" s="13" t="s">
        <v>2373</v>
      </c>
      <c r="F257" s="39" t="s">
        <v>1873</v>
      </c>
      <c r="G257" s="13">
        <v>1484917</v>
      </c>
      <c r="H257" s="164" t="s">
        <v>72</v>
      </c>
      <c r="I257" s="13" t="s">
        <v>1874</v>
      </c>
      <c r="J257" s="164" t="s">
        <v>72</v>
      </c>
      <c r="K257" s="13" t="s">
        <v>106</v>
      </c>
      <c r="L257" s="13" t="s">
        <v>1844</v>
      </c>
      <c r="M257" s="13" t="s">
        <v>1033</v>
      </c>
      <c r="N257" s="13" t="s">
        <v>1845</v>
      </c>
      <c r="O257" s="14" t="s">
        <v>72</v>
      </c>
      <c r="P257" s="14" t="s">
        <v>1278</v>
      </c>
      <c r="Q257" s="165"/>
      <c r="R257" s="164" t="s">
        <v>72</v>
      </c>
      <c r="S257" s="13" t="s">
        <v>113</v>
      </c>
      <c r="T257" s="13"/>
      <c r="U257" s="13"/>
      <c r="V257" s="13">
        <v>14</v>
      </c>
      <c r="W257" s="13">
        <v>14</v>
      </c>
      <c r="X257" s="13">
        <v>14</v>
      </c>
      <c r="Y257" s="13">
        <v>0.24</v>
      </c>
      <c r="Z257" s="13">
        <v>0.24</v>
      </c>
      <c r="AA257" s="13" t="s">
        <v>110</v>
      </c>
      <c r="AB257" s="58">
        <v>43983</v>
      </c>
      <c r="AC257" s="58">
        <v>43976</v>
      </c>
      <c r="AD257" s="58">
        <v>43983</v>
      </c>
      <c r="AE257" s="58">
        <v>43979</v>
      </c>
      <c r="AF257" s="58">
        <v>43979</v>
      </c>
      <c r="AG257" s="58" t="s">
        <v>75</v>
      </c>
      <c r="AH257" s="59">
        <v>1</v>
      </c>
      <c r="AI257" s="59">
        <v>1</v>
      </c>
      <c r="AJ257" s="59">
        <v>1</v>
      </c>
      <c r="AK257" s="58" t="s">
        <v>8</v>
      </c>
      <c r="AL257" s="181" t="s">
        <v>72</v>
      </c>
      <c r="AM257" s="181" t="s">
        <v>72</v>
      </c>
      <c r="AN257" s="193" t="s">
        <v>1846</v>
      </c>
    </row>
    <row r="258" spans="2:40" ht="15">
      <c r="B258" s="184">
        <v>139</v>
      </c>
      <c r="C258" s="13">
        <v>20200525</v>
      </c>
      <c r="D258" s="13" t="s">
        <v>24</v>
      </c>
      <c r="E258" s="13" t="s">
        <v>2373</v>
      </c>
      <c r="F258" s="39" t="s">
        <v>1875</v>
      </c>
      <c r="G258" s="13">
        <v>1484917</v>
      </c>
      <c r="H258" s="164" t="s">
        <v>72</v>
      </c>
      <c r="I258" s="13" t="s">
        <v>1876</v>
      </c>
      <c r="J258" s="164" t="s">
        <v>72</v>
      </c>
      <c r="K258" s="13" t="s">
        <v>106</v>
      </c>
      <c r="L258" s="13" t="s">
        <v>1844</v>
      </c>
      <c r="M258" s="13" t="s">
        <v>1033</v>
      </c>
      <c r="N258" s="13" t="s">
        <v>1845</v>
      </c>
      <c r="O258" s="14" t="s">
        <v>72</v>
      </c>
      <c r="P258" s="14" t="s">
        <v>1278</v>
      </c>
      <c r="Q258" s="165"/>
      <c r="R258" s="164" t="s">
        <v>72</v>
      </c>
      <c r="S258" s="13" t="s">
        <v>113</v>
      </c>
      <c r="T258" s="13"/>
      <c r="U258" s="13"/>
      <c r="V258" s="13">
        <v>81</v>
      </c>
      <c r="W258" s="13">
        <v>81</v>
      </c>
      <c r="X258" s="13">
        <v>81</v>
      </c>
      <c r="Y258" s="13">
        <v>1.44</v>
      </c>
      <c r="Z258" s="13">
        <v>1.44</v>
      </c>
      <c r="AA258" s="13" t="s">
        <v>110</v>
      </c>
      <c r="AB258" s="58">
        <v>43983</v>
      </c>
      <c r="AC258" s="58">
        <v>43976</v>
      </c>
      <c r="AD258" s="58">
        <v>43983</v>
      </c>
      <c r="AE258" s="58">
        <v>43979</v>
      </c>
      <c r="AF258" s="58">
        <v>43979</v>
      </c>
      <c r="AG258" s="58" t="s">
        <v>75</v>
      </c>
      <c r="AH258" s="59">
        <v>1</v>
      </c>
      <c r="AI258" s="59">
        <v>1</v>
      </c>
      <c r="AJ258" s="59">
        <v>1</v>
      </c>
      <c r="AK258" s="58" t="s">
        <v>8</v>
      </c>
      <c r="AL258" s="181" t="s">
        <v>72</v>
      </c>
      <c r="AM258" s="181" t="s">
        <v>72</v>
      </c>
      <c r="AN258" s="193" t="s">
        <v>1846</v>
      </c>
    </row>
    <row r="259" spans="2:40" ht="15">
      <c r="B259" s="184">
        <v>140</v>
      </c>
      <c r="C259" s="13">
        <v>20200525</v>
      </c>
      <c r="D259" s="13" t="s">
        <v>24</v>
      </c>
      <c r="E259" s="13" t="s">
        <v>2373</v>
      </c>
      <c r="F259" s="39" t="s">
        <v>1877</v>
      </c>
      <c r="G259" s="13">
        <v>1484917</v>
      </c>
      <c r="H259" s="164" t="s">
        <v>72</v>
      </c>
      <c r="I259" s="13" t="s">
        <v>1878</v>
      </c>
      <c r="J259" s="164" t="s">
        <v>72</v>
      </c>
      <c r="K259" s="13" t="s">
        <v>106</v>
      </c>
      <c r="L259" s="13" t="s">
        <v>1844</v>
      </c>
      <c r="M259" s="13" t="s">
        <v>1033</v>
      </c>
      <c r="N259" s="13" t="s">
        <v>1845</v>
      </c>
      <c r="O259" s="14" t="s">
        <v>72</v>
      </c>
      <c r="P259" s="14" t="s">
        <v>1278</v>
      </c>
      <c r="Q259" s="165"/>
      <c r="R259" s="164" t="s">
        <v>72</v>
      </c>
      <c r="S259" s="13" t="s">
        <v>113</v>
      </c>
      <c r="T259" s="13"/>
      <c r="U259" s="13"/>
      <c r="V259" s="13">
        <v>18</v>
      </c>
      <c r="W259" s="13">
        <v>18</v>
      </c>
      <c r="X259" s="13">
        <v>18</v>
      </c>
      <c r="Y259" s="13">
        <v>0.32</v>
      </c>
      <c r="Z259" s="13">
        <v>0.32</v>
      </c>
      <c r="AA259" s="13" t="s">
        <v>110</v>
      </c>
      <c r="AB259" s="58">
        <v>43983</v>
      </c>
      <c r="AC259" s="58">
        <v>43976</v>
      </c>
      <c r="AD259" s="58">
        <v>43983</v>
      </c>
      <c r="AE259" s="58">
        <v>43979</v>
      </c>
      <c r="AF259" s="58">
        <v>43979</v>
      </c>
      <c r="AG259" s="58" t="s">
        <v>75</v>
      </c>
      <c r="AH259" s="59">
        <v>1</v>
      </c>
      <c r="AI259" s="59">
        <v>1</v>
      </c>
      <c r="AJ259" s="59">
        <v>1</v>
      </c>
      <c r="AK259" s="58" t="s">
        <v>8</v>
      </c>
      <c r="AL259" s="181" t="s">
        <v>72</v>
      </c>
      <c r="AM259" s="181" t="s">
        <v>72</v>
      </c>
      <c r="AN259" s="193" t="s">
        <v>1846</v>
      </c>
    </row>
    <row r="260" spans="2:40" ht="15">
      <c r="B260" s="184">
        <v>141</v>
      </c>
      <c r="C260" s="13">
        <v>20200525</v>
      </c>
      <c r="D260" s="13" t="s">
        <v>24</v>
      </c>
      <c r="E260" s="13" t="s">
        <v>2373</v>
      </c>
      <c r="F260" s="39" t="s">
        <v>1879</v>
      </c>
      <c r="G260" s="13">
        <v>1484917</v>
      </c>
      <c r="H260" s="164" t="s">
        <v>72</v>
      </c>
      <c r="I260" s="13" t="s">
        <v>32</v>
      </c>
      <c r="J260" s="164" t="s">
        <v>72</v>
      </c>
      <c r="K260" s="13" t="s">
        <v>106</v>
      </c>
      <c r="L260" s="13" t="s">
        <v>1844</v>
      </c>
      <c r="M260" s="13" t="s">
        <v>1033</v>
      </c>
      <c r="N260" s="13" t="s">
        <v>1845</v>
      </c>
      <c r="O260" s="14" t="s">
        <v>72</v>
      </c>
      <c r="P260" s="14" t="s">
        <v>1278</v>
      </c>
      <c r="Q260" s="165"/>
      <c r="R260" s="164" t="s">
        <v>72</v>
      </c>
      <c r="S260" s="13" t="s">
        <v>117</v>
      </c>
      <c r="T260" s="13"/>
      <c r="U260" s="13"/>
      <c r="V260" s="13">
        <v>259</v>
      </c>
      <c r="W260" s="13">
        <v>259</v>
      </c>
      <c r="X260" s="13">
        <v>259</v>
      </c>
      <c r="Y260" s="13">
        <v>4.5999999999999996</v>
      </c>
      <c r="Z260" s="13">
        <v>2</v>
      </c>
      <c r="AA260" s="13" t="s">
        <v>110</v>
      </c>
      <c r="AB260" s="58">
        <v>43983</v>
      </c>
      <c r="AC260" s="58">
        <v>43976</v>
      </c>
      <c r="AD260" s="58">
        <v>43983</v>
      </c>
      <c r="AE260" s="58">
        <v>43980</v>
      </c>
      <c r="AF260" s="58">
        <v>43980</v>
      </c>
      <c r="AG260" s="58" t="s">
        <v>79</v>
      </c>
      <c r="AH260" s="59">
        <v>1</v>
      </c>
      <c r="AI260" s="59">
        <v>1</v>
      </c>
      <c r="AJ260" s="59">
        <v>0.87</v>
      </c>
      <c r="AK260" s="58" t="s">
        <v>76</v>
      </c>
      <c r="AL260" s="14" t="s">
        <v>1880</v>
      </c>
      <c r="AM260" s="181" t="s">
        <v>72</v>
      </c>
      <c r="AN260" s="193" t="s">
        <v>1881</v>
      </c>
    </row>
    <row r="261" spans="2:40" ht="15">
      <c r="B261" s="184">
        <v>142</v>
      </c>
      <c r="C261" s="13">
        <v>20200525</v>
      </c>
      <c r="D261" s="13" t="s">
        <v>24</v>
      </c>
      <c r="E261" s="13" t="s">
        <v>2373</v>
      </c>
      <c r="F261" s="39" t="s">
        <v>1882</v>
      </c>
      <c r="G261" s="13">
        <v>1484917</v>
      </c>
      <c r="H261" s="164" t="s">
        <v>72</v>
      </c>
      <c r="I261" s="13" t="s">
        <v>187</v>
      </c>
      <c r="J261" s="164" t="s">
        <v>72</v>
      </c>
      <c r="K261" s="13" t="s">
        <v>106</v>
      </c>
      <c r="L261" s="13" t="s">
        <v>1844</v>
      </c>
      <c r="M261" s="13" t="s">
        <v>1033</v>
      </c>
      <c r="N261" s="13" t="s">
        <v>1845</v>
      </c>
      <c r="O261" s="14" t="s">
        <v>72</v>
      </c>
      <c r="P261" s="14" t="s">
        <v>1278</v>
      </c>
      <c r="Q261" s="165"/>
      <c r="R261" s="164" t="s">
        <v>72</v>
      </c>
      <c r="S261" s="13" t="s">
        <v>109</v>
      </c>
      <c r="T261" s="13"/>
      <c r="U261" s="13"/>
      <c r="V261" s="13">
        <v>109</v>
      </c>
      <c r="W261" s="13">
        <v>109</v>
      </c>
      <c r="X261" s="13">
        <v>109</v>
      </c>
      <c r="Y261" s="13">
        <v>1.93</v>
      </c>
      <c r="Z261" s="13">
        <v>1</v>
      </c>
      <c r="AA261" s="13" t="s">
        <v>110</v>
      </c>
      <c r="AB261" s="58">
        <v>43983</v>
      </c>
      <c r="AC261" s="58">
        <v>43976</v>
      </c>
      <c r="AD261" s="58">
        <v>43983</v>
      </c>
      <c r="AE261" s="58">
        <v>43977</v>
      </c>
      <c r="AF261" s="58">
        <v>43977</v>
      </c>
      <c r="AG261" s="58" t="s">
        <v>75</v>
      </c>
      <c r="AH261" s="59">
        <v>1</v>
      </c>
      <c r="AI261" s="59">
        <v>1</v>
      </c>
      <c r="AJ261" s="59">
        <v>1</v>
      </c>
      <c r="AK261" s="58" t="s">
        <v>8</v>
      </c>
      <c r="AL261" s="181" t="s">
        <v>72</v>
      </c>
      <c r="AM261" s="181" t="s">
        <v>72</v>
      </c>
      <c r="AN261" s="193" t="s">
        <v>1846</v>
      </c>
    </row>
    <row r="262" spans="2:40" ht="15">
      <c r="B262" s="184">
        <v>143</v>
      </c>
      <c r="C262" s="13">
        <v>20200525</v>
      </c>
      <c r="D262" s="13" t="s">
        <v>24</v>
      </c>
      <c r="E262" s="13" t="s">
        <v>2373</v>
      </c>
      <c r="F262" s="39" t="s">
        <v>1883</v>
      </c>
      <c r="G262" s="13">
        <v>1484917</v>
      </c>
      <c r="H262" s="164" t="s">
        <v>72</v>
      </c>
      <c r="I262" s="13" t="s">
        <v>187</v>
      </c>
      <c r="J262" s="164" t="s">
        <v>72</v>
      </c>
      <c r="K262" s="13" t="s">
        <v>106</v>
      </c>
      <c r="L262" s="13" t="s">
        <v>1844</v>
      </c>
      <c r="M262" s="13" t="s">
        <v>1033</v>
      </c>
      <c r="N262" s="13" t="s">
        <v>1845</v>
      </c>
      <c r="O262" s="14" t="s">
        <v>72</v>
      </c>
      <c r="P262" s="14" t="s">
        <v>1278</v>
      </c>
      <c r="Q262" s="165"/>
      <c r="R262" s="164" t="s">
        <v>72</v>
      </c>
      <c r="S262" s="13" t="s">
        <v>109</v>
      </c>
      <c r="T262" s="13"/>
      <c r="U262" s="13"/>
      <c r="V262" s="13">
        <v>109</v>
      </c>
      <c r="W262" s="53">
        <v>159</v>
      </c>
      <c r="X262" s="13">
        <v>159</v>
      </c>
      <c r="Y262" s="13">
        <v>2.82</v>
      </c>
      <c r="Z262" s="13">
        <v>1</v>
      </c>
      <c r="AA262" s="13" t="s">
        <v>110</v>
      </c>
      <c r="AB262" s="58">
        <v>43983</v>
      </c>
      <c r="AC262" s="58">
        <v>43976</v>
      </c>
      <c r="AD262" s="58">
        <v>43983</v>
      </c>
      <c r="AE262" s="58">
        <v>43977</v>
      </c>
      <c r="AF262" s="58">
        <v>43977</v>
      </c>
      <c r="AG262" s="58" t="s">
        <v>75</v>
      </c>
      <c r="AH262" s="59">
        <v>1</v>
      </c>
      <c r="AI262" s="59">
        <v>1</v>
      </c>
      <c r="AJ262" s="59">
        <v>1</v>
      </c>
      <c r="AK262" s="58" t="s">
        <v>8</v>
      </c>
      <c r="AL262" s="181" t="s">
        <v>72</v>
      </c>
      <c r="AM262" s="181" t="s">
        <v>72</v>
      </c>
      <c r="AN262" s="193" t="s">
        <v>1846</v>
      </c>
    </row>
    <row r="263" spans="2:40" ht="15">
      <c r="B263" s="184">
        <v>144</v>
      </c>
      <c r="C263" s="13">
        <v>20200525</v>
      </c>
      <c r="D263" s="13" t="s">
        <v>24</v>
      </c>
      <c r="E263" s="13" t="s">
        <v>2373</v>
      </c>
      <c r="F263" s="39" t="s">
        <v>1884</v>
      </c>
      <c r="G263" s="13">
        <v>1484917</v>
      </c>
      <c r="H263" s="164" t="s">
        <v>72</v>
      </c>
      <c r="I263" s="13" t="s">
        <v>195</v>
      </c>
      <c r="J263" s="164" t="s">
        <v>72</v>
      </c>
      <c r="K263" s="13" t="s">
        <v>106</v>
      </c>
      <c r="L263" s="13" t="s">
        <v>1844</v>
      </c>
      <c r="M263" s="13" t="s">
        <v>1033</v>
      </c>
      <c r="N263" s="13" t="s">
        <v>1845</v>
      </c>
      <c r="O263" s="14" t="s">
        <v>72</v>
      </c>
      <c r="P263" s="14" t="s">
        <v>1278</v>
      </c>
      <c r="Q263" s="165"/>
      <c r="R263" s="164" t="s">
        <v>72</v>
      </c>
      <c r="S263" s="13" t="s">
        <v>109</v>
      </c>
      <c r="T263" s="13"/>
      <c r="U263" s="13"/>
      <c r="V263" s="13">
        <v>63</v>
      </c>
      <c r="W263" s="13">
        <v>63</v>
      </c>
      <c r="X263" s="13">
        <v>63</v>
      </c>
      <c r="Y263" s="13">
        <v>1.1200000000000001</v>
      </c>
      <c r="Z263" s="13">
        <v>1.1200000000000001</v>
      </c>
      <c r="AA263" s="13" t="s">
        <v>110</v>
      </c>
      <c r="AB263" s="58">
        <v>43983</v>
      </c>
      <c r="AC263" s="58">
        <v>43976</v>
      </c>
      <c r="AD263" s="58">
        <v>43983</v>
      </c>
      <c r="AE263" s="58">
        <v>43977</v>
      </c>
      <c r="AF263" s="58">
        <v>43977</v>
      </c>
      <c r="AG263" s="58" t="s">
        <v>75</v>
      </c>
      <c r="AH263" s="59">
        <v>1</v>
      </c>
      <c r="AI263" s="59">
        <v>1</v>
      </c>
      <c r="AJ263" s="59">
        <v>1</v>
      </c>
      <c r="AK263" s="58" t="s">
        <v>8</v>
      </c>
      <c r="AL263" s="181" t="s">
        <v>72</v>
      </c>
      <c r="AM263" s="181" t="s">
        <v>72</v>
      </c>
      <c r="AN263" s="193" t="s">
        <v>1846</v>
      </c>
    </row>
    <row r="264" spans="2:40" ht="15">
      <c r="B264" s="184">
        <v>145</v>
      </c>
      <c r="C264" s="13">
        <v>20200525</v>
      </c>
      <c r="D264" s="13" t="s">
        <v>24</v>
      </c>
      <c r="E264" s="13" t="s">
        <v>2373</v>
      </c>
      <c r="F264" s="39" t="s">
        <v>1885</v>
      </c>
      <c r="G264" s="13">
        <v>1484917</v>
      </c>
      <c r="H264" s="164" t="s">
        <v>72</v>
      </c>
      <c r="I264" s="13" t="s">
        <v>255</v>
      </c>
      <c r="J264" s="164" t="s">
        <v>72</v>
      </c>
      <c r="K264" s="13" t="s">
        <v>106</v>
      </c>
      <c r="L264" s="13" t="s">
        <v>1844</v>
      </c>
      <c r="M264" s="13" t="s">
        <v>1033</v>
      </c>
      <c r="N264" s="13" t="s">
        <v>1845</v>
      </c>
      <c r="O264" s="14" t="s">
        <v>72</v>
      </c>
      <c r="P264" s="14" t="s">
        <v>1278</v>
      </c>
      <c r="Q264" s="165"/>
      <c r="R264" s="164" t="s">
        <v>72</v>
      </c>
      <c r="S264" s="13" t="s">
        <v>117</v>
      </c>
      <c r="T264" s="13"/>
      <c r="U264" s="13"/>
      <c r="V264" s="13">
        <v>100</v>
      </c>
      <c r="W264" s="13">
        <v>100</v>
      </c>
      <c r="X264" s="13">
        <v>100</v>
      </c>
      <c r="Y264" s="13">
        <v>1.77</v>
      </c>
      <c r="Z264" s="13">
        <v>1</v>
      </c>
      <c r="AA264" s="13" t="s">
        <v>110</v>
      </c>
      <c r="AB264" s="58">
        <v>43983</v>
      </c>
      <c r="AC264" s="58">
        <v>43976</v>
      </c>
      <c r="AD264" s="58">
        <v>43983</v>
      </c>
      <c r="AE264" s="58">
        <v>43980</v>
      </c>
      <c r="AF264" s="58">
        <v>43980</v>
      </c>
      <c r="AG264" s="58" t="s">
        <v>75</v>
      </c>
      <c r="AH264" s="59">
        <v>1</v>
      </c>
      <c r="AI264" s="59">
        <v>1</v>
      </c>
      <c r="AJ264" s="59">
        <v>1</v>
      </c>
      <c r="AK264" s="58" t="s">
        <v>8</v>
      </c>
      <c r="AL264" s="181" t="s">
        <v>72</v>
      </c>
      <c r="AM264" s="181" t="s">
        <v>72</v>
      </c>
      <c r="AN264" s="193" t="s">
        <v>1846</v>
      </c>
    </row>
    <row r="265" spans="2:40" ht="15">
      <c r="B265" s="184">
        <v>146</v>
      </c>
      <c r="C265" s="13">
        <v>20200525</v>
      </c>
      <c r="D265" s="13" t="s">
        <v>24</v>
      </c>
      <c r="E265" s="13" t="s">
        <v>2373</v>
      </c>
      <c r="F265" s="39" t="s">
        <v>1886</v>
      </c>
      <c r="G265" s="13">
        <v>1484917</v>
      </c>
      <c r="H265" s="164" t="s">
        <v>72</v>
      </c>
      <c r="I265" s="13" t="s">
        <v>255</v>
      </c>
      <c r="J265" s="164" t="s">
        <v>72</v>
      </c>
      <c r="K265" s="13" t="s">
        <v>106</v>
      </c>
      <c r="L265" s="13" t="s">
        <v>1844</v>
      </c>
      <c r="M265" s="13" t="s">
        <v>1033</v>
      </c>
      <c r="N265" s="13" t="s">
        <v>1845</v>
      </c>
      <c r="O265" s="14" t="s">
        <v>72</v>
      </c>
      <c r="P265" s="14" t="s">
        <v>1278</v>
      </c>
      <c r="Q265" s="165"/>
      <c r="R265" s="164" t="s">
        <v>72</v>
      </c>
      <c r="S265" s="13" t="s">
        <v>117</v>
      </c>
      <c r="T265" s="13"/>
      <c r="U265" s="13"/>
      <c r="V265" s="13">
        <v>100</v>
      </c>
      <c r="W265" s="13">
        <v>100</v>
      </c>
      <c r="X265" s="13">
        <v>100</v>
      </c>
      <c r="Y265" s="13">
        <v>1.77</v>
      </c>
      <c r="Z265" s="13">
        <v>1</v>
      </c>
      <c r="AA265" s="13" t="s">
        <v>110</v>
      </c>
      <c r="AB265" s="58">
        <v>43983</v>
      </c>
      <c r="AC265" s="58">
        <v>43976</v>
      </c>
      <c r="AD265" s="58">
        <v>43983</v>
      </c>
      <c r="AE265" s="58">
        <v>43980</v>
      </c>
      <c r="AF265" s="58">
        <v>43980</v>
      </c>
      <c r="AG265" s="58" t="s">
        <v>75</v>
      </c>
      <c r="AH265" s="59">
        <v>1</v>
      </c>
      <c r="AI265" s="59">
        <v>1</v>
      </c>
      <c r="AJ265" s="59">
        <v>1</v>
      </c>
      <c r="AK265" s="58" t="s">
        <v>8</v>
      </c>
      <c r="AL265" s="181" t="s">
        <v>72</v>
      </c>
      <c r="AM265" s="181" t="s">
        <v>72</v>
      </c>
      <c r="AN265" s="193" t="s">
        <v>1846</v>
      </c>
    </row>
    <row r="266" spans="2:40" ht="15">
      <c r="B266" s="184">
        <v>147</v>
      </c>
      <c r="C266" s="13">
        <v>20200525</v>
      </c>
      <c r="D266" s="13" t="s">
        <v>24</v>
      </c>
      <c r="E266" s="13" t="s">
        <v>2373</v>
      </c>
      <c r="F266" s="39" t="s">
        <v>1887</v>
      </c>
      <c r="G266" s="13">
        <v>1484917</v>
      </c>
      <c r="H266" s="164"/>
      <c r="I266" s="13" t="s">
        <v>270</v>
      </c>
      <c r="J266" s="164" t="s">
        <v>72</v>
      </c>
      <c r="K266" s="13" t="s">
        <v>106</v>
      </c>
      <c r="L266" s="13" t="s">
        <v>1844</v>
      </c>
      <c r="M266" s="13" t="s">
        <v>1033</v>
      </c>
      <c r="N266" s="13" t="s">
        <v>1845</v>
      </c>
      <c r="O266" s="14" t="s">
        <v>72</v>
      </c>
      <c r="P266" s="14" t="s">
        <v>1278</v>
      </c>
      <c r="Q266" s="165"/>
      <c r="R266" s="164" t="s">
        <v>72</v>
      </c>
      <c r="S266" s="13" t="s">
        <v>77</v>
      </c>
      <c r="T266" s="13"/>
      <c r="U266" s="13"/>
      <c r="V266" s="13">
        <v>77</v>
      </c>
      <c r="W266" s="13">
        <v>77</v>
      </c>
      <c r="X266" s="13">
        <v>77</v>
      </c>
      <c r="Y266" s="13">
        <v>1.36</v>
      </c>
      <c r="Z266" s="13">
        <v>1</v>
      </c>
      <c r="AA266" s="13" t="s">
        <v>110</v>
      </c>
      <c r="AB266" s="58">
        <v>43983</v>
      </c>
      <c r="AC266" s="58">
        <v>43976</v>
      </c>
      <c r="AD266" s="58">
        <v>43983</v>
      </c>
      <c r="AE266" s="58">
        <v>43978</v>
      </c>
      <c r="AF266" s="58">
        <v>43978</v>
      </c>
      <c r="AG266" s="58" t="s">
        <v>75</v>
      </c>
      <c r="AH266" s="59">
        <v>1</v>
      </c>
      <c r="AI266" s="59">
        <v>1</v>
      </c>
      <c r="AJ266" s="59">
        <v>1</v>
      </c>
      <c r="AK266" s="58" t="s">
        <v>8</v>
      </c>
      <c r="AL266" s="181" t="s">
        <v>72</v>
      </c>
      <c r="AM266" s="181" t="s">
        <v>72</v>
      </c>
      <c r="AN266" s="193" t="s">
        <v>1846</v>
      </c>
    </row>
    <row r="267" spans="2:40" ht="15">
      <c r="B267" s="184">
        <v>148</v>
      </c>
      <c r="C267" s="13">
        <v>20200525</v>
      </c>
      <c r="D267" s="13" t="s">
        <v>24</v>
      </c>
      <c r="E267" s="13" t="s">
        <v>2373</v>
      </c>
      <c r="F267" s="39" t="s">
        <v>1888</v>
      </c>
      <c r="G267" s="13">
        <v>1484917</v>
      </c>
      <c r="H267" s="164" t="s">
        <v>72</v>
      </c>
      <c r="I267" s="13" t="s">
        <v>196</v>
      </c>
      <c r="J267" s="164" t="s">
        <v>72</v>
      </c>
      <c r="K267" s="13" t="s">
        <v>106</v>
      </c>
      <c r="L267" s="13" t="s">
        <v>1844</v>
      </c>
      <c r="M267" s="13" t="s">
        <v>1033</v>
      </c>
      <c r="N267" s="13" t="s">
        <v>1845</v>
      </c>
      <c r="O267" s="14" t="s">
        <v>72</v>
      </c>
      <c r="P267" s="14" t="s">
        <v>1278</v>
      </c>
      <c r="Q267" s="165"/>
      <c r="R267" s="164" t="s">
        <v>72</v>
      </c>
      <c r="S267" s="13" t="s">
        <v>161</v>
      </c>
      <c r="T267" s="13"/>
      <c r="U267" s="13"/>
      <c r="V267" s="13">
        <v>16</v>
      </c>
      <c r="W267" s="13">
        <v>16</v>
      </c>
      <c r="X267" s="13">
        <v>16</v>
      </c>
      <c r="Y267" s="13">
        <v>0.28000000000000003</v>
      </c>
      <c r="Z267" s="13">
        <v>0.2</v>
      </c>
      <c r="AA267" s="13" t="s">
        <v>110</v>
      </c>
      <c r="AB267" s="58">
        <v>43983</v>
      </c>
      <c r="AC267" s="58">
        <v>43976</v>
      </c>
      <c r="AD267" s="58">
        <v>43983</v>
      </c>
      <c r="AE267" s="58">
        <v>43978</v>
      </c>
      <c r="AF267" s="58">
        <v>43978</v>
      </c>
      <c r="AG267" s="58" t="s">
        <v>75</v>
      </c>
      <c r="AH267" s="59">
        <v>1</v>
      </c>
      <c r="AI267" s="59">
        <v>1</v>
      </c>
      <c r="AJ267" s="59">
        <v>1</v>
      </c>
      <c r="AK267" s="58" t="s">
        <v>8</v>
      </c>
      <c r="AL267" s="181" t="s">
        <v>72</v>
      </c>
      <c r="AM267" s="181" t="s">
        <v>72</v>
      </c>
      <c r="AN267" s="193" t="s">
        <v>1846</v>
      </c>
    </row>
    <row r="268" spans="2:40" ht="15">
      <c r="B268" s="184">
        <v>149</v>
      </c>
      <c r="C268" s="13">
        <v>20200525</v>
      </c>
      <c r="D268" s="13" t="s">
        <v>24</v>
      </c>
      <c r="E268" s="13" t="s">
        <v>2373</v>
      </c>
      <c r="F268" s="39" t="s">
        <v>1889</v>
      </c>
      <c r="G268" s="13">
        <v>1484917</v>
      </c>
      <c r="H268" s="164" t="s">
        <v>72</v>
      </c>
      <c r="I268" s="13" t="s">
        <v>1890</v>
      </c>
      <c r="J268" s="164" t="s">
        <v>72</v>
      </c>
      <c r="K268" s="13" t="s">
        <v>106</v>
      </c>
      <c r="L268" s="13" t="s">
        <v>1844</v>
      </c>
      <c r="M268" s="13" t="s">
        <v>1033</v>
      </c>
      <c r="N268" s="13" t="s">
        <v>1845</v>
      </c>
      <c r="O268" s="14" t="s">
        <v>72</v>
      </c>
      <c r="P268" s="14" t="s">
        <v>1278</v>
      </c>
      <c r="Q268" s="165"/>
      <c r="R268" s="164" t="s">
        <v>72</v>
      </c>
      <c r="S268" s="13" t="s">
        <v>161</v>
      </c>
      <c r="T268" s="13"/>
      <c r="U268" s="13"/>
      <c r="V268" s="13">
        <v>8</v>
      </c>
      <c r="W268" s="13">
        <v>8</v>
      </c>
      <c r="X268" s="13">
        <v>8</v>
      </c>
      <c r="Y268" s="13">
        <v>0.14000000000000001</v>
      </c>
      <c r="Z268" s="13">
        <v>0.1</v>
      </c>
      <c r="AA268" s="13" t="s">
        <v>110</v>
      </c>
      <c r="AB268" s="58">
        <v>43983</v>
      </c>
      <c r="AC268" s="58">
        <v>43976</v>
      </c>
      <c r="AD268" s="58">
        <v>43983</v>
      </c>
      <c r="AE268" s="58">
        <v>43978</v>
      </c>
      <c r="AF268" s="58">
        <v>43978</v>
      </c>
      <c r="AG268" s="58" t="s">
        <v>75</v>
      </c>
      <c r="AH268" s="59" t="s">
        <v>72</v>
      </c>
      <c r="AI268" s="59" t="s">
        <v>72</v>
      </c>
      <c r="AJ268" s="59" t="s">
        <v>72</v>
      </c>
      <c r="AK268" s="58" t="s">
        <v>8</v>
      </c>
      <c r="AL268" s="14" t="s">
        <v>1891</v>
      </c>
      <c r="AM268" s="181" t="s">
        <v>72</v>
      </c>
      <c r="AN268" s="193" t="s">
        <v>1846</v>
      </c>
    </row>
    <row r="269" spans="2:40" ht="15">
      <c r="B269" s="184">
        <v>150</v>
      </c>
      <c r="C269" s="13">
        <v>20200525</v>
      </c>
      <c r="D269" s="13" t="s">
        <v>24</v>
      </c>
      <c r="E269" s="13" t="s">
        <v>2373</v>
      </c>
      <c r="F269" s="39" t="s">
        <v>1892</v>
      </c>
      <c r="G269" s="13">
        <v>1484917</v>
      </c>
      <c r="H269" s="164" t="s">
        <v>72</v>
      </c>
      <c r="I269" s="13" t="s">
        <v>256</v>
      </c>
      <c r="J269" s="164" t="s">
        <v>72</v>
      </c>
      <c r="K269" s="13" t="s">
        <v>106</v>
      </c>
      <c r="L269" s="13" t="s">
        <v>1844</v>
      </c>
      <c r="M269" s="13" t="s">
        <v>1033</v>
      </c>
      <c r="N269" s="13" t="s">
        <v>1845</v>
      </c>
      <c r="O269" s="14" t="s">
        <v>72</v>
      </c>
      <c r="P269" s="14" t="s">
        <v>1278</v>
      </c>
      <c r="Q269" s="165"/>
      <c r="R269" s="164" t="s">
        <v>72</v>
      </c>
      <c r="S269" s="13" t="s">
        <v>161</v>
      </c>
      <c r="T269" s="13"/>
      <c r="U269" s="13"/>
      <c r="V269" s="13">
        <v>162</v>
      </c>
      <c r="W269" s="13">
        <v>162</v>
      </c>
      <c r="X269" s="13">
        <v>162</v>
      </c>
      <c r="Y269" s="13">
        <v>2.88</v>
      </c>
      <c r="Z269" s="13">
        <v>2</v>
      </c>
      <c r="AA269" s="13" t="s">
        <v>110</v>
      </c>
      <c r="AB269" s="58">
        <v>43983</v>
      </c>
      <c r="AC269" s="58">
        <v>43976</v>
      </c>
      <c r="AD269" s="58">
        <v>43983</v>
      </c>
      <c r="AE269" s="58">
        <v>43978</v>
      </c>
      <c r="AF269" s="58">
        <v>43978</v>
      </c>
      <c r="AG269" s="58" t="s">
        <v>75</v>
      </c>
      <c r="AH269" s="59">
        <v>1</v>
      </c>
      <c r="AI269" s="59">
        <v>1</v>
      </c>
      <c r="AJ269" s="59">
        <v>1</v>
      </c>
      <c r="AK269" s="58" t="s">
        <v>8</v>
      </c>
      <c r="AL269" s="181" t="s">
        <v>72</v>
      </c>
      <c r="AM269" s="181" t="s">
        <v>72</v>
      </c>
      <c r="AN269" s="193" t="s">
        <v>1846</v>
      </c>
    </row>
    <row r="270" spans="2:40" ht="15">
      <c r="B270" s="184">
        <v>151</v>
      </c>
      <c r="C270" s="13">
        <v>20200525</v>
      </c>
      <c r="D270" s="13" t="s">
        <v>24</v>
      </c>
      <c r="E270" s="13" t="s">
        <v>2373</v>
      </c>
      <c r="F270" s="39" t="s">
        <v>1893</v>
      </c>
      <c r="G270" s="13">
        <v>1484917</v>
      </c>
      <c r="H270" s="164" t="s">
        <v>72</v>
      </c>
      <c r="I270" s="13" t="s">
        <v>256</v>
      </c>
      <c r="J270" s="164" t="s">
        <v>72</v>
      </c>
      <c r="K270" s="13" t="s">
        <v>106</v>
      </c>
      <c r="L270" s="13" t="s">
        <v>1844</v>
      </c>
      <c r="M270" s="13" t="s">
        <v>1033</v>
      </c>
      <c r="N270" s="13" t="s">
        <v>1845</v>
      </c>
      <c r="O270" s="14" t="s">
        <v>72</v>
      </c>
      <c r="P270" s="14" t="s">
        <v>1278</v>
      </c>
      <c r="Q270" s="165"/>
      <c r="R270" s="164" t="s">
        <v>72</v>
      </c>
      <c r="S270" s="13" t="s">
        <v>161</v>
      </c>
      <c r="T270" s="13"/>
      <c r="U270" s="13"/>
      <c r="V270" s="13">
        <v>162</v>
      </c>
      <c r="W270" s="53">
        <v>209</v>
      </c>
      <c r="X270" s="13">
        <v>209</v>
      </c>
      <c r="Y270" s="13">
        <v>3.71</v>
      </c>
      <c r="Z270" s="13">
        <v>2</v>
      </c>
      <c r="AA270" s="13" t="s">
        <v>110</v>
      </c>
      <c r="AB270" s="58">
        <v>43983</v>
      </c>
      <c r="AC270" s="58">
        <v>43976</v>
      </c>
      <c r="AD270" s="58">
        <v>43983</v>
      </c>
      <c r="AE270" s="58">
        <v>43978</v>
      </c>
      <c r="AF270" s="58">
        <v>43978</v>
      </c>
      <c r="AG270" s="58" t="s">
        <v>75</v>
      </c>
      <c r="AH270" s="59">
        <v>1</v>
      </c>
      <c r="AI270" s="59">
        <v>1</v>
      </c>
      <c r="AJ270" s="59">
        <v>1</v>
      </c>
      <c r="AK270" s="58" t="s">
        <v>8</v>
      </c>
      <c r="AL270" s="181" t="s">
        <v>72</v>
      </c>
      <c r="AM270" s="181" t="s">
        <v>72</v>
      </c>
      <c r="AN270" s="193" t="s">
        <v>1846</v>
      </c>
    </row>
    <row r="271" spans="2:40" ht="15">
      <c r="B271" s="184">
        <v>152</v>
      </c>
      <c r="C271" s="13">
        <v>20200525</v>
      </c>
      <c r="D271" s="13" t="s">
        <v>24</v>
      </c>
      <c r="E271" s="13" t="s">
        <v>2373</v>
      </c>
      <c r="F271" s="39" t="s">
        <v>1894</v>
      </c>
      <c r="G271" s="13">
        <v>1484917</v>
      </c>
      <c r="H271" s="164"/>
      <c r="I271" s="13" t="s">
        <v>1895</v>
      </c>
      <c r="J271" s="164" t="s">
        <v>72</v>
      </c>
      <c r="K271" s="13" t="s">
        <v>106</v>
      </c>
      <c r="L271" s="13" t="s">
        <v>1844</v>
      </c>
      <c r="M271" s="13" t="s">
        <v>1033</v>
      </c>
      <c r="N271" s="13" t="s">
        <v>1845</v>
      </c>
      <c r="O271" s="14" t="s">
        <v>72</v>
      </c>
      <c r="P271" s="14" t="s">
        <v>1278</v>
      </c>
      <c r="Q271" s="165"/>
      <c r="R271" s="164" t="s">
        <v>72</v>
      </c>
      <c r="S271" s="13" t="s">
        <v>77</v>
      </c>
      <c r="T271" s="13"/>
      <c r="U271" s="13"/>
      <c r="V271" s="13">
        <v>17</v>
      </c>
      <c r="W271" s="13">
        <v>17</v>
      </c>
      <c r="X271" s="13">
        <v>17</v>
      </c>
      <c r="Y271" s="13">
        <v>0.3</v>
      </c>
      <c r="Z271" s="13">
        <v>0.1</v>
      </c>
      <c r="AA271" s="13" t="s">
        <v>110</v>
      </c>
      <c r="AB271" s="58">
        <v>43983</v>
      </c>
      <c r="AC271" s="58">
        <v>43976</v>
      </c>
      <c r="AD271" s="58">
        <v>43983</v>
      </c>
      <c r="AE271" s="58">
        <v>43978</v>
      </c>
      <c r="AF271" s="58">
        <v>43978</v>
      </c>
      <c r="AG271" s="58" t="s">
        <v>75</v>
      </c>
      <c r="AH271" s="59">
        <v>1</v>
      </c>
      <c r="AI271" s="59">
        <v>1</v>
      </c>
      <c r="AJ271" s="59">
        <v>1</v>
      </c>
      <c r="AK271" s="58" t="s">
        <v>8</v>
      </c>
      <c r="AL271" s="181" t="s">
        <v>72</v>
      </c>
      <c r="AM271" s="181" t="s">
        <v>72</v>
      </c>
      <c r="AN271" s="193" t="s">
        <v>1846</v>
      </c>
    </row>
    <row r="272" spans="2:40" ht="15">
      <c r="B272" s="184">
        <v>153</v>
      </c>
      <c r="C272" s="13">
        <v>20200525</v>
      </c>
      <c r="D272" s="13" t="s">
        <v>24</v>
      </c>
      <c r="E272" s="13" t="s">
        <v>2373</v>
      </c>
      <c r="F272" s="39" t="s">
        <v>1896</v>
      </c>
      <c r="G272" s="13">
        <v>1484917</v>
      </c>
      <c r="H272" s="164" t="s">
        <v>72</v>
      </c>
      <c r="I272" s="13" t="s">
        <v>257</v>
      </c>
      <c r="J272" s="164" t="s">
        <v>72</v>
      </c>
      <c r="K272" s="13" t="s">
        <v>106</v>
      </c>
      <c r="L272" s="13" t="s">
        <v>1844</v>
      </c>
      <c r="M272" s="13" t="s">
        <v>1033</v>
      </c>
      <c r="N272" s="13" t="s">
        <v>1845</v>
      </c>
      <c r="O272" s="14" t="s">
        <v>72</v>
      </c>
      <c r="P272" s="14" t="s">
        <v>1278</v>
      </c>
      <c r="Q272" s="165"/>
      <c r="R272" s="164" t="s">
        <v>72</v>
      </c>
      <c r="S272" s="13" t="s">
        <v>161</v>
      </c>
      <c r="T272" s="13"/>
      <c r="U272" s="13"/>
      <c r="V272" s="13">
        <v>18</v>
      </c>
      <c r="W272" s="13">
        <v>18</v>
      </c>
      <c r="X272" s="13">
        <v>18</v>
      </c>
      <c r="Y272" s="13">
        <v>0.32</v>
      </c>
      <c r="Z272" s="13">
        <v>0.3</v>
      </c>
      <c r="AA272" s="13" t="s">
        <v>110</v>
      </c>
      <c r="AB272" s="58">
        <v>43983</v>
      </c>
      <c r="AC272" s="58">
        <v>43976</v>
      </c>
      <c r="AD272" s="58">
        <v>43983</v>
      </c>
      <c r="AE272" s="58">
        <v>43978</v>
      </c>
      <c r="AF272" s="58">
        <v>43978</v>
      </c>
      <c r="AG272" s="58" t="s">
        <v>75</v>
      </c>
      <c r="AH272" s="59">
        <v>1</v>
      </c>
      <c r="AI272" s="59">
        <v>1</v>
      </c>
      <c r="AJ272" s="59">
        <v>1</v>
      </c>
      <c r="AK272" s="58" t="s">
        <v>8</v>
      </c>
      <c r="AL272" s="181" t="s">
        <v>72</v>
      </c>
      <c r="AM272" s="181" t="s">
        <v>72</v>
      </c>
      <c r="AN272" s="193" t="s">
        <v>1846</v>
      </c>
    </row>
    <row r="273" spans="2:40" ht="15">
      <c r="B273" s="184">
        <v>154</v>
      </c>
      <c r="C273" s="13">
        <v>20200525</v>
      </c>
      <c r="D273" s="13" t="s">
        <v>24</v>
      </c>
      <c r="E273" s="13" t="s">
        <v>2373</v>
      </c>
      <c r="F273" s="39" t="s">
        <v>1897</v>
      </c>
      <c r="G273" s="13">
        <v>1484917</v>
      </c>
      <c r="H273" s="164" t="s">
        <v>72</v>
      </c>
      <c r="I273" s="13" t="s">
        <v>257</v>
      </c>
      <c r="J273" s="164" t="s">
        <v>72</v>
      </c>
      <c r="K273" s="13" t="s">
        <v>106</v>
      </c>
      <c r="L273" s="13" t="s">
        <v>1844</v>
      </c>
      <c r="M273" s="13" t="s">
        <v>1033</v>
      </c>
      <c r="N273" s="13" t="s">
        <v>1845</v>
      </c>
      <c r="O273" s="14" t="s">
        <v>72</v>
      </c>
      <c r="P273" s="14" t="s">
        <v>1278</v>
      </c>
      <c r="Q273" s="165"/>
      <c r="R273" s="164" t="s">
        <v>72</v>
      </c>
      <c r="S273" s="13" t="s">
        <v>161</v>
      </c>
      <c r="T273" s="13"/>
      <c r="U273" s="13"/>
      <c r="V273" s="13">
        <v>18</v>
      </c>
      <c r="W273" s="13">
        <v>18</v>
      </c>
      <c r="X273" s="13">
        <v>18</v>
      </c>
      <c r="Y273" s="13">
        <v>0.32</v>
      </c>
      <c r="Z273" s="13">
        <v>0.3</v>
      </c>
      <c r="AA273" s="13" t="s">
        <v>110</v>
      </c>
      <c r="AB273" s="58">
        <v>43983</v>
      </c>
      <c r="AC273" s="58">
        <v>43976</v>
      </c>
      <c r="AD273" s="58">
        <v>43983</v>
      </c>
      <c r="AE273" s="58">
        <v>43978</v>
      </c>
      <c r="AF273" s="58">
        <v>43978</v>
      </c>
      <c r="AG273" s="58" t="s">
        <v>75</v>
      </c>
      <c r="AH273" s="59">
        <v>1</v>
      </c>
      <c r="AI273" s="59">
        <v>1</v>
      </c>
      <c r="AJ273" s="59">
        <v>1</v>
      </c>
      <c r="AK273" s="58" t="s">
        <v>8</v>
      </c>
      <c r="AL273" s="181" t="s">
        <v>72</v>
      </c>
      <c r="AM273" s="181" t="s">
        <v>72</v>
      </c>
      <c r="AN273" s="193" t="s">
        <v>1846</v>
      </c>
    </row>
    <row r="274" spans="2:40" ht="15">
      <c r="B274" s="184">
        <v>155</v>
      </c>
      <c r="C274" s="13">
        <v>20200525</v>
      </c>
      <c r="D274" s="13" t="s">
        <v>24</v>
      </c>
      <c r="E274" s="13" t="s">
        <v>2373</v>
      </c>
      <c r="F274" s="39" t="s">
        <v>1898</v>
      </c>
      <c r="G274" s="13">
        <v>1484917</v>
      </c>
      <c r="H274" s="164" t="s">
        <v>72</v>
      </c>
      <c r="I274" s="13" t="s">
        <v>271</v>
      </c>
      <c r="J274" s="164" t="s">
        <v>72</v>
      </c>
      <c r="K274" s="13" t="s">
        <v>106</v>
      </c>
      <c r="L274" s="13" t="s">
        <v>1844</v>
      </c>
      <c r="M274" s="13" t="s">
        <v>1033</v>
      </c>
      <c r="N274" s="13" t="s">
        <v>1845</v>
      </c>
      <c r="O274" s="14" t="s">
        <v>72</v>
      </c>
      <c r="P274" s="14" t="s">
        <v>1278</v>
      </c>
      <c r="Q274" s="165"/>
      <c r="R274" s="164" t="s">
        <v>72</v>
      </c>
      <c r="S274" s="13" t="s">
        <v>117</v>
      </c>
      <c r="T274" s="13"/>
      <c r="U274" s="13"/>
      <c r="V274" s="13">
        <v>44</v>
      </c>
      <c r="W274" s="13">
        <v>44</v>
      </c>
      <c r="X274" s="13">
        <v>44</v>
      </c>
      <c r="Y274" s="13">
        <v>0.78</v>
      </c>
      <c r="Z274" s="13">
        <v>0.5</v>
      </c>
      <c r="AA274" s="13" t="s">
        <v>110</v>
      </c>
      <c r="AB274" s="58">
        <v>43983</v>
      </c>
      <c r="AC274" s="58">
        <v>43976</v>
      </c>
      <c r="AD274" s="58">
        <v>43983</v>
      </c>
      <c r="AE274" s="58">
        <v>43980</v>
      </c>
      <c r="AF274" s="58">
        <v>43980</v>
      </c>
      <c r="AG274" s="58" t="s">
        <v>75</v>
      </c>
      <c r="AH274" s="59">
        <v>1</v>
      </c>
      <c r="AI274" s="59">
        <v>1</v>
      </c>
      <c r="AJ274" s="59">
        <v>1</v>
      </c>
      <c r="AK274" s="58" t="s">
        <v>8</v>
      </c>
      <c r="AL274" s="181" t="s">
        <v>72</v>
      </c>
      <c r="AM274" s="181" t="s">
        <v>72</v>
      </c>
      <c r="AN274" s="193" t="s">
        <v>1846</v>
      </c>
    </row>
    <row r="275" spans="2:40" ht="15">
      <c r="B275" s="184">
        <v>156</v>
      </c>
      <c r="C275" s="13">
        <v>20200525</v>
      </c>
      <c r="D275" s="13" t="s">
        <v>24</v>
      </c>
      <c r="E275" s="13" t="s">
        <v>2373</v>
      </c>
      <c r="F275" s="39" t="s">
        <v>1899</v>
      </c>
      <c r="G275" s="13">
        <v>1484917</v>
      </c>
      <c r="H275" s="164" t="s">
        <v>72</v>
      </c>
      <c r="I275" s="13" t="s">
        <v>1900</v>
      </c>
      <c r="J275" s="164" t="s">
        <v>72</v>
      </c>
      <c r="K275" s="13" t="s">
        <v>106</v>
      </c>
      <c r="L275" s="13" t="s">
        <v>1844</v>
      </c>
      <c r="M275" s="13" t="s">
        <v>1033</v>
      </c>
      <c r="N275" s="13" t="s">
        <v>1845</v>
      </c>
      <c r="O275" s="14" t="s">
        <v>72</v>
      </c>
      <c r="P275" s="14" t="s">
        <v>1278</v>
      </c>
      <c r="Q275" s="165"/>
      <c r="R275" s="164" t="s">
        <v>72</v>
      </c>
      <c r="S275" s="13" t="s">
        <v>109</v>
      </c>
      <c r="T275" s="13"/>
      <c r="U275" s="13"/>
      <c r="V275" s="13">
        <v>129</v>
      </c>
      <c r="W275" s="13">
        <v>129</v>
      </c>
      <c r="X275" s="13">
        <v>129</v>
      </c>
      <c r="Y275" s="13">
        <v>2.29</v>
      </c>
      <c r="Z275" s="13">
        <v>1</v>
      </c>
      <c r="AA275" s="13" t="s">
        <v>110</v>
      </c>
      <c r="AB275" s="58">
        <v>43983</v>
      </c>
      <c r="AC275" s="58">
        <v>43976</v>
      </c>
      <c r="AD275" s="58">
        <v>43983</v>
      </c>
      <c r="AE275" s="58">
        <v>43977</v>
      </c>
      <c r="AF275" s="58">
        <v>43977</v>
      </c>
      <c r="AG275" s="58" t="s">
        <v>75</v>
      </c>
      <c r="AH275" s="59">
        <v>1</v>
      </c>
      <c r="AI275" s="59">
        <v>1</v>
      </c>
      <c r="AJ275" s="59">
        <v>1</v>
      </c>
      <c r="AK275" s="58" t="s">
        <v>8</v>
      </c>
      <c r="AL275" s="181" t="s">
        <v>72</v>
      </c>
      <c r="AM275" s="181" t="s">
        <v>72</v>
      </c>
      <c r="AN275" s="193" t="s">
        <v>1846</v>
      </c>
    </row>
    <row r="276" spans="2:40" ht="15">
      <c r="B276" s="184">
        <v>157</v>
      </c>
      <c r="C276" s="13">
        <v>20200525</v>
      </c>
      <c r="D276" s="13" t="s">
        <v>24</v>
      </c>
      <c r="E276" s="13" t="s">
        <v>2373</v>
      </c>
      <c r="F276" s="39" t="s">
        <v>1901</v>
      </c>
      <c r="G276" s="13">
        <v>1484917</v>
      </c>
      <c r="H276" s="164" t="s">
        <v>72</v>
      </c>
      <c r="I276" s="13" t="s">
        <v>258</v>
      </c>
      <c r="J276" s="164" t="s">
        <v>72</v>
      </c>
      <c r="K276" s="13" t="s">
        <v>106</v>
      </c>
      <c r="L276" s="13" t="s">
        <v>1844</v>
      </c>
      <c r="M276" s="13" t="s">
        <v>1033</v>
      </c>
      <c r="N276" s="13" t="s">
        <v>1845</v>
      </c>
      <c r="O276" s="14" t="s">
        <v>72</v>
      </c>
      <c r="P276" s="14" t="s">
        <v>1278</v>
      </c>
      <c r="Q276" s="165"/>
      <c r="R276" s="164" t="s">
        <v>72</v>
      </c>
      <c r="S276" s="13" t="s">
        <v>109</v>
      </c>
      <c r="T276" s="13"/>
      <c r="U276" s="13"/>
      <c r="V276" s="13">
        <v>164</v>
      </c>
      <c r="W276" s="13">
        <v>164</v>
      </c>
      <c r="X276" s="13">
        <v>164</v>
      </c>
      <c r="Y276" s="13">
        <v>2.91</v>
      </c>
      <c r="Z276" s="13">
        <v>1</v>
      </c>
      <c r="AA276" s="13" t="s">
        <v>110</v>
      </c>
      <c r="AB276" s="58">
        <v>43983</v>
      </c>
      <c r="AC276" s="58">
        <v>43976</v>
      </c>
      <c r="AD276" s="58">
        <v>43983</v>
      </c>
      <c r="AE276" s="58">
        <v>43978</v>
      </c>
      <c r="AF276" s="58">
        <v>43978</v>
      </c>
      <c r="AG276" s="58" t="s">
        <v>75</v>
      </c>
      <c r="AH276" s="59">
        <v>1</v>
      </c>
      <c r="AI276" s="59">
        <v>1</v>
      </c>
      <c r="AJ276" s="59">
        <v>1</v>
      </c>
      <c r="AK276" s="58" t="s">
        <v>8</v>
      </c>
      <c r="AL276" s="181" t="s">
        <v>72</v>
      </c>
      <c r="AM276" s="181" t="s">
        <v>72</v>
      </c>
      <c r="AN276" s="193" t="s">
        <v>1846</v>
      </c>
    </row>
    <row r="277" spans="2:40" ht="15">
      <c r="B277" s="184">
        <v>158</v>
      </c>
      <c r="C277" s="13">
        <v>20200525</v>
      </c>
      <c r="D277" s="13" t="s">
        <v>24</v>
      </c>
      <c r="E277" s="13" t="s">
        <v>2373</v>
      </c>
      <c r="F277" s="39" t="s">
        <v>1902</v>
      </c>
      <c r="G277" s="13">
        <v>1484917</v>
      </c>
      <c r="H277" s="164" t="s">
        <v>72</v>
      </c>
      <c r="I277" s="13" t="s">
        <v>258</v>
      </c>
      <c r="J277" s="164" t="s">
        <v>72</v>
      </c>
      <c r="K277" s="13" t="s">
        <v>106</v>
      </c>
      <c r="L277" s="13" t="s">
        <v>1844</v>
      </c>
      <c r="M277" s="13" t="s">
        <v>1033</v>
      </c>
      <c r="N277" s="13" t="s">
        <v>1845</v>
      </c>
      <c r="O277" s="14" t="s">
        <v>72</v>
      </c>
      <c r="P277" s="14" t="s">
        <v>1278</v>
      </c>
      <c r="Q277" s="165"/>
      <c r="R277" s="164" t="s">
        <v>72</v>
      </c>
      <c r="S277" s="13" t="s">
        <v>109</v>
      </c>
      <c r="T277" s="13"/>
      <c r="U277" s="13"/>
      <c r="V277" s="13">
        <v>164</v>
      </c>
      <c r="W277" s="53">
        <v>196</v>
      </c>
      <c r="X277" s="13">
        <v>196</v>
      </c>
      <c r="Y277" s="13">
        <v>3.48</v>
      </c>
      <c r="Z277" s="13">
        <v>1</v>
      </c>
      <c r="AA277" s="13" t="s">
        <v>110</v>
      </c>
      <c r="AB277" s="58">
        <v>43983</v>
      </c>
      <c r="AC277" s="58">
        <v>43976</v>
      </c>
      <c r="AD277" s="58">
        <v>43983</v>
      </c>
      <c r="AE277" s="58">
        <v>43978</v>
      </c>
      <c r="AF277" s="58">
        <v>43978</v>
      </c>
      <c r="AG277" s="58" t="s">
        <v>75</v>
      </c>
      <c r="AH277" s="59">
        <v>1</v>
      </c>
      <c r="AI277" s="59">
        <v>1</v>
      </c>
      <c r="AJ277" s="59">
        <v>1</v>
      </c>
      <c r="AK277" s="58" t="s">
        <v>8</v>
      </c>
      <c r="AL277" s="181" t="s">
        <v>72</v>
      </c>
      <c r="AM277" s="181" t="s">
        <v>72</v>
      </c>
      <c r="AN277" s="193" t="s">
        <v>1846</v>
      </c>
    </row>
    <row r="278" spans="2:40" ht="15">
      <c r="B278" s="184">
        <v>159</v>
      </c>
      <c r="C278" s="13">
        <v>20200525</v>
      </c>
      <c r="D278" s="13" t="s">
        <v>24</v>
      </c>
      <c r="E278" s="13" t="s">
        <v>2373</v>
      </c>
      <c r="F278" s="39" t="s">
        <v>1903</v>
      </c>
      <c r="G278" s="13">
        <v>1484917</v>
      </c>
      <c r="H278" s="164"/>
      <c r="I278" s="13" t="s">
        <v>249</v>
      </c>
      <c r="J278" s="164" t="s">
        <v>72</v>
      </c>
      <c r="K278" s="13" t="s">
        <v>106</v>
      </c>
      <c r="L278" s="13" t="s">
        <v>1844</v>
      </c>
      <c r="M278" s="13" t="s">
        <v>1033</v>
      </c>
      <c r="N278" s="13" t="s">
        <v>1845</v>
      </c>
      <c r="O278" s="14" t="s">
        <v>72</v>
      </c>
      <c r="P278" s="14" t="s">
        <v>1278</v>
      </c>
      <c r="Q278" s="165"/>
      <c r="R278" s="164" t="s">
        <v>72</v>
      </c>
      <c r="S278" s="13" t="s">
        <v>77</v>
      </c>
      <c r="T278" s="13"/>
      <c r="U278" s="13"/>
      <c r="V278" s="13">
        <v>133</v>
      </c>
      <c r="W278" s="13">
        <v>133</v>
      </c>
      <c r="X278" s="13">
        <v>133</v>
      </c>
      <c r="Y278" s="13">
        <v>2.36</v>
      </c>
      <c r="Z278" s="13">
        <v>0.75</v>
      </c>
      <c r="AA278" s="13" t="s">
        <v>110</v>
      </c>
      <c r="AB278" s="58">
        <v>43983</v>
      </c>
      <c r="AC278" s="58">
        <v>43976</v>
      </c>
      <c r="AD278" s="58">
        <v>43983</v>
      </c>
      <c r="AE278" s="58">
        <v>43977</v>
      </c>
      <c r="AF278" s="58">
        <v>43977</v>
      </c>
      <c r="AG278" s="58" t="s">
        <v>75</v>
      </c>
      <c r="AH278" s="59">
        <v>1</v>
      </c>
      <c r="AI278" s="59">
        <v>1</v>
      </c>
      <c r="AJ278" s="59">
        <v>1</v>
      </c>
      <c r="AK278" s="58" t="s">
        <v>8</v>
      </c>
      <c r="AL278" s="181" t="s">
        <v>72</v>
      </c>
      <c r="AM278" s="181" t="s">
        <v>72</v>
      </c>
      <c r="AN278" s="193" t="s">
        <v>1846</v>
      </c>
    </row>
    <row r="279" spans="2:40" ht="15">
      <c r="B279" s="184">
        <v>160</v>
      </c>
      <c r="C279" s="13">
        <v>20200525</v>
      </c>
      <c r="D279" s="13" t="s">
        <v>24</v>
      </c>
      <c r="E279" s="13" t="s">
        <v>2373</v>
      </c>
      <c r="F279" s="39" t="s">
        <v>1904</v>
      </c>
      <c r="G279" s="13">
        <v>1484917</v>
      </c>
      <c r="H279" s="164" t="s">
        <v>72</v>
      </c>
      <c r="I279" s="13" t="s">
        <v>259</v>
      </c>
      <c r="J279" s="164" t="s">
        <v>72</v>
      </c>
      <c r="K279" s="13" t="s">
        <v>106</v>
      </c>
      <c r="L279" s="13" t="s">
        <v>1844</v>
      </c>
      <c r="M279" s="13" t="s">
        <v>1033</v>
      </c>
      <c r="N279" s="13" t="s">
        <v>1845</v>
      </c>
      <c r="O279" s="14" t="s">
        <v>72</v>
      </c>
      <c r="P279" s="14" t="s">
        <v>1278</v>
      </c>
      <c r="Q279" s="165"/>
      <c r="R279" s="164" t="s">
        <v>72</v>
      </c>
      <c r="S279" s="13" t="s">
        <v>161</v>
      </c>
      <c r="T279" s="13"/>
      <c r="U279" s="13"/>
      <c r="V279" s="13">
        <v>188</v>
      </c>
      <c r="W279" s="13">
        <v>188</v>
      </c>
      <c r="X279" s="13">
        <v>188</v>
      </c>
      <c r="Y279" s="13">
        <v>3.34</v>
      </c>
      <c r="Z279" s="13">
        <v>3</v>
      </c>
      <c r="AA279" s="13" t="s">
        <v>110</v>
      </c>
      <c r="AB279" s="58">
        <v>43983</v>
      </c>
      <c r="AC279" s="58">
        <v>43976</v>
      </c>
      <c r="AD279" s="58">
        <v>43983</v>
      </c>
      <c r="AE279" s="58">
        <v>43978</v>
      </c>
      <c r="AF279" s="58">
        <v>43978</v>
      </c>
      <c r="AG279" s="58" t="s">
        <v>75</v>
      </c>
      <c r="AH279" s="59">
        <v>1</v>
      </c>
      <c r="AI279" s="59">
        <v>1</v>
      </c>
      <c r="AJ279" s="59">
        <v>1</v>
      </c>
      <c r="AK279" s="58" t="s">
        <v>8</v>
      </c>
      <c r="AL279" s="181" t="s">
        <v>72</v>
      </c>
      <c r="AM279" s="181" t="s">
        <v>72</v>
      </c>
      <c r="AN279" s="193" t="s">
        <v>1846</v>
      </c>
    </row>
    <row r="280" spans="2:40" ht="15">
      <c r="B280" s="184">
        <v>161</v>
      </c>
      <c r="C280" s="13">
        <v>20200525</v>
      </c>
      <c r="D280" s="13" t="s">
        <v>24</v>
      </c>
      <c r="E280" s="13" t="s">
        <v>2373</v>
      </c>
      <c r="F280" s="39" t="s">
        <v>1905</v>
      </c>
      <c r="G280" s="13">
        <v>1484917</v>
      </c>
      <c r="H280" s="164" t="s">
        <v>72</v>
      </c>
      <c r="I280" s="13" t="s">
        <v>261</v>
      </c>
      <c r="J280" s="164" t="s">
        <v>72</v>
      </c>
      <c r="K280" s="13" t="s">
        <v>106</v>
      </c>
      <c r="L280" s="13" t="s">
        <v>1844</v>
      </c>
      <c r="M280" s="13" t="s">
        <v>1033</v>
      </c>
      <c r="N280" s="13" t="s">
        <v>1845</v>
      </c>
      <c r="O280" s="14" t="s">
        <v>72</v>
      </c>
      <c r="P280" s="14" t="s">
        <v>1278</v>
      </c>
      <c r="Q280" s="165"/>
      <c r="R280" s="164" t="s">
        <v>72</v>
      </c>
      <c r="S280" s="13" t="s">
        <v>117</v>
      </c>
      <c r="T280" s="13"/>
      <c r="U280" s="13"/>
      <c r="V280" s="13">
        <v>55</v>
      </c>
      <c r="W280" s="13">
        <v>55</v>
      </c>
      <c r="X280" s="13">
        <v>55</v>
      </c>
      <c r="Y280" s="13">
        <v>0.97</v>
      </c>
      <c r="Z280" s="13">
        <v>1</v>
      </c>
      <c r="AA280" s="13" t="s">
        <v>110</v>
      </c>
      <c r="AB280" s="58">
        <v>43983</v>
      </c>
      <c r="AC280" s="58">
        <v>43976</v>
      </c>
      <c r="AD280" s="58">
        <v>43983</v>
      </c>
      <c r="AE280" s="58">
        <v>43983</v>
      </c>
      <c r="AF280" s="58">
        <v>43983</v>
      </c>
      <c r="AG280" s="58" t="s">
        <v>75</v>
      </c>
      <c r="AH280" s="59">
        <v>1</v>
      </c>
      <c r="AI280" s="59">
        <v>1</v>
      </c>
      <c r="AJ280" s="59">
        <v>1</v>
      </c>
      <c r="AK280" s="58" t="s">
        <v>8</v>
      </c>
      <c r="AL280" s="181" t="s">
        <v>72</v>
      </c>
      <c r="AM280" s="181" t="s">
        <v>72</v>
      </c>
      <c r="AN280" s="193" t="s">
        <v>1846</v>
      </c>
    </row>
    <row r="281" spans="2:40" ht="15">
      <c r="B281" s="184">
        <v>162</v>
      </c>
      <c r="C281" s="13">
        <v>20200525</v>
      </c>
      <c r="D281" s="13" t="s">
        <v>24</v>
      </c>
      <c r="E281" s="13" t="s">
        <v>2373</v>
      </c>
      <c r="F281" s="39" t="s">
        <v>1906</v>
      </c>
      <c r="G281" s="13">
        <v>1484917</v>
      </c>
      <c r="H281" s="164" t="s">
        <v>72</v>
      </c>
      <c r="I281" s="13" t="s">
        <v>263</v>
      </c>
      <c r="J281" s="164" t="s">
        <v>72</v>
      </c>
      <c r="K281" s="13" t="s">
        <v>106</v>
      </c>
      <c r="L281" s="13" t="s">
        <v>1844</v>
      </c>
      <c r="M281" s="13" t="s">
        <v>1033</v>
      </c>
      <c r="N281" s="13" t="s">
        <v>1845</v>
      </c>
      <c r="O281" s="14" t="s">
        <v>72</v>
      </c>
      <c r="P281" s="14" t="s">
        <v>1278</v>
      </c>
      <c r="Q281" s="165"/>
      <c r="R281" s="164" t="s">
        <v>72</v>
      </c>
      <c r="S281" s="13" t="s">
        <v>117</v>
      </c>
      <c r="T281" s="13"/>
      <c r="U281" s="13"/>
      <c r="V281" s="13">
        <v>197</v>
      </c>
      <c r="W281" s="13">
        <v>197</v>
      </c>
      <c r="X281" s="13">
        <v>197</v>
      </c>
      <c r="Y281" s="13">
        <v>3.5</v>
      </c>
      <c r="Z281" s="13">
        <v>2</v>
      </c>
      <c r="AA281" s="13" t="s">
        <v>110</v>
      </c>
      <c r="AB281" s="58">
        <v>43983</v>
      </c>
      <c r="AC281" s="58">
        <v>43976</v>
      </c>
      <c r="AD281" s="58">
        <v>43983</v>
      </c>
      <c r="AE281" s="58">
        <v>43983</v>
      </c>
      <c r="AF281" s="58">
        <v>43983</v>
      </c>
      <c r="AG281" s="58" t="s">
        <v>75</v>
      </c>
      <c r="AH281" s="59">
        <v>1</v>
      </c>
      <c r="AI281" s="59">
        <v>1</v>
      </c>
      <c r="AJ281" s="59">
        <v>1</v>
      </c>
      <c r="AK281" s="58" t="s">
        <v>8</v>
      </c>
      <c r="AL281" s="181" t="s">
        <v>72</v>
      </c>
      <c r="AM281" s="181" t="s">
        <v>72</v>
      </c>
      <c r="AN281" s="193" t="s">
        <v>1846</v>
      </c>
    </row>
    <row r="282" spans="2:40" ht="15">
      <c r="B282" s="184">
        <v>163</v>
      </c>
      <c r="C282" s="13">
        <v>20200525</v>
      </c>
      <c r="D282" s="13" t="s">
        <v>24</v>
      </c>
      <c r="E282" s="13" t="s">
        <v>2373</v>
      </c>
      <c r="F282" s="39" t="s">
        <v>1907</v>
      </c>
      <c r="G282" s="13">
        <v>1484917</v>
      </c>
      <c r="H282" s="164" t="s">
        <v>72</v>
      </c>
      <c r="I282" s="13" t="s">
        <v>264</v>
      </c>
      <c r="J282" s="164" t="s">
        <v>72</v>
      </c>
      <c r="K282" s="13" t="s">
        <v>106</v>
      </c>
      <c r="L282" s="13" t="s">
        <v>1844</v>
      </c>
      <c r="M282" s="13" t="s">
        <v>1033</v>
      </c>
      <c r="N282" s="13" t="s">
        <v>1845</v>
      </c>
      <c r="O282" s="14" t="s">
        <v>72</v>
      </c>
      <c r="P282" s="14" t="s">
        <v>1278</v>
      </c>
      <c r="Q282" s="165"/>
      <c r="R282" s="164" t="s">
        <v>72</v>
      </c>
      <c r="S282" s="13" t="s">
        <v>117</v>
      </c>
      <c r="T282" s="13"/>
      <c r="U282" s="13"/>
      <c r="V282" s="13">
        <v>175</v>
      </c>
      <c r="W282" s="13">
        <v>175</v>
      </c>
      <c r="X282" s="13">
        <v>175</v>
      </c>
      <c r="Y282" s="13">
        <v>3.11</v>
      </c>
      <c r="Z282" s="13">
        <v>1</v>
      </c>
      <c r="AA282" s="13" t="s">
        <v>110</v>
      </c>
      <c r="AB282" s="58">
        <v>43983</v>
      </c>
      <c r="AC282" s="58">
        <v>43976</v>
      </c>
      <c r="AD282" s="58">
        <v>43983</v>
      </c>
      <c r="AE282" s="58">
        <v>43983</v>
      </c>
      <c r="AF282" s="58">
        <v>43983</v>
      </c>
      <c r="AG282" s="58" t="s">
        <v>79</v>
      </c>
      <c r="AH282" s="59">
        <v>1</v>
      </c>
      <c r="AI282" s="59">
        <v>1</v>
      </c>
      <c r="AJ282" s="59">
        <v>0.9</v>
      </c>
      <c r="AK282" s="58" t="s">
        <v>76</v>
      </c>
      <c r="AL282" s="194" t="s">
        <v>1908</v>
      </c>
      <c r="AM282" s="181" t="s">
        <v>72</v>
      </c>
      <c r="AN282" s="193" t="s">
        <v>1846</v>
      </c>
    </row>
    <row r="283" spans="2:40" ht="15">
      <c r="B283" s="184">
        <v>164</v>
      </c>
      <c r="C283" s="13">
        <v>20200525</v>
      </c>
      <c r="D283" s="13" t="s">
        <v>24</v>
      </c>
      <c r="E283" s="13" t="s">
        <v>2373</v>
      </c>
      <c r="F283" s="39" t="s">
        <v>1909</v>
      </c>
      <c r="G283" s="13">
        <v>1484917</v>
      </c>
      <c r="H283" s="164" t="s">
        <v>72</v>
      </c>
      <c r="I283" s="13" t="s">
        <v>272</v>
      </c>
      <c r="J283" s="164" t="s">
        <v>72</v>
      </c>
      <c r="K283" s="13" t="s">
        <v>106</v>
      </c>
      <c r="L283" s="13" t="s">
        <v>1844</v>
      </c>
      <c r="M283" s="13" t="s">
        <v>1033</v>
      </c>
      <c r="N283" s="13" t="s">
        <v>1845</v>
      </c>
      <c r="O283" s="14" t="s">
        <v>72</v>
      </c>
      <c r="P283" s="14" t="s">
        <v>1278</v>
      </c>
      <c r="Q283" s="165"/>
      <c r="R283" s="164" t="s">
        <v>72</v>
      </c>
      <c r="S283" s="13" t="s">
        <v>161</v>
      </c>
      <c r="T283" s="13"/>
      <c r="U283" s="13"/>
      <c r="V283" s="13">
        <v>210</v>
      </c>
      <c r="W283" s="13">
        <v>210</v>
      </c>
      <c r="X283" s="13">
        <v>210</v>
      </c>
      <c r="Y283" s="13">
        <v>3.73</v>
      </c>
      <c r="Z283" s="13">
        <v>3</v>
      </c>
      <c r="AA283" s="13" t="s">
        <v>110</v>
      </c>
      <c r="AB283" s="58">
        <v>43983</v>
      </c>
      <c r="AC283" s="58">
        <v>43976</v>
      </c>
      <c r="AD283" s="58">
        <v>43983</v>
      </c>
      <c r="AE283" s="58">
        <v>43980</v>
      </c>
      <c r="AF283" s="58">
        <v>43980</v>
      </c>
      <c r="AG283" s="58" t="s">
        <v>75</v>
      </c>
      <c r="AH283" s="59">
        <v>1</v>
      </c>
      <c r="AI283" s="59">
        <v>1</v>
      </c>
      <c r="AJ283" s="59">
        <v>1</v>
      </c>
      <c r="AK283" s="58" t="s">
        <v>8</v>
      </c>
      <c r="AL283" s="195" t="s">
        <v>1910</v>
      </c>
      <c r="AM283" s="181" t="s">
        <v>72</v>
      </c>
      <c r="AN283" s="193" t="s">
        <v>1846</v>
      </c>
    </row>
    <row r="284" spans="2:40" ht="15">
      <c r="B284" s="184">
        <v>165</v>
      </c>
      <c r="C284" s="13">
        <v>20200525</v>
      </c>
      <c r="D284" s="13" t="s">
        <v>24</v>
      </c>
      <c r="E284" s="13" t="s">
        <v>2373</v>
      </c>
      <c r="F284" s="39" t="s">
        <v>1911</v>
      </c>
      <c r="G284" s="13">
        <v>1484917</v>
      </c>
      <c r="H284" s="164" t="s">
        <v>72</v>
      </c>
      <c r="I284" s="13" t="s">
        <v>1912</v>
      </c>
      <c r="J284" s="164" t="s">
        <v>72</v>
      </c>
      <c r="K284" s="13" t="s">
        <v>106</v>
      </c>
      <c r="L284" s="13" t="s">
        <v>1844</v>
      </c>
      <c r="M284" s="13" t="s">
        <v>1033</v>
      </c>
      <c r="N284" s="13" t="s">
        <v>1845</v>
      </c>
      <c r="O284" s="14" t="s">
        <v>72</v>
      </c>
      <c r="P284" s="14" t="s">
        <v>1278</v>
      </c>
      <c r="Q284" s="165"/>
      <c r="R284" s="164" t="s">
        <v>72</v>
      </c>
      <c r="S284" s="13" t="s">
        <v>161</v>
      </c>
      <c r="T284" s="13"/>
      <c r="U284" s="13"/>
      <c r="V284" s="13">
        <v>154</v>
      </c>
      <c r="W284" s="13">
        <v>154</v>
      </c>
      <c r="X284" s="13">
        <v>154</v>
      </c>
      <c r="Y284" s="13">
        <v>2.73</v>
      </c>
      <c r="Z284" s="13">
        <v>2</v>
      </c>
      <c r="AA284" s="13" t="s">
        <v>110</v>
      </c>
      <c r="AB284" s="58">
        <v>43983</v>
      </c>
      <c r="AC284" s="58">
        <v>43976</v>
      </c>
      <c r="AD284" s="58">
        <v>43983</v>
      </c>
      <c r="AE284" s="58">
        <v>43980</v>
      </c>
      <c r="AF284" s="58">
        <v>43980</v>
      </c>
      <c r="AG284" s="58" t="s">
        <v>79</v>
      </c>
      <c r="AH284" s="59">
        <v>0.98</v>
      </c>
      <c r="AI284" s="59">
        <v>0.96</v>
      </c>
      <c r="AJ284" s="59">
        <v>1</v>
      </c>
      <c r="AK284" s="58" t="s">
        <v>76</v>
      </c>
      <c r="AL284" s="181" t="s">
        <v>1913</v>
      </c>
      <c r="AM284" s="181" t="s">
        <v>72</v>
      </c>
      <c r="AN284" s="193" t="s">
        <v>1846</v>
      </c>
    </row>
    <row r="285" spans="2:40" ht="15">
      <c r="B285" s="184">
        <v>166</v>
      </c>
      <c r="C285" s="13">
        <v>20200525</v>
      </c>
      <c r="D285" s="13" t="s">
        <v>24</v>
      </c>
      <c r="E285" s="13" t="s">
        <v>2373</v>
      </c>
      <c r="F285" s="39" t="s">
        <v>1914</v>
      </c>
      <c r="G285" s="13">
        <v>1484917</v>
      </c>
      <c r="H285" s="164"/>
      <c r="I285" s="13" t="s">
        <v>1915</v>
      </c>
      <c r="J285" s="164" t="s">
        <v>72</v>
      </c>
      <c r="K285" s="13" t="s">
        <v>106</v>
      </c>
      <c r="L285" s="13" t="s">
        <v>1844</v>
      </c>
      <c r="M285" s="13" t="s">
        <v>1033</v>
      </c>
      <c r="N285" s="13" t="s">
        <v>1845</v>
      </c>
      <c r="O285" s="14" t="s">
        <v>72</v>
      </c>
      <c r="P285" s="14" t="s">
        <v>1278</v>
      </c>
      <c r="Q285" s="165"/>
      <c r="R285" s="164" t="s">
        <v>72</v>
      </c>
      <c r="S285" s="13" t="s">
        <v>77</v>
      </c>
      <c r="T285" s="13"/>
      <c r="U285" s="13"/>
      <c r="V285" s="13">
        <v>167</v>
      </c>
      <c r="W285" s="13">
        <v>167</v>
      </c>
      <c r="X285" s="13">
        <v>167</v>
      </c>
      <c r="Y285" s="13">
        <v>2.96</v>
      </c>
      <c r="Z285" s="13">
        <v>1</v>
      </c>
      <c r="AA285" s="13" t="s">
        <v>110</v>
      </c>
      <c r="AB285" s="58">
        <v>43983</v>
      </c>
      <c r="AC285" s="58">
        <v>43976</v>
      </c>
      <c r="AD285" s="58">
        <v>43983</v>
      </c>
      <c r="AE285" s="58">
        <v>43977</v>
      </c>
      <c r="AF285" s="58">
        <v>43977</v>
      </c>
      <c r="AG285" s="58" t="s">
        <v>75</v>
      </c>
      <c r="AH285" s="59">
        <v>1</v>
      </c>
      <c r="AI285" s="59">
        <v>1</v>
      </c>
      <c r="AJ285" s="59">
        <v>1</v>
      </c>
      <c r="AK285" s="58" t="s">
        <v>8</v>
      </c>
      <c r="AL285" s="181" t="s">
        <v>72</v>
      </c>
      <c r="AM285" s="181" t="s">
        <v>72</v>
      </c>
      <c r="AN285" s="193" t="s">
        <v>1846</v>
      </c>
    </row>
    <row r="286" spans="2:40" ht="15">
      <c r="B286" s="184">
        <v>167</v>
      </c>
      <c r="C286" s="13">
        <v>20200525</v>
      </c>
      <c r="D286" s="13" t="s">
        <v>24</v>
      </c>
      <c r="E286" s="13" t="s">
        <v>2373</v>
      </c>
      <c r="F286" s="39" t="s">
        <v>1916</v>
      </c>
      <c r="G286" s="13">
        <v>1484917</v>
      </c>
      <c r="H286" s="164"/>
      <c r="I286" s="13" t="s">
        <v>1917</v>
      </c>
      <c r="J286" s="164" t="s">
        <v>72</v>
      </c>
      <c r="K286" s="13" t="s">
        <v>106</v>
      </c>
      <c r="L286" s="13" t="s">
        <v>1844</v>
      </c>
      <c r="M286" s="13" t="s">
        <v>1033</v>
      </c>
      <c r="N286" s="13" t="s">
        <v>1845</v>
      </c>
      <c r="O286" s="14" t="s">
        <v>72</v>
      </c>
      <c r="P286" s="14" t="s">
        <v>1278</v>
      </c>
      <c r="Q286" s="165"/>
      <c r="R286" s="164" t="s">
        <v>72</v>
      </c>
      <c r="S286" s="13" t="s">
        <v>77</v>
      </c>
      <c r="T286" s="13"/>
      <c r="U286" s="13"/>
      <c r="V286" s="13">
        <v>147</v>
      </c>
      <c r="W286" s="13">
        <v>147</v>
      </c>
      <c r="X286" s="13">
        <v>147</v>
      </c>
      <c r="Y286" s="13">
        <v>2.61</v>
      </c>
      <c r="Z286" s="13">
        <v>1.5</v>
      </c>
      <c r="AA286" s="13" t="s">
        <v>110</v>
      </c>
      <c r="AB286" s="58">
        <v>43983</v>
      </c>
      <c r="AC286" s="58">
        <v>43976</v>
      </c>
      <c r="AD286" s="58">
        <v>43983</v>
      </c>
      <c r="AE286" s="58">
        <v>43978</v>
      </c>
      <c r="AF286" s="58">
        <v>43978</v>
      </c>
      <c r="AG286" s="58" t="s">
        <v>75</v>
      </c>
      <c r="AH286" s="59">
        <v>1</v>
      </c>
      <c r="AI286" s="59">
        <v>1</v>
      </c>
      <c r="AJ286" s="59">
        <v>1</v>
      </c>
      <c r="AK286" s="58" t="s">
        <v>8</v>
      </c>
      <c r="AL286" s="181" t="s">
        <v>72</v>
      </c>
      <c r="AM286" s="181" t="s">
        <v>72</v>
      </c>
      <c r="AN286" s="193" t="s">
        <v>1846</v>
      </c>
    </row>
    <row r="287" spans="2:40" ht="15">
      <c r="B287" s="184">
        <v>168</v>
      </c>
      <c r="C287" s="13">
        <v>20200525</v>
      </c>
      <c r="D287" s="13" t="s">
        <v>24</v>
      </c>
      <c r="E287" s="13" t="s">
        <v>2373</v>
      </c>
      <c r="F287" s="39" t="s">
        <v>1918</v>
      </c>
      <c r="G287" s="13">
        <v>1484917</v>
      </c>
      <c r="H287" s="164" t="s">
        <v>72</v>
      </c>
      <c r="I287" s="13" t="s">
        <v>1919</v>
      </c>
      <c r="J287" s="164" t="s">
        <v>72</v>
      </c>
      <c r="K287" s="13" t="s">
        <v>106</v>
      </c>
      <c r="L287" s="13" t="s">
        <v>1844</v>
      </c>
      <c r="M287" s="13" t="s">
        <v>1033</v>
      </c>
      <c r="N287" s="13" t="s">
        <v>1845</v>
      </c>
      <c r="O287" s="14" t="s">
        <v>72</v>
      </c>
      <c r="P287" s="14" t="s">
        <v>1278</v>
      </c>
      <c r="Q287" s="165"/>
      <c r="R287" s="164" t="s">
        <v>72</v>
      </c>
      <c r="S287" s="13" t="s">
        <v>109</v>
      </c>
      <c r="T287" s="13"/>
      <c r="U287" s="13"/>
      <c r="V287" s="13">
        <v>254</v>
      </c>
      <c r="W287" s="13">
        <v>254</v>
      </c>
      <c r="X287" s="13">
        <v>254</v>
      </c>
      <c r="Y287" s="13">
        <v>4.51</v>
      </c>
      <c r="Z287" s="13">
        <v>1</v>
      </c>
      <c r="AA287" s="13" t="s">
        <v>110</v>
      </c>
      <c r="AB287" s="58">
        <v>43983</v>
      </c>
      <c r="AC287" s="58">
        <v>43976</v>
      </c>
      <c r="AD287" s="58">
        <v>43983</v>
      </c>
      <c r="AE287" s="58">
        <v>43978</v>
      </c>
      <c r="AF287" s="58">
        <v>43978</v>
      </c>
      <c r="AG287" s="58" t="s">
        <v>75</v>
      </c>
      <c r="AH287" s="59">
        <v>1</v>
      </c>
      <c r="AI287" s="59">
        <v>1</v>
      </c>
      <c r="AJ287" s="59">
        <v>1</v>
      </c>
      <c r="AK287" s="58" t="s">
        <v>8</v>
      </c>
      <c r="AL287" s="181" t="s">
        <v>72</v>
      </c>
      <c r="AM287" s="181" t="s">
        <v>72</v>
      </c>
      <c r="AN287" s="193" t="s">
        <v>1846</v>
      </c>
    </row>
    <row r="288" spans="2:40" ht="15">
      <c r="B288" s="184">
        <v>169</v>
      </c>
      <c r="C288" s="13">
        <v>20200525</v>
      </c>
      <c r="D288" s="13" t="s">
        <v>24</v>
      </c>
      <c r="E288" s="13" t="s">
        <v>2373</v>
      </c>
      <c r="F288" s="39" t="s">
        <v>1920</v>
      </c>
      <c r="G288" s="13">
        <v>1484917</v>
      </c>
      <c r="H288" s="164" t="s">
        <v>72</v>
      </c>
      <c r="I288" s="13" t="s">
        <v>1921</v>
      </c>
      <c r="J288" s="164" t="s">
        <v>72</v>
      </c>
      <c r="K288" s="13" t="s">
        <v>106</v>
      </c>
      <c r="L288" s="13" t="s">
        <v>1844</v>
      </c>
      <c r="M288" s="13" t="s">
        <v>1033</v>
      </c>
      <c r="N288" s="13" t="s">
        <v>1845</v>
      </c>
      <c r="O288" s="14" t="s">
        <v>72</v>
      </c>
      <c r="P288" s="14" t="s">
        <v>1278</v>
      </c>
      <c r="Q288" s="165"/>
      <c r="R288" s="164" t="s">
        <v>72</v>
      </c>
      <c r="S288" s="13" t="s">
        <v>117</v>
      </c>
      <c r="T288" s="13"/>
      <c r="U288" s="13"/>
      <c r="V288" s="13">
        <v>193</v>
      </c>
      <c r="W288" s="13">
        <v>193</v>
      </c>
      <c r="X288" s="13">
        <v>193</v>
      </c>
      <c r="Y288" s="13">
        <v>3.43</v>
      </c>
      <c r="Z288" s="13">
        <v>1</v>
      </c>
      <c r="AA288" s="13" t="s">
        <v>110</v>
      </c>
      <c r="AB288" s="58">
        <v>43983</v>
      </c>
      <c r="AC288" s="58">
        <v>43976</v>
      </c>
      <c r="AD288" s="58">
        <v>43983</v>
      </c>
      <c r="AE288" s="58">
        <v>43983</v>
      </c>
      <c r="AF288" s="58">
        <v>43983</v>
      </c>
      <c r="AG288" s="58" t="s">
        <v>79</v>
      </c>
      <c r="AH288" s="59">
        <v>1</v>
      </c>
      <c r="AI288" s="59">
        <v>1</v>
      </c>
      <c r="AJ288" s="59">
        <v>0.91</v>
      </c>
      <c r="AK288" s="58" t="s">
        <v>76</v>
      </c>
      <c r="AL288" s="196" t="s">
        <v>1922</v>
      </c>
      <c r="AM288" s="181" t="s">
        <v>72</v>
      </c>
      <c r="AN288" s="193" t="s">
        <v>1846</v>
      </c>
    </row>
    <row r="289" spans="2:40" ht="15">
      <c r="B289" s="184">
        <v>170</v>
      </c>
      <c r="C289" s="13">
        <v>20200525</v>
      </c>
      <c r="D289" s="13" t="s">
        <v>24</v>
      </c>
      <c r="E289" s="13" t="s">
        <v>2373</v>
      </c>
      <c r="F289" s="39" t="s">
        <v>1923</v>
      </c>
      <c r="G289" s="13">
        <v>1484917</v>
      </c>
      <c r="H289" s="164" t="s">
        <v>72</v>
      </c>
      <c r="I289" s="13" t="s">
        <v>1924</v>
      </c>
      <c r="J289" s="164" t="s">
        <v>72</v>
      </c>
      <c r="K289" s="13" t="s">
        <v>106</v>
      </c>
      <c r="L289" s="13" t="s">
        <v>1844</v>
      </c>
      <c r="M289" s="13" t="s">
        <v>1033</v>
      </c>
      <c r="N289" s="13" t="s">
        <v>1845</v>
      </c>
      <c r="O289" s="14" t="s">
        <v>72</v>
      </c>
      <c r="P289" s="14" t="s">
        <v>1278</v>
      </c>
      <c r="Q289" s="165"/>
      <c r="R289" s="164" t="s">
        <v>72</v>
      </c>
      <c r="S289" s="13" t="s">
        <v>109</v>
      </c>
      <c r="T289" s="13"/>
      <c r="U289" s="13"/>
      <c r="V289" s="13">
        <v>204</v>
      </c>
      <c r="W289" s="13">
        <v>204</v>
      </c>
      <c r="X289" s="13">
        <v>204</v>
      </c>
      <c r="Y289" s="13">
        <v>3.62</v>
      </c>
      <c r="Z289" s="13">
        <v>1.5</v>
      </c>
      <c r="AA289" s="13" t="s">
        <v>110</v>
      </c>
      <c r="AB289" s="58">
        <v>43983</v>
      </c>
      <c r="AC289" s="58">
        <v>43976</v>
      </c>
      <c r="AD289" s="58">
        <v>43983</v>
      </c>
      <c r="AE289" s="58">
        <v>43978</v>
      </c>
      <c r="AF289" s="58">
        <v>43978</v>
      </c>
      <c r="AG289" s="58" t="s">
        <v>75</v>
      </c>
      <c r="AH289" s="59">
        <v>1</v>
      </c>
      <c r="AI289" s="59">
        <v>1</v>
      </c>
      <c r="AJ289" s="59">
        <v>1</v>
      </c>
      <c r="AK289" s="58" t="s">
        <v>8</v>
      </c>
      <c r="AL289" s="197" t="s">
        <v>72</v>
      </c>
      <c r="AM289" s="181" t="s">
        <v>72</v>
      </c>
      <c r="AN289" s="193" t="s">
        <v>1846</v>
      </c>
    </row>
    <row r="290" spans="2:40" ht="15">
      <c r="B290" s="184">
        <v>171</v>
      </c>
      <c r="C290" s="13">
        <v>20200525</v>
      </c>
      <c r="D290" s="13" t="s">
        <v>24</v>
      </c>
      <c r="E290" s="13" t="s">
        <v>2373</v>
      </c>
      <c r="F290" s="39" t="s">
        <v>1925</v>
      </c>
      <c r="G290" s="13">
        <v>1484917</v>
      </c>
      <c r="H290" s="164" t="s">
        <v>72</v>
      </c>
      <c r="I290" s="13" t="s">
        <v>1926</v>
      </c>
      <c r="J290" s="164" t="s">
        <v>72</v>
      </c>
      <c r="K290" s="13" t="s">
        <v>106</v>
      </c>
      <c r="L290" s="13" t="s">
        <v>1844</v>
      </c>
      <c r="M290" s="13" t="s">
        <v>1033</v>
      </c>
      <c r="N290" s="13" t="s">
        <v>1845</v>
      </c>
      <c r="O290" s="14" t="s">
        <v>72</v>
      </c>
      <c r="P290" s="14" t="s">
        <v>1278</v>
      </c>
      <c r="Q290" s="165"/>
      <c r="R290" s="164" t="s">
        <v>72</v>
      </c>
      <c r="S290" s="13" t="s">
        <v>109</v>
      </c>
      <c r="T290" s="13"/>
      <c r="U290" s="13"/>
      <c r="V290" s="13">
        <v>194</v>
      </c>
      <c r="W290" s="13">
        <v>194</v>
      </c>
      <c r="X290" s="13">
        <v>194</v>
      </c>
      <c r="Y290" s="13">
        <v>3.44</v>
      </c>
      <c r="Z290" s="13">
        <v>1.5</v>
      </c>
      <c r="AA290" s="13" t="s">
        <v>110</v>
      </c>
      <c r="AB290" s="58">
        <v>43983</v>
      </c>
      <c r="AC290" s="58">
        <v>43976</v>
      </c>
      <c r="AD290" s="58">
        <v>43983</v>
      </c>
      <c r="AE290" s="58">
        <v>43978</v>
      </c>
      <c r="AF290" s="58">
        <v>43978</v>
      </c>
      <c r="AG290" s="58" t="s">
        <v>75</v>
      </c>
      <c r="AH290" s="59">
        <v>1</v>
      </c>
      <c r="AI290" s="59">
        <v>1</v>
      </c>
      <c r="AJ290" s="59">
        <v>1</v>
      </c>
      <c r="AK290" s="58" t="s">
        <v>8</v>
      </c>
      <c r="AL290" s="181" t="s">
        <v>72</v>
      </c>
      <c r="AM290" s="181" t="s">
        <v>72</v>
      </c>
      <c r="AN290" s="193" t="s">
        <v>1846</v>
      </c>
    </row>
    <row r="291" spans="2:40" ht="15">
      <c r="B291" s="184">
        <v>172</v>
      </c>
      <c r="C291" s="13">
        <v>20200525</v>
      </c>
      <c r="D291" s="13" t="s">
        <v>24</v>
      </c>
      <c r="E291" s="13" t="s">
        <v>2373</v>
      </c>
      <c r="F291" s="39" t="s">
        <v>1927</v>
      </c>
      <c r="G291" s="13">
        <v>1484917</v>
      </c>
      <c r="H291" s="164" t="s">
        <v>72</v>
      </c>
      <c r="I291" s="13" t="s">
        <v>1928</v>
      </c>
      <c r="J291" s="164" t="s">
        <v>72</v>
      </c>
      <c r="K291" s="13" t="s">
        <v>106</v>
      </c>
      <c r="L291" s="13" t="s">
        <v>1844</v>
      </c>
      <c r="M291" s="13" t="s">
        <v>1033</v>
      </c>
      <c r="N291" s="13" t="s">
        <v>1845</v>
      </c>
      <c r="O291" s="14" t="s">
        <v>72</v>
      </c>
      <c r="P291" s="14" t="s">
        <v>1278</v>
      </c>
      <c r="Q291" s="165"/>
      <c r="R291" s="164" t="s">
        <v>72</v>
      </c>
      <c r="S291" s="13" t="s">
        <v>161</v>
      </c>
      <c r="T291" s="13"/>
      <c r="U291" s="13"/>
      <c r="V291" s="13">
        <v>141</v>
      </c>
      <c r="W291" s="13">
        <v>141</v>
      </c>
      <c r="X291" s="13">
        <v>141</v>
      </c>
      <c r="Y291" s="13">
        <v>2.5</v>
      </c>
      <c r="Z291" s="13">
        <v>2</v>
      </c>
      <c r="AA291" s="13" t="s">
        <v>110</v>
      </c>
      <c r="AB291" s="58">
        <v>43983</v>
      </c>
      <c r="AC291" s="58">
        <v>43976</v>
      </c>
      <c r="AD291" s="58">
        <v>43983</v>
      </c>
      <c r="AE291" s="58">
        <v>43980</v>
      </c>
      <c r="AF291" s="58">
        <v>43980</v>
      </c>
      <c r="AG291" s="58" t="s">
        <v>79</v>
      </c>
      <c r="AH291" s="59">
        <v>0.98</v>
      </c>
      <c r="AI291" s="59">
        <v>0.95</v>
      </c>
      <c r="AJ291" s="59">
        <v>1</v>
      </c>
      <c r="AK291" s="58" t="s">
        <v>76</v>
      </c>
      <c r="AL291" s="14" t="s">
        <v>1913</v>
      </c>
      <c r="AM291" s="181" t="s">
        <v>72</v>
      </c>
      <c r="AN291" s="193" t="s">
        <v>1846</v>
      </c>
    </row>
    <row r="292" spans="2:40" ht="15">
      <c r="B292" s="184">
        <v>173</v>
      </c>
      <c r="C292" s="13">
        <v>20200525</v>
      </c>
      <c r="D292" s="13" t="s">
        <v>24</v>
      </c>
      <c r="E292" s="13" t="s">
        <v>2373</v>
      </c>
      <c r="F292" s="39" t="s">
        <v>1929</v>
      </c>
      <c r="G292" s="13">
        <v>1484917</v>
      </c>
      <c r="H292" s="164" t="s">
        <v>72</v>
      </c>
      <c r="I292" s="13" t="s">
        <v>1930</v>
      </c>
      <c r="J292" s="164" t="s">
        <v>72</v>
      </c>
      <c r="K292" s="13" t="s">
        <v>106</v>
      </c>
      <c r="L292" s="13" t="s">
        <v>1844</v>
      </c>
      <c r="M292" s="13" t="s">
        <v>1033</v>
      </c>
      <c r="N292" s="13" t="s">
        <v>1845</v>
      </c>
      <c r="O292" s="14" t="s">
        <v>72</v>
      </c>
      <c r="P292" s="14" t="s">
        <v>1278</v>
      </c>
      <c r="Q292" s="165"/>
      <c r="R292" s="164" t="s">
        <v>72</v>
      </c>
      <c r="S292" s="13" t="s">
        <v>161</v>
      </c>
      <c r="T292" s="13"/>
      <c r="U292" s="13"/>
      <c r="V292" s="13">
        <v>190</v>
      </c>
      <c r="W292" s="13">
        <v>190</v>
      </c>
      <c r="X292" s="13">
        <v>190</v>
      </c>
      <c r="Y292" s="13">
        <v>3.37</v>
      </c>
      <c r="Z292" s="13">
        <v>3</v>
      </c>
      <c r="AA292" s="13" t="s">
        <v>110</v>
      </c>
      <c r="AB292" s="58">
        <v>43983</v>
      </c>
      <c r="AC292" s="58">
        <v>43976</v>
      </c>
      <c r="AD292" s="58">
        <v>43983</v>
      </c>
      <c r="AE292" s="58">
        <v>43980</v>
      </c>
      <c r="AF292" s="58">
        <v>43980</v>
      </c>
      <c r="AG292" s="58" t="s">
        <v>75</v>
      </c>
      <c r="AH292" s="59">
        <v>1</v>
      </c>
      <c r="AI292" s="59">
        <v>1</v>
      </c>
      <c r="AJ292" s="59">
        <v>1</v>
      </c>
      <c r="AK292" s="58" t="s">
        <v>8</v>
      </c>
      <c r="AL292" s="181" t="s">
        <v>72</v>
      </c>
      <c r="AM292" s="181" t="s">
        <v>72</v>
      </c>
      <c r="AN292" s="193" t="s">
        <v>1846</v>
      </c>
    </row>
    <row r="293" spans="2:40" ht="15">
      <c r="B293" s="184">
        <v>174</v>
      </c>
      <c r="C293" s="13">
        <v>20200525</v>
      </c>
      <c r="D293" s="13" t="s">
        <v>24</v>
      </c>
      <c r="E293" s="13" t="s">
        <v>2373</v>
      </c>
      <c r="F293" s="39" t="s">
        <v>1931</v>
      </c>
      <c r="G293" s="13">
        <v>1484917</v>
      </c>
      <c r="H293" s="164" t="s">
        <v>72</v>
      </c>
      <c r="I293" s="13" t="s">
        <v>266</v>
      </c>
      <c r="J293" s="164" t="s">
        <v>72</v>
      </c>
      <c r="K293" s="13" t="s">
        <v>106</v>
      </c>
      <c r="L293" s="13" t="s">
        <v>1844</v>
      </c>
      <c r="M293" s="13" t="s">
        <v>1033</v>
      </c>
      <c r="N293" s="13" t="s">
        <v>1845</v>
      </c>
      <c r="O293" s="14" t="s">
        <v>72</v>
      </c>
      <c r="P293" s="14" t="s">
        <v>1278</v>
      </c>
      <c r="Q293" s="165"/>
      <c r="R293" s="164" t="s">
        <v>72</v>
      </c>
      <c r="S293" s="13" t="s">
        <v>113</v>
      </c>
      <c r="T293" s="13"/>
      <c r="U293" s="13"/>
      <c r="V293" s="13">
        <v>173</v>
      </c>
      <c r="W293" s="13">
        <v>173</v>
      </c>
      <c r="X293" s="13">
        <v>173</v>
      </c>
      <c r="Y293" s="13">
        <v>3.07</v>
      </c>
      <c r="Z293" s="13">
        <v>3.07</v>
      </c>
      <c r="AA293" s="13" t="s">
        <v>110</v>
      </c>
      <c r="AB293" s="58">
        <v>43983</v>
      </c>
      <c r="AC293" s="58">
        <v>43976</v>
      </c>
      <c r="AD293" s="58">
        <v>43983</v>
      </c>
      <c r="AE293" s="58">
        <v>43979</v>
      </c>
      <c r="AF293" s="58">
        <v>43979</v>
      </c>
      <c r="AG293" s="58" t="s">
        <v>79</v>
      </c>
      <c r="AH293" s="59">
        <v>0.98</v>
      </c>
      <c r="AI293" s="59">
        <v>0.97</v>
      </c>
      <c r="AJ293" s="59">
        <v>1</v>
      </c>
      <c r="AK293" s="58" t="s">
        <v>8</v>
      </c>
      <c r="AL293" s="14" t="s">
        <v>1932</v>
      </c>
      <c r="AM293" s="181" t="s">
        <v>72</v>
      </c>
      <c r="AN293" s="193" t="s">
        <v>1846</v>
      </c>
    </row>
    <row r="294" spans="2:40" ht="15">
      <c r="B294" s="184">
        <v>175</v>
      </c>
      <c r="C294" s="13">
        <v>20200525</v>
      </c>
      <c r="D294" s="13" t="s">
        <v>24</v>
      </c>
      <c r="E294" s="13" t="s">
        <v>2373</v>
      </c>
      <c r="F294" s="39" t="s">
        <v>1933</v>
      </c>
      <c r="G294" s="13">
        <v>1484917</v>
      </c>
      <c r="H294" s="164" t="s">
        <v>72</v>
      </c>
      <c r="I294" s="13" t="s">
        <v>268</v>
      </c>
      <c r="J294" s="164" t="s">
        <v>72</v>
      </c>
      <c r="K294" s="13" t="s">
        <v>106</v>
      </c>
      <c r="L294" s="13" t="s">
        <v>1844</v>
      </c>
      <c r="M294" s="13" t="s">
        <v>1033</v>
      </c>
      <c r="N294" s="13" t="s">
        <v>1845</v>
      </c>
      <c r="O294" s="14" t="s">
        <v>72</v>
      </c>
      <c r="P294" s="14" t="s">
        <v>1278</v>
      </c>
      <c r="Q294" s="165"/>
      <c r="R294" s="164" t="s">
        <v>72</v>
      </c>
      <c r="S294" s="13" t="s">
        <v>109</v>
      </c>
      <c r="T294" s="13"/>
      <c r="U294" s="13"/>
      <c r="V294" s="13">
        <v>268</v>
      </c>
      <c r="W294" s="13">
        <v>268</v>
      </c>
      <c r="X294" s="13">
        <v>268</v>
      </c>
      <c r="Y294" s="13">
        <v>4.76</v>
      </c>
      <c r="Z294" s="13">
        <v>1</v>
      </c>
      <c r="AA294" s="13" t="s">
        <v>110</v>
      </c>
      <c r="AB294" s="58">
        <v>43983</v>
      </c>
      <c r="AC294" s="58">
        <v>43976</v>
      </c>
      <c r="AD294" s="58">
        <v>43983</v>
      </c>
      <c r="AE294" s="58">
        <v>43978</v>
      </c>
      <c r="AF294" s="58">
        <v>43978</v>
      </c>
      <c r="AG294" s="58" t="s">
        <v>79</v>
      </c>
      <c r="AH294" s="59">
        <v>0.99</v>
      </c>
      <c r="AI294" s="59">
        <v>0.97</v>
      </c>
      <c r="AJ294" s="59">
        <v>1</v>
      </c>
      <c r="AK294" s="58" t="s">
        <v>76</v>
      </c>
      <c r="AL294" s="181" t="s">
        <v>1713</v>
      </c>
      <c r="AM294" s="181" t="s">
        <v>72</v>
      </c>
      <c r="AN294" s="193" t="s">
        <v>1846</v>
      </c>
    </row>
    <row r="295" spans="2:40" ht="15">
      <c r="B295" s="184">
        <v>176</v>
      </c>
      <c r="C295" s="13">
        <v>20200525</v>
      </c>
      <c r="D295" s="13" t="s">
        <v>24</v>
      </c>
      <c r="E295" s="13" t="s">
        <v>2373</v>
      </c>
      <c r="F295" s="39" t="s">
        <v>1934</v>
      </c>
      <c r="G295" s="13">
        <v>1484917</v>
      </c>
      <c r="H295" s="164" t="s">
        <v>72</v>
      </c>
      <c r="I295" s="13" t="s">
        <v>268</v>
      </c>
      <c r="J295" s="164" t="s">
        <v>72</v>
      </c>
      <c r="K295" s="13" t="s">
        <v>106</v>
      </c>
      <c r="L295" s="13" t="s">
        <v>1844</v>
      </c>
      <c r="M295" s="13" t="s">
        <v>1033</v>
      </c>
      <c r="N295" s="13" t="s">
        <v>1845</v>
      </c>
      <c r="O295" s="14" t="s">
        <v>72</v>
      </c>
      <c r="P295" s="14" t="s">
        <v>1278</v>
      </c>
      <c r="Q295" s="165"/>
      <c r="R295" s="164" t="s">
        <v>72</v>
      </c>
      <c r="S295" s="13" t="s">
        <v>109</v>
      </c>
      <c r="T295" s="13"/>
      <c r="U295" s="13"/>
      <c r="V295" s="13">
        <v>268</v>
      </c>
      <c r="W295" s="13">
        <v>268</v>
      </c>
      <c r="X295" s="13">
        <v>268</v>
      </c>
      <c r="Y295" s="13">
        <v>4.76</v>
      </c>
      <c r="Z295" s="13">
        <v>1</v>
      </c>
      <c r="AA295" s="13" t="s">
        <v>110</v>
      </c>
      <c r="AB295" s="58">
        <v>43983</v>
      </c>
      <c r="AC295" s="58">
        <v>43976</v>
      </c>
      <c r="AD295" s="58">
        <v>43983</v>
      </c>
      <c r="AE295" s="58">
        <v>43978</v>
      </c>
      <c r="AF295" s="58">
        <v>43978</v>
      </c>
      <c r="AG295" s="58" t="s">
        <v>79</v>
      </c>
      <c r="AH295" s="59">
        <v>0.99</v>
      </c>
      <c r="AI295" s="59">
        <v>0.97</v>
      </c>
      <c r="AJ295" s="59">
        <v>1</v>
      </c>
      <c r="AK295" s="58" t="s">
        <v>76</v>
      </c>
      <c r="AL295" s="181" t="s">
        <v>1713</v>
      </c>
      <c r="AM295" s="181" t="s">
        <v>72</v>
      </c>
      <c r="AN295" s="193" t="s">
        <v>1846</v>
      </c>
    </row>
    <row r="296" spans="2:40" ht="15">
      <c r="B296" s="184">
        <v>177</v>
      </c>
      <c r="C296" s="13">
        <v>20200525</v>
      </c>
      <c r="D296" s="13" t="s">
        <v>24</v>
      </c>
      <c r="E296" s="13" t="s">
        <v>2373</v>
      </c>
      <c r="F296" s="39" t="s">
        <v>1935</v>
      </c>
      <c r="G296" s="13">
        <v>1484917</v>
      </c>
      <c r="H296" s="164" t="s">
        <v>72</v>
      </c>
      <c r="I296" s="13" t="s">
        <v>205</v>
      </c>
      <c r="J296" s="164" t="s">
        <v>72</v>
      </c>
      <c r="K296" s="13" t="s">
        <v>106</v>
      </c>
      <c r="L296" s="13" t="s">
        <v>1844</v>
      </c>
      <c r="M296" s="13" t="s">
        <v>1033</v>
      </c>
      <c r="N296" s="13" t="s">
        <v>1845</v>
      </c>
      <c r="O296" s="14" t="s">
        <v>72</v>
      </c>
      <c r="P296" s="14" t="s">
        <v>1278</v>
      </c>
      <c r="Q296" s="165"/>
      <c r="R296" s="164" t="s">
        <v>72</v>
      </c>
      <c r="S296" s="13" t="s">
        <v>113</v>
      </c>
      <c r="T296" s="13"/>
      <c r="U296" s="13"/>
      <c r="V296" s="13">
        <v>237</v>
      </c>
      <c r="W296" s="13">
        <v>237</v>
      </c>
      <c r="X296" s="13">
        <v>237</v>
      </c>
      <c r="Y296" s="13">
        <v>4.21</v>
      </c>
      <c r="Z296" s="13">
        <v>4.21</v>
      </c>
      <c r="AA296" s="13" t="s">
        <v>110</v>
      </c>
      <c r="AB296" s="58">
        <v>43983</v>
      </c>
      <c r="AC296" s="58">
        <v>43976</v>
      </c>
      <c r="AD296" s="58">
        <v>43983</v>
      </c>
      <c r="AE296" s="58">
        <v>43979</v>
      </c>
      <c r="AF296" s="58">
        <v>43979</v>
      </c>
      <c r="AG296" s="58" t="s">
        <v>75</v>
      </c>
      <c r="AH296" s="59">
        <v>1</v>
      </c>
      <c r="AI296" s="59">
        <v>1</v>
      </c>
      <c r="AJ296" s="59">
        <v>1</v>
      </c>
      <c r="AK296" s="58" t="s">
        <v>8</v>
      </c>
      <c r="AL296" s="181" t="s">
        <v>72</v>
      </c>
      <c r="AM296" s="181" t="s">
        <v>72</v>
      </c>
      <c r="AN296" s="193" t="s">
        <v>1846</v>
      </c>
    </row>
    <row r="297" spans="2:40" ht="15">
      <c r="B297" s="184">
        <v>178</v>
      </c>
      <c r="C297" s="13">
        <v>20200525</v>
      </c>
      <c r="D297" s="13" t="s">
        <v>24</v>
      </c>
      <c r="E297" s="13" t="s">
        <v>2373</v>
      </c>
      <c r="F297" s="39" t="s">
        <v>1936</v>
      </c>
      <c r="G297" s="13">
        <v>1484917</v>
      </c>
      <c r="H297" s="164" t="s">
        <v>72</v>
      </c>
      <c r="I297" s="13" t="s">
        <v>252</v>
      </c>
      <c r="J297" s="164" t="s">
        <v>72</v>
      </c>
      <c r="K297" s="13" t="s">
        <v>106</v>
      </c>
      <c r="L297" s="13" t="s">
        <v>1844</v>
      </c>
      <c r="M297" s="13" t="s">
        <v>1033</v>
      </c>
      <c r="N297" s="13" t="s">
        <v>1845</v>
      </c>
      <c r="O297" s="14" t="s">
        <v>72</v>
      </c>
      <c r="P297" s="14" t="s">
        <v>1278</v>
      </c>
      <c r="Q297" s="165"/>
      <c r="R297" s="164" t="s">
        <v>72</v>
      </c>
      <c r="S297" s="13" t="s">
        <v>113</v>
      </c>
      <c r="T297" s="13"/>
      <c r="U297" s="13"/>
      <c r="V297" s="13">
        <v>63</v>
      </c>
      <c r="W297" s="53">
        <v>126</v>
      </c>
      <c r="X297" s="13">
        <v>126</v>
      </c>
      <c r="Y297" s="13">
        <v>2.2400000000000002</v>
      </c>
      <c r="Z297" s="13">
        <v>2.2400000000000002</v>
      </c>
      <c r="AA297" s="13" t="s">
        <v>110</v>
      </c>
      <c r="AB297" s="58">
        <v>43983</v>
      </c>
      <c r="AC297" s="58">
        <v>43976</v>
      </c>
      <c r="AD297" s="58">
        <v>43983</v>
      </c>
      <c r="AE297" s="58">
        <v>43979</v>
      </c>
      <c r="AF297" s="58">
        <v>43979</v>
      </c>
      <c r="AG297" s="58" t="s">
        <v>75</v>
      </c>
      <c r="AH297" s="59">
        <v>1</v>
      </c>
      <c r="AI297" s="59">
        <v>1</v>
      </c>
      <c r="AJ297" s="59">
        <v>1</v>
      </c>
      <c r="AK297" s="58" t="s">
        <v>8</v>
      </c>
      <c r="AL297" s="181" t="s">
        <v>72</v>
      </c>
      <c r="AM297" s="181" t="s">
        <v>72</v>
      </c>
      <c r="AN297" s="193" t="s">
        <v>1846</v>
      </c>
    </row>
    <row r="298" spans="2:40" ht="15">
      <c r="B298" s="184">
        <v>179</v>
      </c>
      <c r="C298" s="13">
        <v>20200525</v>
      </c>
      <c r="D298" s="13" t="s">
        <v>24</v>
      </c>
      <c r="E298" s="13" t="s">
        <v>2373</v>
      </c>
      <c r="F298" s="39" t="s">
        <v>1937</v>
      </c>
      <c r="G298" s="13">
        <v>1484917</v>
      </c>
      <c r="H298" s="164" t="s">
        <v>72</v>
      </c>
      <c r="I298" s="13" t="s">
        <v>1938</v>
      </c>
      <c r="J298" s="164" t="s">
        <v>72</v>
      </c>
      <c r="K298" s="13" t="s">
        <v>106</v>
      </c>
      <c r="L298" s="13" t="s">
        <v>1844</v>
      </c>
      <c r="M298" s="13" t="s">
        <v>1033</v>
      </c>
      <c r="N298" s="13" t="s">
        <v>1845</v>
      </c>
      <c r="O298" s="14" t="s">
        <v>72</v>
      </c>
      <c r="P298" s="14" t="s">
        <v>1278</v>
      </c>
      <c r="Q298" s="165"/>
      <c r="R298" s="164" t="s">
        <v>72</v>
      </c>
      <c r="S298" s="13" t="s">
        <v>113</v>
      </c>
      <c r="T298" s="13"/>
      <c r="U298" s="13"/>
      <c r="V298" s="13">
        <v>70</v>
      </c>
      <c r="W298" s="13">
        <v>70</v>
      </c>
      <c r="X298" s="13">
        <v>70</v>
      </c>
      <c r="Y298" s="13">
        <v>1.24</v>
      </c>
      <c r="Z298" s="13">
        <v>1.24</v>
      </c>
      <c r="AA298" s="13" t="s">
        <v>110</v>
      </c>
      <c r="AB298" s="58">
        <v>43983</v>
      </c>
      <c r="AC298" s="58">
        <v>43976</v>
      </c>
      <c r="AD298" s="58">
        <v>43983</v>
      </c>
      <c r="AE298" s="58">
        <v>43979</v>
      </c>
      <c r="AF298" s="58">
        <v>43979</v>
      </c>
      <c r="AG298" s="58" t="s">
        <v>75</v>
      </c>
      <c r="AH298" s="59">
        <v>1</v>
      </c>
      <c r="AI298" s="59">
        <v>1</v>
      </c>
      <c r="AJ298" s="59">
        <v>1</v>
      </c>
      <c r="AK298" s="58" t="s">
        <v>8</v>
      </c>
      <c r="AL298" s="181" t="s">
        <v>72</v>
      </c>
      <c r="AM298" s="181" t="s">
        <v>72</v>
      </c>
      <c r="AN298" s="193" t="s">
        <v>1846</v>
      </c>
    </row>
    <row r="299" spans="2:40" ht="15">
      <c r="B299" s="184">
        <v>180</v>
      </c>
      <c r="C299" s="13">
        <v>20200525</v>
      </c>
      <c r="D299" s="13" t="s">
        <v>24</v>
      </c>
      <c r="E299" s="13" t="s">
        <v>2373</v>
      </c>
      <c r="F299" s="39" t="s">
        <v>1939</v>
      </c>
      <c r="G299" s="13">
        <v>1484917</v>
      </c>
      <c r="H299" s="164" t="s">
        <v>72</v>
      </c>
      <c r="I299" s="13" t="s">
        <v>955</v>
      </c>
      <c r="J299" s="164" t="s">
        <v>72</v>
      </c>
      <c r="K299" s="13" t="s">
        <v>106</v>
      </c>
      <c r="L299" s="13" t="s">
        <v>1844</v>
      </c>
      <c r="M299" s="13" t="s">
        <v>1033</v>
      </c>
      <c r="N299" s="13" t="s">
        <v>1845</v>
      </c>
      <c r="O299" s="14" t="s">
        <v>72</v>
      </c>
      <c r="P299" s="14" t="s">
        <v>1278</v>
      </c>
      <c r="Q299" s="165"/>
      <c r="R299" s="164" t="s">
        <v>72</v>
      </c>
      <c r="S299" s="13" t="s">
        <v>77</v>
      </c>
      <c r="T299" s="13"/>
      <c r="U299" s="13"/>
      <c r="V299" s="13">
        <v>175</v>
      </c>
      <c r="W299" s="13">
        <v>175</v>
      </c>
      <c r="X299" s="13">
        <v>175</v>
      </c>
      <c r="Y299" s="13">
        <v>3.11</v>
      </c>
      <c r="Z299" s="13">
        <v>2</v>
      </c>
      <c r="AA299" s="13" t="s">
        <v>110</v>
      </c>
      <c r="AB299" s="58">
        <v>43983</v>
      </c>
      <c r="AC299" s="58">
        <v>43976</v>
      </c>
      <c r="AD299" s="58">
        <v>43983</v>
      </c>
      <c r="AE299" s="58">
        <v>43978</v>
      </c>
      <c r="AF299" s="58">
        <v>43978</v>
      </c>
      <c r="AG299" s="58" t="s">
        <v>75</v>
      </c>
      <c r="AH299" s="59">
        <v>1</v>
      </c>
      <c r="AI299" s="59">
        <v>1</v>
      </c>
      <c r="AJ299" s="59">
        <v>1</v>
      </c>
      <c r="AK299" s="58" t="s">
        <v>8</v>
      </c>
      <c r="AL299" s="181" t="s">
        <v>72</v>
      </c>
      <c r="AM299" s="181" t="s">
        <v>72</v>
      </c>
      <c r="AN299" s="193" t="s">
        <v>1846</v>
      </c>
    </row>
    <row r="300" spans="2:40" ht="15">
      <c r="B300" s="184">
        <v>181</v>
      </c>
      <c r="C300" s="13">
        <v>20200525</v>
      </c>
      <c r="D300" s="13" t="s">
        <v>24</v>
      </c>
      <c r="E300" s="13" t="s">
        <v>2373</v>
      </c>
      <c r="F300" s="39" t="s">
        <v>1940</v>
      </c>
      <c r="G300" s="13">
        <v>1484917</v>
      </c>
      <c r="H300" s="164" t="s">
        <v>72</v>
      </c>
      <c r="I300" s="13" t="s">
        <v>956</v>
      </c>
      <c r="J300" s="164" t="s">
        <v>72</v>
      </c>
      <c r="K300" s="13" t="s">
        <v>106</v>
      </c>
      <c r="L300" s="13" t="s">
        <v>1844</v>
      </c>
      <c r="M300" s="13" t="s">
        <v>1033</v>
      </c>
      <c r="N300" s="13" t="s">
        <v>1845</v>
      </c>
      <c r="O300" s="14" t="s">
        <v>72</v>
      </c>
      <c r="P300" s="14" t="s">
        <v>1278</v>
      </c>
      <c r="Q300" s="165"/>
      <c r="R300" s="164" t="s">
        <v>72</v>
      </c>
      <c r="S300" s="13" t="s">
        <v>77</v>
      </c>
      <c r="T300" s="13"/>
      <c r="U300" s="13"/>
      <c r="V300" s="13">
        <v>6</v>
      </c>
      <c r="W300" s="13">
        <v>6</v>
      </c>
      <c r="X300" s="13">
        <v>6</v>
      </c>
      <c r="Y300" s="13">
        <v>0.1</v>
      </c>
      <c r="Z300" s="13">
        <v>0.1</v>
      </c>
      <c r="AA300" s="13" t="s">
        <v>110</v>
      </c>
      <c r="AB300" s="58">
        <v>43983</v>
      </c>
      <c r="AC300" s="58">
        <v>43976</v>
      </c>
      <c r="AD300" s="58">
        <v>43983</v>
      </c>
      <c r="AE300" s="58">
        <v>43978</v>
      </c>
      <c r="AF300" s="58">
        <v>43978</v>
      </c>
      <c r="AG300" s="58" t="s">
        <v>75</v>
      </c>
      <c r="AH300" s="171" t="s">
        <v>72</v>
      </c>
      <c r="AI300" s="171" t="s">
        <v>72</v>
      </c>
      <c r="AJ300" s="171" t="s">
        <v>72</v>
      </c>
      <c r="AK300" s="58" t="s">
        <v>8</v>
      </c>
      <c r="AL300" s="181" t="s">
        <v>72</v>
      </c>
      <c r="AM300" s="181" t="s">
        <v>72</v>
      </c>
      <c r="AN300" s="193" t="s">
        <v>1941</v>
      </c>
    </row>
    <row r="301" spans="2:40" ht="15">
      <c r="B301" s="184">
        <v>182</v>
      </c>
      <c r="C301" s="13">
        <v>20200525</v>
      </c>
      <c r="D301" s="13" t="s">
        <v>24</v>
      </c>
      <c r="E301" s="13" t="s">
        <v>2373</v>
      </c>
      <c r="F301" s="39" t="s">
        <v>1942</v>
      </c>
      <c r="G301" s="13">
        <v>1487183</v>
      </c>
      <c r="H301" s="164" t="s">
        <v>72</v>
      </c>
      <c r="I301" s="13" t="s">
        <v>1943</v>
      </c>
      <c r="J301" s="164" t="s">
        <v>72</v>
      </c>
      <c r="K301" s="13" t="s">
        <v>106</v>
      </c>
      <c r="L301" s="13" t="s">
        <v>1844</v>
      </c>
      <c r="M301" s="13" t="s">
        <v>1033</v>
      </c>
      <c r="N301" s="13" t="s">
        <v>1845</v>
      </c>
      <c r="O301" s="14" t="s">
        <v>72</v>
      </c>
      <c r="P301" s="14" t="s">
        <v>1944</v>
      </c>
      <c r="Q301" s="165"/>
      <c r="R301" s="164" t="s">
        <v>72</v>
      </c>
      <c r="S301" s="13" t="s">
        <v>77</v>
      </c>
      <c r="T301" s="13"/>
      <c r="U301" s="13"/>
      <c r="V301" s="13">
        <v>34</v>
      </c>
      <c r="W301" s="13">
        <v>34</v>
      </c>
      <c r="X301" s="13">
        <v>34</v>
      </c>
      <c r="Y301" s="13">
        <v>0.6</v>
      </c>
      <c r="Z301" s="13">
        <v>0.1</v>
      </c>
      <c r="AA301" s="13" t="s">
        <v>110</v>
      </c>
      <c r="AB301" s="58">
        <v>43983</v>
      </c>
      <c r="AC301" s="58">
        <v>43976</v>
      </c>
      <c r="AD301" s="58">
        <v>43983</v>
      </c>
      <c r="AE301" s="58">
        <v>43978</v>
      </c>
      <c r="AF301" s="58">
        <v>43978</v>
      </c>
      <c r="AG301" s="58" t="s">
        <v>75</v>
      </c>
      <c r="AH301" s="171" t="s">
        <v>72</v>
      </c>
      <c r="AI301" s="171" t="s">
        <v>72</v>
      </c>
      <c r="AJ301" s="171" t="s">
        <v>72</v>
      </c>
      <c r="AK301" s="58" t="s">
        <v>8</v>
      </c>
      <c r="AL301" s="181" t="s">
        <v>72</v>
      </c>
      <c r="AM301" s="181" t="s">
        <v>72</v>
      </c>
      <c r="AN301" s="193" t="s">
        <v>1941</v>
      </c>
    </row>
    <row r="302" spans="2:40" ht="15">
      <c r="B302" s="198">
        <v>183</v>
      </c>
      <c r="C302" s="13">
        <v>20200526</v>
      </c>
      <c r="D302" s="13" t="s">
        <v>24</v>
      </c>
      <c r="E302" s="13" t="s">
        <v>2367</v>
      </c>
      <c r="F302" s="39" t="s">
        <v>1945</v>
      </c>
      <c r="G302" s="13">
        <v>1485214</v>
      </c>
      <c r="H302" s="164" t="s">
        <v>72</v>
      </c>
      <c r="I302" s="13" t="s">
        <v>564</v>
      </c>
      <c r="J302" s="164" t="s">
        <v>72</v>
      </c>
      <c r="K302" s="13" t="s">
        <v>73</v>
      </c>
      <c r="L302" s="13" t="s">
        <v>1946</v>
      </c>
      <c r="M302" s="13" t="s">
        <v>1657</v>
      </c>
      <c r="N302" s="13" t="s">
        <v>336</v>
      </c>
      <c r="O302" s="14" t="s">
        <v>72</v>
      </c>
      <c r="P302" s="14" t="s">
        <v>562</v>
      </c>
      <c r="Q302" s="165"/>
      <c r="R302" s="164" t="s">
        <v>72</v>
      </c>
      <c r="S302" s="13" t="s">
        <v>161</v>
      </c>
      <c r="T302" s="13"/>
      <c r="U302" s="13"/>
      <c r="V302" s="13">
        <v>101</v>
      </c>
      <c r="W302" s="53">
        <v>211</v>
      </c>
      <c r="X302" s="13">
        <v>211</v>
      </c>
      <c r="Y302" s="13">
        <v>3.75</v>
      </c>
      <c r="Z302" s="13">
        <v>3</v>
      </c>
      <c r="AA302" s="13" t="s">
        <v>110</v>
      </c>
      <c r="AB302" s="58">
        <v>43978</v>
      </c>
      <c r="AC302" s="58">
        <v>43978</v>
      </c>
      <c r="AD302" s="58">
        <v>43980</v>
      </c>
      <c r="AE302" s="58">
        <v>43978</v>
      </c>
      <c r="AF302" s="58">
        <v>43978</v>
      </c>
      <c r="AG302" s="58" t="s">
        <v>79</v>
      </c>
      <c r="AH302" s="59">
        <v>0.96</v>
      </c>
      <c r="AI302" s="59">
        <v>0.91</v>
      </c>
      <c r="AJ302" s="59">
        <v>0.5</v>
      </c>
      <c r="AK302" s="58" t="s">
        <v>76</v>
      </c>
      <c r="AL302" s="176" t="s">
        <v>1947</v>
      </c>
      <c r="AM302" s="13"/>
      <c r="AN302" s="13" t="s">
        <v>1948</v>
      </c>
    </row>
    <row r="303" spans="2:40" ht="15">
      <c r="B303" s="198">
        <v>184</v>
      </c>
      <c r="C303" s="13">
        <v>20200526</v>
      </c>
      <c r="D303" s="13" t="s">
        <v>24</v>
      </c>
      <c r="E303" s="13" t="s">
        <v>2367</v>
      </c>
      <c r="F303" s="39" t="s">
        <v>1949</v>
      </c>
      <c r="G303" s="13">
        <v>1485214</v>
      </c>
      <c r="H303" s="164" t="s">
        <v>72</v>
      </c>
      <c r="I303" s="13" t="s">
        <v>708</v>
      </c>
      <c r="J303" s="164" t="s">
        <v>72</v>
      </c>
      <c r="K303" s="13" t="s">
        <v>73</v>
      </c>
      <c r="L303" s="13" t="s">
        <v>1946</v>
      </c>
      <c r="M303" s="13" t="s">
        <v>1657</v>
      </c>
      <c r="N303" s="13" t="s">
        <v>336</v>
      </c>
      <c r="O303" s="14" t="s">
        <v>72</v>
      </c>
      <c r="P303" s="14" t="s">
        <v>562</v>
      </c>
      <c r="Q303" s="165"/>
      <c r="R303" s="164" t="s">
        <v>72</v>
      </c>
      <c r="S303" s="13" t="s">
        <v>161</v>
      </c>
      <c r="T303" s="13"/>
      <c r="U303" s="13"/>
      <c r="V303" s="13">
        <v>66</v>
      </c>
      <c r="W303" s="13">
        <v>66</v>
      </c>
      <c r="X303" s="13">
        <v>66</v>
      </c>
      <c r="Y303" s="13">
        <v>1.17</v>
      </c>
      <c r="Z303" s="13">
        <v>1</v>
      </c>
      <c r="AA303" s="13" t="s">
        <v>110</v>
      </c>
      <c r="AB303" s="58">
        <v>43978</v>
      </c>
      <c r="AC303" s="58">
        <v>43978</v>
      </c>
      <c r="AD303" s="58">
        <v>43980</v>
      </c>
      <c r="AE303" s="58">
        <v>43978</v>
      </c>
      <c r="AF303" s="58">
        <v>43978</v>
      </c>
      <c r="AG303" s="58" t="s">
        <v>75</v>
      </c>
      <c r="AH303" s="59">
        <v>1</v>
      </c>
      <c r="AI303" s="59">
        <v>1</v>
      </c>
      <c r="AJ303" s="59">
        <v>1</v>
      </c>
      <c r="AK303" s="58" t="s">
        <v>8</v>
      </c>
      <c r="AL303" s="14" t="s">
        <v>72</v>
      </c>
      <c r="AM303" s="14" t="s">
        <v>72</v>
      </c>
      <c r="AN303" s="14" t="s">
        <v>72</v>
      </c>
    </row>
    <row r="304" spans="2:40" ht="15">
      <c r="B304" s="198">
        <v>185</v>
      </c>
      <c r="C304" s="13">
        <v>20200526</v>
      </c>
      <c r="D304" s="13" t="s">
        <v>24</v>
      </c>
      <c r="E304" s="13" t="s">
        <v>1373</v>
      </c>
      <c r="F304" s="39" t="s">
        <v>1950</v>
      </c>
      <c r="G304" s="13">
        <v>1487960</v>
      </c>
      <c r="H304" s="164" t="s">
        <v>72</v>
      </c>
      <c r="I304" s="13" t="s">
        <v>123</v>
      </c>
      <c r="J304" s="164" t="s">
        <v>72</v>
      </c>
      <c r="K304" s="13" t="s">
        <v>73</v>
      </c>
      <c r="L304" s="13" t="s">
        <v>8</v>
      </c>
      <c r="M304" s="13" t="s">
        <v>19</v>
      </c>
      <c r="N304" s="13" t="s">
        <v>1065</v>
      </c>
      <c r="O304" s="14" t="s">
        <v>72</v>
      </c>
      <c r="P304" s="14" t="s">
        <v>1951</v>
      </c>
      <c r="Q304" s="165"/>
      <c r="R304" s="164" t="s">
        <v>72</v>
      </c>
      <c r="S304" s="13" t="s">
        <v>109</v>
      </c>
      <c r="T304" s="13"/>
      <c r="U304" s="13"/>
      <c r="V304" s="13">
        <v>88</v>
      </c>
      <c r="W304" s="53">
        <v>229</v>
      </c>
      <c r="X304" s="13">
        <v>229</v>
      </c>
      <c r="Y304" s="13">
        <v>4.07</v>
      </c>
      <c r="Z304" s="13">
        <v>3</v>
      </c>
      <c r="AA304" s="13" t="s">
        <v>110</v>
      </c>
      <c r="AB304" s="58">
        <v>43978</v>
      </c>
      <c r="AC304" s="58">
        <v>43978</v>
      </c>
      <c r="AD304" s="58">
        <v>43980</v>
      </c>
      <c r="AE304" s="58">
        <v>43979</v>
      </c>
      <c r="AF304" s="58">
        <v>43979</v>
      </c>
      <c r="AG304" s="58" t="s">
        <v>79</v>
      </c>
      <c r="AH304" s="59">
        <v>1</v>
      </c>
      <c r="AI304" s="59">
        <v>1</v>
      </c>
      <c r="AJ304" s="59">
        <v>1</v>
      </c>
      <c r="AK304" s="58" t="s">
        <v>76</v>
      </c>
      <c r="AL304" s="14" t="s">
        <v>1952</v>
      </c>
      <c r="AM304" s="13" t="s">
        <v>72</v>
      </c>
      <c r="AN304" s="14" t="s">
        <v>1953</v>
      </c>
    </row>
    <row r="305" spans="2:40" ht="15">
      <c r="B305" s="198">
        <v>186</v>
      </c>
      <c r="C305" s="13">
        <v>20200526</v>
      </c>
      <c r="D305" s="13" t="s">
        <v>24</v>
      </c>
      <c r="E305" s="13" t="s">
        <v>1373</v>
      </c>
      <c r="F305" s="39" t="s">
        <v>1950</v>
      </c>
      <c r="G305" s="13">
        <v>1487960</v>
      </c>
      <c r="H305" s="164" t="s">
        <v>72</v>
      </c>
      <c r="I305" s="13" t="s">
        <v>120</v>
      </c>
      <c r="J305" s="164" t="s">
        <v>72</v>
      </c>
      <c r="K305" s="13" t="s">
        <v>73</v>
      </c>
      <c r="L305" s="13" t="s">
        <v>8</v>
      </c>
      <c r="M305" s="13" t="s">
        <v>19</v>
      </c>
      <c r="N305" s="13" t="s">
        <v>1065</v>
      </c>
      <c r="O305" s="14" t="s">
        <v>72</v>
      </c>
      <c r="P305" s="14" t="s">
        <v>1951</v>
      </c>
      <c r="Q305" s="165"/>
      <c r="R305" s="164" t="s">
        <v>72</v>
      </c>
      <c r="S305" s="13" t="s">
        <v>109</v>
      </c>
      <c r="T305" s="13"/>
      <c r="U305" s="13"/>
      <c r="V305" s="13">
        <v>42</v>
      </c>
      <c r="W305" s="53">
        <v>118</v>
      </c>
      <c r="X305" s="13">
        <v>118</v>
      </c>
      <c r="Y305" s="13">
        <v>2.09</v>
      </c>
      <c r="Z305" s="13">
        <v>1</v>
      </c>
      <c r="AA305" s="13" t="s">
        <v>110</v>
      </c>
      <c r="AB305" s="58">
        <v>43978</v>
      </c>
      <c r="AC305" s="58">
        <v>43978</v>
      </c>
      <c r="AD305" s="58">
        <v>43980</v>
      </c>
      <c r="AE305" s="58">
        <v>43979</v>
      </c>
      <c r="AF305" s="58">
        <v>43979</v>
      </c>
      <c r="AG305" s="58" t="s">
        <v>75</v>
      </c>
      <c r="AH305" s="59">
        <v>1</v>
      </c>
      <c r="AI305" s="59">
        <v>1</v>
      </c>
      <c r="AJ305" s="59">
        <v>1</v>
      </c>
      <c r="AK305" s="58" t="s">
        <v>8</v>
      </c>
      <c r="AL305" s="14" t="s">
        <v>72</v>
      </c>
      <c r="AM305" s="13" t="s">
        <v>72</v>
      </c>
      <c r="AN305" s="13" t="s">
        <v>72</v>
      </c>
    </row>
    <row r="306" spans="2:40" ht="15">
      <c r="B306" s="198">
        <v>187</v>
      </c>
      <c r="C306" s="13">
        <v>20200526</v>
      </c>
      <c r="D306" s="13" t="s">
        <v>24</v>
      </c>
      <c r="E306" s="13" t="s">
        <v>1373</v>
      </c>
      <c r="F306" s="39" t="s">
        <v>1954</v>
      </c>
      <c r="G306" s="13">
        <v>1487866</v>
      </c>
      <c r="H306" s="164" t="s">
        <v>72</v>
      </c>
      <c r="I306" s="13" t="s">
        <v>123</v>
      </c>
      <c r="J306" s="164" t="s">
        <v>72</v>
      </c>
      <c r="K306" s="13" t="s">
        <v>73</v>
      </c>
      <c r="L306" s="13" t="s">
        <v>8</v>
      </c>
      <c r="M306" s="13" t="s">
        <v>19</v>
      </c>
      <c r="N306" s="13" t="s">
        <v>1955</v>
      </c>
      <c r="O306" s="14" t="s">
        <v>72</v>
      </c>
      <c r="P306" s="14" t="s">
        <v>1951</v>
      </c>
      <c r="Q306" s="165"/>
      <c r="R306" s="164" t="s">
        <v>72</v>
      </c>
      <c r="S306" s="13" t="s">
        <v>109</v>
      </c>
      <c r="T306" s="13"/>
      <c r="U306" s="13"/>
      <c r="V306" s="13">
        <v>88</v>
      </c>
      <c r="W306" s="53">
        <v>229</v>
      </c>
      <c r="X306" s="13">
        <v>229</v>
      </c>
      <c r="Y306" s="13">
        <v>4.07</v>
      </c>
      <c r="Z306" s="13">
        <v>1</v>
      </c>
      <c r="AA306" s="13" t="s">
        <v>110</v>
      </c>
      <c r="AB306" s="58">
        <v>43978</v>
      </c>
      <c r="AC306" s="58">
        <v>43978</v>
      </c>
      <c r="AD306" s="58">
        <v>43980</v>
      </c>
      <c r="AE306" s="58">
        <v>43979</v>
      </c>
      <c r="AF306" s="58">
        <v>43979</v>
      </c>
      <c r="AG306" s="58" t="s">
        <v>79</v>
      </c>
      <c r="AH306" s="59">
        <v>1</v>
      </c>
      <c r="AI306" s="59">
        <v>1</v>
      </c>
      <c r="AJ306" s="59">
        <v>1</v>
      </c>
      <c r="AK306" s="58" t="s">
        <v>76</v>
      </c>
      <c r="AL306" s="14" t="s">
        <v>1952</v>
      </c>
      <c r="AM306" s="13" t="s">
        <v>72</v>
      </c>
      <c r="AN306" s="14" t="s">
        <v>1953</v>
      </c>
    </row>
    <row r="307" spans="2:40" ht="15">
      <c r="B307" s="198">
        <v>188</v>
      </c>
      <c r="C307" s="13">
        <v>20200526</v>
      </c>
      <c r="D307" s="13" t="s">
        <v>24</v>
      </c>
      <c r="E307" s="13" t="s">
        <v>1373</v>
      </c>
      <c r="F307" s="39" t="s">
        <v>1954</v>
      </c>
      <c r="G307" s="13">
        <v>1487866</v>
      </c>
      <c r="H307" s="164" t="s">
        <v>72</v>
      </c>
      <c r="I307" s="13" t="s">
        <v>120</v>
      </c>
      <c r="J307" s="164" t="s">
        <v>72</v>
      </c>
      <c r="K307" s="13" t="s">
        <v>73</v>
      </c>
      <c r="L307" s="13" t="s">
        <v>8</v>
      </c>
      <c r="M307" s="13" t="s">
        <v>19</v>
      </c>
      <c r="N307" s="13" t="s">
        <v>1955</v>
      </c>
      <c r="O307" s="14" t="s">
        <v>72</v>
      </c>
      <c r="P307" s="14" t="s">
        <v>1951</v>
      </c>
      <c r="Q307" s="165"/>
      <c r="R307" s="164" t="s">
        <v>72</v>
      </c>
      <c r="S307" s="13" t="s">
        <v>109</v>
      </c>
      <c r="T307" s="13"/>
      <c r="U307" s="13"/>
      <c r="V307" s="13">
        <v>42</v>
      </c>
      <c r="W307" s="53">
        <v>118</v>
      </c>
      <c r="X307" s="13">
        <v>118</v>
      </c>
      <c r="Y307" s="13">
        <v>2.09</v>
      </c>
      <c r="Z307" s="13">
        <v>1</v>
      </c>
      <c r="AA307" s="13" t="s">
        <v>110</v>
      </c>
      <c r="AB307" s="58">
        <v>43978</v>
      </c>
      <c r="AC307" s="58">
        <v>43978</v>
      </c>
      <c r="AD307" s="58">
        <v>43980</v>
      </c>
      <c r="AE307" s="58">
        <v>43979</v>
      </c>
      <c r="AF307" s="58">
        <v>43979</v>
      </c>
      <c r="AG307" s="58" t="s">
        <v>75</v>
      </c>
      <c r="AH307" s="59">
        <v>1</v>
      </c>
      <c r="AI307" s="59">
        <v>1</v>
      </c>
      <c r="AJ307" s="59">
        <v>1</v>
      </c>
      <c r="AK307" s="58" t="s">
        <v>8</v>
      </c>
      <c r="AL307" s="14" t="s">
        <v>72</v>
      </c>
      <c r="AM307" s="13" t="s">
        <v>72</v>
      </c>
      <c r="AN307" s="13" t="s">
        <v>72</v>
      </c>
    </row>
    <row r="308" spans="2:40" ht="15">
      <c r="B308" s="198">
        <v>189</v>
      </c>
      <c r="C308" s="13">
        <v>20200526</v>
      </c>
      <c r="D308" s="13" t="s">
        <v>24</v>
      </c>
      <c r="E308" s="13" t="s">
        <v>1422</v>
      </c>
      <c r="F308" s="39" t="s">
        <v>1956</v>
      </c>
      <c r="G308" s="13">
        <v>1487804</v>
      </c>
      <c r="H308" s="164" t="s">
        <v>72</v>
      </c>
      <c r="I308" s="13" t="s">
        <v>1272</v>
      </c>
      <c r="J308" s="164" t="s">
        <v>72</v>
      </c>
      <c r="K308" s="13" t="s">
        <v>73</v>
      </c>
      <c r="L308" s="13" t="s">
        <v>27</v>
      </c>
      <c r="M308" s="13" t="s">
        <v>1787</v>
      </c>
      <c r="N308" s="13" t="s">
        <v>9</v>
      </c>
      <c r="O308" s="14" t="s">
        <v>72</v>
      </c>
      <c r="P308" s="14" t="s">
        <v>7</v>
      </c>
      <c r="Q308" s="165"/>
      <c r="R308" s="164" t="s">
        <v>72</v>
      </c>
      <c r="S308" s="13" t="s">
        <v>117</v>
      </c>
      <c r="T308" s="13"/>
      <c r="U308" s="13"/>
      <c r="V308" s="13">
        <v>128</v>
      </c>
      <c r="W308" s="13">
        <v>128</v>
      </c>
      <c r="X308" s="13">
        <v>128</v>
      </c>
      <c r="Y308" s="13">
        <v>2.27</v>
      </c>
      <c r="Z308" s="13">
        <v>1</v>
      </c>
      <c r="AA308" s="13" t="s">
        <v>110</v>
      </c>
      <c r="AB308" s="58">
        <v>43978</v>
      </c>
      <c r="AC308" s="58">
        <v>43978</v>
      </c>
      <c r="AD308" s="58">
        <v>43978</v>
      </c>
      <c r="AE308" s="58">
        <v>43978</v>
      </c>
      <c r="AF308" s="58">
        <v>43978</v>
      </c>
      <c r="AG308" s="58" t="s">
        <v>75</v>
      </c>
      <c r="AH308" s="59">
        <v>1</v>
      </c>
      <c r="AI308" s="59">
        <v>1</v>
      </c>
      <c r="AJ308" s="59">
        <v>1</v>
      </c>
      <c r="AK308" s="58" t="s">
        <v>8</v>
      </c>
      <c r="AL308" s="181" t="s">
        <v>72</v>
      </c>
      <c r="AM308" s="181" t="s">
        <v>72</v>
      </c>
      <c r="AN308" s="181" t="s">
        <v>72</v>
      </c>
    </row>
    <row r="309" spans="2:40" ht="15">
      <c r="B309" s="198">
        <v>190</v>
      </c>
      <c r="C309" s="13">
        <v>20200526</v>
      </c>
      <c r="D309" s="13" t="s">
        <v>24</v>
      </c>
      <c r="E309" s="13" t="s">
        <v>1422</v>
      </c>
      <c r="F309" s="39" t="s">
        <v>1957</v>
      </c>
      <c r="G309" s="13">
        <v>1487804</v>
      </c>
      <c r="H309" s="164" t="s">
        <v>72</v>
      </c>
      <c r="I309" s="13" t="s">
        <v>130</v>
      </c>
      <c r="J309" s="164" t="s">
        <v>72</v>
      </c>
      <c r="K309" s="13" t="s">
        <v>73</v>
      </c>
      <c r="L309" s="13" t="s">
        <v>27</v>
      </c>
      <c r="M309" s="13" t="s">
        <v>1787</v>
      </c>
      <c r="N309" s="13" t="s">
        <v>9</v>
      </c>
      <c r="O309" s="14" t="s">
        <v>72</v>
      </c>
      <c r="P309" s="14" t="s">
        <v>7</v>
      </c>
      <c r="Q309" s="165"/>
      <c r="R309" s="164" t="s">
        <v>72</v>
      </c>
      <c r="S309" s="13" t="s">
        <v>117</v>
      </c>
      <c r="T309" s="13"/>
      <c r="U309" s="13"/>
      <c r="V309" s="13">
        <v>261</v>
      </c>
      <c r="W309" s="13">
        <v>261</v>
      </c>
      <c r="X309" s="13">
        <v>261</v>
      </c>
      <c r="Y309" s="13">
        <v>4.6399999999999997</v>
      </c>
      <c r="Z309" s="13">
        <v>2</v>
      </c>
      <c r="AA309" s="13" t="s">
        <v>110</v>
      </c>
      <c r="AB309" s="58">
        <v>43978</v>
      </c>
      <c r="AC309" s="58">
        <v>43978</v>
      </c>
      <c r="AD309" s="58">
        <v>43978</v>
      </c>
      <c r="AE309" s="58">
        <v>43978</v>
      </c>
      <c r="AF309" s="58">
        <v>43978</v>
      </c>
      <c r="AG309" s="58" t="s">
        <v>75</v>
      </c>
      <c r="AH309" s="59">
        <v>1</v>
      </c>
      <c r="AI309" s="59">
        <v>1</v>
      </c>
      <c r="AJ309" s="59">
        <v>1</v>
      </c>
      <c r="AK309" s="58" t="s">
        <v>8</v>
      </c>
      <c r="AL309" s="181" t="s">
        <v>72</v>
      </c>
      <c r="AM309" s="181" t="s">
        <v>72</v>
      </c>
      <c r="AN309" s="181" t="s">
        <v>72</v>
      </c>
    </row>
    <row r="310" spans="2:40" ht="15">
      <c r="B310" s="198">
        <v>191</v>
      </c>
      <c r="C310" s="13">
        <v>20200526</v>
      </c>
      <c r="D310" s="13" t="s">
        <v>24</v>
      </c>
      <c r="E310" s="13" t="s">
        <v>1422</v>
      </c>
      <c r="F310" s="39" t="s">
        <v>1958</v>
      </c>
      <c r="G310" s="13">
        <v>1487804</v>
      </c>
      <c r="H310" s="164" t="s">
        <v>72</v>
      </c>
      <c r="I310" s="13" t="s">
        <v>1487</v>
      </c>
      <c r="J310" s="164" t="s">
        <v>72</v>
      </c>
      <c r="K310" s="13" t="s">
        <v>73</v>
      </c>
      <c r="L310" s="13" t="s">
        <v>27</v>
      </c>
      <c r="M310" s="13" t="s">
        <v>1787</v>
      </c>
      <c r="N310" s="13" t="s">
        <v>9</v>
      </c>
      <c r="O310" s="14" t="s">
        <v>72</v>
      </c>
      <c r="P310" s="14" t="s">
        <v>7</v>
      </c>
      <c r="Q310" s="165"/>
      <c r="R310" s="164" t="s">
        <v>72</v>
      </c>
      <c r="S310" s="13" t="s">
        <v>117</v>
      </c>
      <c r="T310" s="13"/>
      <c r="U310" s="13"/>
      <c r="V310" s="13">
        <v>45</v>
      </c>
      <c r="W310" s="13">
        <v>45</v>
      </c>
      <c r="X310" s="13">
        <v>45</v>
      </c>
      <c r="Y310" s="13">
        <v>0.8</v>
      </c>
      <c r="Z310" s="13">
        <v>0.5</v>
      </c>
      <c r="AA310" s="13" t="s">
        <v>110</v>
      </c>
      <c r="AB310" s="58">
        <v>43978</v>
      </c>
      <c r="AC310" s="58">
        <v>43978</v>
      </c>
      <c r="AD310" s="58">
        <v>43978</v>
      </c>
      <c r="AE310" s="58">
        <v>43978</v>
      </c>
      <c r="AF310" s="58">
        <v>43978</v>
      </c>
      <c r="AG310" s="58" t="s">
        <v>75</v>
      </c>
      <c r="AH310" s="59">
        <v>1</v>
      </c>
      <c r="AI310" s="59">
        <v>1</v>
      </c>
      <c r="AJ310" s="59">
        <v>1</v>
      </c>
      <c r="AK310" s="58" t="s">
        <v>8</v>
      </c>
      <c r="AL310" s="181" t="s">
        <v>72</v>
      </c>
      <c r="AM310" s="181" t="s">
        <v>72</v>
      </c>
      <c r="AN310" s="181" t="s">
        <v>72</v>
      </c>
    </row>
    <row r="311" spans="2:40" ht="15">
      <c r="B311" s="198">
        <v>192</v>
      </c>
      <c r="C311" s="13">
        <v>20200526</v>
      </c>
      <c r="D311" s="13" t="s">
        <v>24</v>
      </c>
      <c r="E311" s="13" t="s">
        <v>2374</v>
      </c>
      <c r="F311" s="39" t="s">
        <v>1960</v>
      </c>
      <c r="G311" s="13">
        <v>1475660</v>
      </c>
      <c r="H311" s="164" t="s">
        <v>72</v>
      </c>
      <c r="I311" s="13" t="s">
        <v>37</v>
      </c>
      <c r="J311" s="164" t="s">
        <v>72</v>
      </c>
      <c r="K311" s="13" t="s">
        <v>73</v>
      </c>
      <c r="L311" s="13" t="s">
        <v>1961</v>
      </c>
      <c r="M311" s="13" t="s">
        <v>19</v>
      </c>
      <c r="N311" s="13" t="s">
        <v>6</v>
      </c>
      <c r="O311" s="14" t="s">
        <v>72</v>
      </c>
      <c r="P311" s="14" t="s">
        <v>1029</v>
      </c>
      <c r="Q311" s="165"/>
      <c r="R311" s="164" t="s">
        <v>72</v>
      </c>
      <c r="S311" s="13" t="s">
        <v>113</v>
      </c>
      <c r="T311" s="13"/>
      <c r="U311" s="13"/>
      <c r="V311" s="13">
        <v>355</v>
      </c>
      <c r="W311" s="13">
        <v>355</v>
      </c>
      <c r="X311" s="13">
        <v>355</v>
      </c>
      <c r="Y311" s="13">
        <v>6.31</v>
      </c>
      <c r="Z311" s="13">
        <v>6.31</v>
      </c>
      <c r="AA311" s="13" t="s">
        <v>110</v>
      </c>
      <c r="AB311" s="58">
        <v>43978</v>
      </c>
      <c r="AC311" s="58">
        <v>43978</v>
      </c>
      <c r="AD311" s="58">
        <v>43978</v>
      </c>
      <c r="AE311" s="58">
        <v>43978</v>
      </c>
      <c r="AF311" s="58">
        <v>43978</v>
      </c>
      <c r="AG311" s="58" t="s">
        <v>79</v>
      </c>
      <c r="AH311" s="59">
        <v>1</v>
      </c>
      <c r="AI311" s="59">
        <v>1</v>
      </c>
      <c r="AJ311" s="59">
        <v>0.75</v>
      </c>
      <c r="AK311" s="58" t="s">
        <v>76</v>
      </c>
      <c r="AL311" s="181" t="s">
        <v>1962</v>
      </c>
      <c r="AM311" s="181" t="s">
        <v>72</v>
      </c>
      <c r="AN311" s="181" t="s">
        <v>1963</v>
      </c>
    </row>
    <row r="312" spans="2:40" ht="15">
      <c r="B312" s="198">
        <v>193</v>
      </c>
      <c r="C312" s="13">
        <v>20200526</v>
      </c>
      <c r="D312" s="13" t="s">
        <v>24</v>
      </c>
      <c r="E312" s="13" t="s">
        <v>2374</v>
      </c>
      <c r="F312" s="39" t="s">
        <v>1964</v>
      </c>
      <c r="G312" s="13">
        <v>1475660</v>
      </c>
      <c r="H312" s="164" t="s">
        <v>72</v>
      </c>
      <c r="I312" s="13" t="s">
        <v>1965</v>
      </c>
      <c r="J312" s="164" t="s">
        <v>72</v>
      </c>
      <c r="K312" s="13" t="s">
        <v>73</v>
      </c>
      <c r="L312" s="13" t="s">
        <v>1961</v>
      </c>
      <c r="M312" s="13" t="s">
        <v>19</v>
      </c>
      <c r="N312" s="13" t="s">
        <v>6</v>
      </c>
      <c r="O312" s="14" t="s">
        <v>72</v>
      </c>
      <c r="P312" s="14" t="s">
        <v>1029</v>
      </c>
      <c r="Q312" s="165"/>
      <c r="R312" s="164" t="s">
        <v>72</v>
      </c>
      <c r="S312" s="13" t="s">
        <v>113</v>
      </c>
      <c r="T312" s="13"/>
      <c r="U312" s="13"/>
      <c r="V312" s="13">
        <v>221</v>
      </c>
      <c r="W312" s="13">
        <v>221</v>
      </c>
      <c r="X312" s="13">
        <v>221</v>
      </c>
      <c r="Y312" s="13">
        <v>3.92</v>
      </c>
      <c r="Z312" s="13">
        <v>3.92</v>
      </c>
      <c r="AA312" s="13" t="s">
        <v>110</v>
      </c>
      <c r="AB312" s="58">
        <v>43978</v>
      </c>
      <c r="AC312" s="58">
        <v>43978</v>
      </c>
      <c r="AD312" s="58">
        <v>43978</v>
      </c>
      <c r="AE312" s="58">
        <v>43978</v>
      </c>
      <c r="AF312" s="58">
        <v>43978</v>
      </c>
      <c r="AG312" s="58" t="s">
        <v>75</v>
      </c>
      <c r="AH312" s="59">
        <v>1</v>
      </c>
      <c r="AI312" s="59">
        <v>1</v>
      </c>
      <c r="AJ312" s="59">
        <v>1</v>
      </c>
      <c r="AK312" s="58" t="s">
        <v>8</v>
      </c>
      <c r="AL312" s="181" t="s">
        <v>72</v>
      </c>
      <c r="AM312" s="181" t="s">
        <v>72</v>
      </c>
      <c r="AN312" s="181" t="s">
        <v>72</v>
      </c>
    </row>
    <row r="313" spans="2:40" ht="15">
      <c r="B313" s="198">
        <v>194</v>
      </c>
      <c r="C313" s="13">
        <v>20200526</v>
      </c>
      <c r="D313" s="13" t="s">
        <v>24</v>
      </c>
      <c r="E313" s="13" t="s">
        <v>1469</v>
      </c>
      <c r="F313" s="39" t="s">
        <v>1966</v>
      </c>
      <c r="G313" s="13">
        <v>1474186</v>
      </c>
      <c r="H313" s="164" t="s">
        <v>72</v>
      </c>
      <c r="I313" s="13" t="s">
        <v>1967</v>
      </c>
      <c r="J313" s="164" t="s">
        <v>72</v>
      </c>
      <c r="K313" s="13" t="s">
        <v>73</v>
      </c>
      <c r="L313" s="13" t="s">
        <v>1968</v>
      </c>
      <c r="M313" s="13" t="s">
        <v>22</v>
      </c>
      <c r="N313" s="13" t="s">
        <v>1136</v>
      </c>
      <c r="O313" s="14" t="s">
        <v>72</v>
      </c>
      <c r="P313" s="14" t="s">
        <v>756</v>
      </c>
      <c r="Q313" s="165"/>
      <c r="R313" s="164" t="s">
        <v>72</v>
      </c>
      <c r="S313" s="13" t="s">
        <v>117</v>
      </c>
      <c r="T313" s="13"/>
      <c r="U313" s="13"/>
      <c r="V313" s="13">
        <v>46</v>
      </c>
      <c r="W313" s="13">
        <v>46</v>
      </c>
      <c r="X313" s="13">
        <v>46</v>
      </c>
      <c r="Y313" s="13">
        <v>0.81</v>
      </c>
      <c r="Z313" s="13">
        <v>0.5</v>
      </c>
      <c r="AA313" s="13" t="s">
        <v>110</v>
      </c>
      <c r="AB313" s="58">
        <v>43978</v>
      </c>
      <c r="AC313" s="58">
        <v>43978</v>
      </c>
      <c r="AD313" s="58">
        <v>43978</v>
      </c>
      <c r="AE313" s="58">
        <v>43978</v>
      </c>
      <c r="AF313" s="58">
        <v>43978</v>
      </c>
      <c r="AG313" s="58" t="s">
        <v>75</v>
      </c>
      <c r="AH313" s="59">
        <v>1</v>
      </c>
      <c r="AI313" s="59">
        <v>1</v>
      </c>
      <c r="AJ313" s="59">
        <v>1</v>
      </c>
      <c r="AK313" s="58" t="s">
        <v>8</v>
      </c>
      <c r="AL313" s="181" t="s">
        <v>72</v>
      </c>
      <c r="AM313" s="181" t="s">
        <v>72</v>
      </c>
      <c r="AN313" s="181" t="s">
        <v>72</v>
      </c>
    </row>
    <row r="314" spans="2:40" ht="15">
      <c r="B314" s="198">
        <v>195</v>
      </c>
      <c r="C314" s="13">
        <v>20200526</v>
      </c>
      <c r="D314" s="13" t="s">
        <v>24</v>
      </c>
      <c r="E314" s="13" t="s">
        <v>1469</v>
      </c>
      <c r="F314" s="39" t="s">
        <v>1969</v>
      </c>
      <c r="G314" s="13">
        <v>1474186</v>
      </c>
      <c r="H314" s="164" t="s">
        <v>72</v>
      </c>
      <c r="I314" s="13" t="s">
        <v>130</v>
      </c>
      <c r="J314" s="164" t="s">
        <v>72</v>
      </c>
      <c r="K314" s="13" t="s">
        <v>73</v>
      </c>
      <c r="L314" s="13" t="s">
        <v>1968</v>
      </c>
      <c r="M314" s="13" t="s">
        <v>22</v>
      </c>
      <c r="N314" s="13" t="s">
        <v>1136</v>
      </c>
      <c r="O314" s="14" t="s">
        <v>72</v>
      </c>
      <c r="P314" s="14" t="s">
        <v>756</v>
      </c>
      <c r="Q314" s="165"/>
      <c r="R314" s="164" t="s">
        <v>72</v>
      </c>
      <c r="S314" s="13" t="s">
        <v>117</v>
      </c>
      <c r="T314" s="13"/>
      <c r="U314" s="13"/>
      <c r="V314" s="13">
        <v>261</v>
      </c>
      <c r="W314" s="13">
        <v>261</v>
      </c>
      <c r="X314" s="13">
        <v>261</v>
      </c>
      <c r="Y314" s="13">
        <v>4.6399999999999997</v>
      </c>
      <c r="Z314" s="13">
        <v>3</v>
      </c>
      <c r="AA314" s="13" t="s">
        <v>110</v>
      </c>
      <c r="AB314" s="58">
        <v>43978</v>
      </c>
      <c r="AC314" s="58">
        <v>43978</v>
      </c>
      <c r="AD314" s="58">
        <v>43978</v>
      </c>
      <c r="AE314" s="58">
        <v>43978</v>
      </c>
      <c r="AF314" s="58">
        <v>43978</v>
      </c>
      <c r="AG314" s="58" t="s">
        <v>75</v>
      </c>
      <c r="AH314" s="59">
        <v>1</v>
      </c>
      <c r="AI314" s="59">
        <v>1</v>
      </c>
      <c r="AJ314" s="59">
        <v>1</v>
      </c>
      <c r="AK314" s="58" t="s">
        <v>8</v>
      </c>
      <c r="AL314" s="181" t="s">
        <v>72</v>
      </c>
      <c r="AM314" s="181" t="s">
        <v>72</v>
      </c>
      <c r="AN314" s="181" t="s">
        <v>72</v>
      </c>
    </row>
    <row r="315" spans="2:40" ht="15">
      <c r="B315" s="198">
        <v>196</v>
      </c>
      <c r="C315" s="13">
        <v>20200526</v>
      </c>
      <c r="D315" s="13" t="s">
        <v>311</v>
      </c>
      <c r="E315" s="13" t="s">
        <v>1373</v>
      </c>
      <c r="F315" s="39" t="s">
        <v>72</v>
      </c>
      <c r="G315" s="13">
        <v>1473950</v>
      </c>
      <c r="H315" s="164" t="s">
        <v>72</v>
      </c>
      <c r="I315" s="13" t="s">
        <v>1970</v>
      </c>
      <c r="J315" s="164" t="s">
        <v>72</v>
      </c>
      <c r="K315" s="13" t="s">
        <v>73</v>
      </c>
      <c r="L315" s="13" t="s">
        <v>8</v>
      </c>
      <c r="M315" s="13" t="s">
        <v>1791</v>
      </c>
      <c r="N315" s="13" t="s">
        <v>1971</v>
      </c>
      <c r="O315" s="14">
        <v>1.2</v>
      </c>
      <c r="P315" s="14" t="s">
        <v>1701</v>
      </c>
      <c r="Q315" s="165"/>
      <c r="R315" s="164" t="s">
        <v>72</v>
      </c>
      <c r="S315" s="13" t="s">
        <v>109</v>
      </c>
      <c r="T315" s="13"/>
      <c r="U315" s="13"/>
      <c r="V315" s="13">
        <v>28</v>
      </c>
      <c r="W315" s="13">
        <v>28</v>
      </c>
      <c r="X315" s="13">
        <v>28</v>
      </c>
      <c r="Y315" s="13">
        <v>1.72</v>
      </c>
      <c r="Z315" s="13">
        <v>1</v>
      </c>
      <c r="AA315" s="13" t="s">
        <v>110</v>
      </c>
      <c r="AB315" s="58">
        <v>43978</v>
      </c>
      <c r="AC315" s="58">
        <v>43978</v>
      </c>
      <c r="AD315" s="58">
        <v>43979</v>
      </c>
      <c r="AE315" s="58">
        <v>43978</v>
      </c>
      <c r="AF315" s="58">
        <v>43978</v>
      </c>
      <c r="AG315" s="58" t="s">
        <v>75</v>
      </c>
      <c r="AH315" s="59">
        <v>1</v>
      </c>
      <c r="AI315" s="59">
        <v>1</v>
      </c>
      <c r="AJ315" s="59">
        <v>1</v>
      </c>
      <c r="AK315" s="58" t="s">
        <v>8</v>
      </c>
      <c r="AL315" s="181" t="s">
        <v>72</v>
      </c>
      <c r="AM315" s="181" t="s">
        <v>72</v>
      </c>
      <c r="AN315" s="181" t="s">
        <v>72</v>
      </c>
    </row>
    <row r="316" spans="2:40" ht="15">
      <c r="B316" s="199">
        <v>197</v>
      </c>
      <c r="C316" s="13">
        <v>20200526</v>
      </c>
      <c r="D316" s="13" t="s">
        <v>24</v>
      </c>
      <c r="E316" s="13" t="s">
        <v>2373</v>
      </c>
      <c r="F316" s="39" t="s">
        <v>1972</v>
      </c>
      <c r="G316" s="14">
        <v>1484917</v>
      </c>
      <c r="H316" s="164" t="s">
        <v>72</v>
      </c>
      <c r="I316" s="13" t="s">
        <v>132</v>
      </c>
      <c r="J316" s="164" t="s">
        <v>72</v>
      </c>
      <c r="K316" s="13" t="s">
        <v>73</v>
      </c>
      <c r="L316" s="13" t="s">
        <v>8</v>
      </c>
      <c r="M316" s="13" t="s">
        <v>1033</v>
      </c>
      <c r="N316" s="13" t="s">
        <v>1845</v>
      </c>
      <c r="O316" s="14" t="s">
        <v>72</v>
      </c>
      <c r="P316" s="14" t="s">
        <v>1278</v>
      </c>
      <c r="Q316" s="165"/>
      <c r="R316" s="164" t="s">
        <v>72</v>
      </c>
      <c r="S316" s="13" t="s">
        <v>77</v>
      </c>
      <c r="T316" s="13"/>
      <c r="U316" s="13"/>
      <c r="V316" s="13">
        <v>51</v>
      </c>
      <c r="W316" s="13">
        <v>51</v>
      </c>
      <c r="X316" s="13">
        <v>51</v>
      </c>
      <c r="Y316" s="13">
        <v>0.9</v>
      </c>
      <c r="Z316" s="13">
        <v>0.1</v>
      </c>
      <c r="AA316" s="13" t="s">
        <v>110</v>
      </c>
      <c r="AB316" s="58">
        <v>43983</v>
      </c>
      <c r="AC316" s="58">
        <v>43978</v>
      </c>
      <c r="AD316" s="58">
        <v>43984</v>
      </c>
      <c r="AE316" s="58">
        <v>43978</v>
      </c>
      <c r="AF316" s="58">
        <v>43978</v>
      </c>
      <c r="AG316" s="58" t="s">
        <v>75</v>
      </c>
      <c r="AH316" s="59">
        <v>1</v>
      </c>
      <c r="AI316" s="59">
        <v>1</v>
      </c>
      <c r="AJ316" s="59">
        <v>1</v>
      </c>
      <c r="AK316" s="58" t="s">
        <v>8</v>
      </c>
      <c r="AL316" s="181" t="s">
        <v>72</v>
      </c>
      <c r="AM316" s="181" t="s">
        <v>72</v>
      </c>
      <c r="AN316" s="181" t="s">
        <v>72</v>
      </c>
    </row>
    <row r="317" spans="2:40" ht="15">
      <c r="B317" s="199">
        <v>198</v>
      </c>
      <c r="C317" s="13">
        <v>20200526</v>
      </c>
      <c r="D317" s="13" t="s">
        <v>24</v>
      </c>
      <c r="E317" s="13" t="s">
        <v>2373</v>
      </c>
      <c r="F317" s="39" t="s">
        <v>1973</v>
      </c>
      <c r="G317" s="14">
        <v>1484917</v>
      </c>
      <c r="H317" s="164" t="s">
        <v>72</v>
      </c>
      <c r="I317" s="13" t="s">
        <v>732</v>
      </c>
      <c r="J317" s="164" t="s">
        <v>72</v>
      </c>
      <c r="K317" s="13" t="s">
        <v>73</v>
      </c>
      <c r="L317" s="13" t="s">
        <v>8</v>
      </c>
      <c r="M317" s="13" t="s">
        <v>1033</v>
      </c>
      <c r="N317" s="13" t="s">
        <v>1845</v>
      </c>
      <c r="O317" s="14" t="s">
        <v>72</v>
      </c>
      <c r="P317" s="14" t="s">
        <v>1278</v>
      </c>
      <c r="Q317" s="165"/>
      <c r="R317" s="164" t="s">
        <v>72</v>
      </c>
      <c r="S317" s="13" t="s">
        <v>77</v>
      </c>
      <c r="T317" s="13"/>
      <c r="U317" s="13"/>
      <c r="V317" s="13">
        <v>71</v>
      </c>
      <c r="W317" s="13">
        <v>71</v>
      </c>
      <c r="X317" s="13">
        <v>71</v>
      </c>
      <c r="Y317" s="13">
        <v>1.26</v>
      </c>
      <c r="Z317" s="13">
        <v>0.2</v>
      </c>
      <c r="AA317" s="13" t="s">
        <v>110</v>
      </c>
      <c r="AB317" s="58">
        <v>43983</v>
      </c>
      <c r="AC317" s="58">
        <v>43978</v>
      </c>
      <c r="AD317" s="58">
        <v>43984</v>
      </c>
      <c r="AE317" s="58">
        <v>43978</v>
      </c>
      <c r="AF317" s="58">
        <v>43978</v>
      </c>
      <c r="AG317" s="58" t="s">
        <v>75</v>
      </c>
      <c r="AH317" s="59">
        <v>1</v>
      </c>
      <c r="AI317" s="59">
        <v>1</v>
      </c>
      <c r="AJ317" s="59">
        <v>1</v>
      </c>
      <c r="AK317" s="58" t="s">
        <v>8</v>
      </c>
      <c r="AL317" s="181" t="s">
        <v>72</v>
      </c>
      <c r="AM317" s="181" t="s">
        <v>72</v>
      </c>
      <c r="AN317" s="181" t="s">
        <v>72</v>
      </c>
    </row>
    <row r="318" spans="2:40" ht="15">
      <c r="B318" s="199">
        <v>199</v>
      </c>
      <c r="C318" s="13">
        <v>20200526</v>
      </c>
      <c r="D318" s="13" t="s">
        <v>24</v>
      </c>
      <c r="E318" s="13" t="s">
        <v>2373</v>
      </c>
      <c r="F318" s="39" t="s">
        <v>1974</v>
      </c>
      <c r="G318" s="14">
        <v>1484917</v>
      </c>
      <c r="H318" s="164" t="s">
        <v>72</v>
      </c>
      <c r="I318" s="13" t="s">
        <v>1975</v>
      </c>
      <c r="J318" s="164" t="s">
        <v>72</v>
      </c>
      <c r="K318" s="13" t="s">
        <v>73</v>
      </c>
      <c r="L318" s="13" t="s">
        <v>8</v>
      </c>
      <c r="M318" s="13" t="s">
        <v>1033</v>
      </c>
      <c r="N318" s="13" t="s">
        <v>1845</v>
      </c>
      <c r="O318" s="14" t="s">
        <v>72</v>
      </c>
      <c r="P318" s="14" t="s">
        <v>1278</v>
      </c>
      <c r="Q318" s="165"/>
      <c r="R318" s="164" t="s">
        <v>72</v>
      </c>
      <c r="S318" s="13" t="s">
        <v>77</v>
      </c>
      <c r="T318" s="13"/>
      <c r="U318" s="13"/>
      <c r="V318" s="13">
        <v>100</v>
      </c>
      <c r="W318" s="13">
        <v>100</v>
      </c>
      <c r="X318" s="13">
        <v>100</v>
      </c>
      <c r="Y318" s="13">
        <v>1.77</v>
      </c>
      <c r="Z318" s="13">
        <v>0.5</v>
      </c>
      <c r="AA318" s="13" t="s">
        <v>110</v>
      </c>
      <c r="AB318" s="58">
        <v>43983</v>
      </c>
      <c r="AC318" s="58">
        <v>43978</v>
      </c>
      <c r="AD318" s="58">
        <v>43984</v>
      </c>
      <c r="AE318" s="58">
        <v>43978</v>
      </c>
      <c r="AF318" s="58">
        <v>43978</v>
      </c>
      <c r="AG318" s="58" t="s">
        <v>75</v>
      </c>
      <c r="AH318" s="59">
        <v>1</v>
      </c>
      <c r="AI318" s="59">
        <v>1</v>
      </c>
      <c r="AJ318" s="59">
        <v>1</v>
      </c>
      <c r="AK318" s="58" t="s">
        <v>8</v>
      </c>
      <c r="AL318" s="14" t="s">
        <v>72</v>
      </c>
      <c r="AM318" s="14" t="s">
        <v>72</v>
      </c>
      <c r="AN318" s="181" t="s">
        <v>72</v>
      </c>
    </row>
    <row r="319" spans="2:40" ht="15">
      <c r="B319" s="199">
        <v>200</v>
      </c>
      <c r="C319" s="13">
        <v>20200526</v>
      </c>
      <c r="D319" s="13" t="s">
        <v>24</v>
      </c>
      <c r="E319" s="13" t="s">
        <v>2373</v>
      </c>
      <c r="F319" s="39" t="s">
        <v>1976</v>
      </c>
      <c r="G319" s="14">
        <v>1484917</v>
      </c>
      <c r="H319" s="164"/>
      <c r="I319" s="13" t="s">
        <v>734</v>
      </c>
      <c r="J319" s="164"/>
      <c r="K319" s="13" t="s">
        <v>73</v>
      </c>
      <c r="L319" s="13" t="s">
        <v>8</v>
      </c>
      <c r="M319" s="13" t="s">
        <v>1033</v>
      </c>
      <c r="N319" s="13" t="s">
        <v>1845</v>
      </c>
      <c r="O319" s="14" t="s">
        <v>72</v>
      </c>
      <c r="P319" s="14" t="s">
        <v>1278</v>
      </c>
      <c r="Q319" s="165"/>
      <c r="R319" s="164" t="s">
        <v>72</v>
      </c>
      <c r="S319" s="13" t="s">
        <v>77</v>
      </c>
      <c r="T319" s="13"/>
      <c r="U319" s="13"/>
      <c r="V319" s="13">
        <v>87</v>
      </c>
      <c r="W319" s="13">
        <v>87</v>
      </c>
      <c r="X319" s="13">
        <v>87</v>
      </c>
      <c r="Y319" s="13">
        <v>1.54</v>
      </c>
      <c r="Z319" s="13">
        <v>0.5</v>
      </c>
      <c r="AA319" s="13" t="s">
        <v>110</v>
      </c>
      <c r="AB319" s="58">
        <v>43983</v>
      </c>
      <c r="AC319" s="58">
        <v>43978</v>
      </c>
      <c r="AD319" s="58">
        <v>43984</v>
      </c>
      <c r="AE319" s="58">
        <v>43978</v>
      </c>
      <c r="AF319" s="58">
        <v>43978</v>
      </c>
      <c r="AG319" s="58" t="s">
        <v>75</v>
      </c>
      <c r="AH319" s="59">
        <v>1</v>
      </c>
      <c r="AI319" s="59">
        <v>1</v>
      </c>
      <c r="AJ319" s="59">
        <v>1</v>
      </c>
      <c r="AK319" s="58" t="s">
        <v>8</v>
      </c>
      <c r="AL319" s="14" t="s">
        <v>72</v>
      </c>
      <c r="AM319" s="14" t="s">
        <v>72</v>
      </c>
      <c r="AN319" s="181" t="s">
        <v>72</v>
      </c>
    </row>
    <row r="320" spans="2:40" ht="15">
      <c r="B320" s="199">
        <v>201</v>
      </c>
      <c r="C320" s="13">
        <v>20200526</v>
      </c>
      <c r="D320" s="13" t="s">
        <v>24</v>
      </c>
      <c r="E320" s="13" t="s">
        <v>2373</v>
      </c>
      <c r="F320" s="39" t="s">
        <v>1977</v>
      </c>
      <c r="G320" s="14">
        <v>1484917</v>
      </c>
      <c r="H320" s="164"/>
      <c r="I320" s="13" t="s">
        <v>1978</v>
      </c>
      <c r="J320" s="164"/>
      <c r="K320" s="13" t="s">
        <v>73</v>
      </c>
      <c r="L320" s="13" t="s">
        <v>8</v>
      </c>
      <c r="M320" s="13" t="s">
        <v>1033</v>
      </c>
      <c r="N320" s="13" t="s">
        <v>1845</v>
      </c>
      <c r="O320" s="14" t="s">
        <v>72</v>
      </c>
      <c r="P320" s="14" t="s">
        <v>1278</v>
      </c>
      <c r="Q320" s="165"/>
      <c r="R320" s="164" t="s">
        <v>72</v>
      </c>
      <c r="S320" s="13" t="s">
        <v>77</v>
      </c>
      <c r="T320" s="13"/>
      <c r="U320" s="13"/>
      <c r="V320" s="13">
        <v>101</v>
      </c>
      <c r="W320" s="13">
        <v>101</v>
      </c>
      <c r="X320" s="13">
        <v>101</v>
      </c>
      <c r="Y320" s="13">
        <v>1.79</v>
      </c>
      <c r="Z320" s="13">
        <v>0.5</v>
      </c>
      <c r="AA320" s="13" t="s">
        <v>110</v>
      </c>
      <c r="AB320" s="58">
        <v>43983</v>
      </c>
      <c r="AC320" s="58">
        <v>43978</v>
      </c>
      <c r="AD320" s="58">
        <v>43984</v>
      </c>
      <c r="AE320" s="58">
        <v>43978</v>
      </c>
      <c r="AF320" s="58">
        <v>43978</v>
      </c>
      <c r="AG320" s="58" t="s">
        <v>75</v>
      </c>
      <c r="AH320" s="59">
        <v>1</v>
      </c>
      <c r="AI320" s="59">
        <v>1</v>
      </c>
      <c r="AJ320" s="59">
        <v>1</v>
      </c>
      <c r="AK320" s="58" t="s">
        <v>8</v>
      </c>
      <c r="AL320" s="14" t="s">
        <v>72</v>
      </c>
      <c r="AM320" s="14" t="s">
        <v>72</v>
      </c>
      <c r="AN320" s="181" t="s">
        <v>72</v>
      </c>
    </row>
    <row r="321" spans="2:40" ht="15">
      <c r="B321" s="199">
        <v>202</v>
      </c>
      <c r="C321" s="13">
        <v>20200526</v>
      </c>
      <c r="D321" s="13" t="s">
        <v>24</v>
      </c>
      <c r="E321" s="13" t="s">
        <v>2373</v>
      </c>
      <c r="F321" s="39" t="s">
        <v>1979</v>
      </c>
      <c r="G321" s="14">
        <v>1484917</v>
      </c>
      <c r="H321" s="164"/>
      <c r="I321" s="13" t="s">
        <v>1980</v>
      </c>
      <c r="J321" s="164"/>
      <c r="K321" s="13" t="s">
        <v>73</v>
      </c>
      <c r="L321" s="13" t="s">
        <v>8</v>
      </c>
      <c r="M321" s="13" t="s">
        <v>1033</v>
      </c>
      <c r="N321" s="13" t="s">
        <v>1845</v>
      </c>
      <c r="O321" s="14" t="s">
        <v>72</v>
      </c>
      <c r="P321" s="14" t="s">
        <v>1278</v>
      </c>
      <c r="Q321" s="165"/>
      <c r="R321" s="164" t="s">
        <v>72</v>
      </c>
      <c r="S321" s="13" t="s">
        <v>77</v>
      </c>
      <c r="T321" s="13"/>
      <c r="U321" s="13"/>
      <c r="V321" s="13">
        <v>4</v>
      </c>
      <c r="W321" s="13">
        <v>4</v>
      </c>
      <c r="X321" s="13">
        <v>4</v>
      </c>
      <c r="Y321" s="13">
        <v>7.0000000000000007E-2</v>
      </c>
      <c r="Z321" s="13">
        <v>0.01</v>
      </c>
      <c r="AA321" s="13" t="s">
        <v>110</v>
      </c>
      <c r="AB321" s="58">
        <v>43983</v>
      </c>
      <c r="AC321" s="58">
        <v>43978</v>
      </c>
      <c r="AD321" s="58">
        <v>43984</v>
      </c>
      <c r="AE321" s="58">
        <v>43978</v>
      </c>
      <c r="AF321" s="58">
        <v>43978</v>
      </c>
      <c r="AG321" s="58" t="s">
        <v>75</v>
      </c>
      <c r="AH321" s="171" t="s">
        <v>72</v>
      </c>
      <c r="AI321" s="171" t="s">
        <v>72</v>
      </c>
      <c r="AJ321" s="171" t="s">
        <v>72</v>
      </c>
      <c r="AK321" s="58" t="s">
        <v>8</v>
      </c>
      <c r="AL321" s="14" t="s">
        <v>72</v>
      </c>
      <c r="AM321" s="14" t="s">
        <v>72</v>
      </c>
      <c r="AN321" s="191" t="s">
        <v>574</v>
      </c>
    </row>
    <row r="322" spans="2:40" ht="15">
      <c r="B322" s="199">
        <v>203</v>
      </c>
      <c r="C322" s="13">
        <v>20200526</v>
      </c>
      <c r="D322" s="13" t="s">
        <v>24</v>
      </c>
      <c r="E322" s="13" t="s">
        <v>2373</v>
      </c>
      <c r="F322" s="39" t="s">
        <v>1981</v>
      </c>
      <c r="G322" s="14">
        <v>1484917</v>
      </c>
      <c r="H322" s="164"/>
      <c r="I322" s="13" t="s">
        <v>1982</v>
      </c>
      <c r="J322" s="164"/>
      <c r="K322" s="13" t="s">
        <v>73</v>
      </c>
      <c r="L322" s="13" t="s">
        <v>8</v>
      </c>
      <c r="M322" s="13" t="s">
        <v>1033</v>
      </c>
      <c r="N322" s="13" t="s">
        <v>1845</v>
      </c>
      <c r="O322" s="14" t="s">
        <v>72</v>
      </c>
      <c r="P322" s="14" t="s">
        <v>1278</v>
      </c>
      <c r="Q322" s="165"/>
      <c r="R322" s="164" t="s">
        <v>72</v>
      </c>
      <c r="S322" s="13" t="s">
        <v>77</v>
      </c>
      <c r="T322" s="13"/>
      <c r="U322" s="13"/>
      <c r="V322" s="13">
        <v>131</v>
      </c>
      <c r="W322" s="13">
        <v>131</v>
      </c>
      <c r="X322" s="13">
        <v>131</v>
      </c>
      <c r="Y322" s="13">
        <v>2.3199999999999998</v>
      </c>
      <c r="Z322" s="13">
        <v>0.5</v>
      </c>
      <c r="AA322" s="13" t="s">
        <v>110</v>
      </c>
      <c r="AB322" s="58">
        <v>43983</v>
      </c>
      <c r="AC322" s="58">
        <v>43978</v>
      </c>
      <c r="AD322" s="58">
        <v>43984</v>
      </c>
      <c r="AE322" s="58">
        <v>43978</v>
      </c>
      <c r="AF322" s="58">
        <v>43978</v>
      </c>
      <c r="AG322" s="58" t="s">
        <v>75</v>
      </c>
      <c r="AH322" s="59">
        <v>1</v>
      </c>
      <c r="AI322" s="59">
        <v>1</v>
      </c>
      <c r="AJ322" s="59">
        <v>1</v>
      </c>
      <c r="AK322" s="58" t="s">
        <v>8</v>
      </c>
      <c r="AL322" s="14" t="s">
        <v>72</v>
      </c>
      <c r="AM322" s="14" t="s">
        <v>72</v>
      </c>
      <c r="AN322" s="181" t="s">
        <v>72</v>
      </c>
    </row>
    <row r="323" spans="2:40" ht="15">
      <c r="B323" s="199">
        <v>204</v>
      </c>
      <c r="C323" s="13">
        <v>20200526</v>
      </c>
      <c r="D323" s="13" t="s">
        <v>24</v>
      </c>
      <c r="E323" s="13" t="s">
        <v>2373</v>
      </c>
      <c r="F323" s="39" t="s">
        <v>1983</v>
      </c>
      <c r="G323" s="14">
        <v>1484917</v>
      </c>
      <c r="H323" s="164"/>
      <c r="I323" s="13" t="s">
        <v>1984</v>
      </c>
      <c r="J323" s="164"/>
      <c r="K323" s="13" t="s">
        <v>73</v>
      </c>
      <c r="L323" s="13" t="s">
        <v>8</v>
      </c>
      <c r="M323" s="13" t="s">
        <v>1033</v>
      </c>
      <c r="N323" s="13" t="s">
        <v>1845</v>
      </c>
      <c r="O323" s="14" t="s">
        <v>72</v>
      </c>
      <c r="P323" s="14" t="s">
        <v>1278</v>
      </c>
      <c r="Q323" s="165"/>
      <c r="R323" s="164" t="s">
        <v>72</v>
      </c>
      <c r="S323" s="13" t="s">
        <v>77</v>
      </c>
      <c r="T323" s="13"/>
      <c r="U323" s="13"/>
      <c r="V323" s="13">
        <v>178</v>
      </c>
      <c r="W323" s="13">
        <v>178</v>
      </c>
      <c r="X323" s="13">
        <v>178</v>
      </c>
      <c r="Y323" s="13">
        <v>3.16</v>
      </c>
      <c r="Z323" s="13">
        <v>0.5</v>
      </c>
      <c r="AA323" s="13" t="s">
        <v>110</v>
      </c>
      <c r="AB323" s="58">
        <v>43983</v>
      </c>
      <c r="AC323" s="58">
        <v>43978</v>
      </c>
      <c r="AD323" s="58">
        <v>43984</v>
      </c>
      <c r="AE323" s="58">
        <v>43978</v>
      </c>
      <c r="AF323" s="58">
        <v>43978</v>
      </c>
      <c r="AG323" s="58" t="s">
        <v>75</v>
      </c>
      <c r="AH323" s="59">
        <v>1</v>
      </c>
      <c r="AI323" s="59">
        <v>1</v>
      </c>
      <c r="AJ323" s="59">
        <v>1</v>
      </c>
      <c r="AK323" s="58" t="s">
        <v>8</v>
      </c>
      <c r="AL323" s="14" t="s">
        <v>72</v>
      </c>
      <c r="AM323" s="14" t="s">
        <v>72</v>
      </c>
      <c r="AN323" s="181" t="s">
        <v>72</v>
      </c>
    </row>
    <row r="324" spans="2:40" ht="15">
      <c r="B324" s="199">
        <v>205</v>
      </c>
      <c r="C324" s="13">
        <v>20200526</v>
      </c>
      <c r="D324" s="13" t="s">
        <v>24</v>
      </c>
      <c r="E324" s="13" t="s">
        <v>2373</v>
      </c>
      <c r="F324" s="39" t="s">
        <v>1985</v>
      </c>
      <c r="G324" s="14">
        <v>1484917</v>
      </c>
      <c r="H324" s="164"/>
      <c r="I324" s="13" t="s">
        <v>1986</v>
      </c>
      <c r="J324" s="164"/>
      <c r="K324" s="13" t="s">
        <v>73</v>
      </c>
      <c r="L324" s="13" t="s">
        <v>8</v>
      </c>
      <c r="M324" s="13" t="s">
        <v>1033</v>
      </c>
      <c r="N324" s="13" t="s">
        <v>1845</v>
      </c>
      <c r="O324" s="14" t="s">
        <v>72</v>
      </c>
      <c r="P324" s="14" t="s">
        <v>1278</v>
      </c>
      <c r="Q324" s="165"/>
      <c r="R324" s="164" t="s">
        <v>72</v>
      </c>
      <c r="S324" s="13" t="s">
        <v>77</v>
      </c>
      <c r="T324" s="13"/>
      <c r="U324" s="13"/>
      <c r="V324" s="13">
        <v>393</v>
      </c>
      <c r="W324" s="13">
        <v>393</v>
      </c>
      <c r="X324" s="13">
        <v>393</v>
      </c>
      <c r="Y324" s="13">
        <v>6.98</v>
      </c>
      <c r="Z324" s="13">
        <v>0.2</v>
      </c>
      <c r="AA324" s="13" t="s">
        <v>110</v>
      </c>
      <c r="AB324" s="58">
        <v>43983</v>
      </c>
      <c r="AC324" s="58">
        <v>43978</v>
      </c>
      <c r="AD324" s="58">
        <v>43984</v>
      </c>
      <c r="AE324" s="58">
        <v>43978</v>
      </c>
      <c r="AF324" s="58">
        <v>43978</v>
      </c>
      <c r="AG324" s="58" t="s">
        <v>75</v>
      </c>
      <c r="AH324" s="171" t="s">
        <v>72</v>
      </c>
      <c r="AI324" s="171" t="s">
        <v>72</v>
      </c>
      <c r="AJ324" s="171" t="s">
        <v>72</v>
      </c>
      <c r="AK324" s="58" t="s">
        <v>8</v>
      </c>
      <c r="AL324" s="14" t="s">
        <v>72</v>
      </c>
      <c r="AM324" s="14" t="s">
        <v>72</v>
      </c>
      <c r="AN324" s="191" t="s">
        <v>574</v>
      </c>
    </row>
    <row r="325" spans="2:40" ht="15">
      <c r="B325" s="199">
        <v>206</v>
      </c>
      <c r="C325" s="13">
        <v>20200526</v>
      </c>
      <c r="D325" s="13" t="s">
        <v>24</v>
      </c>
      <c r="E325" s="13" t="s">
        <v>2373</v>
      </c>
      <c r="F325" s="39" t="s">
        <v>1987</v>
      </c>
      <c r="G325" s="14">
        <v>1484917</v>
      </c>
      <c r="H325" s="164"/>
      <c r="I325" s="13" t="s">
        <v>1988</v>
      </c>
      <c r="J325" s="164"/>
      <c r="K325" s="13" t="s">
        <v>73</v>
      </c>
      <c r="L325" s="13" t="s">
        <v>8</v>
      </c>
      <c r="M325" s="13" t="s">
        <v>1033</v>
      </c>
      <c r="N325" s="13" t="s">
        <v>1845</v>
      </c>
      <c r="O325" s="14" t="s">
        <v>72</v>
      </c>
      <c r="P325" s="14" t="s">
        <v>1278</v>
      </c>
      <c r="Q325" s="165"/>
      <c r="R325" s="164" t="s">
        <v>72</v>
      </c>
      <c r="S325" s="13" t="s">
        <v>77</v>
      </c>
      <c r="T325" s="13"/>
      <c r="U325" s="13"/>
      <c r="V325" s="13">
        <v>52</v>
      </c>
      <c r="W325" s="13">
        <v>52</v>
      </c>
      <c r="X325" s="13">
        <v>52</v>
      </c>
      <c r="Y325" s="13">
        <v>0.92</v>
      </c>
      <c r="Z325" s="13">
        <v>0.2</v>
      </c>
      <c r="AA325" s="13" t="s">
        <v>110</v>
      </c>
      <c r="AB325" s="58">
        <v>43983</v>
      </c>
      <c r="AC325" s="58">
        <v>43978</v>
      </c>
      <c r="AD325" s="58">
        <v>43984</v>
      </c>
      <c r="AE325" s="58">
        <v>43978</v>
      </c>
      <c r="AF325" s="58">
        <v>43978</v>
      </c>
      <c r="AG325" s="58" t="s">
        <v>75</v>
      </c>
      <c r="AH325" s="59">
        <v>1</v>
      </c>
      <c r="AI325" s="59">
        <v>1</v>
      </c>
      <c r="AJ325" s="59">
        <v>1</v>
      </c>
      <c r="AK325" s="58" t="s">
        <v>8</v>
      </c>
      <c r="AL325" s="14" t="s">
        <v>72</v>
      </c>
      <c r="AM325" s="14" t="s">
        <v>72</v>
      </c>
      <c r="AN325" s="181" t="s">
        <v>72</v>
      </c>
    </row>
    <row r="326" spans="2:40" ht="15">
      <c r="B326" s="199">
        <v>207</v>
      </c>
      <c r="C326" s="13">
        <v>20200526</v>
      </c>
      <c r="D326" s="13" t="s">
        <v>24</v>
      </c>
      <c r="E326" s="13" t="s">
        <v>2373</v>
      </c>
      <c r="F326" s="39" t="s">
        <v>1989</v>
      </c>
      <c r="G326" s="14">
        <v>1484917</v>
      </c>
      <c r="H326" s="164"/>
      <c r="I326" s="13" t="s">
        <v>1990</v>
      </c>
      <c r="J326" s="164"/>
      <c r="K326" s="13" t="s">
        <v>73</v>
      </c>
      <c r="L326" s="13" t="s">
        <v>8</v>
      </c>
      <c r="M326" s="13" t="s">
        <v>1033</v>
      </c>
      <c r="N326" s="13" t="s">
        <v>1845</v>
      </c>
      <c r="O326" s="14" t="s">
        <v>72</v>
      </c>
      <c r="P326" s="14" t="s">
        <v>1278</v>
      </c>
      <c r="Q326" s="165"/>
      <c r="R326" s="164" t="s">
        <v>72</v>
      </c>
      <c r="S326" s="13" t="s">
        <v>77</v>
      </c>
      <c r="T326" s="13"/>
      <c r="U326" s="13"/>
      <c r="V326" s="13">
        <v>975</v>
      </c>
      <c r="W326" s="13">
        <v>975</v>
      </c>
      <c r="X326" s="13">
        <v>975</v>
      </c>
      <c r="Y326" s="13">
        <v>17.329999999999998</v>
      </c>
      <c r="Z326" s="13">
        <v>0.1</v>
      </c>
      <c r="AA326" s="13" t="s">
        <v>110</v>
      </c>
      <c r="AB326" s="58">
        <v>43983</v>
      </c>
      <c r="AC326" s="58">
        <v>43978</v>
      </c>
      <c r="AD326" s="58">
        <v>43984</v>
      </c>
      <c r="AE326" s="58">
        <v>43978</v>
      </c>
      <c r="AF326" s="58">
        <v>43978</v>
      </c>
      <c r="AG326" s="200" t="s">
        <v>75</v>
      </c>
      <c r="AH326" s="171" t="s">
        <v>72</v>
      </c>
      <c r="AI326" s="171" t="s">
        <v>72</v>
      </c>
      <c r="AJ326" s="171" t="s">
        <v>72</v>
      </c>
      <c r="AK326" s="58" t="s">
        <v>8</v>
      </c>
      <c r="AL326" s="14" t="s">
        <v>72</v>
      </c>
      <c r="AM326" s="14" t="s">
        <v>72</v>
      </c>
      <c r="AN326" s="191" t="s">
        <v>574</v>
      </c>
    </row>
    <row r="327" spans="2:40" ht="15">
      <c r="B327" s="199">
        <v>208</v>
      </c>
      <c r="C327" s="13">
        <v>20200526</v>
      </c>
      <c r="D327" s="13" t="s">
        <v>24</v>
      </c>
      <c r="E327" s="13" t="s">
        <v>2373</v>
      </c>
      <c r="F327" s="39" t="s">
        <v>1991</v>
      </c>
      <c r="G327" s="14">
        <v>1484917</v>
      </c>
      <c r="H327" s="164"/>
      <c r="I327" s="13" t="s">
        <v>307</v>
      </c>
      <c r="J327" s="164"/>
      <c r="K327" s="13" t="s">
        <v>73</v>
      </c>
      <c r="L327" s="13" t="s">
        <v>8</v>
      </c>
      <c r="M327" s="13" t="s">
        <v>1033</v>
      </c>
      <c r="N327" s="13" t="s">
        <v>1845</v>
      </c>
      <c r="O327" s="14" t="s">
        <v>72</v>
      </c>
      <c r="P327" s="14" t="s">
        <v>1278</v>
      </c>
      <c r="Q327" s="165"/>
      <c r="R327" s="164" t="s">
        <v>72</v>
      </c>
      <c r="S327" s="13" t="s">
        <v>78</v>
      </c>
      <c r="T327" s="13"/>
      <c r="U327" s="13"/>
      <c r="V327" s="13">
        <v>165</v>
      </c>
      <c r="W327" s="13">
        <v>165</v>
      </c>
      <c r="X327" s="13">
        <v>165</v>
      </c>
      <c r="Y327" s="13">
        <v>2.93</v>
      </c>
      <c r="Z327" s="13">
        <v>1</v>
      </c>
      <c r="AA327" s="13" t="s">
        <v>110</v>
      </c>
      <c r="AB327" s="58">
        <v>43983</v>
      </c>
      <c r="AC327" s="58">
        <v>43978</v>
      </c>
      <c r="AD327" s="58">
        <v>43984</v>
      </c>
      <c r="AE327" s="58">
        <v>43978</v>
      </c>
      <c r="AF327" s="58">
        <v>43978</v>
      </c>
      <c r="AG327" s="58" t="s">
        <v>75</v>
      </c>
      <c r="AH327" s="59">
        <v>1</v>
      </c>
      <c r="AI327" s="59">
        <v>1</v>
      </c>
      <c r="AJ327" s="59">
        <v>1</v>
      </c>
      <c r="AK327" s="58" t="s">
        <v>8</v>
      </c>
      <c r="AL327" s="13"/>
      <c r="AM327" s="13"/>
      <c r="AN327" s="13"/>
    </row>
    <row r="328" spans="2:40" ht="15">
      <c r="B328" s="199">
        <v>209</v>
      </c>
      <c r="C328" s="13">
        <v>20200526</v>
      </c>
      <c r="D328" s="13" t="s">
        <v>24</v>
      </c>
      <c r="E328" s="13" t="s">
        <v>2373</v>
      </c>
      <c r="F328" s="39" t="s">
        <v>1992</v>
      </c>
      <c r="G328" s="14">
        <v>1484917</v>
      </c>
      <c r="H328" s="164"/>
      <c r="I328" s="13" t="s">
        <v>1993</v>
      </c>
      <c r="J328" s="164"/>
      <c r="K328" s="13" t="s">
        <v>73</v>
      </c>
      <c r="L328" s="13" t="s">
        <v>8</v>
      </c>
      <c r="M328" s="13" t="s">
        <v>1033</v>
      </c>
      <c r="N328" s="13" t="s">
        <v>1845</v>
      </c>
      <c r="O328" s="14" t="s">
        <v>72</v>
      </c>
      <c r="P328" s="14" t="s">
        <v>1278</v>
      </c>
      <c r="Q328" s="165"/>
      <c r="R328" s="164" t="s">
        <v>72</v>
      </c>
      <c r="S328" s="13" t="s">
        <v>78</v>
      </c>
      <c r="T328" s="13"/>
      <c r="U328" s="13"/>
      <c r="V328" s="13">
        <v>12</v>
      </c>
      <c r="W328" s="13">
        <v>12</v>
      </c>
      <c r="X328" s="13">
        <v>12</v>
      </c>
      <c r="Y328" s="13">
        <v>0.21</v>
      </c>
      <c r="Z328" s="13">
        <v>0</v>
      </c>
      <c r="AA328" s="13" t="s">
        <v>110</v>
      </c>
      <c r="AB328" s="58">
        <v>43983</v>
      </c>
      <c r="AC328" s="58">
        <v>43978</v>
      </c>
      <c r="AD328" s="58">
        <v>43984</v>
      </c>
      <c r="AE328" s="58">
        <v>43978</v>
      </c>
      <c r="AF328" s="58">
        <v>43978</v>
      </c>
      <c r="AG328" s="58" t="s">
        <v>75</v>
      </c>
      <c r="AH328" s="59">
        <v>1</v>
      </c>
      <c r="AI328" s="59">
        <v>1</v>
      </c>
      <c r="AJ328" s="59">
        <v>1</v>
      </c>
      <c r="AK328" s="58" t="s">
        <v>8</v>
      </c>
      <c r="AL328" s="13"/>
      <c r="AM328" s="13"/>
      <c r="AN328" s="13"/>
    </row>
    <row r="329" spans="2:40" ht="15">
      <c r="B329" s="199">
        <v>210</v>
      </c>
      <c r="C329" s="13">
        <v>20200526</v>
      </c>
      <c r="D329" s="13" t="s">
        <v>24</v>
      </c>
      <c r="E329" s="13" t="s">
        <v>2373</v>
      </c>
      <c r="F329" s="39" t="s">
        <v>1994</v>
      </c>
      <c r="G329" s="14">
        <v>1484917</v>
      </c>
      <c r="H329" s="164"/>
      <c r="I329" s="13" t="s">
        <v>1995</v>
      </c>
      <c r="J329" s="164"/>
      <c r="K329" s="13" t="s">
        <v>73</v>
      </c>
      <c r="L329" s="13" t="s">
        <v>8</v>
      </c>
      <c r="M329" s="13" t="s">
        <v>1033</v>
      </c>
      <c r="N329" s="13" t="s">
        <v>1845</v>
      </c>
      <c r="O329" s="14" t="s">
        <v>72</v>
      </c>
      <c r="P329" s="14" t="s">
        <v>1278</v>
      </c>
      <c r="Q329" s="165"/>
      <c r="R329" s="164" t="s">
        <v>72</v>
      </c>
      <c r="S329" s="13" t="s">
        <v>78</v>
      </c>
      <c r="T329" s="13"/>
      <c r="U329" s="13"/>
      <c r="V329" s="13">
        <v>144</v>
      </c>
      <c r="W329" s="13">
        <v>144</v>
      </c>
      <c r="X329" s="13">
        <v>144</v>
      </c>
      <c r="Y329" s="13">
        <v>2.56</v>
      </c>
      <c r="Z329" s="13">
        <v>1</v>
      </c>
      <c r="AA329" s="13" t="s">
        <v>110</v>
      </c>
      <c r="AB329" s="58">
        <v>43983</v>
      </c>
      <c r="AC329" s="58">
        <v>43978</v>
      </c>
      <c r="AD329" s="58">
        <v>43984</v>
      </c>
      <c r="AE329" s="58">
        <v>43978</v>
      </c>
      <c r="AF329" s="58">
        <v>43978</v>
      </c>
      <c r="AG329" s="58" t="s">
        <v>75</v>
      </c>
      <c r="AH329" s="59">
        <v>1</v>
      </c>
      <c r="AI329" s="59">
        <v>1</v>
      </c>
      <c r="AJ329" s="59">
        <v>1</v>
      </c>
      <c r="AK329" s="58" t="s">
        <v>8</v>
      </c>
      <c r="AL329" s="13"/>
      <c r="AM329" s="13"/>
      <c r="AN329" s="13"/>
    </row>
    <row r="330" spans="2:40" ht="15">
      <c r="B330" s="199">
        <v>211</v>
      </c>
      <c r="C330" s="13">
        <v>20200526</v>
      </c>
      <c r="D330" s="13" t="s">
        <v>24</v>
      </c>
      <c r="E330" s="13" t="s">
        <v>2373</v>
      </c>
      <c r="F330" s="39" t="s">
        <v>1996</v>
      </c>
      <c r="G330" s="14">
        <v>1484917</v>
      </c>
      <c r="H330" s="164"/>
      <c r="I330" s="13" t="s">
        <v>123</v>
      </c>
      <c r="J330" s="164"/>
      <c r="K330" s="13" t="s">
        <v>73</v>
      </c>
      <c r="L330" s="13" t="s">
        <v>8</v>
      </c>
      <c r="M330" s="13" t="s">
        <v>1033</v>
      </c>
      <c r="N330" s="13" t="s">
        <v>1845</v>
      </c>
      <c r="O330" s="14" t="s">
        <v>72</v>
      </c>
      <c r="P330" s="14" t="s">
        <v>1278</v>
      </c>
      <c r="Q330" s="165"/>
      <c r="R330" s="164" t="s">
        <v>72</v>
      </c>
      <c r="S330" s="13" t="s">
        <v>78</v>
      </c>
      <c r="T330" s="13"/>
      <c r="U330" s="13"/>
      <c r="V330" s="13">
        <v>65</v>
      </c>
      <c r="W330" s="13">
        <v>65</v>
      </c>
      <c r="X330" s="13">
        <v>65</v>
      </c>
      <c r="Y330" s="13">
        <v>1.1499999999999999</v>
      </c>
      <c r="Z330" s="13">
        <v>1</v>
      </c>
      <c r="AA330" s="13" t="s">
        <v>110</v>
      </c>
      <c r="AB330" s="58">
        <v>43983</v>
      </c>
      <c r="AC330" s="58">
        <v>43978</v>
      </c>
      <c r="AD330" s="58">
        <v>43984</v>
      </c>
      <c r="AE330" s="58">
        <v>43978</v>
      </c>
      <c r="AF330" s="58">
        <v>43978</v>
      </c>
      <c r="AG330" s="58" t="s">
        <v>75</v>
      </c>
      <c r="AH330" s="59">
        <v>1</v>
      </c>
      <c r="AI330" s="59">
        <v>1</v>
      </c>
      <c r="AJ330" s="59">
        <v>1</v>
      </c>
      <c r="AK330" s="58" t="s">
        <v>8</v>
      </c>
      <c r="AL330" s="13"/>
      <c r="AM330" s="13"/>
      <c r="AN330" s="13"/>
    </row>
    <row r="331" spans="2:40" ht="15">
      <c r="B331" s="199">
        <v>212</v>
      </c>
      <c r="C331" s="13">
        <v>20200526</v>
      </c>
      <c r="D331" s="13" t="s">
        <v>24</v>
      </c>
      <c r="E331" s="13" t="s">
        <v>2373</v>
      </c>
      <c r="F331" s="39" t="s">
        <v>1997</v>
      </c>
      <c r="G331" s="14">
        <v>1484917</v>
      </c>
      <c r="H331" s="164"/>
      <c r="I331" s="13" t="s">
        <v>120</v>
      </c>
      <c r="J331" s="164"/>
      <c r="K331" s="13" t="s">
        <v>73</v>
      </c>
      <c r="L331" s="13" t="s">
        <v>8</v>
      </c>
      <c r="M331" s="13" t="s">
        <v>1033</v>
      </c>
      <c r="N331" s="13" t="s">
        <v>1845</v>
      </c>
      <c r="O331" s="14" t="s">
        <v>72</v>
      </c>
      <c r="P331" s="14" t="s">
        <v>1278</v>
      </c>
      <c r="Q331" s="165"/>
      <c r="R331" s="164" t="s">
        <v>72</v>
      </c>
      <c r="S331" s="13" t="s">
        <v>78</v>
      </c>
      <c r="T331" s="13"/>
      <c r="U331" s="13"/>
      <c r="V331" s="13">
        <v>175</v>
      </c>
      <c r="W331" s="13">
        <v>175</v>
      </c>
      <c r="X331" s="13">
        <v>175</v>
      </c>
      <c r="Y331" s="13">
        <v>3.11</v>
      </c>
      <c r="Z331" s="13">
        <v>1</v>
      </c>
      <c r="AA331" s="13" t="s">
        <v>110</v>
      </c>
      <c r="AB331" s="58">
        <v>43983</v>
      </c>
      <c r="AC331" s="58">
        <v>43978</v>
      </c>
      <c r="AD331" s="58">
        <v>43984</v>
      </c>
      <c r="AE331" s="58">
        <v>43978</v>
      </c>
      <c r="AF331" s="58">
        <v>43978</v>
      </c>
      <c r="AG331" s="58" t="s">
        <v>75</v>
      </c>
      <c r="AH331" s="59">
        <v>1</v>
      </c>
      <c r="AI331" s="59">
        <v>1</v>
      </c>
      <c r="AJ331" s="59">
        <v>1</v>
      </c>
      <c r="AK331" s="58" t="s">
        <v>8</v>
      </c>
      <c r="AL331" s="13"/>
      <c r="AM331" s="13"/>
      <c r="AN331" s="13"/>
    </row>
    <row r="332" spans="2:40" ht="15">
      <c r="B332" s="199">
        <v>213</v>
      </c>
      <c r="C332" s="13">
        <v>20200526</v>
      </c>
      <c r="D332" s="13" t="s">
        <v>24</v>
      </c>
      <c r="E332" s="13" t="s">
        <v>2373</v>
      </c>
      <c r="F332" s="39" t="s">
        <v>1998</v>
      </c>
      <c r="G332" s="14">
        <v>1484917</v>
      </c>
      <c r="H332" s="164"/>
      <c r="I332" s="13" t="s">
        <v>1525</v>
      </c>
      <c r="J332" s="164"/>
      <c r="K332" s="13" t="s">
        <v>73</v>
      </c>
      <c r="L332" s="13" t="s">
        <v>8</v>
      </c>
      <c r="M332" s="13" t="s">
        <v>1033</v>
      </c>
      <c r="N332" s="13" t="s">
        <v>1845</v>
      </c>
      <c r="O332" s="14" t="s">
        <v>72</v>
      </c>
      <c r="P332" s="14" t="s">
        <v>1278</v>
      </c>
      <c r="Q332" s="165"/>
      <c r="R332" s="164" t="s">
        <v>72</v>
      </c>
      <c r="S332" s="13" t="s">
        <v>78</v>
      </c>
      <c r="T332" s="13"/>
      <c r="U332" s="13"/>
      <c r="V332" s="13">
        <v>6</v>
      </c>
      <c r="W332" s="13">
        <v>6</v>
      </c>
      <c r="X332" s="13">
        <v>6</v>
      </c>
      <c r="Y332" s="13">
        <v>0.1</v>
      </c>
      <c r="Z332" s="13">
        <v>0</v>
      </c>
      <c r="AA332" s="13" t="s">
        <v>110</v>
      </c>
      <c r="AB332" s="58">
        <v>43983</v>
      </c>
      <c r="AC332" s="58">
        <v>43978</v>
      </c>
      <c r="AD332" s="58">
        <v>43984</v>
      </c>
      <c r="AE332" s="58">
        <v>43978</v>
      </c>
      <c r="AF332" s="58">
        <v>43978</v>
      </c>
      <c r="AG332" s="58" t="s">
        <v>75</v>
      </c>
      <c r="AH332" s="59" t="s">
        <v>72</v>
      </c>
      <c r="AI332" s="59" t="s">
        <v>72</v>
      </c>
      <c r="AJ332" s="59" t="s">
        <v>72</v>
      </c>
      <c r="AK332" s="59" t="s">
        <v>72</v>
      </c>
      <c r="AL332" s="13"/>
      <c r="AM332" s="13"/>
      <c r="AN332" s="88" t="s">
        <v>574</v>
      </c>
    </row>
    <row r="333" spans="2:40" ht="15">
      <c r="B333" s="199">
        <v>214</v>
      </c>
      <c r="C333" s="13">
        <v>20200526</v>
      </c>
      <c r="D333" s="13" t="s">
        <v>24</v>
      </c>
      <c r="E333" s="13" t="s">
        <v>2373</v>
      </c>
      <c r="F333" s="39" t="s">
        <v>1999</v>
      </c>
      <c r="G333" s="14">
        <v>1484917</v>
      </c>
      <c r="H333" s="164"/>
      <c r="I333" s="13" t="s">
        <v>1967</v>
      </c>
      <c r="J333" s="164"/>
      <c r="K333" s="13" t="s">
        <v>73</v>
      </c>
      <c r="L333" s="13" t="s">
        <v>8</v>
      </c>
      <c r="M333" s="13" t="s">
        <v>1033</v>
      </c>
      <c r="N333" s="13" t="s">
        <v>1845</v>
      </c>
      <c r="O333" s="14" t="s">
        <v>72</v>
      </c>
      <c r="P333" s="14" t="s">
        <v>1278</v>
      </c>
      <c r="Q333" s="165"/>
      <c r="R333" s="164" t="s">
        <v>72</v>
      </c>
      <c r="S333" s="13" t="s">
        <v>78</v>
      </c>
      <c r="T333" s="13"/>
      <c r="U333" s="13"/>
      <c r="V333" s="13">
        <v>37</v>
      </c>
      <c r="W333" s="13">
        <v>37</v>
      </c>
      <c r="X333" s="13">
        <v>37</v>
      </c>
      <c r="Y333" s="13">
        <v>0.65</v>
      </c>
      <c r="Z333" s="13">
        <v>0.2</v>
      </c>
      <c r="AA333" s="13" t="s">
        <v>110</v>
      </c>
      <c r="AB333" s="58">
        <v>43983</v>
      </c>
      <c r="AC333" s="58">
        <v>43978</v>
      </c>
      <c r="AD333" s="58">
        <v>43984</v>
      </c>
      <c r="AE333" s="58">
        <v>43978</v>
      </c>
      <c r="AF333" s="58">
        <v>43978</v>
      </c>
      <c r="AG333" s="58" t="s">
        <v>75</v>
      </c>
      <c r="AH333" s="59">
        <v>1</v>
      </c>
      <c r="AI333" s="59">
        <v>1</v>
      </c>
      <c r="AJ333" s="59">
        <v>1</v>
      </c>
      <c r="AK333" s="58" t="s">
        <v>8</v>
      </c>
      <c r="AL333" s="13"/>
      <c r="AM333" s="13"/>
      <c r="AN333" s="13"/>
    </row>
    <row r="334" spans="2:40" ht="15">
      <c r="B334" s="199">
        <v>215</v>
      </c>
      <c r="C334" s="13">
        <v>20200526</v>
      </c>
      <c r="D334" s="13" t="s">
        <v>24</v>
      </c>
      <c r="E334" s="13" t="s">
        <v>2373</v>
      </c>
      <c r="F334" s="39" t="s">
        <v>2000</v>
      </c>
      <c r="G334" s="14">
        <v>1484917</v>
      </c>
      <c r="H334" s="164"/>
      <c r="I334" s="13" t="s">
        <v>2001</v>
      </c>
      <c r="J334" s="164"/>
      <c r="K334" s="13" t="s">
        <v>73</v>
      </c>
      <c r="L334" s="13" t="s">
        <v>8</v>
      </c>
      <c r="M334" s="13" t="s">
        <v>1033</v>
      </c>
      <c r="N334" s="13" t="s">
        <v>1845</v>
      </c>
      <c r="O334" s="14" t="s">
        <v>72</v>
      </c>
      <c r="P334" s="14" t="s">
        <v>1278</v>
      </c>
      <c r="Q334" s="165"/>
      <c r="R334" s="164" t="s">
        <v>72</v>
      </c>
      <c r="S334" s="13" t="s">
        <v>78</v>
      </c>
      <c r="T334" s="13"/>
      <c r="U334" s="13"/>
      <c r="V334" s="13">
        <v>160</v>
      </c>
      <c r="W334" s="13">
        <v>160</v>
      </c>
      <c r="X334" s="13">
        <v>160</v>
      </c>
      <c r="Y334" s="13">
        <v>2.84</v>
      </c>
      <c r="Z334" s="13">
        <v>1</v>
      </c>
      <c r="AA334" s="13" t="s">
        <v>110</v>
      </c>
      <c r="AB334" s="58">
        <v>43983</v>
      </c>
      <c r="AC334" s="58">
        <v>43978</v>
      </c>
      <c r="AD334" s="58">
        <v>43984</v>
      </c>
      <c r="AE334" s="58">
        <v>43978</v>
      </c>
      <c r="AF334" s="58">
        <v>43978</v>
      </c>
      <c r="AG334" s="58" t="s">
        <v>75</v>
      </c>
      <c r="AH334" s="59">
        <v>1</v>
      </c>
      <c r="AI334" s="59">
        <v>1</v>
      </c>
      <c r="AJ334" s="59">
        <v>1</v>
      </c>
      <c r="AK334" s="58" t="s">
        <v>8</v>
      </c>
      <c r="AL334" s="13"/>
      <c r="AM334" s="13"/>
      <c r="AN334" s="13"/>
    </row>
    <row r="335" spans="2:40" ht="15">
      <c r="B335" s="199">
        <v>216</v>
      </c>
      <c r="C335" s="13">
        <v>20200526</v>
      </c>
      <c r="D335" s="13" t="s">
        <v>24</v>
      </c>
      <c r="E335" s="13" t="s">
        <v>2373</v>
      </c>
      <c r="F335" s="39" t="s">
        <v>2002</v>
      </c>
      <c r="G335" s="14">
        <v>1484917</v>
      </c>
      <c r="H335" s="164"/>
      <c r="I335" s="13" t="s">
        <v>2003</v>
      </c>
      <c r="J335" s="164"/>
      <c r="K335" s="13" t="s">
        <v>73</v>
      </c>
      <c r="L335" s="13" t="s">
        <v>8</v>
      </c>
      <c r="M335" s="13" t="s">
        <v>1033</v>
      </c>
      <c r="N335" s="13" t="s">
        <v>1845</v>
      </c>
      <c r="O335" s="14" t="s">
        <v>72</v>
      </c>
      <c r="P335" s="14" t="s">
        <v>1278</v>
      </c>
      <c r="Q335" s="165"/>
      <c r="R335" s="164" t="s">
        <v>72</v>
      </c>
      <c r="S335" s="13" t="s">
        <v>78</v>
      </c>
      <c r="T335" s="13"/>
      <c r="U335" s="13"/>
      <c r="V335" s="13">
        <v>654</v>
      </c>
      <c r="W335" s="13">
        <v>654</v>
      </c>
      <c r="X335" s="13">
        <v>654</v>
      </c>
      <c r="Y335" s="13">
        <v>11.62</v>
      </c>
      <c r="Z335" s="13">
        <v>1</v>
      </c>
      <c r="AA335" s="13" t="s">
        <v>110</v>
      </c>
      <c r="AB335" s="58">
        <v>43983</v>
      </c>
      <c r="AC335" s="58">
        <v>43978</v>
      </c>
      <c r="AD335" s="58">
        <v>43984</v>
      </c>
      <c r="AE335" s="58">
        <v>43978</v>
      </c>
      <c r="AF335" s="58">
        <v>43978</v>
      </c>
      <c r="AG335" s="58" t="s">
        <v>75</v>
      </c>
      <c r="AH335" s="59">
        <v>1</v>
      </c>
      <c r="AI335" s="59">
        <v>1</v>
      </c>
      <c r="AJ335" s="59">
        <v>1</v>
      </c>
      <c r="AK335" s="58" t="s">
        <v>8</v>
      </c>
      <c r="AL335" s="13"/>
      <c r="AM335" s="13"/>
      <c r="AN335" s="13"/>
    </row>
    <row r="336" spans="2:40" ht="15">
      <c r="B336" s="199">
        <v>217</v>
      </c>
      <c r="C336" s="13">
        <v>20200526</v>
      </c>
      <c r="D336" s="13" t="s">
        <v>24</v>
      </c>
      <c r="E336" s="13" t="s">
        <v>2373</v>
      </c>
      <c r="F336" s="39" t="s">
        <v>2004</v>
      </c>
      <c r="G336" s="14">
        <v>1484917</v>
      </c>
      <c r="H336" s="164"/>
      <c r="I336" s="13" t="s">
        <v>2005</v>
      </c>
      <c r="J336" s="164"/>
      <c r="K336" s="13" t="s">
        <v>73</v>
      </c>
      <c r="L336" s="13" t="s">
        <v>8</v>
      </c>
      <c r="M336" s="13" t="s">
        <v>1033</v>
      </c>
      <c r="N336" s="13" t="s">
        <v>1845</v>
      </c>
      <c r="O336" s="14" t="s">
        <v>72</v>
      </c>
      <c r="P336" s="14" t="s">
        <v>1278</v>
      </c>
      <c r="Q336" s="165"/>
      <c r="R336" s="164" t="s">
        <v>72</v>
      </c>
      <c r="S336" s="13" t="s">
        <v>78</v>
      </c>
      <c r="T336" s="13"/>
      <c r="U336" s="13"/>
      <c r="V336" s="13">
        <v>44</v>
      </c>
      <c r="W336" s="13">
        <v>44</v>
      </c>
      <c r="X336" s="13">
        <v>44</v>
      </c>
      <c r="Y336" s="13">
        <v>0.78</v>
      </c>
      <c r="Z336" s="13">
        <v>0</v>
      </c>
      <c r="AA336" s="13" t="s">
        <v>110</v>
      </c>
      <c r="AB336" s="58">
        <v>43983</v>
      </c>
      <c r="AC336" s="58">
        <v>43978</v>
      </c>
      <c r="AD336" s="58">
        <v>43984</v>
      </c>
      <c r="AE336" s="58">
        <v>43978</v>
      </c>
      <c r="AF336" s="58">
        <v>43978</v>
      </c>
      <c r="AG336" s="58" t="s">
        <v>75</v>
      </c>
      <c r="AH336" s="59" t="s">
        <v>72</v>
      </c>
      <c r="AI336" s="59" t="s">
        <v>72</v>
      </c>
      <c r="AJ336" s="59" t="s">
        <v>72</v>
      </c>
      <c r="AK336" s="59" t="s">
        <v>72</v>
      </c>
      <c r="AL336" s="13"/>
      <c r="AM336" s="13"/>
      <c r="AN336" s="88" t="s">
        <v>574</v>
      </c>
    </row>
    <row r="337" spans="2:40" ht="15">
      <c r="B337" s="199">
        <v>218</v>
      </c>
      <c r="C337" s="13">
        <v>20200526</v>
      </c>
      <c r="D337" s="13" t="s">
        <v>24</v>
      </c>
      <c r="E337" s="13" t="s">
        <v>2373</v>
      </c>
      <c r="F337" s="39" t="s">
        <v>2006</v>
      </c>
      <c r="G337" s="14">
        <v>1484917</v>
      </c>
      <c r="H337" s="164"/>
      <c r="I337" s="13" t="s">
        <v>2007</v>
      </c>
      <c r="J337" s="164"/>
      <c r="K337" s="13" t="s">
        <v>73</v>
      </c>
      <c r="L337" s="13" t="s">
        <v>8</v>
      </c>
      <c r="M337" s="13" t="s">
        <v>1033</v>
      </c>
      <c r="N337" s="13" t="s">
        <v>1845</v>
      </c>
      <c r="O337" s="14" t="s">
        <v>72</v>
      </c>
      <c r="P337" s="14" t="s">
        <v>1278</v>
      </c>
      <c r="Q337" s="165"/>
      <c r="R337" s="164" t="s">
        <v>72</v>
      </c>
      <c r="S337" s="13" t="s">
        <v>78</v>
      </c>
      <c r="T337" s="13"/>
      <c r="U337" s="13"/>
      <c r="V337" s="13">
        <v>84</v>
      </c>
      <c r="W337" s="13">
        <v>84</v>
      </c>
      <c r="X337" s="13">
        <v>84</v>
      </c>
      <c r="Y337" s="13">
        <v>1.49</v>
      </c>
      <c r="Z337" s="13">
        <v>1</v>
      </c>
      <c r="AA337" s="13" t="s">
        <v>110</v>
      </c>
      <c r="AB337" s="58">
        <v>43983</v>
      </c>
      <c r="AC337" s="58">
        <v>43978</v>
      </c>
      <c r="AD337" s="58">
        <v>43984</v>
      </c>
      <c r="AE337" s="58">
        <v>43978</v>
      </c>
      <c r="AF337" s="58">
        <v>43978</v>
      </c>
      <c r="AG337" s="58" t="s">
        <v>75</v>
      </c>
      <c r="AH337" s="59">
        <v>1</v>
      </c>
      <c r="AI337" s="59">
        <v>1</v>
      </c>
      <c r="AJ337" s="59">
        <v>1</v>
      </c>
      <c r="AK337" s="58" t="s">
        <v>8</v>
      </c>
      <c r="AL337" s="13"/>
      <c r="AM337" s="13"/>
      <c r="AN337" s="13"/>
    </row>
    <row r="338" spans="2:40" ht="15">
      <c r="B338" s="199">
        <v>219</v>
      </c>
      <c r="C338" s="13">
        <v>20200526</v>
      </c>
      <c r="D338" s="13" t="s">
        <v>24</v>
      </c>
      <c r="E338" s="13" t="s">
        <v>2373</v>
      </c>
      <c r="F338" s="39" t="s">
        <v>2008</v>
      </c>
      <c r="G338" s="14">
        <v>1484917</v>
      </c>
      <c r="H338" s="164"/>
      <c r="I338" s="13" t="s">
        <v>2009</v>
      </c>
      <c r="J338" s="164"/>
      <c r="K338" s="13" t="s">
        <v>73</v>
      </c>
      <c r="L338" s="13" t="s">
        <v>8</v>
      </c>
      <c r="M338" s="13" t="s">
        <v>1033</v>
      </c>
      <c r="N338" s="13" t="s">
        <v>1845</v>
      </c>
      <c r="O338" s="14" t="s">
        <v>72</v>
      </c>
      <c r="P338" s="14" t="s">
        <v>1278</v>
      </c>
      <c r="Q338" s="165"/>
      <c r="R338" s="164" t="s">
        <v>72</v>
      </c>
      <c r="S338" s="13" t="s">
        <v>78</v>
      </c>
      <c r="T338" s="13"/>
      <c r="U338" s="13"/>
      <c r="V338" s="13">
        <v>4</v>
      </c>
      <c r="W338" s="13">
        <v>4</v>
      </c>
      <c r="X338" s="13">
        <v>4</v>
      </c>
      <c r="Y338" s="13">
        <v>7.0000000000000007E-2</v>
      </c>
      <c r="Z338" s="13">
        <v>0</v>
      </c>
      <c r="AA338" s="13" t="s">
        <v>110</v>
      </c>
      <c r="AB338" s="58">
        <v>43983</v>
      </c>
      <c r="AC338" s="58">
        <v>43978</v>
      </c>
      <c r="AD338" s="58">
        <v>43984</v>
      </c>
      <c r="AE338" s="58">
        <v>43978</v>
      </c>
      <c r="AF338" s="58">
        <v>43978</v>
      </c>
      <c r="AG338" s="58" t="s">
        <v>75</v>
      </c>
      <c r="AH338" s="59" t="s">
        <v>72</v>
      </c>
      <c r="AI338" s="59" t="s">
        <v>72</v>
      </c>
      <c r="AJ338" s="59" t="s">
        <v>72</v>
      </c>
      <c r="AK338" s="59" t="s">
        <v>72</v>
      </c>
      <c r="AL338" s="13"/>
      <c r="AM338" s="13"/>
      <c r="AN338" s="88" t="s">
        <v>574</v>
      </c>
    </row>
    <row r="339" spans="2:40" ht="15">
      <c r="B339" s="199">
        <v>220</v>
      </c>
      <c r="C339" s="13">
        <v>20200526</v>
      </c>
      <c r="D339" s="13" t="s">
        <v>24</v>
      </c>
      <c r="E339" s="13" t="s">
        <v>2373</v>
      </c>
      <c r="F339" s="39" t="s">
        <v>2010</v>
      </c>
      <c r="G339" s="14">
        <v>1484917</v>
      </c>
      <c r="H339" s="164"/>
      <c r="I339" s="13" t="s">
        <v>2011</v>
      </c>
      <c r="J339" s="164"/>
      <c r="K339" s="13" t="s">
        <v>73</v>
      </c>
      <c r="L339" s="13" t="s">
        <v>8</v>
      </c>
      <c r="M339" s="13" t="s">
        <v>1033</v>
      </c>
      <c r="N339" s="13" t="s">
        <v>1845</v>
      </c>
      <c r="O339" s="14" t="s">
        <v>72</v>
      </c>
      <c r="P339" s="14" t="s">
        <v>1278</v>
      </c>
      <c r="Q339" s="165"/>
      <c r="R339" s="164" t="s">
        <v>72</v>
      </c>
      <c r="S339" s="13" t="s">
        <v>78</v>
      </c>
      <c r="T339" s="13"/>
      <c r="U339" s="13"/>
      <c r="V339" s="13">
        <v>15</v>
      </c>
      <c r="W339" s="13">
        <v>15</v>
      </c>
      <c r="X339" s="13">
        <v>15</v>
      </c>
      <c r="Y339" s="13">
        <v>0.26</v>
      </c>
      <c r="Z339" s="13">
        <v>0.2</v>
      </c>
      <c r="AA339" s="13" t="s">
        <v>110</v>
      </c>
      <c r="AB339" s="58">
        <v>43983</v>
      </c>
      <c r="AC339" s="58">
        <v>43978</v>
      </c>
      <c r="AD339" s="58">
        <v>43984</v>
      </c>
      <c r="AE339" s="58">
        <v>43978</v>
      </c>
      <c r="AF339" s="58">
        <v>43978</v>
      </c>
      <c r="AG339" s="58" t="s">
        <v>75</v>
      </c>
      <c r="AH339" s="59">
        <v>1</v>
      </c>
      <c r="AI339" s="59">
        <v>1</v>
      </c>
      <c r="AJ339" s="59">
        <v>1</v>
      </c>
      <c r="AK339" s="58" t="s">
        <v>8</v>
      </c>
      <c r="AL339" s="13"/>
      <c r="AM339" s="13"/>
      <c r="AN339" s="13"/>
    </row>
    <row r="340" spans="2:40" ht="15">
      <c r="B340" s="199">
        <v>221</v>
      </c>
      <c r="C340" s="13">
        <v>20200526</v>
      </c>
      <c r="D340" s="13" t="s">
        <v>24</v>
      </c>
      <c r="E340" s="13" t="s">
        <v>2373</v>
      </c>
      <c r="F340" s="39" t="s">
        <v>2012</v>
      </c>
      <c r="G340" s="14">
        <v>1484917</v>
      </c>
      <c r="H340" s="164"/>
      <c r="I340" s="13" t="s">
        <v>2013</v>
      </c>
      <c r="J340" s="164"/>
      <c r="K340" s="13" t="s">
        <v>73</v>
      </c>
      <c r="L340" s="13" t="s">
        <v>8</v>
      </c>
      <c r="M340" s="13" t="s">
        <v>1033</v>
      </c>
      <c r="N340" s="13" t="s">
        <v>1845</v>
      </c>
      <c r="O340" s="14" t="s">
        <v>72</v>
      </c>
      <c r="P340" s="14" t="s">
        <v>1278</v>
      </c>
      <c r="Q340" s="165"/>
      <c r="R340" s="164" t="s">
        <v>72</v>
      </c>
      <c r="S340" s="13" t="s">
        <v>78</v>
      </c>
      <c r="T340" s="13"/>
      <c r="U340" s="13"/>
      <c r="V340" s="13">
        <v>16</v>
      </c>
      <c r="W340" s="13">
        <v>16</v>
      </c>
      <c r="X340" s="13">
        <v>16</v>
      </c>
      <c r="Y340" s="13">
        <v>0.28000000000000003</v>
      </c>
      <c r="Z340" s="13">
        <v>0.2</v>
      </c>
      <c r="AA340" s="13" t="s">
        <v>110</v>
      </c>
      <c r="AB340" s="58">
        <v>43983</v>
      </c>
      <c r="AC340" s="58">
        <v>43978</v>
      </c>
      <c r="AD340" s="58">
        <v>43984</v>
      </c>
      <c r="AE340" s="58">
        <v>43979</v>
      </c>
      <c r="AF340" s="58">
        <v>43979</v>
      </c>
      <c r="AG340" s="58" t="s">
        <v>75</v>
      </c>
      <c r="AH340" s="59">
        <v>1</v>
      </c>
      <c r="AI340" s="59">
        <v>1</v>
      </c>
      <c r="AJ340" s="59">
        <v>1</v>
      </c>
      <c r="AK340" s="58" t="s">
        <v>8</v>
      </c>
      <c r="AL340" s="13"/>
      <c r="AM340" s="13"/>
      <c r="AN340" s="13"/>
    </row>
    <row r="341" spans="2:40" ht="15">
      <c r="B341" s="199">
        <v>222</v>
      </c>
      <c r="C341" s="13">
        <v>20200526</v>
      </c>
      <c r="D341" s="13" t="s">
        <v>24</v>
      </c>
      <c r="E341" s="13" t="s">
        <v>2373</v>
      </c>
      <c r="F341" s="39" t="s">
        <v>2014</v>
      </c>
      <c r="G341" s="14">
        <v>1484917</v>
      </c>
      <c r="H341" s="164"/>
      <c r="I341" s="13" t="s">
        <v>2015</v>
      </c>
      <c r="J341" s="164"/>
      <c r="K341" s="13" t="s">
        <v>73</v>
      </c>
      <c r="L341" s="13" t="s">
        <v>8</v>
      </c>
      <c r="M341" s="13" t="s">
        <v>1033</v>
      </c>
      <c r="N341" s="13" t="s">
        <v>1845</v>
      </c>
      <c r="O341" s="14" t="s">
        <v>72</v>
      </c>
      <c r="P341" s="14" t="s">
        <v>1278</v>
      </c>
      <c r="Q341" s="165"/>
      <c r="R341" s="164" t="s">
        <v>72</v>
      </c>
      <c r="S341" s="13" t="s">
        <v>78</v>
      </c>
      <c r="T341" s="13"/>
      <c r="U341" s="13"/>
      <c r="V341" s="13">
        <v>84</v>
      </c>
      <c r="W341" s="13">
        <v>84</v>
      </c>
      <c r="X341" s="13">
        <v>84</v>
      </c>
      <c r="Y341" s="13">
        <v>1.49</v>
      </c>
      <c r="Z341" s="13">
        <v>1</v>
      </c>
      <c r="AA341" s="13" t="s">
        <v>110</v>
      </c>
      <c r="AB341" s="58">
        <v>43983</v>
      </c>
      <c r="AC341" s="58">
        <v>43978</v>
      </c>
      <c r="AD341" s="58">
        <v>43984</v>
      </c>
      <c r="AE341" s="58">
        <v>43978</v>
      </c>
      <c r="AF341" s="58">
        <v>43978</v>
      </c>
      <c r="AG341" s="58" t="s">
        <v>75</v>
      </c>
      <c r="AH341" s="59">
        <v>1</v>
      </c>
      <c r="AI341" s="59">
        <v>1</v>
      </c>
      <c r="AJ341" s="59">
        <v>1</v>
      </c>
      <c r="AK341" s="58" t="s">
        <v>8</v>
      </c>
      <c r="AL341" s="13"/>
      <c r="AM341" s="13"/>
      <c r="AN341" s="13"/>
    </row>
    <row r="342" spans="2:40" ht="15">
      <c r="B342" s="199">
        <v>223</v>
      </c>
      <c r="C342" s="13">
        <v>20200526</v>
      </c>
      <c r="D342" s="13" t="s">
        <v>24</v>
      </c>
      <c r="E342" s="13" t="s">
        <v>2373</v>
      </c>
      <c r="F342" s="39" t="s">
        <v>2016</v>
      </c>
      <c r="G342" s="14">
        <v>1484917</v>
      </c>
      <c r="H342" s="164"/>
      <c r="I342" s="13" t="s">
        <v>2017</v>
      </c>
      <c r="J342" s="164"/>
      <c r="K342" s="13" t="s">
        <v>73</v>
      </c>
      <c r="L342" s="13" t="s">
        <v>8</v>
      </c>
      <c r="M342" s="13" t="s">
        <v>1033</v>
      </c>
      <c r="N342" s="13" t="s">
        <v>1845</v>
      </c>
      <c r="O342" s="14" t="s">
        <v>72</v>
      </c>
      <c r="P342" s="14" t="s">
        <v>1278</v>
      </c>
      <c r="Q342" s="165"/>
      <c r="R342" s="164" t="s">
        <v>72</v>
      </c>
      <c r="S342" s="13" t="s">
        <v>74</v>
      </c>
      <c r="T342" s="13"/>
      <c r="U342" s="13"/>
      <c r="V342" s="13">
        <v>2713</v>
      </c>
      <c r="W342" s="13">
        <v>2713</v>
      </c>
      <c r="X342" s="13">
        <v>2713</v>
      </c>
      <c r="Y342" s="13">
        <v>48.23</v>
      </c>
      <c r="Z342" s="13">
        <v>2</v>
      </c>
      <c r="AA342" s="13" t="s">
        <v>110</v>
      </c>
      <c r="AB342" s="58">
        <v>43983</v>
      </c>
      <c r="AC342" s="58">
        <v>43978</v>
      </c>
      <c r="AD342" s="58">
        <v>43984</v>
      </c>
      <c r="AE342" s="58">
        <v>43979</v>
      </c>
      <c r="AF342" s="58">
        <v>43979</v>
      </c>
      <c r="AG342" s="58" t="s">
        <v>75</v>
      </c>
      <c r="AH342" s="59">
        <v>1</v>
      </c>
      <c r="AI342" s="59">
        <v>1</v>
      </c>
      <c r="AJ342" s="59">
        <v>1</v>
      </c>
      <c r="AK342" s="58" t="s">
        <v>8</v>
      </c>
      <c r="AL342" s="14" t="s">
        <v>72</v>
      </c>
      <c r="AM342" s="14" t="s">
        <v>72</v>
      </c>
      <c r="AN342" s="14" t="s">
        <v>72</v>
      </c>
    </row>
    <row r="343" spans="2:40" ht="15">
      <c r="B343" s="199">
        <v>224</v>
      </c>
      <c r="C343" s="13">
        <v>20200526</v>
      </c>
      <c r="D343" s="13" t="s">
        <v>24</v>
      </c>
      <c r="E343" s="13" t="s">
        <v>2373</v>
      </c>
      <c r="F343" s="39" t="s">
        <v>2018</v>
      </c>
      <c r="G343" s="14">
        <v>1484917</v>
      </c>
      <c r="H343" s="164"/>
      <c r="I343" s="13" t="s">
        <v>2019</v>
      </c>
      <c r="J343" s="164"/>
      <c r="K343" s="13" t="s">
        <v>73</v>
      </c>
      <c r="L343" s="13" t="s">
        <v>8</v>
      </c>
      <c r="M343" s="13" t="s">
        <v>1033</v>
      </c>
      <c r="N343" s="13" t="s">
        <v>1845</v>
      </c>
      <c r="O343" s="14" t="s">
        <v>72</v>
      </c>
      <c r="P343" s="14" t="s">
        <v>1278</v>
      </c>
      <c r="Q343" s="165"/>
      <c r="R343" s="164" t="s">
        <v>72</v>
      </c>
      <c r="S343" s="13" t="s">
        <v>573</v>
      </c>
      <c r="T343" s="13"/>
      <c r="U343" s="13"/>
      <c r="V343" s="13">
        <v>891</v>
      </c>
      <c r="W343" s="13">
        <v>891</v>
      </c>
      <c r="X343" s="13">
        <v>891</v>
      </c>
      <c r="Y343" s="13">
        <v>15.84</v>
      </c>
      <c r="Z343" s="13">
        <v>2</v>
      </c>
      <c r="AA343" s="13" t="s">
        <v>110</v>
      </c>
      <c r="AB343" s="58">
        <v>43983</v>
      </c>
      <c r="AC343" s="58">
        <v>43978</v>
      </c>
      <c r="AD343" s="58">
        <v>43984</v>
      </c>
      <c r="AE343" s="58">
        <v>43978</v>
      </c>
      <c r="AF343" s="58">
        <v>43978</v>
      </c>
      <c r="AG343" s="58" t="s">
        <v>75</v>
      </c>
      <c r="AH343" s="59">
        <v>1</v>
      </c>
      <c r="AI343" s="59">
        <v>1</v>
      </c>
      <c r="AJ343" s="59">
        <v>1</v>
      </c>
      <c r="AK343" s="58" t="s">
        <v>8</v>
      </c>
      <c r="AL343" s="13"/>
      <c r="AM343" s="13"/>
      <c r="AN343" s="13"/>
    </row>
    <row r="344" spans="2:40" ht="15">
      <c r="B344" s="199">
        <v>225</v>
      </c>
      <c r="C344" s="13">
        <v>20200526</v>
      </c>
      <c r="D344" s="13" t="s">
        <v>24</v>
      </c>
      <c r="E344" s="13" t="s">
        <v>2373</v>
      </c>
      <c r="F344" s="39" t="s">
        <v>2020</v>
      </c>
      <c r="G344" s="14">
        <v>1484917</v>
      </c>
      <c r="H344" s="164"/>
      <c r="I344" s="13" t="s">
        <v>2021</v>
      </c>
      <c r="J344" s="164"/>
      <c r="K344" s="13" t="s">
        <v>73</v>
      </c>
      <c r="L344" s="13" t="s">
        <v>8</v>
      </c>
      <c r="M344" s="13" t="s">
        <v>1033</v>
      </c>
      <c r="N344" s="13" t="s">
        <v>1845</v>
      </c>
      <c r="O344" s="14" t="s">
        <v>72</v>
      </c>
      <c r="P344" s="14" t="s">
        <v>1278</v>
      </c>
      <c r="Q344" s="165"/>
      <c r="R344" s="164" t="s">
        <v>72</v>
      </c>
      <c r="S344" s="13" t="s">
        <v>573</v>
      </c>
      <c r="T344" s="13"/>
      <c r="U344" s="13"/>
      <c r="V344" s="13">
        <v>6</v>
      </c>
      <c r="W344" s="13">
        <v>6</v>
      </c>
      <c r="X344" s="13">
        <v>6</v>
      </c>
      <c r="Y344" s="13">
        <v>0.1</v>
      </c>
      <c r="Z344" s="13">
        <v>0.5</v>
      </c>
      <c r="AA344" s="13" t="s">
        <v>110</v>
      </c>
      <c r="AB344" s="58">
        <v>43983</v>
      </c>
      <c r="AC344" s="58">
        <v>43978</v>
      </c>
      <c r="AD344" s="58">
        <v>43984</v>
      </c>
      <c r="AE344" s="58">
        <v>43978</v>
      </c>
      <c r="AF344" s="58">
        <v>43978</v>
      </c>
      <c r="AG344" s="58" t="s">
        <v>75</v>
      </c>
      <c r="AH344" s="59">
        <v>1</v>
      </c>
      <c r="AI344" s="59">
        <v>1</v>
      </c>
      <c r="AJ344" s="59">
        <v>1</v>
      </c>
      <c r="AK344" s="58" t="s">
        <v>8</v>
      </c>
      <c r="AL344" s="13"/>
      <c r="AM344" s="13"/>
      <c r="AN344" s="13"/>
    </row>
    <row r="345" spans="2:40" ht="15">
      <c r="B345" s="199">
        <v>226</v>
      </c>
      <c r="C345" s="13">
        <v>20200526</v>
      </c>
      <c r="D345" s="13" t="s">
        <v>24</v>
      </c>
      <c r="E345" s="13" t="s">
        <v>2373</v>
      </c>
      <c r="F345" s="39" t="s">
        <v>2022</v>
      </c>
      <c r="G345" s="14">
        <v>1484917</v>
      </c>
      <c r="H345" s="164"/>
      <c r="I345" s="13" t="s">
        <v>2023</v>
      </c>
      <c r="J345" s="164"/>
      <c r="K345" s="13" t="s">
        <v>73</v>
      </c>
      <c r="L345" s="13" t="s">
        <v>8</v>
      </c>
      <c r="M345" s="13" t="s">
        <v>1033</v>
      </c>
      <c r="N345" s="13" t="s">
        <v>1845</v>
      </c>
      <c r="O345" s="14" t="s">
        <v>72</v>
      </c>
      <c r="P345" s="14" t="s">
        <v>1278</v>
      </c>
      <c r="Q345" s="165"/>
      <c r="R345" s="164" t="s">
        <v>72</v>
      </c>
      <c r="S345" s="13" t="s">
        <v>573</v>
      </c>
      <c r="T345" s="13"/>
      <c r="U345" s="13"/>
      <c r="V345" s="13">
        <v>7</v>
      </c>
      <c r="W345" s="13">
        <v>7</v>
      </c>
      <c r="X345" s="13">
        <v>7</v>
      </c>
      <c r="Y345" s="13">
        <v>0.12</v>
      </c>
      <c r="Z345" s="13">
        <v>0.5</v>
      </c>
      <c r="AA345" s="13" t="s">
        <v>110</v>
      </c>
      <c r="AB345" s="58">
        <v>43983</v>
      </c>
      <c r="AC345" s="58">
        <v>43978</v>
      </c>
      <c r="AD345" s="58">
        <v>43984</v>
      </c>
      <c r="AE345" s="58">
        <v>43978</v>
      </c>
      <c r="AF345" s="58">
        <v>43978</v>
      </c>
      <c r="AG345" s="58" t="s">
        <v>75</v>
      </c>
      <c r="AH345" s="59">
        <v>1</v>
      </c>
      <c r="AI345" s="59">
        <v>1</v>
      </c>
      <c r="AJ345" s="59">
        <v>1</v>
      </c>
      <c r="AK345" s="58" t="s">
        <v>8</v>
      </c>
      <c r="AL345" s="13"/>
      <c r="AM345" s="13"/>
      <c r="AN345" s="13"/>
    </row>
    <row r="346" spans="2:40" ht="15">
      <c r="B346" s="199">
        <v>227</v>
      </c>
      <c r="C346" s="13">
        <v>20200526</v>
      </c>
      <c r="D346" s="13" t="s">
        <v>24</v>
      </c>
      <c r="E346" s="13" t="s">
        <v>2373</v>
      </c>
      <c r="F346" s="39" t="s">
        <v>2024</v>
      </c>
      <c r="G346" s="14">
        <v>1484917</v>
      </c>
      <c r="H346" s="164"/>
      <c r="I346" s="13" t="s">
        <v>2025</v>
      </c>
      <c r="J346" s="164"/>
      <c r="K346" s="13" t="s">
        <v>73</v>
      </c>
      <c r="L346" s="13" t="s">
        <v>8</v>
      </c>
      <c r="M346" s="13" t="s">
        <v>1033</v>
      </c>
      <c r="N346" s="13" t="s">
        <v>1845</v>
      </c>
      <c r="O346" s="14" t="s">
        <v>72</v>
      </c>
      <c r="P346" s="14" t="s">
        <v>1278</v>
      </c>
      <c r="Q346" s="165"/>
      <c r="R346" s="164" t="s">
        <v>72</v>
      </c>
      <c r="S346" s="13" t="s">
        <v>573</v>
      </c>
      <c r="T346" s="13"/>
      <c r="U346" s="13"/>
      <c r="V346" s="13">
        <v>13</v>
      </c>
      <c r="W346" s="13">
        <v>13</v>
      </c>
      <c r="X346" s="13">
        <v>13</v>
      </c>
      <c r="Y346" s="13">
        <v>0.23</v>
      </c>
      <c r="Z346" s="13">
        <v>0.5</v>
      </c>
      <c r="AA346" s="13" t="s">
        <v>110</v>
      </c>
      <c r="AB346" s="58">
        <v>43983</v>
      </c>
      <c r="AC346" s="58">
        <v>43978</v>
      </c>
      <c r="AD346" s="58">
        <v>43984</v>
      </c>
      <c r="AE346" s="58">
        <v>43978</v>
      </c>
      <c r="AF346" s="58">
        <v>43978</v>
      </c>
      <c r="AG346" s="58" t="s">
        <v>75</v>
      </c>
      <c r="AH346" s="59">
        <v>1</v>
      </c>
      <c r="AI346" s="59">
        <v>1</v>
      </c>
      <c r="AJ346" s="59">
        <v>1</v>
      </c>
      <c r="AK346" s="58" t="s">
        <v>8</v>
      </c>
      <c r="AL346" s="13"/>
      <c r="AM346" s="13"/>
      <c r="AN346" s="13"/>
    </row>
    <row r="347" spans="2:40" ht="15">
      <c r="B347" s="199">
        <v>228</v>
      </c>
      <c r="C347" s="13">
        <v>20200526</v>
      </c>
      <c r="D347" s="13" t="s">
        <v>24</v>
      </c>
      <c r="E347" s="13" t="s">
        <v>2026</v>
      </c>
      <c r="F347" s="39" t="s">
        <v>2027</v>
      </c>
      <c r="G347" s="14">
        <v>1487171</v>
      </c>
      <c r="H347" s="164"/>
      <c r="I347" s="13" t="s">
        <v>690</v>
      </c>
      <c r="J347" s="164"/>
      <c r="K347" s="13" t="s">
        <v>73</v>
      </c>
      <c r="L347" s="13" t="s">
        <v>8</v>
      </c>
      <c r="M347" s="13" t="s">
        <v>1781</v>
      </c>
      <c r="N347" s="13" t="s">
        <v>1782</v>
      </c>
      <c r="O347" s="14" t="s">
        <v>72</v>
      </c>
      <c r="P347" s="14" t="s">
        <v>1499</v>
      </c>
      <c r="Q347" s="165"/>
      <c r="R347" s="164" t="s">
        <v>72</v>
      </c>
      <c r="S347" s="13" t="s">
        <v>573</v>
      </c>
      <c r="T347" s="13"/>
      <c r="U347" s="13"/>
      <c r="V347" s="13">
        <v>59</v>
      </c>
      <c r="W347" s="13">
        <v>59</v>
      </c>
      <c r="X347" s="13">
        <v>59</v>
      </c>
      <c r="Y347" s="13">
        <v>1.04</v>
      </c>
      <c r="Z347" s="13">
        <v>1</v>
      </c>
      <c r="AA347" s="13" t="s">
        <v>110</v>
      </c>
      <c r="AB347" s="58">
        <v>43978</v>
      </c>
      <c r="AC347" s="58">
        <v>43978</v>
      </c>
      <c r="AD347" s="58">
        <v>43979</v>
      </c>
      <c r="AE347" s="58">
        <v>43978</v>
      </c>
      <c r="AF347" s="58">
        <v>43978</v>
      </c>
      <c r="AG347" s="58" t="s">
        <v>75</v>
      </c>
      <c r="AH347" s="59">
        <v>1</v>
      </c>
      <c r="AI347" s="59">
        <v>1</v>
      </c>
      <c r="AJ347" s="59">
        <v>1</v>
      </c>
      <c r="AK347" s="58" t="s">
        <v>8</v>
      </c>
      <c r="AL347" s="13"/>
      <c r="AM347" s="13"/>
      <c r="AN347" s="13"/>
    </row>
    <row r="348" spans="2:40" ht="15">
      <c r="B348" s="199">
        <v>229</v>
      </c>
      <c r="C348" s="13">
        <v>20200526</v>
      </c>
      <c r="D348" s="13" t="s">
        <v>24</v>
      </c>
      <c r="E348" s="13" t="s">
        <v>2026</v>
      </c>
      <c r="F348" s="39" t="s">
        <v>2028</v>
      </c>
      <c r="G348" s="14">
        <v>1487171</v>
      </c>
      <c r="H348" s="164"/>
      <c r="I348" s="13" t="s">
        <v>1519</v>
      </c>
      <c r="J348" s="164"/>
      <c r="K348" s="13" t="s">
        <v>73</v>
      </c>
      <c r="L348" s="13" t="s">
        <v>8</v>
      </c>
      <c r="M348" s="13" t="s">
        <v>1781</v>
      </c>
      <c r="N348" s="13" t="s">
        <v>1782</v>
      </c>
      <c r="O348" s="14" t="s">
        <v>72</v>
      </c>
      <c r="P348" s="14" t="s">
        <v>1499</v>
      </c>
      <c r="Q348" s="165"/>
      <c r="R348" s="164" t="s">
        <v>72</v>
      </c>
      <c r="S348" s="13" t="s">
        <v>573</v>
      </c>
      <c r="T348" s="13"/>
      <c r="U348" s="13"/>
      <c r="V348" s="13">
        <v>295</v>
      </c>
      <c r="W348" s="13">
        <v>295</v>
      </c>
      <c r="X348" s="13">
        <v>295</v>
      </c>
      <c r="Y348" s="13">
        <v>5.24</v>
      </c>
      <c r="Z348" s="13">
        <v>1</v>
      </c>
      <c r="AA348" s="13" t="s">
        <v>110</v>
      </c>
      <c r="AB348" s="58">
        <v>43978</v>
      </c>
      <c r="AC348" s="58">
        <v>43978</v>
      </c>
      <c r="AD348" s="58">
        <v>43979</v>
      </c>
      <c r="AE348" s="58">
        <v>43978</v>
      </c>
      <c r="AF348" s="58">
        <v>43978</v>
      </c>
      <c r="AG348" s="58" t="s">
        <v>75</v>
      </c>
      <c r="AH348" s="59">
        <v>1</v>
      </c>
      <c r="AI348" s="59">
        <v>1</v>
      </c>
      <c r="AJ348" s="59">
        <v>1</v>
      </c>
      <c r="AK348" s="58" t="s">
        <v>8</v>
      </c>
      <c r="AL348" s="13"/>
      <c r="AM348" s="13"/>
      <c r="AN348" s="13"/>
    </row>
    <row r="349" spans="2:40" ht="15">
      <c r="B349" s="199">
        <v>230</v>
      </c>
      <c r="C349" s="13">
        <v>20200526</v>
      </c>
      <c r="D349" s="13" t="s">
        <v>24</v>
      </c>
      <c r="E349" s="13" t="s">
        <v>2372</v>
      </c>
      <c r="F349" s="39" t="s">
        <v>2029</v>
      </c>
      <c r="G349" s="14">
        <v>1487218</v>
      </c>
      <c r="H349" s="164"/>
      <c r="I349" s="13" t="s">
        <v>2030</v>
      </c>
      <c r="J349" s="164"/>
      <c r="K349" s="13" t="s">
        <v>73</v>
      </c>
      <c r="L349" s="13" t="s">
        <v>8</v>
      </c>
      <c r="M349" s="13" t="s">
        <v>2031</v>
      </c>
      <c r="N349" s="13" t="s">
        <v>887</v>
      </c>
      <c r="O349" s="14" t="s">
        <v>72</v>
      </c>
      <c r="P349" s="14" t="s">
        <v>951</v>
      </c>
      <c r="Q349" s="165"/>
      <c r="R349" s="164" t="s">
        <v>72</v>
      </c>
      <c r="S349" s="13" t="s">
        <v>573</v>
      </c>
      <c r="T349" s="13"/>
      <c r="U349" s="13"/>
      <c r="V349" s="13">
        <v>23</v>
      </c>
      <c r="W349" s="13">
        <v>23</v>
      </c>
      <c r="X349" s="13">
        <v>23</v>
      </c>
      <c r="Y349" s="13">
        <v>0.4</v>
      </c>
      <c r="Z349" s="13">
        <v>1</v>
      </c>
      <c r="AA349" s="13" t="s">
        <v>110</v>
      </c>
      <c r="AB349" s="58">
        <v>43978</v>
      </c>
      <c r="AC349" s="58">
        <v>43978</v>
      </c>
      <c r="AD349" s="58">
        <v>43979</v>
      </c>
      <c r="AE349" s="58">
        <v>43978</v>
      </c>
      <c r="AF349" s="58">
        <v>43978</v>
      </c>
      <c r="AG349" s="58" t="s">
        <v>75</v>
      </c>
      <c r="AH349" s="59">
        <v>1</v>
      </c>
      <c r="AI349" s="59">
        <v>1</v>
      </c>
      <c r="AJ349" s="59">
        <v>1</v>
      </c>
      <c r="AK349" s="58" t="s">
        <v>8</v>
      </c>
      <c r="AL349" s="13"/>
      <c r="AM349" s="13"/>
      <c r="AN349" s="13"/>
    </row>
    <row r="350" spans="2:40" ht="15">
      <c r="B350" s="199">
        <v>231</v>
      </c>
      <c r="C350" s="13">
        <v>20200526</v>
      </c>
      <c r="D350" s="13" t="s">
        <v>24</v>
      </c>
      <c r="E350" s="13" t="s">
        <v>2372</v>
      </c>
      <c r="F350" s="39" t="s">
        <v>1500</v>
      </c>
      <c r="G350" s="14">
        <v>1488033</v>
      </c>
      <c r="H350" s="164"/>
      <c r="I350" s="13" t="s">
        <v>135</v>
      </c>
      <c r="J350" s="164"/>
      <c r="K350" s="13" t="s">
        <v>73</v>
      </c>
      <c r="L350" s="13" t="s">
        <v>8</v>
      </c>
      <c r="M350" s="13" t="s">
        <v>2031</v>
      </c>
      <c r="N350" s="13" t="s">
        <v>887</v>
      </c>
      <c r="O350" s="14" t="s">
        <v>72</v>
      </c>
      <c r="P350" s="14" t="s">
        <v>1499</v>
      </c>
      <c r="Q350" s="165"/>
      <c r="R350" s="164" t="s">
        <v>72</v>
      </c>
      <c r="S350" s="13" t="s">
        <v>573</v>
      </c>
      <c r="T350" s="13"/>
      <c r="U350" s="13"/>
      <c r="V350" s="13">
        <v>109</v>
      </c>
      <c r="W350" s="13">
        <v>109</v>
      </c>
      <c r="X350" s="13">
        <v>109</v>
      </c>
      <c r="Y350" s="13">
        <v>1.93</v>
      </c>
      <c r="Z350" s="13">
        <v>1</v>
      </c>
      <c r="AA350" s="13" t="s">
        <v>110</v>
      </c>
      <c r="AB350" s="58">
        <v>43978</v>
      </c>
      <c r="AC350" s="58">
        <v>43978</v>
      </c>
      <c r="AD350" s="58">
        <v>43979</v>
      </c>
      <c r="AE350" s="58">
        <v>43978</v>
      </c>
      <c r="AF350" s="58">
        <v>43978</v>
      </c>
      <c r="AG350" s="58" t="s">
        <v>75</v>
      </c>
      <c r="AH350" s="59">
        <v>1</v>
      </c>
      <c r="AI350" s="59">
        <v>1</v>
      </c>
      <c r="AJ350" s="59">
        <v>1</v>
      </c>
      <c r="AK350" s="58" t="s">
        <v>8</v>
      </c>
      <c r="AL350" s="13"/>
      <c r="AM350" s="13"/>
      <c r="AN350" s="13"/>
    </row>
    <row r="351" spans="2:40" ht="15">
      <c r="B351" s="166">
        <v>232</v>
      </c>
      <c r="C351" s="13">
        <v>20200528</v>
      </c>
      <c r="D351" s="13" t="s">
        <v>311</v>
      </c>
      <c r="E351" s="13" t="s">
        <v>1422</v>
      </c>
      <c r="F351" s="14" t="s">
        <v>72</v>
      </c>
      <c r="G351" s="14">
        <v>1491355</v>
      </c>
      <c r="H351" s="164" t="s">
        <v>72</v>
      </c>
      <c r="I351" s="13" t="s">
        <v>2032</v>
      </c>
      <c r="J351" s="164" t="s">
        <v>72</v>
      </c>
      <c r="K351" s="13" t="s">
        <v>106</v>
      </c>
      <c r="L351" s="13" t="s">
        <v>8</v>
      </c>
      <c r="M351" s="13" t="s">
        <v>19</v>
      </c>
      <c r="N351" s="13" t="s">
        <v>2032</v>
      </c>
      <c r="O351" s="14" t="s">
        <v>2033</v>
      </c>
      <c r="P351" s="14" t="s">
        <v>2034</v>
      </c>
      <c r="Q351" s="165"/>
      <c r="R351" s="164" t="s">
        <v>72</v>
      </c>
      <c r="S351" s="13" t="s">
        <v>573</v>
      </c>
      <c r="T351" s="13"/>
      <c r="U351" s="13"/>
      <c r="V351" s="13">
        <v>16</v>
      </c>
      <c r="W351" s="13">
        <v>16</v>
      </c>
      <c r="X351" s="13">
        <v>16</v>
      </c>
      <c r="Y351" s="13">
        <v>0.98</v>
      </c>
      <c r="Z351" s="13">
        <v>1</v>
      </c>
      <c r="AA351" s="13" t="s">
        <v>110</v>
      </c>
      <c r="AB351" s="58">
        <v>43983</v>
      </c>
      <c r="AC351" s="58">
        <v>43979</v>
      </c>
      <c r="AD351" s="58">
        <v>43983</v>
      </c>
      <c r="AE351" s="58">
        <v>43983</v>
      </c>
      <c r="AF351" s="58">
        <v>43983</v>
      </c>
      <c r="AG351" s="58" t="s">
        <v>75</v>
      </c>
      <c r="AH351" s="59">
        <v>1</v>
      </c>
      <c r="AI351" s="59">
        <v>1</v>
      </c>
      <c r="AJ351" s="59">
        <v>1</v>
      </c>
      <c r="AK351" s="58" t="s">
        <v>76</v>
      </c>
      <c r="AL351" s="13"/>
      <c r="AM351" s="13" t="s">
        <v>2035</v>
      </c>
      <c r="AN351" s="13" t="s">
        <v>2036</v>
      </c>
    </row>
    <row r="352" spans="2:40" ht="15">
      <c r="B352" s="166">
        <v>233</v>
      </c>
      <c r="C352" s="13">
        <v>20200528</v>
      </c>
      <c r="D352" s="13" t="s">
        <v>311</v>
      </c>
      <c r="E352" s="13" t="s">
        <v>1422</v>
      </c>
      <c r="F352" s="14" t="s">
        <v>72</v>
      </c>
      <c r="G352" s="14">
        <v>1491355</v>
      </c>
      <c r="H352" s="164" t="s">
        <v>72</v>
      </c>
      <c r="I352" s="13" t="s">
        <v>2037</v>
      </c>
      <c r="J352" s="164" t="s">
        <v>72</v>
      </c>
      <c r="K352" s="13" t="s">
        <v>106</v>
      </c>
      <c r="L352" s="13" t="s">
        <v>8</v>
      </c>
      <c r="M352" s="13" t="s">
        <v>19</v>
      </c>
      <c r="N352" s="13" t="s">
        <v>2037</v>
      </c>
      <c r="O352" s="14" t="s">
        <v>2038</v>
      </c>
      <c r="P352" s="14" t="s">
        <v>2034</v>
      </c>
      <c r="Q352" s="165"/>
      <c r="R352" s="164" t="s">
        <v>72</v>
      </c>
      <c r="S352" s="13" t="s">
        <v>573</v>
      </c>
      <c r="T352" s="13"/>
      <c r="U352" s="13"/>
      <c r="V352" s="13">
        <v>49</v>
      </c>
      <c r="W352" s="13">
        <v>49</v>
      </c>
      <c r="X352" s="13">
        <v>49</v>
      </c>
      <c r="Y352" s="13">
        <v>3.01</v>
      </c>
      <c r="Z352" s="13">
        <v>3</v>
      </c>
      <c r="AA352" s="13" t="s">
        <v>110</v>
      </c>
      <c r="AB352" s="58">
        <v>43983</v>
      </c>
      <c r="AC352" s="58">
        <v>43979</v>
      </c>
      <c r="AD352" s="58">
        <v>43983</v>
      </c>
      <c r="AE352" s="58">
        <v>43979</v>
      </c>
      <c r="AF352" s="58">
        <v>43979</v>
      </c>
      <c r="AG352" s="58" t="s">
        <v>75</v>
      </c>
      <c r="AH352" s="59">
        <v>1</v>
      </c>
      <c r="AI352" s="59">
        <v>1</v>
      </c>
      <c r="AJ352" s="59">
        <v>1</v>
      </c>
      <c r="AK352" s="58" t="s">
        <v>8</v>
      </c>
      <c r="AL352" s="13"/>
      <c r="AM352" s="13"/>
      <c r="AN352" s="13"/>
    </row>
    <row r="353" spans="2:40" ht="15">
      <c r="B353" s="166">
        <v>234</v>
      </c>
      <c r="C353" s="13">
        <v>20200528</v>
      </c>
      <c r="D353" s="13" t="s">
        <v>24</v>
      </c>
      <c r="E353" s="13" t="s">
        <v>1469</v>
      </c>
      <c r="F353" s="39" t="s">
        <v>2039</v>
      </c>
      <c r="G353" s="14">
        <v>1492051</v>
      </c>
      <c r="H353" s="164" t="s">
        <v>72</v>
      </c>
      <c r="I353" s="13" t="s">
        <v>130</v>
      </c>
      <c r="J353" s="164" t="s">
        <v>72</v>
      </c>
      <c r="K353" s="13" t="s">
        <v>73</v>
      </c>
      <c r="L353" s="13" t="s">
        <v>1968</v>
      </c>
      <c r="M353" s="13" t="s">
        <v>22</v>
      </c>
      <c r="N353" s="13" t="s">
        <v>1136</v>
      </c>
      <c r="O353" s="14" t="s">
        <v>72</v>
      </c>
      <c r="P353" s="14" t="s">
        <v>756</v>
      </c>
      <c r="Q353" s="165"/>
      <c r="R353" s="164" t="s">
        <v>72</v>
      </c>
      <c r="S353" s="13" t="s">
        <v>573</v>
      </c>
      <c r="T353" s="13"/>
      <c r="U353" s="13"/>
      <c r="V353" s="13">
        <v>261</v>
      </c>
      <c r="W353" s="13">
        <v>261</v>
      </c>
      <c r="X353" s="13">
        <v>261</v>
      </c>
      <c r="Y353" s="13">
        <v>4.6399999999999997</v>
      </c>
      <c r="Z353" s="13">
        <v>3</v>
      </c>
      <c r="AA353" s="13" t="s">
        <v>110</v>
      </c>
      <c r="AB353" s="58">
        <v>43980</v>
      </c>
      <c r="AC353" s="58">
        <v>43979</v>
      </c>
      <c r="AD353" s="58">
        <v>43980</v>
      </c>
      <c r="AE353" s="58">
        <v>43979</v>
      </c>
      <c r="AF353" s="58">
        <v>43979</v>
      </c>
      <c r="AG353" s="58" t="s">
        <v>75</v>
      </c>
      <c r="AH353" s="59">
        <v>1</v>
      </c>
      <c r="AI353" s="59">
        <v>1</v>
      </c>
      <c r="AJ353" s="59">
        <v>1</v>
      </c>
      <c r="AK353" s="58" t="s">
        <v>8</v>
      </c>
      <c r="AL353" s="13"/>
      <c r="AM353" s="13"/>
      <c r="AN353" s="13"/>
    </row>
    <row r="354" spans="2:40" ht="15">
      <c r="B354" s="184">
        <v>235</v>
      </c>
      <c r="C354" s="13">
        <v>20200528</v>
      </c>
      <c r="D354" s="13" t="s">
        <v>24</v>
      </c>
      <c r="E354" s="13" t="s">
        <v>2367</v>
      </c>
      <c r="F354" s="39" t="s">
        <v>2040</v>
      </c>
      <c r="G354" s="14">
        <v>1490028</v>
      </c>
      <c r="H354" s="164" t="s">
        <v>72</v>
      </c>
      <c r="I354" s="13" t="s">
        <v>1764</v>
      </c>
      <c r="J354" s="164" t="s">
        <v>72</v>
      </c>
      <c r="K354" s="13" t="s">
        <v>73</v>
      </c>
      <c r="L354" s="13" t="s">
        <v>2041</v>
      </c>
      <c r="M354" s="13" t="s">
        <v>1657</v>
      </c>
      <c r="N354" s="13" t="s">
        <v>336</v>
      </c>
      <c r="O354" s="14" t="s">
        <v>72</v>
      </c>
      <c r="P354" s="14" t="s">
        <v>1296</v>
      </c>
      <c r="Q354" s="165"/>
      <c r="R354" s="164" t="s">
        <v>72</v>
      </c>
      <c r="S354" s="13" t="s">
        <v>77</v>
      </c>
      <c r="T354" s="13"/>
      <c r="U354" s="13"/>
      <c r="V354" s="13">
        <v>81</v>
      </c>
      <c r="W354" s="13">
        <v>81</v>
      </c>
      <c r="X354" s="13">
        <v>81</v>
      </c>
      <c r="Y354" s="13">
        <v>1.44</v>
      </c>
      <c r="Z354" s="13">
        <v>0.2</v>
      </c>
      <c r="AA354" s="13" t="s">
        <v>110</v>
      </c>
      <c r="AB354" s="58">
        <v>43984</v>
      </c>
      <c r="AC354" s="58">
        <v>43979</v>
      </c>
      <c r="AD354" s="58">
        <v>43984</v>
      </c>
      <c r="AE354" s="58">
        <v>43980</v>
      </c>
      <c r="AF354" s="58">
        <v>43980</v>
      </c>
      <c r="AG354" s="58" t="s">
        <v>75</v>
      </c>
      <c r="AH354" s="59">
        <v>1</v>
      </c>
      <c r="AI354" s="59">
        <v>1</v>
      </c>
      <c r="AJ354" s="59">
        <v>1</v>
      </c>
      <c r="AK354" s="58" t="s">
        <v>8</v>
      </c>
      <c r="AL354" s="14" t="s">
        <v>72</v>
      </c>
      <c r="AM354" s="14" t="s">
        <v>72</v>
      </c>
      <c r="AN354" s="181" t="s">
        <v>72</v>
      </c>
    </row>
    <row r="355" spans="2:40" ht="15">
      <c r="B355" s="184">
        <v>236</v>
      </c>
      <c r="C355" s="13">
        <v>20200528</v>
      </c>
      <c r="D355" s="13" t="s">
        <v>24</v>
      </c>
      <c r="E355" s="13" t="s">
        <v>2367</v>
      </c>
      <c r="F355" s="39" t="s">
        <v>2042</v>
      </c>
      <c r="G355" s="14">
        <v>1490028</v>
      </c>
      <c r="H355" s="164" t="s">
        <v>72</v>
      </c>
      <c r="I355" s="13" t="s">
        <v>2043</v>
      </c>
      <c r="J355" s="164" t="s">
        <v>72</v>
      </c>
      <c r="K355" s="13" t="s">
        <v>73</v>
      </c>
      <c r="L355" s="13" t="s">
        <v>2041</v>
      </c>
      <c r="M355" s="13" t="s">
        <v>1657</v>
      </c>
      <c r="N355" s="13" t="s">
        <v>336</v>
      </c>
      <c r="O355" s="14" t="s">
        <v>72</v>
      </c>
      <c r="P355" s="14" t="s">
        <v>1296</v>
      </c>
      <c r="Q355" s="165"/>
      <c r="R355" s="164" t="s">
        <v>72</v>
      </c>
      <c r="S355" s="13" t="s">
        <v>77</v>
      </c>
      <c r="T355" s="13"/>
      <c r="U355" s="13"/>
      <c r="V355" s="13">
        <v>50</v>
      </c>
      <c r="W355" s="13">
        <v>50</v>
      </c>
      <c r="X355" s="13">
        <v>50</v>
      </c>
      <c r="Y355" s="13">
        <v>0.88</v>
      </c>
      <c r="Z355" s="13">
        <v>0.2</v>
      </c>
      <c r="AA355" s="13" t="s">
        <v>110</v>
      </c>
      <c r="AB355" s="58">
        <v>43984</v>
      </c>
      <c r="AC355" s="58">
        <v>43979</v>
      </c>
      <c r="AD355" s="58">
        <v>43984</v>
      </c>
      <c r="AE355" s="58">
        <v>43980</v>
      </c>
      <c r="AF355" s="58">
        <v>43980</v>
      </c>
      <c r="AG355" s="58" t="s">
        <v>75</v>
      </c>
      <c r="AH355" s="59">
        <v>1</v>
      </c>
      <c r="AI355" s="59">
        <v>1</v>
      </c>
      <c r="AJ355" s="59">
        <v>1</v>
      </c>
      <c r="AK355" s="58" t="s">
        <v>8</v>
      </c>
      <c r="AL355" s="14" t="s">
        <v>72</v>
      </c>
      <c r="AM355" s="14" t="s">
        <v>72</v>
      </c>
      <c r="AN355" s="181" t="s">
        <v>72</v>
      </c>
    </row>
    <row r="356" spans="2:40" ht="15">
      <c r="B356" s="201">
        <v>237</v>
      </c>
      <c r="C356" s="13">
        <v>20200529</v>
      </c>
      <c r="D356" s="13" t="s">
        <v>24</v>
      </c>
      <c r="E356" s="13" t="s">
        <v>1758</v>
      </c>
      <c r="F356" s="1" t="s">
        <v>1840</v>
      </c>
      <c r="G356" s="14">
        <v>1495464</v>
      </c>
      <c r="H356" s="164" t="s">
        <v>72</v>
      </c>
      <c r="I356" s="13" t="s">
        <v>1841</v>
      </c>
      <c r="J356" s="164" t="s">
        <v>72</v>
      </c>
      <c r="K356" s="13" t="s">
        <v>73</v>
      </c>
      <c r="L356" s="13" t="s">
        <v>8</v>
      </c>
      <c r="M356" s="13" t="s">
        <v>8</v>
      </c>
      <c r="N356" s="13" t="s">
        <v>3</v>
      </c>
      <c r="O356" s="14" t="s">
        <v>72</v>
      </c>
      <c r="P356" s="14" t="s">
        <v>1</v>
      </c>
      <c r="Q356" s="165"/>
      <c r="R356" s="164" t="s">
        <v>72</v>
      </c>
      <c r="S356" s="13" t="s">
        <v>117</v>
      </c>
      <c r="T356" s="13"/>
      <c r="U356" s="13"/>
      <c r="V356" s="13">
        <v>108</v>
      </c>
      <c r="W356" s="53">
        <v>260</v>
      </c>
      <c r="X356" s="13">
        <v>260</v>
      </c>
      <c r="Y356" s="13">
        <v>4.62</v>
      </c>
      <c r="Z356" s="13">
        <v>2</v>
      </c>
      <c r="AA356" s="13" t="s">
        <v>550</v>
      </c>
      <c r="AB356" s="58">
        <v>43991</v>
      </c>
      <c r="AC356" s="58">
        <v>43980</v>
      </c>
      <c r="AD356" s="58">
        <v>43991</v>
      </c>
      <c r="AE356" s="58">
        <v>43990</v>
      </c>
      <c r="AF356" s="58">
        <v>43990</v>
      </c>
      <c r="AG356" s="58" t="s">
        <v>75</v>
      </c>
      <c r="AH356" s="59">
        <v>1</v>
      </c>
      <c r="AI356" s="59">
        <v>1</v>
      </c>
      <c r="AJ356" s="59">
        <v>1</v>
      </c>
      <c r="AK356" s="58" t="s">
        <v>8</v>
      </c>
      <c r="AL356" s="13"/>
      <c r="AM356" s="13"/>
      <c r="AN356" s="13" t="s">
        <v>2044</v>
      </c>
    </row>
    <row r="357" spans="2:40" ht="15">
      <c r="B357" s="201">
        <v>238</v>
      </c>
      <c r="C357" s="13">
        <v>20200529</v>
      </c>
      <c r="D357" s="13" t="s">
        <v>311</v>
      </c>
      <c r="E357" s="13" t="s">
        <v>2045</v>
      </c>
      <c r="F357" s="14" t="s">
        <v>72</v>
      </c>
      <c r="G357" s="14">
        <v>1493209</v>
      </c>
      <c r="H357" s="164" t="s">
        <v>72</v>
      </c>
      <c r="I357" s="13" t="s">
        <v>2046</v>
      </c>
      <c r="J357" s="164" t="s">
        <v>72</v>
      </c>
      <c r="K357" s="13" t="s">
        <v>73</v>
      </c>
      <c r="L357" s="13" t="s">
        <v>8</v>
      </c>
      <c r="M357" s="13" t="s">
        <v>8</v>
      </c>
      <c r="N357" s="13" t="s">
        <v>2047</v>
      </c>
      <c r="O357" s="14" t="s">
        <v>613</v>
      </c>
      <c r="P357" s="14" t="s">
        <v>2048</v>
      </c>
      <c r="Q357" s="165"/>
      <c r="R357" s="164" t="s">
        <v>72</v>
      </c>
      <c r="S357" s="13" t="s">
        <v>113</v>
      </c>
      <c r="T357" s="13"/>
      <c r="U357" s="13"/>
      <c r="V357" s="13">
        <v>52</v>
      </c>
      <c r="W357" s="13">
        <v>52</v>
      </c>
      <c r="X357" s="13">
        <v>52</v>
      </c>
      <c r="Y357" s="13">
        <v>3.2</v>
      </c>
      <c r="Z357" s="13">
        <v>3.2</v>
      </c>
      <c r="AA357" s="13" t="s">
        <v>550</v>
      </c>
      <c r="AB357" s="58">
        <v>43991</v>
      </c>
      <c r="AC357" s="58">
        <v>43980</v>
      </c>
      <c r="AD357" s="58">
        <v>43991</v>
      </c>
      <c r="AE357" s="58">
        <v>43983</v>
      </c>
      <c r="AF357" s="58">
        <v>43983</v>
      </c>
      <c r="AG357" s="58" t="s">
        <v>75</v>
      </c>
      <c r="AH357" s="59">
        <v>1</v>
      </c>
      <c r="AI357" s="59">
        <v>1</v>
      </c>
      <c r="AJ357" s="59">
        <v>1</v>
      </c>
      <c r="AK357" s="58" t="s">
        <v>8</v>
      </c>
      <c r="AL357" s="181" t="s">
        <v>72</v>
      </c>
      <c r="AM357" s="13"/>
      <c r="AN357" s="13"/>
    </row>
    <row r="358" spans="2:40" ht="15">
      <c r="B358" s="201">
        <v>239</v>
      </c>
      <c r="C358" s="13">
        <v>20200529</v>
      </c>
      <c r="D358" s="13" t="s">
        <v>311</v>
      </c>
      <c r="E358" s="13" t="s">
        <v>2045</v>
      </c>
      <c r="F358" s="14" t="s">
        <v>72</v>
      </c>
      <c r="G358" s="14">
        <v>1493209</v>
      </c>
      <c r="H358" s="164" t="s">
        <v>72</v>
      </c>
      <c r="I358" s="13" t="s">
        <v>2049</v>
      </c>
      <c r="J358" s="164" t="s">
        <v>72</v>
      </c>
      <c r="K358" s="13" t="s">
        <v>73</v>
      </c>
      <c r="L358" s="13" t="s">
        <v>8</v>
      </c>
      <c r="M358" s="13" t="s">
        <v>8</v>
      </c>
      <c r="N358" s="13" t="s">
        <v>2047</v>
      </c>
      <c r="O358" s="14" t="s">
        <v>2050</v>
      </c>
      <c r="P358" s="14" t="s">
        <v>2048</v>
      </c>
      <c r="Q358" s="165"/>
      <c r="R358" s="164" t="s">
        <v>72</v>
      </c>
      <c r="S358" s="13" t="s">
        <v>161</v>
      </c>
      <c r="T358" s="13"/>
      <c r="U358" s="13"/>
      <c r="V358" s="13">
        <v>15</v>
      </c>
      <c r="W358" s="13">
        <v>15</v>
      </c>
      <c r="X358" s="13">
        <v>15</v>
      </c>
      <c r="Y358" s="13">
        <v>0.92</v>
      </c>
      <c r="Z358" s="13">
        <v>1</v>
      </c>
      <c r="AA358" s="13" t="s">
        <v>550</v>
      </c>
      <c r="AB358" s="58">
        <v>43991</v>
      </c>
      <c r="AC358" s="58">
        <v>43980</v>
      </c>
      <c r="AD358" s="58">
        <v>43991</v>
      </c>
      <c r="AE358" s="58">
        <v>43983</v>
      </c>
      <c r="AF358" s="58">
        <v>43983</v>
      </c>
      <c r="AG358" s="58" t="s">
        <v>75</v>
      </c>
      <c r="AH358" s="59">
        <v>1</v>
      </c>
      <c r="AI358" s="59">
        <v>1</v>
      </c>
      <c r="AJ358" s="59">
        <v>1</v>
      </c>
      <c r="AK358" s="58" t="s">
        <v>8</v>
      </c>
      <c r="AL358" s="14" t="s">
        <v>72</v>
      </c>
      <c r="AM358" s="14" t="s">
        <v>72</v>
      </c>
      <c r="AN358" s="14" t="s">
        <v>72</v>
      </c>
    </row>
    <row r="359" spans="2:40" ht="15">
      <c r="B359" s="201">
        <v>240</v>
      </c>
      <c r="C359" s="13">
        <v>20200529</v>
      </c>
      <c r="D359" s="13" t="s">
        <v>311</v>
      </c>
      <c r="E359" s="13" t="s">
        <v>2045</v>
      </c>
      <c r="F359" s="14" t="s">
        <v>72</v>
      </c>
      <c r="G359" s="14">
        <v>1493209</v>
      </c>
      <c r="H359" s="164" t="s">
        <v>72</v>
      </c>
      <c r="I359" s="13" t="s">
        <v>2051</v>
      </c>
      <c r="J359" s="164" t="s">
        <v>72</v>
      </c>
      <c r="K359" s="13" t="s">
        <v>73</v>
      </c>
      <c r="L359" s="13" t="s">
        <v>8</v>
      </c>
      <c r="M359" s="13" t="s">
        <v>8</v>
      </c>
      <c r="N359" s="13" t="s">
        <v>2047</v>
      </c>
      <c r="O359" s="14" t="s">
        <v>2052</v>
      </c>
      <c r="P359" s="14" t="s">
        <v>2048</v>
      </c>
      <c r="Q359" s="165"/>
      <c r="R359" s="164" t="s">
        <v>72</v>
      </c>
      <c r="S359" s="13" t="s">
        <v>109</v>
      </c>
      <c r="T359" s="13"/>
      <c r="U359" s="13"/>
      <c r="V359" s="13">
        <v>149</v>
      </c>
      <c r="W359" s="13">
        <v>149</v>
      </c>
      <c r="X359" s="13">
        <v>149</v>
      </c>
      <c r="Y359" s="13">
        <v>9.16</v>
      </c>
      <c r="Z359" s="13">
        <v>9</v>
      </c>
      <c r="AA359" s="13" t="s">
        <v>550</v>
      </c>
      <c r="AB359" s="58">
        <v>43991</v>
      </c>
      <c r="AC359" s="58">
        <v>43980</v>
      </c>
      <c r="AD359" s="58">
        <v>43991</v>
      </c>
      <c r="AE359" s="58">
        <v>43987</v>
      </c>
      <c r="AF359" s="58">
        <v>43987</v>
      </c>
      <c r="AG359" s="58" t="s">
        <v>79</v>
      </c>
      <c r="AH359" s="59">
        <v>0.89</v>
      </c>
      <c r="AI359" s="59">
        <v>0.89</v>
      </c>
      <c r="AJ359" s="59">
        <v>0.95</v>
      </c>
      <c r="AK359" s="58" t="s">
        <v>76</v>
      </c>
      <c r="AL359" s="14" t="s">
        <v>2053</v>
      </c>
      <c r="AM359" s="181" t="s">
        <v>72</v>
      </c>
      <c r="AN359" s="14" t="s">
        <v>2054</v>
      </c>
    </row>
    <row r="360" spans="2:40" ht="15">
      <c r="B360" s="170">
        <v>241</v>
      </c>
      <c r="C360" s="13">
        <v>20200601</v>
      </c>
      <c r="D360" s="13" t="s">
        <v>24</v>
      </c>
      <c r="E360" s="13" t="s">
        <v>2375</v>
      </c>
      <c r="F360" s="39" t="s">
        <v>2056</v>
      </c>
      <c r="G360" s="13">
        <v>1462660</v>
      </c>
      <c r="H360" s="164" t="s">
        <v>72</v>
      </c>
      <c r="I360" s="13" t="s">
        <v>2057</v>
      </c>
      <c r="J360" s="164" t="s">
        <v>72</v>
      </c>
      <c r="K360" s="13" t="s">
        <v>73</v>
      </c>
      <c r="L360" s="13" t="s">
        <v>2058</v>
      </c>
      <c r="M360" s="13" t="s">
        <v>726</v>
      </c>
      <c r="N360" s="13" t="s">
        <v>2059</v>
      </c>
      <c r="O360" s="14" t="s">
        <v>72</v>
      </c>
      <c r="P360" s="14" t="s">
        <v>1805</v>
      </c>
      <c r="Q360" s="165"/>
      <c r="R360" s="164" t="s">
        <v>72</v>
      </c>
      <c r="S360" s="13" t="s">
        <v>77</v>
      </c>
      <c r="T360" s="13"/>
      <c r="U360" s="13"/>
      <c r="V360" s="13">
        <v>125</v>
      </c>
      <c r="W360" s="13">
        <v>125</v>
      </c>
      <c r="X360" s="13">
        <v>125</v>
      </c>
      <c r="Y360" s="13">
        <v>2.2200000000000002</v>
      </c>
      <c r="Z360" s="13">
        <v>0.2</v>
      </c>
      <c r="AA360" s="13" t="s">
        <v>550</v>
      </c>
      <c r="AB360" s="58">
        <v>43990</v>
      </c>
      <c r="AC360" s="58">
        <v>43983</v>
      </c>
      <c r="AD360" s="202">
        <v>43994</v>
      </c>
      <c r="AE360" s="58">
        <v>43986</v>
      </c>
      <c r="AF360" s="58">
        <v>43986</v>
      </c>
      <c r="AG360" s="58" t="s">
        <v>75</v>
      </c>
      <c r="AH360" s="59">
        <v>1</v>
      </c>
      <c r="AI360" s="59">
        <v>1</v>
      </c>
      <c r="AJ360" s="59">
        <v>1</v>
      </c>
      <c r="AK360" s="58" t="s">
        <v>8</v>
      </c>
      <c r="AL360" s="14" t="s">
        <v>72</v>
      </c>
      <c r="AM360" s="14" t="s">
        <v>72</v>
      </c>
      <c r="AN360" s="181" t="s">
        <v>72</v>
      </c>
    </row>
    <row r="361" spans="2:40" ht="15">
      <c r="B361" s="170">
        <v>242</v>
      </c>
      <c r="C361" s="13">
        <v>20200601</v>
      </c>
      <c r="D361" s="13" t="s">
        <v>24</v>
      </c>
      <c r="E361" s="13" t="s">
        <v>2375</v>
      </c>
      <c r="F361" s="39" t="s">
        <v>2060</v>
      </c>
      <c r="G361" s="13">
        <v>1462660</v>
      </c>
      <c r="H361" s="164" t="s">
        <v>72</v>
      </c>
      <c r="I361" s="13" t="s">
        <v>734</v>
      </c>
      <c r="J361" s="164" t="s">
        <v>72</v>
      </c>
      <c r="K361" s="13" t="s">
        <v>73</v>
      </c>
      <c r="L361" s="13" t="s">
        <v>2058</v>
      </c>
      <c r="M361" s="13" t="s">
        <v>726</v>
      </c>
      <c r="N361" s="13" t="s">
        <v>2059</v>
      </c>
      <c r="O361" s="14" t="s">
        <v>72</v>
      </c>
      <c r="P361" s="14" t="s">
        <v>1805</v>
      </c>
      <c r="Q361" s="165"/>
      <c r="R361" s="164" t="s">
        <v>72</v>
      </c>
      <c r="S361" s="13" t="s">
        <v>77</v>
      </c>
      <c r="T361" s="13"/>
      <c r="U361" s="13"/>
      <c r="V361" s="13">
        <v>108</v>
      </c>
      <c r="W361" s="13">
        <v>108</v>
      </c>
      <c r="X361" s="13">
        <v>108</v>
      </c>
      <c r="Y361" s="13">
        <v>1.92</v>
      </c>
      <c r="Z361" s="13">
        <v>0.1</v>
      </c>
      <c r="AA361" s="13" t="s">
        <v>550</v>
      </c>
      <c r="AB361" s="58">
        <v>43990</v>
      </c>
      <c r="AC361" s="58">
        <v>43983</v>
      </c>
      <c r="AD361" s="202">
        <v>43994</v>
      </c>
      <c r="AE361" s="58">
        <v>43986</v>
      </c>
      <c r="AF361" s="58">
        <v>43986</v>
      </c>
      <c r="AG361" s="58" t="s">
        <v>75</v>
      </c>
      <c r="AH361" s="59">
        <v>1</v>
      </c>
      <c r="AI361" s="59">
        <v>1</v>
      </c>
      <c r="AJ361" s="59">
        <v>1</v>
      </c>
      <c r="AK361" s="58" t="s">
        <v>8</v>
      </c>
      <c r="AL361" s="14" t="s">
        <v>72</v>
      </c>
      <c r="AM361" s="14" t="s">
        <v>72</v>
      </c>
      <c r="AN361" s="181" t="s">
        <v>72</v>
      </c>
    </row>
    <row r="362" spans="2:40" ht="15">
      <c r="B362" s="170">
        <v>243</v>
      </c>
      <c r="C362" s="13">
        <v>20200601</v>
      </c>
      <c r="D362" s="13" t="s">
        <v>24</v>
      </c>
      <c r="E362" s="13" t="s">
        <v>2376</v>
      </c>
      <c r="F362" s="39" t="s">
        <v>2062</v>
      </c>
      <c r="G362" s="13">
        <v>1405309</v>
      </c>
      <c r="H362" s="164" t="s">
        <v>72</v>
      </c>
      <c r="I362" s="13" t="s">
        <v>2063</v>
      </c>
      <c r="J362" s="164" t="s">
        <v>72</v>
      </c>
      <c r="K362" s="13" t="s">
        <v>73</v>
      </c>
      <c r="L362" s="203" t="s">
        <v>2064</v>
      </c>
      <c r="M362" s="13" t="s">
        <v>2065</v>
      </c>
      <c r="N362" t="s">
        <v>2066</v>
      </c>
      <c r="O362" s="14" t="s">
        <v>72</v>
      </c>
      <c r="P362" s="13" t="s">
        <v>2067</v>
      </c>
      <c r="Q362" s="165"/>
      <c r="R362" s="164" t="s">
        <v>72</v>
      </c>
      <c r="S362" s="13" t="s">
        <v>77</v>
      </c>
      <c r="T362" s="13"/>
      <c r="U362" s="13"/>
      <c r="V362" s="13">
        <v>60</v>
      </c>
      <c r="W362" s="13">
        <v>60</v>
      </c>
      <c r="X362" s="13">
        <v>60</v>
      </c>
      <c r="Y362" s="13">
        <v>1.06</v>
      </c>
      <c r="Z362" s="13">
        <v>0.5</v>
      </c>
      <c r="AA362" s="13" t="s">
        <v>110</v>
      </c>
      <c r="AB362" s="58">
        <v>43987</v>
      </c>
      <c r="AC362" s="58">
        <v>43983</v>
      </c>
      <c r="AD362" s="58">
        <v>43987</v>
      </c>
      <c r="AE362" s="58">
        <v>43983</v>
      </c>
      <c r="AF362" s="58">
        <v>43983</v>
      </c>
      <c r="AG362" s="58" t="s">
        <v>75</v>
      </c>
      <c r="AH362" s="59">
        <v>1</v>
      </c>
      <c r="AI362" s="59">
        <v>1</v>
      </c>
      <c r="AJ362" s="59">
        <v>1</v>
      </c>
      <c r="AK362" s="58" t="s">
        <v>8</v>
      </c>
      <c r="AL362" s="14" t="s">
        <v>72</v>
      </c>
      <c r="AM362" s="14" t="s">
        <v>72</v>
      </c>
      <c r="AN362" s="181" t="s">
        <v>72</v>
      </c>
    </row>
    <row r="363" spans="2:40" ht="15">
      <c r="B363" s="170">
        <v>244</v>
      </c>
      <c r="C363" s="13">
        <v>20200601</v>
      </c>
      <c r="D363" s="13" t="s">
        <v>24</v>
      </c>
      <c r="E363" s="13" t="s">
        <v>2376</v>
      </c>
      <c r="F363" s="39" t="s">
        <v>2068</v>
      </c>
      <c r="G363" s="13">
        <v>1405309</v>
      </c>
      <c r="H363" s="164" t="s">
        <v>72</v>
      </c>
      <c r="I363" s="13" t="s">
        <v>54</v>
      </c>
      <c r="J363" s="164" t="s">
        <v>72</v>
      </c>
      <c r="K363" s="13" t="s">
        <v>73</v>
      </c>
      <c r="L363" s="151" t="s">
        <v>2064</v>
      </c>
      <c r="M363" s="13" t="s">
        <v>2065</v>
      </c>
      <c r="N363" s="13" t="s">
        <v>2066</v>
      </c>
      <c r="O363" s="14" t="s">
        <v>72</v>
      </c>
      <c r="P363" s="14" t="s">
        <v>2067</v>
      </c>
      <c r="Q363" s="165"/>
      <c r="R363" s="164" t="s">
        <v>72</v>
      </c>
      <c r="S363" s="13" t="s">
        <v>77</v>
      </c>
      <c r="T363" s="13"/>
      <c r="U363" s="13"/>
      <c r="V363" s="13">
        <v>177</v>
      </c>
      <c r="W363" s="13">
        <v>177</v>
      </c>
      <c r="X363" s="13">
        <v>177</v>
      </c>
      <c r="Y363" s="13">
        <v>3.14</v>
      </c>
      <c r="Z363" s="13">
        <v>0.4</v>
      </c>
      <c r="AA363" s="13" t="s">
        <v>110</v>
      </c>
      <c r="AB363" s="58">
        <v>43987</v>
      </c>
      <c r="AC363" s="58">
        <v>43983</v>
      </c>
      <c r="AD363" s="58">
        <v>43987</v>
      </c>
      <c r="AE363" s="58">
        <v>43983</v>
      </c>
      <c r="AF363" s="58">
        <v>43983</v>
      </c>
      <c r="AG363" s="58" t="s">
        <v>75</v>
      </c>
      <c r="AH363" s="59">
        <v>1</v>
      </c>
      <c r="AI363" s="59">
        <v>1</v>
      </c>
      <c r="AJ363" s="59">
        <v>1</v>
      </c>
      <c r="AK363" s="58" t="s">
        <v>8</v>
      </c>
      <c r="AL363" s="14" t="s">
        <v>72</v>
      </c>
      <c r="AM363" s="14" t="s">
        <v>72</v>
      </c>
      <c r="AN363" s="181" t="s">
        <v>72</v>
      </c>
    </row>
    <row r="364" spans="2:40" ht="15">
      <c r="B364" s="170">
        <v>245</v>
      </c>
      <c r="C364" s="13">
        <v>20200601</v>
      </c>
      <c r="D364" s="13" t="s">
        <v>24</v>
      </c>
      <c r="E364" s="13" t="s">
        <v>1471</v>
      </c>
      <c r="F364" s="39" t="s">
        <v>2070</v>
      </c>
      <c r="G364" s="13">
        <v>1491873</v>
      </c>
      <c r="H364" s="164" t="s">
        <v>72</v>
      </c>
      <c r="I364" s="13" t="s">
        <v>123</v>
      </c>
      <c r="J364" s="164" t="s">
        <v>72</v>
      </c>
      <c r="K364" s="13" t="s">
        <v>73</v>
      </c>
      <c r="L364" s="13" t="s">
        <v>2071</v>
      </c>
      <c r="M364" s="13" t="s">
        <v>2072</v>
      </c>
      <c r="N364" t="s">
        <v>6</v>
      </c>
      <c r="O364" s="14" t="s">
        <v>72</v>
      </c>
      <c r="P364" s="13" t="s">
        <v>876</v>
      </c>
      <c r="Q364" s="165"/>
      <c r="R364" s="164" t="s">
        <v>72</v>
      </c>
      <c r="S364" s="13" t="s">
        <v>117</v>
      </c>
      <c r="T364" s="13"/>
      <c r="U364" s="13"/>
      <c r="V364" s="13">
        <v>88</v>
      </c>
      <c r="W364" s="13">
        <v>88</v>
      </c>
      <c r="X364" s="13">
        <v>88</v>
      </c>
      <c r="Y364" s="13">
        <v>1.56</v>
      </c>
      <c r="Z364" s="13">
        <v>1</v>
      </c>
      <c r="AA364" s="13" t="s">
        <v>550</v>
      </c>
      <c r="AB364" s="58">
        <v>43987</v>
      </c>
      <c r="AC364" s="58">
        <v>43983</v>
      </c>
      <c r="AD364" s="58">
        <v>43986</v>
      </c>
      <c r="AE364" s="58">
        <v>43986</v>
      </c>
      <c r="AF364" s="58">
        <v>43986</v>
      </c>
      <c r="AG364" s="58" t="s">
        <v>75</v>
      </c>
      <c r="AH364" s="59">
        <v>1</v>
      </c>
      <c r="AI364" s="59">
        <v>1</v>
      </c>
      <c r="AJ364" s="59">
        <v>1</v>
      </c>
      <c r="AK364" s="58" t="s">
        <v>8</v>
      </c>
      <c r="AL364" s="14" t="s">
        <v>72</v>
      </c>
      <c r="AM364" s="14" t="s">
        <v>72</v>
      </c>
      <c r="AN364" s="14" t="s">
        <v>72</v>
      </c>
    </row>
    <row r="365" spans="2:40" ht="15">
      <c r="B365" s="170">
        <v>246</v>
      </c>
      <c r="C365" s="13">
        <v>20200601</v>
      </c>
      <c r="D365" s="13" t="s">
        <v>24</v>
      </c>
      <c r="E365" s="13" t="s">
        <v>1471</v>
      </c>
      <c r="F365" s="39" t="s">
        <v>878</v>
      </c>
      <c r="G365" s="13">
        <v>1491873</v>
      </c>
      <c r="H365" s="164" t="s">
        <v>72</v>
      </c>
      <c r="I365" s="13" t="s">
        <v>123</v>
      </c>
      <c r="J365" s="164" t="s">
        <v>72</v>
      </c>
      <c r="K365" s="13" t="s">
        <v>73</v>
      </c>
      <c r="L365" s="13" t="s">
        <v>2071</v>
      </c>
      <c r="M365" s="13" t="s">
        <v>2072</v>
      </c>
      <c r="N365" s="13" t="s">
        <v>6</v>
      </c>
      <c r="O365" s="14" t="s">
        <v>72</v>
      </c>
      <c r="P365" s="14" t="s">
        <v>876</v>
      </c>
      <c r="Q365" s="165"/>
      <c r="R365" s="164" t="s">
        <v>72</v>
      </c>
      <c r="S365" s="13" t="s">
        <v>117</v>
      </c>
      <c r="T365" s="13"/>
      <c r="U365" s="13"/>
      <c r="V365" s="13">
        <v>88</v>
      </c>
      <c r="W365" s="13">
        <v>88</v>
      </c>
      <c r="X365" s="13">
        <v>88</v>
      </c>
      <c r="Y365" s="13">
        <v>1.56</v>
      </c>
      <c r="Z365" s="13">
        <v>1</v>
      </c>
      <c r="AA365" s="13" t="s">
        <v>550</v>
      </c>
      <c r="AB365" s="58">
        <v>43987</v>
      </c>
      <c r="AC365" s="58">
        <v>43983</v>
      </c>
      <c r="AD365" s="58">
        <v>43986</v>
      </c>
      <c r="AE365" s="58">
        <v>43986</v>
      </c>
      <c r="AF365" s="58">
        <v>43986</v>
      </c>
      <c r="AG365" s="58" t="s">
        <v>75</v>
      </c>
      <c r="AH365" s="59">
        <v>1</v>
      </c>
      <c r="AI365" s="59">
        <v>1</v>
      </c>
      <c r="AJ365" s="59">
        <v>1</v>
      </c>
      <c r="AK365" s="58" t="s">
        <v>8</v>
      </c>
      <c r="AL365" s="14" t="s">
        <v>72</v>
      </c>
      <c r="AM365" s="14" t="s">
        <v>72</v>
      </c>
      <c r="AN365" s="14" t="s">
        <v>72</v>
      </c>
    </row>
    <row r="366" spans="2:40" ht="15">
      <c r="B366" s="170">
        <v>247</v>
      </c>
      <c r="C366" s="13">
        <v>20200601</v>
      </c>
      <c r="D366" s="13" t="s">
        <v>24</v>
      </c>
      <c r="E366" s="13" t="s">
        <v>1471</v>
      </c>
      <c r="F366" s="39" t="s">
        <v>2070</v>
      </c>
      <c r="G366" s="13">
        <v>1475836</v>
      </c>
      <c r="H366" s="164" t="s">
        <v>72</v>
      </c>
      <c r="I366" s="13" t="s">
        <v>123</v>
      </c>
      <c r="J366" s="164" t="s">
        <v>72</v>
      </c>
      <c r="K366" s="13" t="s">
        <v>73</v>
      </c>
      <c r="L366" s="13" t="s">
        <v>1961</v>
      </c>
      <c r="M366" s="13" t="s">
        <v>2072</v>
      </c>
      <c r="N366" s="13" t="s">
        <v>6</v>
      </c>
      <c r="O366" s="14" t="s">
        <v>72</v>
      </c>
      <c r="P366" s="14" t="s">
        <v>876</v>
      </c>
      <c r="Q366" s="165"/>
      <c r="R366" s="164" t="s">
        <v>72</v>
      </c>
      <c r="S366" s="13" t="s">
        <v>117</v>
      </c>
      <c r="T366" s="13"/>
      <c r="U366" s="13"/>
      <c r="V366" s="13">
        <v>88</v>
      </c>
      <c r="W366" s="13">
        <v>88</v>
      </c>
      <c r="X366" s="13">
        <v>88</v>
      </c>
      <c r="Y366" s="13">
        <v>1.56</v>
      </c>
      <c r="Z366" s="13">
        <v>1</v>
      </c>
      <c r="AA366" s="13" t="s">
        <v>550</v>
      </c>
      <c r="AB366" s="58">
        <v>43990</v>
      </c>
      <c r="AC366" s="58">
        <v>43983</v>
      </c>
      <c r="AD366" s="202">
        <v>43994</v>
      </c>
      <c r="AE366" s="58">
        <v>43990</v>
      </c>
      <c r="AF366" s="58">
        <v>43990</v>
      </c>
      <c r="AG366" s="58" t="s">
        <v>75</v>
      </c>
      <c r="AH366" s="59">
        <v>1</v>
      </c>
      <c r="AI366" s="59">
        <v>1</v>
      </c>
      <c r="AJ366" s="59">
        <v>1</v>
      </c>
      <c r="AK366" s="58" t="s">
        <v>8</v>
      </c>
      <c r="AL366" s="14" t="s">
        <v>72</v>
      </c>
      <c r="AM366" s="14" t="s">
        <v>72</v>
      </c>
      <c r="AN366" s="14" t="s">
        <v>72</v>
      </c>
    </row>
    <row r="367" spans="2:40" ht="15">
      <c r="B367" s="170">
        <v>248</v>
      </c>
      <c r="C367" s="13">
        <v>20200601</v>
      </c>
      <c r="D367" s="13" t="s">
        <v>24</v>
      </c>
      <c r="E367" s="13" t="s">
        <v>1375</v>
      </c>
      <c r="F367" s="39" t="s">
        <v>804</v>
      </c>
      <c r="G367" s="13">
        <v>1460517</v>
      </c>
      <c r="H367" s="164" t="s">
        <v>72</v>
      </c>
      <c r="I367" s="13" t="s">
        <v>805</v>
      </c>
      <c r="J367" s="164" t="s">
        <v>72</v>
      </c>
      <c r="K367" s="13" t="s">
        <v>73</v>
      </c>
      <c r="L367" s="13" t="s">
        <v>2073</v>
      </c>
      <c r="M367" s="13" t="s">
        <v>585</v>
      </c>
      <c r="N367" s="13" t="s">
        <v>586</v>
      </c>
      <c r="O367" s="14" t="s">
        <v>72</v>
      </c>
      <c r="P367" s="14" t="s">
        <v>806</v>
      </c>
      <c r="Q367" s="165"/>
      <c r="R367" s="164" t="s">
        <v>72</v>
      </c>
      <c r="S367" s="13" t="s">
        <v>77</v>
      </c>
      <c r="T367" s="13"/>
      <c r="U367" s="13"/>
      <c r="V367" s="13">
        <v>1209</v>
      </c>
      <c r="W367" s="13">
        <v>1209</v>
      </c>
      <c r="X367" s="13">
        <v>1209</v>
      </c>
      <c r="Y367" s="13">
        <v>21.49</v>
      </c>
      <c r="Z367" s="13">
        <v>0.5</v>
      </c>
      <c r="AA367" s="13" t="s">
        <v>550</v>
      </c>
      <c r="AB367" s="58">
        <v>43985</v>
      </c>
      <c r="AC367" s="58">
        <v>43983</v>
      </c>
      <c r="AD367" s="58">
        <v>43985</v>
      </c>
      <c r="AE367" s="58">
        <v>43983</v>
      </c>
      <c r="AF367" s="58">
        <v>43983</v>
      </c>
      <c r="AG367" s="58" t="s">
        <v>75</v>
      </c>
      <c r="AH367" s="59">
        <v>1</v>
      </c>
      <c r="AI367" s="59">
        <v>1</v>
      </c>
      <c r="AJ367" s="59">
        <v>1</v>
      </c>
      <c r="AK367" s="58" t="s">
        <v>8</v>
      </c>
      <c r="AL367" s="14" t="s">
        <v>72</v>
      </c>
      <c r="AM367" s="14" t="s">
        <v>72</v>
      </c>
      <c r="AN367" s="181" t="s">
        <v>72</v>
      </c>
    </row>
    <row r="368" spans="2:40" ht="15">
      <c r="B368" s="170">
        <v>249</v>
      </c>
      <c r="C368" s="13">
        <v>20200601</v>
      </c>
      <c r="D368" s="13" t="s">
        <v>24</v>
      </c>
      <c r="E368" s="13" t="s">
        <v>1375</v>
      </c>
      <c r="F368" s="39" t="s">
        <v>2074</v>
      </c>
      <c r="G368" s="13">
        <v>1460517</v>
      </c>
      <c r="H368" s="164" t="s">
        <v>72</v>
      </c>
      <c r="I368" s="13" t="s">
        <v>2075</v>
      </c>
      <c r="J368" s="164" t="s">
        <v>72</v>
      </c>
      <c r="K368" s="13" t="s">
        <v>73</v>
      </c>
      <c r="L368" s="13" t="s">
        <v>2073</v>
      </c>
      <c r="M368" s="13" t="s">
        <v>585</v>
      </c>
      <c r="N368" s="13" t="s">
        <v>586</v>
      </c>
      <c r="O368" s="14" t="s">
        <v>72</v>
      </c>
      <c r="P368" s="14" t="s">
        <v>806</v>
      </c>
      <c r="Q368" s="165"/>
      <c r="R368" s="164" t="s">
        <v>72</v>
      </c>
      <c r="S368" s="13" t="s">
        <v>77</v>
      </c>
      <c r="T368" s="13"/>
      <c r="U368" s="13"/>
      <c r="V368" s="13">
        <v>48</v>
      </c>
      <c r="W368" s="13">
        <v>48</v>
      </c>
      <c r="X368" s="13">
        <v>48</v>
      </c>
      <c r="Y368" s="13">
        <v>0.85</v>
      </c>
      <c r="Z368" s="13">
        <v>0.2</v>
      </c>
      <c r="AA368" s="13" t="s">
        <v>550</v>
      </c>
      <c r="AB368" s="58">
        <v>43985</v>
      </c>
      <c r="AC368" s="58">
        <v>43983</v>
      </c>
      <c r="AD368" s="58">
        <v>43985</v>
      </c>
      <c r="AE368" s="58">
        <v>43983</v>
      </c>
      <c r="AF368" s="58">
        <v>43983</v>
      </c>
      <c r="AG368" s="58" t="s">
        <v>75</v>
      </c>
      <c r="AH368" s="59">
        <v>1</v>
      </c>
      <c r="AI368" s="59">
        <v>1</v>
      </c>
      <c r="AJ368" s="59">
        <v>1</v>
      </c>
      <c r="AK368" s="58" t="s">
        <v>8</v>
      </c>
      <c r="AL368" s="14" t="s">
        <v>72</v>
      </c>
      <c r="AM368" s="14" t="s">
        <v>72</v>
      </c>
      <c r="AN368" s="181" t="s">
        <v>72</v>
      </c>
    </row>
    <row r="369" spans="2:40" ht="15">
      <c r="B369" s="170">
        <v>250</v>
      </c>
      <c r="C369" s="13">
        <v>20200601</v>
      </c>
      <c r="D369" s="13" t="s">
        <v>24</v>
      </c>
      <c r="E369" s="13" t="s">
        <v>2374</v>
      </c>
      <c r="F369" s="39" t="s">
        <v>2076</v>
      </c>
      <c r="G369" s="13">
        <v>1465424</v>
      </c>
      <c r="H369" s="164" t="s">
        <v>72</v>
      </c>
      <c r="I369" s="13" t="s">
        <v>1117</v>
      </c>
      <c r="J369" s="164" t="s">
        <v>72</v>
      </c>
      <c r="K369" s="13" t="s">
        <v>73</v>
      </c>
      <c r="L369" s="13" t="s">
        <v>8</v>
      </c>
      <c r="M369" s="13" t="s">
        <v>19</v>
      </c>
      <c r="N369" s="13" t="s">
        <v>6</v>
      </c>
      <c r="O369" s="14" t="s">
        <v>72</v>
      </c>
      <c r="P369" s="14" t="s">
        <v>4</v>
      </c>
      <c r="Q369" s="165"/>
      <c r="R369" s="164" t="s">
        <v>72</v>
      </c>
      <c r="S369" s="13" t="s">
        <v>113</v>
      </c>
      <c r="T369" s="13"/>
      <c r="U369" s="13"/>
      <c r="V369" s="13">
        <v>200</v>
      </c>
      <c r="W369" s="13">
        <v>200</v>
      </c>
      <c r="X369" s="13">
        <v>200</v>
      </c>
      <c r="Y369" s="13">
        <v>3.55</v>
      </c>
      <c r="Z369" s="13">
        <v>3.55</v>
      </c>
      <c r="AA369" s="13" t="s">
        <v>550</v>
      </c>
      <c r="AB369" s="58">
        <v>43987</v>
      </c>
      <c r="AC369" s="58">
        <v>43983</v>
      </c>
      <c r="AD369" s="58">
        <v>43986</v>
      </c>
      <c r="AE369" s="58">
        <v>43984</v>
      </c>
      <c r="AF369" s="58">
        <v>43984</v>
      </c>
      <c r="AG369" s="58" t="s">
        <v>75</v>
      </c>
      <c r="AH369" s="59">
        <v>1</v>
      </c>
      <c r="AI369" s="59">
        <v>1</v>
      </c>
      <c r="AJ369" s="59">
        <v>1</v>
      </c>
      <c r="AK369" s="58" t="s">
        <v>8</v>
      </c>
      <c r="AL369" s="13"/>
      <c r="AM369" s="13"/>
      <c r="AN369" s="13"/>
    </row>
    <row r="370" spans="2:40" ht="15">
      <c r="B370" s="170">
        <v>251</v>
      </c>
      <c r="C370" s="13">
        <v>20200601</v>
      </c>
      <c r="D370" s="13" t="s">
        <v>24</v>
      </c>
      <c r="E370" s="13" t="s">
        <v>2374</v>
      </c>
      <c r="F370" s="39" t="s">
        <v>2077</v>
      </c>
      <c r="G370" s="13">
        <v>1465424</v>
      </c>
      <c r="H370" s="164" t="s">
        <v>72</v>
      </c>
      <c r="I370" s="13" t="s">
        <v>2078</v>
      </c>
      <c r="J370" s="164" t="s">
        <v>72</v>
      </c>
      <c r="K370" s="13" t="s">
        <v>73</v>
      </c>
      <c r="L370" s="13" t="s">
        <v>8</v>
      </c>
      <c r="M370" s="13" t="s">
        <v>19</v>
      </c>
      <c r="N370" s="13" t="s">
        <v>6</v>
      </c>
      <c r="O370" s="14" t="s">
        <v>72</v>
      </c>
      <c r="P370" s="14" t="s">
        <v>4</v>
      </c>
      <c r="Q370" s="165"/>
      <c r="R370" s="164" t="s">
        <v>72</v>
      </c>
      <c r="S370" s="13" t="s">
        <v>113</v>
      </c>
      <c r="T370" s="13"/>
      <c r="U370" s="13"/>
      <c r="V370" s="13">
        <v>61</v>
      </c>
      <c r="W370" s="13">
        <v>61</v>
      </c>
      <c r="X370" s="13">
        <v>61</v>
      </c>
      <c r="Y370" s="13">
        <v>1.08</v>
      </c>
      <c r="Z370" s="13">
        <v>1.08</v>
      </c>
      <c r="AA370" s="13" t="s">
        <v>550</v>
      </c>
      <c r="AB370" s="58">
        <v>43987</v>
      </c>
      <c r="AC370" s="58">
        <v>43983</v>
      </c>
      <c r="AD370" s="58">
        <v>43986</v>
      </c>
      <c r="AE370" s="58">
        <v>43984</v>
      </c>
      <c r="AF370" s="58">
        <v>43984</v>
      </c>
      <c r="AG370" s="58" t="s">
        <v>75</v>
      </c>
      <c r="AH370" s="59">
        <v>1</v>
      </c>
      <c r="AI370" s="59">
        <v>1</v>
      </c>
      <c r="AJ370" s="59">
        <v>1</v>
      </c>
      <c r="AK370" s="58" t="s">
        <v>8</v>
      </c>
      <c r="AL370" s="13"/>
      <c r="AM370" s="13"/>
      <c r="AN370" s="13"/>
    </row>
    <row r="371" spans="2:40" ht="15">
      <c r="B371" s="170">
        <v>252</v>
      </c>
      <c r="C371" s="13">
        <v>20200601</v>
      </c>
      <c r="D371" s="13" t="s">
        <v>24</v>
      </c>
      <c r="E371" s="13" t="s">
        <v>2374</v>
      </c>
      <c r="F371" s="39" t="s">
        <v>2079</v>
      </c>
      <c r="G371" s="13">
        <v>1465424</v>
      </c>
      <c r="H371" s="164" t="s">
        <v>72</v>
      </c>
      <c r="I371" s="13" t="s">
        <v>2080</v>
      </c>
      <c r="J371" s="164" t="s">
        <v>72</v>
      </c>
      <c r="K371" s="13" t="s">
        <v>73</v>
      </c>
      <c r="L371" s="13" t="s">
        <v>8</v>
      </c>
      <c r="M371" s="13" t="s">
        <v>19</v>
      </c>
      <c r="N371" s="13" t="s">
        <v>6</v>
      </c>
      <c r="O371" s="14" t="s">
        <v>72</v>
      </c>
      <c r="P371" s="14" t="s">
        <v>4</v>
      </c>
      <c r="Q371" s="165"/>
      <c r="R371" s="164" t="s">
        <v>72</v>
      </c>
      <c r="S371" s="13" t="s">
        <v>109</v>
      </c>
      <c r="T371" s="13"/>
      <c r="U371" s="13"/>
      <c r="V371" s="13">
        <v>238</v>
      </c>
      <c r="W371" s="13">
        <v>238</v>
      </c>
      <c r="X371" s="13">
        <v>238</v>
      </c>
      <c r="Y371" s="13">
        <v>4.2300000000000004</v>
      </c>
      <c r="Z371" s="13">
        <v>2</v>
      </c>
      <c r="AA371" s="13" t="s">
        <v>550</v>
      </c>
      <c r="AB371" s="58">
        <v>43987</v>
      </c>
      <c r="AC371" s="58">
        <v>43983</v>
      </c>
      <c r="AD371" s="58">
        <v>43986</v>
      </c>
      <c r="AE371" s="58">
        <v>43986</v>
      </c>
      <c r="AF371" s="58">
        <v>43986</v>
      </c>
      <c r="AG371" s="58" t="s">
        <v>75</v>
      </c>
      <c r="AH371" s="59">
        <v>1</v>
      </c>
      <c r="AI371" s="59">
        <v>1</v>
      </c>
      <c r="AJ371" s="59">
        <v>1</v>
      </c>
      <c r="AK371" s="58" t="s">
        <v>8</v>
      </c>
      <c r="AL371" s="13"/>
      <c r="AM371" s="13"/>
      <c r="AN371" s="13"/>
    </row>
    <row r="372" spans="2:40" ht="15">
      <c r="B372" s="170">
        <v>253</v>
      </c>
      <c r="C372" s="13">
        <v>20200601</v>
      </c>
      <c r="D372" s="13" t="s">
        <v>24</v>
      </c>
      <c r="E372" s="13" t="s">
        <v>2374</v>
      </c>
      <c r="F372" s="39" t="s">
        <v>2081</v>
      </c>
      <c r="G372" s="13">
        <v>1465424</v>
      </c>
      <c r="H372" s="164" t="s">
        <v>72</v>
      </c>
      <c r="I372" s="13" t="s">
        <v>2082</v>
      </c>
      <c r="J372" s="164" t="s">
        <v>72</v>
      </c>
      <c r="K372" s="13" t="s">
        <v>73</v>
      </c>
      <c r="L372" s="13" t="s">
        <v>8</v>
      </c>
      <c r="M372" s="13" t="s">
        <v>19</v>
      </c>
      <c r="N372" s="13" t="s">
        <v>6</v>
      </c>
      <c r="O372" s="14" t="s">
        <v>72</v>
      </c>
      <c r="P372" s="14" t="s">
        <v>4</v>
      </c>
      <c r="Q372" s="165"/>
      <c r="R372" s="164" t="s">
        <v>72</v>
      </c>
      <c r="S372" s="13" t="s">
        <v>113</v>
      </c>
      <c r="T372" s="13"/>
      <c r="U372" s="13"/>
      <c r="V372" s="13">
        <v>163</v>
      </c>
      <c r="W372" s="13">
        <v>163</v>
      </c>
      <c r="X372" s="13">
        <v>163</v>
      </c>
      <c r="Y372" s="13">
        <v>2.89</v>
      </c>
      <c r="Z372" s="13">
        <v>2.89</v>
      </c>
      <c r="AA372" s="13" t="s">
        <v>550</v>
      </c>
      <c r="AB372" s="58">
        <v>43987</v>
      </c>
      <c r="AC372" s="58">
        <v>43983</v>
      </c>
      <c r="AD372" s="58">
        <v>43986</v>
      </c>
      <c r="AE372" s="58">
        <v>43985</v>
      </c>
      <c r="AF372" s="58">
        <v>43985</v>
      </c>
      <c r="AG372" s="58" t="s">
        <v>75</v>
      </c>
      <c r="AH372" s="59">
        <v>1</v>
      </c>
      <c r="AI372" s="59">
        <v>1</v>
      </c>
      <c r="AJ372" s="59">
        <v>1</v>
      </c>
      <c r="AK372" s="58" t="s">
        <v>8</v>
      </c>
      <c r="AL372" s="13"/>
      <c r="AM372" s="13"/>
      <c r="AN372" s="13"/>
    </row>
    <row r="373" spans="2:40" ht="15">
      <c r="B373" s="170">
        <v>254</v>
      </c>
      <c r="C373" s="13">
        <v>20200601</v>
      </c>
      <c r="D373" s="13" t="s">
        <v>24</v>
      </c>
      <c r="E373" s="13" t="s">
        <v>2374</v>
      </c>
      <c r="F373" s="39" t="s">
        <v>2083</v>
      </c>
      <c r="G373" s="13">
        <v>1465424</v>
      </c>
      <c r="H373" s="164" t="s">
        <v>72</v>
      </c>
      <c r="I373" s="13" t="s">
        <v>2084</v>
      </c>
      <c r="J373" s="164" t="s">
        <v>72</v>
      </c>
      <c r="K373" s="13" t="s">
        <v>73</v>
      </c>
      <c r="L373" s="13" t="s">
        <v>8</v>
      </c>
      <c r="M373" s="13" t="s">
        <v>19</v>
      </c>
      <c r="N373" s="13" t="s">
        <v>6</v>
      </c>
      <c r="O373" s="14" t="s">
        <v>72</v>
      </c>
      <c r="P373" s="14" t="s">
        <v>4</v>
      </c>
      <c r="Q373" s="165"/>
      <c r="R373" s="164" t="s">
        <v>72</v>
      </c>
      <c r="S373" s="13" t="s">
        <v>113</v>
      </c>
      <c r="T373" s="13"/>
      <c r="U373" s="13"/>
      <c r="V373" s="13">
        <v>88</v>
      </c>
      <c r="W373" s="13">
        <v>88</v>
      </c>
      <c r="X373" s="13">
        <v>88</v>
      </c>
      <c r="Y373" s="13">
        <v>1.56</v>
      </c>
      <c r="Z373" s="13">
        <v>1.56</v>
      </c>
      <c r="AA373" s="13" t="s">
        <v>550</v>
      </c>
      <c r="AB373" s="58">
        <v>43987</v>
      </c>
      <c r="AC373" s="58">
        <v>43983</v>
      </c>
      <c r="AD373" s="58">
        <v>43986</v>
      </c>
      <c r="AE373" s="58">
        <v>43985</v>
      </c>
      <c r="AF373" s="58">
        <v>43985</v>
      </c>
      <c r="AG373" s="58" t="s">
        <v>75</v>
      </c>
      <c r="AH373" s="59">
        <v>1</v>
      </c>
      <c r="AI373" s="59">
        <v>1</v>
      </c>
      <c r="AJ373" s="59">
        <v>1</v>
      </c>
      <c r="AK373" s="58" t="s">
        <v>8</v>
      </c>
      <c r="AL373" s="13"/>
      <c r="AM373" s="13"/>
      <c r="AN373" s="13"/>
    </row>
    <row r="374" spans="2:40" ht="15">
      <c r="B374" s="170">
        <v>255</v>
      </c>
      <c r="C374" s="13">
        <v>20200601</v>
      </c>
      <c r="D374" s="13" t="s">
        <v>24</v>
      </c>
      <c r="E374" s="13" t="s">
        <v>2374</v>
      </c>
      <c r="F374" s="39" t="s">
        <v>2085</v>
      </c>
      <c r="G374" s="13">
        <v>1465424</v>
      </c>
      <c r="H374" s="164" t="s">
        <v>72</v>
      </c>
      <c r="I374" s="13" t="s">
        <v>2086</v>
      </c>
      <c r="J374" s="164" t="s">
        <v>72</v>
      </c>
      <c r="K374" s="13" t="s">
        <v>73</v>
      </c>
      <c r="L374" s="13" t="s">
        <v>8</v>
      </c>
      <c r="M374" s="13" t="s">
        <v>19</v>
      </c>
      <c r="N374" s="13" t="s">
        <v>6</v>
      </c>
      <c r="O374" s="14" t="s">
        <v>72</v>
      </c>
      <c r="P374" s="14" t="s">
        <v>4</v>
      </c>
      <c r="Q374" s="165"/>
      <c r="R374" s="164" t="s">
        <v>72</v>
      </c>
      <c r="S374" s="13" t="s">
        <v>113</v>
      </c>
      <c r="T374" s="13"/>
      <c r="U374" s="13"/>
      <c r="V374" s="13">
        <v>197</v>
      </c>
      <c r="W374" s="13">
        <v>197</v>
      </c>
      <c r="X374" s="13">
        <v>197</v>
      </c>
      <c r="Y374" s="13">
        <v>3.5</v>
      </c>
      <c r="Z374" s="13">
        <v>3.5</v>
      </c>
      <c r="AA374" s="13" t="s">
        <v>550</v>
      </c>
      <c r="AB374" s="58">
        <v>43987</v>
      </c>
      <c r="AC374" s="58">
        <v>43983</v>
      </c>
      <c r="AD374" s="58">
        <v>43986</v>
      </c>
      <c r="AE374" s="58">
        <v>43985</v>
      </c>
      <c r="AF374" s="58">
        <v>43985</v>
      </c>
      <c r="AG374" s="58" t="s">
        <v>75</v>
      </c>
      <c r="AH374" s="59">
        <v>1</v>
      </c>
      <c r="AI374" s="59">
        <v>1</v>
      </c>
      <c r="AJ374" s="59">
        <v>1</v>
      </c>
      <c r="AK374" s="58" t="s">
        <v>8</v>
      </c>
      <c r="AL374" s="13"/>
      <c r="AM374" s="13"/>
      <c r="AN374" s="13"/>
    </row>
    <row r="375" spans="2:40" ht="15">
      <c r="B375" s="170">
        <v>256</v>
      </c>
      <c r="C375" s="13">
        <v>20200601</v>
      </c>
      <c r="D375" s="13" t="s">
        <v>24</v>
      </c>
      <c r="E375" s="13" t="s">
        <v>2374</v>
      </c>
      <c r="F375" s="39" t="s">
        <v>2087</v>
      </c>
      <c r="G375" s="13">
        <v>1465424</v>
      </c>
      <c r="H375" s="164" t="s">
        <v>72</v>
      </c>
      <c r="I375" s="13" t="s">
        <v>2088</v>
      </c>
      <c r="J375" s="164" t="s">
        <v>72</v>
      </c>
      <c r="K375" s="13" t="s">
        <v>73</v>
      </c>
      <c r="L375" s="13" t="s">
        <v>8</v>
      </c>
      <c r="M375" s="13" t="s">
        <v>19</v>
      </c>
      <c r="N375" s="13" t="s">
        <v>6</v>
      </c>
      <c r="O375" s="14" t="s">
        <v>72</v>
      </c>
      <c r="P375" s="14" t="s">
        <v>4</v>
      </c>
      <c r="Q375" s="165"/>
      <c r="R375" s="164" t="s">
        <v>72</v>
      </c>
      <c r="S375" s="13" t="s">
        <v>113</v>
      </c>
      <c r="T375" s="13"/>
      <c r="U375" s="13"/>
      <c r="V375" s="13">
        <v>26</v>
      </c>
      <c r="W375" s="13">
        <v>26</v>
      </c>
      <c r="X375" s="13">
        <v>26</v>
      </c>
      <c r="Y375" s="13">
        <v>0.46</v>
      </c>
      <c r="Z375" s="13">
        <v>0.46</v>
      </c>
      <c r="AA375" s="13" t="s">
        <v>550</v>
      </c>
      <c r="AB375" s="58">
        <v>43987</v>
      </c>
      <c r="AC375" s="58">
        <v>43983</v>
      </c>
      <c r="AD375" s="58">
        <v>43986</v>
      </c>
      <c r="AE375" s="58">
        <v>43985</v>
      </c>
      <c r="AF375" s="58">
        <v>43985</v>
      </c>
      <c r="AG375" s="58" t="s">
        <v>75</v>
      </c>
      <c r="AH375" s="59">
        <v>1</v>
      </c>
      <c r="AI375" s="59">
        <v>1</v>
      </c>
      <c r="AJ375" s="59">
        <v>1</v>
      </c>
      <c r="AK375" s="58" t="s">
        <v>8</v>
      </c>
      <c r="AL375" s="13"/>
      <c r="AM375" s="13"/>
      <c r="AN375" s="13"/>
    </row>
    <row r="376" spans="2:40" ht="15">
      <c r="B376" s="170">
        <v>257</v>
      </c>
      <c r="C376" s="13">
        <v>20200601</v>
      </c>
      <c r="D376" s="13" t="s">
        <v>24</v>
      </c>
      <c r="E376" s="13" t="s">
        <v>2374</v>
      </c>
      <c r="F376" s="39" t="s">
        <v>2089</v>
      </c>
      <c r="G376" s="13">
        <v>1465424</v>
      </c>
      <c r="H376" s="164" t="s">
        <v>72</v>
      </c>
      <c r="I376" s="13" t="s">
        <v>1272</v>
      </c>
      <c r="J376" s="164" t="s">
        <v>72</v>
      </c>
      <c r="K376" s="13" t="s">
        <v>73</v>
      </c>
      <c r="L376" s="13" t="s">
        <v>8</v>
      </c>
      <c r="M376" s="13" t="s">
        <v>19</v>
      </c>
      <c r="N376" s="13" t="s">
        <v>6</v>
      </c>
      <c r="O376" s="14" t="s">
        <v>72</v>
      </c>
      <c r="P376" s="14" t="s">
        <v>4</v>
      </c>
      <c r="Q376" s="165"/>
      <c r="R376" s="164" t="s">
        <v>72</v>
      </c>
      <c r="S376" s="13" t="s">
        <v>113</v>
      </c>
      <c r="T376" s="13"/>
      <c r="U376" s="13"/>
      <c r="V376" s="13">
        <v>128</v>
      </c>
      <c r="W376" s="13">
        <v>128</v>
      </c>
      <c r="X376" s="13">
        <v>128</v>
      </c>
      <c r="Y376" s="13">
        <v>2.27</v>
      </c>
      <c r="Z376" s="13">
        <v>2.27</v>
      </c>
      <c r="AA376" s="13" t="s">
        <v>550</v>
      </c>
      <c r="AB376" s="58">
        <v>43987</v>
      </c>
      <c r="AC376" s="58">
        <v>43983</v>
      </c>
      <c r="AD376" s="58">
        <v>43986</v>
      </c>
      <c r="AE376" s="58">
        <v>43985</v>
      </c>
      <c r="AF376" s="58">
        <v>43985</v>
      </c>
      <c r="AG376" s="58" t="s">
        <v>75</v>
      </c>
      <c r="AH376" s="59">
        <v>1</v>
      </c>
      <c r="AI376" s="59">
        <v>1</v>
      </c>
      <c r="AJ376" s="59">
        <v>1</v>
      </c>
      <c r="AK376" s="58" t="s">
        <v>8</v>
      </c>
      <c r="AL376" s="13"/>
      <c r="AM376" s="13"/>
      <c r="AN376" s="13"/>
    </row>
    <row r="377" spans="2:40" ht="15">
      <c r="B377" s="170">
        <v>258</v>
      </c>
      <c r="C377" s="13">
        <v>20200601</v>
      </c>
      <c r="D377" s="13" t="s">
        <v>24</v>
      </c>
      <c r="E377" s="13" t="s">
        <v>2374</v>
      </c>
      <c r="F377" s="39" t="s">
        <v>605</v>
      </c>
      <c r="G377" s="13">
        <v>1465424</v>
      </c>
      <c r="H377" s="164" t="s">
        <v>72</v>
      </c>
      <c r="I377" s="13" t="s">
        <v>20</v>
      </c>
      <c r="J377" s="164" t="s">
        <v>72</v>
      </c>
      <c r="K377" s="13" t="s">
        <v>73</v>
      </c>
      <c r="L377" s="13" t="s">
        <v>8</v>
      </c>
      <c r="M377" s="13" t="s">
        <v>19</v>
      </c>
      <c r="N377" s="13" t="s">
        <v>6</v>
      </c>
      <c r="O377" s="14" t="s">
        <v>72</v>
      </c>
      <c r="P377" s="14" t="s">
        <v>4</v>
      </c>
      <c r="Q377" s="165"/>
      <c r="R377" s="164" t="s">
        <v>72</v>
      </c>
      <c r="S377" s="13" t="s">
        <v>113</v>
      </c>
      <c r="T377" s="13"/>
      <c r="U377" s="13"/>
      <c r="V377" s="13">
        <v>726</v>
      </c>
      <c r="W377" s="13">
        <v>726</v>
      </c>
      <c r="X377" s="13">
        <v>726</v>
      </c>
      <c r="Y377" s="13">
        <v>12.9</v>
      </c>
      <c r="Z377" s="13">
        <v>12.9</v>
      </c>
      <c r="AA377" s="13" t="s">
        <v>550</v>
      </c>
      <c r="AB377" s="58">
        <v>43987</v>
      </c>
      <c r="AC377" s="58">
        <v>43983</v>
      </c>
      <c r="AD377" s="58">
        <v>43986</v>
      </c>
      <c r="AE377" s="58">
        <v>43984</v>
      </c>
      <c r="AF377" s="58">
        <v>43984</v>
      </c>
      <c r="AG377" s="58" t="s">
        <v>79</v>
      </c>
      <c r="AH377" s="59">
        <v>1</v>
      </c>
      <c r="AI377" s="59">
        <v>1</v>
      </c>
      <c r="AJ377" s="59">
        <v>0.8</v>
      </c>
      <c r="AK377" s="58" t="s">
        <v>76</v>
      </c>
      <c r="AL377" s="13" t="s">
        <v>2090</v>
      </c>
      <c r="AM377" s="13"/>
      <c r="AN377" s="13" t="s">
        <v>2091</v>
      </c>
    </row>
    <row r="378" spans="2:40" ht="15">
      <c r="B378" s="170">
        <v>259</v>
      </c>
      <c r="C378" s="13">
        <v>20200601</v>
      </c>
      <c r="D378" s="13" t="s">
        <v>24</v>
      </c>
      <c r="E378" s="13" t="s">
        <v>2374</v>
      </c>
      <c r="F378" s="39" t="s">
        <v>1124</v>
      </c>
      <c r="G378" s="13">
        <v>1465424</v>
      </c>
      <c r="H378" s="164" t="s">
        <v>72</v>
      </c>
      <c r="I378" s="13" t="s">
        <v>751</v>
      </c>
      <c r="J378" s="164" t="s">
        <v>72</v>
      </c>
      <c r="K378" s="13" t="s">
        <v>73</v>
      </c>
      <c r="L378" s="13" t="s">
        <v>8</v>
      </c>
      <c r="M378" s="13" t="s">
        <v>19</v>
      </c>
      <c r="N378" s="13" t="s">
        <v>6</v>
      </c>
      <c r="O378" s="14" t="s">
        <v>72</v>
      </c>
      <c r="P378" s="14" t="s">
        <v>4</v>
      </c>
      <c r="Q378" s="165"/>
      <c r="R378" s="164" t="s">
        <v>72</v>
      </c>
      <c r="S378" s="13" t="s">
        <v>109</v>
      </c>
      <c r="T378" s="13"/>
      <c r="U378" s="13"/>
      <c r="V378" s="13">
        <v>367</v>
      </c>
      <c r="W378" s="13">
        <v>367</v>
      </c>
      <c r="X378" s="13">
        <v>367</v>
      </c>
      <c r="Y378" s="13">
        <v>6.52</v>
      </c>
      <c r="Z378" s="13">
        <v>1</v>
      </c>
      <c r="AA378" s="13" t="s">
        <v>550</v>
      </c>
      <c r="AB378" s="58">
        <v>43987</v>
      </c>
      <c r="AC378" s="58">
        <v>43983</v>
      </c>
      <c r="AD378" s="58">
        <v>43986</v>
      </c>
      <c r="AE378" s="58">
        <v>43983</v>
      </c>
      <c r="AF378" s="58">
        <v>43983</v>
      </c>
      <c r="AG378" s="58" t="s">
        <v>75</v>
      </c>
      <c r="AH378" s="59">
        <v>1</v>
      </c>
      <c r="AI378" s="59">
        <v>1</v>
      </c>
      <c r="AJ378" s="59">
        <v>1</v>
      </c>
      <c r="AK378" s="58" t="s">
        <v>8</v>
      </c>
      <c r="AL378" s="181" t="s">
        <v>72</v>
      </c>
      <c r="AM378" s="181" t="s">
        <v>72</v>
      </c>
      <c r="AN378" s="181" t="s">
        <v>72</v>
      </c>
    </row>
    <row r="379" spans="2:40" ht="15">
      <c r="B379" s="170">
        <v>260</v>
      </c>
      <c r="C379" s="13">
        <v>20200601</v>
      </c>
      <c r="D379" s="13" t="s">
        <v>24</v>
      </c>
      <c r="E379" s="13" t="s">
        <v>2374</v>
      </c>
      <c r="F379" s="39" t="s">
        <v>2092</v>
      </c>
      <c r="G379" s="13">
        <v>1465424</v>
      </c>
      <c r="H379" s="164" t="s">
        <v>72</v>
      </c>
      <c r="I379" s="13" t="s">
        <v>49</v>
      </c>
      <c r="J379" s="164" t="s">
        <v>72</v>
      </c>
      <c r="K379" s="13" t="s">
        <v>73</v>
      </c>
      <c r="L379" s="13" t="s">
        <v>8</v>
      </c>
      <c r="M379" s="13" t="s">
        <v>19</v>
      </c>
      <c r="N379" s="13" t="s">
        <v>6</v>
      </c>
      <c r="O379" s="14" t="s">
        <v>72</v>
      </c>
      <c r="P379" s="14" t="s">
        <v>4</v>
      </c>
      <c r="Q379" s="165"/>
      <c r="R379" s="164" t="s">
        <v>72</v>
      </c>
      <c r="S379" s="13" t="s">
        <v>109</v>
      </c>
      <c r="T379" s="13"/>
      <c r="U379" s="13"/>
      <c r="V379" s="13">
        <v>744</v>
      </c>
      <c r="W379" s="13">
        <v>744</v>
      </c>
      <c r="X379" s="13">
        <v>744</v>
      </c>
      <c r="Y379" s="13">
        <v>13.22</v>
      </c>
      <c r="Z379" s="13">
        <v>2</v>
      </c>
      <c r="AA379" s="13" t="s">
        <v>550</v>
      </c>
      <c r="AB379" s="58">
        <v>43987</v>
      </c>
      <c r="AC379" s="58">
        <v>43983</v>
      </c>
      <c r="AD379" s="58">
        <v>43986</v>
      </c>
      <c r="AE379" s="58">
        <v>43984</v>
      </c>
      <c r="AF379" s="58">
        <v>43984</v>
      </c>
      <c r="AG379" s="58" t="s">
        <v>75</v>
      </c>
      <c r="AH379" s="59">
        <v>1</v>
      </c>
      <c r="AI379" s="59">
        <v>1</v>
      </c>
      <c r="AJ379" s="59">
        <v>1</v>
      </c>
      <c r="AK379" s="58" t="s">
        <v>8</v>
      </c>
      <c r="AL379" s="181" t="s">
        <v>72</v>
      </c>
      <c r="AM379" s="181" t="s">
        <v>72</v>
      </c>
      <c r="AN379" s="181" t="s">
        <v>72</v>
      </c>
    </row>
    <row r="380" spans="2:40" ht="15">
      <c r="B380" s="170">
        <v>261</v>
      </c>
      <c r="C380" s="13">
        <v>20200601</v>
      </c>
      <c r="D380" s="13" t="s">
        <v>24</v>
      </c>
      <c r="E380" s="13" t="s">
        <v>2374</v>
      </c>
      <c r="F380" s="39" t="s">
        <v>2093</v>
      </c>
      <c r="G380" s="13">
        <v>1465424</v>
      </c>
      <c r="H380" s="164" t="s">
        <v>72</v>
      </c>
      <c r="I380" s="13" t="s">
        <v>757</v>
      </c>
      <c r="J380" s="164" t="s">
        <v>72</v>
      </c>
      <c r="K380" s="13" t="s">
        <v>73</v>
      </c>
      <c r="L380" s="13" t="s">
        <v>8</v>
      </c>
      <c r="M380" s="13" t="s">
        <v>19</v>
      </c>
      <c r="N380" s="13" t="s">
        <v>6</v>
      </c>
      <c r="O380" s="14" t="s">
        <v>72</v>
      </c>
      <c r="P380" s="14" t="s">
        <v>4</v>
      </c>
      <c r="Q380" s="165"/>
      <c r="R380" s="164" t="s">
        <v>72</v>
      </c>
      <c r="S380" s="13" t="s">
        <v>109</v>
      </c>
      <c r="T380" s="13"/>
      <c r="U380" s="13"/>
      <c r="V380" s="13">
        <v>90</v>
      </c>
      <c r="W380" s="13">
        <v>90</v>
      </c>
      <c r="X380" s="13">
        <v>90</v>
      </c>
      <c r="Y380" s="13">
        <v>1.6</v>
      </c>
      <c r="Z380" s="13">
        <v>1</v>
      </c>
      <c r="AA380" s="13" t="s">
        <v>550</v>
      </c>
      <c r="AB380" s="58">
        <v>43987</v>
      </c>
      <c r="AC380" s="58">
        <v>43983</v>
      </c>
      <c r="AD380" s="58">
        <v>43986</v>
      </c>
      <c r="AE380" s="58">
        <v>43984</v>
      </c>
      <c r="AF380" s="58">
        <v>43984</v>
      </c>
      <c r="AG380" s="58" t="s">
        <v>75</v>
      </c>
      <c r="AH380" s="59">
        <v>1</v>
      </c>
      <c r="AI380" s="59">
        <v>1</v>
      </c>
      <c r="AJ380" s="59">
        <v>1</v>
      </c>
      <c r="AK380" s="58" t="s">
        <v>8</v>
      </c>
      <c r="AL380" s="181" t="s">
        <v>72</v>
      </c>
      <c r="AM380" s="181" t="s">
        <v>72</v>
      </c>
      <c r="AN380" s="181" t="s">
        <v>72</v>
      </c>
    </row>
    <row r="381" spans="2:40" ht="15">
      <c r="B381" s="170">
        <v>262</v>
      </c>
      <c r="C381" s="13">
        <v>20200601</v>
      </c>
      <c r="D381" s="13" t="s">
        <v>24</v>
      </c>
      <c r="E381" s="13" t="s">
        <v>2374</v>
      </c>
      <c r="F381" s="39" t="s">
        <v>2094</v>
      </c>
      <c r="G381" s="13">
        <v>1465424</v>
      </c>
      <c r="H381" s="164" t="s">
        <v>72</v>
      </c>
      <c r="I381" s="13" t="s">
        <v>759</v>
      </c>
      <c r="J381" s="164" t="s">
        <v>72</v>
      </c>
      <c r="K381" s="13" t="s">
        <v>73</v>
      </c>
      <c r="L381" s="13" t="s">
        <v>8</v>
      </c>
      <c r="M381" s="13" t="s">
        <v>19</v>
      </c>
      <c r="N381" s="13" t="s">
        <v>6</v>
      </c>
      <c r="O381" s="14" t="s">
        <v>72</v>
      </c>
      <c r="P381" s="14" t="s">
        <v>4</v>
      </c>
      <c r="Q381" s="165"/>
      <c r="R381" s="164" t="s">
        <v>72</v>
      </c>
      <c r="S381" s="13" t="s">
        <v>109</v>
      </c>
      <c r="T381" s="13"/>
      <c r="U381" s="13"/>
      <c r="V381" s="13">
        <v>575</v>
      </c>
      <c r="W381" s="13">
        <v>575</v>
      </c>
      <c r="X381" s="13">
        <v>575</v>
      </c>
      <c r="Y381" s="13">
        <v>10.220000000000001</v>
      </c>
      <c r="Z381" s="13">
        <v>2</v>
      </c>
      <c r="AA381" s="13" t="s">
        <v>550</v>
      </c>
      <c r="AB381" s="58">
        <v>43987</v>
      </c>
      <c r="AC381" s="58">
        <v>43983</v>
      </c>
      <c r="AD381" s="58">
        <v>43986</v>
      </c>
      <c r="AE381" s="58">
        <v>43984</v>
      </c>
      <c r="AF381" s="58">
        <v>43984</v>
      </c>
      <c r="AG381" s="58" t="s">
        <v>75</v>
      </c>
      <c r="AH381" s="59">
        <v>1</v>
      </c>
      <c r="AI381" s="59">
        <v>1</v>
      </c>
      <c r="AJ381" s="59">
        <v>1</v>
      </c>
      <c r="AK381" s="58" t="s">
        <v>8</v>
      </c>
      <c r="AL381" s="181" t="s">
        <v>72</v>
      </c>
      <c r="AM381" s="181" t="s">
        <v>72</v>
      </c>
      <c r="AN381" s="181" t="s">
        <v>72</v>
      </c>
    </row>
    <row r="382" spans="2:40" ht="15">
      <c r="B382" s="170">
        <v>263</v>
      </c>
      <c r="C382" s="13">
        <v>20200601</v>
      </c>
      <c r="D382" s="13" t="s">
        <v>24</v>
      </c>
      <c r="E382" s="13" t="s">
        <v>2374</v>
      </c>
      <c r="F382" s="39" t="s">
        <v>2095</v>
      </c>
      <c r="G382" s="13">
        <v>1465424</v>
      </c>
      <c r="H382" s="164" t="s">
        <v>72</v>
      </c>
      <c r="I382" s="13" t="s">
        <v>130</v>
      </c>
      <c r="J382" s="164" t="s">
        <v>72</v>
      </c>
      <c r="K382" s="13" t="s">
        <v>73</v>
      </c>
      <c r="L382" s="13" t="s">
        <v>8</v>
      </c>
      <c r="M382" s="13" t="s">
        <v>19</v>
      </c>
      <c r="N382" s="13" t="s">
        <v>6</v>
      </c>
      <c r="O382" s="14" t="s">
        <v>72</v>
      </c>
      <c r="P382" s="14" t="s">
        <v>4</v>
      </c>
      <c r="Q382" s="165"/>
      <c r="R382" s="164" t="s">
        <v>72</v>
      </c>
      <c r="S382" s="13" t="s">
        <v>117</v>
      </c>
      <c r="T382" s="13"/>
      <c r="U382" s="13"/>
      <c r="V382" s="13">
        <v>261</v>
      </c>
      <c r="W382" s="13">
        <v>261</v>
      </c>
      <c r="X382" s="13">
        <v>261</v>
      </c>
      <c r="Y382" s="13">
        <v>4.6399999999999997</v>
      </c>
      <c r="Z382" s="13">
        <v>2</v>
      </c>
      <c r="AA382" s="13" t="s">
        <v>550</v>
      </c>
      <c r="AB382" s="58">
        <v>43987</v>
      </c>
      <c r="AC382" s="58">
        <v>43983</v>
      </c>
      <c r="AD382" s="58">
        <v>43986</v>
      </c>
      <c r="AE382" s="58">
        <v>43986</v>
      </c>
      <c r="AF382" s="58">
        <v>43986</v>
      </c>
      <c r="AG382" s="58" t="s">
        <v>75</v>
      </c>
      <c r="AH382" s="59">
        <v>1</v>
      </c>
      <c r="AI382" s="59">
        <v>1</v>
      </c>
      <c r="AJ382" s="59">
        <v>1</v>
      </c>
      <c r="AK382" s="58" t="s">
        <v>8</v>
      </c>
      <c r="AL382" s="14" t="s">
        <v>72</v>
      </c>
      <c r="AM382" s="14" t="s">
        <v>72</v>
      </c>
      <c r="AN382" s="14" t="s">
        <v>72</v>
      </c>
    </row>
    <row r="383" spans="2:40" ht="15">
      <c r="B383" s="170">
        <v>264</v>
      </c>
      <c r="C383" s="13">
        <v>20200601</v>
      </c>
      <c r="D383" s="13" t="s">
        <v>24</v>
      </c>
      <c r="E383" s="13" t="s">
        <v>2374</v>
      </c>
      <c r="F383" s="39" t="s">
        <v>2096</v>
      </c>
      <c r="G383" s="13">
        <v>1465424</v>
      </c>
      <c r="H383" s="164" t="s">
        <v>72</v>
      </c>
      <c r="I383" s="13" t="s">
        <v>1487</v>
      </c>
      <c r="J383" s="164" t="s">
        <v>72</v>
      </c>
      <c r="K383" s="13" t="s">
        <v>73</v>
      </c>
      <c r="L383" s="13" t="s">
        <v>8</v>
      </c>
      <c r="M383" s="13" t="s">
        <v>19</v>
      </c>
      <c r="N383" s="13" t="s">
        <v>6</v>
      </c>
      <c r="O383" s="14" t="s">
        <v>72</v>
      </c>
      <c r="P383" s="14" t="s">
        <v>4</v>
      </c>
      <c r="Q383" s="165"/>
      <c r="R383" s="164" t="s">
        <v>72</v>
      </c>
      <c r="S383" s="13" t="s">
        <v>74</v>
      </c>
      <c r="T383" s="13"/>
      <c r="U383" s="13"/>
      <c r="V383" s="13">
        <v>45</v>
      </c>
      <c r="W383" s="13">
        <v>45</v>
      </c>
      <c r="X383" s="13">
        <v>45</v>
      </c>
      <c r="Y383" s="13">
        <v>0.8</v>
      </c>
      <c r="Z383" s="13">
        <v>1</v>
      </c>
      <c r="AA383" s="13" t="s">
        <v>550</v>
      </c>
      <c r="AB383" s="58">
        <v>43987</v>
      </c>
      <c r="AC383" s="58">
        <v>43983</v>
      </c>
      <c r="AD383" s="58">
        <v>43986</v>
      </c>
      <c r="AE383" s="58">
        <v>43984</v>
      </c>
      <c r="AF383" s="58">
        <v>43984</v>
      </c>
      <c r="AG383" s="58" t="s">
        <v>75</v>
      </c>
      <c r="AH383" s="59">
        <v>1</v>
      </c>
      <c r="AI383" s="59">
        <v>1</v>
      </c>
      <c r="AJ383" s="59">
        <v>1</v>
      </c>
      <c r="AK383" s="58" t="s">
        <v>8</v>
      </c>
      <c r="AL383" s="13"/>
      <c r="AM383" s="13"/>
      <c r="AN383" s="13"/>
    </row>
    <row r="384" spans="2:40" ht="15">
      <c r="B384" s="170">
        <v>265</v>
      </c>
      <c r="C384" s="13">
        <v>20200601</v>
      </c>
      <c r="D384" s="13" t="s">
        <v>24</v>
      </c>
      <c r="E384" s="13" t="s">
        <v>2374</v>
      </c>
      <c r="F384" s="39" t="s">
        <v>605</v>
      </c>
      <c r="G384" s="13">
        <v>1476796</v>
      </c>
      <c r="H384" s="164" t="s">
        <v>72</v>
      </c>
      <c r="I384" s="13" t="s">
        <v>20</v>
      </c>
      <c r="J384" s="164" t="s">
        <v>72</v>
      </c>
      <c r="K384" s="13" t="s">
        <v>73</v>
      </c>
      <c r="L384" s="13" t="s">
        <v>1961</v>
      </c>
      <c r="M384" s="13" t="s">
        <v>19</v>
      </c>
      <c r="N384" s="13" t="s">
        <v>6</v>
      </c>
      <c r="O384" s="14" t="s">
        <v>72</v>
      </c>
      <c r="P384" s="14" t="s">
        <v>4</v>
      </c>
      <c r="Q384" s="165"/>
      <c r="R384" s="164" t="s">
        <v>72</v>
      </c>
      <c r="S384" s="13" t="s">
        <v>74</v>
      </c>
      <c r="T384" s="13"/>
      <c r="U384" s="13"/>
      <c r="V384" s="13">
        <v>726</v>
      </c>
      <c r="W384" s="13">
        <v>726</v>
      </c>
      <c r="X384" s="13">
        <v>726</v>
      </c>
      <c r="Y384" s="13">
        <v>12.9</v>
      </c>
      <c r="Z384" s="13">
        <v>2</v>
      </c>
      <c r="AA384" s="13" t="s">
        <v>550</v>
      </c>
      <c r="AB384" s="58">
        <v>43987</v>
      </c>
      <c r="AC384" s="58">
        <v>43983</v>
      </c>
      <c r="AD384" s="58">
        <v>43986</v>
      </c>
      <c r="AE384" s="58">
        <v>43984</v>
      </c>
      <c r="AF384" s="58">
        <v>43984</v>
      </c>
      <c r="AG384" s="58" t="s">
        <v>79</v>
      </c>
      <c r="AH384" s="59">
        <v>1</v>
      </c>
      <c r="AI384" s="59">
        <v>1</v>
      </c>
      <c r="AJ384" s="59">
        <v>0.8</v>
      </c>
      <c r="AK384" s="58" t="s">
        <v>76</v>
      </c>
      <c r="AL384" s="13" t="s">
        <v>2097</v>
      </c>
      <c r="AM384" s="13"/>
      <c r="AN384" s="13" t="s">
        <v>2091</v>
      </c>
    </row>
    <row r="385" spans="2:40" ht="15">
      <c r="B385" s="170">
        <v>266</v>
      </c>
      <c r="C385" s="13">
        <v>20200601</v>
      </c>
      <c r="D385" s="13" t="s">
        <v>24</v>
      </c>
      <c r="E385" s="13" t="s">
        <v>2377</v>
      </c>
      <c r="F385" s="39" t="s">
        <v>1244</v>
      </c>
      <c r="G385" s="13">
        <v>1495558</v>
      </c>
      <c r="H385" s="164" t="s">
        <v>72</v>
      </c>
      <c r="I385" s="13" t="s">
        <v>123</v>
      </c>
      <c r="J385" s="164" t="s">
        <v>72</v>
      </c>
      <c r="K385" s="13" t="s">
        <v>73</v>
      </c>
      <c r="L385" s="13" t="s">
        <v>2099</v>
      </c>
      <c r="M385" s="13" t="s">
        <v>697</v>
      </c>
      <c r="N385" s="13" t="s">
        <v>6</v>
      </c>
      <c r="O385" s="14" t="s">
        <v>72</v>
      </c>
      <c r="P385" s="14" t="s">
        <v>1246</v>
      </c>
      <c r="Q385" s="165"/>
      <c r="R385" s="164" t="s">
        <v>72</v>
      </c>
      <c r="S385" s="13" t="s">
        <v>74</v>
      </c>
      <c r="T385" s="13"/>
      <c r="U385" s="13"/>
      <c r="V385" s="13">
        <v>88</v>
      </c>
      <c r="W385" s="13">
        <v>88</v>
      </c>
      <c r="X385" s="13">
        <v>88</v>
      </c>
      <c r="Y385" s="13">
        <v>1.56</v>
      </c>
      <c r="Z385" s="13">
        <v>0.5</v>
      </c>
      <c r="AA385" s="13" t="s">
        <v>550</v>
      </c>
      <c r="AB385" s="58">
        <v>43990</v>
      </c>
      <c r="AC385" s="58">
        <v>43983</v>
      </c>
      <c r="AD385" s="202">
        <v>43994</v>
      </c>
      <c r="AE385" s="58">
        <v>43984</v>
      </c>
      <c r="AF385" s="58">
        <v>43984</v>
      </c>
      <c r="AG385" s="58" t="s">
        <v>75</v>
      </c>
      <c r="AH385" s="59">
        <v>1</v>
      </c>
      <c r="AI385" s="59">
        <v>1</v>
      </c>
      <c r="AJ385" s="59">
        <v>1</v>
      </c>
      <c r="AK385" s="58" t="s">
        <v>8</v>
      </c>
      <c r="AL385" s="13"/>
      <c r="AM385" s="13"/>
      <c r="AN385" s="13"/>
    </row>
    <row r="386" spans="2:40" ht="15">
      <c r="B386" s="170">
        <v>267</v>
      </c>
      <c r="C386" s="13">
        <v>20200601</v>
      </c>
      <c r="D386" s="13" t="s">
        <v>24</v>
      </c>
      <c r="E386" s="13" t="s">
        <v>2377</v>
      </c>
      <c r="F386" s="39" t="s">
        <v>2100</v>
      </c>
      <c r="G386" s="13">
        <v>1495558</v>
      </c>
      <c r="H386" s="164" t="s">
        <v>72</v>
      </c>
      <c r="I386" s="13" t="s">
        <v>120</v>
      </c>
      <c r="J386" s="164" t="s">
        <v>72</v>
      </c>
      <c r="K386" s="13" t="s">
        <v>73</v>
      </c>
      <c r="L386" s="13" t="s">
        <v>2099</v>
      </c>
      <c r="M386" s="13" t="s">
        <v>697</v>
      </c>
      <c r="N386" s="13" t="s">
        <v>6</v>
      </c>
      <c r="O386" s="14" t="s">
        <v>72</v>
      </c>
      <c r="P386" s="14" t="s">
        <v>1246</v>
      </c>
      <c r="Q386" s="165"/>
      <c r="R386" s="164" t="s">
        <v>72</v>
      </c>
      <c r="S386" s="13" t="s">
        <v>74</v>
      </c>
      <c r="T386" s="13"/>
      <c r="U386" s="13"/>
      <c r="V386" s="13">
        <v>42</v>
      </c>
      <c r="W386" s="13">
        <v>42</v>
      </c>
      <c r="X386" s="13">
        <v>42</v>
      </c>
      <c r="Y386" s="13">
        <v>0.74</v>
      </c>
      <c r="Z386" s="13">
        <v>0.5</v>
      </c>
      <c r="AA386" s="13" t="s">
        <v>550</v>
      </c>
      <c r="AB386" s="58">
        <v>43990</v>
      </c>
      <c r="AC386" s="58">
        <v>43983</v>
      </c>
      <c r="AD386" s="202">
        <v>43994</v>
      </c>
      <c r="AE386" s="58">
        <v>43984</v>
      </c>
      <c r="AF386" s="58">
        <v>43984</v>
      </c>
      <c r="AG386" s="58" t="s">
        <v>75</v>
      </c>
      <c r="AH386" s="59">
        <v>1</v>
      </c>
      <c r="AI386" s="59">
        <v>1</v>
      </c>
      <c r="AJ386" s="59">
        <v>1</v>
      </c>
      <c r="AK386" s="58" t="s">
        <v>8</v>
      </c>
      <c r="AL386" s="13"/>
      <c r="AM386" s="13"/>
      <c r="AN386" s="13"/>
    </row>
    <row r="387" spans="2:40" ht="15">
      <c r="B387" s="170">
        <v>268</v>
      </c>
      <c r="C387" s="13">
        <v>20200601</v>
      </c>
      <c r="D387" s="13" t="s">
        <v>24</v>
      </c>
      <c r="E387" s="13" t="s">
        <v>2377</v>
      </c>
      <c r="F387" s="39" t="s">
        <v>1247</v>
      </c>
      <c r="G387" s="13">
        <v>1495558</v>
      </c>
      <c r="H387" s="164" t="s">
        <v>72</v>
      </c>
      <c r="I387" s="13" t="s">
        <v>123</v>
      </c>
      <c r="J387" s="164" t="s">
        <v>72</v>
      </c>
      <c r="K387" s="13" t="s">
        <v>73</v>
      </c>
      <c r="L387" s="13" t="s">
        <v>2101</v>
      </c>
      <c r="M387" s="13" t="s">
        <v>697</v>
      </c>
      <c r="N387" s="13" t="s">
        <v>6</v>
      </c>
      <c r="O387" s="14" t="s">
        <v>72</v>
      </c>
      <c r="P387" s="14" t="s">
        <v>1246</v>
      </c>
      <c r="Q387" s="165"/>
      <c r="R387" s="164" t="s">
        <v>72</v>
      </c>
      <c r="S387" s="13" t="s">
        <v>74</v>
      </c>
      <c r="T387" s="13"/>
      <c r="U387" s="13"/>
      <c r="V387" s="13">
        <v>88</v>
      </c>
      <c r="W387" s="13">
        <v>88</v>
      </c>
      <c r="X387" s="13">
        <v>88</v>
      </c>
      <c r="Y387" s="13">
        <v>1.56</v>
      </c>
      <c r="Z387" s="13">
        <v>0.5</v>
      </c>
      <c r="AA387" s="13" t="s">
        <v>550</v>
      </c>
      <c r="AB387" s="58">
        <v>43990</v>
      </c>
      <c r="AC387" s="58">
        <v>43983</v>
      </c>
      <c r="AD387" s="202">
        <v>43994</v>
      </c>
      <c r="AE387" s="58">
        <v>43984</v>
      </c>
      <c r="AF387" s="58">
        <v>43984</v>
      </c>
      <c r="AG387" s="58" t="s">
        <v>75</v>
      </c>
      <c r="AH387" s="59">
        <v>1</v>
      </c>
      <c r="AI387" s="59">
        <v>1</v>
      </c>
      <c r="AJ387" s="59">
        <v>1</v>
      </c>
      <c r="AK387" s="58" t="s">
        <v>8</v>
      </c>
      <c r="AL387" s="13"/>
      <c r="AM387" s="13"/>
      <c r="AN387" s="13"/>
    </row>
    <row r="388" spans="2:40" ht="15">
      <c r="B388" s="170">
        <v>269</v>
      </c>
      <c r="C388" s="13">
        <v>20200601</v>
      </c>
      <c r="D388" s="13" t="s">
        <v>24</v>
      </c>
      <c r="E388" s="13" t="s">
        <v>2377</v>
      </c>
      <c r="F388" s="39" t="s">
        <v>2102</v>
      </c>
      <c r="G388" s="13">
        <v>1495558</v>
      </c>
      <c r="H388" s="164" t="s">
        <v>72</v>
      </c>
      <c r="I388" s="13" t="s">
        <v>120</v>
      </c>
      <c r="J388" s="164" t="s">
        <v>72</v>
      </c>
      <c r="K388" s="13" t="s">
        <v>73</v>
      </c>
      <c r="L388" s="13" t="s">
        <v>2101</v>
      </c>
      <c r="M388" s="13" t="s">
        <v>697</v>
      </c>
      <c r="N388" s="13" t="s">
        <v>6</v>
      </c>
      <c r="O388" s="14" t="s">
        <v>72</v>
      </c>
      <c r="P388" s="14" t="s">
        <v>1246</v>
      </c>
      <c r="Q388" s="165"/>
      <c r="R388" s="164" t="s">
        <v>72</v>
      </c>
      <c r="S388" s="13" t="s">
        <v>74</v>
      </c>
      <c r="T388" s="13"/>
      <c r="U388" s="13"/>
      <c r="V388" s="13">
        <v>42</v>
      </c>
      <c r="W388" s="13">
        <v>42</v>
      </c>
      <c r="X388" s="13">
        <v>42</v>
      </c>
      <c r="Y388" s="13">
        <v>0.74</v>
      </c>
      <c r="Z388" s="13">
        <v>0.5</v>
      </c>
      <c r="AA388" s="13" t="s">
        <v>550</v>
      </c>
      <c r="AB388" s="58">
        <v>43990</v>
      </c>
      <c r="AC388" s="58">
        <v>43983</v>
      </c>
      <c r="AD388" s="202">
        <v>43994</v>
      </c>
      <c r="AE388" s="58">
        <v>43984</v>
      </c>
      <c r="AF388" s="58">
        <v>43984</v>
      </c>
      <c r="AG388" s="58" t="s">
        <v>75</v>
      </c>
      <c r="AH388" s="59">
        <v>1</v>
      </c>
      <c r="AI388" s="59">
        <v>1</v>
      </c>
      <c r="AJ388" s="59">
        <v>1</v>
      </c>
      <c r="AK388" s="58" t="s">
        <v>8</v>
      </c>
      <c r="AL388" s="13"/>
      <c r="AM388" s="13"/>
      <c r="AN388" s="13"/>
    </row>
    <row r="389" spans="2:40" ht="15">
      <c r="B389" s="170">
        <v>270</v>
      </c>
      <c r="C389" s="13">
        <v>20200601</v>
      </c>
      <c r="D389" s="13" t="s">
        <v>24</v>
      </c>
      <c r="E389" s="13" t="s">
        <v>1435</v>
      </c>
      <c r="F389" s="39" t="s">
        <v>605</v>
      </c>
      <c r="G389" s="13">
        <v>1495747</v>
      </c>
      <c r="H389" s="164" t="s">
        <v>72</v>
      </c>
      <c r="I389" s="13" t="s">
        <v>20</v>
      </c>
      <c r="J389" s="164" t="s">
        <v>72</v>
      </c>
      <c r="K389" s="13" t="s">
        <v>73</v>
      </c>
      <c r="L389" s="13" t="s">
        <v>28</v>
      </c>
      <c r="M389" s="13" t="s">
        <v>52</v>
      </c>
      <c r="N389" s="13" t="s">
        <v>6</v>
      </c>
      <c r="O389" s="14" t="s">
        <v>72</v>
      </c>
      <c r="P389" s="14" t="s">
        <v>4</v>
      </c>
      <c r="Q389" s="165"/>
      <c r="R389" s="164" t="s">
        <v>72</v>
      </c>
      <c r="S389" s="13" t="s">
        <v>74</v>
      </c>
      <c r="T389" s="13"/>
      <c r="U389" s="13"/>
      <c r="V389" s="13">
        <v>726</v>
      </c>
      <c r="W389" s="13">
        <v>726</v>
      </c>
      <c r="X389" s="13">
        <v>726</v>
      </c>
      <c r="Y389" s="13">
        <v>12.9</v>
      </c>
      <c r="Z389" s="13">
        <v>0.5</v>
      </c>
      <c r="AA389" s="13" t="s">
        <v>550</v>
      </c>
      <c r="AB389" s="58">
        <v>43990</v>
      </c>
      <c r="AC389" s="58">
        <v>43983</v>
      </c>
      <c r="AD389" s="202">
        <v>43994</v>
      </c>
      <c r="AE389" s="58">
        <v>43984</v>
      </c>
      <c r="AF389" s="58">
        <v>43984</v>
      </c>
      <c r="AG389" s="58" t="s">
        <v>79</v>
      </c>
      <c r="AH389" s="59">
        <v>1</v>
      </c>
      <c r="AI389" s="59">
        <v>1</v>
      </c>
      <c r="AJ389" s="59">
        <v>0.8</v>
      </c>
      <c r="AK389" s="58" t="s">
        <v>76</v>
      </c>
      <c r="AL389" s="13" t="s">
        <v>2097</v>
      </c>
      <c r="AM389" s="13"/>
      <c r="AN389" s="13" t="s">
        <v>2091</v>
      </c>
    </row>
    <row r="390" spans="2:40" ht="15">
      <c r="B390" s="170">
        <v>271</v>
      </c>
      <c r="C390" s="13">
        <v>20200601</v>
      </c>
      <c r="D390" s="13" t="s">
        <v>24</v>
      </c>
      <c r="E390" s="13" t="s">
        <v>1422</v>
      </c>
      <c r="F390" s="4" t="s">
        <v>2103</v>
      </c>
      <c r="G390" s="13">
        <v>1493621</v>
      </c>
      <c r="H390" s="164" t="s">
        <v>72</v>
      </c>
      <c r="I390" s="13" t="s">
        <v>130</v>
      </c>
      <c r="J390" s="164" t="s">
        <v>72</v>
      </c>
      <c r="K390" s="13" t="s">
        <v>73</v>
      </c>
      <c r="L390" s="13" t="s">
        <v>27</v>
      </c>
      <c r="M390" s="13" t="s">
        <v>1787</v>
      </c>
      <c r="N390" s="167" t="s">
        <v>9</v>
      </c>
      <c r="O390" s="14" t="s">
        <v>72</v>
      </c>
      <c r="P390" s="14" t="s">
        <v>7</v>
      </c>
      <c r="Q390" s="165"/>
      <c r="R390" s="164" t="s">
        <v>72</v>
      </c>
      <c r="S390" s="13" t="s">
        <v>117</v>
      </c>
      <c r="T390" s="13"/>
      <c r="U390" s="13"/>
      <c r="V390" s="13">
        <v>261</v>
      </c>
      <c r="W390" s="53">
        <v>291</v>
      </c>
      <c r="X390" s="13">
        <v>291</v>
      </c>
      <c r="Y390" s="13">
        <v>5.17</v>
      </c>
      <c r="Z390" s="13">
        <v>1</v>
      </c>
      <c r="AA390" s="13" t="s">
        <v>550</v>
      </c>
      <c r="AB390" s="58">
        <v>43985</v>
      </c>
      <c r="AC390" s="58">
        <v>43983</v>
      </c>
      <c r="AD390" s="58">
        <v>43985</v>
      </c>
      <c r="AE390" s="58">
        <v>43985</v>
      </c>
      <c r="AF390" s="58">
        <v>43985</v>
      </c>
      <c r="AG390" s="58" t="s">
        <v>75</v>
      </c>
      <c r="AH390" s="59">
        <v>1</v>
      </c>
      <c r="AI390" s="59">
        <v>1</v>
      </c>
      <c r="AJ390" s="59">
        <v>1</v>
      </c>
      <c r="AK390" s="58" t="s">
        <v>8</v>
      </c>
      <c r="AL390" s="181" t="s">
        <v>72</v>
      </c>
      <c r="AM390" s="181" t="s">
        <v>72</v>
      </c>
      <c r="AN390" s="13" t="s">
        <v>2104</v>
      </c>
    </row>
    <row r="391" spans="2:40" ht="15">
      <c r="B391" s="170">
        <v>272</v>
      </c>
      <c r="C391" s="13">
        <v>20200601</v>
      </c>
      <c r="D391" s="13" t="s">
        <v>311</v>
      </c>
      <c r="E391" s="13" t="s">
        <v>1469</v>
      </c>
      <c r="F391" s="14" t="s">
        <v>72</v>
      </c>
      <c r="G391" s="13">
        <v>1496047</v>
      </c>
      <c r="H391" s="164" t="s">
        <v>72</v>
      </c>
      <c r="I391" s="13" t="s">
        <v>2105</v>
      </c>
      <c r="J391" s="164" t="s">
        <v>72</v>
      </c>
      <c r="K391" s="13" t="s">
        <v>73</v>
      </c>
      <c r="L391" s="13" t="s">
        <v>8</v>
      </c>
      <c r="M391" s="13" t="s">
        <v>1787</v>
      </c>
      <c r="N391" s="13">
        <v>1496047</v>
      </c>
      <c r="O391" s="14" t="s">
        <v>613</v>
      </c>
      <c r="P391" s="14" t="s">
        <v>1299</v>
      </c>
      <c r="Q391" s="165"/>
      <c r="R391" s="164" t="s">
        <v>72</v>
      </c>
      <c r="S391" s="13" t="s">
        <v>161</v>
      </c>
      <c r="T391" s="13"/>
      <c r="U391" s="13"/>
      <c r="V391" s="13">
        <v>16</v>
      </c>
      <c r="W391" s="13">
        <v>16</v>
      </c>
      <c r="X391" s="13">
        <v>16</v>
      </c>
      <c r="Y391" s="13">
        <v>0.98</v>
      </c>
      <c r="Z391" s="13">
        <v>0.9</v>
      </c>
      <c r="AA391" s="13" t="s">
        <v>550</v>
      </c>
      <c r="AB391" s="58">
        <v>43985</v>
      </c>
      <c r="AC391" s="58">
        <v>43983</v>
      </c>
      <c r="AD391" s="58">
        <v>43985</v>
      </c>
      <c r="AE391" s="58">
        <v>43985</v>
      </c>
      <c r="AF391" s="58">
        <v>43985</v>
      </c>
      <c r="AG391" s="58" t="s">
        <v>79</v>
      </c>
      <c r="AH391" s="59">
        <v>0.88900000000000001</v>
      </c>
      <c r="AI391" s="59">
        <v>0.88900000000000001</v>
      </c>
      <c r="AJ391" s="59">
        <v>0.83299999999999996</v>
      </c>
      <c r="AK391" s="58" t="s">
        <v>76</v>
      </c>
      <c r="AL391" s="13" t="s">
        <v>2106</v>
      </c>
      <c r="AM391" s="13"/>
      <c r="AN391" s="13" t="s">
        <v>2091</v>
      </c>
    </row>
    <row r="392" spans="2:40" ht="15">
      <c r="B392" s="170">
        <v>273</v>
      </c>
      <c r="C392" s="13">
        <v>20200601</v>
      </c>
      <c r="D392" s="13" t="s">
        <v>311</v>
      </c>
      <c r="E392" s="13" t="s">
        <v>1375</v>
      </c>
      <c r="F392" s="14" t="s">
        <v>72</v>
      </c>
      <c r="G392" s="13">
        <v>1495862</v>
      </c>
      <c r="H392" s="164" t="s">
        <v>72</v>
      </c>
      <c r="I392" s="13" t="s">
        <v>2107</v>
      </c>
      <c r="J392" s="164" t="s">
        <v>72</v>
      </c>
      <c r="K392" s="13" t="s">
        <v>73</v>
      </c>
      <c r="L392" s="13" t="s">
        <v>8</v>
      </c>
      <c r="M392" s="13" t="s">
        <v>585</v>
      </c>
      <c r="N392" s="13">
        <v>1495862</v>
      </c>
      <c r="O392" s="14" t="s">
        <v>2108</v>
      </c>
      <c r="P392" s="14" t="s">
        <v>2109</v>
      </c>
      <c r="Q392" s="165"/>
      <c r="R392" s="164" t="s">
        <v>72</v>
      </c>
      <c r="S392" s="13" t="s">
        <v>74</v>
      </c>
      <c r="T392" s="13"/>
      <c r="U392" s="13"/>
      <c r="V392" s="13">
        <v>31</v>
      </c>
      <c r="W392" s="13">
        <v>31</v>
      </c>
      <c r="X392" s="13">
        <v>31</v>
      </c>
      <c r="Y392" s="13">
        <v>1.9</v>
      </c>
      <c r="Z392" s="13">
        <v>1</v>
      </c>
      <c r="AA392" s="13" t="s">
        <v>550</v>
      </c>
      <c r="AB392" s="58">
        <v>43985</v>
      </c>
      <c r="AC392" s="58">
        <v>43983</v>
      </c>
      <c r="AD392" s="58">
        <v>43985</v>
      </c>
      <c r="AE392" s="58">
        <v>43985</v>
      </c>
      <c r="AF392" s="58">
        <v>43985</v>
      </c>
      <c r="AG392" s="58" t="s">
        <v>75</v>
      </c>
      <c r="AH392" s="59">
        <v>1</v>
      </c>
      <c r="AI392" s="59">
        <v>1</v>
      </c>
      <c r="AJ392" s="59">
        <v>1</v>
      </c>
      <c r="AK392" s="58" t="s">
        <v>8</v>
      </c>
      <c r="AL392" s="13"/>
      <c r="AM392" s="13"/>
      <c r="AN392" s="13"/>
    </row>
    <row r="393" spans="2:40" ht="15">
      <c r="B393" s="170">
        <v>274</v>
      </c>
      <c r="C393" s="13">
        <v>20200601</v>
      </c>
      <c r="D393" s="13" t="s">
        <v>24</v>
      </c>
      <c r="E393" s="13" t="s">
        <v>2376</v>
      </c>
      <c r="F393" s="4" t="s">
        <v>2110</v>
      </c>
      <c r="G393" s="13">
        <v>1493558</v>
      </c>
      <c r="H393" s="164" t="s">
        <v>72</v>
      </c>
      <c r="I393" s="13" t="s">
        <v>2111</v>
      </c>
      <c r="J393" s="164" t="s">
        <v>72</v>
      </c>
      <c r="K393" s="13" t="s">
        <v>73</v>
      </c>
      <c r="L393" s="13" t="s">
        <v>2064</v>
      </c>
      <c r="M393" s="13" t="s">
        <v>2065</v>
      </c>
      <c r="N393" s="13" t="s">
        <v>2066</v>
      </c>
      <c r="O393" s="14" t="s">
        <v>72</v>
      </c>
      <c r="P393" s="14" t="s">
        <v>2112</v>
      </c>
      <c r="Q393" s="165"/>
      <c r="R393" s="164" t="s">
        <v>72</v>
      </c>
      <c r="S393" s="13" t="s">
        <v>161</v>
      </c>
      <c r="T393" s="13"/>
      <c r="U393" s="13"/>
      <c r="V393" s="13">
        <v>8</v>
      </c>
      <c r="W393" s="13">
        <v>8</v>
      </c>
      <c r="X393" s="13">
        <v>8</v>
      </c>
      <c r="Y393" s="13">
        <v>0.14000000000000001</v>
      </c>
      <c r="Z393" s="13">
        <v>0.1</v>
      </c>
      <c r="AA393" s="13" t="s">
        <v>550</v>
      </c>
      <c r="AB393" s="58">
        <v>43987</v>
      </c>
      <c r="AC393" s="58">
        <v>43983</v>
      </c>
      <c r="AD393" s="58">
        <v>43986</v>
      </c>
      <c r="AE393" s="58">
        <v>43984</v>
      </c>
      <c r="AF393" s="58">
        <v>43984</v>
      </c>
      <c r="AG393" s="58" t="s">
        <v>75</v>
      </c>
      <c r="AH393" s="59">
        <v>1</v>
      </c>
      <c r="AI393" s="59">
        <v>1</v>
      </c>
      <c r="AJ393" s="59">
        <v>1</v>
      </c>
      <c r="AK393" s="58" t="s">
        <v>8</v>
      </c>
      <c r="AL393" s="13"/>
      <c r="AM393" s="13"/>
      <c r="AN393" s="13" t="s">
        <v>2113</v>
      </c>
    </row>
    <row r="394" spans="2:40" ht="15">
      <c r="B394" s="170">
        <v>275</v>
      </c>
      <c r="C394" s="13">
        <v>20200601</v>
      </c>
      <c r="D394" s="13" t="s">
        <v>24</v>
      </c>
      <c r="E394" s="13" t="s">
        <v>2376</v>
      </c>
      <c r="F394" s="4" t="s">
        <v>2114</v>
      </c>
      <c r="G394" s="13">
        <v>1493558</v>
      </c>
      <c r="H394" s="164" t="s">
        <v>72</v>
      </c>
      <c r="I394" s="13" t="s">
        <v>2115</v>
      </c>
      <c r="J394" s="164" t="s">
        <v>72</v>
      </c>
      <c r="K394" s="13" t="s">
        <v>73</v>
      </c>
      <c r="L394" s="13" t="s">
        <v>2064</v>
      </c>
      <c r="M394" s="13" t="s">
        <v>2065</v>
      </c>
      <c r="N394" s="13" t="s">
        <v>2066</v>
      </c>
      <c r="O394" s="14" t="s">
        <v>72</v>
      </c>
      <c r="P394" s="14" t="s">
        <v>2112</v>
      </c>
      <c r="Q394" s="165"/>
      <c r="R394" s="164" t="s">
        <v>72</v>
      </c>
      <c r="S394" s="13" t="s">
        <v>161</v>
      </c>
      <c r="T394" s="13"/>
      <c r="U394" s="13"/>
      <c r="V394" s="13">
        <v>80</v>
      </c>
      <c r="W394" s="13">
        <v>80</v>
      </c>
      <c r="X394" s="13">
        <v>80</v>
      </c>
      <c r="Y394" s="13">
        <v>1.42</v>
      </c>
      <c r="Z394" s="13">
        <v>1</v>
      </c>
      <c r="AA394" s="13" t="s">
        <v>550</v>
      </c>
      <c r="AB394" s="58">
        <v>43987</v>
      </c>
      <c r="AC394" s="58">
        <v>43983</v>
      </c>
      <c r="AD394" s="58">
        <v>43986</v>
      </c>
      <c r="AE394" s="58">
        <v>43984</v>
      </c>
      <c r="AF394" s="58">
        <v>43984</v>
      </c>
      <c r="AG394" s="58" t="s">
        <v>75</v>
      </c>
      <c r="AH394" s="59">
        <v>1</v>
      </c>
      <c r="AI394" s="59">
        <v>1</v>
      </c>
      <c r="AJ394" s="59">
        <v>1</v>
      </c>
      <c r="AK394" s="58" t="s">
        <v>8</v>
      </c>
      <c r="AL394" s="13"/>
      <c r="AM394" s="13"/>
      <c r="AN394" s="13" t="s">
        <v>2113</v>
      </c>
    </row>
    <row r="395" spans="2:40" ht="15">
      <c r="B395" s="170">
        <v>276</v>
      </c>
      <c r="C395" s="13">
        <v>20200601</v>
      </c>
      <c r="D395" s="13" t="s">
        <v>24</v>
      </c>
      <c r="E395" s="13" t="s">
        <v>2376</v>
      </c>
      <c r="F395" s="4" t="s">
        <v>2116</v>
      </c>
      <c r="G395" s="13">
        <v>1493558</v>
      </c>
      <c r="H395" s="164" t="s">
        <v>72</v>
      </c>
      <c r="I395" s="13" t="s">
        <v>2117</v>
      </c>
      <c r="J395" s="164" t="s">
        <v>72</v>
      </c>
      <c r="K395" s="13" t="s">
        <v>73</v>
      </c>
      <c r="L395" s="13" t="s">
        <v>2064</v>
      </c>
      <c r="M395" s="13" t="s">
        <v>2065</v>
      </c>
      <c r="N395" s="13" t="s">
        <v>2066</v>
      </c>
      <c r="O395" s="14" t="s">
        <v>72</v>
      </c>
      <c r="P395" s="14" t="s">
        <v>2112</v>
      </c>
      <c r="Q395" s="165"/>
      <c r="R395" s="164" t="s">
        <v>72</v>
      </c>
      <c r="S395" s="13" t="s">
        <v>161</v>
      </c>
      <c r="T395" s="13"/>
      <c r="U395" s="13"/>
      <c r="V395" s="13">
        <v>22</v>
      </c>
      <c r="W395" s="13">
        <v>22</v>
      </c>
      <c r="X395" s="13">
        <v>22</v>
      </c>
      <c r="Y395" s="13">
        <v>0.39</v>
      </c>
      <c r="Z395" s="13">
        <v>0.3</v>
      </c>
      <c r="AA395" s="13" t="s">
        <v>550</v>
      </c>
      <c r="AB395" s="58">
        <v>43987</v>
      </c>
      <c r="AC395" s="58">
        <v>43983</v>
      </c>
      <c r="AD395" s="58">
        <v>43986</v>
      </c>
      <c r="AE395" s="58">
        <v>43984</v>
      </c>
      <c r="AF395" s="58">
        <v>43984</v>
      </c>
      <c r="AG395" s="58" t="s">
        <v>75</v>
      </c>
      <c r="AH395" s="59">
        <v>1</v>
      </c>
      <c r="AI395" s="59">
        <v>1</v>
      </c>
      <c r="AJ395" s="59">
        <v>1</v>
      </c>
      <c r="AK395" s="58" t="s">
        <v>8</v>
      </c>
      <c r="AL395" s="13"/>
      <c r="AM395" s="13"/>
      <c r="AN395" s="13" t="s">
        <v>2113</v>
      </c>
    </row>
    <row r="396" spans="2:40" ht="15">
      <c r="B396" s="204">
        <v>277</v>
      </c>
      <c r="C396" s="13">
        <v>20200601</v>
      </c>
      <c r="D396" s="13" t="s">
        <v>24</v>
      </c>
      <c r="E396" s="13" t="s">
        <v>2373</v>
      </c>
      <c r="F396" s="39" t="s">
        <v>2118</v>
      </c>
      <c r="G396" s="13">
        <v>1484917</v>
      </c>
      <c r="H396" s="164" t="s">
        <v>72</v>
      </c>
      <c r="I396" s="13" t="s">
        <v>2119</v>
      </c>
      <c r="J396" s="164" t="s">
        <v>72</v>
      </c>
      <c r="K396" s="13" t="s">
        <v>106</v>
      </c>
      <c r="L396" s="13" t="s">
        <v>1844</v>
      </c>
      <c r="M396" s="13" t="s">
        <v>1033</v>
      </c>
      <c r="N396" s="13" t="s">
        <v>1845</v>
      </c>
      <c r="O396" s="14" t="s">
        <v>72</v>
      </c>
      <c r="P396" s="14" t="s">
        <v>1278</v>
      </c>
      <c r="Q396" s="165"/>
      <c r="R396" s="164" t="s">
        <v>72</v>
      </c>
      <c r="S396" s="13" t="s">
        <v>161</v>
      </c>
      <c r="T396" s="13"/>
      <c r="U396" s="13"/>
      <c r="V396" s="13">
        <v>80</v>
      </c>
      <c r="W396" s="13">
        <v>80</v>
      </c>
      <c r="X396" s="13">
        <v>80</v>
      </c>
      <c r="Y396" s="13">
        <v>1.42</v>
      </c>
      <c r="Z396" s="13">
        <v>1</v>
      </c>
      <c r="AA396" s="13" t="s">
        <v>505</v>
      </c>
      <c r="AB396" s="58"/>
      <c r="AC396" s="58">
        <v>43983</v>
      </c>
      <c r="AD396" s="58">
        <v>44001</v>
      </c>
      <c r="AE396" s="58">
        <v>43984</v>
      </c>
      <c r="AF396" s="58">
        <v>43984</v>
      </c>
      <c r="AG396" s="58" t="s">
        <v>75</v>
      </c>
      <c r="AH396" s="59">
        <v>1</v>
      </c>
      <c r="AI396" s="59">
        <v>1</v>
      </c>
      <c r="AJ396" s="59">
        <v>1</v>
      </c>
      <c r="AK396" s="58" t="s">
        <v>8</v>
      </c>
      <c r="AL396" s="13"/>
      <c r="AM396" s="13"/>
      <c r="AN396" s="100" t="s">
        <v>1846</v>
      </c>
    </row>
    <row r="397" spans="2:40" ht="15">
      <c r="B397" s="204">
        <v>278</v>
      </c>
      <c r="C397" s="13">
        <v>20200601</v>
      </c>
      <c r="D397" s="13" t="s">
        <v>24</v>
      </c>
      <c r="E397" s="13" t="s">
        <v>2373</v>
      </c>
      <c r="F397" s="39" t="s">
        <v>2120</v>
      </c>
      <c r="G397" s="13">
        <v>1484917</v>
      </c>
      <c r="H397" s="164" t="s">
        <v>72</v>
      </c>
      <c r="I397" s="13" t="s">
        <v>2121</v>
      </c>
      <c r="J397" s="164" t="s">
        <v>72</v>
      </c>
      <c r="K397" s="13" t="s">
        <v>106</v>
      </c>
      <c r="L397" s="13" t="s">
        <v>1844</v>
      </c>
      <c r="M397" s="13" t="s">
        <v>1033</v>
      </c>
      <c r="N397" s="13" t="s">
        <v>1845</v>
      </c>
      <c r="O397" s="14" t="s">
        <v>72</v>
      </c>
      <c r="P397" s="14" t="s">
        <v>1278</v>
      </c>
      <c r="Q397" s="165"/>
      <c r="R397" s="164" t="s">
        <v>72</v>
      </c>
      <c r="S397" s="13" t="s">
        <v>161</v>
      </c>
      <c r="T397" s="13"/>
      <c r="U397" s="13"/>
      <c r="V397" s="13">
        <v>144</v>
      </c>
      <c r="W397" s="13">
        <v>144</v>
      </c>
      <c r="X397" s="13">
        <v>144</v>
      </c>
      <c r="Y397" s="13">
        <v>2.56</v>
      </c>
      <c r="Z397" s="13">
        <v>2</v>
      </c>
      <c r="AA397" s="13" t="s">
        <v>505</v>
      </c>
      <c r="AB397" s="58"/>
      <c r="AC397" s="58">
        <v>43983</v>
      </c>
      <c r="AD397" s="58">
        <v>44001</v>
      </c>
      <c r="AE397" s="58">
        <v>43985</v>
      </c>
      <c r="AF397" s="58">
        <v>43985</v>
      </c>
      <c r="AG397" s="58" t="s">
        <v>75</v>
      </c>
      <c r="AH397" s="59">
        <v>1</v>
      </c>
      <c r="AI397" s="59">
        <v>1</v>
      </c>
      <c r="AJ397" s="59">
        <v>1</v>
      </c>
      <c r="AK397" s="58" t="s">
        <v>8</v>
      </c>
      <c r="AL397" s="13"/>
      <c r="AM397" s="13"/>
      <c r="AN397" s="100" t="s">
        <v>1846</v>
      </c>
    </row>
    <row r="398" spans="2:40" ht="15">
      <c r="B398" s="204">
        <v>279</v>
      </c>
      <c r="C398" s="13">
        <v>20200601</v>
      </c>
      <c r="D398" s="13" t="s">
        <v>24</v>
      </c>
      <c r="E398" s="13" t="s">
        <v>2373</v>
      </c>
      <c r="F398" s="39" t="s">
        <v>2122</v>
      </c>
      <c r="G398" s="13">
        <v>1484917</v>
      </c>
      <c r="H398" s="164" t="s">
        <v>72</v>
      </c>
      <c r="I398" s="13" t="s">
        <v>2123</v>
      </c>
      <c r="J398" s="164" t="s">
        <v>72</v>
      </c>
      <c r="K398" s="13" t="s">
        <v>106</v>
      </c>
      <c r="L398" s="13" t="s">
        <v>1844</v>
      </c>
      <c r="M398" s="13" t="s">
        <v>1033</v>
      </c>
      <c r="N398" s="13" t="s">
        <v>1845</v>
      </c>
      <c r="O398" s="14" t="s">
        <v>72</v>
      </c>
      <c r="P398" s="14" t="s">
        <v>1278</v>
      </c>
      <c r="Q398" s="165"/>
      <c r="R398" s="164" t="s">
        <v>72</v>
      </c>
      <c r="S398" s="13" t="s">
        <v>161</v>
      </c>
      <c r="T398" s="13"/>
      <c r="U398" s="13"/>
      <c r="V398" s="13">
        <v>22</v>
      </c>
      <c r="W398" s="13">
        <v>22</v>
      </c>
      <c r="X398" s="13">
        <v>22</v>
      </c>
      <c r="Y398" s="13">
        <v>0.39</v>
      </c>
      <c r="Z398" s="13">
        <v>0.3</v>
      </c>
      <c r="AA398" s="13" t="s">
        <v>505</v>
      </c>
      <c r="AB398" s="58"/>
      <c r="AC398" s="58">
        <v>43983</v>
      </c>
      <c r="AD398" s="58">
        <v>44001</v>
      </c>
      <c r="AE398" s="58">
        <v>43985</v>
      </c>
      <c r="AF398" s="58">
        <v>43985</v>
      </c>
      <c r="AG398" s="58" t="s">
        <v>75</v>
      </c>
      <c r="AH398" s="59">
        <v>1</v>
      </c>
      <c r="AI398" s="59">
        <v>1</v>
      </c>
      <c r="AJ398" s="59">
        <v>1</v>
      </c>
      <c r="AK398" s="58" t="s">
        <v>8</v>
      </c>
      <c r="AL398" s="13"/>
      <c r="AM398" s="13"/>
      <c r="AN398" s="100" t="s">
        <v>1846</v>
      </c>
    </row>
    <row r="399" spans="2:40" ht="15">
      <c r="B399" s="204">
        <v>280</v>
      </c>
      <c r="C399" s="13">
        <v>20200601</v>
      </c>
      <c r="D399" s="13" t="s">
        <v>24</v>
      </c>
      <c r="E399" s="13" t="s">
        <v>2373</v>
      </c>
      <c r="F399" s="39" t="s">
        <v>2124</v>
      </c>
      <c r="G399" s="13">
        <v>1484917</v>
      </c>
      <c r="H399" s="164" t="s">
        <v>72</v>
      </c>
      <c r="I399" s="13" t="s">
        <v>2125</v>
      </c>
      <c r="J399" s="164" t="s">
        <v>72</v>
      </c>
      <c r="K399" s="13" t="s">
        <v>106</v>
      </c>
      <c r="L399" s="13" t="s">
        <v>1844</v>
      </c>
      <c r="M399" s="13" t="s">
        <v>1033</v>
      </c>
      <c r="N399" s="13" t="s">
        <v>1845</v>
      </c>
      <c r="O399" s="14" t="s">
        <v>72</v>
      </c>
      <c r="P399" s="14" t="s">
        <v>1278</v>
      </c>
      <c r="Q399" s="165"/>
      <c r="R399" s="164" t="s">
        <v>72</v>
      </c>
      <c r="S399" s="13" t="s">
        <v>113</v>
      </c>
      <c r="T399" s="13"/>
      <c r="U399" s="13"/>
      <c r="V399" s="13">
        <v>1083</v>
      </c>
      <c r="W399" s="13">
        <v>1083</v>
      </c>
      <c r="X399" s="13">
        <v>1083</v>
      </c>
      <c r="Y399" s="13">
        <v>19.25</v>
      </c>
      <c r="Z399" s="13">
        <v>19.25</v>
      </c>
      <c r="AA399" s="13" t="s">
        <v>505</v>
      </c>
      <c r="AB399" s="58"/>
      <c r="AC399" s="58">
        <v>43983</v>
      </c>
      <c r="AD399" s="58">
        <v>44001</v>
      </c>
      <c r="AE399" s="58">
        <v>43986</v>
      </c>
      <c r="AF399" s="58">
        <v>43986</v>
      </c>
      <c r="AG399" s="58" t="s">
        <v>75</v>
      </c>
      <c r="AH399" s="59">
        <v>1</v>
      </c>
      <c r="AI399" s="59">
        <v>1</v>
      </c>
      <c r="AJ399" s="59">
        <v>1</v>
      </c>
      <c r="AK399" s="58" t="s">
        <v>8</v>
      </c>
      <c r="AL399" s="13"/>
      <c r="AM399" s="13"/>
      <c r="AN399" s="100" t="s">
        <v>2126</v>
      </c>
    </row>
    <row r="400" spans="2:40" ht="15">
      <c r="B400" s="204">
        <v>281</v>
      </c>
      <c r="C400" s="13">
        <v>20200601</v>
      </c>
      <c r="D400" s="13" t="s">
        <v>24</v>
      </c>
      <c r="E400" s="13" t="s">
        <v>2373</v>
      </c>
      <c r="F400" s="39" t="s">
        <v>2127</v>
      </c>
      <c r="G400" s="13">
        <v>1484917</v>
      </c>
      <c r="H400" s="164" t="s">
        <v>72</v>
      </c>
      <c r="I400" s="13" t="s">
        <v>2128</v>
      </c>
      <c r="J400" s="164" t="s">
        <v>72</v>
      </c>
      <c r="K400" s="13" t="s">
        <v>106</v>
      </c>
      <c r="L400" s="13" t="s">
        <v>1844</v>
      </c>
      <c r="M400" s="13" t="s">
        <v>1033</v>
      </c>
      <c r="N400" s="13" t="s">
        <v>1845</v>
      </c>
      <c r="O400" s="14" t="s">
        <v>72</v>
      </c>
      <c r="P400" s="14" t="s">
        <v>1278</v>
      </c>
      <c r="Q400" s="165"/>
      <c r="R400" s="164" t="s">
        <v>72</v>
      </c>
      <c r="S400" s="13" t="s">
        <v>113</v>
      </c>
      <c r="T400" s="13"/>
      <c r="U400" s="13"/>
      <c r="V400" s="13">
        <v>9</v>
      </c>
      <c r="W400" s="13">
        <v>9</v>
      </c>
      <c r="X400" s="13">
        <v>9</v>
      </c>
      <c r="Y400" s="13">
        <v>0.16</v>
      </c>
      <c r="Z400" s="13">
        <v>0.16</v>
      </c>
      <c r="AA400" s="13" t="s">
        <v>505</v>
      </c>
      <c r="AB400" s="58"/>
      <c r="AC400" s="58">
        <v>43983</v>
      </c>
      <c r="AD400" s="58">
        <v>44001</v>
      </c>
      <c r="AE400" s="58">
        <v>43986</v>
      </c>
      <c r="AF400" s="58">
        <v>43986</v>
      </c>
      <c r="AG400" s="58" t="s">
        <v>75</v>
      </c>
      <c r="AH400" s="59">
        <v>1</v>
      </c>
      <c r="AI400" s="59">
        <v>1</v>
      </c>
      <c r="AJ400" s="59">
        <v>1</v>
      </c>
      <c r="AK400" s="58" t="s">
        <v>8</v>
      </c>
      <c r="AL400" s="13"/>
      <c r="AM400" s="13"/>
      <c r="AN400" s="100" t="s">
        <v>1846</v>
      </c>
    </row>
    <row r="401" spans="2:40" ht="15">
      <c r="B401" s="204">
        <v>282</v>
      </c>
      <c r="C401" s="13">
        <v>20200601</v>
      </c>
      <c r="D401" s="13" t="s">
        <v>24</v>
      </c>
      <c r="E401" s="13" t="s">
        <v>2373</v>
      </c>
      <c r="F401" s="39" t="s">
        <v>2129</v>
      </c>
      <c r="G401" s="13">
        <v>1484917</v>
      </c>
      <c r="H401" s="164" t="s">
        <v>72</v>
      </c>
      <c r="I401" s="13" t="s">
        <v>2130</v>
      </c>
      <c r="J401" s="164" t="s">
        <v>72</v>
      </c>
      <c r="K401" s="13" t="s">
        <v>106</v>
      </c>
      <c r="L401" s="13" t="s">
        <v>1844</v>
      </c>
      <c r="M401" s="13" t="s">
        <v>1033</v>
      </c>
      <c r="N401" s="13" t="s">
        <v>1845</v>
      </c>
      <c r="O401" s="14" t="s">
        <v>72</v>
      </c>
      <c r="P401" s="14" t="s">
        <v>1278</v>
      </c>
      <c r="Q401" s="165"/>
      <c r="R401" s="164" t="s">
        <v>72</v>
      </c>
      <c r="S401" s="13" t="s">
        <v>113</v>
      </c>
      <c r="T401" s="13"/>
      <c r="U401" s="13"/>
      <c r="V401" s="13">
        <v>20</v>
      </c>
      <c r="W401" s="13">
        <v>20</v>
      </c>
      <c r="X401" s="13">
        <v>20</v>
      </c>
      <c r="Y401" s="13">
        <v>0.35</v>
      </c>
      <c r="Z401" s="13">
        <v>0.35</v>
      </c>
      <c r="AA401" s="13" t="s">
        <v>505</v>
      </c>
      <c r="AB401" s="58"/>
      <c r="AC401" s="58">
        <v>43983</v>
      </c>
      <c r="AD401" s="58">
        <v>44001</v>
      </c>
      <c r="AE401" s="58">
        <v>43986</v>
      </c>
      <c r="AF401" s="58">
        <v>43986</v>
      </c>
      <c r="AG401" s="58" t="s">
        <v>75</v>
      </c>
      <c r="AH401" s="59">
        <v>1</v>
      </c>
      <c r="AI401" s="59">
        <v>1</v>
      </c>
      <c r="AJ401" s="59">
        <v>1</v>
      </c>
      <c r="AK401" s="58" t="s">
        <v>8</v>
      </c>
      <c r="AL401" s="13"/>
      <c r="AM401" s="13"/>
      <c r="AN401" s="100" t="s">
        <v>1846</v>
      </c>
    </row>
    <row r="402" spans="2:40" ht="15">
      <c r="B402" s="204">
        <v>283</v>
      </c>
      <c r="C402" s="13">
        <v>20200601</v>
      </c>
      <c r="D402" s="13" t="s">
        <v>24</v>
      </c>
      <c r="E402" s="13" t="s">
        <v>2373</v>
      </c>
      <c r="F402" s="39" t="s">
        <v>2131</v>
      </c>
      <c r="G402" s="13">
        <v>1484917</v>
      </c>
      <c r="H402" s="164" t="s">
        <v>72</v>
      </c>
      <c r="I402" s="13" t="s">
        <v>2132</v>
      </c>
      <c r="J402" s="164" t="s">
        <v>72</v>
      </c>
      <c r="K402" s="13" t="s">
        <v>106</v>
      </c>
      <c r="L402" s="13" t="s">
        <v>1844</v>
      </c>
      <c r="M402" s="13" t="s">
        <v>1033</v>
      </c>
      <c r="N402" s="13" t="s">
        <v>1845</v>
      </c>
      <c r="O402" s="14" t="s">
        <v>72</v>
      </c>
      <c r="P402" s="14" t="s">
        <v>1278</v>
      </c>
      <c r="Q402" s="165"/>
      <c r="R402" s="164" t="s">
        <v>72</v>
      </c>
      <c r="S402" s="13" t="s">
        <v>113</v>
      </c>
      <c r="T402" s="13"/>
      <c r="U402" s="13"/>
      <c r="V402" s="13">
        <v>80</v>
      </c>
      <c r="W402" s="13">
        <v>80</v>
      </c>
      <c r="X402" s="13">
        <v>80</v>
      </c>
      <c r="Y402" s="13">
        <v>1.42</v>
      </c>
      <c r="Z402" s="13">
        <v>1.42</v>
      </c>
      <c r="AA402" s="13" t="s">
        <v>505</v>
      </c>
      <c r="AB402" s="58"/>
      <c r="AC402" s="58">
        <v>43983</v>
      </c>
      <c r="AD402" s="58">
        <v>44001</v>
      </c>
      <c r="AE402" s="58">
        <v>43986</v>
      </c>
      <c r="AF402" s="58">
        <v>43986</v>
      </c>
      <c r="AG402" s="58" t="s">
        <v>75</v>
      </c>
      <c r="AH402" s="59">
        <v>1</v>
      </c>
      <c r="AI402" s="59">
        <v>1</v>
      </c>
      <c r="AJ402" s="59">
        <v>1</v>
      </c>
      <c r="AK402" s="58" t="s">
        <v>8</v>
      </c>
      <c r="AL402" s="13"/>
      <c r="AM402" s="13"/>
      <c r="AN402" s="100" t="s">
        <v>574</v>
      </c>
    </row>
    <row r="403" spans="2:40" ht="15">
      <c r="B403" s="204">
        <v>284</v>
      </c>
      <c r="C403" s="13">
        <v>20200601</v>
      </c>
      <c r="D403" s="13" t="s">
        <v>24</v>
      </c>
      <c r="E403" s="13" t="s">
        <v>2373</v>
      </c>
      <c r="F403" s="39" t="s">
        <v>2133</v>
      </c>
      <c r="G403" s="13">
        <v>1484917</v>
      </c>
      <c r="H403" s="164" t="s">
        <v>72</v>
      </c>
      <c r="I403" s="13" t="s">
        <v>2134</v>
      </c>
      <c r="J403" s="164" t="s">
        <v>72</v>
      </c>
      <c r="K403" s="13" t="s">
        <v>106</v>
      </c>
      <c r="L403" s="13" t="s">
        <v>1844</v>
      </c>
      <c r="M403" s="13" t="s">
        <v>1033</v>
      </c>
      <c r="N403" s="13" t="s">
        <v>1845</v>
      </c>
      <c r="O403" s="14" t="s">
        <v>72</v>
      </c>
      <c r="P403" s="14" t="s">
        <v>1278</v>
      </c>
      <c r="Q403" s="165"/>
      <c r="R403" s="164" t="s">
        <v>72</v>
      </c>
      <c r="S403" s="13" t="s">
        <v>161</v>
      </c>
      <c r="T403" s="13"/>
      <c r="U403" s="13"/>
      <c r="V403" s="13">
        <v>11</v>
      </c>
      <c r="W403" s="13">
        <v>11</v>
      </c>
      <c r="X403" s="13">
        <v>11</v>
      </c>
      <c r="Y403" s="13">
        <v>0.19</v>
      </c>
      <c r="Z403" s="13">
        <v>0.1</v>
      </c>
      <c r="AA403" s="13" t="s">
        <v>505</v>
      </c>
      <c r="AB403" s="58"/>
      <c r="AC403" s="58">
        <v>43983</v>
      </c>
      <c r="AD403" s="58">
        <v>44001</v>
      </c>
      <c r="AE403" s="58">
        <v>43985</v>
      </c>
      <c r="AF403" s="58">
        <v>43985</v>
      </c>
      <c r="AG403" s="58" t="s">
        <v>75</v>
      </c>
      <c r="AH403" s="59">
        <v>1</v>
      </c>
      <c r="AI403" s="59">
        <v>1</v>
      </c>
      <c r="AJ403" s="59">
        <v>1</v>
      </c>
      <c r="AK403" s="58" t="s">
        <v>8</v>
      </c>
      <c r="AL403" s="13"/>
      <c r="AM403" s="13"/>
      <c r="AN403" s="100" t="s">
        <v>1846</v>
      </c>
    </row>
    <row r="404" spans="2:40" ht="15">
      <c r="B404" s="204">
        <v>285</v>
      </c>
      <c r="C404" s="13">
        <v>20200601</v>
      </c>
      <c r="D404" s="13" t="s">
        <v>24</v>
      </c>
      <c r="E404" s="13" t="s">
        <v>2373</v>
      </c>
      <c r="F404" s="39" t="s">
        <v>2135</v>
      </c>
      <c r="G404" s="13">
        <v>1484917</v>
      </c>
      <c r="H404" s="164" t="s">
        <v>72</v>
      </c>
      <c r="I404" s="13" t="s">
        <v>2136</v>
      </c>
      <c r="J404" s="164" t="s">
        <v>72</v>
      </c>
      <c r="K404" s="13" t="s">
        <v>106</v>
      </c>
      <c r="L404" s="13" t="s">
        <v>1844</v>
      </c>
      <c r="M404" s="13" t="s">
        <v>1033</v>
      </c>
      <c r="N404" s="13" t="s">
        <v>1845</v>
      </c>
      <c r="O404" s="14" t="s">
        <v>72</v>
      </c>
      <c r="P404" s="14" t="s">
        <v>1278</v>
      </c>
      <c r="Q404" s="165"/>
      <c r="R404" s="164" t="s">
        <v>72</v>
      </c>
      <c r="S404" s="13" t="s">
        <v>161</v>
      </c>
      <c r="T404" s="13"/>
      <c r="U404" s="13"/>
      <c r="V404" s="13">
        <v>24</v>
      </c>
      <c r="W404" s="13">
        <v>24</v>
      </c>
      <c r="X404" s="13">
        <v>24</v>
      </c>
      <c r="Y404" s="13">
        <v>0.42</v>
      </c>
      <c r="Z404" s="13">
        <v>0.4</v>
      </c>
      <c r="AA404" s="13" t="s">
        <v>505</v>
      </c>
      <c r="AB404" s="58"/>
      <c r="AC404" s="58">
        <v>43983</v>
      </c>
      <c r="AD404" s="58">
        <v>44001</v>
      </c>
      <c r="AE404" s="58">
        <v>43985</v>
      </c>
      <c r="AF404" s="58">
        <v>43985</v>
      </c>
      <c r="AG404" s="58" t="s">
        <v>75</v>
      </c>
      <c r="AH404" s="59">
        <v>1</v>
      </c>
      <c r="AI404" s="59">
        <v>1</v>
      </c>
      <c r="AJ404" s="59">
        <v>1</v>
      </c>
      <c r="AK404" s="58" t="s">
        <v>8</v>
      </c>
      <c r="AL404" s="13"/>
      <c r="AM404" s="13"/>
      <c r="AN404" s="100" t="s">
        <v>1846</v>
      </c>
    </row>
    <row r="405" spans="2:40" ht="15">
      <c r="B405" s="204">
        <v>286</v>
      </c>
      <c r="C405" s="13">
        <v>20200601</v>
      </c>
      <c r="D405" s="13" t="s">
        <v>24</v>
      </c>
      <c r="E405" s="13" t="s">
        <v>2373</v>
      </c>
      <c r="F405" s="39" t="s">
        <v>2137</v>
      </c>
      <c r="G405" s="13">
        <v>1484917</v>
      </c>
      <c r="H405" s="164" t="s">
        <v>72</v>
      </c>
      <c r="I405" s="13" t="s">
        <v>2138</v>
      </c>
      <c r="J405" s="164" t="s">
        <v>72</v>
      </c>
      <c r="K405" s="13" t="s">
        <v>106</v>
      </c>
      <c r="L405" s="13" t="s">
        <v>1844</v>
      </c>
      <c r="M405" s="13" t="s">
        <v>1033</v>
      </c>
      <c r="N405" s="13" t="s">
        <v>1845</v>
      </c>
      <c r="O405" s="14" t="s">
        <v>72</v>
      </c>
      <c r="P405" s="14" t="s">
        <v>1278</v>
      </c>
      <c r="Q405" s="165"/>
      <c r="R405" s="164" t="s">
        <v>72</v>
      </c>
      <c r="S405" s="13" t="s">
        <v>161</v>
      </c>
      <c r="T405" s="13"/>
      <c r="U405" s="13"/>
      <c r="V405" s="13">
        <v>432</v>
      </c>
      <c r="W405" s="13">
        <v>432</v>
      </c>
      <c r="X405" s="13">
        <v>432</v>
      </c>
      <c r="Y405" s="13">
        <v>7.68</v>
      </c>
      <c r="Z405" s="13">
        <v>7</v>
      </c>
      <c r="AA405" s="13" t="s">
        <v>505</v>
      </c>
      <c r="AB405" s="58"/>
      <c r="AC405" s="58">
        <v>43983</v>
      </c>
      <c r="AD405" s="58">
        <v>44001</v>
      </c>
      <c r="AE405" s="58">
        <v>43985</v>
      </c>
      <c r="AF405" s="58">
        <v>43985</v>
      </c>
      <c r="AG405" s="58" t="s">
        <v>75</v>
      </c>
      <c r="AH405" s="59">
        <v>1</v>
      </c>
      <c r="AI405" s="59">
        <v>1</v>
      </c>
      <c r="AJ405" s="59">
        <v>1</v>
      </c>
      <c r="AK405" s="58" t="s">
        <v>8</v>
      </c>
      <c r="AL405" s="13"/>
      <c r="AM405" s="13"/>
      <c r="AN405" s="100" t="s">
        <v>1846</v>
      </c>
    </row>
    <row r="406" spans="2:40" ht="15">
      <c r="B406" s="204">
        <v>287</v>
      </c>
      <c r="C406" s="13">
        <v>20200601</v>
      </c>
      <c r="D406" s="13" t="s">
        <v>24</v>
      </c>
      <c r="E406" s="13" t="s">
        <v>2373</v>
      </c>
      <c r="F406" s="39" t="s">
        <v>2139</v>
      </c>
      <c r="G406" s="13">
        <v>1484917</v>
      </c>
      <c r="H406" s="164" t="s">
        <v>72</v>
      </c>
      <c r="I406" s="13" t="s">
        <v>2140</v>
      </c>
      <c r="J406" s="164" t="s">
        <v>72</v>
      </c>
      <c r="K406" s="13" t="s">
        <v>106</v>
      </c>
      <c r="L406" s="13" t="s">
        <v>1844</v>
      </c>
      <c r="M406" s="13" t="s">
        <v>1033</v>
      </c>
      <c r="N406" s="13" t="s">
        <v>1845</v>
      </c>
      <c r="O406" s="14" t="s">
        <v>72</v>
      </c>
      <c r="P406" s="14" t="s">
        <v>1278</v>
      </c>
      <c r="Q406" s="165"/>
      <c r="R406" s="164" t="s">
        <v>72</v>
      </c>
      <c r="S406" s="13" t="s">
        <v>161</v>
      </c>
      <c r="T406" s="13"/>
      <c r="U406" s="13"/>
      <c r="V406" s="13">
        <v>227</v>
      </c>
      <c r="W406" s="13">
        <v>227</v>
      </c>
      <c r="X406" s="13">
        <v>227</v>
      </c>
      <c r="Y406" s="13">
        <v>4.03</v>
      </c>
      <c r="Z406" s="13">
        <v>1</v>
      </c>
      <c r="AA406" s="13" t="s">
        <v>505</v>
      </c>
      <c r="AB406" s="58"/>
      <c r="AC406" s="58">
        <v>43983</v>
      </c>
      <c r="AD406" s="58">
        <v>44001</v>
      </c>
      <c r="AE406" s="58">
        <v>43986</v>
      </c>
      <c r="AF406" s="58">
        <v>43986</v>
      </c>
      <c r="AG406" s="58" t="s">
        <v>75</v>
      </c>
      <c r="AH406" s="59" t="s">
        <v>72</v>
      </c>
      <c r="AI406" s="59" t="s">
        <v>72</v>
      </c>
      <c r="AJ406" s="59" t="s">
        <v>72</v>
      </c>
      <c r="AK406" s="58" t="s">
        <v>8</v>
      </c>
      <c r="AL406" s="14" t="s">
        <v>1891</v>
      </c>
      <c r="AM406" s="13"/>
      <c r="AN406" s="100" t="s">
        <v>1846</v>
      </c>
    </row>
    <row r="407" spans="2:40" ht="15">
      <c r="B407" s="204">
        <v>288</v>
      </c>
      <c r="C407" s="13">
        <v>20200601</v>
      </c>
      <c r="D407" s="13" t="s">
        <v>24</v>
      </c>
      <c r="E407" s="13" t="s">
        <v>2373</v>
      </c>
      <c r="F407" s="39" t="s">
        <v>2141</v>
      </c>
      <c r="G407" s="13">
        <v>1484917</v>
      </c>
      <c r="H407" s="164" t="s">
        <v>72</v>
      </c>
      <c r="I407" s="13" t="s">
        <v>2142</v>
      </c>
      <c r="J407" s="164" t="s">
        <v>72</v>
      </c>
      <c r="K407" s="13" t="s">
        <v>106</v>
      </c>
      <c r="L407" s="13" t="s">
        <v>1844</v>
      </c>
      <c r="M407" s="13" t="s">
        <v>1033</v>
      </c>
      <c r="N407" s="13" t="s">
        <v>1845</v>
      </c>
      <c r="O407" s="14" t="s">
        <v>72</v>
      </c>
      <c r="P407" s="14" t="s">
        <v>1278</v>
      </c>
      <c r="Q407" s="165"/>
      <c r="R407" s="164" t="s">
        <v>72</v>
      </c>
      <c r="S407" s="13" t="s">
        <v>161</v>
      </c>
      <c r="T407" s="13"/>
      <c r="U407" s="13"/>
      <c r="V407" s="13">
        <v>47</v>
      </c>
      <c r="W407" s="13">
        <v>47</v>
      </c>
      <c r="X407" s="13">
        <v>47</v>
      </c>
      <c r="Y407" s="13">
        <v>0.83</v>
      </c>
      <c r="Z407" s="13">
        <v>0.8</v>
      </c>
      <c r="AA407" s="13" t="s">
        <v>505</v>
      </c>
      <c r="AB407" s="58"/>
      <c r="AC407" s="58">
        <v>43983</v>
      </c>
      <c r="AD407" s="58">
        <v>44001</v>
      </c>
      <c r="AE407" s="58">
        <v>43986</v>
      </c>
      <c r="AF407" s="58">
        <v>43986</v>
      </c>
      <c r="AG407" s="58" t="s">
        <v>75</v>
      </c>
      <c r="AH407" s="59">
        <v>1</v>
      </c>
      <c r="AI407" s="59">
        <v>1</v>
      </c>
      <c r="AJ407" s="59">
        <v>1</v>
      </c>
      <c r="AK407" s="58" t="s">
        <v>8</v>
      </c>
      <c r="AL407" s="13"/>
      <c r="AM407" s="13"/>
      <c r="AN407" s="100" t="s">
        <v>1846</v>
      </c>
    </row>
    <row r="408" spans="2:40" ht="15">
      <c r="B408" s="204">
        <v>289</v>
      </c>
      <c r="C408" s="13">
        <v>20200601</v>
      </c>
      <c r="D408" s="13" t="s">
        <v>24</v>
      </c>
      <c r="E408" s="13" t="s">
        <v>2373</v>
      </c>
      <c r="F408" s="39" t="s">
        <v>2143</v>
      </c>
      <c r="G408" s="13">
        <v>1484917</v>
      </c>
      <c r="H408" s="164" t="s">
        <v>72</v>
      </c>
      <c r="I408" s="13" t="s">
        <v>2144</v>
      </c>
      <c r="J408" s="164" t="s">
        <v>72</v>
      </c>
      <c r="K408" s="13" t="s">
        <v>106</v>
      </c>
      <c r="L408" s="13" t="s">
        <v>1844</v>
      </c>
      <c r="M408" s="13" t="s">
        <v>1033</v>
      </c>
      <c r="N408" s="13" t="s">
        <v>1845</v>
      </c>
      <c r="O408" s="14" t="s">
        <v>72</v>
      </c>
      <c r="P408" s="14" t="s">
        <v>1278</v>
      </c>
      <c r="Q408" s="165"/>
      <c r="R408" s="164" t="s">
        <v>72</v>
      </c>
      <c r="S408" s="13" t="s">
        <v>161</v>
      </c>
      <c r="T408" s="13"/>
      <c r="U408" s="13"/>
      <c r="V408" s="13">
        <v>13</v>
      </c>
      <c r="W408" s="13">
        <v>13</v>
      </c>
      <c r="X408" s="13">
        <v>13</v>
      </c>
      <c r="Y408" s="13">
        <v>0.23</v>
      </c>
      <c r="Z408" s="13">
        <v>0.2</v>
      </c>
      <c r="AA408" s="13" t="s">
        <v>505</v>
      </c>
      <c r="AB408" s="58"/>
      <c r="AC408" s="58">
        <v>43983</v>
      </c>
      <c r="AD408" s="58">
        <v>44001</v>
      </c>
      <c r="AE408" s="58">
        <v>43986</v>
      </c>
      <c r="AF408" s="58">
        <v>43986</v>
      </c>
      <c r="AG408" s="58" t="s">
        <v>75</v>
      </c>
      <c r="AH408" s="59">
        <v>1</v>
      </c>
      <c r="AI408" s="59">
        <v>1</v>
      </c>
      <c r="AJ408" s="59">
        <v>1</v>
      </c>
      <c r="AK408" s="58" t="s">
        <v>8</v>
      </c>
      <c r="AL408" s="13"/>
      <c r="AM408" s="13"/>
      <c r="AN408" s="100" t="s">
        <v>1846</v>
      </c>
    </row>
    <row r="409" spans="2:40" ht="15">
      <c r="B409" s="204">
        <v>290</v>
      </c>
      <c r="C409" s="13">
        <v>20200601</v>
      </c>
      <c r="D409" s="13" t="s">
        <v>24</v>
      </c>
      <c r="E409" s="13" t="s">
        <v>2373</v>
      </c>
      <c r="F409" s="39" t="s">
        <v>2145</v>
      </c>
      <c r="G409" s="13">
        <v>1484917</v>
      </c>
      <c r="H409" s="164" t="s">
        <v>72</v>
      </c>
      <c r="I409" s="13" t="s">
        <v>2146</v>
      </c>
      <c r="J409" s="164" t="s">
        <v>72</v>
      </c>
      <c r="K409" s="13" t="s">
        <v>106</v>
      </c>
      <c r="L409" s="13" t="s">
        <v>1844</v>
      </c>
      <c r="M409" s="13" t="s">
        <v>1033</v>
      </c>
      <c r="N409" s="13" t="s">
        <v>1845</v>
      </c>
      <c r="O409" s="14" t="s">
        <v>72</v>
      </c>
      <c r="P409" s="14" t="s">
        <v>1278</v>
      </c>
      <c r="Q409" s="165"/>
      <c r="R409" s="164" t="s">
        <v>72</v>
      </c>
      <c r="S409" s="13" t="s">
        <v>161</v>
      </c>
      <c r="T409" s="13"/>
      <c r="U409" s="13"/>
      <c r="V409" s="13">
        <v>6</v>
      </c>
      <c r="W409" s="13">
        <v>6</v>
      </c>
      <c r="X409" s="13">
        <v>6</v>
      </c>
      <c r="Y409" s="13">
        <v>0.1</v>
      </c>
      <c r="Z409" s="13">
        <v>0.1</v>
      </c>
      <c r="AA409" s="13" t="s">
        <v>505</v>
      </c>
      <c r="AB409" s="58"/>
      <c r="AC409" s="58">
        <v>43983</v>
      </c>
      <c r="AD409" s="58">
        <v>44001</v>
      </c>
      <c r="AE409" s="58">
        <v>43986</v>
      </c>
      <c r="AF409" s="58">
        <v>43986</v>
      </c>
      <c r="AG409" s="58" t="s">
        <v>75</v>
      </c>
      <c r="AH409" s="59">
        <v>1</v>
      </c>
      <c r="AI409" s="59">
        <v>1</v>
      </c>
      <c r="AJ409" s="59">
        <v>1</v>
      </c>
      <c r="AK409" s="58" t="s">
        <v>8</v>
      </c>
      <c r="AL409" s="13"/>
      <c r="AM409" s="13"/>
      <c r="AN409" s="100" t="s">
        <v>1846</v>
      </c>
    </row>
    <row r="410" spans="2:40" ht="15">
      <c r="B410" s="204">
        <v>291</v>
      </c>
      <c r="C410" s="13">
        <v>20200601</v>
      </c>
      <c r="D410" s="13" t="s">
        <v>24</v>
      </c>
      <c r="E410" s="13" t="s">
        <v>2373</v>
      </c>
      <c r="F410" s="39" t="s">
        <v>2147</v>
      </c>
      <c r="G410" s="13">
        <v>1484917</v>
      </c>
      <c r="H410" s="164" t="s">
        <v>72</v>
      </c>
      <c r="I410" s="13" t="s">
        <v>2148</v>
      </c>
      <c r="J410" s="164" t="s">
        <v>72</v>
      </c>
      <c r="K410" s="13" t="s">
        <v>106</v>
      </c>
      <c r="L410" s="13" t="s">
        <v>1844</v>
      </c>
      <c r="M410" s="13" t="s">
        <v>1033</v>
      </c>
      <c r="N410" s="13" t="s">
        <v>1845</v>
      </c>
      <c r="O410" s="14" t="s">
        <v>72</v>
      </c>
      <c r="P410" s="14" t="s">
        <v>1278</v>
      </c>
      <c r="Q410" s="165"/>
      <c r="R410" s="164" t="s">
        <v>72</v>
      </c>
      <c r="S410" s="13" t="s">
        <v>161</v>
      </c>
      <c r="T410" s="13"/>
      <c r="U410" s="13"/>
      <c r="V410" s="13">
        <v>105</v>
      </c>
      <c r="W410" s="13">
        <v>105</v>
      </c>
      <c r="X410" s="13">
        <v>105</v>
      </c>
      <c r="Y410" s="13">
        <v>1.86</v>
      </c>
      <c r="Z410" s="13">
        <v>1</v>
      </c>
      <c r="AA410" s="13" t="s">
        <v>505</v>
      </c>
      <c r="AB410" s="58"/>
      <c r="AC410" s="58">
        <v>43983</v>
      </c>
      <c r="AD410" s="58">
        <v>44001</v>
      </c>
      <c r="AE410" s="58">
        <v>43986</v>
      </c>
      <c r="AF410" s="58">
        <v>43986</v>
      </c>
      <c r="AG410" s="58" t="s">
        <v>75</v>
      </c>
      <c r="AH410" s="59">
        <v>1</v>
      </c>
      <c r="AI410" s="59">
        <v>1</v>
      </c>
      <c r="AJ410" s="59">
        <v>1</v>
      </c>
      <c r="AK410" s="58" t="s">
        <v>8</v>
      </c>
      <c r="AL410" s="13"/>
      <c r="AM410" s="13"/>
      <c r="AN410" s="100" t="s">
        <v>1846</v>
      </c>
    </row>
    <row r="411" spans="2:40" ht="15">
      <c r="B411" s="204">
        <v>292</v>
      </c>
      <c r="C411" s="13">
        <v>20200601</v>
      </c>
      <c r="D411" s="13" t="s">
        <v>24</v>
      </c>
      <c r="E411" s="13" t="s">
        <v>2373</v>
      </c>
      <c r="F411" s="39" t="s">
        <v>2149</v>
      </c>
      <c r="G411" s="13">
        <v>1484917</v>
      </c>
      <c r="H411" s="164" t="s">
        <v>72</v>
      </c>
      <c r="I411" s="13" t="s">
        <v>2150</v>
      </c>
      <c r="J411" s="164" t="s">
        <v>72</v>
      </c>
      <c r="K411" s="13" t="s">
        <v>106</v>
      </c>
      <c r="L411" s="13" t="s">
        <v>1844</v>
      </c>
      <c r="M411" s="13" t="s">
        <v>1033</v>
      </c>
      <c r="N411" s="13" t="s">
        <v>1845</v>
      </c>
      <c r="O411" s="14" t="s">
        <v>72</v>
      </c>
      <c r="P411" s="14" t="s">
        <v>1278</v>
      </c>
      <c r="Q411" s="165"/>
      <c r="R411" s="164" t="s">
        <v>72</v>
      </c>
      <c r="S411" s="13" t="s">
        <v>161</v>
      </c>
      <c r="T411" s="13"/>
      <c r="U411" s="13"/>
      <c r="V411" s="13">
        <v>780</v>
      </c>
      <c r="W411" s="13">
        <v>780</v>
      </c>
      <c r="X411" s="13">
        <v>780</v>
      </c>
      <c r="Y411" s="13">
        <v>13.86</v>
      </c>
      <c r="Z411" s="13">
        <v>1</v>
      </c>
      <c r="AA411" s="13" t="s">
        <v>505</v>
      </c>
      <c r="AB411" s="58"/>
      <c r="AC411" s="58">
        <v>43983</v>
      </c>
      <c r="AD411" s="58">
        <v>44001</v>
      </c>
      <c r="AE411" s="58">
        <v>43986</v>
      </c>
      <c r="AF411" s="58">
        <v>43986</v>
      </c>
      <c r="AG411" s="58" t="s">
        <v>75</v>
      </c>
      <c r="AH411" s="59" t="s">
        <v>72</v>
      </c>
      <c r="AI411" s="59" t="s">
        <v>72</v>
      </c>
      <c r="AJ411" s="59" t="s">
        <v>72</v>
      </c>
      <c r="AK411" s="58" t="s">
        <v>8</v>
      </c>
      <c r="AL411" s="14" t="s">
        <v>1891</v>
      </c>
      <c r="AM411" s="13"/>
      <c r="AN411" s="100" t="s">
        <v>1846</v>
      </c>
    </row>
    <row r="412" spans="2:40" ht="15">
      <c r="B412" s="204">
        <v>293</v>
      </c>
      <c r="C412" s="13">
        <v>20200601</v>
      </c>
      <c r="D412" s="13" t="s">
        <v>24</v>
      </c>
      <c r="E412" s="13" t="s">
        <v>2373</v>
      </c>
      <c r="F412" s="39" t="s">
        <v>2151</v>
      </c>
      <c r="G412" s="13">
        <v>1484917</v>
      </c>
      <c r="H412" s="164" t="s">
        <v>72</v>
      </c>
      <c r="I412" s="13" t="s">
        <v>2152</v>
      </c>
      <c r="J412" s="164" t="s">
        <v>72</v>
      </c>
      <c r="K412" s="13" t="s">
        <v>106</v>
      </c>
      <c r="L412" s="13" t="s">
        <v>1844</v>
      </c>
      <c r="M412" s="13" t="s">
        <v>1033</v>
      </c>
      <c r="N412" s="13" t="s">
        <v>1845</v>
      </c>
      <c r="O412" s="14" t="s">
        <v>72</v>
      </c>
      <c r="P412" s="14" t="s">
        <v>1278</v>
      </c>
      <c r="Q412" s="165"/>
      <c r="R412" s="164" t="s">
        <v>72</v>
      </c>
      <c r="S412" s="13" t="s">
        <v>77</v>
      </c>
      <c r="T412" s="13"/>
      <c r="U412" s="13"/>
      <c r="V412" s="13">
        <v>36</v>
      </c>
      <c r="W412" s="13">
        <v>36</v>
      </c>
      <c r="X412" s="13">
        <v>36</v>
      </c>
      <c r="Y412" s="13">
        <v>0.64</v>
      </c>
      <c r="Z412" s="13">
        <v>0.2</v>
      </c>
      <c r="AA412" s="13" t="s">
        <v>505</v>
      </c>
      <c r="AB412" s="58"/>
      <c r="AC412" s="58">
        <v>43983</v>
      </c>
      <c r="AD412" s="58">
        <v>44001</v>
      </c>
      <c r="AE412" s="58">
        <v>43987</v>
      </c>
      <c r="AF412" s="58">
        <v>43987</v>
      </c>
      <c r="AG412" s="58" t="s">
        <v>75</v>
      </c>
      <c r="AH412" s="59">
        <v>1</v>
      </c>
      <c r="AI412" s="59">
        <v>1</v>
      </c>
      <c r="AJ412" s="59">
        <v>1</v>
      </c>
      <c r="AK412" s="58" t="s">
        <v>8</v>
      </c>
      <c r="AL412" s="14" t="s">
        <v>72</v>
      </c>
      <c r="AM412" s="14" t="s">
        <v>72</v>
      </c>
      <c r="AN412" s="100" t="s">
        <v>1846</v>
      </c>
    </row>
    <row r="413" spans="2:40" ht="15">
      <c r="B413" s="204">
        <v>294</v>
      </c>
      <c r="C413" s="13">
        <v>20200601</v>
      </c>
      <c r="D413" s="13" t="s">
        <v>24</v>
      </c>
      <c r="E413" s="13" t="s">
        <v>2373</v>
      </c>
      <c r="F413" s="39" t="s">
        <v>2153</v>
      </c>
      <c r="G413" s="13">
        <v>1484917</v>
      </c>
      <c r="H413" s="164" t="s">
        <v>72</v>
      </c>
      <c r="I413" s="13" t="s">
        <v>2154</v>
      </c>
      <c r="J413" s="164" t="s">
        <v>72</v>
      </c>
      <c r="K413" s="13" t="s">
        <v>106</v>
      </c>
      <c r="L413" s="13" t="s">
        <v>1844</v>
      </c>
      <c r="M413" s="13" t="s">
        <v>1033</v>
      </c>
      <c r="N413" s="13" t="s">
        <v>1845</v>
      </c>
      <c r="O413" s="14" t="s">
        <v>72</v>
      </c>
      <c r="P413" s="14" t="s">
        <v>1278</v>
      </c>
      <c r="Q413" s="165"/>
      <c r="R413" s="164" t="s">
        <v>72</v>
      </c>
      <c r="S413" s="13" t="s">
        <v>77</v>
      </c>
      <c r="T413" s="13"/>
      <c r="U413" s="13"/>
      <c r="V413" s="13">
        <v>3</v>
      </c>
      <c r="W413" s="13">
        <v>3</v>
      </c>
      <c r="X413" s="13">
        <v>3</v>
      </c>
      <c r="Y413" s="13">
        <v>0.05</v>
      </c>
      <c r="Z413" s="13">
        <v>0.01</v>
      </c>
      <c r="AA413" s="13" t="s">
        <v>505</v>
      </c>
      <c r="AB413" s="58"/>
      <c r="AC413" s="58">
        <v>43983</v>
      </c>
      <c r="AD413" s="58">
        <v>44001</v>
      </c>
      <c r="AE413" s="58">
        <v>43987</v>
      </c>
      <c r="AF413" s="58">
        <v>43987</v>
      </c>
      <c r="AG413" s="58" t="s">
        <v>75</v>
      </c>
      <c r="AH413" s="171" t="s">
        <v>72</v>
      </c>
      <c r="AI413" s="171" t="s">
        <v>72</v>
      </c>
      <c r="AJ413" s="171" t="s">
        <v>72</v>
      </c>
      <c r="AK413" s="58" t="s">
        <v>8</v>
      </c>
      <c r="AL413" s="14" t="s">
        <v>72</v>
      </c>
      <c r="AM413" s="14" t="s">
        <v>72</v>
      </c>
      <c r="AN413" s="193" t="s">
        <v>2155</v>
      </c>
    </row>
    <row r="414" spans="2:40" ht="15">
      <c r="B414" s="204">
        <v>295</v>
      </c>
      <c r="C414" s="13">
        <v>20200601</v>
      </c>
      <c r="D414" s="13" t="s">
        <v>24</v>
      </c>
      <c r="E414" s="13" t="s">
        <v>2373</v>
      </c>
      <c r="F414" s="39" t="s">
        <v>2156</v>
      </c>
      <c r="G414" s="13">
        <v>1484917</v>
      </c>
      <c r="H414" s="164" t="s">
        <v>72</v>
      </c>
      <c r="I414" s="13" t="s">
        <v>2157</v>
      </c>
      <c r="J414" s="164" t="s">
        <v>72</v>
      </c>
      <c r="K414" s="13" t="s">
        <v>106</v>
      </c>
      <c r="L414" s="13" t="s">
        <v>1844</v>
      </c>
      <c r="M414" s="13" t="s">
        <v>1033</v>
      </c>
      <c r="N414" s="13" t="s">
        <v>1845</v>
      </c>
      <c r="O414" s="14" t="s">
        <v>72</v>
      </c>
      <c r="P414" s="14" t="s">
        <v>1278</v>
      </c>
      <c r="Q414" s="165"/>
      <c r="R414" s="164" t="s">
        <v>72</v>
      </c>
      <c r="S414" s="13" t="s">
        <v>77</v>
      </c>
      <c r="T414" s="13"/>
      <c r="U414" s="13"/>
      <c r="V414" s="13">
        <v>225</v>
      </c>
      <c r="W414" s="13">
        <v>225</v>
      </c>
      <c r="X414" s="13">
        <v>225</v>
      </c>
      <c r="Y414" s="13">
        <v>4</v>
      </c>
      <c r="Z414" s="13">
        <v>3</v>
      </c>
      <c r="AA414" s="13" t="s">
        <v>505</v>
      </c>
      <c r="AB414" s="58"/>
      <c r="AC414" s="58">
        <v>43983</v>
      </c>
      <c r="AD414" s="58">
        <v>44001</v>
      </c>
      <c r="AE414" s="58">
        <v>43992</v>
      </c>
      <c r="AF414" s="58">
        <v>43992</v>
      </c>
      <c r="AG414" s="58" t="s">
        <v>75</v>
      </c>
      <c r="AH414" s="59">
        <v>1</v>
      </c>
      <c r="AI414" s="59">
        <v>1</v>
      </c>
      <c r="AJ414" s="59">
        <v>1</v>
      </c>
      <c r="AK414" s="58" t="s">
        <v>8</v>
      </c>
      <c r="AL414" s="14" t="s">
        <v>72</v>
      </c>
      <c r="AM414" s="13"/>
      <c r="AN414" s="100" t="s">
        <v>1846</v>
      </c>
    </row>
    <row r="415" spans="2:40" ht="30">
      <c r="B415" s="204">
        <v>296</v>
      </c>
      <c r="C415" s="13">
        <v>20200601</v>
      </c>
      <c r="D415" s="13" t="s">
        <v>24</v>
      </c>
      <c r="E415" s="13" t="s">
        <v>2373</v>
      </c>
      <c r="F415" s="39" t="s">
        <v>2158</v>
      </c>
      <c r="G415" s="13">
        <v>1484917</v>
      </c>
      <c r="H415" s="164" t="s">
        <v>72</v>
      </c>
      <c r="I415" s="13" t="s">
        <v>2159</v>
      </c>
      <c r="J415" s="164" t="s">
        <v>72</v>
      </c>
      <c r="K415" s="13" t="s">
        <v>106</v>
      </c>
      <c r="L415" s="13" t="s">
        <v>1844</v>
      </c>
      <c r="M415" s="13" t="s">
        <v>1033</v>
      </c>
      <c r="N415" s="13" t="s">
        <v>1845</v>
      </c>
      <c r="O415" s="14" t="s">
        <v>72</v>
      </c>
      <c r="P415" s="14" t="s">
        <v>1278</v>
      </c>
      <c r="Q415" s="165"/>
      <c r="R415" s="164" t="s">
        <v>72</v>
      </c>
      <c r="S415" s="13" t="s">
        <v>77</v>
      </c>
      <c r="T415" s="13"/>
      <c r="U415" s="13"/>
      <c r="V415" s="13">
        <v>530</v>
      </c>
      <c r="W415" s="13">
        <v>530</v>
      </c>
      <c r="X415" s="13">
        <v>530</v>
      </c>
      <c r="Y415" s="13">
        <v>9.42</v>
      </c>
      <c r="Z415" s="13">
        <v>4</v>
      </c>
      <c r="AA415" s="13" t="s">
        <v>505</v>
      </c>
      <c r="AB415" s="58"/>
      <c r="AC415" s="58">
        <v>43983</v>
      </c>
      <c r="AD415" s="58">
        <v>44001</v>
      </c>
      <c r="AE415" s="58">
        <v>43992</v>
      </c>
      <c r="AF415" s="58">
        <v>43992</v>
      </c>
      <c r="AG415" s="58" t="s">
        <v>75</v>
      </c>
      <c r="AH415" s="59">
        <v>1</v>
      </c>
      <c r="AI415" s="59">
        <v>1</v>
      </c>
      <c r="AJ415" s="59">
        <v>1</v>
      </c>
      <c r="AK415" s="58" t="s">
        <v>8</v>
      </c>
      <c r="AL415" s="14" t="s">
        <v>72</v>
      </c>
      <c r="AM415" s="14"/>
      <c r="AN415" s="205" t="s">
        <v>1846</v>
      </c>
    </row>
    <row r="416" spans="2:40" ht="15">
      <c r="B416" s="204">
        <v>297</v>
      </c>
      <c r="C416" s="13">
        <v>20200601</v>
      </c>
      <c r="D416" s="13" t="s">
        <v>24</v>
      </c>
      <c r="E416" s="13" t="s">
        <v>2373</v>
      </c>
      <c r="F416" s="39" t="s">
        <v>2160</v>
      </c>
      <c r="G416" s="13">
        <v>1484917</v>
      </c>
      <c r="H416" s="164" t="s">
        <v>72</v>
      </c>
      <c r="I416" s="13" t="s">
        <v>2161</v>
      </c>
      <c r="J416" s="164" t="s">
        <v>72</v>
      </c>
      <c r="K416" s="13" t="s">
        <v>106</v>
      </c>
      <c r="L416" s="13" t="s">
        <v>1844</v>
      </c>
      <c r="M416" s="13" t="s">
        <v>1033</v>
      </c>
      <c r="N416" s="13" t="s">
        <v>1845</v>
      </c>
      <c r="O416" s="14" t="s">
        <v>72</v>
      </c>
      <c r="P416" s="14" t="s">
        <v>1278</v>
      </c>
      <c r="Q416" s="165"/>
      <c r="R416" s="164" t="s">
        <v>72</v>
      </c>
      <c r="S416" s="13" t="s">
        <v>77</v>
      </c>
      <c r="T416" s="13"/>
      <c r="U416" s="13"/>
      <c r="V416" s="13">
        <v>18</v>
      </c>
      <c r="W416" s="13">
        <v>18</v>
      </c>
      <c r="X416" s="13">
        <v>18</v>
      </c>
      <c r="Y416" s="13">
        <v>0.32</v>
      </c>
      <c r="Z416" s="13">
        <v>0.1</v>
      </c>
      <c r="AA416" s="13" t="s">
        <v>505</v>
      </c>
      <c r="AB416" s="58"/>
      <c r="AC416" s="58">
        <v>43983</v>
      </c>
      <c r="AD416" s="58">
        <v>44001</v>
      </c>
      <c r="AE416" s="58">
        <v>43987</v>
      </c>
      <c r="AF416" s="58">
        <v>43987</v>
      </c>
      <c r="AG416" s="58" t="s">
        <v>75</v>
      </c>
      <c r="AH416" s="59">
        <v>1</v>
      </c>
      <c r="AI416" s="59">
        <v>1</v>
      </c>
      <c r="AJ416" s="59">
        <v>1</v>
      </c>
      <c r="AK416" s="58" t="s">
        <v>8</v>
      </c>
      <c r="AL416" s="14" t="s">
        <v>72</v>
      </c>
      <c r="AM416" s="14" t="s">
        <v>72</v>
      </c>
      <c r="AN416" s="100" t="s">
        <v>1846</v>
      </c>
    </row>
    <row r="417" spans="2:40" ht="15">
      <c r="B417" s="204">
        <v>298</v>
      </c>
      <c r="C417" s="13">
        <v>20200601</v>
      </c>
      <c r="D417" s="13" t="s">
        <v>24</v>
      </c>
      <c r="E417" s="13" t="s">
        <v>2373</v>
      </c>
      <c r="F417" s="39" t="s">
        <v>2162</v>
      </c>
      <c r="G417" s="13">
        <v>1484917</v>
      </c>
      <c r="H417" s="164" t="s">
        <v>72</v>
      </c>
      <c r="I417" s="13" t="s">
        <v>2163</v>
      </c>
      <c r="J417" s="164" t="s">
        <v>72</v>
      </c>
      <c r="K417" s="13" t="s">
        <v>106</v>
      </c>
      <c r="L417" s="13" t="s">
        <v>1844</v>
      </c>
      <c r="M417" s="13" t="s">
        <v>1033</v>
      </c>
      <c r="N417" s="13" t="s">
        <v>1845</v>
      </c>
      <c r="O417" s="14" t="s">
        <v>72</v>
      </c>
      <c r="P417" s="14" t="s">
        <v>1278</v>
      </c>
      <c r="Q417" s="165"/>
      <c r="R417" s="164" t="s">
        <v>72</v>
      </c>
      <c r="S417" s="13" t="s">
        <v>77</v>
      </c>
      <c r="T417" s="13"/>
      <c r="U417" s="13"/>
      <c r="V417" s="13">
        <v>17</v>
      </c>
      <c r="W417" s="13">
        <v>17</v>
      </c>
      <c r="X417" s="13">
        <v>17</v>
      </c>
      <c r="Y417" s="13">
        <v>0.3</v>
      </c>
      <c r="Z417" s="13">
        <v>0.1</v>
      </c>
      <c r="AA417" s="13" t="s">
        <v>505</v>
      </c>
      <c r="AB417" s="58"/>
      <c r="AC417" s="58">
        <v>43983</v>
      </c>
      <c r="AD417" s="58">
        <v>44001</v>
      </c>
      <c r="AE417" s="58">
        <v>43987</v>
      </c>
      <c r="AF417" s="58">
        <v>43987</v>
      </c>
      <c r="AG417" s="58" t="s">
        <v>75</v>
      </c>
      <c r="AH417" s="59">
        <v>1</v>
      </c>
      <c r="AI417" s="59">
        <v>1</v>
      </c>
      <c r="AJ417" s="59">
        <v>1</v>
      </c>
      <c r="AK417" s="58" t="s">
        <v>8</v>
      </c>
      <c r="AL417" s="14" t="s">
        <v>72</v>
      </c>
      <c r="AM417" s="14" t="s">
        <v>72</v>
      </c>
      <c r="AN417" s="100" t="s">
        <v>1846</v>
      </c>
    </row>
    <row r="418" spans="2:40" ht="15">
      <c r="B418" s="204">
        <v>299</v>
      </c>
      <c r="C418" s="13">
        <v>20200601</v>
      </c>
      <c r="D418" s="13" t="s">
        <v>24</v>
      </c>
      <c r="E418" s="13" t="s">
        <v>2373</v>
      </c>
      <c r="F418" s="39" t="s">
        <v>2164</v>
      </c>
      <c r="G418" s="13">
        <v>1484917</v>
      </c>
      <c r="H418" s="164" t="s">
        <v>72</v>
      </c>
      <c r="I418" s="13" t="s">
        <v>2165</v>
      </c>
      <c r="J418" s="164" t="s">
        <v>72</v>
      </c>
      <c r="K418" s="13" t="s">
        <v>106</v>
      </c>
      <c r="L418" s="13" t="s">
        <v>1844</v>
      </c>
      <c r="M418" s="13" t="s">
        <v>1033</v>
      </c>
      <c r="N418" s="13" t="s">
        <v>1845</v>
      </c>
      <c r="O418" s="14" t="s">
        <v>72</v>
      </c>
      <c r="P418" s="14" t="s">
        <v>1278</v>
      </c>
      <c r="Q418" s="165"/>
      <c r="R418" s="164" t="s">
        <v>72</v>
      </c>
      <c r="S418" s="13" t="s">
        <v>109</v>
      </c>
      <c r="T418" s="13"/>
      <c r="U418" s="13"/>
      <c r="V418" s="13">
        <v>143</v>
      </c>
      <c r="W418" s="13">
        <v>143</v>
      </c>
      <c r="X418" s="13">
        <v>143</v>
      </c>
      <c r="Y418" s="13">
        <v>2.54</v>
      </c>
      <c r="Z418" s="13">
        <v>3</v>
      </c>
      <c r="AA418" s="13" t="s">
        <v>505</v>
      </c>
      <c r="AB418" s="58"/>
      <c r="AC418" s="58">
        <v>43983</v>
      </c>
      <c r="AD418" s="58">
        <v>44001</v>
      </c>
      <c r="AE418" s="58">
        <v>43984</v>
      </c>
      <c r="AF418" s="58">
        <v>43984</v>
      </c>
      <c r="AG418" s="58" t="s">
        <v>75</v>
      </c>
      <c r="AH418" s="59">
        <v>1</v>
      </c>
      <c r="AI418" s="59">
        <v>1</v>
      </c>
      <c r="AJ418" s="59">
        <v>1</v>
      </c>
      <c r="AK418" s="58" t="s">
        <v>8</v>
      </c>
      <c r="AL418" s="181" t="s">
        <v>72</v>
      </c>
      <c r="AM418" s="13" t="s">
        <v>72</v>
      </c>
      <c r="AN418" s="100" t="s">
        <v>1846</v>
      </c>
    </row>
    <row r="419" spans="2:40" ht="15">
      <c r="B419" s="204">
        <v>300</v>
      </c>
      <c r="C419" s="13">
        <v>20200601</v>
      </c>
      <c r="D419" s="13" t="s">
        <v>24</v>
      </c>
      <c r="E419" s="13" t="s">
        <v>2373</v>
      </c>
      <c r="F419" s="39" t="s">
        <v>2166</v>
      </c>
      <c r="G419" s="13">
        <v>1484917</v>
      </c>
      <c r="H419" s="164" t="s">
        <v>72</v>
      </c>
      <c r="I419" s="13" t="s">
        <v>2167</v>
      </c>
      <c r="J419" s="164" t="s">
        <v>72</v>
      </c>
      <c r="K419" s="13" t="s">
        <v>106</v>
      </c>
      <c r="L419" s="13" t="s">
        <v>1844</v>
      </c>
      <c r="M419" s="13" t="s">
        <v>1033</v>
      </c>
      <c r="N419" s="13" t="s">
        <v>1845</v>
      </c>
      <c r="O419" s="14" t="s">
        <v>72</v>
      </c>
      <c r="P419" s="14" t="s">
        <v>1278</v>
      </c>
      <c r="Q419" s="165"/>
      <c r="R419" s="164" t="s">
        <v>72</v>
      </c>
      <c r="S419" s="13" t="s">
        <v>109</v>
      </c>
      <c r="T419" s="13"/>
      <c r="U419" s="13"/>
      <c r="V419" s="13">
        <v>69</v>
      </c>
      <c r="W419" s="13">
        <v>69</v>
      </c>
      <c r="X419" s="13">
        <v>69</v>
      </c>
      <c r="Y419" s="13">
        <v>1.22</v>
      </c>
      <c r="Z419" s="13">
        <v>1</v>
      </c>
      <c r="AA419" s="13" t="s">
        <v>505</v>
      </c>
      <c r="AB419" s="58"/>
      <c r="AC419" s="58">
        <v>43983</v>
      </c>
      <c r="AD419" s="58">
        <v>44001</v>
      </c>
      <c r="AE419" s="58">
        <v>43984</v>
      </c>
      <c r="AF419" s="58">
        <v>43984</v>
      </c>
      <c r="AG419" s="58" t="s">
        <v>75</v>
      </c>
      <c r="AH419" s="59">
        <v>1</v>
      </c>
      <c r="AI419" s="59">
        <v>1</v>
      </c>
      <c r="AJ419" s="59">
        <v>1</v>
      </c>
      <c r="AK419" s="58" t="s">
        <v>8</v>
      </c>
      <c r="AL419" s="14" t="s">
        <v>72</v>
      </c>
      <c r="AM419" s="13" t="s">
        <v>72</v>
      </c>
      <c r="AN419" s="100" t="s">
        <v>1846</v>
      </c>
    </row>
    <row r="420" spans="2:40" ht="15">
      <c r="B420" s="204">
        <v>301</v>
      </c>
      <c r="C420" s="13">
        <v>20200601</v>
      </c>
      <c r="D420" s="13" t="s">
        <v>24</v>
      </c>
      <c r="E420" s="13" t="s">
        <v>2373</v>
      </c>
      <c r="F420" s="39" t="s">
        <v>2168</v>
      </c>
      <c r="G420" s="13">
        <v>1484917</v>
      </c>
      <c r="H420" s="164" t="s">
        <v>72</v>
      </c>
      <c r="I420" s="13" t="s">
        <v>2169</v>
      </c>
      <c r="J420" s="164" t="s">
        <v>72</v>
      </c>
      <c r="K420" s="13" t="s">
        <v>106</v>
      </c>
      <c r="L420" s="13" t="s">
        <v>1844</v>
      </c>
      <c r="M420" s="13" t="s">
        <v>1033</v>
      </c>
      <c r="N420" s="13" t="s">
        <v>1845</v>
      </c>
      <c r="O420" s="14" t="s">
        <v>72</v>
      </c>
      <c r="P420" s="14" t="s">
        <v>1278</v>
      </c>
      <c r="Q420" s="165"/>
      <c r="R420" s="164" t="s">
        <v>72</v>
      </c>
      <c r="S420" s="13" t="s">
        <v>109</v>
      </c>
      <c r="T420" s="13"/>
      <c r="U420" s="13"/>
      <c r="V420" s="13">
        <v>129</v>
      </c>
      <c r="W420" s="13">
        <v>129</v>
      </c>
      <c r="X420" s="13">
        <v>129</v>
      </c>
      <c r="Y420" s="13">
        <v>2.29</v>
      </c>
      <c r="Z420" s="13">
        <v>2</v>
      </c>
      <c r="AA420" s="13" t="s">
        <v>505</v>
      </c>
      <c r="AB420" s="58"/>
      <c r="AC420" s="58">
        <v>43983</v>
      </c>
      <c r="AD420" s="58">
        <v>44001</v>
      </c>
      <c r="AE420" s="58">
        <v>43984</v>
      </c>
      <c r="AF420" s="58">
        <v>43984</v>
      </c>
      <c r="AG420" s="58" t="s">
        <v>75</v>
      </c>
      <c r="AH420" s="59">
        <v>1</v>
      </c>
      <c r="AI420" s="59">
        <v>1</v>
      </c>
      <c r="AJ420" s="59">
        <v>1</v>
      </c>
      <c r="AK420" s="58" t="s">
        <v>8</v>
      </c>
      <c r="AL420" s="14" t="s">
        <v>72</v>
      </c>
      <c r="AM420" s="13" t="s">
        <v>72</v>
      </c>
      <c r="AN420" s="100" t="s">
        <v>1846</v>
      </c>
    </row>
    <row r="421" spans="2:40" ht="15">
      <c r="B421" s="204">
        <v>302</v>
      </c>
      <c r="C421" s="13">
        <v>20200601</v>
      </c>
      <c r="D421" s="13" t="s">
        <v>24</v>
      </c>
      <c r="E421" s="13" t="s">
        <v>2373</v>
      </c>
      <c r="F421" s="4" t="s">
        <v>2170</v>
      </c>
      <c r="G421" s="13">
        <v>1489760</v>
      </c>
      <c r="H421" s="164" t="s">
        <v>72</v>
      </c>
      <c r="I421" s="13" t="s">
        <v>2171</v>
      </c>
      <c r="J421" s="164" t="s">
        <v>72</v>
      </c>
      <c r="K421" s="13" t="s">
        <v>106</v>
      </c>
      <c r="L421" s="13" t="s">
        <v>1844</v>
      </c>
      <c r="M421" s="13" t="s">
        <v>1033</v>
      </c>
      <c r="N421" s="13" t="s">
        <v>1845</v>
      </c>
      <c r="O421" s="14" t="s">
        <v>72</v>
      </c>
      <c r="P421" s="14" t="s">
        <v>1286</v>
      </c>
      <c r="Q421" s="165"/>
      <c r="R421" s="164" t="s">
        <v>72</v>
      </c>
      <c r="S421" s="13" t="s">
        <v>109</v>
      </c>
      <c r="T421" s="13"/>
      <c r="U421" s="13"/>
      <c r="V421" s="13">
        <v>39</v>
      </c>
      <c r="W421" s="13">
        <v>39</v>
      </c>
      <c r="X421" s="13">
        <v>39</v>
      </c>
      <c r="Y421" s="13">
        <v>0.69</v>
      </c>
      <c r="Z421" s="13">
        <v>0.8</v>
      </c>
      <c r="AA421" s="13" t="s">
        <v>505</v>
      </c>
      <c r="AB421" s="58"/>
      <c r="AC421" s="58">
        <v>43983</v>
      </c>
      <c r="AD421" s="58">
        <v>44001</v>
      </c>
      <c r="AE421" s="58">
        <v>43984</v>
      </c>
      <c r="AF421" s="58">
        <v>43984</v>
      </c>
      <c r="AG421" s="58" t="s">
        <v>75</v>
      </c>
      <c r="AH421" s="59">
        <v>1</v>
      </c>
      <c r="AI421" s="59">
        <v>1</v>
      </c>
      <c r="AJ421" s="59">
        <v>1</v>
      </c>
      <c r="AK421" s="58" t="s">
        <v>8</v>
      </c>
      <c r="AL421" s="14" t="s">
        <v>72</v>
      </c>
      <c r="AM421" s="13" t="s">
        <v>72</v>
      </c>
      <c r="AN421" s="100" t="s">
        <v>2172</v>
      </c>
    </row>
    <row r="422" spans="2:40" ht="15">
      <c r="B422" s="204">
        <v>303</v>
      </c>
      <c r="C422" s="13">
        <v>20200601</v>
      </c>
      <c r="D422" s="13" t="s">
        <v>24</v>
      </c>
      <c r="E422" s="13" t="s">
        <v>2373</v>
      </c>
      <c r="F422" s="4" t="s">
        <v>2173</v>
      </c>
      <c r="G422" s="13">
        <v>1489760</v>
      </c>
      <c r="H422" s="164" t="s">
        <v>72</v>
      </c>
      <c r="I422" s="13" t="s">
        <v>37</v>
      </c>
      <c r="J422" s="164" t="s">
        <v>72</v>
      </c>
      <c r="K422" s="13" t="s">
        <v>106</v>
      </c>
      <c r="L422" s="13" t="s">
        <v>1844</v>
      </c>
      <c r="M422" s="13" t="s">
        <v>1033</v>
      </c>
      <c r="N422" s="13" t="s">
        <v>1845</v>
      </c>
      <c r="O422" s="14" t="s">
        <v>72</v>
      </c>
      <c r="P422" s="14" t="s">
        <v>1286</v>
      </c>
      <c r="Q422" s="165"/>
      <c r="R422" s="164" t="s">
        <v>72</v>
      </c>
      <c r="S422" s="13" t="s">
        <v>109</v>
      </c>
      <c r="T422" s="13"/>
      <c r="U422" s="13"/>
      <c r="V422" s="13">
        <v>276</v>
      </c>
      <c r="W422" s="13">
        <v>276</v>
      </c>
      <c r="X422" s="13">
        <v>276</v>
      </c>
      <c r="Y422" s="13">
        <v>4.9000000000000004</v>
      </c>
      <c r="Z422" s="13">
        <v>1</v>
      </c>
      <c r="AA422" s="13" t="s">
        <v>505</v>
      </c>
      <c r="AB422" s="58"/>
      <c r="AC422" s="58">
        <v>43983</v>
      </c>
      <c r="AD422" s="58">
        <v>44001</v>
      </c>
      <c r="AE422" s="58">
        <v>43985</v>
      </c>
      <c r="AF422" s="58">
        <v>43985</v>
      </c>
      <c r="AG422" s="58" t="s">
        <v>75</v>
      </c>
      <c r="AH422" s="59">
        <v>1</v>
      </c>
      <c r="AI422" s="59">
        <v>1</v>
      </c>
      <c r="AJ422" s="59">
        <v>1</v>
      </c>
      <c r="AK422" s="58" t="s">
        <v>8</v>
      </c>
      <c r="AL422" s="14" t="s">
        <v>72</v>
      </c>
      <c r="AM422" s="13" t="s">
        <v>72</v>
      </c>
      <c r="AN422" s="100" t="s">
        <v>2172</v>
      </c>
    </row>
    <row r="423" spans="2:40" ht="15">
      <c r="B423" s="184">
        <v>304</v>
      </c>
      <c r="C423" s="13">
        <v>20200602</v>
      </c>
      <c r="D423" s="13" t="s">
        <v>311</v>
      </c>
      <c r="E423" s="14" t="s">
        <v>2174</v>
      </c>
      <c r="F423" s="14" t="s">
        <v>72</v>
      </c>
      <c r="G423" s="13">
        <v>1458019</v>
      </c>
      <c r="H423" s="164" t="s">
        <v>72</v>
      </c>
      <c r="I423" s="13" t="s">
        <v>2175</v>
      </c>
      <c r="J423" s="164" t="s">
        <v>72</v>
      </c>
      <c r="K423" s="13" t="s">
        <v>106</v>
      </c>
      <c r="L423" s="13" t="s">
        <v>8</v>
      </c>
      <c r="M423" s="13" t="s">
        <v>8</v>
      </c>
      <c r="N423" s="13" t="s">
        <v>2176</v>
      </c>
      <c r="O423" s="14" t="s">
        <v>2177</v>
      </c>
      <c r="P423" s="14" t="s">
        <v>2178</v>
      </c>
      <c r="Q423" s="165"/>
      <c r="R423" s="164" t="s">
        <v>72</v>
      </c>
      <c r="S423" s="13" t="s">
        <v>77</v>
      </c>
      <c r="T423" s="13"/>
      <c r="U423" s="13"/>
      <c r="V423" s="13">
        <v>25</v>
      </c>
      <c r="W423" s="13">
        <v>25</v>
      </c>
      <c r="X423" s="13">
        <v>25</v>
      </c>
      <c r="Y423" s="13">
        <v>1.53</v>
      </c>
      <c r="Z423" s="13">
        <v>2</v>
      </c>
      <c r="AA423" s="13" t="s">
        <v>550</v>
      </c>
      <c r="AB423" s="58">
        <v>43985</v>
      </c>
      <c r="AC423" s="58">
        <v>43984</v>
      </c>
      <c r="AD423" s="58">
        <v>43985</v>
      </c>
      <c r="AE423" s="58">
        <v>43984</v>
      </c>
      <c r="AF423" s="58">
        <v>43984</v>
      </c>
      <c r="AG423" s="58" t="s">
        <v>75</v>
      </c>
      <c r="AH423" s="59">
        <v>1</v>
      </c>
      <c r="AI423" s="59">
        <v>1</v>
      </c>
      <c r="AJ423" s="59">
        <v>1</v>
      </c>
      <c r="AK423" s="58" t="s">
        <v>8</v>
      </c>
      <c r="AL423" s="14" t="s">
        <v>72</v>
      </c>
      <c r="AM423" s="14" t="s">
        <v>72</v>
      </c>
      <c r="AN423" s="100" t="s">
        <v>2179</v>
      </c>
    </row>
    <row r="424" spans="2:40" ht="15">
      <c r="B424" s="184">
        <v>305</v>
      </c>
      <c r="C424" s="13">
        <v>20200602</v>
      </c>
      <c r="D424" s="13" t="s">
        <v>311</v>
      </c>
      <c r="E424" s="14" t="s">
        <v>2174</v>
      </c>
      <c r="F424" s="14" t="s">
        <v>72</v>
      </c>
      <c r="G424" s="14">
        <v>1458019</v>
      </c>
      <c r="H424" s="164" t="s">
        <v>72</v>
      </c>
      <c r="I424" s="13" t="s">
        <v>2180</v>
      </c>
      <c r="J424" s="164" t="s">
        <v>72</v>
      </c>
      <c r="K424" s="13" t="s">
        <v>106</v>
      </c>
      <c r="L424" s="13" t="s">
        <v>8</v>
      </c>
      <c r="M424" s="13" t="s">
        <v>8</v>
      </c>
      <c r="N424" s="13" t="s">
        <v>2176</v>
      </c>
      <c r="O424" s="13">
        <v>1.3</v>
      </c>
      <c r="P424" s="14" t="s">
        <v>2178</v>
      </c>
      <c r="Q424" s="165"/>
      <c r="R424" s="164" t="s">
        <v>72</v>
      </c>
      <c r="S424" s="13" t="s">
        <v>77</v>
      </c>
      <c r="T424" s="13"/>
      <c r="U424" s="13"/>
      <c r="V424" s="13">
        <v>25</v>
      </c>
      <c r="W424" s="13">
        <v>25</v>
      </c>
      <c r="X424" s="13">
        <v>25</v>
      </c>
      <c r="Y424" s="13">
        <v>1.53</v>
      </c>
      <c r="Z424" s="13">
        <v>2</v>
      </c>
      <c r="AA424" s="13" t="s">
        <v>550</v>
      </c>
      <c r="AB424" s="58">
        <v>43985</v>
      </c>
      <c r="AC424" s="58">
        <v>43984</v>
      </c>
      <c r="AD424" s="58">
        <v>43985</v>
      </c>
      <c r="AE424" s="58">
        <v>43985</v>
      </c>
      <c r="AF424" s="58">
        <v>43985</v>
      </c>
      <c r="AG424" s="58" t="s">
        <v>75</v>
      </c>
      <c r="AH424" s="59">
        <v>1</v>
      </c>
      <c r="AI424" s="59">
        <v>1</v>
      </c>
      <c r="AJ424" s="59">
        <v>1</v>
      </c>
      <c r="AK424" s="58" t="s">
        <v>8</v>
      </c>
      <c r="AL424" s="14" t="s">
        <v>72</v>
      </c>
      <c r="AM424" s="13"/>
      <c r="AN424" s="100" t="s">
        <v>2179</v>
      </c>
    </row>
    <row r="425" spans="2:40" ht="15">
      <c r="B425" s="184">
        <v>306</v>
      </c>
      <c r="C425" s="13">
        <v>20200602</v>
      </c>
      <c r="D425" s="13" t="s">
        <v>311</v>
      </c>
      <c r="E425" s="14" t="s">
        <v>2366</v>
      </c>
      <c r="F425" s="14" t="s">
        <v>72</v>
      </c>
      <c r="G425" s="13">
        <v>1499718</v>
      </c>
      <c r="H425" s="164" t="s">
        <v>72</v>
      </c>
      <c r="I425" s="13" t="s">
        <v>1800</v>
      </c>
      <c r="J425" s="164" t="s">
        <v>72</v>
      </c>
      <c r="K425" s="13" t="s">
        <v>73</v>
      </c>
      <c r="L425" s="13" t="s">
        <v>8</v>
      </c>
      <c r="M425" s="13" t="s">
        <v>1602</v>
      </c>
      <c r="N425" s="13">
        <v>1499718</v>
      </c>
      <c r="O425" s="14" t="s">
        <v>2182</v>
      </c>
      <c r="P425" s="14" t="s">
        <v>1798</v>
      </c>
      <c r="Q425" s="165"/>
      <c r="R425" s="164" t="s">
        <v>72</v>
      </c>
      <c r="S425" s="13" t="s">
        <v>117</v>
      </c>
      <c r="T425" s="13"/>
      <c r="U425" s="13"/>
      <c r="V425" s="13">
        <v>43</v>
      </c>
      <c r="W425" s="13">
        <v>43</v>
      </c>
      <c r="X425" s="13">
        <v>43</v>
      </c>
      <c r="Y425" s="13">
        <v>2.64</v>
      </c>
      <c r="Z425" s="13">
        <v>1</v>
      </c>
      <c r="AA425" s="13" t="s">
        <v>550</v>
      </c>
      <c r="AB425" s="58">
        <v>43987</v>
      </c>
      <c r="AC425" s="58">
        <v>43984</v>
      </c>
      <c r="AD425" s="58">
        <v>43986</v>
      </c>
      <c r="AE425" s="58">
        <v>43987</v>
      </c>
      <c r="AF425" s="58">
        <v>43987</v>
      </c>
      <c r="AG425" s="58" t="s">
        <v>75</v>
      </c>
      <c r="AH425" s="59">
        <v>1</v>
      </c>
      <c r="AI425" s="59">
        <v>1</v>
      </c>
      <c r="AJ425" s="59">
        <v>1</v>
      </c>
      <c r="AK425" s="58" t="s">
        <v>8</v>
      </c>
      <c r="AL425" s="13" t="s">
        <v>72</v>
      </c>
      <c r="AM425" s="13" t="s">
        <v>72</v>
      </c>
      <c r="AN425" s="13" t="s">
        <v>72</v>
      </c>
    </row>
    <row r="426" spans="2:40" ht="15">
      <c r="B426" s="206">
        <v>307</v>
      </c>
      <c r="C426" s="13">
        <v>20200603</v>
      </c>
      <c r="D426" s="13" t="s">
        <v>24</v>
      </c>
      <c r="E426" s="13" t="s">
        <v>837</v>
      </c>
      <c r="F426" s="39" t="s">
        <v>2183</v>
      </c>
      <c r="G426" s="14">
        <v>1495985</v>
      </c>
      <c r="H426" s="164" t="s">
        <v>72</v>
      </c>
      <c r="I426" s="13" t="s">
        <v>1487</v>
      </c>
      <c r="J426" s="164" t="s">
        <v>72</v>
      </c>
      <c r="K426" s="13" t="s">
        <v>73</v>
      </c>
      <c r="L426" s="13" t="s">
        <v>8</v>
      </c>
      <c r="M426" s="13" t="s">
        <v>840</v>
      </c>
      <c r="N426" s="13" t="s">
        <v>2184</v>
      </c>
      <c r="O426" s="14" t="s">
        <v>72</v>
      </c>
      <c r="P426" s="14" t="s">
        <v>1567</v>
      </c>
      <c r="Q426" s="165"/>
      <c r="R426" s="164" t="s">
        <v>72</v>
      </c>
      <c r="S426" s="13" t="s">
        <v>109</v>
      </c>
      <c r="T426" s="13"/>
      <c r="U426" s="13"/>
      <c r="V426" s="13">
        <v>42</v>
      </c>
      <c r="W426" s="13">
        <v>42</v>
      </c>
      <c r="X426" s="13">
        <v>42</v>
      </c>
      <c r="Y426" s="13">
        <v>0.74</v>
      </c>
      <c r="Z426" s="13">
        <v>0.5</v>
      </c>
      <c r="AA426" s="13" t="s">
        <v>550</v>
      </c>
      <c r="AB426" s="58">
        <v>43985</v>
      </c>
      <c r="AC426" s="58">
        <v>43985</v>
      </c>
      <c r="AD426" s="58">
        <v>43985</v>
      </c>
      <c r="AE426" s="58">
        <v>43985</v>
      </c>
      <c r="AF426" s="58">
        <v>43985</v>
      </c>
      <c r="AG426" s="58" t="s">
        <v>75</v>
      </c>
      <c r="AH426" s="59">
        <v>1</v>
      </c>
      <c r="AI426" s="59">
        <v>1</v>
      </c>
      <c r="AJ426" s="59">
        <v>1</v>
      </c>
      <c r="AK426" s="58" t="s">
        <v>8</v>
      </c>
      <c r="AL426" s="14" t="s">
        <v>72</v>
      </c>
      <c r="AM426" s="13" t="s">
        <v>72</v>
      </c>
      <c r="AN426" s="13"/>
    </row>
    <row r="427" spans="2:40" ht="15">
      <c r="B427" s="206">
        <v>308</v>
      </c>
      <c r="C427" s="13">
        <v>20200603</v>
      </c>
      <c r="D427" s="13" t="s">
        <v>24</v>
      </c>
      <c r="E427" s="13" t="s">
        <v>837</v>
      </c>
      <c r="F427" s="39" t="s">
        <v>2185</v>
      </c>
      <c r="G427" s="14">
        <v>1495985</v>
      </c>
      <c r="H427" s="164" t="s">
        <v>72</v>
      </c>
      <c r="I427" s="13" t="s">
        <v>1618</v>
      </c>
      <c r="J427" s="164" t="s">
        <v>72</v>
      </c>
      <c r="K427" s="13" t="s">
        <v>73</v>
      </c>
      <c r="L427" s="13" t="s">
        <v>8</v>
      </c>
      <c r="M427" s="13" t="s">
        <v>840</v>
      </c>
      <c r="N427" s="13" t="s">
        <v>2184</v>
      </c>
      <c r="O427" s="14" t="s">
        <v>72</v>
      </c>
      <c r="P427" s="14" t="s">
        <v>1567</v>
      </c>
      <c r="Q427" s="165"/>
      <c r="R427" s="164" t="s">
        <v>72</v>
      </c>
      <c r="S427" s="13" t="s">
        <v>109</v>
      </c>
      <c r="T427" s="13"/>
      <c r="U427" s="13"/>
      <c r="V427" s="13">
        <v>117</v>
      </c>
      <c r="W427" s="13">
        <v>117</v>
      </c>
      <c r="X427" s="13">
        <v>117</v>
      </c>
      <c r="Y427" s="13">
        <v>2.08</v>
      </c>
      <c r="Z427" s="13">
        <v>1</v>
      </c>
      <c r="AA427" s="13" t="s">
        <v>550</v>
      </c>
      <c r="AB427" s="58">
        <v>43985</v>
      </c>
      <c r="AC427" s="58">
        <v>43985</v>
      </c>
      <c r="AD427" s="58">
        <v>43985</v>
      </c>
      <c r="AE427" s="58">
        <v>43985</v>
      </c>
      <c r="AF427" s="58">
        <v>43985</v>
      </c>
      <c r="AG427" s="58" t="s">
        <v>75</v>
      </c>
      <c r="AH427" s="59">
        <v>1</v>
      </c>
      <c r="AI427" s="59">
        <v>1</v>
      </c>
      <c r="AJ427" s="59">
        <v>1</v>
      </c>
      <c r="AK427" s="58" t="s">
        <v>8</v>
      </c>
      <c r="AL427" s="14" t="s">
        <v>72</v>
      </c>
      <c r="AM427" s="13" t="s">
        <v>72</v>
      </c>
      <c r="AN427" s="13"/>
    </row>
    <row r="428" spans="2:40" ht="15">
      <c r="B428" s="206">
        <v>309</v>
      </c>
      <c r="C428" s="13">
        <v>20200603</v>
      </c>
      <c r="D428" s="13" t="s">
        <v>24</v>
      </c>
      <c r="E428" s="13" t="s">
        <v>837</v>
      </c>
      <c r="F428" s="39" t="s">
        <v>2186</v>
      </c>
      <c r="G428" s="14">
        <v>1495985</v>
      </c>
      <c r="H428" s="164" t="s">
        <v>72</v>
      </c>
      <c r="I428" s="13" t="s">
        <v>1142</v>
      </c>
      <c r="J428" s="164" t="s">
        <v>72</v>
      </c>
      <c r="K428" s="13" t="s">
        <v>73</v>
      </c>
      <c r="L428" s="13" t="s">
        <v>8</v>
      </c>
      <c r="M428" s="13" t="s">
        <v>840</v>
      </c>
      <c r="N428" s="13" t="s">
        <v>2184</v>
      </c>
      <c r="O428" s="14" t="s">
        <v>72</v>
      </c>
      <c r="P428" s="14" t="s">
        <v>1567</v>
      </c>
      <c r="Q428" s="165"/>
      <c r="R428" s="164" t="s">
        <v>72</v>
      </c>
      <c r="S428" s="13" t="s">
        <v>109</v>
      </c>
      <c r="T428" s="13"/>
      <c r="U428" s="13"/>
      <c r="V428" s="13">
        <v>90</v>
      </c>
      <c r="W428" s="13">
        <v>90</v>
      </c>
      <c r="X428" s="13">
        <v>90</v>
      </c>
      <c r="Y428" s="13">
        <v>1.6</v>
      </c>
      <c r="Z428" s="13">
        <v>0.5</v>
      </c>
      <c r="AA428" s="13" t="s">
        <v>550</v>
      </c>
      <c r="AB428" s="58">
        <v>43985</v>
      </c>
      <c r="AC428" s="58">
        <v>43985</v>
      </c>
      <c r="AD428" s="58">
        <v>43985</v>
      </c>
      <c r="AE428" s="58">
        <v>43985</v>
      </c>
      <c r="AF428" s="58">
        <v>43985</v>
      </c>
      <c r="AG428" s="58" t="s">
        <v>75</v>
      </c>
      <c r="AH428" s="59">
        <v>1</v>
      </c>
      <c r="AI428" s="59">
        <v>1</v>
      </c>
      <c r="AJ428" s="59">
        <v>1</v>
      </c>
      <c r="AK428" s="58" t="s">
        <v>8</v>
      </c>
      <c r="AL428" s="14" t="s">
        <v>72</v>
      </c>
      <c r="AM428" s="13" t="s">
        <v>72</v>
      </c>
      <c r="AN428" s="13"/>
    </row>
    <row r="429" spans="2:40" ht="15">
      <c r="B429" s="206">
        <v>310</v>
      </c>
      <c r="C429" s="13">
        <v>20200603</v>
      </c>
      <c r="D429" s="13" t="s">
        <v>24</v>
      </c>
      <c r="E429" s="13" t="s">
        <v>837</v>
      </c>
      <c r="F429" s="39" t="s">
        <v>2187</v>
      </c>
      <c r="G429" s="14">
        <v>1495985</v>
      </c>
      <c r="H429" s="164" t="s">
        <v>72</v>
      </c>
      <c r="I429" s="13" t="s">
        <v>1626</v>
      </c>
      <c r="J429" s="164" t="s">
        <v>72</v>
      </c>
      <c r="K429" s="13" t="s">
        <v>73</v>
      </c>
      <c r="L429" s="13" t="s">
        <v>8</v>
      </c>
      <c r="M429" s="13" t="s">
        <v>840</v>
      </c>
      <c r="N429" s="13" t="s">
        <v>2184</v>
      </c>
      <c r="O429" s="14" t="s">
        <v>72</v>
      </c>
      <c r="P429" s="14" t="s">
        <v>1567</v>
      </c>
      <c r="Q429" s="165"/>
      <c r="R429" s="164" t="s">
        <v>72</v>
      </c>
      <c r="S429" s="13" t="s">
        <v>109</v>
      </c>
      <c r="T429" s="13"/>
      <c r="U429" s="13"/>
      <c r="V429" s="13">
        <v>27</v>
      </c>
      <c r="W429" s="13">
        <v>27</v>
      </c>
      <c r="X429" s="13">
        <v>27</v>
      </c>
      <c r="Y429" s="13">
        <v>0.48</v>
      </c>
      <c r="Z429" s="13">
        <v>0.5</v>
      </c>
      <c r="AA429" s="13" t="s">
        <v>550</v>
      </c>
      <c r="AB429" s="58">
        <v>43985</v>
      </c>
      <c r="AC429" s="58">
        <v>43985</v>
      </c>
      <c r="AD429" s="58">
        <v>43985</v>
      </c>
      <c r="AE429" s="58">
        <v>43985</v>
      </c>
      <c r="AF429" s="58">
        <v>43985</v>
      </c>
      <c r="AG429" s="58" t="s">
        <v>75</v>
      </c>
      <c r="AH429" s="59">
        <v>1</v>
      </c>
      <c r="AI429" s="59">
        <v>1</v>
      </c>
      <c r="AJ429" s="59">
        <v>1</v>
      </c>
      <c r="AK429" s="58" t="s">
        <v>8</v>
      </c>
      <c r="AL429" s="14" t="s">
        <v>72</v>
      </c>
      <c r="AM429" s="13" t="s">
        <v>72</v>
      </c>
      <c r="AN429" s="13"/>
    </row>
    <row r="430" spans="2:40" ht="15">
      <c r="B430" s="206">
        <v>311</v>
      </c>
      <c r="C430" s="13">
        <v>20200603</v>
      </c>
      <c r="D430" s="13" t="s">
        <v>311</v>
      </c>
      <c r="E430" s="13" t="s">
        <v>1562</v>
      </c>
      <c r="F430" s="14" t="s">
        <v>72</v>
      </c>
      <c r="G430" s="14">
        <v>1497370</v>
      </c>
      <c r="H430" s="164" t="s">
        <v>72</v>
      </c>
      <c r="I430" s="13" t="s">
        <v>2188</v>
      </c>
      <c r="J430" s="164" t="s">
        <v>72</v>
      </c>
      <c r="K430" s="13" t="s">
        <v>73</v>
      </c>
      <c r="L430" s="13" t="s">
        <v>8</v>
      </c>
      <c r="M430" s="13" t="s">
        <v>1565</v>
      </c>
      <c r="N430" s="13" t="s">
        <v>2189</v>
      </c>
      <c r="O430" s="207" t="s">
        <v>2190</v>
      </c>
      <c r="P430" s="208" t="s">
        <v>1701</v>
      </c>
      <c r="Q430" s="165"/>
      <c r="R430" s="164" t="s">
        <v>72</v>
      </c>
      <c r="S430" s="13" t="s">
        <v>117</v>
      </c>
      <c r="T430" s="13"/>
      <c r="U430" s="13"/>
      <c r="V430" s="13">
        <v>150</v>
      </c>
      <c r="W430" s="13">
        <v>150</v>
      </c>
      <c r="X430" s="13">
        <v>150</v>
      </c>
      <c r="Y430" s="13">
        <v>9.23</v>
      </c>
      <c r="Z430" s="13">
        <v>9</v>
      </c>
      <c r="AA430" s="13" t="s">
        <v>550</v>
      </c>
      <c r="AB430" s="58">
        <v>43986</v>
      </c>
      <c r="AC430" s="58">
        <v>43985</v>
      </c>
      <c r="AD430" s="58">
        <v>43986</v>
      </c>
      <c r="AE430" s="58">
        <v>43986</v>
      </c>
      <c r="AF430" s="58">
        <v>43986</v>
      </c>
      <c r="AG430" s="58" t="s">
        <v>79</v>
      </c>
      <c r="AH430" s="59">
        <v>0.92100000000000004</v>
      </c>
      <c r="AI430" s="59">
        <v>0.93200000000000005</v>
      </c>
      <c r="AJ430" s="59">
        <v>1</v>
      </c>
      <c r="AK430" s="58" t="s">
        <v>76</v>
      </c>
      <c r="AL430" s="13" t="s">
        <v>2191</v>
      </c>
      <c r="AM430" s="13"/>
      <c r="AN430" s="13" t="s">
        <v>1839</v>
      </c>
    </row>
    <row r="431" spans="2:40" ht="15">
      <c r="B431" s="209">
        <v>312</v>
      </c>
      <c r="C431" s="13">
        <v>20200603</v>
      </c>
      <c r="D431" s="13" t="s">
        <v>311</v>
      </c>
      <c r="E431" s="13" t="s">
        <v>2378</v>
      </c>
      <c r="F431" s="14" t="s">
        <v>72</v>
      </c>
      <c r="G431" s="14">
        <v>1501554</v>
      </c>
      <c r="H431" s="164" t="s">
        <v>72</v>
      </c>
      <c r="I431" s="13" t="s">
        <v>2193</v>
      </c>
      <c r="J431" s="164" t="s">
        <v>72</v>
      </c>
      <c r="K431" s="13" t="s">
        <v>73</v>
      </c>
      <c r="L431" s="13" t="s">
        <v>8</v>
      </c>
      <c r="M431" s="13" t="s">
        <v>2194</v>
      </c>
      <c r="N431" s="203" t="s">
        <v>1700</v>
      </c>
      <c r="O431" s="14" t="s">
        <v>2195</v>
      </c>
      <c r="P431" s="13" t="s">
        <v>2196</v>
      </c>
      <c r="Q431" s="165"/>
      <c r="R431" s="164" t="s">
        <v>72</v>
      </c>
      <c r="S431" s="13" t="s">
        <v>117</v>
      </c>
      <c r="T431" s="13"/>
      <c r="U431" s="13"/>
      <c r="V431" s="13">
        <v>83</v>
      </c>
      <c r="W431" s="53">
        <v>91</v>
      </c>
      <c r="X431" s="13">
        <v>91</v>
      </c>
      <c r="Y431" s="13">
        <v>5.6</v>
      </c>
      <c r="Z431" s="13">
        <v>4</v>
      </c>
      <c r="AA431" s="13" t="s">
        <v>550</v>
      </c>
      <c r="AB431" s="58">
        <v>43991</v>
      </c>
      <c r="AC431" s="58">
        <v>43985</v>
      </c>
      <c r="AD431" s="58">
        <v>43991</v>
      </c>
      <c r="AE431" s="58">
        <v>43991</v>
      </c>
      <c r="AF431" s="58">
        <v>43991</v>
      </c>
      <c r="AG431" s="58" t="s">
        <v>75</v>
      </c>
      <c r="AH431" s="59">
        <v>1</v>
      </c>
      <c r="AI431" s="59">
        <v>1</v>
      </c>
      <c r="AJ431" s="59">
        <v>1</v>
      </c>
      <c r="AK431" s="58" t="s">
        <v>8</v>
      </c>
      <c r="AL431" s="13"/>
      <c r="AM431" s="13"/>
      <c r="AN431" s="13"/>
    </row>
    <row r="432" spans="2:40" ht="15">
      <c r="B432" s="209">
        <v>313</v>
      </c>
      <c r="C432" s="13">
        <v>20200603</v>
      </c>
      <c r="D432" s="13" t="s">
        <v>311</v>
      </c>
      <c r="E432" s="13" t="s">
        <v>2378</v>
      </c>
      <c r="F432" s="14" t="s">
        <v>72</v>
      </c>
      <c r="G432" s="14">
        <v>1501554</v>
      </c>
      <c r="H432" s="164" t="s">
        <v>72</v>
      </c>
      <c r="I432" s="13" t="s">
        <v>2197</v>
      </c>
      <c r="J432" s="164" t="s">
        <v>72</v>
      </c>
      <c r="K432" s="13" t="s">
        <v>73</v>
      </c>
      <c r="L432" s="13" t="s">
        <v>8</v>
      </c>
      <c r="M432" s="13" t="s">
        <v>2194</v>
      </c>
      <c r="N432" s="210" t="s">
        <v>1700</v>
      </c>
      <c r="O432" s="14" t="s">
        <v>2198</v>
      </c>
      <c r="P432" s="13" t="s">
        <v>2196</v>
      </c>
      <c r="Q432" s="165"/>
      <c r="R432" s="164" t="s">
        <v>72</v>
      </c>
      <c r="S432" s="13" t="s">
        <v>117</v>
      </c>
      <c r="T432" s="13"/>
      <c r="U432" s="13"/>
      <c r="V432" s="13">
        <v>50</v>
      </c>
      <c r="W432" s="53">
        <v>54</v>
      </c>
      <c r="X432" s="13">
        <v>54</v>
      </c>
      <c r="Y432" s="13">
        <v>3.32</v>
      </c>
      <c r="Z432" s="13">
        <v>2</v>
      </c>
      <c r="AA432" s="13" t="s">
        <v>550</v>
      </c>
      <c r="AB432" s="58">
        <v>43991</v>
      </c>
      <c r="AC432" s="58">
        <v>43985</v>
      </c>
      <c r="AD432" s="58">
        <v>43991</v>
      </c>
      <c r="AE432" s="58">
        <v>43991</v>
      </c>
      <c r="AF432" s="58">
        <v>43991</v>
      </c>
      <c r="AG432" s="58" t="s">
        <v>75</v>
      </c>
      <c r="AH432" s="59">
        <v>1</v>
      </c>
      <c r="AI432" s="59">
        <v>1</v>
      </c>
      <c r="AJ432" s="59">
        <v>1</v>
      </c>
      <c r="AK432" s="58" t="s">
        <v>8</v>
      </c>
      <c r="AL432" s="13"/>
      <c r="AM432" s="13"/>
      <c r="AN432" s="13"/>
    </row>
    <row r="433" spans="2:40" ht="15">
      <c r="B433" s="184">
        <v>314</v>
      </c>
      <c r="C433" s="13">
        <v>20200603</v>
      </c>
      <c r="D433" s="13" t="s">
        <v>311</v>
      </c>
      <c r="E433" s="13" t="s">
        <v>1373</v>
      </c>
      <c r="F433" s="14" t="s">
        <v>72</v>
      </c>
      <c r="G433" s="14">
        <v>1498630</v>
      </c>
      <c r="H433" s="164" t="s">
        <v>72</v>
      </c>
      <c r="I433" s="13" t="s">
        <v>2200</v>
      </c>
      <c r="J433" s="164" t="s">
        <v>72</v>
      </c>
      <c r="K433" s="13" t="s">
        <v>73</v>
      </c>
      <c r="L433" s="13" t="s">
        <v>8</v>
      </c>
      <c r="M433" s="13" t="s">
        <v>2201</v>
      </c>
      <c r="N433" s="13">
        <v>1498630</v>
      </c>
      <c r="O433" s="14">
        <v>1.3</v>
      </c>
      <c r="P433" s="14" t="s">
        <v>2202</v>
      </c>
      <c r="Q433" s="165"/>
      <c r="R433" s="164" t="s">
        <v>72</v>
      </c>
      <c r="S433" s="13" t="s">
        <v>117</v>
      </c>
      <c r="T433" s="13"/>
      <c r="U433" s="13"/>
      <c r="V433" s="13">
        <v>72</v>
      </c>
      <c r="W433" s="13">
        <v>72</v>
      </c>
      <c r="X433" s="13">
        <v>72</v>
      </c>
      <c r="Y433" s="13">
        <v>4.43</v>
      </c>
      <c r="Z433" s="13">
        <v>2</v>
      </c>
      <c r="AA433" s="13" t="s">
        <v>550</v>
      </c>
      <c r="AB433" s="58">
        <v>43987</v>
      </c>
      <c r="AC433" s="58">
        <v>43985</v>
      </c>
      <c r="AD433" s="58">
        <v>43986</v>
      </c>
      <c r="AE433" s="58">
        <v>43987</v>
      </c>
      <c r="AF433" s="58">
        <v>43987</v>
      </c>
      <c r="AG433" s="58" t="s">
        <v>79</v>
      </c>
      <c r="AH433" s="59">
        <v>0.90500000000000003</v>
      </c>
      <c r="AI433" s="59">
        <v>0.90900000000000003</v>
      </c>
      <c r="AJ433" s="59">
        <v>0.85699999999999998</v>
      </c>
      <c r="AK433" s="58" t="s">
        <v>76</v>
      </c>
      <c r="AL433" s="13" t="s">
        <v>2203</v>
      </c>
      <c r="AM433" s="13"/>
      <c r="AN433" s="13" t="s">
        <v>1839</v>
      </c>
    </row>
    <row r="434" spans="2:40" ht="15">
      <c r="B434" s="184">
        <v>319</v>
      </c>
      <c r="C434" s="13">
        <v>20200603</v>
      </c>
      <c r="D434" s="13" t="s">
        <v>24</v>
      </c>
      <c r="E434" s="13" t="s">
        <v>2379</v>
      </c>
      <c r="F434" s="39" t="s">
        <v>2205</v>
      </c>
      <c r="G434" s="14">
        <v>1496822</v>
      </c>
      <c r="H434" s="164" t="s">
        <v>72</v>
      </c>
      <c r="I434" s="13" t="s">
        <v>2206</v>
      </c>
      <c r="J434" s="164" t="s">
        <v>72</v>
      </c>
      <c r="K434" s="13" t="s">
        <v>73</v>
      </c>
      <c r="L434" s="13" t="s">
        <v>2207</v>
      </c>
      <c r="M434" s="13" t="s">
        <v>2208</v>
      </c>
      <c r="N434" s="13" t="s">
        <v>2209</v>
      </c>
      <c r="O434" s="14" t="s">
        <v>72</v>
      </c>
      <c r="P434" s="14" t="s">
        <v>2210</v>
      </c>
      <c r="Q434" s="165"/>
      <c r="R434" s="164" t="s">
        <v>72</v>
      </c>
      <c r="S434" s="13" t="s">
        <v>161</v>
      </c>
      <c r="T434" s="13"/>
      <c r="U434" s="13"/>
      <c r="V434" s="13">
        <v>23</v>
      </c>
      <c r="W434" s="13">
        <v>23</v>
      </c>
      <c r="X434" s="13">
        <v>23</v>
      </c>
      <c r="Y434" s="13">
        <v>0.4</v>
      </c>
      <c r="Z434" s="13">
        <v>0.2</v>
      </c>
      <c r="AA434" s="13" t="s">
        <v>505</v>
      </c>
      <c r="AB434" s="58"/>
      <c r="AC434" s="58">
        <v>43985</v>
      </c>
      <c r="AD434" s="58">
        <v>43996</v>
      </c>
      <c r="AE434" s="58">
        <v>43986</v>
      </c>
      <c r="AF434" s="58">
        <v>43986</v>
      </c>
      <c r="AG434" s="58" t="s">
        <v>75</v>
      </c>
      <c r="AH434" s="59" t="s">
        <v>72</v>
      </c>
      <c r="AI434" s="59" t="s">
        <v>72</v>
      </c>
      <c r="AJ434" s="59" t="s">
        <v>72</v>
      </c>
      <c r="AK434" s="58" t="s">
        <v>8</v>
      </c>
      <c r="AL434" s="14" t="s">
        <v>1891</v>
      </c>
      <c r="AM434" s="13"/>
      <c r="AN434" s="13"/>
    </row>
    <row r="435" spans="2:40" ht="15">
      <c r="B435" s="184">
        <v>320</v>
      </c>
      <c r="C435" s="13">
        <v>20200603</v>
      </c>
      <c r="D435" s="13" t="s">
        <v>24</v>
      </c>
      <c r="E435" s="13" t="s">
        <v>2379</v>
      </c>
      <c r="F435" s="39" t="s">
        <v>2211</v>
      </c>
      <c r="G435" s="14">
        <v>1496822</v>
      </c>
      <c r="H435" s="164" t="s">
        <v>72</v>
      </c>
      <c r="I435" s="13" t="s">
        <v>2212</v>
      </c>
      <c r="J435" s="164" t="s">
        <v>72</v>
      </c>
      <c r="K435" s="13" t="s">
        <v>73</v>
      </c>
      <c r="L435" s="13" t="s">
        <v>2207</v>
      </c>
      <c r="M435" s="13" t="s">
        <v>2208</v>
      </c>
      <c r="N435" s="13" t="s">
        <v>2209</v>
      </c>
      <c r="O435" s="14" t="s">
        <v>72</v>
      </c>
      <c r="P435" s="14" t="s">
        <v>2210</v>
      </c>
      <c r="Q435" s="165"/>
      <c r="R435" s="164" t="s">
        <v>72</v>
      </c>
      <c r="S435" s="13" t="s">
        <v>161</v>
      </c>
      <c r="T435" s="13"/>
      <c r="U435" s="13"/>
      <c r="V435" s="13">
        <v>30</v>
      </c>
      <c r="W435" s="13">
        <v>30</v>
      </c>
      <c r="X435" s="13">
        <v>30</v>
      </c>
      <c r="Y435" s="13">
        <v>0.53</v>
      </c>
      <c r="Z435" s="13">
        <v>0.1</v>
      </c>
      <c r="AA435" s="13" t="s">
        <v>505</v>
      </c>
      <c r="AB435" s="58"/>
      <c r="AC435" s="58">
        <v>43985</v>
      </c>
      <c r="AD435" s="58">
        <v>43996</v>
      </c>
      <c r="AE435" s="58">
        <v>43986</v>
      </c>
      <c r="AF435" s="58">
        <v>43986</v>
      </c>
      <c r="AG435" s="58" t="s">
        <v>75</v>
      </c>
      <c r="AH435" s="59" t="s">
        <v>72</v>
      </c>
      <c r="AI435" s="59" t="s">
        <v>72</v>
      </c>
      <c r="AJ435" s="59" t="s">
        <v>72</v>
      </c>
      <c r="AK435" s="58" t="s">
        <v>8</v>
      </c>
      <c r="AL435" s="14" t="s">
        <v>1891</v>
      </c>
      <c r="AM435" s="13"/>
      <c r="AN435" s="13"/>
    </row>
    <row r="436" spans="2:40" ht="15">
      <c r="B436" s="184">
        <v>321</v>
      </c>
      <c r="C436" s="13">
        <v>20200603</v>
      </c>
      <c r="D436" s="13" t="s">
        <v>24</v>
      </c>
      <c r="E436" s="13" t="s">
        <v>2379</v>
      </c>
      <c r="F436" s="39" t="s">
        <v>2213</v>
      </c>
      <c r="G436" s="14">
        <v>1496822</v>
      </c>
      <c r="H436" s="164" t="s">
        <v>72</v>
      </c>
      <c r="I436" s="13" t="s">
        <v>2214</v>
      </c>
      <c r="J436" s="164" t="s">
        <v>72</v>
      </c>
      <c r="K436" s="13" t="s">
        <v>73</v>
      </c>
      <c r="L436" s="13" t="s">
        <v>2207</v>
      </c>
      <c r="M436" s="13" t="s">
        <v>2208</v>
      </c>
      <c r="N436" s="13" t="s">
        <v>2209</v>
      </c>
      <c r="O436" s="14" t="s">
        <v>72</v>
      </c>
      <c r="P436" s="14" t="s">
        <v>2210</v>
      </c>
      <c r="Q436" s="165"/>
      <c r="R436" s="164" t="s">
        <v>72</v>
      </c>
      <c r="S436" s="13" t="s">
        <v>161</v>
      </c>
      <c r="T436" s="13"/>
      <c r="U436" s="13"/>
      <c r="V436" s="13">
        <v>36</v>
      </c>
      <c r="W436" s="13">
        <v>36</v>
      </c>
      <c r="X436" s="13">
        <v>36</v>
      </c>
      <c r="Y436" s="13">
        <v>0.64</v>
      </c>
      <c r="Z436" s="13">
        <v>0.2</v>
      </c>
      <c r="AA436" s="13" t="s">
        <v>505</v>
      </c>
      <c r="AB436" s="58"/>
      <c r="AC436" s="58">
        <v>43985</v>
      </c>
      <c r="AD436" s="58">
        <v>43996</v>
      </c>
      <c r="AE436" s="58">
        <v>43986</v>
      </c>
      <c r="AF436" s="58">
        <v>43986</v>
      </c>
      <c r="AG436" s="58" t="s">
        <v>75</v>
      </c>
      <c r="AH436" s="59" t="s">
        <v>72</v>
      </c>
      <c r="AI436" s="59" t="s">
        <v>72</v>
      </c>
      <c r="AJ436" s="59" t="s">
        <v>72</v>
      </c>
      <c r="AK436" s="58" t="s">
        <v>8</v>
      </c>
      <c r="AL436" s="14" t="s">
        <v>1891</v>
      </c>
      <c r="AM436" s="13"/>
      <c r="AN436" s="13"/>
    </row>
    <row r="437" spans="2:40" ht="15">
      <c r="B437" s="184">
        <v>322</v>
      </c>
      <c r="C437" s="13">
        <v>20200603</v>
      </c>
      <c r="D437" s="13" t="s">
        <v>24</v>
      </c>
      <c r="E437" s="13" t="s">
        <v>2379</v>
      </c>
      <c r="F437" s="39" t="s">
        <v>2215</v>
      </c>
      <c r="G437" s="14">
        <v>1496822</v>
      </c>
      <c r="H437" s="164" t="s">
        <v>72</v>
      </c>
      <c r="I437" s="13" t="s">
        <v>2216</v>
      </c>
      <c r="J437" s="164" t="s">
        <v>72</v>
      </c>
      <c r="K437" s="13" t="s">
        <v>73</v>
      </c>
      <c r="L437" s="13" t="s">
        <v>2207</v>
      </c>
      <c r="M437" s="13" t="s">
        <v>2208</v>
      </c>
      <c r="N437" s="13" t="s">
        <v>2209</v>
      </c>
      <c r="O437" s="14" t="s">
        <v>72</v>
      </c>
      <c r="P437" s="14" t="s">
        <v>2210</v>
      </c>
      <c r="Q437" s="165"/>
      <c r="R437" s="164" t="s">
        <v>72</v>
      </c>
      <c r="S437" s="13" t="s">
        <v>161</v>
      </c>
      <c r="T437" s="13"/>
      <c r="U437" s="13"/>
      <c r="V437" s="13">
        <v>22</v>
      </c>
      <c r="W437" s="13">
        <v>22</v>
      </c>
      <c r="X437" s="13">
        <v>22</v>
      </c>
      <c r="Y437" s="13">
        <v>0.39</v>
      </c>
      <c r="Z437" s="13">
        <v>0.1</v>
      </c>
      <c r="AA437" s="13" t="s">
        <v>505</v>
      </c>
      <c r="AB437" s="58"/>
      <c r="AC437" s="58">
        <v>43985</v>
      </c>
      <c r="AD437" s="58">
        <v>43996</v>
      </c>
      <c r="AE437" s="58">
        <v>43986</v>
      </c>
      <c r="AF437" s="58">
        <v>43986</v>
      </c>
      <c r="AG437" s="58" t="s">
        <v>75</v>
      </c>
      <c r="AH437" s="59" t="s">
        <v>72</v>
      </c>
      <c r="AI437" s="59" t="s">
        <v>72</v>
      </c>
      <c r="AJ437" s="59" t="s">
        <v>72</v>
      </c>
      <c r="AK437" s="58" t="s">
        <v>8</v>
      </c>
      <c r="AL437" s="14" t="s">
        <v>1891</v>
      </c>
      <c r="AM437" s="13"/>
      <c r="AN437" s="13"/>
    </row>
    <row r="438" spans="2:40" ht="15">
      <c r="B438" s="184">
        <v>323</v>
      </c>
      <c r="C438" s="13">
        <v>20200603</v>
      </c>
      <c r="D438" s="13" t="s">
        <v>24</v>
      </c>
      <c r="E438" s="13" t="s">
        <v>2379</v>
      </c>
      <c r="F438" s="39" t="s">
        <v>2217</v>
      </c>
      <c r="G438" s="14">
        <v>1496822</v>
      </c>
      <c r="H438" s="164" t="s">
        <v>72</v>
      </c>
      <c r="I438" s="13" t="s">
        <v>2218</v>
      </c>
      <c r="J438" s="164" t="s">
        <v>72</v>
      </c>
      <c r="K438" s="13" t="s">
        <v>73</v>
      </c>
      <c r="L438" s="13" t="s">
        <v>2207</v>
      </c>
      <c r="M438" s="13" t="s">
        <v>2208</v>
      </c>
      <c r="N438" s="13" t="s">
        <v>2209</v>
      </c>
      <c r="O438" s="14" t="s">
        <v>72</v>
      </c>
      <c r="P438" s="14" t="s">
        <v>2210</v>
      </c>
      <c r="Q438" s="165"/>
      <c r="R438" s="164" t="s">
        <v>72</v>
      </c>
      <c r="S438" s="13" t="s">
        <v>161</v>
      </c>
      <c r="T438" s="13"/>
      <c r="U438" s="13"/>
      <c r="V438" s="13">
        <v>36</v>
      </c>
      <c r="W438" s="13">
        <v>36</v>
      </c>
      <c r="X438" s="13">
        <v>36</v>
      </c>
      <c r="Y438" s="13">
        <v>0.64</v>
      </c>
      <c r="Z438" s="13">
        <v>0.1</v>
      </c>
      <c r="AA438" s="13" t="s">
        <v>505</v>
      </c>
      <c r="AB438" s="58"/>
      <c r="AC438" s="58">
        <v>43985</v>
      </c>
      <c r="AD438" s="58">
        <v>43996</v>
      </c>
      <c r="AE438" s="58">
        <v>43986</v>
      </c>
      <c r="AF438" s="58">
        <v>43986</v>
      </c>
      <c r="AG438" s="58" t="s">
        <v>75</v>
      </c>
      <c r="AH438" s="59" t="s">
        <v>72</v>
      </c>
      <c r="AI438" s="59" t="s">
        <v>72</v>
      </c>
      <c r="AJ438" s="59" t="s">
        <v>72</v>
      </c>
      <c r="AK438" s="58" t="s">
        <v>8</v>
      </c>
      <c r="AL438" s="14" t="s">
        <v>1891</v>
      </c>
      <c r="AM438" s="13"/>
      <c r="AN438" s="13"/>
    </row>
    <row r="439" spans="2:40" ht="15">
      <c r="B439" s="184">
        <v>324</v>
      </c>
      <c r="C439" s="13">
        <v>20200603</v>
      </c>
      <c r="D439" s="13" t="s">
        <v>24</v>
      </c>
      <c r="E439" s="13" t="s">
        <v>2379</v>
      </c>
      <c r="F439" s="39" t="s">
        <v>2219</v>
      </c>
      <c r="G439" s="14">
        <v>1496822</v>
      </c>
      <c r="H439" s="164" t="s">
        <v>72</v>
      </c>
      <c r="I439" s="13" t="s">
        <v>2220</v>
      </c>
      <c r="J439" s="164" t="s">
        <v>72</v>
      </c>
      <c r="K439" s="13" t="s">
        <v>73</v>
      </c>
      <c r="L439" s="13" t="s">
        <v>2207</v>
      </c>
      <c r="M439" s="13" t="s">
        <v>2208</v>
      </c>
      <c r="N439" s="13" t="s">
        <v>2209</v>
      </c>
      <c r="O439" s="14" t="s">
        <v>72</v>
      </c>
      <c r="P439" s="14" t="s">
        <v>2210</v>
      </c>
      <c r="Q439" s="165"/>
      <c r="R439" s="164" t="s">
        <v>72</v>
      </c>
      <c r="S439" s="13" t="s">
        <v>109</v>
      </c>
      <c r="T439" s="13"/>
      <c r="U439" s="13"/>
      <c r="V439" s="13">
        <v>60</v>
      </c>
      <c r="W439" s="13">
        <v>60</v>
      </c>
      <c r="X439" s="13">
        <v>60</v>
      </c>
      <c r="Y439" s="13">
        <v>1.06</v>
      </c>
      <c r="Z439" s="13">
        <v>0.5</v>
      </c>
      <c r="AA439" s="13" t="s">
        <v>505</v>
      </c>
      <c r="AB439" s="58"/>
      <c r="AC439" s="58">
        <v>43985</v>
      </c>
      <c r="AD439" s="58">
        <v>43996</v>
      </c>
      <c r="AE439" s="58">
        <v>43986</v>
      </c>
      <c r="AF439" s="58">
        <v>43986</v>
      </c>
      <c r="AG439" s="58" t="s">
        <v>75</v>
      </c>
      <c r="AH439" s="59" t="s">
        <v>72</v>
      </c>
      <c r="AI439" s="59" t="s">
        <v>72</v>
      </c>
      <c r="AJ439" s="59" t="s">
        <v>72</v>
      </c>
      <c r="AK439" s="58" t="s">
        <v>8</v>
      </c>
      <c r="AL439" s="13" t="s">
        <v>72</v>
      </c>
      <c r="AM439" s="13" t="s">
        <v>72</v>
      </c>
      <c r="AN439" s="14" t="s">
        <v>418</v>
      </c>
    </row>
    <row r="440" spans="2:40" ht="15">
      <c r="B440" s="184">
        <v>325</v>
      </c>
      <c r="C440" s="13">
        <v>20200603</v>
      </c>
      <c r="D440" s="13" t="s">
        <v>24</v>
      </c>
      <c r="E440" s="13" t="s">
        <v>2379</v>
      </c>
      <c r="F440" s="39" t="s">
        <v>2221</v>
      </c>
      <c r="G440" s="14">
        <v>1496822</v>
      </c>
      <c r="H440" s="164" t="s">
        <v>72</v>
      </c>
      <c r="I440" s="13" t="s">
        <v>2222</v>
      </c>
      <c r="J440" s="164" t="s">
        <v>72</v>
      </c>
      <c r="K440" s="13" t="s">
        <v>73</v>
      </c>
      <c r="L440" s="13" t="s">
        <v>2207</v>
      </c>
      <c r="M440" s="13" t="s">
        <v>2208</v>
      </c>
      <c r="N440" s="13" t="s">
        <v>2209</v>
      </c>
      <c r="O440" s="14" t="s">
        <v>72</v>
      </c>
      <c r="P440" s="14" t="s">
        <v>2210</v>
      </c>
      <c r="Q440" s="165"/>
      <c r="R440" s="164" t="s">
        <v>72</v>
      </c>
      <c r="S440" s="13" t="s">
        <v>109</v>
      </c>
      <c r="T440" s="13"/>
      <c r="U440" s="13"/>
      <c r="V440" s="13">
        <v>33</v>
      </c>
      <c r="W440" s="13">
        <v>33</v>
      </c>
      <c r="X440" s="13">
        <v>33</v>
      </c>
      <c r="Y440" s="13">
        <v>0.57999999999999996</v>
      </c>
      <c r="Z440" s="13">
        <v>0.1</v>
      </c>
      <c r="AA440" s="13" t="s">
        <v>505</v>
      </c>
      <c r="AB440" s="58"/>
      <c r="AC440" s="58">
        <v>43985</v>
      </c>
      <c r="AD440" s="58">
        <v>43996</v>
      </c>
      <c r="AE440" s="58">
        <v>43986</v>
      </c>
      <c r="AF440" s="58">
        <v>43986</v>
      </c>
      <c r="AG440" s="58" t="s">
        <v>75</v>
      </c>
      <c r="AH440" s="59" t="s">
        <v>72</v>
      </c>
      <c r="AI440" s="59" t="s">
        <v>72</v>
      </c>
      <c r="AJ440" s="59" t="s">
        <v>72</v>
      </c>
      <c r="AK440" s="58" t="s">
        <v>8</v>
      </c>
      <c r="AL440" s="13" t="s">
        <v>72</v>
      </c>
      <c r="AM440" s="13" t="s">
        <v>72</v>
      </c>
      <c r="AN440" s="14" t="s">
        <v>418</v>
      </c>
    </row>
    <row r="441" spans="2:40" ht="15">
      <c r="B441" s="184">
        <v>326</v>
      </c>
      <c r="C441" s="13">
        <v>20200603</v>
      </c>
      <c r="D441" s="13" t="s">
        <v>24</v>
      </c>
      <c r="E441" s="13" t="s">
        <v>2379</v>
      </c>
      <c r="F441" s="39" t="s">
        <v>2223</v>
      </c>
      <c r="G441" s="14">
        <v>1496822</v>
      </c>
      <c r="H441" s="164" t="s">
        <v>72</v>
      </c>
      <c r="I441" s="13" t="s">
        <v>2224</v>
      </c>
      <c r="J441" s="164" t="s">
        <v>72</v>
      </c>
      <c r="K441" s="13" t="s">
        <v>73</v>
      </c>
      <c r="L441" s="13" t="s">
        <v>2207</v>
      </c>
      <c r="M441" s="13" t="s">
        <v>2208</v>
      </c>
      <c r="N441" s="13" t="s">
        <v>2209</v>
      </c>
      <c r="O441" s="14" t="s">
        <v>72</v>
      </c>
      <c r="P441" s="14" t="s">
        <v>2210</v>
      </c>
      <c r="Q441" s="165"/>
      <c r="R441" s="164" t="s">
        <v>72</v>
      </c>
      <c r="S441" s="13" t="s">
        <v>109</v>
      </c>
      <c r="T441" s="13"/>
      <c r="U441" s="13"/>
      <c r="V441" s="13">
        <v>19</v>
      </c>
      <c r="W441" s="13">
        <v>19</v>
      </c>
      <c r="X441" s="13">
        <v>19</v>
      </c>
      <c r="Y441" s="13">
        <v>0.33</v>
      </c>
      <c r="Z441" s="13">
        <v>0.1</v>
      </c>
      <c r="AA441" s="13" t="s">
        <v>505</v>
      </c>
      <c r="AB441" s="58"/>
      <c r="AC441" s="58">
        <v>43985</v>
      </c>
      <c r="AD441" s="58">
        <v>43996</v>
      </c>
      <c r="AE441" s="58">
        <v>43986</v>
      </c>
      <c r="AF441" s="58">
        <v>43986</v>
      </c>
      <c r="AG441" s="58" t="s">
        <v>75</v>
      </c>
      <c r="AH441" s="59" t="s">
        <v>72</v>
      </c>
      <c r="AI441" s="59" t="s">
        <v>72</v>
      </c>
      <c r="AJ441" s="59" t="s">
        <v>72</v>
      </c>
      <c r="AK441" s="58" t="s">
        <v>8</v>
      </c>
      <c r="AL441" s="13" t="s">
        <v>72</v>
      </c>
      <c r="AM441" s="13" t="s">
        <v>72</v>
      </c>
      <c r="AN441" s="14" t="s">
        <v>418</v>
      </c>
    </row>
    <row r="442" spans="2:40" ht="15">
      <c r="B442" s="184">
        <v>327</v>
      </c>
      <c r="C442" s="13">
        <v>20200603</v>
      </c>
      <c r="D442" s="13" t="s">
        <v>24</v>
      </c>
      <c r="E442" s="13" t="s">
        <v>2379</v>
      </c>
      <c r="F442" s="39" t="s">
        <v>2225</v>
      </c>
      <c r="G442" s="14">
        <v>1496822</v>
      </c>
      <c r="H442" s="164" t="s">
        <v>72</v>
      </c>
      <c r="I442" s="13" t="s">
        <v>2226</v>
      </c>
      <c r="J442" s="164" t="s">
        <v>72</v>
      </c>
      <c r="K442" s="13" t="s">
        <v>73</v>
      </c>
      <c r="L442" s="13" t="s">
        <v>2207</v>
      </c>
      <c r="M442" s="13" t="s">
        <v>2208</v>
      </c>
      <c r="N442" s="13" t="s">
        <v>2209</v>
      </c>
      <c r="O442" s="14" t="s">
        <v>72</v>
      </c>
      <c r="P442" s="14" t="s">
        <v>2210</v>
      </c>
      <c r="Q442" s="165"/>
      <c r="R442" s="164" t="s">
        <v>72</v>
      </c>
      <c r="S442" s="13" t="s">
        <v>109</v>
      </c>
      <c r="T442" s="13"/>
      <c r="U442" s="13"/>
      <c r="V442" s="13">
        <v>33</v>
      </c>
      <c r="W442" s="13">
        <v>33</v>
      </c>
      <c r="X442" s="13">
        <v>33</v>
      </c>
      <c r="Y442" s="13">
        <v>0.57999999999999996</v>
      </c>
      <c r="Z442" s="13">
        <v>0.1</v>
      </c>
      <c r="AA442" s="13" t="s">
        <v>505</v>
      </c>
      <c r="AB442" s="58"/>
      <c r="AC442" s="58">
        <v>43985</v>
      </c>
      <c r="AD442" s="58">
        <v>43996</v>
      </c>
      <c r="AE442" s="58">
        <v>43986</v>
      </c>
      <c r="AF442" s="58">
        <v>43986</v>
      </c>
      <c r="AG442" s="58" t="s">
        <v>75</v>
      </c>
      <c r="AH442" s="59" t="s">
        <v>72</v>
      </c>
      <c r="AI442" s="59" t="s">
        <v>72</v>
      </c>
      <c r="AJ442" s="59" t="s">
        <v>72</v>
      </c>
      <c r="AK442" s="58" t="s">
        <v>8</v>
      </c>
      <c r="AL442" s="13" t="s">
        <v>72</v>
      </c>
      <c r="AM442" s="13" t="s">
        <v>72</v>
      </c>
      <c r="AN442" s="14" t="s">
        <v>418</v>
      </c>
    </row>
    <row r="443" spans="2:40" ht="15">
      <c r="B443" s="184">
        <v>328</v>
      </c>
      <c r="C443" s="13">
        <v>20200603</v>
      </c>
      <c r="D443" s="13" t="s">
        <v>24</v>
      </c>
      <c r="E443" s="13" t="s">
        <v>2379</v>
      </c>
      <c r="F443" s="39" t="s">
        <v>2227</v>
      </c>
      <c r="G443" s="14">
        <v>1496822</v>
      </c>
      <c r="H443" s="164" t="s">
        <v>72</v>
      </c>
      <c r="I443" s="13" t="s">
        <v>2228</v>
      </c>
      <c r="J443" s="164" t="s">
        <v>72</v>
      </c>
      <c r="K443" s="13" t="s">
        <v>73</v>
      </c>
      <c r="L443" s="13" t="s">
        <v>2207</v>
      </c>
      <c r="M443" s="13" t="s">
        <v>2208</v>
      </c>
      <c r="N443" s="13" t="s">
        <v>2209</v>
      </c>
      <c r="O443" s="14" t="s">
        <v>72</v>
      </c>
      <c r="P443" s="14" t="s">
        <v>2210</v>
      </c>
      <c r="Q443" s="165"/>
      <c r="R443" s="164" t="s">
        <v>72</v>
      </c>
      <c r="S443" s="13" t="s">
        <v>109</v>
      </c>
      <c r="T443" s="13"/>
      <c r="U443" s="13"/>
      <c r="V443" s="13">
        <v>40</v>
      </c>
      <c r="W443" s="13">
        <v>40</v>
      </c>
      <c r="X443" s="13">
        <v>40</v>
      </c>
      <c r="Y443" s="13">
        <v>0.71</v>
      </c>
      <c r="Z443" s="13">
        <v>0.1</v>
      </c>
      <c r="AA443" s="13" t="s">
        <v>505</v>
      </c>
      <c r="AB443" s="58"/>
      <c r="AC443" s="58">
        <v>43985</v>
      </c>
      <c r="AD443" s="58">
        <v>43996</v>
      </c>
      <c r="AE443" s="58">
        <v>43986</v>
      </c>
      <c r="AF443" s="58">
        <v>43986</v>
      </c>
      <c r="AG443" s="58" t="s">
        <v>75</v>
      </c>
      <c r="AH443" s="59" t="s">
        <v>72</v>
      </c>
      <c r="AI443" s="59" t="s">
        <v>72</v>
      </c>
      <c r="AJ443" s="59" t="s">
        <v>72</v>
      </c>
      <c r="AK443" s="58" t="s">
        <v>8</v>
      </c>
      <c r="AL443" s="13" t="s">
        <v>72</v>
      </c>
      <c r="AM443" s="13" t="s">
        <v>72</v>
      </c>
      <c r="AN443" s="14" t="s">
        <v>418</v>
      </c>
    </row>
    <row r="444" spans="2:40" ht="15">
      <c r="B444" s="184">
        <v>334</v>
      </c>
      <c r="C444" s="13">
        <v>20200603</v>
      </c>
      <c r="D444" s="13" t="s">
        <v>24</v>
      </c>
      <c r="E444" s="13" t="s">
        <v>2380</v>
      </c>
      <c r="F444" s="39" t="s">
        <v>2230</v>
      </c>
      <c r="G444" s="14">
        <v>1490120</v>
      </c>
      <c r="H444" s="164" t="s">
        <v>72</v>
      </c>
      <c r="I444" s="13" t="s">
        <v>1179</v>
      </c>
      <c r="J444" s="164" t="s">
        <v>72</v>
      </c>
      <c r="K444" s="13" t="s">
        <v>73</v>
      </c>
      <c r="L444" s="13" t="s">
        <v>2231</v>
      </c>
      <c r="M444" s="13" t="s">
        <v>2232</v>
      </c>
      <c r="N444" s="13" t="s">
        <v>2233</v>
      </c>
      <c r="O444" s="14" t="s">
        <v>72</v>
      </c>
      <c r="P444" s="14" t="s">
        <v>2234</v>
      </c>
      <c r="Q444" s="165"/>
      <c r="R444" s="164" t="s">
        <v>72</v>
      </c>
      <c r="S444" s="13" t="s">
        <v>113</v>
      </c>
      <c r="T444" s="13"/>
      <c r="U444" s="13"/>
      <c r="V444" s="13">
        <v>155</v>
      </c>
      <c r="W444" s="13">
        <v>155</v>
      </c>
      <c r="X444" s="13">
        <v>155</v>
      </c>
      <c r="Y444" s="13">
        <v>2.75</v>
      </c>
      <c r="Z444" s="13">
        <v>2.75</v>
      </c>
      <c r="AA444" s="13" t="s">
        <v>550</v>
      </c>
      <c r="AB444" s="58">
        <v>43991</v>
      </c>
      <c r="AC444" s="58">
        <v>43985</v>
      </c>
      <c r="AD444" s="58">
        <v>43991</v>
      </c>
      <c r="AE444" s="58">
        <v>43990</v>
      </c>
      <c r="AF444" s="58">
        <v>43990</v>
      </c>
      <c r="AG444" s="58" t="s">
        <v>75</v>
      </c>
      <c r="AH444" s="59">
        <v>1</v>
      </c>
      <c r="AI444" s="59">
        <v>1</v>
      </c>
      <c r="AJ444" s="59">
        <v>1</v>
      </c>
      <c r="AK444" s="58" t="s">
        <v>8</v>
      </c>
      <c r="AL444" s="13"/>
      <c r="AM444" s="13"/>
      <c r="AN444" s="13"/>
    </row>
    <row r="445" spans="2:40" ht="15">
      <c r="B445" s="184">
        <v>335</v>
      </c>
      <c r="C445" s="13">
        <v>20200603</v>
      </c>
      <c r="D445" s="13" t="s">
        <v>24</v>
      </c>
      <c r="E445" s="13" t="s">
        <v>2380</v>
      </c>
      <c r="F445" s="39" t="s">
        <v>2235</v>
      </c>
      <c r="G445" s="14">
        <v>1490120</v>
      </c>
      <c r="H445" s="164" t="s">
        <v>72</v>
      </c>
      <c r="I445" s="13" t="s">
        <v>120</v>
      </c>
      <c r="J445" s="164" t="s">
        <v>72</v>
      </c>
      <c r="K445" s="13" t="s">
        <v>73</v>
      </c>
      <c r="L445" s="13" t="s">
        <v>2231</v>
      </c>
      <c r="M445" s="13" t="s">
        <v>2232</v>
      </c>
      <c r="N445" s="13" t="s">
        <v>2233</v>
      </c>
      <c r="O445" s="14" t="s">
        <v>72</v>
      </c>
      <c r="P445" s="14" t="s">
        <v>2234</v>
      </c>
      <c r="Q445" s="165"/>
      <c r="R445" s="164" t="s">
        <v>72</v>
      </c>
      <c r="S445" s="13" t="s">
        <v>113</v>
      </c>
      <c r="T445" s="13"/>
      <c r="U445" s="13"/>
      <c r="V445" s="13">
        <v>34</v>
      </c>
      <c r="W445" s="13">
        <v>34</v>
      </c>
      <c r="X445" s="13">
        <v>34</v>
      </c>
      <c r="Y445" s="13">
        <v>0.6</v>
      </c>
      <c r="Z445" s="13">
        <v>0.6</v>
      </c>
      <c r="AA445" s="13" t="s">
        <v>550</v>
      </c>
      <c r="AB445" s="58">
        <v>43991</v>
      </c>
      <c r="AC445" s="58">
        <v>43985</v>
      </c>
      <c r="AD445" s="58">
        <v>43991</v>
      </c>
      <c r="AE445" s="58">
        <v>43990</v>
      </c>
      <c r="AF445" s="58">
        <v>43990</v>
      </c>
      <c r="AG445" s="58" t="s">
        <v>75</v>
      </c>
      <c r="AH445" s="59">
        <v>1</v>
      </c>
      <c r="AI445" s="59">
        <v>1</v>
      </c>
      <c r="AJ445" s="59">
        <v>1</v>
      </c>
      <c r="AK445" s="58" t="s">
        <v>8</v>
      </c>
      <c r="AL445" s="13"/>
      <c r="AM445" s="13"/>
      <c r="AN445" s="13"/>
    </row>
    <row r="446" spans="2:40" ht="15">
      <c r="B446" s="184">
        <v>336</v>
      </c>
      <c r="C446" s="13">
        <v>20200603</v>
      </c>
      <c r="D446" s="13" t="s">
        <v>24</v>
      </c>
      <c r="E446" s="13" t="s">
        <v>2380</v>
      </c>
      <c r="F446" s="39" t="s">
        <v>2236</v>
      </c>
      <c r="G446" s="14">
        <v>1490120</v>
      </c>
      <c r="H446" s="164" t="s">
        <v>72</v>
      </c>
      <c r="I446" s="13" t="s">
        <v>123</v>
      </c>
      <c r="J446" s="164" t="s">
        <v>72</v>
      </c>
      <c r="K446" s="13" t="s">
        <v>73</v>
      </c>
      <c r="L446" s="13" t="s">
        <v>2231</v>
      </c>
      <c r="M446" s="13" t="s">
        <v>2232</v>
      </c>
      <c r="N446" s="13" t="s">
        <v>2233</v>
      </c>
      <c r="O446" s="14" t="s">
        <v>72</v>
      </c>
      <c r="P446" s="14" t="s">
        <v>2234</v>
      </c>
      <c r="Q446" s="165"/>
      <c r="R446" s="164" t="s">
        <v>72</v>
      </c>
      <c r="S446" s="13" t="s">
        <v>113</v>
      </c>
      <c r="T446" s="13"/>
      <c r="U446" s="13"/>
      <c r="V446" s="13">
        <v>65</v>
      </c>
      <c r="W446" s="13">
        <v>65</v>
      </c>
      <c r="X446" s="13">
        <v>65</v>
      </c>
      <c r="Y446" s="13">
        <v>1.1499999999999999</v>
      </c>
      <c r="Z446" s="13">
        <v>1.1499999999999999</v>
      </c>
      <c r="AA446" s="13" t="s">
        <v>550</v>
      </c>
      <c r="AB446" s="58">
        <v>43991</v>
      </c>
      <c r="AC446" s="58">
        <v>43985</v>
      </c>
      <c r="AD446" s="58">
        <v>43991</v>
      </c>
      <c r="AE446" s="58">
        <v>43990</v>
      </c>
      <c r="AF446" s="58">
        <v>43990</v>
      </c>
      <c r="AG446" s="58" t="s">
        <v>75</v>
      </c>
      <c r="AH446" s="59">
        <v>1</v>
      </c>
      <c r="AI446" s="59">
        <v>1</v>
      </c>
      <c r="AJ446" s="59">
        <v>1</v>
      </c>
      <c r="AK446" s="58" t="s">
        <v>8</v>
      </c>
      <c r="AL446" s="13"/>
      <c r="AM446" s="13"/>
      <c r="AN446" s="13"/>
    </row>
    <row r="447" spans="2:40" ht="15">
      <c r="B447" s="184">
        <v>337</v>
      </c>
      <c r="C447" s="13">
        <v>20200603</v>
      </c>
      <c r="D447" s="13" t="s">
        <v>24</v>
      </c>
      <c r="E447" s="13" t="s">
        <v>2237</v>
      </c>
      <c r="F447" s="39" t="s">
        <v>2238</v>
      </c>
      <c r="G447" s="14">
        <v>1495479</v>
      </c>
      <c r="H447" s="164" t="s">
        <v>72</v>
      </c>
      <c r="I447" s="13" t="s">
        <v>1775</v>
      </c>
      <c r="J447" s="164" t="s">
        <v>72</v>
      </c>
      <c r="K447" s="13" t="s">
        <v>73</v>
      </c>
      <c r="L447" s="13" t="s">
        <v>2239</v>
      </c>
      <c r="M447" s="13" t="s">
        <v>1033</v>
      </c>
      <c r="N447" s="13" t="s">
        <v>1034</v>
      </c>
      <c r="O447" s="14" t="s">
        <v>72</v>
      </c>
      <c r="P447" s="14" t="s">
        <v>2067</v>
      </c>
      <c r="Q447" s="165"/>
      <c r="R447" s="164" t="s">
        <v>72</v>
      </c>
      <c r="S447" s="13" t="s">
        <v>74</v>
      </c>
      <c r="T447" s="13"/>
      <c r="U447" s="13"/>
      <c r="V447" s="13">
        <v>149</v>
      </c>
      <c r="W447" s="53">
        <v>509</v>
      </c>
      <c r="X447" s="13">
        <v>509</v>
      </c>
      <c r="Y447" s="13">
        <v>9.0399999999999991</v>
      </c>
      <c r="Z447" s="13">
        <v>4</v>
      </c>
      <c r="AA447" s="13" t="s">
        <v>550</v>
      </c>
      <c r="AB447" s="58">
        <v>43987</v>
      </c>
      <c r="AC447" s="58">
        <v>43985</v>
      </c>
      <c r="AD447" s="58">
        <v>43987</v>
      </c>
      <c r="AE447" s="58">
        <v>43986</v>
      </c>
      <c r="AF447" s="58">
        <v>43986</v>
      </c>
      <c r="AG447" s="58" t="s">
        <v>75</v>
      </c>
      <c r="AH447" s="59">
        <v>1</v>
      </c>
      <c r="AI447" s="59">
        <v>1</v>
      </c>
      <c r="AJ447" s="59">
        <v>1</v>
      </c>
      <c r="AK447" s="58" t="s">
        <v>8</v>
      </c>
      <c r="AL447" s="14" t="s">
        <v>72</v>
      </c>
      <c r="AM447" s="14" t="s">
        <v>72</v>
      </c>
      <c r="AN447" s="13" t="s">
        <v>2240</v>
      </c>
    </row>
    <row r="448" spans="2:40" ht="15">
      <c r="B448" s="184">
        <v>338</v>
      </c>
      <c r="C448" s="13">
        <v>20200603</v>
      </c>
      <c r="D448" s="13" t="s">
        <v>24</v>
      </c>
      <c r="E448" s="13" t="s">
        <v>775</v>
      </c>
      <c r="F448" s="39" t="s">
        <v>2242</v>
      </c>
      <c r="G448" s="14">
        <v>1495485</v>
      </c>
      <c r="H448" s="164" t="s">
        <v>72</v>
      </c>
      <c r="I448" s="13" t="s">
        <v>2243</v>
      </c>
      <c r="J448" s="164" t="s">
        <v>72</v>
      </c>
      <c r="K448" s="13" t="s">
        <v>73</v>
      </c>
      <c r="L448" s="13" t="s">
        <v>778</v>
      </c>
      <c r="M448" s="13" t="s">
        <v>2244</v>
      </c>
      <c r="N448" s="13" t="s">
        <v>780</v>
      </c>
      <c r="O448" s="14" t="s">
        <v>72</v>
      </c>
      <c r="P448" s="14" t="s">
        <v>785</v>
      </c>
      <c r="Q448" s="165"/>
      <c r="R448" s="164" t="s">
        <v>72</v>
      </c>
      <c r="S448" s="13" t="s">
        <v>74</v>
      </c>
      <c r="T448" s="13"/>
      <c r="U448" s="13"/>
      <c r="V448" s="13">
        <v>233</v>
      </c>
      <c r="W448" s="13">
        <v>233</v>
      </c>
      <c r="X448" s="13">
        <v>233</v>
      </c>
      <c r="Y448" s="13">
        <v>4.1399999999999997</v>
      </c>
      <c r="Z448" s="13">
        <v>2</v>
      </c>
      <c r="AA448" s="13" t="s">
        <v>550</v>
      </c>
      <c r="AB448" s="58">
        <v>43990</v>
      </c>
      <c r="AC448" s="58">
        <v>43985</v>
      </c>
      <c r="AD448" s="58">
        <v>43990</v>
      </c>
      <c r="AE448" s="58">
        <v>43990</v>
      </c>
      <c r="AF448" s="58">
        <v>43990</v>
      </c>
      <c r="AG448" s="58" t="s">
        <v>75</v>
      </c>
      <c r="AH448" s="59">
        <v>1</v>
      </c>
      <c r="AI448" s="59">
        <v>1</v>
      </c>
      <c r="AJ448" s="59">
        <v>1</v>
      </c>
      <c r="AK448" s="58" t="s">
        <v>8</v>
      </c>
      <c r="AL448" s="13"/>
      <c r="AM448" s="13"/>
      <c r="AN448" s="13"/>
    </row>
    <row r="449" spans="2:40" ht="15">
      <c r="B449" s="184">
        <v>339</v>
      </c>
      <c r="C449" s="13">
        <v>20200603</v>
      </c>
      <c r="D449" s="13" t="s">
        <v>24</v>
      </c>
      <c r="E449" s="13" t="s">
        <v>775</v>
      </c>
      <c r="F449" s="39" t="s">
        <v>2245</v>
      </c>
      <c r="G449" s="14">
        <v>1495485</v>
      </c>
      <c r="H449" s="164" t="s">
        <v>72</v>
      </c>
      <c r="I449" s="13" t="s">
        <v>1272</v>
      </c>
      <c r="J449" s="164" t="s">
        <v>72</v>
      </c>
      <c r="K449" s="13" t="s">
        <v>73</v>
      </c>
      <c r="L449" s="13" t="s">
        <v>778</v>
      </c>
      <c r="M449" s="13" t="s">
        <v>2244</v>
      </c>
      <c r="N449" s="13" t="s">
        <v>780</v>
      </c>
      <c r="O449" s="14" t="s">
        <v>72</v>
      </c>
      <c r="P449" s="14" t="s">
        <v>785</v>
      </c>
      <c r="Q449" s="165"/>
      <c r="R449" s="164" t="s">
        <v>72</v>
      </c>
      <c r="S449" s="13" t="s">
        <v>74</v>
      </c>
      <c r="T449" s="13"/>
      <c r="U449" s="13"/>
      <c r="V449" s="13">
        <v>130</v>
      </c>
      <c r="W449" s="211">
        <v>357</v>
      </c>
      <c r="X449" s="13">
        <v>357</v>
      </c>
      <c r="Y449" s="13">
        <v>6.34</v>
      </c>
      <c r="Z449" s="13">
        <v>2</v>
      </c>
      <c r="AA449" s="13" t="s">
        <v>550</v>
      </c>
      <c r="AB449" s="58">
        <v>43990</v>
      </c>
      <c r="AC449" s="58">
        <v>43985</v>
      </c>
      <c r="AD449" s="58">
        <v>43990</v>
      </c>
      <c r="AE449" s="58">
        <v>43990</v>
      </c>
      <c r="AF449" s="58">
        <v>43990</v>
      </c>
      <c r="AG449" s="58" t="s">
        <v>75</v>
      </c>
      <c r="AH449" s="59">
        <v>1</v>
      </c>
      <c r="AI449" s="59">
        <v>1</v>
      </c>
      <c r="AJ449" s="59">
        <v>1</v>
      </c>
      <c r="AK449" s="58" t="s">
        <v>8</v>
      </c>
      <c r="AL449" s="13"/>
      <c r="AM449" s="13"/>
      <c r="AN449" s="13" t="s">
        <v>2246</v>
      </c>
    </row>
    <row r="450" spans="2:40" ht="15">
      <c r="B450" s="184">
        <v>340</v>
      </c>
      <c r="C450" s="13">
        <v>20200603</v>
      </c>
      <c r="D450" s="13" t="s">
        <v>24</v>
      </c>
      <c r="E450" s="13" t="s">
        <v>1429</v>
      </c>
      <c r="F450" s="39" t="s">
        <v>2247</v>
      </c>
      <c r="G450" s="14">
        <v>1500417</v>
      </c>
      <c r="H450" s="164" t="s">
        <v>72</v>
      </c>
      <c r="I450" s="13" t="s">
        <v>564</v>
      </c>
      <c r="J450" s="164" t="s">
        <v>72</v>
      </c>
      <c r="K450" s="13" t="s">
        <v>73</v>
      </c>
      <c r="L450" s="13" t="s">
        <v>2</v>
      </c>
      <c r="M450" s="13" t="s">
        <v>704</v>
      </c>
      <c r="N450" s="13" t="s">
        <v>3</v>
      </c>
      <c r="O450" s="14" t="s">
        <v>72</v>
      </c>
      <c r="P450" s="14" t="s">
        <v>2248</v>
      </c>
      <c r="Q450" s="165"/>
      <c r="R450" s="164" t="s">
        <v>72</v>
      </c>
      <c r="S450" s="13" t="s">
        <v>74</v>
      </c>
      <c r="T450" s="13"/>
      <c r="U450" s="13"/>
      <c r="V450" s="13">
        <v>101</v>
      </c>
      <c r="W450" s="53">
        <v>292</v>
      </c>
      <c r="X450" s="13">
        <v>292</v>
      </c>
      <c r="Y450" s="13">
        <v>5.19</v>
      </c>
      <c r="Z450" s="13">
        <v>1</v>
      </c>
      <c r="AA450" s="13" t="s">
        <v>505</v>
      </c>
      <c r="AB450" s="58"/>
      <c r="AC450" s="58">
        <v>43985</v>
      </c>
      <c r="AD450" s="58">
        <v>43996</v>
      </c>
      <c r="AE450" s="58">
        <v>43990</v>
      </c>
      <c r="AF450" s="58">
        <v>43990</v>
      </c>
      <c r="AG450" s="58" t="s">
        <v>75</v>
      </c>
      <c r="AH450" s="59">
        <v>1</v>
      </c>
      <c r="AI450" s="59">
        <v>1</v>
      </c>
      <c r="AJ450" s="59">
        <v>1</v>
      </c>
      <c r="AK450" s="58" t="s">
        <v>8</v>
      </c>
      <c r="AL450" s="13"/>
      <c r="AM450" s="13"/>
      <c r="AN450" s="13" t="s">
        <v>2249</v>
      </c>
    </row>
    <row r="451" spans="2:40" ht="15">
      <c r="B451" s="184">
        <v>341</v>
      </c>
      <c r="C451" s="13">
        <v>20200603</v>
      </c>
      <c r="D451" s="13" t="s">
        <v>24</v>
      </c>
      <c r="E451" s="13" t="s">
        <v>1429</v>
      </c>
      <c r="F451" s="39" t="s">
        <v>2250</v>
      </c>
      <c r="G451" s="14">
        <v>1500417</v>
      </c>
      <c r="H451" s="164" t="s">
        <v>72</v>
      </c>
      <c r="I451" s="13" t="s">
        <v>708</v>
      </c>
      <c r="J451" s="164" t="s">
        <v>72</v>
      </c>
      <c r="K451" s="13" t="s">
        <v>73</v>
      </c>
      <c r="L451" s="13" t="s">
        <v>2</v>
      </c>
      <c r="M451" s="13" t="s">
        <v>704</v>
      </c>
      <c r="N451" s="13" t="s">
        <v>3</v>
      </c>
      <c r="O451" s="14" t="s">
        <v>72</v>
      </c>
      <c r="P451" s="14" t="s">
        <v>2248</v>
      </c>
      <c r="Q451" s="165"/>
      <c r="R451" s="164" t="s">
        <v>72</v>
      </c>
      <c r="S451" s="13" t="s">
        <v>74</v>
      </c>
      <c r="T451" s="13"/>
      <c r="U451" s="13"/>
      <c r="V451" s="13">
        <v>66</v>
      </c>
      <c r="W451" s="53">
        <v>69</v>
      </c>
      <c r="X451" s="13">
        <v>69</v>
      </c>
      <c r="Y451" s="13">
        <v>1.22</v>
      </c>
      <c r="Z451" s="13">
        <v>1</v>
      </c>
      <c r="AA451" s="13" t="s">
        <v>505</v>
      </c>
      <c r="AB451" s="58"/>
      <c r="AC451" s="58">
        <v>43985</v>
      </c>
      <c r="AD451" s="58">
        <v>43996</v>
      </c>
      <c r="AE451" s="58">
        <v>43991</v>
      </c>
      <c r="AF451" s="58">
        <v>43991</v>
      </c>
      <c r="AG451" s="58" t="s">
        <v>75</v>
      </c>
      <c r="AH451" s="59">
        <v>1</v>
      </c>
      <c r="AI451" s="59">
        <v>1</v>
      </c>
      <c r="AJ451" s="59">
        <v>1</v>
      </c>
      <c r="AK451" s="58" t="s">
        <v>8</v>
      </c>
      <c r="AL451" s="13"/>
      <c r="AM451" s="13"/>
      <c r="AN451" s="13" t="s">
        <v>2251</v>
      </c>
    </row>
    <row r="452" spans="2:40" ht="15">
      <c r="B452" s="184">
        <v>342</v>
      </c>
      <c r="C452" s="13">
        <v>20200603</v>
      </c>
      <c r="D452" s="13" t="s">
        <v>311</v>
      </c>
      <c r="E452" s="13" t="s">
        <v>775</v>
      </c>
      <c r="F452" s="14" t="s">
        <v>72</v>
      </c>
      <c r="G452" s="14">
        <v>1458593</v>
      </c>
      <c r="H452" s="164" t="s">
        <v>72</v>
      </c>
      <c r="I452" s="13" t="s">
        <v>2253</v>
      </c>
      <c r="J452" s="164" t="s">
        <v>72</v>
      </c>
      <c r="K452" s="13" t="s">
        <v>73</v>
      </c>
      <c r="L452" s="13" t="s">
        <v>778</v>
      </c>
      <c r="M452" s="13" t="s">
        <v>2254</v>
      </c>
      <c r="N452" s="13">
        <v>1458593</v>
      </c>
      <c r="O452" s="14">
        <v>1</v>
      </c>
      <c r="P452" s="14" t="s">
        <v>2255</v>
      </c>
      <c r="Q452" s="165"/>
      <c r="R452" s="164" t="s">
        <v>72</v>
      </c>
      <c r="S452" s="13" t="s">
        <v>161</v>
      </c>
      <c r="T452" s="13"/>
      <c r="U452" s="13"/>
      <c r="V452" s="13">
        <v>80</v>
      </c>
      <c r="W452" s="13">
        <v>80</v>
      </c>
      <c r="X452" s="13">
        <v>80</v>
      </c>
      <c r="Y452" s="13">
        <v>4.92</v>
      </c>
      <c r="Z452" s="13">
        <v>4</v>
      </c>
      <c r="AA452" s="13" t="s">
        <v>505</v>
      </c>
      <c r="AB452" s="58"/>
      <c r="AC452" s="58">
        <v>43985</v>
      </c>
      <c r="AD452" s="58">
        <v>44002</v>
      </c>
      <c r="AE452" s="58">
        <v>43987</v>
      </c>
      <c r="AF452" s="58">
        <v>43987</v>
      </c>
      <c r="AG452" s="58" t="s">
        <v>79</v>
      </c>
      <c r="AH452" s="59">
        <v>0.93300000000000005</v>
      </c>
      <c r="AI452" s="59">
        <v>0.93899999999999995</v>
      </c>
      <c r="AJ452" s="59">
        <v>1</v>
      </c>
      <c r="AK452" s="58" t="s">
        <v>76</v>
      </c>
      <c r="AL452" s="13" t="s">
        <v>2256</v>
      </c>
      <c r="AM452" s="13"/>
      <c r="AN452" s="13"/>
    </row>
    <row r="453" spans="2:40" ht="15">
      <c r="B453" s="184">
        <v>347</v>
      </c>
      <c r="C453" s="13">
        <v>20200603</v>
      </c>
      <c r="D453" s="13" t="s">
        <v>311</v>
      </c>
      <c r="E453" s="13" t="s">
        <v>775</v>
      </c>
      <c r="F453" s="14" t="s">
        <v>72</v>
      </c>
      <c r="G453" s="14">
        <v>1458593</v>
      </c>
      <c r="H453" s="164" t="s">
        <v>72</v>
      </c>
      <c r="I453" s="13" t="s">
        <v>2257</v>
      </c>
      <c r="J453" s="164" t="s">
        <v>72</v>
      </c>
      <c r="K453" s="13" t="s">
        <v>73</v>
      </c>
      <c r="L453" s="13" t="s">
        <v>778</v>
      </c>
      <c r="M453" s="13" t="s">
        <v>2254</v>
      </c>
      <c r="N453" s="13">
        <v>1458593</v>
      </c>
      <c r="O453" s="14" t="s">
        <v>2258</v>
      </c>
      <c r="P453" s="14" t="s">
        <v>2255</v>
      </c>
      <c r="Q453" s="165"/>
      <c r="R453" s="164" t="s">
        <v>72</v>
      </c>
      <c r="S453" s="13" t="s">
        <v>109</v>
      </c>
      <c r="T453" s="13"/>
      <c r="U453" s="13"/>
      <c r="V453" s="13">
        <v>33</v>
      </c>
      <c r="W453" s="13">
        <v>33</v>
      </c>
      <c r="X453" s="13">
        <v>33</v>
      </c>
      <c r="Y453" s="13">
        <v>2.0299999999999998</v>
      </c>
      <c r="Z453" s="13">
        <v>1</v>
      </c>
      <c r="AA453" s="13" t="s">
        <v>505</v>
      </c>
      <c r="AB453" s="58"/>
      <c r="AC453" s="58">
        <v>43985</v>
      </c>
      <c r="AD453" s="58">
        <v>44002</v>
      </c>
      <c r="AE453" s="58">
        <v>43987</v>
      </c>
      <c r="AF453" s="58">
        <v>43987</v>
      </c>
      <c r="AG453" s="58" t="s">
        <v>75</v>
      </c>
      <c r="AH453" s="59">
        <v>1</v>
      </c>
      <c r="AI453" s="59">
        <v>1</v>
      </c>
      <c r="AJ453" s="59">
        <v>1</v>
      </c>
      <c r="AK453" s="58" t="s">
        <v>8</v>
      </c>
      <c r="AL453" s="13" t="s">
        <v>72</v>
      </c>
      <c r="AM453" s="13" t="s">
        <v>72</v>
      </c>
      <c r="AN453" s="14" t="s">
        <v>72</v>
      </c>
    </row>
    <row r="454" spans="2:40" ht="15">
      <c r="B454" s="184">
        <v>349</v>
      </c>
      <c r="C454" s="13">
        <v>20200603</v>
      </c>
      <c r="D454" s="13" t="s">
        <v>311</v>
      </c>
      <c r="E454" s="13" t="s">
        <v>2366</v>
      </c>
      <c r="F454" s="14" t="s">
        <v>72</v>
      </c>
      <c r="G454" s="14">
        <v>1499718</v>
      </c>
      <c r="H454" s="164" t="s">
        <v>72</v>
      </c>
      <c r="I454" s="13" t="s">
        <v>1800</v>
      </c>
      <c r="J454" s="164" t="s">
        <v>72</v>
      </c>
      <c r="K454" s="13" t="s">
        <v>73</v>
      </c>
      <c r="L454" s="13" t="s">
        <v>8</v>
      </c>
      <c r="M454" s="13" t="s">
        <v>2259</v>
      </c>
      <c r="N454" s="13">
        <v>1499718</v>
      </c>
      <c r="O454" s="14" t="s">
        <v>2182</v>
      </c>
      <c r="P454" s="14" t="s">
        <v>1798</v>
      </c>
      <c r="Q454" s="165"/>
      <c r="R454" s="164" t="s">
        <v>72</v>
      </c>
      <c r="S454" s="13" t="s">
        <v>109</v>
      </c>
      <c r="T454" s="13"/>
      <c r="U454" s="13"/>
      <c r="V454" s="13">
        <v>50</v>
      </c>
      <c r="W454" s="13">
        <v>50</v>
      </c>
      <c r="X454" s="13">
        <v>50</v>
      </c>
      <c r="Y454" s="13">
        <v>3.07</v>
      </c>
      <c r="Z454" s="13">
        <v>3</v>
      </c>
      <c r="AA454" s="13" t="s">
        <v>505</v>
      </c>
      <c r="AB454" s="58"/>
      <c r="AC454" s="58">
        <v>43985</v>
      </c>
      <c r="AD454" s="58">
        <v>43996</v>
      </c>
      <c r="AE454" s="58">
        <v>43986</v>
      </c>
      <c r="AF454" s="58">
        <v>43986</v>
      </c>
      <c r="AG454" s="58" t="s">
        <v>75</v>
      </c>
      <c r="AH454" s="59">
        <v>1</v>
      </c>
      <c r="AI454" s="59">
        <v>1</v>
      </c>
      <c r="AJ454" s="59">
        <v>1</v>
      </c>
      <c r="AK454" s="58" t="s">
        <v>8</v>
      </c>
      <c r="AL454" s="13" t="s">
        <v>72</v>
      </c>
      <c r="AM454" s="13" t="s">
        <v>72</v>
      </c>
      <c r="AN454" s="13" t="s">
        <v>72</v>
      </c>
    </row>
    <row r="455" spans="2:40" ht="15">
      <c r="B455" s="184">
        <v>350</v>
      </c>
      <c r="C455" s="13">
        <v>20200603</v>
      </c>
      <c r="D455" s="13" t="s">
        <v>311</v>
      </c>
      <c r="E455" s="13" t="s">
        <v>2367</v>
      </c>
      <c r="F455" s="14" t="s">
        <v>72</v>
      </c>
      <c r="G455" s="14">
        <v>1497973</v>
      </c>
      <c r="H455" s="164" t="s">
        <v>72</v>
      </c>
      <c r="I455" s="13" t="s">
        <v>2260</v>
      </c>
      <c r="J455" s="164" t="s">
        <v>72</v>
      </c>
      <c r="K455" s="13" t="s">
        <v>73</v>
      </c>
      <c r="L455" s="13" t="s">
        <v>8</v>
      </c>
      <c r="M455" s="13" t="s">
        <v>1657</v>
      </c>
      <c r="N455" s="13">
        <v>1497973</v>
      </c>
      <c r="O455" s="14">
        <v>1.2</v>
      </c>
      <c r="P455" s="14" t="s">
        <v>2261</v>
      </c>
      <c r="Q455" s="165"/>
      <c r="R455" s="164" t="s">
        <v>72</v>
      </c>
      <c r="S455" s="13" t="s">
        <v>113</v>
      </c>
      <c r="T455" s="13"/>
      <c r="U455" s="13"/>
      <c r="V455" s="13">
        <v>40</v>
      </c>
      <c r="W455" s="13">
        <v>40</v>
      </c>
      <c r="X455" s="13">
        <v>40</v>
      </c>
      <c r="Y455" s="13">
        <v>2.46</v>
      </c>
      <c r="Z455" s="13">
        <v>2.46</v>
      </c>
      <c r="AA455" s="13" t="s">
        <v>550</v>
      </c>
      <c r="AB455" s="58">
        <v>43990</v>
      </c>
      <c r="AC455" s="58">
        <v>43985</v>
      </c>
      <c r="AD455" s="58">
        <v>43990</v>
      </c>
      <c r="AE455" s="58">
        <v>43987</v>
      </c>
      <c r="AF455" s="58">
        <v>43987</v>
      </c>
      <c r="AG455" s="58" t="s">
        <v>75</v>
      </c>
      <c r="AH455" s="59">
        <v>1</v>
      </c>
      <c r="AI455" s="59">
        <v>1</v>
      </c>
      <c r="AJ455" s="59">
        <v>1</v>
      </c>
      <c r="AK455" s="58" t="s">
        <v>8</v>
      </c>
      <c r="AL455" s="13"/>
      <c r="AM455" s="13"/>
      <c r="AN455" s="13"/>
    </row>
    <row r="456" spans="2:40" ht="15">
      <c r="B456" s="184">
        <v>351</v>
      </c>
      <c r="C456" s="13">
        <v>20200603</v>
      </c>
      <c r="D456" s="13" t="s">
        <v>24</v>
      </c>
      <c r="E456" s="13" t="s">
        <v>2381</v>
      </c>
      <c r="F456" s="39" t="s">
        <v>2263</v>
      </c>
      <c r="G456" s="14">
        <v>1500742</v>
      </c>
      <c r="H456" s="164" t="s">
        <v>72</v>
      </c>
      <c r="I456" s="13" t="s">
        <v>558</v>
      </c>
      <c r="J456" s="164" t="s">
        <v>72</v>
      </c>
      <c r="K456" s="13" t="s">
        <v>73</v>
      </c>
      <c r="L456" s="13" t="s">
        <v>2264</v>
      </c>
      <c r="M456" s="13" t="s">
        <v>2265</v>
      </c>
      <c r="N456" s="13" t="s">
        <v>2266</v>
      </c>
      <c r="O456" s="14" t="s">
        <v>72</v>
      </c>
      <c r="P456" s="14" t="s">
        <v>562</v>
      </c>
      <c r="Q456" s="165"/>
      <c r="R456" s="164" t="s">
        <v>72</v>
      </c>
      <c r="S456" s="13" t="s">
        <v>74</v>
      </c>
      <c r="T456" s="13"/>
      <c r="U456" s="13"/>
      <c r="V456" s="13">
        <v>145</v>
      </c>
      <c r="W456" s="13">
        <v>145</v>
      </c>
      <c r="X456" s="13">
        <v>145</v>
      </c>
      <c r="Y456" s="13">
        <v>2.57</v>
      </c>
      <c r="Z456" s="13">
        <v>1</v>
      </c>
      <c r="AA456" s="13" t="s">
        <v>505</v>
      </c>
      <c r="AB456" s="58"/>
      <c r="AC456" s="58">
        <v>43985</v>
      </c>
      <c r="AD456" s="58">
        <v>43996</v>
      </c>
      <c r="AE456" s="58">
        <v>43991</v>
      </c>
      <c r="AF456" s="58">
        <v>43991</v>
      </c>
      <c r="AG456" s="58" t="s">
        <v>75</v>
      </c>
      <c r="AH456" s="59">
        <v>1</v>
      </c>
      <c r="AI456" s="59">
        <v>1</v>
      </c>
      <c r="AJ456" s="59">
        <v>1</v>
      </c>
      <c r="AK456" s="58" t="s">
        <v>8</v>
      </c>
      <c r="AL456" s="13"/>
      <c r="AM456" s="13"/>
      <c r="AN456" s="13" t="s">
        <v>2267</v>
      </c>
    </row>
    <row r="457" spans="2:40" ht="15">
      <c r="B457" s="184">
        <v>352</v>
      </c>
      <c r="C457" s="13">
        <v>20200603</v>
      </c>
      <c r="D457" s="13" t="s">
        <v>24</v>
      </c>
      <c r="E457" s="13" t="s">
        <v>2381</v>
      </c>
      <c r="F457" s="39" t="s">
        <v>2268</v>
      </c>
      <c r="G457" s="14">
        <v>1500742</v>
      </c>
      <c r="H457" s="164" t="s">
        <v>72</v>
      </c>
      <c r="I457" s="13" t="s">
        <v>566</v>
      </c>
      <c r="J457" s="164" t="s">
        <v>72</v>
      </c>
      <c r="K457" s="13" t="s">
        <v>73</v>
      </c>
      <c r="L457" s="13" t="s">
        <v>2264</v>
      </c>
      <c r="M457" s="13" t="s">
        <v>2265</v>
      </c>
      <c r="N457" s="13" t="s">
        <v>2266</v>
      </c>
      <c r="O457" s="14" t="s">
        <v>72</v>
      </c>
      <c r="P457" s="14" t="s">
        <v>562</v>
      </c>
      <c r="Q457" s="165"/>
      <c r="R457" s="164" t="s">
        <v>72</v>
      </c>
      <c r="S457" s="13" t="s">
        <v>74</v>
      </c>
      <c r="T457" s="13"/>
      <c r="U457" s="13"/>
      <c r="V457" s="13">
        <v>154</v>
      </c>
      <c r="W457" s="13">
        <v>154</v>
      </c>
      <c r="X457" s="13">
        <v>154</v>
      </c>
      <c r="Y457" s="13">
        <v>2.73</v>
      </c>
      <c r="Z457" s="13">
        <v>1</v>
      </c>
      <c r="AA457" s="13" t="s">
        <v>505</v>
      </c>
      <c r="AB457" s="58"/>
      <c r="AC457" s="58">
        <v>43985</v>
      </c>
      <c r="AD457" s="58">
        <v>43996</v>
      </c>
      <c r="AE457" s="58">
        <v>43991</v>
      </c>
      <c r="AF457" s="58">
        <v>43991</v>
      </c>
      <c r="AG457" s="58" t="s">
        <v>75</v>
      </c>
      <c r="AH457" s="59">
        <v>0.93</v>
      </c>
      <c r="AI457" s="59">
        <v>0.8</v>
      </c>
      <c r="AJ457" s="59">
        <v>1</v>
      </c>
      <c r="AK457" s="58" t="s">
        <v>76</v>
      </c>
      <c r="AL457" s="13" t="s">
        <v>2269</v>
      </c>
      <c r="AM457" s="13"/>
      <c r="AN457" s="13" t="s">
        <v>2091</v>
      </c>
    </row>
    <row r="458" spans="2:40" ht="15">
      <c r="B458" s="184">
        <v>353</v>
      </c>
      <c r="C458" s="13">
        <v>20200603</v>
      </c>
      <c r="D458" s="13" t="s">
        <v>24</v>
      </c>
      <c r="E458" s="13" t="s">
        <v>2381</v>
      </c>
      <c r="F458" s="39" t="s">
        <v>2270</v>
      </c>
      <c r="G458" s="14">
        <v>1500742</v>
      </c>
      <c r="H458" s="164" t="s">
        <v>72</v>
      </c>
      <c r="I458" s="13" t="s">
        <v>45</v>
      </c>
      <c r="J458" s="164" t="s">
        <v>72</v>
      </c>
      <c r="K458" s="13" t="s">
        <v>73</v>
      </c>
      <c r="L458" s="13" t="s">
        <v>2264</v>
      </c>
      <c r="M458" s="13" t="s">
        <v>2265</v>
      </c>
      <c r="N458" s="13" t="s">
        <v>2266</v>
      </c>
      <c r="O458" s="14" t="s">
        <v>72</v>
      </c>
      <c r="P458" s="14" t="s">
        <v>562</v>
      </c>
      <c r="Q458" s="165"/>
      <c r="R458" s="164" t="s">
        <v>72</v>
      </c>
      <c r="S458" s="13" t="s">
        <v>74</v>
      </c>
      <c r="T458" s="13"/>
      <c r="U458" s="13"/>
      <c r="V458" s="13">
        <v>120</v>
      </c>
      <c r="W458" s="53">
        <v>458</v>
      </c>
      <c r="X458" s="13">
        <v>458</v>
      </c>
      <c r="Y458" s="13">
        <v>8.14</v>
      </c>
      <c r="Z458" s="13">
        <v>1</v>
      </c>
      <c r="AA458" s="13" t="s">
        <v>505</v>
      </c>
      <c r="AB458" s="58"/>
      <c r="AC458" s="58">
        <v>43985</v>
      </c>
      <c r="AD458" s="58">
        <v>43996</v>
      </c>
      <c r="AE458" s="58">
        <v>43991</v>
      </c>
      <c r="AF458" s="58">
        <v>43991</v>
      </c>
      <c r="AG458" s="58" t="s">
        <v>75</v>
      </c>
      <c r="AH458" s="59">
        <v>1</v>
      </c>
      <c r="AI458" s="59">
        <v>1</v>
      </c>
      <c r="AJ458" s="59">
        <v>1</v>
      </c>
      <c r="AK458" s="58" t="s">
        <v>8</v>
      </c>
      <c r="AL458" s="13"/>
      <c r="AM458" s="13"/>
      <c r="AN458" s="13" t="s">
        <v>2271</v>
      </c>
    </row>
    <row r="459" spans="2:40" ht="15">
      <c r="B459" s="212">
        <v>354</v>
      </c>
      <c r="C459" s="13">
        <v>20200603</v>
      </c>
      <c r="D459" s="13" t="s">
        <v>24</v>
      </c>
      <c r="E459" s="13" t="s">
        <v>2366</v>
      </c>
      <c r="F459" s="39" t="s">
        <v>2273</v>
      </c>
      <c r="G459" s="13">
        <v>1498009</v>
      </c>
      <c r="H459" s="164" t="s">
        <v>72</v>
      </c>
      <c r="I459" s="13" t="s">
        <v>2274</v>
      </c>
      <c r="J459" s="164" t="s">
        <v>72</v>
      </c>
      <c r="K459" s="13" t="s">
        <v>73</v>
      </c>
      <c r="L459" s="13" t="s">
        <v>2275</v>
      </c>
      <c r="M459" s="13" t="s">
        <v>2276</v>
      </c>
      <c r="N459" s="13" t="s">
        <v>2277</v>
      </c>
      <c r="O459" s="14" t="s">
        <v>72</v>
      </c>
      <c r="P459" s="14" t="s">
        <v>713</v>
      </c>
      <c r="Q459" s="165"/>
      <c r="R459" s="164" t="s">
        <v>72</v>
      </c>
      <c r="S459" s="13" t="s">
        <v>77</v>
      </c>
      <c r="T459" s="13"/>
      <c r="U459" s="13"/>
      <c r="V459" s="13">
        <v>125</v>
      </c>
      <c r="W459" s="213">
        <v>904</v>
      </c>
      <c r="X459" s="36">
        <v>904</v>
      </c>
      <c r="Y459" s="13">
        <v>16.07</v>
      </c>
      <c r="Z459" s="13">
        <v>4</v>
      </c>
      <c r="AA459" s="13" t="s">
        <v>550</v>
      </c>
      <c r="AB459" s="58">
        <v>43987</v>
      </c>
      <c r="AC459" s="58">
        <v>43986</v>
      </c>
      <c r="AD459" s="58">
        <v>43986</v>
      </c>
      <c r="AE459" s="58">
        <v>43986</v>
      </c>
      <c r="AF459" s="58">
        <v>43986</v>
      </c>
      <c r="AG459" s="58" t="s">
        <v>79</v>
      </c>
      <c r="AH459" s="59">
        <v>1</v>
      </c>
      <c r="AI459" s="59">
        <v>1</v>
      </c>
      <c r="AJ459" s="59">
        <v>0.99</v>
      </c>
      <c r="AK459" s="58" t="s">
        <v>76</v>
      </c>
      <c r="AL459" t="s">
        <v>2278</v>
      </c>
      <c r="AM459" s="13"/>
      <c r="AN459" s="14" t="s">
        <v>1824</v>
      </c>
    </row>
    <row r="460" spans="2:40" ht="15">
      <c r="B460" s="212">
        <v>355</v>
      </c>
      <c r="C460" s="13">
        <v>20200603</v>
      </c>
      <c r="D460" s="13" t="s">
        <v>24</v>
      </c>
      <c r="E460" s="13" t="s">
        <v>2366</v>
      </c>
      <c r="F460" s="39" t="s">
        <v>2279</v>
      </c>
      <c r="G460" s="13">
        <v>1497948</v>
      </c>
      <c r="H460" s="164" t="s">
        <v>72</v>
      </c>
      <c r="I460" s="13" t="s">
        <v>2280</v>
      </c>
      <c r="J460" s="164" t="s">
        <v>72</v>
      </c>
      <c r="K460" s="13" t="s">
        <v>73</v>
      </c>
      <c r="L460" s="13" t="s">
        <v>1601</v>
      </c>
      <c r="M460" s="13" t="s">
        <v>2259</v>
      </c>
      <c r="N460" s="13" t="s">
        <v>1603</v>
      </c>
      <c r="O460" s="14" t="s">
        <v>72</v>
      </c>
      <c r="P460" s="14" t="s">
        <v>2281</v>
      </c>
      <c r="Q460" s="165"/>
      <c r="R460" s="164" t="s">
        <v>72</v>
      </c>
      <c r="S460" s="13" t="s">
        <v>74</v>
      </c>
      <c r="T460" s="13"/>
      <c r="U460" s="13"/>
      <c r="V460" s="13">
        <v>1092</v>
      </c>
      <c r="W460" s="13">
        <v>1092</v>
      </c>
      <c r="X460" s="13">
        <v>1092</v>
      </c>
      <c r="Y460" s="13">
        <v>19.41</v>
      </c>
      <c r="Z460" s="13">
        <v>8</v>
      </c>
      <c r="AA460" s="13" t="s">
        <v>550</v>
      </c>
      <c r="AB460" s="58">
        <v>43987</v>
      </c>
      <c r="AC460" s="58">
        <v>43986</v>
      </c>
      <c r="AD460" s="58">
        <v>43988</v>
      </c>
      <c r="AE460" s="58">
        <v>43987</v>
      </c>
      <c r="AF460" s="58">
        <v>43987</v>
      </c>
      <c r="AG460" s="58" t="s">
        <v>79</v>
      </c>
      <c r="AH460" s="59">
        <v>1</v>
      </c>
      <c r="AI460" s="59">
        <v>1</v>
      </c>
      <c r="AJ460" s="59">
        <v>0.97</v>
      </c>
      <c r="AK460" s="58" t="s">
        <v>76</v>
      </c>
      <c r="AL460" s="13" t="s">
        <v>2282</v>
      </c>
      <c r="AM460" s="13"/>
      <c r="AN460" s="13" t="s">
        <v>2091</v>
      </c>
    </row>
    <row r="461" spans="2:40" ht="15">
      <c r="B461" s="212">
        <v>356</v>
      </c>
      <c r="C461" s="13">
        <v>20200603</v>
      </c>
      <c r="D461" s="13" t="s">
        <v>24</v>
      </c>
      <c r="E461" s="13" t="s">
        <v>2382</v>
      </c>
      <c r="F461" s="39" t="s">
        <v>2284</v>
      </c>
      <c r="G461" s="13">
        <v>1445631</v>
      </c>
      <c r="H461" s="164" t="s">
        <v>72</v>
      </c>
      <c r="I461" s="13" t="s">
        <v>2285</v>
      </c>
      <c r="J461" s="164" t="s">
        <v>72</v>
      </c>
      <c r="K461" s="13" t="s">
        <v>73</v>
      </c>
      <c r="L461" s="13" t="s">
        <v>2286</v>
      </c>
      <c r="M461" s="13" t="s">
        <v>2287</v>
      </c>
      <c r="N461" s="13" t="s">
        <v>2288</v>
      </c>
      <c r="O461" s="14" t="s">
        <v>72</v>
      </c>
      <c r="P461" s="14" t="s">
        <v>1604</v>
      </c>
      <c r="Q461" s="165"/>
      <c r="R461" s="164" t="s">
        <v>72</v>
      </c>
      <c r="S461" s="13" t="s">
        <v>77</v>
      </c>
      <c r="T461" s="13"/>
      <c r="U461" s="13"/>
      <c r="V461" s="13">
        <v>87</v>
      </c>
      <c r="W461" s="13">
        <v>87</v>
      </c>
      <c r="X461" s="13">
        <v>87</v>
      </c>
      <c r="Y461" s="13">
        <v>1.54</v>
      </c>
      <c r="Z461" s="13">
        <v>0.5</v>
      </c>
      <c r="AA461" s="13" t="s">
        <v>550</v>
      </c>
      <c r="AB461" s="58">
        <v>43992</v>
      </c>
      <c r="AC461" s="58">
        <v>43986</v>
      </c>
      <c r="AD461" s="202">
        <v>43992</v>
      </c>
      <c r="AE461" s="58">
        <v>43987</v>
      </c>
      <c r="AF461" s="58">
        <v>43987</v>
      </c>
      <c r="AG461" s="58" t="s">
        <v>75</v>
      </c>
      <c r="AH461" s="59">
        <v>1</v>
      </c>
      <c r="AI461" s="59">
        <v>1</v>
      </c>
      <c r="AJ461" s="59">
        <v>1</v>
      </c>
      <c r="AK461" s="58" t="s">
        <v>8</v>
      </c>
      <c r="AL461" s="14" t="s">
        <v>72</v>
      </c>
      <c r="AM461" s="14" t="s">
        <v>72</v>
      </c>
      <c r="AN461" s="14" t="s">
        <v>72</v>
      </c>
    </row>
    <row r="462" spans="2:40" ht="15">
      <c r="B462" s="212">
        <v>357</v>
      </c>
      <c r="C462" s="13">
        <v>20200603</v>
      </c>
      <c r="D462" s="13" t="s">
        <v>24</v>
      </c>
      <c r="E462" s="13" t="s">
        <v>2382</v>
      </c>
      <c r="F462" s="39" t="s">
        <v>2284</v>
      </c>
      <c r="G462" s="13">
        <v>1445631</v>
      </c>
      <c r="H462" s="164" t="s">
        <v>72</v>
      </c>
      <c r="I462" s="13" t="s">
        <v>2289</v>
      </c>
      <c r="J462" s="164" t="s">
        <v>72</v>
      </c>
      <c r="K462" s="13" t="s">
        <v>73</v>
      </c>
      <c r="L462" s="13" t="s">
        <v>2286</v>
      </c>
      <c r="M462" s="13" t="s">
        <v>2287</v>
      </c>
      <c r="N462" s="13" t="s">
        <v>2288</v>
      </c>
      <c r="O462" s="14" t="s">
        <v>72</v>
      </c>
      <c r="P462" s="14" t="s">
        <v>1604</v>
      </c>
      <c r="Q462" s="165"/>
      <c r="R462" s="164" t="s">
        <v>72</v>
      </c>
      <c r="S462" s="13" t="s">
        <v>77</v>
      </c>
      <c r="T462" s="13"/>
      <c r="U462" s="13"/>
      <c r="V462" s="13">
        <v>166</v>
      </c>
      <c r="W462" s="13">
        <v>166</v>
      </c>
      <c r="X462" s="13">
        <v>166</v>
      </c>
      <c r="Y462" s="13">
        <v>2.95</v>
      </c>
      <c r="Z462" s="13">
        <v>1</v>
      </c>
      <c r="AA462" s="13" t="s">
        <v>550</v>
      </c>
      <c r="AB462" s="58">
        <v>43992</v>
      </c>
      <c r="AC462" s="58">
        <v>43986</v>
      </c>
      <c r="AD462" s="202">
        <v>43992</v>
      </c>
      <c r="AE462" s="58">
        <v>43987</v>
      </c>
      <c r="AF462" s="58">
        <v>43987</v>
      </c>
      <c r="AG462" s="58" t="s">
        <v>79</v>
      </c>
      <c r="AH462" s="59">
        <v>1</v>
      </c>
      <c r="AI462" s="59">
        <v>1</v>
      </c>
      <c r="AJ462" s="59">
        <v>0.81</v>
      </c>
      <c r="AK462" s="58" t="s">
        <v>76</v>
      </c>
      <c r="AL462" s="14" t="s">
        <v>2290</v>
      </c>
      <c r="AM462" s="14" t="s">
        <v>72</v>
      </c>
      <c r="AN462" s="14" t="s">
        <v>1824</v>
      </c>
    </row>
    <row r="463" spans="2:40" ht="15">
      <c r="B463" s="212">
        <v>358</v>
      </c>
      <c r="C463" s="13">
        <v>20200603</v>
      </c>
      <c r="D463" s="13" t="s">
        <v>24</v>
      </c>
      <c r="E463" s="13" t="s">
        <v>1429</v>
      </c>
      <c r="F463" s="39" t="s">
        <v>2291</v>
      </c>
      <c r="G463" s="13">
        <v>1461527</v>
      </c>
      <c r="H463" s="164" t="s">
        <v>72</v>
      </c>
      <c r="I463" s="13" t="s">
        <v>1004</v>
      </c>
      <c r="J463" s="164" t="s">
        <v>72</v>
      </c>
      <c r="K463" s="13" t="s">
        <v>73</v>
      </c>
      <c r="L463" s="13" t="s">
        <v>2</v>
      </c>
      <c r="M463" s="13" t="s">
        <v>15</v>
      </c>
      <c r="N463" s="13" t="s">
        <v>3</v>
      </c>
      <c r="O463" s="14" t="s">
        <v>72</v>
      </c>
      <c r="P463" s="14" t="s">
        <v>873</v>
      </c>
      <c r="Q463" s="165"/>
      <c r="R463" s="164" t="s">
        <v>72</v>
      </c>
      <c r="S463" s="13" t="s">
        <v>77</v>
      </c>
      <c r="T463" s="13"/>
      <c r="U463" s="13"/>
      <c r="V463" s="13">
        <v>74</v>
      </c>
      <c r="W463" s="13">
        <v>74</v>
      </c>
      <c r="X463" s="13">
        <v>74</v>
      </c>
      <c r="Y463" s="13">
        <v>1.31</v>
      </c>
      <c r="Z463" s="13">
        <v>0.2</v>
      </c>
      <c r="AA463" s="13" t="s">
        <v>550</v>
      </c>
      <c r="AB463" s="58">
        <v>43992</v>
      </c>
      <c r="AC463" s="58">
        <v>43986</v>
      </c>
      <c r="AD463" s="202">
        <v>43992</v>
      </c>
      <c r="AE463" s="58">
        <v>43987</v>
      </c>
      <c r="AF463" s="58">
        <v>43987</v>
      </c>
      <c r="AG463" s="58" t="s">
        <v>75</v>
      </c>
      <c r="AH463" s="171">
        <v>1</v>
      </c>
      <c r="AI463" s="171">
        <v>1</v>
      </c>
      <c r="AJ463" s="171">
        <v>1</v>
      </c>
      <c r="AK463" s="58" t="s">
        <v>8</v>
      </c>
      <c r="AL463" s="14" t="s">
        <v>72</v>
      </c>
      <c r="AM463" s="14" t="s">
        <v>72</v>
      </c>
      <c r="AN463" s="14" t="s">
        <v>72</v>
      </c>
    </row>
    <row r="464" spans="2:40" ht="15">
      <c r="B464" s="212">
        <v>359</v>
      </c>
      <c r="C464" s="13">
        <v>20200603</v>
      </c>
      <c r="D464" s="13" t="s">
        <v>24</v>
      </c>
      <c r="E464" s="13" t="s">
        <v>1429</v>
      </c>
      <c r="F464" s="39" t="s">
        <v>2291</v>
      </c>
      <c r="G464" s="13">
        <v>1489611</v>
      </c>
      <c r="H464" s="164" t="s">
        <v>72</v>
      </c>
      <c r="I464" s="13" t="s">
        <v>1004</v>
      </c>
      <c r="J464" s="164" t="s">
        <v>72</v>
      </c>
      <c r="K464" s="13" t="s">
        <v>73</v>
      </c>
      <c r="L464" s="13" t="s">
        <v>2286</v>
      </c>
      <c r="M464" s="13" t="s">
        <v>15</v>
      </c>
      <c r="N464" s="13" t="s">
        <v>3</v>
      </c>
      <c r="O464" s="14" t="s">
        <v>72</v>
      </c>
      <c r="P464" s="14" t="s">
        <v>873</v>
      </c>
      <c r="Q464" s="165"/>
      <c r="R464" s="164" t="s">
        <v>72</v>
      </c>
      <c r="S464" s="13" t="s">
        <v>77</v>
      </c>
      <c r="T464" s="13"/>
      <c r="U464" s="13"/>
      <c r="V464" s="13">
        <v>74</v>
      </c>
      <c r="W464" s="13">
        <v>74</v>
      </c>
      <c r="X464" s="13">
        <v>74</v>
      </c>
      <c r="Y464" s="13">
        <v>1.31</v>
      </c>
      <c r="Z464" s="13">
        <v>0.2</v>
      </c>
      <c r="AA464" s="13" t="s">
        <v>550</v>
      </c>
      <c r="AB464" s="58">
        <v>43992</v>
      </c>
      <c r="AC464" s="58">
        <v>43986</v>
      </c>
      <c r="AD464" s="202">
        <v>43992</v>
      </c>
      <c r="AE464" s="58">
        <v>43987</v>
      </c>
      <c r="AF464" s="58">
        <v>43987</v>
      </c>
      <c r="AG464" s="58" t="s">
        <v>75</v>
      </c>
      <c r="AH464" s="171">
        <v>1</v>
      </c>
      <c r="AI464" s="171">
        <v>1</v>
      </c>
      <c r="AJ464" s="171">
        <v>1</v>
      </c>
      <c r="AK464" s="58" t="s">
        <v>8</v>
      </c>
      <c r="AL464" s="14" t="s">
        <v>72</v>
      </c>
      <c r="AM464" s="14" t="s">
        <v>72</v>
      </c>
      <c r="AN464" s="14" t="s">
        <v>72</v>
      </c>
    </row>
    <row r="465" spans="2:40" ht="15">
      <c r="B465" s="214">
        <v>360</v>
      </c>
      <c r="C465" s="13">
        <v>20200604</v>
      </c>
      <c r="D465" s="13" t="s">
        <v>24</v>
      </c>
      <c r="E465" s="13" t="s">
        <v>1435</v>
      </c>
      <c r="F465" s="39" t="s">
        <v>2292</v>
      </c>
      <c r="G465" s="14">
        <v>1465509</v>
      </c>
      <c r="H465" s="164" t="s">
        <v>72</v>
      </c>
      <c r="I465" s="13" t="s">
        <v>123</v>
      </c>
      <c r="J465" s="164" t="s">
        <v>72</v>
      </c>
      <c r="K465" s="13" t="s">
        <v>73</v>
      </c>
      <c r="L465" s="13" t="s">
        <v>8</v>
      </c>
      <c r="M465" s="13" t="s">
        <v>52</v>
      </c>
      <c r="N465" s="13" t="s">
        <v>6</v>
      </c>
      <c r="O465" s="14" t="s">
        <v>72</v>
      </c>
      <c r="P465" s="14" t="s">
        <v>876</v>
      </c>
      <c r="Q465" s="165"/>
      <c r="R465" s="164" t="s">
        <v>72</v>
      </c>
      <c r="S465" s="13" t="s">
        <v>109</v>
      </c>
      <c r="T465" s="13"/>
      <c r="U465" s="13"/>
      <c r="V465" s="13">
        <v>88</v>
      </c>
      <c r="W465" s="53">
        <v>229</v>
      </c>
      <c r="X465" s="13">
        <v>229</v>
      </c>
      <c r="Y465" s="13">
        <v>4.07</v>
      </c>
      <c r="Z465" s="13">
        <v>0.5</v>
      </c>
      <c r="AA465" s="13" t="s">
        <v>550</v>
      </c>
      <c r="AB465" s="58">
        <v>43992</v>
      </c>
      <c r="AC465" s="58">
        <v>43986</v>
      </c>
      <c r="AD465" s="58">
        <v>43992</v>
      </c>
      <c r="AE465" s="58">
        <v>43987</v>
      </c>
      <c r="AF465" s="58">
        <v>43987</v>
      </c>
      <c r="AG465" s="58" t="s">
        <v>75</v>
      </c>
      <c r="AH465" s="59">
        <v>1</v>
      </c>
      <c r="AI465" s="59">
        <v>1</v>
      </c>
      <c r="AJ465" s="59">
        <v>1</v>
      </c>
      <c r="AK465" s="58" t="s">
        <v>8</v>
      </c>
      <c r="AL465" s="13" t="s">
        <v>72</v>
      </c>
      <c r="AM465" s="13" t="s">
        <v>72</v>
      </c>
      <c r="AN465" s="13" t="s">
        <v>72</v>
      </c>
    </row>
    <row r="466" spans="2:40" ht="15">
      <c r="B466" s="214">
        <v>361</v>
      </c>
      <c r="C466" s="13">
        <v>20200604</v>
      </c>
      <c r="D466" s="13" t="s">
        <v>24</v>
      </c>
      <c r="E466" s="13" t="s">
        <v>1435</v>
      </c>
      <c r="F466" s="39" t="s">
        <v>2293</v>
      </c>
      <c r="G466" s="14">
        <v>1465509</v>
      </c>
      <c r="H466" s="164" t="s">
        <v>72</v>
      </c>
      <c r="I466" s="13" t="s">
        <v>123</v>
      </c>
      <c r="J466" s="164" t="s">
        <v>72</v>
      </c>
      <c r="K466" s="13" t="s">
        <v>73</v>
      </c>
      <c r="L466" s="13" t="s">
        <v>8</v>
      </c>
      <c r="M466" s="13" t="s">
        <v>52</v>
      </c>
      <c r="N466" s="13" t="s">
        <v>6</v>
      </c>
      <c r="O466" s="14" t="s">
        <v>72</v>
      </c>
      <c r="P466" s="14" t="s">
        <v>876</v>
      </c>
      <c r="Q466" s="165"/>
      <c r="R466" s="164" t="s">
        <v>72</v>
      </c>
      <c r="S466" s="13" t="s">
        <v>109</v>
      </c>
      <c r="T466" s="13"/>
      <c r="U466" s="13"/>
      <c r="V466" s="13">
        <v>88</v>
      </c>
      <c r="W466" s="53">
        <v>229</v>
      </c>
      <c r="X466" s="13">
        <v>229</v>
      </c>
      <c r="Y466" s="13">
        <v>4.07</v>
      </c>
      <c r="Z466" s="13">
        <v>0.5</v>
      </c>
      <c r="AA466" s="13" t="s">
        <v>550</v>
      </c>
      <c r="AB466" s="58">
        <v>43992</v>
      </c>
      <c r="AC466" s="58">
        <v>43986</v>
      </c>
      <c r="AD466" s="58">
        <v>43992</v>
      </c>
      <c r="AE466" s="58">
        <v>43987</v>
      </c>
      <c r="AF466" s="58">
        <v>43987</v>
      </c>
      <c r="AG466" s="58" t="s">
        <v>75</v>
      </c>
      <c r="AH466" s="59">
        <v>1</v>
      </c>
      <c r="AI466" s="59">
        <v>1</v>
      </c>
      <c r="AJ466" s="59">
        <v>1</v>
      </c>
      <c r="AK466" s="58" t="s">
        <v>8</v>
      </c>
      <c r="AL466" s="13" t="s">
        <v>72</v>
      </c>
      <c r="AM466" s="13" t="s">
        <v>72</v>
      </c>
      <c r="AN466" s="13" t="s">
        <v>72</v>
      </c>
    </row>
    <row r="467" spans="2:40" ht="15">
      <c r="B467" s="214">
        <v>362</v>
      </c>
      <c r="C467" s="13">
        <v>20200604</v>
      </c>
      <c r="D467" s="13" t="s">
        <v>24</v>
      </c>
      <c r="E467" s="13" t="s">
        <v>1435</v>
      </c>
      <c r="F467" s="39" t="s">
        <v>2292</v>
      </c>
      <c r="G467" s="14">
        <v>1465509</v>
      </c>
      <c r="H467" s="164" t="s">
        <v>72</v>
      </c>
      <c r="I467" s="13" t="s">
        <v>120</v>
      </c>
      <c r="J467" s="164" t="s">
        <v>72</v>
      </c>
      <c r="K467" s="13" t="s">
        <v>73</v>
      </c>
      <c r="L467" s="13" t="s">
        <v>8</v>
      </c>
      <c r="M467" s="13" t="s">
        <v>52</v>
      </c>
      <c r="N467" s="13" t="s">
        <v>6</v>
      </c>
      <c r="O467" s="14" t="s">
        <v>72</v>
      </c>
      <c r="P467" s="14" t="s">
        <v>876</v>
      </c>
      <c r="Q467" s="165"/>
      <c r="R467" s="164" t="s">
        <v>72</v>
      </c>
      <c r="S467" s="13" t="s">
        <v>109</v>
      </c>
      <c r="T467" s="13"/>
      <c r="U467" s="13"/>
      <c r="V467" s="13">
        <v>42</v>
      </c>
      <c r="W467" s="53">
        <v>118</v>
      </c>
      <c r="X467" s="13">
        <v>118</v>
      </c>
      <c r="Y467" s="13">
        <v>2.09</v>
      </c>
      <c r="Z467" s="13">
        <v>0.5</v>
      </c>
      <c r="AA467" s="13" t="s">
        <v>550</v>
      </c>
      <c r="AB467" s="58">
        <v>43992</v>
      </c>
      <c r="AC467" s="58">
        <v>43986</v>
      </c>
      <c r="AD467" s="58">
        <v>43992</v>
      </c>
      <c r="AE467" s="58">
        <v>43987</v>
      </c>
      <c r="AF467" s="58">
        <v>43987</v>
      </c>
      <c r="AG467" s="58" t="s">
        <v>75</v>
      </c>
      <c r="AH467" s="59">
        <v>1</v>
      </c>
      <c r="AI467" s="59">
        <v>1</v>
      </c>
      <c r="AJ467" s="59">
        <v>1</v>
      </c>
      <c r="AK467" s="58" t="s">
        <v>8</v>
      </c>
      <c r="AL467" s="13" t="s">
        <v>72</v>
      </c>
      <c r="AM467" s="13" t="s">
        <v>72</v>
      </c>
      <c r="AN467" s="13" t="s">
        <v>72</v>
      </c>
    </row>
    <row r="468" spans="2:40" ht="15">
      <c r="B468" s="214">
        <v>363</v>
      </c>
      <c r="C468" s="13">
        <v>20200604</v>
      </c>
      <c r="D468" s="13" t="s">
        <v>24</v>
      </c>
      <c r="E468" s="13" t="s">
        <v>1435</v>
      </c>
      <c r="F468" s="39" t="s">
        <v>2293</v>
      </c>
      <c r="G468" s="14">
        <v>1465509</v>
      </c>
      <c r="H468" s="164" t="s">
        <v>72</v>
      </c>
      <c r="I468" s="13" t="s">
        <v>120</v>
      </c>
      <c r="J468" s="164" t="s">
        <v>72</v>
      </c>
      <c r="K468" s="13" t="s">
        <v>73</v>
      </c>
      <c r="L468" s="13" t="s">
        <v>8</v>
      </c>
      <c r="M468" s="13" t="s">
        <v>52</v>
      </c>
      <c r="N468" s="13" t="s">
        <v>6</v>
      </c>
      <c r="O468" s="14" t="s">
        <v>72</v>
      </c>
      <c r="P468" s="14" t="s">
        <v>876</v>
      </c>
      <c r="Q468" s="165"/>
      <c r="R468" s="164" t="s">
        <v>72</v>
      </c>
      <c r="S468" s="13" t="s">
        <v>109</v>
      </c>
      <c r="T468" s="13"/>
      <c r="U468" s="13"/>
      <c r="V468" s="13">
        <v>42</v>
      </c>
      <c r="W468" s="53">
        <v>118</v>
      </c>
      <c r="X468" s="13">
        <v>118</v>
      </c>
      <c r="Y468" s="13">
        <v>2.09</v>
      </c>
      <c r="Z468" s="13">
        <v>0.5</v>
      </c>
      <c r="AA468" s="13" t="s">
        <v>550</v>
      </c>
      <c r="AB468" s="58">
        <v>43992</v>
      </c>
      <c r="AC468" s="58">
        <v>43986</v>
      </c>
      <c r="AD468" s="58">
        <v>43992</v>
      </c>
      <c r="AE468" s="58">
        <v>43987</v>
      </c>
      <c r="AF468" s="58">
        <v>43987</v>
      </c>
      <c r="AG468" s="58" t="s">
        <v>75</v>
      </c>
      <c r="AH468" s="59">
        <v>1</v>
      </c>
      <c r="AI468" s="59">
        <v>1</v>
      </c>
      <c r="AJ468" s="59">
        <v>1</v>
      </c>
      <c r="AK468" s="58" t="s">
        <v>8</v>
      </c>
      <c r="AL468" s="13" t="s">
        <v>72</v>
      </c>
      <c r="AM468" s="13" t="s">
        <v>72</v>
      </c>
      <c r="AN468" s="13" t="s">
        <v>72</v>
      </c>
    </row>
    <row r="469" spans="2:40" ht="15">
      <c r="B469" s="214">
        <v>364</v>
      </c>
      <c r="C469" s="13">
        <v>20200604</v>
      </c>
      <c r="D469" s="13" t="s">
        <v>311</v>
      </c>
      <c r="E469" s="13" t="s">
        <v>2366</v>
      </c>
      <c r="F469" s="14" t="s">
        <v>72</v>
      </c>
      <c r="G469" s="14">
        <v>1499648</v>
      </c>
      <c r="H469" s="164" t="s">
        <v>72</v>
      </c>
      <c r="I469" s="13" t="s">
        <v>2294</v>
      </c>
      <c r="J469" s="164" t="s">
        <v>72</v>
      </c>
      <c r="K469" s="13" t="s">
        <v>73</v>
      </c>
      <c r="L469" s="13" t="s">
        <v>8</v>
      </c>
      <c r="M469" s="13" t="s">
        <v>2259</v>
      </c>
      <c r="N469" s="13">
        <v>1499648</v>
      </c>
      <c r="O469" s="14" t="s">
        <v>2295</v>
      </c>
      <c r="P469" s="14" t="s">
        <v>1798</v>
      </c>
      <c r="Q469" s="165"/>
      <c r="R469" s="164" t="s">
        <v>72</v>
      </c>
      <c r="S469" s="13" t="s">
        <v>109</v>
      </c>
      <c r="T469" s="13"/>
      <c r="U469" s="13"/>
      <c r="V469" s="13">
        <v>30</v>
      </c>
      <c r="W469" s="13">
        <v>30</v>
      </c>
      <c r="X469" s="13">
        <v>30</v>
      </c>
      <c r="Y469" s="13">
        <v>1.84</v>
      </c>
      <c r="Z469" s="13">
        <v>1</v>
      </c>
      <c r="AA469" s="13" t="s">
        <v>550</v>
      </c>
      <c r="AB469" s="58">
        <v>43990</v>
      </c>
      <c r="AC469" s="58">
        <v>43986</v>
      </c>
      <c r="AD469" s="215">
        <v>43990</v>
      </c>
      <c r="AE469" s="58">
        <v>43987</v>
      </c>
      <c r="AF469" s="58">
        <v>43987</v>
      </c>
      <c r="AG469" s="58" t="s">
        <v>75</v>
      </c>
      <c r="AH469" s="59">
        <v>1</v>
      </c>
      <c r="AI469" s="59">
        <v>1</v>
      </c>
      <c r="AJ469" s="59">
        <v>1</v>
      </c>
      <c r="AK469" s="58" t="s">
        <v>8</v>
      </c>
      <c r="AL469" s="13" t="s">
        <v>72</v>
      </c>
      <c r="AM469" s="13" t="s">
        <v>72</v>
      </c>
      <c r="AN469" s="13" t="s">
        <v>72</v>
      </c>
    </row>
    <row r="470" spans="2:40" ht="15">
      <c r="B470" s="214">
        <v>365</v>
      </c>
      <c r="C470" s="13">
        <v>20200604</v>
      </c>
      <c r="D470" s="13" t="s">
        <v>311</v>
      </c>
      <c r="E470" s="13" t="s">
        <v>2366</v>
      </c>
      <c r="F470" s="14" t="s">
        <v>72</v>
      </c>
      <c r="G470" s="14">
        <v>1499648</v>
      </c>
      <c r="H470" s="164" t="s">
        <v>72</v>
      </c>
      <c r="I470" s="13" t="s">
        <v>2296</v>
      </c>
      <c r="J470" s="164" t="s">
        <v>72</v>
      </c>
      <c r="K470" s="13" t="s">
        <v>73</v>
      </c>
      <c r="L470" s="13" t="s">
        <v>8</v>
      </c>
      <c r="M470" s="13" t="s">
        <v>2259</v>
      </c>
      <c r="N470" s="13">
        <v>1499648</v>
      </c>
      <c r="O470" s="14" t="s">
        <v>2297</v>
      </c>
      <c r="P470" s="14" t="s">
        <v>1798</v>
      </c>
      <c r="Q470" s="165"/>
      <c r="R470" s="164" t="s">
        <v>72</v>
      </c>
      <c r="S470" s="13" t="s">
        <v>113</v>
      </c>
      <c r="T470" s="13"/>
      <c r="U470" s="13"/>
      <c r="V470" s="13">
        <v>90</v>
      </c>
      <c r="W470" s="13">
        <v>90</v>
      </c>
      <c r="X470" s="13">
        <v>90</v>
      </c>
      <c r="Y470" s="13">
        <v>5.53</v>
      </c>
      <c r="Z470" s="13">
        <v>90</v>
      </c>
      <c r="AA470" s="13" t="s">
        <v>550</v>
      </c>
      <c r="AB470" s="58">
        <v>43990</v>
      </c>
      <c r="AC470" s="58">
        <v>43986</v>
      </c>
      <c r="AD470" s="215">
        <v>43990</v>
      </c>
      <c r="AE470" s="58">
        <v>43987</v>
      </c>
      <c r="AF470" s="58">
        <v>43987</v>
      </c>
      <c r="AG470" s="58" t="s">
        <v>75</v>
      </c>
      <c r="AH470" s="59">
        <v>1</v>
      </c>
      <c r="AI470" s="59">
        <v>1</v>
      </c>
      <c r="AJ470" s="59">
        <v>1</v>
      </c>
      <c r="AK470" s="58" t="s">
        <v>8</v>
      </c>
      <c r="AL470" s="13"/>
      <c r="AM470" s="13"/>
      <c r="AN470" s="13"/>
    </row>
    <row r="471" spans="2:40" ht="15">
      <c r="B471" s="214">
        <v>366</v>
      </c>
      <c r="C471" s="13">
        <v>20200604</v>
      </c>
      <c r="D471" s="13" t="s">
        <v>311</v>
      </c>
      <c r="E471" s="13" t="s">
        <v>2366</v>
      </c>
      <c r="F471" s="14" t="s">
        <v>72</v>
      </c>
      <c r="G471" s="14">
        <v>1499648</v>
      </c>
      <c r="H471" s="164" t="s">
        <v>72</v>
      </c>
      <c r="I471" s="13" t="s">
        <v>2298</v>
      </c>
      <c r="J471" s="164" t="s">
        <v>72</v>
      </c>
      <c r="K471" s="13" t="s">
        <v>73</v>
      </c>
      <c r="L471" s="13" t="s">
        <v>8</v>
      </c>
      <c r="M471" s="13" t="s">
        <v>2259</v>
      </c>
      <c r="N471" s="13">
        <v>1499648</v>
      </c>
      <c r="O471" s="14" t="s">
        <v>2299</v>
      </c>
      <c r="P471" s="14" t="s">
        <v>1798</v>
      </c>
      <c r="Q471" s="165"/>
      <c r="R471" s="164" t="s">
        <v>72</v>
      </c>
      <c r="S471" s="13" t="s">
        <v>161</v>
      </c>
      <c r="T471" s="13"/>
      <c r="U471" s="13"/>
      <c r="V471" s="13">
        <v>50</v>
      </c>
      <c r="W471" s="13">
        <v>50</v>
      </c>
      <c r="X471" s="13">
        <v>50</v>
      </c>
      <c r="Y471" s="13">
        <v>3.07</v>
      </c>
      <c r="Z471" s="13">
        <v>3</v>
      </c>
      <c r="AA471" s="13" t="s">
        <v>550</v>
      </c>
      <c r="AB471" s="58">
        <v>43990</v>
      </c>
      <c r="AC471" s="58">
        <v>43986</v>
      </c>
      <c r="AD471" s="215">
        <v>43990</v>
      </c>
      <c r="AE471" s="58">
        <v>43990</v>
      </c>
      <c r="AF471" s="58">
        <v>43990</v>
      </c>
      <c r="AG471" s="58" t="s">
        <v>75</v>
      </c>
      <c r="AH471" s="59">
        <v>1</v>
      </c>
      <c r="AI471" s="59">
        <v>1</v>
      </c>
      <c r="AJ471" s="59">
        <v>1</v>
      </c>
      <c r="AK471" s="58" t="s">
        <v>8</v>
      </c>
      <c r="AL471" s="13"/>
      <c r="AM471" s="13"/>
      <c r="AN471" s="13"/>
    </row>
    <row r="472" spans="2:40" ht="15">
      <c r="B472" s="214">
        <v>367</v>
      </c>
      <c r="C472" s="13">
        <v>20200604</v>
      </c>
      <c r="D472" s="13" t="s">
        <v>24</v>
      </c>
      <c r="E472" s="13" t="s">
        <v>2237</v>
      </c>
      <c r="F472" s="39" t="s">
        <v>2301</v>
      </c>
      <c r="G472" s="14">
        <v>1311762</v>
      </c>
      <c r="H472" s="164" t="s">
        <v>72</v>
      </c>
      <c r="I472" s="13" t="s">
        <v>2302</v>
      </c>
      <c r="J472" s="164" t="s">
        <v>72</v>
      </c>
      <c r="K472" s="13" t="s">
        <v>73</v>
      </c>
      <c r="L472" s="13" t="s">
        <v>2239</v>
      </c>
      <c r="M472" s="13" t="s">
        <v>1033</v>
      </c>
      <c r="N472" s="13" t="s">
        <v>1034</v>
      </c>
      <c r="O472" s="14" t="s">
        <v>72</v>
      </c>
      <c r="P472" s="14" t="s">
        <v>2067</v>
      </c>
      <c r="Q472" s="165"/>
      <c r="R472" s="164" t="s">
        <v>72</v>
      </c>
      <c r="S472" s="13" t="s">
        <v>117</v>
      </c>
      <c r="T472" s="13"/>
      <c r="U472" s="13"/>
      <c r="V472" s="13">
        <v>160</v>
      </c>
      <c r="W472" s="13">
        <v>160</v>
      </c>
      <c r="X472" s="13">
        <v>160</v>
      </c>
      <c r="Y472" s="13">
        <v>2.84</v>
      </c>
      <c r="Z472" s="13">
        <v>1</v>
      </c>
      <c r="AA472" s="13" t="s">
        <v>550</v>
      </c>
      <c r="AB472" s="58">
        <v>43992</v>
      </c>
      <c r="AC472" s="58">
        <v>43986</v>
      </c>
      <c r="AD472" s="58">
        <v>43992</v>
      </c>
      <c r="AE472" s="58">
        <v>43992</v>
      </c>
      <c r="AF472" s="58">
        <v>43992</v>
      </c>
      <c r="AG472" s="58" t="s">
        <v>75</v>
      </c>
      <c r="AH472" s="59">
        <v>1</v>
      </c>
      <c r="AI472" s="59">
        <v>1</v>
      </c>
      <c r="AJ472" s="59">
        <v>1</v>
      </c>
      <c r="AK472" s="58" t="s">
        <v>8</v>
      </c>
      <c r="AL472" s="13"/>
      <c r="AM472" s="13"/>
      <c r="AN472" s="13"/>
    </row>
    <row r="473" spans="2:40" ht="15">
      <c r="B473" s="214">
        <v>374</v>
      </c>
      <c r="C473" s="13">
        <v>20200604</v>
      </c>
      <c r="D473" s="13" t="s">
        <v>24</v>
      </c>
      <c r="E473" s="13" t="s">
        <v>2383</v>
      </c>
      <c r="F473" s="39" t="s">
        <v>2304</v>
      </c>
      <c r="G473" s="14">
        <v>1498232</v>
      </c>
      <c r="H473" s="164" t="s">
        <v>72</v>
      </c>
      <c r="I473" s="13" t="s">
        <v>2212</v>
      </c>
      <c r="J473" s="164" t="s">
        <v>72</v>
      </c>
      <c r="K473" s="13" t="s">
        <v>73</v>
      </c>
      <c r="L473" s="13" t="s">
        <v>2305</v>
      </c>
      <c r="M473" s="13" t="s">
        <v>2306</v>
      </c>
      <c r="N473" s="13" t="s">
        <v>2307</v>
      </c>
      <c r="O473" s="14" t="s">
        <v>72</v>
      </c>
      <c r="P473" s="14" t="s">
        <v>2210</v>
      </c>
      <c r="Q473" s="165"/>
      <c r="R473" s="164" t="s">
        <v>72</v>
      </c>
      <c r="S473" s="13" t="s">
        <v>77</v>
      </c>
      <c r="T473" s="13"/>
      <c r="U473" s="13"/>
      <c r="V473" s="13">
        <v>30</v>
      </c>
      <c r="W473" s="13">
        <v>30</v>
      </c>
      <c r="X473" s="13">
        <v>30</v>
      </c>
      <c r="Y473" s="13">
        <v>0.53</v>
      </c>
      <c r="Z473" s="13">
        <v>0.1</v>
      </c>
      <c r="AA473" s="13" t="s">
        <v>505</v>
      </c>
      <c r="AB473" s="58"/>
      <c r="AC473" s="58">
        <v>43986</v>
      </c>
      <c r="AD473" s="58">
        <v>43996</v>
      </c>
      <c r="AE473" s="58">
        <v>43987</v>
      </c>
      <c r="AF473" s="58">
        <v>43987</v>
      </c>
      <c r="AG473" s="58" t="s">
        <v>75</v>
      </c>
      <c r="AH473" s="171" t="s">
        <v>72</v>
      </c>
      <c r="AI473" s="171" t="s">
        <v>72</v>
      </c>
      <c r="AJ473" s="171" t="s">
        <v>72</v>
      </c>
      <c r="AK473" s="58" t="s">
        <v>8</v>
      </c>
      <c r="AL473" s="14" t="s">
        <v>72</v>
      </c>
      <c r="AM473" s="14" t="s">
        <v>72</v>
      </c>
      <c r="AN473" s="14" t="s">
        <v>2308</v>
      </c>
    </row>
    <row r="474" spans="2:40" ht="15">
      <c r="B474" s="214">
        <v>375</v>
      </c>
      <c r="C474" s="13">
        <v>20200604</v>
      </c>
      <c r="D474" s="13" t="s">
        <v>24</v>
      </c>
      <c r="E474" s="13" t="s">
        <v>2383</v>
      </c>
      <c r="F474" s="39" t="s">
        <v>2304</v>
      </c>
      <c r="G474" s="14">
        <v>1498232</v>
      </c>
      <c r="H474" s="164" t="s">
        <v>72</v>
      </c>
      <c r="I474" s="13" t="s">
        <v>2214</v>
      </c>
      <c r="J474" s="164" t="s">
        <v>72</v>
      </c>
      <c r="K474" s="13" t="s">
        <v>73</v>
      </c>
      <c r="L474" s="13" t="s">
        <v>2305</v>
      </c>
      <c r="M474" s="13" t="s">
        <v>2306</v>
      </c>
      <c r="N474" s="13" t="s">
        <v>2307</v>
      </c>
      <c r="O474" s="14" t="s">
        <v>72</v>
      </c>
      <c r="P474" s="14" t="s">
        <v>2210</v>
      </c>
      <c r="Q474" s="165"/>
      <c r="R474" s="164" t="s">
        <v>72</v>
      </c>
      <c r="S474" s="13" t="s">
        <v>77</v>
      </c>
      <c r="T474" s="13"/>
      <c r="U474" s="13"/>
      <c r="V474" s="13">
        <v>36</v>
      </c>
      <c r="W474" s="13">
        <v>36</v>
      </c>
      <c r="X474" s="13">
        <v>36</v>
      </c>
      <c r="Y474" s="13">
        <v>0.64</v>
      </c>
      <c r="Z474" s="13">
        <v>0.1</v>
      </c>
      <c r="AA474" s="13" t="s">
        <v>505</v>
      </c>
      <c r="AB474" s="58"/>
      <c r="AC474" s="58">
        <v>43986</v>
      </c>
      <c r="AD474" s="58">
        <v>43996</v>
      </c>
      <c r="AE474" s="58">
        <v>43987</v>
      </c>
      <c r="AF474" s="58">
        <v>43987</v>
      </c>
      <c r="AG474" s="58" t="s">
        <v>75</v>
      </c>
      <c r="AH474" s="171" t="s">
        <v>72</v>
      </c>
      <c r="AI474" s="171" t="s">
        <v>72</v>
      </c>
      <c r="AJ474" s="171" t="s">
        <v>72</v>
      </c>
      <c r="AK474" s="58" t="s">
        <v>8</v>
      </c>
      <c r="AL474" s="14" t="s">
        <v>72</v>
      </c>
      <c r="AM474" s="14" t="s">
        <v>72</v>
      </c>
      <c r="AN474" s="14" t="s">
        <v>2308</v>
      </c>
    </row>
    <row r="475" spans="2:40" ht="15">
      <c r="B475" s="214">
        <v>376</v>
      </c>
      <c r="C475" s="13">
        <v>20200604</v>
      </c>
      <c r="D475" s="13" t="s">
        <v>24</v>
      </c>
      <c r="E475" s="13" t="s">
        <v>2383</v>
      </c>
      <c r="F475" s="39" t="s">
        <v>2304</v>
      </c>
      <c r="G475" s="14">
        <v>1498232</v>
      </c>
      <c r="H475" s="164" t="s">
        <v>72</v>
      </c>
      <c r="I475" s="13" t="s">
        <v>2216</v>
      </c>
      <c r="J475" s="164" t="s">
        <v>72</v>
      </c>
      <c r="K475" s="13" t="s">
        <v>73</v>
      </c>
      <c r="L475" s="13" t="s">
        <v>2305</v>
      </c>
      <c r="M475" s="13" t="s">
        <v>2306</v>
      </c>
      <c r="N475" s="13" t="s">
        <v>2307</v>
      </c>
      <c r="O475" s="14" t="s">
        <v>72</v>
      </c>
      <c r="P475" s="14" t="s">
        <v>2210</v>
      </c>
      <c r="Q475" s="165"/>
      <c r="R475" s="164" t="s">
        <v>72</v>
      </c>
      <c r="S475" s="13" t="s">
        <v>77</v>
      </c>
      <c r="T475" s="13"/>
      <c r="U475" s="13"/>
      <c r="V475" s="13">
        <v>22</v>
      </c>
      <c r="W475" s="13">
        <v>22</v>
      </c>
      <c r="X475" s="13">
        <v>22</v>
      </c>
      <c r="Y475" s="13">
        <v>0.39</v>
      </c>
      <c r="Z475" s="13">
        <v>0.1</v>
      </c>
      <c r="AA475" s="13" t="s">
        <v>505</v>
      </c>
      <c r="AB475" s="58"/>
      <c r="AC475" s="58">
        <v>43986</v>
      </c>
      <c r="AD475" s="58">
        <v>43996</v>
      </c>
      <c r="AE475" s="58">
        <v>43987</v>
      </c>
      <c r="AF475" s="58">
        <v>43987</v>
      </c>
      <c r="AG475" s="58" t="s">
        <v>75</v>
      </c>
      <c r="AH475" s="171" t="s">
        <v>72</v>
      </c>
      <c r="AI475" s="171" t="s">
        <v>72</v>
      </c>
      <c r="AJ475" s="171" t="s">
        <v>72</v>
      </c>
      <c r="AK475" s="58" t="s">
        <v>8</v>
      </c>
      <c r="AL475" s="14" t="s">
        <v>72</v>
      </c>
      <c r="AM475" s="14" t="s">
        <v>72</v>
      </c>
      <c r="AN475" s="14" t="s">
        <v>2308</v>
      </c>
    </row>
    <row r="476" spans="2:40" ht="15">
      <c r="B476" s="214">
        <v>377</v>
      </c>
      <c r="C476" s="13">
        <v>20200604</v>
      </c>
      <c r="D476" s="13" t="s">
        <v>24</v>
      </c>
      <c r="E476" s="13" t="s">
        <v>2383</v>
      </c>
      <c r="F476" s="39" t="s">
        <v>2304</v>
      </c>
      <c r="G476" s="14">
        <v>1498232</v>
      </c>
      <c r="H476" s="164" t="s">
        <v>72</v>
      </c>
      <c r="I476" s="13" t="s">
        <v>2218</v>
      </c>
      <c r="J476" s="164" t="s">
        <v>72</v>
      </c>
      <c r="K476" s="13" t="s">
        <v>73</v>
      </c>
      <c r="L476" s="13" t="s">
        <v>2305</v>
      </c>
      <c r="M476" s="13" t="s">
        <v>2306</v>
      </c>
      <c r="N476" s="13" t="s">
        <v>2307</v>
      </c>
      <c r="O476" s="14" t="s">
        <v>72</v>
      </c>
      <c r="P476" s="14" t="s">
        <v>2210</v>
      </c>
      <c r="Q476" s="165"/>
      <c r="R476" s="164" t="s">
        <v>72</v>
      </c>
      <c r="S476" s="13" t="s">
        <v>77</v>
      </c>
      <c r="T476" s="13"/>
      <c r="U476" s="13"/>
      <c r="V476" s="13">
        <v>36</v>
      </c>
      <c r="W476" s="13">
        <v>36</v>
      </c>
      <c r="X476" s="13">
        <v>36</v>
      </c>
      <c r="Y476" s="13">
        <v>0.64</v>
      </c>
      <c r="Z476" s="13">
        <v>0.1</v>
      </c>
      <c r="AA476" s="13" t="s">
        <v>505</v>
      </c>
      <c r="AB476" s="58"/>
      <c r="AC476" s="58">
        <v>43986</v>
      </c>
      <c r="AD476" s="58">
        <v>43996</v>
      </c>
      <c r="AE476" s="58">
        <v>43987</v>
      </c>
      <c r="AF476" s="58">
        <v>43987</v>
      </c>
      <c r="AG476" s="58" t="s">
        <v>75</v>
      </c>
      <c r="AH476" s="171" t="s">
        <v>72</v>
      </c>
      <c r="AI476" s="171" t="s">
        <v>72</v>
      </c>
      <c r="AJ476" s="171" t="s">
        <v>72</v>
      </c>
      <c r="AK476" s="58" t="s">
        <v>8</v>
      </c>
      <c r="AL476" s="14" t="s">
        <v>72</v>
      </c>
      <c r="AM476" s="14" t="s">
        <v>72</v>
      </c>
      <c r="AN476" s="14" t="s">
        <v>2308</v>
      </c>
    </row>
    <row r="477" spans="2:40" ht="15">
      <c r="B477" s="214">
        <v>378</v>
      </c>
      <c r="C477" s="13">
        <v>20200604</v>
      </c>
      <c r="D477" s="13" t="s">
        <v>24</v>
      </c>
      <c r="E477" s="13" t="s">
        <v>2383</v>
      </c>
      <c r="F477" s="39" t="s">
        <v>2304</v>
      </c>
      <c r="G477" s="14">
        <v>1498232</v>
      </c>
      <c r="H477" s="164" t="s">
        <v>72</v>
      </c>
      <c r="I477" s="13" t="s">
        <v>2220</v>
      </c>
      <c r="J477" s="164" t="s">
        <v>72</v>
      </c>
      <c r="K477" s="13" t="s">
        <v>73</v>
      </c>
      <c r="L477" s="13" t="s">
        <v>2305</v>
      </c>
      <c r="M477" s="13" t="s">
        <v>2306</v>
      </c>
      <c r="N477" s="13" t="s">
        <v>2307</v>
      </c>
      <c r="O477" s="14" t="s">
        <v>72</v>
      </c>
      <c r="P477" s="14" t="s">
        <v>2210</v>
      </c>
      <c r="Q477" s="165"/>
      <c r="R477" s="164" t="s">
        <v>72</v>
      </c>
      <c r="S477" s="13" t="s">
        <v>77</v>
      </c>
      <c r="T477" s="13"/>
      <c r="U477" s="13"/>
      <c r="V477" s="13">
        <v>60</v>
      </c>
      <c r="W477" s="13">
        <v>60</v>
      </c>
      <c r="X477" s="13">
        <v>60</v>
      </c>
      <c r="Y477" s="13">
        <v>1.06</v>
      </c>
      <c r="Z477" s="13">
        <v>0.1</v>
      </c>
      <c r="AA477" s="13" t="s">
        <v>505</v>
      </c>
      <c r="AB477" s="58"/>
      <c r="AC477" s="58">
        <v>43986</v>
      </c>
      <c r="AD477" s="58">
        <v>43996</v>
      </c>
      <c r="AE477" s="58">
        <v>43987</v>
      </c>
      <c r="AF477" s="58">
        <v>43987</v>
      </c>
      <c r="AG477" s="58" t="s">
        <v>75</v>
      </c>
      <c r="AH477" s="171" t="s">
        <v>72</v>
      </c>
      <c r="AI477" s="171" t="s">
        <v>72</v>
      </c>
      <c r="AJ477" s="171" t="s">
        <v>72</v>
      </c>
      <c r="AK477" s="58" t="s">
        <v>8</v>
      </c>
      <c r="AL477" s="14" t="s">
        <v>72</v>
      </c>
      <c r="AM477" s="14" t="s">
        <v>72</v>
      </c>
      <c r="AN477" s="14" t="s">
        <v>2308</v>
      </c>
    </row>
    <row r="478" spans="2:40" ht="15">
      <c r="B478" s="214">
        <v>379</v>
      </c>
      <c r="C478" s="13">
        <v>20200604</v>
      </c>
      <c r="D478" s="13" t="s">
        <v>24</v>
      </c>
      <c r="E478" s="13" t="s">
        <v>2383</v>
      </c>
      <c r="F478" s="39" t="s">
        <v>2304</v>
      </c>
      <c r="G478" s="14">
        <v>1498232</v>
      </c>
      <c r="H478" s="164" t="s">
        <v>72</v>
      </c>
      <c r="I478" s="13" t="s">
        <v>2222</v>
      </c>
      <c r="J478" s="164" t="s">
        <v>72</v>
      </c>
      <c r="K478" s="13" t="s">
        <v>73</v>
      </c>
      <c r="L478" s="13" t="s">
        <v>2305</v>
      </c>
      <c r="M478" s="13" t="s">
        <v>2306</v>
      </c>
      <c r="N478" s="13" t="s">
        <v>2307</v>
      </c>
      <c r="O478" s="14" t="s">
        <v>72</v>
      </c>
      <c r="P478" s="14" t="s">
        <v>2210</v>
      </c>
      <c r="Q478" s="165"/>
      <c r="R478" s="164" t="s">
        <v>72</v>
      </c>
      <c r="S478" s="13" t="s">
        <v>77</v>
      </c>
      <c r="T478" s="13"/>
      <c r="U478" s="13"/>
      <c r="V478" s="13">
        <v>33</v>
      </c>
      <c r="W478" s="13">
        <v>33</v>
      </c>
      <c r="X478" s="13">
        <v>33</v>
      </c>
      <c r="Y478" s="13">
        <v>0.57999999999999996</v>
      </c>
      <c r="Z478" s="13">
        <v>0.1</v>
      </c>
      <c r="AA478" s="13" t="s">
        <v>505</v>
      </c>
      <c r="AB478" s="58"/>
      <c r="AC478" s="58">
        <v>43986</v>
      </c>
      <c r="AD478" s="58">
        <v>43996</v>
      </c>
      <c r="AE478" s="58">
        <v>43987</v>
      </c>
      <c r="AF478" s="58">
        <v>43987</v>
      </c>
      <c r="AG478" s="58" t="s">
        <v>75</v>
      </c>
      <c r="AH478" s="171" t="s">
        <v>72</v>
      </c>
      <c r="AI478" s="171" t="s">
        <v>72</v>
      </c>
      <c r="AJ478" s="171" t="s">
        <v>72</v>
      </c>
      <c r="AK478" s="58" t="s">
        <v>8</v>
      </c>
      <c r="AL478" s="14" t="s">
        <v>72</v>
      </c>
      <c r="AM478" s="14" t="s">
        <v>72</v>
      </c>
      <c r="AN478" s="14" t="s">
        <v>2308</v>
      </c>
    </row>
    <row r="479" spans="2:40" ht="15">
      <c r="B479" s="214">
        <v>380</v>
      </c>
      <c r="C479" s="13">
        <v>20200604</v>
      </c>
      <c r="D479" s="13" t="s">
        <v>24</v>
      </c>
      <c r="E479" s="13" t="s">
        <v>2383</v>
      </c>
      <c r="F479" s="39" t="s">
        <v>2304</v>
      </c>
      <c r="G479" s="14">
        <v>1498232</v>
      </c>
      <c r="H479" s="164" t="s">
        <v>72</v>
      </c>
      <c r="I479" s="13" t="s">
        <v>2224</v>
      </c>
      <c r="J479" s="164" t="s">
        <v>72</v>
      </c>
      <c r="K479" s="13" t="s">
        <v>73</v>
      </c>
      <c r="L479" s="13" t="s">
        <v>2305</v>
      </c>
      <c r="M479" s="13" t="s">
        <v>2306</v>
      </c>
      <c r="N479" s="13" t="s">
        <v>2307</v>
      </c>
      <c r="O479" s="14" t="s">
        <v>72</v>
      </c>
      <c r="P479" s="14" t="s">
        <v>2210</v>
      </c>
      <c r="Q479" s="165"/>
      <c r="R479" s="164" t="s">
        <v>72</v>
      </c>
      <c r="S479" s="13" t="s">
        <v>77</v>
      </c>
      <c r="T479" s="13"/>
      <c r="U479" s="13"/>
      <c r="V479" s="13">
        <v>19</v>
      </c>
      <c r="W479" s="13">
        <v>19</v>
      </c>
      <c r="X479" s="13">
        <v>19</v>
      </c>
      <c r="Y479" s="13">
        <v>0.33</v>
      </c>
      <c r="Z479" s="13">
        <v>0.1</v>
      </c>
      <c r="AA479" s="13" t="s">
        <v>505</v>
      </c>
      <c r="AB479" s="58"/>
      <c r="AC479" s="58">
        <v>43986</v>
      </c>
      <c r="AD479" s="58">
        <v>43996</v>
      </c>
      <c r="AE479" s="58">
        <v>43987</v>
      </c>
      <c r="AF479" s="58">
        <v>43987</v>
      </c>
      <c r="AG479" s="58" t="s">
        <v>75</v>
      </c>
      <c r="AH479" s="171" t="s">
        <v>72</v>
      </c>
      <c r="AI479" s="171" t="s">
        <v>72</v>
      </c>
      <c r="AJ479" s="171" t="s">
        <v>72</v>
      </c>
      <c r="AK479" s="58" t="s">
        <v>8</v>
      </c>
      <c r="AL479" s="14" t="s">
        <v>72</v>
      </c>
      <c r="AM479" s="14" t="s">
        <v>72</v>
      </c>
      <c r="AN479" s="14" t="s">
        <v>2308</v>
      </c>
    </row>
    <row r="480" spans="2:40" ht="15">
      <c r="B480" s="214">
        <v>381</v>
      </c>
      <c r="C480" s="13">
        <v>20200604</v>
      </c>
      <c r="D480" s="13" t="s">
        <v>24</v>
      </c>
      <c r="E480" s="13" t="s">
        <v>2383</v>
      </c>
      <c r="F480" s="39" t="s">
        <v>2304</v>
      </c>
      <c r="G480" s="14">
        <v>1498232</v>
      </c>
      <c r="H480" s="164" t="s">
        <v>72</v>
      </c>
      <c r="I480" s="13" t="s">
        <v>2226</v>
      </c>
      <c r="J480" s="164" t="s">
        <v>72</v>
      </c>
      <c r="K480" s="13" t="s">
        <v>73</v>
      </c>
      <c r="L480" s="13" t="s">
        <v>2305</v>
      </c>
      <c r="M480" s="13" t="s">
        <v>2306</v>
      </c>
      <c r="N480" s="13" t="s">
        <v>2307</v>
      </c>
      <c r="O480" s="14" t="s">
        <v>72</v>
      </c>
      <c r="P480" s="14" t="s">
        <v>2210</v>
      </c>
      <c r="Q480" s="165"/>
      <c r="R480" s="164" t="s">
        <v>72</v>
      </c>
      <c r="S480" s="13" t="s">
        <v>77</v>
      </c>
      <c r="T480" s="13"/>
      <c r="U480" s="13"/>
      <c r="V480" s="13">
        <v>33</v>
      </c>
      <c r="W480" s="13">
        <v>33</v>
      </c>
      <c r="X480" s="13">
        <v>33</v>
      </c>
      <c r="Y480" s="13">
        <v>0.57999999999999996</v>
      </c>
      <c r="Z480" s="13">
        <v>0.1</v>
      </c>
      <c r="AA480" s="13" t="s">
        <v>505</v>
      </c>
      <c r="AB480" s="58"/>
      <c r="AC480" s="58">
        <v>43986</v>
      </c>
      <c r="AD480" s="58">
        <v>43996</v>
      </c>
      <c r="AE480" s="58">
        <v>43987</v>
      </c>
      <c r="AF480" s="58">
        <v>43987</v>
      </c>
      <c r="AG480" s="58" t="s">
        <v>75</v>
      </c>
      <c r="AH480" s="171" t="s">
        <v>72</v>
      </c>
      <c r="AI480" s="171" t="s">
        <v>72</v>
      </c>
      <c r="AJ480" s="171" t="s">
        <v>72</v>
      </c>
      <c r="AK480" s="58" t="s">
        <v>8</v>
      </c>
      <c r="AL480" s="14" t="s">
        <v>72</v>
      </c>
      <c r="AM480" s="14" t="s">
        <v>72</v>
      </c>
      <c r="AN480" s="14" t="s">
        <v>2308</v>
      </c>
    </row>
    <row r="481" spans="2:40" ht="15">
      <c r="B481" s="214">
        <v>382</v>
      </c>
      <c r="C481" s="13">
        <v>20200604</v>
      </c>
      <c r="D481" s="13" t="s">
        <v>24</v>
      </c>
      <c r="E481" s="13" t="s">
        <v>2383</v>
      </c>
      <c r="F481" s="39" t="s">
        <v>2304</v>
      </c>
      <c r="G481" s="14">
        <v>1498232</v>
      </c>
      <c r="H481" s="164" t="s">
        <v>72</v>
      </c>
      <c r="I481" s="13" t="s">
        <v>2228</v>
      </c>
      <c r="J481" s="164" t="s">
        <v>72</v>
      </c>
      <c r="K481" s="13" t="s">
        <v>73</v>
      </c>
      <c r="L481" s="13" t="s">
        <v>2305</v>
      </c>
      <c r="M481" s="13" t="s">
        <v>2306</v>
      </c>
      <c r="N481" s="13" t="s">
        <v>2307</v>
      </c>
      <c r="O481" s="14" t="s">
        <v>72</v>
      </c>
      <c r="P481" s="14" t="s">
        <v>2210</v>
      </c>
      <c r="Q481" s="165"/>
      <c r="R481" s="164" t="s">
        <v>72</v>
      </c>
      <c r="S481" s="13" t="s">
        <v>161</v>
      </c>
      <c r="T481" s="13"/>
      <c r="U481" s="13"/>
      <c r="V481" s="13">
        <v>40</v>
      </c>
      <c r="W481" s="13">
        <v>40</v>
      </c>
      <c r="X481" s="13">
        <v>40</v>
      </c>
      <c r="Y481" s="13">
        <v>0.71</v>
      </c>
      <c r="Z481" s="13">
        <v>0.1</v>
      </c>
      <c r="AA481" s="13" t="s">
        <v>505</v>
      </c>
      <c r="AB481" s="58"/>
      <c r="AC481" s="58">
        <v>43986</v>
      </c>
      <c r="AD481" s="58">
        <v>43996</v>
      </c>
      <c r="AE481" s="58">
        <v>43992</v>
      </c>
      <c r="AF481" s="58">
        <v>43992</v>
      </c>
      <c r="AG481" s="58" t="s">
        <v>75</v>
      </c>
      <c r="AH481" s="59" t="s">
        <v>72</v>
      </c>
      <c r="AI481" s="59" t="s">
        <v>72</v>
      </c>
      <c r="AJ481" s="59" t="s">
        <v>72</v>
      </c>
      <c r="AK481" s="58" t="s">
        <v>8</v>
      </c>
      <c r="AL481" s="14" t="s">
        <v>1891</v>
      </c>
      <c r="AM481" s="13"/>
      <c r="AN481" s="13"/>
    </row>
    <row r="482" spans="2:40" ht="15">
      <c r="B482" s="214">
        <v>383</v>
      </c>
      <c r="C482" s="13">
        <v>20200604</v>
      </c>
      <c r="D482" s="13" t="s">
        <v>24</v>
      </c>
      <c r="E482" s="13" t="s">
        <v>2383</v>
      </c>
      <c r="F482" s="39" t="s">
        <v>2304</v>
      </c>
      <c r="G482" s="14">
        <v>1498232</v>
      </c>
      <c r="H482" s="164" t="s">
        <v>72</v>
      </c>
      <c r="I482" s="13" t="s">
        <v>2309</v>
      </c>
      <c r="J482" s="164" t="s">
        <v>72</v>
      </c>
      <c r="K482" s="13" t="s">
        <v>73</v>
      </c>
      <c r="L482" s="13" t="s">
        <v>2305</v>
      </c>
      <c r="M482" s="13" t="s">
        <v>2306</v>
      </c>
      <c r="N482" s="13" t="s">
        <v>2307</v>
      </c>
      <c r="O482" s="14" t="s">
        <v>72</v>
      </c>
      <c r="P482" s="14" t="s">
        <v>2210</v>
      </c>
      <c r="Q482" s="165"/>
      <c r="R482" s="164" t="s">
        <v>72</v>
      </c>
      <c r="S482" s="13" t="s">
        <v>161</v>
      </c>
      <c r="T482" s="13"/>
      <c r="U482" s="13"/>
      <c r="V482" s="13">
        <v>29</v>
      </c>
      <c r="W482" s="13">
        <v>29</v>
      </c>
      <c r="X482" s="13">
        <v>29</v>
      </c>
      <c r="Y482" s="13">
        <v>0.51</v>
      </c>
      <c r="Z482" s="13">
        <v>0.1</v>
      </c>
      <c r="AA482" s="13" t="s">
        <v>505</v>
      </c>
      <c r="AB482" s="58"/>
      <c r="AC482" s="58">
        <v>43986</v>
      </c>
      <c r="AD482" s="58">
        <v>43996</v>
      </c>
      <c r="AE482" s="58">
        <v>43992</v>
      </c>
      <c r="AF482" s="58">
        <v>43992</v>
      </c>
      <c r="AG482" s="58" t="s">
        <v>75</v>
      </c>
      <c r="AH482" s="59" t="s">
        <v>72</v>
      </c>
      <c r="AI482" s="59" t="s">
        <v>72</v>
      </c>
      <c r="AJ482" s="59" t="s">
        <v>72</v>
      </c>
      <c r="AK482" s="58" t="s">
        <v>8</v>
      </c>
      <c r="AL482" s="14" t="s">
        <v>1891</v>
      </c>
      <c r="AM482" s="13"/>
      <c r="AN482" s="13"/>
    </row>
    <row r="483" spans="2:40" ht="15">
      <c r="B483" s="214">
        <v>384</v>
      </c>
      <c r="C483" s="13">
        <v>20200604</v>
      </c>
      <c r="D483" s="13" t="s">
        <v>24</v>
      </c>
      <c r="E483" s="13" t="s">
        <v>2383</v>
      </c>
      <c r="F483" s="39" t="s">
        <v>2304</v>
      </c>
      <c r="G483" s="14">
        <v>1498232</v>
      </c>
      <c r="H483" s="164" t="s">
        <v>72</v>
      </c>
      <c r="I483" s="13" t="s">
        <v>2310</v>
      </c>
      <c r="J483" s="164" t="s">
        <v>72</v>
      </c>
      <c r="K483" s="13" t="s">
        <v>73</v>
      </c>
      <c r="L483" s="13" t="s">
        <v>2305</v>
      </c>
      <c r="M483" s="13" t="s">
        <v>2306</v>
      </c>
      <c r="N483" s="13" t="s">
        <v>2307</v>
      </c>
      <c r="O483" s="14" t="s">
        <v>72</v>
      </c>
      <c r="P483" s="14" t="s">
        <v>2210</v>
      </c>
      <c r="Q483" s="165"/>
      <c r="R483" s="164" t="s">
        <v>72</v>
      </c>
      <c r="S483" s="13" t="s">
        <v>161</v>
      </c>
      <c r="T483" s="13"/>
      <c r="U483" s="13"/>
      <c r="V483" s="13">
        <v>29</v>
      </c>
      <c r="W483" s="13">
        <v>29</v>
      </c>
      <c r="X483" s="13">
        <v>29</v>
      </c>
      <c r="Y483" s="13">
        <v>0.51</v>
      </c>
      <c r="Z483" s="13">
        <v>0.1</v>
      </c>
      <c r="AA483" s="13" t="s">
        <v>505</v>
      </c>
      <c r="AB483" s="58"/>
      <c r="AC483" s="58">
        <v>43986</v>
      </c>
      <c r="AD483" s="58">
        <v>43996</v>
      </c>
      <c r="AE483" s="58">
        <v>43992</v>
      </c>
      <c r="AF483" s="58">
        <v>43992</v>
      </c>
      <c r="AG483" s="58" t="s">
        <v>75</v>
      </c>
      <c r="AH483" s="59" t="s">
        <v>72</v>
      </c>
      <c r="AI483" s="59" t="s">
        <v>72</v>
      </c>
      <c r="AJ483" s="59" t="s">
        <v>72</v>
      </c>
      <c r="AK483" s="58" t="s">
        <v>8</v>
      </c>
      <c r="AL483" s="14" t="s">
        <v>1891</v>
      </c>
      <c r="AM483" s="13"/>
      <c r="AN483" s="13"/>
    </row>
    <row r="484" spans="2:40" ht="15">
      <c r="B484" s="214">
        <v>385</v>
      </c>
      <c r="C484" s="13">
        <v>20200604</v>
      </c>
      <c r="D484" s="13" t="s">
        <v>24</v>
      </c>
      <c r="E484" s="13" t="s">
        <v>2383</v>
      </c>
      <c r="F484" s="39" t="s">
        <v>2304</v>
      </c>
      <c r="G484" s="14">
        <v>1498232</v>
      </c>
      <c r="H484" s="164" t="s">
        <v>72</v>
      </c>
      <c r="I484" s="13" t="s">
        <v>2311</v>
      </c>
      <c r="J484" s="164" t="s">
        <v>72</v>
      </c>
      <c r="K484" s="13" t="s">
        <v>73</v>
      </c>
      <c r="L484" s="13" t="s">
        <v>2305</v>
      </c>
      <c r="M484" s="13" t="s">
        <v>2306</v>
      </c>
      <c r="N484" s="13" t="s">
        <v>2307</v>
      </c>
      <c r="O484" s="14" t="s">
        <v>72</v>
      </c>
      <c r="P484" s="14" t="s">
        <v>2210</v>
      </c>
      <c r="Q484" s="165"/>
      <c r="R484" s="164" t="s">
        <v>72</v>
      </c>
      <c r="S484" s="13" t="s">
        <v>161</v>
      </c>
      <c r="T484" s="13"/>
      <c r="U484" s="13"/>
      <c r="V484" s="13">
        <v>24</v>
      </c>
      <c r="W484" s="13">
        <v>24</v>
      </c>
      <c r="X484" s="13">
        <v>24</v>
      </c>
      <c r="Y484" s="13">
        <v>0.42</v>
      </c>
      <c r="Z484" s="13">
        <v>0.1</v>
      </c>
      <c r="AA484" s="13" t="s">
        <v>505</v>
      </c>
      <c r="AB484" s="58"/>
      <c r="AC484" s="58">
        <v>43986</v>
      </c>
      <c r="AD484" s="58">
        <v>43996</v>
      </c>
      <c r="AE484" s="58">
        <v>43992</v>
      </c>
      <c r="AF484" s="58">
        <v>43992</v>
      </c>
      <c r="AG484" s="58" t="s">
        <v>75</v>
      </c>
      <c r="AH484" s="59" t="s">
        <v>72</v>
      </c>
      <c r="AI484" s="59" t="s">
        <v>72</v>
      </c>
      <c r="AJ484" s="59" t="s">
        <v>72</v>
      </c>
      <c r="AK484" s="58" t="s">
        <v>8</v>
      </c>
      <c r="AL484" s="14" t="s">
        <v>1891</v>
      </c>
      <c r="AM484" s="13"/>
      <c r="AN484" s="13"/>
    </row>
    <row r="485" spans="2:40" ht="15">
      <c r="B485" s="214">
        <v>386</v>
      </c>
      <c r="C485" s="13">
        <v>20200604</v>
      </c>
      <c r="D485" s="13" t="s">
        <v>24</v>
      </c>
      <c r="E485" s="13" t="s">
        <v>2383</v>
      </c>
      <c r="F485" s="39" t="s">
        <v>2304</v>
      </c>
      <c r="G485" s="14">
        <v>1498232</v>
      </c>
      <c r="H485" s="164" t="s">
        <v>72</v>
      </c>
      <c r="I485" s="13" t="s">
        <v>2312</v>
      </c>
      <c r="J485" s="164" t="s">
        <v>72</v>
      </c>
      <c r="K485" s="13" t="s">
        <v>73</v>
      </c>
      <c r="L485" s="13" t="s">
        <v>2305</v>
      </c>
      <c r="M485" s="13" t="s">
        <v>2306</v>
      </c>
      <c r="N485" s="13" t="s">
        <v>2307</v>
      </c>
      <c r="O485" s="14" t="s">
        <v>72</v>
      </c>
      <c r="P485" s="14" t="s">
        <v>2210</v>
      </c>
      <c r="Q485" s="165"/>
      <c r="R485" s="164" t="s">
        <v>72</v>
      </c>
      <c r="S485" s="13" t="s">
        <v>161</v>
      </c>
      <c r="T485" s="13"/>
      <c r="U485" s="13"/>
      <c r="V485" s="13">
        <v>23</v>
      </c>
      <c r="W485" s="13">
        <v>23</v>
      </c>
      <c r="X485" s="13">
        <v>23</v>
      </c>
      <c r="Y485" s="13">
        <v>0.4</v>
      </c>
      <c r="Z485" s="13">
        <v>0.1</v>
      </c>
      <c r="AA485" s="13" t="s">
        <v>505</v>
      </c>
      <c r="AB485" s="58"/>
      <c r="AC485" s="58">
        <v>43986</v>
      </c>
      <c r="AD485" s="58">
        <v>43996</v>
      </c>
      <c r="AE485" s="58">
        <v>43992</v>
      </c>
      <c r="AF485" s="58">
        <v>43992</v>
      </c>
      <c r="AG485" s="58" t="s">
        <v>75</v>
      </c>
      <c r="AH485" s="59" t="s">
        <v>72</v>
      </c>
      <c r="AI485" s="59" t="s">
        <v>72</v>
      </c>
      <c r="AJ485" s="59" t="s">
        <v>72</v>
      </c>
      <c r="AK485" s="58" t="s">
        <v>8</v>
      </c>
      <c r="AL485" s="14" t="s">
        <v>1891</v>
      </c>
      <c r="AM485" s="13"/>
      <c r="AN485" s="13"/>
    </row>
    <row r="486" spans="2:40" ht="15">
      <c r="B486" s="214">
        <v>387</v>
      </c>
      <c r="C486" s="13">
        <v>20200604</v>
      </c>
      <c r="D486" s="13" t="s">
        <v>24</v>
      </c>
      <c r="E486" s="13" t="s">
        <v>2383</v>
      </c>
      <c r="F486" s="39" t="s">
        <v>2313</v>
      </c>
      <c r="G486" s="14">
        <v>1498232</v>
      </c>
      <c r="H486" s="164" t="s">
        <v>72</v>
      </c>
      <c r="I486" s="13" t="s">
        <v>2314</v>
      </c>
      <c r="J486" s="164" t="s">
        <v>72</v>
      </c>
      <c r="K486" s="13" t="s">
        <v>73</v>
      </c>
      <c r="L486" s="13" t="s">
        <v>2305</v>
      </c>
      <c r="M486" s="13" t="s">
        <v>2306</v>
      </c>
      <c r="N486" s="13" t="s">
        <v>2307</v>
      </c>
      <c r="O486" s="14" t="s">
        <v>72</v>
      </c>
      <c r="P486" s="14" t="s">
        <v>2210</v>
      </c>
      <c r="Q486" s="165"/>
      <c r="R486" s="164" t="s">
        <v>72</v>
      </c>
      <c r="S486" s="13" t="s">
        <v>161</v>
      </c>
      <c r="T486" s="13"/>
      <c r="U486" s="13"/>
      <c r="V486" s="13">
        <v>20</v>
      </c>
      <c r="W486" s="13">
        <v>20</v>
      </c>
      <c r="X486" s="13">
        <v>20</v>
      </c>
      <c r="Y486" s="13">
        <v>0.35</v>
      </c>
      <c r="Z486" s="13">
        <v>0.2</v>
      </c>
      <c r="AA486" s="13" t="s">
        <v>505</v>
      </c>
      <c r="AB486" s="58"/>
      <c r="AC486" s="58">
        <v>43986</v>
      </c>
      <c r="AD486" s="58">
        <v>43996</v>
      </c>
      <c r="AE486" s="58">
        <v>43992</v>
      </c>
      <c r="AF486" s="58">
        <v>43992</v>
      </c>
      <c r="AG486" s="58" t="s">
        <v>75</v>
      </c>
      <c r="AH486" s="59">
        <v>1</v>
      </c>
      <c r="AI486" s="59">
        <v>1</v>
      </c>
      <c r="AJ486" s="59">
        <v>1</v>
      </c>
      <c r="AK486" s="58" t="s">
        <v>8</v>
      </c>
      <c r="AL486" s="13"/>
      <c r="AM486" s="13"/>
      <c r="AN486" s="13"/>
    </row>
    <row r="487" spans="2:40" ht="15">
      <c r="B487" s="214">
        <v>388</v>
      </c>
      <c r="C487" s="13">
        <v>20200604</v>
      </c>
      <c r="D487" s="13" t="s">
        <v>24</v>
      </c>
      <c r="E487" s="13" t="s">
        <v>2383</v>
      </c>
      <c r="F487" s="39" t="s">
        <v>2313</v>
      </c>
      <c r="G487" s="14">
        <v>1498232</v>
      </c>
      <c r="H487" s="164" t="s">
        <v>72</v>
      </c>
      <c r="I487" s="13" t="s">
        <v>2315</v>
      </c>
      <c r="J487" s="164" t="s">
        <v>72</v>
      </c>
      <c r="K487" s="13" t="s">
        <v>73</v>
      </c>
      <c r="L487" s="13" t="s">
        <v>2305</v>
      </c>
      <c r="M487" s="13" t="s">
        <v>2306</v>
      </c>
      <c r="N487" s="13" t="s">
        <v>2307</v>
      </c>
      <c r="O487" s="14" t="s">
        <v>72</v>
      </c>
      <c r="P487" s="14" t="s">
        <v>2210</v>
      </c>
      <c r="Q487" s="165"/>
      <c r="R487" s="164" t="s">
        <v>72</v>
      </c>
      <c r="S487" s="13" t="s">
        <v>161</v>
      </c>
      <c r="T487" s="13"/>
      <c r="U487" s="13"/>
      <c r="V487" s="13">
        <v>20</v>
      </c>
      <c r="W487" s="13">
        <v>20</v>
      </c>
      <c r="X487" s="13">
        <v>20</v>
      </c>
      <c r="Y487" s="13">
        <v>0.35</v>
      </c>
      <c r="Z487" s="13">
        <v>0.2</v>
      </c>
      <c r="AA487" s="13" t="s">
        <v>505</v>
      </c>
      <c r="AB487" s="58"/>
      <c r="AC487" s="58">
        <v>43986</v>
      </c>
      <c r="AD487" s="58">
        <v>43996</v>
      </c>
      <c r="AE487" s="58">
        <v>43992</v>
      </c>
      <c r="AF487" s="58">
        <v>43992</v>
      </c>
      <c r="AG487" s="58" t="s">
        <v>75</v>
      </c>
      <c r="AH487" s="59">
        <v>1</v>
      </c>
      <c r="AI487" s="59">
        <v>1</v>
      </c>
      <c r="AJ487" s="59">
        <v>1</v>
      </c>
      <c r="AK487" s="58" t="s">
        <v>8</v>
      </c>
      <c r="AL487" s="13"/>
      <c r="AM487" s="13"/>
      <c r="AN487" s="13"/>
    </row>
    <row r="488" spans="2:40" ht="15">
      <c r="B488" s="214">
        <v>389</v>
      </c>
      <c r="C488" s="13">
        <v>20200604</v>
      </c>
      <c r="D488" s="13" t="s">
        <v>311</v>
      </c>
      <c r="E488" s="13" t="s">
        <v>2384</v>
      </c>
      <c r="F488" s="14" t="s">
        <v>72</v>
      </c>
      <c r="G488" s="14">
        <v>1502055</v>
      </c>
      <c r="H488" s="164" t="s">
        <v>72</v>
      </c>
      <c r="I488" s="13" t="s">
        <v>2317</v>
      </c>
      <c r="J488" s="164" t="s">
        <v>72</v>
      </c>
      <c r="K488" s="13" t="s">
        <v>106</v>
      </c>
      <c r="L488" s="13" t="s">
        <v>8</v>
      </c>
      <c r="M488" s="13" t="s">
        <v>2318</v>
      </c>
      <c r="N488" s="13" t="s">
        <v>2319</v>
      </c>
      <c r="O488" s="14" t="s">
        <v>2177</v>
      </c>
      <c r="P488" s="14" t="s">
        <v>2178</v>
      </c>
      <c r="Q488" s="165"/>
      <c r="R488" s="164" t="s">
        <v>72</v>
      </c>
      <c r="S488" s="13" t="s">
        <v>117</v>
      </c>
      <c r="T488" s="13"/>
      <c r="U488" s="13"/>
      <c r="V488" s="13">
        <v>0</v>
      </c>
      <c r="W488" s="13">
        <v>0</v>
      </c>
      <c r="X488" s="13">
        <v>0</v>
      </c>
      <c r="Y488" s="13">
        <v>0</v>
      </c>
      <c r="Z488" s="13">
        <v>0.1</v>
      </c>
      <c r="AA488" s="13" t="s">
        <v>550</v>
      </c>
      <c r="AB488" s="58">
        <v>43992</v>
      </c>
      <c r="AC488" s="58">
        <v>43986</v>
      </c>
      <c r="AD488" s="58">
        <v>43992</v>
      </c>
      <c r="AE488" s="58">
        <v>43990</v>
      </c>
      <c r="AF488" s="58">
        <v>43990</v>
      </c>
      <c r="AG488" s="58" t="s">
        <v>75</v>
      </c>
      <c r="AH488" s="59">
        <v>1</v>
      </c>
      <c r="AI488" s="59">
        <v>1</v>
      </c>
      <c r="AJ488" s="59">
        <v>1</v>
      </c>
      <c r="AK488" s="58" t="s">
        <v>8</v>
      </c>
      <c r="AL488" s="13" t="s">
        <v>72</v>
      </c>
      <c r="AM488" s="13" t="s">
        <v>72</v>
      </c>
      <c r="AN488" s="53" t="s">
        <v>2320</v>
      </c>
    </row>
    <row r="489" spans="2:40" ht="15">
      <c r="B489" s="214">
        <v>390</v>
      </c>
      <c r="C489" s="13">
        <v>20200604</v>
      </c>
      <c r="D489" s="13" t="s">
        <v>311</v>
      </c>
      <c r="E489" s="13" t="s">
        <v>2384</v>
      </c>
      <c r="F489" s="14" t="s">
        <v>72</v>
      </c>
      <c r="G489" s="14">
        <v>1502055</v>
      </c>
      <c r="H489" s="164" t="s">
        <v>72</v>
      </c>
      <c r="I489" s="13" t="s">
        <v>2180</v>
      </c>
      <c r="J489" s="164" t="s">
        <v>72</v>
      </c>
      <c r="K489" s="13" t="s">
        <v>106</v>
      </c>
      <c r="L489" s="13" t="s">
        <v>8</v>
      </c>
      <c r="M489" s="13" t="s">
        <v>2318</v>
      </c>
      <c r="N489" s="13" t="s">
        <v>2319</v>
      </c>
      <c r="O489" s="14">
        <v>1.3</v>
      </c>
      <c r="P489" s="14" t="s">
        <v>2178</v>
      </c>
      <c r="Q489" s="165"/>
      <c r="R489" s="164" t="s">
        <v>72</v>
      </c>
      <c r="S489" s="13" t="s">
        <v>117</v>
      </c>
      <c r="T489" s="13"/>
      <c r="U489" s="13"/>
      <c r="V489" s="13">
        <v>0</v>
      </c>
      <c r="W489" s="13">
        <v>0</v>
      </c>
      <c r="X489" s="13">
        <v>0</v>
      </c>
      <c r="Y489" s="13">
        <v>0</v>
      </c>
      <c r="Z489" s="13">
        <v>0.1</v>
      </c>
      <c r="AA489" s="13" t="s">
        <v>550</v>
      </c>
      <c r="AB489" s="58">
        <v>43992</v>
      </c>
      <c r="AC489" s="58">
        <v>43986</v>
      </c>
      <c r="AD489" s="58">
        <v>43992</v>
      </c>
      <c r="AE489" s="58">
        <v>43990</v>
      </c>
      <c r="AF489" s="58">
        <v>43990</v>
      </c>
      <c r="AG489" s="58" t="s">
        <v>75</v>
      </c>
      <c r="AH489" s="59">
        <v>1</v>
      </c>
      <c r="AI489" s="59">
        <v>1</v>
      </c>
      <c r="AJ489" s="59">
        <v>1</v>
      </c>
      <c r="AK489" s="58" t="s">
        <v>8</v>
      </c>
      <c r="AL489" s="13" t="s">
        <v>72</v>
      </c>
      <c r="AM489" s="13" t="s">
        <v>72</v>
      </c>
      <c r="AN489" s="53" t="s">
        <v>2320</v>
      </c>
    </row>
    <row r="490" spans="2:40" ht="15">
      <c r="B490" s="216">
        <v>391</v>
      </c>
      <c r="C490" s="13">
        <v>20200605</v>
      </c>
      <c r="D490" s="13" t="s">
        <v>24</v>
      </c>
      <c r="E490" s="13" t="s">
        <v>2385</v>
      </c>
      <c r="F490" s="39" t="s">
        <v>2322</v>
      </c>
      <c r="G490" s="13">
        <v>1508787</v>
      </c>
      <c r="H490" s="164" t="s">
        <v>72</v>
      </c>
      <c r="I490" s="13" t="s">
        <v>1728</v>
      </c>
      <c r="J490" s="164" t="s">
        <v>72</v>
      </c>
      <c r="K490" s="13" t="s">
        <v>106</v>
      </c>
      <c r="L490" s="13" t="s">
        <v>8</v>
      </c>
      <c r="M490" s="13" t="s">
        <v>1744</v>
      </c>
      <c r="N490" s="13" t="s">
        <v>1745</v>
      </c>
      <c r="O490" s="14" t="s">
        <v>72</v>
      </c>
      <c r="P490" s="14" t="s">
        <v>1741</v>
      </c>
      <c r="Q490" s="165"/>
      <c r="R490" s="164" t="s">
        <v>72</v>
      </c>
      <c r="S490" s="13" t="s">
        <v>113</v>
      </c>
      <c r="T490" s="13"/>
      <c r="U490" s="13"/>
      <c r="V490" s="165">
        <v>31</v>
      </c>
      <c r="W490" s="53">
        <v>62</v>
      </c>
      <c r="X490" s="13">
        <v>62</v>
      </c>
      <c r="Y490" s="13">
        <v>1.1000000000000001</v>
      </c>
      <c r="Z490" s="13">
        <v>1.1000000000000001</v>
      </c>
      <c r="AA490" s="13" t="s">
        <v>505</v>
      </c>
      <c r="AB490" s="58"/>
      <c r="AC490" s="58">
        <v>43987</v>
      </c>
      <c r="AD490" s="202">
        <v>43993</v>
      </c>
      <c r="AE490" s="58">
        <v>43990</v>
      </c>
      <c r="AF490" s="58">
        <v>43990</v>
      </c>
      <c r="AG490" s="58" t="s">
        <v>79</v>
      </c>
      <c r="AH490" s="59">
        <v>1</v>
      </c>
      <c r="AI490" s="59">
        <v>1</v>
      </c>
      <c r="AJ490" s="59">
        <v>0.5</v>
      </c>
      <c r="AK490" s="58" t="s">
        <v>76</v>
      </c>
      <c r="AL490" s="13" t="s">
        <v>2323</v>
      </c>
      <c r="AM490" s="13"/>
      <c r="AN490" s="53" t="s">
        <v>2324</v>
      </c>
    </row>
    <row r="491" spans="2:40" ht="15">
      <c r="B491" s="216">
        <v>392</v>
      </c>
      <c r="C491" s="13">
        <v>20200605</v>
      </c>
      <c r="D491" s="13" t="s">
        <v>24</v>
      </c>
      <c r="E491" s="13" t="s">
        <v>2385</v>
      </c>
      <c r="F491" s="39" t="s">
        <v>2325</v>
      </c>
      <c r="G491" s="13">
        <v>1508787</v>
      </c>
      <c r="H491" s="164" t="s">
        <v>72</v>
      </c>
      <c r="I491" s="13" t="s">
        <v>1117</v>
      </c>
      <c r="J491" s="164" t="s">
        <v>72</v>
      </c>
      <c r="K491" s="13" t="s">
        <v>106</v>
      </c>
      <c r="L491" s="13" t="s">
        <v>8</v>
      </c>
      <c r="M491" s="13" t="s">
        <v>1744</v>
      </c>
      <c r="N491" s="13" t="s">
        <v>1745</v>
      </c>
      <c r="O491" s="14" t="s">
        <v>72</v>
      </c>
      <c r="P491" s="14" t="s">
        <v>1741</v>
      </c>
      <c r="Q491" s="165"/>
      <c r="R491" s="164" t="s">
        <v>72</v>
      </c>
      <c r="S491" s="13" t="s">
        <v>113</v>
      </c>
      <c r="T491" s="13"/>
      <c r="U491" s="13"/>
      <c r="V491" s="165">
        <v>181</v>
      </c>
      <c r="W491" s="53">
        <v>362</v>
      </c>
      <c r="X491" s="13">
        <v>362</v>
      </c>
      <c r="Y491" s="13">
        <v>6.43</v>
      </c>
      <c r="Z491" s="13">
        <v>6.43</v>
      </c>
      <c r="AA491" s="13" t="s">
        <v>505</v>
      </c>
      <c r="AB491" s="58"/>
      <c r="AC491" s="58">
        <v>43987</v>
      </c>
      <c r="AD491" s="202">
        <v>43993</v>
      </c>
      <c r="AE491" s="58">
        <v>43990</v>
      </c>
      <c r="AF491" s="58">
        <v>43990</v>
      </c>
      <c r="AG491" s="58" t="s">
        <v>75</v>
      </c>
      <c r="AH491" s="59">
        <v>1</v>
      </c>
      <c r="AI491" s="59">
        <v>1</v>
      </c>
      <c r="AJ491" s="59">
        <v>1</v>
      </c>
      <c r="AK491" s="58" t="s">
        <v>8</v>
      </c>
      <c r="AL491" s="13"/>
      <c r="AM491" s="13"/>
      <c r="AN491" s="53" t="s">
        <v>2326</v>
      </c>
    </row>
    <row r="492" spans="2:40" ht="15">
      <c r="B492" s="216">
        <v>393</v>
      </c>
      <c r="C492" s="13">
        <v>20200605</v>
      </c>
      <c r="D492" s="13" t="s">
        <v>24</v>
      </c>
      <c r="E492" s="13" t="s">
        <v>2385</v>
      </c>
      <c r="F492" s="39" t="s">
        <v>2327</v>
      </c>
      <c r="G492" s="13">
        <v>1508787</v>
      </c>
      <c r="H492" s="164" t="s">
        <v>72</v>
      </c>
      <c r="I492" s="13" t="s">
        <v>1680</v>
      </c>
      <c r="J492" s="164" t="s">
        <v>72</v>
      </c>
      <c r="K492" s="13" t="s">
        <v>106</v>
      </c>
      <c r="L492" s="13" t="s">
        <v>8</v>
      </c>
      <c r="M492" s="13" t="s">
        <v>1744</v>
      </c>
      <c r="N492" s="13" t="s">
        <v>1745</v>
      </c>
      <c r="O492" s="14" t="s">
        <v>72</v>
      </c>
      <c r="P492" s="14" t="s">
        <v>1741</v>
      </c>
      <c r="Q492" s="165"/>
      <c r="R492" s="164" t="s">
        <v>72</v>
      </c>
      <c r="S492" s="13" t="s">
        <v>161</v>
      </c>
      <c r="T492" s="13"/>
      <c r="U492" s="13"/>
      <c r="V492" s="165">
        <v>119</v>
      </c>
      <c r="W492" s="53">
        <v>238</v>
      </c>
      <c r="X492" s="13">
        <v>238</v>
      </c>
      <c r="Y492" s="13">
        <v>4.2300000000000004</v>
      </c>
      <c r="Z492" s="13">
        <v>4</v>
      </c>
      <c r="AA492" s="13" t="s">
        <v>505</v>
      </c>
      <c r="AB492" s="58"/>
      <c r="AC492" s="58">
        <v>43987</v>
      </c>
      <c r="AD492" s="202">
        <v>43993</v>
      </c>
      <c r="AE492" s="58">
        <v>43991</v>
      </c>
      <c r="AF492" s="58">
        <v>43991</v>
      </c>
      <c r="AG492" s="58" t="s">
        <v>75</v>
      </c>
      <c r="AH492" s="59">
        <v>1</v>
      </c>
      <c r="AI492" s="59">
        <v>1</v>
      </c>
      <c r="AJ492" s="59">
        <v>1</v>
      </c>
      <c r="AK492" s="58" t="s">
        <v>8</v>
      </c>
      <c r="AL492" s="13"/>
      <c r="AM492" s="13"/>
      <c r="AN492" s="53" t="s">
        <v>2326</v>
      </c>
    </row>
    <row r="493" spans="2:40" ht="15">
      <c r="B493" s="216">
        <v>394</v>
      </c>
      <c r="C493" s="13">
        <v>20200605</v>
      </c>
      <c r="D493" s="13" t="s">
        <v>24</v>
      </c>
      <c r="E493" s="13" t="s">
        <v>2385</v>
      </c>
      <c r="F493" s="39" t="s">
        <v>2328</v>
      </c>
      <c r="G493" s="13">
        <v>1508787</v>
      </c>
      <c r="H493" s="164" t="s">
        <v>72</v>
      </c>
      <c r="I493" s="13" t="s">
        <v>1734</v>
      </c>
      <c r="J493" s="164" t="s">
        <v>72</v>
      </c>
      <c r="K493" s="13" t="s">
        <v>106</v>
      </c>
      <c r="L493" s="13" t="s">
        <v>8</v>
      </c>
      <c r="M493" s="13" t="s">
        <v>1744</v>
      </c>
      <c r="N493" s="13" t="s">
        <v>1745</v>
      </c>
      <c r="O493" s="14" t="s">
        <v>72</v>
      </c>
      <c r="P493" s="14" t="s">
        <v>1741</v>
      </c>
      <c r="Q493" s="165"/>
      <c r="R493" s="164" t="s">
        <v>72</v>
      </c>
      <c r="S493" s="13" t="s">
        <v>161</v>
      </c>
      <c r="T493" s="13"/>
      <c r="U493" s="13"/>
      <c r="V493" s="165">
        <v>106</v>
      </c>
      <c r="W493" s="53">
        <v>212</v>
      </c>
      <c r="X493" s="13">
        <v>212</v>
      </c>
      <c r="Y493" s="13">
        <v>3.76</v>
      </c>
      <c r="Z493" s="13">
        <v>3</v>
      </c>
      <c r="AA493" s="13" t="s">
        <v>505</v>
      </c>
      <c r="AB493" s="58"/>
      <c r="AC493" s="58">
        <v>43987</v>
      </c>
      <c r="AD493" s="202">
        <v>43993</v>
      </c>
      <c r="AE493" s="58">
        <v>43990</v>
      </c>
      <c r="AF493" s="58">
        <v>43990</v>
      </c>
      <c r="AG493" s="58" t="s">
        <v>75</v>
      </c>
      <c r="AH493" s="59">
        <v>1</v>
      </c>
      <c r="AI493" s="59">
        <v>1</v>
      </c>
      <c r="AJ493" s="59">
        <v>1</v>
      </c>
      <c r="AK493" s="58" t="s">
        <v>8</v>
      </c>
      <c r="AL493" s="13"/>
      <c r="AM493" s="13"/>
      <c r="AN493" s="53" t="s">
        <v>2326</v>
      </c>
    </row>
    <row r="494" spans="2:40" ht="15">
      <c r="B494" s="216">
        <v>395</v>
      </c>
      <c r="C494" s="13">
        <v>20200605</v>
      </c>
      <c r="D494" s="13" t="s">
        <v>24</v>
      </c>
      <c r="E494" s="13" t="s">
        <v>2385</v>
      </c>
      <c r="F494" s="39" t="s">
        <v>2329</v>
      </c>
      <c r="G494" s="13">
        <v>1508787</v>
      </c>
      <c r="H494" s="164" t="s">
        <v>72</v>
      </c>
      <c r="I494" s="13" t="s">
        <v>50</v>
      </c>
      <c r="J494" s="164" t="s">
        <v>72</v>
      </c>
      <c r="K494" s="13" t="s">
        <v>106</v>
      </c>
      <c r="L494" s="13" t="s">
        <v>8</v>
      </c>
      <c r="M494" s="13" t="s">
        <v>1744</v>
      </c>
      <c r="N494" s="13" t="s">
        <v>1745</v>
      </c>
      <c r="O494" s="14" t="s">
        <v>72</v>
      </c>
      <c r="P494" s="14" t="s">
        <v>1741</v>
      </c>
      <c r="Q494" s="165"/>
      <c r="R494" s="164" t="s">
        <v>72</v>
      </c>
      <c r="S494" s="13" t="s">
        <v>161</v>
      </c>
      <c r="T494" s="13"/>
      <c r="U494" s="13"/>
      <c r="V494" s="165">
        <v>90</v>
      </c>
      <c r="W494" s="53">
        <v>180</v>
      </c>
      <c r="X494" s="13">
        <v>180</v>
      </c>
      <c r="Y494" s="13">
        <v>3.2</v>
      </c>
      <c r="Z494" s="13">
        <v>3</v>
      </c>
      <c r="AA494" s="13" t="s">
        <v>505</v>
      </c>
      <c r="AB494" s="58"/>
      <c r="AC494" s="58">
        <v>43987</v>
      </c>
      <c r="AD494" s="202">
        <v>43993</v>
      </c>
      <c r="AE494" s="58">
        <v>43990</v>
      </c>
      <c r="AF494" s="58">
        <v>43990</v>
      </c>
      <c r="AG494" s="58" t="s">
        <v>75</v>
      </c>
      <c r="AH494" s="59">
        <v>1</v>
      </c>
      <c r="AI494" s="59">
        <v>1</v>
      </c>
      <c r="AJ494" s="59">
        <v>1</v>
      </c>
      <c r="AK494" s="58" t="s">
        <v>8</v>
      </c>
      <c r="AL494" s="13"/>
      <c r="AM494" s="13"/>
      <c r="AN494" s="53" t="s">
        <v>2326</v>
      </c>
    </row>
    <row r="495" spans="2:40" ht="15">
      <c r="B495" s="216">
        <v>396</v>
      </c>
      <c r="C495" s="13">
        <v>20200605</v>
      </c>
      <c r="D495" s="13" t="s">
        <v>24</v>
      </c>
      <c r="E495" s="13" t="s">
        <v>2385</v>
      </c>
      <c r="F495" s="39" t="s">
        <v>2330</v>
      </c>
      <c r="G495" s="13">
        <v>1508787</v>
      </c>
      <c r="H495" s="164" t="s">
        <v>72</v>
      </c>
      <c r="I495" s="13" t="s">
        <v>1716</v>
      </c>
      <c r="J495" s="164" t="s">
        <v>72</v>
      </c>
      <c r="K495" s="13" t="s">
        <v>106</v>
      </c>
      <c r="L495" s="13" t="s">
        <v>8</v>
      </c>
      <c r="M495" s="13" t="s">
        <v>1744</v>
      </c>
      <c r="N495" s="13" t="s">
        <v>1745</v>
      </c>
      <c r="O495" s="14" t="s">
        <v>72</v>
      </c>
      <c r="P495" s="14" t="s">
        <v>1741</v>
      </c>
      <c r="Q495" s="165"/>
      <c r="R495" s="164" t="s">
        <v>72</v>
      </c>
      <c r="S495" s="13" t="s">
        <v>161</v>
      </c>
      <c r="T495" s="13"/>
      <c r="U495" s="13"/>
      <c r="V495" s="165">
        <v>30</v>
      </c>
      <c r="W495" s="53">
        <v>60</v>
      </c>
      <c r="X495" s="13">
        <v>60</v>
      </c>
      <c r="Y495" s="13">
        <v>1.06</v>
      </c>
      <c r="Z495" s="13">
        <v>1</v>
      </c>
      <c r="AA495" s="13" t="s">
        <v>505</v>
      </c>
      <c r="AB495" s="58"/>
      <c r="AC495" s="58">
        <v>43987</v>
      </c>
      <c r="AD495" s="202">
        <v>43993</v>
      </c>
      <c r="AE495" s="58">
        <v>43991</v>
      </c>
      <c r="AF495" s="58">
        <v>43991</v>
      </c>
      <c r="AG495" s="58" t="s">
        <v>75</v>
      </c>
      <c r="AH495" s="59">
        <v>1</v>
      </c>
      <c r="AI495" s="59">
        <v>1</v>
      </c>
      <c r="AJ495" s="59">
        <v>1</v>
      </c>
      <c r="AK495" s="58" t="s">
        <v>8</v>
      </c>
      <c r="AL495" s="13"/>
      <c r="AM495" s="13"/>
      <c r="AN495" s="53" t="s">
        <v>2326</v>
      </c>
    </row>
    <row r="496" spans="2:40" ht="15">
      <c r="B496" s="216">
        <v>397</v>
      </c>
      <c r="C496" s="13">
        <v>20200605</v>
      </c>
      <c r="D496" s="13" t="s">
        <v>24</v>
      </c>
      <c r="E496" s="13" t="s">
        <v>2385</v>
      </c>
      <c r="F496" s="39" t="s">
        <v>2331</v>
      </c>
      <c r="G496" s="13">
        <v>1508787</v>
      </c>
      <c r="H496" s="164" t="s">
        <v>72</v>
      </c>
      <c r="I496" s="13" t="s">
        <v>132</v>
      </c>
      <c r="J496" s="164" t="s">
        <v>72</v>
      </c>
      <c r="K496" s="13" t="s">
        <v>106</v>
      </c>
      <c r="L496" s="13" t="s">
        <v>8</v>
      </c>
      <c r="M496" s="13" t="s">
        <v>1744</v>
      </c>
      <c r="N496" s="13" t="s">
        <v>1745</v>
      </c>
      <c r="O496" s="14" t="s">
        <v>72</v>
      </c>
      <c r="P496" s="14" t="s">
        <v>1741</v>
      </c>
      <c r="Q496" s="165"/>
      <c r="R496" s="164" t="s">
        <v>72</v>
      </c>
      <c r="S496" s="13" t="s">
        <v>161</v>
      </c>
      <c r="T496" s="13"/>
      <c r="U496" s="13"/>
      <c r="V496" s="165">
        <v>51</v>
      </c>
      <c r="W496" s="53">
        <v>102</v>
      </c>
      <c r="X496" s="13">
        <v>102</v>
      </c>
      <c r="Y496" s="13">
        <v>1.81</v>
      </c>
      <c r="Z496" s="13">
        <v>1</v>
      </c>
      <c r="AA496" s="13" t="s">
        <v>505</v>
      </c>
      <c r="AB496" s="58"/>
      <c r="AC496" s="58">
        <v>43987</v>
      </c>
      <c r="AD496" s="202">
        <v>43993</v>
      </c>
      <c r="AE496" s="58">
        <v>43991</v>
      </c>
      <c r="AF496" s="58">
        <v>43991</v>
      </c>
      <c r="AG496" s="58" t="s">
        <v>75</v>
      </c>
      <c r="AH496" s="59">
        <v>1</v>
      </c>
      <c r="AI496" s="59">
        <v>1</v>
      </c>
      <c r="AJ496" s="59">
        <v>1</v>
      </c>
      <c r="AK496" s="58" t="s">
        <v>8</v>
      </c>
      <c r="AL496" s="13"/>
      <c r="AM496" s="13"/>
      <c r="AN496" s="53" t="s">
        <v>2326</v>
      </c>
    </row>
    <row r="497" spans="2:40" ht="15">
      <c r="B497" s="216">
        <v>398</v>
      </c>
      <c r="C497" s="13">
        <v>20200605</v>
      </c>
      <c r="D497" s="13" t="s">
        <v>24</v>
      </c>
      <c r="E497" s="13" t="s">
        <v>2385</v>
      </c>
      <c r="F497" s="39" t="s">
        <v>2332</v>
      </c>
      <c r="G497" s="13">
        <v>1508787</v>
      </c>
      <c r="H497" s="164" t="s">
        <v>72</v>
      </c>
      <c r="I497" s="13" t="s">
        <v>135</v>
      </c>
      <c r="J497" s="164" t="s">
        <v>72</v>
      </c>
      <c r="K497" s="13" t="s">
        <v>106</v>
      </c>
      <c r="L497" s="13" t="s">
        <v>8</v>
      </c>
      <c r="M497" s="13" t="s">
        <v>1744</v>
      </c>
      <c r="N497" s="13" t="s">
        <v>1745</v>
      </c>
      <c r="O497" s="14" t="s">
        <v>72</v>
      </c>
      <c r="P497" s="14" t="s">
        <v>1741</v>
      </c>
      <c r="Q497" s="165"/>
      <c r="R497" s="164" t="s">
        <v>72</v>
      </c>
      <c r="S497" s="13" t="s">
        <v>77</v>
      </c>
      <c r="T497" s="13"/>
      <c r="U497" s="13"/>
      <c r="V497" s="165">
        <v>109</v>
      </c>
      <c r="W497" s="53">
        <v>218</v>
      </c>
      <c r="X497" s="13">
        <v>218</v>
      </c>
      <c r="Y497" s="13">
        <v>3.87</v>
      </c>
      <c r="Z497" s="13">
        <v>0.5</v>
      </c>
      <c r="AA497" s="13" t="s">
        <v>505</v>
      </c>
      <c r="AB497" s="58"/>
      <c r="AC497" s="58">
        <v>43987</v>
      </c>
      <c r="AD497" s="202">
        <v>43993</v>
      </c>
      <c r="AE497" s="58">
        <v>43990</v>
      </c>
      <c r="AF497" s="58">
        <v>43990</v>
      </c>
      <c r="AG497" s="58" t="s">
        <v>75</v>
      </c>
      <c r="AH497" s="59">
        <v>1</v>
      </c>
      <c r="AI497" s="59">
        <v>1</v>
      </c>
      <c r="AJ497" s="59">
        <v>1</v>
      </c>
      <c r="AK497" s="58" t="s">
        <v>8</v>
      </c>
      <c r="AL497" s="14" t="s">
        <v>72</v>
      </c>
      <c r="AM497" s="14" t="s">
        <v>72</v>
      </c>
      <c r="AN497" s="53" t="s">
        <v>2326</v>
      </c>
    </row>
    <row r="498" spans="2:40" ht="15">
      <c r="B498" s="216">
        <v>399</v>
      </c>
      <c r="C498" s="13">
        <v>20200605</v>
      </c>
      <c r="D498" s="13" t="s">
        <v>24</v>
      </c>
      <c r="E498" s="13" t="s">
        <v>2385</v>
      </c>
      <c r="F498" s="39" t="s">
        <v>2333</v>
      </c>
      <c r="G498" s="13">
        <v>1508787</v>
      </c>
      <c r="H498" s="164" t="s">
        <v>72</v>
      </c>
      <c r="I498" s="13" t="s">
        <v>1525</v>
      </c>
      <c r="J498" s="164" t="s">
        <v>72</v>
      </c>
      <c r="K498" s="13" t="s">
        <v>106</v>
      </c>
      <c r="L498" s="13" t="s">
        <v>8</v>
      </c>
      <c r="M498" s="13" t="s">
        <v>1744</v>
      </c>
      <c r="N498" s="13" t="s">
        <v>1745</v>
      </c>
      <c r="O498" s="14" t="s">
        <v>72</v>
      </c>
      <c r="P498" s="14" t="s">
        <v>1741</v>
      </c>
      <c r="Q498" s="165"/>
      <c r="R498" s="164" t="s">
        <v>72</v>
      </c>
      <c r="S498" s="13" t="s">
        <v>77</v>
      </c>
      <c r="T498" s="13"/>
      <c r="U498" s="13"/>
      <c r="V498" s="165">
        <v>6</v>
      </c>
      <c r="W498" s="53">
        <v>12</v>
      </c>
      <c r="X498" s="13">
        <v>12</v>
      </c>
      <c r="Y498" s="13">
        <v>0.21</v>
      </c>
      <c r="Z498" s="13">
        <v>0.1</v>
      </c>
      <c r="AA498" s="13" t="s">
        <v>505</v>
      </c>
      <c r="AB498" s="58"/>
      <c r="AC498" s="58">
        <v>43987</v>
      </c>
      <c r="AD498" s="202">
        <v>43993</v>
      </c>
      <c r="AE498" s="58">
        <v>43990</v>
      </c>
      <c r="AF498" s="58">
        <v>43990</v>
      </c>
      <c r="AG498" s="58" t="s">
        <v>75</v>
      </c>
      <c r="AH498" s="171" t="s">
        <v>72</v>
      </c>
      <c r="AI498" s="171" t="s">
        <v>72</v>
      </c>
      <c r="AJ498" s="171" t="s">
        <v>72</v>
      </c>
      <c r="AK498" s="58" t="s">
        <v>8</v>
      </c>
      <c r="AL498" s="14" t="s">
        <v>72</v>
      </c>
      <c r="AM498" s="14" t="s">
        <v>72</v>
      </c>
      <c r="AN498" s="53" t="s">
        <v>2326</v>
      </c>
    </row>
    <row r="499" spans="2:40" ht="15">
      <c r="B499" s="216">
        <v>400</v>
      </c>
      <c r="C499" s="13">
        <v>20200605</v>
      </c>
      <c r="D499" s="13" t="s">
        <v>24</v>
      </c>
      <c r="E499" s="13" t="s">
        <v>2385</v>
      </c>
      <c r="F499" s="39" t="s">
        <v>2334</v>
      </c>
      <c r="G499" s="13">
        <v>1508787</v>
      </c>
      <c r="H499" s="164" t="s">
        <v>72</v>
      </c>
      <c r="I499" s="13" t="s">
        <v>54</v>
      </c>
      <c r="J499" s="164" t="s">
        <v>72</v>
      </c>
      <c r="K499" s="13" t="s">
        <v>106</v>
      </c>
      <c r="L499" s="13" t="s">
        <v>8</v>
      </c>
      <c r="M499" s="13" t="s">
        <v>1744</v>
      </c>
      <c r="N499" s="13" t="s">
        <v>1745</v>
      </c>
      <c r="O499" s="14" t="s">
        <v>72</v>
      </c>
      <c r="P499" s="14" t="s">
        <v>1741</v>
      </c>
      <c r="Q499" s="165"/>
      <c r="R499" s="164" t="s">
        <v>72</v>
      </c>
      <c r="S499" s="13" t="s">
        <v>77</v>
      </c>
      <c r="T499" s="13"/>
      <c r="U499" s="13"/>
      <c r="V499" s="165">
        <v>177</v>
      </c>
      <c r="W499" s="53">
        <v>354</v>
      </c>
      <c r="X499" s="13">
        <v>354</v>
      </c>
      <c r="Y499" s="13">
        <v>6.29</v>
      </c>
      <c r="Z499" s="13">
        <v>2</v>
      </c>
      <c r="AA499" s="13" t="s">
        <v>505</v>
      </c>
      <c r="AB499" s="58"/>
      <c r="AC499" s="58">
        <v>43987</v>
      </c>
      <c r="AD499" s="202">
        <v>43993</v>
      </c>
      <c r="AE499" s="58">
        <v>43990</v>
      </c>
      <c r="AF499" s="58">
        <v>43990</v>
      </c>
      <c r="AG499" s="58" t="s">
        <v>75</v>
      </c>
      <c r="AH499" s="59">
        <v>1</v>
      </c>
      <c r="AI499" s="59">
        <v>1</v>
      </c>
      <c r="AJ499" s="59">
        <v>1</v>
      </c>
      <c r="AK499" s="58" t="s">
        <v>8</v>
      </c>
      <c r="AL499" s="14" t="s">
        <v>72</v>
      </c>
      <c r="AM499" s="14" t="s">
        <v>72</v>
      </c>
      <c r="AN499" s="53" t="s">
        <v>2326</v>
      </c>
    </row>
    <row r="500" spans="2:40" ht="15">
      <c r="B500" s="216">
        <v>401</v>
      </c>
      <c r="C500" s="13">
        <v>20200605</v>
      </c>
      <c r="D500" s="13" t="s">
        <v>24</v>
      </c>
      <c r="E500" s="13" t="s">
        <v>2385</v>
      </c>
      <c r="F500" s="39" t="s">
        <v>2335</v>
      </c>
      <c r="G500" s="13">
        <v>1508787</v>
      </c>
      <c r="H500" s="164" t="s">
        <v>72</v>
      </c>
      <c r="I500" s="13" t="s">
        <v>750</v>
      </c>
      <c r="J500" s="164" t="s">
        <v>72</v>
      </c>
      <c r="K500" s="13" t="s">
        <v>106</v>
      </c>
      <c r="L500" s="13" t="s">
        <v>8</v>
      </c>
      <c r="M500" s="13" t="s">
        <v>1744</v>
      </c>
      <c r="N500" s="13" t="s">
        <v>1745</v>
      </c>
      <c r="O500" s="14" t="s">
        <v>72</v>
      </c>
      <c r="P500" s="14" t="s">
        <v>1741</v>
      </c>
      <c r="Q500" s="165"/>
      <c r="R500" s="164" t="s">
        <v>72</v>
      </c>
      <c r="S500" s="13" t="s">
        <v>77</v>
      </c>
      <c r="T500" s="13"/>
      <c r="U500" s="13"/>
      <c r="V500" s="165">
        <v>199</v>
      </c>
      <c r="W500" s="53">
        <v>398</v>
      </c>
      <c r="X500" s="13">
        <v>398</v>
      </c>
      <c r="Y500" s="13">
        <v>7.07</v>
      </c>
      <c r="Z500" s="13">
        <v>2.5</v>
      </c>
      <c r="AA500" s="13" t="s">
        <v>505</v>
      </c>
      <c r="AB500" s="58"/>
      <c r="AC500" s="58">
        <v>43987</v>
      </c>
      <c r="AD500" s="202">
        <v>43993</v>
      </c>
      <c r="AE500" s="58">
        <v>43990</v>
      </c>
      <c r="AF500" s="58">
        <v>43990</v>
      </c>
      <c r="AG500" s="58" t="s">
        <v>75</v>
      </c>
      <c r="AH500" s="59">
        <v>1</v>
      </c>
      <c r="AI500" s="59">
        <v>1</v>
      </c>
      <c r="AJ500" s="59">
        <v>1</v>
      </c>
      <c r="AK500" s="58" t="s">
        <v>8</v>
      </c>
      <c r="AL500" s="14" t="s">
        <v>72</v>
      </c>
      <c r="AM500" s="14" t="s">
        <v>72</v>
      </c>
      <c r="AN500" s="53" t="s">
        <v>2326</v>
      </c>
    </row>
    <row r="501" spans="2:40" ht="15">
      <c r="B501" s="192">
        <v>402</v>
      </c>
      <c r="C501" s="13">
        <v>20200608</v>
      </c>
      <c r="D501" s="13" t="s">
        <v>24</v>
      </c>
      <c r="E501" s="13" t="s">
        <v>2385</v>
      </c>
      <c r="F501" s="39" t="s">
        <v>2337</v>
      </c>
      <c r="G501" s="13">
        <v>1508795</v>
      </c>
      <c r="H501" s="164" t="s">
        <v>72</v>
      </c>
      <c r="I501" s="13" t="s">
        <v>1272</v>
      </c>
      <c r="J501" s="164" t="s">
        <v>72</v>
      </c>
      <c r="K501" s="13" t="s">
        <v>106</v>
      </c>
      <c r="L501" s="13" t="s">
        <v>8</v>
      </c>
      <c r="M501" s="13" t="s">
        <v>2338</v>
      </c>
      <c r="N501" s="13" t="s">
        <v>2339</v>
      </c>
      <c r="O501" s="14" t="s">
        <v>72</v>
      </c>
      <c r="P501" s="14" t="s">
        <v>1741</v>
      </c>
      <c r="Q501" s="165"/>
      <c r="R501" s="164" t="s">
        <v>72</v>
      </c>
      <c r="S501" s="13" t="s">
        <v>109</v>
      </c>
      <c r="T501" s="13"/>
      <c r="U501" s="13"/>
      <c r="V501" s="165">
        <v>125</v>
      </c>
      <c r="W501" s="53">
        <v>250</v>
      </c>
      <c r="X501" s="13">
        <v>250</v>
      </c>
      <c r="Y501" s="13">
        <v>4.4400000000000004</v>
      </c>
      <c r="Z501" s="13">
        <v>2</v>
      </c>
      <c r="AA501" s="13" t="s">
        <v>505</v>
      </c>
      <c r="AB501" s="58"/>
      <c r="AC501" s="58">
        <v>43990</v>
      </c>
      <c r="AD501" s="58">
        <v>43997</v>
      </c>
      <c r="AE501" s="58">
        <v>43991</v>
      </c>
      <c r="AF501" s="58">
        <v>43991</v>
      </c>
      <c r="AG501" s="58" t="s">
        <v>75</v>
      </c>
      <c r="AH501" s="59">
        <v>1</v>
      </c>
      <c r="AI501" s="59">
        <v>1</v>
      </c>
      <c r="AJ501" s="59">
        <v>1</v>
      </c>
      <c r="AK501" s="58" t="s">
        <v>8</v>
      </c>
      <c r="AL501" s="13" t="s">
        <v>72</v>
      </c>
      <c r="AM501" s="13" t="s">
        <v>72</v>
      </c>
      <c r="AN501" s="53" t="s">
        <v>2326</v>
      </c>
    </row>
    <row r="502" spans="2:40" ht="15">
      <c r="B502" s="192">
        <v>403</v>
      </c>
      <c r="C502" s="13">
        <v>20200608</v>
      </c>
      <c r="D502" s="13" t="s">
        <v>24</v>
      </c>
      <c r="E502" s="13" t="s">
        <v>2385</v>
      </c>
      <c r="F502" s="39" t="s">
        <v>2340</v>
      </c>
      <c r="G502" s="13">
        <v>1508795</v>
      </c>
      <c r="H502" s="164" t="s">
        <v>72</v>
      </c>
      <c r="I502" s="13" t="s">
        <v>1272</v>
      </c>
      <c r="J502" s="164"/>
      <c r="K502" s="13" t="s">
        <v>106</v>
      </c>
      <c r="L502" s="13" t="s">
        <v>8</v>
      </c>
      <c r="M502" s="13" t="s">
        <v>2338</v>
      </c>
      <c r="N502" s="13" t="s">
        <v>2339</v>
      </c>
      <c r="O502" s="14" t="s">
        <v>72</v>
      </c>
      <c r="P502" s="14" t="s">
        <v>1741</v>
      </c>
      <c r="Q502" s="165"/>
      <c r="R502" s="164" t="s">
        <v>72</v>
      </c>
      <c r="S502" s="13" t="s">
        <v>109</v>
      </c>
      <c r="T502" s="13"/>
      <c r="U502" s="13"/>
      <c r="V502" s="165">
        <v>125</v>
      </c>
      <c r="W502" s="53">
        <v>250</v>
      </c>
      <c r="X502" s="13">
        <v>250</v>
      </c>
      <c r="Y502" s="13">
        <v>4.4400000000000004</v>
      </c>
      <c r="Z502" s="13">
        <v>1</v>
      </c>
      <c r="AA502" s="13" t="s">
        <v>505</v>
      </c>
      <c r="AB502" s="58"/>
      <c r="AC502" s="58">
        <v>43990</v>
      </c>
      <c r="AD502" s="58">
        <v>43997</v>
      </c>
      <c r="AE502" s="58">
        <v>43991</v>
      </c>
      <c r="AF502" s="58">
        <v>43991</v>
      </c>
      <c r="AG502" s="58" t="s">
        <v>75</v>
      </c>
      <c r="AH502" s="59">
        <v>1</v>
      </c>
      <c r="AI502" s="59">
        <v>1</v>
      </c>
      <c r="AJ502" s="59">
        <v>1</v>
      </c>
      <c r="AK502" s="58" t="s">
        <v>8</v>
      </c>
      <c r="AL502" s="13" t="s">
        <v>72</v>
      </c>
      <c r="AM502" s="13" t="s">
        <v>72</v>
      </c>
      <c r="AN502" s="53" t="s">
        <v>2326</v>
      </c>
    </row>
    <row r="503" spans="2:40" ht="15">
      <c r="B503" s="192">
        <v>407</v>
      </c>
      <c r="C503" s="13">
        <v>20200608</v>
      </c>
      <c r="D503" s="13" t="s">
        <v>24</v>
      </c>
      <c r="E503" s="13" t="s">
        <v>2385</v>
      </c>
      <c r="F503" s="39" t="s">
        <v>1733</v>
      </c>
      <c r="G503" s="13">
        <v>1508791</v>
      </c>
      <c r="H503" s="164" t="s">
        <v>72</v>
      </c>
      <c r="I503" s="13" t="s">
        <v>1734</v>
      </c>
      <c r="J503" s="164"/>
      <c r="K503" s="13" t="s">
        <v>106</v>
      </c>
      <c r="L503" s="13" t="s">
        <v>8</v>
      </c>
      <c r="M503" s="13" t="s">
        <v>2318</v>
      </c>
      <c r="N503" s="13" t="s">
        <v>618</v>
      </c>
      <c r="O503" s="14" t="s">
        <v>72</v>
      </c>
      <c r="P503" s="14" t="s">
        <v>1741</v>
      </c>
      <c r="Q503" s="165"/>
      <c r="R503" s="164" t="s">
        <v>72</v>
      </c>
      <c r="S503" s="13" t="s">
        <v>109</v>
      </c>
      <c r="T503" s="13"/>
      <c r="U503" s="13"/>
      <c r="V503" s="165">
        <v>107</v>
      </c>
      <c r="W503" s="53">
        <v>214</v>
      </c>
      <c r="X503" s="13">
        <v>214</v>
      </c>
      <c r="Y503" s="13">
        <v>3.8</v>
      </c>
      <c r="Z503" s="13">
        <v>2</v>
      </c>
      <c r="AA503" s="13" t="s">
        <v>505</v>
      </c>
      <c r="AB503" s="58"/>
      <c r="AC503" s="58">
        <v>43990</v>
      </c>
      <c r="AD503" s="58">
        <v>43997</v>
      </c>
      <c r="AE503" s="58">
        <v>43992</v>
      </c>
      <c r="AF503" s="58">
        <v>43992</v>
      </c>
      <c r="AG503" s="58" t="s">
        <v>75</v>
      </c>
      <c r="AH503" s="59">
        <v>1</v>
      </c>
      <c r="AI503" s="59">
        <v>1</v>
      </c>
      <c r="AJ503" s="59">
        <v>1</v>
      </c>
      <c r="AK503" s="58" t="s">
        <v>8</v>
      </c>
      <c r="AL503" s="13" t="s">
        <v>72</v>
      </c>
      <c r="AM503" s="13" t="s">
        <v>72</v>
      </c>
      <c r="AN503" s="53" t="s">
        <v>2326</v>
      </c>
    </row>
    <row r="504" spans="2:40" ht="15">
      <c r="B504" s="192">
        <v>408</v>
      </c>
      <c r="C504" s="13">
        <v>20200608</v>
      </c>
      <c r="D504" s="13" t="s">
        <v>24</v>
      </c>
      <c r="E504" s="13" t="s">
        <v>2385</v>
      </c>
      <c r="F504" s="39" t="s">
        <v>1737</v>
      </c>
      <c r="G504" s="13">
        <v>1508791</v>
      </c>
      <c r="H504" s="164" t="s">
        <v>72</v>
      </c>
      <c r="I504" s="13" t="s">
        <v>50</v>
      </c>
      <c r="J504" s="164"/>
      <c r="K504" s="13" t="s">
        <v>106</v>
      </c>
      <c r="L504" s="13" t="s">
        <v>8</v>
      </c>
      <c r="M504" s="13" t="s">
        <v>2318</v>
      </c>
      <c r="N504" s="13" t="s">
        <v>618</v>
      </c>
      <c r="O504" s="14" t="s">
        <v>72</v>
      </c>
      <c r="P504" s="14" t="s">
        <v>1741</v>
      </c>
      <c r="Q504" s="165"/>
      <c r="R504" s="164" t="s">
        <v>72</v>
      </c>
      <c r="S504" s="13" t="s">
        <v>109</v>
      </c>
      <c r="T504" s="13"/>
      <c r="U504" s="13"/>
      <c r="V504" s="165">
        <v>90</v>
      </c>
      <c r="W504" s="53">
        <v>180</v>
      </c>
      <c r="X504" s="13">
        <v>180</v>
      </c>
      <c r="Y504" s="13">
        <v>3.2</v>
      </c>
      <c r="Z504" s="13">
        <v>1</v>
      </c>
      <c r="AA504" s="13" t="s">
        <v>505</v>
      </c>
      <c r="AB504" s="58"/>
      <c r="AC504" s="58">
        <v>43990</v>
      </c>
      <c r="AD504" s="58">
        <v>43997</v>
      </c>
      <c r="AE504" s="58">
        <v>43992</v>
      </c>
      <c r="AF504" s="58">
        <v>43992</v>
      </c>
      <c r="AG504" s="58" t="s">
        <v>75</v>
      </c>
      <c r="AH504" s="59">
        <v>1</v>
      </c>
      <c r="AI504" s="59">
        <v>1</v>
      </c>
      <c r="AJ504" s="59">
        <v>1</v>
      </c>
      <c r="AK504" s="58" t="s">
        <v>8</v>
      </c>
      <c r="AL504" s="13" t="s">
        <v>72</v>
      </c>
      <c r="AM504" s="13" t="s">
        <v>72</v>
      </c>
      <c r="AN504" s="53" t="s">
        <v>2326</v>
      </c>
    </row>
    <row r="505" spans="2:40" ht="15">
      <c r="B505" s="192">
        <v>409</v>
      </c>
      <c r="C505" s="13">
        <v>20200608</v>
      </c>
      <c r="D505" s="13" t="s">
        <v>24</v>
      </c>
      <c r="E505" s="13" t="s">
        <v>2385</v>
      </c>
      <c r="F505" s="39" t="s">
        <v>1715</v>
      </c>
      <c r="G505" s="13">
        <v>1508791</v>
      </c>
      <c r="H505" s="164" t="s">
        <v>72</v>
      </c>
      <c r="I505" s="13" t="s">
        <v>1716</v>
      </c>
      <c r="J505" s="164"/>
      <c r="K505" s="13" t="s">
        <v>106</v>
      </c>
      <c r="L505" s="13" t="s">
        <v>8</v>
      </c>
      <c r="M505" s="13" t="s">
        <v>2318</v>
      </c>
      <c r="N505" s="13" t="s">
        <v>618</v>
      </c>
      <c r="O505" s="14" t="s">
        <v>72</v>
      </c>
      <c r="P505" s="14" t="s">
        <v>1741</v>
      </c>
      <c r="Q505" s="165"/>
      <c r="R505" s="164" t="s">
        <v>72</v>
      </c>
      <c r="S505" s="13" t="s">
        <v>77</v>
      </c>
      <c r="T505" s="13"/>
      <c r="U505" s="13"/>
      <c r="V505" s="165">
        <v>31</v>
      </c>
      <c r="W505" s="53">
        <v>62</v>
      </c>
      <c r="X505" s="13">
        <v>62</v>
      </c>
      <c r="Y505" s="13">
        <v>1.1000000000000001</v>
      </c>
      <c r="Z505" s="13">
        <v>0.5</v>
      </c>
      <c r="AA505" s="13" t="s">
        <v>505</v>
      </c>
      <c r="AB505" s="58"/>
      <c r="AC505" s="58">
        <v>43990</v>
      </c>
      <c r="AD505" s="58">
        <v>43997</v>
      </c>
      <c r="AE505" s="58">
        <v>43991</v>
      </c>
      <c r="AF505" s="58">
        <v>43991</v>
      </c>
      <c r="AG505" s="58" t="s">
        <v>75</v>
      </c>
      <c r="AH505" s="59">
        <v>1</v>
      </c>
      <c r="AI505" s="59">
        <v>1</v>
      </c>
      <c r="AJ505" s="59">
        <v>1</v>
      </c>
      <c r="AK505" s="58" t="s">
        <v>8</v>
      </c>
      <c r="AL505" s="14" t="s">
        <v>72</v>
      </c>
      <c r="AM505" s="14" t="s">
        <v>72</v>
      </c>
      <c r="AN505" s="53" t="s">
        <v>2326</v>
      </c>
    </row>
    <row r="506" spans="2:40" ht="15">
      <c r="B506" s="192">
        <v>410</v>
      </c>
      <c r="C506" s="13">
        <v>20200608</v>
      </c>
      <c r="D506" s="13" t="s">
        <v>24</v>
      </c>
      <c r="E506" s="13" t="s">
        <v>2385</v>
      </c>
      <c r="F506" s="39" t="s">
        <v>2342</v>
      </c>
      <c r="G506" s="13">
        <v>1508791</v>
      </c>
      <c r="H506" s="164" t="s">
        <v>72</v>
      </c>
      <c r="I506" s="13" t="s">
        <v>132</v>
      </c>
      <c r="J506" s="164"/>
      <c r="K506" s="13" t="s">
        <v>106</v>
      </c>
      <c r="L506" s="13" t="s">
        <v>8</v>
      </c>
      <c r="M506" s="13" t="s">
        <v>2318</v>
      </c>
      <c r="N506" s="13" t="s">
        <v>618</v>
      </c>
      <c r="O506" s="14" t="s">
        <v>72</v>
      </c>
      <c r="P506" s="14" t="s">
        <v>1741</v>
      </c>
      <c r="Q506" s="165"/>
      <c r="R506" s="164" t="s">
        <v>72</v>
      </c>
      <c r="S506" s="13" t="s">
        <v>77</v>
      </c>
      <c r="T506" s="13"/>
      <c r="U506" s="13"/>
      <c r="V506" s="165">
        <v>51</v>
      </c>
      <c r="W506" s="53">
        <v>102</v>
      </c>
      <c r="X506" s="13">
        <v>102</v>
      </c>
      <c r="Y506" s="13">
        <v>1.81</v>
      </c>
      <c r="Z506" s="13">
        <v>1</v>
      </c>
      <c r="AA506" s="13" t="s">
        <v>505</v>
      </c>
      <c r="AB506" s="58"/>
      <c r="AC506" s="58">
        <v>43990</v>
      </c>
      <c r="AD506" s="58">
        <v>43997</v>
      </c>
      <c r="AE506" s="58">
        <v>43991</v>
      </c>
      <c r="AF506" s="58">
        <v>43991</v>
      </c>
      <c r="AG506" s="58" t="s">
        <v>75</v>
      </c>
      <c r="AH506" s="59">
        <v>1</v>
      </c>
      <c r="AI506" s="59">
        <v>1</v>
      </c>
      <c r="AJ506" s="59">
        <v>1</v>
      </c>
      <c r="AK506" s="58" t="s">
        <v>8</v>
      </c>
      <c r="AL506" s="14" t="s">
        <v>72</v>
      </c>
      <c r="AM506" s="14" t="s">
        <v>72</v>
      </c>
      <c r="AN506" s="53" t="s">
        <v>2326</v>
      </c>
    </row>
    <row r="507" spans="2:40" ht="134.25">
      <c r="B507" s="192">
        <v>411</v>
      </c>
      <c r="C507" s="13">
        <v>20200608</v>
      </c>
      <c r="D507" s="13" t="s">
        <v>24</v>
      </c>
      <c r="E507" s="13" t="s">
        <v>2385</v>
      </c>
      <c r="F507" s="39" t="s">
        <v>2343</v>
      </c>
      <c r="G507" s="13">
        <v>1508791</v>
      </c>
      <c r="H507" s="164" t="s">
        <v>72</v>
      </c>
      <c r="I507" s="13" t="s">
        <v>135</v>
      </c>
      <c r="J507" s="164"/>
      <c r="K507" s="13" t="s">
        <v>106</v>
      </c>
      <c r="L507" s="13" t="s">
        <v>8</v>
      </c>
      <c r="M507" s="13" t="s">
        <v>2318</v>
      </c>
      <c r="N507" s="13" t="s">
        <v>618</v>
      </c>
      <c r="O507" s="14" t="s">
        <v>72</v>
      </c>
      <c r="P507" s="14" t="s">
        <v>1741</v>
      </c>
      <c r="Q507" s="165"/>
      <c r="R507" s="164" t="s">
        <v>72</v>
      </c>
      <c r="S507" s="13" t="s">
        <v>161</v>
      </c>
      <c r="T507" s="13"/>
      <c r="U507" s="13"/>
      <c r="V507" s="165">
        <v>67</v>
      </c>
      <c r="W507" s="53">
        <v>268</v>
      </c>
      <c r="X507" s="13">
        <v>268</v>
      </c>
      <c r="Y507" s="13">
        <v>4.76</v>
      </c>
      <c r="Z507" s="13">
        <v>4</v>
      </c>
      <c r="AA507" s="13" t="s">
        <v>505</v>
      </c>
      <c r="AB507" s="58"/>
      <c r="AC507" s="58">
        <v>43990</v>
      </c>
      <c r="AD507" s="58">
        <v>43997</v>
      </c>
      <c r="AE507" s="58">
        <v>43991</v>
      </c>
      <c r="AF507" s="58">
        <v>43991</v>
      </c>
      <c r="AG507" s="58" t="s">
        <v>75</v>
      </c>
      <c r="AH507" s="59">
        <v>1</v>
      </c>
      <c r="AI507" s="59">
        <v>1</v>
      </c>
      <c r="AJ507" s="59">
        <v>1</v>
      </c>
      <c r="AK507" s="58" t="s">
        <v>8</v>
      </c>
      <c r="AL507" s="14"/>
      <c r="AM507" s="13"/>
      <c r="AN507" s="217" t="s">
        <v>2344</v>
      </c>
    </row>
    <row r="508" spans="2:40" ht="15">
      <c r="B508" s="192">
        <v>412</v>
      </c>
      <c r="C508" s="13">
        <v>20200608</v>
      </c>
      <c r="D508" s="13" t="s">
        <v>24</v>
      </c>
      <c r="E508" s="13" t="s">
        <v>2385</v>
      </c>
      <c r="F508" s="39" t="s">
        <v>2345</v>
      </c>
      <c r="G508" s="13">
        <v>1508791</v>
      </c>
      <c r="H508" s="164" t="s">
        <v>72</v>
      </c>
      <c r="I508" s="13" t="s">
        <v>1525</v>
      </c>
      <c r="J508" s="164"/>
      <c r="K508" s="13" t="s">
        <v>106</v>
      </c>
      <c r="L508" s="13" t="s">
        <v>8</v>
      </c>
      <c r="M508" s="13" t="s">
        <v>2318</v>
      </c>
      <c r="N508" s="13" t="s">
        <v>618</v>
      </c>
      <c r="O508" s="14" t="s">
        <v>72</v>
      </c>
      <c r="P508" s="14" t="s">
        <v>1741</v>
      </c>
      <c r="Q508" s="165"/>
      <c r="R508" s="164" t="s">
        <v>72</v>
      </c>
      <c r="S508" s="13" t="s">
        <v>161</v>
      </c>
      <c r="T508" s="13"/>
      <c r="U508" s="13"/>
      <c r="V508" s="165">
        <v>6</v>
      </c>
      <c r="W508" s="53">
        <v>12</v>
      </c>
      <c r="X508" s="13">
        <v>12</v>
      </c>
      <c r="Y508" s="13">
        <v>0.21</v>
      </c>
      <c r="Z508" s="13">
        <v>0.1</v>
      </c>
      <c r="AA508" s="13" t="s">
        <v>505</v>
      </c>
      <c r="AB508" s="58"/>
      <c r="AC508" s="58">
        <v>43990</v>
      </c>
      <c r="AD508" s="58">
        <v>43997</v>
      </c>
      <c r="AE508" s="58">
        <v>43992</v>
      </c>
      <c r="AF508" s="58">
        <v>43992</v>
      </c>
      <c r="AG508" s="58" t="s">
        <v>75</v>
      </c>
      <c r="AH508" s="59" t="s">
        <v>72</v>
      </c>
      <c r="AI508" s="59" t="s">
        <v>72</v>
      </c>
      <c r="AJ508" s="59" t="s">
        <v>72</v>
      </c>
      <c r="AK508" s="58" t="s">
        <v>8</v>
      </c>
      <c r="AL508" s="14" t="s">
        <v>1891</v>
      </c>
      <c r="AM508" s="13"/>
      <c r="AN508" s="53" t="s">
        <v>2326</v>
      </c>
    </row>
    <row r="509" spans="2:40" ht="15">
      <c r="B509" s="192">
        <v>413</v>
      </c>
      <c r="C509" s="13">
        <v>20200608</v>
      </c>
      <c r="D509" s="13" t="s">
        <v>24</v>
      </c>
      <c r="E509" s="13" t="s">
        <v>2385</v>
      </c>
      <c r="F509" s="39" t="s">
        <v>1740</v>
      </c>
      <c r="G509" s="13">
        <v>1508791</v>
      </c>
      <c r="H509" s="164" t="s">
        <v>72</v>
      </c>
      <c r="I509" s="13" t="s">
        <v>54</v>
      </c>
      <c r="J509" s="164" t="s">
        <v>72</v>
      </c>
      <c r="K509" s="13" t="s">
        <v>106</v>
      </c>
      <c r="L509" s="13" t="s">
        <v>8</v>
      </c>
      <c r="M509" s="13" t="s">
        <v>2318</v>
      </c>
      <c r="N509" s="13" t="s">
        <v>618</v>
      </c>
      <c r="O509" s="14" t="s">
        <v>72</v>
      </c>
      <c r="P509" s="14" t="s">
        <v>1741</v>
      </c>
      <c r="Q509" s="165"/>
      <c r="R509" s="164" t="s">
        <v>72</v>
      </c>
      <c r="S509" s="13" t="s">
        <v>77</v>
      </c>
      <c r="T509" s="13"/>
      <c r="U509" s="13"/>
      <c r="V509" s="165">
        <v>178</v>
      </c>
      <c r="W509" s="53">
        <v>356</v>
      </c>
      <c r="X509" s="13">
        <v>356</v>
      </c>
      <c r="Y509" s="13">
        <v>6.32</v>
      </c>
      <c r="Z509" s="13">
        <v>2</v>
      </c>
      <c r="AA509" s="13" t="s">
        <v>505</v>
      </c>
      <c r="AB509" s="58"/>
      <c r="AC509" s="58">
        <v>43990</v>
      </c>
      <c r="AD509" s="58">
        <v>43997</v>
      </c>
      <c r="AE509" s="58">
        <v>43991</v>
      </c>
      <c r="AF509" s="58">
        <v>43991</v>
      </c>
      <c r="AG509" s="58" t="s">
        <v>75</v>
      </c>
      <c r="AH509" s="59">
        <v>1</v>
      </c>
      <c r="AI509" s="59">
        <v>1</v>
      </c>
      <c r="AJ509" s="59">
        <v>1</v>
      </c>
      <c r="AK509" s="58" t="s">
        <v>8</v>
      </c>
      <c r="AL509" s="14" t="s">
        <v>72</v>
      </c>
      <c r="AM509" s="14" t="s">
        <v>72</v>
      </c>
      <c r="AN509" s="53" t="s">
        <v>2326</v>
      </c>
    </row>
    <row r="510" spans="2:40" ht="15">
      <c r="B510" s="184">
        <v>415</v>
      </c>
      <c r="C510" s="13">
        <v>20200608</v>
      </c>
      <c r="D510" s="13" t="s">
        <v>24</v>
      </c>
      <c r="E510" s="13" t="s">
        <v>2346</v>
      </c>
      <c r="F510" s="39" t="s">
        <v>2347</v>
      </c>
      <c r="G510" s="13">
        <v>1509577</v>
      </c>
      <c r="H510" s="164" t="s">
        <v>72</v>
      </c>
      <c r="I510" s="13" t="s">
        <v>839</v>
      </c>
      <c r="J510" s="164" t="s">
        <v>72</v>
      </c>
      <c r="K510" s="13" t="s">
        <v>73</v>
      </c>
      <c r="L510" s="13" t="s">
        <v>1527</v>
      </c>
      <c r="M510" s="13" t="s">
        <v>1493</v>
      </c>
      <c r="N510" s="13" t="s">
        <v>887</v>
      </c>
      <c r="O510" s="14" t="s">
        <v>72</v>
      </c>
      <c r="P510" s="14" t="s">
        <v>2348</v>
      </c>
      <c r="Q510" s="165"/>
      <c r="R510" s="164" t="s">
        <v>72</v>
      </c>
      <c r="S510" s="13" t="s">
        <v>117</v>
      </c>
      <c r="T510" s="13"/>
      <c r="U510" s="13"/>
      <c r="V510" s="13">
        <v>134</v>
      </c>
      <c r="W510" s="13">
        <v>146</v>
      </c>
      <c r="X510" s="13">
        <v>146</v>
      </c>
      <c r="Y510" s="13">
        <v>2.59</v>
      </c>
      <c r="Z510" s="13">
        <v>1</v>
      </c>
      <c r="AA510" s="13" t="s">
        <v>505</v>
      </c>
      <c r="AB510" s="58"/>
      <c r="AC510" s="58">
        <v>43991</v>
      </c>
      <c r="AD510" s="202">
        <v>43993</v>
      </c>
      <c r="AE510" s="58">
        <v>43992</v>
      </c>
      <c r="AF510" s="58">
        <v>43992</v>
      </c>
      <c r="AG510" s="58" t="s">
        <v>75</v>
      </c>
      <c r="AH510" s="59">
        <v>1</v>
      </c>
      <c r="AI510" s="59">
        <v>1</v>
      </c>
      <c r="AJ510" s="59">
        <v>1</v>
      </c>
      <c r="AK510" s="58" t="s">
        <v>8</v>
      </c>
      <c r="AL510" s="13"/>
      <c r="AM510" s="13"/>
      <c r="AN510" s="13"/>
    </row>
    <row r="511" spans="2:40" ht="15">
      <c r="B511" s="184">
        <v>417</v>
      </c>
      <c r="C511" s="13">
        <v>20200608</v>
      </c>
      <c r="D511" s="13" t="s">
        <v>24</v>
      </c>
      <c r="E511" s="13" t="s">
        <v>2346</v>
      </c>
      <c r="F511" s="39" t="s">
        <v>2349</v>
      </c>
      <c r="G511" s="13">
        <v>1509577</v>
      </c>
      <c r="H511" s="164" t="s">
        <v>72</v>
      </c>
      <c r="I511" s="13" t="s">
        <v>558</v>
      </c>
      <c r="J511" s="164" t="s">
        <v>72</v>
      </c>
      <c r="K511" s="13" t="s">
        <v>73</v>
      </c>
      <c r="L511" s="13" t="s">
        <v>1527</v>
      </c>
      <c r="M511" s="13" t="s">
        <v>1493</v>
      </c>
      <c r="N511" s="13" t="s">
        <v>887</v>
      </c>
      <c r="O511" s="14" t="s">
        <v>72</v>
      </c>
      <c r="P511" s="14" t="s">
        <v>2348</v>
      </c>
      <c r="Q511" s="165"/>
      <c r="R511" s="164" t="s">
        <v>72</v>
      </c>
      <c r="S511" s="13" t="s">
        <v>117</v>
      </c>
      <c r="T511" s="13"/>
      <c r="U511" s="13"/>
      <c r="V511" s="13">
        <v>145</v>
      </c>
      <c r="W511" s="13">
        <v>236</v>
      </c>
      <c r="X511" s="13">
        <v>236</v>
      </c>
      <c r="Y511" s="13">
        <v>4.1900000000000004</v>
      </c>
      <c r="Z511" s="13">
        <v>3</v>
      </c>
      <c r="AA511" s="13" t="s">
        <v>505</v>
      </c>
      <c r="AB511" s="58"/>
      <c r="AC511" s="58">
        <v>43991</v>
      </c>
      <c r="AD511" s="202">
        <v>43993</v>
      </c>
      <c r="AE511" s="58">
        <v>43992</v>
      </c>
      <c r="AF511" s="58">
        <v>43992</v>
      </c>
      <c r="AG511" s="58" t="s">
        <v>75</v>
      </c>
      <c r="AH511" s="59">
        <v>1</v>
      </c>
      <c r="AI511" s="59">
        <v>1</v>
      </c>
      <c r="AJ511" s="59">
        <v>1</v>
      </c>
      <c r="AK511" s="58" t="s">
        <v>8</v>
      </c>
      <c r="AL511" s="13"/>
      <c r="AM511" s="13"/>
      <c r="AN511" s="13"/>
    </row>
    <row r="512" spans="2:40" ht="15">
      <c r="B512" s="184">
        <v>418</v>
      </c>
      <c r="C512" s="13">
        <v>20200608</v>
      </c>
      <c r="D512" s="13" t="s">
        <v>24</v>
      </c>
      <c r="E512" s="13" t="s">
        <v>2346</v>
      </c>
      <c r="F512" s="39" t="s">
        <v>2350</v>
      </c>
      <c r="G512" s="13">
        <v>1509577</v>
      </c>
      <c r="H512" s="164" t="s">
        <v>72</v>
      </c>
      <c r="I512" s="13" t="s">
        <v>564</v>
      </c>
      <c r="J512" s="164" t="s">
        <v>72</v>
      </c>
      <c r="K512" s="13" t="s">
        <v>73</v>
      </c>
      <c r="L512" s="13" t="s">
        <v>1527</v>
      </c>
      <c r="M512" s="13" t="s">
        <v>1493</v>
      </c>
      <c r="N512" s="13" t="s">
        <v>887</v>
      </c>
      <c r="O512" s="14" t="s">
        <v>72</v>
      </c>
      <c r="P512" s="14" t="s">
        <v>2348</v>
      </c>
      <c r="Q512" s="165"/>
      <c r="R512" s="164" t="s">
        <v>72</v>
      </c>
      <c r="S512" s="13" t="s">
        <v>109</v>
      </c>
      <c r="T512" s="13"/>
      <c r="U512" s="13"/>
      <c r="V512" s="13">
        <v>124</v>
      </c>
      <c r="W512" s="13">
        <v>124</v>
      </c>
      <c r="X512" s="13">
        <v>124</v>
      </c>
      <c r="Y512" s="13">
        <v>2.2000000000000002</v>
      </c>
      <c r="Z512" s="13">
        <v>2</v>
      </c>
      <c r="AA512" s="13" t="s">
        <v>505</v>
      </c>
      <c r="AB512" s="58"/>
      <c r="AC512" s="58">
        <v>43991</v>
      </c>
      <c r="AD512" s="202">
        <v>43993</v>
      </c>
      <c r="AE512" s="58">
        <v>43992</v>
      </c>
      <c r="AF512" s="58">
        <v>43992</v>
      </c>
      <c r="AG512" s="58" t="s">
        <v>79</v>
      </c>
      <c r="AH512" s="59">
        <v>1</v>
      </c>
      <c r="AI512" s="59">
        <v>1</v>
      </c>
      <c r="AJ512" s="59">
        <v>0.5</v>
      </c>
      <c r="AK512" s="58" t="s">
        <v>76</v>
      </c>
      <c r="AL512" s="13" t="s">
        <v>72</v>
      </c>
      <c r="AM512" s="13" t="s">
        <v>72</v>
      </c>
      <c r="AN512" s="13"/>
    </row>
    <row r="513" spans="2:40" ht="15">
      <c r="B513" s="184">
        <v>422</v>
      </c>
      <c r="C513" s="13">
        <v>20200608</v>
      </c>
      <c r="D513" s="13" t="s">
        <v>24</v>
      </c>
      <c r="E513" s="13" t="s">
        <v>2346</v>
      </c>
      <c r="F513" s="39" t="s">
        <v>2351</v>
      </c>
      <c r="G513" s="13">
        <v>1509577</v>
      </c>
      <c r="H513" s="164" t="s">
        <v>72</v>
      </c>
      <c r="I513" s="13" t="s">
        <v>664</v>
      </c>
      <c r="J513" s="164" t="s">
        <v>72</v>
      </c>
      <c r="K513" s="13" t="s">
        <v>73</v>
      </c>
      <c r="L513" s="13" t="s">
        <v>1527</v>
      </c>
      <c r="M513" s="13" t="s">
        <v>1493</v>
      </c>
      <c r="N513" s="13" t="s">
        <v>887</v>
      </c>
      <c r="O513" s="14" t="s">
        <v>72</v>
      </c>
      <c r="P513" s="14" t="s">
        <v>2348</v>
      </c>
      <c r="Q513" s="165"/>
      <c r="R513" s="164" t="s">
        <v>72</v>
      </c>
      <c r="S513" s="13" t="s">
        <v>77</v>
      </c>
      <c r="T513" s="13"/>
      <c r="U513" s="13"/>
      <c r="V513" s="13">
        <v>89</v>
      </c>
      <c r="W513" s="13">
        <v>89</v>
      </c>
      <c r="X513" s="13">
        <v>89</v>
      </c>
      <c r="Y513" s="13">
        <v>1.58</v>
      </c>
      <c r="Z513" s="13">
        <v>1</v>
      </c>
      <c r="AA513" s="13" t="s">
        <v>505</v>
      </c>
      <c r="AB513" s="58"/>
      <c r="AC513" s="58">
        <v>43991</v>
      </c>
      <c r="AD513" s="202">
        <v>43993</v>
      </c>
      <c r="AE513" s="58">
        <v>43991</v>
      </c>
      <c r="AF513" s="58">
        <v>43991</v>
      </c>
      <c r="AG513" s="58" t="s">
        <v>75</v>
      </c>
      <c r="AH513" s="59">
        <v>1</v>
      </c>
      <c r="AI513" s="59">
        <v>1</v>
      </c>
      <c r="AJ513" s="59">
        <v>1</v>
      </c>
      <c r="AK513" s="58" t="s">
        <v>8</v>
      </c>
      <c r="AL513" s="14" t="s">
        <v>72</v>
      </c>
      <c r="AM513" s="14" t="s">
        <v>72</v>
      </c>
      <c r="AN513" s="14" t="s">
        <v>72</v>
      </c>
    </row>
    <row r="514" spans="2:40" ht="15">
      <c r="B514" s="184">
        <v>423</v>
      </c>
      <c r="C514" s="13">
        <v>20200608</v>
      </c>
      <c r="D514" s="13" t="s">
        <v>24</v>
      </c>
      <c r="E514" s="13" t="s">
        <v>2346</v>
      </c>
      <c r="F514" s="39" t="s">
        <v>2352</v>
      </c>
      <c r="G514" s="13">
        <v>1509577</v>
      </c>
      <c r="H514" s="164" t="s">
        <v>72</v>
      </c>
      <c r="I514" s="13" t="s">
        <v>678</v>
      </c>
      <c r="J514" s="164" t="s">
        <v>72</v>
      </c>
      <c r="K514" s="13" t="s">
        <v>73</v>
      </c>
      <c r="L514" s="13" t="s">
        <v>1527</v>
      </c>
      <c r="M514" s="13" t="s">
        <v>1493</v>
      </c>
      <c r="N514" s="13" t="s">
        <v>887</v>
      </c>
      <c r="O514" s="14" t="s">
        <v>72</v>
      </c>
      <c r="P514" s="14" t="s">
        <v>2348</v>
      </c>
      <c r="Q514" s="165"/>
      <c r="R514" s="164" t="s">
        <v>72</v>
      </c>
      <c r="S514" s="13" t="s">
        <v>77</v>
      </c>
      <c r="T514" s="13"/>
      <c r="U514" s="13"/>
      <c r="V514" s="13">
        <v>39</v>
      </c>
      <c r="W514" s="13">
        <v>39</v>
      </c>
      <c r="X514" s="13">
        <v>39</v>
      </c>
      <c r="Y514" s="13">
        <v>0.69</v>
      </c>
      <c r="Z514" s="13">
        <v>0.5</v>
      </c>
      <c r="AA514" s="13" t="s">
        <v>505</v>
      </c>
      <c r="AB514" s="58"/>
      <c r="AC514" s="58">
        <v>43991</v>
      </c>
      <c r="AD514" s="202">
        <v>43993</v>
      </c>
      <c r="AE514" s="58">
        <v>43991</v>
      </c>
      <c r="AF514" s="58">
        <v>43991</v>
      </c>
      <c r="AG514" s="58" t="s">
        <v>79</v>
      </c>
      <c r="AH514" s="59">
        <v>0.68</v>
      </c>
      <c r="AI514" s="59">
        <v>1</v>
      </c>
      <c r="AJ514" s="59">
        <v>1</v>
      </c>
      <c r="AK514" s="58" t="s">
        <v>8</v>
      </c>
      <c r="AL514" s="14" t="s">
        <v>2353</v>
      </c>
      <c r="AM514" s="14" t="s">
        <v>72</v>
      </c>
      <c r="AN514" s="14" t="s">
        <v>2354</v>
      </c>
    </row>
    <row r="515" spans="2:40" ht="15">
      <c r="B515" s="184">
        <v>424</v>
      </c>
      <c r="C515" s="13">
        <v>20200608</v>
      </c>
      <c r="D515" s="13" t="s">
        <v>24</v>
      </c>
      <c r="E515" s="13" t="s">
        <v>2346</v>
      </c>
      <c r="F515" s="39" t="s">
        <v>2355</v>
      </c>
      <c r="G515" s="13">
        <v>1509577</v>
      </c>
      <c r="H515" s="164" t="s">
        <v>72</v>
      </c>
      <c r="I515" s="13" t="s">
        <v>636</v>
      </c>
      <c r="J515" s="164" t="s">
        <v>72</v>
      </c>
      <c r="K515" s="13" t="s">
        <v>73</v>
      </c>
      <c r="L515" s="13" t="s">
        <v>1527</v>
      </c>
      <c r="M515" s="13" t="s">
        <v>1493</v>
      </c>
      <c r="N515" s="13" t="s">
        <v>887</v>
      </c>
      <c r="O515" s="14" t="s">
        <v>72</v>
      </c>
      <c r="P515" s="14" t="s">
        <v>2348</v>
      </c>
      <c r="Q515" s="165"/>
      <c r="R515" s="164" t="s">
        <v>72</v>
      </c>
      <c r="S515" s="13" t="s">
        <v>77</v>
      </c>
      <c r="T515" s="13"/>
      <c r="U515" s="13"/>
      <c r="V515" s="13">
        <v>82</v>
      </c>
      <c r="W515" s="13">
        <v>82</v>
      </c>
      <c r="X515" s="13">
        <v>82</v>
      </c>
      <c r="Y515" s="13">
        <v>1.45</v>
      </c>
      <c r="Z515" s="13">
        <v>0.75</v>
      </c>
      <c r="AA515" s="13" t="s">
        <v>505</v>
      </c>
      <c r="AB515" s="58"/>
      <c r="AC515" s="58">
        <v>43991</v>
      </c>
      <c r="AD515" s="202">
        <v>43993</v>
      </c>
      <c r="AE515" s="58">
        <v>43991</v>
      </c>
      <c r="AF515" s="58">
        <v>43991</v>
      </c>
      <c r="AG515" s="58" t="s">
        <v>75</v>
      </c>
      <c r="AH515" s="59">
        <v>1</v>
      </c>
      <c r="AI515" s="59">
        <v>1</v>
      </c>
      <c r="AJ515" s="59">
        <v>1</v>
      </c>
      <c r="AK515" s="58" t="s">
        <v>8</v>
      </c>
      <c r="AL515" s="14" t="s">
        <v>72</v>
      </c>
      <c r="AM515" s="14" t="s">
        <v>72</v>
      </c>
      <c r="AN515" s="14" t="s">
        <v>72</v>
      </c>
    </row>
    <row r="516" spans="2:40" ht="15">
      <c r="B516" s="184">
        <v>425</v>
      </c>
      <c r="C516" s="13">
        <v>20200608</v>
      </c>
      <c r="D516" s="13" t="s">
        <v>24</v>
      </c>
      <c r="E516" s="13" t="s">
        <v>2346</v>
      </c>
      <c r="F516" s="39" t="s">
        <v>2356</v>
      </c>
      <c r="G516" s="13">
        <v>1509577</v>
      </c>
      <c r="H516" s="164" t="s">
        <v>72</v>
      </c>
      <c r="I516" s="13" t="s">
        <v>644</v>
      </c>
      <c r="J516" s="164" t="s">
        <v>72</v>
      </c>
      <c r="K516" s="13" t="s">
        <v>73</v>
      </c>
      <c r="L516" s="13" t="s">
        <v>1527</v>
      </c>
      <c r="M516" s="13" t="s">
        <v>1493</v>
      </c>
      <c r="N516" s="13" t="s">
        <v>887</v>
      </c>
      <c r="O516" s="14" t="s">
        <v>72</v>
      </c>
      <c r="P516" s="14" t="s">
        <v>2348</v>
      </c>
      <c r="Q516" s="165"/>
      <c r="R516" s="164" t="s">
        <v>72</v>
      </c>
      <c r="S516" s="13" t="s">
        <v>77</v>
      </c>
      <c r="T516" s="13"/>
      <c r="U516" s="13"/>
      <c r="V516" s="13">
        <v>54</v>
      </c>
      <c r="W516" s="13">
        <v>54</v>
      </c>
      <c r="X516" s="13">
        <v>54</v>
      </c>
      <c r="Y516" s="13">
        <v>0.96</v>
      </c>
      <c r="Z516" s="13">
        <v>1</v>
      </c>
      <c r="AA516" s="13" t="s">
        <v>505</v>
      </c>
      <c r="AB516" s="58"/>
      <c r="AC516" s="58">
        <v>43991</v>
      </c>
      <c r="AD516" s="202">
        <v>43993</v>
      </c>
      <c r="AE516" s="58">
        <v>43991</v>
      </c>
      <c r="AF516" s="58">
        <v>43991</v>
      </c>
      <c r="AG516" s="58" t="s">
        <v>75</v>
      </c>
      <c r="AH516" s="59">
        <v>1</v>
      </c>
      <c r="AI516" s="59">
        <v>1</v>
      </c>
      <c r="AJ516" s="59">
        <v>1</v>
      </c>
      <c r="AK516" s="58" t="s">
        <v>8</v>
      </c>
      <c r="AL516" s="14" t="s">
        <v>72</v>
      </c>
      <c r="AM516" s="14" t="s">
        <v>72</v>
      </c>
      <c r="AN516" s="14" t="s">
        <v>72</v>
      </c>
    </row>
    <row r="517" spans="2:40" ht="15">
      <c r="B517" s="184">
        <v>426</v>
      </c>
      <c r="C517" s="13">
        <v>20200608</v>
      </c>
      <c r="D517" s="13" t="s">
        <v>24</v>
      </c>
      <c r="E517" s="13" t="s">
        <v>2346</v>
      </c>
      <c r="F517" s="39" t="s">
        <v>2357</v>
      </c>
      <c r="G517" s="13">
        <v>1509577</v>
      </c>
      <c r="H517" s="164" t="s">
        <v>72</v>
      </c>
      <c r="I517" s="13" t="s">
        <v>579</v>
      </c>
      <c r="J517" s="164" t="s">
        <v>72</v>
      </c>
      <c r="K517" s="13" t="s">
        <v>73</v>
      </c>
      <c r="L517" s="13" t="s">
        <v>1527</v>
      </c>
      <c r="M517" s="13" t="s">
        <v>1493</v>
      </c>
      <c r="N517" s="13" t="s">
        <v>887</v>
      </c>
      <c r="O517" s="14" t="s">
        <v>72</v>
      </c>
      <c r="P517" s="14" t="s">
        <v>2348</v>
      </c>
      <c r="Q517" s="165"/>
      <c r="R517" s="164" t="s">
        <v>72</v>
      </c>
      <c r="S517" s="13" t="s">
        <v>77</v>
      </c>
      <c r="T517" s="13"/>
      <c r="U517" s="13"/>
      <c r="V517" s="13">
        <v>109</v>
      </c>
      <c r="W517" s="13">
        <v>109</v>
      </c>
      <c r="X517" s="13">
        <v>109</v>
      </c>
      <c r="Y517" s="13">
        <v>1.93</v>
      </c>
      <c r="Z517" s="13">
        <v>1</v>
      </c>
      <c r="AA517" s="13" t="s">
        <v>505</v>
      </c>
      <c r="AB517" s="58"/>
      <c r="AC517" s="58">
        <v>43991</v>
      </c>
      <c r="AD517" s="202">
        <v>43993</v>
      </c>
      <c r="AE517" s="58">
        <v>43991</v>
      </c>
      <c r="AF517" s="58">
        <v>43991</v>
      </c>
      <c r="AG517" s="58" t="s">
        <v>75</v>
      </c>
      <c r="AH517" s="59">
        <v>1</v>
      </c>
      <c r="AI517" s="59">
        <v>1</v>
      </c>
      <c r="AJ517" s="59">
        <v>1</v>
      </c>
      <c r="AK517" s="58" t="s">
        <v>8</v>
      </c>
      <c r="AL517" s="14" t="s">
        <v>72</v>
      </c>
      <c r="AM517" s="14" t="s">
        <v>72</v>
      </c>
      <c r="AN517" s="14" t="s">
        <v>72</v>
      </c>
    </row>
    <row r="518" spans="2:40" ht="15">
      <c r="B518" s="184">
        <v>430</v>
      </c>
      <c r="C518" s="13">
        <v>20200608</v>
      </c>
      <c r="D518" s="13" t="s">
        <v>24</v>
      </c>
      <c r="E518" s="13" t="s">
        <v>2346</v>
      </c>
      <c r="F518" s="39" t="s">
        <v>2358</v>
      </c>
      <c r="G518" s="13">
        <v>1509577</v>
      </c>
      <c r="H518" s="164" t="s">
        <v>72</v>
      </c>
      <c r="I518" s="13" t="s">
        <v>855</v>
      </c>
      <c r="J518" s="164" t="s">
        <v>72</v>
      </c>
      <c r="K518" s="13" t="s">
        <v>73</v>
      </c>
      <c r="L518" s="13" t="s">
        <v>1527</v>
      </c>
      <c r="M518" s="13" t="s">
        <v>1493</v>
      </c>
      <c r="N518" s="13" t="s">
        <v>887</v>
      </c>
      <c r="O518" s="14" t="s">
        <v>72</v>
      </c>
      <c r="P518" s="14" t="s">
        <v>2348</v>
      </c>
      <c r="Q518" s="165"/>
      <c r="R518" s="164" t="s">
        <v>72</v>
      </c>
      <c r="S518" s="13" t="s">
        <v>161</v>
      </c>
      <c r="T518" s="13"/>
      <c r="U518" s="13"/>
      <c r="V518" s="13">
        <v>146</v>
      </c>
      <c r="W518" s="13">
        <v>146</v>
      </c>
      <c r="X518" s="13">
        <v>146</v>
      </c>
      <c r="Y518" s="13">
        <v>2.59</v>
      </c>
      <c r="Z518" s="13">
        <v>1</v>
      </c>
      <c r="AA518" s="13" t="s">
        <v>505</v>
      </c>
      <c r="AB518" s="58"/>
      <c r="AC518" s="58">
        <v>43991</v>
      </c>
      <c r="AD518" s="202">
        <v>43993</v>
      </c>
      <c r="AE518" s="58">
        <v>43991</v>
      </c>
      <c r="AF518" s="58">
        <v>43991</v>
      </c>
      <c r="AG518" s="58" t="s">
        <v>75</v>
      </c>
      <c r="AH518" s="59" t="s">
        <v>72</v>
      </c>
      <c r="AI518" s="59" t="s">
        <v>72</v>
      </c>
      <c r="AJ518" s="59" t="s">
        <v>72</v>
      </c>
      <c r="AK518" s="58" t="s">
        <v>8</v>
      </c>
      <c r="AL518" s="14" t="s">
        <v>1891</v>
      </c>
      <c r="AM518" s="13"/>
      <c r="AN518" s="13"/>
    </row>
    <row r="519" spans="2:40" ht="15">
      <c r="B519" s="184">
        <v>431</v>
      </c>
      <c r="C519" s="13">
        <v>20200608</v>
      </c>
      <c r="D519" s="13" t="s">
        <v>24</v>
      </c>
      <c r="E519" s="13" t="s">
        <v>2346</v>
      </c>
      <c r="F519" s="39" t="s">
        <v>2359</v>
      </c>
      <c r="G519" s="13">
        <v>1509577</v>
      </c>
      <c r="H519" s="164" t="s">
        <v>72</v>
      </c>
      <c r="I519" s="13" t="s">
        <v>686</v>
      </c>
      <c r="J519" s="164" t="s">
        <v>72</v>
      </c>
      <c r="K519" s="13" t="s">
        <v>73</v>
      </c>
      <c r="L519" s="13" t="s">
        <v>1527</v>
      </c>
      <c r="M519" s="13" t="s">
        <v>1493</v>
      </c>
      <c r="N519" s="13" t="s">
        <v>887</v>
      </c>
      <c r="O519" s="14" t="s">
        <v>72</v>
      </c>
      <c r="P519" s="14" t="s">
        <v>2348</v>
      </c>
      <c r="Q519" s="165"/>
      <c r="R519" s="164" t="s">
        <v>72</v>
      </c>
      <c r="S519" s="13" t="s">
        <v>161</v>
      </c>
      <c r="T519" s="13"/>
      <c r="U519" s="13"/>
      <c r="V519" s="13">
        <v>96</v>
      </c>
      <c r="W519" s="53">
        <v>206</v>
      </c>
      <c r="X519" s="13">
        <v>206</v>
      </c>
      <c r="Y519" s="13">
        <v>3.66</v>
      </c>
      <c r="Z519" s="13">
        <v>3</v>
      </c>
      <c r="AA519" s="13" t="s">
        <v>505</v>
      </c>
      <c r="AB519" s="58"/>
      <c r="AC519" s="58">
        <v>43991</v>
      </c>
      <c r="AD519" s="202">
        <v>43993</v>
      </c>
      <c r="AE519" s="58">
        <v>43991</v>
      </c>
      <c r="AF519" s="58">
        <v>43991</v>
      </c>
      <c r="AG519" s="58" t="s">
        <v>79</v>
      </c>
      <c r="AH519" s="59">
        <v>0.67</v>
      </c>
      <c r="AI519" s="59">
        <v>0.72</v>
      </c>
      <c r="AJ519" s="59">
        <v>0.75</v>
      </c>
      <c r="AK519" s="58" t="s">
        <v>76</v>
      </c>
      <c r="AL519" s="13" t="s">
        <v>2360</v>
      </c>
      <c r="AM519" s="13"/>
      <c r="AN519" s="13"/>
    </row>
    <row r="520" spans="2:40" ht="15">
      <c r="B520" s="184">
        <v>436</v>
      </c>
      <c r="C520" s="13">
        <v>20200608</v>
      </c>
      <c r="D520" s="13" t="s">
        <v>311</v>
      </c>
      <c r="E520" s="13" t="s">
        <v>1431</v>
      </c>
      <c r="F520" s="14" t="s">
        <v>72</v>
      </c>
      <c r="G520" s="13">
        <v>1511618</v>
      </c>
      <c r="H520" s="164" t="s">
        <v>72</v>
      </c>
      <c r="I520" s="13" t="s">
        <v>2362</v>
      </c>
      <c r="J520" s="164" t="s">
        <v>72</v>
      </c>
      <c r="K520" s="13" t="s">
        <v>73</v>
      </c>
      <c r="L520" s="13" t="s">
        <v>8</v>
      </c>
      <c r="M520" s="13" t="s">
        <v>2363</v>
      </c>
      <c r="N520" s="13">
        <v>1511618</v>
      </c>
      <c r="O520" s="14">
        <v>1.1200000000000001</v>
      </c>
      <c r="P520" s="14" t="s">
        <v>700</v>
      </c>
      <c r="Q520" s="165"/>
      <c r="R520" s="164" t="s">
        <v>72</v>
      </c>
      <c r="S520" s="13" t="s">
        <v>74</v>
      </c>
      <c r="T520" s="13"/>
      <c r="U520" s="13"/>
      <c r="V520" s="13">
        <v>150</v>
      </c>
      <c r="W520" s="13">
        <v>150</v>
      </c>
      <c r="X520" s="13">
        <v>150</v>
      </c>
      <c r="Y520" s="13">
        <v>9.23</v>
      </c>
      <c r="Z520" s="13">
        <v>5</v>
      </c>
      <c r="AA520" s="13" t="s">
        <v>505</v>
      </c>
      <c r="AB520" s="58"/>
      <c r="AC520" s="58">
        <v>43991</v>
      </c>
      <c r="AD520" s="202">
        <v>43993</v>
      </c>
      <c r="AE520" s="58">
        <v>43992</v>
      </c>
      <c r="AF520" s="58">
        <v>43992</v>
      </c>
      <c r="AG520" s="58" t="s">
        <v>75</v>
      </c>
      <c r="AH520" s="59">
        <v>1</v>
      </c>
      <c r="AI520" s="59">
        <v>1</v>
      </c>
      <c r="AJ520" s="59">
        <v>1</v>
      </c>
      <c r="AK520" s="58" t="s">
        <v>8</v>
      </c>
      <c r="AL520" s="13"/>
      <c r="AM520" s="13"/>
      <c r="AN520" s="13"/>
    </row>
  </sheetData>
  <conditionalFormatting sqref="AG48:AG119 AK48:AK119">
    <cfRule type="cellIs" dxfId="35" priority="35" operator="equal">
      <formula>"OK"</formula>
    </cfRule>
    <cfRule type="cellIs" dxfId="34" priority="36" operator="equal">
      <formula>"NG"</formula>
    </cfRule>
  </conditionalFormatting>
  <conditionalFormatting sqref="O48:P119">
    <cfRule type="cellIs" dxfId="33" priority="34" operator="equal">
      <formula>"PUT_VERSION"</formula>
    </cfRule>
  </conditionalFormatting>
  <conditionalFormatting sqref="K48:K119">
    <cfRule type="cellIs" dxfId="32" priority="32" operator="equal">
      <formula>"Manual"</formula>
    </cfRule>
    <cfRule type="cellIs" dxfId="31" priority="33" operator="equal">
      <formula>"Auto"</formula>
    </cfRule>
  </conditionalFormatting>
  <conditionalFormatting sqref="AK327:AK520 AK120:AK325 AG327:AG520 AG120:AG325">
    <cfRule type="cellIs" dxfId="30" priority="30" operator="equal">
      <formula>"OK"</formula>
    </cfRule>
    <cfRule type="cellIs" dxfId="29" priority="31" operator="equal">
      <formula>"NG"</formula>
    </cfRule>
  </conditionalFormatting>
  <conditionalFormatting sqref="O120:P361 O363:P363 O362 O365:P430 O364 O432:P520 O431">
    <cfRule type="cellIs" dxfId="28" priority="29" operator="equal">
      <formula>"PUT_VERSION"</formula>
    </cfRule>
  </conditionalFormatting>
  <conditionalFormatting sqref="K120:K520">
    <cfRule type="cellIs" dxfId="27" priority="27" operator="equal">
      <formula>"Manual"</formula>
    </cfRule>
    <cfRule type="cellIs" dxfId="26" priority="28" operator="equal">
      <formula>"Auto"</formula>
    </cfRule>
  </conditionalFormatting>
  <conditionalFormatting sqref="H4:H13 H19:H29">
    <cfRule type="cellIs" dxfId="25" priority="20" operator="equal">
      <formula>1</formula>
    </cfRule>
    <cfRule type="cellIs" dxfId="24" priority="21" operator="lessThan">
      <formula>1</formula>
    </cfRule>
  </conditionalFormatting>
  <conditionalFormatting sqref="D14">
    <cfRule type="expression" dxfId="23" priority="19">
      <formula>$D$14=SUM($D$4:$D$13)</formula>
    </cfRule>
  </conditionalFormatting>
  <conditionalFormatting sqref="E14">
    <cfRule type="expression" dxfId="22" priority="18">
      <formula>$E$14=SUM($E$4:$E$13)</formula>
    </cfRule>
  </conditionalFormatting>
  <conditionalFormatting sqref="F14">
    <cfRule type="expression" dxfId="21" priority="17">
      <formula>$F$14=SUM($F$4:$F$13)</formula>
    </cfRule>
  </conditionalFormatting>
  <conditionalFormatting sqref="D29">
    <cfRule type="expression" dxfId="20" priority="16">
      <formula>$D$29=SUM($D$19:$D$28)</formula>
    </cfRule>
  </conditionalFormatting>
  <conditionalFormatting sqref="E29">
    <cfRule type="expression" dxfId="19" priority="15">
      <formula>$E$29=SUM($E$19:$E$28)</formula>
    </cfRule>
  </conditionalFormatting>
  <conditionalFormatting sqref="H34">
    <cfRule type="cellIs" dxfId="18" priority="5" operator="equal">
      <formula>1</formula>
    </cfRule>
    <cfRule type="cellIs" dxfId="17" priority="6" operator="lessThan">
      <formula>1</formula>
    </cfRule>
  </conditionalFormatting>
  <conditionalFormatting sqref="H35:H43">
    <cfRule type="cellIs" dxfId="16" priority="3" operator="equal">
      <formula>1</formula>
    </cfRule>
    <cfRule type="cellIs" dxfId="15" priority="4" operator="lessThan">
      <formula>1</formula>
    </cfRule>
  </conditionalFormatting>
  <conditionalFormatting sqref="H44">
    <cfRule type="cellIs" dxfId="14" priority="1" operator="equal">
      <formula>1</formula>
    </cfRule>
    <cfRule type="cellIs" dxfId="13" priority="2" operator="lessThan">
      <formula>1</formula>
    </cfRule>
  </conditionalFormatting>
  <conditionalFormatting sqref="F29">
    <cfRule type="expression" dxfId="12" priority="26">
      <formula>$F$29=SUM($F$19:$F$28)</formula>
    </cfRule>
  </conditionalFormatting>
  <dataValidations count="2">
    <dataValidation type="list" allowBlank="1" showInputMessage="1" showErrorMessage="1" sqref="AG48:AG325 AG327:AG520" xr:uid="{12A11D7C-3C61-4943-BEFB-EF8068E50FEB}">
      <formula1>"OK,NG"</formula1>
    </dataValidation>
    <dataValidation type="list" allowBlank="1" showInputMessage="1" showErrorMessage="1" sqref="U48:U520" xr:uid="{0DD6DD9B-DA3A-40EA-BE09-A5866765BB28}">
      <formula1>"Yes,No"</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22" operator="greaterThanOrEqual" id="{95808B91-4112-40CB-BA27-2D02C1FA171E}">
            <xm:f>'\\hc-ut40346c\NHI5HC\hieunguyen\0000_Project\001_Prj\02_JOEM\[Summary_JOEM_COEM_20200501.xlsm]Table'!#REF!</xm:f>
            <x14:dxf>
              <font>
                <color rgb="FF006100"/>
              </font>
              <fill>
                <patternFill>
                  <bgColor rgb="FFC6EFCE"/>
                </patternFill>
              </fill>
            </x14:dxf>
          </x14:cfRule>
          <x14:cfRule type="cellIs" priority="23" operator="lessThan" id="{C4CA8C5E-758F-4147-80C4-C09EE618EF20}">
            <xm:f>'\\hc-ut40346c\NHI5HC\hieunguyen\0000_Project\001_Prj\02_JOEM\[Summary_JOEM_COEM_20200501.xlsm]Table'!#REF!</xm:f>
            <x14:dxf>
              <font>
                <color rgb="FF9C0006"/>
              </font>
              <fill>
                <patternFill>
                  <bgColor rgb="FFFFC7CE"/>
                </patternFill>
              </fill>
            </x14:dxf>
          </x14:cfRule>
          <xm:sqref>G19:G29</xm:sqref>
        </x14:conditionalFormatting>
        <x14:conditionalFormatting xmlns:xm="http://schemas.microsoft.com/office/excel/2006/main">
          <x14:cfRule type="cellIs" priority="24" operator="greaterThanOrEqual" id="{88C60A5A-B3F8-418A-9CAA-4107D7B67678}">
            <xm:f>'\\hc-ut40346c\NHI5HC\hieunguyen\0000_Project\001_Prj\02_JOEM\[Summary_JOEM_COEM_20200501.xlsm]Table'!#REF!</xm:f>
            <x14:dxf>
              <font>
                <color rgb="FF006100"/>
              </font>
              <fill>
                <patternFill>
                  <bgColor rgb="FFC6EFCE"/>
                </patternFill>
              </fill>
            </x14:dxf>
          </x14:cfRule>
          <x14:cfRule type="cellIs" priority="25" operator="lessThan" id="{9F15E55E-F87A-4747-B2DA-A48368034B95}">
            <xm:f>'\\hc-ut40346c\NHI5HC\hieunguyen\0000_Project\001_Prj\02_JOEM\[Summary_JOEM_COEM_20200501.xlsm]Table'!#REF!</xm:f>
            <x14:dxf>
              <font>
                <color rgb="FF9C0006"/>
              </font>
              <fill>
                <patternFill>
                  <bgColor rgb="FFFFC7CE"/>
                </patternFill>
              </fill>
            </x14:dxf>
          </x14:cfRule>
          <xm:sqref>G4:G13</xm:sqref>
        </x14:conditionalFormatting>
        <x14:conditionalFormatting xmlns:xm="http://schemas.microsoft.com/office/excel/2006/main">
          <x14:cfRule type="cellIs" priority="13" operator="greaterThanOrEqual" id="{3A806F3C-FB55-4260-87BE-FA7E27B14FBA}">
            <xm:f>'\\hc-ut40346c\NHI5HC\hieunguyen\0000_Project\001_Prj\02_JOEM\[Summary_JOEM_COEM_20200501.xlsm]Table'!#REF!</xm:f>
            <x14:dxf>
              <font>
                <color rgb="FF006100"/>
              </font>
              <fill>
                <patternFill>
                  <bgColor rgb="FFC6EFCE"/>
                </patternFill>
              </fill>
            </x14:dxf>
          </x14:cfRule>
          <x14:cfRule type="cellIs" priority="14" operator="lessThan" id="{62E03A40-9F8B-47DE-89EC-A5F74EF76D16}">
            <xm:f>'\\hc-ut40346c\NHI5HC\hieunguyen\0000_Project\001_Prj\02_JOEM\[Summary_JOEM_COEM_20200501.xlsm]Table'!#REF!</xm:f>
            <x14:dxf>
              <font>
                <color rgb="FF9C0006"/>
              </font>
              <fill>
                <patternFill>
                  <bgColor rgb="FFFFC7CE"/>
                </patternFill>
              </fill>
            </x14:dxf>
          </x14:cfRule>
          <xm:sqref>G14</xm:sqref>
        </x14:conditionalFormatting>
        <x14:conditionalFormatting xmlns:xm="http://schemas.microsoft.com/office/excel/2006/main">
          <x14:cfRule type="cellIs" priority="11" operator="greaterThanOrEqual" id="{8283F8D1-2895-4714-930A-FD9E4BF6EC59}">
            <xm:f>'\\hc-ut40346c\NHI5HC\hieunguyen\0000_Project\001_Prj\02_JOEM\[Summary_JOEM_COEM_20200501.xlsm]Table'!#REF!</xm:f>
            <x14:dxf>
              <font>
                <color rgb="FF006100"/>
              </font>
              <fill>
                <patternFill>
                  <bgColor rgb="FFC6EFCE"/>
                </patternFill>
              </fill>
            </x14:dxf>
          </x14:cfRule>
          <x14:cfRule type="cellIs" priority="12" operator="lessThan" id="{08122B1B-0894-412B-A4F4-B25044ABD484}">
            <xm:f>'\\hc-ut40346c\NHI5HC\hieunguyen\0000_Project\001_Prj\02_JOEM\[Summary_JOEM_COEM_20200501.xlsm]Table'!#REF!</xm:f>
            <x14:dxf>
              <font>
                <color rgb="FF9C0006"/>
              </font>
              <fill>
                <patternFill>
                  <bgColor rgb="FFFFC7CE"/>
                </patternFill>
              </fill>
            </x14:dxf>
          </x14:cfRule>
          <xm:sqref>G44</xm:sqref>
        </x14:conditionalFormatting>
        <x14:conditionalFormatting xmlns:xm="http://schemas.microsoft.com/office/excel/2006/main">
          <x14:cfRule type="cellIs" priority="9" operator="greaterThanOrEqual" id="{E3E169C6-6D3C-40AE-B3B3-91D2A0C5E7A7}">
            <xm:f>'\\hc-ut40346c\NHI5HC\hieunguyen\0000_Project\001_Prj\02_JOEM\[Summary_JOEM_COEM_20200501.xlsm]Table'!#REF!</xm:f>
            <x14:dxf>
              <font>
                <color rgb="FF006100"/>
              </font>
              <fill>
                <patternFill>
                  <bgColor rgb="FFC6EFCE"/>
                </patternFill>
              </fill>
            </x14:dxf>
          </x14:cfRule>
          <x14:cfRule type="cellIs" priority="10" operator="lessThan" id="{BBF47026-DF75-4A91-A2F3-9384455D652F}">
            <xm:f>'\\hc-ut40346c\NHI5HC\hieunguyen\0000_Project\001_Prj\02_JOEM\[Summary_JOEM_COEM_20200501.xlsm]Table'!#REF!</xm:f>
            <x14:dxf>
              <font>
                <color rgb="FF9C0006"/>
              </font>
              <fill>
                <patternFill>
                  <bgColor rgb="FFFFC7CE"/>
                </patternFill>
              </fill>
            </x14:dxf>
          </x14:cfRule>
          <xm:sqref>G34</xm:sqref>
        </x14:conditionalFormatting>
        <x14:conditionalFormatting xmlns:xm="http://schemas.microsoft.com/office/excel/2006/main">
          <x14:cfRule type="cellIs" priority="7" operator="greaterThanOrEqual" id="{6F8400C1-8F20-4DE3-8777-5B47A6AF0249}">
            <xm:f>'\\hc-ut40346c\NHI5HC\hieunguyen\0000_Project\001_Prj\02_JOEM\[Summary_JOEM_COEM_20200501.xlsm]Table'!#REF!</xm:f>
            <x14:dxf>
              <font>
                <color rgb="FF006100"/>
              </font>
              <fill>
                <patternFill>
                  <bgColor rgb="FFC6EFCE"/>
                </patternFill>
              </fill>
            </x14:dxf>
          </x14:cfRule>
          <x14:cfRule type="cellIs" priority="8" operator="lessThan" id="{CF3473DB-B548-4CB1-8D03-78630E3AB0BA}">
            <xm:f>'\\hc-ut40346c\NHI5HC\hieunguyen\0000_Project\001_Prj\02_JOEM\[Summary_JOEM_COEM_20200501.xlsm]Table'!#REF!</xm:f>
            <x14:dxf>
              <font>
                <color rgb="FF9C0006"/>
              </font>
              <fill>
                <patternFill>
                  <bgColor rgb="FFFFC7CE"/>
                </patternFill>
              </fill>
            </x14:dxf>
          </x14:cfRule>
          <xm:sqref>G35:G43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48"/>
  <sheetViews>
    <sheetView workbookViewId="0">
      <selection sqref="A1:XFD1048576"/>
    </sheetView>
  </sheetViews>
  <sheetFormatPr defaultRowHeight="12.75"/>
  <cols>
    <col min="2" max="2" width="11.7109375" bestFit="1" customWidth="1"/>
    <col min="3" max="3" width="18.7109375" bestFit="1" customWidth="1"/>
    <col min="4" max="4" width="20.140625" customWidth="1"/>
    <col min="5" max="5" width="33.85546875" customWidth="1"/>
  </cols>
  <sheetData>
    <row r="2" spans="2:5" ht="15">
      <c r="B2" s="144" t="s">
        <v>1336</v>
      </c>
    </row>
    <row r="3" spans="2:5" ht="15">
      <c r="B3" s="145" t="s">
        <v>1337</v>
      </c>
      <c r="C3" s="146" t="s">
        <v>311</v>
      </c>
      <c r="D3" s="146" t="s">
        <v>24</v>
      </c>
    </row>
    <row r="4" spans="2:5" ht="15">
      <c r="B4" s="146">
        <v>1</v>
      </c>
      <c r="C4" s="147">
        <v>130</v>
      </c>
      <c r="D4" s="147">
        <v>450</v>
      </c>
    </row>
    <row r="6" spans="2:5" ht="15">
      <c r="B6" s="136" t="s">
        <v>1338</v>
      </c>
    </row>
    <row r="7" spans="2:5" ht="15">
      <c r="B7" s="145" t="s">
        <v>80</v>
      </c>
      <c r="C7" s="145" t="s">
        <v>82</v>
      </c>
      <c r="D7" s="145" t="s">
        <v>1339</v>
      </c>
      <c r="E7" s="148" t="s">
        <v>1340</v>
      </c>
    </row>
    <row r="8" spans="2:5" ht="51">
      <c r="B8" s="149">
        <v>1</v>
      </c>
      <c r="C8" s="149" t="s">
        <v>311</v>
      </c>
      <c r="D8" s="149" t="s">
        <v>1341</v>
      </c>
      <c r="E8" s="150" t="s">
        <v>1342</v>
      </c>
    </row>
    <row r="9" spans="2:5" ht="63.75">
      <c r="B9" s="149">
        <v>2</v>
      </c>
      <c r="C9" s="149" t="s">
        <v>24</v>
      </c>
      <c r="D9" s="149" t="s">
        <v>1343</v>
      </c>
      <c r="E9" s="150" t="s">
        <v>1344</v>
      </c>
    </row>
    <row r="11" spans="2:5" ht="15">
      <c r="B11" s="136" t="s">
        <v>1345</v>
      </c>
    </row>
    <row r="12" spans="2:5" ht="15">
      <c r="B12" s="145" t="s">
        <v>80</v>
      </c>
      <c r="C12" s="145" t="s">
        <v>1346</v>
      </c>
    </row>
    <row r="13" spans="2:5">
      <c r="B13" s="151">
        <v>1</v>
      </c>
      <c r="C13" s="151" t="s">
        <v>74</v>
      </c>
    </row>
    <row r="14" spans="2:5">
      <c r="B14" s="151">
        <v>2</v>
      </c>
      <c r="C14" s="151" t="s">
        <v>573</v>
      </c>
    </row>
    <row r="15" spans="2:5">
      <c r="B15" s="151">
        <v>3</v>
      </c>
      <c r="C15" s="151" t="s">
        <v>78</v>
      </c>
    </row>
    <row r="16" spans="2:5">
      <c r="B16" s="151">
        <v>4</v>
      </c>
      <c r="C16" s="151" t="s">
        <v>903</v>
      </c>
    </row>
    <row r="17" spans="2:5">
      <c r="B17" s="151">
        <v>5</v>
      </c>
      <c r="C17" s="151" t="s">
        <v>117</v>
      </c>
    </row>
    <row r="18" spans="2:5">
      <c r="B18" s="151">
        <v>6</v>
      </c>
      <c r="C18" s="151" t="s">
        <v>113</v>
      </c>
    </row>
    <row r="19" spans="2:5">
      <c r="B19" s="151">
        <v>7</v>
      </c>
      <c r="C19" s="151" t="s">
        <v>161</v>
      </c>
    </row>
    <row r="20" spans="2:5">
      <c r="B20" s="151">
        <v>8</v>
      </c>
      <c r="C20" s="151" t="s">
        <v>109</v>
      </c>
    </row>
    <row r="21" spans="2:5">
      <c r="B21" s="151">
        <v>9</v>
      </c>
      <c r="C21" s="151" t="s">
        <v>959</v>
      </c>
    </row>
    <row r="22" spans="2:5">
      <c r="B22" s="151">
        <v>10</v>
      </c>
      <c r="C22" s="151" t="s">
        <v>77</v>
      </c>
    </row>
    <row r="24" spans="2:5" ht="15">
      <c r="B24" s="144" t="s">
        <v>1347</v>
      </c>
    </row>
    <row r="25" spans="2:5" ht="15">
      <c r="B25" s="145" t="s">
        <v>80</v>
      </c>
      <c r="C25" s="145" t="s">
        <v>94</v>
      </c>
    </row>
    <row r="26" spans="2:5" ht="15">
      <c r="B26" s="145">
        <v>1</v>
      </c>
      <c r="C26" s="151" t="s">
        <v>111</v>
      </c>
      <c r="E26" s="121"/>
    </row>
    <row r="27" spans="2:5" ht="15">
      <c r="B27" s="145">
        <v>2</v>
      </c>
      <c r="C27" s="151" t="s">
        <v>1348</v>
      </c>
    </row>
    <row r="28" spans="2:5" ht="15">
      <c r="B28" s="145">
        <v>3</v>
      </c>
      <c r="C28" s="151" t="s">
        <v>505</v>
      </c>
    </row>
    <row r="29" spans="2:5" ht="15">
      <c r="B29" s="145">
        <v>4</v>
      </c>
      <c r="C29" s="151" t="s">
        <v>1349</v>
      </c>
    </row>
    <row r="30" spans="2:5" ht="15">
      <c r="B30" s="145">
        <v>5</v>
      </c>
      <c r="C30" s="151" t="s">
        <v>550</v>
      </c>
    </row>
    <row r="31" spans="2:5" ht="15">
      <c r="B31" s="145">
        <v>6</v>
      </c>
      <c r="C31" s="151" t="s">
        <v>1350</v>
      </c>
    </row>
    <row r="32" spans="2:5" ht="15">
      <c r="B32" s="145">
        <v>7</v>
      </c>
      <c r="C32" s="151" t="s">
        <v>110</v>
      </c>
    </row>
    <row r="34" spans="2:3" ht="15">
      <c r="B34" s="144" t="s">
        <v>1351</v>
      </c>
    </row>
    <row r="35" spans="2:3" ht="15">
      <c r="B35" s="145" t="s">
        <v>80</v>
      </c>
      <c r="C35" s="145" t="s">
        <v>94</v>
      </c>
    </row>
    <row r="36" spans="2:3" ht="15">
      <c r="B36" s="145">
        <v>1</v>
      </c>
      <c r="C36" s="151" t="s">
        <v>76</v>
      </c>
    </row>
    <row r="37" spans="2:3" ht="15">
      <c r="B37" s="145">
        <v>2</v>
      </c>
      <c r="C37" s="151" t="s">
        <v>378</v>
      </c>
    </row>
    <row r="38" spans="2:3" ht="15">
      <c r="B38" s="145">
        <v>3</v>
      </c>
      <c r="C38" s="151" t="s">
        <v>8</v>
      </c>
    </row>
    <row r="40" spans="2:3" ht="15">
      <c r="B40" s="136" t="s">
        <v>63</v>
      </c>
    </row>
    <row r="41" spans="2:3" ht="15">
      <c r="B41" s="145" t="s">
        <v>80</v>
      </c>
      <c r="C41" s="145" t="s">
        <v>94</v>
      </c>
    </row>
    <row r="42" spans="2:3" ht="15">
      <c r="B42" s="145">
        <v>1</v>
      </c>
      <c r="C42" s="151" t="s">
        <v>75</v>
      </c>
    </row>
    <row r="43" spans="2:3" ht="15">
      <c r="B43" s="145">
        <v>2</v>
      </c>
      <c r="C43" s="151" t="s">
        <v>79</v>
      </c>
    </row>
    <row r="45" spans="2:3" ht="15">
      <c r="B45" s="136" t="s">
        <v>58</v>
      </c>
    </row>
    <row r="46" spans="2:3" ht="15">
      <c r="B46" s="145" t="s">
        <v>80</v>
      </c>
      <c r="C46" s="145" t="s">
        <v>94</v>
      </c>
    </row>
    <row r="47" spans="2:3" ht="15">
      <c r="B47" s="145">
        <v>1</v>
      </c>
      <c r="C47" s="151" t="s">
        <v>73</v>
      </c>
    </row>
    <row r="48" spans="2:3" ht="15">
      <c r="B48" s="145">
        <v>2</v>
      </c>
      <c r="C48" s="151" t="s">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537"/>
  <sheetViews>
    <sheetView topLeftCell="A220" workbookViewId="0">
      <selection activeCell="E13" sqref="E13"/>
    </sheetView>
  </sheetViews>
  <sheetFormatPr defaultRowHeight="12.75"/>
  <cols>
    <col min="2" max="2" width="4" bestFit="1" customWidth="1"/>
    <col min="3" max="4" width="62.85546875" bestFit="1" customWidth="1"/>
    <col min="5" max="5" width="19" bestFit="1" customWidth="1"/>
    <col min="6" max="6" width="5" bestFit="1" customWidth="1"/>
    <col min="7" max="8" width="6" bestFit="1" customWidth="1"/>
    <col min="9" max="9" width="17.28515625" bestFit="1" customWidth="1"/>
    <col min="10" max="10" width="9.7109375" bestFit="1" customWidth="1"/>
    <col min="12" max="12" width="45.5703125" bestFit="1" customWidth="1"/>
    <col min="13" max="13" width="15.28515625" bestFit="1" customWidth="1"/>
  </cols>
  <sheetData>
    <row r="1" spans="2:20">
      <c r="B1" t="s">
        <v>80</v>
      </c>
      <c r="C1" t="s">
        <v>1334</v>
      </c>
      <c r="D1" t="s">
        <v>1334</v>
      </c>
      <c r="E1" t="s">
        <v>60</v>
      </c>
      <c r="F1" t="s">
        <v>1335</v>
      </c>
      <c r="G1" t="s">
        <v>1335</v>
      </c>
      <c r="H1" t="s">
        <v>1335</v>
      </c>
      <c r="I1" t="s">
        <v>1335</v>
      </c>
      <c r="J1" t="s">
        <v>1335</v>
      </c>
      <c r="L1" t="s">
        <v>80</v>
      </c>
      <c r="M1" t="s">
        <v>1334</v>
      </c>
      <c r="N1" t="s">
        <v>1334</v>
      </c>
      <c r="O1" t="s">
        <v>60</v>
      </c>
      <c r="P1" t="s">
        <v>1335</v>
      </c>
      <c r="Q1" t="s">
        <v>1335</v>
      </c>
      <c r="R1" t="s">
        <v>1335</v>
      </c>
      <c r="S1" t="s">
        <v>1335</v>
      </c>
      <c r="T1" t="s">
        <v>1335</v>
      </c>
    </row>
    <row r="2" spans="2:20">
      <c r="B2">
        <v>11</v>
      </c>
      <c r="C2" t="s">
        <v>581</v>
      </c>
      <c r="D2" t="s">
        <v>581</v>
      </c>
      <c r="E2" t="s">
        <v>78</v>
      </c>
      <c r="F2">
        <v>997</v>
      </c>
      <c r="G2">
        <v>17.72</v>
      </c>
      <c r="H2">
        <v>2</v>
      </c>
      <c r="I2" t="s">
        <v>550</v>
      </c>
      <c r="J2" s="143">
        <v>43956</v>
      </c>
      <c r="L2">
        <v>11</v>
      </c>
      <c r="M2" t="s">
        <v>581</v>
      </c>
      <c r="N2" t="s">
        <v>581</v>
      </c>
      <c r="O2" t="s">
        <v>78</v>
      </c>
      <c r="P2">
        <v>997</v>
      </c>
      <c r="Q2">
        <v>17.72</v>
      </c>
      <c r="R2">
        <v>2</v>
      </c>
      <c r="S2" t="s">
        <v>550</v>
      </c>
      <c r="T2">
        <v>43956</v>
      </c>
    </row>
    <row r="3" spans="2:20">
      <c r="B3">
        <v>17</v>
      </c>
      <c r="C3" t="s">
        <v>14</v>
      </c>
      <c r="D3" t="s">
        <v>14</v>
      </c>
      <c r="E3" t="s">
        <v>78</v>
      </c>
      <c r="F3">
        <v>431</v>
      </c>
      <c r="G3">
        <v>7.66</v>
      </c>
      <c r="H3">
        <v>1</v>
      </c>
      <c r="I3" t="s">
        <v>110</v>
      </c>
      <c r="J3" s="143">
        <v>43957</v>
      </c>
      <c r="L3">
        <v>17</v>
      </c>
      <c r="M3" t="s">
        <v>14</v>
      </c>
      <c r="N3" t="s">
        <v>14</v>
      </c>
      <c r="O3" t="s">
        <v>78</v>
      </c>
      <c r="P3">
        <v>431</v>
      </c>
      <c r="Q3">
        <v>7.66</v>
      </c>
      <c r="R3">
        <v>1</v>
      </c>
      <c r="S3" t="s">
        <v>110</v>
      </c>
      <c r="T3">
        <v>43957</v>
      </c>
    </row>
    <row r="4" spans="2:20">
      <c r="B4">
        <v>18</v>
      </c>
      <c r="C4" t="s">
        <v>14</v>
      </c>
      <c r="D4" t="s">
        <v>14</v>
      </c>
      <c r="E4" t="s">
        <v>78</v>
      </c>
      <c r="F4">
        <v>184</v>
      </c>
      <c r="G4">
        <v>3.27</v>
      </c>
      <c r="H4">
        <v>1</v>
      </c>
      <c r="I4" t="s">
        <v>110</v>
      </c>
      <c r="J4" s="143">
        <v>43957</v>
      </c>
      <c r="L4">
        <v>18</v>
      </c>
      <c r="M4" t="s">
        <v>14</v>
      </c>
      <c r="N4" t="s">
        <v>14</v>
      </c>
      <c r="O4" t="s">
        <v>78</v>
      </c>
      <c r="P4">
        <v>184</v>
      </c>
      <c r="Q4">
        <v>3.27</v>
      </c>
      <c r="R4">
        <v>1</v>
      </c>
      <c r="S4" t="s">
        <v>110</v>
      </c>
      <c r="T4">
        <v>43957</v>
      </c>
    </row>
    <row r="5" spans="2:20">
      <c r="B5">
        <v>73</v>
      </c>
      <c r="C5" t="s">
        <v>723</v>
      </c>
      <c r="D5" t="s">
        <v>723</v>
      </c>
      <c r="E5" t="s">
        <v>78</v>
      </c>
      <c r="F5">
        <v>117</v>
      </c>
      <c r="G5">
        <v>2.08</v>
      </c>
      <c r="H5">
        <v>0.5</v>
      </c>
      <c r="I5" t="s">
        <v>550</v>
      </c>
      <c r="J5" s="143">
        <v>43959</v>
      </c>
      <c r="L5">
        <v>73</v>
      </c>
      <c r="M5" t="s">
        <v>723</v>
      </c>
      <c r="N5" t="s">
        <v>723</v>
      </c>
      <c r="O5" t="s">
        <v>78</v>
      </c>
      <c r="P5">
        <v>117</v>
      </c>
      <c r="Q5">
        <v>2.08</v>
      </c>
      <c r="R5">
        <v>0.5</v>
      </c>
      <c r="S5" t="s">
        <v>550</v>
      </c>
      <c r="T5">
        <v>43959</v>
      </c>
    </row>
    <row r="6" spans="2:20">
      <c r="B6">
        <v>74</v>
      </c>
      <c r="C6" t="s">
        <v>723</v>
      </c>
      <c r="D6" t="s">
        <v>723</v>
      </c>
      <c r="E6" t="s">
        <v>78</v>
      </c>
      <c r="F6">
        <v>76</v>
      </c>
      <c r="G6">
        <v>1.35</v>
      </c>
      <c r="H6">
        <v>0.5</v>
      </c>
      <c r="I6" t="s">
        <v>550</v>
      </c>
      <c r="J6" s="143">
        <v>43959</v>
      </c>
      <c r="L6">
        <v>74</v>
      </c>
      <c r="M6" t="s">
        <v>723</v>
      </c>
      <c r="N6" t="s">
        <v>723</v>
      </c>
      <c r="O6" t="s">
        <v>78</v>
      </c>
      <c r="P6">
        <v>76</v>
      </c>
      <c r="Q6">
        <v>1.35</v>
      </c>
      <c r="R6">
        <v>0.5</v>
      </c>
      <c r="S6" t="s">
        <v>550</v>
      </c>
      <c r="T6">
        <v>43959</v>
      </c>
    </row>
    <row r="7" spans="2:20">
      <c r="B7">
        <v>75</v>
      </c>
      <c r="C7" t="s">
        <v>723</v>
      </c>
      <c r="D7" t="s">
        <v>723</v>
      </c>
      <c r="E7" t="s">
        <v>78</v>
      </c>
      <c r="F7">
        <v>114</v>
      </c>
      <c r="G7">
        <v>2.02</v>
      </c>
      <c r="H7">
        <v>0.5</v>
      </c>
      <c r="I7" t="s">
        <v>550</v>
      </c>
      <c r="J7" s="143">
        <v>43959</v>
      </c>
      <c r="L7">
        <v>75</v>
      </c>
      <c r="M7" t="s">
        <v>723</v>
      </c>
      <c r="N7" t="s">
        <v>723</v>
      </c>
      <c r="O7" t="s">
        <v>78</v>
      </c>
      <c r="P7">
        <v>114</v>
      </c>
      <c r="Q7">
        <v>2.02</v>
      </c>
      <c r="R7">
        <v>0.5</v>
      </c>
      <c r="S7" t="s">
        <v>550</v>
      </c>
      <c r="T7">
        <v>43959</v>
      </c>
    </row>
    <row r="8" spans="2:20">
      <c r="B8">
        <v>101</v>
      </c>
      <c r="C8" t="s">
        <v>694</v>
      </c>
      <c r="D8" t="s">
        <v>694</v>
      </c>
      <c r="E8" t="s">
        <v>78</v>
      </c>
      <c r="F8">
        <v>309</v>
      </c>
      <c r="G8">
        <v>5.49</v>
      </c>
      <c r="H8">
        <v>4</v>
      </c>
      <c r="I8" t="s">
        <v>110</v>
      </c>
      <c r="J8" s="143">
        <v>43963</v>
      </c>
      <c r="L8">
        <v>101</v>
      </c>
      <c r="M8" t="s">
        <v>694</v>
      </c>
      <c r="N8" t="s">
        <v>694</v>
      </c>
      <c r="O8" t="s">
        <v>78</v>
      </c>
      <c r="P8">
        <v>309</v>
      </c>
      <c r="Q8">
        <v>5.49</v>
      </c>
      <c r="R8">
        <v>4</v>
      </c>
      <c r="S8" t="s">
        <v>110</v>
      </c>
      <c r="T8">
        <v>43963</v>
      </c>
    </row>
    <row r="9" spans="2:20">
      <c r="B9">
        <v>102</v>
      </c>
      <c r="C9" t="s">
        <v>694</v>
      </c>
      <c r="D9" t="s">
        <v>694</v>
      </c>
      <c r="E9" t="s">
        <v>78</v>
      </c>
      <c r="F9">
        <v>25</v>
      </c>
      <c r="G9">
        <v>0.44</v>
      </c>
      <c r="H9">
        <v>1</v>
      </c>
      <c r="I9" t="s">
        <v>110</v>
      </c>
      <c r="J9" s="143">
        <v>43963</v>
      </c>
      <c r="L9">
        <v>102</v>
      </c>
      <c r="M9" t="s">
        <v>694</v>
      </c>
      <c r="N9" t="s">
        <v>694</v>
      </c>
      <c r="O9" t="s">
        <v>78</v>
      </c>
      <c r="P9">
        <v>25</v>
      </c>
      <c r="Q9">
        <v>0.44</v>
      </c>
      <c r="R9">
        <v>1</v>
      </c>
      <c r="S9" t="s">
        <v>110</v>
      </c>
      <c r="T9">
        <v>43963</v>
      </c>
    </row>
    <row r="10" spans="2:20">
      <c r="B10">
        <v>103</v>
      </c>
      <c r="C10" t="s">
        <v>694</v>
      </c>
      <c r="D10" t="s">
        <v>694</v>
      </c>
      <c r="E10" t="s">
        <v>78</v>
      </c>
      <c r="F10">
        <v>215</v>
      </c>
      <c r="G10">
        <v>3.82</v>
      </c>
      <c r="H10">
        <v>2</v>
      </c>
      <c r="I10" t="s">
        <v>110</v>
      </c>
      <c r="J10" s="143">
        <v>43963</v>
      </c>
      <c r="L10">
        <v>103</v>
      </c>
      <c r="M10" t="s">
        <v>694</v>
      </c>
      <c r="N10" t="s">
        <v>694</v>
      </c>
      <c r="O10" t="s">
        <v>78</v>
      </c>
      <c r="P10">
        <v>215</v>
      </c>
      <c r="Q10">
        <v>3.82</v>
      </c>
      <c r="R10">
        <v>2</v>
      </c>
      <c r="S10" t="s">
        <v>110</v>
      </c>
      <c r="T10">
        <v>43963</v>
      </c>
    </row>
    <row r="11" spans="2:20">
      <c r="B11">
        <v>115</v>
      </c>
      <c r="C11" t="s">
        <v>30</v>
      </c>
      <c r="D11" t="s">
        <v>30</v>
      </c>
      <c r="E11" t="s">
        <v>78</v>
      </c>
      <c r="F11">
        <v>107</v>
      </c>
      <c r="G11">
        <v>1.9</v>
      </c>
      <c r="H11">
        <v>0.5</v>
      </c>
      <c r="I11" t="s">
        <v>550</v>
      </c>
      <c r="J11" s="143">
        <v>43965</v>
      </c>
      <c r="L11">
        <v>115</v>
      </c>
      <c r="M11" t="s">
        <v>30</v>
      </c>
      <c r="N11" t="s">
        <v>30</v>
      </c>
      <c r="O11" t="s">
        <v>78</v>
      </c>
      <c r="P11">
        <v>107</v>
      </c>
      <c r="Q11">
        <v>1.9</v>
      </c>
      <c r="R11">
        <v>0.5</v>
      </c>
      <c r="S11" t="s">
        <v>550</v>
      </c>
      <c r="T11">
        <v>43965</v>
      </c>
    </row>
    <row r="12" spans="2:20">
      <c r="B12">
        <v>124</v>
      </c>
      <c r="C12" t="s">
        <v>51</v>
      </c>
      <c r="D12" t="s">
        <v>51</v>
      </c>
      <c r="E12" t="s">
        <v>78</v>
      </c>
      <c r="F12">
        <v>236</v>
      </c>
      <c r="G12">
        <v>4.1900000000000004</v>
      </c>
      <c r="H12">
        <v>0.5</v>
      </c>
      <c r="I12" t="s">
        <v>110</v>
      </c>
      <c r="J12" s="143">
        <v>43962</v>
      </c>
      <c r="L12">
        <v>124</v>
      </c>
      <c r="M12" t="s">
        <v>51</v>
      </c>
      <c r="N12" t="s">
        <v>51</v>
      </c>
      <c r="O12" t="s">
        <v>78</v>
      </c>
      <c r="P12">
        <v>236</v>
      </c>
      <c r="Q12">
        <v>4.1900000000000004</v>
      </c>
      <c r="R12">
        <v>0.5</v>
      </c>
      <c r="S12" t="s">
        <v>110</v>
      </c>
      <c r="T12">
        <v>43962</v>
      </c>
    </row>
    <row r="13" spans="2:20">
      <c r="B13">
        <v>183</v>
      </c>
      <c r="C13" t="s">
        <v>923</v>
      </c>
      <c r="D13" t="s">
        <v>923</v>
      </c>
      <c r="E13" t="s">
        <v>78</v>
      </c>
      <c r="F13">
        <v>322</v>
      </c>
      <c r="G13">
        <v>5.72</v>
      </c>
      <c r="H13">
        <v>2</v>
      </c>
      <c r="I13" t="s">
        <v>110</v>
      </c>
      <c r="J13" s="143">
        <v>43938</v>
      </c>
      <c r="L13">
        <v>129</v>
      </c>
      <c r="M13" t="s">
        <v>837</v>
      </c>
      <c r="N13" t="s">
        <v>837</v>
      </c>
      <c r="O13" t="s">
        <v>78</v>
      </c>
      <c r="P13">
        <v>134</v>
      </c>
      <c r="Q13">
        <v>2.38</v>
      </c>
      <c r="T13">
        <v>43966</v>
      </c>
    </row>
    <row r="14" spans="2:20">
      <c r="B14">
        <v>184</v>
      </c>
      <c r="C14" t="s">
        <v>923</v>
      </c>
      <c r="D14" t="s">
        <v>923</v>
      </c>
      <c r="E14" t="s">
        <v>78</v>
      </c>
      <c r="F14">
        <v>268</v>
      </c>
      <c r="G14">
        <v>4.76</v>
      </c>
      <c r="H14">
        <v>2</v>
      </c>
      <c r="I14" t="s">
        <v>110</v>
      </c>
      <c r="J14" s="143">
        <v>43938</v>
      </c>
      <c r="L14">
        <v>130</v>
      </c>
      <c r="M14" t="s">
        <v>837</v>
      </c>
      <c r="N14" t="s">
        <v>837</v>
      </c>
      <c r="O14" t="s">
        <v>78</v>
      </c>
      <c r="P14">
        <v>200</v>
      </c>
      <c r="Q14">
        <v>3.55</v>
      </c>
      <c r="T14">
        <v>43966</v>
      </c>
    </row>
    <row r="15" spans="2:20">
      <c r="B15">
        <v>185</v>
      </c>
      <c r="C15" t="s">
        <v>923</v>
      </c>
      <c r="D15" t="s">
        <v>923</v>
      </c>
      <c r="E15" t="s">
        <v>78</v>
      </c>
      <c r="F15">
        <v>275</v>
      </c>
      <c r="G15">
        <v>4.88</v>
      </c>
      <c r="H15">
        <v>2</v>
      </c>
      <c r="I15" t="s">
        <v>110</v>
      </c>
      <c r="J15" s="143">
        <v>43938</v>
      </c>
      <c r="L15">
        <v>131</v>
      </c>
      <c r="M15" t="s">
        <v>837</v>
      </c>
      <c r="N15" t="s">
        <v>837</v>
      </c>
      <c r="O15" t="s">
        <v>78</v>
      </c>
      <c r="P15">
        <v>145</v>
      </c>
      <c r="Q15">
        <v>2.57</v>
      </c>
      <c r="T15">
        <v>43966</v>
      </c>
    </row>
    <row r="16" spans="2:20">
      <c r="B16">
        <v>186</v>
      </c>
      <c r="C16" t="s">
        <v>923</v>
      </c>
      <c r="D16" t="s">
        <v>923</v>
      </c>
      <c r="E16" t="s">
        <v>78</v>
      </c>
      <c r="F16">
        <v>267</v>
      </c>
      <c r="G16">
        <v>4.74</v>
      </c>
      <c r="H16">
        <v>2.5</v>
      </c>
      <c r="I16" t="s">
        <v>110</v>
      </c>
      <c r="J16" s="143">
        <v>43938</v>
      </c>
      <c r="L16">
        <v>132</v>
      </c>
      <c r="M16" t="s">
        <v>837</v>
      </c>
      <c r="N16" t="s">
        <v>837</v>
      </c>
      <c r="O16" t="s">
        <v>78</v>
      </c>
      <c r="P16">
        <v>124</v>
      </c>
      <c r="Q16">
        <v>2.2000000000000002</v>
      </c>
      <c r="T16">
        <v>43966</v>
      </c>
    </row>
    <row r="17" spans="2:20">
      <c r="B17">
        <v>192</v>
      </c>
      <c r="C17" t="s">
        <v>933</v>
      </c>
      <c r="D17" t="s">
        <v>933</v>
      </c>
      <c r="E17" t="s">
        <v>78</v>
      </c>
      <c r="F17">
        <v>194</v>
      </c>
      <c r="G17">
        <v>3.44</v>
      </c>
      <c r="H17">
        <v>3</v>
      </c>
      <c r="I17" t="s">
        <v>110</v>
      </c>
      <c r="J17" s="143">
        <v>43938</v>
      </c>
      <c r="L17">
        <v>133</v>
      </c>
      <c r="M17" t="s">
        <v>837</v>
      </c>
      <c r="N17" t="s">
        <v>837</v>
      </c>
      <c r="O17" t="s">
        <v>78</v>
      </c>
      <c r="P17">
        <v>154</v>
      </c>
      <c r="Q17">
        <v>2.73</v>
      </c>
      <c r="T17">
        <v>43966</v>
      </c>
    </row>
    <row r="18" spans="2:20">
      <c r="B18">
        <v>193</v>
      </c>
      <c r="C18" t="s">
        <v>933</v>
      </c>
      <c r="D18" t="s">
        <v>933</v>
      </c>
      <c r="E18" t="s">
        <v>78</v>
      </c>
      <c r="F18">
        <v>321</v>
      </c>
      <c r="G18">
        <v>5.7</v>
      </c>
      <c r="H18">
        <v>6</v>
      </c>
      <c r="I18" t="s">
        <v>110</v>
      </c>
      <c r="J18" s="143">
        <v>43938</v>
      </c>
      <c r="L18">
        <v>134</v>
      </c>
      <c r="M18" t="s">
        <v>837</v>
      </c>
      <c r="N18" t="s">
        <v>837</v>
      </c>
      <c r="O18" t="s">
        <v>78</v>
      </c>
      <c r="P18">
        <v>71</v>
      </c>
      <c r="Q18">
        <v>1.26</v>
      </c>
      <c r="T18">
        <v>43966</v>
      </c>
    </row>
    <row r="19" spans="2:20">
      <c r="B19">
        <v>194</v>
      </c>
      <c r="C19" t="s">
        <v>933</v>
      </c>
      <c r="D19" t="s">
        <v>933</v>
      </c>
      <c r="E19" t="s">
        <v>78</v>
      </c>
      <c r="F19">
        <v>52</v>
      </c>
      <c r="G19">
        <v>0.92</v>
      </c>
      <c r="H19">
        <v>1</v>
      </c>
      <c r="I19" t="s">
        <v>110</v>
      </c>
      <c r="J19" s="143">
        <v>43938</v>
      </c>
      <c r="L19">
        <v>135</v>
      </c>
      <c r="M19" t="s">
        <v>837</v>
      </c>
      <c r="N19" t="s">
        <v>837</v>
      </c>
      <c r="O19" t="s">
        <v>78</v>
      </c>
      <c r="P19">
        <v>39</v>
      </c>
      <c r="Q19">
        <v>0.69</v>
      </c>
      <c r="T19">
        <v>43966</v>
      </c>
    </row>
    <row r="20" spans="2:20">
      <c r="B20">
        <v>195</v>
      </c>
      <c r="C20" t="s">
        <v>933</v>
      </c>
      <c r="D20" t="s">
        <v>933</v>
      </c>
      <c r="E20" t="s">
        <v>78</v>
      </c>
      <c r="F20">
        <v>209</v>
      </c>
      <c r="G20">
        <v>3.71</v>
      </c>
      <c r="H20">
        <v>3</v>
      </c>
      <c r="I20" t="s">
        <v>110</v>
      </c>
      <c r="J20" s="143">
        <v>43938</v>
      </c>
      <c r="L20">
        <v>136</v>
      </c>
      <c r="M20" t="s">
        <v>837</v>
      </c>
      <c r="N20" t="s">
        <v>837</v>
      </c>
      <c r="O20" t="s">
        <v>78</v>
      </c>
      <c r="P20">
        <v>82</v>
      </c>
      <c r="Q20">
        <v>1.45</v>
      </c>
      <c r="T20">
        <v>43966</v>
      </c>
    </row>
    <row r="21" spans="2:20">
      <c r="B21">
        <v>196</v>
      </c>
      <c r="C21" t="s">
        <v>933</v>
      </c>
      <c r="D21" t="s">
        <v>933</v>
      </c>
      <c r="E21" t="s">
        <v>78</v>
      </c>
      <c r="F21">
        <v>67</v>
      </c>
      <c r="G21">
        <v>1.19</v>
      </c>
      <c r="H21">
        <v>2</v>
      </c>
      <c r="I21" t="s">
        <v>110</v>
      </c>
      <c r="J21" s="143">
        <v>43938</v>
      </c>
      <c r="L21">
        <v>137</v>
      </c>
      <c r="M21" t="s">
        <v>837</v>
      </c>
      <c r="N21" t="s">
        <v>837</v>
      </c>
      <c r="O21" t="s">
        <v>78</v>
      </c>
      <c r="P21">
        <v>54</v>
      </c>
      <c r="Q21">
        <v>0.96</v>
      </c>
      <c r="T21">
        <v>43966</v>
      </c>
    </row>
    <row r="22" spans="2:20">
      <c r="B22">
        <v>197</v>
      </c>
      <c r="C22" t="s">
        <v>933</v>
      </c>
      <c r="D22" t="s">
        <v>933</v>
      </c>
      <c r="E22" t="s">
        <v>78</v>
      </c>
      <c r="F22">
        <v>202</v>
      </c>
      <c r="G22">
        <v>3.59</v>
      </c>
      <c r="H22">
        <v>3</v>
      </c>
      <c r="I22" t="s">
        <v>110</v>
      </c>
      <c r="J22" s="143">
        <v>43938</v>
      </c>
      <c r="L22">
        <v>138</v>
      </c>
      <c r="M22" t="s">
        <v>837</v>
      </c>
      <c r="N22" t="s">
        <v>837</v>
      </c>
      <c r="O22" t="s">
        <v>78</v>
      </c>
      <c r="P22">
        <v>109</v>
      </c>
      <c r="Q22">
        <v>1.93</v>
      </c>
      <c r="T22">
        <v>43966</v>
      </c>
    </row>
    <row r="23" spans="2:20">
      <c r="B23">
        <v>257</v>
      </c>
      <c r="C23" t="s">
        <v>1045</v>
      </c>
      <c r="D23" t="s">
        <v>1045</v>
      </c>
      <c r="E23" t="s">
        <v>78</v>
      </c>
      <c r="F23">
        <v>1434</v>
      </c>
      <c r="G23">
        <v>25.49</v>
      </c>
      <c r="H23">
        <v>3</v>
      </c>
      <c r="I23" t="s">
        <v>110</v>
      </c>
      <c r="J23" s="143">
        <v>43945</v>
      </c>
      <c r="L23">
        <v>139</v>
      </c>
      <c r="M23" t="s">
        <v>837</v>
      </c>
      <c r="N23" t="s">
        <v>837</v>
      </c>
      <c r="O23" t="s">
        <v>78</v>
      </c>
      <c r="P23">
        <v>255</v>
      </c>
      <c r="Q23">
        <v>4.53</v>
      </c>
      <c r="T23">
        <v>43966</v>
      </c>
    </row>
    <row r="24" spans="2:20">
      <c r="B24">
        <v>280</v>
      </c>
      <c r="C24" t="s">
        <v>356</v>
      </c>
      <c r="D24" t="s">
        <v>356</v>
      </c>
      <c r="E24" t="s">
        <v>78</v>
      </c>
      <c r="F24">
        <v>84</v>
      </c>
      <c r="G24">
        <v>1.49</v>
      </c>
      <c r="H24">
        <v>0.5</v>
      </c>
      <c r="I24" t="s">
        <v>110</v>
      </c>
      <c r="J24" s="143">
        <v>43951</v>
      </c>
      <c r="L24">
        <v>183</v>
      </c>
      <c r="M24" t="s">
        <v>923</v>
      </c>
      <c r="N24" t="s">
        <v>923</v>
      </c>
      <c r="O24" t="s">
        <v>78</v>
      </c>
      <c r="P24">
        <v>322</v>
      </c>
      <c r="Q24">
        <v>5.72</v>
      </c>
      <c r="R24">
        <v>2</v>
      </c>
      <c r="S24" t="s">
        <v>110</v>
      </c>
      <c r="T24">
        <v>43938</v>
      </c>
    </row>
    <row r="25" spans="2:20">
      <c r="B25">
        <v>281</v>
      </c>
      <c r="C25" t="s">
        <v>356</v>
      </c>
      <c r="D25" t="s">
        <v>356</v>
      </c>
      <c r="E25" t="s">
        <v>78</v>
      </c>
      <c r="F25">
        <v>7</v>
      </c>
      <c r="G25">
        <v>0.12</v>
      </c>
      <c r="H25">
        <v>0.12</v>
      </c>
      <c r="I25" t="s">
        <v>110</v>
      </c>
      <c r="J25" s="143">
        <v>43951</v>
      </c>
      <c r="L25">
        <v>184</v>
      </c>
      <c r="M25" t="s">
        <v>923</v>
      </c>
      <c r="N25" t="s">
        <v>923</v>
      </c>
      <c r="O25" t="s">
        <v>78</v>
      </c>
      <c r="P25">
        <v>268</v>
      </c>
      <c r="Q25">
        <v>4.76</v>
      </c>
      <c r="R25">
        <v>2</v>
      </c>
      <c r="S25" t="s">
        <v>110</v>
      </c>
      <c r="T25">
        <v>43938</v>
      </c>
    </row>
    <row r="26" spans="2:20">
      <c r="B26">
        <v>282</v>
      </c>
      <c r="C26" t="s">
        <v>356</v>
      </c>
      <c r="D26" t="s">
        <v>356</v>
      </c>
      <c r="E26" t="s">
        <v>78</v>
      </c>
      <c r="F26">
        <v>259</v>
      </c>
      <c r="G26">
        <v>4.5999999999999996</v>
      </c>
      <c r="H26">
        <v>0.5</v>
      </c>
      <c r="I26" t="s">
        <v>110</v>
      </c>
      <c r="J26" s="143">
        <v>43951</v>
      </c>
      <c r="L26">
        <v>185</v>
      </c>
      <c r="M26" t="s">
        <v>923</v>
      </c>
      <c r="N26" t="s">
        <v>923</v>
      </c>
      <c r="O26" t="s">
        <v>78</v>
      </c>
      <c r="P26">
        <v>275</v>
      </c>
      <c r="Q26">
        <v>4.88</v>
      </c>
      <c r="R26">
        <v>2</v>
      </c>
      <c r="S26" t="s">
        <v>110</v>
      </c>
      <c r="T26">
        <v>43938</v>
      </c>
    </row>
    <row r="27" spans="2:20">
      <c r="B27">
        <v>283</v>
      </c>
      <c r="C27" t="s">
        <v>356</v>
      </c>
      <c r="D27" t="s">
        <v>356</v>
      </c>
      <c r="E27" t="s">
        <v>78</v>
      </c>
      <c r="F27">
        <v>140</v>
      </c>
      <c r="G27">
        <v>2.48</v>
      </c>
      <c r="H27">
        <v>0.5</v>
      </c>
      <c r="I27" t="s">
        <v>110</v>
      </c>
      <c r="J27" s="143">
        <v>43951</v>
      </c>
      <c r="L27">
        <v>186</v>
      </c>
      <c r="M27" t="s">
        <v>923</v>
      </c>
      <c r="N27" t="s">
        <v>923</v>
      </c>
      <c r="O27" t="s">
        <v>78</v>
      </c>
      <c r="P27">
        <v>267</v>
      </c>
      <c r="Q27">
        <v>4.74</v>
      </c>
      <c r="R27">
        <v>2.5</v>
      </c>
      <c r="S27" t="s">
        <v>110</v>
      </c>
      <c r="T27">
        <v>43938</v>
      </c>
    </row>
    <row r="28" spans="2:20">
      <c r="B28">
        <v>284</v>
      </c>
      <c r="C28" t="s">
        <v>356</v>
      </c>
      <c r="D28" t="s">
        <v>356</v>
      </c>
      <c r="E28" t="s">
        <v>78</v>
      </c>
      <c r="F28">
        <v>313</v>
      </c>
      <c r="G28">
        <v>5.56</v>
      </c>
      <c r="H28">
        <v>2</v>
      </c>
      <c r="I28" t="s">
        <v>110</v>
      </c>
      <c r="J28" s="143">
        <v>43951</v>
      </c>
      <c r="L28">
        <v>192</v>
      </c>
      <c r="M28" t="s">
        <v>933</v>
      </c>
      <c r="N28" t="s">
        <v>933</v>
      </c>
      <c r="O28" t="s">
        <v>78</v>
      </c>
      <c r="P28">
        <v>194</v>
      </c>
      <c r="Q28">
        <v>3.44</v>
      </c>
      <c r="R28">
        <v>3</v>
      </c>
      <c r="S28" t="s">
        <v>110</v>
      </c>
      <c r="T28">
        <v>43938</v>
      </c>
    </row>
    <row r="29" spans="2:20">
      <c r="B29">
        <v>285</v>
      </c>
      <c r="C29" t="s">
        <v>356</v>
      </c>
      <c r="D29" t="s">
        <v>356</v>
      </c>
      <c r="E29" t="s">
        <v>78</v>
      </c>
      <c r="F29">
        <v>144</v>
      </c>
      <c r="G29">
        <v>2.56</v>
      </c>
      <c r="H29">
        <v>0.5</v>
      </c>
      <c r="I29" t="s">
        <v>110</v>
      </c>
      <c r="J29" s="143">
        <v>43951</v>
      </c>
      <c r="L29">
        <v>193</v>
      </c>
      <c r="M29" t="s">
        <v>933</v>
      </c>
      <c r="N29" t="s">
        <v>933</v>
      </c>
      <c r="O29" t="s">
        <v>78</v>
      </c>
      <c r="P29">
        <v>321</v>
      </c>
      <c r="Q29">
        <v>5.7</v>
      </c>
      <c r="R29">
        <v>6</v>
      </c>
      <c r="S29" t="s">
        <v>110</v>
      </c>
      <c r="T29">
        <v>43938</v>
      </c>
    </row>
    <row r="30" spans="2:20">
      <c r="B30">
        <v>286</v>
      </c>
      <c r="C30" t="s">
        <v>356</v>
      </c>
      <c r="D30" t="s">
        <v>356</v>
      </c>
      <c r="E30" t="s">
        <v>78</v>
      </c>
      <c r="F30">
        <v>59</v>
      </c>
      <c r="G30">
        <v>1.04</v>
      </c>
      <c r="H30">
        <v>0.5</v>
      </c>
      <c r="I30" t="s">
        <v>110</v>
      </c>
      <c r="J30" s="143">
        <v>43951</v>
      </c>
      <c r="L30">
        <v>194</v>
      </c>
      <c r="M30" t="s">
        <v>933</v>
      </c>
      <c r="N30" t="s">
        <v>933</v>
      </c>
      <c r="O30" t="s">
        <v>78</v>
      </c>
      <c r="P30">
        <v>52</v>
      </c>
      <c r="Q30">
        <v>0.92</v>
      </c>
      <c r="R30">
        <v>1</v>
      </c>
      <c r="S30" t="s">
        <v>110</v>
      </c>
      <c r="T30">
        <v>43938</v>
      </c>
    </row>
    <row r="31" spans="2:20">
      <c r="B31">
        <v>287</v>
      </c>
      <c r="C31" t="s">
        <v>356</v>
      </c>
      <c r="D31" t="s">
        <v>356</v>
      </c>
      <c r="E31" t="s">
        <v>78</v>
      </c>
      <c r="F31">
        <v>354</v>
      </c>
      <c r="G31">
        <v>6.29</v>
      </c>
      <c r="H31">
        <v>2</v>
      </c>
      <c r="I31" t="s">
        <v>110</v>
      </c>
      <c r="J31" s="143">
        <v>43951</v>
      </c>
      <c r="L31">
        <v>195</v>
      </c>
      <c r="M31" t="s">
        <v>933</v>
      </c>
      <c r="N31" t="s">
        <v>933</v>
      </c>
      <c r="O31" t="s">
        <v>78</v>
      </c>
      <c r="P31">
        <v>209</v>
      </c>
      <c r="Q31">
        <v>3.71</v>
      </c>
      <c r="R31">
        <v>3</v>
      </c>
      <c r="S31" t="s">
        <v>110</v>
      </c>
      <c r="T31">
        <v>43938</v>
      </c>
    </row>
    <row r="32" spans="2:20">
      <c r="B32">
        <v>288</v>
      </c>
      <c r="C32" t="s">
        <v>356</v>
      </c>
      <c r="D32" t="s">
        <v>356</v>
      </c>
      <c r="E32" t="s">
        <v>78</v>
      </c>
      <c r="F32">
        <v>186</v>
      </c>
      <c r="G32">
        <v>3.3</v>
      </c>
      <c r="H32">
        <v>0.5</v>
      </c>
      <c r="I32" t="s">
        <v>110</v>
      </c>
      <c r="J32" s="143">
        <v>43951</v>
      </c>
      <c r="L32">
        <v>196</v>
      </c>
      <c r="M32" t="s">
        <v>933</v>
      </c>
      <c r="N32" t="s">
        <v>933</v>
      </c>
      <c r="O32" t="s">
        <v>78</v>
      </c>
      <c r="P32">
        <v>67</v>
      </c>
      <c r="Q32">
        <v>1.19</v>
      </c>
      <c r="R32">
        <v>2</v>
      </c>
      <c r="S32" t="s">
        <v>110</v>
      </c>
      <c r="T32">
        <v>43938</v>
      </c>
    </row>
    <row r="33" spans="2:20">
      <c r="B33">
        <v>289</v>
      </c>
      <c r="C33" t="s">
        <v>356</v>
      </c>
      <c r="D33" t="s">
        <v>356</v>
      </c>
      <c r="E33" t="s">
        <v>78</v>
      </c>
      <c r="F33">
        <v>159</v>
      </c>
      <c r="G33">
        <v>2.82</v>
      </c>
      <c r="H33">
        <v>0.5</v>
      </c>
      <c r="I33" t="s">
        <v>110</v>
      </c>
      <c r="J33" s="143">
        <v>43951</v>
      </c>
      <c r="L33">
        <v>197</v>
      </c>
      <c r="M33" t="s">
        <v>933</v>
      </c>
      <c r="N33" t="s">
        <v>933</v>
      </c>
      <c r="O33" t="s">
        <v>78</v>
      </c>
      <c r="P33">
        <v>202</v>
      </c>
      <c r="Q33">
        <v>3.59</v>
      </c>
      <c r="R33">
        <v>3</v>
      </c>
      <c r="S33" t="s">
        <v>110</v>
      </c>
      <c r="T33">
        <v>43938</v>
      </c>
    </row>
    <row r="34" spans="2:20">
      <c r="B34">
        <v>290</v>
      </c>
      <c r="C34" t="s">
        <v>356</v>
      </c>
      <c r="D34" t="s">
        <v>356</v>
      </c>
      <c r="E34" t="s">
        <v>78</v>
      </c>
      <c r="F34">
        <v>199</v>
      </c>
      <c r="G34">
        <v>3.53</v>
      </c>
      <c r="H34">
        <v>0.5</v>
      </c>
      <c r="I34" t="s">
        <v>110</v>
      </c>
      <c r="J34" s="143">
        <v>43951</v>
      </c>
      <c r="L34">
        <v>257</v>
      </c>
      <c r="M34" t="s">
        <v>1045</v>
      </c>
      <c r="N34" t="s">
        <v>1045</v>
      </c>
      <c r="O34" t="s">
        <v>78</v>
      </c>
      <c r="P34">
        <v>1434</v>
      </c>
      <c r="Q34">
        <v>25.49</v>
      </c>
      <c r="R34">
        <v>3</v>
      </c>
      <c r="S34" t="s">
        <v>110</v>
      </c>
      <c r="T34">
        <v>43945</v>
      </c>
    </row>
    <row r="35" spans="2:20">
      <c r="B35">
        <v>291</v>
      </c>
      <c r="C35" t="s">
        <v>356</v>
      </c>
      <c r="D35" t="s">
        <v>356</v>
      </c>
      <c r="E35" t="s">
        <v>78</v>
      </c>
      <c r="F35">
        <v>6</v>
      </c>
      <c r="G35">
        <v>0.1</v>
      </c>
      <c r="H35">
        <v>0.5</v>
      </c>
      <c r="I35" t="s">
        <v>110</v>
      </c>
      <c r="J35" s="143">
        <v>43951</v>
      </c>
      <c r="L35">
        <v>280</v>
      </c>
      <c r="M35" t="s">
        <v>356</v>
      </c>
      <c r="N35" t="s">
        <v>356</v>
      </c>
      <c r="O35" t="s">
        <v>78</v>
      </c>
      <c r="P35">
        <v>84</v>
      </c>
      <c r="Q35">
        <v>1.49</v>
      </c>
      <c r="R35">
        <v>0.5</v>
      </c>
      <c r="S35" t="s">
        <v>110</v>
      </c>
      <c r="T35">
        <v>43951</v>
      </c>
    </row>
    <row r="36" spans="2:20">
      <c r="B36">
        <v>311</v>
      </c>
      <c r="C36" t="s">
        <v>1145</v>
      </c>
      <c r="D36" t="s">
        <v>1145</v>
      </c>
      <c r="E36" t="s">
        <v>78</v>
      </c>
      <c r="F36">
        <v>803</v>
      </c>
      <c r="G36">
        <v>14.27</v>
      </c>
      <c r="H36">
        <v>5</v>
      </c>
      <c r="I36" t="s">
        <v>110</v>
      </c>
      <c r="J36" s="143">
        <v>43942</v>
      </c>
      <c r="L36">
        <v>281</v>
      </c>
      <c r="M36" t="s">
        <v>356</v>
      </c>
      <c r="N36" t="s">
        <v>356</v>
      </c>
      <c r="O36" t="s">
        <v>78</v>
      </c>
      <c r="P36">
        <v>7</v>
      </c>
      <c r="Q36">
        <v>0.12</v>
      </c>
      <c r="R36">
        <v>0.12</v>
      </c>
      <c r="S36" t="s">
        <v>110</v>
      </c>
      <c r="T36">
        <v>43951</v>
      </c>
    </row>
    <row r="37" spans="2:20">
      <c r="B37">
        <v>330</v>
      </c>
      <c r="C37" t="s">
        <v>1189</v>
      </c>
      <c r="D37" t="s">
        <v>1189</v>
      </c>
      <c r="E37" t="s">
        <v>78</v>
      </c>
      <c r="F37">
        <v>180</v>
      </c>
      <c r="G37">
        <v>3.2</v>
      </c>
      <c r="H37">
        <v>2</v>
      </c>
      <c r="I37" t="s">
        <v>110</v>
      </c>
      <c r="J37" s="143">
        <v>43945</v>
      </c>
      <c r="L37">
        <v>282</v>
      </c>
      <c r="M37" t="s">
        <v>356</v>
      </c>
      <c r="N37" t="s">
        <v>356</v>
      </c>
      <c r="O37" t="s">
        <v>78</v>
      </c>
      <c r="P37">
        <v>259</v>
      </c>
      <c r="Q37">
        <v>4.5999999999999996</v>
      </c>
      <c r="R37">
        <v>0.5</v>
      </c>
      <c r="S37" t="s">
        <v>110</v>
      </c>
      <c r="T37">
        <v>43951</v>
      </c>
    </row>
    <row r="38" spans="2:20">
      <c r="B38">
        <v>92</v>
      </c>
      <c r="C38" t="s">
        <v>99</v>
      </c>
      <c r="D38" t="s">
        <v>99</v>
      </c>
      <c r="E38" t="s">
        <v>109</v>
      </c>
      <c r="F38">
        <v>242</v>
      </c>
      <c r="G38">
        <v>4.3</v>
      </c>
      <c r="H38">
        <v>2.5</v>
      </c>
      <c r="I38" t="s">
        <v>110</v>
      </c>
      <c r="J38" s="143">
        <v>43938</v>
      </c>
      <c r="L38">
        <v>283</v>
      </c>
      <c r="M38" t="s">
        <v>356</v>
      </c>
      <c r="N38" t="s">
        <v>356</v>
      </c>
      <c r="O38" t="s">
        <v>78</v>
      </c>
      <c r="P38">
        <v>140</v>
      </c>
      <c r="Q38">
        <v>2.48</v>
      </c>
      <c r="R38">
        <v>0.5</v>
      </c>
      <c r="S38" t="s">
        <v>110</v>
      </c>
      <c r="T38">
        <v>43951</v>
      </c>
    </row>
    <row r="39" spans="2:20">
      <c r="B39">
        <v>104</v>
      </c>
      <c r="C39" t="s">
        <v>118</v>
      </c>
      <c r="D39" t="s">
        <v>118</v>
      </c>
      <c r="E39" t="s">
        <v>109</v>
      </c>
      <c r="F39">
        <v>1011</v>
      </c>
      <c r="G39">
        <v>17.97</v>
      </c>
      <c r="H39">
        <v>0.5</v>
      </c>
      <c r="I39" t="s">
        <v>110</v>
      </c>
      <c r="J39" s="143">
        <v>43941</v>
      </c>
      <c r="L39">
        <v>284</v>
      </c>
      <c r="M39" t="s">
        <v>356</v>
      </c>
      <c r="N39" t="s">
        <v>356</v>
      </c>
      <c r="O39" t="s">
        <v>78</v>
      </c>
      <c r="P39">
        <v>313</v>
      </c>
      <c r="Q39">
        <v>5.56</v>
      </c>
      <c r="R39">
        <v>2</v>
      </c>
      <c r="S39" t="s">
        <v>110</v>
      </c>
      <c r="T39">
        <v>43951</v>
      </c>
    </row>
    <row r="40" spans="2:20">
      <c r="B40">
        <v>120</v>
      </c>
      <c r="C40" t="s">
        <v>118</v>
      </c>
      <c r="D40" t="s">
        <v>118</v>
      </c>
      <c r="E40" t="s">
        <v>109</v>
      </c>
      <c r="F40">
        <v>175</v>
      </c>
      <c r="G40">
        <v>3.11</v>
      </c>
      <c r="H40">
        <v>1</v>
      </c>
      <c r="I40" t="s">
        <v>110</v>
      </c>
      <c r="J40" s="143">
        <v>43941</v>
      </c>
      <c r="L40">
        <v>285</v>
      </c>
      <c r="M40" t="s">
        <v>356</v>
      </c>
      <c r="N40" t="s">
        <v>356</v>
      </c>
      <c r="O40" t="s">
        <v>78</v>
      </c>
      <c r="P40">
        <v>144</v>
      </c>
      <c r="Q40">
        <v>2.56</v>
      </c>
      <c r="R40">
        <v>0.5</v>
      </c>
      <c r="S40" t="s">
        <v>110</v>
      </c>
      <c r="T40">
        <v>43951</v>
      </c>
    </row>
    <row r="41" spans="2:20">
      <c r="B41">
        <v>154</v>
      </c>
      <c r="C41" t="s">
        <v>176</v>
      </c>
      <c r="D41" t="s">
        <v>176</v>
      </c>
      <c r="E41" t="s">
        <v>109</v>
      </c>
      <c r="F41">
        <v>155</v>
      </c>
      <c r="G41">
        <v>2.75</v>
      </c>
      <c r="H41">
        <v>2</v>
      </c>
      <c r="I41" t="s">
        <v>110</v>
      </c>
      <c r="J41" s="143">
        <v>43945</v>
      </c>
      <c r="L41">
        <v>286</v>
      </c>
      <c r="M41" t="s">
        <v>356</v>
      </c>
      <c r="N41" t="s">
        <v>356</v>
      </c>
      <c r="O41" t="s">
        <v>78</v>
      </c>
      <c r="P41">
        <v>59</v>
      </c>
      <c r="Q41">
        <v>1.04</v>
      </c>
      <c r="R41">
        <v>0.5</v>
      </c>
      <c r="S41" t="s">
        <v>110</v>
      </c>
      <c r="T41">
        <v>43951</v>
      </c>
    </row>
    <row r="42" spans="2:20">
      <c r="B42">
        <v>163</v>
      </c>
      <c r="C42" t="s">
        <v>176</v>
      </c>
      <c r="D42" t="s">
        <v>176</v>
      </c>
      <c r="E42" t="s">
        <v>109</v>
      </c>
      <c r="F42">
        <v>138</v>
      </c>
      <c r="G42">
        <v>2.4500000000000002</v>
      </c>
      <c r="H42">
        <v>4</v>
      </c>
      <c r="I42" t="s">
        <v>110</v>
      </c>
      <c r="J42" s="143">
        <v>43945</v>
      </c>
      <c r="L42">
        <v>287</v>
      </c>
      <c r="M42" t="s">
        <v>356</v>
      </c>
      <c r="N42" t="s">
        <v>356</v>
      </c>
      <c r="O42" t="s">
        <v>78</v>
      </c>
      <c r="P42">
        <v>354</v>
      </c>
      <c r="Q42">
        <v>6.29</v>
      </c>
      <c r="R42">
        <v>2</v>
      </c>
      <c r="S42" t="s">
        <v>110</v>
      </c>
      <c r="T42">
        <v>43951</v>
      </c>
    </row>
    <row r="43" spans="2:20">
      <c r="B43">
        <v>164</v>
      </c>
      <c r="C43" t="s">
        <v>176</v>
      </c>
      <c r="D43" t="s">
        <v>176</v>
      </c>
      <c r="E43" t="s">
        <v>109</v>
      </c>
      <c r="F43">
        <v>266</v>
      </c>
      <c r="G43">
        <v>4.72</v>
      </c>
      <c r="H43">
        <v>4.5</v>
      </c>
      <c r="I43" t="s">
        <v>110</v>
      </c>
      <c r="J43" s="143">
        <v>43945</v>
      </c>
      <c r="L43">
        <v>288</v>
      </c>
      <c r="M43" t="s">
        <v>356</v>
      </c>
      <c r="N43" t="s">
        <v>356</v>
      </c>
      <c r="O43" t="s">
        <v>78</v>
      </c>
      <c r="P43">
        <v>186</v>
      </c>
      <c r="Q43">
        <v>3.3</v>
      </c>
      <c r="R43">
        <v>0.5</v>
      </c>
      <c r="S43" t="s">
        <v>110</v>
      </c>
      <c r="T43">
        <v>43951</v>
      </c>
    </row>
    <row r="44" spans="2:20">
      <c r="B44">
        <v>165</v>
      </c>
      <c r="C44" t="s">
        <v>176</v>
      </c>
      <c r="D44" t="s">
        <v>176</v>
      </c>
      <c r="E44" t="s">
        <v>109</v>
      </c>
      <c r="F44">
        <v>152</v>
      </c>
      <c r="G44">
        <v>2.7</v>
      </c>
      <c r="H44">
        <v>2.5</v>
      </c>
      <c r="I44" t="s">
        <v>110</v>
      </c>
      <c r="J44" s="143">
        <v>43945</v>
      </c>
      <c r="L44">
        <v>289</v>
      </c>
      <c r="M44" t="s">
        <v>356</v>
      </c>
      <c r="N44" t="s">
        <v>356</v>
      </c>
      <c r="O44" t="s">
        <v>78</v>
      </c>
      <c r="P44">
        <v>159</v>
      </c>
      <c r="Q44">
        <v>2.82</v>
      </c>
      <c r="R44">
        <v>0.5</v>
      </c>
      <c r="S44" t="s">
        <v>110</v>
      </c>
      <c r="T44">
        <v>43951</v>
      </c>
    </row>
    <row r="45" spans="2:20">
      <c r="B45">
        <v>167</v>
      </c>
      <c r="C45" t="s">
        <v>176</v>
      </c>
      <c r="D45" t="s">
        <v>176</v>
      </c>
      <c r="E45" t="s">
        <v>109</v>
      </c>
      <c r="F45">
        <v>254</v>
      </c>
      <c r="G45">
        <v>4.51</v>
      </c>
      <c r="H45">
        <v>3</v>
      </c>
      <c r="I45" t="s">
        <v>110</v>
      </c>
      <c r="J45" s="143">
        <v>43945</v>
      </c>
      <c r="L45">
        <v>290</v>
      </c>
      <c r="M45" t="s">
        <v>356</v>
      </c>
      <c r="N45" t="s">
        <v>356</v>
      </c>
      <c r="O45" t="s">
        <v>78</v>
      </c>
      <c r="P45">
        <v>199</v>
      </c>
      <c r="Q45">
        <v>3.53</v>
      </c>
      <c r="R45">
        <v>0.5</v>
      </c>
      <c r="S45" t="s">
        <v>110</v>
      </c>
      <c r="T45">
        <v>43951</v>
      </c>
    </row>
    <row r="46" spans="2:20">
      <c r="B46">
        <v>168</v>
      </c>
      <c r="C46" t="s">
        <v>176</v>
      </c>
      <c r="D46" t="s">
        <v>176</v>
      </c>
      <c r="E46" t="s">
        <v>109</v>
      </c>
      <c r="F46">
        <v>38</v>
      </c>
      <c r="G46">
        <v>0.67</v>
      </c>
      <c r="H46">
        <v>1</v>
      </c>
      <c r="I46" t="s">
        <v>110</v>
      </c>
      <c r="J46" s="143">
        <v>43945</v>
      </c>
      <c r="L46">
        <v>291</v>
      </c>
      <c r="M46" t="s">
        <v>356</v>
      </c>
      <c r="N46" t="s">
        <v>356</v>
      </c>
      <c r="O46" t="s">
        <v>78</v>
      </c>
      <c r="P46">
        <v>6</v>
      </c>
      <c r="Q46">
        <v>0.1</v>
      </c>
      <c r="R46">
        <v>0.5</v>
      </c>
      <c r="S46" t="s">
        <v>110</v>
      </c>
      <c r="T46">
        <v>43951</v>
      </c>
    </row>
    <row r="47" spans="2:20">
      <c r="B47">
        <v>169</v>
      </c>
      <c r="C47" t="s">
        <v>176</v>
      </c>
      <c r="D47" t="s">
        <v>176</v>
      </c>
      <c r="E47" t="s">
        <v>109</v>
      </c>
      <c r="F47">
        <v>81</v>
      </c>
      <c r="G47">
        <v>1.44</v>
      </c>
      <c r="H47">
        <v>1.4</v>
      </c>
      <c r="I47" t="s">
        <v>110</v>
      </c>
      <c r="J47" s="143">
        <v>43945</v>
      </c>
      <c r="L47">
        <v>311</v>
      </c>
      <c r="M47" t="s">
        <v>1145</v>
      </c>
      <c r="N47" t="s">
        <v>1145</v>
      </c>
      <c r="O47" t="s">
        <v>78</v>
      </c>
      <c r="P47">
        <v>803</v>
      </c>
      <c r="Q47">
        <v>14.27</v>
      </c>
      <c r="R47">
        <v>5</v>
      </c>
      <c r="S47" t="s">
        <v>110</v>
      </c>
      <c r="T47">
        <v>43942</v>
      </c>
    </row>
    <row r="48" spans="2:20">
      <c r="B48">
        <v>173</v>
      </c>
      <c r="C48" t="s">
        <v>176</v>
      </c>
      <c r="D48" t="s">
        <v>176</v>
      </c>
      <c r="E48" t="s">
        <v>109</v>
      </c>
      <c r="F48">
        <v>123</v>
      </c>
      <c r="G48">
        <v>2.1800000000000002</v>
      </c>
      <c r="H48">
        <v>1</v>
      </c>
      <c r="I48" t="s">
        <v>110</v>
      </c>
      <c r="J48" s="143">
        <v>43945</v>
      </c>
      <c r="L48">
        <v>330</v>
      </c>
      <c r="M48" t="s">
        <v>1189</v>
      </c>
      <c r="N48" t="s">
        <v>1189</v>
      </c>
      <c r="O48" t="s">
        <v>78</v>
      </c>
      <c r="P48">
        <v>180</v>
      </c>
      <c r="Q48">
        <v>3.2</v>
      </c>
      <c r="R48">
        <v>2</v>
      </c>
      <c r="S48" t="s">
        <v>110</v>
      </c>
      <c r="T48">
        <v>43945</v>
      </c>
    </row>
    <row r="49" spans="2:20">
      <c r="B49">
        <v>174</v>
      </c>
      <c r="C49" t="s">
        <v>176</v>
      </c>
      <c r="D49" t="s">
        <v>176</v>
      </c>
      <c r="E49" t="s">
        <v>109</v>
      </c>
      <c r="F49">
        <v>371</v>
      </c>
      <c r="G49">
        <v>6.59</v>
      </c>
      <c r="H49">
        <v>6</v>
      </c>
      <c r="I49" t="s">
        <v>110</v>
      </c>
      <c r="J49" s="143">
        <v>43945</v>
      </c>
      <c r="L49">
        <v>92</v>
      </c>
      <c r="M49" t="s">
        <v>99</v>
      </c>
      <c r="N49" t="s">
        <v>99</v>
      </c>
      <c r="O49" t="s">
        <v>109</v>
      </c>
      <c r="P49">
        <v>242</v>
      </c>
      <c r="Q49">
        <v>4.3</v>
      </c>
      <c r="R49">
        <v>2.5</v>
      </c>
      <c r="S49" t="s">
        <v>110</v>
      </c>
      <c r="T49">
        <v>43938</v>
      </c>
    </row>
    <row r="50" spans="2:20">
      <c r="B50">
        <v>175</v>
      </c>
      <c r="C50" t="s">
        <v>176</v>
      </c>
      <c r="D50" t="s">
        <v>176</v>
      </c>
      <c r="E50" t="s">
        <v>109</v>
      </c>
      <c r="F50">
        <v>217</v>
      </c>
      <c r="G50">
        <v>3.85</v>
      </c>
      <c r="H50">
        <v>3</v>
      </c>
      <c r="I50" t="s">
        <v>110</v>
      </c>
      <c r="J50" s="143">
        <v>43945</v>
      </c>
      <c r="L50">
        <v>104</v>
      </c>
      <c r="M50" t="s">
        <v>118</v>
      </c>
      <c r="N50" t="s">
        <v>118</v>
      </c>
      <c r="O50" t="s">
        <v>109</v>
      </c>
      <c r="P50">
        <v>1011</v>
      </c>
      <c r="Q50">
        <v>17.97</v>
      </c>
      <c r="R50">
        <v>0.5</v>
      </c>
      <c r="S50" t="s">
        <v>110</v>
      </c>
      <c r="T50">
        <v>43941</v>
      </c>
    </row>
    <row r="51" spans="2:20">
      <c r="B51">
        <v>176</v>
      </c>
      <c r="C51" t="s">
        <v>176</v>
      </c>
      <c r="D51" t="s">
        <v>176</v>
      </c>
      <c r="E51" t="s">
        <v>109</v>
      </c>
      <c r="F51">
        <v>144</v>
      </c>
      <c r="G51">
        <v>2.56</v>
      </c>
      <c r="H51">
        <v>2</v>
      </c>
      <c r="I51" t="s">
        <v>110</v>
      </c>
      <c r="J51" s="143">
        <v>43945</v>
      </c>
      <c r="L51">
        <v>120</v>
      </c>
      <c r="M51" t="s">
        <v>118</v>
      </c>
      <c r="N51" t="s">
        <v>118</v>
      </c>
      <c r="O51" t="s">
        <v>109</v>
      </c>
      <c r="P51">
        <v>175</v>
      </c>
      <c r="Q51">
        <v>3.11</v>
      </c>
      <c r="R51">
        <v>1</v>
      </c>
      <c r="S51" t="s">
        <v>110</v>
      </c>
      <c r="T51">
        <v>43941</v>
      </c>
    </row>
    <row r="52" spans="2:20">
      <c r="B52">
        <v>177</v>
      </c>
      <c r="C52" t="s">
        <v>176</v>
      </c>
      <c r="D52" t="s">
        <v>176</v>
      </c>
      <c r="E52" t="s">
        <v>109</v>
      </c>
      <c r="F52">
        <v>97</v>
      </c>
      <c r="G52">
        <v>1.72</v>
      </c>
      <c r="H52">
        <v>1</v>
      </c>
      <c r="I52" t="s">
        <v>110</v>
      </c>
      <c r="J52" s="143">
        <v>43945</v>
      </c>
      <c r="L52">
        <v>154</v>
      </c>
      <c r="M52" t="s">
        <v>176</v>
      </c>
      <c r="N52" t="s">
        <v>176</v>
      </c>
      <c r="O52" t="s">
        <v>109</v>
      </c>
      <c r="P52">
        <v>155</v>
      </c>
      <c r="Q52">
        <v>2.75</v>
      </c>
      <c r="R52">
        <v>2</v>
      </c>
      <c r="S52" t="s">
        <v>110</v>
      </c>
      <c r="T52">
        <v>43945</v>
      </c>
    </row>
    <row r="53" spans="2:20">
      <c r="B53">
        <v>191</v>
      </c>
      <c r="C53" t="s">
        <v>234</v>
      </c>
      <c r="D53" t="s">
        <v>234</v>
      </c>
      <c r="E53" t="s">
        <v>109</v>
      </c>
      <c r="F53">
        <v>11</v>
      </c>
      <c r="G53">
        <v>0.19</v>
      </c>
      <c r="H53">
        <v>0.2</v>
      </c>
      <c r="I53" t="s">
        <v>110</v>
      </c>
      <c r="J53" s="143">
        <v>43950</v>
      </c>
      <c r="L53">
        <v>163</v>
      </c>
      <c r="M53" t="s">
        <v>176</v>
      </c>
      <c r="N53" t="s">
        <v>176</v>
      </c>
      <c r="O53" t="s">
        <v>109</v>
      </c>
      <c r="P53">
        <v>138</v>
      </c>
      <c r="Q53">
        <v>2.4500000000000002</v>
      </c>
      <c r="R53">
        <v>4</v>
      </c>
      <c r="S53" t="s">
        <v>110</v>
      </c>
      <c r="T53">
        <v>43945</v>
      </c>
    </row>
    <row r="54" spans="2:20">
      <c r="B54">
        <v>192</v>
      </c>
      <c r="C54" t="s">
        <v>234</v>
      </c>
      <c r="D54" t="s">
        <v>234</v>
      </c>
      <c r="E54" t="s">
        <v>109</v>
      </c>
      <c r="F54">
        <v>148</v>
      </c>
      <c r="G54">
        <v>2.63</v>
      </c>
      <c r="H54">
        <v>1</v>
      </c>
      <c r="I54" t="s">
        <v>110</v>
      </c>
      <c r="J54" s="143">
        <v>43950</v>
      </c>
      <c r="L54">
        <v>164</v>
      </c>
      <c r="M54" t="s">
        <v>176</v>
      </c>
      <c r="N54" t="s">
        <v>176</v>
      </c>
      <c r="O54" t="s">
        <v>109</v>
      </c>
      <c r="P54">
        <v>266</v>
      </c>
      <c r="Q54">
        <v>4.72</v>
      </c>
      <c r="R54">
        <v>4.5</v>
      </c>
      <c r="S54" t="s">
        <v>110</v>
      </c>
      <c r="T54">
        <v>43945</v>
      </c>
    </row>
    <row r="55" spans="2:20">
      <c r="B55">
        <v>193</v>
      </c>
      <c r="C55" t="s">
        <v>234</v>
      </c>
      <c r="D55" t="s">
        <v>234</v>
      </c>
      <c r="E55" t="s">
        <v>109</v>
      </c>
      <c r="F55">
        <v>33</v>
      </c>
      <c r="G55">
        <v>0.57999999999999996</v>
      </c>
      <c r="H55">
        <v>0.5</v>
      </c>
      <c r="I55" t="s">
        <v>110</v>
      </c>
      <c r="J55" s="143">
        <v>43950</v>
      </c>
      <c r="L55">
        <v>165</v>
      </c>
      <c r="M55" t="s">
        <v>176</v>
      </c>
      <c r="N55" t="s">
        <v>176</v>
      </c>
      <c r="O55" t="s">
        <v>109</v>
      </c>
      <c r="P55">
        <v>152</v>
      </c>
      <c r="Q55">
        <v>2.7</v>
      </c>
      <c r="R55">
        <v>2.5</v>
      </c>
      <c r="S55" t="s">
        <v>110</v>
      </c>
      <c r="T55">
        <v>43945</v>
      </c>
    </row>
    <row r="56" spans="2:20">
      <c r="B56">
        <v>194</v>
      </c>
      <c r="C56" t="s">
        <v>234</v>
      </c>
      <c r="D56" t="s">
        <v>234</v>
      </c>
      <c r="E56" t="s">
        <v>109</v>
      </c>
      <c r="F56">
        <v>54</v>
      </c>
      <c r="G56">
        <v>0.96</v>
      </c>
      <c r="H56">
        <v>1</v>
      </c>
      <c r="I56" t="s">
        <v>110</v>
      </c>
      <c r="J56" s="143">
        <v>43950</v>
      </c>
      <c r="L56">
        <v>167</v>
      </c>
      <c r="M56" t="s">
        <v>176</v>
      </c>
      <c r="N56" t="s">
        <v>176</v>
      </c>
      <c r="O56" t="s">
        <v>109</v>
      </c>
      <c r="P56">
        <v>254</v>
      </c>
      <c r="Q56">
        <v>4.51</v>
      </c>
      <c r="R56">
        <v>3</v>
      </c>
      <c r="S56" t="s">
        <v>110</v>
      </c>
      <c r="T56">
        <v>43945</v>
      </c>
    </row>
    <row r="57" spans="2:20">
      <c r="B57">
        <v>210</v>
      </c>
      <c r="C57" t="s">
        <v>234</v>
      </c>
      <c r="D57" t="s">
        <v>234</v>
      </c>
      <c r="E57" t="s">
        <v>109</v>
      </c>
      <c r="F57">
        <v>196</v>
      </c>
      <c r="G57">
        <v>3.48</v>
      </c>
      <c r="H57">
        <v>1</v>
      </c>
      <c r="I57" t="s">
        <v>110</v>
      </c>
      <c r="J57" s="143">
        <v>43950</v>
      </c>
      <c r="L57">
        <v>168</v>
      </c>
      <c r="M57" t="s">
        <v>176</v>
      </c>
      <c r="N57" t="s">
        <v>176</v>
      </c>
      <c r="O57" t="s">
        <v>109</v>
      </c>
      <c r="P57">
        <v>38</v>
      </c>
      <c r="Q57">
        <v>0.67</v>
      </c>
      <c r="R57">
        <v>1</v>
      </c>
      <c r="S57" t="s">
        <v>110</v>
      </c>
      <c r="T57">
        <v>43945</v>
      </c>
    </row>
    <row r="58" spans="2:20">
      <c r="B58">
        <v>211</v>
      </c>
      <c r="C58" t="s">
        <v>234</v>
      </c>
      <c r="D58" t="s">
        <v>234</v>
      </c>
      <c r="E58" t="s">
        <v>109</v>
      </c>
      <c r="F58">
        <v>173</v>
      </c>
      <c r="G58">
        <v>3.07</v>
      </c>
      <c r="H58">
        <v>1</v>
      </c>
      <c r="I58" t="s">
        <v>110</v>
      </c>
      <c r="J58" s="143">
        <v>43950</v>
      </c>
      <c r="L58">
        <v>169</v>
      </c>
      <c r="M58" t="s">
        <v>176</v>
      </c>
      <c r="N58" t="s">
        <v>176</v>
      </c>
      <c r="O58" t="s">
        <v>109</v>
      </c>
      <c r="P58">
        <v>81</v>
      </c>
      <c r="Q58">
        <v>1.44</v>
      </c>
      <c r="R58">
        <v>1.4</v>
      </c>
      <c r="S58" t="s">
        <v>110</v>
      </c>
      <c r="T58">
        <v>43945</v>
      </c>
    </row>
    <row r="59" spans="2:20">
      <c r="B59">
        <v>214</v>
      </c>
      <c r="C59" t="s">
        <v>234</v>
      </c>
      <c r="D59" t="s">
        <v>234</v>
      </c>
      <c r="E59" t="s">
        <v>109</v>
      </c>
      <c r="F59">
        <v>116</v>
      </c>
      <c r="G59">
        <v>2.06</v>
      </c>
      <c r="H59">
        <v>1</v>
      </c>
      <c r="I59" t="s">
        <v>110</v>
      </c>
      <c r="J59" s="143">
        <v>43950</v>
      </c>
      <c r="L59">
        <v>173</v>
      </c>
      <c r="M59" t="s">
        <v>176</v>
      </c>
      <c r="N59" t="s">
        <v>176</v>
      </c>
      <c r="O59" t="s">
        <v>109</v>
      </c>
      <c r="P59">
        <v>123</v>
      </c>
      <c r="Q59">
        <v>2.1800000000000002</v>
      </c>
      <c r="R59">
        <v>1</v>
      </c>
      <c r="S59" t="s">
        <v>110</v>
      </c>
      <c r="T59">
        <v>43945</v>
      </c>
    </row>
    <row r="60" spans="2:20">
      <c r="B60">
        <v>215</v>
      </c>
      <c r="C60" t="s">
        <v>234</v>
      </c>
      <c r="D60" t="s">
        <v>234</v>
      </c>
      <c r="E60" t="s">
        <v>109</v>
      </c>
      <c r="F60">
        <v>268</v>
      </c>
      <c r="G60">
        <v>4.76</v>
      </c>
      <c r="H60">
        <v>0.5</v>
      </c>
      <c r="I60" t="s">
        <v>110</v>
      </c>
      <c r="J60" s="143">
        <v>43950</v>
      </c>
      <c r="L60">
        <v>174</v>
      </c>
      <c r="M60" t="s">
        <v>176</v>
      </c>
      <c r="N60" t="s">
        <v>176</v>
      </c>
      <c r="O60" t="s">
        <v>109</v>
      </c>
      <c r="P60">
        <v>371</v>
      </c>
      <c r="Q60">
        <v>6.59</v>
      </c>
      <c r="R60">
        <v>6</v>
      </c>
      <c r="S60" t="s">
        <v>110</v>
      </c>
      <c r="T60">
        <v>43945</v>
      </c>
    </row>
    <row r="61" spans="2:20">
      <c r="B61">
        <v>216</v>
      </c>
      <c r="C61" t="s">
        <v>234</v>
      </c>
      <c r="D61" t="s">
        <v>234</v>
      </c>
      <c r="E61" t="s">
        <v>109</v>
      </c>
      <c r="F61">
        <v>237</v>
      </c>
      <c r="G61">
        <v>4.21</v>
      </c>
      <c r="H61">
        <v>0.5</v>
      </c>
      <c r="I61" t="s">
        <v>110</v>
      </c>
      <c r="J61" s="143">
        <v>43950</v>
      </c>
      <c r="L61">
        <v>175</v>
      </c>
      <c r="M61" t="s">
        <v>176</v>
      </c>
      <c r="N61" t="s">
        <v>176</v>
      </c>
      <c r="O61" t="s">
        <v>109</v>
      </c>
      <c r="P61">
        <v>217</v>
      </c>
      <c r="Q61">
        <v>3.85</v>
      </c>
      <c r="R61">
        <v>3</v>
      </c>
      <c r="S61" t="s">
        <v>110</v>
      </c>
      <c r="T61">
        <v>43945</v>
      </c>
    </row>
    <row r="62" spans="2:20">
      <c r="B62">
        <v>217</v>
      </c>
      <c r="C62" t="s">
        <v>234</v>
      </c>
      <c r="D62" t="s">
        <v>234</v>
      </c>
      <c r="E62" t="s">
        <v>109</v>
      </c>
      <c r="F62">
        <v>77</v>
      </c>
      <c r="G62">
        <v>1.36</v>
      </c>
      <c r="H62">
        <v>0.5</v>
      </c>
      <c r="I62" t="s">
        <v>110</v>
      </c>
      <c r="J62" s="143">
        <v>43950</v>
      </c>
      <c r="L62">
        <v>176</v>
      </c>
      <c r="M62" t="s">
        <v>176</v>
      </c>
      <c r="N62" t="s">
        <v>176</v>
      </c>
      <c r="O62" t="s">
        <v>109</v>
      </c>
      <c r="P62">
        <v>144</v>
      </c>
      <c r="Q62">
        <v>2.56</v>
      </c>
      <c r="R62">
        <v>2</v>
      </c>
      <c r="S62" t="s">
        <v>110</v>
      </c>
      <c r="T62">
        <v>43945</v>
      </c>
    </row>
    <row r="63" spans="2:20">
      <c r="B63">
        <v>218</v>
      </c>
      <c r="C63" t="s">
        <v>234</v>
      </c>
      <c r="D63" t="s">
        <v>234</v>
      </c>
      <c r="E63" t="s">
        <v>109</v>
      </c>
      <c r="F63">
        <v>44</v>
      </c>
      <c r="G63">
        <v>0.78</v>
      </c>
      <c r="H63">
        <v>0.5</v>
      </c>
      <c r="I63" t="s">
        <v>110</v>
      </c>
      <c r="J63" s="143">
        <v>43950</v>
      </c>
      <c r="L63">
        <v>177</v>
      </c>
      <c r="M63" t="s">
        <v>176</v>
      </c>
      <c r="N63" t="s">
        <v>176</v>
      </c>
      <c r="O63" t="s">
        <v>109</v>
      </c>
      <c r="P63">
        <v>97</v>
      </c>
      <c r="Q63">
        <v>1.72</v>
      </c>
      <c r="R63">
        <v>1</v>
      </c>
      <c r="S63" t="s">
        <v>110</v>
      </c>
      <c r="T63">
        <v>43945</v>
      </c>
    </row>
    <row r="64" spans="2:20">
      <c r="B64">
        <v>219</v>
      </c>
      <c r="C64" t="s">
        <v>234</v>
      </c>
      <c r="D64" t="s">
        <v>234</v>
      </c>
      <c r="E64" t="s">
        <v>109</v>
      </c>
      <c r="F64">
        <v>200</v>
      </c>
      <c r="G64">
        <v>3.55</v>
      </c>
      <c r="H64">
        <v>0.5</v>
      </c>
      <c r="I64" t="s">
        <v>110</v>
      </c>
      <c r="J64" s="143">
        <v>43950</v>
      </c>
      <c r="L64">
        <v>191</v>
      </c>
      <c r="M64" t="s">
        <v>234</v>
      </c>
      <c r="N64" t="s">
        <v>234</v>
      </c>
      <c r="O64" t="s">
        <v>109</v>
      </c>
      <c r="P64">
        <v>11</v>
      </c>
      <c r="Q64">
        <v>0.19</v>
      </c>
      <c r="R64">
        <v>0.2</v>
      </c>
      <c r="S64" t="s">
        <v>110</v>
      </c>
      <c r="T64">
        <v>43950</v>
      </c>
    </row>
    <row r="65" spans="2:20">
      <c r="B65">
        <v>224</v>
      </c>
      <c r="C65" t="s">
        <v>234</v>
      </c>
      <c r="D65" t="s">
        <v>234</v>
      </c>
      <c r="E65" t="s">
        <v>109</v>
      </c>
      <c r="F65">
        <v>65</v>
      </c>
      <c r="G65">
        <v>1.1499999999999999</v>
      </c>
      <c r="H65">
        <v>0.5</v>
      </c>
      <c r="I65" t="s">
        <v>110</v>
      </c>
      <c r="J65" s="143">
        <v>43950</v>
      </c>
      <c r="L65">
        <v>192</v>
      </c>
      <c r="M65" t="s">
        <v>234</v>
      </c>
      <c r="N65" t="s">
        <v>234</v>
      </c>
      <c r="O65" t="s">
        <v>109</v>
      </c>
      <c r="P65">
        <v>148</v>
      </c>
      <c r="Q65">
        <v>2.63</v>
      </c>
      <c r="R65">
        <v>1</v>
      </c>
      <c r="S65" t="s">
        <v>110</v>
      </c>
      <c r="T65">
        <v>43950</v>
      </c>
    </row>
    <row r="66" spans="2:20">
      <c r="B66">
        <v>225</v>
      </c>
      <c r="C66" t="s">
        <v>234</v>
      </c>
      <c r="D66" t="s">
        <v>234</v>
      </c>
      <c r="E66" t="s">
        <v>109</v>
      </c>
      <c r="F66">
        <v>149</v>
      </c>
      <c r="G66">
        <v>2.64</v>
      </c>
      <c r="H66">
        <v>0.7</v>
      </c>
      <c r="I66" t="s">
        <v>110</v>
      </c>
      <c r="J66" s="143">
        <v>43950</v>
      </c>
      <c r="L66">
        <v>193</v>
      </c>
      <c r="M66" t="s">
        <v>234</v>
      </c>
      <c r="N66" t="s">
        <v>234</v>
      </c>
      <c r="O66" t="s">
        <v>109</v>
      </c>
      <c r="P66">
        <v>33</v>
      </c>
      <c r="Q66">
        <v>0.57999999999999996</v>
      </c>
      <c r="R66">
        <v>0.5</v>
      </c>
      <c r="S66" t="s">
        <v>110</v>
      </c>
      <c r="T66">
        <v>43950</v>
      </c>
    </row>
    <row r="67" spans="2:20">
      <c r="B67">
        <v>226</v>
      </c>
      <c r="C67" t="s">
        <v>234</v>
      </c>
      <c r="D67" t="s">
        <v>234</v>
      </c>
      <c r="E67" t="s">
        <v>109</v>
      </c>
      <c r="F67">
        <v>200</v>
      </c>
      <c r="G67">
        <v>3.55</v>
      </c>
      <c r="H67">
        <v>0.7</v>
      </c>
      <c r="I67" t="s">
        <v>110</v>
      </c>
      <c r="J67" s="143">
        <v>43950</v>
      </c>
      <c r="L67">
        <v>194</v>
      </c>
      <c r="M67" t="s">
        <v>234</v>
      </c>
      <c r="N67" t="s">
        <v>234</v>
      </c>
      <c r="O67" t="s">
        <v>109</v>
      </c>
      <c r="P67">
        <v>54</v>
      </c>
      <c r="Q67">
        <v>0.96</v>
      </c>
      <c r="R67">
        <v>1</v>
      </c>
      <c r="S67" t="s">
        <v>110</v>
      </c>
      <c r="T67">
        <v>43950</v>
      </c>
    </row>
    <row r="68" spans="2:20">
      <c r="B68">
        <v>231</v>
      </c>
      <c r="C68" t="s">
        <v>234</v>
      </c>
      <c r="D68" t="s">
        <v>234</v>
      </c>
      <c r="E68" t="s">
        <v>109</v>
      </c>
      <c r="F68">
        <v>29</v>
      </c>
      <c r="G68">
        <v>0.51</v>
      </c>
      <c r="H68">
        <v>0.5</v>
      </c>
      <c r="I68" t="s">
        <v>110</v>
      </c>
      <c r="J68" s="143">
        <v>43950</v>
      </c>
      <c r="L68">
        <v>210</v>
      </c>
      <c r="M68" t="s">
        <v>234</v>
      </c>
      <c r="N68" t="s">
        <v>234</v>
      </c>
      <c r="O68" t="s">
        <v>109</v>
      </c>
      <c r="P68">
        <v>196</v>
      </c>
      <c r="Q68">
        <v>3.48</v>
      </c>
      <c r="R68">
        <v>1</v>
      </c>
      <c r="S68" t="s">
        <v>110</v>
      </c>
      <c r="T68">
        <v>43950</v>
      </c>
    </row>
    <row r="69" spans="2:20">
      <c r="B69">
        <v>245</v>
      </c>
      <c r="C69" t="s">
        <v>286</v>
      </c>
      <c r="D69" t="s">
        <v>286</v>
      </c>
      <c r="E69" t="s">
        <v>109</v>
      </c>
      <c r="F69">
        <v>268</v>
      </c>
      <c r="G69">
        <v>4.76</v>
      </c>
      <c r="H69">
        <v>0.5</v>
      </c>
      <c r="I69" t="s">
        <v>505</v>
      </c>
      <c r="J69" s="143">
        <v>43964</v>
      </c>
      <c r="L69">
        <v>211</v>
      </c>
      <c r="M69" t="s">
        <v>234</v>
      </c>
      <c r="N69" t="s">
        <v>234</v>
      </c>
      <c r="O69" t="s">
        <v>109</v>
      </c>
      <c r="P69">
        <v>173</v>
      </c>
      <c r="Q69">
        <v>3.07</v>
      </c>
      <c r="R69">
        <v>1</v>
      </c>
      <c r="S69" t="s">
        <v>110</v>
      </c>
      <c r="T69">
        <v>43950</v>
      </c>
    </row>
    <row r="70" spans="2:20">
      <c r="B70">
        <v>249</v>
      </c>
      <c r="C70" t="s">
        <v>286</v>
      </c>
      <c r="D70" t="s">
        <v>286</v>
      </c>
      <c r="E70" t="s">
        <v>109</v>
      </c>
      <c r="F70">
        <v>46</v>
      </c>
      <c r="G70">
        <v>0.81</v>
      </c>
      <c r="H70">
        <v>0.5</v>
      </c>
      <c r="I70" t="s">
        <v>505</v>
      </c>
      <c r="J70" s="143">
        <v>43964</v>
      </c>
      <c r="L70">
        <v>214</v>
      </c>
      <c r="M70" t="s">
        <v>234</v>
      </c>
      <c r="N70" t="s">
        <v>234</v>
      </c>
      <c r="O70" t="s">
        <v>109</v>
      </c>
      <c r="P70">
        <v>116</v>
      </c>
      <c r="Q70">
        <v>2.06</v>
      </c>
      <c r="R70">
        <v>1</v>
      </c>
      <c r="S70" t="s">
        <v>110</v>
      </c>
      <c r="T70">
        <v>43950</v>
      </c>
    </row>
    <row r="71" spans="2:20">
      <c r="B71">
        <v>250</v>
      </c>
      <c r="C71" t="s">
        <v>286</v>
      </c>
      <c r="D71" t="s">
        <v>286</v>
      </c>
      <c r="E71" t="s">
        <v>109</v>
      </c>
      <c r="F71">
        <v>12</v>
      </c>
      <c r="G71">
        <v>0.21</v>
      </c>
      <c r="H71">
        <v>0.5</v>
      </c>
      <c r="I71" t="s">
        <v>505</v>
      </c>
      <c r="J71" s="143">
        <v>43964</v>
      </c>
      <c r="L71">
        <v>215</v>
      </c>
      <c r="M71" t="s">
        <v>234</v>
      </c>
      <c r="N71" t="s">
        <v>234</v>
      </c>
      <c r="O71" t="s">
        <v>109</v>
      </c>
      <c r="P71">
        <v>268</v>
      </c>
      <c r="Q71">
        <v>4.76</v>
      </c>
      <c r="R71">
        <v>0.5</v>
      </c>
      <c r="S71" t="s">
        <v>110</v>
      </c>
      <c r="T71">
        <v>43950</v>
      </c>
    </row>
    <row r="72" spans="2:20">
      <c r="B72">
        <v>251</v>
      </c>
      <c r="C72" t="s">
        <v>286</v>
      </c>
      <c r="D72" t="s">
        <v>286</v>
      </c>
      <c r="E72" t="s">
        <v>109</v>
      </c>
      <c r="F72">
        <v>165</v>
      </c>
      <c r="G72">
        <v>2.93</v>
      </c>
      <c r="H72">
        <v>0.5</v>
      </c>
      <c r="I72" t="s">
        <v>505</v>
      </c>
      <c r="J72" s="143">
        <v>43964</v>
      </c>
      <c r="L72">
        <v>216</v>
      </c>
      <c r="M72" t="s">
        <v>234</v>
      </c>
      <c r="N72" t="s">
        <v>234</v>
      </c>
      <c r="O72" t="s">
        <v>109</v>
      </c>
      <c r="P72">
        <v>237</v>
      </c>
      <c r="Q72">
        <v>4.21</v>
      </c>
      <c r="R72">
        <v>0.5</v>
      </c>
      <c r="S72" t="s">
        <v>110</v>
      </c>
      <c r="T72">
        <v>43950</v>
      </c>
    </row>
    <row r="73" spans="2:20">
      <c r="B73">
        <v>252</v>
      </c>
      <c r="C73" t="s">
        <v>286</v>
      </c>
      <c r="D73" t="s">
        <v>286</v>
      </c>
      <c r="E73" t="s">
        <v>109</v>
      </c>
      <c r="F73">
        <v>144</v>
      </c>
      <c r="G73">
        <v>2.56</v>
      </c>
      <c r="H73">
        <v>0.5</v>
      </c>
      <c r="I73" t="s">
        <v>505</v>
      </c>
      <c r="J73" s="143">
        <v>43964</v>
      </c>
      <c r="L73">
        <v>217</v>
      </c>
      <c r="M73" t="s">
        <v>234</v>
      </c>
      <c r="N73" t="s">
        <v>234</v>
      </c>
      <c r="O73" t="s">
        <v>109</v>
      </c>
      <c r="P73">
        <v>77</v>
      </c>
      <c r="Q73">
        <v>1.36</v>
      </c>
      <c r="R73">
        <v>0.5</v>
      </c>
      <c r="S73" t="s">
        <v>110</v>
      </c>
      <c r="T73">
        <v>43950</v>
      </c>
    </row>
    <row r="74" spans="2:20">
      <c r="B74">
        <v>254</v>
      </c>
      <c r="C74" t="s">
        <v>312</v>
      </c>
      <c r="D74" t="s">
        <v>312</v>
      </c>
      <c r="E74" t="s">
        <v>109</v>
      </c>
      <c r="F74">
        <v>64</v>
      </c>
      <c r="G74">
        <v>3.93</v>
      </c>
      <c r="H74">
        <v>3</v>
      </c>
      <c r="I74" t="s">
        <v>110</v>
      </c>
      <c r="J74" s="143">
        <v>43938</v>
      </c>
      <c r="L74">
        <v>218</v>
      </c>
      <c r="M74" t="s">
        <v>234</v>
      </c>
      <c r="N74" t="s">
        <v>234</v>
      </c>
      <c r="O74" t="s">
        <v>109</v>
      </c>
      <c r="P74">
        <v>44</v>
      </c>
      <c r="Q74">
        <v>0.78</v>
      </c>
      <c r="R74">
        <v>0.5</v>
      </c>
      <c r="S74" t="s">
        <v>110</v>
      </c>
      <c r="T74">
        <v>43950</v>
      </c>
    </row>
    <row r="75" spans="2:20">
      <c r="B75">
        <v>258</v>
      </c>
      <c r="C75" t="s">
        <v>322</v>
      </c>
      <c r="D75" t="s">
        <v>322</v>
      </c>
      <c r="E75" t="s">
        <v>109</v>
      </c>
      <c r="F75">
        <v>25</v>
      </c>
      <c r="G75">
        <v>1.53</v>
      </c>
      <c r="H75">
        <v>1</v>
      </c>
      <c r="I75" t="s">
        <v>110</v>
      </c>
      <c r="J75" s="143">
        <v>43938</v>
      </c>
      <c r="L75">
        <v>219</v>
      </c>
      <c r="M75" t="s">
        <v>234</v>
      </c>
      <c r="N75" t="s">
        <v>234</v>
      </c>
      <c r="O75" t="s">
        <v>109</v>
      </c>
      <c r="P75">
        <v>200</v>
      </c>
      <c r="Q75">
        <v>3.55</v>
      </c>
      <c r="R75">
        <v>0.5</v>
      </c>
      <c r="S75" t="s">
        <v>110</v>
      </c>
      <c r="T75">
        <v>43950</v>
      </c>
    </row>
    <row r="76" spans="2:20">
      <c r="B76">
        <v>261</v>
      </c>
      <c r="C76" t="s">
        <v>330</v>
      </c>
      <c r="D76" t="s">
        <v>330</v>
      </c>
      <c r="E76" t="s">
        <v>109</v>
      </c>
      <c r="F76">
        <v>143</v>
      </c>
      <c r="G76">
        <v>2.54</v>
      </c>
      <c r="H76">
        <v>1</v>
      </c>
      <c r="I76" t="s">
        <v>110</v>
      </c>
      <c r="J76" s="143">
        <v>43941</v>
      </c>
      <c r="L76">
        <v>224</v>
      </c>
      <c r="M76" t="s">
        <v>234</v>
      </c>
      <c r="N76" t="s">
        <v>234</v>
      </c>
      <c r="O76" t="s">
        <v>109</v>
      </c>
      <c r="P76">
        <v>65</v>
      </c>
      <c r="Q76">
        <v>1.1499999999999999</v>
      </c>
      <c r="R76">
        <v>0.5</v>
      </c>
      <c r="S76" t="s">
        <v>110</v>
      </c>
      <c r="T76">
        <v>43950</v>
      </c>
    </row>
    <row r="77" spans="2:20">
      <c r="B77">
        <v>262</v>
      </c>
      <c r="C77" t="s">
        <v>330</v>
      </c>
      <c r="D77" t="s">
        <v>330</v>
      </c>
      <c r="E77" t="s">
        <v>109</v>
      </c>
      <c r="F77">
        <v>57</v>
      </c>
      <c r="G77">
        <v>1.01</v>
      </c>
      <c r="H77">
        <v>0.5</v>
      </c>
      <c r="I77" t="s">
        <v>110</v>
      </c>
      <c r="J77" s="143">
        <v>43941</v>
      </c>
      <c r="L77">
        <v>225</v>
      </c>
      <c r="M77" t="s">
        <v>234</v>
      </c>
      <c r="N77" t="s">
        <v>234</v>
      </c>
      <c r="O77" t="s">
        <v>109</v>
      </c>
      <c r="P77">
        <v>149</v>
      </c>
      <c r="Q77">
        <v>2.64</v>
      </c>
      <c r="R77">
        <v>0.7</v>
      </c>
      <c r="S77" t="s">
        <v>110</v>
      </c>
      <c r="T77">
        <v>43950</v>
      </c>
    </row>
    <row r="78" spans="2:20">
      <c r="B78">
        <v>263</v>
      </c>
      <c r="C78" t="s">
        <v>338</v>
      </c>
      <c r="D78" t="s">
        <v>338</v>
      </c>
      <c r="E78" t="s">
        <v>109</v>
      </c>
      <c r="F78">
        <v>59</v>
      </c>
      <c r="G78">
        <v>3.63</v>
      </c>
      <c r="H78">
        <v>1</v>
      </c>
      <c r="I78" t="s">
        <v>110</v>
      </c>
      <c r="J78" s="143">
        <v>43950</v>
      </c>
      <c r="L78">
        <v>226</v>
      </c>
      <c r="M78" t="s">
        <v>234</v>
      </c>
      <c r="N78" t="s">
        <v>234</v>
      </c>
      <c r="O78" t="s">
        <v>109</v>
      </c>
      <c r="P78">
        <v>200</v>
      </c>
      <c r="Q78">
        <v>3.55</v>
      </c>
      <c r="R78">
        <v>0.7</v>
      </c>
      <c r="S78" t="s">
        <v>110</v>
      </c>
      <c r="T78">
        <v>43950</v>
      </c>
    </row>
    <row r="79" spans="2:20">
      <c r="B79">
        <v>273</v>
      </c>
      <c r="C79" t="s">
        <v>356</v>
      </c>
      <c r="D79" t="s">
        <v>356</v>
      </c>
      <c r="E79" t="s">
        <v>109</v>
      </c>
      <c r="F79">
        <v>15</v>
      </c>
      <c r="G79">
        <v>0.26</v>
      </c>
      <c r="H79">
        <v>0.3</v>
      </c>
      <c r="I79" t="s">
        <v>110</v>
      </c>
      <c r="J79" s="143">
        <v>43945</v>
      </c>
      <c r="L79">
        <v>231</v>
      </c>
      <c r="M79" t="s">
        <v>234</v>
      </c>
      <c r="N79" t="s">
        <v>234</v>
      </c>
      <c r="O79" t="s">
        <v>109</v>
      </c>
      <c r="P79">
        <v>29</v>
      </c>
      <c r="Q79">
        <v>0.51</v>
      </c>
      <c r="R79">
        <v>0.5</v>
      </c>
      <c r="S79" t="s">
        <v>110</v>
      </c>
      <c r="T79">
        <v>43950</v>
      </c>
    </row>
    <row r="80" spans="2:20">
      <c r="B80">
        <v>277</v>
      </c>
      <c r="C80" t="s">
        <v>18</v>
      </c>
      <c r="D80" t="s">
        <v>18</v>
      </c>
      <c r="E80" t="s">
        <v>109</v>
      </c>
      <c r="F80">
        <v>60</v>
      </c>
      <c r="G80">
        <v>3.69</v>
      </c>
      <c r="H80">
        <v>3</v>
      </c>
      <c r="I80" t="s">
        <v>550</v>
      </c>
      <c r="J80" s="143">
        <v>43949</v>
      </c>
      <c r="L80">
        <v>245</v>
      </c>
      <c r="M80" t="s">
        <v>286</v>
      </c>
      <c r="N80" t="s">
        <v>286</v>
      </c>
      <c r="O80" t="s">
        <v>109</v>
      </c>
      <c r="P80">
        <v>268</v>
      </c>
      <c r="Q80">
        <v>4.76</v>
      </c>
      <c r="R80">
        <v>0.5</v>
      </c>
      <c r="S80" t="s">
        <v>505</v>
      </c>
      <c r="T80">
        <v>43964</v>
      </c>
    </row>
    <row r="81" spans="2:20">
      <c r="B81">
        <v>23</v>
      </c>
      <c r="C81" t="s">
        <v>616</v>
      </c>
      <c r="D81" t="s">
        <v>616</v>
      </c>
      <c r="E81" t="s">
        <v>109</v>
      </c>
      <c r="F81">
        <v>324</v>
      </c>
      <c r="G81">
        <v>5.76</v>
      </c>
      <c r="H81">
        <v>3</v>
      </c>
      <c r="I81" t="s">
        <v>550</v>
      </c>
      <c r="J81" s="143">
        <v>43959</v>
      </c>
      <c r="L81">
        <v>249</v>
      </c>
      <c r="M81" t="s">
        <v>286</v>
      </c>
      <c r="N81" t="s">
        <v>286</v>
      </c>
      <c r="O81" t="s">
        <v>109</v>
      </c>
      <c r="P81">
        <v>46</v>
      </c>
      <c r="Q81">
        <v>0.81</v>
      </c>
      <c r="R81">
        <v>0.5</v>
      </c>
      <c r="S81" t="s">
        <v>505</v>
      </c>
      <c r="T81">
        <v>43964</v>
      </c>
    </row>
    <row r="82" spans="2:20">
      <c r="B82">
        <v>32</v>
      </c>
      <c r="C82" t="s">
        <v>634</v>
      </c>
      <c r="D82" t="s">
        <v>634</v>
      </c>
      <c r="E82" t="s">
        <v>109</v>
      </c>
      <c r="F82">
        <v>159</v>
      </c>
      <c r="G82">
        <v>2.82</v>
      </c>
      <c r="H82">
        <v>1</v>
      </c>
      <c r="I82" t="s">
        <v>505</v>
      </c>
      <c r="J82" s="143">
        <v>43966</v>
      </c>
      <c r="L82">
        <v>250</v>
      </c>
      <c r="M82" t="s">
        <v>286</v>
      </c>
      <c r="N82" t="s">
        <v>286</v>
      </c>
      <c r="O82" t="s">
        <v>109</v>
      </c>
      <c r="P82">
        <v>12</v>
      </c>
      <c r="Q82">
        <v>0.21</v>
      </c>
      <c r="R82">
        <v>0.5</v>
      </c>
      <c r="S82" t="s">
        <v>505</v>
      </c>
      <c r="T82">
        <v>43964</v>
      </c>
    </row>
    <row r="83" spans="2:20">
      <c r="B83">
        <v>34</v>
      </c>
      <c r="C83" t="s">
        <v>634</v>
      </c>
      <c r="D83" t="s">
        <v>634</v>
      </c>
      <c r="E83" t="s">
        <v>109</v>
      </c>
      <c r="F83">
        <v>44</v>
      </c>
      <c r="G83">
        <v>0.78</v>
      </c>
      <c r="H83">
        <v>1</v>
      </c>
      <c r="I83" t="s">
        <v>505</v>
      </c>
      <c r="J83" s="143">
        <v>43966</v>
      </c>
      <c r="L83">
        <v>251</v>
      </c>
      <c r="M83" t="s">
        <v>286</v>
      </c>
      <c r="N83" t="s">
        <v>286</v>
      </c>
      <c r="O83" t="s">
        <v>109</v>
      </c>
      <c r="P83">
        <v>165</v>
      </c>
      <c r="Q83">
        <v>2.93</v>
      </c>
      <c r="R83">
        <v>0.5</v>
      </c>
      <c r="S83" t="s">
        <v>505</v>
      </c>
      <c r="T83">
        <v>43964</v>
      </c>
    </row>
    <row r="84" spans="2:20">
      <c r="B84">
        <v>35</v>
      </c>
      <c r="C84" t="s">
        <v>634</v>
      </c>
      <c r="D84" t="s">
        <v>634</v>
      </c>
      <c r="E84" t="s">
        <v>109</v>
      </c>
      <c r="F84">
        <v>119</v>
      </c>
      <c r="G84">
        <v>2.11</v>
      </c>
      <c r="H84">
        <v>2</v>
      </c>
      <c r="I84" t="s">
        <v>505</v>
      </c>
      <c r="J84" s="143">
        <v>43966</v>
      </c>
      <c r="L84">
        <v>252</v>
      </c>
      <c r="M84" t="s">
        <v>286</v>
      </c>
      <c r="N84" t="s">
        <v>286</v>
      </c>
      <c r="O84" t="s">
        <v>109</v>
      </c>
      <c r="P84">
        <v>144</v>
      </c>
      <c r="Q84">
        <v>2.56</v>
      </c>
      <c r="R84">
        <v>0.5</v>
      </c>
      <c r="S84" t="s">
        <v>505</v>
      </c>
      <c r="T84">
        <v>43964</v>
      </c>
    </row>
    <row r="85" spans="2:20">
      <c r="B85">
        <v>37</v>
      </c>
      <c r="C85" t="s">
        <v>634</v>
      </c>
      <c r="D85" t="s">
        <v>634</v>
      </c>
      <c r="E85" t="s">
        <v>109</v>
      </c>
      <c r="F85">
        <v>265</v>
      </c>
      <c r="G85">
        <v>4.71</v>
      </c>
      <c r="H85">
        <v>3</v>
      </c>
      <c r="I85" t="s">
        <v>505</v>
      </c>
      <c r="J85" s="143">
        <v>43966</v>
      </c>
      <c r="L85">
        <v>254</v>
      </c>
      <c r="M85" t="s">
        <v>312</v>
      </c>
      <c r="N85" t="s">
        <v>312</v>
      </c>
      <c r="O85" t="s">
        <v>109</v>
      </c>
      <c r="P85">
        <v>64</v>
      </c>
      <c r="Q85">
        <v>3.93</v>
      </c>
      <c r="R85">
        <v>3</v>
      </c>
      <c r="S85" t="s">
        <v>110</v>
      </c>
      <c r="T85">
        <v>43938</v>
      </c>
    </row>
    <row r="86" spans="2:20">
      <c r="B86">
        <v>38</v>
      </c>
      <c r="C86" t="s">
        <v>634</v>
      </c>
      <c r="D86" t="s">
        <v>634</v>
      </c>
      <c r="E86" t="s">
        <v>109</v>
      </c>
      <c r="F86">
        <v>368</v>
      </c>
      <c r="G86">
        <v>6.54</v>
      </c>
      <c r="H86">
        <v>6</v>
      </c>
      <c r="I86" t="s">
        <v>505</v>
      </c>
      <c r="J86" s="143">
        <v>43966</v>
      </c>
      <c r="L86">
        <v>258</v>
      </c>
      <c r="M86" t="s">
        <v>322</v>
      </c>
      <c r="N86" t="s">
        <v>322</v>
      </c>
      <c r="O86" t="s">
        <v>109</v>
      </c>
      <c r="P86">
        <v>25</v>
      </c>
      <c r="Q86">
        <v>1.53</v>
      </c>
      <c r="R86">
        <v>1</v>
      </c>
      <c r="S86" t="s">
        <v>110</v>
      </c>
      <c r="T86">
        <v>43938</v>
      </c>
    </row>
    <row r="87" spans="2:20">
      <c r="B87">
        <v>53</v>
      </c>
      <c r="C87" t="s">
        <v>634</v>
      </c>
      <c r="D87" t="s">
        <v>634</v>
      </c>
      <c r="E87" t="s">
        <v>109</v>
      </c>
      <c r="F87">
        <v>767</v>
      </c>
      <c r="G87">
        <v>13.63</v>
      </c>
      <c r="H87">
        <v>1</v>
      </c>
      <c r="I87" t="s">
        <v>505</v>
      </c>
      <c r="J87" s="143">
        <v>43966</v>
      </c>
      <c r="L87">
        <v>261</v>
      </c>
      <c r="M87" t="s">
        <v>330</v>
      </c>
      <c r="N87" t="s">
        <v>330</v>
      </c>
      <c r="O87" t="s">
        <v>109</v>
      </c>
      <c r="P87">
        <v>143</v>
      </c>
      <c r="Q87">
        <v>2.54</v>
      </c>
      <c r="R87">
        <v>1</v>
      </c>
      <c r="S87" t="s">
        <v>110</v>
      </c>
      <c r="T87">
        <v>43941</v>
      </c>
    </row>
    <row r="88" spans="2:20">
      <c r="B88">
        <v>85</v>
      </c>
      <c r="C88" t="s">
        <v>748</v>
      </c>
      <c r="D88" t="s">
        <v>748</v>
      </c>
      <c r="E88" t="s">
        <v>109</v>
      </c>
      <c r="F88">
        <v>456</v>
      </c>
      <c r="G88">
        <v>8.1</v>
      </c>
      <c r="H88">
        <v>4</v>
      </c>
      <c r="I88" t="s">
        <v>550</v>
      </c>
      <c r="J88" s="143">
        <v>43958</v>
      </c>
      <c r="L88">
        <v>262</v>
      </c>
      <c r="M88" t="s">
        <v>330</v>
      </c>
      <c r="N88" t="s">
        <v>330</v>
      </c>
      <c r="O88" t="s">
        <v>109</v>
      </c>
      <c r="P88">
        <v>57</v>
      </c>
      <c r="Q88">
        <v>1.01</v>
      </c>
      <c r="R88">
        <v>0.5</v>
      </c>
      <c r="S88" t="s">
        <v>110</v>
      </c>
      <c r="T88">
        <v>43941</v>
      </c>
    </row>
    <row r="89" spans="2:20">
      <c r="B89">
        <v>86</v>
      </c>
      <c r="C89" t="s">
        <v>48</v>
      </c>
      <c r="D89" t="s">
        <v>48</v>
      </c>
      <c r="E89" t="s">
        <v>109</v>
      </c>
      <c r="F89">
        <v>456</v>
      </c>
      <c r="G89">
        <v>8.1</v>
      </c>
      <c r="H89">
        <v>0.5</v>
      </c>
      <c r="I89" t="s">
        <v>550</v>
      </c>
      <c r="J89" s="143">
        <v>43958</v>
      </c>
      <c r="L89">
        <v>263</v>
      </c>
      <c r="M89" t="s">
        <v>338</v>
      </c>
      <c r="N89" t="s">
        <v>338</v>
      </c>
      <c r="O89" t="s">
        <v>109</v>
      </c>
      <c r="P89">
        <v>59</v>
      </c>
      <c r="Q89">
        <v>3.63</v>
      </c>
      <c r="R89">
        <v>1</v>
      </c>
      <c r="S89" t="s">
        <v>110</v>
      </c>
      <c r="T89">
        <v>43950</v>
      </c>
    </row>
    <row r="90" spans="2:20">
      <c r="B90">
        <v>87</v>
      </c>
      <c r="C90" t="s">
        <v>18</v>
      </c>
      <c r="D90" t="s">
        <v>18</v>
      </c>
      <c r="E90" t="s">
        <v>109</v>
      </c>
      <c r="F90">
        <v>456</v>
      </c>
      <c r="G90">
        <v>8.1</v>
      </c>
      <c r="H90">
        <v>0.5</v>
      </c>
      <c r="I90" t="s">
        <v>550</v>
      </c>
      <c r="J90" s="143">
        <v>43964</v>
      </c>
      <c r="L90">
        <v>273</v>
      </c>
      <c r="M90" t="s">
        <v>356</v>
      </c>
      <c r="N90" t="s">
        <v>356</v>
      </c>
      <c r="O90" t="s">
        <v>109</v>
      </c>
      <c r="P90">
        <v>15</v>
      </c>
      <c r="Q90">
        <v>0.26</v>
      </c>
      <c r="R90">
        <v>0.3</v>
      </c>
      <c r="S90" t="s">
        <v>110</v>
      </c>
      <c r="T90">
        <v>43945</v>
      </c>
    </row>
    <row r="91" spans="2:20">
      <c r="B91">
        <v>93</v>
      </c>
      <c r="C91" t="s">
        <v>18</v>
      </c>
      <c r="D91" t="s">
        <v>18</v>
      </c>
      <c r="E91" t="s">
        <v>109</v>
      </c>
      <c r="F91">
        <v>588</v>
      </c>
      <c r="G91">
        <v>10.45</v>
      </c>
      <c r="H91">
        <v>1</v>
      </c>
      <c r="I91" t="s">
        <v>550</v>
      </c>
      <c r="J91" s="143">
        <v>43964</v>
      </c>
      <c r="L91">
        <v>277</v>
      </c>
      <c r="M91" t="s">
        <v>18</v>
      </c>
      <c r="N91" t="s">
        <v>18</v>
      </c>
      <c r="O91" t="s">
        <v>109</v>
      </c>
      <c r="P91">
        <v>60</v>
      </c>
      <c r="Q91">
        <v>3.69</v>
      </c>
      <c r="R91">
        <v>3</v>
      </c>
      <c r="S91" t="s">
        <v>550</v>
      </c>
      <c r="T91">
        <v>43949</v>
      </c>
    </row>
    <row r="92" spans="2:20">
      <c r="B92">
        <v>165</v>
      </c>
      <c r="C92" t="s">
        <v>883</v>
      </c>
      <c r="D92" t="s">
        <v>883</v>
      </c>
      <c r="E92" t="s">
        <v>903</v>
      </c>
      <c r="F92">
        <v>12</v>
      </c>
      <c r="G92">
        <v>0.21</v>
      </c>
      <c r="H92">
        <v>1</v>
      </c>
      <c r="I92" t="s">
        <v>110</v>
      </c>
      <c r="J92" s="143">
        <v>43938</v>
      </c>
      <c r="L92">
        <v>23</v>
      </c>
      <c r="M92" t="s">
        <v>616</v>
      </c>
      <c r="N92" t="s">
        <v>616</v>
      </c>
      <c r="O92" t="s">
        <v>109</v>
      </c>
      <c r="P92">
        <v>324</v>
      </c>
      <c r="Q92">
        <v>5.76</v>
      </c>
      <c r="R92">
        <v>3</v>
      </c>
      <c r="S92" t="s">
        <v>550</v>
      </c>
      <c r="T92">
        <v>43959</v>
      </c>
    </row>
    <row r="93" spans="2:20">
      <c r="B93">
        <v>166</v>
      </c>
      <c r="C93" t="s">
        <v>883</v>
      </c>
      <c r="D93" t="s">
        <v>883</v>
      </c>
      <c r="E93" t="s">
        <v>903</v>
      </c>
      <c r="F93">
        <v>37</v>
      </c>
      <c r="G93">
        <v>0.65</v>
      </c>
      <c r="H93">
        <v>1</v>
      </c>
      <c r="I93" t="s">
        <v>110</v>
      </c>
      <c r="J93" s="143">
        <v>43938</v>
      </c>
      <c r="L93">
        <v>32</v>
      </c>
      <c r="M93" t="s">
        <v>634</v>
      </c>
      <c r="N93" t="s">
        <v>634</v>
      </c>
      <c r="O93" t="s">
        <v>109</v>
      </c>
      <c r="P93">
        <v>159</v>
      </c>
      <c r="Q93">
        <v>2.82</v>
      </c>
      <c r="R93">
        <v>1</v>
      </c>
      <c r="S93" t="s">
        <v>505</v>
      </c>
      <c r="T93">
        <v>43966</v>
      </c>
    </row>
    <row r="94" spans="2:20">
      <c r="B94">
        <v>167</v>
      </c>
      <c r="C94" t="s">
        <v>883</v>
      </c>
      <c r="D94" t="s">
        <v>883</v>
      </c>
      <c r="E94" t="s">
        <v>903</v>
      </c>
      <c r="F94">
        <v>3</v>
      </c>
      <c r="G94">
        <v>0.05</v>
      </c>
      <c r="H94">
        <v>0.1</v>
      </c>
      <c r="I94" t="s">
        <v>110</v>
      </c>
      <c r="J94" s="143">
        <v>43938</v>
      </c>
      <c r="L94">
        <v>34</v>
      </c>
      <c r="M94" t="s">
        <v>634</v>
      </c>
      <c r="N94" t="s">
        <v>634</v>
      </c>
      <c r="O94" t="s">
        <v>109</v>
      </c>
      <c r="P94">
        <v>44</v>
      </c>
      <c r="Q94">
        <v>0.78</v>
      </c>
      <c r="R94">
        <v>1</v>
      </c>
      <c r="S94" t="s">
        <v>505</v>
      </c>
      <c r="T94">
        <v>43966</v>
      </c>
    </row>
    <row r="95" spans="2:20">
      <c r="B95">
        <v>168</v>
      </c>
      <c r="C95" t="s">
        <v>906</v>
      </c>
      <c r="D95" t="s">
        <v>906</v>
      </c>
      <c r="E95" t="s">
        <v>903</v>
      </c>
      <c r="F95">
        <v>322</v>
      </c>
      <c r="G95">
        <v>5.72</v>
      </c>
      <c r="H95">
        <v>1</v>
      </c>
      <c r="I95" t="s">
        <v>110</v>
      </c>
      <c r="J95" s="143">
        <v>43938</v>
      </c>
      <c r="L95">
        <v>35</v>
      </c>
      <c r="M95" t="s">
        <v>634</v>
      </c>
      <c r="N95" t="s">
        <v>634</v>
      </c>
      <c r="O95" t="s">
        <v>109</v>
      </c>
      <c r="P95">
        <v>119</v>
      </c>
      <c r="Q95">
        <v>2.11</v>
      </c>
      <c r="R95">
        <v>2</v>
      </c>
      <c r="S95" t="s">
        <v>505</v>
      </c>
      <c r="T95">
        <v>43966</v>
      </c>
    </row>
    <row r="96" spans="2:20">
      <c r="B96">
        <v>169</v>
      </c>
      <c r="C96" t="s">
        <v>312</v>
      </c>
      <c r="D96" t="s">
        <v>312</v>
      </c>
      <c r="E96" t="s">
        <v>903</v>
      </c>
      <c r="F96">
        <v>25</v>
      </c>
      <c r="G96">
        <v>0.44</v>
      </c>
      <c r="H96">
        <v>0.2</v>
      </c>
      <c r="I96" t="s">
        <v>110</v>
      </c>
      <c r="J96" s="143">
        <v>43938</v>
      </c>
      <c r="L96">
        <v>37</v>
      </c>
      <c r="M96" t="s">
        <v>634</v>
      </c>
      <c r="N96" t="s">
        <v>634</v>
      </c>
      <c r="O96" t="s">
        <v>109</v>
      </c>
      <c r="P96">
        <v>265</v>
      </c>
      <c r="Q96">
        <v>4.71</v>
      </c>
      <c r="R96">
        <v>3</v>
      </c>
      <c r="S96" t="s">
        <v>505</v>
      </c>
      <c r="T96">
        <v>43966</v>
      </c>
    </row>
    <row r="97" spans="2:20">
      <c r="B97">
        <v>170</v>
      </c>
      <c r="C97" t="s">
        <v>312</v>
      </c>
      <c r="D97" t="s">
        <v>312</v>
      </c>
      <c r="E97" t="s">
        <v>903</v>
      </c>
      <c r="F97">
        <v>28</v>
      </c>
      <c r="G97">
        <v>0.49</v>
      </c>
      <c r="H97">
        <v>0.2</v>
      </c>
      <c r="I97" t="s">
        <v>110</v>
      </c>
      <c r="J97" s="143">
        <v>43938</v>
      </c>
      <c r="L97">
        <v>38</v>
      </c>
      <c r="M97" t="s">
        <v>634</v>
      </c>
      <c r="N97" t="s">
        <v>634</v>
      </c>
      <c r="O97" t="s">
        <v>109</v>
      </c>
      <c r="P97">
        <v>368</v>
      </c>
      <c r="Q97">
        <v>6.54</v>
      </c>
      <c r="R97">
        <v>6</v>
      </c>
      <c r="S97" t="s">
        <v>505</v>
      </c>
      <c r="T97">
        <v>43966</v>
      </c>
    </row>
    <row r="98" spans="2:20">
      <c r="B98">
        <v>171</v>
      </c>
      <c r="C98" t="s">
        <v>312</v>
      </c>
      <c r="D98" t="s">
        <v>312</v>
      </c>
      <c r="E98" t="s">
        <v>903</v>
      </c>
      <c r="F98">
        <v>46</v>
      </c>
      <c r="G98">
        <v>0.81</v>
      </c>
      <c r="H98">
        <v>0.1</v>
      </c>
      <c r="I98" t="s">
        <v>110</v>
      </c>
      <c r="J98" s="143">
        <v>43938</v>
      </c>
      <c r="L98">
        <v>53</v>
      </c>
      <c r="M98" t="s">
        <v>634</v>
      </c>
      <c r="N98" t="s">
        <v>634</v>
      </c>
      <c r="O98" t="s">
        <v>109</v>
      </c>
      <c r="P98">
        <v>767</v>
      </c>
      <c r="Q98">
        <v>13.63</v>
      </c>
      <c r="R98">
        <v>1</v>
      </c>
      <c r="S98" t="s">
        <v>505</v>
      </c>
      <c r="T98">
        <v>43966</v>
      </c>
    </row>
    <row r="99" spans="2:20">
      <c r="B99">
        <v>172</v>
      </c>
      <c r="C99" t="s">
        <v>312</v>
      </c>
      <c r="D99" t="s">
        <v>312</v>
      </c>
      <c r="E99" t="s">
        <v>903</v>
      </c>
      <c r="F99">
        <v>31</v>
      </c>
      <c r="G99">
        <v>0.55000000000000004</v>
      </c>
      <c r="H99">
        <v>0.1</v>
      </c>
      <c r="I99" t="s">
        <v>110</v>
      </c>
      <c r="J99" s="143">
        <v>43938</v>
      </c>
      <c r="L99">
        <v>85</v>
      </c>
      <c r="M99" t="s">
        <v>748</v>
      </c>
      <c r="N99" t="s">
        <v>748</v>
      </c>
      <c r="O99" t="s">
        <v>109</v>
      </c>
      <c r="P99">
        <v>456</v>
      </c>
      <c r="Q99">
        <v>8.1</v>
      </c>
      <c r="R99">
        <v>4</v>
      </c>
      <c r="S99" t="s">
        <v>550</v>
      </c>
      <c r="T99">
        <v>43958</v>
      </c>
    </row>
    <row r="100" spans="2:20">
      <c r="B100">
        <v>173</v>
      </c>
      <c r="C100" t="s">
        <v>312</v>
      </c>
      <c r="D100" t="s">
        <v>312</v>
      </c>
      <c r="E100" t="s">
        <v>903</v>
      </c>
      <c r="F100">
        <v>102</v>
      </c>
      <c r="G100">
        <v>1.81</v>
      </c>
      <c r="H100">
        <v>1</v>
      </c>
      <c r="I100" t="s">
        <v>110</v>
      </c>
      <c r="J100" s="143">
        <v>43938</v>
      </c>
      <c r="L100">
        <v>86</v>
      </c>
      <c r="M100" t="s">
        <v>48</v>
      </c>
      <c r="N100" t="s">
        <v>48</v>
      </c>
      <c r="O100" t="s">
        <v>109</v>
      </c>
      <c r="P100">
        <v>456</v>
      </c>
      <c r="Q100">
        <v>8.1</v>
      </c>
      <c r="R100">
        <v>0.5</v>
      </c>
      <c r="S100" t="s">
        <v>550</v>
      </c>
      <c r="T100">
        <v>43958</v>
      </c>
    </row>
    <row r="101" spans="2:20">
      <c r="B101">
        <v>174</v>
      </c>
      <c r="C101" t="s">
        <v>312</v>
      </c>
      <c r="D101" t="s">
        <v>312</v>
      </c>
      <c r="E101" t="s">
        <v>903</v>
      </c>
      <c r="F101">
        <v>66</v>
      </c>
      <c r="G101">
        <v>1.17</v>
      </c>
      <c r="H101">
        <v>1</v>
      </c>
      <c r="I101" t="s">
        <v>110</v>
      </c>
      <c r="J101" s="143">
        <v>43938</v>
      </c>
      <c r="L101">
        <v>87</v>
      </c>
      <c r="M101" t="s">
        <v>18</v>
      </c>
      <c r="N101" t="s">
        <v>18</v>
      </c>
      <c r="O101" t="s">
        <v>109</v>
      </c>
      <c r="P101">
        <v>456</v>
      </c>
      <c r="Q101">
        <v>8.1</v>
      </c>
      <c r="R101">
        <v>0.5</v>
      </c>
      <c r="S101" t="s">
        <v>550</v>
      </c>
      <c r="T101">
        <v>43964</v>
      </c>
    </row>
    <row r="102" spans="2:20">
      <c r="B102">
        <v>175</v>
      </c>
      <c r="C102" t="s">
        <v>312</v>
      </c>
      <c r="D102" t="s">
        <v>312</v>
      </c>
      <c r="E102" t="s">
        <v>903</v>
      </c>
      <c r="F102">
        <v>19</v>
      </c>
      <c r="G102">
        <v>0.33</v>
      </c>
      <c r="H102">
        <v>0.1</v>
      </c>
      <c r="I102" t="s">
        <v>110</v>
      </c>
      <c r="J102" s="143">
        <v>43938</v>
      </c>
      <c r="L102">
        <v>93</v>
      </c>
      <c r="M102" t="s">
        <v>18</v>
      </c>
      <c r="N102" t="s">
        <v>18</v>
      </c>
      <c r="O102" t="s">
        <v>109</v>
      </c>
      <c r="P102">
        <v>588</v>
      </c>
      <c r="Q102">
        <v>10.45</v>
      </c>
      <c r="R102">
        <v>1</v>
      </c>
      <c r="S102" t="s">
        <v>550</v>
      </c>
      <c r="T102">
        <v>43964</v>
      </c>
    </row>
    <row r="103" spans="2:20">
      <c r="B103">
        <v>180</v>
      </c>
      <c r="C103" t="s">
        <v>923</v>
      </c>
      <c r="D103" t="s">
        <v>923</v>
      </c>
      <c r="E103" t="s">
        <v>903</v>
      </c>
      <c r="F103">
        <v>102</v>
      </c>
      <c r="G103">
        <v>1.81</v>
      </c>
      <c r="H103">
        <v>1</v>
      </c>
      <c r="I103" t="s">
        <v>110</v>
      </c>
      <c r="J103" s="143">
        <v>43938</v>
      </c>
      <c r="L103">
        <v>165</v>
      </c>
      <c r="M103" t="s">
        <v>883</v>
      </c>
      <c r="N103" t="s">
        <v>883</v>
      </c>
      <c r="O103" t="s">
        <v>903</v>
      </c>
      <c r="P103">
        <v>12</v>
      </c>
      <c r="Q103">
        <v>0.21</v>
      </c>
      <c r="R103">
        <v>1</v>
      </c>
      <c r="S103" t="s">
        <v>110</v>
      </c>
      <c r="T103">
        <v>43938</v>
      </c>
    </row>
    <row r="104" spans="2:20">
      <c r="B104">
        <v>181</v>
      </c>
      <c r="C104" t="s">
        <v>923</v>
      </c>
      <c r="D104" t="s">
        <v>923</v>
      </c>
      <c r="E104" t="s">
        <v>903</v>
      </c>
      <c r="F104">
        <v>66</v>
      </c>
      <c r="G104">
        <v>1.17</v>
      </c>
      <c r="H104">
        <v>1</v>
      </c>
      <c r="I104" t="s">
        <v>110</v>
      </c>
      <c r="J104" s="143">
        <v>43938</v>
      </c>
      <c r="L104">
        <v>166</v>
      </c>
      <c r="M104" t="s">
        <v>883</v>
      </c>
      <c r="N104" t="s">
        <v>883</v>
      </c>
      <c r="O104" t="s">
        <v>903</v>
      </c>
      <c r="P104">
        <v>37</v>
      </c>
      <c r="Q104">
        <v>0.65</v>
      </c>
      <c r="R104">
        <v>1</v>
      </c>
      <c r="S104" t="s">
        <v>110</v>
      </c>
      <c r="T104">
        <v>43938</v>
      </c>
    </row>
    <row r="105" spans="2:20">
      <c r="B105">
        <v>182</v>
      </c>
      <c r="C105" t="s">
        <v>923</v>
      </c>
      <c r="D105" t="s">
        <v>923</v>
      </c>
      <c r="E105" t="s">
        <v>903</v>
      </c>
      <c r="F105">
        <v>19</v>
      </c>
      <c r="G105">
        <v>0.33</v>
      </c>
      <c r="H105">
        <v>0.1</v>
      </c>
      <c r="I105" t="s">
        <v>110</v>
      </c>
      <c r="J105" s="143">
        <v>43938</v>
      </c>
      <c r="L105">
        <v>167</v>
      </c>
      <c r="M105" t="s">
        <v>883</v>
      </c>
      <c r="N105" t="s">
        <v>883</v>
      </c>
      <c r="O105" t="s">
        <v>903</v>
      </c>
      <c r="P105">
        <v>3</v>
      </c>
      <c r="Q105">
        <v>0.05</v>
      </c>
      <c r="R105">
        <v>0.1</v>
      </c>
      <c r="S105" t="s">
        <v>110</v>
      </c>
      <c r="T105">
        <v>43938</v>
      </c>
    </row>
    <row r="106" spans="2:20">
      <c r="B106">
        <v>187</v>
      </c>
      <c r="C106" t="s">
        <v>933</v>
      </c>
      <c r="D106" t="s">
        <v>933</v>
      </c>
      <c r="E106" t="s">
        <v>903</v>
      </c>
      <c r="F106">
        <v>200</v>
      </c>
      <c r="G106">
        <v>3.55</v>
      </c>
      <c r="H106">
        <v>1</v>
      </c>
      <c r="I106" t="s">
        <v>110</v>
      </c>
      <c r="J106" s="143">
        <v>43938</v>
      </c>
      <c r="L106">
        <v>168</v>
      </c>
      <c r="M106" t="s">
        <v>906</v>
      </c>
      <c r="N106" t="s">
        <v>906</v>
      </c>
      <c r="O106" t="s">
        <v>903</v>
      </c>
      <c r="P106">
        <v>322</v>
      </c>
      <c r="Q106">
        <v>5.72</v>
      </c>
      <c r="R106">
        <v>1</v>
      </c>
      <c r="S106" t="s">
        <v>110</v>
      </c>
      <c r="T106">
        <v>43938</v>
      </c>
    </row>
    <row r="107" spans="2:20">
      <c r="B107">
        <v>188</v>
      </c>
      <c r="C107" t="s">
        <v>933</v>
      </c>
      <c r="D107" t="s">
        <v>933</v>
      </c>
      <c r="E107" t="s">
        <v>903</v>
      </c>
      <c r="F107">
        <v>137</v>
      </c>
      <c r="G107">
        <v>2.4300000000000002</v>
      </c>
      <c r="H107">
        <v>1</v>
      </c>
      <c r="I107" t="s">
        <v>110</v>
      </c>
      <c r="J107" s="143">
        <v>43938</v>
      </c>
      <c r="L107">
        <v>169</v>
      </c>
      <c r="M107" t="s">
        <v>312</v>
      </c>
      <c r="N107" t="s">
        <v>312</v>
      </c>
      <c r="O107" t="s">
        <v>903</v>
      </c>
      <c r="P107">
        <v>25</v>
      </c>
      <c r="Q107">
        <v>0.44</v>
      </c>
      <c r="R107">
        <v>0.2</v>
      </c>
      <c r="S107" t="s">
        <v>110</v>
      </c>
      <c r="T107">
        <v>43938</v>
      </c>
    </row>
    <row r="108" spans="2:20">
      <c r="B108">
        <v>190</v>
      </c>
      <c r="C108" t="s">
        <v>933</v>
      </c>
      <c r="D108" t="s">
        <v>933</v>
      </c>
      <c r="E108" t="s">
        <v>903</v>
      </c>
      <c r="F108">
        <v>36</v>
      </c>
      <c r="G108">
        <v>0.64</v>
      </c>
      <c r="H108">
        <v>0.1</v>
      </c>
      <c r="I108" t="s">
        <v>110</v>
      </c>
      <c r="J108" s="143">
        <v>43938</v>
      </c>
      <c r="L108">
        <v>170</v>
      </c>
      <c r="M108" t="s">
        <v>312</v>
      </c>
      <c r="N108" t="s">
        <v>312</v>
      </c>
      <c r="O108" t="s">
        <v>903</v>
      </c>
      <c r="P108">
        <v>28</v>
      </c>
      <c r="Q108">
        <v>0.49</v>
      </c>
      <c r="R108">
        <v>0.2</v>
      </c>
      <c r="S108" t="s">
        <v>110</v>
      </c>
      <c r="T108">
        <v>43938</v>
      </c>
    </row>
    <row r="109" spans="2:20">
      <c r="B109">
        <v>191</v>
      </c>
      <c r="C109" t="s">
        <v>933</v>
      </c>
      <c r="D109" t="s">
        <v>933</v>
      </c>
      <c r="E109" t="s">
        <v>903</v>
      </c>
      <c r="F109">
        <v>225</v>
      </c>
      <c r="G109">
        <v>4</v>
      </c>
      <c r="H109">
        <v>6</v>
      </c>
      <c r="I109" t="s">
        <v>110</v>
      </c>
      <c r="J109" s="143">
        <v>43938</v>
      </c>
      <c r="L109">
        <v>171</v>
      </c>
      <c r="M109" t="s">
        <v>312</v>
      </c>
      <c r="N109" t="s">
        <v>312</v>
      </c>
      <c r="O109" t="s">
        <v>903</v>
      </c>
      <c r="P109">
        <v>46</v>
      </c>
      <c r="Q109">
        <v>0.81</v>
      </c>
      <c r="R109">
        <v>0.1</v>
      </c>
      <c r="S109" t="s">
        <v>110</v>
      </c>
      <c r="T109">
        <v>43938</v>
      </c>
    </row>
    <row r="110" spans="2:20">
      <c r="B110">
        <v>254</v>
      </c>
      <c r="C110" t="s">
        <v>1039</v>
      </c>
      <c r="D110" t="s">
        <v>1039</v>
      </c>
      <c r="E110" t="s">
        <v>903</v>
      </c>
      <c r="F110">
        <v>199</v>
      </c>
      <c r="G110">
        <v>3.53</v>
      </c>
      <c r="H110">
        <v>3</v>
      </c>
      <c r="I110" t="s">
        <v>110</v>
      </c>
      <c r="J110" s="143">
        <v>43938</v>
      </c>
      <c r="L110">
        <v>172</v>
      </c>
      <c r="M110" t="s">
        <v>312</v>
      </c>
      <c r="N110" t="s">
        <v>312</v>
      </c>
      <c r="O110" t="s">
        <v>903</v>
      </c>
      <c r="P110">
        <v>31</v>
      </c>
      <c r="Q110">
        <v>0.55000000000000004</v>
      </c>
      <c r="R110">
        <v>0.1</v>
      </c>
      <c r="S110" t="s">
        <v>110</v>
      </c>
      <c r="T110">
        <v>43938</v>
      </c>
    </row>
    <row r="111" spans="2:20">
      <c r="B111">
        <v>255</v>
      </c>
      <c r="C111" t="s">
        <v>1039</v>
      </c>
      <c r="D111" t="s">
        <v>1039</v>
      </c>
      <c r="E111" t="s">
        <v>903</v>
      </c>
      <c r="F111">
        <v>6</v>
      </c>
      <c r="G111">
        <v>0.1</v>
      </c>
      <c r="H111">
        <v>0.1</v>
      </c>
      <c r="I111" t="s">
        <v>110</v>
      </c>
      <c r="J111" s="143">
        <v>43938</v>
      </c>
      <c r="L111">
        <v>173</v>
      </c>
      <c r="M111" t="s">
        <v>312</v>
      </c>
      <c r="N111" t="s">
        <v>312</v>
      </c>
      <c r="O111" t="s">
        <v>903</v>
      </c>
      <c r="P111">
        <v>102</v>
      </c>
      <c r="Q111">
        <v>1.81</v>
      </c>
      <c r="R111">
        <v>1</v>
      </c>
      <c r="S111" t="s">
        <v>110</v>
      </c>
      <c r="T111">
        <v>43938</v>
      </c>
    </row>
    <row r="112" spans="2:20">
      <c r="B112">
        <v>256</v>
      </c>
      <c r="C112" t="s">
        <v>1039</v>
      </c>
      <c r="D112" t="s">
        <v>1039</v>
      </c>
      <c r="E112" t="s">
        <v>903</v>
      </c>
      <c r="F112">
        <v>72</v>
      </c>
      <c r="G112">
        <v>1.28</v>
      </c>
      <c r="H112">
        <v>1</v>
      </c>
      <c r="I112" t="s">
        <v>110</v>
      </c>
      <c r="J112" s="143">
        <v>43938</v>
      </c>
      <c r="L112">
        <v>174</v>
      </c>
      <c r="M112" t="s">
        <v>312</v>
      </c>
      <c r="N112" t="s">
        <v>312</v>
      </c>
      <c r="O112" t="s">
        <v>903</v>
      </c>
      <c r="P112">
        <v>66</v>
      </c>
      <c r="Q112">
        <v>1.17</v>
      </c>
      <c r="R112">
        <v>1</v>
      </c>
      <c r="S112" t="s">
        <v>110</v>
      </c>
      <c r="T112">
        <v>43938</v>
      </c>
    </row>
    <row r="113" spans="2:20">
      <c r="B113">
        <v>313</v>
      </c>
      <c r="C113" t="s">
        <v>326</v>
      </c>
      <c r="D113" t="s">
        <v>326</v>
      </c>
      <c r="E113" t="s">
        <v>903</v>
      </c>
      <c r="F113">
        <v>259</v>
      </c>
      <c r="G113">
        <v>4.5999999999999996</v>
      </c>
      <c r="H113">
        <v>1</v>
      </c>
      <c r="I113" t="s">
        <v>110</v>
      </c>
      <c r="J113" s="143">
        <v>43942</v>
      </c>
      <c r="L113">
        <v>175</v>
      </c>
      <c r="M113" t="s">
        <v>312</v>
      </c>
      <c r="N113" t="s">
        <v>312</v>
      </c>
      <c r="O113" t="s">
        <v>903</v>
      </c>
      <c r="P113">
        <v>19</v>
      </c>
      <c r="Q113">
        <v>0.33</v>
      </c>
      <c r="R113">
        <v>0.1</v>
      </c>
      <c r="S113" t="s">
        <v>110</v>
      </c>
      <c r="T113">
        <v>43938</v>
      </c>
    </row>
    <row r="114" spans="2:20">
      <c r="B114">
        <v>314</v>
      </c>
      <c r="C114" t="s">
        <v>326</v>
      </c>
      <c r="D114" t="s">
        <v>326</v>
      </c>
      <c r="E114" t="s">
        <v>903</v>
      </c>
      <c r="F114">
        <v>85</v>
      </c>
      <c r="G114">
        <v>1.51</v>
      </c>
      <c r="H114">
        <v>1</v>
      </c>
      <c r="I114" t="s">
        <v>110</v>
      </c>
      <c r="J114" s="143">
        <v>43942</v>
      </c>
      <c r="L114">
        <v>180</v>
      </c>
      <c r="M114" t="s">
        <v>923</v>
      </c>
      <c r="N114" t="s">
        <v>923</v>
      </c>
      <c r="O114" t="s">
        <v>903</v>
      </c>
      <c r="P114">
        <v>102</v>
      </c>
      <c r="Q114">
        <v>1.81</v>
      </c>
      <c r="R114">
        <v>1</v>
      </c>
      <c r="S114" t="s">
        <v>110</v>
      </c>
      <c r="T114">
        <v>43938</v>
      </c>
    </row>
    <row r="115" spans="2:20">
      <c r="B115">
        <v>315</v>
      </c>
      <c r="C115" t="s">
        <v>326</v>
      </c>
      <c r="D115" t="s">
        <v>326</v>
      </c>
      <c r="E115" t="s">
        <v>903</v>
      </c>
      <c r="F115">
        <v>208</v>
      </c>
      <c r="G115">
        <v>3.69</v>
      </c>
      <c r="H115">
        <v>2</v>
      </c>
      <c r="I115" t="s">
        <v>110</v>
      </c>
      <c r="J115" s="143">
        <v>43942</v>
      </c>
      <c r="L115">
        <v>181</v>
      </c>
      <c r="M115" t="s">
        <v>923</v>
      </c>
      <c r="N115" t="s">
        <v>923</v>
      </c>
      <c r="O115" t="s">
        <v>903</v>
      </c>
      <c r="P115">
        <v>66</v>
      </c>
      <c r="Q115">
        <v>1.17</v>
      </c>
      <c r="R115">
        <v>1</v>
      </c>
      <c r="S115" t="s">
        <v>110</v>
      </c>
      <c r="T115">
        <v>43938</v>
      </c>
    </row>
    <row r="116" spans="2:20">
      <c r="B116">
        <v>316</v>
      </c>
      <c r="C116" t="s">
        <v>326</v>
      </c>
      <c r="D116" t="s">
        <v>326</v>
      </c>
      <c r="E116" t="s">
        <v>903</v>
      </c>
      <c r="F116">
        <v>321</v>
      </c>
      <c r="G116">
        <v>5.7</v>
      </c>
      <c r="H116">
        <v>2</v>
      </c>
      <c r="I116" t="s">
        <v>110</v>
      </c>
      <c r="J116" s="143">
        <v>43942</v>
      </c>
      <c r="L116">
        <v>182</v>
      </c>
      <c r="M116" t="s">
        <v>923</v>
      </c>
      <c r="N116" t="s">
        <v>923</v>
      </c>
      <c r="O116" t="s">
        <v>903</v>
      </c>
      <c r="P116">
        <v>19</v>
      </c>
      <c r="Q116">
        <v>0.33</v>
      </c>
      <c r="R116">
        <v>0.1</v>
      </c>
      <c r="S116" t="s">
        <v>110</v>
      </c>
      <c r="T116">
        <v>43938</v>
      </c>
    </row>
    <row r="117" spans="2:20">
      <c r="B117">
        <v>317</v>
      </c>
      <c r="C117" t="s">
        <v>1155</v>
      </c>
      <c r="D117" t="s">
        <v>1155</v>
      </c>
      <c r="E117" t="s">
        <v>903</v>
      </c>
      <c r="F117">
        <v>118</v>
      </c>
      <c r="G117">
        <v>2.09</v>
      </c>
      <c r="H117">
        <v>1</v>
      </c>
      <c r="I117" t="s">
        <v>110</v>
      </c>
      <c r="J117" s="143">
        <v>43942</v>
      </c>
      <c r="L117">
        <v>187</v>
      </c>
      <c r="M117" t="s">
        <v>933</v>
      </c>
      <c r="N117" t="s">
        <v>933</v>
      </c>
      <c r="O117" t="s">
        <v>903</v>
      </c>
      <c r="P117">
        <v>200</v>
      </c>
      <c r="Q117">
        <v>3.55</v>
      </c>
      <c r="R117">
        <v>1</v>
      </c>
      <c r="S117" t="s">
        <v>110</v>
      </c>
      <c r="T117">
        <v>43938</v>
      </c>
    </row>
    <row r="118" spans="2:20">
      <c r="B118">
        <v>318</v>
      </c>
      <c r="C118" t="s">
        <v>1159</v>
      </c>
      <c r="D118" t="s">
        <v>1159</v>
      </c>
      <c r="E118" t="s">
        <v>903</v>
      </c>
      <c r="F118">
        <v>116</v>
      </c>
      <c r="G118">
        <v>2.06</v>
      </c>
      <c r="H118">
        <v>1</v>
      </c>
      <c r="I118" t="s">
        <v>110</v>
      </c>
      <c r="J118" s="143">
        <v>43943</v>
      </c>
      <c r="L118">
        <v>188</v>
      </c>
      <c r="M118" t="s">
        <v>933</v>
      </c>
      <c r="N118" t="s">
        <v>933</v>
      </c>
      <c r="O118" t="s">
        <v>903</v>
      </c>
      <c r="P118">
        <v>137</v>
      </c>
      <c r="Q118">
        <v>2.4300000000000002</v>
      </c>
      <c r="R118">
        <v>1</v>
      </c>
      <c r="S118" t="s">
        <v>110</v>
      </c>
      <c r="T118">
        <v>43938</v>
      </c>
    </row>
    <row r="119" spans="2:20">
      <c r="B119">
        <v>319</v>
      </c>
      <c r="C119" t="s">
        <v>1159</v>
      </c>
      <c r="D119" t="s">
        <v>1159</v>
      </c>
      <c r="E119" t="s">
        <v>903</v>
      </c>
      <c r="F119">
        <v>119</v>
      </c>
      <c r="G119">
        <v>2.11</v>
      </c>
      <c r="H119">
        <v>1</v>
      </c>
      <c r="I119" t="s">
        <v>110</v>
      </c>
      <c r="J119" s="143">
        <v>43943</v>
      </c>
      <c r="L119">
        <v>190</v>
      </c>
      <c r="M119" t="s">
        <v>933</v>
      </c>
      <c r="N119" t="s">
        <v>933</v>
      </c>
      <c r="O119" t="s">
        <v>903</v>
      </c>
      <c r="P119">
        <v>36</v>
      </c>
      <c r="Q119">
        <v>0.64</v>
      </c>
      <c r="R119">
        <v>0.1</v>
      </c>
      <c r="S119" t="s">
        <v>110</v>
      </c>
      <c r="T119">
        <v>43938</v>
      </c>
    </row>
    <row r="120" spans="2:20">
      <c r="B120">
        <v>320</v>
      </c>
      <c r="C120" t="s">
        <v>1162</v>
      </c>
      <c r="D120" t="s">
        <v>1162</v>
      </c>
      <c r="E120" t="s">
        <v>903</v>
      </c>
      <c r="F120">
        <v>73</v>
      </c>
      <c r="G120">
        <v>1.29</v>
      </c>
      <c r="H120">
        <v>1</v>
      </c>
      <c r="I120" t="s">
        <v>110</v>
      </c>
      <c r="J120" s="143">
        <v>43951</v>
      </c>
      <c r="L120">
        <v>191</v>
      </c>
      <c r="M120" t="s">
        <v>933</v>
      </c>
      <c r="N120" t="s">
        <v>933</v>
      </c>
      <c r="O120" t="s">
        <v>903</v>
      </c>
      <c r="P120">
        <v>225</v>
      </c>
      <c r="Q120">
        <v>4</v>
      </c>
      <c r="R120">
        <v>6</v>
      </c>
      <c r="S120" t="s">
        <v>110</v>
      </c>
      <c r="T120">
        <v>43938</v>
      </c>
    </row>
    <row r="121" spans="2:20">
      <c r="B121">
        <v>321</v>
      </c>
      <c r="C121" t="s">
        <v>1162</v>
      </c>
      <c r="D121" t="s">
        <v>1162</v>
      </c>
      <c r="E121" t="s">
        <v>903</v>
      </c>
      <c r="F121">
        <v>131</v>
      </c>
      <c r="G121">
        <v>2.3199999999999998</v>
      </c>
      <c r="H121">
        <v>1</v>
      </c>
      <c r="I121" t="s">
        <v>110</v>
      </c>
      <c r="J121" s="143">
        <v>43951</v>
      </c>
      <c r="L121">
        <v>254</v>
      </c>
      <c r="M121" t="s">
        <v>1039</v>
      </c>
      <c r="N121" t="s">
        <v>1039</v>
      </c>
      <c r="O121" t="s">
        <v>903</v>
      </c>
      <c r="P121">
        <v>199</v>
      </c>
      <c r="Q121">
        <v>3.53</v>
      </c>
      <c r="R121">
        <v>3</v>
      </c>
      <c r="S121" t="s">
        <v>110</v>
      </c>
      <c r="T121">
        <v>43938</v>
      </c>
    </row>
    <row r="122" spans="2:20">
      <c r="B122">
        <v>322</v>
      </c>
      <c r="C122" t="s">
        <v>1162</v>
      </c>
      <c r="D122" t="s">
        <v>1162</v>
      </c>
      <c r="E122" t="s">
        <v>903</v>
      </c>
      <c r="F122">
        <v>191</v>
      </c>
      <c r="G122">
        <v>3.39</v>
      </c>
      <c r="H122">
        <v>1</v>
      </c>
      <c r="I122" t="s">
        <v>110</v>
      </c>
      <c r="J122" s="143">
        <v>43951</v>
      </c>
      <c r="L122">
        <v>255</v>
      </c>
      <c r="M122" t="s">
        <v>1039</v>
      </c>
      <c r="N122" t="s">
        <v>1039</v>
      </c>
      <c r="O122" t="s">
        <v>903</v>
      </c>
      <c r="P122">
        <v>6</v>
      </c>
      <c r="Q122">
        <v>0.1</v>
      </c>
      <c r="R122">
        <v>0.1</v>
      </c>
      <c r="S122" t="s">
        <v>110</v>
      </c>
      <c r="T122">
        <v>43938</v>
      </c>
    </row>
    <row r="123" spans="2:20">
      <c r="B123">
        <v>323</v>
      </c>
      <c r="C123" t="s">
        <v>1162</v>
      </c>
      <c r="D123" t="s">
        <v>1162</v>
      </c>
      <c r="E123" t="s">
        <v>903</v>
      </c>
      <c r="F123">
        <v>344</v>
      </c>
      <c r="G123">
        <v>6.11</v>
      </c>
      <c r="H123">
        <v>1</v>
      </c>
      <c r="I123" t="s">
        <v>110</v>
      </c>
      <c r="J123" s="143">
        <v>43951</v>
      </c>
      <c r="L123">
        <v>256</v>
      </c>
      <c r="M123" t="s">
        <v>1039</v>
      </c>
      <c r="N123" t="s">
        <v>1039</v>
      </c>
      <c r="O123" t="s">
        <v>903</v>
      </c>
      <c r="P123">
        <v>72</v>
      </c>
      <c r="Q123">
        <v>1.28</v>
      </c>
      <c r="R123">
        <v>1</v>
      </c>
      <c r="S123" t="s">
        <v>110</v>
      </c>
      <c r="T123">
        <v>43938</v>
      </c>
    </row>
    <row r="124" spans="2:20">
      <c r="B124">
        <v>324</v>
      </c>
      <c r="C124" t="s">
        <v>1162</v>
      </c>
      <c r="D124" t="s">
        <v>1162</v>
      </c>
      <c r="E124" t="s">
        <v>903</v>
      </c>
      <c r="F124">
        <v>40</v>
      </c>
      <c r="G124">
        <v>0.71</v>
      </c>
      <c r="H124">
        <v>0.1</v>
      </c>
      <c r="I124" t="s">
        <v>110</v>
      </c>
      <c r="J124" s="143">
        <v>43951</v>
      </c>
      <c r="L124">
        <v>313</v>
      </c>
      <c r="M124" t="s">
        <v>326</v>
      </c>
      <c r="N124" t="s">
        <v>326</v>
      </c>
      <c r="O124" t="s">
        <v>903</v>
      </c>
      <c r="P124">
        <v>259</v>
      </c>
      <c r="Q124">
        <v>4.5999999999999996</v>
      </c>
      <c r="R124">
        <v>1</v>
      </c>
      <c r="S124" t="s">
        <v>110</v>
      </c>
      <c r="T124">
        <v>43942</v>
      </c>
    </row>
    <row r="125" spans="2:20">
      <c r="B125">
        <v>325</v>
      </c>
      <c r="C125" t="s">
        <v>1162</v>
      </c>
      <c r="D125" t="s">
        <v>1162</v>
      </c>
      <c r="E125" t="s">
        <v>903</v>
      </c>
      <c r="F125">
        <v>146</v>
      </c>
      <c r="G125">
        <v>2.59</v>
      </c>
      <c r="H125">
        <v>2</v>
      </c>
      <c r="I125" t="s">
        <v>110</v>
      </c>
      <c r="J125" s="143">
        <v>43951</v>
      </c>
      <c r="L125">
        <v>314</v>
      </c>
      <c r="M125" t="s">
        <v>326</v>
      </c>
      <c r="N125" t="s">
        <v>326</v>
      </c>
      <c r="O125" t="s">
        <v>903</v>
      </c>
      <c r="P125">
        <v>85</v>
      </c>
      <c r="Q125">
        <v>1.51</v>
      </c>
      <c r="R125">
        <v>1</v>
      </c>
      <c r="S125" t="s">
        <v>110</v>
      </c>
      <c r="T125">
        <v>43942</v>
      </c>
    </row>
    <row r="126" spans="2:20">
      <c r="B126">
        <v>326</v>
      </c>
      <c r="C126" t="s">
        <v>1162</v>
      </c>
      <c r="D126" t="s">
        <v>1162</v>
      </c>
      <c r="E126" t="s">
        <v>903</v>
      </c>
      <c r="F126">
        <v>51</v>
      </c>
      <c r="G126">
        <v>0.9</v>
      </c>
      <c r="H126">
        <v>0.1</v>
      </c>
      <c r="I126" t="s">
        <v>110</v>
      </c>
      <c r="J126" s="143">
        <v>43951</v>
      </c>
      <c r="L126">
        <v>315</v>
      </c>
      <c r="M126" t="s">
        <v>326</v>
      </c>
      <c r="N126" t="s">
        <v>326</v>
      </c>
      <c r="O126" t="s">
        <v>903</v>
      </c>
      <c r="P126">
        <v>208</v>
      </c>
      <c r="Q126">
        <v>3.69</v>
      </c>
      <c r="R126">
        <v>2</v>
      </c>
      <c r="S126" t="s">
        <v>110</v>
      </c>
      <c r="T126">
        <v>43942</v>
      </c>
    </row>
    <row r="127" spans="2:20">
      <c r="B127">
        <v>327</v>
      </c>
      <c r="C127" t="s">
        <v>1181</v>
      </c>
      <c r="D127" t="s">
        <v>1181</v>
      </c>
      <c r="E127" t="s">
        <v>903</v>
      </c>
      <c r="F127">
        <v>101</v>
      </c>
      <c r="G127">
        <v>1.79</v>
      </c>
      <c r="H127">
        <v>1</v>
      </c>
      <c r="I127" t="s">
        <v>110</v>
      </c>
      <c r="J127" s="143">
        <v>43943</v>
      </c>
      <c r="L127">
        <v>316</v>
      </c>
      <c r="M127" t="s">
        <v>326</v>
      </c>
      <c r="N127" t="s">
        <v>326</v>
      </c>
      <c r="O127" t="s">
        <v>903</v>
      </c>
      <c r="P127">
        <v>321</v>
      </c>
      <c r="Q127">
        <v>5.7</v>
      </c>
      <c r="R127">
        <v>2</v>
      </c>
      <c r="S127" t="s">
        <v>110</v>
      </c>
      <c r="T127">
        <v>43942</v>
      </c>
    </row>
    <row r="128" spans="2:20">
      <c r="B128">
        <v>328</v>
      </c>
      <c r="C128" t="s">
        <v>1181</v>
      </c>
      <c r="D128" t="s">
        <v>1181</v>
      </c>
      <c r="E128" t="s">
        <v>903</v>
      </c>
      <c r="F128">
        <v>116</v>
      </c>
      <c r="G128">
        <v>2.06</v>
      </c>
      <c r="H128">
        <v>2</v>
      </c>
      <c r="I128" t="s">
        <v>110</v>
      </c>
      <c r="J128" s="143">
        <v>43943</v>
      </c>
      <c r="L128">
        <v>317</v>
      </c>
      <c r="M128" t="s">
        <v>1155</v>
      </c>
      <c r="N128" t="s">
        <v>1155</v>
      </c>
      <c r="O128" t="s">
        <v>903</v>
      </c>
      <c r="P128">
        <v>118</v>
      </c>
      <c r="Q128">
        <v>2.09</v>
      </c>
      <c r="R128">
        <v>1</v>
      </c>
      <c r="S128" t="s">
        <v>110</v>
      </c>
      <c r="T128">
        <v>43942</v>
      </c>
    </row>
    <row r="129" spans="2:20">
      <c r="B129">
        <v>329</v>
      </c>
      <c r="C129" t="s">
        <v>1181</v>
      </c>
      <c r="D129" t="s">
        <v>1181</v>
      </c>
      <c r="E129" t="s">
        <v>903</v>
      </c>
      <c r="F129">
        <v>60</v>
      </c>
      <c r="G129">
        <v>1.06</v>
      </c>
      <c r="H129">
        <v>0.5</v>
      </c>
      <c r="I129" t="s">
        <v>110</v>
      </c>
      <c r="J129" s="143">
        <v>43943</v>
      </c>
      <c r="L129">
        <v>318</v>
      </c>
      <c r="M129" t="s">
        <v>1159</v>
      </c>
      <c r="N129" t="s">
        <v>1159</v>
      </c>
      <c r="O129" t="s">
        <v>903</v>
      </c>
      <c r="P129">
        <v>116</v>
      </c>
      <c r="Q129">
        <v>2.06</v>
      </c>
      <c r="R129">
        <v>1</v>
      </c>
      <c r="S129" t="s">
        <v>110</v>
      </c>
      <c r="T129">
        <v>43943</v>
      </c>
    </row>
    <row r="130" spans="2:20">
      <c r="B130">
        <v>341</v>
      </c>
      <c r="C130" t="s">
        <v>1209</v>
      </c>
      <c r="D130" t="s">
        <v>1209</v>
      </c>
      <c r="E130" t="s">
        <v>903</v>
      </c>
      <c r="F130">
        <v>168</v>
      </c>
      <c r="G130">
        <v>2.98</v>
      </c>
      <c r="H130">
        <v>1</v>
      </c>
      <c r="I130" t="s">
        <v>110</v>
      </c>
      <c r="J130" s="143">
        <v>43942</v>
      </c>
      <c r="L130">
        <v>319</v>
      </c>
      <c r="M130" t="s">
        <v>1159</v>
      </c>
      <c r="N130" t="s">
        <v>1159</v>
      </c>
      <c r="O130" t="s">
        <v>903</v>
      </c>
      <c r="P130">
        <v>119</v>
      </c>
      <c r="Q130">
        <v>2.11</v>
      </c>
      <c r="R130">
        <v>1</v>
      </c>
      <c r="S130" t="s">
        <v>110</v>
      </c>
      <c r="T130">
        <v>43943</v>
      </c>
    </row>
    <row r="131" spans="2:20">
      <c r="B131">
        <v>349</v>
      </c>
      <c r="C131" t="s">
        <v>1215</v>
      </c>
      <c r="D131" t="s">
        <v>1215</v>
      </c>
      <c r="E131" t="s">
        <v>903</v>
      </c>
      <c r="F131">
        <v>178</v>
      </c>
      <c r="G131">
        <v>3.16</v>
      </c>
      <c r="H131">
        <v>1</v>
      </c>
      <c r="I131" t="s">
        <v>110</v>
      </c>
      <c r="J131" s="143">
        <v>43949</v>
      </c>
      <c r="L131">
        <v>320</v>
      </c>
      <c r="M131" t="s">
        <v>1162</v>
      </c>
      <c r="N131" t="s">
        <v>1162</v>
      </c>
      <c r="O131" t="s">
        <v>903</v>
      </c>
      <c r="P131">
        <v>73</v>
      </c>
      <c r="Q131">
        <v>1.29</v>
      </c>
      <c r="R131">
        <v>1</v>
      </c>
      <c r="S131" t="s">
        <v>110</v>
      </c>
      <c r="T131">
        <v>43951</v>
      </c>
    </row>
    <row r="132" spans="2:20">
      <c r="B132">
        <v>350</v>
      </c>
      <c r="C132" t="s">
        <v>1215</v>
      </c>
      <c r="D132" t="s">
        <v>1215</v>
      </c>
      <c r="E132" t="s">
        <v>903</v>
      </c>
      <c r="F132">
        <v>71</v>
      </c>
      <c r="G132">
        <v>1.26</v>
      </c>
      <c r="H132">
        <v>1</v>
      </c>
      <c r="I132" t="s">
        <v>110</v>
      </c>
      <c r="J132" s="143">
        <v>43949</v>
      </c>
      <c r="L132">
        <v>321</v>
      </c>
      <c r="M132" t="s">
        <v>1162</v>
      </c>
      <c r="N132" t="s">
        <v>1162</v>
      </c>
      <c r="O132" t="s">
        <v>903</v>
      </c>
      <c r="P132">
        <v>131</v>
      </c>
      <c r="Q132">
        <v>2.3199999999999998</v>
      </c>
      <c r="R132">
        <v>1</v>
      </c>
      <c r="S132" t="s">
        <v>110</v>
      </c>
      <c r="T132">
        <v>43951</v>
      </c>
    </row>
    <row r="133" spans="2:20">
      <c r="B133">
        <v>351</v>
      </c>
      <c r="C133" t="s">
        <v>1215</v>
      </c>
      <c r="D133" t="s">
        <v>1215</v>
      </c>
      <c r="E133" t="s">
        <v>903</v>
      </c>
      <c r="F133">
        <v>326</v>
      </c>
      <c r="G133">
        <v>5.79</v>
      </c>
      <c r="H133">
        <v>1</v>
      </c>
      <c r="I133" t="s">
        <v>110</v>
      </c>
      <c r="J133" s="143">
        <v>43949</v>
      </c>
      <c r="L133">
        <v>322</v>
      </c>
      <c r="M133" t="s">
        <v>1162</v>
      </c>
      <c r="N133" t="s">
        <v>1162</v>
      </c>
      <c r="O133" t="s">
        <v>903</v>
      </c>
      <c r="P133">
        <v>191</v>
      </c>
      <c r="Q133">
        <v>3.39</v>
      </c>
      <c r="R133">
        <v>1</v>
      </c>
      <c r="S133" t="s">
        <v>110</v>
      </c>
      <c r="T133">
        <v>43951</v>
      </c>
    </row>
    <row r="134" spans="2:20">
      <c r="B134">
        <v>352</v>
      </c>
      <c r="C134" t="s">
        <v>1215</v>
      </c>
      <c r="D134" t="s">
        <v>1215</v>
      </c>
      <c r="E134" t="s">
        <v>903</v>
      </c>
      <c r="F134">
        <v>112</v>
      </c>
      <c r="G134">
        <v>1.99</v>
      </c>
      <c r="H134">
        <v>1</v>
      </c>
      <c r="I134" t="s">
        <v>110</v>
      </c>
      <c r="J134" s="143">
        <v>43949</v>
      </c>
      <c r="L134">
        <v>323</v>
      </c>
      <c r="M134" t="s">
        <v>1162</v>
      </c>
      <c r="N134" t="s">
        <v>1162</v>
      </c>
      <c r="O134" t="s">
        <v>903</v>
      </c>
      <c r="P134">
        <v>344</v>
      </c>
      <c r="Q134">
        <v>6.11</v>
      </c>
      <c r="R134">
        <v>1</v>
      </c>
      <c r="S134" t="s">
        <v>110</v>
      </c>
      <c r="T134">
        <v>43951</v>
      </c>
    </row>
    <row r="135" spans="2:20">
      <c r="B135">
        <v>353</v>
      </c>
      <c r="C135" t="s">
        <v>1215</v>
      </c>
      <c r="D135" t="s">
        <v>1215</v>
      </c>
      <c r="E135" t="s">
        <v>903</v>
      </c>
      <c r="F135">
        <v>135</v>
      </c>
      <c r="G135">
        <v>2.4</v>
      </c>
      <c r="H135">
        <v>1</v>
      </c>
      <c r="I135" t="s">
        <v>110</v>
      </c>
      <c r="J135" s="143">
        <v>43949</v>
      </c>
      <c r="L135">
        <v>324</v>
      </c>
      <c r="M135" t="s">
        <v>1162</v>
      </c>
      <c r="N135" t="s">
        <v>1162</v>
      </c>
      <c r="O135" t="s">
        <v>903</v>
      </c>
      <c r="P135">
        <v>40</v>
      </c>
      <c r="Q135">
        <v>0.71</v>
      </c>
      <c r="R135">
        <v>0.1</v>
      </c>
      <c r="S135" t="s">
        <v>110</v>
      </c>
      <c r="T135">
        <v>43951</v>
      </c>
    </row>
    <row r="136" spans="2:20">
      <c r="B136">
        <v>94</v>
      </c>
      <c r="C136" t="s">
        <v>104</v>
      </c>
      <c r="D136" t="s">
        <v>104</v>
      </c>
      <c r="E136" t="s">
        <v>117</v>
      </c>
      <c r="F136">
        <v>115</v>
      </c>
      <c r="G136">
        <v>2.04</v>
      </c>
      <c r="H136">
        <v>2</v>
      </c>
      <c r="I136" t="s">
        <v>110</v>
      </c>
      <c r="J136" s="143">
        <v>43938</v>
      </c>
      <c r="L136">
        <v>325</v>
      </c>
      <c r="M136" t="s">
        <v>1162</v>
      </c>
      <c r="N136" t="s">
        <v>1162</v>
      </c>
      <c r="O136" t="s">
        <v>903</v>
      </c>
      <c r="P136">
        <v>146</v>
      </c>
      <c r="Q136">
        <v>2.59</v>
      </c>
      <c r="R136">
        <v>2</v>
      </c>
      <c r="S136" t="s">
        <v>110</v>
      </c>
      <c r="T136">
        <v>43951</v>
      </c>
    </row>
    <row r="137" spans="2:20">
      <c r="B137">
        <v>101</v>
      </c>
      <c r="C137" t="s">
        <v>118</v>
      </c>
      <c r="D137" t="s">
        <v>118</v>
      </c>
      <c r="E137" t="s">
        <v>117</v>
      </c>
      <c r="F137">
        <v>65</v>
      </c>
      <c r="G137">
        <v>1.1499999999999999</v>
      </c>
      <c r="H137">
        <v>1</v>
      </c>
      <c r="I137" t="s">
        <v>110</v>
      </c>
      <c r="J137" s="143">
        <v>43941</v>
      </c>
      <c r="L137">
        <v>326</v>
      </c>
      <c r="M137" t="s">
        <v>1162</v>
      </c>
      <c r="N137" t="s">
        <v>1162</v>
      </c>
      <c r="O137" t="s">
        <v>903</v>
      </c>
      <c r="P137">
        <v>51</v>
      </c>
      <c r="Q137">
        <v>0.9</v>
      </c>
      <c r="R137">
        <v>0.1</v>
      </c>
      <c r="S137" t="s">
        <v>110</v>
      </c>
      <c r="T137">
        <v>43951</v>
      </c>
    </row>
    <row r="138" spans="2:20">
      <c r="B138">
        <v>103</v>
      </c>
      <c r="C138" t="s">
        <v>118</v>
      </c>
      <c r="D138" t="s">
        <v>118</v>
      </c>
      <c r="E138" t="s">
        <v>117</v>
      </c>
      <c r="F138">
        <v>65</v>
      </c>
      <c r="G138">
        <v>1.1499999999999999</v>
      </c>
      <c r="H138">
        <v>1</v>
      </c>
      <c r="I138" t="s">
        <v>110</v>
      </c>
      <c r="J138" s="143">
        <v>43941</v>
      </c>
      <c r="L138">
        <v>327</v>
      </c>
      <c r="M138" t="s">
        <v>1181</v>
      </c>
      <c r="N138" t="s">
        <v>1181</v>
      </c>
      <c r="O138" t="s">
        <v>903</v>
      </c>
      <c r="P138">
        <v>101</v>
      </c>
      <c r="Q138">
        <v>1.79</v>
      </c>
      <c r="R138">
        <v>1</v>
      </c>
      <c r="S138" t="s">
        <v>110</v>
      </c>
      <c r="T138">
        <v>43943</v>
      </c>
    </row>
    <row r="139" spans="2:20">
      <c r="B139">
        <v>105</v>
      </c>
      <c r="C139" t="s">
        <v>118</v>
      </c>
      <c r="D139" t="s">
        <v>118</v>
      </c>
      <c r="E139" t="s">
        <v>117</v>
      </c>
      <c r="F139">
        <v>280</v>
      </c>
      <c r="G139">
        <v>4.97</v>
      </c>
      <c r="H139">
        <v>4</v>
      </c>
      <c r="I139" t="s">
        <v>110</v>
      </c>
      <c r="J139" s="143">
        <v>43941</v>
      </c>
      <c r="L139">
        <v>328</v>
      </c>
      <c r="M139" t="s">
        <v>1181</v>
      </c>
      <c r="N139" t="s">
        <v>1181</v>
      </c>
      <c r="O139" t="s">
        <v>903</v>
      </c>
      <c r="P139">
        <v>116</v>
      </c>
      <c r="Q139">
        <v>2.06</v>
      </c>
      <c r="R139">
        <v>2</v>
      </c>
      <c r="S139" t="s">
        <v>110</v>
      </c>
      <c r="T139">
        <v>43943</v>
      </c>
    </row>
    <row r="140" spans="2:20">
      <c r="B140">
        <v>106</v>
      </c>
      <c r="C140" t="s">
        <v>118</v>
      </c>
      <c r="D140" t="s">
        <v>118</v>
      </c>
      <c r="E140" t="s">
        <v>117</v>
      </c>
      <c r="F140">
        <v>220</v>
      </c>
      <c r="G140">
        <v>3.91</v>
      </c>
      <c r="H140">
        <v>3</v>
      </c>
      <c r="I140" t="s">
        <v>110</v>
      </c>
      <c r="J140" s="143">
        <v>43941</v>
      </c>
      <c r="L140">
        <v>329</v>
      </c>
      <c r="M140" t="s">
        <v>1181</v>
      </c>
      <c r="N140" t="s">
        <v>1181</v>
      </c>
      <c r="O140" t="s">
        <v>903</v>
      </c>
      <c r="P140">
        <v>60</v>
      </c>
      <c r="Q140">
        <v>1.06</v>
      </c>
      <c r="R140">
        <v>0.5</v>
      </c>
      <c r="S140" t="s">
        <v>110</v>
      </c>
      <c r="T140">
        <v>43943</v>
      </c>
    </row>
    <row r="141" spans="2:20">
      <c r="B141">
        <v>119</v>
      </c>
      <c r="C141" t="s">
        <v>118</v>
      </c>
      <c r="D141" t="s">
        <v>118</v>
      </c>
      <c r="E141" t="s">
        <v>117</v>
      </c>
      <c r="F141">
        <v>576</v>
      </c>
      <c r="G141">
        <v>10.24</v>
      </c>
      <c r="H141">
        <v>6</v>
      </c>
      <c r="I141" t="s">
        <v>110</v>
      </c>
      <c r="J141" s="143">
        <v>43941</v>
      </c>
      <c r="L141">
        <v>341</v>
      </c>
      <c r="M141" t="s">
        <v>1209</v>
      </c>
      <c r="N141" t="s">
        <v>1209</v>
      </c>
      <c r="O141" t="s">
        <v>903</v>
      </c>
      <c r="P141">
        <v>168</v>
      </c>
      <c r="Q141">
        <v>2.98</v>
      </c>
      <c r="R141">
        <v>1</v>
      </c>
      <c r="S141" t="s">
        <v>110</v>
      </c>
      <c r="T141">
        <v>43942</v>
      </c>
    </row>
    <row r="142" spans="2:20">
      <c r="B142">
        <v>155</v>
      </c>
      <c r="C142" t="s">
        <v>176</v>
      </c>
      <c r="D142" t="s">
        <v>176</v>
      </c>
      <c r="E142" t="s">
        <v>117</v>
      </c>
      <c r="F142">
        <v>261</v>
      </c>
      <c r="G142">
        <v>4.6399999999999997</v>
      </c>
      <c r="H142">
        <v>3</v>
      </c>
      <c r="I142" t="s">
        <v>110</v>
      </c>
      <c r="J142" s="143">
        <v>43945</v>
      </c>
      <c r="L142">
        <v>349</v>
      </c>
      <c r="M142" t="s">
        <v>1215</v>
      </c>
      <c r="N142" t="s">
        <v>1215</v>
      </c>
      <c r="O142" t="s">
        <v>903</v>
      </c>
      <c r="P142">
        <v>178</v>
      </c>
      <c r="Q142">
        <v>3.16</v>
      </c>
      <c r="R142">
        <v>1</v>
      </c>
      <c r="S142" t="s">
        <v>110</v>
      </c>
      <c r="T142">
        <v>43949</v>
      </c>
    </row>
    <row r="143" spans="2:20">
      <c r="B143">
        <v>156</v>
      </c>
      <c r="C143" t="s">
        <v>176</v>
      </c>
      <c r="D143" t="s">
        <v>176</v>
      </c>
      <c r="E143" t="s">
        <v>117</v>
      </c>
      <c r="F143">
        <v>172</v>
      </c>
      <c r="G143">
        <v>3.05</v>
      </c>
      <c r="H143">
        <v>0.5</v>
      </c>
      <c r="I143" t="s">
        <v>110</v>
      </c>
      <c r="J143" s="143">
        <v>43945</v>
      </c>
      <c r="L143">
        <v>350</v>
      </c>
      <c r="M143" t="s">
        <v>1215</v>
      </c>
      <c r="N143" t="s">
        <v>1215</v>
      </c>
      <c r="O143" t="s">
        <v>903</v>
      </c>
      <c r="P143">
        <v>71</v>
      </c>
      <c r="Q143">
        <v>1.26</v>
      </c>
      <c r="R143">
        <v>1</v>
      </c>
      <c r="S143" t="s">
        <v>110</v>
      </c>
      <c r="T143">
        <v>43949</v>
      </c>
    </row>
    <row r="144" spans="2:20">
      <c r="B144">
        <v>157</v>
      </c>
      <c r="C144" t="s">
        <v>176</v>
      </c>
      <c r="D144" t="s">
        <v>176</v>
      </c>
      <c r="E144" t="s">
        <v>117</v>
      </c>
      <c r="F144">
        <v>91</v>
      </c>
      <c r="G144">
        <v>1.61</v>
      </c>
      <c r="H144">
        <v>1.5</v>
      </c>
      <c r="I144" t="s">
        <v>110</v>
      </c>
      <c r="J144" s="143">
        <v>43945</v>
      </c>
      <c r="L144">
        <v>351</v>
      </c>
      <c r="M144" t="s">
        <v>1215</v>
      </c>
      <c r="N144" t="s">
        <v>1215</v>
      </c>
      <c r="O144" t="s">
        <v>903</v>
      </c>
      <c r="P144">
        <v>326</v>
      </c>
      <c r="Q144">
        <v>5.79</v>
      </c>
      <c r="R144">
        <v>1</v>
      </c>
      <c r="S144" t="s">
        <v>110</v>
      </c>
      <c r="T144">
        <v>43949</v>
      </c>
    </row>
    <row r="145" spans="2:20">
      <c r="B145">
        <v>158</v>
      </c>
      <c r="C145" t="s">
        <v>176</v>
      </c>
      <c r="D145" t="s">
        <v>176</v>
      </c>
      <c r="E145" t="s">
        <v>117</v>
      </c>
      <c r="F145">
        <v>145</v>
      </c>
      <c r="G145">
        <v>2.57</v>
      </c>
      <c r="H145">
        <v>2.5</v>
      </c>
      <c r="I145" t="s">
        <v>110</v>
      </c>
      <c r="J145" s="143">
        <v>43945</v>
      </c>
      <c r="L145">
        <v>352</v>
      </c>
      <c r="M145" t="s">
        <v>1215</v>
      </c>
      <c r="N145" t="s">
        <v>1215</v>
      </c>
      <c r="O145" t="s">
        <v>903</v>
      </c>
      <c r="P145">
        <v>112</v>
      </c>
      <c r="Q145">
        <v>1.99</v>
      </c>
      <c r="R145">
        <v>1</v>
      </c>
      <c r="S145" t="s">
        <v>110</v>
      </c>
      <c r="T145">
        <v>43949</v>
      </c>
    </row>
    <row r="146" spans="2:20">
      <c r="B146">
        <v>159</v>
      </c>
      <c r="C146" t="s">
        <v>176</v>
      </c>
      <c r="D146" t="s">
        <v>176</v>
      </c>
      <c r="E146" t="s">
        <v>117</v>
      </c>
      <c r="F146">
        <v>169</v>
      </c>
      <c r="G146">
        <v>3</v>
      </c>
      <c r="H146">
        <v>3</v>
      </c>
      <c r="I146" t="s">
        <v>110</v>
      </c>
      <c r="J146" s="143">
        <v>43945</v>
      </c>
      <c r="L146">
        <v>353</v>
      </c>
      <c r="M146" t="s">
        <v>1215</v>
      </c>
      <c r="N146" t="s">
        <v>1215</v>
      </c>
      <c r="O146" t="s">
        <v>903</v>
      </c>
      <c r="P146">
        <v>135</v>
      </c>
      <c r="Q146">
        <v>2.4</v>
      </c>
      <c r="R146">
        <v>1</v>
      </c>
      <c r="S146" t="s">
        <v>110</v>
      </c>
      <c r="T146">
        <v>43949</v>
      </c>
    </row>
    <row r="147" spans="2:20">
      <c r="B147">
        <v>160</v>
      </c>
      <c r="C147" t="s">
        <v>176</v>
      </c>
      <c r="D147" t="s">
        <v>176</v>
      </c>
      <c r="E147" t="s">
        <v>117</v>
      </c>
      <c r="F147">
        <v>335</v>
      </c>
      <c r="G147">
        <v>5.95</v>
      </c>
      <c r="H147">
        <v>4</v>
      </c>
      <c r="I147" t="s">
        <v>110</v>
      </c>
      <c r="J147" s="143">
        <v>43945</v>
      </c>
      <c r="L147">
        <v>94</v>
      </c>
      <c r="M147" t="s">
        <v>104</v>
      </c>
      <c r="N147" t="s">
        <v>104</v>
      </c>
      <c r="O147" t="s">
        <v>117</v>
      </c>
      <c r="P147">
        <v>115</v>
      </c>
      <c r="Q147">
        <v>2.04</v>
      </c>
      <c r="R147">
        <v>2</v>
      </c>
      <c r="S147" t="s">
        <v>110</v>
      </c>
      <c r="T147">
        <v>43938</v>
      </c>
    </row>
    <row r="148" spans="2:20">
      <c r="B148">
        <v>161</v>
      </c>
      <c r="C148" t="s">
        <v>176</v>
      </c>
      <c r="D148" t="s">
        <v>176</v>
      </c>
      <c r="E148" t="s">
        <v>117</v>
      </c>
      <c r="F148">
        <v>675</v>
      </c>
      <c r="G148">
        <v>12</v>
      </c>
      <c r="H148">
        <v>4</v>
      </c>
      <c r="I148" t="s">
        <v>110</v>
      </c>
      <c r="J148" s="143">
        <v>43945</v>
      </c>
      <c r="L148">
        <v>101</v>
      </c>
      <c r="M148" t="s">
        <v>118</v>
      </c>
      <c r="N148" t="s">
        <v>118</v>
      </c>
      <c r="O148" t="s">
        <v>117</v>
      </c>
      <c r="P148">
        <v>65</v>
      </c>
      <c r="Q148">
        <v>1.1499999999999999</v>
      </c>
      <c r="R148">
        <v>1</v>
      </c>
      <c r="S148" t="s">
        <v>110</v>
      </c>
      <c r="T148">
        <v>43941</v>
      </c>
    </row>
    <row r="149" spans="2:20">
      <c r="B149">
        <v>162</v>
      </c>
      <c r="C149" t="s">
        <v>176</v>
      </c>
      <c r="D149" t="s">
        <v>176</v>
      </c>
      <c r="E149" t="s">
        <v>117</v>
      </c>
      <c r="F149">
        <v>759</v>
      </c>
      <c r="G149">
        <v>13.49</v>
      </c>
      <c r="H149">
        <v>7</v>
      </c>
      <c r="I149" t="s">
        <v>110</v>
      </c>
      <c r="J149" s="143">
        <v>43945</v>
      </c>
      <c r="L149">
        <v>103</v>
      </c>
      <c r="M149" t="s">
        <v>118</v>
      </c>
      <c r="N149" t="s">
        <v>118</v>
      </c>
      <c r="O149" t="s">
        <v>117</v>
      </c>
      <c r="P149">
        <v>65</v>
      </c>
      <c r="Q149">
        <v>1.1499999999999999</v>
      </c>
      <c r="R149">
        <v>1</v>
      </c>
      <c r="S149" t="s">
        <v>110</v>
      </c>
      <c r="T149">
        <v>43941</v>
      </c>
    </row>
    <row r="150" spans="2:20">
      <c r="B150">
        <v>166</v>
      </c>
      <c r="C150" t="s">
        <v>176</v>
      </c>
      <c r="D150" t="s">
        <v>176</v>
      </c>
      <c r="E150" t="s">
        <v>117</v>
      </c>
      <c r="F150">
        <v>9</v>
      </c>
      <c r="G150">
        <v>0.16</v>
      </c>
      <c r="H150">
        <v>0.1</v>
      </c>
      <c r="I150" t="s">
        <v>110</v>
      </c>
      <c r="J150" s="143">
        <v>43945</v>
      </c>
      <c r="L150">
        <v>105</v>
      </c>
      <c r="M150" t="s">
        <v>118</v>
      </c>
      <c r="N150" t="s">
        <v>118</v>
      </c>
      <c r="O150" t="s">
        <v>117</v>
      </c>
      <c r="P150">
        <v>280</v>
      </c>
      <c r="Q150">
        <v>4.97</v>
      </c>
      <c r="R150">
        <v>4</v>
      </c>
      <c r="S150" t="s">
        <v>110</v>
      </c>
      <c r="T150">
        <v>43941</v>
      </c>
    </row>
    <row r="151" spans="2:20">
      <c r="B151">
        <v>170</v>
      </c>
      <c r="C151" t="s">
        <v>176</v>
      </c>
      <c r="D151" t="s">
        <v>176</v>
      </c>
      <c r="E151" t="s">
        <v>117</v>
      </c>
      <c r="F151">
        <v>35</v>
      </c>
      <c r="G151">
        <v>0.62</v>
      </c>
      <c r="H151">
        <v>0.5</v>
      </c>
      <c r="I151" t="s">
        <v>110</v>
      </c>
      <c r="J151" s="143">
        <v>43945</v>
      </c>
      <c r="L151">
        <v>106</v>
      </c>
      <c r="M151" t="s">
        <v>118</v>
      </c>
      <c r="N151" t="s">
        <v>118</v>
      </c>
      <c r="O151" t="s">
        <v>117</v>
      </c>
      <c r="P151">
        <v>220</v>
      </c>
      <c r="Q151">
        <v>3.91</v>
      </c>
      <c r="R151">
        <v>3</v>
      </c>
      <c r="S151" t="s">
        <v>110</v>
      </c>
      <c r="T151">
        <v>43941</v>
      </c>
    </row>
    <row r="152" spans="2:20">
      <c r="B152">
        <v>171</v>
      </c>
      <c r="C152" t="s">
        <v>176</v>
      </c>
      <c r="D152" t="s">
        <v>176</v>
      </c>
      <c r="E152" t="s">
        <v>117</v>
      </c>
      <c r="F152">
        <v>17</v>
      </c>
      <c r="G152">
        <v>0.3</v>
      </c>
      <c r="H152">
        <v>0.2</v>
      </c>
      <c r="I152" t="s">
        <v>110</v>
      </c>
      <c r="J152" s="143">
        <v>43945</v>
      </c>
      <c r="L152">
        <v>119</v>
      </c>
      <c r="M152" t="s">
        <v>118</v>
      </c>
      <c r="N152" t="s">
        <v>118</v>
      </c>
      <c r="O152" t="s">
        <v>117</v>
      </c>
      <c r="P152">
        <v>576</v>
      </c>
      <c r="Q152">
        <v>10.24</v>
      </c>
      <c r="R152">
        <v>6</v>
      </c>
      <c r="S152" t="s">
        <v>110</v>
      </c>
      <c r="T152">
        <v>43941</v>
      </c>
    </row>
    <row r="153" spans="2:20">
      <c r="B153">
        <v>172</v>
      </c>
      <c r="C153" t="s">
        <v>176</v>
      </c>
      <c r="D153" t="s">
        <v>176</v>
      </c>
      <c r="E153" t="s">
        <v>117</v>
      </c>
      <c r="F153">
        <v>9</v>
      </c>
      <c r="G153">
        <v>0.16</v>
      </c>
      <c r="H153">
        <v>0.1</v>
      </c>
      <c r="I153" t="s">
        <v>110</v>
      </c>
      <c r="J153" s="143">
        <v>43945</v>
      </c>
      <c r="L153">
        <v>155</v>
      </c>
      <c r="M153" t="s">
        <v>176</v>
      </c>
      <c r="N153" t="s">
        <v>176</v>
      </c>
      <c r="O153" t="s">
        <v>117</v>
      </c>
      <c r="P153">
        <v>261</v>
      </c>
      <c r="Q153">
        <v>4.6399999999999997</v>
      </c>
      <c r="R153">
        <v>3</v>
      </c>
      <c r="S153" t="s">
        <v>110</v>
      </c>
      <c r="T153">
        <v>43945</v>
      </c>
    </row>
    <row r="154" spans="2:20">
      <c r="B154">
        <v>187</v>
      </c>
      <c r="C154" t="s">
        <v>234</v>
      </c>
      <c r="D154" t="s">
        <v>234</v>
      </c>
      <c r="E154" t="s">
        <v>117</v>
      </c>
      <c r="F154">
        <v>28</v>
      </c>
      <c r="G154">
        <v>0.49</v>
      </c>
      <c r="H154">
        <v>0.5</v>
      </c>
      <c r="I154" t="s">
        <v>110</v>
      </c>
      <c r="J154" s="143">
        <v>43950</v>
      </c>
      <c r="L154">
        <v>156</v>
      </c>
      <c r="M154" t="s">
        <v>176</v>
      </c>
      <c r="N154" t="s">
        <v>176</v>
      </c>
      <c r="O154" t="s">
        <v>117</v>
      </c>
      <c r="P154">
        <v>172</v>
      </c>
      <c r="Q154">
        <v>3.05</v>
      </c>
      <c r="R154">
        <v>0.5</v>
      </c>
      <c r="S154" t="s">
        <v>110</v>
      </c>
      <c r="T154">
        <v>43945</v>
      </c>
    </row>
    <row r="155" spans="2:20">
      <c r="B155">
        <v>188</v>
      </c>
      <c r="C155" t="s">
        <v>234</v>
      </c>
      <c r="D155" t="s">
        <v>234</v>
      </c>
      <c r="E155" t="s">
        <v>117</v>
      </c>
      <c r="F155">
        <v>35</v>
      </c>
      <c r="G155">
        <v>0.62</v>
      </c>
      <c r="H155">
        <v>0.5</v>
      </c>
      <c r="I155" t="s">
        <v>110</v>
      </c>
      <c r="J155" s="143">
        <v>43950</v>
      </c>
      <c r="L155">
        <v>157</v>
      </c>
      <c r="M155" t="s">
        <v>176</v>
      </c>
      <c r="N155" t="s">
        <v>176</v>
      </c>
      <c r="O155" t="s">
        <v>117</v>
      </c>
      <c r="P155">
        <v>91</v>
      </c>
      <c r="Q155">
        <v>1.61</v>
      </c>
      <c r="R155">
        <v>1.5</v>
      </c>
      <c r="S155" t="s">
        <v>110</v>
      </c>
      <c r="T155">
        <v>43945</v>
      </c>
    </row>
    <row r="156" spans="2:20">
      <c r="B156">
        <v>189</v>
      </c>
      <c r="C156" t="s">
        <v>234</v>
      </c>
      <c r="D156" t="s">
        <v>234</v>
      </c>
      <c r="E156" t="s">
        <v>117</v>
      </c>
      <c r="F156">
        <v>259</v>
      </c>
      <c r="G156">
        <v>4.5999999999999996</v>
      </c>
      <c r="H156">
        <v>2</v>
      </c>
      <c r="I156" t="s">
        <v>110</v>
      </c>
      <c r="J156" s="143">
        <v>43950</v>
      </c>
      <c r="L156">
        <v>158</v>
      </c>
      <c r="M156" t="s">
        <v>176</v>
      </c>
      <c r="N156" t="s">
        <v>176</v>
      </c>
      <c r="O156" t="s">
        <v>117</v>
      </c>
      <c r="P156">
        <v>145</v>
      </c>
      <c r="Q156">
        <v>2.57</v>
      </c>
      <c r="R156">
        <v>2.5</v>
      </c>
      <c r="S156" t="s">
        <v>110</v>
      </c>
      <c r="T156">
        <v>43945</v>
      </c>
    </row>
    <row r="157" spans="2:20">
      <c r="B157">
        <v>190</v>
      </c>
      <c r="C157" t="s">
        <v>234</v>
      </c>
      <c r="D157" t="s">
        <v>234</v>
      </c>
      <c r="E157" t="s">
        <v>117</v>
      </c>
      <c r="F157">
        <v>67</v>
      </c>
      <c r="G157">
        <v>1.19</v>
      </c>
      <c r="H157">
        <v>1</v>
      </c>
      <c r="I157" t="s">
        <v>110</v>
      </c>
      <c r="J157" s="143">
        <v>43950</v>
      </c>
      <c r="L157">
        <v>159</v>
      </c>
      <c r="M157" t="s">
        <v>176</v>
      </c>
      <c r="N157" t="s">
        <v>176</v>
      </c>
      <c r="O157" t="s">
        <v>117</v>
      </c>
      <c r="P157">
        <v>169</v>
      </c>
      <c r="Q157">
        <v>3</v>
      </c>
      <c r="R157">
        <v>3</v>
      </c>
      <c r="S157" t="s">
        <v>110</v>
      </c>
      <c r="T157">
        <v>43945</v>
      </c>
    </row>
    <row r="158" spans="2:20">
      <c r="B158">
        <v>204</v>
      </c>
      <c r="C158" t="s">
        <v>234</v>
      </c>
      <c r="D158" t="s">
        <v>234</v>
      </c>
      <c r="E158" t="s">
        <v>117</v>
      </c>
      <c r="F158">
        <v>23</v>
      </c>
      <c r="G158">
        <v>0.4</v>
      </c>
      <c r="H158">
        <v>0.2</v>
      </c>
      <c r="I158" t="s">
        <v>110</v>
      </c>
      <c r="J158" s="143">
        <v>43950</v>
      </c>
      <c r="L158">
        <v>160</v>
      </c>
      <c r="M158" t="s">
        <v>176</v>
      </c>
      <c r="N158" t="s">
        <v>176</v>
      </c>
      <c r="O158" t="s">
        <v>117</v>
      </c>
      <c r="P158">
        <v>335</v>
      </c>
      <c r="Q158">
        <v>5.95</v>
      </c>
      <c r="R158">
        <v>4</v>
      </c>
      <c r="S158" t="s">
        <v>110</v>
      </c>
      <c r="T158">
        <v>43945</v>
      </c>
    </row>
    <row r="159" spans="2:20">
      <c r="B159">
        <v>206</v>
      </c>
      <c r="C159" t="s">
        <v>234</v>
      </c>
      <c r="D159" t="s">
        <v>234</v>
      </c>
      <c r="E159" t="s">
        <v>117</v>
      </c>
      <c r="F159">
        <v>187</v>
      </c>
      <c r="G159">
        <v>3.32</v>
      </c>
      <c r="H159">
        <v>3</v>
      </c>
      <c r="I159" t="s">
        <v>110</v>
      </c>
      <c r="J159" s="143">
        <v>43950</v>
      </c>
      <c r="L159">
        <v>161</v>
      </c>
      <c r="M159" t="s">
        <v>176</v>
      </c>
      <c r="N159" t="s">
        <v>176</v>
      </c>
      <c r="O159" t="s">
        <v>117</v>
      </c>
      <c r="P159">
        <v>675</v>
      </c>
      <c r="Q159">
        <v>12</v>
      </c>
      <c r="R159">
        <v>4</v>
      </c>
      <c r="S159" t="s">
        <v>110</v>
      </c>
      <c r="T159">
        <v>43945</v>
      </c>
    </row>
    <row r="160" spans="2:20">
      <c r="B160">
        <v>207</v>
      </c>
      <c r="C160" t="s">
        <v>234</v>
      </c>
      <c r="D160" t="s">
        <v>234</v>
      </c>
      <c r="E160" t="s">
        <v>117</v>
      </c>
      <c r="F160">
        <v>390</v>
      </c>
      <c r="G160">
        <v>6.93</v>
      </c>
      <c r="H160">
        <v>4</v>
      </c>
      <c r="I160" t="s">
        <v>110</v>
      </c>
      <c r="J160" s="143">
        <v>43950</v>
      </c>
      <c r="L160">
        <v>162</v>
      </c>
      <c r="M160" t="s">
        <v>176</v>
      </c>
      <c r="N160" t="s">
        <v>176</v>
      </c>
      <c r="O160" t="s">
        <v>117</v>
      </c>
      <c r="P160">
        <v>759</v>
      </c>
      <c r="Q160">
        <v>13.49</v>
      </c>
      <c r="R160">
        <v>7</v>
      </c>
      <c r="S160" t="s">
        <v>110</v>
      </c>
      <c r="T160">
        <v>43945</v>
      </c>
    </row>
    <row r="161" spans="2:20">
      <c r="B161">
        <v>208</v>
      </c>
      <c r="C161" t="s">
        <v>234</v>
      </c>
      <c r="D161" t="s">
        <v>234</v>
      </c>
      <c r="E161" t="s">
        <v>117</v>
      </c>
      <c r="F161">
        <v>61</v>
      </c>
      <c r="G161">
        <v>1.08</v>
      </c>
      <c r="H161">
        <v>1</v>
      </c>
      <c r="I161" t="s">
        <v>110</v>
      </c>
      <c r="J161" s="143">
        <v>43950</v>
      </c>
      <c r="L161">
        <v>166</v>
      </c>
      <c r="M161" t="s">
        <v>176</v>
      </c>
      <c r="N161" t="s">
        <v>176</v>
      </c>
      <c r="O161" t="s">
        <v>117</v>
      </c>
      <c r="P161">
        <v>9</v>
      </c>
      <c r="Q161">
        <v>0.16</v>
      </c>
      <c r="R161">
        <v>0.1</v>
      </c>
      <c r="S161" t="s">
        <v>110</v>
      </c>
      <c r="T161">
        <v>43945</v>
      </c>
    </row>
    <row r="162" spans="2:20">
      <c r="B162">
        <v>209</v>
      </c>
      <c r="C162" t="s">
        <v>234</v>
      </c>
      <c r="D162" t="s">
        <v>234</v>
      </c>
      <c r="E162" t="s">
        <v>117</v>
      </c>
      <c r="F162">
        <v>130</v>
      </c>
      <c r="G162">
        <v>2.31</v>
      </c>
      <c r="H162">
        <v>1</v>
      </c>
      <c r="I162" t="s">
        <v>110</v>
      </c>
      <c r="J162" s="143">
        <v>43950</v>
      </c>
      <c r="L162">
        <v>170</v>
      </c>
      <c r="M162" t="s">
        <v>176</v>
      </c>
      <c r="N162" t="s">
        <v>176</v>
      </c>
      <c r="O162" t="s">
        <v>117</v>
      </c>
      <c r="P162">
        <v>35</v>
      </c>
      <c r="Q162">
        <v>0.62</v>
      </c>
      <c r="R162">
        <v>0.5</v>
      </c>
      <c r="S162" t="s">
        <v>110</v>
      </c>
      <c r="T162">
        <v>43945</v>
      </c>
    </row>
    <row r="163" spans="2:20">
      <c r="B163">
        <v>212</v>
      </c>
      <c r="C163" t="s">
        <v>234</v>
      </c>
      <c r="D163" t="s">
        <v>234</v>
      </c>
      <c r="E163" t="s">
        <v>117</v>
      </c>
      <c r="F163">
        <v>119</v>
      </c>
      <c r="G163">
        <v>2.11</v>
      </c>
      <c r="H163">
        <v>2</v>
      </c>
      <c r="I163" t="s">
        <v>110</v>
      </c>
      <c r="J163" s="143">
        <v>43950</v>
      </c>
      <c r="L163">
        <v>171</v>
      </c>
      <c r="M163" t="s">
        <v>176</v>
      </c>
      <c r="N163" t="s">
        <v>176</v>
      </c>
      <c r="O163" t="s">
        <v>117</v>
      </c>
      <c r="P163">
        <v>17</v>
      </c>
      <c r="Q163">
        <v>0.3</v>
      </c>
      <c r="R163">
        <v>0.2</v>
      </c>
      <c r="S163" t="s">
        <v>110</v>
      </c>
      <c r="T163">
        <v>43945</v>
      </c>
    </row>
    <row r="164" spans="2:20">
      <c r="B164">
        <v>213</v>
      </c>
      <c r="C164" t="s">
        <v>234</v>
      </c>
      <c r="D164" t="s">
        <v>234</v>
      </c>
      <c r="E164" t="s">
        <v>117</v>
      </c>
      <c r="F164">
        <v>176</v>
      </c>
      <c r="G164">
        <v>3.12</v>
      </c>
      <c r="H164">
        <v>2</v>
      </c>
      <c r="I164" t="s">
        <v>110</v>
      </c>
      <c r="J164" s="143">
        <v>43950</v>
      </c>
      <c r="L164">
        <v>172</v>
      </c>
      <c r="M164" t="s">
        <v>176</v>
      </c>
      <c r="N164" t="s">
        <v>176</v>
      </c>
      <c r="O164" t="s">
        <v>117</v>
      </c>
      <c r="P164">
        <v>9</v>
      </c>
      <c r="Q164">
        <v>0.16</v>
      </c>
      <c r="R164">
        <v>0.1</v>
      </c>
      <c r="S164" t="s">
        <v>110</v>
      </c>
      <c r="T164">
        <v>43945</v>
      </c>
    </row>
    <row r="165" spans="2:20">
      <c r="B165">
        <v>222</v>
      </c>
      <c r="C165" t="s">
        <v>234</v>
      </c>
      <c r="D165" t="s">
        <v>234</v>
      </c>
      <c r="E165" t="s">
        <v>117</v>
      </c>
      <c r="F165">
        <v>21</v>
      </c>
      <c r="G165">
        <v>0.37</v>
      </c>
      <c r="H165">
        <v>0.5</v>
      </c>
      <c r="I165" t="s">
        <v>110</v>
      </c>
      <c r="J165" s="143">
        <v>43950</v>
      </c>
      <c r="L165">
        <v>187</v>
      </c>
      <c r="M165" t="s">
        <v>234</v>
      </c>
      <c r="N165" t="s">
        <v>234</v>
      </c>
      <c r="O165" t="s">
        <v>117</v>
      </c>
      <c r="P165">
        <v>28</v>
      </c>
      <c r="Q165">
        <v>0.49</v>
      </c>
      <c r="R165">
        <v>0.5</v>
      </c>
      <c r="S165" t="s">
        <v>110</v>
      </c>
      <c r="T165">
        <v>43950</v>
      </c>
    </row>
    <row r="166" spans="2:20">
      <c r="B166">
        <v>227</v>
      </c>
      <c r="C166" t="s">
        <v>234</v>
      </c>
      <c r="D166" t="s">
        <v>234</v>
      </c>
      <c r="E166" t="s">
        <v>117</v>
      </c>
      <c r="F166">
        <v>25</v>
      </c>
      <c r="G166">
        <v>0.44</v>
      </c>
      <c r="H166">
        <v>0.5</v>
      </c>
      <c r="I166" t="s">
        <v>110</v>
      </c>
      <c r="J166" s="143">
        <v>43950</v>
      </c>
      <c r="L166">
        <v>188</v>
      </c>
      <c r="M166" t="s">
        <v>234</v>
      </c>
      <c r="N166" t="s">
        <v>234</v>
      </c>
      <c r="O166" t="s">
        <v>117</v>
      </c>
      <c r="P166">
        <v>35</v>
      </c>
      <c r="Q166">
        <v>0.62</v>
      </c>
      <c r="R166">
        <v>0.5</v>
      </c>
      <c r="S166" t="s">
        <v>110</v>
      </c>
      <c r="T166">
        <v>43950</v>
      </c>
    </row>
    <row r="167" spans="2:20">
      <c r="B167">
        <v>233</v>
      </c>
      <c r="C167" t="s">
        <v>234</v>
      </c>
      <c r="D167" t="s">
        <v>234</v>
      </c>
      <c r="E167" t="s">
        <v>117</v>
      </c>
      <c r="F167">
        <v>61</v>
      </c>
      <c r="G167">
        <v>1.08</v>
      </c>
      <c r="H167">
        <v>1</v>
      </c>
      <c r="I167" t="s">
        <v>110</v>
      </c>
      <c r="J167" s="143">
        <v>43950</v>
      </c>
      <c r="L167">
        <v>189</v>
      </c>
      <c r="M167" t="s">
        <v>234</v>
      </c>
      <c r="N167" t="s">
        <v>234</v>
      </c>
      <c r="O167" t="s">
        <v>117</v>
      </c>
      <c r="P167">
        <v>259</v>
      </c>
      <c r="Q167">
        <v>4.5999999999999996</v>
      </c>
      <c r="R167">
        <v>2</v>
      </c>
      <c r="S167" t="s">
        <v>110</v>
      </c>
      <c r="T167">
        <v>43950</v>
      </c>
    </row>
    <row r="168" spans="2:20">
      <c r="B168">
        <v>236</v>
      </c>
      <c r="C168" t="s">
        <v>286</v>
      </c>
      <c r="D168" t="s">
        <v>286</v>
      </c>
      <c r="E168" t="s">
        <v>117</v>
      </c>
      <c r="F168">
        <v>259</v>
      </c>
      <c r="G168">
        <v>4.5999999999999996</v>
      </c>
      <c r="H168">
        <v>1</v>
      </c>
      <c r="I168" t="s">
        <v>505</v>
      </c>
      <c r="J168" s="143">
        <v>43964</v>
      </c>
      <c r="L168">
        <v>190</v>
      </c>
      <c r="M168" t="s">
        <v>234</v>
      </c>
      <c r="N168" t="s">
        <v>234</v>
      </c>
      <c r="O168" t="s">
        <v>117</v>
      </c>
      <c r="P168">
        <v>67</v>
      </c>
      <c r="Q168">
        <v>1.19</v>
      </c>
      <c r="R168">
        <v>1</v>
      </c>
      <c r="S168" t="s">
        <v>110</v>
      </c>
      <c r="T168">
        <v>43950</v>
      </c>
    </row>
    <row r="169" spans="2:20">
      <c r="B169">
        <v>237</v>
      </c>
      <c r="C169" t="s">
        <v>286</v>
      </c>
      <c r="D169" t="s">
        <v>286</v>
      </c>
      <c r="E169" t="s">
        <v>117</v>
      </c>
      <c r="F169">
        <v>19</v>
      </c>
      <c r="G169">
        <v>0.33</v>
      </c>
      <c r="H169">
        <v>0.2</v>
      </c>
      <c r="I169" t="s">
        <v>505</v>
      </c>
      <c r="J169" s="143">
        <v>43964</v>
      </c>
      <c r="L169">
        <v>204</v>
      </c>
      <c r="M169" t="s">
        <v>234</v>
      </c>
      <c r="N169" t="s">
        <v>234</v>
      </c>
      <c r="O169" t="s">
        <v>117</v>
      </c>
      <c r="P169">
        <v>23</v>
      </c>
      <c r="Q169">
        <v>0.4</v>
      </c>
      <c r="R169">
        <v>0.2</v>
      </c>
      <c r="S169" t="s">
        <v>110</v>
      </c>
      <c r="T169">
        <v>43950</v>
      </c>
    </row>
    <row r="170" spans="2:20">
      <c r="B170">
        <v>238</v>
      </c>
      <c r="C170" t="s">
        <v>286</v>
      </c>
      <c r="D170" t="s">
        <v>286</v>
      </c>
      <c r="E170" t="s">
        <v>117</v>
      </c>
      <c r="F170">
        <v>20</v>
      </c>
      <c r="G170">
        <v>0.35</v>
      </c>
      <c r="H170">
        <v>0.2</v>
      </c>
      <c r="I170" t="s">
        <v>505</v>
      </c>
      <c r="J170" s="143">
        <v>43964</v>
      </c>
      <c r="L170">
        <v>206</v>
      </c>
      <c r="M170" t="s">
        <v>234</v>
      </c>
      <c r="N170" t="s">
        <v>234</v>
      </c>
      <c r="O170" t="s">
        <v>117</v>
      </c>
      <c r="P170">
        <v>187</v>
      </c>
      <c r="Q170">
        <v>3.32</v>
      </c>
      <c r="R170">
        <v>3</v>
      </c>
      <c r="S170" t="s">
        <v>110</v>
      </c>
      <c r="T170">
        <v>43950</v>
      </c>
    </row>
    <row r="171" spans="2:20">
      <c r="B171">
        <v>239</v>
      </c>
      <c r="C171" t="s">
        <v>286</v>
      </c>
      <c r="D171" t="s">
        <v>286</v>
      </c>
      <c r="E171" t="s">
        <v>117</v>
      </c>
      <c r="F171">
        <v>230</v>
      </c>
      <c r="G171">
        <v>4.08</v>
      </c>
      <c r="H171">
        <v>1</v>
      </c>
      <c r="I171" t="s">
        <v>505</v>
      </c>
      <c r="J171" s="143">
        <v>43964</v>
      </c>
      <c r="L171">
        <v>207</v>
      </c>
      <c r="M171" t="s">
        <v>234</v>
      </c>
      <c r="N171" t="s">
        <v>234</v>
      </c>
      <c r="O171" t="s">
        <v>117</v>
      </c>
      <c r="P171">
        <v>390</v>
      </c>
      <c r="Q171">
        <v>6.93</v>
      </c>
      <c r="R171">
        <v>4</v>
      </c>
      <c r="S171" t="s">
        <v>110</v>
      </c>
      <c r="T171">
        <v>43950</v>
      </c>
    </row>
    <row r="172" spans="2:20">
      <c r="B172">
        <v>247</v>
      </c>
      <c r="C172" t="s">
        <v>286</v>
      </c>
      <c r="D172" t="s">
        <v>286</v>
      </c>
      <c r="E172" t="s">
        <v>117</v>
      </c>
      <c r="F172">
        <v>136</v>
      </c>
      <c r="G172">
        <v>2.41</v>
      </c>
      <c r="H172">
        <v>0.5</v>
      </c>
      <c r="I172" t="s">
        <v>505</v>
      </c>
      <c r="J172" s="143">
        <v>43964</v>
      </c>
      <c r="L172">
        <v>208</v>
      </c>
      <c r="M172" t="s">
        <v>234</v>
      </c>
      <c r="N172" t="s">
        <v>234</v>
      </c>
      <c r="O172" t="s">
        <v>117</v>
      </c>
      <c r="P172">
        <v>61</v>
      </c>
      <c r="Q172">
        <v>1.08</v>
      </c>
      <c r="R172">
        <v>1</v>
      </c>
      <c r="S172" t="s">
        <v>110</v>
      </c>
      <c r="T172">
        <v>43950</v>
      </c>
    </row>
    <row r="173" spans="2:20">
      <c r="B173">
        <v>248</v>
      </c>
      <c r="C173" t="s">
        <v>286</v>
      </c>
      <c r="D173" t="s">
        <v>286</v>
      </c>
      <c r="E173" t="s">
        <v>117</v>
      </c>
      <c r="F173">
        <v>58</v>
      </c>
      <c r="G173">
        <v>1.03</v>
      </c>
      <c r="H173">
        <v>0.1</v>
      </c>
      <c r="I173" t="s">
        <v>505</v>
      </c>
      <c r="J173" s="143">
        <v>43964</v>
      </c>
      <c r="L173">
        <v>209</v>
      </c>
      <c r="M173" t="s">
        <v>234</v>
      </c>
      <c r="N173" t="s">
        <v>234</v>
      </c>
      <c r="O173" t="s">
        <v>117</v>
      </c>
      <c r="P173">
        <v>130</v>
      </c>
      <c r="Q173">
        <v>2.31</v>
      </c>
      <c r="R173">
        <v>1</v>
      </c>
      <c r="S173" t="s">
        <v>110</v>
      </c>
      <c r="T173">
        <v>43950</v>
      </c>
    </row>
    <row r="174" spans="2:20">
      <c r="B174">
        <v>253</v>
      </c>
      <c r="C174" t="s">
        <v>286</v>
      </c>
      <c r="D174" t="s">
        <v>286</v>
      </c>
      <c r="E174" t="s">
        <v>117</v>
      </c>
      <c r="F174">
        <v>3</v>
      </c>
      <c r="G174">
        <v>0.05</v>
      </c>
      <c r="H174">
        <v>0.05</v>
      </c>
      <c r="I174" t="s">
        <v>505</v>
      </c>
      <c r="J174" s="143">
        <v>43964</v>
      </c>
      <c r="L174">
        <v>212</v>
      </c>
      <c r="M174" t="s">
        <v>234</v>
      </c>
      <c r="N174" t="s">
        <v>234</v>
      </c>
      <c r="O174" t="s">
        <v>117</v>
      </c>
      <c r="P174">
        <v>119</v>
      </c>
      <c r="Q174">
        <v>2.11</v>
      </c>
      <c r="R174">
        <v>2</v>
      </c>
      <c r="S174" t="s">
        <v>110</v>
      </c>
      <c r="T174">
        <v>43950</v>
      </c>
    </row>
    <row r="175" spans="2:20">
      <c r="B175">
        <v>260</v>
      </c>
      <c r="C175" t="s">
        <v>330</v>
      </c>
      <c r="D175" t="s">
        <v>330</v>
      </c>
      <c r="E175" t="s">
        <v>117</v>
      </c>
      <c r="F175">
        <v>50</v>
      </c>
      <c r="G175">
        <v>3.07</v>
      </c>
      <c r="H175">
        <v>2</v>
      </c>
      <c r="I175" t="s">
        <v>110</v>
      </c>
      <c r="J175" s="143">
        <v>43942</v>
      </c>
      <c r="L175">
        <v>213</v>
      </c>
      <c r="M175" t="s">
        <v>234</v>
      </c>
      <c r="N175" t="s">
        <v>234</v>
      </c>
      <c r="O175" t="s">
        <v>117</v>
      </c>
      <c r="P175">
        <v>176</v>
      </c>
      <c r="Q175">
        <v>3.12</v>
      </c>
      <c r="R175">
        <v>2</v>
      </c>
      <c r="S175" t="s">
        <v>110</v>
      </c>
      <c r="T175">
        <v>43950</v>
      </c>
    </row>
    <row r="176" spans="2:20">
      <c r="B176">
        <v>265</v>
      </c>
      <c r="C176" t="s">
        <v>346</v>
      </c>
      <c r="D176" t="s">
        <v>346</v>
      </c>
      <c r="E176" t="s">
        <v>117</v>
      </c>
      <c r="F176">
        <v>43</v>
      </c>
      <c r="G176">
        <v>0.76</v>
      </c>
      <c r="H176">
        <v>0.5</v>
      </c>
      <c r="I176" t="s">
        <v>110</v>
      </c>
      <c r="J176" s="143">
        <v>43945</v>
      </c>
      <c r="L176">
        <v>222</v>
      </c>
      <c r="M176" t="s">
        <v>234</v>
      </c>
      <c r="N176" t="s">
        <v>234</v>
      </c>
      <c r="O176" t="s">
        <v>117</v>
      </c>
      <c r="P176">
        <v>21</v>
      </c>
      <c r="Q176">
        <v>0.37</v>
      </c>
      <c r="R176">
        <v>0.5</v>
      </c>
      <c r="S176" t="s">
        <v>110</v>
      </c>
      <c r="T176">
        <v>43950</v>
      </c>
    </row>
    <row r="177" spans="2:20">
      <c r="B177">
        <v>266</v>
      </c>
      <c r="C177" t="s">
        <v>350</v>
      </c>
      <c r="D177" t="s">
        <v>350</v>
      </c>
      <c r="E177" t="s">
        <v>117</v>
      </c>
      <c r="F177">
        <v>29</v>
      </c>
      <c r="G177">
        <v>0.51</v>
      </c>
      <c r="H177">
        <v>0.5</v>
      </c>
      <c r="I177" t="s">
        <v>110</v>
      </c>
      <c r="J177" s="143">
        <v>43945</v>
      </c>
      <c r="L177">
        <v>227</v>
      </c>
      <c r="M177" t="s">
        <v>234</v>
      </c>
      <c r="N177" t="s">
        <v>234</v>
      </c>
      <c r="O177" t="s">
        <v>117</v>
      </c>
      <c r="P177">
        <v>25</v>
      </c>
      <c r="Q177">
        <v>0.44</v>
      </c>
      <c r="R177">
        <v>0.5</v>
      </c>
      <c r="S177" t="s">
        <v>110</v>
      </c>
      <c r="T177">
        <v>43950</v>
      </c>
    </row>
    <row r="178" spans="2:20">
      <c r="B178">
        <v>268</v>
      </c>
      <c r="C178" t="s">
        <v>353</v>
      </c>
      <c r="D178" t="s">
        <v>353</v>
      </c>
      <c r="E178" t="s">
        <v>117</v>
      </c>
      <c r="F178">
        <v>15</v>
      </c>
      <c r="G178">
        <v>0.26</v>
      </c>
      <c r="H178">
        <v>0.2</v>
      </c>
      <c r="I178" t="s">
        <v>110</v>
      </c>
      <c r="J178" s="143">
        <v>43945</v>
      </c>
      <c r="L178">
        <v>233</v>
      </c>
      <c r="M178" t="s">
        <v>234</v>
      </c>
      <c r="N178" t="s">
        <v>234</v>
      </c>
      <c r="O178" t="s">
        <v>117</v>
      </c>
      <c r="P178">
        <v>61</v>
      </c>
      <c r="Q178">
        <v>1.08</v>
      </c>
      <c r="R178">
        <v>1</v>
      </c>
      <c r="S178" t="s">
        <v>110</v>
      </c>
      <c r="T178">
        <v>43950</v>
      </c>
    </row>
    <row r="179" spans="2:20">
      <c r="B179">
        <v>270</v>
      </c>
      <c r="C179" t="s">
        <v>356</v>
      </c>
      <c r="D179" t="s">
        <v>356</v>
      </c>
      <c r="E179" t="s">
        <v>117</v>
      </c>
      <c r="F179">
        <v>43</v>
      </c>
      <c r="G179">
        <v>0.76</v>
      </c>
      <c r="H179">
        <v>0.5</v>
      </c>
      <c r="I179" t="s">
        <v>110</v>
      </c>
      <c r="J179" s="143">
        <v>43945</v>
      </c>
      <c r="L179">
        <v>236</v>
      </c>
      <c r="M179" t="s">
        <v>286</v>
      </c>
      <c r="N179" t="s">
        <v>286</v>
      </c>
      <c r="O179" t="s">
        <v>117</v>
      </c>
      <c r="P179">
        <v>259</v>
      </c>
      <c r="Q179">
        <v>4.5999999999999996</v>
      </c>
      <c r="R179">
        <v>1</v>
      </c>
      <c r="S179" t="s">
        <v>505</v>
      </c>
      <c r="T179">
        <v>43964</v>
      </c>
    </row>
    <row r="180" spans="2:20">
      <c r="B180">
        <v>271</v>
      </c>
      <c r="C180" t="s">
        <v>356</v>
      </c>
      <c r="D180" t="s">
        <v>356</v>
      </c>
      <c r="E180" t="s">
        <v>117</v>
      </c>
      <c r="F180">
        <v>205</v>
      </c>
      <c r="G180">
        <v>3.64</v>
      </c>
      <c r="H180">
        <v>2</v>
      </c>
      <c r="I180" t="s">
        <v>110</v>
      </c>
      <c r="J180" s="143">
        <v>43945</v>
      </c>
      <c r="L180">
        <v>237</v>
      </c>
      <c r="M180" t="s">
        <v>286</v>
      </c>
      <c r="N180" t="s">
        <v>286</v>
      </c>
      <c r="O180" t="s">
        <v>117</v>
      </c>
      <c r="P180">
        <v>19</v>
      </c>
      <c r="Q180">
        <v>0.33</v>
      </c>
      <c r="R180">
        <v>0.2</v>
      </c>
      <c r="S180" t="s">
        <v>505</v>
      </c>
      <c r="T180">
        <v>43964</v>
      </c>
    </row>
    <row r="181" spans="2:20">
      <c r="B181">
        <v>272</v>
      </c>
      <c r="C181" t="s">
        <v>356</v>
      </c>
      <c r="D181" t="s">
        <v>356</v>
      </c>
      <c r="E181" t="s">
        <v>117</v>
      </c>
      <c r="F181">
        <v>276</v>
      </c>
      <c r="G181">
        <v>4.9000000000000004</v>
      </c>
      <c r="H181">
        <v>2</v>
      </c>
      <c r="I181" t="s">
        <v>110</v>
      </c>
      <c r="J181" s="143">
        <v>43945</v>
      </c>
      <c r="L181">
        <v>238</v>
      </c>
      <c r="M181" t="s">
        <v>286</v>
      </c>
      <c r="N181" t="s">
        <v>286</v>
      </c>
      <c r="O181" t="s">
        <v>117</v>
      </c>
      <c r="P181">
        <v>20</v>
      </c>
      <c r="Q181">
        <v>0.35</v>
      </c>
      <c r="R181">
        <v>0.2</v>
      </c>
      <c r="S181" t="s">
        <v>505</v>
      </c>
      <c r="T181">
        <v>43964</v>
      </c>
    </row>
    <row r="182" spans="2:20">
      <c r="B182">
        <v>276</v>
      </c>
      <c r="C182" t="s">
        <v>360</v>
      </c>
      <c r="D182" t="s">
        <v>360</v>
      </c>
      <c r="E182" t="s">
        <v>117</v>
      </c>
      <c r="F182">
        <v>121</v>
      </c>
      <c r="G182">
        <v>7.44</v>
      </c>
      <c r="H182">
        <v>7</v>
      </c>
      <c r="I182" t="s">
        <v>550</v>
      </c>
      <c r="J182" s="143">
        <v>43949</v>
      </c>
      <c r="L182">
        <v>239</v>
      </c>
      <c r="M182" t="s">
        <v>286</v>
      </c>
      <c r="N182" t="s">
        <v>286</v>
      </c>
      <c r="O182" t="s">
        <v>117</v>
      </c>
      <c r="P182">
        <v>230</v>
      </c>
      <c r="Q182">
        <v>4.08</v>
      </c>
      <c r="R182">
        <v>1</v>
      </c>
      <c r="S182" t="s">
        <v>505</v>
      </c>
      <c r="T182">
        <v>43964</v>
      </c>
    </row>
    <row r="183" spans="2:20">
      <c r="B183">
        <v>280</v>
      </c>
      <c r="C183" t="s">
        <v>18</v>
      </c>
      <c r="D183" t="s">
        <v>18</v>
      </c>
      <c r="E183" t="s">
        <v>117</v>
      </c>
      <c r="F183">
        <v>99</v>
      </c>
      <c r="G183">
        <v>6.09</v>
      </c>
      <c r="H183">
        <v>6</v>
      </c>
      <c r="I183" t="s">
        <v>550</v>
      </c>
      <c r="J183" s="143">
        <v>43950</v>
      </c>
      <c r="L183">
        <v>247</v>
      </c>
      <c r="M183" t="s">
        <v>286</v>
      </c>
      <c r="N183" t="s">
        <v>286</v>
      </c>
      <c r="O183" t="s">
        <v>117</v>
      </c>
      <c r="P183">
        <v>136</v>
      </c>
      <c r="Q183">
        <v>2.41</v>
      </c>
      <c r="R183">
        <v>0.5</v>
      </c>
      <c r="S183" t="s">
        <v>505</v>
      </c>
      <c r="T183">
        <v>43964</v>
      </c>
    </row>
    <row r="184" spans="2:20">
      <c r="B184">
        <v>281</v>
      </c>
      <c r="C184" t="s">
        <v>18</v>
      </c>
      <c r="D184" t="s">
        <v>18</v>
      </c>
      <c r="E184" t="s">
        <v>117</v>
      </c>
      <c r="F184">
        <v>70</v>
      </c>
      <c r="G184">
        <v>4.3</v>
      </c>
      <c r="H184">
        <v>4</v>
      </c>
      <c r="I184" t="s">
        <v>550</v>
      </c>
      <c r="J184" s="143">
        <v>43950</v>
      </c>
      <c r="L184">
        <v>248</v>
      </c>
      <c r="M184" t="s">
        <v>286</v>
      </c>
      <c r="N184" t="s">
        <v>286</v>
      </c>
      <c r="O184" t="s">
        <v>117</v>
      </c>
      <c r="P184">
        <v>58</v>
      </c>
      <c r="Q184">
        <v>1.03</v>
      </c>
      <c r="R184">
        <v>0.1</v>
      </c>
      <c r="S184" t="s">
        <v>505</v>
      </c>
      <c r="T184">
        <v>43964</v>
      </c>
    </row>
    <row r="185" spans="2:20">
      <c r="B185">
        <v>22</v>
      </c>
      <c r="C185" t="s">
        <v>616</v>
      </c>
      <c r="D185" t="s">
        <v>616</v>
      </c>
      <c r="E185" t="s">
        <v>117</v>
      </c>
      <c r="F185">
        <v>1264</v>
      </c>
      <c r="G185">
        <v>22.47</v>
      </c>
      <c r="H185">
        <v>8</v>
      </c>
      <c r="I185" t="s">
        <v>550</v>
      </c>
      <c r="J185" s="143">
        <v>43959</v>
      </c>
      <c r="L185">
        <v>253</v>
      </c>
      <c r="M185" t="s">
        <v>286</v>
      </c>
      <c r="N185" t="s">
        <v>286</v>
      </c>
      <c r="O185" t="s">
        <v>117</v>
      </c>
      <c r="P185">
        <v>3</v>
      </c>
      <c r="Q185">
        <v>0.05</v>
      </c>
      <c r="R185">
        <v>0.05</v>
      </c>
      <c r="S185" t="s">
        <v>505</v>
      </c>
      <c r="T185">
        <v>43964</v>
      </c>
    </row>
    <row r="186" spans="2:20">
      <c r="B186">
        <v>27</v>
      </c>
      <c r="C186" t="s">
        <v>621</v>
      </c>
      <c r="D186" t="s">
        <v>621</v>
      </c>
      <c r="E186" t="s">
        <v>117</v>
      </c>
      <c r="F186">
        <v>8</v>
      </c>
      <c r="G186">
        <v>0.49</v>
      </c>
      <c r="H186">
        <v>0.5</v>
      </c>
      <c r="I186" t="s">
        <v>550</v>
      </c>
      <c r="J186" s="143">
        <v>43959</v>
      </c>
      <c r="L186">
        <v>260</v>
      </c>
      <c r="M186" t="s">
        <v>330</v>
      </c>
      <c r="N186" t="s">
        <v>330</v>
      </c>
      <c r="O186" t="s">
        <v>117</v>
      </c>
      <c r="P186">
        <v>50</v>
      </c>
      <c r="Q186">
        <v>3.07</v>
      </c>
      <c r="R186">
        <v>2</v>
      </c>
      <c r="S186" t="s">
        <v>110</v>
      </c>
      <c r="T186">
        <v>43942</v>
      </c>
    </row>
    <row r="187" spans="2:20">
      <c r="B187">
        <v>29</v>
      </c>
      <c r="C187" t="s">
        <v>634</v>
      </c>
      <c r="D187" t="s">
        <v>634</v>
      </c>
      <c r="E187" t="s">
        <v>117</v>
      </c>
      <c r="F187">
        <v>99</v>
      </c>
      <c r="G187">
        <v>1.76</v>
      </c>
      <c r="H187">
        <v>0.5</v>
      </c>
      <c r="I187" t="s">
        <v>505</v>
      </c>
      <c r="J187" s="143">
        <v>43966</v>
      </c>
      <c r="L187">
        <v>265</v>
      </c>
      <c r="M187" t="s">
        <v>346</v>
      </c>
      <c r="N187" t="s">
        <v>346</v>
      </c>
      <c r="O187" t="s">
        <v>117</v>
      </c>
      <c r="P187">
        <v>43</v>
      </c>
      <c r="Q187">
        <v>0.76</v>
      </c>
      <c r="R187">
        <v>0.5</v>
      </c>
      <c r="S187" t="s">
        <v>110</v>
      </c>
      <c r="T187">
        <v>43945</v>
      </c>
    </row>
    <row r="188" spans="2:20">
      <c r="B188">
        <v>30</v>
      </c>
      <c r="C188" t="s">
        <v>634</v>
      </c>
      <c r="D188" t="s">
        <v>634</v>
      </c>
      <c r="E188" t="s">
        <v>117</v>
      </c>
      <c r="F188">
        <v>16</v>
      </c>
      <c r="G188">
        <v>0.28000000000000003</v>
      </c>
      <c r="H188">
        <v>0.2</v>
      </c>
      <c r="I188" t="s">
        <v>505</v>
      </c>
      <c r="J188" s="143">
        <v>43966</v>
      </c>
      <c r="L188">
        <v>266</v>
      </c>
      <c r="M188" t="s">
        <v>350</v>
      </c>
      <c r="N188" t="s">
        <v>350</v>
      </c>
      <c r="O188" t="s">
        <v>117</v>
      </c>
      <c r="P188">
        <v>29</v>
      </c>
      <c r="Q188">
        <v>0.51</v>
      </c>
      <c r="R188">
        <v>0.5</v>
      </c>
      <c r="S188" t="s">
        <v>110</v>
      </c>
      <c r="T188">
        <v>43945</v>
      </c>
    </row>
    <row r="189" spans="2:20">
      <c r="B189">
        <v>39</v>
      </c>
      <c r="C189" t="s">
        <v>634</v>
      </c>
      <c r="D189" t="s">
        <v>634</v>
      </c>
      <c r="E189" t="s">
        <v>117</v>
      </c>
      <c r="F189">
        <v>195</v>
      </c>
      <c r="G189">
        <v>3.46</v>
      </c>
      <c r="H189">
        <v>5</v>
      </c>
      <c r="I189" t="s">
        <v>505</v>
      </c>
      <c r="J189" s="143">
        <v>43966</v>
      </c>
      <c r="L189">
        <v>268</v>
      </c>
      <c r="M189" t="s">
        <v>353</v>
      </c>
      <c r="N189" t="s">
        <v>353</v>
      </c>
      <c r="O189" t="s">
        <v>117</v>
      </c>
      <c r="P189">
        <v>15</v>
      </c>
      <c r="Q189">
        <v>0.26</v>
      </c>
      <c r="R189">
        <v>0.2</v>
      </c>
      <c r="S189" t="s">
        <v>110</v>
      </c>
      <c r="T189">
        <v>43945</v>
      </c>
    </row>
    <row r="190" spans="2:20">
      <c r="B190">
        <v>47</v>
      </c>
      <c r="C190" t="s">
        <v>634</v>
      </c>
      <c r="D190" t="s">
        <v>634</v>
      </c>
      <c r="E190" t="s">
        <v>117</v>
      </c>
      <c r="F190">
        <v>101</v>
      </c>
      <c r="G190">
        <v>1.79</v>
      </c>
      <c r="H190">
        <v>1.8</v>
      </c>
      <c r="I190" t="s">
        <v>505</v>
      </c>
      <c r="J190" s="143">
        <v>43966</v>
      </c>
      <c r="L190">
        <v>270</v>
      </c>
      <c r="M190" t="s">
        <v>356</v>
      </c>
      <c r="N190" t="s">
        <v>356</v>
      </c>
      <c r="O190" t="s">
        <v>117</v>
      </c>
      <c r="P190">
        <v>43</v>
      </c>
      <c r="Q190">
        <v>0.76</v>
      </c>
      <c r="R190">
        <v>0.5</v>
      </c>
      <c r="S190" t="s">
        <v>110</v>
      </c>
      <c r="T190">
        <v>43945</v>
      </c>
    </row>
    <row r="191" spans="2:20">
      <c r="B191">
        <v>48</v>
      </c>
      <c r="C191" t="s">
        <v>634</v>
      </c>
      <c r="D191" t="s">
        <v>634</v>
      </c>
      <c r="E191" t="s">
        <v>117</v>
      </c>
      <c r="F191">
        <v>116</v>
      </c>
      <c r="G191">
        <v>2.06</v>
      </c>
      <c r="H191">
        <v>2</v>
      </c>
      <c r="I191" t="s">
        <v>505</v>
      </c>
      <c r="J191" s="143">
        <v>43966</v>
      </c>
      <c r="L191">
        <v>271</v>
      </c>
      <c r="M191" t="s">
        <v>356</v>
      </c>
      <c r="N191" t="s">
        <v>356</v>
      </c>
      <c r="O191" t="s">
        <v>117</v>
      </c>
      <c r="P191">
        <v>205</v>
      </c>
      <c r="Q191">
        <v>3.64</v>
      </c>
      <c r="R191">
        <v>2</v>
      </c>
      <c r="S191" t="s">
        <v>110</v>
      </c>
      <c r="T191">
        <v>43945</v>
      </c>
    </row>
    <row r="192" spans="2:20">
      <c r="B192">
        <v>49</v>
      </c>
      <c r="C192" t="s">
        <v>634</v>
      </c>
      <c r="D192" t="s">
        <v>634</v>
      </c>
      <c r="E192" t="s">
        <v>117</v>
      </c>
      <c r="F192">
        <v>204</v>
      </c>
      <c r="G192">
        <v>3.62</v>
      </c>
      <c r="H192">
        <v>3</v>
      </c>
      <c r="I192" t="s">
        <v>505</v>
      </c>
      <c r="J192" s="143">
        <v>43966</v>
      </c>
      <c r="L192">
        <v>272</v>
      </c>
      <c r="M192" t="s">
        <v>356</v>
      </c>
      <c r="N192" t="s">
        <v>356</v>
      </c>
      <c r="O192" t="s">
        <v>117</v>
      </c>
      <c r="P192">
        <v>276</v>
      </c>
      <c r="Q192">
        <v>4.9000000000000004</v>
      </c>
      <c r="R192">
        <v>2</v>
      </c>
      <c r="S192" t="s">
        <v>110</v>
      </c>
      <c r="T192">
        <v>43945</v>
      </c>
    </row>
    <row r="193" spans="2:20">
      <c r="B193">
        <v>66</v>
      </c>
      <c r="C193" t="s">
        <v>694</v>
      </c>
      <c r="D193" t="s">
        <v>694</v>
      </c>
      <c r="E193" t="s">
        <v>117</v>
      </c>
      <c r="F193">
        <v>45</v>
      </c>
      <c r="G193">
        <v>2.76</v>
      </c>
      <c r="H193">
        <v>3</v>
      </c>
      <c r="I193" t="s">
        <v>110</v>
      </c>
      <c r="J193" s="143">
        <v>43957</v>
      </c>
      <c r="L193">
        <v>276</v>
      </c>
      <c r="M193" t="s">
        <v>360</v>
      </c>
      <c r="N193" t="s">
        <v>360</v>
      </c>
      <c r="O193" t="s">
        <v>117</v>
      </c>
      <c r="P193">
        <v>121</v>
      </c>
      <c r="Q193">
        <v>7.44</v>
      </c>
      <c r="R193">
        <v>7</v>
      </c>
      <c r="S193" t="s">
        <v>550</v>
      </c>
      <c r="T193">
        <v>43949</v>
      </c>
    </row>
    <row r="194" spans="2:20">
      <c r="B194">
        <v>83</v>
      </c>
      <c r="C194" t="s">
        <v>21</v>
      </c>
      <c r="D194" t="s">
        <v>21</v>
      </c>
      <c r="E194" t="s">
        <v>117</v>
      </c>
      <c r="F194">
        <v>1009</v>
      </c>
      <c r="G194">
        <v>17.93</v>
      </c>
      <c r="H194">
        <v>16</v>
      </c>
      <c r="I194" t="s">
        <v>550</v>
      </c>
      <c r="J194" s="143">
        <v>43958</v>
      </c>
      <c r="L194">
        <v>280</v>
      </c>
      <c r="M194" t="s">
        <v>18</v>
      </c>
      <c r="N194" t="s">
        <v>18</v>
      </c>
      <c r="O194" t="s">
        <v>117</v>
      </c>
      <c r="P194">
        <v>99</v>
      </c>
      <c r="Q194">
        <v>6.09</v>
      </c>
      <c r="R194">
        <v>6</v>
      </c>
      <c r="S194" t="s">
        <v>550</v>
      </c>
      <c r="T194">
        <v>43950</v>
      </c>
    </row>
    <row r="195" spans="2:20">
      <c r="B195">
        <v>90</v>
      </c>
      <c r="C195" t="s">
        <v>18</v>
      </c>
      <c r="D195" t="s">
        <v>18</v>
      </c>
      <c r="E195" t="s">
        <v>117</v>
      </c>
      <c r="F195">
        <v>1009</v>
      </c>
      <c r="G195">
        <v>17.93</v>
      </c>
      <c r="H195">
        <v>8</v>
      </c>
      <c r="I195" t="s">
        <v>550</v>
      </c>
      <c r="J195" s="143">
        <v>43964</v>
      </c>
      <c r="L195">
        <v>281</v>
      </c>
      <c r="M195" t="s">
        <v>18</v>
      </c>
      <c r="N195" t="s">
        <v>18</v>
      </c>
      <c r="O195" t="s">
        <v>117</v>
      </c>
      <c r="P195">
        <v>70</v>
      </c>
      <c r="Q195">
        <v>4.3</v>
      </c>
      <c r="R195">
        <v>4</v>
      </c>
      <c r="S195" t="s">
        <v>550</v>
      </c>
      <c r="T195">
        <v>43950</v>
      </c>
    </row>
    <row r="196" spans="2:20">
      <c r="B196">
        <v>146</v>
      </c>
      <c r="C196" t="s">
        <v>870</v>
      </c>
      <c r="D196" t="s">
        <v>870</v>
      </c>
      <c r="E196" t="s">
        <v>117</v>
      </c>
      <c r="F196">
        <v>40</v>
      </c>
      <c r="G196">
        <v>2.46</v>
      </c>
      <c r="H196">
        <v>2</v>
      </c>
      <c r="I196" t="s">
        <v>550</v>
      </c>
      <c r="J196" s="143">
        <v>43966</v>
      </c>
      <c r="L196">
        <v>22</v>
      </c>
      <c r="M196" t="s">
        <v>616</v>
      </c>
      <c r="N196" t="s">
        <v>616</v>
      </c>
      <c r="O196" t="s">
        <v>117</v>
      </c>
      <c r="P196">
        <v>1264</v>
      </c>
      <c r="Q196">
        <v>22.47</v>
      </c>
      <c r="R196">
        <v>8</v>
      </c>
      <c r="S196" t="s">
        <v>550</v>
      </c>
      <c r="T196">
        <v>43959</v>
      </c>
    </row>
    <row r="197" spans="2:20">
      <c r="B197">
        <v>5</v>
      </c>
      <c r="C197" t="s">
        <v>556</v>
      </c>
      <c r="D197" t="s">
        <v>556</v>
      </c>
      <c r="E197" t="s">
        <v>573</v>
      </c>
      <c r="F197">
        <v>178</v>
      </c>
      <c r="G197">
        <v>3.16</v>
      </c>
      <c r="H197">
        <v>1</v>
      </c>
      <c r="I197" t="s">
        <v>550</v>
      </c>
      <c r="J197" s="143">
        <v>43956</v>
      </c>
      <c r="L197">
        <v>27</v>
      </c>
      <c r="M197" t="s">
        <v>621</v>
      </c>
      <c r="N197" t="s">
        <v>621</v>
      </c>
      <c r="O197" t="s">
        <v>117</v>
      </c>
      <c r="P197">
        <v>8</v>
      </c>
      <c r="Q197">
        <v>0.49</v>
      </c>
      <c r="R197">
        <v>0.5</v>
      </c>
      <c r="S197" t="s">
        <v>550</v>
      </c>
      <c r="T197">
        <v>43959</v>
      </c>
    </row>
    <row r="198" spans="2:20">
      <c r="B198">
        <v>6</v>
      </c>
      <c r="C198" t="s">
        <v>556</v>
      </c>
      <c r="D198" t="s">
        <v>556</v>
      </c>
      <c r="E198" t="s">
        <v>573</v>
      </c>
      <c r="F198">
        <v>124</v>
      </c>
      <c r="G198">
        <v>2.2000000000000002</v>
      </c>
      <c r="H198">
        <v>2</v>
      </c>
      <c r="I198" t="s">
        <v>550</v>
      </c>
      <c r="J198" s="143">
        <v>43956</v>
      </c>
      <c r="L198">
        <v>29</v>
      </c>
      <c r="M198" t="s">
        <v>634</v>
      </c>
      <c r="N198" t="s">
        <v>634</v>
      </c>
      <c r="O198" t="s">
        <v>117</v>
      </c>
      <c r="P198">
        <v>99</v>
      </c>
      <c r="Q198">
        <v>1.76</v>
      </c>
      <c r="R198">
        <v>0.5</v>
      </c>
      <c r="S198" t="s">
        <v>505</v>
      </c>
      <c r="T198">
        <v>43966</v>
      </c>
    </row>
    <row r="199" spans="2:20">
      <c r="B199">
        <v>7</v>
      </c>
      <c r="C199" t="s">
        <v>556</v>
      </c>
      <c r="D199" t="s">
        <v>556</v>
      </c>
      <c r="E199" t="s">
        <v>573</v>
      </c>
      <c r="F199">
        <v>106</v>
      </c>
      <c r="G199">
        <v>1.88</v>
      </c>
      <c r="H199">
        <v>2</v>
      </c>
      <c r="I199" t="s">
        <v>110</v>
      </c>
      <c r="J199" s="143">
        <v>43956</v>
      </c>
      <c r="L199">
        <v>30</v>
      </c>
      <c r="M199" t="s">
        <v>634</v>
      </c>
      <c r="N199" t="s">
        <v>634</v>
      </c>
      <c r="O199" t="s">
        <v>117</v>
      </c>
      <c r="P199">
        <v>16</v>
      </c>
      <c r="Q199">
        <v>0.28000000000000003</v>
      </c>
      <c r="R199">
        <v>0.2</v>
      </c>
      <c r="S199" t="s">
        <v>505</v>
      </c>
      <c r="T199">
        <v>43966</v>
      </c>
    </row>
    <row r="200" spans="2:20">
      <c r="B200">
        <v>8</v>
      </c>
      <c r="C200" t="s">
        <v>581</v>
      </c>
      <c r="D200" t="s">
        <v>581</v>
      </c>
      <c r="E200" t="s">
        <v>573</v>
      </c>
      <c r="F200">
        <v>188</v>
      </c>
      <c r="G200">
        <v>3.34</v>
      </c>
      <c r="H200">
        <v>1</v>
      </c>
      <c r="I200" t="s">
        <v>550</v>
      </c>
      <c r="J200" s="143">
        <v>43956</v>
      </c>
      <c r="L200">
        <v>39</v>
      </c>
      <c r="M200" t="s">
        <v>634</v>
      </c>
      <c r="N200" t="s">
        <v>634</v>
      </c>
      <c r="O200" t="s">
        <v>117</v>
      </c>
      <c r="P200">
        <v>195</v>
      </c>
      <c r="Q200">
        <v>3.46</v>
      </c>
      <c r="R200">
        <v>5</v>
      </c>
      <c r="S200" t="s">
        <v>505</v>
      </c>
      <c r="T200">
        <v>43966</v>
      </c>
    </row>
    <row r="201" spans="2:20">
      <c r="B201">
        <v>9</v>
      </c>
      <c r="C201" t="s">
        <v>581</v>
      </c>
      <c r="D201" t="s">
        <v>581</v>
      </c>
      <c r="E201" t="s">
        <v>573</v>
      </c>
      <c r="F201">
        <v>257</v>
      </c>
      <c r="G201">
        <v>4.5599999999999996</v>
      </c>
      <c r="H201">
        <v>2</v>
      </c>
      <c r="I201" t="s">
        <v>550</v>
      </c>
      <c r="J201" s="143">
        <v>43956</v>
      </c>
      <c r="L201">
        <v>47</v>
      </c>
      <c r="M201" t="s">
        <v>634</v>
      </c>
      <c r="N201" t="s">
        <v>634</v>
      </c>
      <c r="O201" t="s">
        <v>117</v>
      </c>
      <c r="P201">
        <v>101</v>
      </c>
      <c r="Q201">
        <v>1.79</v>
      </c>
      <c r="R201">
        <v>1.8</v>
      </c>
      <c r="S201" t="s">
        <v>505</v>
      </c>
      <c r="T201">
        <v>43966</v>
      </c>
    </row>
    <row r="202" spans="2:20">
      <c r="B202">
        <v>10</v>
      </c>
      <c r="C202" t="s">
        <v>581</v>
      </c>
      <c r="D202" t="s">
        <v>581</v>
      </c>
      <c r="E202" t="s">
        <v>573</v>
      </c>
      <c r="F202">
        <v>1141</v>
      </c>
      <c r="G202">
        <v>20.28</v>
      </c>
      <c r="H202">
        <v>4</v>
      </c>
      <c r="I202" t="s">
        <v>550</v>
      </c>
      <c r="J202" s="143">
        <v>43956</v>
      </c>
      <c r="L202">
        <v>48</v>
      </c>
      <c r="M202" t="s">
        <v>634</v>
      </c>
      <c r="N202" t="s">
        <v>634</v>
      </c>
      <c r="O202" t="s">
        <v>117</v>
      </c>
      <c r="P202">
        <v>116</v>
      </c>
      <c r="Q202">
        <v>2.06</v>
      </c>
      <c r="R202">
        <v>2</v>
      </c>
      <c r="S202" t="s">
        <v>505</v>
      </c>
      <c r="T202">
        <v>43966</v>
      </c>
    </row>
    <row r="203" spans="2:20">
      <c r="B203">
        <v>67</v>
      </c>
      <c r="C203" t="s">
        <v>701</v>
      </c>
      <c r="D203" t="s">
        <v>701</v>
      </c>
      <c r="E203" t="s">
        <v>573</v>
      </c>
      <c r="F203">
        <v>101</v>
      </c>
      <c r="G203">
        <v>1.79</v>
      </c>
      <c r="H203">
        <v>2</v>
      </c>
      <c r="I203" t="s">
        <v>110</v>
      </c>
      <c r="J203" s="143">
        <v>43959</v>
      </c>
      <c r="L203">
        <v>49</v>
      </c>
      <c r="M203" t="s">
        <v>634</v>
      </c>
      <c r="N203" t="s">
        <v>634</v>
      </c>
      <c r="O203" t="s">
        <v>117</v>
      </c>
      <c r="P203">
        <v>204</v>
      </c>
      <c r="Q203">
        <v>3.62</v>
      </c>
      <c r="R203">
        <v>3</v>
      </c>
      <c r="S203" t="s">
        <v>505</v>
      </c>
      <c r="T203">
        <v>43966</v>
      </c>
    </row>
    <row r="204" spans="2:20">
      <c r="B204">
        <v>68</v>
      </c>
      <c r="C204" t="s">
        <v>701</v>
      </c>
      <c r="D204" t="s">
        <v>701</v>
      </c>
      <c r="E204" t="s">
        <v>573</v>
      </c>
      <c r="F204">
        <v>66</v>
      </c>
      <c r="G204">
        <v>1.17</v>
      </c>
      <c r="H204">
        <v>1</v>
      </c>
      <c r="I204" t="s">
        <v>110</v>
      </c>
      <c r="J204" s="143">
        <v>43959</v>
      </c>
      <c r="L204">
        <v>66</v>
      </c>
      <c r="M204" t="s">
        <v>694</v>
      </c>
      <c r="N204" t="s">
        <v>694</v>
      </c>
      <c r="O204" t="s">
        <v>117</v>
      </c>
      <c r="P204">
        <v>45</v>
      </c>
      <c r="Q204">
        <v>2.76</v>
      </c>
      <c r="R204">
        <v>3</v>
      </c>
      <c r="S204" t="s">
        <v>110</v>
      </c>
      <c r="T204">
        <v>43957</v>
      </c>
    </row>
    <row r="205" spans="2:20">
      <c r="B205">
        <v>69</v>
      </c>
      <c r="C205" t="s">
        <v>709</v>
      </c>
      <c r="D205" t="s">
        <v>709</v>
      </c>
      <c r="E205" t="s">
        <v>573</v>
      </c>
      <c r="F205">
        <v>86</v>
      </c>
      <c r="G205">
        <v>1.52</v>
      </c>
      <c r="H205">
        <v>4</v>
      </c>
      <c r="I205" t="s">
        <v>110</v>
      </c>
      <c r="J205" s="143">
        <v>43959</v>
      </c>
      <c r="L205">
        <v>83</v>
      </c>
      <c r="M205" t="s">
        <v>21</v>
      </c>
      <c r="N205" t="s">
        <v>21</v>
      </c>
      <c r="O205" t="s">
        <v>117</v>
      </c>
      <c r="P205">
        <v>1009</v>
      </c>
      <c r="Q205">
        <v>17.93</v>
      </c>
      <c r="R205">
        <v>16</v>
      </c>
      <c r="S205" t="s">
        <v>550</v>
      </c>
      <c r="T205">
        <v>43958</v>
      </c>
    </row>
    <row r="206" spans="2:20">
      <c r="B206">
        <v>70</v>
      </c>
      <c r="C206" t="s">
        <v>714</v>
      </c>
      <c r="D206" t="s">
        <v>714</v>
      </c>
      <c r="E206" t="s">
        <v>573</v>
      </c>
      <c r="F206">
        <v>145</v>
      </c>
      <c r="G206">
        <v>2.57</v>
      </c>
      <c r="H206">
        <v>4</v>
      </c>
      <c r="I206" t="s">
        <v>110</v>
      </c>
      <c r="J206" s="143">
        <v>43959</v>
      </c>
      <c r="L206">
        <v>90</v>
      </c>
      <c r="M206" t="s">
        <v>18</v>
      </c>
      <c r="N206" t="s">
        <v>18</v>
      </c>
      <c r="O206" t="s">
        <v>117</v>
      </c>
      <c r="P206">
        <v>1009</v>
      </c>
      <c r="Q206">
        <v>17.93</v>
      </c>
      <c r="R206">
        <v>8</v>
      </c>
      <c r="S206" t="s">
        <v>550</v>
      </c>
      <c r="T206">
        <v>43964</v>
      </c>
    </row>
    <row r="207" spans="2:20">
      <c r="B207">
        <v>71</v>
      </c>
      <c r="C207" t="s">
        <v>714</v>
      </c>
      <c r="D207" t="s">
        <v>714</v>
      </c>
      <c r="E207" t="s">
        <v>573</v>
      </c>
      <c r="F207">
        <v>503</v>
      </c>
      <c r="G207">
        <v>8.94</v>
      </c>
      <c r="H207">
        <v>4</v>
      </c>
      <c r="I207" t="s">
        <v>550</v>
      </c>
      <c r="J207" s="143">
        <v>43962</v>
      </c>
      <c r="L207">
        <v>146</v>
      </c>
      <c r="M207" t="s">
        <v>870</v>
      </c>
      <c r="N207" t="s">
        <v>870</v>
      </c>
      <c r="O207" t="s">
        <v>117</v>
      </c>
      <c r="P207">
        <v>40</v>
      </c>
      <c r="Q207">
        <v>2.46</v>
      </c>
      <c r="R207">
        <v>2</v>
      </c>
      <c r="S207" t="s">
        <v>550</v>
      </c>
      <c r="T207">
        <v>43966</v>
      </c>
    </row>
    <row r="208" spans="2:20">
      <c r="B208">
        <v>105</v>
      </c>
      <c r="C208" t="s">
        <v>581</v>
      </c>
      <c r="D208" t="s">
        <v>581</v>
      </c>
      <c r="E208" t="s">
        <v>573</v>
      </c>
      <c r="F208">
        <v>1193</v>
      </c>
      <c r="G208">
        <v>21.2</v>
      </c>
      <c r="H208">
        <v>4</v>
      </c>
      <c r="I208" t="s">
        <v>110</v>
      </c>
      <c r="J208" s="143">
        <v>43963</v>
      </c>
      <c r="L208">
        <v>5</v>
      </c>
      <c r="M208" t="s">
        <v>556</v>
      </c>
      <c r="N208" t="s">
        <v>556</v>
      </c>
      <c r="O208" t="s">
        <v>573</v>
      </c>
      <c r="P208">
        <v>178</v>
      </c>
      <c r="Q208">
        <v>3.16</v>
      </c>
      <c r="R208">
        <v>1</v>
      </c>
      <c r="S208" t="s">
        <v>550</v>
      </c>
      <c r="T208">
        <v>43956</v>
      </c>
    </row>
    <row r="209" spans="2:20">
      <c r="B209">
        <v>140</v>
      </c>
      <c r="C209" t="s">
        <v>837</v>
      </c>
      <c r="D209" t="s">
        <v>837</v>
      </c>
      <c r="E209" t="s">
        <v>573</v>
      </c>
      <c r="F209">
        <v>146</v>
      </c>
      <c r="G209">
        <v>2.59</v>
      </c>
      <c r="I209" t="s">
        <v>505</v>
      </c>
      <c r="J209" s="143">
        <v>43966</v>
      </c>
      <c r="L209">
        <v>6</v>
      </c>
      <c r="M209" t="s">
        <v>556</v>
      </c>
      <c r="N209" t="s">
        <v>556</v>
      </c>
      <c r="O209" t="s">
        <v>573</v>
      </c>
      <c r="P209">
        <v>124</v>
      </c>
      <c r="Q209">
        <v>2.2000000000000002</v>
      </c>
      <c r="R209">
        <v>2</v>
      </c>
      <c r="S209" t="s">
        <v>550</v>
      </c>
      <c r="T209">
        <v>43956</v>
      </c>
    </row>
    <row r="210" spans="2:20">
      <c r="B210">
        <v>141</v>
      </c>
      <c r="C210" t="s">
        <v>837</v>
      </c>
      <c r="D210" t="s">
        <v>837</v>
      </c>
      <c r="E210" t="s">
        <v>573</v>
      </c>
      <c r="F210">
        <v>96</v>
      </c>
      <c r="G210">
        <v>1.7</v>
      </c>
      <c r="I210" t="s">
        <v>505</v>
      </c>
      <c r="J210" s="143">
        <v>43966</v>
      </c>
      <c r="L210">
        <v>7</v>
      </c>
      <c r="M210" t="s">
        <v>556</v>
      </c>
      <c r="N210" t="s">
        <v>556</v>
      </c>
      <c r="O210" t="s">
        <v>573</v>
      </c>
      <c r="P210">
        <v>106</v>
      </c>
      <c r="Q210">
        <v>1.88</v>
      </c>
      <c r="R210">
        <v>2</v>
      </c>
      <c r="S210" t="s">
        <v>110</v>
      </c>
      <c r="T210">
        <v>43956</v>
      </c>
    </row>
    <row r="211" spans="2:20">
      <c r="B211">
        <v>143</v>
      </c>
      <c r="C211" t="s">
        <v>863</v>
      </c>
      <c r="D211" t="s">
        <v>863</v>
      </c>
      <c r="E211" t="s">
        <v>573</v>
      </c>
      <c r="F211">
        <v>20</v>
      </c>
      <c r="G211">
        <v>1.23</v>
      </c>
      <c r="H211">
        <v>1.23</v>
      </c>
      <c r="I211" t="s">
        <v>550</v>
      </c>
      <c r="J211" s="143">
        <v>43963</v>
      </c>
      <c r="L211">
        <v>8</v>
      </c>
      <c r="M211" t="s">
        <v>581</v>
      </c>
      <c r="N211" t="s">
        <v>581</v>
      </c>
      <c r="O211" t="s">
        <v>573</v>
      </c>
      <c r="P211">
        <v>188</v>
      </c>
      <c r="Q211">
        <v>3.34</v>
      </c>
      <c r="R211">
        <v>1</v>
      </c>
      <c r="S211" t="s">
        <v>550</v>
      </c>
      <c r="T211">
        <v>43956</v>
      </c>
    </row>
    <row r="212" spans="2:20">
      <c r="B212">
        <v>157</v>
      </c>
      <c r="C212" t="s">
        <v>883</v>
      </c>
      <c r="D212" t="s">
        <v>883</v>
      </c>
      <c r="E212" t="s">
        <v>573</v>
      </c>
      <c r="F212">
        <v>189</v>
      </c>
      <c r="G212">
        <v>3.36</v>
      </c>
      <c r="H212">
        <v>2</v>
      </c>
      <c r="I212" t="s">
        <v>110</v>
      </c>
      <c r="J212" s="143">
        <v>43938</v>
      </c>
      <c r="L212">
        <v>9</v>
      </c>
      <c r="M212" t="s">
        <v>581</v>
      </c>
      <c r="N212" t="s">
        <v>581</v>
      </c>
      <c r="O212" t="s">
        <v>573</v>
      </c>
      <c r="P212">
        <v>257</v>
      </c>
      <c r="Q212">
        <v>4.5599999999999996</v>
      </c>
      <c r="R212">
        <v>2</v>
      </c>
      <c r="S212" t="s">
        <v>550</v>
      </c>
      <c r="T212">
        <v>43956</v>
      </c>
    </row>
    <row r="213" spans="2:20">
      <c r="B213">
        <v>158</v>
      </c>
      <c r="C213" t="s">
        <v>883</v>
      </c>
      <c r="D213" t="s">
        <v>883</v>
      </c>
      <c r="E213" t="s">
        <v>573</v>
      </c>
      <c r="F213">
        <v>173</v>
      </c>
      <c r="G213">
        <v>3.07</v>
      </c>
      <c r="H213">
        <v>2</v>
      </c>
      <c r="I213" t="s">
        <v>110</v>
      </c>
      <c r="J213" s="143">
        <v>43938</v>
      </c>
      <c r="L213">
        <v>10</v>
      </c>
      <c r="M213" t="s">
        <v>581</v>
      </c>
      <c r="N213" t="s">
        <v>581</v>
      </c>
      <c r="O213" t="s">
        <v>573</v>
      </c>
      <c r="P213">
        <v>1141</v>
      </c>
      <c r="Q213">
        <v>20.28</v>
      </c>
      <c r="R213">
        <v>4</v>
      </c>
      <c r="S213" t="s">
        <v>550</v>
      </c>
      <c r="T213">
        <v>43956</v>
      </c>
    </row>
    <row r="214" spans="2:20">
      <c r="B214">
        <v>159</v>
      </c>
      <c r="C214" t="s">
        <v>883</v>
      </c>
      <c r="D214" t="s">
        <v>883</v>
      </c>
      <c r="E214" t="s">
        <v>573</v>
      </c>
      <c r="F214">
        <v>176</v>
      </c>
      <c r="G214">
        <v>3.12</v>
      </c>
      <c r="H214">
        <v>2</v>
      </c>
      <c r="I214" t="s">
        <v>110</v>
      </c>
      <c r="J214" s="143">
        <v>43938</v>
      </c>
      <c r="L214">
        <v>67</v>
      </c>
      <c r="M214" t="s">
        <v>701</v>
      </c>
      <c r="N214" t="s">
        <v>701</v>
      </c>
      <c r="O214" t="s">
        <v>573</v>
      </c>
      <c r="P214">
        <v>101</v>
      </c>
      <c r="Q214">
        <v>1.79</v>
      </c>
      <c r="R214">
        <v>2</v>
      </c>
      <c r="S214" t="s">
        <v>110</v>
      </c>
      <c r="T214">
        <v>43959</v>
      </c>
    </row>
    <row r="215" spans="2:20">
      <c r="B215">
        <v>160</v>
      </c>
      <c r="C215" t="s">
        <v>883</v>
      </c>
      <c r="D215" t="s">
        <v>883</v>
      </c>
      <c r="E215" t="s">
        <v>573</v>
      </c>
      <c r="F215">
        <v>239</v>
      </c>
      <c r="G215">
        <v>4.24</v>
      </c>
      <c r="H215">
        <v>2</v>
      </c>
      <c r="I215" t="s">
        <v>110</v>
      </c>
      <c r="J215" s="143">
        <v>43938</v>
      </c>
      <c r="L215">
        <v>68</v>
      </c>
      <c r="M215" t="s">
        <v>701</v>
      </c>
      <c r="N215" t="s">
        <v>701</v>
      </c>
      <c r="O215" t="s">
        <v>573</v>
      </c>
      <c r="P215">
        <v>66</v>
      </c>
      <c r="Q215">
        <v>1.17</v>
      </c>
      <c r="R215">
        <v>1</v>
      </c>
      <c r="S215" t="s">
        <v>110</v>
      </c>
      <c r="T215">
        <v>43959</v>
      </c>
    </row>
    <row r="216" spans="2:20">
      <c r="B216">
        <v>161</v>
      </c>
      <c r="C216" t="s">
        <v>883</v>
      </c>
      <c r="D216" t="s">
        <v>883</v>
      </c>
      <c r="E216" t="s">
        <v>573</v>
      </c>
      <c r="F216">
        <v>237</v>
      </c>
      <c r="G216">
        <v>4.21</v>
      </c>
      <c r="H216">
        <v>1</v>
      </c>
      <c r="I216" t="s">
        <v>110</v>
      </c>
      <c r="J216" s="143">
        <v>43938</v>
      </c>
      <c r="L216">
        <v>69</v>
      </c>
      <c r="M216" t="s">
        <v>709</v>
      </c>
      <c r="N216" t="s">
        <v>709</v>
      </c>
      <c r="O216" t="s">
        <v>573</v>
      </c>
      <c r="P216">
        <v>86</v>
      </c>
      <c r="Q216">
        <v>1.52</v>
      </c>
      <c r="R216">
        <v>4</v>
      </c>
      <c r="S216" t="s">
        <v>110</v>
      </c>
      <c r="T216">
        <v>43959</v>
      </c>
    </row>
    <row r="217" spans="2:20">
      <c r="B217">
        <v>162</v>
      </c>
      <c r="C217" t="s">
        <v>883</v>
      </c>
      <c r="D217" t="s">
        <v>883</v>
      </c>
      <c r="E217" t="s">
        <v>573</v>
      </c>
      <c r="F217">
        <v>8</v>
      </c>
      <c r="G217">
        <v>0.14000000000000001</v>
      </c>
      <c r="H217">
        <v>1</v>
      </c>
      <c r="I217" t="s">
        <v>110</v>
      </c>
      <c r="J217" s="143">
        <v>43938</v>
      </c>
      <c r="L217">
        <v>70</v>
      </c>
      <c r="M217" t="s">
        <v>714</v>
      </c>
      <c r="N217" t="s">
        <v>714</v>
      </c>
      <c r="O217" t="s">
        <v>573</v>
      </c>
      <c r="P217">
        <v>145</v>
      </c>
      <c r="Q217">
        <v>2.57</v>
      </c>
      <c r="R217">
        <v>4</v>
      </c>
      <c r="S217" t="s">
        <v>110</v>
      </c>
      <c r="T217">
        <v>43959</v>
      </c>
    </row>
    <row r="218" spans="2:20">
      <c r="B218">
        <v>163</v>
      </c>
      <c r="C218" t="s">
        <v>883</v>
      </c>
      <c r="D218" t="s">
        <v>883</v>
      </c>
      <c r="E218" t="s">
        <v>573</v>
      </c>
      <c r="F218">
        <v>165</v>
      </c>
      <c r="G218">
        <v>2.93</v>
      </c>
      <c r="H218">
        <v>1</v>
      </c>
      <c r="I218" t="s">
        <v>110</v>
      </c>
      <c r="J218" s="143">
        <v>43938</v>
      </c>
      <c r="L218">
        <v>71</v>
      </c>
      <c r="M218" t="s">
        <v>714</v>
      </c>
      <c r="N218" t="s">
        <v>714</v>
      </c>
      <c r="O218" t="s">
        <v>573</v>
      </c>
      <c r="P218">
        <v>503</v>
      </c>
      <c r="Q218">
        <v>8.94</v>
      </c>
      <c r="R218">
        <v>4</v>
      </c>
      <c r="S218" t="s">
        <v>550</v>
      </c>
      <c r="T218">
        <v>43962</v>
      </c>
    </row>
    <row r="219" spans="2:20">
      <c r="B219">
        <v>164</v>
      </c>
      <c r="C219" t="s">
        <v>883</v>
      </c>
      <c r="D219" t="s">
        <v>883</v>
      </c>
      <c r="E219" t="s">
        <v>573</v>
      </c>
      <c r="F219">
        <v>0</v>
      </c>
      <c r="G219">
        <v>0</v>
      </c>
      <c r="H219">
        <v>0</v>
      </c>
      <c r="I219" t="s">
        <v>110</v>
      </c>
      <c r="J219" s="143">
        <v>43938</v>
      </c>
      <c r="L219">
        <v>105</v>
      </c>
      <c r="M219" t="s">
        <v>581</v>
      </c>
      <c r="N219" t="s">
        <v>581</v>
      </c>
      <c r="O219" t="s">
        <v>573</v>
      </c>
      <c r="P219">
        <v>1193</v>
      </c>
      <c r="Q219">
        <v>21.2</v>
      </c>
      <c r="R219">
        <v>4</v>
      </c>
      <c r="S219" t="s">
        <v>110</v>
      </c>
      <c r="T219">
        <v>43963</v>
      </c>
    </row>
    <row r="220" spans="2:20">
      <c r="B220">
        <v>198</v>
      </c>
      <c r="C220" t="s">
        <v>933</v>
      </c>
      <c r="D220" t="s">
        <v>933</v>
      </c>
      <c r="E220" t="s">
        <v>573</v>
      </c>
      <c r="F220">
        <v>133</v>
      </c>
      <c r="G220">
        <v>2.36</v>
      </c>
      <c r="H220">
        <v>2</v>
      </c>
      <c r="I220" t="s">
        <v>110</v>
      </c>
      <c r="J220" s="143">
        <v>43938</v>
      </c>
      <c r="L220">
        <v>140</v>
      </c>
      <c r="M220" t="s">
        <v>837</v>
      </c>
      <c r="N220" t="s">
        <v>837</v>
      </c>
      <c r="O220" t="s">
        <v>573</v>
      </c>
      <c r="P220">
        <v>146</v>
      </c>
      <c r="Q220">
        <v>2.59</v>
      </c>
      <c r="S220" t="s">
        <v>505</v>
      </c>
      <c r="T220">
        <v>43966</v>
      </c>
    </row>
    <row r="221" spans="2:20">
      <c r="B221">
        <v>199</v>
      </c>
      <c r="C221" t="s">
        <v>933</v>
      </c>
      <c r="D221" t="s">
        <v>933</v>
      </c>
      <c r="E221" t="s">
        <v>573</v>
      </c>
      <c r="F221">
        <v>141</v>
      </c>
      <c r="G221">
        <v>2.5</v>
      </c>
      <c r="H221">
        <v>1</v>
      </c>
      <c r="I221" t="s">
        <v>110</v>
      </c>
      <c r="J221" s="143">
        <v>43938</v>
      </c>
      <c r="L221">
        <v>141</v>
      </c>
      <c r="M221" t="s">
        <v>837</v>
      </c>
      <c r="N221" t="s">
        <v>837</v>
      </c>
      <c r="O221" t="s">
        <v>573</v>
      </c>
      <c r="P221">
        <v>96</v>
      </c>
      <c r="Q221">
        <v>1.7</v>
      </c>
      <c r="S221" t="s">
        <v>505</v>
      </c>
      <c r="T221">
        <v>43966</v>
      </c>
    </row>
    <row r="222" spans="2:20">
      <c r="B222">
        <v>200</v>
      </c>
      <c r="C222" t="s">
        <v>947</v>
      </c>
      <c r="D222" t="s">
        <v>947</v>
      </c>
      <c r="E222" t="s">
        <v>573</v>
      </c>
      <c r="F222">
        <v>84</v>
      </c>
      <c r="G222">
        <v>1.49</v>
      </c>
      <c r="H222">
        <v>0.5</v>
      </c>
      <c r="I222" t="s">
        <v>110</v>
      </c>
      <c r="J222" s="143">
        <v>43938</v>
      </c>
      <c r="L222">
        <v>143</v>
      </c>
      <c r="M222" t="s">
        <v>863</v>
      </c>
      <c r="N222" t="s">
        <v>863</v>
      </c>
      <c r="O222" t="s">
        <v>573</v>
      </c>
      <c r="P222">
        <v>20</v>
      </c>
      <c r="Q222">
        <v>1.23</v>
      </c>
      <c r="R222">
        <v>1.23</v>
      </c>
      <c r="S222" t="s">
        <v>550</v>
      </c>
      <c r="T222">
        <v>43963</v>
      </c>
    </row>
    <row r="223" spans="2:20">
      <c r="B223">
        <v>201</v>
      </c>
      <c r="C223" t="s">
        <v>947</v>
      </c>
      <c r="D223" t="s">
        <v>947</v>
      </c>
      <c r="E223" t="s">
        <v>573</v>
      </c>
      <c r="F223">
        <v>106</v>
      </c>
      <c r="G223">
        <v>1.88</v>
      </c>
      <c r="H223">
        <v>0.5</v>
      </c>
      <c r="I223" t="s">
        <v>110</v>
      </c>
      <c r="J223" s="143">
        <v>43938</v>
      </c>
      <c r="L223">
        <v>157</v>
      </c>
      <c r="M223" t="s">
        <v>883</v>
      </c>
      <c r="N223" t="s">
        <v>883</v>
      </c>
      <c r="O223" t="s">
        <v>573</v>
      </c>
      <c r="P223">
        <v>189</v>
      </c>
      <c r="Q223">
        <v>3.36</v>
      </c>
      <c r="R223">
        <v>2</v>
      </c>
      <c r="S223" t="s">
        <v>110</v>
      </c>
      <c r="T223">
        <v>43938</v>
      </c>
    </row>
    <row r="224" spans="2:20">
      <c r="B224">
        <v>202</v>
      </c>
      <c r="C224" t="s">
        <v>947</v>
      </c>
      <c r="D224" t="s">
        <v>947</v>
      </c>
      <c r="E224" t="s">
        <v>573</v>
      </c>
      <c r="F224">
        <v>259</v>
      </c>
      <c r="G224">
        <v>4.5999999999999996</v>
      </c>
      <c r="H224">
        <v>1</v>
      </c>
      <c r="I224" t="s">
        <v>110</v>
      </c>
      <c r="J224" s="143">
        <v>43938</v>
      </c>
      <c r="L224">
        <v>158</v>
      </c>
      <c r="M224" t="s">
        <v>883</v>
      </c>
      <c r="N224" t="s">
        <v>883</v>
      </c>
      <c r="O224" t="s">
        <v>573</v>
      </c>
      <c r="P224">
        <v>173</v>
      </c>
      <c r="Q224">
        <v>3.07</v>
      </c>
      <c r="R224">
        <v>2</v>
      </c>
      <c r="S224" t="s">
        <v>110</v>
      </c>
      <c r="T224">
        <v>43938</v>
      </c>
    </row>
    <row r="225" spans="2:20">
      <c r="B225">
        <v>203</v>
      </c>
      <c r="C225" t="s">
        <v>947</v>
      </c>
      <c r="D225" t="s">
        <v>947</v>
      </c>
      <c r="E225" t="s">
        <v>573</v>
      </c>
      <c r="F225">
        <v>140</v>
      </c>
      <c r="G225">
        <v>2.48</v>
      </c>
      <c r="H225">
        <v>1</v>
      </c>
      <c r="I225" t="s">
        <v>110</v>
      </c>
      <c r="J225" s="143">
        <v>43938</v>
      </c>
      <c r="L225">
        <v>159</v>
      </c>
      <c r="M225" t="s">
        <v>883</v>
      </c>
      <c r="N225" t="s">
        <v>883</v>
      </c>
      <c r="O225" t="s">
        <v>573</v>
      </c>
      <c r="P225">
        <v>176</v>
      </c>
      <c r="Q225">
        <v>3.12</v>
      </c>
      <c r="R225">
        <v>2</v>
      </c>
      <c r="S225" t="s">
        <v>110</v>
      </c>
      <c r="T225">
        <v>43938</v>
      </c>
    </row>
    <row r="226" spans="2:20">
      <c r="B226">
        <v>204</v>
      </c>
      <c r="C226" t="s">
        <v>947</v>
      </c>
      <c r="D226" t="s">
        <v>947</v>
      </c>
      <c r="E226" t="s">
        <v>573</v>
      </c>
      <c r="F226">
        <v>77</v>
      </c>
      <c r="G226">
        <v>1.36</v>
      </c>
      <c r="H226">
        <v>1</v>
      </c>
      <c r="I226" t="s">
        <v>110</v>
      </c>
      <c r="J226" s="143">
        <v>43938</v>
      </c>
      <c r="L226">
        <v>160</v>
      </c>
      <c r="M226" t="s">
        <v>883</v>
      </c>
      <c r="N226" t="s">
        <v>883</v>
      </c>
      <c r="O226" t="s">
        <v>573</v>
      </c>
      <c r="P226">
        <v>239</v>
      </c>
      <c r="Q226">
        <v>4.24</v>
      </c>
      <c r="R226">
        <v>2</v>
      </c>
      <c r="S226" t="s">
        <v>110</v>
      </c>
      <c r="T226">
        <v>43938</v>
      </c>
    </row>
    <row r="227" spans="2:20">
      <c r="B227">
        <v>205</v>
      </c>
      <c r="C227" t="s">
        <v>947</v>
      </c>
      <c r="D227" t="s">
        <v>947</v>
      </c>
      <c r="E227" t="s">
        <v>573</v>
      </c>
      <c r="F227">
        <v>53</v>
      </c>
      <c r="G227">
        <v>0.94</v>
      </c>
      <c r="H227">
        <v>1</v>
      </c>
      <c r="I227" t="s">
        <v>110</v>
      </c>
      <c r="J227" s="143">
        <v>43938</v>
      </c>
      <c r="L227">
        <v>161</v>
      </c>
      <c r="M227" t="s">
        <v>883</v>
      </c>
      <c r="N227" t="s">
        <v>883</v>
      </c>
      <c r="O227" t="s">
        <v>573</v>
      </c>
      <c r="P227">
        <v>237</v>
      </c>
      <c r="Q227">
        <v>4.21</v>
      </c>
      <c r="R227">
        <v>1</v>
      </c>
      <c r="S227" t="s">
        <v>110</v>
      </c>
      <c r="T227">
        <v>43938</v>
      </c>
    </row>
    <row r="228" spans="2:20">
      <c r="B228">
        <v>206</v>
      </c>
      <c r="C228" t="s">
        <v>947</v>
      </c>
      <c r="D228" t="s">
        <v>947</v>
      </c>
      <c r="E228" t="s">
        <v>573</v>
      </c>
      <c r="F228">
        <v>160</v>
      </c>
      <c r="G228">
        <v>2.84</v>
      </c>
      <c r="H228">
        <v>1</v>
      </c>
      <c r="I228" t="s">
        <v>110</v>
      </c>
      <c r="J228" s="143">
        <v>43938</v>
      </c>
      <c r="L228">
        <v>162</v>
      </c>
      <c r="M228" t="s">
        <v>883</v>
      </c>
      <c r="N228" t="s">
        <v>883</v>
      </c>
      <c r="O228" t="s">
        <v>573</v>
      </c>
      <c r="P228">
        <v>8</v>
      </c>
      <c r="Q228">
        <v>0.14000000000000001</v>
      </c>
      <c r="R228">
        <v>1</v>
      </c>
      <c r="S228" t="s">
        <v>110</v>
      </c>
      <c r="T228">
        <v>43938</v>
      </c>
    </row>
    <row r="229" spans="2:20">
      <c r="B229">
        <v>250</v>
      </c>
      <c r="C229" t="s">
        <v>1026</v>
      </c>
      <c r="D229" t="s">
        <v>1026</v>
      </c>
      <c r="E229" t="s">
        <v>573</v>
      </c>
      <c r="F229">
        <v>116</v>
      </c>
      <c r="G229">
        <v>2.06</v>
      </c>
      <c r="H229">
        <v>2</v>
      </c>
      <c r="I229" t="s">
        <v>110</v>
      </c>
      <c r="J229" s="143">
        <v>43938</v>
      </c>
      <c r="L229">
        <v>163</v>
      </c>
      <c r="M229" t="s">
        <v>883</v>
      </c>
      <c r="N229" t="s">
        <v>883</v>
      </c>
      <c r="O229" t="s">
        <v>573</v>
      </c>
      <c r="P229">
        <v>165</v>
      </c>
      <c r="Q229">
        <v>2.93</v>
      </c>
      <c r="R229">
        <v>1</v>
      </c>
      <c r="S229" t="s">
        <v>110</v>
      </c>
      <c r="T229">
        <v>43938</v>
      </c>
    </row>
    <row r="230" spans="2:20">
      <c r="B230">
        <v>251</v>
      </c>
      <c r="C230" t="s">
        <v>1026</v>
      </c>
      <c r="D230" t="s">
        <v>1026</v>
      </c>
      <c r="E230" t="s">
        <v>573</v>
      </c>
      <c r="F230">
        <v>119</v>
      </c>
      <c r="G230">
        <v>2.11</v>
      </c>
      <c r="H230">
        <v>2</v>
      </c>
      <c r="I230" t="s">
        <v>110</v>
      </c>
      <c r="J230" s="143">
        <v>43938</v>
      </c>
      <c r="L230">
        <v>164</v>
      </c>
      <c r="M230" t="s">
        <v>883</v>
      </c>
      <c r="N230" t="s">
        <v>883</v>
      </c>
      <c r="O230" t="s">
        <v>573</v>
      </c>
      <c r="P230">
        <v>0</v>
      </c>
      <c r="Q230">
        <v>0</v>
      </c>
      <c r="R230">
        <v>0</v>
      </c>
      <c r="S230" t="s">
        <v>110</v>
      </c>
      <c r="T230">
        <v>43938</v>
      </c>
    </row>
    <row r="231" spans="2:20">
      <c r="B231">
        <v>252</v>
      </c>
      <c r="C231" t="s">
        <v>1031</v>
      </c>
      <c r="D231" t="s">
        <v>1031</v>
      </c>
      <c r="E231" t="s">
        <v>573</v>
      </c>
      <c r="F231">
        <v>394</v>
      </c>
      <c r="G231">
        <v>7</v>
      </c>
      <c r="H231">
        <v>2</v>
      </c>
      <c r="I231" t="s">
        <v>110</v>
      </c>
      <c r="J231" s="143">
        <v>43938</v>
      </c>
      <c r="L231">
        <v>198</v>
      </c>
      <c r="M231" t="s">
        <v>933</v>
      </c>
      <c r="N231" t="s">
        <v>933</v>
      </c>
      <c r="O231" t="s">
        <v>573</v>
      </c>
      <c r="P231">
        <v>133</v>
      </c>
      <c r="Q231">
        <v>2.36</v>
      </c>
      <c r="R231">
        <v>2</v>
      </c>
      <c r="S231" t="s">
        <v>110</v>
      </c>
      <c r="T231">
        <v>43938</v>
      </c>
    </row>
    <row r="232" spans="2:20">
      <c r="B232">
        <v>253</v>
      </c>
      <c r="C232" t="s">
        <v>1031</v>
      </c>
      <c r="D232" t="s">
        <v>1031</v>
      </c>
      <c r="E232" t="s">
        <v>573</v>
      </c>
      <c r="F232">
        <v>21</v>
      </c>
      <c r="G232">
        <v>0.37</v>
      </c>
      <c r="H232">
        <v>2</v>
      </c>
      <c r="I232" t="s">
        <v>110</v>
      </c>
      <c r="J232" s="143">
        <v>43938</v>
      </c>
      <c r="L232">
        <v>199</v>
      </c>
      <c r="M232" t="s">
        <v>933</v>
      </c>
      <c r="N232" t="s">
        <v>933</v>
      </c>
      <c r="O232" t="s">
        <v>573</v>
      </c>
      <c r="P232">
        <v>141</v>
      </c>
      <c r="Q232">
        <v>2.5</v>
      </c>
      <c r="R232">
        <v>1</v>
      </c>
      <c r="S232" t="s">
        <v>110</v>
      </c>
      <c r="T232">
        <v>43938</v>
      </c>
    </row>
    <row r="233" spans="2:20">
      <c r="B233">
        <v>297</v>
      </c>
      <c r="C233" t="s">
        <v>1110</v>
      </c>
      <c r="D233" t="s">
        <v>1110</v>
      </c>
      <c r="E233" t="s">
        <v>573</v>
      </c>
      <c r="F233">
        <v>30</v>
      </c>
      <c r="G233">
        <v>0.53</v>
      </c>
      <c r="H233">
        <v>0.5</v>
      </c>
      <c r="I233" t="s">
        <v>110</v>
      </c>
      <c r="J233" s="143">
        <v>43943</v>
      </c>
      <c r="L233">
        <v>200</v>
      </c>
      <c r="M233" t="s">
        <v>947</v>
      </c>
      <c r="N233" t="s">
        <v>947</v>
      </c>
      <c r="O233" t="s">
        <v>573</v>
      </c>
      <c r="P233">
        <v>84</v>
      </c>
      <c r="Q233">
        <v>1.49</v>
      </c>
      <c r="R233">
        <v>0.5</v>
      </c>
      <c r="S233" t="s">
        <v>110</v>
      </c>
      <c r="T233">
        <v>43938</v>
      </c>
    </row>
    <row r="234" spans="2:20">
      <c r="B234">
        <v>331</v>
      </c>
      <c r="C234" t="s">
        <v>1192</v>
      </c>
      <c r="D234" t="s">
        <v>1192</v>
      </c>
      <c r="E234" t="s">
        <v>573</v>
      </c>
      <c r="F234">
        <v>224</v>
      </c>
      <c r="G234">
        <v>3.98</v>
      </c>
      <c r="H234">
        <v>2</v>
      </c>
      <c r="I234" t="s">
        <v>110</v>
      </c>
      <c r="J234" s="143">
        <v>43945</v>
      </c>
      <c r="L234">
        <v>201</v>
      </c>
      <c r="M234" t="s">
        <v>947</v>
      </c>
      <c r="N234" t="s">
        <v>947</v>
      </c>
      <c r="O234" t="s">
        <v>573</v>
      </c>
      <c r="P234">
        <v>106</v>
      </c>
      <c r="Q234">
        <v>1.88</v>
      </c>
      <c r="R234">
        <v>0.5</v>
      </c>
      <c r="S234" t="s">
        <v>110</v>
      </c>
      <c r="T234">
        <v>43938</v>
      </c>
    </row>
    <row r="235" spans="2:20">
      <c r="B235">
        <v>332</v>
      </c>
      <c r="C235" t="s">
        <v>1192</v>
      </c>
      <c r="D235" t="s">
        <v>1192</v>
      </c>
      <c r="E235" t="s">
        <v>573</v>
      </c>
      <c r="F235">
        <v>309</v>
      </c>
      <c r="G235">
        <v>5.49</v>
      </c>
      <c r="H235">
        <v>2</v>
      </c>
      <c r="I235" t="s">
        <v>110</v>
      </c>
      <c r="J235" s="143">
        <v>43945</v>
      </c>
      <c r="L235">
        <v>202</v>
      </c>
      <c r="M235" t="s">
        <v>947</v>
      </c>
      <c r="N235" t="s">
        <v>947</v>
      </c>
      <c r="O235" t="s">
        <v>573</v>
      </c>
      <c r="P235">
        <v>259</v>
      </c>
      <c r="Q235">
        <v>4.5999999999999996</v>
      </c>
      <c r="R235">
        <v>1</v>
      </c>
      <c r="S235" t="s">
        <v>110</v>
      </c>
      <c r="T235">
        <v>43938</v>
      </c>
    </row>
    <row r="236" spans="2:20">
      <c r="B236">
        <v>333</v>
      </c>
      <c r="C236" t="s">
        <v>1192</v>
      </c>
      <c r="D236" t="s">
        <v>1192</v>
      </c>
      <c r="E236" t="s">
        <v>573</v>
      </c>
      <c r="F236">
        <v>25</v>
      </c>
      <c r="G236">
        <v>0.44</v>
      </c>
      <c r="H236">
        <v>2</v>
      </c>
      <c r="I236" t="s">
        <v>110</v>
      </c>
      <c r="J236" s="143">
        <v>43945</v>
      </c>
      <c r="L236">
        <v>203</v>
      </c>
      <c r="M236" t="s">
        <v>947</v>
      </c>
      <c r="N236" t="s">
        <v>947</v>
      </c>
      <c r="O236" t="s">
        <v>573</v>
      </c>
      <c r="P236">
        <v>140</v>
      </c>
      <c r="Q236">
        <v>2.48</v>
      </c>
      <c r="R236">
        <v>1</v>
      </c>
      <c r="S236" t="s">
        <v>110</v>
      </c>
      <c r="T236">
        <v>43938</v>
      </c>
    </row>
    <row r="237" spans="2:20">
      <c r="B237">
        <v>334</v>
      </c>
      <c r="C237" t="s">
        <v>1192</v>
      </c>
      <c r="D237" t="s">
        <v>1192</v>
      </c>
      <c r="E237" t="s">
        <v>573</v>
      </c>
      <c r="F237">
        <v>215</v>
      </c>
      <c r="G237">
        <v>3.82</v>
      </c>
      <c r="H237">
        <v>2</v>
      </c>
      <c r="I237" t="s">
        <v>110</v>
      </c>
      <c r="J237" s="143">
        <v>43945</v>
      </c>
      <c r="L237">
        <v>204</v>
      </c>
      <c r="M237" t="s">
        <v>947</v>
      </c>
      <c r="N237" t="s">
        <v>947</v>
      </c>
      <c r="O237" t="s">
        <v>573</v>
      </c>
      <c r="P237">
        <v>77</v>
      </c>
      <c r="Q237">
        <v>1.36</v>
      </c>
      <c r="R237">
        <v>1</v>
      </c>
      <c r="S237" t="s">
        <v>110</v>
      </c>
      <c r="T237">
        <v>43938</v>
      </c>
    </row>
    <row r="238" spans="2:20">
      <c r="B238">
        <v>335</v>
      </c>
      <c r="C238" t="s">
        <v>1192</v>
      </c>
      <c r="D238" t="s">
        <v>1192</v>
      </c>
      <c r="E238" t="s">
        <v>573</v>
      </c>
      <c r="F238">
        <v>1703</v>
      </c>
      <c r="G238">
        <v>30.27</v>
      </c>
      <c r="H238">
        <v>8</v>
      </c>
      <c r="I238" t="s">
        <v>110</v>
      </c>
      <c r="J238" s="143">
        <v>43945</v>
      </c>
      <c r="L238">
        <v>205</v>
      </c>
      <c r="M238" t="s">
        <v>947</v>
      </c>
      <c r="N238" t="s">
        <v>947</v>
      </c>
      <c r="O238" t="s">
        <v>573</v>
      </c>
      <c r="P238">
        <v>53</v>
      </c>
      <c r="Q238">
        <v>0.94</v>
      </c>
      <c r="R238">
        <v>1</v>
      </c>
      <c r="S238" t="s">
        <v>110</v>
      </c>
      <c r="T238">
        <v>43938</v>
      </c>
    </row>
    <row r="239" spans="2:20">
      <c r="B239">
        <v>72</v>
      </c>
      <c r="C239" t="s">
        <v>723</v>
      </c>
      <c r="D239" t="s">
        <v>723</v>
      </c>
      <c r="E239" t="s">
        <v>74</v>
      </c>
      <c r="F239">
        <v>444</v>
      </c>
      <c r="G239">
        <v>7.89</v>
      </c>
      <c r="H239">
        <v>2</v>
      </c>
      <c r="I239" t="s">
        <v>550</v>
      </c>
      <c r="J239" s="143">
        <v>43959</v>
      </c>
      <c r="L239">
        <v>206</v>
      </c>
      <c r="M239" t="s">
        <v>947</v>
      </c>
      <c r="N239" t="s">
        <v>947</v>
      </c>
      <c r="O239" t="s">
        <v>573</v>
      </c>
      <c r="P239">
        <v>160</v>
      </c>
      <c r="Q239">
        <v>2.84</v>
      </c>
      <c r="R239">
        <v>1</v>
      </c>
      <c r="S239" t="s">
        <v>110</v>
      </c>
      <c r="T239">
        <v>43938</v>
      </c>
    </row>
    <row r="240" spans="2:20">
      <c r="B240">
        <v>76</v>
      </c>
      <c r="C240" t="s">
        <v>723</v>
      </c>
      <c r="D240" t="s">
        <v>723</v>
      </c>
      <c r="E240" t="s">
        <v>74</v>
      </c>
      <c r="F240">
        <v>262</v>
      </c>
      <c r="G240">
        <v>4.6500000000000004</v>
      </c>
      <c r="H240">
        <v>1</v>
      </c>
      <c r="I240" t="s">
        <v>550</v>
      </c>
      <c r="J240" s="143">
        <v>43959</v>
      </c>
      <c r="L240">
        <v>250</v>
      </c>
      <c r="M240" t="s">
        <v>1026</v>
      </c>
      <c r="N240" t="s">
        <v>1026</v>
      </c>
      <c r="O240" t="s">
        <v>573</v>
      </c>
      <c r="P240">
        <v>116</v>
      </c>
      <c r="Q240">
        <v>2.06</v>
      </c>
      <c r="R240">
        <v>2</v>
      </c>
      <c r="S240" t="s">
        <v>110</v>
      </c>
      <c r="T240">
        <v>43938</v>
      </c>
    </row>
    <row r="241" spans="2:20">
      <c r="B241">
        <v>81</v>
      </c>
      <c r="C241" t="s">
        <v>723</v>
      </c>
      <c r="D241" t="s">
        <v>723</v>
      </c>
      <c r="E241" t="s">
        <v>74</v>
      </c>
      <c r="F241">
        <v>143</v>
      </c>
      <c r="G241">
        <v>2.54</v>
      </c>
      <c r="H241">
        <v>1</v>
      </c>
      <c r="I241" t="s">
        <v>550</v>
      </c>
      <c r="J241" s="143">
        <v>43959</v>
      </c>
      <c r="L241">
        <v>251</v>
      </c>
      <c r="M241" t="s">
        <v>1026</v>
      </c>
      <c r="N241" t="s">
        <v>1026</v>
      </c>
      <c r="O241" t="s">
        <v>573</v>
      </c>
      <c r="P241">
        <v>119</v>
      </c>
      <c r="Q241">
        <v>2.11</v>
      </c>
      <c r="R241">
        <v>2</v>
      </c>
      <c r="S241" t="s">
        <v>110</v>
      </c>
      <c r="T241">
        <v>43938</v>
      </c>
    </row>
    <row r="242" spans="2:20">
      <c r="B242">
        <v>82</v>
      </c>
      <c r="C242" t="s">
        <v>723</v>
      </c>
      <c r="D242" t="s">
        <v>723</v>
      </c>
      <c r="E242" t="s">
        <v>74</v>
      </c>
      <c r="F242">
        <v>263</v>
      </c>
      <c r="G242">
        <v>4.67</v>
      </c>
      <c r="H242">
        <v>2</v>
      </c>
      <c r="I242" t="s">
        <v>550</v>
      </c>
      <c r="J242" s="143">
        <v>43959</v>
      </c>
      <c r="L242">
        <v>252</v>
      </c>
      <c r="M242" t="s">
        <v>1031</v>
      </c>
      <c r="N242" t="s">
        <v>1031</v>
      </c>
      <c r="O242" t="s">
        <v>573</v>
      </c>
      <c r="P242">
        <v>394</v>
      </c>
      <c r="Q242">
        <v>7</v>
      </c>
      <c r="R242">
        <v>2</v>
      </c>
      <c r="S242" t="s">
        <v>110</v>
      </c>
      <c r="T242">
        <v>43938</v>
      </c>
    </row>
    <row r="243" spans="2:20">
      <c r="B243">
        <v>104</v>
      </c>
      <c r="C243" t="s">
        <v>694</v>
      </c>
      <c r="D243" t="s">
        <v>694</v>
      </c>
      <c r="E243" t="s">
        <v>74</v>
      </c>
      <c r="F243">
        <v>1703</v>
      </c>
      <c r="G243">
        <v>30.27</v>
      </c>
      <c r="H243">
        <v>8</v>
      </c>
      <c r="I243" t="s">
        <v>110</v>
      </c>
      <c r="J243" s="143">
        <v>43963</v>
      </c>
      <c r="L243">
        <v>253</v>
      </c>
      <c r="M243" t="s">
        <v>1031</v>
      </c>
      <c r="N243" t="s">
        <v>1031</v>
      </c>
      <c r="O243" t="s">
        <v>573</v>
      </c>
      <c r="P243">
        <v>21</v>
      </c>
      <c r="Q243">
        <v>0.37</v>
      </c>
      <c r="R243">
        <v>2</v>
      </c>
      <c r="S243" t="s">
        <v>110</v>
      </c>
      <c r="T243">
        <v>43938</v>
      </c>
    </row>
    <row r="244" spans="2:20">
      <c r="B244">
        <v>121</v>
      </c>
      <c r="C244" t="s">
        <v>48</v>
      </c>
      <c r="D244" t="s">
        <v>48</v>
      </c>
      <c r="E244" t="s">
        <v>74</v>
      </c>
      <c r="F244">
        <v>1009</v>
      </c>
      <c r="G244">
        <v>17.93</v>
      </c>
      <c r="H244">
        <v>5</v>
      </c>
      <c r="I244" t="s">
        <v>110</v>
      </c>
      <c r="J244" s="143">
        <v>43962</v>
      </c>
      <c r="L244">
        <v>297</v>
      </c>
      <c r="M244" t="s">
        <v>1110</v>
      </c>
      <c r="N244" t="s">
        <v>1110</v>
      </c>
      <c r="O244" t="s">
        <v>573</v>
      </c>
      <c r="P244">
        <v>30</v>
      </c>
      <c r="Q244">
        <v>0.53</v>
      </c>
      <c r="R244">
        <v>0.5</v>
      </c>
      <c r="S244" t="s">
        <v>110</v>
      </c>
      <c r="T244">
        <v>43943</v>
      </c>
    </row>
    <row r="245" spans="2:20">
      <c r="B245">
        <v>147</v>
      </c>
      <c r="C245" t="s">
        <v>883</v>
      </c>
      <c r="D245" t="s">
        <v>883</v>
      </c>
      <c r="E245" t="s">
        <v>74</v>
      </c>
      <c r="F245">
        <v>62</v>
      </c>
      <c r="G245">
        <v>1.1000000000000001</v>
      </c>
      <c r="H245">
        <v>2</v>
      </c>
      <c r="I245" t="s">
        <v>110</v>
      </c>
      <c r="J245" s="143">
        <v>43938</v>
      </c>
      <c r="L245">
        <v>331</v>
      </c>
      <c r="M245" t="s">
        <v>1192</v>
      </c>
      <c r="N245" t="s">
        <v>1192</v>
      </c>
      <c r="O245" t="s">
        <v>573</v>
      </c>
      <c r="P245">
        <v>224</v>
      </c>
      <c r="Q245">
        <v>3.98</v>
      </c>
      <c r="R245">
        <v>2</v>
      </c>
      <c r="S245" t="s">
        <v>110</v>
      </c>
      <c r="T245">
        <v>43945</v>
      </c>
    </row>
    <row r="246" spans="2:20">
      <c r="B246">
        <v>148</v>
      </c>
      <c r="C246" t="s">
        <v>883</v>
      </c>
      <c r="D246" t="s">
        <v>883</v>
      </c>
      <c r="E246" t="s">
        <v>74</v>
      </c>
      <c r="F246">
        <v>22</v>
      </c>
      <c r="G246">
        <v>0.39</v>
      </c>
      <c r="H246">
        <v>0.5</v>
      </c>
      <c r="I246" t="s">
        <v>110</v>
      </c>
      <c r="J246" s="143">
        <v>43938</v>
      </c>
      <c r="L246">
        <v>332</v>
      </c>
      <c r="M246" t="s">
        <v>1192</v>
      </c>
      <c r="N246" t="s">
        <v>1192</v>
      </c>
      <c r="O246" t="s">
        <v>573</v>
      </c>
      <c r="P246">
        <v>309</v>
      </c>
      <c r="Q246">
        <v>5.49</v>
      </c>
      <c r="R246">
        <v>2</v>
      </c>
      <c r="S246" t="s">
        <v>110</v>
      </c>
      <c r="T246">
        <v>43945</v>
      </c>
    </row>
    <row r="247" spans="2:20">
      <c r="B247">
        <v>149</v>
      </c>
      <c r="C247" t="s">
        <v>883</v>
      </c>
      <c r="D247" t="s">
        <v>883</v>
      </c>
      <c r="E247" t="s">
        <v>74</v>
      </c>
      <c r="F247">
        <v>26</v>
      </c>
      <c r="G247">
        <v>0.46</v>
      </c>
      <c r="H247">
        <v>0.5</v>
      </c>
      <c r="I247" t="s">
        <v>110</v>
      </c>
      <c r="J247" s="143">
        <v>43938</v>
      </c>
      <c r="L247">
        <v>333</v>
      </c>
      <c r="M247" t="s">
        <v>1192</v>
      </c>
      <c r="N247" t="s">
        <v>1192</v>
      </c>
      <c r="O247" t="s">
        <v>573</v>
      </c>
      <c r="P247">
        <v>25</v>
      </c>
      <c r="Q247">
        <v>0.44</v>
      </c>
      <c r="R247">
        <v>2</v>
      </c>
      <c r="S247" t="s">
        <v>110</v>
      </c>
      <c r="T247">
        <v>43945</v>
      </c>
    </row>
    <row r="248" spans="2:20">
      <c r="B248">
        <v>150</v>
      </c>
      <c r="C248" t="s">
        <v>883</v>
      </c>
      <c r="D248" t="s">
        <v>883</v>
      </c>
      <c r="E248" t="s">
        <v>74</v>
      </c>
      <c r="F248">
        <v>35</v>
      </c>
      <c r="G248">
        <v>0.62</v>
      </c>
      <c r="H248">
        <v>1</v>
      </c>
      <c r="I248" t="s">
        <v>110</v>
      </c>
      <c r="J248" s="143">
        <v>43938</v>
      </c>
      <c r="L248">
        <v>334</v>
      </c>
      <c r="M248" t="s">
        <v>1192</v>
      </c>
      <c r="N248" t="s">
        <v>1192</v>
      </c>
      <c r="O248" t="s">
        <v>573</v>
      </c>
      <c r="P248">
        <v>215</v>
      </c>
      <c r="Q248">
        <v>3.82</v>
      </c>
      <c r="R248">
        <v>2</v>
      </c>
      <c r="S248" t="s">
        <v>110</v>
      </c>
      <c r="T248">
        <v>43945</v>
      </c>
    </row>
    <row r="249" spans="2:20">
      <c r="B249">
        <v>151</v>
      </c>
      <c r="C249" t="s">
        <v>883</v>
      </c>
      <c r="D249" t="s">
        <v>883</v>
      </c>
      <c r="E249" t="s">
        <v>74</v>
      </c>
      <c r="F249">
        <v>101</v>
      </c>
      <c r="G249">
        <v>1.79</v>
      </c>
      <c r="H249">
        <v>1</v>
      </c>
      <c r="I249" t="s">
        <v>110</v>
      </c>
      <c r="J249" s="143">
        <v>43938</v>
      </c>
      <c r="L249">
        <v>335</v>
      </c>
      <c r="M249" t="s">
        <v>1192</v>
      </c>
      <c r="N249" t="s">
        <v>1192</v>
      </c>
      <c r="O249" t="s">
        <v>573</v>
      </c>
      <c r="P249">
        <v>1703</v>
      </c>
      <c r="Q249">
        <v>30.27</v>
      </c>
      <c r="R249">
        <v>8</v>
      </c>
      <c r="S249" t="s">
        <v>110</v>
      </c>
      <c r="T249">
        <v>43945</v>
      </c>
    </row>
    <row r="250" spans="2:20">
      <c r="B250">
        <v>152</v>
      </c>
      <c r="C250" t="s">
        <v>883</v>
      </c>
      <c r="D250" t="s">
        <v>883</v>
      </c>
      <c r="E250" t="s">
        <v>74</v>
      </c>
      <c r="F250">
        <v>67</v>
      </c>
      <c r="G250">
        <v>1.19</v>
      </c>
      <c r="H250">
        <v>1</v>
      </c>
      <c r="I250" t="s">
        <v>110</v>
      </c>
      <c r="J250" s="143">
        <v>43938</v>
      </c>
      <c r="L250">
        <v>72</v>
      </c>
      <c r="M250" t="s">
        <v>723</v>
      </c>
      <c r="N250" t="s">
        <v>723</v>
      </c>
      <c r="O250" t="s">
        <v>74</v>
      </c>
      <c r="P250">
        <v>444</v>
      </c>
      <c r="Q250">
        <v>7.89</v>
      </c>
      <c r="R250">
        <v>2</v>
      </c>
      <c r="S250" t="s">
        <v>550</v>
      </c>
      <c r="T250">
        <v>43959</v>
      </c>
    </row>
    <row r="251" spans="2:20">
      <c r="B251">
        <v>153</v>
      </c>
      <c r="C251" t="s">
        <v>883</v>
      </c>
      <c r="D251" t="s">
        <v>883</v>
      </c>
      <c r="E251" t="s">
        <v>74</v>
      </c>
      <c r="F251">
        <v>137</v>
      </c>
      <c r="G251">
        <v>2.4300000000000002</v>
      </c>
      <c r="H251">
        <v>1</v>
      </c>
      <c r="I251" t="s">
        <v>110</v>
      </c>
      <c r="J251" s="143">
        <v>43938</v>
      </c>
      <c r="L251">
        <v>76</v>
      </c>
      <c r="M251" t="s">
        <v>723</v>
      </c>
      <c r="N251" t="s">
        <v>723</v>
      </c>
      <c r="O251" t="s">
        <v>74</v>
      </c>
      <c r="P251">
        <v>262</v>
      </c>
      <c r="Q251">
        <v>4.6500000000000004</v>
      </c>
      <c r="R251">
        <v>1</v>
      </c>
      <c r="S251" t="s">
        <v>550</v>
      </c>
      <c r="T251">
        <v>43959</v>
      </c>
    </row>
    <row r="252" spans="2:20">
      <c r="B252">
        <v>154</v>
      </c>
      <c r="C252" t="s">
        <v>883</v>
      </c>
      <c r="D252" t="s">
        <v>883</v>
      </c>
      <c r="E252" t="s">
        <v>74</v>
      </c>
      <c r="F252">
        <v>160</v>
      </c>
      <c r="G252">
        <v>2.84</v>
      </c>
      <c r="H252">
        <v>1</v>
      </c>
      <c r="I252" t="s">
        <v>110</v>
      </c>
      <c r="J252" s="143">
        <v>43938</v>
      </c>
      <c r="L252">
        <v>81</v>
      </c>
      <c r="M252" t="s">
        <v>723</v>
      </c>
      <c r="N252" t="s">
        <v>723</v>
      </c>
      <c r="O252" t="s">
        <v>74</v>
      </c>
      <c r="P252">
        <v>143</v>
      </c>
      <c r="Q252">
        <v>2.54</v>
      </c>
      <c r="R252">
        <v>1</v>
      </c>
      <c r="S252" t="s">
        <v>550</v>
      </c>
      <c r="T252">
        <v>43959</v>
      </c>
    </row>
    <row r="253" spans="2:20">
      <c r="B253">
        <v>155</v>
      </c>
      <c r="C253" t="s">
        <v>883</v>
      </c>
      <c r="D253" t="s">
        <v>883</v>
      </c>
      <c r="E253" t="s">
        <v>74</v>
      </c>
      <c r="F253">
        <v>138</v>
      </c>
      <c r="G253">
        <v>2.4500000000000002</v>
      </c>
      <c r="H253">
        <v>1</v>
      </c>
      <c r="I253" t="s">
        <v>110</v>
      </c>
      <c r="J253" s="143">
        <v>43938</v>
      </c>
      <c r="L253">
        <v>82</v>
      </c>
      <c r="M253" t="s">
        <v>723</v>
      </c>
      <c r="N253" t="s">
        <v>723</v>
      </c>
      <c r="O253" t="s">
        <v>74</v>
      </c>
      <c r="P253">
        <v>263</v>
      </c>
      <c r="Q253">
        <v>4.67</v>
      </c>
      <c r="R253">
        <v>2</v>
      </c>
      <c r="S253" t="s">
        <v>550</v>
      </c>
      <c r="T253">
        <v>43959</v>
      </c>
    </row>
    <row r="254" spans="2:20">
      <c r="B254">
        <v>156</v>
      </c>
      <c r="C254" t="s">
        <v>883</v>
      </c>
      <c r="D254" t="s">
        <v>883</v>
      </c>
      <c r="E254" t="s">
        <v>74</v>
      </c>
      <c r="F254">
        <v>188</v>
      </c>
      <c r="G254">
        <v>3.34</v>
      </c>
      <c r="H254">
        <v>1</v>
      </c>
      <c r="I254" t="s">
        <v>110</v>
      </c>
      <c r="J254" s="143">
        <v>43938</v>
      </c>
      <c r="L254">
        <v>104</v>
      </c>
      <c r="M254" t="s">
        <v>694</v>
      </c>
      <c r="N254" t="s">
        <v>694</v>
      </c>
      <c r="O254" t="s">
        <v>74</v>
      </c>
      <c r="P254">
        <v>1703</v>
      </c>
      <c r="Q254">
        <v>30.27</v>
      </c>
      <c r="R254">
        <v>8</v>
      </c>
      <c r="S254" t="s">
        <v>110</v>
      </c>
      <c r="T254">
        <v>43963</v>
      </c>
    </row>
    <row r="255" spans="2:20">
      <c r="B255">
        <v>189</v>
      </c>
      <c r="C255" t="s">
        <v>933</v>
      </c>
      <c r="D255" t="s">
        <v>933</v>
      </c>
      <c r="E255" t="s">
        <v>74</v>
      </c>
      <c r="F255">
        <v>343</v>
      </c>
      <c r="G255">
        <v>6.09</v>
      </c>
      <c r="H255">
        <v>6</v>
      </c>
      <c r="I255" t="s">
        <v>110</v>
      </c>
      <c r="J255" s="143">
        <v>43938</v>
      </c>
      <c r="L255">
        <v>121</v>
      </c>
      <c r="M255" t="s">
        <v>48</v>
      </c>
      <c r="N255" t="s">
        <v>48</v>
      </c>
      <c r="O255" t="s">
        <v>74</v>
      </c>
      <c r="P255">
        <v>1009</v>
      </c>
      <c r="Q255">
        <v>17.93</v>
      </c>
      <c r="R255">
        <v>5</v>
      </c>
      <c r="S255" t="s">
        <v>110</v>
      </c>
      <c r="T255">
        <v>43962</v>
      </c>
    </row>
    <row r="256" spans="2:20">
      <c r="B256">
        <v>207</v>
      </c>
      <c r="C256" t="s">
        <v>947</v>
      </c>
      <c r="D256" t="s">
        <v>947</v>
      </c>
      <c r="E256" t="s">
        <v>74</v>
      </c>
      <c r="F256">
        <v>436</v>
      </c>
      <c r="G256">
        <v>7.75</v>
      </c>
      <c r="H256">
        <v>1</v>
      </c>
      <c r="I256" t="s">
        <v>110</v>
      </c>
      <c r="J256" s="143">
        <v>43938</v>
      </c>
      <c r="L256">
        <v>147</v>
      </c>
      <c r="M256" t="s">
        <v>883</v>
      </c>
      <c r="N256" t="s">
        <v>883</v>
      </c>
      <c r="O256" t="s">
        <v>74</v>
      </c>
      <c r="P256">
        <v>62</v>
      </c>
      <c r="Q256">
        <v>1.1000000000000001</v>
      </c>
      <c r="R256">
        <v>2</v>
      </c>
      <c r="S256" t="s">
        <v>110</v>
      </c>
      <c r="T256">
        <v>43938</v>
      </c>
    </row>
    <row r="257" spans="2:20">
      <c r="B257">
        <v>208</v>
      </c>
      <c r="C257" t="s">
        <v>947</v>
      </c>
      <c r="D257" t="s">
        <v>947</v>
      </c>
      <c r="E257" t="s">
        <v>74</v>
      </c>
      <c r="F257">
        <v>55</v>
      </c>
      <c r="G257">
        <v>0.97</v>
      </c>
      <c r="H257">
        <v>1</v>
      </c>
      <c r="I257" t="s">
        <v>110</v>
      </c>
      <c r="J257" s="143">
        <v>43938</v>
      </c>
      <c r="L257">
        <v>148</v>
      </c>
      <c r="M257" t="s">
        <v>883</v>
      </c>
      <c r="N257" t="s">
        <v>883</v>
      </c>
      <c r="O257" t="s">
        <v>74</v>
      </c>
      <c r="P257">
        <v>22</v>
      </c>
      <c r="Q257">
        <v>0.39</v>
      </c>
      <c r="R257">
        <v>0.5</v>
      </c>
      <c r="S257" t="s">
        <v>110</v>
      </c>
      <c r="T257">
        <v>43938</v>
      </c>
    </row>
    <row r="258" spans="2:20">
      <c r="B258">
        <v>209</v>
      </c>
      <c r="C258" t="s">
        <v>947</v>
      </c>
      <c r="D258" t="s">
        <v>947</v>
      </c>
      <c r="E258" t="s">
        <v>74</v>
      </c>
      <c r="F258">
        <v>200</v>
      </c>
      <c r="G258">
        <v>3.55</v>
      </c>
      <c r="H258">
        <v>1</v>
      </c>
      <c r="I258" t="s">
        <v>110</v>
      </c>
      <c r="J258" s="143">
        <v>43938</v>
      </c>
      <c r="L258">
        <v>149</v>
      </c>
      <c r="M258" t="s">
        <v>883</v>
      </c>
      <c r="N258" t="s">
        <v>883</v>
      </c>
      <c r="O258" t="s">
        <v>74</v>
      </c>
      <c r="P258">
        <v>26</v>
      </c>
      <c r="Q258">
        <v>0.46</v>
      </c>
      <c r="R258">
        <v>0.5</v>
      </c>
      <c r="S258" t="s">
        <v>110</v>
      </c>
      <c r="T258">
        <v>43938</v>
      </c>
    </row>
    <row r="259" spans="2:20">
      <c r="B259">
        <v>210</v>
      </c>
      <c r="C259" t="s">
        <v>947</v>
      </c>
      <c r="D259" t="s">
        <v>947</v>
      </c>
      <c r="E259" t="s">
        <v>74</v>
      </c>
      <c r="F259">
        <v>130</v>
      </c>
      <c r="G259">
        <v>2.31</v>
      </c>
      <c r="H259">
        <v>1</v>
      </c>
      <c r="I259" t="s">
        <v>110</v>
      </c>
      <c r="J259" s="143">
        <v>43938</v>
      </c>
      <c r="L259">
        <v>150</v>
      </c>
      <c r="M259" t="s">
        <v>883</v>
      </c>
      <c r="N259" t="s">
        <v>883</v>
      </c>
      <c r="O259" t="s">
        <v>74</v>
      </c>
      <c r="P259">
        <v>35</v>
      </c>
      <c r="Q259">
        <v>0.62</v>
      </c>
      <c r="R259">
        <v>1</v>
      </c>
      <c r="S259" t="s">
        <v>110</v>
      </c>
      <c r="T259">
        <v>43938</v>
      </c>
    </row>
    <row r="260" spans="2:20">
      <c r="B260">
        <v>211</v>
      </c>
      <c r="C260" t="s">
        <v>947</v>
      </c>
      <c r="D260" t="s">
        <v>947</v>
      </c>
      <c r="E260" t="s">
        <v>74</v>
      </c>
      <c r="F260">
        <v>199</v>
      </c>
      <c r="G260">
        <v>3.53</v>
      </c>
      <c r="H260">
        <v>1</v>
      </c>
      <c r="I260" t="s">
        <v>110</v>
      </c>
      <c r="J260" s="143">
        <v>43938</v>
      </c>
      <c r="L260">
        <v>151</v>
      </c>
      <c r="M260" t="s">
        <v>883</v>
      </c>
      <c r="N260" t="s">
        <v>883</v>
      </c>
      <c r="O260" t="s">
        <v>74</v>
      </c>
      <c r="P260">
        <v>101</v>
      </c>
      <c r="Q260">
        <v>1.79</v>
      </c>
      <c r="R260">
        <v>1</v>
      </c>
      <c r="S260" t="s">
        <v>110</v>
      </c>
      <c r="T260">
        <v>43938</v>
      </c>
    </row>
    <row r="261" spans="2:20">
      <c r="B261">
        <v>212</v>
      </c>
      <c r="C261" t="s">
        <v>947</v>
      </c>
      <c r="D261" t="s">
        <v>947</v>
      </c>
      <c r="E261" t="s">
        <v>74</v>
      </c>
      <c r="F261">
        <v>6</v>
      </c>
      <c r="G261">
        <v>0.1</v>
      </c>
      <c r="H261">
        <v>0</v>
      </c>
      <c r="I261" t="s">
        <v>110</v>
      </c>
      <c r="J261" s="143">
        <v>43938</v>
      </c>
      <c r="L261">
        <v>152</v>
      </c>
      <c r="M261" t="s">
        <v>883</v>
      </c>
      <c r="N261" t="s">
        <v>883</v>
      </c>
      <c r="O261" t="s">
        <v>74</v>
      </c>
      <c r="P261">
        <v>67</v>
      </c>
      <c r="Q261">
        <v>1.19</v>
      </c>
      <c r="R261">
        <v>1</v>
      </c>
      <c r="S261" t="s">
        <v>110</v>
      </c>
      <c r="T261">
        <v>43938</v>
      </c>
    </row>
    <row r="262" spans="2:20">
      <c r="B262">
        <v>260</v>
      </c>
      <c r="C262" t="s">
        <v>1045</v>
      </c>
      <c r="D262" t="s">
        <v>1045</v>
      </c>
      <c r="E262" t="s">
        <v>74</v>
      </c>
      <c r="F262">
        <v>46</v>
      </c>
      <c r="G262">
        <v>0.81</v>
      </c>
      <c r="H262">
        <v>2</v>
      </c>
      <c r="I262" t="s">
        <v>110</v>
      </c>
      <c r="J262" s="143">
        <v>43945</v>
      </c>
      <c r="L262">
        <v>153</v>
      </c>
      <c r="M262" t="s">
        <v>883</v>
      </c>
      <c r="N262" t="s">
        <v>883</v>
      </c>
      <c r="O262" t="s">
        <v>74</v>
      </c>
      <c r="P262">
        <v>137</v>
      </c>
      <c r="Q262">
        <v>2.4300000000000002</v>
      </c>
      <c r="R262">
        <v>1</v>
      </c>
      <c r="S262" t="s">
        <v>110</v>
      </c>
      <c r="T262">
        <v>43938</v>
      </c>
    </row>
    <row r="263" spans="2:20">
      <c r="B263">
        <v>263</v>
      </c>
      <c r="C263" t="s">
        <v>1061</v>
      </c>
      <c r="D263" t="s">
        <v>1061</v>
      </c>
      <c r="E263" t="s">
        <v>74</v>
      </c>
      <c r="F263">
        <v>919</v>
      </c>
      <c r="G263">
        <v>16.329999999999998</v>
      </c>
      <c r="H263">
        <v>14</v>
      </c>
      <c r="I263" t="s">
        <v>110</v>
      </c>
      <c r="J263" s="143">
        <v>43942</v>
      </c>
      <c r="L263">
        <v>154</v>
      </c>
      <c r="M263" t="s">
        <v>883</v>
      </c>
      <c r="N263" t="s">
        <v>883</v>
      </c>
      <c r="O263" t="s">
        <v>74</v>
      </c>
      <c r="P263">
        <v>160</v>
      </c>
      <c r="Q263">
        <v>2.84</v>
      </c>
      <c r="R263">
        <v>1</v>
      </c>
      <c r="S263" t="s">
        <v>110</v>
      </c>
      <c r="T263">
        <v>43938</v>
      </c>
    </row>
    <row r="264" spans="2:20">
      <c r="B264">
        <v>340</v>
      </c>
      <c r="C264" t="s">
        <v>317</v>
      </c>
      <c r="D264" t="s">
        <v>317</v>
      </c>
      <c r="E264" t="s">
        <v>74</v>
      </c>
      <c r="F264">
        <v>1703</v>
      </c>
      <c r="G264">
        <v>30.27</v>
      </c>
      <c r="H264">
        <v>3</v>
      </c>
      <c r="I264" t="s">
        <v>110</v>
      </c>
      <c r="J264" s="143">
        <v>43945</v>
      </c>
      <c r="L264">
        <v>155</v>
      </c>
      <c r="M264" t="s">
        <v>883</v>
      </c>
      <c r="N264" t="s">
        <v>883</v>
      </c>
      <c r="O264" t="s">
        <v>74</v>
      </c>
      <c r="P264">
        <v>138</v>
      </c>
      <c r="Q264">
        <v>2.4500000000000002</v>
      </c>
      <c r="R264">
        <v>1</v>
      </c>
      <c r="S264" t="s">
        <v>110</v>
      </c>
      <c r="T264">
        <v>43938</v>
      </c>
    </row>
    <row r="265" spans="2:20">
      <c r="B265">
        <v>213</v>
      </c>
      <c r="C265" t="s">
        <v>234</v>
      </c>
      <c r="D265" t="s">
        <v>234</v>
      </c>
      <c r="E265" t="s">
        <v>959</v>
      </c>
      <c r="F265">
        <v>60</v>
      </c>
      <c r="G265">
        <v>1.06</v>
      </c>
      <c r="H265">
        <v>0.25</v>
      </c>
      <c r="I265" t="s">
        <v>110</v>
      </c>
      <c r="J265" s="143">
        <v>43938</v>
      </c>
      <c r="L265">
        <v>156</v>
      </c>
      <c r="M265" t="s">
        <v>883</v>
      </c>
      <c r="N265" t="s">
        <v>883</v>
      </c>
      <c r="O265" t="s">
        <v>74</v>
      </c>
      <c r="P265">
        <v>188</v>
      </c>
      <c r="Q265">
        <v>3.34</v>
      </c>
      <c r="R265">
        <v>1</v>
      </c>
      <c r="S265" t="s">
        <v>110</v>
      </c>
      <c r="T265">
        <v>43938</v>
      </c>
    </row>
    <row r="266" spans="2:20">
      <c r="B266">
        <v>214</v>
      </c>
      <c r="C266" t="s">
        <v>234</v>
      </c>
      <c r="D266" t="s">
        <v>234</v>
      </c>
      <c r="E266" t="s">
        <v>959</v>
      </c>
      <c r="F266">
        <v>0</v>
      </c>
      <c r="G266">
        <v>0</v>
      </c>
      <c r="H266">
        <v>0</v>
      </c>
      <c r="I266" t="s">
        <v>110</v>
      </c>
      <c r="J266" s="143">
        <v>43938</v>
      </c>
      <c r="L266">
        <v>189</v>
      </c>
      <c r="M266" t="s">
        <v>933</v>
      </c>
      <c r="N266" t="s">
        <v>933</v>
      </c>
      <c r="O266" t="s">
        <v>74</v>
      </c>
      <c r="P266">
        <v>343</v>
      </c>
      <c r="Q266">
        <v>6.09</v>
      </c>
      <c r="R266">
        <v>6</v>
      </c>
      <c r="S266" t="s">
        <v>110</v>
      </c>
      <c r="T266">
        <v>43938</v>
      </c>
    </row>
    <row r="267" spans="2:20">
      <c r="B267">
        <v>215</v>
      </c>
      <c r="C267" t="s">
        <v>234</v>
      </c>
      <c r="D267" t="s">
        <v>234</v>
      </c>
      <c r="E267" t="s">
        <v>959</v>
      </c>
      <c r="F267">
        <v>0</v>
      </c>
      <c r="G267">
        <v>0</v>
      </c>
      <c r="H267">
        <v>0</v>
      </c>
      <c r="I267" t="s">
        <v>110</v>
      </c>
      <c r="J267" s="143">
        <v>43938</v>
      </c>
      <c r="L267">
        <v>207</v>
      </c>
      <c r="M267" t="s">
        <v>947</v>
      </c>
      <c r="N267" t="s">
        <v>947</v>
      </c>
      <c r="O267" t="s">
        <v>74</v>
      </c>
      <c r="P267">
        <v>436</v>
      </c>
      <c r="Q267">
        <v>7.75</v>
      </c>
      <c r="R267">
        <v>1</v>
      </c>
      <c r="S267" t="s">
        <v>110</v>
      </c>
      <c r="T267">
        <v>43938</v>
      </c>
    </row>
    <row r="268" spans="2:20">
      <c r="B268">
        <v>216</v>
      </c>
      <c r="C268" t="s">
        <v>234</v>
      </c>
      <c r="D268" t="s">
        <v>234</v>
      </c>
      <c r="E268" t="s">
        <v>959</v>
      </c>
      <c r="F268">
        <v>0</v>
      </c>
      <c r="G268">
        <v>0</v>
      </c>
      <c r="H268">
        <v>0</v>
      </c>
      <c r="I268" t="s">
        <v>110</v>
      </c>
      <c r="J268" s="143">
        <v>43938</v>
      </c>
      <c r="L268">
        <v>208</v>
      </c>
      <c r="M268" t="s">
        <v>947</v>
      </c>
      <c r="N268" t="s">
        <v>947</v>
      </c>
      <c r="O268" t="s">
        <v>74</v>
      </c>
      <c r="P268">
        <v>55</v>
      </c>
      <c r="Q268">
        <v>0.97</v>
      </c>
      <c r="R268">
        <v>1</v>
      </c>
      <c r="S268" t="s">
        <v>110</v>
      </c>
      <c r="T268">
        <v>43938</v>
      </c>
    </row>
    <row r="269" spans="2:20">
      <c r="B269">
        <v>217</v>
      </c>
      <c r="C269" t="s">
        <v>234</v>
      </c>
      <c r="D269" t="s">
        <v>234</v>
      </c>
      <c r="E269" t="s">
        <v>959</v>
      </c>
      <c r="F269">
        <v>5</v>
      </c>
      <c r="G269">
        <v>0.08</v>
      </c>
      <c r="H269">
        <v>0.25</v>
      </c>
      <c r="I269" t="s">
        <v>110</v>
      </c>
      <c r="J269" s="143">
        <v>43938</v>
      </c>
      <c r="L269">
        <v>209</v>
      </c>
      <c r="M269" t="s">
        <v>947</v>
      </c>
      <c r="N269" t="s">
        <v>947</v>
      </c>
      <c r="O269" t="s">
        <v>74</v>
      </c>
      <c r="P269">
        <v>200</v>
      </c>
      <c r="Q269">
        <v>3.55</v>
      </c>
      <c r="R269">
        <v>1</v>
      </c>
      <c r="S269" t="s">
        <v>110</v>
      </c>
      <c r="T269">
        <v>43938</v>
      </c>
    </row>
    <row r="270" spans="2:20">
      <c r="B270">
        <v>218</v>
      </c>
      <c r="C270" t="s">
        <v>234</v>
      </c>
      <c r="D270" t="s">
        <v>234</v>
      </c>
      <c r="E270" t="s">
        <v>959</v>
      </c>
      <c r="F270">
        <v>13</v>
      </c>
      <c r="G270">
        <v>0.23</v>
      </c>
      <c r="H270">
        <v>0.25</v>
      </c>
      <c r="I270" t="s">
        <v>110</v>
      </c>
      <c r="J270" s="143">
        <v>43938</v>
      </c>
      <c r="L270">
        <v>210</v>
      </c>
      <c r="M270" t="s">
        <v>947</v>
      </c>
      <c r="N270" t="s">
        <v>947</v>
      </c>
      <c r="O270" t="s">
        <v>74</v>
      </c>
      <c r="P270">
        <v>130</v>
      </c>
      <c r="Q270">
        <v>2.31</v>
      </c>
      <c r="R270">
        <v>1</v>
      </c>
      <c r="S270" t="s">
        <v>110</v>
      </c>
      <c r="T270">
        <v>43938</v>
      </c>
    </row>
    <row r="271" spans="2:20">
      <c r="B271">
        <v>219</v>
      </c>
      <c r="C271" t="s">
        <v>234</v>
      </c>
      <c r="D271" t="s">
        <v>234</v>
      </c>
      <c r="E271" t="s">
        <v>959</v>
      </c>
      <c r="F271">
        <v>4</v>
      </c>
      <c r="G271">
        <v>7.0000000000000007E-2</v>
      </c>
      <c r="H271">
        <v>0.25</v>
      </c>
      <c r="I271" t="s">
        <v>110</v>
      </c>
      <c r="J271" s="143">
        <v>43938</v>
      </c>
      <c r="L271">
        <v>211</v>
      </c>
      <c r="M271" t="s">
        <v>947</v>
      </c>
      <c r="N271" t="s">
        <v>947</v>
      </c>
      <c r="O271" t="s">
        <v>74</v>
      </c>
      <c r="P271">
        <v>199</v>
      </c>
      <c r="Q271">
        <v>3.53</v>
      </c>
      <c r="R271">
        <v>1</v>
      </c>
      <c r="S271" t="s">
        <v>110</v>
      </c>
      <c r="T271">
        <v>43938</v>
      </c>
    </row>
    <row r="272" spans="2:20">
      <c r="B272">
        <v>220</v>
      </c>
      <c r="C272" t="s">
        <v>234</v>
      </c>
      <c r="D272" t="s">
        <v>234</v>
      </c>
      <c r="E272" t="s">
        <v>959</v>
      </c>
      <c r="F272">
        <v>329</v>
      </c>
      <c r="G272">
        <v>5.84</v>
      </c>
      <c r="H272">
        <v>0.25</v>
      </c>
      <c r="I272" t="s">
        <v>110</v>
      </c>
      <c r="J272" s="143">
        <v>43938</v>
      </c>
      <c r="L272">
        <v>212</v>
      </c>
      <c r="M272" t="s">
        <v>947</v>
      </c>
      <c r="N272" t="s">
        <v>947</v>
      </c>
      <c r="O272" t="s">
        <v>74</v>
      </c>
      <c r="P272">
        <v>6</v>
      </c>
      <c r="Q272">
        <v>0.1</v>
      </c>
      <c r="R272">
        <v>0</v>
      </c>
      <c r="S272" t="s">
        <v>110</v>
      </c>
      <c r="T272">
        <v>43938</v>
      </c>
    </row>
    <row r="273" spans="2:20">
      <c r="B273">
        <v>221</v>
      </c>
      <c r="C273" t="s">
        <v>234</v>
      </c>
      <c r="D273" t="s">
        <v>234</v>
      </c>
      <c r="E273" t="s">
        <v>959</v>
      </c>
      <c r="F273">
        <v>96</v>
      </c>
      <c r="G273">
        <v>1.7</v>
      </c>
      <c r="H273">
        <v>0.25</v>
      </c>
      <c r="I273" t="s">
        <v>110</v>
      </c>
      <c r="J273" s="143">
        <v>43938</v>
      </c>
      <c r="L273">
        <v>260</v>
      </c>
      <c r="M273" t="s">
        <v>1045</v>
      </c>
      <c r="N273" t="s">
        <v>1045</v>
      </c>
      <c r="O273" t="s">
        <v>74</v>
      </c>
      <c r="P273">
        <v>46</v>
      </c>
      <c r="Q273">
        <v>0.81</v>
      </c>
      <c r="R273">
        <v>2</v>
      </c>
      <c r="S273" t="s">
        <v>110</v>
      </c>
      <c r="T273">
        <v>43945</v>
      </c>
    </row>
    <row r="274" spans="2:20">
      <c r="B274">
        <v>222</v>
      </c>
      <c r="C274" t="s">
        <v>234</v>
      </c>
      <c r="D274" t="s">
        <v>234</v>
      </c>
      <c r="E274" t="s">
        <v>959</v>
      </c>
      <c r="F274">
        <v>518</v>
      </c>
      <c r="G274">
        <v>9.1999999999999993</v>
      </c>
      <c r="H274">
        <v>26</v>
      </c>
      <c r="I274" t="s">
        <v>110</v>
      </c>
      <c r="J274" s="143">
        <v>43938</v>
      </c>
      <c r="L274">
        <v>263</v>
      </c>
      <c r="M274" t="s">
        <v>1061</v>
      </c>
      <c r="N274" t="s">
        <v>1061</v>
      </c>
      <c r="O274" t="s">
        <v>74</v>
      </c>
      <c r="P274">
        <v>919</v>
      </c>
      <c r="Q274">
        <v>16.329999999999998</v>
      </c>
      <c r="R274">
        <v>14</v>
      </c>
      <c r="S274" t="s">
        <v>110</v>
      </c>
      <c r="T274">
        <v>43942</v>
      </c>
    </row>
    <row r="275" spans="2:20">
      <c r="B275">
        <v>223</v>
      </c>
      <c r="C275" t="s">
        <v>234</v>
      </c>
      <c r="D275" t="s">
        <v>234</v>
      </c>
      <c r="E275" t="s">
        <v>959</v>
      </c>
      <c r="F275">
        <v>51</v>
      </c>
      <c r="G275">
        <v>0.9</v>
      </c>
      <c r="H275">
        <v>0.25</v>
      </c>
      <c r="I275" t="s">
        <v>110</v>
      </c>
      <c r="J275" s="143">
        <v>43938</v>
      </c>
      <c r="L275">
        <v>340</v>
      </c>
      <c r="M275" t="s">
        <v>317</v>
      </c>
      <c r="N275" t="s">
        <v>317</v>
      </c>
      <c r="O275" t="s">
        <v>74</v>
      </c>
      <c r="P275">
        <v>1703</v>
      </c>
      <c r="Q275">
        <v>30.27</v>
      </c>
      <c r="R275">
        <v>3</v>
      </c>
      <c r="S275" t="s">
        <v>110</v>
      </c>
      <c r="T275">
        <v>43945</v>
      </c>
    </row>
    <row r="276" spans="2:20">
      <c r="B276">
        <v>224</v>
      </c>
      <c r="C276" t="s">
        <v>234</v>
      </c>
      <c r="D276" t="s">
        <v>234</v>
      </c>
      <c r="E276" t="s">
        <v>959</v>
      </c>
      <c r="F276">
        <v>0</v>
      </c>
      <c r="G276">
        <v>0</v>
      </c>
      <c r="H276">
        <v>0</v>
      </c>
      <c r="I276" t="s">
        <v>110</v>
      </c>
      <c r="J276" s="143">
        <v>43938</v>
      </c>
      <c r="L276">
        <v>213</v>
      </c>
      <c r="M276" t="s">
        <v>234</v>
      </c>
      <c r="N276" t="s">
        <v>234</v>
      </c>
      <c r="O276" t="s">
        <v>959</v>
      </c>
      <c r="P276">
        <v>60</v>
      </c>
      <c r="Q276">
        <v>1.06</v>
      </c>
      <c r="R276">
        <v>0.25</v>
      </c>
      <c r="S276" t="s">
        <v>110</v>
      </c>
      <c r="T276">
        <v>43938</v>
      </c>
    </row>
    <row r="277" spans="2:20">
      <c r="B277">
        <v>258</v>
      </c>
      <c r="C277" t="s">
        <v>1045</v>
      </c>
      <c r="D277" t="s">
        <v>1045</v>
      </c>
      <c r="E277" t="s">
        <v>959</v>
      </c>
      <c r="F277">
        <v>75</v>
      </c>
      <c r="G277">
        <v>1.33</v>
      </c>
      <c r="H277">
        <v>0.5</v>
      </c>
      <c r="I277" t="s">
        <v>110</v>
      </c>
      <c r="J277" s="143">
        <v>43945</v>
      </c>
      <c r="L277">
        <v>214</v>
      </c>
      <c r="M277" t="s">
        <v>234</v>
      </c>
      <c r="N277" t="s">
        <v>234</v>
      </c>
      <c r="O277" t="s">
        <v>959</v>
      </c>
      <c r="P277">
        <v>0</v>
      </c>
      <c r="Q277">
        <v>0</v>
      </c>
      <c r="R277">
        <v>0</v>
      </c>
      <c r="S277" t="s">
        <v>110</v>
      </c>
      <c r="T277">
        <v>43938</v>
      </c>
    </row>
    <row r="278" spans="2:20">
      <c r="B278">
        <v>259</v>
      </c>
      <c r="C278" t="s">
        <v>1045</v>
      </c>
      <c r="D278" t="s">
        <v>1045</v>
      </c>
      <c r="E278" t="s">
        <v>959</v>
      </c>
      <c r="F278">
        <v>166</v>
      </c>
      <c r="G278">
        <v>2.95</v>
      </c>
      <c r="H278">
        <v>0.5</v>
      </c>
      <c r="I278" t="s">
        <v>110</v>
      </c>
      <c r="J278" s="143">
        <v>43945</v>
      </c>
      <c r="L278">
        <v>215</v>
      </c>
      <c r="M278" t="s">
        <v>234</v>
      </c>
      <c r="N278" t="s">
        <v>234</v>
      </c>
      <c r="O278" t="s">
        <v>959</v>
      </c>
      <c r="P278">
        <v>0</v>
      </c>
      <c r="Q278">
        <v>0</v>
      </c>
      <c r="R278">
        <v>0</v>
      </c>
      <c r="S278" t="s">
        <v>110</v>
      </c>
      <c r="T278">
        <v>43938</v>
      </c>
    </row>
    <row r="279" spans="2:20">
      <c r="B279">
        <v>261</v>
      </c>
      <c r="C279" t="s">
        <v>1056</v>
      </c>
      <c r="D279" t="s">
        <v>1056</v>
      </c>
      <c r="E279" t="s">
        <v>959</v>
      </c>
      <c r="F279">
        <v>60</v>
      </c>
      <c r="G279">
        <v>1.06</v>
      </c>
      <c r="H279">
        <v>0.25</v>
      </c>
      <c r="I279" t="s">
        <v>110</v>
      </c>
      <c r="J279" s="143">
        <v>43945</v>
      </c>
      <c r="L279">
        <v>216</v>
      </c>
      <c r="M279" t="s">
        <v>234</v>
      </c>
      <c r="N279" t="s">
        <v>234</v>
      </c>
      <c r="O279" t="s">
        <v>959</v>
      </c>
      <c r="P279">
        <v>0</v>
      </c>
      <c r="Q279">
        <v>0</v>
      </c>
      <c r="R279">
        <v>0</v>
      </c>
      <c r="S279" t="s">
        <v>110</v>
      </c>
      <c r="T279">
        <v>43938</v>
      </c>
    </row>
    <row r="280" spans="2:20">
      <c r="B280">
        <v>262</v>
      </c>
      <c r="C280" t="s">
        <v>1061</v>
      </c>
      <c r="D280" t="s">
        <v>1061</v>
      </c>
      <c r="E280" t="s">
        <v>959</v>
      </c>
      <c r="F280">
        <v>221</v>
      </c>
      <c r="G280">
        <v>3.92</v>
      </c>
      <c r="H280">
        <v>2</v>
      </c>
      <c r="I280" t="s">
        <v>110</v>
      </c>
      <c r="J280" s="143">
        <v>43942</v>
      </c>
      <c r="L280">
        <v>217</v>
      </c>
      <c r="M280" t="s">
        <v>234</v>
      </c>
      <c r="N280" t="s">
        <v>234</v>
      </c>
      <c r="O280" t="s">
        <v>959</v>
      </c>
      <c r="P280">
        <v>5</v>
      </c>
      <c r="Q280">
        <v>0.08</v>
      </c>
      <c r="R280">
        <v>0.25</v>
      </c>
      <c r="S280" t="s">
        <v>110</v>
      </c>
      <c r="T280">
        <v>43938</v>
      </c>
    </row>
    <row r="281" spans="2:20">
      <c r="B281">
        <v>264</v>
      </c>
      <c r="C281" t="s">
        <v>581</v>
      </c>
      <c r="D281" t="s">
        <v>581</v>
      </c>
      <c r="E281" t="s">
        <v>959</v>
      </c>
      <c r="F281">
        <v>101</v>
      </c>
      <c r="G281">
        <v>1.79</v>
      </c>
      <c r="H281">
        <v>0.5</v>
      </c>
      <c r="I281" t="s">
        <v>110</v>
      </c>
      <c r="J281" s="143">
        <v>43942</v>
      </c>
      <c r="L281">
        <v>218</v>
      </c>
      <c r="M281" t="s">
        <v>234</v>
      </c>
      <c r="N281" t="s">
        <v>234</v>
      </c>
      <c r="O281" t="s">
        <v>959</v>
      </c>
      <c r="P281">
        <v>13</v>
      </c>
      <c r="Q281">
        <v>0.23</v>
      </c>
      <c r="R281">
        <v>0.25</v>
      </c>
      <c r="S281" t="s">
        <v>110</v>
      </c>
      <c r="T281">
        <v>43938</v>
      </c>
    </row>
    <row r="282" spans="2:20">
      <c r="B282">
        <v>265</v>
      </c>
      <c r="C282" t="s">
        <v>581</v>
      </c>
      <c r="D282" t="s">
        <v>581</v>
      </c>
      <c r="E282" t="s">
        <v>959</v>
      </c>
      <c r="F282">
        <v>51</v>
      </c>
      <c r="G282">
        <v>0.9</v>
      </c>
      <c r="H282">
        <v>0</v>
      </c>
      <c r="I282" t="s">
        <v>110</v>
      </c>
      <c r="J282" s="143">
        <v>43942</v>
      </c>
      <c r="L282">
        <v>219</v>
      </c>
      <c r="M282" t="s">
        <v>234</v>
      </c>
      <c r="N282" t="s">
        <v>234</v>
      </c>
      <c r="O282" t="s">
        <v>959</v>
      </c>
      <c r="P282">
        <v>4</v>
      </c>
      <c r="Q282">
        <v>7.0000000000000007E-2</v>
      </c>
      <c r="R282">
        <v>0.25</v>
      </c>
      <c r="S282" t="s">
        <v>110</v>
      </c>
      <c r="T282">
        <v>43938</v>
      </c>
    </row>
    <row r="283" spans="2:20">
      <c r="B283">
        <v>266</v>
      </c>
      <c r="C283" t="s">
        <v>346</v>
      </c>
      <c r="D283" t="s">
        <v>346</v>
      </c>
      <c r="E283" t="s">
        <v>959</v>
      </c>
      <c r="F283">
        <v>84</v>
      </c>
      <c r="G283">
        <v>1.49</v>
      </c>
      <c r="H283">
        <v>1</v>
      </c>
      <c r="I283" t="s">
        <v>110</v>
      </c>
      <c r="J283" s="143">
        <v>43951</v>
      </c>
      <c r="L283">
        <v>220</v>
      </c>
      <c r="M283" t="s">
        <v>234</v>
      </c>
      <c r="N283" t="s">
        <v>234</v>
      </c>
      <c r="O283" t="s">
        <v>959</v>
      </c>
      <c r="P283">
        <v>329</v>
      </c>
      <c r="Q283">
        <v>5.84</v>
      </c>
      <c r="R283">
        <v>0.25</v>
      </c>
      <c r="S283" t="s">
        <v>110</v>
      </c>
      <c r="T283">
        <v>43938</v>
      </c>
    </row>
    <row r="284" spans="2:20">
      <c r="B284">
        <v>267</v>
      </c>
      <c r="C284" t="s">
        <v>346</v>
      </c>
      <c r="D284" t="s">
        <v>346</v>
      </c>
      <c r="E284" t="s">
        <v>959</v>
      </c>
      <c r="F284">
        <v>7</v>
      </c>
      <c r="G284">
        <v>0.12</v>
      </c>
      <c r="H284">
        <v>0</v>
      </c>
      <c r="I284" t="s">
        <v>110</v>
      </c>
      <c r="J284" s="143">
        <v>43951</v>
      </c>
      <c r="L284">
        <v>221</v>
      </c>
      <c r="M284" t="s">
        <v>234</v>
      </c>
      <c r="N284" t="s">
        <v>234</v>
      </c>
      <c r="O284" t="s">
        <v>959</v>
      </c>
      <c r="P284">
        <v>96</v>
      </c>
      <c r="Q284">
        <v>1.7</v>
      </c>
      <c r="R284">
        <v>0.25</v>
      </c>
      <c r="S284" t="s">
        <v>110</v>
      </c>
      <c r="T284">
        <v>43938</v>
      </c>
    </row>
    <row r="285" spans="2:20">
      <c r="B285">
        <v>268</v>
      </c>
      <c r="C285" t="s">
        <v>346</v>
      </c>
      <c r="D285" t="s">
        <v>346</v>
      </c>
      <c r="E285" t="s">
        <v>959</v>
      </c>
      <c r="F285">
        <v>259</v>
      </c>
      <c r="G285">
        <v>4.5999999999999996</v>
      </c>
      <c r="H285">
        <v>2</v>
      </c>
      <c r="I285" t="s">
        <v>110</v>
      </c>
      <c r="J285" s="143">
        <v>43951</v>
      </c>
      <c r="L285">
        <v>222</v>
      </c>
      <c r="M285" t="s">
        <v>234</v>
      </c>
      <c r="N285" t="s">
        <v>234</v>
      </c>
      <c r="O285" t="s">
        <v>959</v>
      </c>
      <c r="P285">
        <v>518</v>
      </c>
      <c r="Q285">
        <v>9.1999999999999993</v>
      </c>
      <c r="R285">
        <v>26</v>
      </c>
      <c r="S285" t="s">
        <v>110</v>
      </c>
      <c r="T285">
        <v>43938</v>
      </c>
    </row>
    <row r="286" spans="2:20">
      <c r="B286">
        <v>269</v>
      </c>
      <c r="C286" t="s">
        <v>346</v>
      </c>
      <c r="D286" t="s">
        <v>346</v>
      </c>
      <c r="E286" t="s">
        <v>959</v>
      </c>
      <c r="F286">
        <v>135</v>
      </c>
      <c r="G286">
        <v>2.4</v>
      </c>
      <c r="H286">
        <v>1</v>
      </c>
      <c r="I286" t="s">
        <v>110</v>
      </c>
      <c r="J286" s="143">
        <v>43951</v>
      </c>
      <c r="L286">
        <v>223</v>
      </c>
      <c r="M286" t="s">
        <v>234</v>
      </c>
      <c r="N286" t="s">
        <v>234</v>
      </c>
      <c r="O286" t="s">
        <v>959</v>
      </c>
      <c r="P286">
        <v>51</v>
      </c>
      <c r="Q286">
        <v>0.9</v>
      </c>
      <c r="R286">
        <v>0.25</v>
      </c>
      <c r="S286" t="s">
        <v>110</v>
      </c>
      <c r="T286">
        <v>43938</v>
      </c>
    </row>
    <row r="287" spans="2:20">
      <c r="B287">
        <v>270</v>
      </c>
      <c r="C287" t="s">
        <v>346</v>
      </c>
      <c r="D287" t="s">
        <v>346</v>
      </c>
      <c r="E287" t="s">
        <v>959</v>
      </c>
      <c r="F287">
        <v>82</v>
      </c>
      <c r="G287">
        <v>1.45</v>
      </c>
      <c r="H287">
        <v>1</v>
      </c>
      <c r="I287" t="s">
        <v>110</v>
      </c>
      <c r="J287" s="143">
        <v>43951</v>
      </c>
      <c r="L287">
        <v>224</v>
      </c>
      <c r="M287" t="s">
        <v>234</v>
      </c>
      <c r="N287" t="s">
        <v>234</v>
      </c>
      <c r="O287" t="s">
        <v>959</v>
      </c>
      <c r="P287">
        <v>0</v>
      </c>
      <c r="Q287">
        <v>0</v>
      </c>
      <c r="R287">
        <v>0</v>
      </c>
      <c r="S287" t="s">
        <v>110</v>
      </c>
      <c r="T287">
        <v>43938</v>
      </c>
    </row>
    <row r="288" spans="2:20">
      <c r="B288">
        <v>271</v>
      </c>
      <c r="C288" t="s">
        <v>346</v>
      </c>
      <c r="D288" t="s">
        <v>346</v>
      </c>
      <c r="E288" t="s">
        <v>959</v>
      </c>
      <c r="F288">
        <v>313</v>
      </c>
      <c r="G288">
        <v>5.56</v>
      </c>
      <c r="H288">
        <v>2</v>
      </c>
      <c r="I288" t="s">
        <v>110</v>
      </c>
      <c r="J288" s="143">
        <v>43951</v>
      </c>
      <c r="L288">
        <v>258</v>
      </c>
      <c r="M288" t="s">
        <v>1045</v>
      </c>
      <c r="N288" t="s">
        <v>1045</v>
      </c>
      <c r="O288" t="s">
        <v>959</v>
      </c>
      <c r="P288">
        <v>75</v>
      </c>
      <c r="Q288">
        <v>1.33</v>
      </c>
      <c r="R288">
        <v>0.5</v>
      </c>
      <c r="S288" t="s">
        <v>110</v>
      </c>
      <c r="T288">
        <v>43945</v>
      </c>
    </row>
    <row r="289" spans="2:20">
      <c r="B289">
        <v>272</v>
      </c>
      <c r="C289" t="s">
        <v>346</v>
      </c>
      <c r="D289" t="s">
        <v>346</v>
      </c>
      <c r="E289" t="s">
        <v>959</v>
      </c>
      <c r="F289">
        <v>54</v>
      </c>
      <c r="G289">
        <v>0.96</v>
      </c>
      <c r="H289">
        <v>1</v>
      </c>
      <c r="I289" t="s">
        <v>110</v>
      </c>
      <c r="J289" s="143">
        <v>43951</v>
      </c>
      <c r="L289">
        <v>259</v>
      </c>
      <c r="M289" t="s">
        <v>1045</v>
      </c>
      <c r="N289" t="s">
        <v>1045</v>
      </c>
      <c r="O289" t="s">
        <v>959</v>
      </c>
      <c r="P289">
        <v>166</v>
      </c>
      <c r="Q289">
        <v>2.95</v>
      </c>
      <c r="R289">
        <v>0.5</v>
      </c>
      <c r="S289" t="s">
        <v>110</v>
      </c>
      <c r="T289">
        <v>43945</v>
      </c>
    </row>
    <row r="290" spans="2:20">
      <c r="B290">
        <v>273</v>
      </c>
      <c r="C290" t="s">
        <v>346</v>
      </c>
      <c r="D290" t="s">
        <v>346</v>
      </c>
      <c r="E290" t="s">
        <v>959</v>
      </c>
      <c r="F290">
        <v>144</v>
      </c>
      <c r="G290">
        <v>2.56</v>
      </c>
      <c r="H290">
        <v>1</v>
      </c>
      <c r="I290" t="s">
        <v>110</v>
      </c>
      <c r="J290" s="143">
        <v>43951</v>
      </c>
      <c r="L290">
        <v>261</v>
      </c>
      <c r="M290" t="s">
        <v>1056</v>
      </c>
      <c r="N290" t="s">
        <v>1056</v>
      </c>
      <c r="O290" t="s">
        <v>959</v>
      </c>
      <c r="P290">
        <v>60</v>
      </c>
      <c r="Q290">
        <v>1.06</v>
      </c>
      <c r="R290">
        <v>0.25</v>
      </c>
      <c r="S290" t="s">
        <v>110</v>
      </c>
      <c r="T290">
        <v>43945</v>
      </c>
    </row>
    <row r="291" spans="2:20">
      <c r="B291">
        <v>274</v>
      </c>
      <c r="C291" t="s">
        <v>346</v>
      </c>
      <c r="D291" t="s">
        <v>346</v>
      </c>
      <c r="E291" t="s">
        <v>959</v>
      </c>
      <c r="F291">
        <v>59</v>
      </c>
      <c r="G291">
        <v>1.04</v>
      </c>
      <c r="H291">
        <v>1</v>
      </c>
      <c r="I291" t="s">
        <v>110</v>
      </c>
      <c r="J291" s="143">
        <v>43951</v>
      </c>
      <c r="L291">
        <v>262</v>
      </c>
      <c r="M291" t="s">
        <v>1061</v>
      </c>
      <c r="N291" t="s">
        <v>1061</v>
      </c>
      <c r="O291" t="s">
        <v>959</v>
      </c>
      <c r="P291">
        <v>221</v>
      </c>
      <c r="Q291">
        <v>3.92</v>
      </c>
      <c r="R291">
        <v>2</v>
      </c>
      <c r="S291" t="s">
        <v>110</v>
      </c>
      <c r="T291">
        <v>43942</v>
      </c>
    </row>
    <row r="292" spans="2:20">
      <c r="B292">
        <v>275</v>
      </c>
      <c r="C292" t="s">
        <v>346</v>
      </c>
      <c r="D292" t="s">
        <v>346</v>
      </c>
      <c r="E292" t="s">
        <v>959</v>
      </c>
      <c r="F292">
        <v>354</v>
      </c>
      <c r="G292">
        <v>6.29</v>
      </c>
      <c r="H292">
        <v>2</v>
      </c>
      <c r="I292" t="s">
        <v>110</v>
      </c>
      <c r="J292" s="143">
        <v>43951</v>
      </c>
      <c r="L292">
        <v>264</v>
      </c>
      <c r="M292" t="s">
        <v>581</v>
      </c>
      <c r="N292" t="s">
        <v>581</v>
      </c>
      <c r="O292" t="s">
        <v>959</v>
      </c>
      <c r="P292">
        <v>101</v>
      </c>
      <c r="Q292">
        <v>1.79</v>
      </c>
      <c r="R292">
        <v>0.5</v>
      </c>
      <c r="S292" t="s">
        <v>110</v>
      </c>
      <c r="T292">
        <v>43942</v>
      </c>
    </row>
    <row r="293" spans="2:20">
      <c r="B293">
        <v>276</v>
      </c>
      <c r="C293" t="s">
        <v>346</v>
      </c>
      <c r="D293" t="s">
        <v>346</v>
      </c>
      <c r="E293" t="s">
        <v>959</v>
      </c>
      <c r="F293">
        <v>186</v>
      </c>
      <c r="G293">
        <v>3.3</v>
      </c>
      <c r="H293">
        <v>1</v>
      </c>
      <c r="I293" t="s">
        <v>110</v>
      </c>
      <c r="J293" s="143">
        <v>43951</v>
      </c>
      <c r="L293">
        <v>265</v>
      </c>
      <c r="M293" t="s">
        <v>581</v>
      </c>
      <c r="N293" t="s">
        <v>581</v>
      </c>
      <c r="O293" t="s">
        <v>959</v>
      </c>
      <c r="P293">
        <v>51</v>
      </c>
      <c r="Q293">
        <v>0.9</v>
      </c>
      <c r="R293">
        <v>0</v>
      </c>
      <c r="S293" t="s">
        <v>110</v>
      </c>
      <c r="T293">
        <v>43942</v>
      </c>
    </row>
    <row r="294" spans="2:20">
      <c r="B294">
        <v>277</v>
      </c>
      <c r="C294" t="s">
        <v>346</v>
      </c>
      <c r="D294" t="s">
        <v>346</v>
      </c>
      <c r="E294" t="s">
        <v>959</v>
      </c>
      <c r="F294">
        <v>159</v>
      </c>
      <c r="G294">
        <v>2.82</v>
      </c>
      <c r="H294">
        <v>1</v>
      </c>
      <c r="I294" t="s">
        <v>110</v>
      </c>
      <c r="J294" s="143">
        <v>43951</v>
      </c>
      <c r="L294">
        <v>266</v>
      </c>
      <c r="M294" t="s">
        <v>346</v>
      </c>
      <c r="N294" t="s">
        <v>346</v>
      </c>
      <c r="O294" t="s">
        <v>959</v>
      </c>
      <c r="P294">
        <v>84</v>
      </c>
      <c r="Q294">
        <v>1.49</v>
      </c>
      <c r="R294">
        <v>1</v>
      </c>
      <c r="S294" t="s">
        <v>110</v>
      </c>
      <c r="T294">
        <v>43951</v>
      </c>
    </row>
    <row r="295" spans="2:20">
      <c r="B295">
        <v>278</v>
      </c>
      <c r="C295" t="s">
        <v>346</v>
      </c>
      <c r="D295" t="s">
        <v>346</v>
      </c>
      <c r="E295" t="s">
        <v>959</v>
      </c>
      <c r="F295">
        <v>199</v>
      </c>
      <c r="G295">
        <v>3.53</v>
      </c>
      <c r="H295">
        <v>1</v>
      </c>
      <c r="I295" t="s">
        <v>110</v>
      </c>
      <c r="J295" s="143">
        <v>43951</v>
      </c>
      <c r="L295">
        <v>267</v>
      </c>
      <c r="M295" t="s">
        <v>346</v>
      </c>
      <c r="N295" t="s">
        <v>346</v>
      </c>
      <c r="O295" t="s">
        <v>959</v>
      </c>
      <c r="P295">
        <v>7</v>
      </c>
      <c r="Q295">
        <v>0.12</v>
      </c>
      <c r="R295">
        <v>0</v>
      </c>
      <c r="S295" t="s">
        <v>110</v>
      </c>
      <c r="T295">
        <v>43951</v>
      </c>
    </row>
    <row r="296" spans="2:20">
      <c r="B296">
        <v>279</v>
      </c>
      <c r="C296" t="s">
        <v>346</v>
      </c>
      <c r="D296" t="s">
        <v>346</v>
      </c>
      <c r="E296" t="s">
        <v>959</v>
      </c>
      <c r="F296">
        <v>6</v>
      </c>
      <c r="G296">
        <v>0.1</v>
      </c>
      <c r="H296">
        <v>0</v>
      </c>
      <c r="I296" t="s">
        <v>110</v>
      </c>
      <c r="J296" s="143">
        <v>43951</v>
      </c>
      <c r="L296">
        <v>268</v>
      </c>
      <c r="M296" t="s">
        <v>346</v>
      </c>
      <c r="N296" t="s">
        <v>346</v>
      </c>
      <c r="O296" t="s">
        <v>959</v>
      </c>
      <c r="P296">
        <v>259</v>
      </c>
      <c r="Q296">
        <v>4.5999999999999996</v>
      </c>
      <c r="R296">
        <v>2</v>
      </c>
      <c r="S296" t="s">
        <v>110</v>
      </c>
      <c r="T296">
        <v>43951</v>
      </c>
    </row>
    <row r="297" spans="2:20">
      <c r="B297">
        <v>292</v>
      </c>
      <c r="C297" t="s">
        <v>1110</v>
      </c>
      <c r="D297" t="s">
        <v>1110</v>
      </c>
      <c r="E297" t="s">
        <v>959</v>
      </c>
      <c r="F297">
        <v>90</v>
      </c>
      <c r="G297">
        <v>1.6</v>
      </c>
      <c r="H297">
        <v>2</v>
      </c>
      <c r="I297" t="s">
        <v>110</v>
      </c>
      <c r="J297" s="143">
        <v>43943</v>
      </c>
      <c r="L297">
        <v>269</v>
      </c>
      <c r="M297" t="s">
        <v>346</v>
      </c>
      <c r="N297" t="s">
        <v>346</v>
      </c>
      <c r="O297" t="s">
        <v>959</v>
      </c>
      <c r="P297">
        <v>135</v>
      </c>
      <c r="Q297">
        <v>2.4</v>
      </c>
      <c r="R297">
        <v>1</v>
      </c>
      <c r="S297" t="s">
        <v>110</v>
      </c>
      <c r="T297">
        <v>43951</v>
      </c>
    </row>
    <row r="298" spans="2:20">
      <c r="B298">
        <v>293</v>
      </c>
      <c r="C298" t="s">
        <v>1110</v>
      </c>
      <c r="D298" t="s">
        <v>1110</v>
      </c>
      <c r="E298" t="s">
        <v>959</v>
      </c>
      <c r="F298">
        <v>212</v>
      </c>
      <c r="G298">
        <v>3.76</v>
      </c>
      <c r="H298">
        <v>4</v>
      </c>
      <c r="I298" t="s">
        <v>110</v>
      </c>
      <c r="J298" s="143">
        <v>43943</v>
      </c>
      <c r="L298">
        <v>270</v>
      </c>
      <c r="M298" t="s">
        <v>346</v>
      </c>
      <c r="N298" t="s">
        <v>346</v>
      </c>
      <c r="O298" t="s">
        <v>959</v>
      </c>
      <c r="P298">
        <v>82</v>
      </c>
      <c r="Q298">
        <v>1.45</v>
      </c>
      <c r="R298">
        <v>1</v>
      </c>
      <c r="S298" t="s">
        <v>110</v>
      </c>
      <c r="T298">
        <v>43951</v>
      </c>
    </row>
    <row r="299" spans="2:20">
      <c r="B299">
        <v>294</v>
      </c>
      <c r="C299" t="s">
        <v>1110</v>
      </c>
      <c r="D299" t="s">
        <v>1110</v>
      </c>
      <c r="E299" t="s">
        <v>959</v>
      </c>
      <c r="F299">
        <v>361</v>
      </c>
      <c r="G299">
        <v>6.41</v>
      </c>
      <c r="H299">
        <v>3</v>
      </c>
      <c r="I299" t="s">
        <v>110</v>
      </c>
      <c r="J299" s="143">
        <v>43943</v>
      </c>
      <c r="L299">
        <v>271</v>
      </c>
      <c r="M299" t="s">
        <v>346</v>
      </c>
      <c r="N299" t="s">
        <v>346</v>
      </c>
      <c r="O299" t="s">
        <v>959</v>
      </c>
      <c r="P299">
        <v>313</v>
      </c>
      <c r="Q299">
        <v>5.56</v>
      </c>
      <c r="R299">
        <v>2</v>
      </c>
      <c r="S299" t="s">
        <v>110</v>
      </c>
      <c r="T299">
        <v>43951</v>
      </c>
    </row>
    <row r="300" spans="2:20">
      <c r="B300">
        <v>295</v>
      </c>
      <c r="C300" t="s">
        <v>1110</v>
      </c>
      <c r="D300" t="s">
        <v>1110</v>
      </c>
      <c r="E300" t="s">
        <v>959</v>
      </c>
      <c r="F300">
        <v>437</v>
      </c>
      <c r="G300">
        <v>7.76</v>
      </c>
      <c r="H300">
        <v>4</v>
      </c>
      <c r="I300" t="s">
        <v>110</v>
      </c>
      <c r="J300" s="143">
        <v>43943</v>
      </c>
      <c r="L300">
        <v>272</v>
      </c>
      <c r="M300" t="s">
        <v>346</v>
      </c>
      <c r="N300" t="s">
        <v>346</v>
      </c>
      <c r="O300" t="s">
        <v>959</v>
      </c>
      <c r="P300">
        <v>54</v>
      </c>
      <c r="Q300">
        <v>0.96</v>
      </c>
      <c r="R300">
        <v>1</v>
      </c>
      <c r="S300" t="s">
        <v>110</v>
      </c>
      <c r="T300">
        <v>43951</v>
      </c>
    </row>
    <row r="301" spans="2:20">
      <c r="B301">
        <v>296</v>
      </c>
      <c r="C301" t="s">
        <v>1110</v>
      </c>
      <c r="D301" t="s">
        <v>1110</v>
      </c>
      <c r="E301" t="s">
        <v>959</v>
      </c>
      <c r="F301">
        <v>32</v>
      </c>
      <c r="G301">
        <v>0.56000000000000005</v>
      </c>
      <c r="H301">
        <v>0.25</v>
      </c>
      <c r="I301" t="s">
        <v>110</v>
      </c>
      <c r="J301" s="143">
        <v>43943</v>
      </c>
      <c r="L301">
        <v>273</v>
      </c>
      <c r="M301" t="s">
        <v>346</v>
      </c>
      <c r="N301" t="s">
        <v>346</v>
      </c>
      <c r="O301" t="s">
        <v>959</v>
      </c>
      <c r="P301">
        <v>144</v>
      </c>
      <c r="Q301">
        <v>2.56</v>
      </c>
      <c r="R301">
        <v>1</v>
      </c>
      <c r="S301" t="s">
        <v>110</v>
      </c>
      <c r="T301">
        <v>43951</v>
      </c>
    </row>
    <row r="302" spans="2:20">
      <c r="B302">
        <v>298</v>
      </c>
      <c r="C302" t="s">
        <v>1110</v>
      </c>
      <c r="D302" t="s">
        <v>1110</v>
      </c>
      <c r="E302" t="s">
        <v>959</v>
      </c>
      <c r="F302">
        <v>99</v>
      </c>
      <c r="G302">
        <v>1.76</v>
      </c>
      <c r="H302">
        <v>0.5</v>
      </c>
      <c r="I302" t="s">
        <v>110</v>
      </c>
      <c r="J302" s="143">
        <v>43943</v>
      </c>
      <c r="L302">
        <v>274</v>
      </c>
      <c r="M302" t="s">
        <v>346</v>
      </c>
      <c r="N302" t="s">
        <v>346</v>
      </c>
      <c r="O302" t="s">
        <v>959</v>
      </c>
      <c r="P302">
        <v>59</v>
      </c>
      <c r="Q302">
        <v>1.04</v>
      </c>
      <c r="R302">
        <v>1</v>
      </c>
      <c r="S302" t="s">
        <v>110</v>
      </c>
      <c r="T302">
        <v>43951</v>
      </c>
    </row>
    <row r="303" spans="2:20">
      <c r="B303">
        <v>299</v>
      </c>
      <c r="C303" t="s">
        <v>18</v>
      </c>
      <c r="D303" t="s">
        <v>18</v>
      </c>
      <c r="E303" t="s">
        <v>959</v>
      </c>
      <c r="F303">
        <v>368</v>
      </c>
      <c r="G303">
        <v>6.54</v>
      </c>
      <c r="H303">
        <v>5</v>
      </c>
      <c r="I303" t="s">
        <v>110</v>
      </c>
      <c r="J303" s="143">
        <v>43943</v>
      </c>
      <c r="L303">
        <v>275</v>
      </c>
      <c r="M303" t="s">
        <v>346</v>
      </c>
      <c r="N303" t="s">
        <v>346</v>
      </c>
      <c r="O303" t="s">
        <v>959</v>
      </c>
      <c r="P303">
        <v>354</v>
      </c>
      <c r="Q303">
        <v>6.29</v>
      </c>
      <c r="R303">
        <v>2</v>
      </c>
      <c r="S303" t="s">
        <v>110</v>
      </c>
      <c r="T303">
        <v>43951</v>
      </c>
    </row>
    <row r="304" spans="2:20">
      <c r="B304">
        <v>93</v>
      </c>
      <c r="C304" t="s">
        <v>104</v>
      </c>
      <c r="D304" t="s">
        <v>104</v>
      </c>
      <c r="E304" t="s">
        <v>113</v>
      </c>
      <c r="F304">
        <v>300</v>
      </c>
      <c r="G304">
        <v>5.33</v>
      </c>
      <c r="H304">
        <v>4.5</v>
      </c>
      <c r="I304" t="s">
        <v>110</v>
      </c>
      <c r="J304" s="143">
        <v>43938</v>
      </c>
      <c r="L304">
        <v>276</v>
      </c>
      <c r="M304" t="s">
        <v>346</v>
      </c>
      <c r="N304" t="s">
        <v>346</v>
      </c>
      <c r="O304" t="s">
        <v>959</v>
      </c>
      <c r="P304">
        <v>186</v>
      </c>
      <c r="Q304">
        <v>3.3</v>
      </c>
      <c r="R304">
        <v>1</v>
      </c>
      <c r="S304" t="s">
        <v>110</v>
      </c>
      <c r="T304">
        <v>43951</v>
      </c>
    </row>
    <row r="305" spans="2:20">
      <c r="B305">
        <v>100</v>
      </c>
      <c r="C305" t="s">
        <v>118</v>
      </c>
      <c r="D305" t="s">
        <v>118</v>
      </c>
      <c r="E305" t="s">
        <v>113</v>
      </c>
      <c r="F305">
        <v>34</v>
      </c>
      <c r="G305">
        <v>0.6</v>
      </c>
      <c r="H305">
        <v>2</v>
      </c>
      <c r="I305" t="s">
        <v>110</v>
      </c>
      <c r="J305" s="143">
        <v>43941</v>
      </c>
      <c r="L305">
        <v>277</v>
      </c>
      <c r="M305" t="s">
        <v>346</v>
      </c>
      <c r="N305" t="s">
        <v>346</v>
      </c>
      <c r="O305" t="s">
        <v>959</v>
      </c>
      <c r="P305">
        <v>159</v>
      </c>
      <c r="Q305">
        <v>2.82</v>
      </c>
      <c r="R305">
        <v>1</v>
      </c>
      <c r="S305" t="s">
        <v>110</v>
      </c>
      <c r="T305">
        <v>43951</v>
      </c>
    </row>
    <row r="306" spans="2:20">
      <c r="B306">
        <v>102</v>
      </c>
      <c r="C306" t="s">
        <v>118</v>
      </c>
      <c r="D306" t="s">
        <v>118</v>
      </c>
      <c r="E306" t="s">
        <v>113</v>
      </c>
      <c r="F306">
        <v>34</v>
      </c>
      <c r="G306">
        <v>0.6</v>
      </c>
      <c r="H306">
        <v>2</v>
      </c>
      <c r="I306" t="s">
        <v>110</v>
      </c>
      <c r="J306" s="143">
        <v>43941</v>
      </c>
      <c r="L306">
        <v>278</v>
      </c>
      <c r="M306" t="s">
        <v>346</v>
      </c>
      <c r="N306" t="s">
        <v>346</v>
      </c>
      <c r="O306" t="s">
        <v>959</v>
      </c>
      <c r="P306">
        <v>199</v>
      </c>
      <c r="Q306">
        <v>3.53</v>
      </c>
      <c r="R306">
        <v>1</v>
      </c>
      <c r="S306" t="s">
        <v>110</v>
      </c>
      <c r="T306">
        <v>43951</v>
      </c>
    </row>
    <row r="307" spans="2:20">
      <c r="B307">
        <v>128</v>
      </c>
      <c r="C307" t="s">
        <v>176</v>
      </c>
      <c r="D307" t="s">
        <v>176</v>
      </c>
      <c r="E307" t="s">
        <v>113</v>
      </c>
      <c r="F307">
        <v>715</v>
      </c>
      <c r="G307">
        <v>12.71</v>
      </c>
      <c r="H307">
        <v>2</v>
      </c>
      <c r="I307" t="s">
        <v>110</v>
      </c>
      <c r="J307" s="143">
        <v>43945</v>
      </c>
      <c r="L307">
        <v>279</v>
      </c>
      <c r="M307" t="s">
        <v>346</v>
      </c>
      <c r="N307" t="s">
        <v>346</v>
      </c>
      <c r="O307" t="s">
        <v>959</v>
      </c>
      <c r="P307">
        <v>6</v>
      </c>
      <c r="Q307">
        <v>0.1</v>
      </c>
      <c r="R307">
        <v>0</v>
      </c>
      <c r="S307" t="s">
        <v>110</v>
      </c>
      <c r="T307">
        <v>43951</v>
      </c>
    </row>
    <row r="308" spans="2:20">
      <c r="B308">
        <v>129</v>
      </c>
      <c r="C308" t="s">
        <v>176</v>
      </c>
      <c r="D308" t="s">
        <v>176</v>
      </c>
      <c r="E308" t="s">
        <v>113</v>
      </c>
      <c r="F308">
        <v>137</v>
      </c>
      <c r="G308">
        <v>2.4300000000000002</v>
      </c>
      <c r="H308">
        <v>2</v>
      </c>
      <c r="I308" t="s">
        <v>110</v>
      </c>
      <c r="J308" s="143">
        <v>43945</v>
      </c>
      <c r="L308">
        <v>292</v>
      </c>
      <c r="M308" t="s">
        <v>1110</v>
      </c>
      <c r="N308" t="s">
        <v>1110</v>
      </c>
      <c r="O308" t="s">
        <v>959</v>
      </c>
      <c r="P308">
        <v>90</v>
      </c>
      <c r="Q308">
        <v>1.6</v>
      </c>
      <c r="R308">
        <v>2</v>
      </c>
      <c r="S308" t="s">
        <v>110</v>
      </c>
      <c r="T308">
        <v>43943</v>
      </c>
    </row>
    <row r="309" spans="2:20">
      <c r="B309">
        <v>130</v>
      </c>
      <c r="C309" t="s">
        <v>176</v>
      </c>
      <c r="D309" t="s">
        <v>176</v>
      </c>
      <c r="E309" t="s">
        <v>113</v>
      </c>
      <c r="F309">
        <v>132</v>
      </c>
      <c r="G309">
        <v>2.34</v>
      </c>
      <c r="H309">
        <v>1</v>
      </c>
      <c r="I309" t="s">
        <v>110</v>
      </c>
      <c r="J309" s="143">
        <v>43945</v>
      </c>
      <c r="L309">
        <v>293</v>
      </c>
      <c r="M309" t="s">
        <v>1110</v>
      </c>
      <c r="N309" t="s">
        <v>1110</v>
      </c>
      <c r="O309" t="s">
        <v>959</v>
      </c>
      <c r="P309">
        <v>212</v>
      </c>
      <c r="Q309">
        <v>3.76</v>
      </c>
      <c r="R309">
        <v>4</v>
      </c>
      <c r="S309" t="s">
        <v>110</v>
      </c>
      <c r="T309">
        <v>43943</v>
      </c>
    </row>
    <row r="310" spans="2:20">
      <c r="B310">
        <v>131</v>
      </c>
      <c r="C310" t="s">
        <v>176</v>
      </c>
      <c r="D310" t="s">
        <v>176</v>
      </c>
      <c r="E310" t="s">
        <v>113</v>
      </c>
      <c r="F310">
        <v>34</v>
      </c>
      <c r="G310">
        <v>0.6</v>
      </c>
      <c r="H310">
        <v>1</v>
      </c>
      <c r="I310" t="s">
        <v>110</v>
      </c>
      <c r="J310" s="143">
        <v>43945</v>
      </c>
      <c r="L310">
        <v>294</v>
      </c>
      <c r="M310" t="s">
        <v>1110</v>
      </c>
      <c r="N310" t="s">
        <v>1110</v>
      </c>
      <c r="O310" t="s">
        <v>959</v>
      </c>
      <c r="P310">
        <v>361</v>
      </c>
      <c r="Q310">
        <v>6.41</v>
      </c>
      <c r="R310">
        <v>3</v>
      </c>
      <c r="S310" t="s">
        <v>110</v>
      </c>
      <c r="T310">
        <v>43943</v>
      </c>
    </row>
    <row r="311" spans="2:20">
      <c r="B311">
        <v>132</v>
      </c>
      <c r="C311" t="s">
        <v>176</v>
      </c>
      <c r="D311" t="s">
        <v>176</v>
      </c>
      <c r="E311" t="s">
        <v>113</v>
      </c>
      <c r="F311">
        <v>33</v>
      </c>
      <c r="G311">
        <v>0.57999999999999996</v>
      </c>
      <c r="H311">
        <v>1</v>
      </c>
      <c r="I311" t="s">
        <v>110</v>
      </c>
      <c r="J311" s="143">
        <v>43945</v>
      </c>
      <c r="L311">
        <v>295</v>
      </c>
      <c r="M311" t="s">
        <v>1110</v>
      </c>
      <c r="N311" t="s">
        <v>1110</v>
      </c>
      <c r="O311" t="s">
        <v>959</v>
      </c>
      <c r="P311">
        <v>437</v>
      </c>
      <c r="Q311">
        <v>7.76</v>
      </c>
      <c r="R311">
        <v>4</v>
      </c>
      <c r="S311" t="s">
        <v>110</v>
      </c>
      <c r="T311">
        <v>43943</v>
      </c>
    </row>
    <row r="312" spans="2:20">
      <c r="B312">
        <v>133</v>
      </c>
      <c r="C312" t="s">
        <v>176</v>
      </c>
      <c r="D312" t="s">
        <v>176</v>
      </c>
      <c r="E312" t="s">
        <v>113</v>
      </c>
      <c r="F312">
        <v>78</v>
      </c>
      <c r="G312">
        <v>1.38</v>
      </c>
      <c r="H312">
        <v>1</v>
      </c>
      <c r="I312" t="s">
        <v>110</v>
      </c>
      <c r="J312" s="143">
        <v>43945</v>
      </c>
      <c r="L312">
        <v>296</v>
      </c>
      <c r="M312" t="s">
        <v>1110</v>
      </c>
      <c r="N312" t="s">
        <v>1110</v>
      </c>
      <c r="O312" t="s">
        <v>959</v>
      </c>
      <c r="P312">
        <v>32</v>
      </c>
      <c r="Q312">
        <v>0.56000000000000005</v>
      </c>
      <c r="R312">
        <v>0.25</v>
      </c>
      <c r="S312" t="s">
        <v>110</v>
      </c>
      <c r="T312">
        <v>43943</v>
      </c>
    </row>
    <row r="313" spans="2:20">
      <c r="B313">
        <v>134</v>
      </c>
      <c r="C313" t="s">
        <v>176</v>
      </c>
      <c r="D313" t="s">
        <v>176</v>
      </c>
      <c r="E313" t="s">
        <v>113</v>
      </c>
      <c r="F313">
        <v>65</v>
      </c>
      <c r="G313">
        <v>1.1499999999999999</v>
      </c>
      <c r="H313">
        <v>2</v>
      </c>
      <c r="I313" t="s">
        <v>110</v>
      </c>
      <c r="J313" s="143">
        <v>43945</v>
      </c>
      <c r="L313">
        <v>298</v>
      </c>
      <c r="M313" t="s">
        <v>1110</v>
      </c>
      <c r="N313" t="s">
        <v>1110</v>
      </c>
      <c r="O313" t="s">
        <v>959</v>
      </c>
      <c r="P313">
        <v>99</v>
      </c>
      <c r="Q313">
        <v>1.76</v>
      </c>
      <c r="R313">
        <v>0.5</v>
      </c>
      <c r="S313" t="s">
        <v>110</v>
      </c>
      <c r="T313">
        <v>43943</v>
      </c>
    </row>
    <row r="314" spans="2:20">
      <c r="B314">
        <v>135</v>
      </c>
      <c r="C314" t="s">
        <v>176</v>
      </c>
      <c r="D314" t="s">
        <v>176</v>
      </c>
      <c r="E314" t="s">
        <v>113</v>
      </c>
      <c r="F314">
        <v>109</v>
      </c>
      <c r="G314">
        <v>1.93</v>
      </c>
      <c r="H314">
        <v>2</v>
      </c>
      <c r="I314" t="s">
        <v>110</v>
      </c>
      <c r="J314" s="143">
        <v>43945</v>
      </c>
      <c r="L314">
        <v>299</v>
      </c>
      <c r="M314" t="s">
        <v>18</v>
      </c>
      <c r="N314" t="s">
        <v>18</v>
      </c>
      <c r="O314" t="s">
        <v>959</v>
      </c>
      <c r="P314">
        <v>368</v>
      </c>
      <c r="Q314">
        <v>6.54</v>
      </c>
      <c r="R314">
        <v>5</v>
      </c>
      <c r="S314" t="s">
        <v>110</v>
      </c>
      <c r="T314">
        <v>43943</v>
      </c>
    </row>
    <row r="315" spans="2:20">
      <c r="B315">
        <v>136</v>
      </c>
      <c r="C315" t="s">
        <v>176</v>
      </c>
      <c r="D315" t="s">
        <v>176</v>
      </c>
      <c r="E315" t="s">
        <v>113</v>
      </c>
      <c r="F315">
        <v>127</v>
      </c>
      <c r="G315">
        <v>2.25</v>
      </c>
      <c r="H315">
        <v>2</v>
      </c>
      <c r="I315" t="s">
        <v>110</v>
      </c>
      <c r="J315" s="143">
        <v>43945</v>
      </c>
      <c r="L315">
        <v>93</v>
      </c>
      <c r="M315" t="s">
        <v>104</v>
      </c>
      <c r="N315" t="s">
        <v>104</v>
      </c>
      <c r="O315" t="s">
        <v>113</v>
      </c>
      <c r="P315">
        <v>300</v>
      </c>
      <c r="Q315">
        <v>5.33</v>
      </c>
      <c r="R315">
        <v>4.5</v>
      </c>
      <c r="S315" t="s">
        <v>110</v>
      </c>
      <c r="T315">
        <v>43938</v>
      </c>
    </row>
    <row r="316" spans="2:20">
      <c r="B316">
        <v>137</v>
      </c>
      <c r="C316" t="s">
        <v>176</v>
      </c>
      <c r="D316" t="s">
        <v>176</v>
      </c>
      <c r="E316" t="s">
        <v>113</v>
      </c>
      <c r="F316">
        <v>50</v>
      </c>
      <c r="G316">
        <v>0.88</v>
      </c>
      <c r="H316">
        <v>2</v>
      </c>
      <c r="I316" t="s">
        <v>110</v>
      </c>
      <c r="J316" s="143">
        <v>43945</v>
      </c>
      <c r="L316">
        <v>100</v>
      </c>
      <c r="M316" t="s">
        <v>118</v>
      </c>
      <c r="N316" t="s">
        <v>118</v>
      </c>
      <c r="O316" t="s">
        <v>113</v>
      </c>
      <c r="P316">
        <v>34</v>
      </c>
      <c r="Q316">
        <v>0.6</v>
      </c>
      <c r="R316">
        <v>2</v>
      </c>
      <c r="S316" t="s">
        <v>110</v>
      </c>
      <c r="T316">
        <v>43941</v>
      </c>
    </row>
    <row r="317" spans="2:20">
      <c r="B317">
        <v>138</v>
      </c>
      <c r="C317" t="s">
        <v>176</v>
      </c>
      <c r="D317" t="s">
        <v>176</v>
      </c>
      <c r="E317" t="s">
        <v>113</v>
      </c>
      <c r="F317">
        <v>426</v>
      </c>
      <c r="G317">
        <v>7.57</v>
      </c>
      <c r="H317">
        <v>4</v>
      </c>
      <c r="I317" t="s">
        <v>110</v>
      </c>
      <c r="J317" s="143">
        <v>43945</v>
      </c>
      <c r="L317">
        <v>102</v>
      </c>
      <c r="M317" t="s">
        <v>118</v>
      </c>
      <c r="N317" t="s">
        <v>118</v>
      </c>
      <c r="O317" t="s">
        <v>113</v>
      </c>
      <c r="P317">
        <v>34</v>
      </c>
      <c r="Q317">
        <v>0.6</v>
      </c>
      <c r="R317">
        <v>2</v>
      </c>
      <c r="S317" t="s">
        <v>110</v>
      </c>
      <c r="T317">
        <v>43941</v>
      </c>
    </row>
    <row r="318" spans="2:20">
      <c r="B318">
        <v>139</v>
      </c>
      <c r="C318" t="s">
        <v>176</v>
      </c>
      <c r="D318" t="s">
        <v>176</v>
      </c>
      <c r="E318" t="s">
        <v>113</v>
      </c>
      <c r="F318">
        <v>896</v>
      </c>
      <c r="G318">
        <v>15.92</v>
      </c>
      <c r="H318">
        <v>4</v>
      </c>
      <c r="I318" t="s">
        <v>110</v>
      </c>
      <c r="J318" s="143">
        <v>43945</v>
      </c>
      <c r="L318">
        <v>128</v>
      </c>
      <c r="M318" t="s">
        <v>176</v>
      </c>
      <c r="N318" t="s">
        <v>176</v>
      </c>
      <c r="O318" t="s">
        <v>113</v>
      </c>
      <c r="P318">
        <v>715</v>
      </c>
      <c r="Q318">
        <v>12.71</v>
      </c>
      <c r="R318">
        <v>2</v>
      </c>
      <c r="S318" t="s">
        <v>110</v>
      </c>
      <c r="T318">
        <v>43945</v>
      </c>
    </row>
    <row r="319" spans="2:20">
      <c r="B319">
        <v>178</v>
      </c>
      <c r="C319" t="s">
        <v>234</v>
      </c>
      <c r="D319" t="s">
        <v>234</v>
      </c>
      <c r="E319" t="s">
        <v>113</v>
      </c>
      <c r="F319">
        <v>52</v>
      </c>
      <c r="G319">
        <v>0.92</v>
      </c>
      <c r="H319">
        <v>1</v>
      </c>
      <c r="I319" t="s">
        <v>110</v>
      </c>
      <c r="J319" s="143">
        <v>43950</v>
      </c>
      <c r="L319">
        <v>129</v>
      </c>
      <c r="M319" t="s">
        <v>176</v>
      </c>
      <c r="N319" t="s">
        <v>176</v>
      </c>
      <c r="O319" t="s">
        <v>113</v>
      </c>
      <c r="P319">
        <v>137</v>
      </c>
      <c r="Q319">
        <v>2.4300000000000002</v>
      </c>
      <c r="R319">
        <v>2</v>
      </c>
      <c r="S319" t="s">
        <v>110</v>
      </c>
      <c r="T319">
        <v>43945</v>
      </c>
    </row>
    <row r="320" spans="2:20">
      <c r="B320">
        <v>179</v>
      </c>
      <c r="C320" t="s">
        <v>234</v>
      </c>
      <c r="D320" t="s">
        <v>234</v>
      </c>
      <c r="E320" t="s">
        <v>113</v>
      </c>
      <c r="F320">
        <v>40</v>
      </c>
      <c r="G320">
        <v>0.71</v>
      </c>
      <c r="H320">
        <v>1</v>
      </c>
      <c r="I320" t="s">
        <v>110</v>
      </c>
      <c r="J320" s="143">
        <v>43950</v>
      </c>
      <c r="L320">
        <v>130</v>
      </c>
      <c r="M320" t="s">
        <v>176</v>
      </c>
      <c r="N320" t="s">
        <v>176</v>
      </c>
      <c r="O320" t="s">
        <v>113</v>
      </c>
      <c r="P320">
        <v>132</v>
      </c>
      <c r="Q320">
        <v>2.34</v>
      </c>
      <c r="R320">
        <v>1</v>
      </c>
      <c r="S320" t="s">
        <v>110</v>
      </c>
      <c r="T320">
        <v>43945</v>
      </c>
    </row>
    <row r="321" spans="2:20">
      <c r="B321">
        <v>180</v>
      </c>
      <c r="C321" t="s">
        <v>234</v>
      </c>
      <c r="D321" t="s">
        <v>234</v>
      </c>
      <c r="E321" t="s">
        <v>113</v>
      </c>
      <c r="F321">
        <v>81</v>
      </c>
      <c r="G321">
        <v>1.44</v>
      </c>
      <c r="H321">
        <v>1</v>
      </c>
      <c r="I321" t="s">
        <v>110</v>
      </c>
      <c r="J321" s="143">
        <v>43950</v>
      </c>
      <c r="L321">
        <v>131</v>
      </c>
      <c r="M321" t="s">
        <v>176</v>
      </c>
      <c r="N321" t="s">
        <v>176</v>
      </c>
      <c r="O321" t="s">
        <v>113</v>
      </c>
      <c r="P321">
        <v>34</v>
      </c>
      <c r="Q321">
        <v>0.6</v>
      </c>
      <c r="R321">
        <v>1</v>
      </c>
      <c r="S321" t="s">
        <v>110</v>
      </c>
      <c r="T321">
        <v>43945</v>
      </c>
    </row>
    <row r="322" spans="2:20">
      <c r="B322">
        <v>181</v>
      </c>
      <c r="C322" t="s">
        <v>234</v>
      </c>
      <c r="D322" t="s">
        <v>234</v>
      </c>
      <c r="E322" t="s">
        <v>113</v>
      </c>
      <c r="F322">
        <v>18</v>
      </c>
      <c r="G322">
        <v>0.32</v>
      </c>
      <c r="H322">
        <v>1</v>
      </c>
      <c r="I322" t="s">
        <v>110</v>
      </c>
      <c r="J322" s="143">
        <v>43950</v>
      </c>
      <c r="L322">
        <v>132</v>
      </c>
      <c r="M322" t="s">
        <v>176</v>
      </c>
      <c r="N322" t="s">
        <v>176</v>
      </c>
      <c r="O322" t="s">
        <v>113</v>
      </c>
      <c r="P322">
        <v>33</v>
      </c>
      <c r="Q322">
        <v>0.57999999999999996</v>
      </c>
      <c r="R322">
        <v>1</v>
      </c>
      <c r="S322" t="s">
        <v>110</v>
      </c>
      <c r="T322">
        <v>43945</v>
      </c>
    </row>
    <row r="323" spans="2:20">
      <c r="B323">
        <v>182</v>
      </c>
      <c r="C323" t="s">
        <v>234</v>
      </c>
      <c r="D323" t="s">
        <v>234</v>
      </c>
      <c r="E323" t="s">
        <v>113</v>
      </c>
      <c r="F323">
        <v>101</v>
      </c>
      <c r="G323">
        <v>1.79</v>
      </c>
      <c r="H323">
        <v>1</v>
      </c>
      <c r="I323" t="s">
        <v>110</v>
      </c>
      <c r="J323" s="143">
        <v>43950</v>
      </c>
      <c r="L323">
        <v>133</v>
      </c>
      <c r="M323" t="s">
        <v>176</v>
      </c>
      <c r="N323" t="s">
        <v>176</v>
      </c>
      <c r="O323" t="s">
        <v>113</v>
      </c>
      <c r="P323">
        <v>78</v>
      </c>
      <c r="Q323">
        <v>1.38</v>
      </c>
      <c r="R323">
        <v>1</v>
      </c>
      <c r="S323" t="s">
        <v>110</v>
      </c>
      <c r="T323">
        <v>43945</v>
      </c>
    </row>
    <row r="324" spans="2:20">
      <c r="B324">
        <v>195</v>
      </c>
      <c r="C324" t="s">
        <v>234</v>
      </c>
      <c r="D324" t="s">
        <v>234</v>
      </c>
      <c r="E324" t="s">
        <v>113</v>
      </c>
      <c r="F324">
        <v>132</v>
      </c>
      <c r="G324">
        <v>2.34</v>
      </c>
      <c r="H324">
        <v>1</v>
      </c>
      <c r="I324" t="s">
        <v>110</v>
      </c>
      <c r="J324" s="143">
        <v>43950</v>
      </c>
      <c r="L324">
        <v>134</v>
      </c>
      <c r="M324" t="s">
        <v>176</v>
      </c>
      <c r="N324" t="s">
        <v>176</v>
      </c>
      <c r="O324" t="s">
        <v>113</v>
      </c>
      <c r="P324">
        <v>65</v>
      </c>
      <c r="Q324">
        <v>1.1499999999999999</v>
      </c>
      <c r="R324">
        <v>2</v>
      </c>
      <c r="S324" t="s">
        <v>110</v>
      </c>
      <c r="T324">
        <v>43945</v>
      </c>
    </row>
    <row r="325" spans="2:20">
      <c r="B325">
        <v>196</v>
      </c>
      <c r="C325" t="s">
        <v>234</v>
      </c>
      <c r="D325" t="s">
        <v>234</v>
      </c>
      <c r="E325" t="s">
        <v>113</v>
      </c>
      <c r="F325">
        <v>116</v>
      </c>
      <c r="G325">
        <v>2.06</v>
      </c>
      <c r="H325">
        <v>1</v>
      </c>
      <c r="I325" t="s">
        <v>110</v>
      </c>
      <c r="J325" s="143">
        <v>43950</v>
      </c>
      <c r="L325">
        <v>135</v>
      </c>
      <c r="M325" t="s">
        <v>176</v>
      </c>
      <c r="N325" t="s">
        <v>176</v>
      </c>
      <c r="O325" t="s">
        <v>113</v>
      </c>
      <c r="P325">
        <v>109</v>
      </c>
      <c r="Q325">
        <v>1.93</v>
      </c>
      <c r="R325">
        <v>2</v>
      </c>
      <c r="S325" t="s">
        <v>110</v>
      </c>
      <c r="T325">
        <v>43945</v>
      </c>
    </row>
    <row r="326" spans="2:20">
      <c r="B326">
        <v>197</v>
      </c>
      <c r="C326" t="s">
        <v>234</v>
      </c>
      <c r="D326" t="s">
        <v>234</v>
      </c>
      <c r="E326" t="s">
        <v>113</v>
      </c>
      <c r="F326">
        <v>134</v>
      </c>
      <c r="G326">
        <v>2.38</v>
      </c>
      <c r="H326">
        <v>1</v>
      </c>
      <c r="I326" t="s">
        <v>110</v>
      </c>
      <c r="J326" s="143">
        <v>43950</v>
      </c>
      <c r="L326">
        <v>136</v>
      </c>
      <c r="M326" t="s">
        <v>176</v>
      </c>
      <c r="N326" t="s">
        <v>176</v>
      </c>
      <c r="O326" t="s">
        <v>113</v>
      </c>
      <c r="P326">
        <v>127</v>
      </c>
      <c r="Q326">
        <v>2.25</v>
      </c>
      <c r="R326">
        <v>2</v>
      </c>
      <c r="S326" t="s">
        <v>110</v>
      </c>
      <c r="T326">
        <v>43945</v>
      </c>
    </row>
    <row r="327" spans="2:20">
      <c r="B327">
        <v>198</v>
      </c>
      <c r="C327" t="s">
        <v>234</v>
      </c>
      <c r="D327" t="s">
        <v>234</v>
      </c>
      <c r="E327" t="s">
        <v>113</v>
      </c>
      <c r="F327">
        <v>257</v>
      </c>
      <c r="G327">
        <v>4.5599999999999996</v>
      </c>
      <c r="H327">
        <v>1</v>
      </c>
      <c r="I327" t="s">
        <v>110</v>
      </c>
      <c r="J327" s="143">
        <v>43950</v>
      </c>
      <c r="L327">
        <v>137</v>
      </c>
      <c r="M327" t="s">
        <v>176</v>
      </c>
      <c r="N327" t="s">
        <v>176</v>
      </c>
      <c r="O327" t="s">
        <v>113</v>
      </c>
      <c r="P327">
        <v>50</v>
      </c>
      <c r="Q327">
        <v>0.88</v>
      </c>
      <c r="R327">
        <v>2</v>
      </c>
      <c r="S327" t="s">
        <v>110</v>
      </c>
      <c r="T327">
        <v>43945</v>
      </c>
    </row>
    <row r="328" spans="2:20">
      <c r="B328">
        <v>199</v>
      </c>
      <c r="C328" t="s">
        <v>234</v>
      </c>
      <c r="D328" t="s">
        <v>234</v>
      </c>
      <c r="E328" t="s">
        <v>113</v>
      </c>
      <c r="F328">
        <v>132</v>
      </c>
      <c r="G328">
        <v>2.34</v>
      </c>
      <c r="H328">
        <v>1</v>
      </c>
      <c r="I328" t="s">
        <v>110</v>
      </c>
      <c r="J328" s="143">
        <v>43950</v>
      </c>
      <c r="L328">
        <v>138</v>
      </c>
      <c r="M328" t="s">
        <v>176</v>
      </c>
      <c r="N328" t="s">
        <v>176</v>
      </c>
      <c r="O328" t="s">
        <v>113</v>
      </c>
      <c r="P328">
        <v>426</v>
      </c>
      <c r="Q328">
        <v>7.57</v>
      </c>
      <c r="R328">
        <v>4</v>
      </c>
      <c r="S328" t="s">
        <v>110</v>
      </c>
      <c r="T328">
        <v>43945</v>
      </c>
    </row>
    <row r="329" spans="2:20">
      <c r="B329">
        <v>205</v>
      </c>
      <c r="C329" t="s">
        <v>234</v>
      </c>
      <c r="D329" t="s">
        <v>234</v>
      </c>
      <c r="E329" t="s">
        <v>113</v>
      </c>
      <c r="F329">
        <v>169</v>
      </c>
      <c r="G329">
        <v>3</v>
      </c>
      <c r="H329">
        <v>1</v>
      </c>
      <c r="I329" t="s">
        <v>110</v>
      </c>
      <c r="J329" s="143">
        <v>43950</v>
      </c>
      <c r="L329">
        <v>139</v>
      </c>
      <c r="M329" t="s">
        <v>176</v>
      </c>
      <c r="N329" t="s">
        <v>176</v>
      </c>
      <c r="O329" t="s">
        <v>113</v>
      </c>
      <c r="P329">
        <v>896</v>
      </c>
      <c r="Q329">
        <v>15.92</v>
      </c>
      <c r="R329">
        <v>4</v>
      </c>
      <c r="S329" t="s">
        <v>110</v>
      </c>
      <c r="T329">
        <v>43945</v>
      </c>
    </row>
    <row r="330" spans="2:20">
      <c r="B330">
        <v>220</v>
      </c>
      <c r="C330" t="s">
        <v>234</v>
      </c>
      <c r="D330" t="s">
        <v>234</v>
      </c>
      <c r="E330" t="s">
        <v>113</v>
      </c>
      <c r="F330">
        <v>34</v>
      </c>
      <c r="G330">
        <v>0.6</v>
      </c>
      <c r="H330">
        <v>1</v>
      </c>
      <c r="I330" t="s">
        <v>110</v>
      </c>
      <c r="J330" s="143">
        <v>43950</v>
      </c>
      <c r="L330">
        <v>178</v>
      </c>
      <c r="M330" t="s">
        <v>234</v>
      </c>
      <c r="N330" t="s">
        <v>234</v>
      </c>
      <c r="O330" t="s">
        <v>113</v>
      </c>
      <c r="P330">
        <v>52</v>
      </c>
      <c r="Q330">
        <v>0.92</v>
      </c>
      <c r="R330">
        <v>1</v>
      </c>
      <c r="S330" t="s">
        <v>110</v>
      </c>
      <c r="T330">
        <v>43950</v>
      </c>
    </row>
    <row r="331" spans="2:20">
      <c r="B331">
        <v>228</v>
      </c>
      <c r="C331" t="s">
        <v>234</v>
      </c>
      <c r="D331" t="s">
        <v>234</v>
      </c>
      <c r="E331" t="s">
        <v>113</v>
      </c>
      <c r="F331">
        <v>82</v>
      </c>
      <c r="G331">
        <v>1.45</v>
      </c>
      <c r="H331">
        <v>1</v>
      </c>
      <c r="I331" t="s">
        <v>110</v>
      </c>
      <c r="J331" s="143">
        <v>43950</v>
      </c>
      <c r="L331">
        <v>179</v>
      </c>
      <c r="M331" t="s">
        <v>234</v>
      </c>
      <c r="N331" t="s">
        <v>234</v>
      </c>
      <c r="O331" t="s">
        <v>113</v>
      </c>
      <c r="P331">
        <v>40</v>
      </c>
      <c r="Q331">
        <v>0.71</v>
      </c>
      <c r="R331">
        <v>1</v>
      </c>
      <c r="S331" t="s">
        <v>110</v>
      </c>
      <c r="T331">
        <v>43950</v>
      </c>
    </row>
    <row r="332" spans="2:20">
      <c r="B332">
        <v>232</v>
      </c>
      <c r="C332" t="s">
        <v>234</v>
      </c>
      <c r="D332" t="s">
        <v>234</v>
      </c>
      <c r="E332" t="s">
        <v>113</v>
      </c>
      <c r="F332">
        <v>124</v>
      </c>
      <c r="G332">
        <v>2.2000000000000002</v>
      </c>
      <c r="H332">
        <v>1</v>
      </c>
      <c r="I332" t="s">
        <v>110</v>
      </c>
      <c r="J332" s="143">
        <v>43950</v>
      </c>
      <c r="L332">
        <v>180</v>
      </c>
      <c r="M332" t="s">
        <v>234</v>
      </c>
      <c r="N332" t="s">
        <v>234</v>
      </c>
      <c r="O332" t="s">
        <v>113</v>
      </c>
      <c r="P332">
        <v>81</v>
      </c>
      <c r="Q332">
        <v>1.44</v>
      </c>
      <c r="R332">
        <v>1</v>
      </c>
      <c r="S332" t="s">
        <v>110</v>
      </c>
      <c r="T332">
        <v>43950</v>
      </c>
    </row>
    <row r="333" spans="2:20">
      <c r="B333">
        <v>255</v>
      </c>
      <c r="C333" t="s">
        <v>312</v>
      </c>
      <c r="D333" t="s">
        <v>312</v>
      </c>
      <c r="E333" t="s">
        <v>113</v>
      </c>
      <c r="F333">
        <v>38</v>
      </c>
      <c r="G333">
        <v>2.33</v>
      </c>
      <c r="H333">
        <v>2</v>
      </c>
      <c r="I333" t="s">
        <v>110</v>
      </c>
      <c r="J333" s="143">
        <v>43938</v>
      </c>
      <c r="L333">
        <v>181</v>
      </c>
      <c r="M333" t="s">
        <v>234</v>
      </c>
      <c r="N333" t="s">
        <v>234</v>
      </c>
      <c r="O333" t="s">
        <v>113</v>
      </c>
      <c r="P333">
        <v>18</v>
      </c>
      <c r="Q333">
        <v>0.32</v>
      </c>
      <c r="R333">
        <v>1</v>
      </c>
      <c r="S333" t="s">
        <v>110</v>
      </c>
      <c r="T333">
        <v>43950</v>
      </c>
    </row>
    <row r="334" spans="2:20">
      <c r="B334">
        <v>256</v>
      </c>
      <c r="C334" t="s">
        <v>317</v>
      </c>
      <c r="D334" t="s">
        <v>317</v>
      </c>
      <c r="E334" t="s">
        <v>113</v>
      </c>
      <c r="F334">
        <v>277</v>
      </c>
      <c r="G334">
        <v>4.92</v>
      </c>
      <c r="H334">
        <v>3</v>
      </c>
      <c r="I334" t="s">
        <v>110</v>
      </c>
      <c r="J334" s="143">
        <v>43937</v>
      </c>
      <c r="L334">
        <v>182</v>
      </c>
      <c r="M334" t="s">
        <v>234</v>
      </c>
      <c r="N334" t="s">
        <v>234</v>
      </c>
      <c r="O334" t="s">
        <v>113</v>
      </c>
      <c r="P334">
        <v>101</v>
      </c>
      <c r="Q334">
        <v>1.79</v>
      </c>
      <c r="R334">
        <v>1</v>
      </c>
      <c r="S334" t="s">
        <v>110</v>
      </c>
      <c r="T334">
        <v>43950</v>
      </c>
    </row>
    <row r="335" spans="2:20">
      <c r="B335">
        <v>257</v>
      </c>
      <c r="C335" t="s">
        <v>317</v>
      </c>
      <c r="D335" t="s">
        <v>317</v>
      </c>
      <c r="E335" t="s">
        <v>113</v>
      </c>
      <c r="F335">
        <v>277</v>
      </c>
      <c r="G335">
        <v>4.92</v>
      </c>
      <c r="H335">
        <v>3</v>
      </c>
      <c r="I335" t="s">
        <v>110</v>
      </c>
      <c r="J335" s="143">
        <v>43937</v>
      </c>
      <c r="L335">
        <v>195</v>
      </c>
      <c r="M335" t="s">
        <v>234</v>
      </c>
      <c r="N335" t="s">
        <v>234</v>
      </c>
      <c r="O335" t="s">
        <v>113</v>
      </c>
      <c r="P335">
        <v>132</v>
      </c>
      <c r="Q335">
        <v>2.34</v>
      </c>
      <c r="R335">
        <v>1</v>
      </c>
      <c r="S335" t="s">
        <v>110</v>
      </c>
      <c r="T335">
        <v>43950</v>
      </c>
    </row>
    <row r="336" spans="2:20">
      <c r="B336">
        <v>264</v>
      </c>
      <c r="C336" t="s">
        <v>342</v>
      </c>
      <c r="D336" t="s">
        <v>342</v>
      </c>
      <c r="E336" t="s">
        <v>113</v>
      </c>
      <c r="F336">
        <v>30</v>
      </c>
      <c r="G336">
        <v>1.84</v>
      </c>
      <c r="H336">
        <v>2</v>
      </c>
      <c r="I336" t="s">
        <v>110</v>
      </c>
      <c r="J336" s="143">
        <v>43950</v>
      </c>
      <c r="L336">
        <v>196</v>
      </c>
      <c r="M336" t="s">
        <v>234</v>
      </c>
      <c r="N336" t="s">
        <v>234</v>
      </c>
      <c r="O336" t="s">
        <v>113</v>
      </c>
      <c r="P336">
        <v>116</v>
      </c>
      <c r="Q336">
        <v>2.06</v>
      </c>
      <c r="R336">
        <v>1</v>
      </c>
      <c r="S336" t="s">
        <v>110</v>
      </c>
      <c r="T336">
        <v>43950</v>
      </c>
    </row>
    <row r="337" spans="2:20">
      <c r="B337">
        <v>267</v>
      </c>
      <c r="C337" t="s">
        <v>352</v>
      </c>
      <c r="D337" t="s">
        <v>352</v>
      </c>
      <c r="E337" t="s">
        <v>113</v>
      </c>
      <c r="F337">
        <v>276</v>
      </c>
      <c r="G337">
        <v>4.9000000000000004</v>
      </c>
      <c r="H337">
        <v>1</v>
      </c>
      <c r="I337" t="s">
        <v>110</v>
      </c>
      <c r="J337" s="143">
        <v>43945</v>
      </c>
      <c r="L337">
        <v>197</v>
      </c>
      <c r="M337" t="s">
        <v>234</v>
      </c>
      <c r="N337" t="s">
        <v>234</v>
      </c>
      <c r="O337" t="s">
        <v>113</v>
      </c>
      <c r="P337">
        <v>134</v>
      </c>
      <c r="Q337">
        <v>2.38</v>
      </c>
      <c r="R337">
        <v>1</v>
      </c>
      <c r="S337" t="s">
        <v>110</v>
      </c>
      <c r="T337">
        <v>43950</v>
      </c>
    </row>
    <row r="338" spans="2:20">
      <c r="B338">
        <v>269</v>
      </c>
      <c r="C338" t="s">
        <v>353</v>
      </c>
      <c r="D338" t="s">
        <v>353</v>
      </c>
      <c r="E338" t="s">
        <v>113</v>
      </c>
      <c r="F338">
        <v>135</v>
      </c>
      <c r="G338">
        <v>2.4</v>
      </c>
      <c r="H338">
        <v>1</v>
      </c>
      <c r="I338" t="s">
        <v>110</v>
      </c>
      <c r="J338" s="143">
        <v>43945</v>
      </c>
      <c r="L338">
        <v>198</v>
      </c>
      <c r="M338" t="s">
        <v>234</v>
      </c>
      <c r="N338" t="s">
        <v>234</v>
      </c>
      <c r="O338" t="s">
        <v>113</v>
      </c>
      <c r="P338">
        <v>257</v>
      </c>
      <c r="Q338">
        <v>4.5599999999999996</v>
      </c>
      <c r="R338">
        <v>1</v>
      </c>
      <c r="S338" t="s">
        <v>110</v>
      </c>
      <c r="T338">
        <v>43950</v>
      </c>
    </row>
    <row r="339" spans="2:20">
      <c r="B339">
        <v>274</v>
      </c>
      <c r="C339" t="s">
        <v>356</v>
      </c>
      <c r="D339" t="s">
        <v>356</v>
      </c>
      <c r="E339" t="s">
        <v>113</v>
      </c>
      <c r="F339">
        <v>106</v>
      </c>
      <c r="G339">
        <v>1.88</v>
      </c>
      <c r="H339">
        <v>1</v>
      </c>
      <c r="I339" t="s">
        <v>110</v>
      </c>
      <c r="J339" s="143">
        <v>43945</v>
      </c>
      <c r="L339">
        <v>199</v>
      </c>
      <c r="M339" t="s">
        <v>234</v>
      </c>
      <c r="N339" t="s">
        <v>234</v>
      </c>
      <c r="O339" t="s">
        <v>113</v>
      </c>
      <c r="P339">
        <v>132</v>
      </c>
      <c r="Q339">
        <v>2.34</v>
      </c>
      <c r="R339">
        <v>1</v>
      </c>
      <c r="S339" t="s">
        <v>110</v>
      </c>
      <c r="T339">
        <v>43950</v>
      </c>
    </row>
    <row r="340" spans="2:20">
      <c r="B340">
        <v>275</v>
      </c>
      <c r="C340" t="s">
        <v>356</v>
      </c>
      <c r="D340" t="s">
        <v>356</v>
      </c>
      <c r="E340" t="s">
        <v>113</v>
      </c>
      <c r="F340">
        <v>53</v>
      </c>
      <c r="G340">
        <v>0.94</v>
      </c>
      <c r="H340">
        <v>1</v>
      </c>
      <c r="I340" t="s">
        <v>110</v>
      </c>
      <c r="J340" s="143">
        <v>43945</v>
      </c>
      <c r="L340">
        <v>205</v>
      </c>
      <c r="M340" t="s">
        <v>234</v>
      </c>
      <c r="N340" t="s">
        <v>234</v>
      </c>
      <c r="O340" t="s">
        <v>113</v>
      </c>
      <c r="P340">
        <v>169</v>
      </c>
      <c r="Q340">
        <v>3</v>
      </c>
      <c r="R340">
        <v>1</v>
      </c>
      <c r="S340" t="s">
        <v>110</v>
      </c>
      <c r="T340">
        <v>43950</v>
      </c>
    </row>
    <row r="341" spans="2:20">
      <c r="B341">
        <v>279</v>
      </c>
      <c r="C341" t="s">
        <v>371</v>
      </c>
      <c r="D341" t="s">
        <v>371</v>
      </c>
      <c r="E341" t="s">
        <v>113</v>
      </c>
      <c r="F341">
        <v>110</v>
      </c>
      <c r="G341">
        <v>6.76</v>
      </c>
      <c r="H341">
        <v>4</v>
      </c>
      <c r="I341" t="s">
        <v>550</v>
      </c>
      <c r="J341" s="143">
        <v>43949</v>
      </c>
      <c r="L341">
        <v>220</v>
      </c>
      <c r="M341" t="s">
        <v>234</v>
      </c>
      <c r="N341" t="s">
        <v>234</v>
      </c>
      <c r="O341" t="s">
        <v>113</v>
      </c>
      <c r="P341">
        <v>34</v>
      </c>
      <c r="Q341">
        <v>0.6</v>
      </c>
      <c r="R341">
        <v>1</v>
      </c>
      <c r="S341" t="s">
        <v>110</v>
      </c>
      <c r="T341">
        <v>43950</v>
      </c>
    </row>
    <row r="342" spans="2:20">
      <c r="B342">
        <v>21</v>
      </c>
      <c r="C342" t="s">
        <v>610</v>
      </c>
      <c r="D342" t="s">
        <v>610</v>
      </c>
      <c r="E342" t="s">
        <v>113</v>
      </c>
      <c r="F342">
        <v>84</v>
      </c>
      <c r="G342">
        <v>5.16</v>
      </c>
      <c r="H342">
        <v>4</v>
      </c>
      <c r="I342" t="s">
        <v>550</v>
      </c>
      <c r="J342" s="143">
        <v>43959</v>
      </c>
      <c r="L342">
        <v>228</v>
      </c>
      <c r="M342" t="s">
        <v>234</v>
      </c>
      <c r="N342" t="s">
        <v>234</v>
      </c>
      <c r="O342" t="s">
        <v>113</v>
      </c>
      <c r="P342">
        <v>82</v>
      </c>
      <c r="Q342">
        <v>1.45</v>
      </c>
      <c r="R342">
        <v>1</v>
      </c>
      <c r="S342" t="s">
        <v>110</v>
      </c>
      <c r="T342">
        <v>43950</v>
      </c>
    </row>
    <row r="343" spans="2:20">
      <c r="B343">
        <v>26</v>
      </c>
      <c r="C343" t="s">
        <v>621</v>
      </c>
      <c r="D343" t="s">
        <v>621</v>
      </c>
      <c r="E343" t="s">
        <v>113</v>
      </c>
      <c r="F343">
        <v>82</v>
      </c>
      <c r="G343">
        <v>5.04</v>
      </c>
      <c r="H343">
        <v>4</v>
      </c>
      <c r="I343" t="s">
        <v>550</v>
      </c>
      <c r="J343" s="143">
        <v>43959</v>
      </c>
      <c r="L343">
        <v>232</v>
      </c>
      <c r="M343" t="s">
        <v>234</v>
      </c>
      <c r="N343" t="s">
        <v>234</v>
      </c>
      <c r="O343" t="s">
        <v>113</v>
      </c>
      <c r="P343">
        <v>124</v>
      </c>
      <c r="Q343">
        <v>2.2000000000000002</v>
      </c>
      <c r="R343">
        <v>1</v>
      </c>
      <c r="S343" t="s">
        <v>110</v>
      </c>
      <c r="T343">
        <v>43950</v>
      </c>
    </row>
    <row r="344" spans="2:20">
      <c r="B344">
        <v>28</v>
      </c>
      <c r="C344" t="s">
        <v>634</v>
      </c>
      <c r="D344" t="s">
        <v>634</v>
      </c>
      <c r="E344" t="s">
        <v>113</v>
      </c>
      <c r="F344">
        <v>92</v>
      </c>
      <c r="G344">
        <v>1.63</v>
      </c>
      <c r="H344">
        <v>1</v>
      </c>
      <c r="I344" t="s">
        <v>505</v>
      </c>
      <c r="J344" s="143">
        <v>43966</v>
      </c>
      <c r="L344">
        <v>255</v>
      </c>
      <c r="M344" t="s">
        <v>312</v>
      </c>
      <c r="N344" t="s">
        <v>312</v>
      </c>
      <c r="O344" t="s">
        <v>113</v>
      </c>
      <c r="P344">
        <v>38</v>
      </c>
      <c r="Q344">
        <v>2.33</v>
      </c>
      <c r="R344">
        <v>2</v>
      </c>
      <c r="S344" t="s">
        <v>110</v>
      </c>
      <c r="T344">
        <v>43938</v>
      </c>
    </row>
    <row r="345" spans="2:20">
      <c r="B345">
        <v>33</v>
      </c>
      <c r="C345" t="s">
        <v>634</v>
      </c>
      <c r="D345" t="s">
        <v>634</v>
      </c>
      <c r="E345" t="s">
        <v>113</v>
      </c>
      <c r="F345">
        <v>51</v>
      </c>
      <c r="G345">
        <v>0.9</v>
      </c>
      <c r="H345">
        <v>1</v>
      </c>
      <c r="I345" t="s">
        <v>505</v>
      </c>
      <c r="J345" s="143">
        <v>43966</v>
      </c>
      <c r="L345">
        <v>256</v>
      </c>
      <c r="M345" t="s">
        <v>317</v>
      </c>
      <c r="N345" t="s">
        <v>317</v>
      </c>
      <c r="O345" t="s">
        <v>113</v>
      </c>
      <c r="P345">
        <v>277</v>
      </c>
      <c r="Q345">
        <v>4.92</v>
      </c>
      <c r="R345">
        <v>3</v>
      </c>
      <c r="S345" t="s">
        <v>110</v>
      </c>
      <c r="T345">
        <v>43937</v>
      </c>
    </row>
    <row r="346" spans="2:20">
      <c r="B346">
        <v>40</v>
      </c>
      <c r="C346" t="s">
        <v>634</v>
      </c>
      <c r="D346" t="s">
        <v>634</v>
      </c>
      <c r="E346" t="s">
        <v>113</v>
      </c>
      <c r="F346">
        <v>351</v>
      </c>
      <c r="G346">
        <v>6.24</v>
      </c>
      <c r="H346">
        <v>6</v>
      </c>
      <c r="I346" t="s">
        <v>505</v>
      </c>
      <c r="J346" s="143">
        <v>43966</v>
      </c>
      <c r="L346">
        <v>257</v>
      </c>
      <c r="M346" t="s">
        <v>317</v>
      </c>
      <c r="N346" t="s">
        <v>317</v>
      </c>
      <c r="O346" t="s">
        <v>113</v>
      </c>
      <c r="P346">
        <v>277</v>
      </c>
      <c r="Q346">
        <v>4.92</v>
      </c>
      <c r="R346">
        <v>3</v>
      </c>
      <c r="S346" t="s">
        <v>110</v>
      </c>
      <c r="T346">
        <v>43937</v>
      </c>
    </row>
    <row r="347" spans="2:20">
      <c r="B347">
        <v>50</v>
      </c>
      <c r="C347" t="s">
        <v>634</v>
      </c>
      <c r="D347" t="s">
        <v>634</v>
      </c>
      <c r="E347" t="s">
        <v>113</v>
      </c>
      <c r="F347">
        <v>210</v>
      </c>
      <c r="G347">
        <v>3.73</v>
      </c>
      <c r="H347">
        <v>2</v>
      </c>
      <c r="I347" t="s">
        <v>505</v>
      </c>
      <c r="J347" s="143">
        <v>43966</v>
      </c>
      <c r="L347">
        <v>264</v>
      </c>
      <c r="M347" t="s">
        <v>342</v>
      </c>
      <c r="N347" t="s">
        <v>342</v>
      </c>
      <c r="O347" t="s">
        <v>113</v>
      </c>
      <c r="P347">
        <v>30</v>
      </c>
      <c r="Q347">
        <v>1.84</v>
      </c>
      <c r="R347">
        <v>2</v>
      </c>
      <c r="S347" t="s">
        <v>110</v>
      </c>
      <c r="T347">
        <v>43950</v>
      </c>
    </row>
    <row r="348" spans="2:20">
      <c r="B348">
        <v>51</v>
      </c>
      <c r="C348" t="s">
        <v>634</v>
      </c>
      <c r="D348" t="s">
        <v>634</v>
      </c>
      <c r="E348" t="s">
        <v>113</v>
      </c>
      <c r="F348">
        <v>182</v>
      </c>
      <c r="G348">
        <v>3.23</v>
      </c>
      <c r="H348">
        <v>4</v>
      </c>
      <c r="I348" t="s">
        <v>505</v>
      </c>
      <c r="J348" s="143">
        <v>43966</v>
      </c>
      <c r="L348">
        <v>267</v>
      </c>
      <c r="M348" t="s">
        <v>352</v>
      </c>
      <c r="N348" t="s">
        <v>352</v>
      </c>
      <c r="O348" t="s">
        <v>113</v>
      </c>
      <c r="P348">
        <v>276</v>
      </c>
      <c r="Q348">
        <v>4.9000000000000004</v>
      </c>
      <c r="R348">
        <v>1</v>
      </c>
      <c r="S348" t="s">
        <v>110</v>
      </c>
      <c r="T348">
        <v>43945</v>
      </c>
    </row>
    <row r="349" spans="2:20">
      <c r="B349">
        <v>52</v>
      </c>
      <c r="C349" t="s">
        <v>634</v>
      </c>
      <c r="D349" t="s">
        <v>634</v>
      </c>
      <c r="E349" t="s">
        <v>113</v>
      </c>
      <c r="F349">
        <v>92</v>
      </c>
      <c r="G349">
        <v>1.63</v>
      </c>
      <c r="H349">
        <v>2</v>
      </c>
      <c r="I349" t="s">
        <v>505</v>
      </c>
      <c r="J349" s="143">
        <v>43966</v>
      </c>
      <c r="L349">
        <v>269</v>
      </c>
      <c r="M349" t="s">
        <v>353</v>
      </c>
      <c r="N349" t="s">
        <v>353</v>
      </c>
      <c r="O349" t="s">
        <v>113</v>
      </c>
      <c r="P349">
        <v>135</v>
      </c>
      <c r="Q349">
        <v>2.4</v>
      </c>
      <c r="R349">
        <v>1</v>
      </c>
      <c r="S349" t="s">
        <v>110</v>
      </c>
      <c r="T349">
        <v>43945</v>
      </c>
    </row>
    <row r="350" spans="2:20">
      <c r="B350">
        <v>54</v>
      </c>
      <c r="C350" t="s">
        <v>634</v>
      </c>
      <c r="D350" t="s">
        <v>634</v>
      </c>
      <c r="E350" t="s">
        <v>113</v>
      </c>
      <c r="F350">
        <v>93</v>
      </c>
      <c r="G350">
        <v>1.65</v>
      </c>
      <c r="H350">
        <v>1</v>
      </c>
      <c r="I350" t="s">
        <v>505</v>
      </c>
      <c r="J350" s="143">
        <v>43966</v>
      </c>
      <c r="L350">
        <v>274</v>
      </c>
      <c r="M350" t="s">
        <v>356</v>
      </c>
      <c r="N350" t="s">
        <v>356</v>
      </c>
      <c r="O350" t="s">
        <v>113</v>
      </c>
      <c r="P350">
        <v>106</v>
      </c>
      <c r="Q350">
        <v>1.88</v>
      </c>
      <c r="R350">
        <v>1</v>
      </c>
      <c r="S350" t="s">
        <v>110</v>
      </c>
      <c r="T350">
        <v>43945</v>
      </c>
    </row>
    <row r="351" spans="2:20">
      <c r="B351">
        <v>57</v>
      </c>
      <c r="C351" t="s">
        <v>634</v>
      </c>
      <c r="D351" t="s">
        <v>634</v>
      </c>
      <c r="E351" t="s">
        <v>113</v>
      </c>
      <c r="F351">
        <v>104</v>
      </c>
      <c r="G351">
        <v>1.84</v>
      </c>
      <c r="H351">
        <v>1</v>
      </c>
      <c r="I351" t="s">
        <v>505</v>
      </c>
      <c r="J351" s="143">
        <v>43966</v>
      </c>
      <c r="L351">
        <v>275</v>
      </c>
      <c r="M351" t="s">
        <v>356</v>
      </c>
      <c r="N351" t="s">
        <v>356</v>
      </c>
      <c r="O351" t="s">
        <v>113</v>
      </c>
      <c r="P351">
        <v>53</v>
      </c>
      <c r="Q351">
        <v>0.94</v>
      </c>
      <c r="R351">
        <v>1</v>
      </c>
      <c r="S351" t="s">
        <v>110</v>
      </c>
      <c r="T351">
        <v>43945</v>
      </c>
    </row>
    <row r="352" spans="2:20">
      <c r="B352">
        <v>58</v>
      </c>
      <c r="C352" t="s">
        <v>634</v>
      </c>
      <c r="D352" t="s">
        <v>634</v>
      </c>
      <c r="E352" t="s">
        <v>113</v>
      </c>
      <c r="F352">
        <v>138</v>
      </c>
      <c r="G352">
        <v>2.4500000000000002</v>
      </c>
      <c r="H352">
        <v>1</v>
      </c>
      <c r="I352" t="s">
        <v>505</v>
      </c>
      <c r="J352" s="143">
        <v>43966</v>
      </c>
      <c r="L352">
        <v>279</v>
      </c>
      <c r="M352" t="s">
        <v>371</v>
      </c>
      <c r="N352" t="s">
        <v>371</v>
      </c>
      <c r="O352" t="s">
        <v>113</v>
      </c>
      <c r="P352">
        <v>110</v>
      </c>
      <c r="Q352">
        <v>6.76</v>
      </c>
      <c r="R352">
        <v>4</v>
      </c>
      <c r="S352" t="s">
        <v>550</v>
      </c>
      <c r="T352">
        <v>43949</v>
      </c>
    </row>
    <row r="353" spans="2:20">
      <c r="B353">
        <v>59</v>
      </c>
      <c r="C353" t="s">
        <v>634</v>
      </c>
      <c r="D353" t="s">
        <v>634</v>
      </c>
      <c r="E353" t="s">
        <v>113</v>
      </c>
      <c r="F353">
        <v>135</v>
      </c>
      <c r="G353">
        <v>2.4</v>
      </c>
      <c r="H353">
        <v>1</v>
      </c>
      <c r="I353" t="s">
        <v>505</v>
      </c>
      <c r="J353" s="143">
        <v>43966</v>
      </c>
      <c r="L353">
        <v>21</v>
      </c>
      <c r="M353" t="s">
        <v>610</v>
      </c>
      <c r="N353" t="s">
        <v>610</v>
      </c>
      <c r="O353" t="s">
        <v>113</v>
      </c>
      <c r="P353">
        <v>84</v>
      </c>
      <c r="Q353">
        <v>5.16</v>
      </c>
      <c r="R353">
        <v>4</v>
      </c>
      <c r="S353" t="s">
        <v>550</v>
      </c>
      <c r="T353">
        <v>43959</v>
      </c>
    </row>
    <row r="354" spans="2:20">
      <c r="B354">
        <v>60</v>
      </c>
      <c r="C354" t="s">
        <v>634</v>
      </c>
      <c r="D354" t="s">
        <v>634</v>
      </c>
      <c r="E354" t="s">
        <v>113</v>
      </c>
      <c r="F354">
        <v>90</v>
      </c>
      <c r="G354">
        <v>1.6</v>
      </c>
      <c r="H354">
        <v>1</v>
      </c>
      <c r="I354" t="s">
        <v>505</v>
      </c>
      <c r="J354" s="143">
        <v>43966</v>
      </c>
      <c r="L354">
        <v>26</v>
      </c>
      <c r="M354" t="s">
        <v>621</v>
      </c>
      <c r="N354" t="s">
        <v>621</v>
      </c>
      <c r="O354" t="s">
        <v>113</v>
      </c>
      <c r="P354">
        <v>82</v>
      </c>
      <c r="Q354">
        <v>5.04</v>
      </c>
      <c r="R354">
        <v>4</v>
      </c>
      <c r="S354" t="s">
        <v>550</v>
      </c>
      <c r="T354">
        <v>43959</v>
      </c>
    </row>
    <row r="355" spans="2:20">
      <c r="B355">
        <v>64</v>
      </c>
      <c r="C355" t="s">
        <v>634</v>
      </c>
      <c r="D355" t="s">
        <v>634</v>
      </c>
      <c r="E355" t="s">
        <v>113</v>
      </c>
      <c r="F355">
        <v>102</v>
      </c>
      <c r="G355">
        <v>1.81</v>
      </c>
      <c r="H355">
        <v>1</v>
      </c>
      <c r="I355" t="s">
        <v>505</v>
      </c>
      <c r="J355" s="143">
        <v>43966</v>
      </c>
      <c r="L355">
        <v>28</v>
      </c>
      <c r="M355" t="s">
        <v>634</v>
      </c>
      <c r="N355" t="s">
        <v>634</v>
      </c>
      <c r="O355" t="s">
        <v>113</v>
      </c>
      <c r="P355">
        <v>92</v>
      </c>
      <c r="Q355">
        <v>1.63</v>
      </c>
      <c r="R355">
        <v>1</v>
      </c>
      <c r="S355" t="s">
        <v>505</v>
      </c>
      <c r="T355">
        <v>43966</v>
      </c>
    </row>
    <row r="356" spans="2:20">
      <c r="B356">
        <v>94</v>
      </c>
      <c r="C356" t="s">
        <v>18</v>
      </c>
      <c r="D356" t="s">
        <v>18</v>
      </c>
      <c r="E356" t="s">
        <v>113</v>
      </c>
      <c r="F356">
        <v>2042</v>
      </c>
      <c r="G356">
        <v>36.299999999999997</v>
      </c>
      <c r="H356">
        <v>16</v>
      </c>
      <c r="I356" t="s">
        <v>550</v>
      </c>
      <c r="J356" s="143">
        <v>43964</v>
      </c>
      <c r="L356">
        <v>33</v>
      </c>
      <c r="M356" t="s">
        <v>634</v>
      </c>
      <c r="N356" t="s">
        <v>634</v>
      </c>
      <c r="O356" t="s">
        <v>113</v>
      </c>
      <c r="P356">
        <v>51</v>
      </c>
      <c r="Q356">
        <v>0.9</v>
      </c>
      <c r="R356">
        <v>1</v>
      </c>
      <c r="S356" t="s">
        <v>505</v>
      </c>
      <c r="T356">
        <v>43966</v>
      </c>
    </row>
    <row r="357" spans="2:20">
      <c r="B357">
        <v>354</v>
      </c>
      <c r="C357" t="s">
        <v>1237</v>
      </c>
      <c r="D357" t="s">
        <v>1237</v>
      </c>
      <c r="E357" t="s">
        <v>113</v>
      </c>
      <c r="F357">
        <v>260</v>
      </c>
      <c r="G357">
        <v>4.62</v>
      </c>
      <c r="H357">
        <v>2</v>
      </c>
      <c r="I357" t="s">
        <v>110</v>
      </c>
      <c r="J357" s="143">
        <v>43950</v>
      </c>
      <c r="L357">
        <v>40</v>
      </c>
      <c r="M357" t="s">
        <v>634</v>
      </c>
      <c r="N357" t="s">
        <v>634</v>
      </c>
      <c r="O357" t="s">
        <v>113</v>
      </c>
      <c r="P357">
        <v>351</v>
      </c>
      <c r="Q357">
        <v>6.24</v>
      </c>
      <c r="R357">
        <v>6</v>
      </c>
      <c r="S357" t="s">
        <v>505</v>
      </c>
      <c r="T357">
        <v>43966</v>
      </c>
    </row>
    <row r="358" spans="2:20">
      <c r="B358">
        <v>355</v>
      </c>
      <c r="C358" t="s">
        <v>1237</v>
      </c>
      <c r="D358" t="s">
        <v>1237</v>
      </c>
      <c r="E358" t="s">
        <v>113</v>
      </c>
      <c r="F358">
        <v>330</v>
      </c>
      <c r="G358">
        <v>5.86</v>
      </c>
      <c r="H358">
        <v>1</v>
      </c>
      <c r="I358" t="s">
        <v>110</v>
      </c>
      <c r="J358" s="143">
        <v>43950</v>
      </c>
      <c r="L358">
        <v>50</v>
      </c>
      <c r="M358" t="s">
        <v>634</v>
      </c>
      <c r="N358" t="s">
        <v>634</v>
      </c>
      <c r="O358" t="s">
        <v>113</v>
      </c>
      <c r="P358">
        <v>210</v>
      </c>
      <c r="Q358">
        <v>3.73</v>
      </c>
      <c r="R358">
        <v>2</v>
      </c>
      <c r="S358" t="s">
        <v>505</v>
      </c>
      <c r="T358">
        <v>43966</v>
      </c>
    </row>
    <row r="359" spans="2:20">
      <c r="B359">
        <v>356</v>
      </c>
      <c r="C359" t="s">
        <v>18</v>
      </c>
      <c r="D359" t="s">
        <v>18</v>
      </c>
      <c r="E359" t="s">
        <v>113</v>
      </c>
      <c r="F359">
        <v>83</v>
      </c>
      <c r="G359">
        <v>1.47</v>
      </c>
      <c r="H359">
        <v>1</v>
      </c>
      <c r="I359" t="s">
        <v>110</v>
      </c>
      <c r="J359" s="143">
        <v>43950</v>
      </c>
      <c r="L359">
        <v>51</v>
      </c>
      <c r="M359" t="s">
        <v>634</v>
      </c>
      <c r="N359" t="s">
        <v>634</v>
      </c>
      <c r="O359" t="s">
        <v>113</v>
      </c>
      <c r="P359">
        <v>182</v>
      </c>
      <c r="Q359">
        <v>3.23</v>
      </c>
      <c r="R359">
        <v>4</v>
      </c>
      <c r="S359" t="s">
        <v>505</v>
      </c>
      <c r="T359">
        <v>43966</v>
      </c>
    </row>
    <row r="360" spans="2:20">
      <c r="B360">
        <v>357</v>
      </c>
      <c r="C360" t="s">
        <v>18</v>
      </c>
      <c r="D360" t="s">
        <v>18</v>
      </c>
      <c r="E360" t="s">
        <v>113</v>
      </c>
      <c r="F360">
        <v>80</v>
      </c>
      <c r="G360">
        <v>1.42</v>
      </c>
      <c r="H360">
        <v>1</v>
      </c>
      <c r="I360" t="s">
        <v>110</v>
      </c>
      <c r="J360" s="143">
        <v>43950</v>
      </c>
      <c r="L360">
        <v>52</v>
      </c>
      <c r="M360" t="s">
        <v>634</v>
      </c>
      <c r="N360" t="s">
        <v>634</v>
      </c>
      <c r="O360" t="s">
        <v>113</v>
      </c>
      <c r="P360">
        <v>92</v>
      </c>
      <c r="Q360">
        <v>1.63</v>
      </c>
      <c r="R360">
        <v>2</v>
      </c>
      <c r="S360" t="s">
        <v>505</v>
      </c>
      <c r="T360">
        <v>43966</v>
      </c>
    </row>
    <row r="361" spans="2:20">
      <c r="B361">
        <v>358</v>
      </c>
      <c r="C361" t="s">
        <v>18</v>
      </c>
      <c r="D361" t="s">
        <v>18</v>
      </c>
      <c r="E361" t="s">
        <v>113</v>
      </c>
      <c r="F361">
        <v>59</v>
      </c>
      <c r="G361">
        <v>1.04</v>
      </c>
      <c r="H361">
        <v>1</v>
      </c>
      <c r="I361" t="s">
        <v>110</v>
      </c>
      <c r="J361" s="143">
        <v>43950</v>
      </c>
      <c r="L361">
        <v>54</v>
      </c>
      <c r="M361" t="s">
        <v>634</v>
      </c>
      <c r="N361" t="s">
        <v>634</v>
      </c>
      <c r="O361" t="s">
        <v>113</v>
      </c>
      <c r="P361">
        <v>93</v>
      </c>
      <c r="Q361">
        <v>1.65</v>
      </c>
      <c r="R361">
        <v>1</v>
      </c>
      <c r="S361" t="s">
        <v>505</v>
      </c>
      <c r="T361">
        <v>43966</v>
      </c>
    </row>
    <row r="362" spans="2:20">
      <c r="B362">
        <v>359</v>
      </c>
      <c r="C362" t="s">
        <v>18</v>
      </c>
      <c r="D362" t="s">
        <v>18</v>
      </c>
      <c r="E362" t="s">
        <v>113</v>
      </c>
      <c r="F362">
        <v>84</v>
      </c>
      <c r="G362">
        <v>1.49</v>
      </c>
      <c r="H362">
        <v>1</v>
      </c>
      <c r="I362" t="s">
        <v>110</v>
      </c>
      <c r="J362" s="143">
        <v>43950</v>
      </c>
      <c r="L362">
        <v>57</v>
      </c>
      <c r="M362" t="s">
        <v>634</v>
      </c>
      <c r="N362" t="s">
        <v>634</v>
      </c>
      <c r="O362" t="s">
        <v>113</v>
      </c>
      <c r="P362">
        <v>104</v>
      </c>
      <c r="Q362">
        <v>1.84</v>
      </c>
      <c r="R362">
        <v>1</v>
      </c>
      <c r="S362" t="s">
        <v>505</v>
      </c>
      <c r="T362">
        <v>43966</v>
      </c>
    </row>
    <row r="363" spans="2:20">
      <c r="B363">
        <v>360</v>
      </c>
      <c r="C363" t="s">
        <v>1250</v>
      </c>
      <c r="D363" t="s">
        <v>1250</v>
      </c>
      <c r="E363" t="s">
        <v>113</v>
      </c>
      <c r="F363">
        <v>188</v>
      </c>
      <c r="G363">
        <v>3.34</v>
      </c>
      <c r="H363">
        <v>0.5</v>
      </c>
      <c r="I363" t="s">
        <v>110</v>
      </c>
      <c r="J363" s="143">
        <v>43950</v>
      </c>
      <c r="L363">
        <v>58</v>
      </c>
      <c r="M363" t="s">
        <v>634</v>
      </c>
      <c r="N363" t="s">
        <v>634</v>
      </c>
      <c r="O363" t="s">
        <v>113</v>
      </c>
      <c r="P363">
        <v>138</v>
      </c>
      <c r="Q363">
        <v>2.4500000000000002</v>
      </c>
      <c r="R363">
        <v>1</v>
      </c>
      <c r="S363" t="s">
        <v>505</v>
      </c>
      <c r="T363">
        <v>43966</v>
      </c>
    </row>
    <row r="364" spans="2:20">
      <c r="B364">
        <v>361</v>
      </c>
      <c r="C364" t="s">
        <v>1250</v>
      </c>
      <c r="D364" t="s">
        <v>1250</v>
      </c>
      <c r="E364" t="s">
        <v>113</v>
      </c>
      <c r="F364">
        <v>1141</v>
      </c>
      <c r="G364">
        <v>20.28</v>
      </c>
      <c r="H364">
        <v>3</v>
      </c>
      <c r="I364" t="s">
        <v>110</v>
      </c>
      <c r="J364" s="143">
        <v>43950</v>
      </c>
      <c r="L364">
        <v>59</v>
      </c>
      <c r="M364" t="s">
        <v>634</v>
      </c>
      <c r="N364" t="s">
        <v>634</v>
      </c>
      <c r="O364" t="s">
        <v>113</v>
      </c>
      <c r="P364">
        <v>135</v>
      </c>
      <c r="Q364">
        <v>2.4</v>
      </c>
      <c r="R364">
        <v>1</v>
      </c>
      <c r="S364" t="s">
        <v>505</v>
      </c>
      <c r="T364">
        <v>43966</v>
      </c>
    </row>
    <row r="365" spans="2:20">
      <c r="B365">
        <v>362</v>
      </c>
      <c r="C365" t="s">
        <v>342</v>
      </c>
      <c r="D365" t="s">
        <v>342</v>
      </c>
      <c r="E365" t="s">
        <v>113</v>
      </c>
      <c r="F365">
        <v>574</v>
      </c>
      <c r="G365">
        <v>10.199999999999999</v>
      </c>
      <c r="H365">
        <v>8</v>
      </c>
      <c r="I365" t="s">
        <v>110</v>
      </c>
      <c r="J365" s="143">
        <v>43950</v>
      </c>
      <c r="L365">
        <v>60</v>
      </c>
      <c r="M365" t="s">
        <v>634</v>
      </c>
      <c r="N365" t="s">
        <v>634</v>
      </c>
      <c r="O365" t="s">
        <v>113</v>
      </c>
      <c r="P365">
        <v>90</v>
      </c>
      <c r="Q365">
        <v>1.6</v>
      </c>
      <c r="R365">
        <v>1</v>
      </c>
      <c r="S365" t="s">
        <v>505</v>
      </c>
      <c r="T365">
        <v>43966</v>
      </c>
    </row>
    <row r="366" spans="2:20">
      <c r="B366">
        <v>363</v>
      </c>
      <c r="C366" t="s">
        <v>342</v>
      </c>
      <c r="D366" t="s">
        <v>342</v>
      </c>
      <c r="E366" t="s">
        <v>113</v>
      </c>
      <c r="F366">
        <v>33</v>
      </c>
      <c r="G366">
        <v>0.57999999999999996</v>
      </c>
      <c r="H366">
        <v>1</v>
      </c>
      <c r="I366" t="s">
        <v>110</v>
      </c>
      <c r="J366" s="143">
        <v>43950</v>
      </c>
      <c r="L366">
        <v>64</v>
      </c>
      <c r="M366" t="s">
        <v>634</v>
      </c>
      <c r="N366" t="s">
        <v>634</v>
      </c>
      <c r="O366" t="s">
        <v>113</v>
      </c>
      <c r="P366">
        <v>102</v>
      </c>
      <c r="Q366">
        <v>1.81</v>
      </c>
      <c r="R366">
        <v>1</v>
      </c>
      <c r="S366" t="s">
        <v>505</v>
      </c>
      <c r="T366">
        <v>43966</v>
      </c>
    </row>
    <row r="367" spans="2:20">
      <c r="B367">
        <v>364</v>
      </c>
      <c r="C367" t="s">
        <v>342</v>
      </c>
      <c r="D367" t="s">
        <v>342</v>
      </c>
      <c r="E367" t="s">
        <v>113</v>
      </c>
      <c r="F367">
        <v>69</v>
      </c>
      <c r="G367">
        <v>1.22</v>
      </c>
      <c r="H367">
        <v>1</v>
      </c>
      <c r="I367" t="s">
        <v>110</v>
      </c>
      <c r="J367" s="143">
        <v>43950</v>
      </c>
      <c r="L367">
        <v>94</v>
      </c>
      <c r="M367" t="s">
        <v>18</v>
      </c>
      <c r="N367" t="s">
        <v>18</v>
      </c>
      <c r="O367" t="s">
        <v>113</v>
      </c>
      <c r="P367">
        <v>2042</v>
      </c>
      <c r="Q367">
        <v>36.299999999999997</v>
      </c>
      <c r="R367">
        <v>16</v>
      </c>
      <c r="S367" t="s">
        <v>550</v>
      </c>
      <c r="T367">
        <v>43964</v>
      </c>
    </row>
    <row r="368" spans="2:20">
      <c r="B368">
        <v>365</v>
      </c>
      <c r="C368" t="s">
        <v>1264</v>
      </c>
      <c r="D368" t="s">
        <v>1264</v>
      </c>
      <c r="E368" t="s">
        <v>113</v>
      </c>
      <c r="F368">
        <v>386</v>
      </c>
      <c r="G368">
        <v>6.86</v>
      </c>
      <c r="H368">
        <v>3</v>
      </c>
      <c r="I368" t="s">
        <v>110</v>
      </c>
      <c r="J368" s="143">
        <v>43944</v>
      </c>
      <c r="L368">
        <v>354</v>
      </c>
      <c r="M368" t="s">
        <v>1237</v>
      </c>
      <c r="N368" t="s">
        <v>1237</v>
      </c>
      <c r="O368" t="s">
        <v>113</v>
      </c>
      <c r="P368">
        <v>260</v>
      </c>
      <c r="Q368">
        <v>4.62</v>
      </c>
      <c r="R368">
        <v>2</v>
      </c>
      <c r="S368" t="s">
        <v>110</v>
      </c>
      <c r="T368">
        <v>43950</v>
      </c>
    </row>
    <row r="369" spans="2:20">
      <c r="B369">
        <v>366</v>
      </c>
      <c r="C369" t="s">
        <v>1264</v>
      </c>
      <c r="D369" t="s">
        <v>1264</v>
      </c>
      <c r="E369" t="s">
        <v>113</v>
      </c>
      <c r="F369">
        <v>303</v>
      </c>
      <c r="G369">
        <v>5.38</v>
      </c>
      <c r="H369">
        <v>3</v>
      </c>
      <c r="I369" t="s">
        <v>110</v>
      </c>
      <c r="J369" s="143">
        <v>43944</v>
      </c>
      <c r="L369">
        <v>355</v>
      </c>
      <c r="M369" t="s">
        <v>1237</v>
      </c>
      <c r="N369" t="s">
        <v>1237</v>
      </c>
      <c r="O369" t="s">
        <v>113</v>
      </c>
      <c r="P369">
        <v>330</v>
      </c>
      <c r="Q369">
        <v>5.86</v>
      </c>
      <c r="R369">
        <v>1</v>
      </c>
      <c r="S369" t="s">
        <v>110</v>
      </c>
      <c r="T369">
        <v>43950</v>
      </c>
    </row>
    <row r="370" spans="2:20">
      <c r="B370">
        <v>367</v>
      </c>
      <c r="C370" t="s">
        <v>1264</v>
      </c>
      <c r="D370" t="s">
        <v>1264</v>
      </c>
      <c r="E370" t="s">
        <v>113</v>
      </c>
      <c r="F370">
        <v>57</v>
      </c>
      <c r="G370">
        <v>1.01</v>
      </c>
      <c r="H370">
        <v>0.5</v>
      </c>
      <c r="I370" t="s">
        <v>110</v>
      </c>
      <c r="J370" s="143">
        <v>43944</v>
      </c>
      <c r="L370">
        <v>356</v>
      </c>
      <c r="M370" t="s">
        <v>18</v>
      </c>
      <c r="N370" t="s">
        <v>18</v>
      </c>
      <c r="O370" t="s">
        <v>113</v>
      </c>
      <c r="P370">
        <v>83</v>
      </c>
      <c r="Q370">
        <v>1.47</v>
      </c>
      <c r="R370">
        <v>1</v>
      </c>
      <c r="S370" t="s">
        <v>110</v>
      </c>
      <c r="T370">
        <v>43950</v>
      </c>
    </row>
    <row r="371" spans="2:20">
      <c r="B371">
        <v>368</v>
      </c>
      <c r="C371" t="s">
        <v>1264</v>
      </c>
      <c r="D371" t="s">
        <v>1264</v>
      </c>
      <c r="E371" t="s">
        <v>113</v>
      </c>
      <c r="F371">
        <v>90</v>
      </c>
      <c r="G371">
        <v>1.6</v>
      </c>
      <c r="H371">
        <v>0.5</v>
      </c>
      <c r="I371" t="s">
        <v>110</v>
      </c>
      <c r="J371" s="143">
        <v>43944</v>
      </c>
      <c r="L371">
        <v>357</v>
      </c>
      <c r="M371" t="s">
        <v>18</v>
      </c>
      <c r="N371" t="s">
        <v>18</v>
      </c>
      <c r="O371" t="s">
        <v>113</v>
      </c>
      <c r="P371">
        <v>80</v>
      </c>
      <c r="Q371">
        <v>1.42</v>
      </c>
      <c r="R371">
        <v>1</v>
      </c>
      <c r="S371" t="s">
        <v>110</v>
      </c>
      <c r="T371">
        <v>43950</v>
      </c>
    </row>
    <row r="372" spans="2:20">
      <c r="B372">
        <v>369</v>
      </c>
      <c r="C372" t="s">
        <v>1264</v>
      </c>
      <c r="D372" t="s">
        <v>1264</v>
      </c>
      <c r="E372" t="s">
        <v>113</v>
      </c>
      <c r="F372">
        <v>115</v>
      </c>
      <c r="G372">
        <v>2.04</v>
      </c>
      <c r="H372">
        <v>0.5</v>
      </c>
      <c r="I372" t="s">
        <v>110</v>
      </c>
      <c r="J372" s="143">
        <v>43944</v>
      </c>
      <c r="L372">
        <v>358</v>
      </c>
      <c r="M372" t="s">
        <v>18</v>
      </c>
      <c r="N372" t="s">
        <v>18</v>
      </c>
      <c r="O372" t="s">
        <v>113</v>
      </c>
      <c r="P372">
        <v>59</v>
      </c>
      <c r="Q372">
        <v>1.04</v>
      </c>
      <c r="R372">
        <v>1</v>
      </c>
      <c r="S372" t="s">
        <v>110</v>
      </c>
      <c r="T372">
        <v>43950</v>
      </c>
    </row>
    <row r="373" spans="2:20">
      <c r="B373">
        <v>370</v>
      </c>
      <c r="C373" t="s">
        <v>1264</v>
      </c>
      <c r="D373" t="s">
        <v>1264</v>
      </c>
      <c r="E373" t="s">
        <v>113</v>
      </c>
      <c r="F373">
        <v>280</v>
      </c>
      <c r="G373">
        <v>4.97</v>
      </c>
      <c r="H373">
        <v>0.5</v>
      </c>
      <c r="I373" t="s">
        <v>110</v>
      </c>
      <c r="J373" s="143">
        <v>43944</v>
      </c>
      <c r="L373">
        <v>359</v>
      </c>
      <c r="M373" t="s">
        <v>18</v>
      </c>
      <c r="N373" t="s">
        <v>18</v>
      </c>
      <c r="O373" t="s">
        <v>113</v>
      </c>
      <c r="P373">
        <v>84</v>
      </c>
      <c r="Q373">
        <v>1.49</v>
      </c>
      <c r="R373">
        <v>1</v>
      </c>
      <c r="S373" t="s">
        <v>110</v>
      </c>
      <c r="T373">
        <v>43950</v>
      </c>
    </row>
    <row r="374" spans="2:20">
      <c r="B374">
        <v>371</v>
      </c>
      <c r="C374" t="s">
        <v>1264</v>
      </c>
      <c r="D374" t="s">
        <v>1264</v>
      </c>
      <c r="E374" t="s">
        <v>113</v>
      </c>
      <c r="F374">
        <v>99</v>
      </c>
      <c r="G374">
        <v>1.76</v>
      </c>
      <c r="H374">
        <v>0.5</v>
      </c>
      <c r="I374" t="s">
        <v>110</v>
      </c>
      <c r="J374" s="143">
        <v>43944</v>
      </c>
      <c r="L374">
        <v>360</v>
      </c>
      <c r="M374" t="s">
        <v>1250</v>
      </c>
      <c r="N374" t="s">
        <v>1250</v>
      </c>
      <c r="O374" t="s">
        <v>113</v>
      </c>
      <c r="P374">
        <v>188</v>
      </c>
      <c r="Q374">
        <v>3.34</v>
      </c>
      <c r="R374">
        <v>0.5</v>
      </c>
      <c r="S374" t="s">
        <v>110</v>
      </c>
      <c r="T374">
        <v>43950</v>
      </c>
    </row>
    <row r="375" spans="2:20">
      <c r="B375">
        <v>1</v>
      </c>
      <c r="C375" t="s">
        <v>556</v>
      </c>
      <c r="D375" t="s">
        <v>556</v>
      </c>
      <c r="E375" t="s">
        <v>77</v>
      </c>
      <c r="F375">
        <v>145</v>
      </c>
      <c r="G375">
        <v>2.57</v>
      </c>
      <c r="H375">
        <v>2</v>
      </c>
      <c r="I375" t="s">
        <v>550</v>
      </c>
      <c r="J375" s="143">
        <v>43956</v>
      </c>
      <c r="L375">
        <v>361</v>
      </c>
      <c r="M375" t="s">
        <v>1250</v>
      </c>
      <c r="N375" t="s">
        <v>1250</v>
      </c>
      <c r="O375" t="s">
        <v>113</v>
      </c>
      <c r="P375">
        <v>1141</v>
      </c>
      <c r="Q375">
        <v>20.28</v>
      </c>
      <c r="R375">
        <v>3</v>
      </c>
      <c r="S375" t="s">
        <v>110</v>
      </c>
      <c r="T375">
        <v>43950</v>
      </c>
    </row>
    <row r="376" spans="2:20">
      <c r="B376">
        <v>2</v>
      </c>
      <c r="C376" t="s">
        <v>556</v>
      </c>
      <c r="D376" t="s">
        <v>556</v>
      </c>
      <c r="E376" t="s">
        <v>77</v>
      </c>
      <c r="F376">
        <v>101</v>
      </c>
      <c r="G376">
        <v>1.79</v>
      </c>
      <c r="H376">
        <v>1</v>
      </c>
      <c r="I376" t="s">
        <v>550</v>
      </c>
      <c r="J376" s="143">
        <v>43956</v>
      </c>
      <c r="L376">
        <v>362</v>
      </c>
      <c r="M376" t="s">
        <v>342</v>
      </c>
      <c r="N376" t="s">
        <v>342</v>
      </c>
      <c r="O376" t="s">
        <v>113</v>
      </c>
      <c r="P376">
        <v>574</v>
      </c>
      <c r="Q376">
        <v>10.199999999999999</v>
      </c>
      <c r="R376">
        <v>8</v>
      </c>
      <c r="S376" t="s">
        <v>110</v>
      </c>
      <c r="T376">
        <v>43950</v>
      </c>
    </row>
    <row r="377" spans="2:20">
      <c r="B377">
        <v>3</v>
      </c>
      <c r="C377" t="s">
        <v>556</v>
      </c>
      <c r="D377" t="s">
        <v>556</v>
      </c>
      <c r="E377" t="s">
        <v>77</v>
      </c>
      <c r="F377">
        <v>154</v>
      </c>
      <c r="G377">
        <v>2.73</v>
      </c>
      <c r="H377">
        <v>2</v>
      </c>
      <c r="I377" t="s">
        <v>110</v>
      </c>
      <c r="J377" s="143">
        <v>43956</v>
      </c>
      <c r="L377">
        <v>363</v>
      </c>
      <c r="M377" t="s">
        <v>342</v>
      </c>
      <c r="N377" t="s">
        <v>342</v>
      </c>
      <c r="O377" t="s">
        <v>113</v>
      </c>
      <c r="P377">
        <v>33</v>
      </c>
      <c r="Q377">
        <v>0.57999999999999996</v>
      </c>
      <c r="R377">
        <v>1</v>
      </c>
      <c r="S377" t="s">
        <v>110</v>
      </c>
      <c r="T377">
        <v>43950</v>
      </c>
    </row>
    <row r="378" spans="2:20">
      <c r="B378">
        <v>4</v>
      </c>
      <c r="C378" t="s">
        <v>556</v>
      </c>
      <c r="D378" t="s">
        <v>556</v>
      </c>
      <c r="E378" t="s">
        <v>77</v>
      </c>
      <c r="F378">
        <v>120</v>
      </c>
      <c r="G378">
        <v>2.13</v>
      </c>
      <c r="H378">
        <v>2</v>
      </c>
      <c r="I378" t="s">
        <v>110</v>
      </c>
      <c r="J378" s="143">
        <v>43956</v>
      </c>
      <c r="L378">
        <v>364</v>
      </c>
      <c r="M378" t="s">
        <v>342</v>
      </c>
      <c r="N378" t="s">
        <v>342</v>
      </c>
      <c r="O378" t="s">
        <v>113</v>
      </c>
      <c r="P378">
        <v>69</v>
      </c>
      <c r="Q378">
        <v>1.22</v>
      </c>
      <c r="R378">
        <v>1</v>
      </c>
      <c r="S378" t="s">
        <v>110</v>
      </c>
      <c r="T378">
        <v>43950</v>
      </c>
    </row>
    <row r="379" spans="2:20">
      <c r="B379">
        <v>12</v>
      </c>
      <c r="C379" t="s">
        <v>592</v>
      </c>
      <c r="D379" t="s">
        <v>592</v>
      </c>
      <c r="E379" t="s">
        <v>77</v>
      </c>
      <c r="F379">
        <v>142</v>
      </c>
      <c r="G379">
        <v>2.52</v>
      </c>
      <c r="H379">
        <v>0.1</v>
      </c>
      <c r="I379" t="s">
        <v>550</v>
      </c>
      <c r="J379" s="143">
        <v>43956</v>
      </c>
      <c r="L379">
        <v>365</v>
      </c>
      <c r="M379" t="s">
        <v>1264</v>
      </c>
      <c r="N379" t="s">
        <v>1264</v>
      </c>
      <c r="O379" t="s">
        <v>113</v>
      </c>
      <c r="P379">
        <v>386</v>
      </c>
      <c r="Q379">
        <v>6.86</v>
      </c>
      <c r="R379">
        <v>3</v>
      </c>
      <c r="S379" t="s">
        <v>110</v>
      </c>
      <c r="T379">
        <v>43944</v>
      </c>
    </row>
    <row r="380" spans="2:20">
      <c r="B380">
        <v>13</v>
      </c>
      <c r="C380" t="s">
        <v>592</v>
      </c>
      <c r="D380" t="s">
        <v>592</v>
      </c>
      <c r="E380" t="s">
        <v>77</v>
      </c>
      <c r="F380">
        <v>35</v>
      </c>
      <c r="G380">
        <v>0.62</v>
      </c>
      <c r="H380">
        <v>0.15</v>
      </c>
      <c r="I380" t="s">
        <v>550</v>
      </c>
      <c r="J380" s="143">
        <v>43956</v>
      </c>
      <c r="L380">
        <v>366</v>
      </c>
      <c r="M380" t="s">
        <v>1264</v>
      </c>
      <c r="N380" t="s">
        <v>1264</v>
      </c>
      <c r="O380" t="s">
        <v>113</v>
      </c>
      <c r="P380">
        <v>303</v>
      </c>
      <c r="Q380">
        <v>5.38</v>
      </c>
      <c r="R380">
        <v>3</v>
      </c>
      <c r="S380" t="s">
        <v>110</v>
      </c>
      <c r="T380">
        <v>43944</v>
      </c>
    </row>
    <row r="381" spans="2:20">
      <c r="B381">
        <v>14</v>
      </c>
      <c r="C381" t="s">
        <v>592</v>
      </c>
      <c r="D381" t="s">
        <v>592</v>
      </c>
      <c r="E381" t="s">
        <v>77</v>
      </c>
      <c r="F381">
        <v>278</v>
      </c>
      <c r="G381">
        <v>4.9400000000000004</v>
      </c>
      <c r="H381">
        <v>1</v>
      </c>
      <c r="I381" t="s">
        <v>550</v>
      </c>
      <c r="J381" s="143">
        <v>43956</v>
      </c>
      <c r="L381">
        <v>367</v>
      </c>
      <c r="M381" t="s">
        <v>1264</v>
      </c>
      <c r="N381" t="s">
        <v>1264</v>
      </c>
      <c r="O381" t="s">
        <v>113</v>
      </c>
      <c r="P381">
        <v>57</v>
      </c>
      <c r="Q381">
        <v>1.01</v>
      </c>
      <c r="R381">
        <v>0.5</v>
      </c>
      <c r="S381" t="s">
        <v>110</v>
      </c>
      <c r="T381">
        <v>43944</v>
      </c>
    </row>
    <row r="382" spans="2:20">
      <c r="B382">
        <v>15</v>
      </c>
      <c r="C382" t="s">
        <v>21</v>
      </c>
      <c r="D382" t="s">
        <v>21</v>
      </c>
      <c r="E382" t="s">
        <v>77</v>
      </c>
      <c r="F382">
        <v>76</v>
      </c>
      <c r="G382">
        <v>1.35</v>
      </c>
      <c r="H382">
        <v>1</v>
      </c>
      <c r="I382" t="s">
        <v>550</v>
      </c>
      <c r="J382" s="143">
        <v>43956</v>
      </c>
      <c r="L382">
        <v>368</v>
      </c>
      <c r="M382" t="s">
        <v>1264</v>
      </c>
      <c r="N382" t="s">
        <v>1264</v>
      </c>
      <c r="O382" t="s">
        <v>113</v>
      </c>
      <c r="P382">
        <v>90</v>
      </c>
      <c r="Q382">
        <v>1.6</v>
      </c>
      <c r="R382">
        <v>0.5</v>
      </c>
      <c r="S382" t="s">
        <v>110</v>
      </c>
      <c r="T382">
        <v>43944</v>
      </c>
    </row>
    <row r="383" spans="2:20">
      <c r="B383">
        <v>16</v>
      </c>
      <c r="C383" t="s">
        <v>21</v>
      </c>
      <c r="D383" t="s">
        <v>21</v>
      </c>
      <c r="E383" t="s">
        <v>77</v>
      </c>
      <c r="F383">
        <v>61</v>
      </c>
      <c r="G383">
        <v>1.08</v>
      </c>
      <c r="H383">
        <v>0.5</v>
      </c>
      <c r="I383" t="s">
        <v>550</v>
      </c>
      <c r="J383" s="143">
        <v>43956</v>
      </c>
      <c r="L383">
        <v>369</v>
      </c>
      <c r="M383" t="s">
        <v>1264</v>
      </c>
      <c r="N383" t="s">
        <v>1264</v>
      </c>
      <c r="O383" t="s">
        <v>113</v>
      </c>
      <c r="P383">
        <v>115</v>
      </c>
      <c r="Q383">
        <v>2.04</v>
      </c>
      <c r="R383">
        <v>0.5</v>
      </c>
      <c r="S383" t="s">
        <v>110</v>
      </c>
      <c r="T383">
        <v>43944</v>
      </c>
    </row>
    <row r="384" spans="2:20">
      <c r="B384">
        <v>19</v>
      </c>
      <c r="C384" t="s">
        <v>18</v>
      </c>
      <c r="D384" t="s">
        <v>18</v>
      </c>
      <c r="E384" t="s">
        <v>77</v>
      </c>
      <c r="F384">
        <v>636</v>
      </c>
      <c r="G384">
        <v>11.3</v>
      </c>
      <c r="H384">
        <v>2</v>
      </c>
      <c r="I384" t="s">
        <v>550</v>
      </c>
      <c r="J384" s="143">
        <v>43957</v>
      </c>
      <c r="L384">
        <v>370</v>
      </c>
      <c r="M384" t="s">
        <v>1264</v>
      </c>
      <c r="N384" t="s">
        <v>1264</v>
      </c>
      <c r="O384" t="s">
        <v>113</v>
      </c>
      <c r="P384">
        <v>280</v>
      </c>
      <c r="Q384">
        <v>4.97</v>
      </c>
      <c r="R384">
        <v>0.5</v>
      </c>
      <c r="S384" t="s">
        <v>110</v>
      </c>
      <c r="T384">
        <v>43944</v>
      </c>
    </row>
    <row r="385" spans="2:20">
      <c r="B385">
        <v>20</v>
      </c>
      <c r="C385" t="s">
        <v>21</v>
      </c>
      <c r="D385" t="s">
        <v>21</v>
      </c>
      <c r="E385" t="s">
        <v>77</v>
      </c>
      <c r="F385">
        <v>163</v>
      </c>
      <c r="G385">
        <v>2.89</v>
      </c>
      <c r="H385">
        <v>2</v>
      </c>
      <c r="I385" t="s">
        <v>110</v>
      </c>
      <c r="J385" s="143">
        <v>43957</v>
      </c>
      <c r="L385">
        <v>371</v>
      </c>
      <c r="M385" t="s">
        <v>1264</v>
      </c>
      <c r="N385" t="s">
        <v>1264</v>
      </c>
      <c r="O385" t="s">
        <v>113</v>
      </c>
      <c r="P385">
        <v>99</v>
      </c>
      <c r="Q385">
        <v>1.76</v>
      </c>
      <c r="R385">
        <v>0.5</v>
      </c>
      <c r="S385" t="s">
        <v>110</v>
      </c>
      <c r="T385">
        <v>43944</v>
      </c>
    </row>
    <row r="386" spans="2:20">
      <c r="B386">
        <v>77</v>
      </c>
      <c r="C386" t="s">
        <v>723</v>
      </c>
      <c r="D386" t="s">
        <v>723</v>
      </c>
      <c r="E386" t="s">
        <v>77</v>
      </c>
      <c r="F386">
        <v>41</v>
      </c>
      <c r="G386">
        <v>0.72</v>
      </c>
      <c r="H386">
        <v>0.5</v>
      </c>
      <c r="I386" t="s">
        <v>550</v>
      </c>
      <c r="J386" s="143">
        <v>43959</v>
      </c>
      <c r="L386">
        <v>1</v>
      </c>
      <c r="M386" t="s">
        <v>556</v>
      </c>
      <c r="N386" t="s">
        <v>556</v>
      </c>
      <c r="O386" t="s">
        <v>77</v>
      </c>
      <c r="P386">
        <v>145</v>
      </c>
      <c r="Q386">
        <v>2.57</v>
      </c>
      <c r="R386">
        <v>2</v>
      </c>
      <c r="S386" t="s">
        <v>550</v>
      </c>
      <c r="T386">
        <v>43956</v>
      </c>
    </row>
    <row r="387" spans="2:20">
      <c r="B387">
        <v>78</v>
      </c>
      <c r="C387" t="s">
        <v>723</v>
      </c>
      <c r="D387" t="s">
        <v>723</v>
      </c>
      <c r="E387" t="s">
        <v>77</v>
      </c>
      <c r="F387">
        <v>122</v>
      </c>
      <c r="G387">
        <v>2.16</v>
      </c>
      <c r="H387">
        <v>0.5</v>
      </c>
      <c r="I387" t="s">
        <v>550</v>
      </c>
      <c r="J387" s="143">
        <v>43959</v>
      </c>
      <c r="L387">
        <v>2</v>
      </c>
      <c r="M387" t="s">
        <v>556</v>
      </c>
      <c r="N387" t="s">
        <v>556</v>
      </c>
      <c r="O387" t="s">
        <v>77</v>
      </c>
      <c r="P387">
        <v>101</v>
      </c>
      <c r="Q387">
        <v>1.79</v>
      </c>
      <c r="R387">
        <v>1</v>
      </c>
      <c r="S387" t="s">
        <v>550</v>
      </c>
      <c r="T387">
        <v>43956</v>
      </c>
    </row>
    <row r="388" spans="2:20">
      <c r="B388">
        <v>79</v>
      </c>
      <c r="C388" t="s">
        <v>723</v>
      </c>
      <c r="D388" t="s">
        <v>723</v>
      </c>
      <c r="E388" t="s">
        <v>77</v>
      </c>
      <c r="F388">
        <v>205</v>
      </c>
      <c r="G388">
        <v>3.64</v>
      </c>
      <c r="H388">
        <v>2</v>
      </c>
      <c r="I388" t="s">
        <v>550</v>
      </c>
      <c r="J388" s="143">
        <v>43959</v>
      </c>
      <c r="L388">
        <v>3</v>
      </c>
      <c r="M388" t="s">
        <v>556</v>
      </c>
      <c r="N388" t="s">
        <v>556</v>
      </c>
      <c r="O388" t="s">
        <v>77</v>
      </c>
      <c r="P388">
        <v>154</v>
      </c>
      <c r="Q388">
        <v>2.73</v>
      </c>
      <c r="R388">
        <v>2</v>
      </c>
      <c r="S388" t="s">
        <v>110</v>
      </c>
      <c r="T388">
        <v>43956</v>
      </c>
    </row>
    <row r="389" spans="2:20">
      <c r="B389">
        <v>80</v>
      </c>
      <c r="C389" t="s">
        <v>723</v>
      </c>
      <c r="D389" t="s">
        <v>723</v>
      </c>
      <c r="E389" t="s">
        <v>77</v>
      </c>
      <c r="F389">
        <v>124</v>
      </c>
      <c r="G389">
        <v>2.2000000000000002</v>
      </c>
      <c r="H389">
        <v>1</v>
      </c>
      <c r="I389" t="s">
        <v>550</v>
      </c>
      <c r="J389" s="143">
        <v>43959</v>
      </c>
      <c r="L389">
        <v>4</v>
      </c>
      <c r="M389" t="s">
        <v>556</v>
      </c>
      <c r="N389" t="s">
        <v>556</v>
      </c>
      <c r="O389" t="s">
        <v>77</v>
      </c>
      <c r="P389">
        <v>120</v>
      </c>
      <c r="Q389">
        <v>2.13</v>
      </c>
      <c r="R389">
        <v>2</v>
      </c>
      <c r="S389" t="s">
        <v>110</v>
      </c>
      <c r="T389">
        <v>43956</v>
      </c>
    </row>
    <row r="390" spans="2:20">
      <c r="B390">
        <v>96</v>
      </c>
      <c r="C390" t="s">
        <v>775</v>
      </c>
      <c r="D390" t="s">
        <v>775</v>
      </c>
      <c r="E390" t="s">
        <v>77</v>
      </c>
      <c r="F390">
        <v>20</v>
      </c>
      <c r="G390">
        <v>0.35</v>
      </c>
      <c r="H390">
        <v>0.12</v>
      </c>
      <c r="I390" t="s">
        <v>110</v>
      </c>
      <c r="J390" s="143">
        <v>43963</v>
      </c>
      <c r="L390">
        <v>12</v>
      </c>
      <c r="M390" t="s">
        <v>592</v>
      </c>
      <c r="N390" t="s">
        <v>592</v>
      </c>
      <c r="O390" t="s">
        <v>77</v>
      </c>
      <c r="P390">
        <v>142</v>
      </c>
      <c r="Q390">
        <v>2.52</v>
      </c>
      <c r="R390">
        <v>0.1</v>
      </c>
      <c r="S390" t="s">
        <v>550</v>
      </c>
      <c r="T390">
        <v>43956</v>
      </c>
    </row>
    <row r="391" spans="2:20">
      <c r="B391">
        <v>97</v>
      </c>
      <c r="C391" t="s">
        <v>775</v>
      </c>
      <c r="D391" t="s">
        <v>775</v>
      </c>
      <c r="E391" t="s">
        <v>77</v>
      </c>
      <c r="F391">
        <v>149</v>
      </c>
      <c r="G391">
        <v>2.64</v>
      </c>
      <c r="H391">
        <v>1</v>
      </c>
      <c r="I391" t="s">
        <v>110</v>
      </c>
      <c r="J391" s="143">
        <v>43963</v>
      </c>
      <c r="L391">
        <v>13</v>
      </c>
      <c r="M391" t="s">
        <v>592</v>
      </c>
      <c r="N391" t="s">
        <v>592</v>
      </c>
      <c r="O391" t="s">
        <v>77</v>
      </c>
      <c r="P391">
        <v>35</v>
      </c>
      <c r="Q391">
        <v>0.62</v>
      </c>
      <c r="R391">
        <v>0.15</v>
      </c>
      <c r="S391" t="s">
        <v>550</v>
      </c>
      <c r="T391">
        <v>43956</v>
      </c>
    </row>
    <row r="392" spans="2:20">
      <c r="B392">
        <v>98</v>
      </c>
      <c r="C392" t="s">
        <v>775</v>
      </c>
      <c r="D392" t="s">
        <v>775</v>
      </c>
      <c r="E392" t="s">
        <v>77</v>
      </c>
      <c r="F392">
        <v>173</v>
      </c>
      <c r="G392">
        <v>3.07</v>
      </c>
      <c r="H392">
        <v>1</v>
      </c>
      <c r="I392" t="s">
        <v>110</v>
      </c>
      <c r="J392" s="143">
        <v>43963</v>
      </c>
      <c r="L392">
        <v>14</v>
      </c>
      <c r="M392" t="s">
        <v>592</v>
      </c>
      <c r="N392" t="s">
        <v>592</v>
      </c>
      <c r="O392" t="s">
        <v>77</v>
      </c>
      <c r="P392">
        <v>278</v>
      </c>
      <c r="Q392">
        <v>4.9400000000000004</v>
      </c>
      <c r="R392">
        <v>1</v>
      </c>
      <c r="S392" t="s">
        <v>550</v>
      </c>
      <c r="T392">
        <v>43956</v>
      </c>
    </row>
    <row r="393" spans="2:20">
      <c r="B393">
        <v>99</v>
      </c>
      <c r="C393" t="s">
        <v>694</v>
      </c>
      <c r="D393" t="s">
        <v>694</v>
      </c>
      <c r="E393" t="s">
        <v>77</v>
      </c>
      <c r="F393">
        <v>132</v>
      </c>
      <c r="G393">
        <v>2.34</v>
      </c>
      <c r="H393">
        <v>2</v>
      </c>
      <c r="I393" t="s">
        <v>110</v>
      </c>
      <c r="J393" s="143">
        <v>43963</v>
      </c>
      <c r="L393">
        <v>15</v>
      </c>
      <c r="M393" t="s">
        <v>21</v>
      </c>
      <c r="N393" t="s">
        <v>21</v>
      </c>
      <c r="O393" t="s">
        <v>77</v>
      </c>
      <c r="P393">
        <v>76</v>
      </c>
      <c r="Q393">
        <v>1.35</v>
      </c>
      <c r="R393">
        <v>1</v>
      </c>
      <c r="S393" t="s">
        <v>550</v>
      </c>
      <c r="T393">
        <v>43956</v>
      </c>
    </row>
    <row r="394" spans="2:20">
      <c r="B394">
        <v>100</v>
      </c>
      <c r="C394" t="s">
        <v>694</v>
      </c>
      <c r="D394" t="s">
        <v>694</v>
      </c>
      <c r="E394" t="s">
        <v>77</v>
      </c>
      <c r="F394">
        <v>156</v>
      </c>
      <c r="G394">
        <v>2.77</v>
      </c>
      <c r="H394">
        <v>1.5</v>
      </c>
      <c r="I394" t="s">
        <v>110</v>
      </c>
      <c r="J394" s="143">
        <v>43963</v>
      </c>
      <c r="L394">
        <v>16</v>
      </c>
      <c r="M394" t="s">
        <v>21</v>
      </c>
      <c r="N394" t="s">
        <v>21</v>
      </c>
      <c r="O394" t="s">
        <v>77</v>
      </c>
      <c r="P394">
        <v>61</v>
      </c>
      <c r="Q394">
        <v>1.08</v>
      </c>
      <c r="R394">
        <v>0.5</v>
      </c>
      <c r="S394" t="s">
        <v>550</v>
      </c>
      <c r="T394">
        <v>43956</v>
      </c>
    </row>
    <row r="395" spans="2:20">
      <c r="B395">
        <v>122</v>
      </c>
      <c r="C395" t="s">
        <v>48</v>
      </c>
      <c r="D395" t="s">
        <v>48</v>
      </c>
      <c r="E395" t="s">
        <v>77</v>
      </c>
      <c r="F395">
        <v>90</v>
      </c>
      <c r="G395">
        <v>1.6</v>
      </c>
      <c r="H395">
        <v>0.15</v>
      </c>
      <c r="I395" t="s">
        <v>110</v>
      </c>
      <c r="J395" s="143">
        <v>43962</v>
      </c>
      <c r="L395">
        <v>19</v>
      </c>
      <c r="M395" t="s">
        <v>18</v>
      </c>
      <c r="N395" t="s">
        <v>18</v>
      </c>
      <c r="O395" t="s">
        <v>77</v>
      </c>
      <c r="P395">
        <v>636</v>
      </c>
      <c r="Q395">
        <v>11.3</v>
      </c>
      <c r="R395">
        <v>2</v>
      </c>
      <c r="S395" t="s">
        <v>550</v>
      </c>
      <c r="T395">
        <v>43957</v>
      </c>
    </row>
    <row r="396" spans="2:20">
      <c r="B396">
        <v>123</v>
      </c>
      <c r="C396" t="s">
        <v>51</v>
      </c>
      <c r="D396" t="s">
        <v>51</v>
      </c>
      <c r="E396" t="s">
        <v>77</v>
      </c>
      <c r="F396">
        <v>36</v>
      </c>
      <c r="G396">
        <v>0.64</v>
      </c>
      <c r="H396">
        <v>0.12</v>
      </c>
      <c r="I396" t="s">
        <v>110</v>
      </c>
      <c r="J396" s="143">
        <v>43962</v>
      </c>
      <c r="L396">
        <v>20</v>
      </c>
      <c r="M396" t="s">
        <v>21</v>
      </c>
      <c r="N396" t="s">
        <v>21</v>
      </c>
      <c r="O396" t="s">
        <v>77</v>
      </c>
      <c r="P396">
        <v>163</v>
      </c>
      <c r="Q396">
        <v>2.89</v>
      </c>
      <c r="R396">
        <v>2</v>
      </c>
      <c r="S396" t="s">
        <v>110</v>
      </c>
      <c r="T396">
        <v>43957</v>
      </c>
    </row>
    <row r="397" spans="2:20">
      <c r="B397">
        <v>125</v>
      </c>
      <c r="C397" t="s">
        <v>55</v>
      </c>
      <c r="D397" t="s">
        <v>55</v>
      </c>
      <c r="E397" t="s">
        <v>77</v>
      </c>
      <c r="F397">
        <v>63</v>
      </c>
      <c r="G397">
        <v>1.1200000000000001</v>
      </c>
      <c r="H397">
        <v>0.12</v>
      </c>
      <c r="I397" t="s">
        <v>110</v>
      </c>
      <c r="J397" s="143">
        <v>43962</v>
      </c>
      <c r="L397">
        <v>77</v>
      </c>
      <c r="M397" t="s">
        <v>723</v>
      </c>
      <c r="N397" t="s">
        <v>723</v>
      </c>
      <c r="O397" t="s">
        <v>77</v>
      </c>
      <c r="P397">
        <v>41</v>
      </c>
      <c r="Q397">
        <v>0.72</v>
      </c>
      <c r="R397">
        <v>0.5</v>
      </c>
      <c r="S397" t="s">
        <v>550</v>
      </c>
      <c r="T397">
        <v>43959</v>
      </c>
    </row>
    <row r="398" spans="2:20">
      <c r="B398">
        <v>144</v>
      </c>
      <c r="C398" t="s">
        <v>870</v>
      </c>
      <c r="D398" t="s">
        <v>870</v>
      </c>
      <c r="E398" t="s">
        <v>77</v>
      </c>
      <c r="F398">
        <v>159</v>
      </c>
      <c r="G398">
        <v>2.82</v>
      </c>
      <c r="H398">
        <v>1.5</v>
      </c>
      <c r="I398" t="s">
        <v>550</v>
      </c>
      <c r="J398" s="143">
        <v>43964</v>
      </c>
      <c r="L398">
        <v>78</v>
      </c>
      <c r="M398" t="s">
        <v>723</v>
      </c>
      <c r="N398" t="s">
        <v>723</v>
      </c>
      <c r="O398" t="s">
        <v>77</v>
      </c>
      <c r="P398">
        <v>122</v>
      </c>
      <c r="Q398">
        <v>2.16</v>
      </c>
      <c r="R398">
        <v>0.5</v>
      </c>
      <c r="S398" t="s">
        <v>550</v>
      </c>
      <c r="T398">
        <v>43959</v>
      </c>
    </row>
    <row r="399" spans="2:20">
      <c r="B399">
        <v>176</v>
      </c>
      <c r="C399" t="s">
        <v>923</v>
      </c>
      <c r="D399" t="s">
        <v>923</v>
      </c>
      <c r="E399" t="s">
        <v>77</v>
      </c>
      <c r="F399">
        <v>25</v>
      </c>
      <c r="G399">
        <v>0.44</v>
      </c>
      <c r="H399">
        <v>0.25</v>
      </c>
      <c r="I399" t="s">
        <v>110</v>
      </c>
      <c r="J399" s="143">
        <v>43938</v>
      </c>
      <c r="L399">
        <v>79</v>
      </c>
      <c r="M399" t="s">
        <v>723</v>
      </c>
      <c r="N399" t="s">
        <v>723</v>
      </c>
      <c r="O399" t="s">
        <v>77</v>
      </c>
      <c r="P399">
        <v>205</v>
      </c>
      <c r="Q399">
        <v>3.64</v>
      </c>
      <c r="R399">
        <v>2</v>
      </c>
      <c r="S399" t="s">
        <v>550</v>
      </c>
      <c r="T399">
        <v>43959</v>
      </c>
    </row>
    <row r="400" spans="2:20">
      <c r="B400">
        <v>177</v>
      </c>
      <c r="C400" t="s">
        <v>923</v>
      </c>
      <c r="D400" t="s">
        <v>923</v>
      </c>
      <c r="E400" t="s">
        <v>77</v>
      </c>
      <c r="F400">
        <v>28</v>
      </c>
      <c r="G400">
        <v>0.49</v>
      </c>
      <c r="H400">
        <v>0.12</v>
      </c>
      <c r="I400" t="s">
        <v>110</v>
      </c>
      <c r="J400" s="143">
        <v>43938</v>
      </c>
      <c r="L400">
        <v>80</v>
      </c>
      <c r="M400" t="s">
        <v>723</v>
      </c>
      <c r="N400" t="s">
        <v>723</v>
      </c>
      <c r="O400" t="s">
        <v>77</v>
      </c>
      <c r="P400">
        <v>124</v>
      </c>
      <c r="Q400">
        <v>2.2000000000000002</v>
      </c>
      <c r="R400">
        <v>1</v>
      </c>
      <c r="S400" t="s">
        <v>550</v>
      </c>
      <c r="T400">
        <v>43959</v>
      </c>
    </row>
    <row r="401" spans="2:20">
      <c r="B401">
        <v>178</v>
      </c>
      <c r="C401" t="s">
        <v>923</v>
      </c>
      <c r="D401" t="s">
        <v>923</v>
      </c>
      <c r="E401" t="s">
        <v>77</v>
      </c>
      <c r="F401">
        <v>46</v>
      </c>
      <c r="G401">
        <v>0.81</v>
      </c>
      <c r="H401">
        <v>0.12</v>
      </c>
      <c r="I401" t="s">
        <v>110</v>
      </c>
      <c r="J401" s="143">
        <v>43938</v>
      </c>
      <c r="L401">
        <v>96</v>
      </c>
      <c r="M401" t="s">
        <v>775</v>
      </c>
      <c r="N401" t="s">
        <v>775</v>
      </c>
      <c r="O401" t="s">
        <v>77</v>
      </c>
      <c r="P401">
        <v>20</v>
      </c>
      <c r="Q401">
        <v>0.35</v>
      </c>
      <c r="R401">
        <v>0.12</v>
      </c>
      <c r="S401" t="s">
        <v>110</v>
      </c>
      <c r="T401">
        <v>43963</v>
      </c>
    </row>
    <row r="402" spans="2:20">
      <c r="B402">
        <v>179</v>
      </c>
      <c r="C402" t="s">
        <v>923</v>
      </c>
      <c r="D402" t="s">
        <v>923</v>
      </c>
      <c r="E402" t="s">
        <v>77</v>
      </c>
      <c r="F402">
        <v>31</v>
      </c>
      <c r="G402">
        <v>0.55000000000000004</v>
      </c>
      <c r="H402">
        <v>0.25</v>
      </c>
      <c r="I402" t="s">
        <v>110</v>
      </c>
      <c r="J402" s="143">
        <v>43938</v>
      </c>
      <c r="L402">
        <v>97</v>
      </c>
      <c r="M402" t="s">
        <v>775</v>
      </c>
      <c r="N402" t="s">
        <v>775</v>
      </c>
      <c r="O402" t="s">
        <v>77</v>
      </c>
      <c r="P402">
        <v>149</v>
      </c>
      <c r="Q402">
        <v>2.64</v>
      </c>
      <c r="R402">
        <v>1</v>
      </c>
      <c r="S402" t="s">
        <v>110</v>
      </c>
      <c r="T402">
        <v>43963</v>
      </c>
    </row>
    <row r="403" spans="2:20">
      <c r="B403">
        <v>225</v>
      </c>
      <c r="C403" t="s">
        <v>234</v>
      </c>
      <c r="D403" t="s">
        <v>234</v>
      </c>
      <c r="E403" t="s">
        <v>77</v>
      </c>
      <c r="F403">
        <v>7</v>
      </c>
      <c r="G403">
        <v>0.12</v>
      </c>
      <c r="H403">
        <v>0.1</v>
      </c>
      <c r="I403" t="s">
        <v>110</v>
      </c>
      <c r="J403" s="143">
        <v>43938</v>
      </c>
      <c r="L403">
        <v>98</v>
      </c>
      <c r="M403" t="s">
        <v>775</v>
      </c>
      <c r="N403" t="s">
        <v>775</v>
      </c>
      <c r="O403" t="s">
        <v>77</v>
      </c>
      <c r="P403">
        <v>173</v>
      </c>
      <c r="Q403">
        <v>3.07</v>
      </c>
      <c r="R403">
        <v>1</v>
      </c>
      <c r="S403" t="s">
        <v>110</v>
      </c>
      <c r="T403">
        <v>43963</v>
      </c>
    </row>
    <row r="404" spans="2:20">
      <c r="B404">
        <v>226</v>
      </c>
      <c r="C404" t="s">
        <v>234</v>
      </c>
      <c r="D404" t="s">
        <v>234</v>
      </c>
      <c r="E404" t="s">
        <v>77</v>
      </c>
      <c r="F404">
        <v>78</v>
      </c>
      <c r="G404">
        <v>1.38</v>
      </c>
      <c r="H404">
        <v>1</v>
      </c>
      <c r="I404" t="s">
        <v>110</v>
      </c>
      <c r="J404" s="143">
        <v>43938</v>
      </c>
      <c r="L404">
        <v>99</v>
      </c>
      <c r="M404" t="s">
        <v>694</v>
      </c>
      <c r="N404" t="s">
        <v>694</v>
      </c>
      <c r="O404" t="s">
        <v>77</v>
      </c>
      <c r="P404">
        <v>132</v>
      </c>
      <c r="Q404">
        <v>2.34</v>
      </c>
      <c r="R404">
        <v>2</v>
      </c>
      <c r="S404" t="s">
        <v>110</v>
      </c>
      <c r="T404">
        <v>43963</v>
      </c>
    </row>
    <row r="405" spans="2:20">
      <c r="B405">
        <v>227</v>
      </c>
      <c r="C405" t="s">
        <v>234</v>
      </c>
      <c r="D405" t="s">
        <v>234</v>
      </c>
      <c r="E405" t="s">
        <v>77</v>
      </c>
      <c r="F405">
        <v>24</v>
      </c>
      <c r="G405">
        <v>0.42</v>
      </c>
      <c r="H405">
        <v>0.5</v>
      </c>
      <c r="I405" t="s">
        <v>110</v>
      </c>
      <c r="J405" s="143">
        <v>43938</v>
      </c>
      <c r="L405">
        <v>100</v>
      </c>
      <c r="M405" t="s">
        <v>694</v>
      </c>
      <c r="N405" t="s">
        <v>694</v>
      </c>
      <c r="O405" t="s">
        <v>77</v>
      </c>
      <c r="P405">
        <v>156</v>
      </c>
      <c r="Q405">
        <v>2.77</v>
      </c>
      <c r="R405">
        <v>1.5</v>
      </c>
      <c r="S405" t="s">
        <v>110</v>
      </c>
      <c r="T405">
        <v>43963</v>
      </c>
    </row>
    <row r="406" spans="2:20">
      <c r="B406">
        <v>228</v>
      </c>
      <c r="C406" t="s">
        <v>234</v>
      </c>
      <c r="D406" t="s">
        <v>234</v>
      </c>
      <c r="E406" t="s">
        <v>77</v>
      </c>
      <c r="F406">
        <v>12</v>
      </c>
      <c r="G406">
        <v>0.21</v>
      </c>
      <c r="H406">
        <v>0.25</v>
      </c>
      <c r="I406" t="s">
        <v>110</v>
      </c>
      <c r="J406" s="143">
        <v>43938</v>
      </c>
      <c r="L406">
        <v>122</v>
      </c>
      <c r="M406" t="s">
        <v>48</v>
      </c>
      <c r="N406" t="s">
        <v>48</v>
      </c>
      <c r="O406" t="s">
        <v>77</v>
      </c>
      <c r="P406">
        <v>90</v>
      </c>
      <c r="Q406">
        <v>1.6</v>
      </c>
      <c r="R406">
        <v>0.15</v>
      </c>
      <c r="S406" t="s">
        <v>110</v>
      </c>
      <c r="T406">
        <v>43962</v>
      </c>
    </row>
    <row r="407" spans="2:20">
      <c r="B407">
        <v>229</v>
      </c>
      <c r="C407" t="s">
        <v>234</v>
      </c>
      <c r="D407" t="s">
        <v>234</v>
      </c>
      <c r="E407" t="s">
        <v>77</v>
      </c>
      <c r="F407">
        <v>0</v>
      </c>
      <c r="G407">
        <v>0</v>
      </c>
      <c r="H407">
        <v>0</v>
      </c>
      <c r="I407" t="s">
        <v>110</v>
      </c>
      <c r="J407" s="143">
        <v>43938</v>
      </c>
      <c r="L407">
        <v>123</v>
      </c>
      <c r="M407" t="s">
        <v>51</v>
      </c>
      <c r="N407" t="s">
        <v>51</v>
      </c>
      <c r="O407" t="s">
        <v>77</v>
      </c>
      <c r="P407">
        <v>36</v>
      </c>
      <c r="Q407">
        <v>0.64</v>
      </c>
      <c r="R407">
        <v>0.12</v>
      </c>
      <c r="S407" t="s">
        <v>110</v>
      </c>
      <c r="T407">
        <v>43962</v>
      </c>
    </row>
    <row r="408" spans="2:20">
      <c r="B408">
        <v>230</v>
      </c>
      <c r="C408" t="s">
        <v>234</v>
      </c>
      <c r="D408" t="s">
        <v>234</v>
      </c>
      <c r="E408" t="s">
        <v>77</v>
      </c>
      <c r="F408">
        <v>5</v>
      </c>
      <c r="G408">
        <v>0.08</v>
      </c>
      <c r="H408">
        <v>0.08</v>
      </c>
      <c r="I408" t="s">
        <v>110</v>
      </c>
      <c r="J408" s="143">
        <v>43938</v>
      </c>
      <c r="L408">
        <v>125</v>
      </c>
      <c r="M408" t="s">
        <v>55</v>
      </c>
      <c r="N408" t="s">
        <v>55</v>
      </c>
      <c r="O408" t="s">
        <v>77</v>
      </c>
      <c r="P408">
        <v>63</v>
      </c>
      <c r="Q408">
        <v>1.1200000000000001</v>
      </c>
      <c r="R408">
        <v>0.12</v>
      </c>
      <c r="S408" t="s">
        <v>110</v>
      </c>
      <c r="T408">
        <v>43962</v>
      </c>
    </row>
    <row r="409" spans="2:20">
      <c r="B409">
        <v>231</v>
      </c>
      <c r="C409" t="s">
        <v>234</v>
      </c>
      <c r="D409" t="s">
        <v>234</v>
      </c>
      <c r="E409" t="s">
        <v>77</v>
      </c>
      <c r="F409">
        <v>8</v>
      </c>
      <c r="G409">
        <v>0.14000000000000001</v>
      </c>
      <c r="H409">
        <v>0.12</v>
      </c>
      <c r="I409" t="s">
        <v>110</v>
      </c>
      <c r="J409" s="143">
        <v>43938</v>
      </c>
      <c r="L409">
        <v>126</v>
      </c>
      <c r="M409" t="s">
        <v>828</v>
      </c>
      <c r="N409" t="s">
        <v>828</v>
      </c>
      <c r="O409" t="s">
        <v>77</v>
      </c>
      <c r="P409">
        <v>23</v>
      </c>
      <c r="Q409">
        <v>1.41</v>
      </c>
      <c r="T409">
        <v>43966</v>
      </c>
    </row>
    <row r="410" spans="2:20">
      <c r="B410">
        <v>232</v>
      </c>
      <c r="C410" t="s">
        <v>234</v>
      </c>
      <c r="D410" t="s">
        <v>234</v>
      </c>
      <c r="E410" t="s">
        <v>77</v>
      </c>
      <c r="F410">
        <v>5</v>
      </c>
      <c r="G410">
        <v>0.08</v>
      </c>
      <c r="H410">
        <v>0.12</v>
      </c>
      <c r="I410" t="s">
        <v>110</v>
      </c>
      <c r="J410" s="143">
        <v>43938</v>
      </c>
      <c r="L410">
        <v>127</v>
      </c>
      <c r="M410" t="s">
        <v>828</v>
      </c>
      <c r="N410" t="s">
        <v>828</v>
      </c>
      <c r="O410" t="s">
        <v>77</v>
      </c>
      <c r="P410">
        <v>23</v>
      </c>
      <c r="Q410">
        <v>1.41</v>
      </c>
      <c r="T410">
        <v>43966</v>
      </c>
    </row>
    <row r="411" spans="2:20">
      <c r="B411">
        <v>233</v>
      </c>
      <c r="C411" t="s">
        <v>234</v>
      </c>
      <c r="D411" t="s">
        <v>234</v>
      </c>
      <c r="E411" t="s">
        <v>77</v>
      </c>
      <c r="F411">
        <v>10</v>
      </c>
      <c r="G411">
        <v>0.17</v>
      </c>
      <c r="H411">
        <v>0.12</v>
      </c>
      <c r="I411" t="s">
        <v>110</v>
      </c>
      <c r="J411" s="143">
        <v>43938</v>
      </c>
      <c r="L411">
        <v>128</v>
      </c>
      <c r="M411" t="s">
        <v>828</v>
      </c>
      <c r="N411" t="s">
        <v>828</v>
      </c>
      <c r="O411" t="s">
        <v>77</v>
      </c>
      <c r="P411">
        <v>51</v>
      </c>
      <c r="Q411">
        <v>3.13</v>
      </c>
      <c r="T411">
        <v>43966</v>
      </c>
    </row>
    <row r="412" spans="2:20">
      <c r="B412">
        <v>234</v>
      </c>
      <c r="C412" t="s">
        <v>234</v>
      </c>
      <c r="D412" t="s">
        <v>234</v>
      </c>
      <c r="E412" t="s">
        <v>77</v>
      </c>
      <c r="F412">
        <v>52</v>
      </c>
      <c r="G412">
        <v>0.92</v>
      </c>
      <c r="H412">
        <v>1</v>
      </c>
      <c r="I412" t="s">
        <v>110</v>
      </c>
      <c r="J412" s="143">
        <v>43938</v>
      </c>
      <c r="L412">
        <v>144</v>
      </c>
      <c r="M412" t="s">
        <v>870</v>
      </c>
      <c r="N412" t="s">
        <v>870</v>
      </c>
      <c r="O412" t="s">
        <v>77</v>
      </c>
      <c r="P412">
        <v>159</v>
      </c>
      <c r="Q412">
        <v>2.82</v>
      </c>
      <c r="R412">
        <v>1.5</v>
      </c>
      <c r="S412" t="s">
        <v>550</v>
      </c>
      <c r="T412">
        <v>43964</v>
      </c>
    </row>
    <row r="413" spans="2:20">
      <c r="B413">
        <v>235</v>
      </c>
      <c r="C413" t="s">
        <v>234</v>
      </c>
      <c r="D413" t="s">
        <v>234</v>
      </c>
      <c r="E413" t="s">
        <v>77</v>
      </c>
      <c r="F413">
        <v>18</v>
      </c>
      <c r="G413">
        <v>0.32</v>
      </c>
      <c r="H413">
        <v>0.25</v>
      </c>
      <c r="I413" t="s">
        <v>110</v>
      </c>
      <c r="J413" s="143">
        <v>43938</v>
      </c>
      <c r="L413">
        <v>176</v>
      </c>
      <c r="M413" t="s">
        <v>923</v>
      </c>
      <c r="N413" t="s">
        <v>923</v>
      </c>
      <c r="O413" t="s">
        <v>77</v>
      </c>
      <c r="P413">
        <v>25</v>
      </c>
      <c r="Q413">
        <v>0.44</v>
      </c>
      <c r="R413">
        <v>0.25</v>
      </c>
      <c r="S413" t="s">
        <v>110</v>
      </c>
      <c r="T413">
        <v>43938</v>
      </c>
    </row>
    <row r="414" spans="2:20">
      <c r="B414">
        <v>236</v>
      </c>
      <c r="C414" t="s">
        <v>234</v>
      </c>
      <c r="D414" t="s">
        <v>234</v>
      </c>
      <c r="E414" t="s">
        <v>77</v>
      </c>
      <c r="F414">
        <v>0</v>
      </c>
      <c r="G414">
        <v>0</v>
      </c>
      <c r="H414">
        <v>0</v>
      </c>
      <c r="I414" t="s">
        <v>110</v>
      </c>
      <c r="J414" s="143">
        <v>43938</v>
      </c>
      <c r="L414">
        <v>177</v>
      </c>
      <c r="M414" t="s">
        <v>923</v>
      </c>
      <c r="N414" t="s">
        <v>923</v>
      </c>
      <c r="O414" t="s">
        <v>77</v>
      </c>
      <c r="P414">
        <v>28</v>
      </c>
      <c r="Q414">
        <v>0.49</v>
      </c>
      <c r="R414">
        <v>0.12</v>
      </c>
      <c r="S414" t="s">
        <v>110</v>
      </c>
      <c r="T414">
        <v>43938</v>
      </c>
    </row>
    <row r="415" spans="2:20">
      <c r="B415">
        <v>237</v>
      </c>
      <c r="C415" t="s">
        <v>234</v>
      </c>
      <c r="D415" t="s">
        <v>234</v>
      </c>
      <c r="E415" t="s">
        <v>77</v>
      </c>
      <c r="F415">
        <v>47</v>
      </c>
      <c r="G415">
        <v>0.83</v>
      </c>
      <c r="H415">
        <v>0.5</v>
      </c>
      <c r="I415" t="s">
        <v>110</v>
      </c>
      <c r="J415" s="143">
        <v>43938</v>
      </c>
      <c r="L415">
        <v>178</v>
      </c>
      <c r="M415" t="s">
        <v>923</v>
      </c>
      <c r="N415" t="s">
        <v>923</v>
      </c>
      <c r="O415" t="s">
        <v>77</v>
      </c>
      <c r="P415">
        <v>46</v>
      </c>
      <c r="Q415">
        <v>0.81</v>
      </c>
      <c r="R415">
        <v>0.12</v>
      </c>
      <c r="S415" t="s">
        <v>110</v>
      </c>
      <c r="T415">
        <v>43938</v>
      </c>
    </row>
    <row r="416" spans="2:20">
      <c r="B416">
        <v>238</v>
      </c>
      <c r="C416" t="s">
        <v>234</v>
      </c>
      <c r="D416" t="s">
        <v>234</v>
      </c>
      <c r="E416" t="s">
        <v>77</v>
      </c>
      <c r="F416">
        <v>101</v>
      </c>
      <c r="G416">
        <v>1.79</v>
      </c>
      <c r="H416">
        <v>2</v>
      </c>
      <c r="I416" t="s">
        <v>110</v>
      </c>
      <c r="J416" s="143">
        <v>43938</v>
      </c>
      <c r="L416">
        <v>179</v>
      </c>
      <c r="M416" t="s">
        <v>923</v>
      </c>
      <c r="N416" t="s">
        <v>923</v>
      </c>
      <c r="O416" t="s">
        <v>77</v>
      </c>
      <c r="P416">
        <v>31</v>
      </c>
      <c r="Q416">
        <v>0.55000000000000004</v>
      </c>
      <c r="R416">
        <v>0.25</v>
      </c>
      <c r="S416" t="s">
        <v>110</v>
      </c>
      <c r="T416">
        <v>43938</v>
      </c>
    </row>
    <row r="417" spans="2:20">
      <c r="B417">
        <v>239</v>
      </c>
      <c r="C417" t="s">
        <v>234</v>
      </c>
      <c r="D417" t="s">
        <v>234</v>
      </c>
      <c r="E417" t="s">
        <v>77</v>
      </c>
      <c r="F417">
        <v>7</v>
      </c>
      <c r="G417">
        <v>0.12</v>
      </c>
      <c r="H417">
        <v>0.08</v>
      </c>
      <c r="I417" t="s">
        <v>110</v>
      </c>
      <c r="J417" s="143">
        <v>43938</v>
      </c>
      <c r="L417">
        <v>225</v>
      </c>
      <c r="M417" t="s">
        <v>234</v>
      </c>
      <c r="N417" t="s">
        <v>234</v>
      </c>
      <c r="O417" t="s">
        <v>77</v>
      </c>
      <c r="P417">
        <v>7</v>
      </c>
      <c r="Q417">
        <v>0.12</v>
      </c>
      <c r="R417">
        <v>0.1</v>
      </c>
      <c r="S417" t="s">
        <v>110</v>
      </c>
      <c r="T417">
        <v>43938</v>
      </c>
    </row>
    <row r="418" spans="2:20">
      <c r="B418">
        <v>240</v>
      </c>
      <c r="C418" t="s">
        <v>234</v>
      </c>
      <c r="D418" t="s">
        <v>234</v>
      </c>
      <c r="E418" t="s">
        <v>77</v>
      </c>
      <c r="F418">
        <v>5</v>
      </c>
      <c r="G418">
        <v>0.08</v>
      </c>
      <c r="H418">
        <v>0.08</v>
      </c>
      <c r="I418" t="s">
        <v>110</v>
      </c>
      <c r="J418" s="143">
        <v>43938</v>
      </c>
      <c r="L418">
        <v>226</v>
      </c>
      <c r="M418" t="s">
        <v>234</v>
      </c>
      <c r="N418" t="s">
        <v>234</v>
      </c>
      <c r="O418" t="s">
        <v>77</v>
      </c>
      <c r="P418">
        <v>78</v>
      </c>
      <c r="Q418">
        <v>1.38</v>
      </c>
      <c r="R418">
        <v>1</v>
      </c>
      <c r="S418" t="s">
        <v>110</v>
      </c>
      <c r="T418">
        <v>43938</v>
      </c>
    </row>
    <row r="419" spans="2:20">
      <c r="B419">
        <v>241</v>
      </c>
      <c r="C419" t="s">
        <v>234</v>
      </c>
      <c r="D419" t="s">
        <v>234</v>
      </c>
      <c r="E419" t="s">
        <v>77</v>
      </c>
      <c r="F419">
        <v>58</v>
      </c>
      <c r="G419">
        <v>1.03</v>
      </c>
      <c r="H419">
        <v>1</v>
      </c>
      <c r="I419" t="s">
        <v>110</v>
      </c>
      <c r="J419" s="143">
        <v>43938</v>
      </c>
      <c r="L419">
        <v>227</v>
      </c>
      <c r="M419" t="s">
        <v>234</v>
      </c>
      <c r="N419" t="s">
        <v>234</v>
      </c>
      <c r="O419" t="s">
        <v>77</v>
      </c>
      <c r="P419">
        <v>24</v>
      </c>
      <c r="Q419">
        <v>0.42</v>
      </c>
      <c r="R419">
        <v>0.5</v>
      </c>
      <c r="S419" t="s">
        <v>110</v>
      </c>
      <c r="T419">
        <v>43938</v>
      </c>
    </row>
    <row r="420" spans="2:20">
      <c r="B420">
        <v>242</v>
      </c>
      <c r="C420" t="s">
        <v>234</v>
      </c>
      <c r="D420" t="s">
        <v>234</v>
      </c>
      <c r="E420" t="s">
        <v>77</v>
      </c>
      <c r="F420">
        <v>13</v>
      </c>
      <c r="G420">
        <v>0.23</v>
      </c>
      <c r="H420">
        <v>0.25</v>
      </c>
      <c r="I420" t="s">
        <v>110</v>
      </c>
      <c r="J420" s="143">
        <v>43938</v>
      </c>
      <c r="L420">
        <v>228</v>
      </c>
      <c r="M420" t="s">
        <v>234</v>
      </c>
      <c r="N420" t="s">
        <v>234</v>
      </c>
      <c r="O420" t="s">
        <v>77</v>
      </c>
      <c r="P420">
        <v>12</v>
      </c>
      <c r="Q420">
        <v>0.21</v>
      </c>
      <c r="R420">
        <v>0.25</v>
      </c>
      <c r="S420" t="s">
        <v>110</v>
      </c>
      <c r="T420">
        <v>43938</v>
      </c>
    </row>
    <row r="421" spans="2:20">
      <c r="B421">
        <v>243</v>
      </c>
      <c r="C421" t="s">
        <v>1002</v>
      </c>
      <c r="D421" t="s">
        <v>1002</v>
      </c>
      <c r="E421" t="s">
        <v>77</v>
      </c>
      <c r="F421">
        <v>74</v>
      </c>
      <c r="G421">
        <v>1.31</v>
      </c>
      <c r="H421">
        <v>0.75</v>
      </c>
      <c r="I421" t="s">
        <v>110</v>
      </c>
      <c r="J421" s="143">
        <v>43938</v>
      </c>
      <c r="L421">
        <v>229</v>
      </c>
      <c r="M421" t="s">
        <v>234</v>
      </c>
      <c r="N421" t="s">
        <v>234</v>
      </c>
      <c r="O421" t="s">
        <v>77</v>
      </c>
      <c r="P421">
        <v>0</v>
      </c>
      <c r="Q421">
        <v>0</v>
      </c>
      <c r="R421">
        <v>0</v>
      </c>
      <c r="S421" t="s">
        <v>110</v>
      </c>
      <c r="T421">
        <v>43938</v>
      </c>
    </row>
    <row r="422" spans="2:20">
      <c r="B422">
        <v>244</v>
      </c>
      <c r="C422" t="s">
        <v>1007</v>
      </c>
      <c r="D422" t="s">
        <v>1007</v>
      </c>
      <c r="E422" t="s">
        <v>77</v>
      </c>
      <c r="F422">
        <v>14</v>
      </c>
      <c r="G422">
        <v>0.24</v>
      </c>
      <c r="H422">
        <v>0.25</v>
      </c>
      <c r="I422" t="s">
        <v>110</v>
      </c>
      <c r="J422" s="143">
        <v>43938</v>
      </c>
      <c r="L422">
        <v>230</v>
      </c>
      <c r="M422" t="s">
        <v>234</v>
      </c>
      <c r="N422" t="s">
        <v>234</v>
      </c>
      <c r="O422" t="s">
        <v>77</v>
      </c>
      <c r="P422">
        <v>5</v>
      </c>
      <c r="Q422">
        <v>0.08</v>
      </c>
      <c r="R422">
        <v>0.08</v>
      </c>
      <c r="S422" t="s">
        <v>110</v>
      </c>
      <c r="T422">
        <v>43938</v>
      </c>
    </row>
    <row r="423" spans="2:20">
      <c r="B423">
        <v>245</v>
      </c>
      <c r="C423" t="s">
        <v>1007</v>
      </c>
      <c r="D423" t="s">
        <v>1007</v>
      </c>
      <c r="E423" t="s">
        <v>77</v>
      </c>
      <c r="F423">
        <v>14</v>
      </c>
      <c r="G423">
        <v>0.24</v>
      </c>
      <c r="H423">
        <v>0.12</v>
      </c>
      <c r="I423" t="s">
        <v>110</v>
      </c>
      <c r="J423" s="143">
        <v>43938</v>
      </c>
      <c r="L423">
        <v>231</v>
      </c>
      <c r="M423" t="s">
        <v>234</v>
      </c>
      <c r="N423" t="s">
        <v>234</v>
      </c>
      <c r="O423" t="s">
        <v>77</v>
      </c>
      <c r="P423">
        <v>8</v>
      </c>
      <c r="Q423">
        <v>0.14000000000000001</v>
      </c>
      <c r="R423">
        <v>0.12</v>
      </c>
      <c r="S423" t="s">
        <v>110</v>
      </c>
      <c r="T423">
        <v>43938</v>
      </c>
    </row>
    <row r="424" spans="2:20">
      <c r="B424">
        <v>246</v>
      </c>
      <c r="C424" t="s">
        <v>1007</v>
      </c>
      <c r="D424" t="s">
        <v>1007</v>
      </c>
      <c r="E424" t="s">
        <v>77</v>
      </c>
      <c r="F424">
        <v>13</v>
      </c>
      <c r="G424">
        <v>0.23</v>
      </c>
      <c r="H424">
        <v>0.12</v>
      </c>
      <c r="I424" t="s">
        <v>110</v>
      </c>
      <c r="J424" s="143">
        <v>43938</v>
      </c>
      <c r="L424">
        <v>232</v>
      </c>
      <c r="M424" t="s">
        <v>234</v>
      </c>
      <c r="N424" t="s">
        <v>234</v>
      </c>
      <c r="O424" t="s">
        <v>77</v>
      </c>
      <c r="P424">
        <v>5</v>
      </c>
      <c r="Q424">
        <v>0.08</v>
      </c>
      <c r="R424">
        <v>0.12</v>
      </c>
      <c r="S424" t="s">
        <v>110</v>
      </c>
      <c r="T424">
        <v>43938</v>
      </c>
    </row>
    <row r="425" spans="2:20">
      <c r="B425">
        <v>247</v>
      </c>
      <c r="C425" t="s">
        <v>1007</v>
      </c>
      <c r="D425" t="s">
        <v>1007</v>
      </c>
      <c r="E425" t="s">
        <v>77</v>
      </c>
      <c r="F425">
        <v>13</v>
      </c>
      <c r="G425">
        <v>0.23</v>
      </c>
      <c r="H425">
        <v>0.12</v>
      </c>
      <c r="I425" t="s">
        <v>110</v>
      </c>
      <c r="J425" s="143">
        <v>43938</v>
      </c>
      <c r="L425">
        <v>233</v>
      </c>
      <c r="M425" t="s">
        <v>234</v>
      </c>
      <c r="N425" t="s">
        <v>234</v>
      </c>
      <c r="O425" t="s">
        <v>77</v>
      </c>
      <c r="P425">
        <v>10</v>
      </c>
      <c r="Q425">
        <v>0.17</v>
      </c>
      <c r="R425">
        <v>0.12</v>
      </c>
      <c r="S425" t="s">
        <v>110</v>
      </c>
      <c r="T425">
        <v>43938</v>
      </c>
    </row>
    <row r="426" spans="2:20">
      <c r="B426">
        <v>248</v>
      </c>
      <c r="C426" t="s">
        <v>1018</v>
      </c>
      <c r="D426" t="s">
        <v>1018</v>
      </c>
      <c r="E426" t="s">
        <v>77</v>
      </c>
      <c r="F426">
        <v>28</v>
      </c>
      <c r="G426">
        <v>0.49</v>
      </c>
      <c r="H426">
        <v>0.5</v>
      </c>
      <c r="I426" t="s">
        <v>110</v>
      </c>
      <c r="J426" s="143">
        <v>43938</v>
      </c>
      <c r="L426">
        <v>234</v>
      </c>
      <c r="M426" t="s">
        <v>234</v>
      </c>
      <c r="N426" t="s">
        <v>234</v>
      </c>
      <c r="O426" t="s">
        <v>77</v>
      </c>
      <c r="P426">
        <v>52</v>
      </c>
      <c r="Q426">
        <v>0.92</v>
      </c>
      <c r="R426">
        <v>1</v>
      </c>
      <c r="S426" t="s">
        <v>110</v>
      </c>
      <c r="T426">
        <v>43938</v>
      </c>
    </row>
    <row r="427" spans="2:20">
      <c r="B427">
        <v>249</v>
      </c>
      <c r="C427" t="s">
        <v>1018</v>
      </c>
      <c r="D427" t="s">
        <v>1018</v>
      </c>
      <c r="E427" t="s">
        <v>77</v>
      </c>
      <c r="F427">
        <v>50</v>
      </c>
      <c r="G427">
        <v>0.88</v>
      </c>
      <c r="H427">
        <v>1</v>
      </c>
      <c r="I427" t="s">
        <v>110</v>
      </c>
      <c r="J427" s="143">
        <v>43938</v>
      </c>
      <c r="L427">
        <v>235</v>
      </c>
      <c r="M427" t="s">
        <v>234</v>
      </c>
      <c r="N427" t="s">
        <v>234</v>
      </c>
      <c r="O427" t="s">
        <v>77</v>
      </c>
      <c r="P427">
        <v>18</v>
      </c>
      <c r="Q427">
        <v>0.32</v>
      </c>
      <c r="R427">
        <v>0.25</v>
      </c>
      <c r="S427" t="s">
        <v>110</v>
      </c>
      <c r="T427">
        <v>43938</v>
      </c>
    </row>
    <row r="428" spans="2:20">
      <c r="B428">
        <v>300</v>
      </c>
      <c r="C428" t="s">
        <v>18</v>
      </c>
      <c r="D428" t="s">
        <v>18</v>
      </c>
      <c r="E428" t="s">
        <v>77</v>
      </c>
      <c r="F428">
        <v>636</v>
      </c>
      <c r="G428">
        <v>11.3</v>
      </c>
      <c r="H428">
        <v>3</v>
      </c>
      <c r="I428" t="s">
        <v>110</v>
      </c>
      <c r="J428" s="143">
        <v>43943</v>
      </c>
      <c r="L428">
        <v>236</v>
      </c>
      <c r="M428" t="s">
        <v>234</v>
      </c>
      <c r="N428" t="s">
        <v>234</v>
      </c>
      <c r="O428" t="s">
        <v>77</v>
      </c>
      <c r="P428">
        <v>0</v>
      </c>
      <c r="Q428">
        <v>0</v>
      </c>
      <c r="R428">
        <v>0</v>
      </c>
      <c r="S428" t="s">
        <v>110</v>
      </c>
      <c r="T428">
        <v>43938</v>
      </c>
    </row>
    <row r="429" spans="2:20">
      <c r="B429">
        <v>301</v>
      </c>
      <c r="C429" t="s">
        <v>18</v>
      </c>
      <c r="D429" t="s">
        <v>18</v>
      </c>
      <c r="E429" t="s">
        <v>77</v>
      </c>
      <c r="F429">
        <v>125</v>
      </c>
      <c r="G429">
        <v>2.2200000000000002</v>
      </c>
      <c r="H429">
        <v>1</v>
      </c>
      <c r="I429" t="s">
        <v>110</v>
      </c>
      <c r="J429" s="143">
        <v>43943</v>
      </c>
      <c r="L429">
        <v>237</v>
      </c>
      <c r="M429" t="s">
        <v>234</v>
      </c>
      <c r="N429" t="s">
        <v>234</v>
      </c>
      <c r="O429" t="s">
        <v>77</v>
      </c>
      <c r="P429">
        <v>47</v>
      </c>
      <c r="Q429">
        <v>0.83</v>
      </c>
      <c r="R429">
        <v>0.5</v>
      </c>
      <c r="S429" t="s">
        <v>110</v>
      </c>
      <c r="T429">
        <v>43938</v>
      </c>
    </row>
    <row r="430" spans="2:20">
      <c r="B430">
        <v>302</v>
      </c>
      <c r="C430" t="s">
        <v>18</v>
      </c>
      <c r="D430" t="s">
        <v>18</v>
      </c>
      <c r="E430" t="s">
        <v>77</v>
      </c>
      <c r="F430">
        <v>129</v>
      </c>
      <c r="G430">
        <v>2.29</v>
      </c>
      <c r="H430">
        <v>0.25</v>
      </c>
      <c r="I430" t="s">
        <v>110</v>
      </c>
      <c r="J430" s="143">
        <v>43943</v>
      </c>
      <c r="L430">
        <v>238</v>
      </c>
      <c r="M430" t="s">
        <v>234</v>
      </c>
      <c r="N430" t="s">
        <v>234</v>
      </c>
      <c r="O430" t="s">
        <v>77</v>
      </c>
      <c r="P430">
        <v>101</v>
      </c>
      <c r="Q430">
        <v>1.79</v>
      </c>
      <c r="R430">
        <v>2</v>
      </c>
      <c r="S430" t="s">
        <v>110</v>
      </c>
      <c r="T430">
        <v>43938</v>
      </c>
    </row>
    <row r="431" spans="2:20">
      <c r="B431">
        <v>303</v>
      </c>
      <c r="C431" t="s">
        <v>18</v>
      </c>
      <c r="D431" t="s">
        <v>18</v>
      </c>
      <c r="E431" t="s">
        <v>77</v>
      </c>
      <c r="F431">
        <v>489</v>
      </c>
      <c r="G431">
        <v>8.69</v>
      </c>
      <c r="H431">
        <v>3</v>
      </c>
      <c r="I431" t="s">
        <v>110</v>
      </c>
      <c r="J431" s="143">
        <v>43943</v>
      </c>
      <c r="L431">
        <v>239</v>
      </c>
      <c r="M431" t="s">
        <v>234</v>
      </c>
      <c r="N431" t="s">
        <v>234</v>
      </c>
      <c r="O431" t="s">
        <v>77</v>
      </c>
      <c r="P431">
        <v>7</v>
      </c>
      <c r="Q431">
        <v>0.12</v>
      </c>
      <c r="R431">
        <v>0.08</v>
      </c>
      <c r="S431" t="s">
        <v>110</v>
      </c>
      <c r="T431">
        <v>43938</v>
      </c>
    </row>
    <row r="432" spans="2:20">
      <c r="B432">
        <v>304</v>
      </c>
      <c r="C432" t="s">
        <v>18</v>
      </c>
      <c r="D432" t="s">
        <v>18</v>
      </c>
      <c r="E432" t="s">
        <v>77</v>
      </c>
      <c r="F432">
        <v>37</v>
      </c>
      <c r="G432">
        <v>0.65</v>
      </c>
      <c r="H432">
        <v>0.12</v>
      </c>
      <c r="I432" t="s">
        <v>110</v>
      </c>
      <c r="J432" s="143">
        <v>43943</v>
      </c>
      <c r="L432">
        <v>240</v>
      </c>
      <c r="M432" t="s">
        <v>234</v>
      </c>
      <c r="N432" t="s">
        <v>234</v>
      </c>
      <c r="O432" t="s">
        <v>77</v>
      </c>
      <c r="P432">
        <v>5</v>
      </c>
      <c r="Q432">
        <v>0.08</v>
      </c>
      <c r="R432">
        <v>0.08</v>
      </c>
      <c r="S432" t="s">
        <v>110</v>
      </c>
      <c r="T432">
        <v>43938</v>
      </c>
    </row>
    <row r="433" spans="2:20">
      <c r="B433">
        <v>305</v>
      </c>
      <c r="C433" t="s">
        <v>18</v>
      </c>
      <c r="D433" t="s">
        <v>18</v>
      </c>
      <c r="E433" t="s">
        <v>77</v>
      </c>
      <c r="F433">
        <v>488</v>
      </c>
      <c r="G433">
        <v>8.67</v>
      </c>
      <c r="H433">
        <v>3</v>
      </c>
      <c r="I433" t="s">
        <v>110</v>
      </c>
      <c r="J433" s="143">
        <v>43943</v>
      </c>
      <c r="L433">
        <v>241</v>
      </c>
      <c r="M433" t="s">
        <v>234</v>
      </c>
      <c r="N433" t="s">
        <v>234</v>
      </c>
      <c r="O433" t="s">
        <v>77</v>
      </c>
      <c r="P433">
        <v>58</v>
      </c>
      <c r="Q433">
        <v>1.03</v>
      </c>
      <c r="R433">
        <v>1</v>
      </c>
      <c r="S433" t="s">
        <v>110</v>
      </c>
      <c r="T433">
        <v>43938</v>
      </c>
    </row>
    <row r="434" spans="2:20">
      <c r="B434">
        <v>306</v>
      </c>
      <c r="C434" t="s">
        <v>1133</v>
      </c>
      <c r="D434" t="s">
        <v>1133</v>
      </c>
      <c r="E434" t="s">
        <v>77</v>
      </c>
      <c r="F434">
        <v>55</v>
      </c>
      <c r="G434">
        <v>0.97</v>
      </c>
      <c r="H434">
        <v>0.12</v>
      </c>
      <c r="I434" t="s">
        <v>110</v>
      </c>
      <c r="J434" s="143">
        <v>43943</v>
      </c>
      <c r="L434">
        <v>242</v>
      </c>
      <c r="M434" t="s">
        <v>234</v>
      </c>
      <c r="N434" t="s">
        <v>234</v>
      </c>
      <c r="O434" t="s">
        <v>77</v>
      </c>
      <c r="P434">
        <v>13</v>
      </c>
      <c r="Q434">
        <v>0.23</v>
      </c>
      <c r="R434">
        <v>0.25</v>
      </c>
      <c r="S434" t="s">
        <v>110</v>
      </c>
      <c r="T434">
        <v>43938</v>
      </c>
    </row>
    <row r="435" spans="2:20">
      <c r="B435">
        <v>307</v>
      </c>
      <c r="C435" t="s">
        <v>1133</v>
      </c>
      <c r="D435" t="s">
        <v>1133</v>
      </c>
      <c r="E435" t="s">
        <v>77</v>
      </c>
      <c r="F435">
        <v>55</v>
      </c>
      <c r="G435">
        <v>0.97</v>
      </c>
      <c r="H435">
        <v>0.12</v>
      </c>
      <c r="I435" t="s">
        <v>110</v>
      </c>
      <c r="J435" s="143">
        <v>43943</v>
      </c>
      <c r="L435">
        <v>243</v>
      </c>
      <c r="M435" t="s">
        <v>1002</v>
      </c>
      <c r="N435" t="s">
        <v>1002</v>
      </c>
      <c r="O435" t="s">
        <v>77</v>
      </c>
      <c r="P435">
        <v>74</v>
      </c>
      <c r="Q435">
        <v>1.31</v>
      </c>
      <c r="R435">
        <v>0.75</v>
      </c>
      <c r="S435" t="s">
        <v>110</v>
      </c>
      <c r="T435">
        <v>43938</v>
      </c>
    </row>
    <row r="436" spans="2:20">
      <c r="B436">
        <v>308</v>
      </c>
      <c r="C436" t="s">
        <v>1133</v>
      </c>
      <c r="D436" t="s">
        <v>1133</v>
      </c>
      <c r="E436" t="s">
        <v>77</v>
      </c>
      <c r="F436">
        <v>55</v>
      </c>
      <c r="G436">
        <v>0.97</v>
      </c>
      <c r="H436">
        <v>0.12</v>
      </c>
      <c r="I436" t="s">
        <v>110</v>
      </c>
      <c r="J436" s="143">
        <v>43943</v>
      </c>
      <c r="L436">
        <v>244</v>
      </c>
      <c r="M436" t="s">
        <v>1007</v>
      </c>
      <c r="N436" t="s">
        <v>1007</v>
      </c>
      <c r="O436" t="s">
        <v>77</v>
      </c>
      <c r="P436">
        <v>14</v>
      </c>
      <c r="Q436">
        <v>0.24</v>
      </c>
      <c r="R436">
        <v>0.25</v>
      </c>
      <c r="S436" t="s">
        <v>110</v>
      </c>
      <c r="T436">
        <v>43938</v>
      </c>
    </row>
    <row r="437" spans="2:20">
      <c r="B437">
        <v>309</v>
      </c>
      <c r="C437" t="s">
        <v>1140</v>
      </c>
      <c r="D437" t="s">
        <v>1140</v>
      </c>
      <c r="E437" t="s">
        <v>77</v>
      </c>
      <c r="F437">
        <v>19</v>
      </c>
      <c r="G437">
        <v>0.33</v>
      </c>
      <c r="H437">
        <v>0.25</v>
      </c>
      <c r="I437" t="s">
        <v>110</v>
      </c>
      <c r="J437" s="143">
        <v>43943</v>
      </c>
      <c r="L437">
        <v>245</v>
      </c>
      <c r="M437" t="s">
        <v>1007</v>
      </c>
      <c r="N437" t="s">
        <v>1007</v>
      </c>
      <c r="O437" t="s">
        <v>77</v>
      </c>
      <c r="P437">
        <v>14</v>
      </c>
      <c r="Q437">
        <v>0.24</v>
      </c>
      <c r="R437">
        <v>0.12</v>
      </c>
      <c r="S437" t="s">
        <v>110</v>
      </c>
      <c r="T437">
        <v>43938</v>
      </c>
    </row>
    <row r="438" spans="2:20">
      <c r="B438">
        <v>310</v>
      </c>
      <c r="C438" t="s">
        <v>1140</v>
      </c>
      <c r="D438" t="s">
        <v>1140</v>
      </c>
      <c r="E438" t="s">
        <v>77</v>
      </c>
      <c r="F438">
        <v>244</v>
      </c>
      <c r="G438">
        <v>4.33</v>
      </c>
      <c r="H438">
        <v>3</v>
      </c>
      <c r="I438" t="s">
        <v>110</v>
      </c>
      <c r="J438" s="143">
        <v>43943</v>
      </c>
      <c r="L438">
        <v>246</v>
      </c>
      <c r="M438" t="s">
        <v>1007</v>
      </c>
      <c r="N438" t="s">
        <v>1007</v>
      </c>
      <c r="O438" t="s">
        <v>77</v>
      </c>
      <c r="P438">
        <v>13</v>
      </c>
      <c r="Q438">
        <v>0.23</v>
      </c>
      <c r="R438">
        <v>0.12</v>
      </c>
      <c r="S438" t="s">
        <v>110</v>
      </c>
      <c r="T438">
        <v>43938</v>
      </c>
    </row>
    <row r="439" spans="2:20">
      <c r="B439">
        <v>336</v>
      </c>
      <c r="C439" t="s">
        <v>317</v>
      </c>
      <c r="D439" t="s">
        <v>317</v>
      </c>
      <c r="E439" t="s">
        <v>77</v>
      </c>
      <c r="F439">
        <v>224</v>
      </c>
      <c r="G439">
        <v>3.98</v>
      </c>
      <c r="H439">
        <v>3</v>
      </c>
      <c r="I439" t="s">
        <v>110</v>
      </c>
      <c r="J439" s="143">
        <v>43945</v>
      </c>
      <c r="L439">
        <v>247</v>
      </c>
      <c r="M439" t="s">
        <v>1007</v>
      </c>
      <c r="N439" t="s">
        <v>1007</v>
      </c>
      <c r="O439" t="s">
        <v>77</v>
      </c>
      <c r="P439">
        <v>13</v>
      </c>
      <c r="Q439">
        <v>0.23</v>
      </c>
      <c r="R439">
        <v>0.12</v>
      </c>
      <c r="S439" t="s">
        <v>110</v>
      </c>
      <c r="T439">
        <v>43938</v>
      </c>
    </row>
    <row r="440" spans="2:20">
      <c r="B440">
        <v>337</v>
      </c>
      <c r="C440" t="s">
        <v>317</v>
      </c>
      <c r="D440" t="s">
        <v>317</v>
      </c>
      <c r="E440" t="s">
        <v>77</v>
      </c>
      <c r="F440">
        <v>309</v>
      </c>
      <c r="G440">
        <v>5.49</v>
      </c>
      <c r="H440">
        <v>4</v>
      </c>
      <c r="I440" t="s">
        <v>110</v>
      </c>
      <c r="J440" s="143">
        <v>43945</v>
      </c>
      <c r="L440">
        <v>248</v>
      </c>
      <c r="M440" t="s">
        <v>1018</v>
      </c>
      <c r="N440" t="s">
        <v>1018</v>
      </c>
      <c r="O440" t="s">
        <v>77</v>
      </c>
      <c r="P440">
        <v>28</v>
      </c>
      <c r="Q440">
        <v>0.49</v>
      </c>
      <c r="R440">
        <v>0.5</v>
      </c>
      <c r="S440" t="s">
        <v>110</v>
      </c>
      <c r="T440">
        <v>43938</v>
      </c>
    </row>
    <row r="441" spans="2:20">
      <c r="B441">
        <v>338</v>
      </c>
      <c r="C441" t="s">
        <v>317</v>
      </c>
      <c r="D441" t="s">
        <v>317</v>
      </c>
      <c r="E441" t="s">
        <v>77</v>
      </c>
      <c r="F441">
        <v>25</v>
      </c>
      <c r="G441">
        <v>0.44</v>
      </c>
      <c r="H441">
        <v>0.12</v>
      </c>
      <c r="I441" t="s">
        <v>110</v>
      </c>
      <c r="J441" s="143">
        <v>43945</v>
      </c>
      <c r="L441">
        <v>249</v>
      </c>
      <c r="M441" t="s">
        <v>1018</v>
      </c>
      <c r="N441" t="s">
        <v>1018</v>
      </c>
      <c r="O441" t="s">
        <v>77</v>
      </c>
      <c r="P441">
        <v>50</v>
      </c>
      <c r="Q441">
        <v>0.88</v>
      </c>
      <c r="R441">
        <v>1</v>
      </c>
      <c r="S441" t="s">
        <v>110</v>
      </c>
      <c r="T441">
        <v>43938</v>
      </c>
    </row>
    <row r="442" spans="2:20">
      <c r="B442">
        <v>339</v>
      </c>
      <c r="C442" t="s">
        <v>317</v>
      </c>
      <c r="D442" t="s">
        <v>317</v>
      </c>
      <c r="E442" t="s">
        <v>77</v>
      </c>
      <c r="F442">
        <v>215</v>
      </c>
      <c r="G442">
        <v>3.82</v>
      </c>
      <c r="H442">
        <v>2</v>
      </c>
      <c r="I442" t="s">
        <v>110</v>
      </c>
      <c r="J442" s="143">
        <v>43945</v>
      </c>
      <c r="L442">
        <v>300</v>
      </c>
      <c r="M442" t="s">
        <v>18</v>
      </c>
      <c r="N442" t="s">
        <v>18</v>
      </c>
      <c r="O442" t="s">
        <v>77</v>
      </c>
      <c r="P442">
        <v>636</v>
      </c>
      <c r="Q442">
        <v>11.3</v>
      </c>
      <c r="R442">
        <v>3</v>
      </c>
      <c r="S442" t="s">
        <v>110</v>
      </c>
      <c r="T442">
        <v>43943</v>
      </c>
    </row>
    <row r="443" spans="2:20">
      <c r="B443">
        <v>342</v>
      </c>
      <c r="C443" t="s">
        <v>1215</v>
      </c>
      <c r="D443" t="s">
        <v>1215</v>
      </c>
      <c r="E443" t="s">
        <v>77</v>
      </c>
      <c r="F443">
        <v>145</v>
      </c>
      <c r="G443">
        <v>2.57</v>
      </c>
      <c r="H443">
        <v>2</v>
      </c>
      <c r="I443" t="s">
        <v>110</v>
      </c>
      <c r="J443" s="143">
        <v>43949</v>
      </c>
      <c r="L443">
        <v>301</v>
      </c>
      <c r="M443" t="s">
        <v>18</v>
      </c>
      <c r="N443" t="s">
        <v>18</v>
      </c>
      <c r="O443" t="s">
        <v>77</v>
      </c>
      <c r="P443">
        <v>125</v>
      </c>
      <c r="Q443">
        <v>2.2200000000000002</v>
      </c>
      <c r="R443">
        <v>1</v>
      </c>
      <c r="S443" t="s">
        <v>110</v>
      </c>
      <c r="T443">
        <v>43943</v>
      </c>
    </row>
    <row r="444" spans="2:20">
      <c r="B444">
        <v>343</v>
      </c>
      <c r="C444" t="s">
        <v>1215</v>
      </c>
      <c r="D444" t="s">
        <v>1215</v>
      </c>
      <c r="E444" t="s">
        <v>77</v>
      </c>
      <c r="F444">
        <v>89</v>
      </c>
      <c r="G444">
        <v>1.58</v>
      </c>
      <c r="H444">
        <v>1</v>
      </c>
      <c r="I444" t="s">
        <v>110</v>
      </c>
      <c r="J444" s="143">
        <v>43949</v>
      </c>
      <c r="L444">
        <v>302</v>
      </c>
      <c r="M444" t="s">
        <v>18</v>
      </c>
      <c r="N444" t="s">
        <v>18</v>
      </c>
      <c r="O444" t="s">
        <v>77</v>
      </c>
      <c r="P444">
        <v>129</v>
      </c>
      <c r="Q444">
        <v>2.29</v>
      </c>
      <c r="R444">
        <v>0.25</v>
      </c>
      <c r="S444" t="s">
        <v>110</v>
      </c>
      <c r="T444">
        <v>43943</v>
      </c>
    </row>
    <row r="445" spans="2:20">
      <c r="B445">
        <v>344</v>
      </c>
      <c r="C445" t="s">
        <v>1215</v>
      </c>
      <c r="D445" t="s">
        <v>1215</v>
      </c>
      <c r="E445" t="s">
        <v>77</v>
      </c>
      <c r="F445">
        <v>186</v>
      </c>
      <c r="G445">
        <v>3.3</v>
      </c>
      <c r="H445">
        <v>2</v>
      </c>
      <c r="I445" t="s">
        <v>110</v>
      </c>
      <c r="J445" s="143">
        <v>43949</v>
      </c>
      <c r="L445">
        <v>303</v>
      </c>
      <c r="M445" t="s">
        <v>18</v>
      </c>
      <c r="N445" t="s">
        <v>18</v>
      </c>
      <c r="O445" t="s">
        <v>77</v>
      </c>
      <c r="P445">
        <v>489</v>
      </c>
      <c r="Q445">
        <v>8.69</v>
      </c>
      <c r="R445">
        <v>3</v>
      </c>
      <c r="S445" t="s">
        <v>110</v>
      </c>
      <c r="T445">
        <v>43943</v>
      </c>
    </row>
    <row r="446" spans="2:20">
      <c r="B446">
        <v>345</v>
      </c>
      <c r="C446" t="s">
        <v>1215</v>
      </c>
      <c r="D446" t="s">
        <v>1215</v>
      </c>
      <c r="E446" t="s">
        <v>77</v>
      </c>
      <c r="F446">
        <v>18</v>
      </c>
      <c r="G446">
        <v>0.32</v>
      </c>
      <c r="H446">
        <v>0.12</v>
      </c>
      <c r="I446" t="s">
        <v>110</v>
      </c>
      <c r="J446" s="143">
        <v>43949</v>
      </c>
      <c r="L446">
        <v>304</v>
      </c>
      <c r="M446" t="s">
        <v>18</v>
      </c>
      <c r="N446" t="s">
        <v>18</v>
      </c>
      <c r="O446" t="s">
        <v>77</v>
      </c>
      <c r="P446">
        <v>37</v>
      </c>
      <c r="Q446">
        <v>0.65</v>
      </c>
      <c r="R446">
        <v>0.12</v>
      </c>
      <c r="S446" t="s">
        <v>110</v>
      </c>
      <c r="T446">
        <v>43943</v>
      </c>
    </row>
    <row r="447" spans="2:20">
      <c r="B447">
        <v>346</v>
      </c>
      <c r="C447" t="s">
        <v>1215</v>
      </c>
      <c r="D447" t="s">
        <v>1215</v>
      </c>
      <c r="E447" t="s">
        <v>77</v>
      </c>
      <c r="F447">
        <v>124</v>
      </c>
      <c r="G447">
        <v>2.2000000000000002</v>
      </c>
      <c r="H447">
        <v>1</v>
      </c>
      <c r="I447" t="s">
        <v>110</v>
      </c>
      <c r="J447" s="143">
        <v>43949</v>
      </c>
      <c r="L447">
        <v>305</v>
      </c>
      <c r="M447" t="s">
        <v>18</v>
      </c>
      <c r="N447" t="s">
        <v>18</v>
      </c>
      <c r="O447" t="s">
        <v>77</v>
      </c>
      <c r="P447">
        <v>488</v>
      </c>
      <c r="Q447">
        <v>8.67</v>
      </c>
      <c r="R447">
        <v>3</v>
      </c>
      <c r="S447" t="s">
        <v>110</v>
      </c>
      <c r="T447">
        <v>43943</v>
      </c>
    </row>
    <row r="448" spans="2:20">
      <c r="B448">
        <v>347</v>
      </c>
      <c r="C448" t="s">
        <v>1215</v>
      </c>
      <c r="D448" t="s">
        <v>1215</v>
      </c>
      <c r="E448" t="s">
        <v>77</v>
      </c>
      <c r="F448">
        <v>154</v>
      </c>
      <c r="G448">
        <v>2.73</v>
      </c>
      <c r="H448">
        <v>1</v>
      </c>
      <c r="I448" t="s">
        <v>110</v>
      </c>
      <c r="J448" s="143">
        <v>43949</v>
      </c>
      <c r="L448">
        <v>306</v>
      </c>
      <c r="M448" t="s">
        <v>1133</v>
      </c>
      <c r="N448" t="s">
        <v>1133</v>
      </c>
      <c r="O448" t="s">
        <v>77</v>
      </c>
      <c r="P448">
        <v>55</v>
      </c>
      <c r="Q448">
        <v>0.97</v>
      </c>
      <c r="R448">
        <v>0.12</v>
      </c>
      <c r="S448" t="s">
        <v>110</v>
      </c>
      <c r="T448">
        <v>43943</v>
      </c>
    </row>
    <row r="449" spans="2:20">
      <c r="B449">
        <v>348</v>
      </c>
      <c r="C449" t="s">
        <v>1215</v>
      </c>
      <c r="D449" t="s">
        <v>1215</v>
      </c>
      <c r="E449" t="s">
        <v>77</v>
      </c>
      <c r="F449">
        <v>135</v>
      </c>
      <c r="G449">
        <v>2.4</v>
      </c>
      <c r="H449">
        <v>1</v>
      </c>
      <c r="I449" t="s">
        <v>110</v>
      </c>
      <c r="J449" s="143">
        <v>43949</v>
      </c>
      <c r="L449">
        <v>307</v>
      </c>
      <c r="M449" t="s">
        <v>1133</v>
      </c>
      <c r="N449" t="s">
        <v>1133</v>
      </c>
      <c r="O449" t="s">
        <v>77</v>
      </c>
      <c r="P449">
        <v>55</v>
      </c>
      <c r="Q449">
        <v>0.97</v>
      </c>
      <c r="R449">
        <v>0.12</v>
      </c>
      <c r="S449" t="s">
        <v>110</v>
      </c>
      <c r="T449">
        <v>43943</v>
      </c>
    </row>
    <row r="450" spans="2:20">
      <c r="B450">
        <v>107</v>
      </c>
      <c r="C450" t="s">
        <v>118</v>
      </c>
      <c r="D450" t="s">
        <v>118</v>
      </c>
      <c r="E450" t="s">
        <v>161</v>
      </c>
      <c r="F450">
        <v>51</v>
      </c>
      <c r="G450">
        <v>0.9</v>
      </c>
      <c r="H450">
        <v>0.4</v>
      </c>
      <c r="I450" t="s">
        <v>110</v>
      </c>
      <c r="J450" s="143">
        <v>43941</v>
      </c>
      <c r="L450">
        <v>308</v>
      </c>
      <c r="M450" t="s">
        <v>1133</v>
      </c>
      <c r="N450" t="s">
        <v>1133</v>
      </c>
      <c r="O450" t="s">
        <v>77</v>
      </c>
      <c r="P450">
        <v>55</v>
      </c>
      <c r="Q450">
        <v>0.97</v>
      </c>
      <c r="R450">
        <v>0.12</v>
      </c>
      <c r="S450" t="s">
        <v>110</v>
      </c>
      <c r="T450">
        <v>43943</v>
      </c>
    </row>
    <row r="451" spans="2:20">
      <c r="B451">
        <v>108</v>
      </c>
      <c r="C451" t="s">
        <v>118</v>
      </c>
      <c r="D451" t="s">
        <v>118</v>
      </c>
      <c r="E451" t="s">
        <v>161</v>
      </c>
      <c r="F451">
        <v>91</v>
      </c>
      <c r="G451">
        <v>1.61</v>
      </c>
      <c r="H451">
        <v>1.5</v>
      </c>
      <c r="I451" t="s">
        <v>110</v>
      </c>
      <c r="J451" s="143">
        <v>43941</v>
      </c>
      <c r="L451">
        <v>309</v>
      </c>
      <c r="M451" t="s">
        <v>1140</v>
      </c>
      <c r="N451" t="s">
        <v>1140</v>
      </c>
      <c r="O451" t="s">
        <v>77</v>
      </c>
      <c r="P451">
        <v>19</v>
      </c>
      <c r="Q451">
        <v>0.33</v>
      </c>
      <c r="R451">
        <v>0.25</v>
      </c>
      <c r="S451" t="s">
        <v>110</v>
      </c>
      <c r="T451">
        <v>43943</v>
      </c>
    </row>
    <row r="452" spans="2:20">
      <c r="B452">
        <v>109</v>
      </c>
      <c r="C452" t="s">
        <v>118</v>
      </c>
      <c r="D452" t="s">
        <v>118</v>
      </c>
      <c r="E452" t="s">
        <v>161</v>
      </c>
      <c r="F452">
        <v>2</v>
      </c>
      <c r="G452">
        <v>0.03</v>
      </c>
      <c r="H452">
        <v>0</v>
      </c>
      <c r="I452" t="s">
        <v>110</v>
      </c>
      <c r="J452" s="143">
        <v>43941</v>
      </c>
      <c r="L452">
        <v>310</v>
      </c>
      <c r="M452" t="s">
        <v>1140</v>
      </c>
      <c r="N452" t="s">
        <v>1140</v>
      </c>
      <c r="O452" t="s">
        <v>77</v>
      </c>
      <c r="P452">
        <v>244</v>
      </c>
      <c r="Q452">
        <v>4.33</v>
      </c>
      <c r="R452">
        <v>3</v>
      </c>
      <c r="S452" t="s">
        <v>110</v>
      </c>
      <c r="T452">
        <v>43943</v>
      </c>
    </row>
    <row r="453" spans="2:20">
      <c r="B453">
        <v>110</v>
      </c>
      <c r="C453" t="s">
        <v>118</v>
      </c>
      <c r="D453" t="s">
        <v>118</v>
      </c>
      <c r="E453" t="s">
        <v>161</v>
      </c>
      <c r="F453">
        <v>56</v>
      </c>
      <c r="G453">
        <v>0.99</v>
      </c>
      <c r="H453">
        <v>0.5</v>
      </c>
      <c r="I453" t="s">
        <v>110</v>
      </c>
      <c r="J453" s="143">
        <v>43941</v>
      </c>
      <c r="L453">
        <v>336</v>
      </c>
      <c r="M453" t="s">
        <v>317</v>
      </c>
      <c r="N453" t="s">
        <v>317</v>
      </c>
      <c r="O453" t="s">
        <v>77</v>
      </c>
      <c r="P453">
        <v>224</v>
      </c>
      <c r="Q453">
        <v>3.98</v>
      </c>
      <c r="R453">
        <v>3</v>
      </c>
      <c r="S453" t="s">
        <v>110</v>
      </c>
      <c r="T453">
        <v>43945</v>
      </c>
    </row>
    <row r="454" spans="2:20">
      <c r="B454">
        <v>111</v>
      </c>
      <c r="C454" t="s">
        <v>118</v>
      </c>
      <c r="D454" t="s">
        <v>118</v>
      </c>
      <c r="E454" t="s">
        <v>161</v>
      </c>
      <c r="F454">
        <v>233</v>
      </c>
      <c r="G454">
        <v>4.1399999999999997</v>
      </c>
      <c r="H454">
        <v>3.5</v>
      </c>
      <c r="I454" t="s">
        <v>110</v>
      </c>
      <c r="J454" s="143">
        <v>43941</v>
      </c>
      <c r="L454">
        <v>337</v>
      </c>
      <c r="M454" t="s">
        <v>317</v>
      </c>
      <c r="N454" t="s">
        <v>317</v>
      </c>
      <c r="O454" t="s">
        <v>77</v>
      </c>
      <c r="P454">
        <v>309</v>
      </c>
      <c r="Q454">
        <v>5.49</v>
      </c>
      <c r="R454">
        <v>4</v>
      </c>
      <c r="S454" t="s">
        <v>110</v>
      </c>
      <c r="T454">
        <v>43945</v>
      </c>
    </row>
    <row r="455" spans="2:20">
      <c r="B455">
        <v>112</v>
      </c>
      <c r="C455" t="s">
        <v>118</v>
      </c>
      <c r="D455" t="s">
        <v>118</v>
      </c>
      <c r="E455" t="s">
        <v>161</v>
      </c>
      <c r="F455">
        <v>78</v>
      </c>
      <c r="G455">
        <v>1.38</v>
      </c>
      <c r="H455">
        <v>1</v>
      </c>
      <c r="I455" t="s">
        <v>110</v>
      </c>
      <c r="J455" s="143">
        <v>43941</v>
      </c>
      <c r="L455">
        <v>338</v>
      </c>
      <c r="M455" t="s">
        <v>317</v>
      </c>
      <c r="N455" t="s">
        <v>317</v>
      </c>
      <c r="O455" t="s">
        <v>77</v>
      </c>
      <c r="P455">
        <v>25</v>
      </c>
      <c r="Q455">
        <v>0.44</v>
      </c>
      <c r="R455">
        <v>0.12</v>
      </c>
      <c r="S455" t="s">
        <v>110</v>
      </c>
      <c r="T455">
        <v>43945</v>
      </c>
    </row>
    <row r="456" spans="2:20">
      <c r="B456">
        <v>113</v>
      </c>
      <c r="C456" t="s">
        <v>118</v>
      </c>
      <c r="D456" t="s">
        <v>118</v>
      </c>
      <c r="E456" t="s">
        <v>161</v>
      </c>
      <c r="F456">
        <v>23</v>
      </c>
      <c r="G456">
        <v>0.4</v>
      </c>
      <c r="H456">
        <v>0.2</v>
      </c>
      <c r="I456" t="s">
        <v>110</v>
      </c>
      <c r="J456" s="143">
        <v>43941</v>
      </c>
      <c r="L456">
        <v>339</v>
      </c>
      <c r="M456" t="s">
        <v>317</v>
      </c>
      <c r="N456" t="s">
        <v>317</v>
      </c>
      <c r="O456" t="s">
        <v>77</v>
      </c>
      <c r="P456">
        <v>215</v>
      </c>
      <c r="Q456">
        <v>3.82</v>
      </c>
      <c r="R456">
        <v>2</v>
      </c>
      <c r="S456" t="s">
        <v>110</v>
      </c>
      <c r="T456">
        <v>43945</v>
      </c>
    </row>
    <row r="457" spans="2:20">
      <c r="B457">
        <v>114</v>
      </c>
      <c r="C457" t="s">
        <v>118</v>
      </c>
      <c r="D457" t="s">
        <v>118</v>
      </c>
      <c r="E457" t="s">
        <v>161</v>
      </c>
      <c r="F457">
        <v>127</v>
      </c>
      <c r="G457">
        <v>2.25</v>
      </c>
      <c r="H457">
        <v>0.3</v>
      </c>
      <c r="I457" t="s">
        <v>110</v>
      </c>
      <c r="J457" s="143">
        <v>43941</v>
      </c>
      <c r="L457">
        <v>342</v>
      </c>
      <c r="M457" t="s">
        <v>1215</v>
      </c>
      <c r="N457" t="s">
        <v>1215</v>
      </c>
      <c r="O457" t="s">
        <v>77</v>
      </c>
      <c r="P457">
        <v>145</v>
      </c>
      <c r="Q457">
        <v>2.57</v>
      </c>
      <c r="R457">
        <v>2</v>
      </c>
      <c r="S457" t="s">
        <v>110</v>
      </c>
      <c r="T457">
        <v>43949</v>
      </c>
    </row>
    <row r="458" spans="2:20">
      <c r="B458">
        <v>115</v>
      </c>
      <c r="C458" t="s">
        <v>118</v>
      </c>
      <c r="D458" t="s">
        <v>118</v>
      </c>
      <c r="E458" t="s">
        <v>161</v>
      </c>
      <c r="F458">
        <v>41</v>
      </c>
      <c r="G458">
        <v>0.72</v>
      </c>
      <c r="H458">
        <v>0.2</v>
      </c>
      <c r="I458" t="s">
        <v>110</v>
      </c>
      <c r="J458" s="143">
        <v>43941</v>
      </c>
      <c r="L458">
        <v>343</v>
      </c>
      <c r="M458" t="s">
        <v>1215</v>
      </c>
      <c r="N458" t="s">
        <v>1215</v>
      </c>
      <c r="O458" t="s">
        <v>77</v>
      </c>
      <c r="P458">
        <v>89</v>
      </c>
      <c r="Q458">
        <v>1.58</v>
      </c>
      <c r="R458">
        <v>1</v>
      </c>
      <c r="S458" t="s">
        <v>110</v>
      </c>
      <c r="T458">
        <v>43949</v>
      </c>
    </row>
    <row r="459" spans="2:20">
      <c r="B459">
        <v>116</v>
      </c>
      <c r="C459" t="s">
        <v>118</v>
      </c>
      <c r="D459" t="s">
        <v>118</v>
      </c>
      <c r="E459" t="s">
        <v>161</v>
      </c>
      <c r="F459">
        <v>25</v>
      </c>
      <c r="G459">
        <v>0.44</v>
      </c>
      <c r="H459">
        <v>0.2</v>
      </c>
      <c r="I459" t="s">
        <v>110</v>
      </c>
      <c r="J459" s="143">
        <v>43941</v>
      </c>
      <c r="L459">
        <v>344</v>
      </c>
      <c r="M459" t="s">
        <v>1215</v>
      </c>
      <c r="N459" t="s">
        <v>1215</v>
      </c>
      <c r="O459" t="s">
        <v>77</v>
      </c>
      <c r="P459">
        <v>186</v>
      </c>
      <c r="Q459">
        <v>3.3</v>
      </c>
      <c r="R459">
        <v>2</v>
      </c>
      <c r="S459" t="s">
        <v>110</v>
      </c>
      <c r="T459">
        <v>43949</v>
      </c>
    </row>
    <row r="460" spans="2:20">
      <c r="B460">
        <v>117</v>
      </c>
      <c r="C460" t="s">
        <v>118</v>
      </c>
      <c r="D460" t="s">
        <v>118</v>
      </c>
      <c r="E460" t="s">
        <v>161</v>
      </c>
      <c r="F460">
        <v>8</v>
      </c>
      <c r="G460">
        <v>0.14000000000000001</v>
      </c>
      <c r="H460">
        <v>0.1</v>
      </c>
      <c r="I460" t="s">
        <v>110</v>
      </c>
      <c r="J460" s="143">
        <v>43941</v>
      </c>
      <c r="L460">
        <v>345</v>
      </c>
      <c r="M460" t="s">
        <v>1215</v>
      </c>
      <c r="N460" t="s">
        <v>1215</v>
      </c>
      <c r="O460" t="s">
        <v>77</v>
      </c>
      <c r="P460">
        <v>18</v>
      </c>
      <c r="Q460">
        <v>0.32</v>
      </c>
      <c r="R460">
        <v>0.12</v>
      </c>
      <c r="S460" t="s">
        <v>110</v>
      </c>
      <c r="T460">
        <v>43949</v>
      </c>
    </row>
    <row r="461" spans="2:20">
      <c r="B461">
        <v>118</v>
      </c>
      <c r="C461" t="s">
        <v>118</v>
      </c>
      <c r="D461" t="s">
        <v>118</v>
      </c>
      <c r="E461" t="s">
        <v>161</v>
      </c>
      <c r="F461">
        <v>314</v>
      </c>
      <c r="G461">
        <v>5.58</v>
      </c>
      <c r="H461">
        <v>5</v>
      </c>
      <c r="I461" t="s">
        <v>110</v>
      </c>
      <c r="J461" s="143">
        <v>43941</v>
      </c>
      <c r="L461">
        <v>346</v>
      </c>
      <c r="M461" t="s">
        <v>1215</v>
      </c>
      <c r="N461" t="s">
        <v>1215</v>
      </c>
      <c r="O461" t="s">
        <v>77</v>
      </c>
      <c r="P461">
        <v>124</v>
      </c>
      <c r="Q461">
        <v>2.2000000000000002</v>
      </c>
      <c r="R461">
        <v>1</v>
      </c>
      <c r="S461" t="s">
        <v>110</v>
      </c>
      <c r="T461">
        <v>43949</v>
      </c>
    </row>
    <row r="462" spans="2:20">
      <c r="B462">
        <v>121</v>
      </c>
      <c r="C462" t="s">
        <v>118</v>
      </c>
      <c r="D462" t="s">
        <v>118</v>
      </c>
      <c r="E462" t="s">
        <v>161</v>
      </c>
      <c r="F462">
        <v>12</v>
      </c>
      <c r="G462">
        <v>0.21</v>
      </c>
      <c r="H462">
        <v>0.1</v>
      </c>
      <c r="I462" t="s">
        <v>110</v>
      </c>
      <c r="J462" s="143">
        <v>43941</v>
      </c>
      <c r="L462">
        <v>347</v>
      </c>
      <c r="M462" t="s">
        <v>1215</v>
      </c>
      <c r="N462" t="s">
        <v>1215</v>
      </c>
      <c r="O462" t="s">
        <v>77</v>
      </c>
      <c r="P462">
        <v>154</v>
      </c>
      <c r="Q462">
        <v>2.73</v>
      </c>
      <c r="R462">
        <v>1</v>
      </c>
      <c r="S462" t="s">
        <v>110</v>
      </c>
      <c r="T462">
        <v>43949</v>
      </c>
    </row>
    <row r="463" spans="2:20">
      <c r="B463">
        <v>127</v>
      </c>
      <c r="C463" t="s">
        <v>176</v>
      </c>
      <c r="D463" t="s">
        <v>176</v>
      </c>
      <c r="E463" t="s">
        <v>161</v>
      </c>
      <c r="F463">
        <v>278</v>
      </c>
      <c r="G463">
        <v>4.9400000000000004</v>
      </c>
      <c r="H463">
        <v>3</v>
      </c>
      <c r="I463" t="s">
        <v>110</v>
      </c>
      <c r="J463" s="143">
        <v>43945</v>
      </c>
      <c r="L463">
        <v>348</v>
      </c>
      <c r="M463" t="s">
        <v>1215</v>
      </c>
      <c r="N463" t="s">
        <v>1215</v>
      </c>
      <c r="O463" t="s">
        <v>77</v>
      </c>
      <c r="P463">
        <v>135</v>
      </c>
      <c r="Q463">
        <v>2.4</v>
      </c>
      <c r="R463">
        <v>1</v>
      </c>
      <c r="S463" t="s">
        <v>110</v>
      </c>
      <c r="T463">
        <v>43949</v>
      </c>
    </row>
    <row r="464" spans="2:20">
      <c r="B464">
        <v>140</v>
      </c>
      <c r="C464" t="s">
        <v>176</v>
      </c>
      <c r="D464" t="s">
        <v>176</v>
      </c>
      <c r="E464" t="s">
        <v>161</v>
      </c>
      <c r="F464">
        <v>121</v>
      </c>
      <c r="G464">
        <v>2.15</v>
      </c>
      <c r="H464">
        <v>1</v>
      </c>
      <c r="I464" t="s">
        <v>110</v>
      </c>
      <c r="J464" s="143">
        <v>43945</v>
      </c>
      <c r="L464">
        <v>107</v>
      </c>
      <c r="M464" t="s">
        <v>118</v>
      </c>
      <c r="N464" t="s">
        <v>118</v>
      </c>
      <c r="O464" t="s">
        <v>161</v>
      </c>
      <c r="P464">
        <v>51</v>
      </c>
      <c r="Q464">
        <v>0.9</v>
      </c>
      <c r="R464">
        <v>0.4</v>
      </c>
      <c r="S464" t="s">
        <v>110</v>
      </c>
      <c r="T464">
        <v>43941</v>
      </c>
    </row>
    <row r="465" spans="2:20">
      <c r="B465">
        <v>141</v>
      </c>
      <c r="C465" t="s">
        <v>176</v>
      </c>
      <c r="D465" t="s">
        <v>176</v>
      </c>
      <c r="E465" t="s">
        <v>161</v>
      </c>
      <c r="F465">
        <v>251</v>
      </c>
      <c r="G465">
        <v>4.46</v>
      </c>
      <c r="H465">
        <v>6</v>
      </c>
      <c r="I465" t="s">
        <v>110</v>
      </c>
      <c r="J465" s="143">
        <v>43945</v>
      </c>
      <c r="L465">
        <v>108</v>
      </c>
      <c r="M465" t="s">
        <v>118</v>
      </c>
      <c r="N465" t="s">
        <v>118</v>
      </c>
      <c r="O465" t="s">
        <v>161</v>
      </c>
      <c r="P465">
        <v>91</v>
      </c>
      <c r="Q465">
        <v>1.61</v>
      </c>
      <c r="R465">
        <v>1.5</v>
      </c>
      <c r="S465" t="s">
        <v>110</v>
      </c>
      <c r="T465">
        <v>43941</v>
      </c>
    </row>
    <row r="466" spans="2:20">
      <c r="B466">
        <v>142</v>
      </c>
      <c r="C466" t="s">
        <v>176</v>
      </c>
      <c r="D466" t="s">
        <v>176</v>
      </c>
      <c r="E466" t="s">
        <v>161</v>
      </c>
      <c r="F466">
        <v>80</v>
      </c>
      <c r="G466">
        <v>1.42</v>
      </c>
      <c r="H466">
        <v>1</v>
      </c>
      <c r="I466" t="s">
        <v>110</v>
      </c>
      <c r="J466" s="143">
        <v>43945</v>
      </c>
      <c r="L466">
        <v>109</v>
      </c>
      <c r="M466" t="s">
        <v>118</v>
      </c>
      <c r="N466" t="s">
        <v>118</v>
      </c>
      <c r="O466" t="s">
        <v>161</v>
      </c>
      <c r="P466">
        <v>2</v>
      </c>
      <c r="Q466">
        <v>0.03</v>
      </c>
      <c r="R466">
        <v>0</v>
      </c>
      <c r="S466" t="s">
        <v>110</v>
      </c>
      <c r="T466">
        <v>43941</v>
      </c>
    </row>
    <row r="467" spans="2:20">
      <c r="B467">
        <v>143</v>
      </c>
      <c r="C467" t="s">
        <v>176</v>
      </c>
      <c r="D467" t="s">
        <v>176</v>
      </c>
      <c r="E467" t="s">
        <v>161</v>
      </c>
      <c r="F467">
        <v>67</v>
      </c>
      <c r="G467">
        <v>1.19</v>
      </c>
      <c r="H467">
        <v>1</v>
      </c>
      <c r="I467" t="s">
        <v>110</v>
      </c>
      <c r="J467" s="143">
        <v>43945</v>
      </c>
      <c r="L467">
        <v>110</v>
      </c>
      <c r="M467" t="s">
        <v>118</v>
      </c>
      <c r="N467" t="s">
        <v>118</v>
      </c>
      <c r="O467" t="s">
        <v>161</v>
      </c>
      <c r="P467">
        <v>56</v>
      </c>
      <c r="Q467">
        <v>0.99</v>
      </c>
      <c r="R467">
        <v>0.5</v>
      </c>
      <c r="S467" t="s">
        <v>110</v>
      </c>
      <c r="T467">
        <v>43941</v>
      </c>
    </row>
    <row r="468" spans="2:20">
      <c r="B468">
        <v>144</v>
      </c>
      <c r="C468" t="s">
        <v>176</v>
      </c>
      <c r="D468" t="s">
        <v>176</v>
      </c>
      <c r="E468" t="s">
        <v>161</v>
      </c>
      <c r="F468">
        <v>33</v>
      </c>
      <c r="G468">
        <v>0.57999999999999996</v>
      </c>
      <c r="H468">
        <v>0.5</v>
      </c>
      <c r="I468" t="s">
        <v>110</v>
      </c>
      <c r="J468" s="143">
        <v>43945</v>
      </c>
      <c r="L468">
        <v>111</v>
      </c>
      <c r="M468" t="s">
        <v>118</v>
      </c>
      <c r="N468" t="s">
        <v>118</v>
      </c>
      <c r="O468" t="s">
        <v>161</v>
      </c>
      <c r="P468">
        <v>233</v>
      </c>
      <c r="Q468">
        <v>4.1399999999999997</v>
      </c>
      <c r="R468">
        <v>3.5</v>
      </c>
      <c r="S468" t="s">
        <v>110</v>
      </c>
      <c r="T468">
        <v>43941</v>
      </c>
    </row>
    <row r="469" spans="2:20">
      <c r="B469">
        <v>145</v>
      </c>
      <c r="C469" t="s">
        <v>176</v>
      </c>
      <c r="D469" t="s">
        <v>176</v>
      </c>
      <c r="E469" t="s">
        <v>161</v>
      </c>
      <c r="F469">
        <v>23</v>
      </c>
      <c r="G469">
        <v>0.4</v>
      </c>
      <c r="H469">
        <v>0.2</v>
      </c>
      <c r="I469" t="s">
        <v>110</v>
      </c>
      <c r="J469" s="143">
        <v>43945</v>
      </c>
      <c r="L469">
        <v>112</v>
      </c>
      <c r="M469" t="s">
        <v>118</v>
      </c>
      <c r="N469" t="s">
        <v>118</v>
      </c>
      <c r="O469" t="s">
        <v>161</v>
      </c>
      <c r="P469">
        <v>78</v>
      </c>
      <c r="Q469">
        <v>1.38</v>
      </c>
      <c r="R469">
        <v>1</v>
      </c>
      <c r="S469" t="s">
        <v>110</v>
      </c>
      <c r="T469">
        <v>43941</v>
      </c>
    </row>
    <row r="470" spans="2:20">
      <c r="B470">
        <v>146</v>
      </c>
      <c r="C470" t="s">
        <v>176</v>
      </c>
      <c r="D470" t="s">
        <v>176</v>
      </c>
      <c r="E470" t="s">
        <v>161</v>
      </c>
      <c r="F470">
        <v>124</v>
      </c>
      <c r="G470">
        <v>2.2000000000000002</v>
      </c>
      <c r="H470">
        <v>0.5</v>
      </c>
      <c r="I470" t="s">
        <v>110</v>
      </c>
      <c r="J470" s="143">
        <v>43945</v>
      </c>
      <c r="L470">
        <v>113</v>
      </c>
      <c r="M470" t="s">
        <v>118</v>
      </c>
      <c r="N470" t="s">
        <v>118</v>
      </c>
      <c r="O470" t="s">
        <v>161</v>
      </c>
      <c r="P470">
        <v>23</v>
      </c>
      <c r="Q470">
        <v>0.4</v>
      </c>
      <c r="R470">
        <v>0.2</v>
      </c>
      <c r="S470" t="s">
        <v>110</v>
      </c>
      <c r="T470">
        <v>43941</v>
      </c>
    </row>
    <row r="471" spans="2:20">
      <c r="B471">
        <v>147</v>
      </c>
      <c r="C471" t="s">
        <v>176</v>
      </c>
      <c r="D471" t="s">
        <v>176</v>
      </c>
      <c r="E471" t="s">
        <v>161</v>
      </c>
      <c r="F471">
        <v>131</v>
      </c>
      <c r="G471">
        <v>2.3199999999999998</v>
      </c>
      <c r="H471">
        <v>2</v>
      </c>
      <c r="I471" t="s">
        <v>110</v>
      </c>
      <c r="J471" s="143">
        <v>43945</v>
      </c>
      <c r="L471">
        <v>114</v>
      </c>
      <c r="M471" t="s">
        <v>118</v>
      </c>
      <c r="N471" t="s">
        <v>118</v>
      </c>
      <c r="O471" t="s">
        <v>161</v>
      </c>
      <c r="P471">
        <v>127</v>
      </c>
      <c r="Q471">
        <v>2.25</v>
      </c>
      <c r="R471">
        <v>0.3</v>
      </c>
      <c r="S471" t="s">
        <v>110</v>
      </c>
      <c r="T471">
        <v>43941</v>
      </c>
    </row>
    <row r="472" spans="2:20">
      <c r="B472">
        <v>148</v>
      </c>
      <c r="C472" t="s">
        <v>176</v>
      </c>
      <c r="D472" t="s">
        <v>176</v>
      </c>
      <c r="E472" t="s">
        <v>161</v>
      </c>
      <c r="F472">
        <v>227</v>
      </c>
      <c r="G472">
        <v>4.03</v>
      </c>
      <c r="H472">
        <v>4</v>
      </c>
      <c r="I472" t="s">
        <v>110</v>
      </c>
      <c r="J472" s="143">
        <v>43945</v>
      </c>
      <c r="L472">
        <v>115</v>
      </c>
      <c r="M472" t="s">
        <v>118</v>
      </c>
      <c r="N472" t="s">
        <v>118</v>
      </c>
      <c r="O472" t="s">
        <v>161</v>
      </c>
      <c r="P472">
        <v>41</v>
      </c>
      <c r="Q472">
        <v>0.72</v>
      </c>
      <c r="R472">
        <v>0.2</v>
      </c>
      <c r="S472" t="s">
        <v>110</v>
      </c>
      <c r="T472">
        <v>43941</v>
      </c>
    </row>
    <row r="473" spans="2:20">
      <c r="B473">
        <v>149</v>
      </c>
      <c r="C473" t="s">
        <v>176</v>
      </c>
      <c r="D473" t="s">
        <v>176</v>
      </c>
      <c r="E473" t="s">
        <v>161</v>
      </c>
      <c r="F473">
        <v>194</v>
      </c>
      <c r="G473">
        <v>3.44</v>
      </c>
      <c r="H473">
        <v>3</v>
      </c>
      <c r="I473" t="s">
        <v>110</v>
      </c>
      <c r="J473" s="143">
        <v>43945</v>
      </c>
      <c r="L473">
        <v>116</v>
      </c>
      <c r="M473" t="s">
        <v>118</v>
      </c>
      <c r="N473" t="s">
        <v>118</v>
      </c>
      <c r="O473" t="s">
        <v>161</v>
      </c>
      <c r="P473">
        <v>25</v>
      </c>
      <c r="Q473">
        <v>0.44</v>
      </c>
      <c r="R473">
        <v>0.2</v>
      </c>
      <c r="S473" t="s">
        <v>110</v>
      </c>
      <c r="T473">
        <v>43941</v>
      </c>
    </row>
    <row r="474" spans="2:20">
      <c r="B474">
        <v>150</v>
      </c>
      <c r="C474" t="s">
        <v>176</v>
      </c>
      <c r="D474" t="s">
        <v>176</v>
      </c>
      <c r="E474" t="s">
        <v>161</v>
      </c>
      <c r="F474">
        <v>186</v>
      </c>
      <c r="G474">
        <v>3.3</v>
      </c>
      <c r="H474">
        <v>2</v>
      </c>
      <c r="I474" t="s">
        <v>110</v>
      </c>
      <c r="J474" s="143">
        <v>43945</v>
      </c>
      <c r="L474">
        <v>117</v>
      </c>
      <c r="M474" t="s">
        <v>118</v>
      </c>
      <c r="N474" t="s">
        <v>118</v>
      </c>
      <c r="O474" t="s">
        <v>161</v>
      </c>
      <c r="P474">
        <v>8</v>
      </c>
      <c r="Q474">
        <v>0.14000000000000001</v>
      </c>
      <c r="R474">
        <v>0.1</v>
      </c>
      <c r="S474" t="s">
        <v>110</v>
      </c>
      <c r="T474">
        <v>43941</v>
      </c>
    </row>
    <row r="475" spans="2:20">
      <c r="B475">
        <v>151</v>
      </c>
      <c r="C475" t="s">
        <v>176</v>
      </c>
      <c r="D475" t="s">
        <v>176</v>
      </c>
      <c r="E475" t="s">
        <v>161</v>
      </c>
      <c r="F475">
        <v>439</v>
      </c>
      <c r="G475">
        <v>7.8</v>
      </c>
      <c r="H475">
        <v>5</v>
      </c>
      <c r="I475" t="s">
        <v>110</v>
      </c>
      <c r="J475" s="143">
        <v>43945</v>
      </c>
      <c r="L475">
        <v>118</v>
      </c>
      <c r="M475" t="s">
        <v>118</v>
      </c>
      <c r="N475" t="s">
        <v>118</v>
      </c>
      <c r="O475" t="s">
        <v>161</v>
      </c>
      <c r="P475">
        <v>314</v>
      </c>
      <c r="Q475">
        <v>5.58</v>
      </c>
      <c r="R475">
        <v>5</v>
      </c>
      <c r="S475" t="s">
        <v>110</v>
      </c>
      <c r="T475">
        <v>43941</v>
      </c>
    </row>
    <row r="476" spans="2:20">
      <c r="B476">
        <v>152</v>
      </c>
      <c r="C476" t="s">
        <v>176</v>
      </c>
      <c r="D476" t="s">
        <v>176</v>
      </c>
      <c r="E476" t="s">
        <v>161</v>
      </c>
      <c r="F476">
        <v>134</v>
      </c>
      <c r="G476">
        <v>2.38</v>
      </c>
      <c r="H476">
        <v>1</v>
      </c>
      <c r="I476" t="s">
        <v>110</v>
      </c>
      <c r="J476" s="143">
        <v>43945</v>
      </c>
      <c r="L476">
        <v>121</v>
      </c>
      <c r="M476" t="s">
        <v>118</v>
      </c>
      <c r="N476" t="s">
        <v>118</v>
      </c>
      <c r="O476" t="s">
        <v>161</v>
      </c>
      <c r="P476">
        <v>12</v>
      </c>
      <c r="Q476">
        <v>0.21</v>
      </c>
      <c r="R476">
        <v>0.1</v>
      </c>
      <c r="S476" t="s">
        <v>110</v>
      </c>
      <c r="T476">
        <v>43941</v>
      </c>
    </row>
    <row r="477" spans="2:20">
      <c r="B477">
        <v>153</v>
      </c>
      <c r="C477" t="s">
        <v>176</v>
      </c>
      <c r="D477" t="s">
        <v>176</v>
      </c>
      <c r="E477" t="s">
        <v>161</v>
      </c>
      <c r="F477">
        <v>237</v>
      </c>
      <c r="G477">
        <v>4.21</v>
      </c>
      <c r="H477">
        <v>2</v>
      </c>
      <c r="I477" t="s">
        <v>110</v>
      </c>
      <c r="J477" s="143">
        <v>43945</v>
      </c>
      <c r="L477">
        <v>127</v>
      </c>
      <c r="M477" t="s">
        <v>176</v>
      </c>
      <c r="N477" t="s">
        <v>176</v>
      </c>
      <c r="O477" t="s">
        <v>161</v>
      </c>
      <c r="P477">
        <v>278</v>
      </c>
      <c r="Q477">
        <v>4.9400000000000004</v>
      </c>
      <c r="R477">
        <v>3</v>
      </c>
      <c r="S477" t="s">
        <v>110</v>
      </c>
      <c r="T477">
        <v>43945</v>
      </c>
    </row>
    <row r="478" spans="2:20">
      <c r="B478">
        <v>183</v>
      </c>
      <c r="C478" t="s">
        <v>234</v>
      </c>
      <c r="D478" t="s">
        <v>234</v>
      </c>
      <c r="E478" t="s">
        <v>161</v>
      </c>
      <c r="F478">
        <v>72</v>
      </c>
      <c r="G478">
        <v>1.28</v>
      </c>
      <c r="H478">
        <v>1</v>
      </c>
      <c r="I478" t="s">
        <v>110</v>
      </c>
      <c r="J478" s="143">
        <v>43950</v>
      </c>
      <c r="L478">
        <v>140</v>
      </c>
      <c r="M478" t="s">
        <v>176</v>
      </c>
      <c r="N478" t="s">
        <v>176</v>
      </c>
      <c r="O478" t="s">
        <v>161</v>
      </c>
      <c r="P478">
        <v>121</v>
      </c>
      <c r="Q478">
        <v>2.15</v>
      </c>
      <c r="R478">
        <v>1</v>
      </c>
      <c r="S478" t="s">
        <v>110</v>
      </c>
      <c r="T478">
        <v>43945</v>
      </c>
    </row>
    <row r="479" spans="2:20">
      <c r="B479">
        <v>184</v>
      </c>
      <c r="C479" t="s">
        <v>234</v>
      </c>
      <c r="D479" t="s">
        <v>234</v>
      </c>
      <c r="E479" t="s">
        <v>161</v>
      </c>
      <c r="F479">
        <v>82</v>
      </c>
      <c r="G479">
        <v>1.45</v>
      </c>
      <c r="H479">
        <v>1</v>
      </c>
      <c r="I479" t="s">
        <v>110</v>
      </c>
      <c r="J479" s="143">
        <v>43950</v>
      </c>
      <c r="L479">
        <v>141</v>
      </c>
      <c r="M479" t="s">
        <v>176</v>
      </c>
      <c r="N479" t="s">
        <v>176</v>
      </c>
      <c r="O479" t="s">
        <v>161</v>
      </c>
      <c r="P479">
        <v>251</v>
      </c>
      <c r="Q479">
        <v>4.46</v>
      </c>
      <c r="R479">
        <v>6</v>
      </c>
      <c r="S479" t="s">
        <v>110</v>
      </c>
      <c r="T479">
        <v>43945</v>
      </c>
    </row>
    <row r="480" spans="2:20">
      <c r="B480">
        <v>185</v>
      </c>
      <c r="C480" t="s">
        <v>234</v>
      </c>
      <c r="D480" t="s">
        <v>234</v>
      </c>
      <c r="E480" t="s">
        <v>161</v>
      </c>
      <c r="F480">
        <v>31</v>
      </c>
      <c r="G480">
        <v>0.55000000000000004</v>
      </c>
      <c r="H480">
        <v>0.5</v>
      </c>
      <c r="I480" t="s">
        <v>110</v>
      </c>
      <c r="J480" s="143">
        <v>43950</v>
      </c>
      <c r="L480">
        <v>142</v>
      </c>
      <c r="M480" t="s">
        <v>176</v>
      </c>
      <c r="N480" t="s">
        <v>176</v>
      </c>
      <c r="O480" t="s">
        <v>161</v>
      </c>
      <c r="P480">
        <v>80</v>
      </c>
      <c r="Q480">
        <v>1.42</v>
      </c>
      <c r="R480">
        <v>1</v>
      </c>
      <c r="S480" t="s">
        <v>110</v>
      </c>
      <c r="T480">
        <v>43945</v>
      </c>
    </row>
    <row r="481" spans="2:20">
      <c r="B481">
        <v>186</v>
      </c>
      <c r="C481" t="s">
        <v>234</v>
      </c>
      <c r="D481" t="s">
        <v>234</v>
      </c>
      <c r="E481" t="s">
        <v>161</v>
      </c>
      <c r="F481">
        <v>38</v>
      </c>
      <c r="G481">
        <v>0.67</v>
      </c>
      <c r="H481">
        <v>0.5</v>
      </c>
      <c r="I481" t="s">
        <v>110</v>
      </c>
      <c r="J481" s="143">
        <v>43950</v>
      </c>
      <c r="L481">
        <v>143</v>
      </c>
      <c r="M481" t="s">
        <v>176</v>
      </c>
      <c r="N481" t="s">
        <v>176</v>
      </c>
      <c r="O481" t="s">
        <v>161</v>
      </c>
      <c r="P481">
        <v>67</v>
      </c>
      <c r="Q481">
        <v>1.19</v>
      </c>
      <c r="R481">
        <v>1</v>
      </c>
      <c r="S481" t="s">
        <v>110</v>
      </c>
      <c r="T481">
        <v>43945</v>
      </c>
    </row>
    <row r="482" spans="2:20">
      <c r="B482">
        <v>200</v>
      </c>
      <c r="C482" t="s">
        <v>234</v>
      </c>
      <c r="D482" t="s">
        <v>234</v>
      </c>
      <c r="E482" t="s">
        <v>161</v>
      </c>
      <c r="F482">
        <v>630</v>
      </c>
      <c r="G482">
        <v>11.2</v>
      </c>
      <c r="H482">
        <v>5</v>
      </c>
      <c r="I482" t="s">
        <v>110</v>
      </c>
      <c r="J482" s="143">
        <v>43950</v>
      </c>
      <c r="L482">
        <v>144</v>
      </c>
      <c r="M482" t="s">
        <v>176</v>
      </c>
      <c r="N482" t="s">
        <v>176</v>
      </c>
      <c r="O482" t="s">
        <v>161</v>
      </c>
      <c r="P482">
        <v>33</v>
      </c>
      <c r="Q482">
        <v>0.57999999999999996</v>
      </c>
      <c r="R482">
        <v>0.5</v>
      </c>
      <c r="S482" t="s">
        <v>110</v>
      </c>
      <c r="T482">
        <v>43945</v>
      </c>
    </row>
    <row r="483" spans="2:20">
      <c r="B483">
        <v>201</v>
      </c>
      <c r="C483" t="s">
        <v>234</v>
      </c>
      <c r="D483" t="s">
        <v>234</v>
      </c>
      <c r="E483" t="s">
        <v>161</v>
      </c>
      <c r="F483">
        <v>109</v>
      </c>
      <c r="G483">
        <v>1.93</v>
      </c>
      <c r="H483">
        <v>1</v>
      </c>
      <c r="I483" t="s">
        <v>110</v>
      </c>
      <c r="J483" s="143">
        <v>43950</v>
      </c>
      <c r="L483">
        <v>145</v>
      </c>
      <c r="M483" t="s">
        <v>176</v>
      </c>
      <c r="N483" t="s">
        <v>176</v>
      </c>
      <c r="O483" t="s">
        <v>161</v>
      </c>
      <c r="P483">
        <v>23</v>
      </c>
      <c r="Q483">
        <v>0.4</v>
      </c>
      <c r="R483">
        <v>0.2</v>
      </c>
      <c r="S483" t="s">
        <v>110</v>
      </c>
      <c r="T483">
        <v>43945</v>
      </c>
    </row>
    <row r="484" spans="2:20">
      <c r="B484">
        <v>202</v>
      </c>
      <c r="C484" t="s">
        <v>234</v>
      </c>
      <c r="D484" t="s">
        <v>234</v>
      </c>
      <c r="E484" t="s">
        <v>161</v>
      </c>
      <c r="F484">
        <v>100</v>
      </c>
      <c r="G484">
        <v>1.77</v>
      </c>
      <c r="H484">
        <v>1</v>
      </c>
      <c r="I484" t="s">
        <v>110</v>
      </c>
      <c r="J484" s="143">
        <v>43950</v>
      </c>
      <c r="L484">
        <v>146</v>
      </c>
      <c r="M484" t="s">
        <v>176</v>
      </c>
      <c r="N484" t="s">
        <v>176</v>
      </c>
      <c r="O484" t="s">
        <v>161</v>
      </c>
      <c r="P484">
        <v>124</v>
      </c>
      <c r="Q484">
        <v>2.2000000000000002</v>
      </c>
      <c r="R484">
        <v>0.5</v>
      </c>
      <c r="S484" t="s">
        <v>110</v>
      </c>
      <c r="T484">
        <v>43945</v>
      </c>
    </row>
    <row r="485" spans="2:20">
      <c r="B485">
        <v>203</v>
      </c>
      <c r="C485" t="s">
        <v>234</v>
      </c>
      <c r="D485" t="s">
        <v>234</v>
      </c>
      <c r="E485" t="s">
        <v>161</v>
      </c>
      <c r="F485">
        <v>160</v>
      </c>
      <c r="G485">
        <v>2.84</v>
      </c>
      <c r="H485">
        <v>2</v>
      </c>
      <c r="I485" t="s">
        <v>110</v>
      </c>
      <c r="J485" s="143">
        <v>43950</v>
      </c>
      <c r="L485">
        <v>147</v>
      </c>
      <c r="M485" t="s">
        <v>176</v>
      </c>
      <c r="N485" t="s">
        <v>176</v>
      </c>
      <c r="O485" t="s">
        <v>161</v>
      </c>
      <c r="P485">
        <v>131</v>
      </c>
      <c r="Q485">
        <v>2.3199999999999998</v>
      </c>
      <c r="R485">
        <v>2</v>
      </c>
      <c r="S485" t="s">
        <v>110</v>
      </c>
      <c r="T485">
        <v>43945</v>
      </c>
    </row>
    <row r="486" spans="2:20">
      <c r="B486">
        <v>221</v>
      </c>
      <c r="C486" t="s">
        <v>234</v>
      </c>
      <c r="D486" t="s">
        <v>234</v>
      </c>
      <c r="E486" t="s">
        <v>161</v>
      </c>
      <c r="F486">
        <v>33</v>
      </c>
      <c r="G486">
        <v>0.57999999999999996</v>
      </c>
      <c r="H486">
        <v>0.5</v>
      </c>
      <c r="I486" t="s">
        <v>110</v>
      </c>
      <c r="J486" s="143">
        <v>43950</v>
      </c>
      <c r="L486">
        <v>148</v>
      </c>
      <c r="M486" t="s">
        <v>176</v>
      </c>
      <c r="N486" t="s">
        <v>176</v>
      </c>
      <c r="O486" t="s">
        <v>161</v>
      </c>
      <c r="P486">
        <v>227</v>
      </c>
      <c r="Q486">
        <v>4.03</v>
      </c>
      <c r="R486">
        <v>4</v>
      </c>
      <c r="S486" t="s">
        <v>110</v>
      </c>
      <c r="T486">
        <v>43945</v>
      </c>
    </row>
    <row r="487" spans="2:20">
      <c r="B487">
        <v>223</v>
      </c>
      <c r="C487" t="s">
        <v>234</v>
      </c>
      <c r="D487" t="s">
        <v>234</v>
      </c>
      <c r="E487" t="s">
        <v>161</v>
      </c>
      <c r="F487">
        <v>54</v>
      </c>
      <c r="G487">
        <v>0.96</v>
      </c>
      <c r="H487">
        <v>0.5</v>
      </c>
      <c r="I487" t="s">
        <v>110</v>
      </c>
      <c r="J487" s="143">
        <v>43950</v>
      </c>
      <c r="L487">
        <v>149</v>
      </c>
      <c r="M487" t="s">
        <v>176</v>
      </c>
      <c r="N487" t="s">
        <v>176</v>
      </c>
      <c r="O487" t="s">
        <v>161</v>
      </c>
      <c r="P487">
        <v>194</v>
      </c>
      <c r="Q487">
        <v>3.44</v>
      </c>
      <c r="R487">
        <v>3</v>
      </c>
      <c r="S487" t="s">
        <v>110</v>
      </c>
      <c r="T487">
        <v>43945</v>
      </c>
    </row>
    <row r="488" spans="2:20">
      <c r="B488">
        <v>229</v>
      </c>
      <c r="C488" t="s">
        <v>234</v>
      </c>
      <c r="D488" t="s">
        <v>234</v>
      </c>
      <c r="E488" t="s">
        <v>161</v>
      </c>
      <c r="F488">
        <v>46</v>
      </c>
      <c r="G488">
        <v>0.81</v>
      </c>
      <c r="H488">
        <v>0.5</v>
      </c>
      <c r="I488" t="s">
        <v>110</v>
      </c>
      <c r="J488" s="143">
        <v>43950</v>
      </c>
      <c r="L488">
        <v>150</v>
      </c>
      <c r="M488" t="s">
        <v>176</v>
      </c>
      <c r="N488" t="s">
        <v>176</v>
      </c>
      <c r="O488" t="s">
        <v>161</v>
      </c>
      <c r="P488">
        <v>186</v>
      </c>
      <c r="Q488">
        <v>3.3</v>
      </c>
      <c r="R488">
        <v>2</v>
      </c>
      <c r="S488" t="s">
        <v>110</v>
      </c>
      <c r="T488">
        <v>43945</v>
      </c>
    </row>
    <row r="489" spans="2:20">
      <c r="B489">
        <v>230</v>
      </c>
      <c r="C489" t="s">
        <v>234</v>
      </c>
      <c r="D489" t="s">
        <v>234</v>
      </c>
      <c r="E489" t="s">
        <v>161</v>
      </c>
      <c r="F489">
        <v>441</v>
      </c>
      <c r="G489">
        <v>7.84</v>
      </c>
      <c r="H489">
        <v>2</v>
      </c>
      <c r="I489" t="s">
        <v>110</v>
      </c>
      <c r="J489" s="143">
        <v>43950</v>
      </c>
      <c r="L489">
        <v>151</v>
      </c>
      <c r="M489" t="s">
        <v>176</v>
      </c>
      <c r="N489" t="s">
        <v>176</v>
      </c>
      <c r="O489" t="s">
        <v>161</v>
      </c>
      <c r="P489">
        <v>439</v>
      </c>
      <c r="Q489">
        <v>7.8</v>
      </c>
      <c r="R489">
        <v>5</v>
      </c>
      <c r="S489" t="s">
        <v>110</v>
      </c>
      <c r="T489">
        <v>43945</v>
      </c>
    </row>
    <row r="490" spans="2:20">
      <c r="B490">
        <v>234</v>
      </c>
      <c r="C490" t="s">
        <v>234</v>
      </c>
      <c r="D490" t="s">
        <v>234</v>
      </c>
      <c r="E490" t="s">
        <v>161</v>
      </c>
      <c r="F490">
        <v>42</v>
      </c>
      <c r="G490">
        <v>0.74</v>
      </c>
      <c r="H490">
        <v>0.5</v>
      </c>
      <c r="I490" t="s">
        <v>110</v>
      </c>
      <c r="J490" s="143">
        <v>43950</v>
      </c>
      <c r="L490">
        <v>152</v>
      </c>
      <c r="M490" t="s">
        <v>176</v>
      </c>
      <c r="N490" t="s">
        <v>176</v>
      </c>
      <c r="O490" t="s">
        <v>161</v>
      </c>
      <c r="P490">
        <v>134</v>
      </c>
      <c r="Q490">
        <v>2.38</v>
      </c>
      <c r="R490">
        <v>1</v>
      </c>
      <c r="S490" t="s">
        <v>110</v>
      </c>
      <c r="T490">
        <v>43945</v>
      </c>
    </row>
    <row r="491" spans="2:20">
      <c r="B491">
        <v>235</v>
      </c>
      <c r="C491" t="s">
        <v>234</v>
      </c>
      <c r="D491" t="s">
        <v>234</v>
      </c>
      <c r="E491" t="s">
        <v>161</v>
      </c>
      <c r="F491">
        <v>40</v>
      </c>
      <c r="G491">
        <v>0.71</v>
      </c>
      <c r="H491">
        <v>0.5</v>
      </c>
      <c r="I491" t="s">
        <v>110</v>
      </c>
      <c r="J491" s="143">
        <v>43950</v>
      </c>
      <c r="L491">
        <v>153</v>
      </c>
      <c r="M491" t="s">
        <v>176</v>
      </c>
      <c r="N491" t="s">
        <v>176</v>
      </c>
      <c r="O491" t="s">
        <v>161</v>
      </c>
      <c r="P491">
        <v>237</v>
      </c>
      <c r="Q491">
        <v>4.21</v>
      </c>
      <c r="R491">
        <v>2</v>
      </c>
      <c r="S491" t="s">
        <v>110</v>
      </c>
      <c r="T491">
        <v>43945</v>
      </c>
    </row>
    <row r="492" spans="2:20">
      <c r="B492">
        <v>240</v>
      </c>
      <c r="C492" t="s">
        <v>286</v>
      </c>
      <c r="D492" t="s">
        <v>286</v>
      </c>
      <c r="E492" t="s">
        <v>161</v>
      </c>
      <c r="F492">
        <v>106</v>
      </c>
      <c r="G492">
        <v>1.88</v>
      </c>
      <c r="H492">
        <v>1</v>
      </c>
      <c r="I492" t="s">
        <v>505</v>
      </c>
      <c r="J492" s="143">
        <v>43964</v>
      </c>
      <c r="L492">
        <v>183</v>
      </c>
      <c r="M492" t="s">
        <v>234</v>
      </c>
      <c r="N492" t="s">
        <v>234</v>
      </c>
      <c r="O492" t="s">
        <v>161</v>
      </c>
      <c r="P492">
        <v>72</v>
      </c>
      <c r="Q492">
        <v>1.28</v>
      </c>
      <c r="R492">
        <v>1</v>
      </c>
      <c r="S492" t="s">
        <v>110</v>
      </c>
      <c r="T492">
        <v>43950</v>
      </c>
    </row>
    <row r="493" spans="2:20">
      <c r="B493">
        <v>241</v>
      </c>
      <c r="C493" t="s">
        <v>286</v>
      </c>
      <c r="D493" t="s">
        <v>286</v>
      </c>
      <c r="E493" t="s">
        <v>161</v>
      </c>
      <c r="F493">
        <v>44</v>
      </c>
      <c r="G493">
        <v>0.78</v>
      </c>
      <c r="H493">
        <v>0.5</v>
      </c>
      <c r="I493" t="s">
        <v>505</v>
      </c>
      <c r="J493" s="143">
        <v>43964</v>
      </c>
      <c r="L493">
        <v>184</v>
      </c>
      <c r="M493" t="s">
        <v>234</v>
      </c>
      <c r="N493" t="s">
        <v>234</v>
      </c>
      <c r="O493" t="s">
        <v>161</v>
      </c>
      <c r="P493">
        <v>82</v>
      </c>
      <c r="Q493">
        <v>1.45</v>
      </c>
      <c r="R493">
        <v>1</v>
      </c>
      <c r="S493" t="s">
        <v>110</v>
      </c>
      <c r="T493">
        <v>43950</v>
      </c>
    </row>
    <row r="494" spans="2:20">
      <c r="B494">
        <v>242</v>
      </c>
      <c r="C494" t="s">
        <v>286</v>
      </c>
      <c r="D494" t="s">
        <v>286</v>
      </c>
      <c r="E494" t="s">
        <v>161</v>
      </c>
      <c r="F494">
        <v>160</v>
      </c>
      <c r="G494">
        <v>2.84</v>
      </c>
      <c r="H494">
        <v>2</v>
      </c>
      <c r="I494" t="s">
        <v>505</v>
      </c>
      <c r="J494" s="143">
        <v>43964</v>
      </c>
      <c r="L494">
        <v>185</v>
      </c>
      <c r="M494" t="s">
        <v>234</v>
      </c>
      <c r="N494" t="s">
        <v>234</v>
      </c>
      <c r="O494" t="s">
        <v>161</v>
      </c>
      <c r="P494">
        <v>31</v>
      </c>
      <c r="Q494">
        <v>0.55000000000000004</v>
      </c>
      <c r="R494">
        <v>0.5</v>
      </c>
      <c r="S494" t="s">
        <v>110</v>
      </c>
      <c r="T494">
        <v>43950</v>
      </c>
    </row>
    <row r="495" spans="2:20">
      <c r="B495">
        <v>243</v>
      </c>
      <c r="C495" t="s">
        <v>286</v>
      </c>
      <c r="D495" t="s">
        <v>286</v>
      </c>
      <c r="E495" t="s">
        <v>161</v>
      </c>
      <c r="F495">
        <v>23</v>
      </c>
      <c r="G495">
        <v>0.4</v>
      </c>
      <c r="H495">
        <v>0.5</v>
      </c>
      <c r="I495" t="s">
        <v>505</v>
      </c>
      <c r="J495" s="143">
        <v>43964</v>
      </c>
      <c r="L495">
        <v>186</v>
      </c>
      <c r="M495" t="s">
        <v>234</v>
      </c>
      <c r="N495" t="s">
        <v>234</v>
      </c>
      <c r="O495" t="s">
        <v>161</v>
      </c>
      <c r="P495">
        <v>38</v>
      </c>
      <c r="Q495">
        <v>0.67</v>
      </c>
      <c r="R495">
        <v>0.5</v>
      </c>
      <c r="S495" t="s">
        <v>110</v>
      </c>
      <c r="T495">
        <v>43950</v>
      </c>
    </row>
    <row r="496" spans="2:20">
      <c r="B496">
        <v>244</v>
      </c>
      <c r="C496" t="s">
        <v>286</v>
      </c>
      <c r="D496" t="s">
        <v>286</v>
      </c>
      <c r="E496" t="s">
        <v>161</v>
      </c>
      <c r="F496">
        <v>125</v>
      </c>
      <c r="G496">
        <v>2.2200000000000002</v>
      </c>
      <c r="H496">
        <v>1</v>
      </c>
      <c r="I496" t="s">
        <v>505</v>
      </c>
      <c r="J496" s="143">
        <v>43964</v>
      </c>
      <c r="L496">
        <v>200</v>
      </c>
      <c r="M496" t="s">
        <v>234</v>
      </c>
      <c r="N496" t="s">
        <v>234</v>
      </c>
      <c r="O496" t="s">
        <v>161</v>
      </c>
      <c r="P496">
        <v>630</v>
      </c>
      <c r="Q496">
        <v>11.2</v>
      </c>
      <c r="R496">
        <v>5</v>
      </c>
      <c r="S496" t="s">
        <v>110</v>
      </c>
      <c r="T496">
        <v>43950</v>
      </c>
    </row>
    <row r="497" spans="2:20">
      <c r="B497">
        <v>246</v>
      </c>
      <c r="C497" t="s">
        <v>286</v>
      </c>
      <c r="D497" t="s">
        <v>286</v>
      </c>
      <c r="E497" t="s">
        <v>161</v>
      </c>
      <c r="F497">
        <v>143</v>
      </c>
      <c r="G497">
        <v>2.54</v>
      </c>
      <c r="H497">
        <v>2</v>
      </c>
      <c r="I497" t="s">
        <v>505</v>
      </c>
      <c r="J497" s="143">
        <v>43964</v>
      </c>
      <c r="L497">
        <v>201</v>
      </c>
      <c r="M497" t="s">
        <v>234</v>
      </c>
      <c r="N497" t="s">
        <v>234</v>
      </c>
      <c r="O497" t="s">
        <v>161</v>
      </c>
      <c r="P497">
        <v>109</v>
      </c>
      <c r="Q497">
        <v>1.93</v>
      </c>
      <c r="R497">
        <v>1</v>
      </c>
      <c r="S497" t="s">
        <v>110</v>
      </c>
      <c r="T497">
        <v>43950</v>
      </c>
    </row>
    <row r="498" spans="2:20">
      <c r="B498">
        <v>259</v>
      </c>
      <c r="C498" t="s">
        <v>326</v>
      </c>
      <c r="D498" t="s">
        <v>326</v>
      </c>
      <c r="E498" t="s">
        <v>161</v>
      </c>
      <c r="F498">
        <v>173</v>
      </c>
      <c r="G498">
        <v>10.64</v>
      </c>
      <c r="H498">
        <v>10</v>
      </c>
      <c r="I498" t="s">
        <v>110</v>
      </c>
      <c r="J498" s="143">
        <v>43944</v>
      </c>
      <c r="L498">
        <v>202</v>
      </c>
      <c r="M498" t="s">
        <v>234</v>
      </c>
      <c r="N498" t="s">
        <v>234</v>
      </c>
      <c r="O498" t="s">
        <v>161</v>
      </c>
      <c r="P498">
        <v>100</v>
      </c>
      <c r="Q498">
        <v>1.77</v>
      </c>
      <c r="R498">
        <v>1</v>
      </c>
      <c r="S498" t="s">
        <v>110</v>
      </c>
      <c r="T498">
        <v>43950</v>
      </c>
    </row>
    <row r="499" spans="2:20">
      <c r="B499">
        <v>278</v>
      </c>
      <c r="C499" t="s">
        <v>367</v>
      </c>
      <c r="D499" t="s">
        <v>367</v>
      </c>
      <c r="E499" t="s">
        <v>161</v>
      </c>
      <c r="F499">
        <v>70</v>
      </c>
      <c r="G499">
        <v>4.3</v>
      </c>
      <c r="H499">
        <v>4</v>
      </c>
      <c r="I499" t="s">
        <v>550</v>
      </c>
      <c r="J499" s="143">
        <v>43949</v>
      </c>
      <c r="L499">
        <v>203</v>
      </c>
      <c r="M499" t="s">
        <v>234</v>
      </c>
      <c r="N499" t="s">
        <v>234</v>
      </c>
      <c r="O499" t="s">
        <v>161</v>
      </c>
      <c r="P499">
        <v>160</v>
      </c>
      <c r="Q499">
        <v>2.84</v>
      </c>
      <c r="R499">
        <v>2</v>
      </c>
      <c r="S499" t="s">
        <v>110</v>
      </c>
      <c r="T499">
        <v>43950</v>
      </c>
    </row>
    <row r="500" spans="2:20">
      <c r="B500">
        <v>24</v>
      </c>
      <c r="C500" t="s">
        <v>621</v>
      </c>
      <c r="D500" t="s">
        <v>621</v>
      </c>
      <c r="E500" t="s">
        <v>161</v>
      </c>
      <c r="F500">
        <v>36</v>
      </c>
      <c r="G500">
        <v>2.21</v>
      </c>
      <c r="H500">
        <v>1</v>
      </c>
      <c r="I500" t="s">
        <v>550</v>
      </c>
      <c r="J500" s="143">
        <v>43959</v>
      </c>
      <c r="L500">
        <v>221</v>
      </c>
      <c r="M500" t="s">
        <v>234</v>
      </c>
      <c r="N500" t="s">
        <v>234</v>
      </c>
      <c r="O500" t="s">
        <v>161</v>
      </c>
      <c r="P500">
        <v>33</v>
      </c>
      <c r="Q500">
        <v>0.57999999999999996</v>
      </c>
      <c r="R500">
        <v>0.5</v>
      </c>
      <c r="S500" t="s">
        <v>110</v>
      </c>
      <c r="T500">
        <v>43950</v>
      </c>
    </row>
    <row r="501" spans="2:20">
      <c r="B501">
        <v>25</v>
      </c>
      <c r="C501" t="s">
        <v>621</v>
      </c>
      <c r="D501" t="s">
        <v>621</v>
      </c>
      <c r="E501" t="s">
        <v>161</v>
      </c>
      <c r="F501">
        <v>116</v>
      </c>
      <c r="G501">
        <v>7.13</v>
      </c>
      <c r="H501">
        <v>8</v>
      </c>
      <c r="I501" t="s">
        <v>550</v>
      </c>
      <c r="J501" s="143">
        <v>43959</v>
      </c>
      <c r="L501">
        <v>223</v>
      </c>
      <c r="M501" t="s">
        <v>234</v>
      </c>
      <c r="N501" t="s">
        <v>234</v>
      </c>
      <c r="O501" t="s">
        <v>161</v>
      </c>
      <c r="P501">
        <v>54</v>
      </c>
      <c r="Q501">
        <v>0.96</v>
      </c>
      <c r="R501">
        <v>0.5</v>
      </c>
      <c r="S501" t="s">
        <v>110</v>
      </c>
      <c r="T501">
        <v>43950</v>
      </c>
    </row>
    <row r="502" spans="2:20">
      <c r="B502">
        <v>31</v>
      </c>
      <c r="C502" t="s">
        <v>634</v>
      </c>
      <c r="D502" t="s">
        <v>634</v>
      </c>
      <c r="E502" t="s">
        <v>161</v>
      </c>
      <c r="F502">
        <v>108</v>
      </c>
      <c r="G502">
        <v>1.92</v>
      </c>
      <c r="H502">
        <v>1</v>
      </c>
      <c r="I502" t="s">
        <v>505</v>
      </c>
      <c r="J502" s="143">
        <v>43966</v>
      </c>
      <c r="L502">
        <v>229</v>
      </c>
      <c r="M502" t="s">
        <v>234</v>
      </c>
      <c r="N502" t="s">
        <v>234</v>
      </c>
      <c r="O502" t="s">
        <v>161</v>
      </c>
      <c r="P502">
        <v>46</v>
      </c>
      <c r="Q502">
        <v>0.81</v>
      </c>
      <c r="R502">
        <v>0.5</v>
      </c>
      <c r="S502" t="s">
        <v>110</v>
      </c>
      <c r="T502">
        <v>43950</v>
      </c>
    </row>
    <row r="503" spans="2:20">
      <c r="B503">
        <v>36</v>
      </c>
      <c r="C503" t="s">
        <v>634</v>
      </c>
      <c r="D503" t="s">
        <v>634</v>
      </c>
      <c r="E503" t="s">
        <v>161</v>
      </c>
      <c r="F503">
        <v>131</v>
      </c>
      <c r="G503">
        <v>2.3199999999999998</v>
      </c>
      <c r="H503">
        <v>1</v>
      </c>
      <c r="I503" t="s">
        <v>505</v>
      </c>
      <c r="J503" s="143">
        <v>43966</v>
      </c>
      <c r="L503">
        <v>230</v>
      </c>
      <c r="M503" t="s">
        <v>234</v>
      </c>
      <c r="N503" t="s">
        <v>234</v>
      </c>
      <c r="O503" t="s">
        <v>161</v>
      </c>
      <c r="P503">
        <v>441</v>
      </c>
      <c r="Q503">
        <v>7.84</v>
      </c>
      <c r="R503">
        <v>2</v>
      </c>
      <c r="S503" t="s">
        <v>110</v>
      </c>
      <c r="T503">
        <v>43950</v>
      </c>
    </row>
    <row r="504" spans="2:20">
      <c r="B504">
        <v>41</v>
      </c>
      <c r="C504" t="s">
        <v>634</v>
      </c>
      <c r="D504" t="s">
        <v>634</v>
      </c>
      <c r="E504" t="s">
        <v>161</v>
      </c>
      <c r="F504">
        <v>164</v>
      </c>
      <c r="G504">
        <v>2.91</v>
      </c>
      <c r="H504">
        <v>2</v>
      </c>
      <c r="I504" t="s">
        <v>505</v>
      </c>
      <c r="J504" s="143">
        <v>43966</v>
      </c>
      <c r="L504">
        <v>234</v>
      </c>
      <c r="M504" t="s">
        <v>234</v>
      </c>
      <c r="N504" t="s">
        <v>234</v>
      </c>
      <c r="O504" t="s">
        <v>161</v>
      </c>
      <c r="P504">
        <v>42</v>
      </c>
      <c r="Q504">
        <v>0.74</v>
      </c>
      <c r="R504">
        <v>0.5</v>
      </c>
      <c r="S504" t="s">
        <v>110</v>
      </c>
      <c r="T504">
        <v>43950</v>
      </c>
    </row>
    <row r="505" spans="2:20">
      <c r="B505">
        <v>42</v>
      </c>
      <c r="C505" t="s">
        <v>634</v>
      </c>
      <c r="D505" t="s">
        <v>634</v>
      </c>
      <c r="E505" t="s">
        <v>161</v>
      </c>
      <c r="F505">
        <v>24</v>
      </c>
      <c r="G505">
        <v>0.42</v>
      </c>
      <c r="H505">
        <v>0.4</v>
      </c>
      <c r="I505" t="s">
        <v>505</v>
      </c>
      <c r="J505" s="143">
        <v>43966</v>
      </c>
      <c r="L505">
        <v>235</v>
      </c>
      <c r="M505" t="s">
        <v>234</v>
      </c>
      <c r="N505" t="s">
        <v>234</v>
      </c>
      <c r="O505" t="s">
        <v>161</v>
      </c>
      <c r="P505">
        <v>40</v>
      </c>
      <c r="Q505">
        <v>0.71</v>
      </c>
      <c r="R505">
        <v>0.5</v>
      </c>
      <c r="S505" t="s">
        <v>110</v>
      </c>
      <c r="T505">
        <v>43950</v>
      </c>
    </row>
    <row r="506" spans="2:20">
      <c r="B506">
        <v>43</v>
      </c>
      <c r="C506" t="s">
        <v>634</v>
      </c>
      <c r="D506" t="s">
        <v>634</v>
      </c>
      <c r="E506" t="s">
        <v>161</v>
      </c>
      <c r="F506">
        <v>182</v>
      </c>
      <c r="G506">
        <v>3.23</v>
      </c>
      <c r="H506">
        <v>2</v>
      </c>
      <c r="I506" t="s">
        <v>505</v>
      </c>
      <c r="J506" s="143">
        <v>43966</v>
      </c>
      <c r="L506">
        <v>240</v>
      </c>
      <c r="M506" t="s">
        <v>286</v>
      </c>
      <c r="N506" t="s">
        <v>286</v>
      </c>
      <c r="O506" t="s">
        <v>161</v>
      </c>
      <c r="P506">
        <v>106</v>
      </c>
      <c r="Q506">
        <v>1.88</v>
      </c>
      <c r="R506">
        <v>1</v>
      </c>
      <c r="S506" t="s">
        <v>505</v>
      </c>
      <c r="T506">
        <v>43964</v>
      </c>
    </row>
    <row r="507" spans="2:20">
      <c r="B507">
        <v>44</v>
      </c>
      <c r="C507" t="s">
        <v>634</v>
      </c>
      <c r="D507" t="s">
        <v>634</v>
      </c>
      <c r="E507" t="s">
        <v>161</v>
      </c>
      <c r="F507">
        <v>161</v>
      </c>
      <c r="G507">
        <v>2.86</v>
      </c>
      <c r="H507">
        <v>1.5</v>
      </c>
      <c r="I507" t="s">
        <v>505</v>
      </c>
      <c r="J507" s="143">
        <v>43966</v>
      </c>
      <c r="L507">
        <v>241</v>
      </c>
      <c r="M507" t="s">
        <v>286</v>
      </c>
      <c r="N507" t="s">
        <v>286</v>
      </c>
      <c r="O507" t="s">
        <v>161</v>
      </c>
      <c r="P507">
        <v>44</v>
      </c>
      <c r="Q507">
        <v>0.78</v>
      </c>
      <c r="R507">
        <v>0.5</v>
      </c>
      <c r="S507" t="s">
        <v>505</v>
      </c>
      <c r="T507">
        <v>43964</v>
      </c>
    </row>
    <row r="508" spans="2:20">
      <c r="B508">
        <v>45</v>
      </c>
      <c r="C508" t="s">
        <v>634</v>
      </c>
      <c r="D508" t="s">
        <v>634</v>
      </c>
      <c r="E508" t="s">
        <v>161</v>
      </c>
      <c r="F508">
        <v>210</v>
      </c>
      <c r="G508">
        <v>3.73</v>
      </c>
      <c r="H508">
        <v>3</v>
      </c>
      <c r="I508" t="s">
        <v>505</v>
      </c>
      <c r="J508" s="143">
        <v>43966</v>
      </c>
      <c r="L508">
        <v>242</v>
      </c>
      <c r="M508" t="s">
        <v>286</v>
      </c>
      <c r="N508" t="s">
        <v>286</v>
      </c>
      <c r="O508" t="s">
        <v>161</v>
      </c>
      <c r="P508">
        <v>160</v>
      </c>
      <c r="Q508">
        <v>2.84</v>
      </c>
      <c r="R508">
        <v>2</v>
      </c>
      <c r="S508" t="s">
        <v>505</v>
      </c>
      <c r="T508">
        <v>43964</v>
      </c>
    </row>
    <row r="509" spans="2:20">
      <c r="B509">
        <v>46</v>
      </c>
      <c r="C509" t="s">
        <v>634</v>
      </c>
      <c r="D509" t="s">
        <v>634</v>
      </c>
      <c r="E509" t="s">
        <v>161</v>
      </c>
      <c r="F509">
        <v>83</v>
      </c>
      <c r="G509">
        <v>1.47</v>
      </c>
      <c r="H509">
        <v>0.5</v>
      </c>
      <c r="I509" t="s">
        <v>505</v>
      </c>
      <c r="J509" s="143">
        <v>43966</v>
      </c>
      <c r="L509">
        <v>243</v>
      </c>
      <c r="M509" t="s">
        <v>286</v>
      </c>
      <c r="N509" t="s">
        <v>286</v>
      </c>
      <c r="O509" t="s">
        <v>161</v>
      </c>
      <c r="P509">
        <v>23</v>
      </c>
      <c r="Q509">
        <v>0.4</v>
      </c>
      <c r="R509">
        <v>0.5</v>
      </c>
      <c r="S509" t="s">
        <v>505</v>
      </c>
      <c r="T509">
        <v>43964</v>
      </c>
    </row>
    <row r="510" spans="2:20">
      <c r="B510">
        <v>55</v>
      </c>
      <c r="C510" t="s">
        <v>634</v>
      </c>
      <c r="D510" t="s">
        <v>634</v>
      </c>
      <c r="E510" t="s">
        <v>161</v>
      </c>
      <c r="F510">
        <v>118</v>
      </c>
      <c r="G510">
        <v>2.09</v>
      </c>
      <c r="H510">
        <v>1</v>
      </c>
      <c r="I510" t="s">
        <v>505</v>
      </c>
      <c r="J510" s="143">
        <v>43966</v>
      </c>
      <c r="L510">
        <v>244</v>
      </c>
      <c r="M510" t="s">
        <v>286</v>
      </c>
      <c r="N510" t="s">
        <v>286</v>
      </c>
      <c r="O510" t="s">
        <v>161</v>
      </c>
      <c r="P510">
        <v>125</v>
      </c>
      <c r="Q510">
        <v>2.2200000000000002</v>
      </c>
      <c r="R510">
        <v>1</v>
      </c>
      <c r="S510" t="s">
        <v>505</v>
      </c>
      <c r="T510">
        <v>43964</v>
      </c>
    </row>
    <row r="511" spans="2:20">
      <c r="B511">
        <v>56</v>
      </c>
      <c r="C511" t="s">
        <v>634</v>
      </c>
      <c r="D511" t="s">
        <v>634</v>
      </c>
      <c r="E511" t="s">
        <v>161</v>
      </c>
      <c r="F511">
        <v>47</v>
      </c>
      <c r="G511">
        <v>0.83</v>
      </c>
      <c r="H511">
        <v>0.5</v>
      </c>
      <c r="I511" t="s">
        <v>505</v>
      </c>
      <c r="J511" s="143">
        <v>43966</v>
      </c>
      <c r="L511">
        <v>246</v>
      </c>
      <c r="M511" t="s">
        <v>286</v>
      </c>
      <c r="N511" t="s">
        <v>286</v>
      </c>
      <c r="O511" t="s">
        <v>161</v>
      </c>
      <c r="P511">
        <v>143</v>
      </c>
      <c r="Q511">
        <v>2.54</v>
      </c>
      <c r="R511">
        <v>2</v>
      </c>
      <c r="S511" t="s">
        <v>505</v>
      </c>
      <c r="T511">
        <v>43964</v>
      </c>
    </row>
    <row r="512" spans="2:20">
      <c r="B512">
        <v>61</v>
      </c>
      <c r="C512" t="s">
        <v>634</v>
      </c>
      <c r="D512" t="s">
        <v>634</v>
      </c>
      <c r="E512" t="s">
        <v>161</v>
      </c>
      <c r="F512">
        <v>45</v>
      </c>
      <c r="G512">
        <v>0.8</v>
      </c>
      <c r="H512">
        <v>0.5</v>
      </c>
      <c r="I512" t="s">
        <v>505</v>
      </c>
      <c r="J512" s="143">
        <v>43966</v>
      </c>
      <c r="L512">
        <v>259</v>
      </c>
      <c r="M512" t="s">
        <v>326</v>
      </c>
      <c r="N512" t="s">
        <v>326</v>
      </c>
      <c r="O512" t="s">
        <v>161</v>
      </c>
      <c r="P512">
        <v>173</v>
      </c>
      <c r="Q512">
        <v>10.64</v>
      </c>
      <c r="R512">
        <v>10</v>
      </c>
      <c r="S512" t="s">
        <v>110</v>
      </c>
      <c r="T512">
        <v>43944</v>
      </c>
    </row>
    <row r="513" spans="2:20">
      <c r="B513">
        <v>62</v>
      </c>
      <c r="C513" t="s">
        <v>634</v>
      </c>
      <c r="D513" t="s">
        <v>634</v>
      </c>
      <c r="E513" t="s">
        <v>161</v>
      </c>
      <c r="F513">
        <v>68</v>
      </c>
      <c r="G513">
        <v>1.2</v>
      </c>
      <c r="H513">
        <v>1</v>
      </c>
      <c r="I513" t="s">
        <v>505</v>
      </c>
      <c r="J513" s="143">
        <v>43966</v>
      </c>
      <c r="L513">
        <v>278</v>
      </c>
      <c r="M513" t="s">
        <v>367</v>
      </c>
      <c r="N513" t="s">
        <v>367</v>
      </c>
      <c r="O513" t="s">
        <v>161</v>
      </c>
      <c r="P513">
        <v>70</v>
      </c>
      <c r="Q513">
        <v>4.3</v>
      </c>
      <c r="R513">
        <v>4</v>
      </c>
      <c r="S513" t="s">
        <v>550</v>
      </c>
      <c r="T513">
        <v>43949</v>
      </c>
    </row>
    <row r="514" spans="2:20">
      <c r="B514">
        <v>63</v>
      </c>
      <c r="C514" t="s">
        <v>634</v>
      </c>
      <c r="D514" t="s">
        <v>634</v>
      </c>
      <c r="E514" t="s">
        <v>161</v>
      </c>
      <c r="F514">
        <v>137</v>
      </c>
      <c r="G514">
        <v>2.4300000000000002</v>
      </c>
      <c r="H514">
        <v>1</v>
      </c>
      <c r="I514" t="s">
        <v>505</v>
      </c>
      <c r="J514" s="143">
        <v>43966</v>
      </c>
      <c r="L514">
        <v>24</v>
      </c>
      <c r="M514" t="s">
        <v>621</v>
      </c>
      <c r="N514" t="s">
        <v>621</v>
      </c>
      <c r="O514" t="s">
        <v>161</v>
      </c>
      <c r="P514">
        <v>36</v>
      </c>
      <c r="Q514">
        <v>2.21</v>
      </c>
      <c r="R514">
        <v>1</v>
      </c>
      <c r="S514" t="s">
        <v>550</v>
      </c>
      <c r="T514">
        <v>43959</v>
      </c>
    </row>
    <row r="515" spans="2:20">
      <c r="B515">
        <v>65</v>
      </c>
      <c r="C515" t="s">
        <v>688</v>
      </c>
      <c r="D515" t="s">
        <v>688</v>
      </c>
      <c r="E515" t="s">
        <v>161</v>
      </c>
      <c r="F515">
        <v>82</v>
      </c>
      <c r="G515">
        <v>1.45</v>
      </c>
      <c r="H515">
        <v>1</v>
      </c>
      <c r="I515" t="s">
        <v>110</v>
      </c>
      <c r="J515" s="143">
        <v>43957</v>
      </c>
      <c r="L515">
        <v>25</v>
      </c>
      <c r="M515" t="s">
        <v>621</v>
      </c>
      <c r="N515" t="s">
        <v>621</v>
      </c>
      <c r="O515" t="s">
        <v>161</v>
      </c>
      <c r="P515">
        <v>116</v>
      </c>
      <c r="Q515">
        <v>7.13</v>
      </c>
      <c r="R515">
        <v>8</v>
      </c>
      <c r="S515" t="s">
        <v>550</v>
      </c>
      <c r="T515">
        <v>43959</v>
      </c>
    </row>
    <row r="516" spans="2:20">
      <c r="B516">
        <v>84</v>
      </c>
      <c r="C516" t="s">
        <v>748</v>
      </c>
      <c r="D516" t="s">
        <v>748</v>
      </c>
      <c r="E516" t="s">
        <v>161</v>
      </c>
      <c r="F516">
        <v>290</v>
      </c>
      <c r="G516">
        <v>5.15</v>
      </c>
      <c r="H516">
        <v>3</v>
      </c>
      <c r="I516" t="s">
        <v>550</v>
      </c>
      <c r="J516" s="143">
        <v>43958</v>
      </c>
      <c r="L516">
        <v>31</v>
      </c>
      <c r="M516" t="s">
        <v>634</v>
      </c>
      <c r="N516" t="s">
        <v>634</v>
      </c>
      <c r="O516" t="s">
        <v>161</v>
      </c>
      <c r="P516">
        <v>108</v>
      </c>
      <c r="Q516">
        <v>1.92</v>
      </c>
      <c r="R516">
        <v>1</v>
      </c>
      <c r="S516" t="s">
        <v>505</v>
      </c>
      <c r="T516">
        <v>43966</v>
      </c>
    </row>
    <row r="517" spans="2:20">
      <c r="B517">
        <v>88</v>
      </c>
      <c r="C517" t="s">
        <v>18</v>
      </c>
      <c r="D517" t="s">
        <v>18</v>
      </c>
      <c r="E517" t="s">
        <v>161</v>
      </c>
      <c r="F517">
        <v>91</v>
      </c>
      <c r="G517">
        <v>1.61</v>
      </c>
      <c r="H517">
        <v>1</v>
      </c>
      <c r="I517" t="s">
        <v>550</v>
      </c>
      <c r="J517" s="143">
        <v>43964</v>
      </c>
      <c r="L517">
        <v>36</v>
      </c>
      <c r="M517" t="s">
        <v>634</v>
      </c>
      <c r="N517" t="s">
        <v>634</v>
      </c>
      <c r="O517" t="s">
        <v>161</v>
      </c>
      <c r="P517">
        <v>131</v>
      </c>
      <c r="Q517">
        <v>2.3199999999999998</v>
      </c>
      <c r="R517">
        <v>1</v>
      </c>
      <c r="S517" t="s">
        <v>505</v>
      </c>
      <c r="T517">
        <v>43966</v>
      </c>
    </row>
    <row r="518" spans="2:20">
      <c r="B518">
        <v>89</v>
      </c>
      <c r="C518" t="s">
        <v>18</v>
      </c>
      <c r="D518" t="s">
        <v>18</v>
      </c>
      <c r="E518" t="s">
        <v>161</v>
      </c>
      <c r="F518">
        <v>576</v>
      </c>
      <c r="G518">
        <v>10.24</v>
      </c>
      <c r="H518">
        <v>8</v>
      </c>
      <c r="I518" t="s">
        <v>550</v>
      </c>
      <c r="J518" s="143">
        <v>43964</v>
      </c>
      <c r="L518">
        <v>41</v>
      </c>
      <c r="M518" t="s">
        <v>634</v>
      </c>
      <c r="N518" t="s">
        <v>634</v>
      </c>
      <c r="O518" t="s">
        <v>161</v>
      </c>
      <c r="P518">
        <v>164</v>
      </c>
      <c r="Q518">
        <v>2.91</v>
      </c>
      <c r="R518">
        <v>2</v>
      </c>
      <c r="S518" t="s">
        <v>505</v>
      </c>
      <c r="T518">
        <v>43966</v>
      </c>
    </row>
    <row r="519" spans="2:20">
      <c r="B519">
        <v>91</v>
      </c>
      <c r="C519" t="s">
        <v>18</v>
      </c>
      <c r="D519" t="s">
        <v>18</v>
      </c>
      <c r="E519" t="s">
        <v>161</v>
      </c>
      <c r="F519">
        <v>290</v>
      </c>
      <c r="G519">
        <v>5.15</v>
      </c>
      <c r="H519">
        <v>1</v>
      </c>
      <c r="I519" t="s">
        <v>550</v>
      </c>
      <c r="J519" s="143">
        <v>43964</v>
      </c>
      <c r="L519">
        <v>42</v>
      </c>
      <c r="M519" t="s">
        <v>634</v>
      </c>
      <c r="N519" t="s">
        <v>634</v>
      </c>
      <c r="O519" t="s">
        <v>161</v>
      </c>
      <c r="P519">
        <v>24</v>
      </c>
      <c r="Q519">
        <v>0.42</v>
      </c>
      <c r="R519">
        <v>0.4</v>
      </c>
      <c r="S519" t="s">
        <v>505</v>
      </c>
      <c r="T519">
        <v>43966</v>
      </c>
    </row>
    <row r="520" spans="2:20">
      <c r="B520">
        <v>92</v>
      </c>
      <c r="C520" t="s">
        <v>18</v>
      </c>
      <c r="D520" t="s">
        <v>18</v>
      </c>
      <c r="E520" t="s">
        <v>161</v>
      </c>
      <c r="F520">
        <v>236</v>
      </c>
      <c r="G520">
        <v>4.1900000000000004</v>
      </c>
      <c r="H520">
        <v>2</v>
      </c>
      <c r="I520" t="s">
        <v>550</v>
      </c>
      <c r="J520" s="143">
        <v>43964</v>
      </c>
      <c r="L520">
        <v>43</v>
      </c>
      <c r="M520" t="s">
        <v>634</v>
      </c>
      <c r="N520" t="s">
        <v>634</v>
      </c>
      <c r="O520" t="s">
        <v>161</v>
      </c>
      <c r="P520">
        <v>182</v>
      </c>
      <c r="Q520">
        <v>3.23</v>
      </c>
      <c r="R520">
        <v>2</v>
      </c>
      <c r="S520" t="s">
        <v>505</v>
      </c>
      <c r="T520">
        <v>43966</v>
      </c>
    </row>
    <row r="521" spans="2:20">
      <c r="B521">
        <v>95</v>
      </c>
      <c r="C521" t="s">
        <v>18</v>
      </c>
      <c r="D521" t="s">
        <v>18</v>
      </c>
      <c r="E521" t="s">
        <v>161</v>
      </c>
      <c r="F521">
        <v>103</v>
      </c>
      <c r="G521">
        <v>1.83</v>
      </c>
      <c r="H521">
        <v>1</v>
      </c>
      <c r="I521" t="s">
        <v>550</v>
      </c>
      <c r="J521" s="143">
        <v>43964</v>
      </c>
      <c r="L521">
        <v>44</v>
      </c>
      <c r="M521" t="s">
        <v>634</v>
      </c>
      <c r="N521" t="s">
        <v>634</v>
      </c>
      <c r="O521" t="s">
        <v>161</v>
      </c>
      <c r="P521">
        <v>161</v>
      </c>
      <c r="Q521">
        <v>2.86</v>
      </c>
      <c r="R521">
        <v>1.5</v>
      </c>
      <c r="S521" t="s">
        <v>505</v>
      </c>
      <c r="T521">
        <v>43966</v>
      </c>
    </row>
    <row r="522" spans="2:20">
      <c r="B522">
        <v>145</v>
      </c>
      <c r="C522" t="s">
        <v>874</v>
      </c>
      <c r="D522" t="s">
        <v>874</v>
      </c>
      <c r="E522" t="s">
        <v>161</v>
      </c>
      <c r="F522">
        <v>42</v>
      </c>
      <c r="G522">
        <v>0.74</v>
      </c>
      <c r="H522">
        <v>0.5</v>
      </c>
      <c r="I522" t="s">
        <v>550</v>
      </c>
      <c r="J522" s="143">
        <v>43966</v>
      </c>
      <c r="L522">
        <v>45</v>
      </c>
      <c r="M522" t="s">
        <v>634</v>
      </c>
      <c r="N522" t="s">
        <v>634</v>
      </c>
      <c r="O522" t="s">
        <v>161</v>
      </c>
      <c r="P522">
        <v>210</v>
      </c>
      <c r="Q522">
        <v>3.73</v>
      </c>
      <c r="R522">
        <v>3</v>
      </c>
      <c r="S522" t="s">
        <v>505</v>
      </c>
      <c r="T522">
        <v>43966</v>
      </c>
    </row>
    <row r="523" spans="2:20">
      <c r="B523">
        <v>146</v>
      </c>
      <c r="C523" t="s">
        <v>877</v>
      </c>
      <c r="D523" t="s">
        <v>877</v>
      </c>
      <c r="E523" t="s">
        <v>161</v>
      </c>
      <c r="F523">
        <v>88</v>
      </c>
      <c r="G523">
        <v>1.56</v>
      </c>
      <c r="H523">
        <v>1</v>
      </c>
      <c r="I523" t="s">
        <v>550</v>
      </c>
      <c r="J523" s="143">
        <v>43966</v>
      </c>
      <c r="L523">
        <v>46</v>
      </c>
      <c r="M523" t="s">
        <v>634</v>
      </c>
      <c r="N523" t="s">
        <v>634</v>
      </c>
      <c r="O523" t="s">
        <v>161</v>
      </c>
      <c r="P523">
        <v>83</v>
      </c>
      <c r="Q523">
        <v>1.47</v>
      </c>
      <c r="R523">
        <v>0.5</v>
      </c>
      <c r="S523" t="s">
        <v>505</v>
      </c>
      <c r="T523">
        <v>43966</v>
      </c>
    </row>
    <row r="524" spans="2:20">
      <c r="L524">
        <v>55</v>
      </c>
      <c r="M524" t="s">
        <v>634</v>
      </c>
      <c r="N524" t="s">
        <v>634</v>
      </c>
      <c r="O524" t="s">
        <v>161</v>
      </c>
      <c r="P524">
        <v>118</v>
      </c>
      <c r="Q524">
        <v>2.09</v>
      </c>
      <c r="R524">
        <v>1</v>
      </c>
      <c r="S524" t="s">
        <v>505</v>
      </c>
      <c r="T524">
        <v>43966</v>
      </c>
    </row>
    <row r="525" spans="2:20">
      <c r="L525">
        <v>56</v>
      </c>
      <c r="M525" t="s">
        <v>634</v>
      </c>
      <c r="N525" t="s">
        <v>634</v>
      </c>
      <c r="O525" t="s">
        <v>161</v>
      </c>
      <c r="P525">
        <v>47</v>
      </c>
      <c r="Q525">
        <v>0.83</v>
      </c>
      <c r="R525">
        <v>0.5</v>
      </c>
      <c r="S525" t="s">
        <v>505</v>
      </c>
      <c r="T525">
        <v>43966</v>
      </c>
    </row>
    <row r="526" spans="2:20">
      <c r="L526">
        <v>61</v>
      </c>
      <c r="M526" t="s">
        <v>634</v>
      </c>
      <c r="N526" t="s">
        <v>634</v>
      </c>
      <c r="O526" t="s">
        <v>161</v>
      </c>
      <c r="P526">
        <v>45</v>
      </c>
      <c r="Q526">
        <v>0.8</v>
      </c>
      <c r="R526">
        <v>0.5</v>
      </c>
      <c r="S526" t="s">
        <v>505</v>
      </c>
      <c r="T526">
        <v>43966</v>
      </c>
    </row>
    <row r="527" spans="2:20">
      <c r="L527">
        <v>62</v>
      </c>
      <c r="M527" t="s">
        <v>634</v>
      </c>
      <c r="N527" t="s">
        <v>634</v>
      </c>
      <c r="O527" t="s">
        <v>161</v>
      </c>
      <c r="P527">
        <v>68</v>
      </c>
      <c r="Q527">
        <v>1.2</v>
      </c>
      <c r="R527">
        <v>1</v>
      </c>
      <c r="S527" t="s">
        <v>505</v>
      </c>
      <c r="T527">
        <v>43966</v>
      </c>
    </row>
    <row r="528" spans="2:20">
      <c r="L528">
        <v>63</v>
      </c>
      <c r="M528" t="s">
        <v>634</v>
      </c>
      <c r="N528" t="s">
        <v>634</v>
      </c>
      <c r="O528" t="s">
        <v>161</v>
      </c>
      <c r="P528">
        <v>137</v>
      </c>
      <c r="Q528">
        <v>2.4300000000000002</v>
      </c>
      <c r="R528">
        <v>1</v>
      </c>
      <c r="S528" t="s">
        <v>505</v>
      </c>
      <c r="T528">
        <v>43966</v>
      </c>
    </row>
    <row r="529" spans="12:20">
      <c r="L529">
        <v>65</v>
      </c>
      <c r="M529" t="s">
        <v>688</v>
      </c>
      <c r="N529" t="s">
        <v>688</v>
      </c>
      <c r="O529" t="s">
        <v>161</v>
      </c>
      <c r="P529">
        <v>82</v>
      </c>
      <c r="Q529">
        <v>1.45</v>
      </c>
      <c r="R529">
        <v>1</v>
      </c>
      <c r="S529" t="s">
        <v>110</v>
      </c>
      <c r="T529">
        <v>43957</v>
      </c>
    </row>
    <row r="530" spans="12:20">
      <c r="L530">
        <v>84</v>
      </c>
      <c r="M530" t="s">
        <v>748</v>
      </c>
      <c r="N530" t="s">
        <v>748</v>
      </c>
      <c r="O530" t="s">
        <v>161</v>
      </c>
      <c r="P530">
        <v>290</v>
      </c>
      <c r="Q530">
        <v>5.15</v>
      </c>
      <c r="R530">
        <v>3</v>
      </c>
      <c r="S530" t="s">
        <v>550</v>
      </c>
      <c r="T530">
        <v>43958</v>
      </c>
    </row>
    <row r="531" spans="12:20">
      <c r="L531">
        <v>88</v>
      </c>
      <c r="M531" t="s">
        <v>18</v>
      </c>
      <c r="N531" t="s">
        <v>18</v>
      </c>
      <c r="O531" t="s">
        <v>161</v>
      </c>
      <c r="P531">
        <v>91</v>
      </c>
      <c r="Q531">
        <v>1.61</v>
      </c>
      <c r="R531">
        <v>1</v>
      </c>
      <c r="S531" t="s">
        <v>550</v>
      </c>
      <c r="T531">
        <v>43964</v>
      </c>
    </row>
    <row r="532" spans="12:20">
      <c r="L532">
        <v>89</v>
      </c>
      <c r="M532" t="s">
        <v>18</v>
      </c>
      <c r="N532" t="s">
        <v>18</v>
      </c>
      <c r="O532" t="s">
        <v>161</v>
      </c>
      <c r="P532">
        <v>576</v>
      </c>
      <c r="Q532">
        <v>10.24</v>
      </c>
      <c r="R532">
        <v>8</v>
      </c>
      <c r="S532" t="s">
        <v>550</v>
      </c>
      <c r="T532">
        <v>43964</v>
      </c>
    </row>
    <row r="533" spans="12:20">
      <c r="L533">
        <v>91</v>
      </c>
      <c r="M533" t="s">
        <v>18</v>
      </c>
      <c r="N533" t="s">
        <v>18</v>
      </c>
      <c r="O533" t="s">
        <v>161</v>
      </c>
      <c r="P533">
        <v>290</v>
      </c>
      <c r="Q533">
        <v>5.15</v>
      </c>
      <c r="R533">
        <v>1</v>
      </c>
      <c r="S533" t="s">
        <v>550</v>
      </c>
      <c r="T533">
        <v>43964</v>
      </c>
    </row>
    <row r="534" spans="12:20">
      <c r="L534">
        <v>92</v>
      </c>
      <c r="M534" t="s">
        <v>18</v>
      </c>
      <c r="N534" t="s">
        <v>18</v>
      </c>
      <c r="O534" t="s">
        <v>161</v>
      </c>
      <c r="P534">
        <v>236</v>
      </c>
      <c r="Q534">
        <v>4.1900000000000004</v>
      </c>
      <c r="R534">
        <v>2</v>
      </c>
      <c r="S534" t="s">
        <v>550</v>
      </c>
      <c r="T534">
        <v>43964</v>
      </c>
    </row>
    <row r="535" spans="12:20">
      <c r="L535">
        <v>95</v>
      </c>
      <c r="M535" t="s">
        <v>18</v>
      </c>
      <c r="N535" t="s">
        <v>18</v>
      </c>
      <c r="O535" t="s">
        <v>161</v>
      </c>
      <c r="P535">
        <v>103</v>
      </c>
      <c r="Q535">
        <v>1.83</v>
      </c>
      <c r="R535">
        <v>1</v>
      </c>
      <c r="S535" t="s">
        <v>550</v>
      </c>
      <c r="T535">
        <v>43964</v>
      </c>
    </row>
    <row r="536" spans="12:20">
      <c r="L536">
        <v>145</v>
      </c>
      <c r="M536" t="s">
        <v>874</v>
      </c>
      <c r="N536" t="s">
        <v>874</v>
      </c>
      <c r="O536" t="s">
        <v>161</v>
      </c>
      <c r="P536">
        <v>42</v>
      </c>
      <c r="Q536">
        <v>0.74</v>
      </c>
      <c r="R536">
        <v>0.5</v>
      </c>
      <c r="S536" t="s">
        <v>550</v>
      </c>
      <c r="T536">
        <v>43966</v>
      </c>
    </row>
    <row r="537" spans="12:20">
      <c r="L537">
        <v>146</v>
      </c>
      <c r="M537" t="s">
        <v>877</v>
      </c>
      <c r="N537" t="s">
        <v>877</v>
      </c>
      <c r="O537" t="s">
        <v>161</v>
      </c>
      <c r="P537">
        <v>88</v>
      </c>
      <c r="Q537">
        <v>1.56</v>
      </c>
      <c r="R537">
        <v>1</v>
      </c>
      <c r="S537" t="s">
        <v>550</v>
      </c>
      <c r="T537">
        <v>43966</v>
      </c>
    </row>
  </sheetData>
  <autoFilter ref="B1:J523" xr:uid="{00000000-0009-0000-0000-000002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8"/>
  <sheetViews>
    <sheetView topLeftCell="A49" workbookViewId="0">
      <selection sqref="A1:A78"/>
    </sheetView>
  </sheetViews>
  <sheetFormatPr defaultRowHeight="12.75"/>
  <sheetData>
    <row r="1" spans="1:1">
      <c r="A1" t="s">
        <v>581</v>
      </c>
    </row>
    <row r="2" spans="1:1">
      <c r="A2" t="s">
        <v>14</v>
      </c>
    </row>
    <row r="3" spans="1:1">
      <c r="A3" t="s">
        <v>723</v>
      </c>
    </row>
    <row r="4" spans="1:1">
      <c r="A4" t="s">
        <v>694</v>
      </c>
    </row>
    <row r="5" spans="1:1">
      <c r="A5" t="s">
        <v>30</v>
      </c>
    </row>
    <row r="6" spans="1:1">
      <c r="A6" t="s">
        <v>51</v>
      </c>
    </row>
    <row r="7" spans="1:1">
      <c r="A7" t="s">
        <v>837</v>
      </c>
    </row>
    <row r="8" spans="1:1">
      <c r="A8" t="s">
        <v>923</v>
      </c>
    </row>
    <row r="9" spans="1:1">
      <c r="A9" t="s">
        <v>933</v>
      </c>
    </row>
    <row r="10" spans="1:1">
      <c r="A10" t="s">
        <v>1045</v>
      </c>
    </row>
    <row r="11" spans="1:1">
      <c r="A11" t="s">
        <v>356</v>
      </c>
    </row>
    <row r="12" spans="1:1">
      <c r="A12" t="s">
        <v>1145</v>
      </c>
    </row>
    <row r="13" spans="1:1">
      <c r="A13" t="s">
        <v>1189</v>
      </c>
    </row>
    <row r="14" spans="1:1">
      <c r="A14" t="s">
        <v>99</v>
      </c>
    </row>
    <row r="15" spans="1:1">
      <c r="A15" t="s">
        <v>118</v>
      </c>
    </row>
    <row r="16" spans="1:1">
      <c r="A16" t="s">
        <v>176</v>
      </c>
    </row>
    <row r="17" spans="1:1">
      <c r="A17" t="s">
        <v>234</v>
      </c>
    </row>
    <row r="18" spans="1:1">
      <c r="A18" t="s">
        <v>286</v>
      </c>
    </row>
    <row r="19" spans="1:1">
      <c r="A19" t="s">
        <v>312</v>
      </c>
    </row>
    <row r="20" spans="1:1">
      <c r="A20" t="s">
        <v>322</v>
      </c>
    </row>
    <row r="21" spans="1:1">
      <c r="A21" t="s">
        <v>330</v>
      </c>
    </row>
    <row r="22" spans="1:1">
      <c r="A22" t="s">
        <v>338</v>
      </c>
    </row>
    <row r="23" spans="1:1">
      <c r="A23" t="s">
        <v>18</v>
      </c>
    </row>
    <row r="24" spans="1:1">
      <c r="A24" t="s">
        <v>616</v>
      </c>
    </row>
    <row r="25" spans="1:1">
      <c r="A25" t="s">
        <v>634</v>
      </c>
    </row>
    <row r="26" spans="1:1">
      <c r="A26" t="s">
        <v>748</v>
      </c>
    </row>
    <row r="27" spans="1:1">
      <c r="A27" t="s">
        <v>48</v>
      </c>
    </row>
    <row r="28" spans="1:1">
      <c r="A28" t="s">
        <v>883</v>
      </c>
    </row>
    <row r="29" spans="1:1">
      <c r="A29" t="s">
        <v>906</v>
      </c>
    </row>
    <row r="30" spans="1:1">
      <c r="A30" t="s">
        <v>1039</v>
      </c>
    </row>
    <row r="31" spans="1:1">
      <c r="A31" t="s">
        <v>326</v>
      </c>
    </row>
    <row r="32" spans="1:1">
      <c r="A32" t="s">
        <v>1155</v>
      </c>
    </row>
    <row r="33" spans="1:1">
      <c r="A33" t="s">
        <v>1159</v>
      </c>
    </row>
    <row r="34" spans="1:1">
      <c r="A34" t="s">
        <v>1162</v>
      </c>
    </row>
    <row r="35" spans="1:1">
      <c r="A35" t="s">
        <v>1181</v>
      </c>
    </row>
    <row r="36" spans="1:1">
      <c r="A36" t="s">
        <v>1209</v>
      </c>
    </row>
    <row r="37" spans="1:1">
      <c r="A37" t="s">
        <v>1215</v>
      </c>
    </row>
    <row r="38" spans="1:1">
      <c r="A38" t="s">
        <v>104</v>
      </c>
    </row>
    <row r="39" spans="1:1">
      <c r="A39" t="s">
        <v>346</v>
      </c>
    </row>
    <row r="40" spans="1:1">
      <c r="A40" t="s">
        <v>350</v>
      </c>
    </row>
    <row r="41" spans="1:1">
      <c r="A41" t="s">
        <v>353</v>
      </c>
    </row>
    <row r="42" spans="1:1">
      <c r="A42" t="s">
        <v>360</v>
      </c>
    </row>
    <row r="43" spans="1:1">
      <c r="A43" t="s">
        <v>621</v>
      </c>
    </row>
    <row r="44" spans="1:1">
      <c r="A44" t="s">
        <v>21</v>
      </c>
    </row>
    <row r="45" spans="1:1">
      <c r="A45" t="s">
        <v>870</v>
      </c>
    </row>
    <row r="46" spans="1:1">
      <c r="A46" t="s">
        <v>556</v>
      </c>
    </row>
    <row r="47" spans="1:1">
      <c r="A47" t="s">
        <v>701</v>
      </c>
    </row>
    <row r="48" spans="1:1">
      <c r="A48" t="s">
        <v>709</v>
      </c>
    </row>
    <row r="49" spans="1:1">
      <c r="A49" t="s">
        <v>714</v>
      </c>
    </row>
    <row r="50" spans="1:1">
      <c r="A50" t="s">
        <v>863</v>
      </c>
    </row>
    <row r="51" spans="1:1">
      <c r="A51" t="s">
        <v>947</v>
      </c>
    </row>
    <row r="52" spans="1:1">
      <c r="A52" t="s">
        <v>1026</v>
      </c>
    </row>
    <row r="53" spans="1:1">
      <c r="A53" t="s">
        <v>1031</v>
      </c>
    </row>
    <row r="54" spans="1:1">
      <c r="A54" t="s">
        <v>1110</v>
      </c>
    </row>
    <row r="55" spans="1:1">
      <c r="A55" t="s">
        <v>1192</v>
      </c>
    </row>
    <row r="56" spans="1:1">
      <c r="A56" t="s">
        <v>1061</v>
      </c>
    </row>
    <row r="57" spans="1:1">
      <c r="A57" t="s">
        <v>317</v>
      </c>
    </row>
    <row r="58" spans="1:1">
      <c r="A58" t="s">
        <v>1056</v>
      </c>
    </row>
    <row r="59" spans="1:1">
      <c r="A59" t="s">
        <v>342</v>
      </c>
    </row>
    <row r="60" spans="1:1">
      <c r="A60" t="s">
        <v>352</v>
      </c>
    </row>
    <row r="61" spans="1:1">
      <c r="A61" t="s">
        <v>371</v>
      </c>
    </row>
    <row r="62" spans="1:1">
      <c r="A62" t="s">
        <v>610</v>
      </c>
    </row>
    <row r="63" spans="1:1">
      <c r="A63" t="s">
        <v>1237</v>
      </c>
    </row>
    <row r="64" spans="1:1">
      <c r="A64" t="s">
        <v>1250</v>
      </c>
    </row>
    <row r="65" spans="1:1">
      <c r="A65" t="s">
        <v>1264</v>
      </c>
    </row>
    <row r="66" spans="1:1">
      <c r="A66" t="s">
        <v>592</v>
      </c>
    </row>
    <row r="67" spans="1:1">
      <c r="A67" t="s">
        <v>775</v>
      </c>
    </row>
    <row r="68" spans="1:1">
      <c r="A68" t="s">
        <v>55</v>
      </c>
    </row>
    <row r="69" spans="1:1">
      <c r="A69" t="s">
        <v>828</v>
      </c>
    </row>
    <row r="70" spans="1:1">
      <c r="A70" t="s">
        <v>1002</v>
      </c>
    </row>
    <row r="71" spans="1:1">
      <c r="A71" t="s">
        <v>1007</v>
      </c>
    </row>
    <row r="72" spans="1:1">
      <c r="A72" t="s">
        <v>1018</v>
      </c>
    </row>
    <row r="73" spans="1:1">
      <c r="A73" t="s">
        <v>1133</v>
      </c>
    </row>
    <row r="74" spans="1:1">
      <c r="A74" t="s">
        <v>1140</v>
      </c>
    </row>
    <row r="75" spans="1:1">
      <c r="A75" t="s">
        <v>367</v>
      </c>
    </row>
    <row r="76" spans="1:1">
      <c r="A76" t="s">
        <v>688</v>
      </c>
    </row>
    <row r="77" spans="1:1">
      <c r="A77" t="s">
        <v>874</v>
      </c>
    </row>
    <row r="78" spans="1:1">
      <c r="A78" t="s">
        <v>877</v>
      </c>
    </row>
  </sheetData>
  <conditionalFormatting sqref="A1:A78">
    <cfRule type="duplicateValues" dxfId="62" priority="136"/>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781"/>
  <sheetViews>
    <sheetView workbookViewId="0">
      <selection activeCell="D2" sqref="D2"/>
    </sheetView>
  </sheetViews>
  <sheetFormatPr defaultRowHeight="12.75"/>
  <cols>
    <col min="2" max="2" width="62.85546875" bestFit="1" customWidth="1"/>
    <col min="3" max="3" width="15.28515625" bestFit="1" customWidth="1"/>
    <col min="4" max="4" width="6" bestFit="1" customWidth="1"/>
  </cols>
  <sheetData>
    <row r="2" spans="2:6">
      <c r="B2" t="s">
        <v>581</v>
      </c>
      <c r="C2" s="152" t="s">
        <v>74</v>
      </c>
      <c r="D2">
        <f>SUMIFS(Sheet1!$G$2:$G$523,Sheet1!$D$2:$D$523,B2,Sheet1!$E$2:$E$523,C2)</f>
        <v>0</v>
      </c>
      <c r="F2">
        <v>1</v>
      </c>
    </row>
    <row r="3" spans="2:6">
      <c r="B3" t="s">
        <v>14</v>
      </c>
      <c r="C3" s="152" t="s">
        <v>74</v>
      </c>
      <c r="D3">
        <f>SUMIFS(Sheet1!$G$2:$G$523,Sheet1!$D$2:$D$523,B3,Sheet1!$E$2:$E$523,C3)</f>
        <v>0</v>
      </c>
    </row>
    <row r="4" spans="2:6">
      <c r="B4" t="s">
        <v>723</v>
      </c>
      <c r="C4" s="152" t="s">
        <v>74</v>
      </c>
      <c r="D4">
        <f>SUMIFS(Sheet1!$G$2:$G$523,Sheet1!$D$2:$D$523,B4,Sheet1!$E$2:$E$523,C4)</f>
        <v>19.75</v>
      </c>
    </row>
    <row r="5" spans="2:6">
      <c r="B5" t="s">
        <v>694</v>
      </c>
      <c r="C5" s="152" t="s">
        <v>74</v>
      </c>
      <c r="D5">
        <f>SUMIFS(Sheet1!$G$2:$G$523,Sheet1!$D$2:$D$523,B5,Sheet1!$E$2:$E$523,C5)</f>
        <v>30.27</v>
      </c>
    </row>
    <row r="6" spans="2:6">
      <c r="B6" t="s">
        <v>30</v>
      </c>
      <c r="C6" s="152" t="s">
        <v>74</v>
      </c>
      <c r="D6">
        <f>SUMIFS(Sheet1!$G$2:$G$523,Sheet1!$D$2:$D$523,B6,Sheet1!$E$2:$E$523,C6)</f>
        <v>0</v>
      </c>
    </row>
    <row r="7" spans="2:6">
      <c r="B7" t="s">
        <v>51</v>
      </c>
      <c r="C7" s="152" t="s">
        <v>74</v>
      </c>
      <c r="D7">
        <f>SUMIFS(Sheet1!$G$2:$G$523,Sheet1!$D$2:$D$523,B7,Sheet1!$E$2:$E$523,C7)</f>
        <v>0</v>
      </c>
    </row>
    <row r="8" spans="2:6">
      <c r="B8" t="s">
        <v>837</v>
      </c>
      <c r="C8" s="152" t="s">
        <v>74</v>
      </c>
      <c r="D8">
        <f>SUMIFS(Sheet1!$G$2:$G$523,Sheet1!$D$2:$D$523,B8,Sheet1!$E$2:$E$523,C8)</f>
        <v>0</v>
      </c>
    </row>
    <row r="9" spans="2:6">
      <c r="B9" t="s">
        <v>923</v>
      </c>
      <c r="C9" s="152" t="s">
        <v>74</v>
      </c>
      <c r="D9">
        <f>SUMIFS(Sheet1!$G$2:$G$523,Sheet1!$D$2:$D$523,B9,Sheet1!$E$2:$E$523,C9)</f>
        <v>0</v>
      </c>
    </row>
    <row r="10" spans="2:6">
      <c r="B10" t="s">
        <v>933</v>
      </c>
      <c r="C10" s="152" t="s">
        <v>74</v>
      </c>
      <c r="D10">
        <f>SUMIFS(Sheet1!$G$2:$G$523,Sheet1!$D$2:$D$523,B10,Sheet1!$E$2:$E$523,C10)</f>
        <v>6.09</v>
      </c>
    </row>
    <row r="11" spans="2:6">
      <c r="B11" t="s">
        <v>1045</v>
      </c>
      <c r="C11" s="152" t="s">
        <v>74</v>
      </c>
      <c r="D11">
        <f>SUMIFS(Sheet1!$G$2:$G$523,Sheet1!$D$2:$D$523,B11,Sheet1!$E$2:$E$523,C11)</f>
        <v>0.81</v>
      </c>
    </row>
    <row r="12" spans="2:6">
      <c r="B12" t="s">
        <v>356</v>
      </c>
      <c r="C12" s="152" t="s">
        <v>74</v>
      </c>
      <c r="D12">
        <f>SUMIFS(Sheet1!$G$2:$G$523,Sheet1!$D$2:$D$523,B12,Sheet1!$E$2:$E$523,C12)</f>
        <v>0</v>
      </c>
    </row>
    <row r="13" spans="2:6">
      <c r="B13" t="s">
        <v>1145</v>
      </c>
      <c r="C13" s="152" t="s">
        <v>74</v>
      </c>
      <c r="D13">
        <f>SUMIFS(Sheet1!$G$2:$G$523,Sheet1!$D$2:$D$523,B13,Sheet1!$E$2:$E$523,C13)</f>
        <v>0</v>
      </c>
    </row>
    <row r="14" spans="2:6">
      <c r="B14" t="s">
        <v>1189</v>
      </c>
      <c r="C14" s="152" t="s">
        <v>74</v>
      </c>
      <c r="D14">
        <f>SUMIFS(Sheet1!$G$2:$G$523,Sheet1!$D$2:$D$523,B14,Sheet1!$E$2:$E$523,C14)</f>
        <v>0</v>
      </c>
    </row>
    <row r="15" spans="2:6">
      <c r="B15" t="s">
        <v>99</v>
      </c>
      <c r="C15" s="152" t="s">
        <v>74</v>
      </c>
      <c r="D15">
        <f>SUMIFS(Sheet1!$G$2:$G$523,Sheet1!$D$2:$D$523,B15,Sheet1!$E$2:$E$523,C15)</f>
        <v>0</v>
      </c>
    </row>
    <row r="16" spans="2:6">
      <c r="B16" t="s">
        <v>118</v>
      </c>
      <c r="C16" s="152" t="s">
        <v>74</v>
      </c>
      <c r="D16">
        <f>SUMIFS(Sheet1!$G$2:$G$523,Sheet1!$D$2:$D$523,B16,Sheet1!$E$2:$E$523,C16)</f>
        <v>0</v>
      </c>
    </row>
    <row r="17" spans="2:4">
      <c r="B17" t="s">
        <v>176</v>
      </c>
      <c r="C17" s="152" t="s">
        <v>74</v>
      </c>
      <c r="D17">
        <f>SUMIFS(Sheet1!$G$2:$G$523,Sheet1!$D$2:$D$523,B17,Sheet1!$E$2:$E$523,C17)</f>
        <v>0</v>
      </c>
    </row>
    <row r="18" spans="2:4">
      <c r="B18" t="s">
        <v>234</v>
      </c>
      <c r="C18" s="152" t="s">
        <v>74</v>
      </c>
      <c r="D18">
        <f>SUMIFS(Sheet1!$G$2:$G$523,Sheet1!$D$2:$D$523,B18,Sheet1!$E$2:$E$523,C18)</f>
        <v>0</v>
      </c>
    </row>
    <row r="19" spans="2:4">
      <c r="B19" t="s">
        <v>286</v>
      </c>
      <c r="C19" s="152" t="s">
        <v>74</v>
      </c>
      <c r="D19">
        <f>SUMIFS(Sheet1!$G$2:$G$523,Sheet1!$D$2:$D$523,B19,Sheet1!$E$2:$E$523,C19)</f>
        <v>0</v>
      </c>
    </row>
    <row r="20" spans="2:4">
      <c r="B20" t="s">
        <v>312</v>
      </c>
      <c r="C20" s="152" t="s">
        <v>74</v>
      </c>
      <c r="D20">
        <f>SUMIFS(Sheet1!$G$2:$G$523,Sheet1!$D$2:$D$523,B20,Sheet1!$E$2:$E$523,C20)</f>
        <v>0</v>
      </c>
    </row>
    <row r="21" spans="2:4">
      <c r="B21" t="s">
        <v>322</v>
      </c>
      <c r="C21" s="152" t="s">
        <v>74</v>
      </c>
      <c r="D21">
        <f>SUMIFS(Sheet1!$G$2:$G$523,Sheet1!$D$2:$D$523,B21,Sheet1!$E$2:$E$523,C21)</f>
        <v>0</v>
      </c>
    </row>
    <row r="22" spans="2:4">
      <c r="B22" t="s">
        <v>330</v>
      </c>
      <c r="C22" s="152" t="s">
        <v>74</v>
      </c>
      <c r="D22">
        <f>SUMIFS(Sheet1!$G$2:$G$523,Sheet1!$D$2:$D$523,B22,Sheet1!$E$2:$E$523,C22)</f>
        <v>0</v>
      </c>
    </row>
    <row r="23" spans="2:4">
      <c r="B23" t="s">
        <v>338</v>
      </c>
      <c r="C23" s="152" t="s">
        <v>74</v>
      </c>
      <c r="D23">
        <f>SUMIFS(Sheet1!$G$2:$G$523,Sheet1!$D$2:$D$523,B23,Sheet1!$E$2:$E$523,C23)</f>
        <v>0</v>
      </c>
    </row>
    <row r="24" spans="2:4">
      <c r="B24" t="s">
        <v>18</v>
      </c>
      <c r="C24" s="152" t="s">
        <v>74</v>
      </c>
      <c r="D24">
        <f>SUMIFS(Sheet1!$G$2:$G$523,Sheet1!$D$2:$D$523,B24,Sheet1!$E$2:$E$523,C24)</f>
        <v>0</v>
      </c>
    </row>
    <row r="25" spans="2:4">
      <c r="B25" t="s">
        <v>616</v>
      </c>
      <c r="C25" s="152" t="s">
        <v>74</v>
      </c>
      <c r="D25">
        <f>SUMIFS(Sheet1!$G$2:$G$523,Sheet1!$D$2:$D$523,B25,Sheet1!$E$2:$E$523,C25)</f>
        <v>0</v>
      </c>
    </row>
    <row r="26" spans="2:4">
      <c r="B26" t="s">
        <v>634</v>
      </c>
      <c r="C26" s="152" t="s">
        <v>74</v>
      </c>
      <c r="D26">
        <f>SUMIFS(Sheet1!$G$2:$G$523,Sheet1!$D$2:$D$523,B26,Sheet1!$E$2:$E$523,C26)</f>
        <v>0</v>
      </c>
    </row>
    <row r="27" spans="2:4">
      <c r="B27" t="s">
        <v>748</v>
      </c>
      <c r="C27" s="152" t="s">
        <v>74</v>
      </c>
      <c r="D27">
        <f>SUMIFS(Sheet1!$G$2:$G$523,Sheet1!$D$2:$D$523,B27,Sheet1!$E$2:$E$523,C27)</f>
        <v>0</v>
      </c>
    </row>
    <row r="28" spans="2:4">
      <c r="B28" t="s">
        <v>48</v>
      </c>
      <c r="C28" s="152" t="s">
        <v>74</v>
      </c>
      <c r="D28">
        <f>SUMIFS(Sheet1!$G$2:$G$523,Sheet1!$D$2:$D$523,B28,Sheet1!$E$2:$E$523,C28)</f>
        <v>17.93</v>
      </c>
    </row>
    <row r="29" spans="2:4">
      <c r="B29" t="s">
        <v>883</v>
      </c>
      <c r="C29" s="152" t="s">
        <v>74</v>
      </c>
      <c r="D29">
        <f>SUMIFS(Sheet1!$G$2:$G$523,Sheet1!$D$2:$D$523,B29,Sheet1!$E$2:$E$523,C29)</f>
        <v>16.61</v>
      </c>
    </row>
    <row r="30" spans="2:4">
      <c r="B30" t="s">
        <v>906</v>
      </c>
      <c r="C30" s="152" t="s">
        <v>74</v>
      </c>
      <c r="D30">
        <f>SUMIFS(Sheet1!$G$2:$G$523,Sheet1!$D$2:$D$523,B30,Sheet1!$E$2:$E$523,C30)</f>
        <v>0</v>
      </c>
    </row>
    <row r="31" spans="2:4">
      <c r="B31" t="s">
        <v>1039</v>
      </c>
      <c r="C31" s="152" t="s">
        <v>74</v>
      </c>
      <c r="D31">
        <f>SUMIFS(Sheet1!$G$2:$G$523,Sheet1!$D$2:$D$523,B31,Sheet1!$E$2:$E$523,C31)</f>
        <v>0</v>
      </c>
    </row>
    <row r="32" spans="2:4">
      <c r="B32" t="s">
        <v>326</v>
      </c>
      <c r="C32" s="152" t="s">
        <v>74</v>
      </c>
      <c r="D32">
        <f>SUMIFS(Sheet1!$G$2:$G$523,Sheet1!$D$2:$D$523,B32,Sheet1!$E$2:$E$523,C32)</f>
        <v>0</v>
      </c>
    </row>
    <row r="33" spans="2:4">
      <c r="B33" t="s">
        <v>1155</v>
      </c>
      <c r="C33" s="152" t="s">
        <v>74</v>
      </c>
      <c r="D33">
        <f>SUMIFS(Sheet1!$G$2:$G$523,Sheet1!$D$2:$D$523,B33,Sheet1!$E$2:$E$523,C33)</f>
        <v>0</v>
      </c>
    </row>
    <row r="34" spans="2:4">
      <c r="B34" t="s">
        <v>1159</v>
      </c>
      <c r="C34" s="152" t="s">
        <v>74</v>
      </c>
      <c r="D34">
        <f>SUMIFS(Sheet1!$G$2:$G$523,Sheet1!$D$2:$D$523,B34,Sheet1!$E$2:$E$523,C34)</f>
        <v>0</v>
      </c>
    </row>
    <row r="35" spans="2:4">
      <c r="B35" t="s">
        <v>1162</v>
      </c>
      <c r="C35" s="152" t="s">
        <v>74</v>
      </c>
      <c r="D35">
        <f>SUMIFS(Sheet1!$G$2:$G$523,Sheet1!$D$2:$D$523,B35,Sheet1!$E$2:$E$523,C35)</f>
        <v>0</v>
      </c>
    </row>
    <row r="36" spans="2:4">
      <c r="B36" t="s">
        <v>1181</v>
      </c>
      <c r="C36" s="152" t="s">
        <v>74</v>
      </c>
      <c r="D36">
        <f>SUMIFS(Sheet1!$G$2:$G$523,Sheet1!$D$2:$D$523,B36,Sheet1!$E$2:$E$523,C36)</f>
        <v>0</v>
      </c>
    </row>
    <row r="37" spans="2:4">
      <c r="B37" t="s">
        <v>1209</v>
      </c>
      <c r="C37" s="152" t="s">
        <v>74</v>
      </c>
      <c r="D37">
        <f>SUMIFS(Sheet1!$G$2:$G$523,Sheet1!$D$2:$D$523,B37,Sheet1!$E$2:$E$523,C37)</f>
        <v>0</v>
      </c>
    </row>
    <row r="38" spans="2:4">
      <c r="B38" t="s">
        <v>1215</v>
      </c>
      <c r="C38" s="152" t="s">
        <v>74</v>
      </c>
      <c r="D38">
        <f>SUMIFS(Sheet1!$G$2:$G$523,Sheet1!$D$2:$D$523,B38,Sheet1!$E$2:$E$523,C38)</f>
        <v>0</v>
      </c>
    </row>
    <row r="39" spans="2:4">
      <c r="B39" t="s">
        <v>104</v>
      </c>
      <c r="C39" s="152" t="s">
        <v>74</v>
      </c>
      <c r="D39">
        <f>SUMIFS(Sheet1!$G$2:$G$523,Sheet1!$D$2:$D$523,B39,Sheet1!$E$2:$E$523,C39)</f>
        <v>0</v>
      </c>
    </row>
    <row r="40" spans="2:4">
      <c r="B40" t="s">
        <v>346</v>
      </c>
      <c r="C40" s="152" t="s">
        <v>74</v>
      </c>
      <c r="D40">
        <f>SUMIFS(Sheet1!$G$2:$G$523,Sheet1!$D$2:$D$523,B40,Sheet1!$E$2:$E$523,C40)</f>
        <v>0</v>
      </c>
    </row>
    <row r="41" spans="2:4">
      <c r="B41" t="s">
        <v>350</v>
      </c>
      <c r="C41" s="152" t="s">
        <v>74</v>
      </c>
      <c r="D41">
        <f>SUMIFS(Sheet1!$G$2:$G$523,Sheet1!$D$2:$D$523,B41,Sheet1!$E$2:$E$523,C41)</f>
        <v>0</v>
      </c>
    </row>
    <row r="42" spans="2:4">
      <c r="B42" t="s">
        <v>353</v>
      </c>
      <c r="C42" s="152" t="s">
        <v>74</v>
      </c>
      <c r="D42">
        <f>SUMIFS(Sheet1!$G$2:$G$523,Sheet1!$D$2:$D$523,B42,Sheet1!$E$2:$E$523,C42)</f>
        <v>0</v>
      </c>
    </row>
    <row r="43" spans="2:4">
      <c r="B43" t="s">
        <v>360</v>
      </c>
      <c r="C43" s="152" t="s">
        <v>74</v>
      </c>
      <c r="D43">
        <f>SUMIFS(Sheet1!$G$2:$G$523,Sheet1!$D$2:$D$523,B43,Sheet1!$E$2:$E$523,C43)</f>
        <v>0</v>
      </c>
    </row>
    <row r="44" spans="2:4">
      <c r="B44" t="s">
        <v>621</v>
      </c>
      <c r="C44" s="152" t="s">
        <v>74</v>
      </c>
      <c r="D44">
        <f>SUMIFS(Sheet1!$G$2:$G$523,Sheet1!$D$2:$D$523,B44,Sheet1!$E$2:$E$523,C44)</f>
        <v>0</v>
      </c>
    </row>
    <row r="45" spans="2:4">
      <c r="B45" t="s">
        <v>21</v>
      </c>
      <c r="C45" s="152" t="s">
        <v>74</v>
      </c>
      <c r="D45">
        <f>SUMIFS(Sheet1!$G$2:$G$523,Sheet1!$D$2:$D$523,B45,Sheet1!$E$2:$E$523,C45)</f>
        <v>0</v>
      </c>
    </row>
    <row r="46" spans="2:4">
      <c r="B46" t="s">
        <v>870</v>
      </c>
      <c r="C46" s="152" t="s">
        <v>74</v>
      </c>
      <c r="D46">
        <f>SUMIFS(Sheet1!$G$2:$G$523,Sheet1!$D$2:$D$523,B46,Sheet1!$E$2:$E$523,C46)</f>
        <v>0</v>
      </c>
    </row>
    <row r="47" spans="2:4">
      <c r="B47" t="s">
        <v>556</v>
      </c>
      <c r="C47" s="152" t="s">
        <v>74</v>
      </c>
      <c r="D47">
        <f>SUMIFS(Sheet1!$G$2:$G$523,Sheet1!$D$2:$D$523,B47,Sheet1!$E$2:$E$523,C47)</f>
        <v>0</v>
      </c>
    </row>
    <row r="48" spans="2:4">
      <c r="B48" t="s">
        <v>701</v>
      </c>
      <c r="C48" s="152" t="s">
        <v>74</v>
      </c>
      <c r="D48">
        <f>SUMIFS(Sheet1!$G$2:$G$523,Sheet1!$D$2:$D$523,B48,Sheet1!$E$2:$E$523,C48)</f>
        <v>0</v>
      </c>
    </row>
    <row r="49" spans="2:4">
      <c r="B49" t="s">
        <v>709</v>
      </c>
      <c r="C49" s="152" t="s">
        <v>74</v>
      </c>
      <c r="D49">
        <f>SUMIFS(Sheet1!$G$2:$G$523,Sheet1!$D$2:$D$523,B49,Sheet1!$E$2:$E$523,C49)</f>
        <v>0</v>
      </c>
    </row>
    <row r="50" spans="2:4">
      <c r="B50" t="s">
        <v>714</v>
      </c>
      <c r="C50" s="152" t="s">
        <v>74</v>
      </c>
      <c r="D50">
        <f>SUMIFS(Sheet1!$G$2:$G$523,Sheet1!$D$2:$D$523,B50,Sheet1!$E$2:$E$523,C50)</f>
        <v>0</v>
      </c>
    </row>
    <row r="51" spans="2:4">
      <c r="B51" t="s">
        <v>863</v>
      </c>
      <c r="C51" s="152" t="s">
        <v>74</v>
      </c>
      <c r="D51">
        <f>SUMIFS(Sheet1!$G$2:$G$523,Sheet1!$D$2:$D$523,B51,Sheet1!$E$2:$E$523,C51)</f>
        <v>0</v>
      </c>
    </row>
    <row r="52" spans="2:4">
      <c r="B52" t="s">
        <v>947</v>
      </c>
      <c r="C52" s="152" t="s">
        <v>74</v>
      </c>
      <c r="D52">
        <f>SUMIFS(Sheet1!$G$2:$G$523,Sheet1!$D$2:$D$523,B52,Sheet1!$E$2:$E$523,C52)</f>
        <v>18.21</v>
      </c>
    </row>
    <row r="53" spans="2:4">
      <c r="B53" t="s">
        <v>1026</v>
      </c>
      <c r="C53" s="152" t="s">
        <v>74</v>
      </c>
      <c r="D53">
        <f>SUMIFS(Sheet1!$G$2:$G$523,Sheet1!$D$2:$D$523,B53,Sheet1!$E$2:$E$523,C53)</f>
        <v>0</v>
      </c>
    </row>
    <row r="54" spans="2:4">
      <c r="B54" t="s">
        <v>1031</v>
      </c>
      <c r="C54" s="152" t="s">
        <v>74</v>
      </c>
      <c r="D54">
        <f>SUMIFS(Sheet1!$G$2:$G$523,Sheet1!$D$2:$D$523,B54,Sheet1!$E$2:$E$523,C54)</f>
        <v>0</v>
      </c>
    </row>
    <row r="55" spans="2:4">
      <c r="B55" t="s">
        <v>1110</v>
      </c>
      <c r="C55" s="152" t="s">
        <v>74</v>
      </c>
      <c r="D55">
        <f>SUMIFS(Sheet1!$G$2:$G$523,Sheet1!$D$2:$D$523,B55,Sheet1!$E$2:$E$523,C55)</f>
        <v>0</v>
      </c>
    </row>
    <row r="56" spans="2:4">
      <c r="B56" t="s">
        <v>1192</v>
      </c>
      <c r="C56" s="152" t="s">
        <v>74</v>
      </c>
      <c r="D56">
        <f>SUMIFS(Sheet1!$G$2:$G$523,Sheet1!$D$2:$D$523,B56,Sheet1!$E$2:$E$523,C56)</f>
        <v>0</v>
      </c>
    </row>
    <row r="57" spans="2:4">
      <c r="B57" t="s">
        <v>1061</v>
      </c>
      <c r="C57" s="152" t="s">
        <v>74</v>
      </c>
      <c r="D57">
        <f>SUMIFS(Sheet1!$G$2:$G$523,Sheet1!$D$2:$D$523,B57,Sheet1!$E$2:$E$523,C57)</f>
        <v>16.329999999999998</v>
      </c>
    </row>
    <row r="58" spans="2:4">
      <c r="B58" t="s">
        <v>317</v>
      </c>
      <c r="C58" s="152" t="s">
        <v>74</v>
      </c>
      <c r="D58">
        <f>SUMIFS(Sheet1!$G$2:$G$523,Sheet1!$D$2:$D$523,B58,Sheet1!$E$2:$E$523,C58)</f>
        <v>30.27</v>
      </c>
    </row>
    <row r="59" spans="2:4">
      <c r="B59" t="s">
        <v>1056</v>
      </c>
      <c r="C59" s="152" t="s">
        <v>74</v>
      </c>
      <c r="D59">
        <f>SUMIFS(Sheet1!$G$2:$G$523,Sheet1!$D$2:$D$523,B59,Sheet1!$E$2:$E$523,C59)</f>
        <v>0</v>
      </c>
    </row>
    <row r="60" spans="2:4">
      <c r="B60" t="s">
        <v>342</v>
      </c>
      <c r="C60" s="152" t="s">
        <v>74</v>
      </c>
      <c r="D60">
        <f>SUMIFS(Sheet1!$G$2:$G$523,Sheet1!$D$2:$D$523,B60,Sheet1!$E$2:$E$523,C60)</f>
        <v>0</v>
      </c>
    </row>
    <row r="61" spans="2:4">
      <c r="B61" t="s">
        <v>352</v>
      </c>
      <c r="C61" s="152" t="s">
        <v>74</v>
      </c>
      <c r="D61">
        <f>SUMIFS(Sheet1!$G$2:$G$523,Sheet1!$D$2:$D$523,B61,Sheet1!$E$2:$E$523,C61)</f>
        <v>0</v>
      </c>
    </row>
    <row r="62" spans="2:4">
      <c r="B62" t="s">
        <v>371</v>
      </c>
      <c r="C62" s="152" t="s">
        <v>74</v>
      </c>
      <c r="D62">
        <f>SUMIFS(Sheet1!$G$2:$G$523,Sheet1!$D$2:$D$523,B62,Sheet1!$E$2:$E$523,C62)</f>
        <v>0</v>
      </c>
    </row>
    <row r="63" spans="2:4">
      <c r="B63" t="s">
        <v>610</v>
      </c>
      <c r="C63" s="152" t="s">
        <v>74</v>
      </c>
      <c r="D63">
        <f>SUMIFS(Sheet1!$G$2:$G$523,Sheet1!$D$2:$D$523,B63,Sheet1!$E$2:$E$523,C63)</f>
        <v>0</v>
      </c>
    </row>
    <row r="64" spans="2:4">
      <c r="B64" t="s">
        <v>1237</v>
      </c>
      <c r="C64" s="152" t="s">
        <v>74</v>
      </c>
      <c r="D64">
        <f>SUMIFS(Sheet1!$G$2:$G$523,Sheet1!$D$2:$D$523,B64,Sheet1!$E$2:$E$523,C64)</f>
        <v>0</v>
      </c>
    </row>
    <row r="65" spans="2:6">
      <c r="B65" t="s">
        <v>1250</v>
      </c>
      <c r="C65" s="152" t="s">
        <v>74</v>
      </c>
      <c r="D65">
        <f>SUMIFS(Sheet1!$G$2:$G$523,Sheet1!$D$2:$D$523,B65,Sheet1!$E$2:$E$523,C65)</f>
        <v>0</v>
      </c>
    </row>
    <row r="66" spans="2:6">
      <c r="B66" t="s">
        <v>1264</v>
      </c>
      <c r="C66" s="152" t="s">
        <v>74</v>
      </c>
      <c r="D66">
        <f>SUMIFS(Sheet1!$G$2:$G$523,Sheet1!$D$2:$D$523,B66,Sheet1!$E$2:$E$523,C66)</f>
        <v>0</v>
      </c>
    </row>
    <row r="67" spans="2:6">
      <c r="B67" t="s">
        <v>592</v>
      </c>
      <c r="C67" s="152" t="s">
        <v>74</v>
      </c>
      <c r="D67">
        <f>SUMIFS(Sheet1!$G$2:$G$523,Sheet1!$D$2:$D$523,B67,Sheet1!$E$2:$E$523,C67)</f>
        <v>0</v>
      </c>
    </row>
    <row r="68" spans="2:6">
      <c r="B68" t="s">
        <v>775</v>
      </c>
      <c r="C68" s="152" t="s">
        <v>74</v>
      </c>
      <c r="D68">
        <f>SUMIFS(Sheet1!$G$2:$G$523,Sheet1!$D$2:$D$523,B68,Sheet1!$E$2:$E$523,C68)</f>
        <v>0</v>
      </c>
    </row>
    <row r="69" spans="2:6">
      <c r="B69" t="s">
        <v>55</v>
      </c>
      <c r="C69" s="152" t="s">
        <v>74</v>
      </c>
      <c r="D69">
        <f>SUMIFS(Sheet1!$G$2:$G$523,Sheet1!$D$2:$D$523,B69,Sheet1!$E$2:$E$523,C69)</f>
        <v>0</v>
      </c>
    </row>
    <row r="70" spans="2:6">
      <c r="B70" t="s">
        <v>828</v>
      </c>
      <c r="C70" s="152" t="s">
        <v>74</v>
      </c>
      <c r="D70">
        <f>SUMIFS(Sheet1!$G$2:$G$523,Sheet1!$D$2:$D$523,B70,Sheet1!$E$2:$E$523,C70)</f>
        <v>0</v>
      </c>
    </row>
    <row r="71" spans="2:6">
      <c r="B71" t="s">
        <v>1002</v>
      </c>
      <c r="C71" s="152" t="s">
        <v>74</v>
      </c>
      <c r="D71">
        <f>SUMIFS(Sheet1!$G$2:$G$523,Sheet1!$D$2:$D$523,B71,Sheet1!$E$2:$E$523,C71)</f>
        <v>0</v>
      </c>
    </row>
    <row r="72" spans="2:6">
      <c r="B72" t="s">
        <v>1007</v>
      </c>
      <c r="C72" s="152" t="s">
        <v>74</v>
      </c>
      <c r="D72">
        <f>SUMIFS(Sheet1!$G$2:$G$523,Sheet1!$D$2:$D$523,B72,Sheet1!$E$2:$E$523,C72)</f>
        <v>0</v>
      </c>
    </row>
    <row r="73" spans="2:6">
      <c r="B73" t="s">
        <v>1018</v>
      </c>
      <c r="C73" s="152" t="s">
        <v>74</v>
      </c>
      <c r="D73">
        <f>SUMIFS(Sheet1!$G$2:$G$523,Sheet1!$D$2:$D$523,B73,Sheet1!$E$2:$E$523,C73)</f>
        <v>0</v>
      </c>
    </row>
    <row r="74" spans="2:6">
      <c r="B74" t="s">
        <v>1133</v>
      </c>
      <c r="C74" s="152" t="s">
        <v>74</v>
      </c>
      <c r="D74">
        <f>SUMIFS(Sheet1!$G$2:$G$523,Sheet1!$D$2:$D$523,B74,Sheet1!$E$2:$E$523,C74)</f>
        <v>0</v>
      </c>
    </row>
    <row r="75" spans="2:6">
      <c r="B75" t="s">
        <v>1140</v>
      </c>
      <c r="C75" s="152" t="s">
        <v>74</v>
      </c>
      <c r="D75">
        <f>SUMIFS(Sheet1!$G$2:$G$523,Sheet1!$D$2:$D$523,B75,Sheet1!$E$2:$E$523,C75)</f>
        <v>0</v>
      </c>
    </row>
    <row r="76" spans="2:6">
      <c r="B76" t="s">
        <v>367</v>
      </c>
      <c r="C76" s="152" t="s">
        <v>74</v>
      </c>
      <c r="D76">
        <f>SUMIFS(Sheet1!$G$2:$G$523,Sheet1!$D$2:$D$523,B76,Sheet1!$E$2:$E$523,C76)</f>
        <v>0</v>
      </c>
    </row>
    <row r="77" spans="2:6">
      <c r="B77" t="s">
        <v>688</v>
      </c>
      <c r="C77" s="152" t="s">
        <v>74</v>
      </c>
      <c r="D77">
        <f>SUMIFS(Sheet1!$G$2:$G$523,Sheet1!$D$2:$D$523,B77,Sheet1!$E$2:$E$523,C77)</f>
        <v>0</v>
      </c>
    </row>
    <row r="78" spans="2:6">
      <c r="B78" t="s">
        <v>874</v>
      </c>
      <c r="C78" s="152" t="s">
        <v>74</v>
      </c>
      <c r="D78">
        <f>SUMIFS(Sheet1!$G$2:$G$523,Sheet1!$D$2:$D$523,B78,Sheet1!$E$2:$E$523,C78)</f>
        <v>0</v>
      </c>
    </row>
    <row r="79" spans="2:6">
      <c r="B79" t="s">
        <v>877</v>
      </c>
      <c r="C79" s="152" t="s">
        <v>74</v>
      </c>
      <c r="D79">
        <f>SUMIFS(Sheet1!$G$2:$G$523,Sheet1!$D$2:$D$523,B79,Sheet1!$E$2:$E$523,C79)</f>
        <v>0</v>
      </c>
    </row>
    <row r="80" spans="2:6">
      <c r="B80" t="s">
        <v>581</v>
      </c>
      <c r="C80" t="s">
        <v>573</v>
      </c>
      <c r="D80">
        <f>SUMIFS(Sheet1!$G$2:$G$523,Sheet1!$D$2:$D$523,B80,Sheet1!$E$2:$E$523,C80)</f>
        <v>49.379999999999995</v>
      </c>
      <c r="F80">
        <v>2</v>
      </c>
    </row>
    <row r="81" spans="2:4">
      <c r="B81" t="s">
        <v>14</v>
      </c>
      <c r="C81" t="s">
        <v>573</v>
      </c>
      <c r="D81">
        <f>SUMIFS(Sheet1!$G$2:$G$523,Sheet1!$D$2:$D$523,B81,Sheet1!$E$2:$E$523,C81)</f>
        <v>0</v>
      </c>
    </row>
    <row r="82" spans="2:4">
      <c r="B82" t="s">
        <v>723</v>
      </c>
      <c r="C82" t="s">
        <v>573</v>
      </c>
      <c r="D82">
        <f>SUMIFS(Sheet1!$G$2:$G$523,Sheet1!$D$2:$D$523,B82,Sheet1!$E$2:$E$523,C82)</f>
        <v>0</v>
      </c>
    </row>
    <row r="83" spans="2:4">
      <c r="B83" t="s">
        <v>694</v>
      </c>
      <c r="C83" t="s">
        <v>573</v>
      </c>
      <c r="D83">
        <f>SUMIFS(Sheet1!$G$2:$G$523,Sheet1!$D$2:$D$523,B83,Sheet1!$E$2:$E$523,C83)</f>
        <v>0</v>
      </c>
    </row>
    <row r="84" spans="2:4">
      <c r="B84" t="s">
        <v>30</v>
      </c>
      <c r="C84" t="s">
        <v>573</v>
      </c>
      <c r="D84">
        <f>SUMIFS(Sheet1!$G$2:$G$523,Sheet1!$D$2:$D$523,B84,Sheet1!$E$2:$E$523,C84)</f>
        <v>0</v>
      </c>
    </row>
    <row r="85" spans="2:4">
      <c r="B85" t="s">
        <v>51</v>
      </c>
      <c r="C85" t="s">
        <v>573</v>
      </c>
      <c r="D85">
        <f>SUMIFS(Sheet1!$G$2:$G$523,Sheet1!$D$2:$D$523,B85,Sheet1!$E$2:$E$523,C85)</f>
        <v>0</v>
      </c>
    </row>
    <row r="86" spans="2:4">
      <c r="B86" t="s">
        <v>837</v>
      </c>
      <c r="C86" t="s">
        <v>573</v>
      </c>
      <c r="D86">
        <f>SUMIFS(Sheet1!$G$2:$G$523,Sheet1!$D$2:$D$523,B86,Sheet1!$E$2:$E$523,C86)</f>
        <v>4.29</v>
      </c>
    </row>
    <row r="87" spans="2:4">
      <c r="B87" t="s">
        <v>923</v>
      </c>
      <c r="C87" t="s">
        <v>573</v>
      </c>
      <c r="D87">
        <f>SUMIFS(Sheet1!$G$2:$G$523,Sheet1!$D$2:$D$523,B87,Sheet1!$E$2:$E$523,C87)</f>
        <v>0</v>
      </c>
    </row>
    <row r="88" spans="2:4">
      <c r="B88" t="s">
        <v>933</v>
      </c>
      <c r="C88" t="s">
        <v>573</v>
      </c>
      <c r="D88">
        <f>SUMIFS(Sheet1!$G$2:$G$523,Sheet1!$D$2:$D$523,B88,Sheet1!$E$2:$E$523,C88)</f>
        <v>4.8599999999999994</v>
      </c>
    </row>
    <row r="89" spans="2:4">
      <c r="B89" t="s">
        <v>1045</v>
      </c>
      <c r="C89" t="s">
        <v>573</v>
      </c>
      <c r="D89">
        <f>SUMIFS(Sheet1!$G$2:$G$523,Sheet1!$D$2:$D$523,B89,Sheet1!$E$2:$E$523,C89)</f>
        <v>0</v>
      </c>
    </row>
    <row r="90" spans="2:4">
      <c r="B90" t="s">
        <v>356</v>
      </c>
      <c r="C90" t="s">
        <v>573</v>
      </c>
      <c r="D90">
        <f>SUMIFS(Sheet1!$G$2:$G$523,Sheet1!$D$2:$D$523,B90,Sheet1!$E$2:$E$523,C90)</f>
        <v>0</v>
      </c>
    </row>
    <row r="91" spans="2:4">
      <c r="B91" t="s">
        <v>1145</v>
      </c>
      <c r="C91" t="s">
        <v>573</v>
      </c>
      <c r="D91">
        <f>SUMIFS(Sheet1!$G$2:$G$523,Sheet1!$D$2:$D$523,B91,Sheet1!$E$2:$E$523,C91)</f>
        <v>0</v>
      </c>
    </row>
    <row r="92" spans="2:4">
      <c r="B92" t="s">
        <v>1189</v>
      </c>
      <c r="C92" t="s">
        <v>573</v>
      </c>
      <c r="D92">
        <f>SUMIFS(Sheet1!$G$2:$G$523,Sheet1!$D$2:$D$523,B92,Sheet1!$E$2:$E$523,C92)</f>
        <v>0</v>
      </c>
    </row>
    <row r="93" spans="2:4">
      <c r="B93" t="s">
        <v>99</v>
      </c>
      <c r="C93" t="s">
        <v>573</v>
      </c>
      <c r="D93">
        <f>SUMIFS(Sheet1!$G$2:$G$523,Sheet1!$D$2:$D$523,B93,Sheet1!$E$2:$E$523,C93)</f>
        <v>0</v>
      </c>
    </row>
    <row r="94" spans="2:4">
      <c r="B94" t="s">
        <v>118</v>
      </c>
      <c r="C94" t="s">
        <v>573</v>
      </c>
      <c r="D94">
        <f>SUMIFS(Sheet1!$G$2:$G$523,Sheet1!$D$2:$D$523,B94,Sheet1!$E$2:$E$523,C94)</f>
        <v>0</v>
      </c>
    </row>
    <row r="95" spans="2:4">
      <c r="B95" t="s">
        <v>176</v>
      </c>
      <c r="C95" t="s">
        <v>573</v>
      </c>
      <c r="D95">
        <f>SUMIFS(Sheet1!$G$2:$G$523,Sheet1!$D$2:$D$523,B95,Sheet1!$E$2:$E$523,C95)</f>
        <v>0</v>
      </c>
    </row>
    <row r="96" spans="2:4">
      <c r="B96" t="s">
        <v>234</v>
      </c>
      <c r="C96" t="s">
        <v>573</v>
      </c>
      <c r="D96">
        <f>SUMIFS(Sheet1!$G$2:$G$523,Sheet1!$D$2:$D$523,B96,Sheet1!$E$2:$E$523,C96)</f>
        <v>0</v>
      </c>
    </row>
    <row r="97" spans="2:4">
      <c r="B97" t="s">
        <v>286</v>
      </c>
      <c r="C97" t="s">
        <v>573</v>
      </c>
      <c r="D97">
        <f>SUMIFS(Sheet1!$G$2:$G$523,Sheet1!$D$2:$D$523,B97,Sheet1!$E$2:$E$523,C97)</f>
        <v>0</v>
      </c>
    </row>
    <row r="98" spans="2:4">
      <c r="B98" t="s">
        <v>312</v>
      </c>
      <c r="C98" t="s">
        <v>573</v>
      </c>
      <c r="D98">
        <f>SUMIFS(Sheet1!$G$2:$G$523,Sheet1!$D$2:$D$523,B98,Sheet1!$E$2:$E$523,C98)</f>
        <v>0</v>
      </c>
    </row>
    <row r="99" spans="2:4">
      <c r="B99" t="s">
        <v>322</v>
      </c>
      <c r="C99" t="s">
        <v>573</v>
      </c>
      <c r="D99">
        <f>SUMIFS(Sheet1!$G$2:$G$523,Sheet1!$D$2:$D$523,B99,Sheet1!$E$2:$E$523,C99)</f>
        <v>0</v>
      </c>
    </row>
    <row r="100" spans="2:4">
      <c r="B100" t="s">
        <v>330</v>
      </c>
      <c r="C100" t="s">
        <v>573</v>
      </c>
      <c r="D100">
        <f>SUMIFS(Sheet1!$G$2:$G$523,Sheet1!$D$2:$D$523,B100,Sheet1!$E$2:$E$523,C100)</f>
        <v>0</v>
      </c>
    </row>
    <row r="101" spans="2:4">
      <c r="B101" t="s">
        <v>338</v>
      </c>
      <c r="C101" t="s">
        <v>573</v>
      </c>
      <c r="D101">
        <f>SUMIFS(Sheet1!$G$2:$G$523,Sheet1!$D$2:$D$523,B101,Sheet1!$E$2:$E$523,C101)</f>
        <v>0</v>
      </c>
    </row>
    <row r="102" spans="2:4">
      <c r="B102" t="s">
        <v>18</v>
      </c>
      <c r="C102" t="s">
        <v>573</v>
      </c>
      <c r="D102">
        <f>SUMIFS(Sheet1!$G$2:$G$523,Sheet1!$D$2:$D$523,B102,Sheet1!$E$2:$E$523,C102)</f>
        <v>0</v>
      </c>
    </row>
    <row r="103" spans="2:4">
      <c r="B103" t="s">
        <v>616</v>
      </c>
      <c r="C103" t="s">
        <v>573</v>
      </c>
      <c r="D103">
        <f>SUMIFS(Sheet1!$G$2:$G$523,Sheet1!$D$2:$D$523,B103,Sheet1!$E$2:$E$523,C103)</f>
        <v>0</v>
      </c>
    </row>
    <row r="104" spans="2:4">
      <c r="B104" t="s">
        <v>634</v>
      </c>
      <c r="C104" t="s">
        <v>573</v>
      </c>
      <c r="D104">
        <f>SUMIFS(Sheet1!$G$2:$G$523,Sheet1!$D$2:$D$523,B104,Sheet1!$E$2:$E$523,C104)</f>
        <v>0</v>
      </c>
    </row>
    <row r="105" spans="2:4">
      <c r="B105" t="s">
        <v>748</v>
      </c>
      <c r="C105" t="s">
        <v>573</v>
      </c>
      <c r="D105">
        <f>SUMIFS(Sheet1!$G$2:$G$523,Sheet1!$D$2:$D$523,B105,Sheet1!$E$2:$E$523,C105)</f>
        <v>0</v>
      </c>
    </row>
    <row r="106" spans="2:4">
      <c r="B106" t="s">
        <v>48</v>
      </c>
      <c r="C106" t="s">
        <v>573</v>
      </c>
      <c r="D106">
        <f>SUMIFS(Sheet1!$G$2:$G$523,Sheet1!$D$2:$D$523,B106,Sheet1!$E$2:$E$523,C106)</f>
        <v>0</v>
      </c>
    </row>
    <row r="107" spans="2:4">
      <c r="B107" t="s">
        <v>883</v>
      </c>
      <c r="C107" t="s">
        <v>573</v>
      </c>
      <c r="D107">
        <f>SUMIFS(Sheet1!$G$2:$G$523,Sheet1!$D$2:$D$523,B107,Sheet1!$E$2:$E$523,C107)</f>
        <v>21.07</v>
      </c>
    </row>
    <row r="108" spans="2:4">
      <c r="B108" t="s">
        <v>906</v>
      </c>
      <c r="C108" t="s">
        <v>573</v>
      </c>
      <c r="D108">
        <f>SUMIFS(Sheet1!$G$2:$G$523,Sheet1!$D$2:$D$523,B108,Sheet1!$E$2:$E$523,C108)</f>
        <v>0</v>
      </c>
    </row>
    <row r="109" spans="2:4">
      <c r="B109" t="s">
        <v>1039</v>
      </c>
      <c r="C109" t="s">
        <v>573</v>
      </c>
      <c r="D109">
        <f>SUMIFS(Sheet1!$G$2:$G$523,Sheet1!$D$2:$D$523,B109,Sheet1!$E$2:$E$523,C109)</f>
        <v>0</v>
      </c>
    </row>
    <row r="110" spans="2:4">
      <c r="B110" t="s">
        <v>326</v>
      </c>
      <c r="C110" t="s">
        <v>573</v>
      </c>
      <c r="D110">
        <f>SUMIFS(Sheet1!$G$2:$G$523,Sheet1!$D$2:$D$523,B110,Sheet1!$E$2:$E$523,C110)</f>
        <v>0</v>
      </c>
    </row>
    <row r="111" spans="2:4">
      <c r="B111" t="s">
        <v>1155</v>
      </c>
      <c r="C111" t="s">
        <v>573</v>
      </c>
      <c r="D111">
        <f>SUMIFS(Sheet1!$G$2:$G$523,Sheet1!$D$2:$D$523,B111,Sheet1!$E$2:$E$523,C111)</f>
        <v>0</v>
      </c>
    </row>
    <row r="112" spans="2:4">
      <c r="B112" t="s">
        <v>1159</v>
      </c>
      <c r="C112" t="s">
        <v>573</v>
      </c>
      <c r="D112">
        <f>SUMIFS(Sheet1!$G$2:$G$523,Sheet1!$D$2:$D$523,B112,Sheet1!$E$2:$E$523,C112)</f>
        <v>0</v>
      </c>
    </row>
    <row r="113" spans="2:4">
      <c r="B113" t="s">
        <v>1162</v>
      </c>
      <c r="C113" t="s">
        <v>573</v>
      </c>
      <c r="D113">
        <f>SUMIFS(Sheet1!$G$2:$G$523,Sheet1!$D$2:$D$523,B113,Sheet1!$E$2:$E$523,C113)</f>
        <v>0</v>
      </c>
    </row>
    <row r="114" spans="2:4">
      <c r="B114" t="s">
        <v>1181</v>
      </c>
      <c r="C114" t="s">
        <v>573</v>
      </c>
      <c r="D114">
        <f>SUMIFS(Sheet1!$G$2:$G$523,Sheet1!$D$2:$D$523,B114,Sheet1!$E$2:$E$523,C114)</f>
        <v>0</v>
      </c>
    </row>
    <row r="115" spans="2:4">
      <c r="B115" t="s">
        <v>1209</v>
      </c>
      <c r="C115" t="s">
        <v>573</v>
      </c>
      <c r="D115">
        <f>SUMIFS(Sheet1!$G$2:$G$523,Sheet1!$D$2:$D$523,B115,Sheet1!$E$2:$E$523,C115)</f>
        <v>0</v>
      </c>
    </row>
    <row r="116" spans="2:4">
      <c r="B116" t="s">
        <v>1215</v>
      </c>
      <c r="C116" t="s">
        <v>573</v>
      </c>
      <c r="D116">
        <f>SUMIFS(Sheet1!$G$2:$G$523,Sheet1!$D$2:$D$523,B116,Sheet1!$E$2:$E$523,C116)</f>
        <v>0</v>
      </c>
    </row>
    <row r="117" spans="2:4">
      <c r="B117" t="s">
        <v>104</v>
      </c>
      <c r="C117" t="s">
        <v>573</v>
      </c>
      <c r="D117">
        <f>SUMIFS(Sheet1!$G$2:$G$523,Sheet1!$D$2:$D$523,B117,Sheet1!$E$2:$E$523,C117)</f>
        <v>0</v>
      </c>
    </row>
    <row r="118" spans="2:4">
      <c r="B118" t="s">
        <v>346</v>
      </c>
      <c r="C118" t="s">
        <v>573</v>
      </c>
      <c r="D118">
        <f>SUMIFS(Sheet1!$G$2:$G$523,Sheet1!$D$2:$D$523,B118,Sheet1!$E$2:$E$523,C118)</f>
        <v>0</v>
      </c>
    </row>
    <row r="119" spans="2:4">
      <c r="B119" t="s">
        <v>350</v>
      </c>
      <c r="C119" t="s">
        <v>573</v>
      </c>
      <c r="D119">
        <f>SUMIFS(Sheet1!$G$2:$G$523,Sheet1!$D$2:$D$523,B119,Sheet1!$E$2:$E$523,C119)</f>
        <v>0</v>
      </c>
    </row>
    <row r="120" spans="2:4">
      <c r="B120" t="s">
        <v>353</v>
      </c>
      <c r="C120" t="s">
        <v>573</v>
      </c>
      <c r="D120">
        <f>SUMIFS(Sheet1!$G$2:$G$523,Sheet1!$D$2:$D$523,B120,Sheet1!$E$2:$E$523,C120)</f>
        <v>0</v>
      </c>
    </row>
    <row r="121" spans="2:4">
      <c r="B121" t="s">
        <v>360</v>
      </c>
      <c r="C121" t="s">
        <v>573</v>
      </c>
      <c r="D121">
        <f>SUMIFS(Sheet1!$G$2:$G$523,Sheet1!$D$2:$D$523,B121,Sheet1!$E$2:$E$523,C121)</f>
        <v>0</v>
      </c>
    </row>
    <row r="122" spans="2:4">
      <c r="B122" t="s">
        <v>621</v>
      </c>
      <c r="C122" t="s">
        <v>573</v>
      </c>
      <c r="D122">
        <f>SUMIFS(Sheet1!$G$2:$G$523,Sheet1!$D$2:$D$523,B122,Sheet1!$E$2:$E$523,C122)</f>
        <v>0</v>
      </c>
    </row>
    <row r="123" spans="2:4">
      <c r="B123" t="s">
        <v>21</v>
      </c>
      <c r="C123" t="s">
        <v>573</v>
      </c>
      <c r="D123">
        <f>SUMIFS(Sheet1!$G$2:$G$523,Sheet1!$D$2:$D$523,B123,Sheet1!$E$2:$E$523,C123)</f>
        <v>0</v>
      </c>
    </row>
    <row r="124" spans="2:4">
      <c r="B124" t="s">
        <v>870</v>
      </c>
      <c r="C124" t="s">
        <v>573</v>
      </c>
      <c r="D124">
        <f>SUMIFS(Sheet1!$G$2:$G$523,Sheet1!$D$2:$D$523,B124,Sheet1!$E$2:$E$523,C124)</f>
        <v>0</v>
      </c>
    </row>
    <row r="125" spans="2:4">
      <c r="B125" t="s">
        <v>556</v>
      </c>
      <c r="C125" t="s">
        <v>573</v>
      </c>
      <c r="D125">
        <f>SUMIFS(Sheet1!$G$2:$G$523,Sheet1!$D$2:$D$523,B125,Sheet1!$E$2:$E$523,C125)</f>
        <v>7.24</v>
      </c>
    </row>
    <row r="126" spans="2:4">
      <c r="B126" t="s">
        <v>701</v>
      </c>
      <c r="C126" t="s">
        <v>573</v>
      </c>
      <c r="D126">
        <f>SUMIFS(Sheet1!$G$2:$G$523,Sheet1!$D$2:$D$523,B126,Sheet1!$E$2:$E$523,C126)</f>
        <v>2.96</v>
      </c>
    </row>
    <row r="127" spans="2:4">
      <c r="B127" t="s">
        <v>709</v>
      </c>
      <c r="C127" t="s">
        <v>573</v>
      </c>
      <c r="D127">
        <f>SUMIFS(Sheet1!$G$2:$G$523,Sheet1!$D$2:$D$523,B127,Sheet1!$E$2:$E$523,C127)</f>
        <v>1.52</v>
      </c>
    </row>
    <row r="128" spans="2:4">
      <c r="B128" t="s">
        <v>714</v>
      </c>
      <c r="C128" t="s">
        <v>573</v>
      </c>
      <c r="D128">
        <f>SUMIFS(Sheet1!$G$2:$G$523,Sheet1!$D$2:$D$523,B128,Sheet1!$E$2:$E$523,C128)</f>
        <v>11.51</v>
      </c>
    </row>
    <row r="129" spans="2:4">
      <c r="B129" t="s">
        <v>863</v>
      </c>
      <c r="C129" t="s">
        <v>573</v>
      </c>
      <c r="D129">
        <f>SUMIFS(Sheet1!$G$2:$G$523,Sheet1!$D$2:$D$523,B129,Sheet1!$E$2:$E$523,C129)</f>
        <v>1.23</v>
      </c>
    </row>
    <row r="130" spans="2:4">
      <c r="B130" t="s">
        <v>947</v>
      </c>
      <c r="C130" t="s">
        <v>573</v>
      </c>
      <c r="D130">
        <f>SUMIFS(Sheet1!$G$2:$G$523,Sheet1!$D$2:$D$523,B130,Sheet1!$E$2:$E$523,C130)</f>
        <v>15.589999999999998</v>
      </c>
    </row>
    <row r="131" spans="2:4">
      <c r="B131" t="s">
        <v>1026</v>
      </c>
      <c r="C131" t="s">
        <v>573</v>
      </c>
      <c r="D131">
        <f>SUMIFS(Sheet1!$G$2:$G$523,Sheet1!$D$2:$D$523,B131,Sheet1!$E$2:$E$523,C131)</f>
        <v>4.17</v>
      </c>
    </row>
    <row r="132" spans="2:4">
      <c r="B132" t="s">
        <v>1031</v>
      </c>
      <c r="C132" t="s">
        <v>573</v>
      </c>
      <c r="D132">
        <f>SUMIFS(Sheet1!$G$2:$G$523,Sheet1!$D$2:$D$523,B132,Sheet1!$E$2:$E$523,C132)</f>
        <v>7.37</v>
      </c>
    </row>
    <row r="133" spans="2:4">
      <c r="B133" t="s">
        <v>1110</v>
      </c>
      <c r="C133" t="s">
        <v>573</v>
      </c>
      <c r="D133">
        <f>SUMIFS(Sheet1!$G$2:$G$523,Sheet1!$D$2:$D$523,B133,Sheet1!$E$2:$E$523,C133)</f>
        <v>0.53</v>
      </c>
    </row>
    <row r="134" spans="2:4">
      <c r="B134" t="s">
        <v>1192</v>
      </c>
      <c r="C134" t="s">
        <v>573</v>
      </c>
      <c r="D134">
        <f>SUMIFS(Sheet1!$G$2:$G$523,Sheet1!$D$2:$D$523,B134,Sheet1!$E$2:$E$523,C134)</f>
        <v>44</v>
      </c>
    </row>
    <row r="135" spans="2:4">
      <c r="B135" t="s">
        <v>1061</v>
      </c>
      <c r="C135" t="s">
        <v>573</v>
      </c>
      <c r="D135">
        <f>SUMIFS(Sheet1!$G$2:$G$523,Sheet1!$D$2:$D$523,B135,Sheet1!$E$2:$E$523,C135)</f>
        <v>0</v>
      </c>
    </row>
    <row r="136" spans="2:4">
      <c r="B136" t="s">
        <v>317</v>
      </c>
      <c r="C136" t="s">
        <v>573</v>
      </c>
      <c r="D136">
        <f>SUMIFS(Sheet1!$G$2:$G$523,Sheet1!$D$2:$D$523,B136,Sheet1!$E$2:$E$523,C136)</f>
        <v>0</v>
      </c>
    </row>
    <row r="137" spans="2:4">
      <c r="B137" t="s">
        <v>1056</v>
      </c>
      <c r="C137" t="s">
        <v>573</v>
      </c>
      <c r="D137">
        <f>SUMIFS(Sheet1!$G$2:$G$523,Sheet1!$D$2:$D$523,B137,Sheet1!$E$2:$E$523,C137)</f>
        <v>0</v>
      </c>
    </row>
    <row r="138" spans="2:4">
      <c r="B138" t="s">
        <v>342</v>
      </c>
      <c r="C138" t="s">
        <v>573</v>
      </c>
      <c r="D138">
        <f>SUMIFS(Sheet1!$G$2:$G$523,Sheet1!$D$2:$D$523,B138,Sheet1!$E$2:$E$523,C138)</f>
        <v>0</v>
      </c>
    </row>
    <row r="139" spans="2:4">
      <c r="B139" t="s">
        <v>352</v>
      </c>
      <c r="C139" t="s">
        <v>573</v>
      </c>
      <c r="D139">
        <f>SUMIFS(Sheet1!$G$2:$G$523,Sheet1!$D$2:$D$523,B139,Sheet1!$E$2:$E$523,C139)</f>
        <v>0</v>
      </c>
    </row>
    <row r="140" spans="2:4">
      <c r="B140" t="s">
        <v>371</v>
      </c>
      <c r="C140" t="s">
        <v>573</v>
      </c>
      <c r="D140">
        <f>SUMIFS(Sheet1!$G$2:$G$523,Sheet1!$D$2:$D$523,B140,Sheet1!$E$2:$E$523,C140)</f>
        <v>0</v>
      </c>
    </row>
    <row r="141" spans="2:4">
      <c r="B141" t="s">
        <v>610</v>
      </c>
      <c r="C141" t="s">
        <v>573</v>
      </c>
      <c r="D141">
        <f>SUMIFS(Sheet1!$G$2:$G$523,Sheet1!$D$2:$D$523,B141,Sheet1!$E$2:$E$523,C141)</f>
        <v>0</v>
      </c>
    </row>
    <row r="142" spans="2:4">
      <c r="B142" t="s">
        <v>1237</v>
      </c>
      <c r="C142" t="s">
        <v>573</v>
      </c>
      <c r="D142">
        <f>SUMIFS(Sheet1!$G$2:$G$523,Sheet1!$D$2:$D$523,B142,Sheet1!$E$2:$E$523,C142)</f>
        <v>0</v>
      </c>
    </row>
    <row r="143" spans="2:4">
      <c r="B143" t="s">
        <v>1250</v>
      </c>
      <c r="C143" t="s">
        <v>573</v>
      </c>
      <c r="D143">
        <f>SUMIFS(Sheet1!$G$2:$G$523,Sheet1!$D$2:$D$523,B143,Sheet1!$E$2:$E$523,C143)</f>
        <v>0</v>
      </c>
    </row>
    <row r="144" spans="2:4">
      <c r="B144" t="s">
        <v>1264</v>
      </c>
      <c r="C144" t="s">
        <v>573</v>
      </c>
      <c r="D144">
        <f>SUMIFS(Sheet1!$G$2:$G$523,Sheet1!$D$2:$D$523,B144,Sheet1!$E$2:$E$523,C144)</f>
        <v>0</v>
      </c>
    </row>
    <row r="145" spans="2:6">
      <c r="B145" t="s">
        <v>592</v>
      </c>
      <c r="C145" t="s">
        <v>573</v>
      </c>
      <c r="D145">
        <f>SUMIFS(Sheet1!$G$2:$G$523,Sheet1!$D$2:$D$523,B145,Sheet1!$E$2:$E$523,C145)</f>
        <v>0</v>
      </c>
    </row>
    <row r="146" spans="2:6">
      <c r="B146" t="s">
        <v>775</v>
      </c>
      <c r="C146" t="s">
        <v>573</v>
      </c>
      <c r="D146">
        <f>SUMIFS(Sheet1!$G$2:$G$523,Sheet1!$D$2:$D$523,B146,Sheet1!$E$2:$E$523,C146)</f>
        <v>0</v>
      </c>
    </row>
    <row r="147" spans="2:6">
      <c r="B147" t="s">
        <v>55</v>
      </c>
      <c r="C147" t="s">
        <v>573</v>
      </c>
      <c r="D147">
        <f>SUMIFS(Sheet1!$G$2:$G$523,Sheet1!$D$2:$D$523,B147,Sheet1!$E$2:$E$523,C147)</f>
        <v>0</v>
      </c>
    </row>
    <row r="148" spans="2:6">
      <c r="B148" t="s">
        <v>828</v>
      </c>
      <c r="C148" t="s">
        <v>573</v>
      </c>
      <c r="D148">
        <f>SUMIFS(Sheet1!$G$2:$G$523,Sheet1!$D$2:$D$523,B148,Sheet1!$E$2:$E$523,C148)</f>
        <v>0</v>
      </c>
    </row>
    <row r="149" spans="2:6">
      <c r="B149" t="s">
        <v>1002</v>
      </c>
      <c r="C149" t="s">
        <v>573</v>
      </c>
      <c r="D149">
        <f>SUMIFS(Sheet1!$G$2:$G$523,Sheet1!$D$2:$D$523,B149,Sheet1!$E$2:$E$523,C149)</f>
        <v>0</v>
      </c>
    </row>
    <row r="150" spans="2:6">
      <c r="B150" t="s">
        <v>1007</v>
      </c>
      <c r="C150" t="s">
        <v>573</v>
      </c>
      <c r="D150">
        <f>SUMIFS(Sheet1!$G$2:$G$523,Sheet1!$D$2:$D$523,B150,Sheet1!$E$2:$E$523,C150)</f>
        <v>0</v>
      </c>
    </row>
    <row r="151" spans="2:6">
      <c r="B151" t="s">
        <v>1018</v>
      </c>
      <c r="C151" t="s">
        <v>573</v>
      </c>
      <c r="D151">
        <f>SUMIFS(Sheet1!$G$2:$G$523,Sheet1!$D$2:$D$523,B151,Sheet1!$E$2:$E$523,C151)</f>
        <v>0</v>
      </c>
    </row>
    <row r="152" spans="2:6">
      <c r="B152" t="s">
        <v>1133</v>
      </c>
      <c r="C152" t="s">
        <v>573</v>
      </c>
      <c r="D152">
        <f>SUMIFS(Sheet1!$G$2:$G$523,Sheet1!$D$2:$D$523,B152,Sheet1!$E$2:$E$523,C152)</f>
        <v>0</v>
      </c>
    </row>
    <row r="153" spans="2:6">
      <c r="B153" t="s">
        <v>1140</v>
      </c>
      <c r="C153" t="s">
        <v>573</v>
      </c>
      <c r="D153">
        <f>SUMIFS(Sheet1!$G$2:$G$523,Sheet1!$D$2:$D$523,B153,Sheet1!$E$2:$E$523,C153)</f>
        <v>0</v>
      </c>
    </row>
    <row r="154" spans="2:6">
      <c r="B154" t="s">
        <v>367</v>
      </c>
      <c r="C154" t="s">
        <v>573</v>
      </c>
      <c r="D154">
        <f>SUMIFS(Sheet1!$G$2:$G$523,Sheet1!$D$2:$D$523,B154,Sheet1!$E$2:$E$523,C154)</f>
        <v>0</v>
      </c>
    </row>
    <row r="155" spans="2:6">
      <c r="B155" t="s">
        <v>688</v>
      </c>
      <c r="C155" t="s">
        <v>573</v>
      </c>
      <c r="D155">
        <f>SUMIFS(Sheet1!$G$2:$G$523,Sheet1!$D$2:$D$523,B155,Sheet1!$E$2:$E$523,C155)</f>
        <v>0</v>
      </c>
    </row>
    <row r="156" spans="2:6">
      <c r="B156" t="s">
        <v>874</v>
      </c>
      <c r="C156" t="s">
        <v>573</v>
      </c>
      <c r="D156">
        <f>SUMIFS(Sheet1!$G$2:$G$523,Sheet1!$D$2:$D$523,B156,Sheet1!$E$2:$E$523,C156)</f>
        <v>0</v>
      </c>
    </row>
    <row r="157" spans="2:6">
      <c r="B157" t="s">
        <v>877</v>
      </c>
      <c r="C157" t="s">
        <v>573</v>
      </c>
      <c r="D157">
        <f>SUMIFS(Sheet1!$G$2:$G$523,Sheet1!$D$2:$D$523,B157,Sheet1!$E$2:$E$523,C157)</f>
        <v>0</v>
      </c>
    </row>
    <row r="158" spans="2:6">
      <c r="B158" t="s">
        <v>581</v>
      </c>
      <c r="C158" t="s">
        <v>78</v>
      </c>
      <c r="D158">
        <f>SUMIFS(Sheet1!$G$2:$G$523,Sheet1!$D$2:$D$523,B158,Sheet1!$E$2:$E$523,C158)</f>
        <v>17.72</v>
      </c>
      <c r="F158">
        <v>3</v>
      </c>
    </row>
    <row r="159" spans="2:6">
      <c r="B159" t="s">
        <v>14</v>
      </c>
      <c r="C159" t="s">
        <v>78</v>
      </c>
      <c r="D159">
        <f>SUMIFS(Sheet1!$G$2:$G$523,Sheet1!$D$2:$D$523,B159,Sheet1!$E$2:$E$523,C159)</f>
        <v>10.93</v>
      </c>
    </row>
    <row r="160" spans="2:6">
      <c r="B160" t="s">
        <v>723</v>
      </c>
      <c r="C160" t="s">
        <v>78</v>
      </c>
      <c r="D160">
        <f>SUMIFS(Sheet1!$G$2:$G$523,Sheet1!$D$2:$D$523,B160,Sheet1!$E$2:$E$523,C160)</f>
        <v>5.45</v>
      </c>
    </row>
    <row r="161" spans="2:4">
      <c r="B161" t="s">
        <v>694</v>
      </c>
      <c r="C161" t="s">
        <v>78</v>
      </c>
      <c r="D161">
        <f>SUMIFS(Sheet1!$G$2:$G$523,Sheet1!$D$2:$D$523,B161,Sheet1!$E$2:$E$523,C161)</f>
        <v>9.75</v>
      </c>
    </row>
    <row r="162" spans="2:4">
      <c r="B162" t="s">
        <v>30</v>
      </c>
      <c r="C162" t="s">
        <v>78</v>
      </c>
      <c r="D162">
        <f>SUMIFS(Sheet1!$G$2:$G$523,Sheet1!$D$2:$D$523,B162,Sheet1!$E$2:$E$523,C162)</f>
        <v>1.9</v>
      </c>
    </row>
    <row r="163" spans="2:4">
      <c r="B163" t="s">
        <v>51</v>
      </c>
      <c r="C163" t="s">
        <v>78</v>
      </c>
      <c r="D163">
        <f>SUMIFS(Sheet1!$G$2:$G$523,Sheet1!$D$2:$D$523,B163,Sheet1!$E$2:$E$523,C163)</f>
        <v>4.1900000000000004</v>
      </c>
    </row>
    <row r="164" spans="2:4">
      <c r="B164" t="s">
        <v>837</v>
      </c>
      <c r="C164" t="s">
        <v>78</v>
      </c>
      <c r="D164">
        <f>SUMIFS(Sheet1!$G$2:$G$523,Sheet1!$D$2:$D$523,B164,Sheet1!$E$2:$E$523,C164)</f>
        <v>0</v>
      </c>
    </row>
    <row r="165" spans="2:4">
      <c r="B165" t="s">
        <v>923</v>
      </c>
      <c r="C165" t="s">
        <v>78</v>
      </c>
      <c r="D165">
        <f>SUMIFS(Sheet1!$G$2:$G$523,Sheet1!$D$2:$D$523,B165,Sheet1!$E$2:$E$523,C165)</f>
        <v>20.100000000000001</v>
      </c>
    </row>
    <row r="166" spans="2:4">
      <c r="B166" t="s">
        <v>933</v>
      </c>
      <c r="C166" t="s">
        <v>78</v>
      </c>
      <c r="D166">
        <f>SUMIFS(Sheet1!$G$2:$G$523,Sheet1!$D$2:$D$523,B166,Sheet1!$E$2:$E$523,C166)</f>
        <v>18.549999999999997</v>
      </c>
    </row>
    <row r="167" spans="2:4">
      <c r="B167" t="s">
        <v>1045</v>
      </c>
      <c r="C167" t="s">
        <v>78</v>
      </c>
      <c r="D167">
        <f>SUMIFS(Sheet1!$G$2:$G$523,Sheet1!$D$2:$D$523,B167,Sheet1!$E$2:$E$523,C167)</f>
        <v>25.49</v>
      </c>
    </row>
    <row r="168" spans="2:4">
      <c r="B168" t="s">
        <v>356</v>
      </c>
      <c r="C168" t="s">
        <v>78</v>
      </c>
      <c r="D168">
        <f>SUMIFS(Sheet1!$G$2:$G$523,Sheet1!$D$2:$D$523,B168,Sheet1!$E$2:$E$523,C168)</f>
        <v>33.89</v>
      </c>
    </row>
    <row r="169" spans="2:4">
      <c r="B169" t="s">
        <v>1145</v>
      </c>
      <c r="C169" t="s">
        <v>78</v>
      </c>
      <c r="D169">
        <f>SUMIFS(Sheet1!$G$2:$G$523,Sheet1!$D$2:$D$523,B169,Sheet1!$E$2:$E$523,C169)</f>
        <v>14.27</v>
      </c>
    </row>
    <row r="170" spans="2:4">
      <c r="B170" t="s">
        <v>1189</v>
      </c>
      <c r="C170" t="s">
        <v>78</v>
      </c>
      <c r="D170">
        <f>SUMIFS(Sheet1!$G$2:$G$523,Sheet1!$D$2:$D$523,B170,Sheet1!$E$2:$E$523,C170)</f>
        <v>3.2</v>
      </c>
    </row>
    <row r="171" spans="2:4">
      <c r="B171" t="s">
        <v>99</v>
      </c>
      <c r="C171" t="s">
        <v>78</v>
      </c>
      <c r="D171">
        <f>SUMIFS(Sheet1!$G$2:$G$523,Sheet1!$D$2:$D$523,B171,Sheet1!$E$2:$E$523,C171)</f>
        <v>0</v>
      </c>
    </row>
    <row r="172" spans="2:4">
      <c r="B172" t="s">
        <v>118</v>
      </c>
      <c r="C172" t="s">
        <v>78</v>
      </c>
      <c r="D172">
        <f>SUMIFS(Sheet1!$G$2:$G$523,Sheet1!$D$2:$D$523,B172,Sheet1!$E$2:$E$523,C172)</f>
        <v>0</v>
      </c>
    </row>
    <row r="173" spans="2:4">
      <c r="B173" t="s">
        <v>176</v>
      </c>
      <c r="C173" t="s">
        <v>78</v>
      </c>
      <c r="D173">
        <f>SUMIFS(Sheet1!$G$2:$G$523,Sheet1!$D$2:$D$523,B173,Sheet1!$E$2:$E$523,C173)</f>
        <v>0</v>
      </c>
    </row>
    <row r="174" spans="2:4">
      <c r="B174" t="s">
        <v>234</v>
      </c>
      <c r="C174" t="s">
        <v>78</v>
      </c>
      <c r="D174">
        <f>SUMIFS(Sheet1!$G$2:$G$523,Sheet1!$D$2:$D$523,B174,Sheet1!$E$2:$E$523,C174)</f>
        <v>0</v>
      </c>
    </row>
    <row r="175" spans="2:4">
      <c r="B175" t="s">
        <v>286</v>
      </c>
      <c r="C175" t="s">
        <v>78</v>
      </c>
      <c r="D175">
        <f>SUMIFS(Sheet1!$G$2:$G$523,Sheet1!$D$2:$D$523,B175,Sheet1!$E$2:$E$523,C175)</f>
        <v>0</v>
      </c>
    </row>
    <row r="176" spans="2:4">
      <c r="B176" t="s">
        <v>312</v>
      </c>
      <c r="C176" t="s">
        <v>78</v>
      </c>
      <c r="D176">
        <f>SUMIFS(Sheet1!$G$2:$G$523,Sheet1!$D$2:$D$523,B176,Sheet1!$E$2:$E$523,C176)</f>
        <v>0</v>
      </c>
    </row>
    <row r="177" spans="2:4">
      <c r="B177" t="s">
        <v>322</v>
      </c>
      <c r="C177" t="s">
        <v>78</v>
      </c>
      <c r="D177">
        <f>SUMIFS(Sheet1!$G$2:$G$523,Sheet1!$D$2:$D$523,B177,Sheet1!$E$2:$E$523,C177)</f>
        <v>0</v>
      </c>
    </row>
    <row r="178" spans="2:4">
      <c r="B178" t="s">
        <v>330</v>
      </c>
      <c r="C178" t="s">
        <v>78</v>
      </c>
      <c r="D178">
        <f>SUMIFS(Sheet1!$G$2:$G$523,Sheet1!$D$2:$D$523,B178,Sheet1!$E$2:$E$523,C178)</f>
        <v>0</v>
      </c>
    </row>
    <row r="179" spans="2:4">
      <c r="B179" t="s">
        <v>338</v>
      </c>
      <c r="C179" t="s">
        <v>78</v>
      </c>
      <c r="D179">
        <f>SUMIFS(Sheet1!$G$2:$G$523,Sheet1!$D$2:$D$523,B179,Sheet1!$E$2:$E$523,C179)</f>
        <v>0</v>
      </c>
    </row>
    <row r="180" spans="2:4">
      <c r="B180" t="s">
        <v>18</v>
      </c>
      <c r="C180" t="s">
        <v>78</v>
      </c>
      <c r="D180">
        <f>SUMIFS(Sheet1!$G$2:$G$523,Sheet1!$D$2:$D$523,B180,Sheet1!$E$2:$E$523,C180)</f>
        <v>0</v>
      </c>
    </row>
    <row r="181" spans="2:4">
      <c r="B181" t="s">
        <v>616</v>
      </c>
      <c r="C181" t="s">
        <v>78</v>
      </c>
      <c r="D181">
        <f>SUMIFS(Sheet1!$G$2:$G$523,Sheet1!$D$2:$D$523,B181,Sheet1!$E$2:$E$523,C181)</f>
        <v>0</v>
      </c>
    </row>
    <row r="182" spans="2:4">
      <c r="B182" t="s">
        <v>634</v>
      </c>
      <c r="C182" t="s">
        <v>78</v>
      </c>
      <c r="D182">
        <f>SUMIFS(Sheet1!$G$2:$G$523,Sheet1!$D$2:$D$523,B182,Sheet1!$E$2:$E$523,C182)</f>
        <v>0</v>
      </c>
    </row>
    <row r="183" spans="2:4">
      <c r="B183" t="s">
        <v>748</v>
      </c>
      <c r="C183" t="s">
        <v>78</v>
      </c>
      <c r="D183">
        <f>SUMIFS(Sheet1!$G$2:$G$523,Sheet1!$D$2:$D$523,B183,Sheet1!$E$2:$E$523,C183)</f>
        <v>0</v>
      </c>
    </row>
    <row r="184" spans="2:4">
      <c r="B184" t="s">
        <v>48</v>
      </c>
      <c r="C184" t="s">
        <v>78</v>
      </c>
      <c r="D184">
        <f>SUMIFS(Sheet1!$G$2:$G$523,Sheet1!$D$2:$D$523,B184,Sheet1!$E$2:$E$523,C184)</f>
        <v>0</v>
      </c>
    </row>
    <row r="185" spans="2:4">
      <c r="B185" t="s">
        <v>883</v>
      </c>
      <c r="C185" t="s">
        <v>78</v>
      </c>
      <c r="D185">
        <f>SUMIFS(Sheet1!$G$2:$G$523,Sheet1!$D$2:$D$523,B185,Sheet1!$E$2:$E$523,C185)</f>
        <v>0</v>
      </c>
    </row>
    <row r="186" spans="2:4">
      <c r="B186" t="s">
        <v>906</v>
      </c>
      <c r="C186" t="s">
        <v>78</v>
      </c>
      <c r="D186">
        <f>SUMIFS(Sheet1!$G$2:$G$523,Sheet1!$D$2:$D$523,B186,Sheet1!$E$2:$E$523,C186)</f>
        <v>0</v>
      </c>
    </row>
    <row r="187" spans="2:4">
      <c r="B187" t="s">
        <v>1039</v>
      </c>
      <c r="C187" t="s">
        <v>78</v>
      </c>
      <c r="D187">
        <f>SUMIFS(Sheet1!$G$2:$G$523,Sheet1!$D$2:$D$523,B187,Sheet1!$E$2:$E$523,C187)</f>
        <v>0</v>
      </c>
    </row>
    <row r="188" spans="2:4">
      <c r="B188" t="s">
        <v>326</v>
      </c>
      <c r="C188" t="s">
        <v>78</v>
      </c>
      <c r="D188">
        <f>SUMIFS(Sheet1!$G$2:$G$523,Sheet1!$D$2:$D$523,B188,Sheet1!$E$2:$E$523,C188)</f>
        <v>0</v>
      </c>
    </row>
    <row r="189" spans="2:4">
      <c r="B189" t="s">
        <v>1155</v>
      </c>
      <c r="C189" t="s">
        <v>78</v>
      </c>
      <c r="D189">
        <f>SUMIFS(Sheet1!$G$2:$G$523,Sheet1!$D$2:$D$523,B189,Sheet1!$E$2:$E$523,C189)</f>
        <v>0</v>
      </c>
    </row>
    <row r="190" spans="2:4">
      <c r="B190" t="s">
        <v>1159</v>
      </c>
      <c r="C190" t="s">
        <v>78</v>
      </c>
      <c r="D190">
        <f>SUMIFS(Sheet1!$G$2:$G$523,Sheet1!$D$2:$D$523,B190,Sheet1!$E$2:$E$523,C190)</f>
        <v>0</v>
      </c>
    </row>
    <row r="191" spans="2:4">
      <c r="B191" t="s">
        <v>1162</v>
      </c>
      <c r="C191" t="s">
        <v>78</v>
      </c>
      <c r="D191">
        <f>SUMIFS(Sheet1!$G$2:$G$523,Sheet1!$D$2:$D$523,B191,Sheet1!$E$2:$E$523,C191)</f>
        <v>0</v>
      </c>
    </row>
    <row r="192" spans="2:4">
      <c r="B192" t="s">
        <v>1181</v>
      </c>
      <c r="C192" t="s">
        <v>78</v>
      </c>
      <c r="D192">
        <f>SUMIFS(Sheet1!$G$2:$G$523,Sheet1!$D$2:$D$523,B192,Sheet1!$E$2:$E$523,C192)</f>
        <v>0</v>
      </c>
    </row>
    <row r="193" spans="2:4">
      <c r="B193" t="s">
        <v>1209</v>
      </c>
      <c r="C193" t="s">
        <v>78</v>
      </c>
      <c r="D193">
        <f>SUMIFS(Sheet1!$G$2:$G$523,Sheet1!$D$2:$D$523,B193,Sheet1!$E$2:$E$523,C193)</f>
        <v>0</v>
      </c>
    </row>
    <row r="194" spans="2:4">
      <c r="B194" t="s">
        <v>1215</v>
      </c>
      <c r="C194" t="s">
        <v>78</v>
      </c>
      <c r="D194">
        <f>SUMIFS(Sheet1!$G$2:$G$523,Sheet1!$D$2:$D$523,B194,Sheet1!$E$2:$E$523,C194)</f>
        <v>0</v>
      </c>
    </row>
    <row r="195" spans="2:4">
      <c r="B195" t="s">
        <v>104</v>
      </c>
      <c r="C195" t="s">
        <v>78</v>
      </c>
      <c r="D195">
        <f>SUMIFS(Sheet1!$G$2:$G$523,Sheet1!$D$2:$D$523,B195,Sheet1!$E$2:$E$523,C195)</f>
        <v>0</v>
      </c>
    </row>
    <row r="196" spans="2:4">
      <c r="B196" t="s">
        <v>346</v>
      </c>
      <c r="C196" t="s">
        <v>78</v>
      </c>
      <c r="D196">
        <f>SUMIFS(Sheet1!$G$2:$G$523,Sheet1!$D$2:$D$523,B196,Sheet1!$E$2:$E$523,C196)</f>
        <v>0</v>
      </c>
    </row>
    <row r="197" spans="2:4">
      <c r="B197" t="s">
        <v>350</v>
      </c>
      <c r="C197" t="s">
        <v>78</v>
      </c>
      <c r="D197">
        <f>SUMIFS(Sheet1!$G$2:$G$523,Sheet1!$D$2:$D$523,B197,Sheet1!$E$2:$E$523,C197)</f>
        <v>0</v>
      </c>
    </row>
    <row r="198" spans="2:4">
      <c r="B198" t="s">
        <v>353</v>
      </c>
      <c r="C198" t="s">
        <v>78</v>
      </c>
      <c r="D198">
        <f>SUMIFS(Sheet1!$G$2:$G$523,Sheet1!$D$2:$D$523,B198,Sheet1!$E$2:$E$523,C198)</f>
        <v>0</v>
      </c>
    </row>
    <row r="199" spans="2:4">
      <c r="B199" t="s">
        <v>360</v>
      </c>
      <c r="C199" t="s">
        <v>78</v>
      </c>
      <c r="D199">
        <f>SUMIFS(Sheet1!$G$2:$G$523,Sheet1!$D$2:$D$523,B199,Sheet1!$E$2:$E$523,C199)</f>
        <v>0</v>
      </c>
    </row>
    <row r="200" spans="2:4">
      <c r="B200" t="s">
        <v>621</v>
      </c>
      <c r="C200" t="s">
        <v>78</v>
      </c>
      <c r="D200">
        <f>SUMIFS(Sheet1!$G$2:$G$523,Sheet1!$D$2:$D$523,B200,Sheet1!$E$2:$E$523,C200)</f>
        <v>0</v>
      </c>
    </row>
    <row r="201" spans="2:4">
      <c r="B201" t="s">
        <v>21</v>
      </c>
      <c r="C201" t="s">
        <v>78</v>
      </c>
      <c r="D201">
        <f>SUMIFS(Sheet1!$G$2:$G$523,Sheet1!$D$2:$D$523,B201,Sheet1!$E$2:$E$523,C201)</f>
        <v>0</v>
      </c>
    </row>
    <row r="202" spans="2:4">
      <c r="B202" t="s">
        <v>870</v>
      </c>
      <c r="C202" t="s">
        <v>78</v>
      </c>
      <c r="D202">
        <f>SUMIFS(Sheet1!$G$2:$G$523,Sheet1!$D$2:$D$523,B202,Sheet1!$E$2:$E$523,C202)</f>
        <v>0</v>
      </c>
    </row>
    <row r="203" spans="2:4">
      <c r="B203" t="s">
        <v>556</v>
      </c>
      <c r="C203" t="s">
        <v>78</v>
      </c>
      <c r="D203">
        <f>SUMIFS(Sheet1!$G$2:$G$523,Sheet1!$D$2:$D$523,B203,Sheet1!$E$2:$E$523,C203)</f>
        <v>0</v>
      </c>
    </row>
    <row r="204" spans="2:4">
      <c r="B204" t="s">
        <v>701</v>
      </c>
      <c r="C204" t="s">
        <v>78</v>
      </c>
      <c r="D204">
        <f>SUMIFS(Sheet1!$G$2:$G$523,Sheet1!$D$2:$D$523,B204,Sheet1!$E$2:$E$523,C204)</f>
        <v>0</v>
      </c>
    </row>
    <row r="205" spans="2:4">
      <c r="B205" t="s">
        <v>709</v>
      </c>
      <c r="C205" t="s">
        <v>78</v>
      </c>
      <c r="D205">
        <f>SUMIFS(Sheet1!$G$2:$G$523,Sheet1!$D$2:$D$523,B205,Sheet1!$E$2:$E$523,C205)</f>
        <v>0</v>
      </c>
    </row>
    <row r="206" spans="2:4">
      <c r="B206" t="s">
        <v>714</v>
      </c>
      <c r="C206" t="s">
        <v>78</v>
      </c>
      <c r="D206">
        <f>SUMIFS(Sheet1!$G$2:$G$523,Sheet1!$D$2:$D$523,B206,Sheet1!$E$2:$E$523,C206)</f>
        <v>0</v>
      </c>
    </row>
    <row r="207" spans="2:4">
      <c r="B207" t="s">
        <v>863</v>
      </c>
      <c r="C207" t="s">
        <v>78</v>
      </c>
      <c r="D207">
        <f>SUMIFS(Sheet1!$G$2:$G$523,Sheet1!$D$2:$D$523,B207,Sheet1!$E$2:$E$523,C207)</f>
        <v>0</v>
      </c>
    </row>
    <row r="208" spans="2:4">
      <c r="B208" t="s">
        <v>947</v>
      </c>
      <c r="C208" t="s">
        <v>78</v>
      </c>
      <c r="D208">
        <f>SUMIFS(Sheet1!$G$2:$G$523,Sheet1!$D$2:$D$523,B208,Sheet1!$E$2:$E$523,C208)</f>
        <v>0</v>
      </c>
    </row>
    <row r="209" spans="2:4">
      <c r="B209" t="s">
        <v>1026</v>
      </c>
      <c r="C209" t="s">
        <v>78</v>
      </c>
      <c r="D209">
        <f>SUMIFS(Sheet1!$G$2:$G$523,Sheet1!$D$2:$D$523,B209,Sheet1!$E$2:$E$523,C209)</f>
        <v>0</v>
      </c>
    </row>
    <row r="210" spans="2:4">
      <c r="B210" t="s">
        <v>1031</v>
      </c>
      <c r="C210" t="s">
        <v>78</v>
      </c>
      <c r="D210">
        <f>SUMIFS(Sheet1!$G$2:$G$523,Sheet1!$D$2:$D$523,B210,Sheet1!$E$2:$E$523,C210)</f>
        <v>0</v>
      </c>
    </row>
    <row r="211" spans="2:4">
      <c r="B211" t="s">
        <v>1110</v>
      </c>
      <c r="C211" t="s">
        <v>78</v>
      </c>
      <c r="D211">
        <f>SUMIFS(Sheet1!$G$2:$G$523,Sheet1!$D$2:$D$523,B211,Sheet1!$E$2:$E$523,C211)</f>
        <v>0</v>
      </c>
    </row>
    <row r="212" spans="2:4">
      <c r="B212" t="s">
        <v>1192</v>
      </c>
      <c r="C212" t="s">
        <v>78</v>
      </c>
      <c r="D212">
        <f>SUMIFS(Sheet1!$G$2:$G$523,Sheet1!$D$2:$D$523,B212,Sheet1!$E$2:$E$523,C212)</f>
        <v>0</v>
      </c>
    </row>
    <row r="213" spans="2:4">
      <c r="B213" t="s">
        <v>1061</v>
      </c>
      <c r="C213" t="s">
        <v>78</v>
      </c>
      <c r="D213">
        <f>SUMIFS(Sheet1!$G$2:$G$523,Sheet1!$D$2:$D$523,B213,Sheet1!$E$2:$E$523,C213)</f>
        <v>0</v>
      </c>
    </row>
    <row r="214" spans="2:4">
      <c r="B214" t="s">
        <v>317</v>
      </c>
      <c r="C214" t="s">
        <v>78</v>
      </c>
      <c r="D214">
        <f>SUMIFS(Sheet1!$G$2:$G$523,Sheet1!$D$2:$D$523,B214,Sheet1!$E$2:$E$523,C214)</f>
        <v>0</v>
      </c>
    </row>
    <row r="215" spans="2:4">
      <c r="B215" t="s">
        <v>1056</v>
      </c>
      <c r="C215" t="s">
        <v>78</v>
      </c>
      <c r="D215">
        <f>SUMIFS(Sheet1!$G$2:$G$523,Sheet1!$D$2:$D$523,B215,Sheet1!$E$2:$E$523,C215)</f>
        <v>0</v>
      </c>
    </row>
    <row r="216" spans="2:4">
      <c r="B216" t="s">
        <v>342</v>
      </c>
      <c r="C216" t="s">
        <v>78</v>
      </c>
      <c r="D216">
        <f>SUMIFS(Sheet1!$G$2:$G$523,Sheet1!$D$2:$D$523,B216,Sheet1!$E$2:$E$523,C216)</f>
        <v>0</v>
      </c>
    </row>
    <row r="217" spans="2:4">
      <c r="B217" t="s">
        <v>352</v>
      </c>
      <c r="C217" t="s">
        <v>78</v>
      </c>
      <c r="D217">
        <f>SUMIFS(Sheet1!$G$2:$G$523,Sheet1!$D$2:$D$523,B217,Sheet1!$E$2:$E$523,C217)</f>
        <v>0</v>
      </c>
    </row>
    <row r="218" spans="2:4">
      <c r="B218" t="s">
        <v>371</v>
      </c>
      <c r="C218" t="s">
        <v>78</v>
      </c>
      <c r="D218">
        <f>SUMIFS(Sheet1!$G$2:$G$523,Sheet1!$D$2:$D$523,B218,Sheet1!$E$2:$E$523,C218)</f>
        <v>0</v>
      </c>
    </row>
    <row r="219" spans="2:4">
      <c r="B219" t="s">
        <v>610</v>
      </c>
      <c r="C219" t="s">
        <v>78</v>
      </c>
      <c r="D219">
        <f>SUMIFS(Sheet1!$G$2:$G$523,Sheet1!$D$2:$D$523,B219,Sheet1!$E$2:$E$523,C219)</f>
        <v>0</v>
      </c>
    </row>
    <row r="220" spans="2:4">
      <c r="B220" t="s">
        <v>1237</v>
      </c>
      <c r="C220" t="s">
        <v>78</v>
      </c>
      <c r="D220">
        <f>SUMIFS(Sheet1!$G$2:$G$523,Sheet1!$D$2:$D$523,B220,Sheet1!$E$2:$E$523,C220)</f>
        <v>0</v>
      </c>
    </row>
    <row r="221" spans="2:4">
      <c r="B221" t="s">
        <v>1250</v>
      </c>
      <c r="C221" t="s">
        <v>78</v>
      </c>
      <c r="D221">
        <f>SUMIFS(Sheet1!$G$2:$G$523,Sheet1!$D$2:$D$523,B221,Sheet1!$E$2:$E$523,C221)</f>
        <v>0</v>
      </c>
    </row>
    <row r="222" spans="2:4">
      <c r="B222" t="s">
        <v>1264</v>
      </c>
      <c r="C222" t="s">
        <v>78</v>
      </c>
      <c r="D222">
        <f>SUMIFS(Sheet1!$G$2:$G$523,Sheet1!$D$2:$D$523,B222,Sheet1!$E$2:$E$523,C222)</f>
        <v>0</v>
      </c>
    </row>
    <row r="223" spans="2:4">
      <c r="B223" t="s">
        <v>592</v>
      </c>
      <c r="C223" t="s">
        <v>78</v>
      </c>
      <c r="D223">
        <f>SUMIFS(Sheet1!$G$2:$G$523,Sheet1!$D$2:$D$523,B223,Sheet1!$E$2:$E$523,C223)</f>
        <v>0</v>
      </c>
    </row>
    <row r="224" spans="2:4">
      <c r="B224" t="s">
        <v>775</v>
      </c>
      <c r="C224" t="s">
        <v>78</v>
      </c>
      <c r="D224">
        <f>SUMIFS(Sheet1!$G$2:$G$523,Sheet1!$D$2:$D$523,B224,Sheet1!$E$2:$E$523,C224)</f>
        <v>0</v>
      </c>
    </row>
    <row r="225" spans="2:6">
      <c r="B225" t="s">
        <v>55</v>
      </c>
      <c r="C225" t="s">
        <v>78</v>
      </c>
      <c r="D225">
        <f>SUMIFS(Sheet1!$G$2:$G$523,Sheet1!$D$2:$D$523,B225,Sheet1!$E$2:$E$523,C225)</f>
        <v>0</v>
      </c>
    </row>
    <row r="226" spans="2:6">
      <c r="B226" t="s">
        <v>828</v>
      </c>
      <c r="C226" t="s">
        <v>78</v>
      </c>
      <c r="D226">
        <f>SUMIFS(Sheet1!$G$2:$G$523,Sheet1!$D$2:$D$523,B226,Sheet1!$E$2:$E$523,C226)</f>
        <v>0</v>
      </c>
    </row>
    <row r="227" spans="2:6">
      <c r="B227" t="s">
        <v>1002</v>
      </c>
      <c r="C227" t="s">
        <v>78</v>
      </c>
      <c r="D227">
        <f>SUMIFS(Sheet1!$G$2:$G$523,Sheet1!$D$2:$D$523,B227,Sheet1!$E$2:$E$523,C227)</f>
        <v>0</v>
      </c>
    </row>
    <row r="228" spans="2:6">
      <c r="B228" t="s">
        <v>1007</v>
      </c>
      <c r="C228" t="s">
        <v>78</v>
      </c>
      <c r="D228">
        <f>SUMIFS(Sheet1!$G$2:$G$523,Sheet1!$D$2:$D$523,B228,Sheet1!$E$2:$E$523,C228)</f>
        <v>0</v>
      </c>
    </row>
    <row r="229" spans="2:6">
      <c r="B229" t="s">
        <v>1018</v>
      </c>
      <c r="C229" t="s">
        <v>78</v>
      </c>
      <c r="D229">
        <f>SUMIFS(Sheet1!$G$2:$G$523,Sheet1!$D$2:$D$523,B229,Sheet1!$E$2:$E$523,C229)</f>
        <v>0</v>
      </c>
    </row>
    <row r="230" spans="2:6">
      <c r="B230" t="s">
        <v>1133</v>
      </c>
      <c r="C230" t="s">
        <v>78</v>
      </c>
      <c r="D230">
        <f>SUMIFS(Sheet1!$G$2:$G$523,Sheet1!$D$2:$D$523,B230,Sheet1!$E$2:$E$523,C230)</f>
        <v>0</v>
      </c>
    </row>
    <row r="231" spans="2:6">
      <c r="B231" t="s">
        <v>1140</v>
      </c>
      <c r="C231" t="s">
        <v>78</v>
      </c>
      <c r="D231">
        <f>SUMIFS(Sheet1!$G$2:$G$523,Sheet1!$D$2:$D$523,B231,Sheet1!$E$2:$E$523,C231)</f>
        <v>0</v>
      </c>
    </row>
    <row r="232" spans="2:6">
      <c r="B232" t="s">
        <v>367</v>
      </c>
      <c r="C232" t="s">
        <v>78</v>
      </c>
      <c r="D232">
        <f>SUMIFS(Sheet1!$G$2:$G$523,Sheet1!$D$2:$D$523,B232,Sheet1!$E$2:$E$523,C232)</f>
        <v>0</v>
      </c>
    </row>
    <row r="233" spans="2:6">
      <c r="B233" t="s">
        <v>688</v>
      </c>
      <c r="C233" t="s">
        <v>78</v>
      </c>
      <c r="D233">
        <f>SUMIFS(Sheet1!$G$2:$G$523,Sheet1!$D$2:$D$523,B233,Sheet1!$E$2:$E$523,C233)</f>
        <v>0</v>
      </c>
    </row>
    <row r="234" spans="2:6">
      <c r="B234" t="s">
        <v>874</v>
      </c>
      <c r="C234" t="s">
        <v>78</v>
      </c>
      <c r="D234">
        <f>SUMIFS(Sheet1!$G$2:$G$523,Sheet1!$D$2:$D$523,B234,Sheet1!$E$2:$E$523,C234)</f>
        <v>0</v>
      </c>
    </row>
    <row r="235" spans="2:6">
      <c r="B235" t="s">
        <v>877</v>
      </c>
      <c r="C235" t="s">
        <v>78</v>
      </c>
      <c r="D235">
        <f>SUMIFS(Sheet1!$G$2:$G$523,Sheet1!$D$2:$D$523,B235,Sheet1!$E$2:$E$523,C235)</f>
        <v>0</v>
      </c>
    </row>
    <row r="236" spans="2:6">
      <c r="B236" t="s">
        <v>581</v>
      </c>
      <c r="C236" t="s">
        <v>903</v>
      </c>
      <c r="D236">
        <f>SUMIFS(Sheet1!$G$2:$G$523,Sheet1!$D$2:$D$523,B236,Sheet1!$E$2:$E$523,C236)</f>
        <v>0</v>
      </c>
      <c r="F236">
        <v>4</v>
      </c>
    </row>
    <row r="237" spans="2:6">
      <c r="B237" t="s">
        <v>14</v>
      </c>
      <c r="C237" t="s">
        <v>903</v>
      </c>
      <c r="D237">
        <f>SUMIFS(Sheet1!$G$2:$G$523,Sheet1!$D$2:$D$523,B237,Sheet1!$E$2:$E$523,C237)</f>
        <v>0</v>
      </c>
    </row>
    <row r="238" spans="2:6">
      <c r="B238" t="s">
        <v>723</v>
      </c>
      <c r="C238" t="s">
        <v>903</v>
      </c>
      <c r="D238">
        <f>SUMIFS(Sheet1!$G$2:$G$523,Sheet1!$D$2:$D$523,B238,Sheet1!$E$2:$E$523,C238)</f>
        <v>0</v>
      </c>
    </row>
    <row r="239" spans="2:6">
      <c r="B239" t="s">
        <v>694</v>
      </c>
      <c r="C239" t="s">
        <v>903</v>
      </c>
      <c r="D239">
        <f>SUMIFS(Sheet1!$G$2:$G$523,Sheet1!$D$2:$D$523,B239,Sheet1!$E$2:$E$523,C239)</f>
        <v>0</v>
      </c>
    </row>
    <row r="240" spans="2:6">
      <c r="B240" t="s">
        <v>30</v>
      </c>
      <c r="C240" t="s">
        <v>903</v>
      </c>
      <c r="D240">
        <f>SUMIFS(Sheet1!$G$2:$G$523,Sheet1!$D$2:$D$523,B240,Sheet1!$E$2:$E$523,C240)</f>
        <v>0</v>
      </c>
    </row>
    <row r="241" spans="2:4">
      <c r="B241" t="s">
        <v>51</v>
      </c>
      <c r="C241" t="s">
        <v>903</v>
      </c>
      <c r="D241">
        <f>SUMIFS(Sheet1!$G$2:$G$523,Sheet1!$D$2:$D$523,B241,Sheet1!$E$2:$E$523,C241)</f>
        <v>0</v>
      </c>
    </row>
    <row r="242" spans="2:4">
      <c r="B242" t="s">
        <v>837</v>
      </c>
      <c r="C242" t="s">
        <v>903</v>
      </c>
      <c r="D242">
        <f>SUMIFS(Sheet1!$G$2:$G$523,Sheet1!$D$2:$D$523,B242,Sheet1!$E$2:$E$523,C242)</f>
        <v>0</v>
      </c>
    </row>
    <row r="243" spans="2:4">
      <c r="B243" t="s">
        <v>923</v>
      </c>
      <c r="C243" t="s">
        <v>903</v>
      </c>
      <c r="D243">
        <f>SUMIFS(Sheet1!$G$2:$G$523,Sheet1!$D$2:$D$523,B243,Sheet1!$E$2:$E$523,C243)</f>
        <v>3.31</v>
      </c>
    </row>
    <row r="244" spans="2:4">
      <c r="B244" t="s">
        <v>933</v>
      </c>
      <c r="C244" t="s">
        <v>903</v>
      </c>
      <c r="D244">
        <f>SUMIFS(Sheet1!$G$2:$G$523,Sheet1!$D$2:$D$523,B244,Sheet1!$E$2:$E$523,C244)</f>
        <v>10.620000000000001</v>
      </c>
    </row>
    <row r="245" spans="2:4">
      <c r="B245" t="s">
        <v>1045</v>
      </c>
      <c r="C245" t="s">
        <v>903</v>
      </c>
      <c r="D245">
        <f>SUMIFS(Sheet1!$G$2:$G$523,Sheet1!$D$2:$D$523,B245,Sheet1!$E$2:$E$523,C245)</f>
        <v>0</v>
      </c>
    </row>
    <row r="246" spans="2:4">
      <c r="B246" t="s">
        <v>356</v>
      </c>
      <c r="C246" t="s">
        <v>903</v>
      </c>
      <c r="D246">
        <f>SUMIFS(Sheet1!$G$2:$G$523,Sheet1!$D$2:$D$523,B246,Sheet1!$E$2:$E$523,C246)</f>
        <v>0</v>
      </c>
    </row>
    <row r="247" spans="2:4">
      <c r="B247" t="s">
        <v>1145</v>
      </c>
      <c r="C247" t="s">
        <v>903</v>
      </c>
      <c r="D247">
        <f>SUMIFS(Sheet1!$G$2:$G$523,Sheet1!$D$2:$D$523,B247,Sheet1!$E$2:$E$523,C247)</f>
        <v>0</v>
      </c>
    </row>
    <row r="248" spans="2:4">
      <c r="B248" t="s">
        <v>1189</v>
      </c>
      <c r="C248" t="s">
        <v>903</v>
      </c>
      <c r="D248">
        <f>SUMIFS(Sheet1!$G$2:$G$523,Sheet1!$D$2:$D$523,B248,Sheet1!$E$2:$E$523,C248)</f>
        <v>0</v>
      </c>
    </row>
    <row r="249" spans="2:4">
      <c r="B249" t="s">
        <v>99</v>
      </c>
      <c r="C249" t="s">
        <v>903</v>
      </c>
      <c r="D249">
        <f>SUMIFS(Sheet1!$G$2:$G$523,Sheet1!$D$2:$D$523,B249,Sheet1!$E$2:$E$523,C249)</f>
        <v>0</v>
      </c>
    </row>
    <row r="250" spans="2:4">
      <c r="B250" t="s">
        <v>118</v>
      </c>
      <c r="C250" t="s">
        <v>903</v>
      </c>
      <c r="D250">
        <f>SUMIFS(Sheet1!$G$2:$G$523,Sheet1!$D$2:$D$523,B250,Sheet1!$E$2:$E$523,C250)</f>
        <v>0</v>
      </c>
    </row>
    <row r="251" spans="2:4">
      <c r="B251" t="s">
        <v>176</v>
      </c>
      <c r="C251" t="s">
        <v>903</v>
      </c>
      <c r="D251">
        <f>SUMIFS(Sheet1!$G$2:$G$523,Sheet1!$D$2:$D$523,B251,Sheet1!$E$2:$E$523,C251)</f>
        <v>0</v>
      </c>
    </row>
    <row r="252" spans="2:4">
      <c r="B252" t="s">
        <v>234</v>
      </c>
      <c r="C252" t="s">
        <v>903</v>
      </c>
      <c r="D252">
        <f>SUMIFS(Sheet1!$G$2:$G$523,Sheet1!$D$2:$D$523,B252,Sheet1!$E$2:$E$523,C252)</f>
        <v>0</v>
      </c>
    </row>
    <row r="253" spans="2:4">
      <c r="B253" t="s">
        <v>286</v>
      </c>
      <c r="C253" t="s">
        <v>903</v>
      </c>
      <c r="D253">
        <f>SUMIFS(Sheet1!$G$2:$G$523,Sheet1!$D$2:$D$523,B253,Sheet1!$E$2:$E$523,C253)</f>
        <v>0</v>
      </c>
    </row>
    <row r="254" spans="2:4">
      <c r="B254" t="s">
        <v>312</v>
      </c>
      <c r="C254" t="s">
        <v>903</v>
      </c>
      <c r="D254">
        <f>SUMIFS(Sheet1!$G$2:$G$523,Sheet1!$D$2:$D$523,B254,Sheet1!$E$2:$E$523,C254)</f>
        <v>5.6</v>
      </c>
    </row>
    <row r="255" spans="2:4">
      <c r="B255" t="s">
        <v>322</v>
      </c>
      <c r="C255" t="s">
        <v>903</v>
      </c>
      <c r="D255">
        <f>SUMIFS(Sheet1!$G$2:$G$523,Sheet1!$D$2:$D$523,B255,Sheet1!$E$2:$E$523,C255)</f>
        <v>0</v>
      </c>
    </row>
    <row r="256" spans="2:4">
      <c r="B256" t="s">
        <v>330</v>
      </c>
      <c r="C256" t="s">
        <v>903</v>
      </c>
      <c r="D256">
        <f>SUMIFS(Sheet1!$G$2:$G$523,Sheet1!$D$2:$D$523,B256,Sheet1!$E$2:$E$523,C256)</f>
        <v>0</v>
      </c>
    </row>
    <row r="257" spans="2:4">
      <c r="B257" t="s">
        <v>338</v>
      </c>
      <c r="C257" t="s">
        <v>903</v>
      </c>
      <c r="D257">
        <f>SUMIFS(Sheet1!$G$2:$G$523,Sheet1!$D$2:$D$523,B257,Sheet1!$E$2:$E$523,C257)</f>
        <v>0</v>
      </c>
    </row>
    <row r="258" spans="2:4">
      <c r="B258" t="s">
        <v>18</v>
      </c>
      <c r="C258" t="s">
        <v>903</v>
      </c>
      <c r="D258">
        <f>SUMIFS(Sheet1!$G$2:$G$523,Sheet1!$D$2:$D$523,B258,Sheet1!$E$2:$E$523,C258)</f>
        <v>0</v>
      </c>
    </row>
    <row r="259" spans="2:4">
      <c r="B259" t="s">
        <v>616</v>
      </c>
      <c r="C259" t="s">
        <v>903</v>
      </c>
      <c r="D259">
        <f>SUMIFS(Sheet1!$G$2:$G$523,Sheet1!$D$2:$D$523,B259,Sheet1!$E$2:$E$523,C259)</f>
        <v>0</v>
      </c>
    </row>
    <row r="260" spans="2:4">
      <c r="B260" t="s">
        <v>634</v>
      </c>
      <c r="C260" t="s">
        <v>903</v>
      </c>
      <c r="D260">
        <f>SUMIFS(Sheet1!$G$2:$G$523,Sheet1!$D$2:$D$523,B260,Sheet1!$E$2:$E$523,C260)</f>
        <v>0</v>
      </c>
    </row>
    <row r="261" spans="2:4">
      <c r="B261" t="s">
        <v>748</v>
      </c>
      <c r="C261" t="s">
        <v>903</v>
      </c>
      <c r="D261">
        <f>SUMIFS(Sheet1!$G$2:$G$523,Sheet1!$D$2:$D$523,B261,Sheet1!$E$2:$E$523,C261)</f>
        <v>0</v>
      </c>
    </row>
    <row r="262" spans="2:4">
      <c r="B262" t="s">
        <v>48</v>
      </c>
      <c r="C262" t="s">
        <v>903</v>
      </c>
      <c r="D262">
        <f>SUMIFS(Sheet1!$G$2:$G$523,Sheet1!$D$2:$D$523,B262,Sheet1!$E$2:$E$523,C262)</f>
        <v>0</v>
      </c>
    </row>
    <row r="263" spans="2:4">
      <c r="B263" t="s">
        <v>883</v>
      </c>
      <c r="C263" t="s">
        <v>903</v>
      </c>
      <c r="D263">
        <f>SUMIFS(Sheet1!$G$2:$G$523,Sheet1!$D$2:$D$523,B263,Sheet1!$E$2:$E$523,C263)</f>
        <v>0.91</v>
      </c>
    </row>
    <row r="264" spans="2:4">
      <c r="B264" t="s">
        <v>906</v>
      </c>
      <c r="C264" t="s">
        <v>903</v>
      </c>
      <c r="D264">
        <f>SUMIFS(Sheet1!$G$2:$G$523,Sheet1!$D$2:$D$523,B264,Sheet1!$E$2:$E$523,C264)</f>
        <v>5.72</v>
      </c>
    </row>
    <row r="265" spans="2:4">
      <c r="B265" t="s">
        <v>1039</v>
      </c>
      <c r="C265" t="s">
        <v>903</v>
      </c>
      <c r="D265">
        <f>SUMIFS(Sheet1!$G$2:$G$523,Sheet1!$D$2:$D$523,B265,Sheet1!$E$2:$E$523,C265)</f>
        <v>4.91</v>
      </c>
    </row>
    <row r="266" spans="2:4">
      <c r="B266" t="s">
        <v>326</v>
      </c>
      <c r="C266" t="s">
        <v>903</v>
      </c>
      <c r="D266">
        <f>SUMIFS(Sheet1!$G$2:$G$523,Sheet1!$D$2:$D$523,B266,Sheet1!$E$2:$E$523,C266)</f>
        <v>15.5</v>
      </c>
    </row>
    <row r="267" spans="2:4">
      <c r="B267" t="s">
        <v>1155</v>
      </c>
      <c r="C267" t="s">
        <v>903</v>
      </c>
      <c r="D267">
        <f>SUMIFS(Sheet1!$G$2:$G$523,Sheet1!$D$2:$D$523,B267,Sheet1!$E$2:$E$523,C267)</f>
        <v>2.09</v>
      </c>
    </row>
    <row r="268" spans="2:4">
      <c r="B268" t="s">
        <v>1159</v>
      </c>
      <c r="C268" t="s">
        <v>903</v>
      </c>
      <c r="D268">
        <f>SUMIFS(Sheet1!$G$2:$G$523,Sheet1!$D$2:$D$523,B268,Sheet1!$E$2:$E$523,C268)</f>
        <v>4.17</v>
      </c>
    </row>
    <row r="269" spans="2:4">
      <c r="B269" t="s">
        <v>1162</v>
      </c>
      <c r="C269" t="s">
        <v>903</v>
      </c>
      <c r="D269">
        <f>SUMIFS(Sheet1!$G$2:$G$523,Sheet1!$D$2:$D$523,B269,Sheet1!$E$2:$E$523,C269)</f>
        <v>17.309999999999999</v>
      </c>
    </row>
    <row r="270" spans="2:4">
      <c r="B270" t="s">
        <v>1181</v>
      </c>
      <c r="C270" t="s">
        <v>903</v>
      </c>
      <c r="D270">
        <f>SUMIFS(Sheet1!$G$2:$G$523,Sheet1!$D$2:$D$523,B270,Sheet1!$E$2:$E$523,C270)</f>
        <v>4.91</v>
      </c>
    </row>
    <row r="271" spans="2:4">
      <c r="B271" t="s">
        <v>1209</v>
      </c>
      <c r="C271" t="s">
        <v>903</v>
      </c>
      <c r="D271">
        <f>SUMIFS(Sheet1!$G$2:$G$523,Sheet1!$D$2:$D$523,B271,Sheet1!$E$2:$E$523,C271)</f>
        <v>2.98</v>
      </c>
    </row>
    <row r="272" spans="2:4">
      <c r="B272" t="s">
        <v>1215</v>
      </c>
      <c r="C272" t="s">
        <v>903</v>
      </c>
      <c r="D272">
        <f>SUMIFS(Sheet1!$G$2:$G$523,Sheet1!$D$2:$D$523,B272,Sheet1!$E$2:$E$523,C272)</f>
        <v>14.600000000000001</v>
      </c>
    </row>
    <row r="273" spans="2:4">
      <c r="B273" t="s">
        <v>104</v>
      </c>
      <c r="C273" t="s">
        <v>903</v>
      </c>
      <c r="D273">
        <f>SUMIFS(Sheet1!$G$2:$G$523,Sheet1!$D$2:$D$523,B273,Sheet1!$E$2:$E$523,C273)</f>
        <v>0</v>
      </c>
    </row>
    <row r="274" spans="2:4">
      <c r="B274" t="s">
        <v>346</v>
      </c>
      <c r="C274" t="s">
        <v>903</v>
      </c>
      <c r="D274">
        <f>SUMIFS(Sheet1!$G$2:$G$523,Sheet1!$D$2:$D$523,B274,Sheet1!$E$2:$E$523,C274)</f>
        <v>0</v>
      </c>
    </row>
    <row r="275" spans="2:4">
      <c r="B275" t="s">
        <v>350</v>
      </c>
      <c r="C275" t="s">
        <v>903</v>
      </c>
      <c r="D275">
        <f>SUMIFS(Sheet1!$G$2:$G$523,Sheet1!$D$2:$D$523,B275,Sheet1!$E$2:$E$523,C275)</f>
        <v>0</v>
      </c>
    </row>
    <row r="276" spans="2:4">
      <c r="B276" t="s">
        <v>353</v>
      </c>
      <c r="C276" t="s">
        <v>903</v>
      </c>
      <c r="D276">
        <f>SUMIFS(Sheet1!$G$2:$G$523,Sheet1!$D$2:$D$523,B276,Sheet1!$E$2:$E$523,C276)</f>
        <v>0</v>
      </c>
    </row>
    <row r="277" spans="2:4">
      <c r="B277" t="s">
        <v>360</v>
      </c>
      <c r="C277" t="s">
        <v>903</v>
      </c>
      <c r="D277">
        <f>SUMIFS(Sheet1!$G$2:$G$523,Sheet1!$D$2:$D$523,B277,Sheet1!$E$2:$E$523,C277)</f>
        <v>0</v>
      </c>
    </row>
    <row r="278" spans="2:4">
      <c r="B278" t="s">
        <v>621</v>
      </c>
      <c r="C278" t="s">
        <v>903</v>
      </c>
      <c r="D278">
        <f>SUMIFS(Sheet1!$G$2:$G$523,Sheet1!$D$2:$D$523,B278,Sheet1!$E$2:$E$523,C278)</f>
        <v>0</v>
      </c>
    </row>
    <row r="279" spans="2:4">
      <c r="B279" t="s">
        <v>21</v>
      </c>
      <c r="C279" t="s">
        <v>903</v>
      </c>
      <c r="D279">
        <f>SUMIFS(Sheet1!$G$2:$G$523,Sheet1!$D$2:$D$523,B279,Sheet1!$E$2:$E$523,C279)</f>
        <v>0</v>
      </c>
    </row>
    <row r="280" spans="2:4">
      <c r="B280" t="s">
        <v>870</v>
      </c>
      <c r="C280" t="s">
        <v>903</v>
      </c>
      <c r="D280">
        <f>SUMIFS(Sheet1!$G$2:$G$523,Sheet1!$D$2:$D$523,B280,Sheet1!$E$2:$E$523,C280)</f>
        <v>0</v>
      </c>
    </row>
    <row r="281" spans="2:4">
      <c r="B281" t="s">
        <v>556</v>
      </c>
      <c r="C281" t="s">
        <v>903</v>
      </c>
      <c r="D281">
        <f>SUMIFS(Sheet1!$G$2:$G$523,Sheet1!$D$2:$D$523,B281,Sheet1!$E$2:$E$523,C281)</f>
        <v>0</v>
      </c>
    </row>
    <row r="282" spans="2:4">
      <c r="B282" t="s">
        <v>701</v>
      </c>
      <c r="C282" t="s">
        <v>903</v>
      </c>
      <c r="D282">
        <f>SUMIFS(Sheet1!$G$2:$G$523,Sheet1!$D$2:$D$523,B282,Sheet1!$E$2:$E$523,C282)</f>
        <v>0</v>
      </c>
    </row>
    <row r="283" spans="2:4">
      <c r="B283" t="s">
        <v>709</v>
      </c>
      <c r="C283" t="s">
        <v>903</v>
      </c>
      <c r="D283">
        <f>SUMIFS(Sheet1!$G$2:$G$523,Sheet1!$D$2:$D$523,B283,Sheet1!$E$2:$E$523,C283)</f>
        <v>0</v>
      </c>
    </row>
    <row r="284" spans="2:4">
      <c r="B284" t="s">
        <v>714</v>
      </c>
      <c r="C284" t="s">
        <v>903</v>
      </c>
      <c r="D284">
        <f>SUMIFS(Sheet1!$G$2:$G$523,Sheet1!$D$2:$D$523,B284,Sheet1!$E$2:$E$523,C284)</f>
        <v>0</v>
      </c>
    </row>
    <row r="285" spans="2:4">
      <c r="B285" t="s">
        <v>863</v>
      </c>
      <c r="C285" t="s">
        <v>903</v>
      </c>
      <c r="D285">
        <f>SUMIFS(Sheet1!$G$2:$G$523,Sheet1!$D$2:$D$523,B285,Sheet1!$E$2:$E$523,C285)</f>
        <v>0</v>
      </c>
    </row>
    <row r="286" spans="2:4">
      <c r="B286" t="s">
        <v>947</v>
      </c>
      <c r="C286" t="s">
        <v>903</v>
      </c>
      <c r="D286">
        <f>SUMIFS(Sheet1!$G$2:$G$523,Sheet1!$D$2:$D$523,B286,Sheet1!$E$2:$E$523,C286)</f>
        <v>0</v>
      </c>
    </row>
    <row r="287" spans="2:4">
      <c r="B287" t="s">
        <v>1026</v>
      </c>
      <c r="C287" t="s">
        <v>903</v>
      </c>
      <c r="D287">
        <f>SUMIFS(Sheet1!$G$2:$G$523,Sheet1!$D$2:$D$523,B287,Sheet1!$E$2:$E$523,C287)</f>
        <v>0</v>
      </c>
    </row>
    <row r="288" spans="2:4">
      <c r="B288" t="s">
        <v>1031</v>
      </c>
      <c r="C288" t="s">
        <v>903</v>
      </c>
      <c r="D288">
        <f>SUMIFS(Sheet1!$G$2:$G$523,Sheet1!$D$2:$D$523,B288,Sheet1!$E$2:$E$523,C288)</f>
        <v>0</v>
      </c>
    </row>
    <row r="289" spans="2:4">
      <c r="B289" t="s">
        <v>1110</v>
      </c>
      <c r="C289" t="s">
        <v>903</v>
      </c>
      <c r="D289">
        <f>SUMIFS(Sheet1!$G$2:$G$523,Sheet1!$D$2:$D$523,B289,Sheet1!$E$2:$E$523,C289)</f>
        <v>0</v>
      </c>
    </row>
    <row r="290" spans="2:4">
      <c r="B290" t="s">
        <v>1192</v>
      </c>
      <c r="C290" t="s">
        <v>903</v>
      </c>
      <c r="D290">
        <f>SUMIFS(Sheet1!$G$2:$G$523,Sheet1!$D$2:$D$523,B290,Sheet1!$E$2:$E$523,C290)</f>
        <v>0</v>
      </c>
    </row>
    <row r="291" spans="2:4">
      <c r="B291" t="s">
        <v>1061</v>
      </c>
      <c r="C291" t="s">
        <v>903</v>
      </c>
      <c r="D291">
        <f>SUMIFS(Sheet1!$G$2:$G$523,Sheet1!$D$2:$D$523,B291,Sheet1!$E$2:$E$523,C291)</f>
        <v>0</v>
      </c>
    </row>
    <row r="292" spans="2:4">
      <c r="B292" t="s">
        <v>317</v>
      </c>
      <c r="C292" t="s">
        <v>903</v>
      </c>
      <c r="D292">
        <f>SUMIFS(Sheet1!$G$2:$G$523,Sheet1!$D$2:$D$523,B292,Sheet1!$E$2:$E$523,C292)</f>
        <v>0</v>
      </c>
    </row>
    <row r="293" spans="2:4">
      <c r="B293" t="s">
        <v>1056</v>
      </c>
      <c r="C293" t="s">
        <v>903</v>
      </c>
      <c r="D293">
        <f>SUMIFS(Sheet1!$G$2:$G$523,Sheet1!$D$2:$D$523,B293,Sheet1!$E$2:$E$523,C293)</f>
        <v>0</v>
      </c>
    </row>
    <row r="294" spans="2:4">
      <c r="B294" t="s">
        <v>342</v>
      </c>
      <c r="C294" t="s">
        <v>903</v>
      </c>
      <c r="D294">
        <f>SUMIFS(Sheet1!$G$2:$G$523,Sheet1!$D$2:$D$523,B294,Sheet1!$E$2:$E$523,C294)</f>
        <v>0</v>
      </c>
    </row>
    <row r="295" spans="2:4">
      <c r="B295" t="s">
        <v>352</v>
      </c>
      <c r="C295" t="s">
        <v>903</v>
      </c>
      <c r="D295">
        <f>SUMIFS(Sheet1!$G$2:$G$523,Sheet1!$D$2:$D$523,B295,Sheet1!$E$2:$E$523,C295)</f>
        <v>0</v>
      </c>
    </row>
    <row r="296" spans="2:4">
      <c r="B296" t="s">
        <v>371</v>
      </c>
      <c r="C296" t="s">
        <v>903</v>
      </c>
      <c r="D296">
        <f>SUMIFS(Sheet1!$G$2:$G$523,Sheet1!$D$2:$D$523,B296,Sheet1!$E$2:$E$523,C296)</f>
        <v>0</v>
      </c>
    </row>
    <row r="297" spans="2:4">
      <c r="B297" t="s">
        <v>610</v>
      </c>
      <c r="C297" t="s">
        <v>903</v>
      </c>
      <c r="D297">
        <f>SUMIFS(Sheet1!$G$2:$G$523,Sheet1!$D$2:$D$523,B297,Sheet1!$E$2:$E$523,C297)</f>
        <v>0</v>
      </c>
    </row>
    <row r="298" spans="2:4">
      <c r="B298" t="s">
        <v>1237</v>
      </c>
      <c r="C298" t="s">
        <v>903</v>
      </c>
      <c r="D298">
        <f>SUMIFS(Sheet1!$G$2:$G$523,Sheet1!$D$2:$D$523,B298,Sheet1!$E$2:$E$523,C298)</f>
        <v>0</v>
      </c>
    </row>
    <row r="299" spans="2:4">
      <c r="B299" t="s">
        <v>1250</v>
      </c>
      <c r="C299" t="s">
        <v>903</v>
      </c>
      <c r="D299">
        <f>SUMIFS(Sheet1!$G$2:$G$523,Sheet1!$D$2:$D$523,B299,Sheet1!$E$2:$E$523,C299)</f>
        <v>0</v>
      </c>
    </row>
    <row r="300" spans="2:4">
      <c r="B300" t="s">
        <v>1264</v>
      </c>
      <c r="C300" t="s">
        <v>903</v>
      </c>
      <c r="D300">
        <f>SUMIFS(Sheet1!$G$2:$G$523,Sheet1!$D$2:$D$523,B300,Sheet1!$E$2:$E$523,C300)</f>
        <v>0</v>
      </c>
    </row>
    <row r="301" spans="2:4">
      <c r="B301" t="s">
        <v>592</v>
      </c>
      <c r="C301" t="s">
        <v>903</v>
      </c>
      <c r="D301">
        <f>SUMIFS(Sheet1!$G$2:$G$523,Sheet1!$D$2:$D$523,B301,Sheet1!$E$2:$E$523,C301)</f>
        <v>0</v>
      </c>
    </row>
    <row r="302" spans="2:4">
      <c r="B302" t="s">
        <v>775</v>
      </c>
      <c r="C302" t="s">
        <v>903</v>
      </c>
      <c r="D302">
        <f>SUMIFS(Sheet1!$G$2:$G$523,Sheet1!$D$2:$D$523,B302,Sheet1!$E$2:$E$523,C302)</f>
        <v>0</v>
      </c>
    </row>
    <row r="303" spans="2:4">
      <c r="B303" t="s">
        <v>55</v>
      </c>
      <c r="C303" t="s">
        <v>903</v>
      </c>
      <c r="D303">
        <f>SUMIFS(Sheet1!$G$2:$G$523,Sheet1!$D$2:$D$523,B303,Sheet1!$E$2:$E$523,C303)</f>
        <v>0</v>
      </c>
    </row>
    <row r="304" spans="2:4">
      <c r="B304" t="s">
        <v>828</v>
      </c>
      <c r="C304" t="s">
        <v>903</v>
      </c>
      <c r="D304">
        <f>SUMIFS(Sheet1!$G$2:$G$523,Sheet1!$D$2:$D$523,B304,Sheet1!$E$2:$E$523,C304)</f>
        <v>0</v>
      </c>
    </row>
    <row r="305" spans="2:6">
      <c r="B305" t="s">
        <v>1002</v>
      </c>
      <c r="C305" t="s">
        <v>903</v>
      </c>
      <c r="D305">
        <f>SUMIFS(Sheet1!$G$2:$G$523,Sheet1!$D$2:$D$523,B305,Sheet1!$E$2:$E$523,C305)</f>
        <v>0</v>
      </c>
    </row>
    <row r="306" spans="2:6">
      <c r="B306" t="s">
        <v>1007</v>
      </c>
      <c r="C306" t="s">
        <v>903</v>
      </c>
      <c r="D306">
        <f>SUMIFS(Sheet1!$G$2:$G$523,Sheet1!$D$2:$D$523,B306,Sheet1!$E$2:$E$523,C306)</f>
        <v>0</v>
      </c>
    </row>
    <row r="307" spans="2:6">
      <c r="B307" t="s">
        <v>1018</v>
      </c>
      <c r="C307" t="s">
        <v>903</v>
      </c>
      <c r="D307">
        <f>SUMIFS(Sheet1!$G$2:$G$523,Sheet1!$D$2:$D$523,B307,Sheet1!$E$2:$E$523,C307)</f>
        <v>0</v>
      </c>
    </row>
    <row r="308" spans="2:6">
      <c r="B308" t="s">
        <v>1133</v>
      </c>
      <c r="C308" t="s">
        <v>903</v>
      </c>
      <c r="D308">
        <f>SUMIFS(Sheet1!$G$2:$G$523,Sheet1!$D$2:$D$523,B308,Sheet1!$E$2:$E$523,C308)</f>
        <v>0</v>
      </c>
    </row>
    <row r="309" spans="2:6">
      <c r="B309" t="s">
        <v>1140</v>
      </c>
      <c r="C309" t="s">
        <v>903</v>
      </c>
      <c r="D309">
        <f>SUMIFS(Sheet1!$G$2:$G$523,Sheet1!$D$2:$D$523,B309,Sheet1!$E$2:$E$523,C309)</f>
        <v>0</v>
      </c>
    </row>
    <row r="310" spans="2:6">
      <c r="B310" t="s">
        <v>367</v>
      </c>
      <c r="C310" t="s">
        <v>903</v>
      </c>
      <c r="D310">
        <f>SUMIFS(Sheet1!$G$2:$G$523,Sheet1!$D$2:$D$523,B310,Sheet1!$E$2:$E$523,C310)</f>
        <v>0</v>
      </c>
    </row>
    <row r="311" spans="2:6">
      <c r="B311" t="s">
        <v>688</v>
      </c>
      <c r="C311" t="s">
        <v>903</v>
      </c>
      <c r="D311">
        <f>SUMIFS(Sheet1!$G$2:$G$523,Sheet1!$D$2:$D$523,B311,Sheet1!$E$2:$E$523,C311)</f>
        <v>0</v>
      </c>
    </row>
    <row r="312" spans="2:6">
      <c r="B312" t="s">
        <v>874</v>
      </c>
      <c r="C312" t="s">
        <v>903</v>
      </c>
      <c r="D312">
        <f>SUMIFS(Sheet1!$G$2:$G$523,Sheet1!$D$2:$D$523,B312,Sheet1!$E$2:$E$523,C312)</f>
        <v>0</v>
      </c>
    </row>
    <row r="313" spans="2:6">
      <c r="B313" t="s">
        <v>877</v>
      </c>
      <c r="C313" t="s">
        <v>903</v>
      </c>
      <c r="D313">
        <f>SUMIFS(Sheet1!$G$2:$G$523,Sheet1!$D$2:$D$523,B313,Sheet1!$E$2:$E$523,C313)</f>
        <v>0</v>
      </c>
    </row>
    <row r="314" spans="2:6">
      <c r="B314" t="s">
        <v>581</v>
      </c>
      <c r="C314" t="s">
        <v>117</v>
      </c>
      <c r="D314">
        <f>SUMIFS(Sheet1!$G$2:$G$523,Sheet1!$D$2:$D$523,B314,Sheet1!$E$2:$E$523,C314)</f>
        <v>0</v>
      </c>
      <c r="F314">
        <v>5</v>
      </c>
    </row>
    <row r="315" spans="2:6">
      <c r="B315" t="s">
        <v>14</v>
      </c>
      <c r="C315" t="s">
        <v>117</v>
      </c>
      <c r="D315">
        <f>SUMIFS(Sheet1!$G$2:$G$523,Sheet1!$D$2:$D$523,B315,Sheet1!$E$2:$E$523,C315)</f>
        <v>0</v>
      </c>
    </row>
    <row r="316" spans="2:6">
      <c r="B316" t="s">
        <v>723</v>
      </c>
      <c r="C316" t="s">
        <v>117</v>
      </c>
      <c r="D316">
        <f>SUMIFS(Sheet1!$G$2:$G$523,Sheet1!$D$2:$D$523,B316,Sheet1!$E$2:$E$523,C316)</f>
        <v>0</v>
      </c>
    </row>
    <row r="317" spans="2:6">
      <c r="B317" t="s">
        <v>694</v>
      </c>
      <c r="C317" t="s">
        <v>117</v>
      </c>
      <c r="D317">
        <f>SUMIFS(Sheet1!$G$2:$G$523,Sheet1!$D$2:$D$523,B317,Sheet1!$E$2:$E$523,C317)</f>
        <v>2.76</v>
      </c>
    </row>
    <row r="318" spans="2:6">
      <c r="B318" t="s">
        <v>30</v>
      </c>
      <c r="C318" t="s">
        <v>117</v>
      </c>
      <c r="D318">
        <f>SUMIFS(Sheet1!$G$2:$G$523,Sheet1!$D$2:$D$523,B318,Sheet1!$E$2:$E$523,C318)</f>
        <v>0</v>
      </c>
    </row>
    <row r="319" spans="2:6">
      <c r="B319" t="s">
        <v>51</v>
      </c>
      <c r="C319" t="s">
        <v>117</v>
      </c>
      <c r="D319">
        <f>SUMIFS(Sheet1!$G$2:$G$523,Sheet1!$D$2:$D$523,B319,Sheet1!$E$2:$E$523,C319)</f>
        <v>0</v>
      </c>
    </row>
    <row r="320" spans="2:6">
      <c r="B320" t="s">
        <v>837</v>
      </c>
      <c r="C320" t="s">
        <v>117</v>
      </c>
      <c r="D320">
        <f>SUMIFS(Sheet1!$G$2:$G$523,Sheet1!$D$2:$D$523,B320,Sheet1!$E$2:$E$523,C320)</f>
        <v>0</v>
      </c>
    </row>
    <row r="321" spans="2:4">
      <c r="B321" t="s">
        <v>923</v>
      </c>
      <c r="C321" t="s">
        <v>117</v>
      </c>
      <c r="D321">
        <f>SUMIFS(Sheet1!$G$2:$G$523,Sheet1!$D$2:$D$523,B321,Sheet1!$E$2:$E$523,C321)</f>
        <v>0</v>
      </c>
    </row>
    <row r="322" spans="2:4">
      <c r="B322" t="s">
        <v>933</v>
      </c>
      <c r="C322" t="s">
        <v>117</v>
      </c>
      <c r="D322">
        <f>SUMIFS(Sheet1!$G$2:$G$523,Sheet1!$D$2:$D$523,B322,Sheet1!$E$2:$E$523,C322)</f>
        <v>0</v>
      </c>
    </row>
    <row r="323" spans="2:4">
      <c r="B323" t="s">
        <v>1045</v>
      </c>
      <c r="C323" t="s">
        <v>117</v>
      </c>
      <c r="D323">
        <f>SUMIFS(Sheet1!$G$2:$G$523,Sheet1!$D$2:$D$523,B323,Sheet1!$E$2:$E$523,C323)</f>
        <v>0</v>
      </c>
    </row>
    <row r="324" spans="2:4">
      <c r="B324" t="s">
        <v>356</v>
      </c>
      <c r="C324" t="s">
        <v>117</v>
      </c>
      <c r="D324">
        <f>SUMIFS(Sheet1!$G$2:$G$523,Sheet1!$D$2:$D$523,B324,Sheet1!$E$2:$E$523,C324)</f>
        <v>9.3000000000000007</v>
      </c>
    </row>
    <row r="325" spans="2:4">
      <c r="B325" t="s">
        <v>1145</v>
      </c>
      <c r="C325" t="s">
        <v>117</v>
      </c>
      <c r="D325">
        <f>SUMIFS(Sheet1!$G$2:$G$523,Sheet1!$D$2:$D$523,B325,Sheet1!$E$2:$E$523,C325)</f>
        <v>0</v>
      </c>
    </row>
    <row r="326" spans="2:4">
      <c r="B326" t="s">
        <v>1189</v>
      </c>
      <c r="C326" t="s">
        <v>117</v>
      </c>
      <c r="D326">
        <f>SUMIFS(Sheet1!$G$2:$G$523,Sheet1!$D$2:$D$523,B326,Sheet1!$E$2:$E$523,C326)</f>
        <v>0</v>
      </c>
    </row>
    <row r="327" spans="2:4">
      <c r="B327" t="s">
        <v>99</v>
      </c>
      <c r="C327" t="s">
        <v>117</v>
      </c>
      <c r="D327">
        <f>SUMIFS(Sheet1!$G$2:$G$523,Sheet1!$D$2:$D$523,B327,Sheet1!$E$2:$E$523,C327)</f>
        <v>0</v>
      </c>
    </row>
    <row r="328" spans="2:4">
      <c r="B328" t="s">
        <v>118</v>
      </c>
      <c r="C328" t="s">
        <v>117</v>
      </c>
      <c r="D328">
        <f>SUMIFS(Sheet1!$G$2:$G$523,Sheet1!$D$2:$D$523,B328,Sheet1!$E$2:$E$523,C328)</f>
        <v>21.42</v>
      </c>
    </row>
    <row r="329" spans="2:4">
      <c r="B329" t="s">
        <v>176</v>
      </c>
      <c r="C329" t="s">
        <v>117</v>
      </c>
      <c r="D329">
        <f>SUMIFS(Sheet1!$G$2:$G$523,Sheet1!$D$2:$D$523,B329,Sheet1!$E$2:$E$523,C329)</f>
        <v>47.54999999999999</v>
      </c>
    </row>
    <row r="330" spans="2:4">
      <c r="B330" t="s">
        <v>234</v>
      </c>
      <c r="C330" t="s">
        <v>117</v>
      </c>
      <c r="D330">
        <f>SUMIFS(Sheet1!$G$2:$G$523,Sheet1!$D$2:$D$523,B330,Sheet1!$E$2:$E$523,C330)</f>
        <v>28.059999999999995</v>
      </c>
    </row>
    <row r="331" spans="2:4">
      <c r="B331" t="s">
        <v>286</v>
      </c>
      <c r="C331" t="s">
        <v>117</v>
      </c>
      <c r="D331">
        <f>SUMIFS(Sheet1!$G$2:$G$523,Sheet1!$D$2:$D$523,B331,Sheet1!$E$2:$E$523,C331)</f>
        <v>12.85</v>
      </c>
    </row>
    <row r="332" spans="2:4">
      <c r="B332" t="s">
        <v>312</v>
      </c>
      <c r="C332" t="s">
        <v>117</v>
      </c>
      <c r="D332">
        <f>SUMIFS(Sheet1!$G$2:$G$523,Sheet1!$D$2:$D$523,B332,Sheet1!$E$2:$E$523,C332)</f>
        <v>0</v>
      </c>
    </row>
    <row r="333" spans="2:4">
      <c r="B333" t="s">
        <v>322</v>
      </c>
      <c r="C333" t="s">
        <v>117</v>
      </c>
      <c r="D333">
        <f>SUMIFS(Sheet1!$G$2:$G$523,Sheet1!$D$2:$D$523,B333,Sheet1!$E$2:$E$523,C333)</f>
        <v>0</v>
      </c>
    </row>
    <row r="334" spans="2:4">
      <c r="B334" t="s">
        <v>330</v>
      </c>
      <c r="C334" t="s">
        <v>117</v>
      </c>
      <c r="D334">
        <f>SUMIFS(Sheet1!$G$2:$G$523,Sheet1!$D$2:$D$523,B334,Sheet1!$E$2:$E$523,C334)</f>
        <v>3.07</v>
      </c>
    </row>
    <row r="335" spans="2:4">
      <c r="B335" t="s">
        <v>338</v>
      </c>
      <c r="C335" t="s">
        <v>117</v>
      </c>
      <c r="D335">
        <f>SUMIFS(Sheet1!$G$2:$G$523,Sheet1!$D$2:$D$523,B335,Sheet1!$E$2:$E$523,C335)</f>
        <v>0</v>
      </c>
    </row>
    <row r="336" spans="2:4">
      <c r="B336" t="s">
        <v>18</v>
      </c>
      <c r="C336" t="s">
        <v>117</v>
      </c>
      <c r="D336">
        <f>SUMIFS(Sheet1!$G$2:$G$523,Sheet1!$D$2:$D$523,B336,Sheet1!$E$2:$E$523,C336)</f>
        <v>28.32</v>
      </c>
    </row>
    <row r="337" spans="2:4">
      <c r="B337" t="s">
        <v>616</v>
      </c>
      <c r="C337" t="s">
        <v>117</v>
      </c>
      <c r="D337">
        <f>SUMIFS(Sheet1!$G$2:$G$523,Sheet1!$D$2:$D$523,B337,Sheet1!$E$2:$E$523,C337)</f>
        <v>22.47</v>
      </c>
    </row>
    <row r="338" spans="2:4">
      <c r="B338" t="s">
        <v>634</v>
      </c>
      <c r="C338" t="s">
        <v>117</v>
      </c>
      <c r="D338">
        <f>SUMIFS(Sheet1!$G$2:$G$523,Sheet1!$D$2:$D$523,B338,Sheet1!$E$2:$E$523,C338)</f>
        <v>12.969999999999999</v>
      </c>
    </row>
    <row r="339" spans="2:4">
      <c r="B339" t="s">
        <v>748</v>
      </c>
      <c r="C339" t="s">
        <v>117</v>
      </c>
      <c r="D339">
        <f>SUMIFS(Sheet1!$G$2:$G$523,Sheet1!$D$2:$D$523,B339,Sheet1!$E$2:$E$523,C339)</f>
        <v>0</v>
      </c>
    </row>
    <row r="340" spans="2:4">
      <c r="B340" t="s">
        <v>48</v>
      </c>
      <c r="C340" t="s">
        <v>117</v>
      </c>
      <c r="D340">
        <f>SUMIFS(Sheet1!$G$2:$G$523,Sheet1!$D$2:$D$523,B340,Sheet1!$E$2:$E$523,C340)</f>
        <v>0</v>
      </c>
    </row>
    <row r="341" spans="2:4">
      <c r="B341" t="s">
        <v>883</v>
      </c>
      <c r="C341" t="s">
        <v>117</v>
      </c>
      <c r="D341">
        <f>SUMIFS(Sheet1!$G$2:$G$523,Sheet1!$D$2:$D$523,B341,Sheet1!$E$2:$E$523,C341)</f>
        <v>0</v>
      </c>
    </row>
    <row r="342" spans="2:4">
      <c r="B342" t="s">
        <v>906</v>
      </c>
      <c r="C342" t="s">
        <v>117</v>
      </c>
      <c r="D342">
        <f>SUMIFS(Sheet1!$G$2:$G$523,Sheet1!$D$2:$D$523,B342,Sheet1!$E$2:$E$523,C342)</f>
        <v>0</v>
      </c>
    </row>
    <row r="343" spans="2:4">
      <c r="B343" t="s">
        <v>1039</v>
      </c>
      <c r="C343" t="s">
        <v>117</v>
      </c>
      <c r="D343">
        <f>SUMIFS(Sheet1!$G$2:$G$523,Sheet1!$D$2:$D$523,B343,Sheet1!$E$2:$E$523,C343)</f>
        <v>0</v>
      </c>
    </row>
    <row r="344" spans="2:4">
      <c r="B344" t="s">
        <v>326</v>
      </c>
      <c r="C344" t="s">
        <v>117</v>
      </c>
      <c r="D344">
        <f>SUMIFS(Sheet1!$G$2:$G$523,Sheet1!$D$2:$D$523,B344,Sheet1!$E$2:$E$523,C344)</f>
        <v>0</v>
      </c>
    </row>
    <row r="345" spans="2:4">
      <c r="B345" t="s">
        <v>1155</v>
      </c>
      <c r="C345" t="s">
        <v>117</v>
      </c>
      <c r="D345">
        <f>SUMIFS(Sheet1!$G$2:$G$523,Sheet1!$D$2:$D$523,B345,Sheet1!$E$2:$E$523,C345)</f>
        <v>0</v>
      </c>
    </row>
    <row r="346" spans="2:4">
      <c r="B346" t="s">
        <v>1159</v>
      </c>
      <c r="C346" t="s">
        <v>117</v>
      </c>
      <c r="D346">
        <f>SUMIFS(Sheet1!$G$2:$G$523,Sheet1!$D$2:$D$523,B346,Sheet1!$E$2:$E$523,C346)</f>
        <v>0</v>
      </c>
    </row>
    <row r="347" spans="2:4">
      <c r="B347" t="s">
        <v>1162</v>
      </c>
      <c r="C347" t="s">
        <v>117</v>
      </c>
      <c r="D347">
        <f>SUMIFS(Sheet1!$G$2:$G$523,Sheet1!$D$2:$D$523,B347,Sheet1!$E$2:$E$523,C347)</f>
        <v>0</v>
      </c>
    </row>
    <row r="348" spans="2:4">
      <c r="B348" t="s">
        <v>1181</v>
      </c>
      <c r="C348" t="s">
        <v>117</v>
      </c>
      <c r="D348">
        <f>SUMIFS(Sheet1!$G$2:$G$523,Sheet1!$D$2:$D$523,B348,Sheet1!$E$2:$E$523,C348)</f>
        <v>0</v>
      </c>
    </row>
    <row r="349" spans="2:4">
      <c r="B349" t="s">
        <v>1209</v>
      </c>
      <c r="C349" t="s">
        <v>117</v>
      </c>
      <c r="D349">
        <f>SUMIFS(Sheet1!$G$2:$G$523,Sheet1!$D$2:$D$523,B349,Sheet1!$E$2:$E$523,C349)</f>
        <v>0</v>
      </c>
    </row>
    <row r="350" spans="2:4">
      <c r="B350" t="s">
        <v>1215</v>
      </c>
      <c r="C350" t="s">
        <v>117</v>
      </c>
      <c r="D350">
        <f>SUMIFS(Sheet1!$G$2:$G$523,Sheet1!$D$2:$D$523,B350,Sheet1!$E$2:$E$523,C350)</f>
        <v>0</v>
      </c>
    </row>
    <row r="351" spans="2:4">
      <c r="B351" t="s">
        <v>104</v>
      </c>
      <c r="C351" t="s">
        <v>117</v>
      </c>
      <c r="D351">
        <f>SUMIFS(Sheet1!$G$2:$G$523,Sheet1!$D$2:$D$523,B351,Sheet1!$E$2:$E$523,C351)</f>
        <v>2.04</v>
      </c>
    </row>
    <row r="352" spans="2:4">
      <c r="B352" t="s">
        <v>346</v>
      </c>
      <c r="C352" t="s">
        <v>117</v>
      </c>
      <c r="D352">
        <f>SUMIFS(Sheet1!$G$2:$G$523,Sheet1!$D$2:$D$523,B352,Sheet1!$E$2:$E$523,C352)</f>
        <v>0.76</v>
      </c>
    </row>
    <row r="353" spans="2:4">
      <c r="B353" t="s">
        <v>350</v>
      </c>
      <c r="C353" t="s">
        <v>117</v>
      </c>
      <c r="D353">
        <f>SUMIFS(Sheet1!$G$2:$G$523,Sheet1!$D$2:$D$523,B353,Sheet1!$E$2:$E$523,C353)</f>
        <v>0.51</v>
      </c>
    </row>
    <row r="354" spans="2:4">
      <c r="B354" t="s">
        <v>353</v>
      </c>
      <c r="C354" t="s">
        <v>117</v>
      </c>
      <c r="D354">
        <f>SUMIFS(Sheet1!$G$2:$G$523,Sheet1!$D$2:$D$523,B354,Sheet1!$E$2:$E$523,C354)</f>
        <v>0.26</v>
      </c>
    </row>
    <row r="355" spans="2:4">
      <c r="B355" t="s">
        <v>360</v>
      </c>
      <c r="C355" t="s">
        <v>117</v>
      </c>
      <c r="D355">
        <f>SUMIFS(Sheet1!$G$2:$G$523,Sheet1!$D$2:$D$523,B355,Sheet1!$E$2:$E$523,C355)</f>
        <v>7.44</v>
      </c>
    </row>
    <row r="356" spans="2:4">
      <c r="B356" t="s">
        <v>621</v>
      </c>
      <c r="C356" t="s">
        <v>117</v>
      </c>
      <c r="D356">
        <f>SUMIFS(Sheet1!$G$2:$G$523,Sheet1!$D$2:$D$523,B356,Sheet1!$E$2:$E$523,C356)</f>
        <v>0.49</v>
      </c>
    </row>
    <row r="357" spans="2:4">
      <c r="B357" t="s">
        <v>21</v>
      </c>
      <c r="C357" t="s">
        <v>117</v>
      </c>
      <c r="D357">
        <f>SUMIFS(Sheet1!$G$2:$G$523,Sheet1!$D$2:$D$523,B357,Sheet1!$E$2:$E$523,C357)</f>
        <v>17.93</v>
      </c>
    </row>
    <row r="358" spans="2:4">
      <c r="B358" t="s">
        <v>870</v>
      </c>
      <c r="C358" t="s">
        <v>117</v>
      </c>
      <c r="D358">
        <f>SUMIFS(Sheet1!$G$2:$G$523,Sheet1!$D$2:$D$523,B358,Sheet1!$E$2:$E$523,C358)</f>
        <v>2.46</v>
      </c>
    </row>
    <row r="359" spans="2:4">
      <c r="B359" t="s">
        <v>556</v>
      </c>
      <c r="C359" t="s">
        <v>117</v>
      </c>
      <c r="D359">
        <f>SUMIFS(Sheet1!$G$2:$G$523,Sheet1!$D$2:$D$523,B359,Sheet1!$E$2:$E$523,C359)</f>
        <v>0</v>
      </c>
    </row>
    <row r="360" spans="2:4">
      <c r="B360" t="s">
        <v>701</v>
      </c>
      <c r="C360" t="s">
        <v>117</v>
      </c>
      <c r="D360">
        <f>SUMIFS(Sheet1!$G$2:$G$523,Sheet1!$D$2:$D$523,B360,Sheet1!$E$2:$E$523,C360)</f>
        <v>0</v>
      </c>
    </row>
    <row r="361" spans="2:4">
      <c r="B361" t="s">
        <v>709</v>
      </c>
      <c r="C361" t="s">
        <v>117</v>
      </c>
      <c r="D361">
        <f>SUMIFS(Sheet1!$G$2:$G$523,Sheet1!$D$2:$D$523,B361,Sheet1!$E$2:$E$523,C361)</f>
        <v>0</v>
      </c>
    </row>
    <row r="362" spans="2:4">
      <c r="B362" t="s">
        <v>714</v>
      </c>
      <c r="C362" t="s">
        <v>117</v>
      </c>
      <c r="D362">
        <f>SUMIFS(Sheet1!$G$2:$G$523,Sheet1!$D$2:$D$523,B362,Sheet1!$E$2:$E$523,C362)</f>
        <v>0</v>
      </c>
    </row>
    <row r="363" spans="2:4">
      <c r="B363" t="s">
        <v>863</v>
      </c>
      <c r="C363" t="s">
        <v>117</v>
      </c>
      <c r="D363">
        <f>SUMIFS(Sheet1!$G$2:$G$523,Sheet1!$D$2:$D$523,B363,Sheet1!$E$2:$E$523,C363)</f>
        <v>0</v>
      </c>
    </row>
    <row r="364" spans="2:4">
      <c r="B364" t="s">
        <v>947</v>
      </c>
      <c r="C364" t="s">
        <v>117</v>
      </c>
      <c r="D364">
        <f>SUMIFS(Sheet1!$G$2:$G$523,Sheet1!$D$2:$D$523,B364,Sheet1!$E$2:$E$523,C364)</f>
        <v>0</v>
      </c>
    </row>
    <row r="365" spans="2:4">
      <c r="B365" t="s">
        <v>1026</v>
      </c>
      <c r="C365" t="s">
        <v>117</v>
      </c>
      <c r="D365">
        <f>SUMIFS(Sheet1!$G$2:$G$523,Sheet1!$D$2:$D$523,B365,Sheet1!$E$2:$E$523,C365)</f>
        <v>0</v>
      </c>
    </row>
    <row r="366" spans="2:4">
      <c r="B366" t="s">
        <v>1031</v>
      </c>
      <c r="C366" t="s">
        <v>117</v>
      </c>
      <c r="D366">
        <f>SUMIFS(Sheet1!$G$2:$G$523,Sheet1!$D$2:$D$523,B366,Sheet1!$E$2:$E$523,C366)</f>
        <v>0</v>
      </c>
    </row>
    <row r="367" spans="2:4">
      <c r="B367" t="s">
        <v>1110</v>
      </c>
      <c r="C367" t="s">
        <v>117</v>
      </c>
      <c r="D367">
        <f>SUMIFS(Sheet1!$G$2:$G$523,Sheet1!$D$2:$D$523,B367,Sheet1!$E$2:$E$523,C367)</f>
        <v>0</v>
      </c>
    </row>
    <row r="368" spans="2:4">
      <c r="B368" t="s">
        <v>1192</v>
      </c>
      <c r="C368" t="s">
        <v>117</v>
      </c>
      <c r="D368">
        <f>SUMIFS(Sheet1!$G$2:$G$523,Sheet1!$D$2:$D$523,B368,Sheet1!$E$2:$E$523,C368)</f>
        <v>0</v>
      </c>
    </row>
    <row r="369" spans="2:4">
      <c r="B369" t="s">
        <v>1061</v>
      </c>
      <c r="C369" t="s">
        <v>117</v>
      </c>
      <c r="D369">
        <f>SUMIFS(Sheet1!$G$2:$G$523,Sheet1!$D$2:$D$523,B369,Sheet1!$E$2:$E$523,C369)</f>
        <v>0</v>
      </c>
    </row>
    <row r="370" spans="2:4">
      <c r="B370" t="s">
        <v>317</v>
      </c>
      <c r="C370" t="s">
        <v>117</v>
      </c>
      <c r="D370">
        <f>SUMIFS(Sheet1!$G$2:$G$523,Sheet1!$D$2:$D$523,B370,Sheet1!$E$2:$E$523,C370)</f>
        <v>0</v>
      </c>
    </row>
    <row r="371" spans="2:4">
      <c r="B371" t="s">
        <v>1056</v>
      </c>
      <c r="C371" t="s">
        <v>117</v>
      </c>
      <c r="D371">
        <f>SUMIFS(Sheet1!$G$2:$G$523,Sheet1!$D$2:$D$523,B371,Sheet1!$E$2:$E$523,C371)</f>
        <v>0</v>
      </c>
    </row>
    <row r="372" spans="2:4">
      <c r="B372" t="s">
        <v>342</v>
      </c>
      <c r="C372" t="s">
        <v>117</v>
      </c>
      <c r="D372">
        <f>SUMIFS(Sheet1!$G$2:$G$523,Sheet1!$D$2:$D$523,B372,Sheet1!$E$2:$E$523,C372)</f>
        <v>0</v>
      </c>
    </row>
    <row r="373" spans="2:4">
      <c r="B373" t="s">
        <v>352</v>
      </c>
      <c r="C373" t="s">
        <v>117</v>
      </c>
      <c r="D373">
        <f>SUMIFS(Sheet1!$G$2:$G$523,Sheet1!$D$2:$D$523,B373,Sheet1!$E$2:$E$523,C373)</f>
        <v>0</v>
      </c>
    </row>
    <row r="374" spans="2:4">
      <c r="B374" t="s">
        <v>371</v>
      </c>
      <c r="C374" t="s">
        <v>117</v>
      </c>
      <c r="D374">
        <f>SUMIFS(Sheet1!$G$2:$G$523,Sheet1!$D$2:$D$523,B374,Sheet1!$E$2:$E$523,C374)</f>
        <v>0</v>
      </c>
    </row>
    <row r="375" spans="2:4">
      <c r="B375" t="s">
        <v>610</v>
      </c>
      <c r="C375" t="s">
        <v>117</v>
      </c>
      <c r="D375">
        <f>SUMIFS(Sheet1!$G$2:$G$523,Sheet1!$D$2:$D$523,B375,Sheet1!$E$2:$E$523,C375)</f>
        <v>0</v>
      </c>
    </row>
    <row r="376" spans="2:4">
      <c r="B376" t="s">
        <v>1237</v>
      </c>
      <c r="C376" t="s">
        <v>117</v>
      </c>
      <c r="D376">
        <f>SUMIFS(Sheet1!$G$2:$G$523,Sheet1!$D$2:$D$523,B376,Sheet1!$E$2:$E$523,C376)</f>
        <v>0</v>
      </c>
    </row>
    <row r="377" spans="2:4">
      <c r="B377" t="s">
        <v>1250</v>
      </c>
      <c r="C377" t="s">
        <v>117</v>
      </c>
      <c r="D377">
        <f>SUMIFS(Sheet1!$G$2:$G$523,Sheet1!$D$2:$D$523,B377,Sheet1!$E$2:$E$523,C377)</f>
        <v>0</v>
      </c>
    </row>
    <row r="378" spans="2:4">
      <c r="B378" t="s">
        <v>1264</v>
      </c>
      <c r="C378" t="s">
        <v>117</v>
      </c>
      <c r="D378">
        <f>SUMIFS(Sheet1!$G$2:$G$523,Sheet1!$D$2:$D$523,B378,Sheet1!$E$2:$E$523,C378)</f>
        <v>0</v>
      </c>
    </row>
    <row r="379" spans="2:4">
      <c r="B379" t="s">
        <v>592</v>
      </c>
      <c r="C379" t="s">
        <v>117</v>
      </c>
      <c r="D379">
        <f>SUMIFS(Sheet1!$G$2:$G$523,Sheet1!$D$2:$D$523,B379,Sheet1!$E$2:$E$523,C379)</f>
        <v>0</v>
      </c>
    </row>
    <row r="380" spans="2:4">
      <c r="B380" t="s">
        <v>775</v>
      </c>
      <c r="C380" t="s">
        <v>117</v>
      </c>
      <c r="D380">
        <f>SUMIFS(Sheet1!$G$2:$G$523,Sheet1!$D$2:$D$523,B380,Sheet1!$E$2:$E$523,C380)</f>
        <v>0</v>
      </c>
    </row>
    <row r="381" spans="2:4">
      <c r="B381" t="s">
        <v>55</v>
      </c>
      <c r="C381" t="s">
        <v>117</v>
      </c>
      <c r="D381">
        <f>SUMIFS(Sheet1!$G$2:$G$523,Sheet1!$D$2:$D$523,B381,Sheet1!$E$2:$E$523,C381)</f>
        <v>0</v>
      </c>
    </row>
    <row r="382" spans="2:4">
      <c r="B382" t="s">
        <v>828</v>
      </c>
      <c r="C382" t="s">
        <v>117</v>
      </c>
      <c r="D382">
        <f>SUMIFS(Sheet1!$G$2:$G$523,Sheet1!$D$2:$D$523,B382,Sheet1!$E$2:$E$523,C382)</f>
        <v>0</v>
      </c>
    </row>
    <row r="383" spans="2:4">
      <c r="B383" t="s">
        <v>1002</v>
      </c>
      <c r="C383" t="s">
        <v>117</v>
      </c>
      <c r="D383">
        <f>SUMIFS(Sheet1!$G$2:$G$523,Sheet1!$D$2:$D$523,B383,Sheet1!$E$2:$E$523,C383)</f>
        <v>0</v>
      </c>
    </row>
    <row r="384" spans="2:4">
      <c r="B384" t="s">
        <v>1007</v>
      </c>
      <c r="C384" t="s">
        <v>117</v>
      </c>
      <c r="D384">
        <f>SUMIFS(Sheet1!$G$2:$G$523,Sheet1!$D$2:$D$523,B384,Sheet1!$E$2:$E$523,C384)</f>
        <v>0</v>
      </c>
    </row>
    <row r="385" spans="2:6">
      <c r="B385" t="s">
        <v>1018</v>
      </c>
      <c r="C385" t="s">
        <v>117</v>
      </c>
      <c r="D385">
        <f>SUMIFS(Sheet1!$G$2:$G$523,Sheet1!$D$2:$D$523,B385,Sheet1!$E$2:$E$523,C385)</f>
        <v>0</v>
      </c>
    </row>
    <row r="386" spans="2:6">
      <c r="B386" t="s">
        <v>1133</v>
      </c>
      <c r="C386" t="s">
        <v>117</v>
      </c>
      <c r="D386">
        <f>SUMIFS(Sheet1!$G$2:$G$523,Sheet1!$D$2:$D$523,B386,Sheet1!$E$2:$E$523,C386)</f>
        <v>0</v>
      </c>
    </row>
    <row r="387" spans="2:6">
      <c r="B387" t="s">
        <v>1140</v>
      </c>
      <c r="C387" t="s">
        <v>117</v>
      </c>
      <c r="D387">
        <f>SUMIFS(Sheet1!$G$2:$G$523,Sheet1!$D$2:$D$523,B387,Sheet1!$E$2:$E$523,C387)</f>
        <v>0</v>
      </c>
    </row>
    <row r="388" spans="2:6">
      <c r="B388" t="s">
        <v>367</v>
      </c>
      <c r="C388" t="s">
        <v>117</v>
      </c>
      <c r="D388">
        <f>SUMIFS(Sheet1!$G$2:$G$523,Sheet1!$D$2:$D$523,B388,Sheet1!$E$2:$E$523,C388)</f>
        <v>0</v>
      </c>
    </row>
    <row r="389" spans="2:6">
      <c r="B389" t="s">
        <v>688</v>
      </c>
      <c r="C389" t="s">
        <v>117</v>
      </c>
      <c r="D389">
        <f>SUMIFS(Sheet1!$G$2:$G$523,Sheet1!$D$2:$D$523,B389,Sheet1!$E$2:$E$523,C389)</f>
        <v>0</v>
      </c>
    </row>
    <row r="390" spans="2:6">
      <c r="B390" t="s">
        <v>874</v>
      </c>
      <c r="C390" t="s">
        <v>117</v>
      </c>
      <c r="D390">
        <f>SUMIFS(Sheet1!$G$2:$G$523,Sheet1!$D$2:$D$523,B390,Sheet1!$E$2:$E$523,C390)</f>
        <v>0</v>
      </c>
    </row>
    <row r="391" spans="2:6">
      <c r="B391" t="s">
        <v>877</v>
      </c>
      <c r="C391" t="s">
        <v>117</v>
      </c>
      <c r="D391">
        <f>SUMIFS(Sheet1!$G$2:$G$523,Sheet1!$D$2:$D$523,B391,Sheet1!$E$2:$E$523,C391)</f>
        <v>0</v>
      </c>
    </row>
    <row r="392" spans="2:6">
      <c r="B392" t="s">
        <v>581</v>
      </c>
      <c r="C392" t="s">
        <v>113</v>
      </c>
      <c r="D392">
        <f>SUMIFS(Sheet1!$G$2:$G$523,Sheet1!$D$2:$D$523,B392,Sheet1!$E$2:$E$523,C392)</f>
        <v>0</v>
      </c>
      <c r="F392">
        <v>6</v>
      </c>
    </row>
    <row r="393" spans="2:6">
      <c r="B393" t="s">
        <v>14</v>
      </c>
      <c r="C393" t="s">
        <v>113</v>
      </c>
      <c r="D393">
        <f>SUMIFS(Sheet1!$G$2:$G$523,Sheet1!$D$2:$D$523,B393,Sheet1!$E$2:$E$523,C393)</f>
        <v>0</v>
      </c>
    </row>
    <row r="394" spans="2:6">
      <c r="B394" t="s">
        <v>723</v>
      </c>
      <c r="C394" t="s">
        <v>113</v>
      </c>
      <c r="D394">
        <f>SUMIFS(Sheet1!$G$2:$G$523,Sheet1!$D$2:$D$523,B394,Sheet1!$E$2:$E$523,C394)</f>
        <v>0</v>
      </c>
    </row>
    <row r="395" spans="2:6">
      <c r="B395" t="s">
        <v>694</v>
      </c>
      <c r="C395" t="s">
        <v>113</v>
      </c>
      <c r="D395">
        <f>SUMIFS(Sheet1!$G$2:$G$523,Sheet1!$D$2:$D$523,B395,Sheet1!$E$2:$E$523,C395)</f>
        <v>0</v>
      </c>
    </row>
    <row r="396" spans="2:6">
      <c r="B396" t="s">
        <v>30</v>
      </c>
      <c r="C396" t="s">
        <v>113</v>
      </c>
      <c r="D396">
        <f>SUMIFS(Sheet1!$G$2:$G$523,Sheet1!$D$2:$D$523,B396,Sheet1!$E$2:$E$523,C396)</f>
        <v>0</v>
      </c>
    </row>
    <row r="397" spans="2:6">
      <c r="B397" t="s">
        <v>51</v>
      </c>
      <c r="C397" t="s">
        <v>113</v>
      </c>
      <c r="D397">
        <f>SUMIFS(Sheet1!$G$2:$G$523,Sheet1!$D$2:$D$523,B397,Sheet1!$E$2:$E$523,C397)</f>
        <v>0</v>
      </c>
    </row>
    <row r="398" spans="2:6">
      <c r="B398" t="s">
        <v>837</v>
      </c>
      <c r="C398" t="s">
        <v>113</v>
      </c>
      <c r="D398">
        <f>SUMIFS(Sheet1!$G$2:$G$523,Sheet1!$D$2:$D$523,B398,Sheet1!$E$2:$E$523,C398)</f>
        <v>0</v>
      </c>
    </row>
    <row r="399" spans="2:6">
      <c r="B399" t="s">
        <v>923</v>
      </c>
      <c r="C399" t="s">
        <v>113</v>
      </c>
      <c r="D399">
        <f>SUMIFS(Sheet1!$G$2:$G$523,Sheet1!$D$2:$D$523,B399,Sheet1!$E$2:$E$523,C399)</f>
        <v>0</v>
      </c>
    </row>
    <row r="400" spans="2:6">
      <c r="B400" t="s">
        <v>933</v>
      </c>
      <c r="C400" t="s">
        <v>113</v>
      </c>
      <c r="D400">
        <f>SUMIFS(Sheet1!$G$2:$G$523,Sheet1!$D$2:$D$523,B400,Sheet1!$E$2:$E$523,C400)</f>
        <v>0</v>
      </c>
    </row>
    <row r="401" spans="2:4">
      <c r="B401" t="s">
        <v>1045</v>
      </c>
      <c r="C401" t="s">
        <v>113</v>
      </c>
      <c r="D401">
        <f>SUMIFS(Sheet1!$G$2:$G$523,Sheet1!$D$2:$D$523,B401,Sheet1!$E$2:$E$523,C401)</f>
        <v>0</v>
      </c>
    </row>
    <row r="402" spans="2:4">
      <c r="B402" t="s">
        <v>356</v>
      </c>
      <c r="C402" t="s">
        <v>113</v>
      </c>
      <c r="D402">
        <f>SUMIFS(Sheet1!$G$2:$G$523,Sheet1!$D$2:$D$523,B402,Sheet1!$E$2:$E$523,C402)</f>
        <v>2.82</v>
      </c>
    </row>
    <row r="403" spans="2:4">
      <c r="B403" t="s">
        <v>1145</v>
      </c>
      <c r="C403" t="s">
        <v>113</v>
      </c>
      <c r="D403">
        <f>SUMIFS(Sheet1!$G$2:$G$523,Sheet1!$D$2:$D$523,B403,Sheet1!$E$2:$E$523,C403)</f>
        <v>0</v>
      </c>
    </row>
    <row r="404" spans="2:4">
      <c r="B404" t="s">
        <v>1189</v>
      </c>
      <c r="C404" t="s">
        <v>113</v>
      </c>
      <c r="D404">
        <f>SUMIFS(Sheet1!$G$2:$G$523,Sheet1!$D$2:$D$523,B404,Sheet1!$E$2:$E$523,C404)</f>
        <v>0</v>
      </c>
    </row>
    <row r="405" spans="2:4">
      <c r="B405" t="s">
        <v>99</v>
      </c>
      <c r="C405" t="s">
        <v>113</v>
      </c>
      <c r="D405">
        <f>SUMIFS(Sheet1!$G$2:$G$523,Sheet1!$D$2:$D$523,B405,Sheet1!$E$2:$E$523,C405)</f>
        <v>0</v>
      </c>
    </row>
    <row r="406" spans="2:4">
      <c r="B406" t="s">
        <v>118</v>
      </c>
      <c r="C406" t="s">
        <v>113</v>
      </c>
      <c r="D406">
        <f>SUMIFS(Sheet1!$G$2:$G$523,Sheet1!$D$2:$D$523,B406,Sheet1!$E$2:$E$523,C406)</f>
        <v>1.2</v>
      </c>
    </row>
    <row r="407" spans="2:4">
      <c r="B407" t="s">
        <v>176</v>
      </c>
      <c r="C407" t="s">
        <v>113</v>
      </c>
      <c r="D407">
        <f>SUMIFS(Sheet1!$G$2:$G$523,Sheet1!$D$2:$D$523,B407,Sheet1!$E$2:$E$523,C407)</f>
        <v>49.739999999999995</v>
      </c>
    </row>
    <row r="408" spans="2:4">
      <c r="B408" t="s">
        <v>234</v>
      </c>
      <c r="C408" t="s">
        <v>113</v>
      </c>
      <c r="D408">
        <f>SUMIFS(Sheet1!$G$2:$G$523,Sheet1!$D$2:$D$523,B408,Sheet1!$E$2:$E$523,C408)</f>
        <v>26.11</v>
      </c>
    </row>
    <row r="409" spans="2:4">
      <c r="B409" t="s">
        <v>286</v>
      </c>
      <c r="C409" t="s">
        <v>113</v>
      </c>
      <c r="D409">
        <f>SUMIFS(Sheet1!$G$2:$G$523,Sheet1!$D$2:$D$523,B409,Sheet1!$E$2:$E$523,C409)</f>
        <v>0</v>
      </c>
    </row>
    <row r="410" spans="2:4">
      <c r="B410" t="s">
        <v>312</v>
      </c>
      <c r="C410" t="s">
        <v>113</v>
      </c>
      <c r="D410">
        <f>SUMIFS(Sheet1!$G$2:$G$523,Sheet1!$D$2:$D$523,B410,Sheet1!$E$2:$E$523,C410)</f>
        <v>2.33</v>
      </c>
    </row>
    <row r="411" spans="2:4">
      <c r="B411" t="s">
        <v>322</v>
      </c>
      <c r="C411" t="s">
        <v>113</v>
      </c>
      <c r="D411">
        <f>SUMIFS(Sheet1!$G$2:$G$523,Sheet1!$D$2:$D$523,B411,Sheet1!$E$2:$E$523,C411)</f>
        <v>0</v>
      </c>
    </row>
    <row r="412" spans="2:4">
      <c r="B412" t="s">
        <v>330</v>
      </c>
      <c r="C412" t="s">
        <v>113</v>
      </c>
      <c r="D412">
        <f>SUMIFS(Sheet1!$G$2:$G$523,Sheet1!$D$2:$D$523,B412,Sheet1!$E$2:$E$523,C412)</f>
        <v>0</v>
      </c>
    </row>
    <row r="413" spans="2:4">
      <c r="B413" t="s">
        <v>338</v>
      </c>
      <c r="C413" t="s">
        <v>113</v>
      </c>
      <c r="D413">
        <f>SUMIFS(Sheet1!$G$2:$G$523,Sheet1!$D$2:$D$523,B413,Sheet1!$E$2:$E$523,C413)</f>
        <v>0</v>
      </c>
    </row>
    <row r="414" spans="2:4">
      <c r="B414" t="s">
        <v>18</v>
      </c>
      <c r="C414" t="s">
        <v>113</v>
      </c>
      <c r="D414">
        <f>SUMIFS(Sheet1!$G$2:$G$523,Sheet1!$D$2:$D$523,B414,Sheet1!$E$2:$E$523,C414)</f>
        <v>41.72</v>
      </c>
    </row>
    <row r="415" spans="2:4">
      <c r="B415" t="s">
        <v>616</v>
      </c>
      <c r="C415" t="s">
        <v>113</v>
      </c>
      <c r="D415">
        <f>SUMIFS(Sheet1!$G$2:$G$523,Sheet1!$D$2:$D$523,B415,Sheet1!$E$2:$E$523,C415)</f>
        <v>0</v>
      </c>
    </row>
    <row r="416" spans="2:4">
      <c r="B416" t="s">
        <v>634</v>
      </c>
      <c r="C416" t="s">
        <v>113</v>
      </c>
      <c r="D416">
        <f>SUMIFS(Sheet1!$G$2:$G$523,Sheet1!$D$2:$D$523,B416,Sheet1!$E$2:$E$523,C416)</f>
        <v>29.109999999999996</v>
      </c>
    </row>
    <row r="417" spans="2:4">
      <c r="B417" t="s">
        <v>748</v>
      </c>
      <c r="C417" t="s">
        <v>113</v>
      </c>
      <c r="D417">
        <f>SUMIFS(Sheet1!$G$2:$G$523,Sheet1!$D$2:$D$523,B417,Sheet1!$E$2:$E$523,C417)</f>
        <v>0</v>
      </c>
    </row>
    <row r="418" spans="2:4">
      <c r="B418" t="s">
        <v>48</v>
      </c>
      <c r="C418" t="s">
        <v>113</v>
      </c>
      <c r="D418">
        <f>SUMIFS(Sheet1!$G$2:$G$523,Sheet1!$D$2:$D$523,B418,Sheet1!$E$2:$E$523,C418)</f>
        <v>0</v>
      </c>
    </row>
    <row r="419" spans="2:4">
      <c r="B419" t="s">
        <v>883</v>
      </c>
      <c r="C419" t="s">
        <v>113</v>
      </c>
      <c r="D419">
        <f>SUMIFS(Sheet1!$G$2:$G$523,Sheet1!$D$2:$D$523,B419,Sheet1!$E$2:$E$523,C419)</f>
        <v>0</v>
      </c>
    </row>
    <row r="420" spans="2:4">
      <c r="B420" t="s">
        <v>906</v>
      </c>
      <c r="C420" t="s">
        <v>113</v>
      </c>
      <c r="D420">
        <f>SUMIFS(Sheet1!$G$2:$G$523,Sheet1!$D$2:$D$523,B420,Sheet1!$E$2:$E$523,C420)</f>
        <v>0</v>
      </c>
    </row>
    <row r="421" spans="2:4">
      <c r="B421" t="s">
        <v>1039</v>
      </c>
      <c r="C421" t="s">
        <v>113</v>
      </c>
      <c r="D421">
        <f>SUMIFS(Sheet1!$G$2:$G$523,Sheet1!$D$2:$D$523,B421,Sheet1!$E$2:$E$523,C421)</f>
        <v>0</v>
      </c>
    </row>
    <row r="422" spans="2:4">
      <c r="B422" t="s">
        <v>326</v>
      </c>
      <c r="C422" t="s">
        <v>113</v>
      </c>
      <c r="D422">
        <f>SUMIFS(Sheet1!$G$2:$G$523,Sheet1!$D$2:$D$523,B422,Sheet1!$E$2:$E$523,C422)</f>
        <v>0</v>
      </c>
    </row>
    <row r="423" spans="2:4">
      <c r="B423" t="s">
        <v>1155</v>
      </c>
      <c r="C423" t="s">
        <v>113</v>
      </c>
      <c r="D423">
        <f>SUMIFS(Sheet1!$G$2:$G$523,Sheet1!$D$2:$D$523,B423,Sheet1!$E$2:$E$523,C423)</f>
        <v>0</v>
      </c>
    </row>
    <row r="424" spans="2:4">
      <c r="B424" t="s">
        <v>1159</v>
      </c>
      <c r="C424" t="s">
        <v>113</v>
      </c>
      <c r="D424">
        <f>SUMIFS(Sheet1!$G$2:$G$523,Sheet1!$D$2:$D$523,B424,Sheet1!$E$2:$E$523,C424)</f>
        <v>0</v>
      </c>
    </row>
    <row r="425" spans="2:4">
      <c r="B425" t="s">
        <v>1162</v>
      </c>
      <c r="C425" t="s">
        <v>113</v>
      </c>
      <c r="D425">
        <f>SUMIFS(Sheet1!$G$2:$G$523,Sheet1!$D$2:$D$523,B425,Sheet1!$E$2:$E$523,C425)</f>
        <v>0</v>
      </c>
    </row>
    <row r="426" spans="2:4">
      <c r="B426" t="s">
        <v>1181</v>
      </c>
      <c r="C426" t="s">
        <v>113</v>
      </c>
      <c r="D426">
        <f>SUMIFS(Sheet1!$G$2:$G$523,Sheet1!$D$2:$D$523,B426,Sheet1!$E$2:$E$523,C426)</f>
        <v>0</v>
      </c>
    </row>
    <row r="427" spans="2:4">
      <c r="B427" t="s">
        <v>1209</v>
      </c>
      <c r="C427" t="s">
        <v>113</v>
      </c>
      <c r="D427">
        <f>SUMIFS(Sheet1!$G$2:$G$523,Sheet1!$D$2:$D$523,B427,Sheet1!$E$2:$E$523,C427)</f>
        <v>0</v>
      </c>
    </row>
    <row r="428" spans="2:4">
      <c r="B428" t="s">
        <v>1215</v>
      </c>
      <c r="C428" t="s">
        <v>113</v>
      </c>
      <c r="D428">
        <f>SUMIFS(Sheet1!$G$2:$G$523,Sheet1!$D$2:$D$523,B428,Sheet1!$E$2:$E$523,C428)</f>
        <v>0</v>
      </c>
    </row>
    <row r="429" spans="2:4">
      <c r="B429" t="s">
        <v>104</v>
      </c>
      <c r="C429" t="s">
        <v>113</v>
      </c>
      <c r="D429">
        <f>SUMIFS(Sheet1!$G$2:$G$523,Sheet1!$D$2:$D$523,B429,Sheet1!$E$2:$E$523,C429)</f>
        <v>5.33</v>
      </c>
    </row>
    <row r="430" spans="2:4">
      <c r="B430" t="s">
        <v>346</v>
      </c>
      <c r="C430" t="s">
        <v>113</v>
      </c>
      <c r="D430">
        <f>SUMIFS(Sheet1!$G$2:$G$523,Sheet1!$D$2:$D$523,B430,Sheet1!$E$2:$E$523,C430)</f>
        <v>0</v>
      </c>
    </row>
    <row r="431" spans="2:4">
      <c r="B431" t="s">
        <v>350</v>
      </c>
      <c r="C431" t="s">
        <v>113</v>
      </c>
      <c r="D431">
        <f>SUMIFS(Sheet1!$G$2:$G$523,Sheet1!$D$2:$D$523,B431,Sheet1!$E$2:$E$523,C431)</f>
        <v>0</v>
      </c>
    </row>
    <row r="432" spans="2:4">
      <c r="B432" t="s">
        <v>353</v>
      </c>
      <c r="C432" t="s">
        <v>113</v>
      </c>
      <c r="D432">
        <f>SUMIFS(Sheet1!$G$2:$G$523,Sheet1!$D$2:$D$523,B432,Sheet1!$E$2:$E$523,C432)</f>
        <v>2.4</v>
      </c>
    </row>
    <row r="433" spans="2:4">
      <c r="B433" t="s">
        <v>360</v>
      </c>
      <c r="C433" t="s">
        <v>113</v>
      </c>
      <c r="D433">
        <f>SUMIFS(Sheet1!$G$2:$G$523,Sheet1!$D$2:$D$523,B433,Sheet1!$E$2:$E$523,C433)</f>
        <v>0</v>
      </c>
    </row>
    <row r="434" spans="2:4">
      <c r="B434" t="s">
        <v>621</v>
      </c>
      <c r="C434" t="s">
        <v>113</v>
      </c>
      <c r="D434">
        <f>SUMIFS(Sheet1!$G$2:$G$523,Sheet1!$D$2:$D$523,B434,Sheet1!$E$2:$E$523,C434)</f>
        <v>5.04</v>
      </c>
    </row>
    <row r="435" spans="2:4">
      <c r="B435" t="s">
        <v>21</v>
      </c>
      <c r="C435" t="s">
        <v>113</v>
      </c>
      <c r="D435">
        <f>SUMIFS(Sheet1!$G$2:$G$523,Sheet1!$D$2:$D$523,B435,Sheet1!$E$2:$E$523,C435)</f>
        <v>0</v>
      </c>
    </row>
    <row r="436" spans="2:4">
      <c r="B436" t="s">
        <v>870</v>
      </c>
      <c r="C436" t="s">
        <v>113</v>
      </c>
      <c r="D436">
        <f>SUMIFS(Sheet1!$G$2:$G$523,Sheet1!$D$2:$D$523,B436,Sheet1!$E$2:$E$523,C436)</f>
        <v>0</v>
      </c>
    </row>
    <row r="437" spans="2:4">
      <c r="B437" t="s">
        <v>556</v>
      </c>
      <c r="C437" t="s">
        <v>113</v>
      </c>
      <c r="D437">
        <f>SUMIFS(Sheet1!$G$2:$G$523,Sheet1!$D$2:$D$523,B437,Sheet1!$E$2:$E$523,C437)</f>
        <v>0</v>
      </c>
    </row>
    <row r="438" spans="2:4">
      <c r="B438" t="s">
        <v>701</v>
      </c>
      <c r="C438" t="s">
        <v>113</v>
      </c>
      <c r="D438">
        <f>SUMIFS(Sheet1!$G$2:$G$523,Sheet1!$D$2:$D$523,B438,Sheet1!$E$2:$E$523,C438)</f>
        <v>0</v>
      </c>
    </row>
    <row r="439" spans="2:4">
      <c r="B439" t="s">
        <v>709</v>
      </c>
      <c r="C439" t="s">
        <v>113</v>
      </c>
      <c r="D439">
        <f>SUMIFS(Sheet1!$G$2:$G$523,Sheet1!$D$2:$D$523,B439,Sheet1!$E$2:$E$523,C439)</f>
        <v>0</v>
      </c>
    </row>
    <row r="440" spans="2:4">
      <c r="B440" t="s">
        <v>714</v>
      </c>
      <c r="C440" t="s">
        <v>113</v>
      </c>
      <c r="D440">
        <f>SUMIFS(Sheet1!$G$2:$G$523,Sheet1!$D$2:$D$523,B440,Sheet1!$E$2:$E$523,C440)</f>
        <v>0</v>
      </c>
    </row>
    <row r="441" spans="2:4">
      <c r="B441" t="s">
        <v>863</v>
      </c>
      <c r="C441" t="s">
        <v>113</v>
      </c>
      <c r="D441">
        <f>SUMIFS(Sheet1!$G$2:$G$523,Sheet1!$D$2:$D$523,B441,Sheet1!$E$2:$E$523,C441)</f>
        <v>0</v>
      </c>
    </row>
    <row r="442" spans="2:4">
      <c r="B442" t="s">
        <v>947</v>
      </c>
      <c r="C442" t="s">
        <v>113</v>
      </c>
      <c r="D442">
        <f>SUMIFS(Sheet1!$G$2:$G$523,Sheet1!$D$2:$D$523,B442,Sheet1!$E$2:$E$523,C442)</f>
        <v>0</v>
      </c>
    </row>
    <row r="443" spans="2:4">
      <c r="B443" t="s">
        <v>1026</v>
      </c>
      <c r="C443" t="s">
        <v>113</v>
      </c>
      <c r="D443">
        <f>SUMIFS(Sheet1!$G$2:$G$523,Sheet1!$D$2:$D$523,B443,Sheet1!$E$2:$E$523,C443)</f>
        <v>0</v>
      </c>
    </row>
    <row r="444" spans="2:4">
      <c r="B444" t="s">
        <v>1031</v>
      </c>
      <c r="C444" t="s">
        <v>113</v>
      </c>
      <c r="D444">
        <f>SUMIFS(Sheet1!$G$2:$G$523,Sheet1!$D$2:$D$523,B444,Sheet1!$E$2:$E$523,C444)</f>
        <v>0</v>
      </c>
    </row>
    <row r="445" spans="2:4">
      <c r="B445" t="s">
        <v>1110</v>
      </c>
      <c r="C445" t="s">
        <v>113</v>
      </c>
      <c r="D445">
        <f>SUMIFS(Sheet1!$G$2:$G$523,Sheet1!$D$2:$D$523,B445,Sheet1!$E$2:$E$523,C445)</f>
        <v>0</v>
      </c>
    </row>
    <row r="446" spans="2:4">
      <c r="B446" t="s">
        <v>1192</v>
      </c>
      <c r="C446" t="s">
        <v>113</v>
      </c>
      <c r="D446">
        <f>SUMIFS(Sheet1!$G$2:$G$523,Sheet1!$D$2:$D$523,B446,Sheet1!$E$2:$E$523,C446)</f>
        <v>0</v>
      </c>
    </row>
    <row r="447" spans="2:4">
      <c r="B447" t="s">
        <v>1061</v>
      </c>
      <c r="C447" t="s">
        <v>113</v>
      </c>
      <c r="D447">
        <f>SUMIFS(Sheet1!$G$2:$G$523,Sheet1!$D$2:$D$523,B447,Sheet1!$E$2:$E$523,C447)</f>
        <v>0</v>
      </c>
    </row>
    <row r="448" spans="2:4">
      <c r="B448" t="s">
        <v>317</v>
      </c>
      <c r="C448" t="s">
        <v>113</v>
      </c>
      <c r="D448">
        <f>SUMIFS(Sheet1!$G$2:$G$523,Sheet1!$D$2:$D$523,B448,Sheet1!$E$2:$E$523,C448)</f>
        <v>9.84</v>
      </c>
    </row>
    <row r="449" spans="2:4">
      <c r="B449" t="s">
        <v>1056</v>
      </c>
      <c r="C449" t="s">
        <v>113</v>
      </c>
      <c r="D449">
        <f>SUMIFS(Sheet1!$G$2:$G$523,Sheet1!$D$2:$D$523,B449,Sheet1!$E$2:$E$523,C449)</f>
        <v>0</v>
      </c>
    </row>
    <row r="450" spans="2:4">
      <c r="B450" t="s">
        <v>342</v>
      </c>
      <c r="C450" t="s">
        <v>113</v>
      </c>
      <c r="D450">
        <f>SUMIFS(Sheet1!$G$2:$G$523,Sheet1!$D$2:$D$523,B450,Sheet1!$E$2:$E$523,C450)</f>
        <v>13.84</v>
      </c>
    </row>
    <row r="451" spans="2:4">
      <c r="B451" t="s">
        <v>352</v>
      </c>
      <c r="C451" t="s">
        <v>113</v>
      </c>
      <c r="D451">
        <f>SUMIFS(Sheet1!$G$2:$G$523,Sheet1!$D$2:$D$523,B451,Sheet1!$E$2:$E$523,C451)</f>
        <v>4.9000000000000004</v>
      </c>
    </row>
    <row r="452" spans="2:4">
      <c r="B452" t="s">
        <v>371</v>
      </c>
      <c r="C452" t="s">
        <v>113</v>
      </c>
      <c r="D452">
        <f>SUMIFS(Sheet1!$G$2:$G$523,Sheet1!$D$2:$D$523,B452,Sheet1!$E$2:$E$523,C452)</f>
        <v>6.76</v>
      </c>
    </row>
    <row r="453" spans="2:4">
      <c r="B453" t="s">
        <v>610</v>
      </c>
      <c r="C453" t="s">
        <v>113</v>
      </c>
      <c r="D453">
        <f>SUMIFS(Sheet1!$G$2:$G$523,Sheet1!$D$2:$D$523,B453,Sheet1!$E$2:$E$523,C453)</f>
        <v>5.16</v>
      </c>
    </row>
    <row r="454" spans="2:4">
      <c r="B454" t="s">
        <v>1237</v>
      </c>
      <c r="C454" t="s">
        <v>113</v>
      </c>
      <c r="D454">
        <f>SUMIFS(Sheet1!$G$2:$G$523,Sheet1!$D$2:$D$523,B454,Sheet1!$E$2:$E$523,C454)</f>
        <v>10.48</v>
      </c>
    </row>
    <row r="455" spans="2:4">
      <c r="B455" t="s">
        <v>1250</v>
      </c>
      <c r="C455" t="s">
        <v>113</v>
      </c>
      <c r="D455">
        <f>SUMIFS(Sheet1!$G$2:$G$523,Sheet1!$D$2:$D$523,B455,Sheet1!$E$2:$E$523,C455)</f>
        <v>23.62</v>
      </c>
    </row>
    <row r="456" spans="2:4">
      <c r="B456" t="s">
        <v>1264</v>
      </c>
      <c r="C456" t="s">
        <v>113</v>
      </c>
      <c r="D456">
        <f>SUMIFS(Sheet1!$G$2:$G$523,Sheet1!$D$2:$D$523,B456,Sheet1!$E$2:$E$523,C456)</f>
        <v>23.62</v>
      </c>
    </row>
    <row r="457" spans="2:4">
      <c r="B457" t="s">
        <v>592</v>
      </c>
      <c r="C457" t="s">
        <v>113</v>
      </c>
      <c r="D457">
        <f>SUMIFS(Sheet1!$G$2:$G$523,Sheet1!$D$2:$D$523,B457,Sheet1!$E$2:$E$523,C457)</f>
        <v>0</v>
      </c>
    </row>
    <row r="458" spans="2:4">
      <c r="B458" t="s">
        <v>775</v>
      </c>
      <c r="C458" t="s">
        <v>113</v>
      </c>
      <c r="D458">
        <f>SUMIFS(Sheet1!$G$2:$G$523,Sheet1!$D$2:$D$523,B458,Sheet1!$E$2:$E$523,C458)</f>
        <v>0</v>
      </c>
    </row>
    <row r="459" spans="2:4">
      <c r="B459" t="s">
        <v>55</v>
      </c>
      <c r="C459" t="s">
        <v>113</v>
      </c>
      <c r="D459">
        <f>SUMIFS(Sheet1!$G$2:$G$523,Sheet1!$D$2:$D$523,B459,Sheet1!$E$2:$E$523,C459)</f>
        <v>0</v>
      </c>
    </row>
    <row r="460" spans="2:4">
      <c r="B460" t="s">
        <v>828</v>
      </c>
      <c r="C460" t="s">
        <v>113</v>
      </c>
      <c r="D460">
        <f>SUMIFS(Sheet1!$G$2:$G$523,Sheet1!$D$2:$D$523,B460,Sheet1!$E$2:$E$523,C460)</f>
        <v>0</v>
      </c>
    </row>
    <row r="461" spans="2:4">
      <c r="B461" t="s">
        <v>1002</v>
      </c>
      <c r="C461" t="s">
        <v>113</v>
      </c>
      <c r="D461">
        <f>SUMIFS(Sheet1!$G$2:$G$523,Sheet1!$D$2:$D$523,B461,Sheet1!$E$2:$E$523,C461)</f>
        <v>0</v>
      </c>
    </row>
    <row r="462" spans="2:4">
      <c r="B462" t="s">
        <v>1007</v>
      </c>
      <c r="C462" t="s">
        <v>113</v>
      </c>
      <c r="D462">
        <f>SUMIFS(Sheet1!$G$2:$G$523,Sheet1!$D$2:$D$523,B462,Sheet1!$E$2:$E$523,C462)</f>
        <v>0</v>
      </c>
    </row>
    <row r="463" spans="2:4">
      <c r="B463" t="s">
        <v>1018</v>
      </c>
      <c r="C463" t="s">
        <v>113</v>
      </c>
      <c r="D463">
        <f>SUMIFS(Sheet1!$G$2:$G$523,Sheet1!$D$2:$D$523,B463,Sheet1!$E$2:$E$523,C463)</f>
        <v>0</v>
      </c>
    </row>
    <row r="464" spans="2:4">
      <c r="B464" t="s">
        <v>1133</v>
      </c>
      <c r="C464" t="s">
        <v>113</v>
      </c>
      <c r="D464">
        <f>SUMIFS(Sheet1!$G$2:$G$523,Sheet1!$D$2:$D$523,B464,Sheet1!$E$2:$E$523,C464)</f>
        <v>0</v>
      </c>
    </row>
    <row r="465" spans="2:6">
      <c r="B465" t="s">
        <v>1140</v>
      </c>
      <c r="C465" t="s">
        <v>113</v>
      </c>
      <c r="D465">
        <f>SUMIFS(Sheet1!$G$2:$G$523,Sheet1!$D$2:$D$523,B465,Sheet1!$E$2:$E$523,C465)</f>
        <v>0</v>
      </c>
    </row>
    <row r="466" spans="2:6">
      <c r="B466" t="s">
        <v>367</v>
      </c>
      <c r="C466" t="s">
        <v>113</v>
      </c>
      <c r="D466">
        <f>SUMIFS(Sheet1!$G$2:$G$523,Sheet1!$D$2:$D$523,B466,Sheet1!$E$2:$E$523,C466)</f>
        <v>0</v>
      </c>
    </row>
    <row r="467" spans="2:6">
      <c r="B467" t="s">
        <v>688</v>
      </c>
      <c r="C467" t="s">
        <v>113</v>
      </c>
      <c r="D467">
        <f>SUMIFS(Sheet1!$G$2:$G$523,Sheet1!$D$2:$D$523,B467,Sheet1!$E$2:$E$523,C467)</f>
        <v>0</v>
      </c>
    </row>
    <row r="468" spans="2:6">
      <c r="B468" t="s">
        <v>874</v>
      </c>
      <c r="C468" t="s">
        <v>113</v>
      </c>
      <c r="D468">
        <f>SUMIFS(Sheet1!$G$2:$G$523,Sheet1!$D$2:$D$523,B468,Sheet1!$E$2:$E$523,C468)</f>
        <v>0</v>
      </c>
    </row>
    <row r="469" spans="2:6">
      <c r="B469" t="s">
        <v>877</v>
      </c>
      <c r="C469" t="s">
        <v>113</v>
      </c>
      <c r="D469">
        <f>SUMIFS(Sheet1!$G$2:$G$523,Sheet1!$D$2:$D$523,B469,Sheet1!$E$2:$E$523,C469)</f>
        <v>0</v>
      </c>
    </row>
    <row r="470" spans="2:6">
      <c r="B470" t="s">
        <v>581</v>
      </c>
      <c r="C470" t="s">
        <v>161</v>
      </c>
      <c r="D470">
        <f>SUMIFS(Sheet1!$G$2:$G$523,Sheet1!$D$2:$D$523,B470,Sheet1!$E$2:$E$523,C470)</f>
        <v>0</v>
      </c>
      <c r="F470">
        <v>7</v>
      </c>
    </row>
    <row r="471" spans="2:6">
      <c r="B471" t="s">
        <v>14</v>
      </c>
      <c r="C471" t="s">
        <v>161</v>
      </c>
      <c r="D471">
        <f>SUMIFS(Sheet1!$G$2:$G$523,Sheet1!$D$2:$D$523,B471,Sheet1!$E$2:$E$523,C471)</f>
        <v>0</v>
      </c>
    </row>
    <row r="472" spans="2:6">
      <c r="B472" t="s">
        <v>723</v>
      </c>
      <c r="C472" t="s">
        <v>161</v>
      </c>
      <c r="D472">
        <f>SUMIFS(Sheet1!$G$2:$G$523,Sheet1!$D$2:$D$523,B472,Sheet1!$E$2:$E$523,C472)</f>
        <v>0</v>
      </c>
    </row>
    <row r="473" spans="2:6">
      <c r="B473" t="s">
        <v>694</v>
      </c>
      <c r="C473" t="s">
        <v>161</v>
      </c>
      <c r="D473">
        <f>SUMIFS(Sheet1!$G$2:$G$523,Sheet1!$D$2:$D$523,B473,Sheet1!$E$2:$E$523,C473)</f>
        <v>0</v>
      </c>
    </row>
    <row r="474" spans="2:6">
      <c r="B474" t="s">
        <v>30</v>
      </c>
      <c r="C474" t="s">
        <v>161</v>
      </c>
      <c r="D474">
        <f>SUMIFS(Sheet1!$G$2:$G$523,Sheet1!$D$2:$D$523,B474,Sheet1!$E$2:$E$523,C474)</f>
        <v>0</v>
      </c>
    </row>
    <row r="475" spans="2:6">
      <c r="B475" t="s">
        <v>51</v>
      </c>
      <c r="C475" t="s">
        <v>161</v>
      </c>
      <c r="D475">
        <f>SUMIFS(Sheet1!$G$2:$G$523,Sheet1!$D$2:$D$523,B475,Sheet1!$E$2:$E$523,C475)</f>
        <v>0</v>
      </c>
    </row>
    <row r="476" spans="2:6">
      <c r="B476" t="s">
        <v>837</v>
      </c>
      <c r="C476" t="s">
        <v>161</v>
      </c>
      <c r="D476">
        <f>SUMIFS(Sheet1!$G$2:$G$523,Sheet1!$D$2:$D$523,B476,Sheet1!$E$2:$E$523,C476)</f>
        <v>0</v>
      </c>
    </row>
    <row r="477" spans="2:6">
      <c r="B477" t="s">
        <v>923</v>
      </c>
      <c r="C477" t="s">
        <v>161</v>
      </c>
      <c r="D477">
        <f>SUMIFS(Sheet1!$G$2:$G$523,Sheet1!$D$2:$D$523,B477,Sheet1!$E$2:$E$523,C477)</f>
        <v>0</v>
      </c>
    </row>
    <row r="478" spans="2:6">
      <c r="B478" t="s">
        <v>933</v>
      </c>
      <c r="C478" t="s">
        <v>161</v>
      </c>
      <c r="D478">
        <f>SUMIFS(Sheet1!$G$2:$G$523,Sheet1!$D$2:$D$523,B478,Sheet1!$E$2:$E$523,C478)</f>
        <v>0</v>
      </c>
    </row>
    <row r="479" spans="2:6">
      <c r="B479" t="s">
        <v>1045</v>
      </c>
      <c r="C479" t="s">
        <v>161</v>
      </c>
      <c r="D479">
        <f>SUMIFS(Sheet1!$G$2:$G$523,Sheet1!$D$2:$D$523,B479,Sheet1!$E$2:$E$523,C479)</f>
        <v>0</v>
      </c>
    </row>
    <row r="480" spans="2:6">
      <c r="B480" t="s">
        <v>356</v>
      </c>
      <c r="C480" t="s">
        <v>161</v>
      </c>
      <c r="D480">
        <f>SUMIFS(Sheet1!$G$2:$G$523,Sheet1!$D$2:$D$523,B480,Sheet1!$E$2:$E$523,C480)</f>
        <v>0</v>
      </c>
    </row>
    <row r="481" spans="2:4">
      <c r="B481" t="s">
        <v>1145</v>
      </c>
      <c r="C481" t="s">
        <v>161</v>
      </c>
      <c r="D481">
        <f>SUMIFS(Sheet1!$G$2:$G$523,Sheet1!$D$2:$D$523,B481,Sheet1!$E$2:$E$523,C481)</f>
        <v>0</v>
      </c>
    </row>
    <row r="482" spans="2:4">
      <c r="B482" t="s">
        <v>1189</v>
      </c>
      <c r="C482" t="s">
        <v>161</v>
      </c>
      <c r="D482">
        <f>SUMIFS(Sheet1!$G$2:$G$523,Sheet1!$D$2:$D$523,B482,Sheet1!$E$2:$E$523,C482)</f>
        <v>0</v>
      </c>
    </row>
    <row r="483" spans="2:4">
      <c r="B483" t="s">
        <v>99</v>
      </c>
      <c r="C483" t="s">
        <v>161</v>
      </c>
      <c r="D483">
        <f>SUMIFS(Sheet1!$G$2:$G$523,Sheet1!$D$2:$D$523,B483,Sheet1!$E$2:$E$523,C483)</f>
        <v>0</v>
      </c>
    </row>
    <row r="484" spans="2:4">
      <c r="B484" t="s">
        <v>118</v>
      </c>
      <c r="C484" t="s">
        <v>161</v>
      </c>
      <c r="D484">
        <f>SUMIFS(Sheet1!$G$2:$G$523,Sheet1!$D$2:$D$523,B484,Sheet1!$E$2:$E$523,C484)</f>
        <v>18.790000000000003</v>
      </c>
    </row>
    <row r="485" spans="2:4">
      <c r="B485" t="s">
        <v>176</v>
      </c>
      <c r="C485" t="s">
        <v>161</v>
      </c>
      <c r="D485">
        <f>SUMIFS(Sheet1!$G$2:$G$523,Sheet1!$D$2:$D$523,B485,Sheet1!$E$2:$E$523,C485)</f>
        <v>44.820000000000007</v>
      </c>
    </row>
    <row r="486" spans="2:4">
      <c r="B486" t="s">
        <v>234</v>
      </c>
      <c r="C486" t="s">
        <v>161</v>
      </c>
      <c r="D486">
        <f>SUMIFS(Sheet1!$G$2:$G$523,Sheet1!$D$2:$D$523,B486,Sheet1!$E$2:$E$523,C486)</f>
        <v>33.33</v>
      </c>
    </row>
    <row r="487" spans="2:4">
      <c r="B487" t="s">
        <v>286</v>
      </c>
      <c r="C487" t="s">
        <v>161</v>
      </c>
      <c r="D487">
        <f>SUMIFS(Sheet1!$G$2:$G$523,Sheet1!$D$2:$D$523,B487,Sheet1!$E$2:$E$523,C487)</f>
        <v>10.66</v>
      </c>
    </row>
    <row r="488" spans="2:4">
      <c r="B488" t="s">
        <v>312</v>
      </c>
      <c r="C488" t="s">
        <v>161</v>
      </c>
      <c r="D488">
        <f>SUMIFS(Sheet1!$G$2:$G$523,Sheet1!$D$2:$D$523,B488,Sheet1!$E$2:$E$523,C488)</f>
        <v>0</v>
      </c>
    </row>
    <row r="489" spans="2:4">
      <c r="B489" t="s">
        <v>322</v>
      </c>
      <c r="C489" t="s">
        <v>161</v>
      </c>
      <c r="D489">
        <f>SUMIFS(Sheet1!$G$2:$G$523,Sheet1!$D$2:$D$523,B489,Sheet1!$E$2:$E$523,C489)</f>
        <v>0</v>
      </c>
    </row>
    <row r="490" spans="2:4">
      <c r="B490" t="s">
        <v>330</v>
      </c>
      <c r="C490" t="s">
        <v>161</v>
      </c>
      <c r="D490">
        <f>SUMIFS(Sheet1!$G$2:$G$523,Sheet1!$D$2:$D$523,B490,Sheet1!$E$2:$E$523,C490)</f>
        <v>0</v>
      </c>
    </row>
    <row r="491" spans="2:4">
      <c r="B491" t="s">
        <v>338</v>
      </c>
      <c r="C491" t="s">
        <v>161</v>
      </c>
      <c r="D491">
        <f>SUMIFS(Sheet1!$G$2:$G$523,Sheet1!$D$2:$D$523,B491,Sheet1!$E$2:$E$523,C491)</f>
        <v>0</v>
      </c>
    </row>
    <row r="492" spans="2:4">
      <c r="B492" t="s">
        <v>18</v>
      </c>
      <c r="C492" t="s">
        <v>161</v>
      </c>
      <c r="D492">
        <f>SUMIFS(Sheet1!$G$2:$G$523,Sheet1!$D$2:$D$523,B492,Sheet1!$E$2:$E$523,C492)</f>
        <v>23.020000000000003</v>
      </c>
    </row>
    <row r="493" spans="2:4">
      <c r="B493" t="s">
        <v>616</v>
      </c>
      <c r="C493" t="s">
        <v>161</v>
      </c>
      <c r="D493">
        <f>SUMIFS(Sheet1!$G$2:$G$523,Sheet1!$D$2:$D$523,B493,Sheet1!$E$2:$E$523,C493)</f>
        <v>0</v>
      </c>
    </row>
    <row r="494" spans="2:4">
      <c r="B494" t="s">
        <v>634</v>
      </c>
      <c r="C494" t="s">
        <v>161</v>
      </c>
      <c r="D494">
        <f>SUMIFS(Sheet1!$G$2:$G$523,Sheet1!$D$2:$D$523,B494,Sheet1!$E$2:$E$523,C494)</f>
        <v>26.209999999999997</v>
      </c>
    </row>
    <row r="495" spans="2:4">
      <c r="B495" t="s">
        <v>748</v>
      </c>
      <c r="C495" t="s">
        <v>161</v>
      </c>
      <c r="D495">
        <f>SUMIFS(Sheet1!$G$2:$G$523,Sheet1!$D$2:$D$523,B495,Sheet1!$E$2:$E$523,C495)</f>
        <v>5.15</v>
      </c>
    </row>
    <row r="496" spans="2:4">
      <c r="B496" t="s">
        <v>48</v>
      </c>
      <c r="C496" t="s">
        <v>161</v>
      </c>
      <c r="D496">
        <f>SUMIFS(Sheet1!$G$2:$G$523,Sheet1!$D$2:$D$523,B496,Sheet1!$E$2:$E$523,C496)</f>
        <v>0</v>
      </c>
    </row>
    <row r="497" spans="2:4">
      <c r="B497" t="s">
        <v>883</v>
      </c>
      <c r="C497" t="s">
        <v>161</v>
      </c>
      <c r="D497">
        <f>SUMIFS(Sheet1!$G$2:$G$523,Sheet1!$D$2:$D$523,B497,Sheet1!$E$2:$E$523,C497)</f>
        <v>0</v>
      </c>
    </row>
    <row r="498" spans="2:4">
      <c r="B498" t="s">
        <v>906</v>
      </c>
      <c r="C498" t="s">
        <v>161</v>
      </c>
      <c r="D498">
        <f>SUMIFS(Sheet1!$G$2:$G$523,Sheet1!$D$2:$D$523,B498,Sheet1!$E$2:$E$523,C498)</f>
        <v>0</v>
      </c>
    </row>
    <row r="499" spans="2:4">
      <c r="B499" t="s">
        <v>1039</v>
      </c>
      <c r="C499" t="s">
        <v>161</v>
      </c>
      <c r="D499">
        <f>SUMIFS(Sheet1!$G$2:$G$523,Sheet1!$D$2:$D$523,B499,Sheet1!$E$2:$E$523,C499)</f>
        <v>0</v>
      </c>
    </row>
    <row r="500" spans="2:4">
      <c r="B500" t="s">
        <v>326</v>
      </c>
      <c r="C500" t="s">
        <v>161</v>
      </c>
      <c r="D500">
        <f>SUMIFS(Sheet1!$G$2:$G$523,Sheet1!$D$2:$D$523,B500,Sheet1!$E$2:$E$523,C500)</f>
        <v>10.64</v>
      </c>
    </row>
    <row r="501" spans="2:4">
      <c r="B501" t="s">
        <v>1155</v>
      </c>
      <c r="C501" t="s">
        <v>161</v>
      </c>
      <c r="D501">
        <f>SUMIFS(Sheet1!$G$2:$G$523,Sheet1!$D$2:$D$523,B501,Sheet1!$E$2:$E$523,C501)</f>
        <v>0</v>
      </c>
    </row>
    <row r="502" spans="2:4">
      <c r="B502" t="s">
        <v>1159</v>
      </c>
      <c r="C502" t="s">
        <v>161</v>
      </c>
      <c r="D502">
        <f>SUMIFS(Sheet1!$G$2:$G$523,Sheet1!$D$2:$D$523,B502,Sheet1!$E$2:$E$523,C502)</f>
        <v>0</v>
      </c>
    </row>
    <row r="503" spans="2:4">
      <c r="B503" t="s">
        <v>1162</v>
      </c>
      <c r="C503" t="s">
        <v>161</v>
      </c>
      <c r="D503">
        <f>SUMIFS(Sheet1!$G$2:$G$523,Sheet1!$D$2:$D$523,B503,Sheet1!$E$2:$E$523,C503)</f>
        <v>0</v>
      </c>
    </row>
    <row r="504" spans="2:4">
      <c r="B504" t="s">
        <v>1181</v>
      </c>
      <c r="C504" t="s">
        <v>161</v>
      </c>
      <c r="D504">
        <f>SUMIFS(Sheet1!$G$2:$G$523,Sheet1!$D$2:$D$523,B504,Sheet1!$E$2:$E$523,C504)</f>
        <v>0</v>
      </c>
    </row>
    <row r="505" spans="2:4">
      <c r="B505" t="s">
        <v>1209</v>
      </c>
      <c r="C505" t="s">
        <v>161</v>
      </c>
      <c r="D505">
        <f>SUMIFS(Sheet1!$G$2:$G$523,Sheet1!$D$2:$D$523,B505,Sheet1!$E$2:$E$523,C505)</f>
        <v>0</v>
      </c>
    </row>
    <row r="506" spans="2:4">
      <c r="B506" t="s">
        <v>1215</v>
      </c>
      <c r="C506" t="s">
        <v>161</v>
      </c>
      <c r="D506">
        <f>SUMIFS(Sheet1!$G$2:$G$523,Sheet1!$D$2:$D$523,B506,Sheet1!$E$2:$E$523,C506)</f>
        <v>0</v>
      </c>
    </row>
    <row r="507" spans="2:4">
      <c r="B507" t="s">
        <v>104</v>
      </c>
      <c r="C507" t="s">
        <v>161</v>
      </c>
      <c r="D507">
        <f>SUMIFS(Sheet1!$G$2:$G$523,Sheet1!$D$2:$D$523,B507,Sheet1!$E$2:$E$523,C507)</f>
        <v>0</v>
      </c>
    </row>
    <row r="508" spans="2:4">
      <c r="B508" t="s">
        <v>346</v>
      </c>
      <c r="C508" t="s">
        <v>161</v>
      </c>
      <c r="D508">
        <f>SUMIFS(Sheet1!$G$2:$G$523,Sheet1!$D$2:$D$523,B508,Sheet1!$E$2:$E$523,C508)</f>
        <v>0</v>
      </c>
    </row>
    <row r="509" spans="2:4">
      <c r="B509" t="s">
        <v>350</v>
      </c>
      <c r="C509" t="s">
        <v>161</v>
      </c>
      <c r="D509">
        <f>SUMIFS(Sheet1!$G$2:$G$523,Sheet1!$D$2:$D$523,B509,Sheet1!$E$2:$E$523,C509)</f>
        <v>0</v>
      </c>
    </row>
    <row r="510" spans="2:4">
      <c r="B510" t="s">
        <v>353</v>
      </c>
      <c r="C510" t="s">
        <v>161</v>
      </c>
      <c r="D510">
        <f>SUMIFS(Sheet1!$G$2:$G$523,Sheet1!$D$2:$D$523,B510,Sheet1!$E$2:$E$523,C510)</f>
        <v>0</v>
      </c>
    </row>
    <row r="511" spans="2:4">
      <c r="B511" t="s">
        <v>360</v>
      </c>
      <c r="C511" t="s">
        <v>161</v>
      </c>
      <c r="D511">
        <f>SUMIFS(Sheet1!$G$2:$G$523,Sheet1!$D$2:$D$523,B511,Sheet1!$E$2:$E$523,C511)</f>
        <v>0</v>
      </c>
    </row>
    <row r="512" spans="2:4">
      <c r="B512" t="s">
        <v>621</v>
      </c>
      <c r="C512" t="s">
        <v>161</v>
      </c>
      <c r="D512">
        <f>SUMIFS(Sheet1!$G$2:$G$523,Sheet1!$D$2:$D$523,B512,Sheet1!$E$2:$E$523,C512)</f>
        <v>9.34</v>
      </c>
    </row>
    <row r="513" spans="2:4">
      <c r="B513" t="s">
        <v>21</v>
      </c>
      <c r="C513" t="s">
        <v>161</v>
      </c>
      <c r="D513">
        <f>SUMIFS(Sheet1!$G$2:$G$523,Sheet1!$D$2:$D$523,B513,Sheet1!$E$2:$E$523,C513)</f>
        <v>0</v>
      </c>
    </row>
    <row r="514" spans="2:4">
      <c r="B514" t="s">
        <v>870</v>
      </c>
      <c r="C514" t="s">
        <v>161</v>
      </c>
      <c r="D514">
        <f>SUMIFS(Sheet1!$G$2:$G$523,Sheet1!$D$2:$D$523,B514,Sheet1!$E$2:$E$523,C514)</f>
        <v>0</v>
      </c>
    </row>
    <row r="515" spans="2:4">
      <c r="B515" t="s">
        <v>556</v>
      </c>
      <c r="C515" t="s">
        <v>161</v>
      </c>
      <c r="D515">
        <f>SUMIFS(Sheet1!$G$2:$G$523,Sheet1!$D$2:$D$523,B515,Sheet1!$E$2:$E$523,C515)</f>
        <v>0</v>
      </c>
    </row>
    <row r="516" spans="2:4">
      <c r="B516" t="s">
        <v>701</v>
      </c>
      <c r="C516" t="s">
        <v>161</v>
      </c>
      <c r="D516">
        <f>SUMIFS(Sheet1!$G$2:$G$523,Sheet1!$D$2:$D$523,B516,Sheet1!$E$2:$E$523,C516)</f>
        <v>0</v>
      </c>
    </row>
    <row r="517" spans="2:4">
      <c r="B517" t="s">
        <v>709</v>
      </c>
      <c r="C517" t="s">
        <v>161</v>
      </c>
      <c r="D517">
        <f>SUMIFS(Sheet1!$G$2:$G$523,Sheet1!$D$2:$D$523,B517,Sheet1!$E$2:$E$523,C517)</f>
        <v>0</v>
      </c>
    </row>
    <row r="518" spans="2:4">
      <c r="B518" t="s">
        <v>714</v>
      </c>
      <c r="C518" t="s">
        <v>161</v>
      </c>
      <c r="D518">
        <f>SUMIFS(Sheet1!$G$2:$G$523,Sheet1!$D$2:$D$523,B518,Sheet1!$E$2:$E$523,C518)</f>
        <v>0</v>
      </c>
    </row>
    <row r="519" spans="2:4">
      <c r="B519" t="s">
        <v>863</v>
      </c>
      <c r="C519" t="s">
        <v>161</v>
      </c>
      <c r="D519">
        <f>SUMIFS(Sheet1!$G$2:$G$523,Sheet1!$D$2:$D$523,B519,Sheet1!$E$2:$E$523,C519)</f>
        <v>0</v>
      </c>
    </row>
    <row r="520" spans="2:4">
      <c r="B520" t="s">
        <v>947</v>
      </c>
      <c r="C520" t="s">
        <v>161</v>
      </c>
      <c r="D520">
        <f>SUMIFS(Sheet1!$G$2:$G$523,Sheet1!$D$2:$D$523,B520,Sheet1!$E$2:$E$523,C520)</f>
        <v>0</v>
      </c>
    </row>
    <row r="521" spans="2:4">
      <c r="B521" t="s">
        <v>1026</v>
      </c>
      <c r="C521" t="s">
        <v>161</v>
      </c>
      <c r="D521">
        <f>SUMIFS(Sheet1!$G$2:$G$523,Sheet1!$D$2:$D$523,B521,Sheet1!$E$2:$E$523,C521)</f>
        <v>0</v>
      </c>
    </row>
    <row r="522" spans="2:4">
      <c r="B522" t="s">
        <v>1031</v>
      </c>
      <c r="C522" t="s">
        <v>161</v>
      </c>
      <c r="D522">
        <f>SUMIFS(Sheet1!$G$2:$G$523,Sheet1!$D$2:$D$523,B522,Sheet1!$E$2:$E$523,C522)</f>
        <v>0</v>
      </c>
    </row>
    <row r="523" spans="2:4">
      <c r="B523" t="s">
        <v>1110</v>
      </c>
      <c r="C523" t="s">
        <v>161</v>
      </c>
      <c r="D523">
        <f>SUMIFS(Sheet1!$G$2:$G$523,Sheet1!$D$2:$D$523,B523,Sheet1!$E$2:$E$523,C523)</f>
        <v>0</v>
      </c>
    </row>
    <row r="524" spans="2:4">
      <c r="B524" t="s">
        <v>1192</v>
      </c>
      <c r="C524" t="s">
        <v>161</v>
      </c>
      <c r="D524">
        <f>SUMIFS(Sheet1!$G$2:$G$523,Sheet1!$D$2:$D$523,B524,Sheet1!$E$2:$E$523,C524)</f>
        <v>0</v>
      </c>
    </row>
    <row r="525" spans="2:4">
      <c r="B525" t="s">
        <v>1061</v>
      </c>
      <c r="C525" t="s">
        <v>161</v>
      </c>
      <c r="D525">
        <f>SUMIFS(Sheet1!$G$2:$G$523,Sheet1!$D$2:$D$523,B525,Sheet1!$E$2:$E$523,C525)</f>
        <v>0</v>
      </c>
    </row>
    <row r="526" spans="2:4">
      <c r="B526" t="s">
        <v>317</v>
      </c>
      <c r="C526" t="s">
        <v>161</v>
      </c>
      <c r="D526">
        <f>SUMIFS(Sheet1!$G$2:$G$523,Sheet1!$D$2:$D$523,B526,Sheet1!$E$2:$E$523,C526)</f>
        <v>0</v>
      </c>
    </row>
    <row r="527" spans="2:4">
      <c r="B527" t="s">
        <v>1056</v>
      </c>
      <c r="C527" t="s">
        <v>161</v>
      </c>
      <c r="D527">
        <f>SUMIFS(Sheet1!$G$2:$G$523,Sheet1!$D$2:$D$523,B527,Sheet1!$E$2:$E$523,C527)</f>
        <v>0</v>
      </c>
    </row>
    <row r="528" spans="2:4">
      <c r="B528" t="s">
        <v>342</v>
      </c>
      <c r="C528" t="s">
        <v>161</v>
      </c>
      <c r="D528">
        <f>SUMIFS(Sheet1!$G$2:$G$523,Sheet1!$D$2:$D$523,B528,Sheet1!$E$2:$E$523,C528)</f>
        <v>0</v>
      </c>
    </row>
    <row r="529" spans="2:4">
      <c r="B529" t="s">
        <v>352</v>
      </c>
      <c r="C529" t="s">
        <v>161</v>
      </c>
      <c r="D529">
        <f>SUMIFS(Sheet1!$G$2:$G$523,Sheet1!$D$2:$D$523,B529,Sheet1!$E$2:$E$523,C529)</f>
        <v>0</v>
      </c>
    </row>
    <row r="530" spans="2:4">
      <c r="B530" t="s">
        <v>371</v>
      </c>
      <c r="C530" t="s">
        <v>161</v>
      </c>
      <c r="D530">
        <f>SUMIFS(Sheet1!$G$2:$G$523,Sheet1!$D$2:$D$523,B530,Sheet1!$E$2:$E$523,C530)</f>
        <v>0</v>
      </c>
    </row>
    <row r="531" spans="2:4">
      <c r="B531" t="s">
        <v>610</v>
      </c>
      <c r="C531" t="s">
        <v>161</v>
      </c>
      <c r="D531">
        <f>SUMIFS(Sheet1!$G$2:$G$523,Sheet1!$D$2:$D$523,B531,Sheet1!$E$2:$E$523,C531)</f>
        <v>0</v>
      </c>
    </row>
    <row r="532" spans="2:4">
      <c r="B532" t="s">
        <v>1237</v>
      </c>
      <c r="C532" t="s">
        <v>161</v>
      </c>
      <c r="D532">
        <f>SUMIFS(Sheet1!$G$2:$G$523,Sheet1!$D$2:$D$523,B532,Sheet1!$E$2:$E$523,C532)</f>
        <v>0</v>
      </c>
    </row>
    <row r="533" spans="2:4">
      <c r="B533" t="s">
        <v>1250</v>
      </c>
      <c r="C533" t="s">
        <v>161</v>
      </c>
      <c r="D533">
        <f>SUMIFS(Sheet1!$G$2:$G$523,Sheet1!$D$2:$D$523,B533,Sheet1!$E$2:$E$523,C533)</f>
        <v>0</v>
      </c>
    </row>
    <row r="534" spans="2:4">
      <c r="B534" t="s">
        <v>1264</v>
      </c>
      <c r="C534" t="s">
        <v>161</v>
      </c>
      <c r="D534">
        <f>SUMIFS(Sheet1!$G$2:$G$523,Sheet1!$D$2:$D$523,B534,Sheet1!$E$2:$E$523,C534)</f>
        <v>0</v>
      </c>
    </row>
    <row r="535" spans="2:4">
      <c r="B535" t="s">
        <v>592</v>
      </c>
      <c r="C535" t="s">
        <v>161</v>
      </c>
      <c r="D535">
        <f>SUMIFS(Sheet1!$G$2:$G$523,Sheet1!$D$2:$D$523,B535,Sheet1!$E$2:$E$523,C535)</f>
        <v>0</v>
      </c>
    </row>
    <row r="536" spans="2:4">
      <c r="B536" t="s">
        <v>775</v>
      </c>
      <c r="C536" t="s">
        <v>161</v>
      </c>
      <c r="D536">
        <f>SUMIFS(Sheet1!$G$2:$G$523,Sheet1!$D$2:$D$523,B536,Sheet1!$E$2:$E$523,C536)</f>
        <v>0</v>
      </c>
    </row>
    <row r="537" spans="2:4">
      <c r="B537" t="s">
        <v>55</v>
      </c>
      <c r="C537" t="s">
        <v>161</v>
      </c>
      <c r="D537">
        <f>SUMIFS(Sheet1!$G$2:$G$523,Sheet1!$D$2:$D$523,B537,Sheet1!$E$2:$E$523,C537)</f>
        <v>0</v>
      </c>
    </row>
    <row r="538" spans="2:4">
      <c r="B538" t="s">
        <v>828</v>
      </c>
      <c r="C538" t="s">
        <v>161</v>
      </c>
      <c r="D538">
        <f>SUMIFS(Sheet1!$G$2:$G$523,Sheet1!$D$2:$D$523,B538,Sheet1!$E$2:$E$523,C538)</f>
        <v>0</v>
      </c>
    </row>
    <row r="539" spans="2:4">
      <c r="B539" t="s">
        <v>1002</v>
      </c>
      <c r="C539" t="s">
        <v>161</v>
      </c>
      <c r="D539">
        <f>SUMIFS(Sheet1!$G$2:$G$523,Sheet1!$D$2:$D$523,B539,Sheet1!$E$2:$E$523,C539)</f>
        <v>0</v>
      </c>
    </row>
    <row r="540" spans="2:4">
      <c r="B540" t="s">
        <v>1007</v>
      </c>
      <c r="C540" t="s">
        <v>161</v>
      </c>
      <c r="D540">
        <f>SUMIFS(Sheet1!$G$2:$G$523,Sheet1!$D$2:$D$523,B540,Sheet1!$E$2:$E$523,C540)</f>
        <v>0</v>
      </c>
    </row>
    <row r="541" spans="2:4">
      <c r="B541" t="s">
        <v>1018</v>
      </c>
      <c r="C541" t="s">
        <v>161</v>
      </c>
      <c r="D541">
        <f>SUMIFS(Sheet1!$G$2:$G$523,Sheet1!$D$2:$D$523,B541,Sheet1!$E$2:$E$523,C541)</f>
        <v>0</v>
      </c>
    </row>
    <row r="542" spans="2:4">
      <c r="B542" t="s">
        <v>1133</v>
      </c>
      <c r="C542" t="s">
        <v>161</v>
      </c>
      <c r="D542">
        <f>SUMIFS(Sheet1!$G$2:$G$523,Sheet1!$D$2:$D$523,B542,Sheet1!$E$2:$E$523,C542)</f>
        <v>0</v>
      </c>
    </row>
    <row r="543" spans="2:4">
      <c r="B543" t="s">
        <v>1140</v>
      </c>
      <c r="C543" t="s">
        <v>161</v>
      </c>
      <c r="D543">
        <f>SUMIFS(Sheet1!$G$2:$G$523,Sheet1!$D$2:$D$523,B543,Sheet1!$E$2:$E$523,C543)</f>
        <v>0</v>
      </c>
    </row>
    <row r="544" spans="2:4">
      <c r="B544" t="s">
        <v>367</v>
      </c>
      <c r="C544" t="s">
        <v>161</v>
      </c>
      <c r="D544">
        <f>SUMIFS(Sheet1!$G$2:$G$523,Sheet1!$D$2:$D$523,B544,Sheet1!$E$2:$E$523,C544)</f>
        <v>4.3</v>
      </c>
    </row>
    <row r="545" spans="2:6">
      <c r="B545" t="s">
        <v>688</v>
      </c>
      <c r="C545" t="s">
        <v>161</v>
      </c>
      <c r="D545">
        <f>SUMIFS(Sheet1!$G$2:$G$523,Sheet1!$D$2:$D$523,B545,Sheet1!$E$2:$E$523,C545)</f>
        <v>1.45</v>
      </c>
    </row>
    <row r="546" spans="2:6">
      <c r="B546" t="s">
        <v>874</v>
      </c>
      <c r="C546" t="s">
        <v>161</v>
      </c>
      <c r="D546">
        <f>SUMIFS(Sheet1!$G$2:$G$523,Sheet1!$D$2:$D$523,B546,Sheet1!$E$2:$E$523,C546)</f>
        <v>0.74</v>
      </c>
    </row>
    <row r="547" spans="2:6">
      <c r="B547" t="s">
        <v>877</v>
      </c>
      <c r="C547" t="s">
        <v>161</v>
      </c>
      <c r="D547">
        <f>SUMIFS(Sheet1!$G$2:$G$523,Sheet1!$D$2:$D$523,B547,Sheet1!$E$2:$E$523,C547)</f>
        <v>1.56</v>
      </c>
    </row>
    <row r="548" spans="2:6">
      <c r="B548" t="s">
        <v>581</v>
      </c>
      <c r="C548" t="s">
        <v>109</v>
      </c>
      <c r="D548">
        <f>SUMIFS(Sheet1!$G$2:$G$523,Sheet1!$D$2:$D$523,B548,Sheet1!$E$2:$E$523,C548)</f>
        <v>0</v>
      </c>
      <c r="F548">
        <v>8</v>
      </c>
    </row>
    <row r="549" spans="2:6">
      <c r="B549" t="s">
        <v>14</v>
      </c>
      <c r="C549" t="s">
        <v>109</v>
      </c>
      <c r="D549">
        <f>SUMIFS(Sheet1!$G$2:$G$523,Sheet1!$D$2:$D$523,B549,Sheet1!$E$2:$E$523,C549)</f>
        <v>0</v>
      </c>
    </row>
    <row r="550" spans="2:6">
      <c r="B550" t="s">
        <v>723</v>
      </c>
      <c r="C550" t="s">
        <v>109</v>
      </c>
      <c r="D550">
        <f>SUMIFS(Sheet1!$G$2:$G$523,Sheet1!$D$2:$D$523,B550,Sheet1!$E$2:$E$523,C550)</f>
        <v>0</v>
      </c>
    </row>
    <row r="551" spans="2:6">
      <c r="B551" t="s">
        <v>694</v>
      </c>
      <c r="C551" t="s">
        <v>109</v>
      </c>
      <c r="D551">
        <f>SUMIFS(Sheet1!$G$2:$G$523,Sheet1!$D$2:$D$523,B551,Sheet1!$E$2:$E$523,C551)</f>
        <v>0</v>
      </c>
    </row>
    <row r="552" spans="2:6">
      <c r="B552" t="s">
        <v>30</v>
      </c>
      <c r="C552" t="s">
        <v>109</v>
      </c>
      <c r="D552">
        <f>SUMIFS(Sheet1!$G$2:$G$523,Sheet1!$D$2:$D$523,B552,Sheet1!$E$2:$E$523,C552)</f>
        <v>0</v>
      </c>
    </row>
    <row r="553" spans="2:6">
      <c r="B553" t="s">
        <v>51</v>
      </c>
      <c r="C553" t="s">
        <v>109</v>
      </c>
      <c r="D553">
        <f>SUMIFS(Sheet1!$G$2:$G$523,Sheet1!$D$2:$D$523,B553,Sheet1!$E$2:$E$523,C553)</f>
        <v>0</v>
      </c>
    </row>
    <row r="554" spans="2:6">
      <c r="B554" t="s">
        <v>837</v>
      </c>
      <c r="C554" t="s">
        <v>109</v>
      </c>
      <c r="D554">
        <f>SUMIFS(Sheet1!$G$2:$G$523,Sheet1!$D$2:$D$523,B554,Sheet1!$E$2:$E$523,C554)</f>
        <v>0</v>
      </c>
    </row>
    <row r="555" spans="2:6">
      <c r="B555" t="s">
        <v>923</v>
      </c>
      <c r="C555" t="s">
        <v>109</v>
      </c>
      <c r="D555">
        <f>SUMIFS(Sheet1!$G$2:$G$523,Sheet1!$D$2:$D$523,B555,Sheet1!$E$2:$E$523,C555)</f>
        <v>0</v>
      </c>
    </row>
    <row r="556" spans="2:6">
      <c r="B556" t="s">
        <v>933</v>
      </c>
      <c r="C556" t="s">
        <v>109</v>
      </c>
      <c r="D556">
        <f>SUMIFS(Sheet1!$G$2:$G$523,Sheet1!$D$2:$D$523,B556,Sheet1!$E$2:$E$523,C556)</f>
        <v>0</v>
      </c>
    </row>
    <row r="557" spans="2:6">
      <c r="B557" t="s">
        <v>1045</v>
      </c>
      <c r="C557" t="s">
        <v>109</v>
      </c>
      <c r="D557">
        <f>SUMIFS(Sheet1!$G$2:$G$523,Sheet1!$D$2:$D$523,B557,Sheet1!$E$2:$E$523,C557)</f>
        <v>0</v>
      </c>
    </row>
    <row r="558" spans="2:6">
      <c r="B558" t="s">
        <v>356</v>
      </c>
      <c r="C558" t="s">
        <v>109</v>
      </c>
      <c r="D558">
        <f>SUMIFS(Sheet1!$G$2:$G$523,Sheet1!$D$2:$D$523,B558,Sheet1!$E$2:$E$523,C558)</f>
        <v>0.26</v>
      </c>
    </row>
    <row r="559" spans="2:6">
      <c r="B559" t="s">
        <v>1145</v>
      </c>
      <c r="C559" t="s">
        <v>109</v>
      </c>
      <c r="D559">
        <f>SUMIFS(Sheet1!$G$2:$G$523,Sheet1!$D$2:$D$523,B559,Sheet1!$E$2:$E$523,C559)</f>
        <v>0</v>
      </c>
    </row>
    <row r="560" spans="2:6">
      <c r="B560" t="s">
        <v>1189</v>
      </c>
      <c r="C560" t="s">
        <v>109</v>
      </c>
      <c r="D560">
        <f>SUMIFS(Sheet1!$G$2:$G$523,Sheet1!$D$2:$D$523,B560,Sheet1!$E$2:$E$523,C560)</f>
        <v>0</v>
      </c>
    </row>
    <row r="561" spans="2:4">
      <c r="B561" t="s">
        <v>99</v>
      </c>
      <c r="C561" t="s">
        <v>109</v>
      </c>
      <c r="D561">
        <f>SUMIFS(Sheet1!$G$2:$G$523,Sheet1!$D$2:$D$523,B561,Sheet1!$E$2:$E$523,C561)</f>
        <v>4.3</v>
      </c>
    </row>
    <row r="562" spans="2:4">
      <c r="B562" t="s">
        <v>118</v>
      </c>
      <c r="C562" t="s">
        <v>109</v>
      </c>
      <c r="D562">
        <f>SUMIFS(Sheet1!$G$2:$G$523,Sheet1!$D$2:$D$523,B562,Sheet1!$E$2:$E$523,C562)</f>
        <v>21.08</v>
      </c>
    </row>
    <row r="563" spans="2:4">
      <c r="B563" t="s">
        <v>176</v>
      </c>
      <c r="C563" t="s">
        <v>109</v>
      </c>
      <c r="D563">
        <f>SUMIFS(Sheet1!$G$2:$G$523,Sheet1!$D$2:$D$523,B563,Sheet1!$E$2:$E$523,C563)</f>
        <v>36.140000000000008</v>
      </c>
    </row>
    <row r="564" spans="2:4">
      <c r="B564" t="s">
        <v>234</v>
      </c>
      <c r="C564" t="s">
        <v>109</v>
      </c>
      <c r="D564">
        <f>SUMIFS(Sheet1!$G$2:$G$523,Sheet1!$D$2:$D$523,B564,Sheet1!$E$2:$E$523,C564)</f>
        <v>35.479999999999997</v>
      </c>
    </row>
    <row r="565" spans="2:4">
      <c r="B565" t="s">
        <v>286</v>
      </c>
      <c r="C565" t="s">
        <v>109</v>
      </c>
      <c r="D565">
        <f>SUMIFS(Sheet1!$G$2:$G$523,Sheet1!$D$2:$D$523,B565,Sheet1!$E$2:$E$523,C565)</f>
        <v>11.270000000000001</v>
      </c>
    </row>
    <row r="566" spans="2:4">
      <c r="B566" t="s">
        <v>312</v>
      </c>
      <c r="C566" t="s">
        <v>109</v>
      </c>
      <c r="D566">
        <f>SUMIFS(Sheet1!$G$2:$G$523,Sheet1!$D$2:$D$523,B566,Sheet1!$E$2:$E$523,C566)</f>
        <v>3.93</v>
      </c>
    </row>
    <row r="567" spans="2:4">
      <c r="B567" t="s">
        <v>322</v>
      </c>
      <c r="C567" t="s">
        <v>109</v>
      </c>
      <c r="D567">
        <f>SUMIFS(Sheet1!$G$2:$G$523,Sheet1!$D$2:$D$523,B567,Sheet1!$E$2:$E$523,C567)</f>
        <v>1.53</v>
      </c>
    </row>
    <row r="568" spans="2:4">
      <c r="B568" t="s">
        <v>330</v>
      </c>
      <c r="C568" t="s">
        <v>109</v>
      </c>
      <c r="D568">
        <f>SUMIFS(Sheet1!$G$2:$G$523,Sheet1!$D$2:$D$523,B568,Sheet1!$E$2:$E$523,C568)</f>
        <v>3.55</v>
      </c>
    </row>
    <row r="569" spans="2:4">
      <c r="B569" t="s">
        <v>338</v>
      </c>
      <c r="C569" t="s">
        <v>109</v>
      </c>
      <c r="D569">
        <f>SUMIFS(Sheet1!$G$2:$G$523,Sheet1!$D$2:$D$523,B569,Sheet1!$E$2:$E$523,C569)</f>
        <v>3.63</v>
      </c>
    </row>
    <row r="570" spans="2:4">
      <c r="B570" t="s">
        <v>18</v>
      </c>
      <c r="C570" t="s">
        <v>109</v>
      </c>
      <c r="D570">
        <f>SUMIFS(Sheet1!$G$2:$G$523,Sheet1!$D$2:$D$523,B570,Sheet1!$E$2:$E$523,C570)</f>
        <v>22.24</v>
      </c>
    </row>
    <row r="571" spans="2:4">
      <c r="B571" t="s">
        <v>616</v>
      </c>
      <c r="C571" t="s">
        <v>109</v>
      </c>
      <c r="D571">
        <f>SUMIFS(Sheet1!$G$2:$G$523,Sheet1!$D$2:$D$523,B571,Sheet1!$E$2:$E$523,C571)</f>
        <v>5.76</v>
      </c>
    </row>
    <row r="572" spans="2:4">
      <c r="B572" t="s">
        <v>634</v>
      </c>
      <c r="C572" t="s">
        <v>109</v>
      </c>
      <c r="D572">
        <f>SUMIFS(Sheet1!$G$2:$G$523,Sheet1!$D$2:$D$523,B572,Sheet1!$E$2:$E$523,C572)</f>
        <v>30.589999999999996</v>
      </c>
    </row>
    <row r="573" spans="2:4">
      <c r="B573" t="s">
        <v>748</v>
      </c>
      <c r="C573" t="s">
        <v>109</v>
      </c>
      <c r="D573">
        <f>SUMIFS(Sheet1!$G$2:$G$523,Sheet1!$D$2:$D$523,B573,Sheet1!$E$2:$E$523,C573)</f>
        <v>8.1</v>
      </c>
    </row>
    <row r="574" spans="2:4">
      <c r="B574" t="s">
        <v>48</v>
      </c>
      <c r="C574" t="s">
        <v>109</v>
      </c>
      <c r="D574">
        <f>SUMIFS(Sheet1!$G$2:$G$523,Sheet1!$D$2:$D$523,B574,Sheet1!$E$2:$E$523,C574)</f>
        <v>8.1</v>
      </c>
    </row>
    <row r="575" spans="2:4">
      <c r="B575" t="s">
        <v>883</v>
      </c>
      <c r="C575" t="s">
        <v>109</v>
      </c>
      <c r="D575">
        <f>SUMIFS(Sheet1!$G$2:$G$523,Sheet1!$D$2:$D$523,B575,Sheet1!$E$2:$E$523,C575)</f>
        <v>0</v>
      </c>
    </row>
    <row r="576" spans="2:4">
      <c r="B576" t="s">
        <v>906</v>
      </c>
      <c r="C576" t="s">
        <v>109</v>
      </c>
      <c r="D576">
        <f>SUMIFS(Sheet1!$G$2:$G$523,Sheet1!$D$2:$D$523,B576,Sheet1!$E$2:$E$523,C576)</f>
        <v>0</v>
      </c>
    </row>
    <row r="577" spans="2:4">
      <c r="B577" t="s">
        <v>1039</v>
      </c>
      <c r="C577" t="s">
        <v>109</v>
      </c>
      <c r="D577">
        <f>SUMIFS(Sheet1!$G$2:$G$523,Sheet1!$D$2:$D$523,B577,Sheet1!$E$2:$E$523,C577)</f>
        <v>0</v>
      </c>
    </row>
    <row r="578" spans="2:4">
      <c r="B578" t="s">
        <v>326</v>
      </c>
      <c r="C578" t="s">
        <v>109</v>
      </c>
      <c r="D578">
        <f>SUMIFS(Sheet1!$G$2:$G$523,Sheet1!$D$2:$D$523,B578,Sheet1!$E$2:$E$523,C578)</f>
        <v>0</v>
      </c>
    </row>
    <row r="579" spans="2:4">
      <c r="B579" t="s">
        <v>1155</v>
      </c>
      <c r="C579" t="s">
        <v>109</v>
      </c>
      <c r="D579">
        <f>SUMIFS(Sheet1!$G$2:$G$523,Sheet1!$D$2:$D$523,B579,Sheet1!$E$2:$E$523,C579)</f>
        <v>0</v>
      </c>
    </row>
    <row r="580" spans="2:4">
      <c r="B580" t="s">
        <v>1159</v>
      </c>
      <c r="C580" t="s">
        <v>109</v>
      </c>
      <c r="D580">
        <f>SUMIFS(Sheet1!$G$2:$G$523,Sheet1!$D$2:$D$523,B580,Sheet1!$E$2:$E$523,C580)</f>
        <v>0</v>
      </c>
    </row>
    <row r="581" spans="2:4">
      <c r="B581" t="s">
        <v>1162</v>
      </c>
      <c r="C581" t="s">
        <v>109</v>
      </c>
      <c r="D581">
        <f>SUMIFS(Sheet1!$G$2:$G$523,Sheet1!$D$2:$D$523,B581,Sheet1!$E$2:$E$523,C581)</f>
        <v>0</v>
      </c>
    </row>
    <row r="582" spans="2:4">
      <c r="B582" t="s">
        <v>1181</v>
      </c>
      <c r="C582" t="s">
        <v>109</v>
      </c>
      <c r="D582">
        <f>SUMIFS(Sheet1!$G$2:$G$523,Sheet1!$D$2:$D$523,B582,Sheet1!$E$2:$E$523,C582)</f>
        <v>0</v>
      </c>
    </row>
    <row r="583" spans="2:4">
      <c r="B583" t="s">
        <v>1209</v>
      </c>
      <c r="C583" t="s">
        <v>109</v>
      </c>
      <c r="D583">
        <f>SUMIFS(Sheet1!$G$2:$G$523,Sheet1!$D$2:$D$523,B583,Sheet1!$E$2:$E$523,C583)</f>
        <v>0</v>
      </c>
    </row>
    <row r="584" spans="2:4">
      <c r="B584" t="s">
        <v>1215</v>
      </c>
      <c r="C584" t="s">
        <v>109</v>
      </c>
      <c r="D584">
        <f>SUMIFS(Sheet1!$G$2:$G$523,Sheet1!$D$2:$D$523,B584,Sheet1!$E$2:$E$523,C584)</f>
        <v>0</v>
      </c>
    </row>
    <row r="585" spans="2:4">
      <c r="B585" t="s">
        <v>104</v>
      </c>
      <c r="C585" t="s">
        <v>109</v>
      </c>
      <c r="D585">
        <f>SUMIFS(Sheet1!$G$2:$G$523,Sheet1!$D$2:$D$523,B585,Sheet1!$E$2:$E$523,C585)</f>
        <v>0</v>
      </c>
    </row>
    <row r="586" spans="2:4">
      <c r="B586" t="s">
        <v>346</v>
      </c>
      <c r="C586" t="s">
        <v>109</v>
      </c>
      <c r="D586">
        <f>SUMIFS(Sheet1!$G$2:$G$523,Sheet1!$D$2:$D$523,B586,Sheet1!$E$2:$E$523,C586)</f>
        <v>0</v>
      </c>
    </row>
    <row r="587" spans="2:4">
      <c r="B587" t="s">
        <v>350</v>
      </c>
      <c r="C587" t="s">
        <v>109</v>
      </c>
      <c r="D587">
        <f>SUMIFS(Sheet1!$G$2:$G$523,Sheet1!$D$2:$D$523,B587,Sheet1!$E$2:$E$523,C587)</f>
        <v>0</v>
      </c>
    </row>
    <row r="588" spans="2:4">
      <c r="B588" t="s">
        <v>353</v>
      </c>
      <c r="C588" t="s">
        <v>109</v>
      </c>
      <c r="D588">
        <f>SUMIFS(Sheet1!$G$2:$G$523,Sheet1!$D$2:$D$523,B588,Sheet1!$E$2:$E$523,C588)</f>
        <v>0</v>
      </c>
    </row>
    <row r="589" spans="2:4">
      <c r="B589" t="s">
        <v>360</v>
      </c>
      <c r="C589" t="s">
        <v>109</v>
      </c>
      <c r="D589">
        <f>SUMIFS(Sheet1!$G$2:$G$523,Sheet1!$D$2:$D$523,B589,Sheet1!$E$2:$E$523,C589)</f>
        <v>0</v>
      </c>
    </row>
    <row r="590" spans="2:4">
      <c r="B590" t="s">
        <v>621</v>
      </c>
      <c r="C590" t="s">
        <v>109</v>
      </c>
      <c r="D590">
        <f>SUMIFS(Sheet1!$G$2:$G$523,Sheet1!$D$2:$D$523,B590,Sheet1!$E$2:$E$523,C590)</f>
        <v>0</v>
      </c>
    </row>
    <row r="591" spans="2:4">
      <c r="B591" t="s">
        <v>21</v>
      </c>
      <c r="C591" t="s">
        <v>109</v>
      </c>
      <c r="D591">
        <f>SUMIFS(Sheet1!$G$2:$G$523,Sheet1!$D$2:$D$523,B591,Sheet1!$E$2:$E$523,C591)</f>
        <v>0</v>
      </c>
    </row>
    <row r="592" spans="2:4">
      <c r="B592" t="s">
        <v>870</v>
      </c>
      <c r="C592" t="s">
        <v>109</v>
      </c>
      <c r="D592">
        <f>SUMIFS(Sheet1!$G$2:$G$523,Sheet1!$D$2:$D$523,B592,Sheet1!$E$2:$E$523,C592)</f>
        <v>0</v>
      </c>
    </row>
    <row r="593" spans="2:4">
      <c r="B593" t="s">
        <v>556</v>
      </c>
      <c r="C593" t="s">
        <v>109</v>
      </c>
      <c r="D593">
        <f>SUMIFS(Sheet1!$G$2:$G$523,Sheet1!$D$2:$D$523,B593,Sheet1!$E$2:$E$523,C593)</f>
        <v>0</v>
      </c>
    </row>
    <row r="594" spans="2:4">
      <c r="B594" t="s">
        <v>701</v>
      </c>
      <c r="C594" t="s">
        <v>109</v>
      </c>
      <c r="D594">
        <f>SUMIFS(Sheet1!$G$2:$G$523,Sheet1!$D$2:$D$523,B594,Sheet1!$E$2:$E$523,C594)</f>
        <v>0</v>
      </c>
    </row>
    <row r="595" spans="2:4">
      <c r="B595" t="s">
        <v>709</v>
      </c>
      <c r="C595" t="s">
        <v>109</v>
      </c>
      <c r="D595">
        <f>SUMIFS(Sheet1!$G$2:$G$523,Sheet1!$D$2:$D$523,B595,Sheet1!$E$2:$E$523,C595)</f>
        <v>0</v>
      </c>
    </row>
    <row r="596" spans="2:4">
      <c r="B596" t="s">
        <v>714</v>
      </c>
      <c r="C596" t="s">
        <v>109</v>
      </c>
      <c r="D596">
        <f>SUMIFS(Sheet1!$G$2:$G$523,Sheet1!$D$2:$D$523,B596,Sheet1!$E$2:$E$523,C596)</f>
        <v>0</v>
      </c>
    </row>
    <row r="597" spans="2:4">
      <c r="B597" t="s">
        <v>863</v>
      </c>
      <c r="C597" t="s">
        <v>109</v>
      </c>
      <c r="D597">
        <f>SUMIFS(Sheet1!$G$2:$G$523,Sheet1!$D$2:$D$523,B597,Sheet1!$E$2:$E$523,C597)</f>
        <v>0</v>
      </c>
    </row>
    <row r="598" spans="2:4">
      <c r="B598" t="s">
        <v>947</v>
      </c>
      <c r="C598" t="s">
        <v>109</v>
      </c>
      <c r="D598">
        <f>SUMIFS(Sheet1!$G$2:$G$523,Sheet1!$D$2:$D$523,B598,Sheet1!$E$2:$E$523,C598)</f>
        <v>0</v>
      </c>
    </row>
    <row r="599" spans="2:4">
      <c r="B599" t="s">
        <v>1026</v>
      </c>
      <c r="C599" t="s">
        <v>109</v>
      </c>
      <c r="D599">
        <f>SUMIFS(Sheet1!$G$2:$G$523,Sheet1!$D$2:$D$523,B599,Sheet1!$E$2:$E$523,C599)</f>
        <v>0</v>
      </c>
    </row>
    <row r="600" spans="2:4">
      <c r="B600" t="s">
        <v>1031</v>
      </c>
      <c r="C600" t="s">
        <v>109</v>
      </c>
      <c r="D600">
        <f>SUMIFS(Sheet1!$G$2:$G$523,Sheet1!$D$2:$D$523,B600,Sheet1!$E$2:$E$523,C600)</f>
        <v>0</v>
      </c>
    </row>
    <row r="601" spans="2:4">
      <c r="B601" t="s">
        <v>1110</v>
      </c>
      <c r="C601" t="s">
        <v>109</v>
      </c>
      <c r="D601">
        <f>SUMIFS(Sheet1!$G$2:$G$523,Sheet1!$D$2:$D$523,B601,Sheet1!$E$2:$E$523,C601)</f>
        <v>0</v>
      </c>
    </row>
    <row r="602" spans="2:4">
      <c r="B602" t="s">
        <v>1192</v>
      </c>
      <c r="C602" t="s">
        <v>109</v>
      </c>
      <c r="D602">
        <f>SUMIFS(Sheet1!$G$2:$G$523,Sheet1!$D$2:$D$523,B602,Sheet1!$E$2:$E$523,C602)</f>
        <v>0</v>
      </c>
    </row>
    <row r="603" spans="2:4">
      <c r="B603" t="s">
        <v>1061</v>
      </c>
      <c r="C603" t="s">
        <v>109</v>
      </c>
      <c r="D603">
        <f>SUMIFS(Sheet1!$G$2:$G$523,Sheet1!$D$2:$D$523,B603,Sheet1!$E$2:$E$523,C603)</f>
        <v>0</v>
      </c>
    </row>
    <row r="604" spans="2:4">
      <c r="B604" t="s">
        <v>317</v>
      </c>
      <c r="C604" t="s">
        <v>109</v>
      </c>
      <c r="D604">
        <f>SUMIFS(Sheet1!$G$2:$G$523,Sheet1!$D$2:$D$523,B604,Sheet1!$E$2:$E$523,C604)</f>
        <v>0</v>
      </c>
    </row>
    <row r="605" spans="2:4">
      <c r="B605" t="s">
        <v>1056</v>
      </c>
      <c r="C605" t="s">
        <v>109</v>
      </c>
      <c r="D605">
        <f>SUMIFS(Sheet1!$G$2:$G$523,Sheet1!$D$2:$D$523,B605,Sheet1!$E$2:$E$523,C605)</f>
        <v>0</v>
      </c>
    </row>
    <row r="606" spans="2:4">
      <c r="B606" t="s">
        <v>342</v>
      </c>
      <c r="C606" t="s">
        <v>109</v>
      </c>
      <c r="D606">
        <f>SUMIFS(Sheet1!$G$2:$G$523,Sheet1!$D$2:$D$523,B606,Sheet1!$E$2:$E$523,C606)</f>
        <v>0</v>
      </c>
    </row>
    <row r="607" spans="2:4">
      <c r="B607" t="s">
        <v>352</v>
      </c>
      <c r="C607" t="s">
        <v>109</v>
      </c>
      <c r="D607">
        <f>SUMIFS(Sheet1!$G$2:$G$523,Sheet1!$D$2:$D$523,B607,Sheet1!$E$2:$E$523,C607)</f>
        <v>0</v>
      </c>
    </row>
    <row r="608" spans="2:4">
      <c r="B608" t="s">
        <v>371</v>
      </c>
      <c r="C608" t="s">
        <v>109</v>
      </c>
      <c r="D608">
        <f>SUMIFS(Sheet1!$G$2:$G$523,Sheet1!$D$2:$D$523,B608,Sheet1!$E$2:$E$523,C608)</f>
        <v>0</v>
      </c>
    </row>
    <row r="609" spans="2:4">
      <c r="B609" t="s">
        <v>610</v>
      </c>
      <c r="C609" t="s">
        <v>109</v>
      </c>
      <c r="D609">
        <f>SUMIFS(Sheet1!$G$2:$G$523,Sheet1!$D$2:$D$523,B609,Sheet1!$E$2:$E$523,C609)</f>
        <v>0</v>
      </c>
    </row>
    <row r="610" spans="2:4">
      <c r="B610" t="s">
        <v>1237</v>
      </c>
      <c r="C610" t="s">
        <v>109</v>
      </c>
      <c r="D610">
        <f>SUMIFS(Sheet1!$G$2:$G$523,Sheet1!$D$2:$D$523,B610,Sheet1!$E$2:$E$523,C610)</f>
        <v>0</v>
      </c>
    </row>
    <row r="611" spans="2:4">
      <c r="B611" t="s">
        <v>1250</v>
      </c>
      <c r="C611" t="s">
        <v>109</v>
      </c>
      <c r="D611">
        <f>SUMIFS(Sheet1!$G$2:$G$523,Sheet1!$D$2:$D$523,B611,Sheet1!$E$2:$E$523,C611)</f>
        <v>0</v>
      </c>
    </row>
    <row r="612" spans="2:4">
      <c r="B612" t="s">
        <v>1264</v>
      </c>
      <c r="C612" t="s">
        <v>109</v>
      </c>
      <c r="D612">
        <f>SUMIFS(Sheet1!$G$2:$G$523,Sheet1!$D$2:$D$523,B612,Sheet1!$E$2:$E$523,C612)</f>
        <v>0</v>
      </c>
    </row>
    <row r="613" spans="2:4">
      <c r="B613" t="s">
        <v>592</v>
      </c>
      <c r="C613" t="s">
        <v>109</v>
      </c>
      <c r="D613">
        <f>SUMIFS(Sheet1!$G$2:$G$523,Sheet1!$D$2:$D$523,B613,Sheet1!$E$2:$E$523,C613)</f>
        <v>0</v>
      </c>
    </row>
    <row r="614" spans="2:4">
      <c r="B614" t="s">
        <v>775</v>
      </c>
      <c r="C614" t="s">
        <v>109</v>
      </c>
      <c r="D614">
        <f>SUMIFS(Sheet1!$G$2:$G$523,Sheet1!$D$2:$D$523,B614,Sheet1!$E$2:$E$523,C614)</f>
        <v>0</v>
      </c>
    </row>
    <row r="615" spans="2:4">
      <c r="B615" t="s">
        <v>55</v>
      </c>
      <c r="C615" t="s">
        <v>109</v>
      </c>
      <c r="D615">
        <f>SUMIFS(Sheet1!$G$2:$G$523,Sheet1!$D$2:$D$523,B615,Sheet1!$E$2:$E$523,C615)</f>
        <v>0</v>
      </c>
    </row>
    <row r="616" spans="2:4">
      <c r="B616" t="s">
        <v>828</v>
      </c>
      <c r="C616" t="s">
        <v>109</v>
      </c>
      <c r="D616">
        <f>SUMIFS(Sheet1!$G$2:$G$523,Sheet1!$D$2:$D$523,B616,Sheet1!$E$2:$E$523,C616)</f>
        <v>0</v>
      </c>
    </row>
    <row r="617" spans="2:4">
      <c r="B617" t="s">
        <v>1002</v>
      </c>
      <c r="C617" t="s">
        <v>109</v>
      </c>
      <c r="D617">
        <f>SUMIFS(Sheet1!$G$2:$G$523,Sheet1!$D$2:$D$523,B617,Sheet1!$E$2:$E$523,C617)</f>
        <v>0</v>
      </c>
    </row>
    <row r="618" spans="2:4">
      <c r="B618" t="s">
        <v>1007</v>
      </c>
      <c r="C618" t="s">
        <v>109</v>
      </c>
      <c r="D618">
        <f>SUMIFS(Sheet1!$G$2:$G$523,Sheet1!$D$2:$D$523,B618,Sheet1!$E$2:$E$523,C618)</f>
        <v>0</v>
      </c>
    </row>
    <row r="619" spans="2:4">
      <c r="B619" t="s">
        <v>1018</v>
      </c>
      <c r="C619" t="s">
        <v>109</v>
      </c>
      <c r="D619">
        <f>SUMIFS(Sheet1!$G$2:$G$523,Sheet1!$D$2:$D$523,B619,Sheet1!$E$2:$E$523,C619)</f>
        <v>0</v>
      </c>
    </row>
    <row r="620" spans="2:4">
      <c r="B620" t="s">
        <v>1133</v>
      </c>
      <c r="C620" t="s">
        <v>109</v>
      </c>
      <c r="D620">
        <f>SUMIFS(Sheet1!$G$2:$G$523,Sheet1!$D$2:$D$523,B620,Sheet1!$E$2:$E$523,C620)</f>
        <v>0</v>
      </c>
    </row>
    <row r="621" spans="2:4">
      <c r="B621" t="s">
        <v>1140</v>
      </c>
      <c r="C621" t="s">
        <v>109</v>
      </c>
      <c r="D621">
        <f>SUMIFS(Sheet1!$G$2:$G$523,Sheet1!$D$2:$D$523,B621,Sheet1!$E$2:$E$523,C621)</f>
        <v>0</v>
      </c>
    </row>
    <row r="622" spans="2:4">
      <c r="B622" t="s">
        <v>367</v>
      </c>
      <c r="C622" t="s">
        <v>109</v>
      </c>
      <c r="D622">
        <f>SUMIFS(Sheet1!$G$2:$G$523,Sheet1!$D$2:$D$523,B622,Sheet1!$E$2:$E$523,C622)</f>
        <v>0</v>
      </c>
    </row>
    <row r="623" spans="2:4">
      <c r="B623" t="s">
        <v>688</v>
      </c>
      <c r="C623" t="s">
        <v>109</v>
      </c>
      <c r="D623">
        <f>SUMIFS(Sheet1!$G$2:$G$523,Sheet1!$D$2:$D$523,B623,Sheet1!$E$2:$E$523,C623)</f>
        <v>0</v>
      </c>
    </row>
    <row r="624" spans="2:4">
      <c r="B624" t="s">
        <v>874</v>
      </c>
      <c r="C624" t="s">
        <v>109</v>
      </c>
      <c r="D624">
        <f>SUMIFS(Sheet1!$G$2:$G$523,Sheet1!$D$2:$D$523,B624,Sheet1!$E$2:$E$523,C624)</f>
        <v>0</v>
      </c>
    </row>
    <row r="625" spans="2:6">
      <c r="B625" t="s">
        <v>877</v>
      </c>
      <c r="C625" t="s">
        <v>109</v>
      </c>
      <c r="D625">
        <f>SUMIFS(Sheet1!$G$2:$G$523,Sheet1!$D$2:$D$523,B625,Sheet1!$E$2:$E$523,C625)</f>
        <v>0</v>
      </c>
    </row>
    <row r="626" spans="2:6">
      <c r="B626" t="s">
        <v>581</v>
      </c>
      <c r="C626" t="s">
        <v>959</v>
      </c>
      <c r="D626">
        <f>SUMIFS(Sheet1!$G$2:$G$523,Sheet1!$D$2:$D$523,B626,Sheet1!$E$2:$E$523,C626)</f>
        <v>2.69</v>
      </c>
      <c r="F626">
        <v>9</v>
      </c>
    </row>
    <row r="627" spans="2:6">
      <c r="B627" t="s">
        <v>14</v>
      </c>
      <c r="C627" t="s">
        <v>959</v>
      </c>
      <c r="D627">
        <f>SUMIFS(Sheet1!$G$2:$G$523,Sheet1!$D$2:$D$523,B627,Sheet1!$E$2:$E$523,C627)</f>
        <v>0</v>
      </c>
    </row>
    <row r="628" spans="2:6">
      <c r="B628" t="s">
        <v>723</v>
      </c>
      <c r="C628" t="s">
        <v>959</v>
      </c>
      <c r="D628">
        <f>SUMIFS(Sheet1!$G$2:$G$523,Sheet1!$D$2:$D$523,B628,Sheet1!$E$2:$E$523,C628)</f>
        <v>0</v>
      </c>
    </row>
    <row r="629" spans="2:6">
      <c r="B629" t="s">
        <v>694</v>
      </c>
      <c r="C629" t="s">
        <v>959</v>
      </c>
      <c r="D629">
        <f>SUMIFS(Sheet1!$G$2:$G$523,Sheet1!$D$2:$D$523,B629,Sheet1!$E$2:$E$523,C629)</f>
        <v>0</v>
      </c>
    </row>
    <row r="630" spans="2:6">
      <c r="B630" t="s">
        <v>30</v>
      </c>
      <c r="C630" t="s">
        <v>959</v>
      </c>
      <c r="D630">
        <f>SUMIFS(Sheet1!$G$2:$G$523,Sheet1!$D$2:$D$523,B630,Sheet1!$E$2:$E$523,C630)</f>
        <v>0</v>
      </c>
    </row>
    <row r="631" spans="2:6">
      <c r="B631" t="s">
        <v>51</v>
      </c>
      <c r="C631" t="s">
        <v>959</v>
      </c>
      <c r="D631">
        <f>SUMIFS(Sheet1!$G$2:$G$523,Sheet1!$D$2:$D$523,B631,Sheet1!$E$2:$E$523,C631)</f>
        <v>0</v>
      </c>
    </row>
    <row r="632" spans="2:6">
      <c r="B632" t="s">
        <v>837</v>
      </c>
      <c r="C632" t="s">
        <v>959</v>
      </c>
      <c r="D632">
        <f>SUMIFS(Sheet1!$G$2:$G$523,Sheet1!$D$2:$D$523,B632,Sheet1!$E$2:$E$523,C632)</f>
        <v>0</v>
      </c>
    </row>
    <row r="633" spans="2:6">
      <c r="B633" t="s">
        <v>923</v>
      </c>
      <c r="C633" t="s">
        <v>959</v>
      </c>
      <c r="D633">
        <f>SUMIFS(Sheet1!$G$2:$G$523,Sheet1!$D$2:$D$523,B633,Sheet1!$E$2:$E$523,C633)</f>
        <v>0</v>
      </c>
    </row>
    <row r="634" spans="2:6">
      <c r="B634" t="s">
        <v>933</v>
      </c>
      <c r="C634" t="s">
        <v>959</v>
      </c>
      <c r="D634">
        <f>SUMIFS(Sheet1!$G$2:$G$523,Sheet1!$D$2:$D$523,B634,Sheet1!$E$2:$E$523,C634)</f>
        <v>0</v>
      </c>
    </row>
    <row r="635" spans="2:6">
      <c r="B635" t="s">
        <v>1045</v>
      </c>
      <c r="C635" t="s">
        <v>959</v>
      </c>
      <c r="D635">
        <f>SUMIFS(Sheet1!$G$2:$G$523,Sheet1!$D$2:$D$523,B635,Sheet1!$E$2:$E$523,C635)</f>
        <v>4.28</v>
      </c>
    </row>
    <row r="636" spans="2:6">
      <c r="B636" t="s">
        <v>356</v>
      </c>
      <c r="C636" t="s">
        <v>959</v>
      </c>
      <c r="D636">
        <f>SUMIFS(Sheet1!$G$2:$G$523,Sheet1!$D$2:$D$523,B636,Sheet1!$E$2:$E$523,C636)</f>
        <v>0</v>
      </c>
    </row>
    <row r="637" spans="2:6">
      <c r="B637" t="s">
        <v>1145</v>
      </c>
      <c r="C637" t="s">
        <v>959</v>
      </c>
      <c r="D637">
        <f>SUMIFS(Sheet1!$G$2:$G$523,Sheet1!$D$2:$D$523,B637,Sheet1!$E$2:$E$523,C637)</f>
        <v>0</v>
      </c>
    </row>
    <row r="638" spans="2:6">
      <c r="B638" t="s">
        <v>1189</v>
      </c>
      <c r="C638" t="s">
        <v>959</v>
      </c>
      <c r="D638">
        <f>SUMIFS(Sheet1!$G$2:$G$523,Sheet1!$D$2:$D$523,B638,Sheet1!$E$2:$E$523,C638)</f>
        <v>0</v>
      </c>
    </row>
    <row r="639" spans="2:6">
      <c r="B639" t="s">
        <v>99</v>
      </c>
      <c r="C639" t="s">
        <v>959</v>
      </c>
      <c r="D639">
        <f>SUMIFS(Sheet1!$G$2:$G$523,Sheet1!$D$2:$D$523,B639,Sheet1!$E$2:$E$523,C639)</f>
        <v>0</v>
      </c>
    </row>
    <row r="640" spans="2:6">
      <c r="B640" t="s">
        <v>118</v>
      </c>
      <c r="C640" t="s">
        <v>959</v>
      </c>
      <c r="D640">
        <f>SUMIFS(Sheet1!$G$2:$G$523,Sheet1!$D$2:$D$523,B640,Sheet1!$E$2:$E$523,C640)</f>
        <v>0</v>
      </c>
    </row>
    <row r="641" spans="2:4">
      <c r="B641" t="s">
        <v>176</v>
      </c>
      <c r="C641" t="s">
        <v>959</v>
      </c>
      <c r="D641">
        <f>SUMIFS(Sheet1!$G$2:$G$523,Sheet1!$D$2:$D$523,B641,Sheet1!$E$2:$E$523,C641)</f>
        <v>0</v>
      </c>
    </row>
    <row r="642" spans="2:4">
      <c r="B642" t="s">
        <v>234</v>
      </c>
      <c r="C642" t="s">
        <v>959</v>
      </c>
      <c r="D642">
        <f>SUMIFS(Sheet1!$G$2:$G$523,Sheet1!$D$2:$D$523,B642,Sheet1!$E$2:$E$523,C642)</f>
        <v>19.079999999999998</v>
      </c>
    </row>
    <row r="643" spans="2:4">
      <c r="B643" t="s">
        <v>286</v>
      </c>
      <c r="C643" t="s">
        <v>959</v>
      </c>
      <c r="D643">
        <f>SUMIFS(Sheet1!$G$2:$G$523,Sheet1!$D$2:$D$523,B643,Sheet1!$E$2:$E$523,C643)</f>
        <v>0</v>
      </c>
    </row>
    <row r="644" spans="2:4">
      <c r="B644" t="s">
        <v>312</v>
      </c>
      <c r="C644" t="s">
        <v>959</v>
      </c>
      <c r="D644">
        <f>SUMIFS(Sheet1!$G$2:$G$523,Sheet1!$D$2:$D$523,B644,Sheet1!$E$2:$E$523,C644)</f>
        <v>0</v>
      </c>
    </row>
    <row r="645" spans="2:4">
      <c r="B645" t="s">
        <v>322</v>
      </c>
      <c r="C645" t="s">
        <v>959</v>
      </c>
      <c r="D645">
        <f>SUMIFS(Sheet1!$G$2:$G$523,Sheet1!$D$2:$D$523,B645,Sheet1!$E$2:$E$523,C645)</f>
        <v>0</v>
      </c>
    </row>
    <row r="646" spans="2:4">
      <c r="B646" t="s">
        <v>330</v>
      </c>
      <c r="C646" t="s">
        <v>959</v>
      </c>
      <c r="D646">
        <f>SUMIFS(Sheet1!$G$2:$G$523,Sheet1!$D$2:$D$523,B646,Sheet1!$E$2:$E$523,C646)</f>
        <v>0</v>
      </c>
    </row>
    <row r="647" spans="2:4">
      <c r="B647" t="s">
        <v>338</v>
      </c>
      <c r="C647" t="s">
        <v>959</v>
      </c>
      <c r="D647">
        <f>SUMIFS(Sheet1!$G$2:$G$523,Sheet1!$D$2:$D$523,B647,Sheet1!$E$2:$E$523,C647)</f>
        <v>0</v>
      </c>
    </row>
    <row r="648" spans="2:4">
      <c r="B648" t="s">
        <v>18</v>
      </c>
      <c r="C648" t="s">
        <v>959</v>
      </c>
      <c r="D648">
        <f>SUMIFS(Sheet1!$G$2:$G$523,Sheet1!$D$2:$D$523,B648,Sheet1!$E$2:$E$523,C648)</f>
        <v>6.54</v>
      </c>
    </row>
    <row r="649" spans="2:4">
      <c r="B649" t="s">
        <v>616</v>
      </c>
      <c r="C649" t="s">
        <v>959</v>
      </c>
      <c r="D649">
        <f>SUMIFS(Sheet1!$G$2:$G$523,Sheet1!$D$2:$D$523,B649,Sheet1!$E$2:$E$523,C649)</f>
        <v>0</v>
      </c>
    </row>
    <row r="650" spans="2:4">
      <c r="B650" t="s">
        <v>634</v>
      </c>
      <c r="C650" t="s">
        <v>959</v>
      </c>
      <c r="D650">
        <f>SUMIFS(Sheet1!$G$2:$G$523,Sheet1!$D$2:$D$523,B650,Sheet1!$E$2:$E$523,C650)</f>
        <v>0</v>
      </c>
    </row>
    <row r="651" spans="2:4">
      <c r="B651" t="s">
        <v>748</v>
      </c>
      <c r="C651" t="s">
        <v>959</v>
      </c>
      <c r="D651">
        <f>SUMIFS(Sheet1!$G$2:$G$523,Sheet1!$D$2:$D$523,B651,Sheet1!$E$2:$E$523,C651)</f>
        <v>0</v>
      </c>
    </row>
    <row r="652" spans="2:4">
      <c r="B652" t="s">
        <v>48</v>
      </c>
      <c r="C652" t="s">
        <v>959</v>
      </c>
      <c r="D652">
        <f>SUMIFS(Sheet1!$G$2:$G$523,Sheet1!$D$2:$D$523,B652,Sheet1!$E$2:$E$523,C652)</f>
        <v>0</v>
      </c>
    </row>
    <row r="653" spans="2:4">
      <c r="B653" t="s">
        <v>883</v>
      </c>
      <c r="C653" t="s">
        <v>959</v>
      </c>
      <c r="D653">
        <f>SUMIFS(Sheet1!$G$2:$G$523,Sheet1!$D$2:$D$523,B653,Sheet1!$E$2:$E$523,C653)</f>
        <v>0</v>
      </c>
    </row>
    <row r="654" spans="2:4">
      <c r="B654" t="s">
        <v>906</v>
      </c>
      <c r="C654" t="s">
        <v>959</v>
      </c>
      <c r="D654">
        <f>SUMIFS(Sheet1!$G$2:$G$523,Sheet1!$D$2:$D$523,B654,Sheet1!$E$2:$E$523,C654)</f>
        <v>0</v>
      </c>
    </row>
    <row r="655" spans="2:4">
      <c r="B655" t="s">
        <v>1039</v>
      </c>
      <c r="C655" t="s">
        <v>959</v>
      </c>
      <c r="D655">
        <f>SUMIFS(Sheet1!$G$2:$G$523,Sheet1!$D$2:$D$523,B655,Sheet1!$E$2:$E$523,C655)</f>
        <v>0</v>
      </c>
    </row>
    <row r="656" spans="2:4">
      <c r="B656" t="s">
        <v>326</v>
      </c>
      <c r="C656" t="s">
        <v>959</v>
      </c>
      <c r="D656">
        <f>SUMIFS(Sheet1!$G$2:$G$523,Sheet1!$D$2:$D$523,B656,Sheet1!$E$2:$E$523,C656)</f>
        <v>0</v>
      </c>
    </row>
    <row r="657" spans="2:4">
      <c r="B657" t="s">
        <v>1155</v>
      </c>
      <c r="C657" t="s">
        <v>959</v>
      </c>
      <c r="D657">
        <f>SUMIFS(Sheet1!$G$2:$G$523,Sheet1!$D$2:$D$523,B657,Sheet1!$E$2:$E$523,C657)</f>
        <v>0</v>
      </c>
    </row>
    <row r="658" spans="2:4">
      <c r="B658" t="s">
        <v>1159</v>
      </c>
      <c r="C658" t="s">
        <v>959</v>
      </c>
      <c r="D658">
        <f>SUMIFS(Sheet1!$G$2:$G$523,Sheet1!$D$2:$D$523,B658,Sheet1!$E$2:$E$523,C658)</f>
        <v>0</v>
      </c>
    </row>
    <row r="659" spans="2:4">
      <c r="B659" t="s">
        <v>1162</v>
      </c>
      <c r="C659" t="s">
        <v>959</v>
      </c>
      <c r="D659">
        <f>SUMIFS(Sheet1!$G$2:$G$523,Sheet1!$D$2:$D$523,B659,Sheet1!$E$2:$E$523,C659)</f>
        <v>0</v>
      </c>
    </row>
    <row r="660" spans="2:4">
      <c r="B660" t="s">
        <v>1181</v>
      </c>
      <c r="C660" t="s">
        <v>959</v>
      </c>
      <c r="D660">
        <f>SUMIFS(Sheet1!$G$2:$G$523,Sheet1!$D$2:$D$523,B660,Sheet1!$E$2:$E$523,C660)</f>
        <v>0</v>
      </c>
    </row>
    <row r="661" spans="2:4">
      <c r="B661" t="s">
        <v>1209</v>
      </c>
      <c r="C661" t="s">
        <v>959</v>
      </c>
      <c r="D661">
        <f>SUMIFS(Sheet1!$G$2:$G$523,Sheet1!$D$2:$D$523,B661,Sheet1!$E$2:$E$523,C661)</f>
        <v>0</v>
      </c>
    </row>
    <row r="662" spans="2:4">
      <c r="B662" t="s">
        <v>1215</v>
      </c>
      <c r="C662" t="s">
        <v>959</v>
      </c>
      <c r="D662">
        <f>SUMIFS(Sheet1!$G$2:$G$523,Sheet1!$D$2:$D$523,B662,Sheet1!$E$2:$E$523,C662)</f>
        <v>0</v>
      </c>
    </row>
    <row r="663" spans="2:4">
      <c r="B663" t="s">
        <v>104</v>
      </c>
      <c r="C663" t="s">
        <v>959</v>
      </c>
      <c r="D663">
        <f>SUMIFS(Sheet1!$G$2:$G$523,Sheet1!$D$2:$D$523,B663,Sheet1!$E$2:$E$523,C663)</f>
        <v>0</v>
      </c>
    </row>
    <row r="664" spans="2:4">
      <c r="B664" t="s">
        <v>346</v>
      </c>
      <c r="C664" t="s">
        <v>959</v>
      </c>
      <c r="D664">
        <f>SUMIFS(Sheet1!$G$2:$G$523,Sheet1!$D$2:$D$523,B664,Sheet1!$E$2:$E$523,C664)</f>
        <v>36.22</v>
      </c>
    </row>
    <row r="665" spans="2:4">
      <c r="B665" t="s">
        <v>350</v>
      </c>
      <c r="C665" t="s">
        <v>959</v>
      </c>
      <c r="D665">
        <f>SUMIFS(Sheet1!$G$2:$G$523,Sheet1!$D$2:$D$523,B665,Sheet1!$E$2:$E$523,C665)</f>
        <v>0</v>
      </c>
    </row>
    <row r="666" spans="2:4">
      <c r="B666" t="s">
        <v>353</v>
      </c>
      <c r="C666" t="s">
        <v>959</v>
      </c>
      <c r="D666">
        <f>SUMIFS(Sheet1!$G$2:$G$523,Sheet1!$D$2:$D$523,B666,Sheet1!$E$2:$E$523,C666)</f>
        <v>0</v>
      </c>
    </row>
    <row r="667" spans="2:4">
      <c r="B667" t="s">
        <v>360</v>
      </c>
      <c r="C667" t="s">
        <v>959</v>
      </c>
      <c r="D667">
        <f>SUMIFS(Sheet1!$G$2:$G$523,Sheet1!$D$2:$D$523,B667,Sheet1!$E$2:$E$523,C667)</f>
        <v>0</v>
      </c>
    </row>
    <row r="668" spans="2:4">
      <c r="B668" t="s">
        <v>621</v>
      </c>
      <c r="C668" t="s">
        <v>959</v>
      </c>
      <c r="D668">
        <f>SUMIFS(Sheet1!$G$2:$G$523,Sheet1!$D$2:$D$523,B668,Sheet1!$E$2:$E$523,C668)</f>
        <v>0</v>
      </c>
    </row>
    <row r="669" spans="2:4">
      <c r="B669" t="s">
        <v>21</v>
      </c>
      <c r="C669" t="s">
        <v>959</v>
      </c>
      <c r="D669">
        <f>SUMIFS(Sheet1!$G$2:$G$523,Sheet1!$D$2:$D$523,B669,Sheet1!$E$2:$E$523,C669)</f>
        <v>0</v>
      </c>
    </row>
    <row r="670" spans="2:4">
      <c r="B670" t="s">
        <v>870</v>
      </c>
      <c r="C670" t="s">
        <v>959</v>
      </c>
      <c r="D670">
        <f>SUMIFS(Sheet1!$G$2:$G$523,Sheet1!$D$2:$D$523,B670,Sheet1!$E$2:$E$523,C670)</f>
        <v>0</v>
      </c>
    </row>
    <row r="671" spans="2:4">
      <c r="B671" t="s">
        <v>556</v>
      </c>
      <c r="C671" t="s">
        <v>959</v>
      </c>
      <c r="D671">
        <f>SUMIFS(Sheet1!$G$2:$G$523,Sheet1!$D$2:$D$523,B671,Sheet1!$E$2:$E$523,C671)</f>
        <v>0</v>
      </c>
    </row>
    <row r="672" spans="2:4">
      <c r="B672" t="s">
        <v>701</v>
      </c>
      <c r="C672" t="s">
        <v>959</v>
      </c>
      <c r="D672">
        <f>SUMIFS(Sheet1!$G$2:$G$523,Sheet1!$D$2:$D$523,B672,Sheet1!$E$2:$E$523,C672)</f>
        <v>0</v>
      </c>
    </row>
    <row r="673" spans="2:4">
      <c r="B673" t="s">
        <v>709</v>
      </c>
      <c r="C673" t="s">
        <v>959</v>
      </c>
      <c r="D673">
        <f>SUMIFS(Sheet1!$G$2:$G$523,Sheet1!$D$2:$D$523,B673,Sheet1!$E$2:$E$523,C673)</f>
        <v>0</v>
      </c>
    </row>
    <row r="674" spans="2:4">
      <c r="B674" t="s">
        <v>714</v>
      </c>
      <c r="C674" t="s">
        <v>959</v>
      </c>
      <c r="D674">
        <f>SUMIFS(Sheet1!$G$2:$G$523,Sheet1!$D$2:$D$523,B674,Sheet1!$E$2:$E$523,C674)</f>
        <v>0</v>
      </c>
    </row>
    <row r="675" spans="2:4">
      <c r="B675" t="s">
        <v>863</v>
      </c>
      <c r="C675" t="s">
        <v>959</v>
      </c>
      <c r="D675">
        <f>SUMIFS(Sheet1!$G$2:$G$523,Sheet1!$D$2:$D$523,B675,Sheet1!$E$2:$E$523,C675)</f>
        <v>0</v>
      </c>
    </row>
    <row r="676" spans="2:4">
      <c r="B676" t="s">
        <v>947</v>
      </c>
      <c r="C676" t="s">
        <v>959</v>
      </c>
      <c r="D676">
        <f>SUMIFS(Sheet1!$G$2:$G$523,Sheet1!$D$2:$D$523,B676,Sheet1!$E$2:$E$523,C676)</f>
        <v>0</v>
      </c>
    </row>
    <row r="677" spans="2:4">
      <c r="B677" t="s">
        <v>1026</v>
      </c>
      <c r="C677" t="s">
        <v>959</v>
      </c>
      <c r="D677">
        <f>SUMIFS(Sheet1!$G$2:$G$523,Sheet1!$D$2:$D$523,B677,Sheet1!$E$2:$E$523,C677)</f>
        <v>0</v>
      </c>
    </row>
    <row r="678" spans="2:4">
      <c r="B678" t="s">
        <v>1031</v>
      </c>
      <c r="C678" t="s">
        <v>959</v>
      </c>
      <c r="D678">
        <f>SUMIFS(Sheet1!$G$2:$G$523,Sheet1!$D$2:$D$523,B678,Sheet1!$E$2:$E$523,C678)</f>
        <v>0</v>
      </c>
    </row>
    <row r="679" spans="2:4">
      <c r="B679" t="s">
        <v>1110</v>
      </c>
      <c r="C679" t="s">
        <v>959</v>
      </c>
      <c r="D679">
        <f>SUMIFS(Sheet1!$G$2:$G$523,Sheet1!$D$2:$D$523,B679,Sheet1!$E$2:$E$523,C679)</f>
        <v>21.85</v>
      </c>
    </row>
    <row r="680" spans="2:4">
      <c r="B680" t="s">
        <v>1192</v>
      </c>
      <c r="C680" t="s">
        <v>959</v>
      </c>
      <c r="D680">
        <f>SUMIFS(Sheet1!$G$2:$G$523,Sheet1!$D$2:$D$523,B680,Sheet1!$E$2:$E$523,C680)</f>
        <v>0</v>
      </c>
    </row>
    <row r="681" spans="2:4">
      <c r="B681" t="s">
        <v>1061</v>
      </c>
      <c r="C681" t="s">
        <v>959</v>
      </c>
      <c r="D681">
        <f>SUMIFS(Sheet1!$G$2:$G$523,Sheet1!$D$2:$D$523,B681,Sheet1!$E$2:$E$523,C681)</f>
        <v>3.92</v>
      </c>
    </row>
    <row r="682" spans="2:4">
      <c r="B682" t="s">
        <v>317</v>
      </c>
      <c r="C682" t="s">
        <v>959</v>
      </c>
      <c r="D682">
        <f>SUMIFS(Sheet1!$G$2:$G$523,Sheet1!$D$2:$D$523,B682,Sheet1!$E$2:$E$523,C682)</f>
        <v>0</v>
      </c>
    </row>
    <row r="683" spans="2:4">
      <c r="B683" t="s">
        <v>1056</v>
      </c>
      <c r="C683" t="s">
        <v>959</v>
      </c>
      <c r="D683">
        <f>SUMIFS(Sheet1!$G$2:$G$523,Sheet1!$D$2:$D$523,B683,Sheet1!$E$2:$E$523,C683)</f>
        <v>1.06</v>
      </c>
    </row>
    <row r="684" spans="2:4">
      <c r="B684" t="s">
        <v>342</v>
      </c>
      <c r="C684" t="s">
        <v>959</v>
      </c>
      <c r="D684">
        <f>SUMIFS(Sheet1!$G$2:$G$523,Sheet1!$D$2:$D$523,B684,Sheet1!$E$2:$E$523,C684)</f>
        <v>0</v>
      </c>
    </row>
    <row r="685" spans="2:4">
      <c r="B685" t="s">
        <v>352</v>
      </c>
      <c r="C685" t="s">
        <v>959</v>
      </c>
      <c r="D685">
        <f>SUMIFS(Sheet1!$G$2:$G$523,Sheet1!$D$2:$D$523,B685,Sheet1!$E$2:$E$523,C685)</f>
        <v>0</v>
      </c>
    </row>
    <row r="686" spans="2:4">
      <c r="B686" t="s">
        <v>371</v>
      </c>
      <c r="C686" t="s">
        <v>959</v>
      </c>
      <c r="D686">
        <f>SUMIFS(Sheet1!$G$2:$G$523,Sheet1!$D$2:$D$523,B686,Sheet1!$E$2:$E$523,C686)</f>
        <v>0</v>
      </c>
    </row>
    <row r="687" spans="2:4">
      <c r="B687" t="s">
        <v>610</v>
      </c>
      <c r="C687" t="s">
        <v>959</v>
      </c>
      <c r="D687">
        <f>SUMIFS(Sheet1!$G$2:$G$523,Sheet1!$D$2:$D$523,B687,Sheet1!$E$2:$E$523,C687)</f>
        <v>0</v>
      </c>
    </row>
    <row r="688" spans="2:4">
      <c r="B688" t="s">
        <v>1237</v>
      </c>
      <c r="C688" t="s">
        <v>959</v>
      </c>
      <c r="D688">
        <f>SUMIFS(Sheet1!$G$2:$G$523,Sheet1!$D$2:$D$523,B688,Sheet1!$E$2:$E$523,C688)</f>
        <v>0</v>
      </c>
    </row>
    <row r="689" spans="2:6">
      <c r="B689" t="s">
        <v>1250</v>
      </c>
      <c r="C689" t="s">
        <v>959</v>
      </c>
      <c r="D689">
        <f>SUMIFS(Sheet1!$G$2:$G$523,Sheet1!$D$2:$D$523,B689,Sheet1!$E$2:$E$523,C689)</f>
        <v>0</v>
      </c>
    </row>
    <row r="690" spans="2:6">
      <c r="B690" t="s">
        <v>1264</v>
      </c>
      <c r="C690" t="s">
        <v>959</v>
      </c>
      <c r="D690">
        <f>SUMIFS(Sheet1!$G$2:$G$523,Sheet1!$D$2:$D$523,B690,Sheet1!$E$2:$E$523,C690)</f>
        <v>0</v>
      </c>
    </row>
    <row r="691" spans="2:6">
      <c r="B691" t="s">
        <v>592</v>
      </c>
      <c r="C691" t="s">
        <v>959</v>
      </c>
      <c r="D691">
        <f>SUMIFS(Sheet1!$G$2:$G$523,Sheet1!$D$2:$D$523,B691,Sheet1!$E$2:$E$523,C691)</f>
        <v>0</v>
      </c>
    </row>
    <row r="692" spans="2:6">
      <c r="B692" t="s">
        <v>775</v>
      </c>
      <c r="C692" t="s">
        <v>959</v>
      </c>
      <c r="D692">
        <f>SUMIFS(Sheet1!$G$2:$G$523,Sheet1!$D$2:$D$523,B692,Sheet1!$E$2:$E$523,C692)</f>
        <v>0</v>
      </c>
    </row>
    <row r="693" spans="2:6">
      <c r="B693" t="s">
        <v>55</v>
      </c>
      <c r="C693" t="s">
        <v>959</v>
      </c>
      <c r="D693">
        <f>SUMIFS(Sheet1!$G$2:$G$523,Sheet1!$D$2:$D$523,B693,Sheet1!$E$2:$E$523,C693)</f>
        <v>0</v>
      </c>
    </row>
    <row r="694" spans="2:6">
      <c r="B694" t="s">
        <v>828</v>
      </c>
      <c r="C694" t="s">
        <v>959</v>
      </c>
      <c r="D694">
        <f>SUMIFS(Sheet1!$G$2:$G$523,Sheet1!$D$2:$D$523,B694,Sheet1!$E$2:$E$523,C694)</f>
        <v>0</v>
      </c>
    </row>
    <row r="695" spans="2:6">
      <c r="B695" t="s">
        <v>1002</v>
      </c>
      <c r="C695" t="s">
        <v>959</v>
      </c>
      <c r="D695">
        <f>SUMIFS(Sheet1!$G$2:$G$523,Sheet1!$D$2:$D$523,B695,Sheet1!$E$2:$E$523,C695)</f>
        <v>0</v>
      </c>
    </row>
    <row r="696" spans="2:6">
      <c r="B696" t="s">
        <v>1007</v>
      </c>
      <c r="C696" t="s">
        <v>959</v>
      </c>
      <c r="D696">
        <f>SUMIFS(Sheet1!$G$2:$G$523,Sheet1!$D$2:$D$523,B696,Sheet1!$E$2:$E$523,C696)</f>
        <v>0</v>
      </c>
    </row>
    <row r="697" spans="2:6">
      <c r="B697" t="s">
        <v>1018</v>
      </c>
      <c r="C697" t="s">
        <v>959</v>
      </c>
      <c r="D697">
        <f>SUMIFS(Sheet1!$G$2:$G$523,Sheet1!$D$2:$D$523,B697,Sheet1!$E$2:$E$523,C697)</f>
        <v>0</v>
      </c>
    </row>
    <row r="698" spans="2:6">
      <c r="B698" t="s">
        <v>1133</v>
      </c>
      <c r="C698" t="s">
        <v>959</v>
      </c>
      <c r="D698">
        <f>SUMIFS(Sheet1!$G$2:$G$523,Sheet1!$D$2:$D$523,B698,Sheet1!$E$2:$E$523,C698)</f>
        <v>0</v>
      </c>
    </row>
    <row r="699" spans="2:6">
      <c r="B699" t="s">
        <v>1140</v>
      </c>
      <c r="C699" t="s">
        <v>959</v>
      </c>
      <c r="D699">
        <f>SUMIFS(Sheet1!$G$2:$G$523,Sheet1!$D$2:$D$523,B699,Sheet1!$E$2:$E$523,C699)</f>
        <v>0</v>
      </c>
    </row>
    <row r="700" spans="2:6">
      <c r="B700" t="s">
        <v>367</v>
      </c>
      <c r="C700" t="s">
        <v>959</v>
      </c>
      <c r="D700">
        <f>SUMIFS(Sheet1!$G$2:$G$523,Sheet1!$D$2:$D$523,B700,Sheet1!$E$2:$E$523,C700)</f>
        <v>0</v>
      </c>
    </row>
    <row r="701" spans="2:6">
      <c r="B701" t="s">
        <v>688</v>
      </c>
      <c r="C701" t="s">
        <v>959</v>
      </c>
      <c r="D701">
        <f>SUMIFS(Sheet1!$G$2:$G$523,Sheet1!$D$2:$D$523,B701,Sheet1!$E$2:$E$523,C701)</f>
        <v>0</v>
      </c>
    </row>
    <row r="702" spans="2:6">
      <c r="B702" t="s">
        <v>874</v>
      </c>
      <c r="C702" t="s">
        <v>959</v>
      </c>
      <c r="D702">
        <f>SUMIFS(Sheet1!$G$2:$G$523,Sheet1!$D$2:$D$523,B702,Sheet1!$E$2:$E$523,C702)</f>
        <v>0</v>
      </c>
    </row>
    <row r="703" spans="2:6">
      <c r="B703" t="s">
        <v>877</v>
      </c>
      <c r="C703" t="s">
        <v>959</v>
      </c>
      <c r="D703">
        <f>SUMIFS(Sheet1!$G$2:$G$523,Sheet1!$D$2:$D$523,B703,Sheet1!$E$2:$E$523,C703)</f>
        <v>0</v>
      </c>
    </row>
    <row r="704" spans="2:6">
      <c r="B704" t="s">
        <v>581</v>
      </c>
      <c r="C704" t="s">
        <v>77</v>
      </c>
      <c r="D704">
        <f>SUMIFS(Sheet1!$G$2:$G$523,Sheet1!$D$2:$D$523,B704,Sheet1!$E$2:$E$523,C704)</f>
        <v>0</v>
      </c>
      <c r="F704">
        <v>10</v>
      </c>
    </row>
    <row r="705" spans="2:4">
      <c r="B705" t="s">
        <v>14</v>
      </c>
      <c r="C705" t="s">
        <v>77</v>
      </c>
      <c r="D705">
        <f>SUMIFS(Sheet1!$G$2:$G$523,Sheet1!$D$2:$D$523,B705,Sheet1!$E$2:$E$523,C705)</f>
        <v>0</v>
      </c>
    </row>
    <row r="706" spans="2:4">
      <c r="B706" t="s">
        <v>723</v>
      </c>
      <c r="C706" t="s">
        <v>77</v>
      </c>
      <c r="D706">
        <f>SUMIFS(Sheet1!$G$2:$G$523,Sheet1!$D$2:$D$523,B706,Sheet1!$E$2:$E$523,C706)</f>
        <v>8.7199999999999989</v>
      </c>
    </row>
    <row r="707" spans="2:4">
      <c r="B707" t="s">
        <v>694</v>
      </c>
      <c r="C707" t="s">
        <v>77</v>
      </c>
      <c r="D707">
        <f>SUMIFS(Sheet1!$G$2:$G$523,Sheet1!$D$2:$D$523,B707,Sheet1!$E$2:$E$523,C707)</f>
        <v>5.1099999999999994</v>
      </c>
    </row>
    <row r="708" spans="2:4">
      <c r="B708" t="s">
        <v>30</v>
      </c>
      <c r="C708" t="s">
        <v>77</v>
      </c>
      <c r="D708">
        <f>SUMIFS(Sheet1!$G$2:$G$523,Sheet1!$D$2:$D$523,B708,Sheet1!$E$2:$E$523,C708)</f>
        <v>0</v>
      </c>
    </row>
    <row r="709" spans="2:4">
      <c r="B709" t="s">
        <v>51</v>
      </c>
      <c r="C709" t="s">
        <v>77</v>
      </c>
      <c r="D709">
        <f>SUMIFS(Sheet1!$G$2:$G$523,Sheet1!$D$2:$D$523,B709,Sheet1!$E$2:$E$523,C709)</f>
        <v>0.64</v>
      </c>
    </row>
    <row r="710" spans="2:4">
      <c r="B710" t="s">
        <v>837</v>
      </c>
      <c r="C710" t="s">
        <v>77</v>
      </c>
      <c r="D710">
        <f>SUMIFS(Sheet1!$G$2:$G$523,Sheet1!$D$2:$D$523,B710,Sheet1!$E$2:$E$523,C710)</f>
        <v>0</v>
      </c>
    </row>
    <row r="711" spans="2:4">
      <c r="B711" t="s">
        <v>923</v>
      </c>
      <c r="C711" t="s">
        <v>77</v>
      </c>
      <c r="D711">
        <f>SUMIFS(Sheet1!$G$2:$G$523,Sheet1!$D$2:$D$523,B711,Sheet1!$E$2:$E$523,C711)</f>
        <v>2.29</v>
      </c>
    </row>
    <row r="712" spans="2:4">
      <c r="B712" t="s">
        <v>933</v>
      </c>
      <c r="C712" t="s">
        <v>77</v>
      </c>
      <c r="D712">
        <f>SUMIFS(Sheet1!$G$2:$G$523,Sheet1!$D$2:$D$523,B712,Sheet1!$E$2:$E$523,C712)</f>
        <v>0</v>
      </c>
    </row>
    <row r="713" spans="2:4">
      <c r="B713" t="s">
        <v>1045</v>
      </c>
      <c r="C713" t="s">
        <v>77</v>
      </c>
      <c r="D713">
        <f>SUMIFS(Sheet1!$G$2:$G$523,Sheet1!$D$2:$D$523,B713,Sheet1!$E$2:$E$523,C713)</f>
        <v>0</v>
      </c>
    </row>
    <row r="714" spans="2:4">
      <c r="B714" t="s">
        <v>356</v>
      </c>
      <c r="C714" t="s">
        <v>77</v>
      </c>
      <c r="D714">
        <f>SUMIFS(Sheet1!$G$2:$G$523,Sheet1!$D$2:$D$523,B714,Sheet1!$E$2:$E$523,C714)</f>
        <v>0</v>
      </c>
    </row>
    <row r="715" spans="2:4">
      <c r="B715" t="s">
        <v>1145</v>
      </c>
      <c r="C715" t="s">
        <v>77</v>
      </c>
      <c r="D715">
        <f>SUMIFS(Sheet1!$G$2:$G$523,Sheet1!$D$2:$D$523,B715,Sheet1!$E$2:$E$523,C715)</f>
        <v>0</v>
      </c>
    </row>
    <row r="716" spans="2:4">
      <c r="B716" t="s">
        <v>1189</v>
      </c>
      <c r="C716" t="s">
        <v>77</v>
      </c>
      <c r="D716">
        <f>SUMIFS(Sheet1!$G$2:$G$523,Sheet1!$D$2:$D$523,B716,Sheet1!$E$2:$E$523,C716)</f>
        <v>0</v>
      </c>
    </row>
    <row r="717" spans="2:4">
      <c r="B717" t="s">
        <v>99</v>
      </c>
      <c r="C717" t="s">
        <v>77</v>
      </c>
      <c r="D717">
        <f>SUMIFS(Sheet1!$G$2:$G$523,Sheet1!$D$2:$D$523,B717,Sheet1!$E$2:$E$523,C717)</f>
        <v>0</v>
      </c>
    </row>
    <row r="718" spans="2:4">
      <c r="B718" t="s">
        <v>118</v>
      </c>
      <c r="C718" t="s">
        <v>77</v>
      </c>
      <c r="D718">
        <f>SUMIFS(Sheet1!$G$2:$G$523,Sheet1!$D$2:$D$523,B718,Sheet1!$E$2:$E$523,C718)</f>
        <v>0</v>
      </c>
    </row>
    <row r="719" spans="2:4">
      <c r="B719" t="s">
        <v>176</v>
      </c>
      <c r="C719" t="s">
        <v>77</v>
      </c>
      <c r="D719">
        <f>SUMIFS(Sheet1!$G$2:$G$523,Sheet1!$D$2:$D$523,B719,Sheet1!$E$2:$E$523,C719)</f>
        <v>0</v>
      </c>
    </row>
    <row r="720" spans="2:4">
      <c r="B720" t="s">
        <v>234</v>
      </c>
      <c r="C720" t="s">
        <v>77</v>
      </c>
      <c r="D720">
        <f>SUMIFS(Sheet1!$G$2:$G$523,Sheet1!$D$2:$D$523,B720,Sheet1!$E$2:$E$523,C720)</f>
        <v>7.9200000000000008</v>
      </c>
    </row>
    <row r="721" spans="2:4">
      <c r="B721" t="s">
        <v>286</v>
      </c>
      <c r="C721" t="s">
        <v>77</v>
      </c>
      <c r="D721">
        <f>SUMIFS(Sheet1!$G$2:$G$523,Sheet1!$D$2:$D$523,B721,Sheet1!$E$2:$E$523,C721)</f>
        <v>0</v>
      </c>
    </row>
    <row r="722" spans="2:4">
      <c r="B722" t="s">
        <v>312</v>
      </c>
      <c r="C722" t="s">
        <v>77</v>
      </c>
      <c r="D722">
        <f>SUMIFS(Sheet1!$G$2:$G$523,Sheet1!$D$2:$D$523,B722,Sheet1!$E$2:$E$523,C722)</f>
        <v>0</v>
      </c>
    </row>
    <row r="723" spans="2:4">
      <c r="B723" t="s">
        <v>322</v>
      </c>
      <c r="C723" t="s">
        <v>77</v>
      </c>
      <c r="D723">
        <f>SUMIFS(Sheet1!$G$2:$G$523,Sheet1!$D$2:$D$523,B723,Sheet1!$E$2:$E$523,C723)</f>
        <v>0</v>
      </c>
    </row>
    <row r="724" spans="2:4">
      <c r="B724" t="s">
        <v>330</v>
      </c>
      <c r="C724" t="s">
        <v>77</v>
      </c>
      <c r="D724">
        <f>SUMIFS(Sheet1!$G$2:$G$523,Sheet1!$D$2:$D$523,B724,Sheet1!$E$2:$E$523,C724)</f>
        <v>0</v>
      </c>
    </row>
    <row r="725" spans="2:4">
      <c r="B725" t="s">
        <v>338</v>
      </c>
      <c r="C725" t="s">
        <v>77</v>
      </c>
      <c r="D725">
        <f>SUMIFS(Sheet1!$G$2:$G$523,Sheet1!$D$2:$D$523,B725,Sheet1!$E$2:$E$523,C725)</f>
        <v>0</v>
      </c>
    </row>
    <row r="726" spans="2:4">
      <c r="B726" t="s">
        <v>18</v>
      </c>
      <c r="C726" t="s">
        <v>77</v>
      </c>
      <c r="D726">
        <f>SUMIFS(Sheet1!$G$2:$G$523,Sheet1!$D$2:$D$523,B726,Sheet1!$E$2:$E$523,C726)</f>
        <v>45.12</v>
      </c>
    </row>
    <row r="727" spans="2:4">
      <c r="B727" t="s">
        <v>616</v>
      </c>
      <c r="C727" t="s">
        <v>77</v>
      </c>
      <c r="D727">
        <f>SUMIFS(Sheet1!$G$2:$G$523,Sheet1!$D$2:$D$523,B727,Sheet1!$E$2:$E$523,C727)</f>
        <v>0</v>
      </c>
    </row>
    <row r="728" spans="2:4">
      <c r="B728" t="s">
        <v>634</v>
      </c>
      <c r="C728" t="s">
        <v>77</v>
      </c>
      <c r="D728">
        <f>SUMIFS(Sheet1!$G$2:$G$523,Sheet1!$D$2:$D$523,B728,Sheet1!$E$2:$E$523,C728)</f>
        <v>0</v>
      </c>
    </row>
    <row r="729" spans="2:4">
      <c r="B729" t="s">
        <v>748</v>
      </c>
      <c r="C729" t="s">
        <v>77</v>
      </c>
      <c r="D729">
        <f>SUMIFS(Sheet1!$G$2:$G$523,Sheet1!$D$2:$D$523,B729,Sheet1!$E$2:$E$523,C729)</f>
        <v>0</v>
      </c>
    </row>
    <row r="730" spans="2:4">
      <c r="B730" t="s">
        <v>48</v>
      </c>
      <c r="C730" t="s">
        <v>77</v>
      </c>
      <c r="D730">
        <f>SUMIFS(Sheet1!$G$2:$G$523,Sheet1!$D$2:$D$523,B730,Sheet1!$E$2:$E$523,C730)</f>
        <v>1.6</v>
      </c>
    </row>
    <row r="731" spans="2:4">
      <c r="B731" t="s">
        <v>883</v>
      </c>
      <c r="C731" t="s">
        <v>77</v>
      </c>
      <c r="D731">
        <f>SUMIFS(Sheet1!$G$2:$G$523,Sheet1!$D$2:$D$523,B731,Sheet1!$E$2:$E$523,C731)</f>
        <v>0</v>
      </c>
    </row>
    <row r="732" spans="2:4">
      <c r="B732" t="s">
        <v>906</v>
      </c>
      <c r="C732" t="s">
        <v>77</v>
      </c>
      <c r="D732">
        <f>SUMIFS(Sheet1!$G$2:$G$523,Sheet1!$D$2:$D$523,B732,Sheet1!$E$2:$E$523,C732)</f>
        <v>0</v>
      </c>
    </row>
    <row r="733" spans="2:4">
      <c r="B733" t="s">
        <v>1039</v>
      </c>
      <c r="C733" t="s">
        <v>77</v>
      </c>
      <c r="D733">
        <f>SUMIFS(Sheet1!$G$2:$G$523,Sheet1!$D$2:$D$523,B733,Sheet1!$E$2:$E$523,C733)</f>
        <v>0</v>
      </c>
    </row>
    <row r="734" spans="2:4">
      <c r="B734" t="s">
        <v>326</v>
      </c>
      <c r="C734" t="s">
        <v>77</v>
      </c>
      <c r="D734">
        <f>SUMIFS(Sheet1!$G$2:$G$523,Sheet1!$D$2:$D$523,B734,Sheet1!$E$2:$E$523,C734)</f>
        <v>0</v>
      </c>
    </row>
    <row r="735" spans="2:4">
      <c r="B735" t="s">
        <v>1155</v>
      </c>
      <c r="C735" t="s">
        <v>77</v>
      </c>
      <c r="D735">
        <f>SUMIFS(Sheet1!$G$2:$G$523,Sheet1!$D$2:$D$523,B735,Sheet1!$E$2:$E$523,C735)</f>
        <v>0</v>
      </c>
    </row>
    <row r="736" spans="2:4">
      <c r="B736" t="s">
        <v>1159</v>
      </c>
      <c r="C736" t="s">
        <v>77</v>
      </c>
      <c r="D736">
        <f>SUMIFS(Sheet1!$G$2:$G$523,Sheet1!$D$2:$D$523,B736,Sheet1!$E$2:$E$523,C736)</f>
        <v>0</v>
      </c>
    </row>
    <row r="737" spans="2:4">
      <c r="B737" t="s">
        <v>1162</v>
      </c>
      <c r="C737" t="s">
        <v>77</v>
      </c>
      <c r="D737">
        <f>SUMIFS(Sheet1!$G$2:$G$523,Sheet1!$D$2:$D$523,B737,Sheet1!$E$2:$E$523,C737)</f>
        <v>0</v>
      </c>
    </row>
    <row r="738" spans="2:4">
      <c r="B738" t="s">
        <v>1181</v>
      </c>
      <c r="C738" t="s">
        <v>77</v>
      </c>
      <c r="D738">
        <f>SUMIFS(Sheet1!$G$2:$G$523,Sheet1!$D$2:$D$523,B738,Sheet1!$E$2:$E$523,C738)</f>
        <v>0</v>
      </c>
    </row>
    <row r="739" spans="2:4">
      <c r="B739" t="s">
        <v>1209</v>
      </c>
      <c r="C739" t="s">
        <v>77</v>
      </c>
      <c r="D739">
        <f>SUMIFS(Sheet1!$G$2:$G$523,Sheet1!$D$2:$D$523,B739,Sheet1!$E$2:$E$523,C739)</f>
        <v>0</v>
      </c>
    </row>
    <row r="740" spans="2:4">
      <c r="B740" t="s">
        <v>1215</v>
      </c>
      <c r="C740" t="s">
        <v>77</v>
      </c>
      <c r="D740">
        <f>SUMIFS(Sheet1!$G$2:$G$523,Sheet1!$D$2:$D$523,B740,Sheet1!$E$2:$E$523,C740)</f>
        <v>15.100000000000001</v>
      </c>
    </row>
    <row r="741" spans="2:4">
      <c r="B741" t="s">
        <v>104</v>
      </c>
      <c r="C741" t="s">
        <v>77</v>
      </c>
      <c r="D741">
        <f>SUMIFS(Sheet1!$G$2:$G$523,Sheet1!$D$2:$D$523,B741,Sheet1!$E$2:$E$523,C741)</f>
        <v>0</v>
      </c>
    </row>
    <row r="742" spans="2:4">
      <c r="B742" t="s">
        <v>346</v>
      </c>
      <c r="C742" t="s">
        <v>77</v>
      </c>
      <c r="D742">
        <f>SUMIFS(Sheet1!$G$2:$G$523,Sheet1!$D$2:$D$523,B742,Sheet1!$E$2:$E$523,C742)</f>
        <v>0</v>
      </c>
    </row>
    <row r="743" spans="2:4">
      <c r="B743" t="s">
        <v>350</v>
      </c>
      <c r="C743" t="s">
        <v>77</v>
      </c>
      <c r="D743">
        <f>SUMIFS(Sheet1!$G$2:$G$523,Sheet1!$D$2:$D$523,B743,Sheet1!$E$2:$E$523,C743)</f>
        <v>0</v>
      </c>
    </row>
    <row r="744" spans="2:4">
      <c r="B744" t="s">
        <v>353</v>
      </c>
      <c r="C744" t="s">
        <v>77</v>
      </c>
      <c r="D744">
        <f>SUMIFS(Sheet1!$G$2:$G$523,Sheet1!$D$2:$D$523,B744,Sheet1!$E$2:$E$523,C744)</f>
        <v>0</v>
      </c>
    </row>
    <row r="745" spans="2:4">
      <c r="B745" t="s">
        <v>360</v>
      </c>
      <c r="C745" t="s">
        <v>77</v>
      </c>
      <c r="D745">
        <f>SUMIFS(Sheet1!$G$2:$G$523,Sheet1!$D$2:$D$523,B745,Sheet1!$E$2:$E$523,C745)</f>
        <v>0</v>
      </c>
    </row>
    <row r="746" spans="2:4">
      <c r="B746" t="s">
        <v>621</v>
      </c>
      <c r="C746" t="s">
        <v>77</v>
      </c>
      <c r="D746">
        <f>SUMIFS(Sheet1!$G$2:$G$523,Sheet1!$D$2:$D$523,B746,Sheet1!$E$2:$E$523,C746)</f>
        <v>0</v>
      </c>
    </row>
    <row r="747" spans="2:4">
      <c r="B747" t="s">
        <v>21</v>
      </c>
      <c r="C747" t="s">
        <v>77</v>
      </c>
      <c r="D747">
        <f>SUMIFS(Sheet1!$G$2:$G$523,Sheet1!$D$2:$D$523,B747,Sheet1!$E$2:$E$523,C747)</f>
        <v>5.32</v>
      </c>
    </row>
    <row r="748" spans="2:4">
      <c r="B748" t="s">
        <v>870</v>
      </c>
      <c r="C748" t="s">
        <v>77</v>
      </c>
      <c r="D748">
        <f>SUMIFS(Sheet1!$G$2:$G$523,Sheet1!$D$2:$D$523,B748,Sheet1!$E$2:$E$523,C748)</f>
        <v>2.82</v>
      </c>
    </row>
    <row r="749" spans="2:4">
      <c r="B749" t="s">
        <v>556</v>
      </c>
      <c r="C749" t="s">
        <v>77</v>
      </c>
      <c r="D749">
        <f>SUMIFS(Sheet1!$G$2:$G$523,Sheet1!$D$2:$D$523,B749,Sheet1!$E$2:$E$523,C749)</f>
        <v>9.2199999999999989</v>
      </c>
    </row>
    <row r="750" spans="2:4">
      <c r="B750" t="s">
        <v>701</v>
      </c>
      <c r="C750" t="s">
        <v>77</v>
      </c>
      <c r="D750">
        <f>SUMIFS(Sheet1!$G$2:$G$523,Sheet1!$D$2:$D$523,B750,Sheet1!$E$2:$E$523,C750)</f>
        <v>0</v>
      </c>
    </row>
    <row r="751" spans="2:4">
      <c r="B751" t="s">
        <v>709</v>
      </c>
      <c r="C751" t="s">
        <v>77</v>
      </c>
      <c r="D751">
        <f>SUMIFS(Sheet1!$G$2:$G$523,Sheet1!$D$2:$D$523,B751,Sheet1!$E$2:$E$523,C751)</f>
        <v>0</v>
      </c>
    </row>
    <row r="752" spans="2:4">
      <c r="B752" t="s">
        <v>714</v>
      </c>
      <c r="C752" t="s">
        <v>77</v>
      </c>
      <c r="D752">
        <f>SUMIFS(Sheet1!$G$2:$G$523,Sheet1!$D$2:$D$523,B752,Sheet1!$E$2:$E$523,C752)</f>
        <v>0</v>
      </c>
    </row>
    <row r="753" spans="2:4">
      <c r="B753" t="s">
        <v>863</v>
      </c>
      <c r="C753" t="s">
        <v>77</v>
      </c>
      <c r="D753">
        <f>SUMIFS(Sheet1!$G$2:$G$523,Sheet1!$D$2:$D$523,B753,Sheet1!$E$2:$E$523,C753)</f>
        <v>0</v>
      </c>
    </row>
    <row r="754" spans="2:4">
      <c r="B754" t="s">
        <v>947</v>
      </c>
      <c r="C754" t="s">
        <v>77</v>
      </c>
      <c r="D754">
        <f>SUMIFS(Sheet1!$G$2:$G$523,Sheet1!$D$2:$D$523,B754,Sheet1!$E$2:$E$523,C754)</f>
        <v>0</v>
      </c>
    </row>
    <row r="755" spans="2:4">
      <c r="B755" t="s">
        <v>1026</v>
      </c>
      <c r="C755" t="s">
        <v>77</v>
      </c>
      <c r="D755">
        <f>SUMIFS(Sheet1!$G$2:$G$523,Sheet1!$D$2:$D$523,B755,Sheet1!$E$2:$E$523,C755)</f>
        <v>0</v>
      </c>
    </row>
    <row r="756" spans="2:4">
      <c r="B756" t="s">
        <v>1031</v>
      </c>
      <c r="C756" t="s">
        <v>77</v>
      </c>
      <c r="D756">
        <f>SUMIFS(Sheet1!$G$2:$G$523,Sheet1!$D$2:$D$523,B756,Sheet1!$E$2:$E$523,C756)</f>
        <v>0</v>
      </c>
    </row>
    <row r="757" spans="2:4">
      <c r="B757" t="s">
        <v>1110</v>
      </c>
      <c r="C757" t="s">
        <v>77</v>
      </c>
      <c r="D757">
        <f>SUMIFS(Sheet1!$G$2:$G$523,Sheet1!$D$2:$D$523,B757,Sheet1!$E$2:$E$523,C757)</f>
        <v>0</v>
      </c>
    </row>
    <row r="758" spans="2:4">
      <c r="B758" t="s">
        <v>1192</v>
      </c>
      <c r="C758" t="s">
        <v>77</v>
      </c>
      <c r="D758">
        <f>SUMIFS(Sheet1!$G$2:$G$523,Sheet1!$D$2:$D$523,B758,Sheet1!$E$2:$E$523,C758)</f>
        <v>0</v>
      </c>
    </row>
    <row r="759" spans="2:4">
      <c r="B759" t="s">
        <v>1061</v>
      </c>
      <c r="C759" t="s">
        <v>77</v>
      </c>
      <c r="D759">
        <f>SUMIFS(Sheet1!$G$2:$G$523,Sheet1!$D$2:$D$523,B759,Sheet1!$E$2:$E$523,C759)</f>
        <v>0</v>
      </c>
    </row>
    <row r="760" spans="2:4">
      <c r="B760" t="s">
        <v>317</v>
      </c>
      <c r="C760" t="s">
        <v>77</v>
      </c>
      <c r="D760">
        <f>SUMIFS(Sheet1!$G$2:$G$523,Sheet1!$D$2:$D$523,B760,Sheet1!$E$2:$E$523,C760)</f>
        <v>13.73</v>
      </c>
    </row>
    <row r="761" spans="2:4">
      <c r="B761" t="s">
        <v>1056</v>
      </c>
      <c r="C761" t="s">
        <v>77</v>
      </c>
      <c r="D761">
        <f>SUMIFS(Sheet1!$G$2:$G$523,Sheet1!$D$2:$D$523,B761,Sheet1!$E$2:$E$523,C761)</f>
        <v>0</v>
      </c>
    </row>
    <row r="762" spans="2:4">
      <c r="B762" t="s">
        <v>342</v>
      </c>
      <c r="C762" t="s">
        <v>77</v>
      </c>
      <c r="D762">
        <f>SUMIFS(Sheet1!$G$2:$G$523,Sheet1!$D$2:$D$523,B762,Sheet1!$E$2:$E$523,C762)</f>
        <v>0</v>
      </c>
    </row>
    <row r="763" spans="2:4">
      <c r="B763" t="s">
        <v>352</v>
      </c>
      <c r="C763" t="s">
        <v>77</v>
      </c>
      <c r="D763">
        <f>SUMIFS(Sheet1!$G$2:$G$523,Sheet1!$D$2:$D$523,B763,Sheet1!$E$2:$E$523,C763)</f>
        <v>0</v>
      </c>
    </row>
    <row r="764" spans="2:4">
      <c r="B764" t="s">
        <v>371</v>
      </c>
      <c r="C764" t="s">
        <v>77</v>
      </c>
      <c r="D764">
        <f>SUMIFS(Sheet1!$G$2:$G$523,Sheet1!$D$2:$D$523,B764,Sheet1!$E$2:$E$523,C764)</f>
        <v>0</v>
      </c>
    </row>
    <row r="765" spans="2:4">
      <c r="B765" t="s">
        <v>610</v>
      </c>
      <c r="C765" t="s">
        <v>77</v>
      </c>
      <c r="D765">
        <f>SUMIFS(Sheet1!$G$2:$G$523,Sheet1!$D$2:$D$523,B765,Sheet1!$E$2:$E$523,C765)</f>
        <v>0</v>
      </c>
    </row>
    <row r="766" spans="2:4">
      <c r="B766" t="s">
        <v>1237</v>
      </c>
      <c r="C766" t="s">
        <v>77</v>
      </c>
      <c r="D766">
        <f>SUMIFS(Sheet1!$G$2:$G$523,Sheet1!$D$2:$D$523,B766,Sheet1!$E$2:$E$523,C766)</f>
        <v>0</v>
      </c>
    </row>
    <row r="767" spans="2:4">
      <c r="B767" t="s">
        <v>1250</v>
      </c>
      <c r="C767" t="s">
        <v>77</v>
      </c>
      <c r="D767">
        <f>SUMIFS(Sheet1!$G$2:$G$523,Sheet1!$D$2:$D$523,B767,Sheet1!$E$2:$E$523,C767)</f>
        <v>0</v>
      </c>
    </row>
    <row r="768" spans="2:4">
      <c r="B768" t="s">
        <v>1264</v>
      </c>
      <c r="C768" t="s">
        <v>77</v>
      </c>
      <c r="D768">
        <f>SUMIFS(Sheet1!$G$2:$G$523,Sheet1!$D$2:$D$523,B768,Sheet1!$E$2:$E$523,C768)</f>
        <v>0</v>
      </c>
    </row>
    <row r="769" spans="2:4">
      <c r="B769" t="s">
        <v>592</v>
      </c>
      <c r="C769" t="s">
        <v>77</v>
      </c>
      <c r="D769">
        <f>SUMIFS(Sheet1!$G$2:$G$523,Sheet1!$D$2:$D$523,B769,Sheet1!$E$2:$E$523,C769)</f>
        <v>8.08</v>
      </c>
    </row>
    <row r="770" spans="2:4">
      <c r="B770" t="s">
        <v>775</v>
      </c>
      <c r="C770" t="s">
        <v>77</v>
      </c>
      <c r="D770">
        <f>SUMIFS(Sheet1!$G$2:$G$523,Sheet1!$D$2:$D$523,B770,Sheet1!$E$2:$E$523,C770)</f>
        <v>6.0600000000000005</v>
      </c>
    </row>
    <row r="771" spans="2:4">
      <c r="B771" t="s">
        <v>55</v>
      </c>
      <c r="C771" t="s">
        <v>77</v>
      </c>
      <c r="D771">
        <f>SUMIFS(Sheet1!$G$2:$G$523,Sheet1!$D$2:$D$523,B771,Sheet1!$E$2:$E$523,C771)</f>
        <v>1.1200000000000001</v>
      </c>
    </row>
    <row r="772" spans="2:4">
      <c r="B772" t="s">
        <v>828</v>
      </c>
      <c r="C772" t="s">
        <v>77</v>
      </c>
      <c r="D772">
        <f>SUMIFS(Sheet1!$G$2:$G$523,Sheet1!$D$2:$D$523,B772,Sheet1!$E$2:$E$523,C772)</f>
        <v>0</v>
      </c>
    </row>
    <row r="773" spans="2:4">
      <c r="B773" t="s">
        <v>1002</v>
      </c>
      <c r="C773" t="s">
        <v>77</v>
      </c>
      <c r="D773">
        <f>SUMIFS(Sheet1!$G$2:$G$523,Sheet1!$D$2:$D$523,B773,Sheet1!$E$2:$E$523,C773)</f>
        <v>1.31</v>
      </c>
    </row>
    <row r="774" spans="2:4">
      <c r="B774" t="s">
        <v>1007</v>
      </c>
      <c r="C774" t="s">
        <v>77</v>
      </c>
      <c r="D774">
        <f>SUMIFS(Sheet1!$G$2:$G$523,Sheet1!$D$2:$D$523,B774,Sheet1!$E$2:$E$523,C774)</f>
        <v>0.94</v>
      </c>
    </row>
    <row r="775" spans="2:4">
      <c r="B775" t="s">
        <v>1018</v>
      </c>
      <c r="C775" t="s">
        <v>77</v>
      </c>
      <c r="D775">
        <f>SUMIFS(Sheet1!$G$2:$G$523,Sheet1!$D$2:$D$523,B775,Sheet1!$E$2:$E$523,C775)</f>
        <v>1.37</v>
      </c>
    </row>
    <row r="776" spans="2:4">
      <c r="B776" t="s">
        <v>1133</v>
      </c>
      <c r="C776" t="s">
        <v>77</v>
      </c>
      <c r="D776">
        <f>SUMIFS(Sheet1!$G$2:$G$523,Sheet1!$D$2:$D$523,B776,Sheet1!$E$2:$E$523,C776)</f>
        <v>2.91</v>
      </c>
    </row>
    <row r="777" spans="2:4">
      <c r="B777" t="s">
        <v>1140</v>
      </c>
      <c r="C777" t="s">
        <v>77</v>
      </c>
      <c r="D777">
        <f>SUMIFS(Sheet1!$G$2:$G$523,Sheet1!$D$2:$D$523,B777,Sheet1!$E$2:$E$523,C777)</f>
        <v>4.66</v>
      </c>
    </row>
    <row r="778" spans="2:4">
      <c r="B778" t="s">
        <v>367</v>
      </c>
      <c r="C778" t="s">
        <v>77</v>
      </c>
      <c r="D778">
        <f>SUMIFS(Sheet1!$G$2:$G$523,Sheet1!$D$2:$D$523,B778,Sheet1!$E$2:$E$523,C778)</f>
        <v>0</v>
      </c>
    </row>
    <row r="779" spans="2:4">
      <c r="B779" t="s">
        <v>688</v>
      </c>
      <c r="C779" t="s">
        <v>77</v>
      </c>
      <c r="D779">
        <f>SUMIFS(Sheet1!$G$2:$G$523,Sheet1!$D$2:$D$523,B779,Sheet1!$E$2:$E$523,C779)</f>
        <v>0</v>
      </c>
    </row>
    <row r="780" spans="2:4">
      <c r="B780" t="s">
        <v>874</v>
      </c>
      <c r="C780" t="s">
        <v>77</v>
      </c>
      <c r="D780">
        <f>SUMIFS(Sheet1!$G$2:$G$523,Sheet1!$D$2:$D$523,B780,Sheet1!$E$2:$E$523,C780)</f>
        <v>0</v>
      </c>
    </row>
    <row r="781" spans="2:4">
      <c r="B781" t="s">
        <v>877</v>
      </c>
      <c r="C781" t="s">
        <v>77</v>
      </c>
      <c r="D781">
        <f>SUMIFS(Sheet1!$G$2:$G$523,Sheet1!$D$2:$D$523,B781,Sheet1!$E$2:$E$523,C781)</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2"/>
  <sheetViews>
    <sheetView topLeftCell="A10" workbookViewId="0">
      <selection activeCell="B8" sqref="B3:E8"/>
    </sheetView>
  </sheetViews>
  <sheetFormatPr defaultRowHeight="12.75"/>
  <cols>
    <col min="1" max="1" width="62.85546875" bestFit="1" customWidth="1"/>
    <col min="2" max="2" width="27" customWidth="1"/>
    <col min="3" max="3" width="19" bestFit="1" customWidth="1"/>
    <col min="4" max="4" width="6" bestFit="1" customWidth="1"/>
    <col min="8" max="8" width="20" bestFit="1" customWidth="1"/>
    <col min="9" max="9" width="7.85546875" bestFit="1" customWidth="1"/>
    <col min="10" max="10" width="17" bestFit="1" customWidth="1"/>
    <col min="11" max="11" width="7.42578125" bestFit="1" customWidth="1"/>
    <col min="12" max="12" width="20.85546875" bestFit="1" customWidth="1"/>
    <col min="13" max="13" width="44" bestFit="1" customWidth="1"/>
    <col min="14" max="14" width="8.85546875" bestFit="1" customWidth="1"/>
    <col min="15" max="15" width="13.5703125" bestFit="1" customWidth="1"/>
    <col min="16" max="16" width="5" bestFit="1" customWidth="1"/>
  </cols>
  <sheetData>
    <row r="1" spans="1:16" ht="13.5" thickBot="1"/>
    <row r="2" spans="1:16" ht="13.5" thickBot="1">
      <c r="H2" s="153" t="s">
        <v>1352</v>
      </c>
      <c r="I2" s="153" t="s">
        <v>1353</v>
      </c>
      <c r="J2" s="153" t="s">
        <v>1354</v>
      </c>
      <c r="K2" s="153" t="s">
        <v>1355</v>
      </c>
      <c r="L2" s="153" t="s">
        <v>1356</v>
      </c>
      <c r="M2" s="153" t="s">
        <v>1357</v>
      </c>
      <c r="N2" s="153" t="s">
        <v>1358</v>
      </c>
      <c r="O2" s="153" t="s">
        <v>1359</v>
      </c>
      <c r="P2" s="153" t="s">
        <v>1360</v>
      </c>
    </row>
    <row r="3" spans="1:16" ht="13.5" thickBot="1">
      <c r="A3" t="s">
        <v>723</v>
      </c>
      <c r="B3" t="s">
        <v>1433</v>
      </c>
      <c r="C3" t="s">
        <v>1466</v>
      </c>
      <c r="D3">
        <v>19.75</v>
      </c>
      <c r="F3" t="str">
        <f>VLOOKUP(B3,$M$3:$M$132,1,0)</f>
        <v>BAIC_C62X_RC_APA</v>
      </c>
      <c r="H3" s="154" t="s">
        <v>1361</v>
      </c>
      <c r="I3" s="154" t="s">
        <v>1362</v>
      </c>
      <c r="J3" s="155" t="s">
        <v>1363</v>
      </c>
      <c r="K3" s="155" t="s">
        <v>1364</v>
      </c>
      <c r="L3" s="156" t="s">
        <v>1365</v>
      </c>
      <c r="M3" s="154" t="s">
        <v>1366</v>
      </c>
      <c r="N3" s="154"/>
      <c r="O3" s="154">
        <v>27.75</v>
      </c>
      <c r="P3" s="154"/>
    </row>
    <row r="4" spans="1:16" ht="13.5" thickBot="1">
      <c r="A4" t="s">
        <v>694</v>
      </c>
      <c r="B4" t="s">
        <v>1431</v>
      </c>
      <c r="C4" t="s">
        <v>1466</v>
      </c>
      <c r="D4">
        <v>30.27</v>
      </c>
      <c r="F4" t="str">
        <f t="shared" ref="F4:F67" si="0">VLOOKUP(B4,$M$3:$M$132,1,0)</f>
        <v>DFN_ESP_Gen9.3_534_238307</v>
      </c>
      <c r="H4" s="154" t="s">
        <v>1361</v>
      </c>
      <c r="I4" s="154" t="s">
        <v>1362</v>
      </c>
      <c r="J4" s="155" t="s">
        <v>1363</v>
      </c>
      <c r="K4" s="154" t="s">
        <v>1367</v>
      </c>
      <c r="L4" s="156" t="s">
        <v>1368</v>
      </c>
      <c r="M4" s="154" t="s">
        <v>1369</v>
      </c>
      <c r="N4" s="154"/>
      <c r="O4" s="154">
        <v>0.25</v>
      </c>
      <c r="P4" s="154"/>
    </row>
    <row r="5" spans="1:16" ht="13.5" thickBot="1">
      <c r="A5" t="s">
        <v>933</v>
      </c>
      <c r="B5" t="s">
        <v>775</v>
      </c>
      <c r="C5" t="s">
        <v>1466</v>
      </c>
      <c r="D5">
        <v>6.09</v>
      </c>
      <c r="F5" t="str">
        <f t="shared" si="0"/>
        <v>EC_245950_NIO_ESX_ESPHevX_DTC</v>
      </c>
      <c r="H5" s="154" t="s">
        <v>1361</v>
      </c>
      <c r="I5" s="154" t="s">
        <v>1362</v>
      </c>
      <c r="J5" s="155" t="s">
        <v>1370</v>
      </c>
      <c r="K5" s="154" t="s">
        <v>1367</v>
      </c>
      <c r="L5" s="156" t="s">
        <v>1371</v>
      </c>
      <c r="M5" s="154" t="s">
        <v>1045</v>
      </c>
      <c r="N5" s="154"/>
      <c r="O5" s="154">
        <v>1</v>
      </c>
      <c r="P5" s="154"/>
    </row>
    <row r="6" spans="1:16" ht="13.5" thickBot="1">
      <c r="A6" t="s">
        <v>1045</v>
      </c>
      <c r="B6" t="s">
        <v>1045</v>
      </c>
      <c r="C6" t="s">
        <v>1466</v>
      </c>
      <c r="D6">
        <v>0.81</v>
      </c>
      <c r="F6" t="str">
        <f t="shared" si="0"/>
        <v>Adapt_236246_SMART_BBM_Ibooster_E2_SP3</v>
      </c>
      <c r="H6" s="154" t="s">
        <v>1361</v>
      </c>
      <c r="I6" s="154" t="s">
        <v>1362</v>
      </c>
      <c r="J6" s="155" t="s">
        <v>1363</v>
      </c>
      <c r="K6" s="155" t="s">
        <v>1364</v>
      </c>
      <c r="L6" s="154" t="s">
        <v>1372</v>
      </c>
      <c r="M6" s="154" t="s">
        <v>1373</v>
      </c>
      <c r="N6" s="154"/>
      <c r="O6" s="154">
        <v>2</v>
      </c>
      <c r="P6" s="154"/>
    </row>
    <row r="7" spans="1:16" ht="13.5" thickBot="1">
      <c r="A7" t="s">
        <v>48</v>
      </c>
      <c r="B7" t="s">
        <v>1422</v>
      </c>
      <c r="C7" t="s">
        <v>1466</v>
      </c>
      <c r="D7">
        <v>17.93</v>
      </c>
      <c r="F7" t="str">
        <f t="shared" si="0"/>
        <v>GAC_Carbon_RPA_ESPHevx_Mainpath</v>
      </c>
      <c r="H7" s="154" t="s">
        <v>1361</v>
      </c>
      <c r="I7" s="154" t="s">
        <v>1362</v>
      </c>
      <c r="J7" s="155" t="s">
        <v>1363</v>
      </c>
      <c r="K7" s="155" t="s">
        <v>1364</v>
      </c>
      <c r="L7" s="156" t="s">
        <v>1374</v>
      </c>
      <c r="M7" s="154" t="s">
        <v>1375</v>
      </c>
      <c r="N7" s="154"/>
      <c r="O7" s="154">
        <v>0.5</v>
      </c>
      <c r="P7" s="154"/>
    </row>
    <row r="8" spans="1:16" ht="77.25" thickBot="1">
      <c r="A8" t="s">
        <v>883</v>
      </c>
      <c r="B8" t="s">
        <v>883</v>
      </c>
      <c r="C8" t="s">
        <v>1466</v>
      </c>
      <c r="D8">
        <v>16.61</v>
      </c>
      <c r="F8" t="str">
        <f t="shared" si="0"/>
        <v>GWM_B30_CP</v>
      </c>
      <c r="H8" s="154" t="s">
        <v>1361</v>
      </c>
      <c r="I8" s="154" t="s">
        <v>1362</v>
      </c>
      <c r="J8" s="155" t="s">
        <v>1370</v>
      </c>
      <c r="K8" s="155" t="s">
        <v>1376</v>
      </c>
      <c r="L8" s="157" t="s">
        <v>1377</v>
      </c>
      <c r="M8" s="154" t="s">
        <v>346</v>
      </c>
      <c r="N8" s="154"/>
      <c r="O8" s="154">
        <v>15</v>
      </c>
      <c r="P8" s="154"/>
    </row>
    <row r="9" spans="1:16" ht="13.5" thickBot="1">
      <c r="A9" t="s">
        <v>947</v>
      </c>
      <c r="B9" t="s">
        <v>947</v>
      </c>
      <c r="C9" t="s">
        <v>1466</v>
      </c>
      <c r="D9">
        <v>18.21</v>
      </c>
      <c r="F9" t="str">
        <f t="shared" si="0"/>
        <v>GWM_AB30_CP</v>
      </c>
      <c r="H9" s="154" t="s">
        <v>1361</v>
      </c>
      <c r="I9" s="154" t="s">
        <v>1362</v>
      </c>
      <c r="J9" s="155" t="s">
        <v>1363</v>
      </c>
      <c r="K9" s="155" t="s">
        <v>1364</v>
      </c>
      <c r="L9" s="154" t="s">
        <v>1378</v>
      </c>
      <c r="M9" s="154" t="s">
        <v>1379</v>
      </c>
      <c r="N9" s="154"/>
      <c r="O9" s="154">
        <v>13.75</v>
      </c>
      <c r="P9" s="154"/>
    </row>
    <row r="10" spans="1:16" ht="13.5" thickBot="1">
      <c r="A10" t="s">
        <v>1061</v>
      </c>
      <c r="B10" t="s">
        <v>1373</v>
      </c>
      <c r="C10" t="s">
        <v>1466</v>
      </c>
      <c r="D10">
        <v>16.329999999999899</v>
      </c>
      <c r="F10" t="str">
        <f t="shared" si="0"/>
        <v>BYD_IPB_SW_Mainstream</v>
      </c>
      <c r="H10" s="154" t="s">
        <v>1361</v>
      </c>
      <c r="I10" s="154" t="s">
        <v>1362</v>
      </c>
      <c r="J10" s="155" t="s">
        <v>1363</v>
      </c>
      <c r="K10" s="155" t="s">
        <v>1364</v>
      </c>
      <c r="L10" s="154" t="s">
        <v>1380</v>
      </c>
      <c r="M10" s="154" t="s">
        <v>1381</v>
      </c>
      <c r="N10" s="154"/>
      <c r="O10" s="154">
        <v>5</v>
      </c>
      <c r="P10" s="154"/>
    </row>
    <row r="11" spans="1:16" ht="13.5" thickBot="1">
      <c r="A11" t="s">
        <v>317</v>
      </c>
      <c r="B11" t="s">
        <v>1390</v>
      </c>
      <c r="C11" t="s">
        <v>1466</v>
      </c>
      <c r="D11">
        <v>30.27</v>
      </c>
      <c r="F11" t="str">
        <f t="shared" si="0"/>
        <v>MC_225750_Geely_KC2A_ESP9.3HB_BB80336</v>
      </c>
      <c r="H11" s="154" t="s">
        <v>1382</v>
      </c>
      <c r="I11" s="154" t="s">
        <v>1362</v>
      </c>
      <c r="J11" s="154" t="s">
        <v>1383</v>
      </c>
      <c r="K11" s="154"/>
      <c r="L11" s="154" t="s">
        <v>1384</v>
      </c>
      <c r="M11" s="154" t="s">
        <v>1385</v>
      </c>
      <c r="N11" s="154"/>
      <c r="O11" s="154">
        <v>2</v>
      </c>
      <c r="P11" s="154"/>
    </row>
    <row r="12" spans="1:16" ht="13.5" thickBot="1">
      <c r="A12" t="s">
        <v>581</v>
      </c>
      <c r="B12" t="s">
        <v>1375</v>
      </c>
      <c r="C12" t="s">
        <v>1439</v>
      </c>
      <c r="D12">
        <v>49.379999999999903</v>
      </c>
      <c r="F12" t="str">
        <f t="shared" si="0"/>
        <v>206370_BYD_ESP9.3_New_Hybrid_MS15.1</v>
      </c>
      <c r="H12" s="154" t="s">
        <v>1382</v>
      </c>
      <c r="I12" s="154" t="s">
        <v>1362</v>
      </c>
      <c r="J12" s="155" t="s">
        <v>1363</v>
      </c>
      <c r="K12" s="155" t="s">
        <v>1364</v>
      </c>
      <c r="L12" s="156" t="s">
        <v>1365</v>
      </c>
      <c r="M12" s="154" t="s">
        <v>1366</v>
      </c>
      <c r="N12" s="154"/>
      <c r="O12" s="154">
        <v>14</v>
      </c>
      <c r="P12" s="154"/>
    </row>
    <row r="13" spans="1:16" ht="77.25" thickBot="1">
      <c r="A13" t="s">
        <v>837</v>
      </c>
      <c r="B13" t="s">
        <v>837</v>
      </c>
      <c r="C13" t="s">
        <v>1439</v>
      </c>
      <c r="D13">
        <v>4.29</v>
      </c>
      <c r="F13" t="e">
        <f t="shared" si="0"/>
        <v>#N/A</v>
      </c>
      <c r="H13" s="154" t="s">
        <v>1382</v>
      </c>
      <c r="I13" s="154" t="s">
        <v>1362</v>
      </c>
      <c r="J13" s="155" t="s">
        <v>1370</v>
      </c>
      <c r="K13" s="155" t="s">
        <v>1376</v>
      </c>
      <c r="L13" s="157" t="s">
        <v>1377</v>
      </c>
      <c r="M13" s="158" t="s">
        <v>346</v>
      </c>
      <c r="N13" s="154"/>
      <c r="O13" s="154">
        <v>1</v>
      </c>
      <c r="P13" s="154"/>
    </row>
    <row r="14" spans="1:16" ht="13.5" thickBot="1">
      <c r="A14" t="s">
        <v>933</v>
      </c>
      <c r="B14" t="s">
        <v>775</v>
      </c>
      <c r="C14" t="s">
        <v>1439</v>
      </c>
      <c r="D14">
        <v>4.8599999999999897</v>
      </c>
      <c r="F14" t="str">
        <f t="shared" si="0"/>
        <v>EC_245950_NIO_ESX_ESPHevX_DTC</v>
      </c>
      <c r="H14" s="154" t="s">
        <v>1382</v>
      </c>
      <c r="I14" s="154" t="s">
        <v>1362</v>
      </c>
      <c r="J14" s="155" t="s">
        <v>1363</v>
      </c>
      <c r="K14" s="155" t="s">
        <v>1376</v>
      </c>
      <c r="L14" s="156" t="s">
        <v>1386</v>
      </c>
      <c r="M14" s="154" t="s">
        <v>1387</v>
      </c>
      <c r="N14" s="154"/>
      <c r="O14" s="154">
        <v>4</v>
      </c>
      <c r="P14" s="154"/>
    </row>
    <row r="15" spans="1:16" ht="13.5" thickBot="1">
      <c r="A15" t="s">
        <v>883</v>
      </c>
      <c r="B15" t="s">
        <v>883</v>
      </c>
      <c r="C15" t="s">
        <v>1439</v>
      </c>
      <c r="D15">
        <v>21.07</v>
      </c>
      <c r="F15" t="str">
        <f t="shared" si="0"/>
        <v>GWM_B30_CP</v>
      </c>
      <c r="H15" s="154" t="s">
        <v>1382</v>
      </c>
      <c r="I15" s="154" t="s">
        <v>1362</v>
      </c>
      <c r="J15" s="155" t="s">
        <v>1363</v>
      </c>
      <c r="K15" s="155" t="s">
        <v>1364</v>
      </c>
      <c r="L15" s="154" t="s">
        <v>1372</v>
      </c>
      <c r="M15" s="154" t="s">
        <v>1373</v>
      </c>
      <c r="N15" s="154"/>
      <c r="O15" s="154">
        <v>12</v>
      </c>
      <c r="P15" s="154"/>
    </row>
    <row r="16" spans="1:16" ht="13.5" thickBot="1">
      <c r="A16" t="s">
        <v>556</v>
      </c>
      <c r="B16" t="s">
        <v>1449</v>
      </c>
      <c r="C16" t="s">
        <v>1439</v>
      </c>
      <c r="D16">
        <v>7.24</v>
      </c>
      <c r="F16" t="str">
        <f t="shared" si="0"/>
        <v>GEELY_FE-3AH_CB_CSIS241976</v>
      </c>
      <c r="H16" s="154" t="s">
        <v>1382</v>
      </c>
      <c r="I16" s="154" t="s">
        <v>1362</v>
      </c>
      <c r="J16" s="155" t="s">
        <v>1363</v>
      </c>
      <c r="K16" s="155" t="s">
        <v>1376</v>
      </c>
      <c r="L16" s="156" t="s">
        <v>1388</v>
      </c>
      <c r="M16" s="154" t="s">
        <v>356</v>
      </c>
      <c r="N16" s="154"/>
      <c r="O16" s="154">
        <v>2</v>
      </c>
      <c r="P16" s="154"/>
    </row>
    <row r="17" spans="1:16" ht="13.5" thickBot="1">
      <c r="A17" t="s">
        <v>701</v>
      </c>
      <c r="B17" t="s">
        <v>1451</v>
      </c>
      <c r="C17" t="s">
        <v>1439</v>
      </c>
      <c r="D17">
        <v>2.96</v>
      </c>
      <c r="F17" t="str">
        <f t="shared" si="0"/>
        <v>SAIC ZS12MCE withDA ESP9.3</v>
      </c>
      <c r="H17" s="154" t="s">
        <v>1382</v>
      </c>
      <c r="I17" s="154" t="s">
        <v>1362</v>
      </c>
      <c r="J17" s="155" t="s">
        <v>1363</v>
      </c>
      <c r="K17" s="155" t="s">
        <v>1364</v>
      </c>
      <c r="L17" s="154" t="s">
        <v>1380</v>
      </c>
      <c r="M17" s="154" t="s">
        <v>1381</v>
      </c>
      <c r="N17" s="154"/>
      <c r="O17" s="154">
        <v>20</v>
      </c>
      <c r="P17" s="154"/>
    </row>
    <row r="18" spans="1:16" ht="13.5" thickBot="1">
      <c r="A18" t="s">
        <v>709</v>
      </c>
      <c r="B18" t="s">
        <v>1442</v>
      </c>
      <c r="C18" t="s">
        <v>1439</v>
      </c>
      <c r="D18">
        <v>1.52</v>
      </c>
      <c r="F18" t="str">
        <f t="shared" si="0"/>
        <v>MC_239446_Geely_FE6AB_ESP9.3HD_BB81527</v>
      </c>
      <c r="H18" s="154" t="s">
        <v>1382</v>
      </c>
      <c r="I18" s="154" t="s">
        <v>1362</v>
      </c>
      <c r="J18" s="155" t="s">
        <v>1363</v>
      </c>
      <c r="K18" s="155" t="s">
        <v>1367</v>
      </c>
      <c r="L18" s="151" t="s">
        <v>1389</v>
      </c>
      <c r="M18" s="154" t="s">
        <v>1390</v>
      </c>
      <c r="N18" s="154"/>
      <c r="O18" s="154">
        <v>6</v>
      </c>
      <c r="P18" s="154"/>
    </row>
    <row r="19" spans="1:16" ht="13.5" thickBot="1">
      <c r="A19" t="s">
        <v>714</v>
      </c>
      <c r="B19" t="s">
        <v>1453</v>
      </c>
      <c r="C19" t="s">
        <v>1439</v>
      </c>
      <c r="D19">
        <v>11.51</v>
      </c>
      <c r="F19" t="str">
        <f t="shared" si="0"/>
        <v>217437_FAW_C229</v>
      </c>
      <c r="H19" s="154" t="s">
        <v>1382</v>
      </c>
      <c r="I19" s="154" t="s">
        <v>1362</v>
      </c>
      <c r="J19" s="155" t="s">
        <v>1363</v>
      </c>
      <c r="K19" s="155" t="s">
        <v>1376</v>
      </c>
      <c r="L19" s="156" t="s">
        <v>1386</v>
      </c>
      <c r="M19" s="154" t="s">
        <v>1237</v>
      </c>
      <c r="N19" s="154"/>
      <c r="O19" s="154">
        <v>3</v>
      </c>
      <c r="P19" s="154"/>
    </row>
    <row r="20" spans="1:16" ht="13.5" thickBot="1">
      <c r="A20" t="s">
        <v>863</v>
      </c>
      <c r="B20" t="s">
        <v>863</v>
      </c>
      <c r="C20" t="s">
        <v>1439</v>
      </c>
      <c r="D20">
        <v>1.23</v>
      </c>
      <c r="F20" t="str">
        <f t="shared" si="0"/>
        <v>CNMS_226528_IB2_RPA</v>
      </c>
      <c r="H20" s="154" t="s">
        <v>1382</v>
      </c>
      <c r="I20" s="154" t="s">
        <v>1362</v>
      </c>
      <c r="J20" s="155" t="s">
        <v>1363</v>
      </c>
      <c r="K20" s="155" t="s">
        <v>1364</v>
      </c>
      <c r="L20" s="156" t="s">
        <v>1391</v>
      </c>
      <c r="M20" s="154" t="s">
        <v>1392</v>
      </c>
      <c r="N20" s="154"/>
      <c r="O20" s="154">
        <v>3.5</v>
      </c>
      <c r="P20" s="154"/>
    </row>
    <row r="21" spans="1:16" ht="13.5" thickBot="1">
      <c r="A21" t="s">
        <v>947</v>
      </c>
      <c r="B21" t="s">
        <v>947</v>
      </c>
      <c r="C21" t="s">
        <v>1439</v>
      </c>
      <c r="D21">
        <v>15.5899999999999</v>
      </c>
      <c r="F21" t="str">
        <f t="shared" si="0"/>
        <v>GWM_AB30_CP</v>
      </c>
      <c r="H21" s="154" t="s">
        <v>1382</v>
      </c>
      <c r="I21" s="154" t="s">
        <v>1362</v>
      </c>
      <c r="J21" s="155" t="s">
        <v>1363</v>
      </c>
      <c r="K21" s="155" t="s">
        <v>1376</v>
      </c>
      <c r="L21" s="156" t="s">
        <v>1393</v>
      </c>
      <c r="M21" s="154" t="s">
        <v>1264</v>
      </c>
      <c r="N21" s="154"/>
      <c r="O21" s="154">
        <v>8.5</v>
      </c>
      <c r="P21" s="154"/>
    </row>
    <row r="22" spans="1:16" ht="13.5" thickBot="1">
      <c r="A22" t="s">
        <v>1026</v>
      </c>
      <c r="B22" t="s">
        <v>1026</v>
      </c>
      <c r="C22" t="s">
        <v>1439</v>
      </c>
      <c r="D22">
        <v>4.17</v>
      </c>
      <c r="F22" t="str">
        <f t="shared" si="0"/>
        <v>GAC_Common_Task_Record_Sprint07</v>
      </c>
      <c r="H22" s="154" t="s">
        <v>1382</v>
      </c>
      <c r="I22" s="154" t="s">
        <v>1362</v>
      </c>
      <c r="J22" s="155" t="s">
        <v>1363</v>
      </c>
      <c r="K22" s="155" t="s">
        <v>1376</v>
      </c>
      <c r="L22" s="156" t="s">
        <v>1394</v>
      </c>
      <c r="M22" s="154" t="s">
        <v>1395</v>
      </c>
      <c r="N22" s="154"/>
      <c r="O22" s="154">
        <v>4.5</v>
      </c>
      <c r="P22" s="154"/>
    </row>
    <row r="23" spans="1:16" ht="13.5" thickBot="1">
      <c r="A23" t="s">
        <v>1031</v>
      </c>
      <c r="B23" t="s">
        <v>1445</v>
      </c>
      <c r="C23" t="s">
        <v>1439</v>
      </c>
      <c r="D23">
        <v>7.37</v>
      </c>
      <c r="F23" t="str">
        <f t="shared" si="0"/>
        <v>SAIC_ZS11E_MCE_withDA_ESP9.3_241859</v>
      </c>
      <c r="H23" s="154" t="s">
        <v>1382</v>
      </c>
      <c r="I23" s="154" t="s">
        <v>1362</v>
      </c>
      <c r="J23" s="155" t="s">
        <v>1363</v>
      </c>
      <c r="K23" s="155" t="s">
        <v>1376</v>
      </c>
      <c r="L23" s="156" t="s">
        <v>1388</v>
      </c>
      <c r="M23" s="154" t="s">
        <v>118</v>
      </c>
      <c r="N23" s="154"/>
      <c r="O23" s="154">
        <v>4</v>
      </c>
      <c r="P23" s="154"/>
    </row>
    <row r="24" spans="1:16" ht="13.5" thickBot="1">
      <c r="A24" t="s">
        <v>1110</v>
      </c>
      <c r="B24" t="s">
        <v>1379</v>
      </c>
      <c r="C24" t="s">
        <v>1439</v>
      </c>
      <c r="D24">
        <v>0.53</v>
      </c>
      <c r="F24" t="str">
        <f t="shared" si="0"/>
        <v>HAIMA_238525_VF00_ESP_RC2</v>
      </c>
      <c r="H24" s="154" t="s">
        <v>1382</v>
      </c>
      <c r="I24" s="154" t="s">
        <v>1362</v>
      </c>
      <c r="J24" s="155" t="s">
        <v>1396</v>
      </c>
      <c r="K24" s="154"/>
      <c r="L24" s="151" t="s">
        <v>1397</v>
      </c>
      <c r="M24" s="154" t="s">
        <v>176</v>
      </c>
      <c r="N24" s="154"/>
      <c r="O24" s="154">
        <v>24</v>
      </c>
      <c r="P24" s="154"/>
    </row>
    <row r="25" spans="1:16" ht="77.25" thickBot="1">
      <c r="A25" t="s">
        <v>1192</v>
      </c>
      <c r="B25" t="s">
        <v>1447</v>
      </c>
      <c r="C25" t="s">
        <v>1439</v>
      </c>
      <c r="D25">
        <v>44</v>
      </c>
      <c r="F25" t="str">
        <f t="shared" si="0"/>
        <v>MC_223517_Geely_KC2A_ESP9.3CP_BB80335</v>
      </c>
      <c r="H25" s="154" t="s">
        <v>1382</v>
      </c>
      <c r="I25" s="154" t="s">
        <v>1362</v>
      </c>
      <c r="J25" s="155" t="s">
        <v>1370</v>
      </c>
      <c r="K25" s="155" t="s">
        <v>1376</v>
      </c>
      <c r="L25" s="159" t="s">
        <v>1377</v>
      </c>
      <c r="M25" s="158" t="s">
        <v>346</v>
      </c>
      <c r="N25" s="154"/>
      <c r="O25" s="154">
        <v>1</v>
      </c>
      <c r="P25" s="154"/>
    </row>
    <row r="26" spans="1:16" ht="13.5" thickBot="1">
      <c r="A26" t="s">
        <v>581</v>
      </c>
      <c r="B26" t="s">
        <v>1375</v>
      </c>
      <c r="C26" t="s">
        <v>1423</v>
      </c>
      <c r="D26">
        <v>17.72</v>
      </c>
      <c r="F26" t="str">
        <f t="shared" si="0"/>
        <v>206370_BYD_ESP9.3_New_Hybrid_MS15.1</v>
      </c>
      <c r="H26" s="154" t="s">
        <v>1382</v>
      </c>
      <c r="I26" s="154" t="s">
        <v>1362</v>
      </c>
      <c r="J26" s="155" t="s">
        <v>1398</v>
      </c>
      <c r="K26" s="154"/>
      <c r="L26" s="154"/>
      <c r="M26" s="154" t="s">
        <v>863</v>
      </c>
      <c r="N26" s="154"/>
      <c r="O26" s="154">
        <v>4</v>
      </c>
      <c r="P26" s="154"/>
    </row>
    <row r="27" spans="1:16" ht="13.5" thickBot="1">
      <c r="A27" t="s">
        <v>14</v>
      </c>
      <c r="B27" t="s">
        <v>1429</v>
      </c>
      <c r="C27" t="s">
        <v>1423</v>
      </c>
      <c r="D27">
        <v>10.93</v>
      </c>
      <c r="F27" t="str">
        <f t="shared" si="0"/>
        <v>MC_239507_SGMW_CN210S_PHEV_ESP9.3CPi</v>
      </c>
      <c r="H27" s="154" t="s">
        <v>1382</v>
      </c>
      <c r="I27" s="154" t="s">
        <v>1362</v>
      </c>
      <c r="J27" s="155" t="s">
        <v>1398</v>
      </c>
      <c r="K27" s="154"/>
      <c r="L27" s="154"/>
      <c r="M27" s="154" t="s">
        <v>1399</v>
      </c>
      <c r="N27" s="154"/>
      <c r="O27" s="154">
        <v>4</v>
      </c>
      <c r="P27" s="154"/>
    </row>
    <row r="28" spans="1:16" ht="13.5" thickBot="1">
      <c r="A28" t="s">
        <v>723</v>
      </c>
      <c r="B28" t="s">
        <v>1433</v>
      </c>
      <c r="C28" t="s">
        <v>1423</v>
      </c>
      <c r="D28">
        <v>5.45</v>
      </c>
      <c r="F28" t="str">
        <f t="shared" si="0"/>
        <v>BAIC_C62X_RC_APA</v>
      </c>
      <c r="H28" s="154" t="s">
        <v>1382</v>
      </c>
      <c r="I28" s="154" t="s">
        <v>1362</v>
      </c>
      <c r="J28" s="155" t="s">
        <v>1396</v>
      </c>
      <c r="K28" s="154"/>
      <c r="L28" s="151" t="s">
        <v>1397</v>
      </c>
      <c r="M28" s="154" t="s">
        <v>634</v>
      </c>
      <c r="N28" s="154"/>
      <c r="O28" s="154">
        <v>22</v>
      </c>
      <c r="P28" s="154"/>
    </row>
    <row r="29" spans="1:16" ht="13.5" thickBot="1">
      <c r="A29" t="s">
        <v>694</v>
      </c>
      <c r="B29" t="s">
        <v>1431</v>
      </c>
      <c r="C29" t="s">
        <v>1423</v>
      </c>
      <c r="D29">
        <v>9.75</v>
      </c>
      <c r="F29" t="str">
        <f t="shared" si="0"/>
        <v>DFN_ESP_Gen9.3_534_238307</v>
      </c>
      <c r="H29" s="154" t="s">
        <v>1400</v>
      </c>
      <c r="I29" s="154" t="s">
        <v>1362</v>
      </c>
      <c r="J29" s="155" t="s">
        <v>1363</v>
      </c>
      <c r="K29" s="155" t="s">
        <v>1376</v>
      </c>
      <c r="L29" s="156" t="s">
        <v>1401</v>
      </c>
      <c r="M29" s="154" t="s">
        <v>883</v>
      </c>
      <c r="N29" s="154"/>
      <c r="O29" s="154">
        <v>2.1</v>
      </c>
      <c r="P29" s="154"/>
    </row>
    <row r="30" spans="1:16" ht="13.5" thickBot="1">
      <c r="A30" t="s">
        <v>30</v>
      </c>
      <c r="B30" t="s">
        <v>30</v>
      </c>
      <c r="C30" t="s">
        <v>1423</v>
      </c>
      <c r="D30">
        <v>1.9</v>
      </c>
      <c r="F30" t="str">
        <f t="shared" si="0"/>
        <v>RC_242264_SOKON_S513EVR_ESP9.3</v>
      </c>
      <c r="H30" s="154" t="s">
        <v>1400</v>
      </c>
      <c r="I30" s="154" t="s">
        <v>1362</v>
      </c>
      <c r="J30" s="154" t="s">
        <v>1383</v>
      </c>
      <c r="K30" s="154"/>
      <c r="L30" s="154" t="s">
        <v>1384</v>
      </c>
      <c r="M30" s="154" t="s">
        <v>1385</v>
      </c>
      <c r="N30" s="154"/>
      <c r="O30" s="154">
        <v>3.7</v>
      </c>
      <c r="P30" s="154"/>
    </row>
    <row r="31" spans="1:16" ht="13.5" thickBot="1">
      <c r="A31" t="s">
        <v>51</v>
      </c>
      <c r="B31" t="s">
        <v>1435</v>
      </c>
      <c r="C31" t="s">
        <v>1423</v>
      </c>
      <c r="D31">
        <v>4.1900000000000004</v>
      </c>
      <c r="F31" t="str">
        <f t="shared" si="0"/>
        <v>MC_237270_GAC_A55CP_Carbon_ESP</v>
      </c>
      <c r="H31" s="154" t="s">
        <v>1400</v>
      </c>
      <c r="I31" s="154" t="s">
        <v>1362</v>
      </c>
      <c r="J31" s="154" t="s">
        <v>1383</v>
      </c>
      <c r="K31" s="154"/>
      <c r="L31" s="160" t="s">
        <v>1402</v>
      </c>
      <c r="M31" s="154" t="s">
        <v>1403</v>
      </c>
      <c r="N31" s="154"/>
      <c r="O31" s="154">
        <v>2.1</v>
      </c>
      <c r="P31" s="154"/>
    </row>
    <row r="32" spans="1:16" ht="13.5" thickBot="1">
      <c r="A32" t="s">
        <v>923</v>
      </c>
      <c r="B32" t="s">
        <v>1403</v>
      </c>
      <c r="C32" t="s">
        <v>1423</v>
      </c>
      <c r="D32">
        <v>20.100000000000001</v>
      </c>
      <c r="F32" t="str">
        <f t="shared" si="0"/>
        <v>HHT_VX1_IBooster_Gen2</v>
      </c>
      <c r="H32" s="154" t="s">
        <v>1400</v>
      </c>
      <c r="I32" s="154" t="s">
        <v>1362</v>
      </c>
      <c r="J32" s="155" t="s">
        <v>1363</v>
      </c>
      <c r="K32" s="154" t="s">
        <v>1404</v>
      </c>
      <c r="L32" s="151" t="s">
        <v>1405</v>
      </c>
      <c r="M32" s="154" t="s">
        <v>775</v>
      </c>
      <c r="N32" s="154"/>
      <c r="O32" s="154">
        <v>8.1</v>
      </c>
      <c r="P32" s="154"/>
    </row>
    <row r="33" spans="1:16" ht="13.5" thickBot="1">
      <c r="A33" t="s">
        <v>933</v>
      </c>
      <c r="B33" t="s">
        <v>775</v>
      </c>
      <c r="C33" t="s">
        <v>1423</v>
      </c>
      <c r="D33">
        <v>18.549999999999901</v>
      </c>
      <c r="F33" t="str">
        <f t="shared" si="0"/>
        <v>EC_245950_NIO_ESX_ESPHevX_DTC</v>
      </c>
      <c r="H33" s="154" t="s">
        <v>1400</v>
      </c>
      <c r="I33" s="154" t="s">
        <v>1362</v>
      </c>
      <c r="J33" s="155" t="s">
        <v>1363</v>
      </c>
      <c r="K33" s="155" t="s">
        <v>1364</v>
      </c>
      <c r="L33" s="156" t="s">
        <v>1365</v>
      </c>
      <c r="M33" s="154" t="s">
        <v>1366</v>
      </c>
      <c r="N33" s="154"/>
      <c r="O33" s="154">
        <v>1</v>
      </c>
      <c r="P33" s="154"/>
    </row>
    <row r="34" spans="1:16" ht="13.5" thickBot="1">
      <c r="A34" t="s">
        <v>1045</v>
      </c>
      <c r="B34" t="s">
        <v>1045</v>
      </c>
      <c r="C34" t="s">
        <v>1423</v>
      </c>
      <c r="D34">
        <v>25.49</v>
      </c>
      <c r="F34" t="str">
        <f t="shared" si="0"/>
        <v>Adapt_236246_SMART_BBM_Ibooster_E2_SP3</v>
      </c>
      <c r="H34" s="154" t="s">
        <v>1400</v>
      </c>
      <c r="I34" s="154" t="s">
        <v>1362</v>
      </c>
      <c r="J34" s="155" t="s">
        <v>1363</v>
      </c>
      <c r="K34" s="155" t="s">
        <v>1404</v>
      </c>
      <c r="L34" s="156" t="s">
        <v>1406</v>
      </c>
      <c r="M34" s="154" t="s">
        <v>1407</v>
      </c>
      <c r="N34" s="154"/>
      <c r="O34" s="154">
        <v>1</v>
      </c>
      <c r="P34" s="154"/>
    </row>
    <row r="35" spans="1:16" ht="13.5" thickBot="1">
      <c r="A35" t="s">
        <v>356</v>
      </c>
      <c r="B35" t="s">
        <v>356</v>
      </c>
      <c r="C35" t="s">
        <v>1423</v>
      </c>
      <c r="D35">
        <v>33.89</v>
      </c>
      <c r="F35" t="str">
        <f t="shared" si="0"/>
        <v>GWM_B30_HP</v>
      </c>
      <c r="H35" s="154" t="s">
        <v>1400</v>
      </c>
      <c r="I35" s="154" t="s">
        <v>1362</v>
      </c>
      <c r="J35" s="155" t="s">
        <v>1370</v>
      </c>
      <c r="K35" s="155" t="s">
        <v>1376</v>
      </c>
      <c r="L35" s="156" t="s">
        <v>1408</v>
      </c>
      <c r="M35" s="154" t="s">
        <v>1039</v>
      </c>
      <c r="N35" s="154"/>
      <c r="O35" s="154">
        <v>4.0999999999999996</v>
      </c>
      <c r="P35" s="154"/>
    </row>
    <row r="36" spans="1:16" ht="13.5" thickBot="1">
      <c r="A36" t="s">
        <v>1145</v>
      </c>
      <c r="B36" t="s">
        <v>1373</v>
      </c>
      <c r="C36" t="s">
        <v>1423</v>
      </c>
      <c r="D36">
        <v>14.27</v>
      </c>
      <c r="F36" t="str">
        <f t="shared" si="0"/>
        <v>BYD_IPB_SW_Mainstream</v>
      </c>
      <c r="H36" s="154" t="s">
        <v>1400</v>
      </c>
      <c r="I36" s="154" t="s">
        <v>1362</v>
      </c>
      <c r="J36" s="155" t="s">
        <v>1363</v>
      </c>
      <c r="K36" s="155" t="s">
        <v>1364</v>
      </c>
      <c r="L36" s="154" t="s">
        <v>1372</v>
      </c>
      <c r="M36" s="154" t="s">
        <v>1373</v>
      </c>
      <c r="N36" s="154"/>
      <c r="O36" s="154">
        <v>9.5</v>
      </c>
      <c r="P36" s="154"/>
    </row>
    <row r="37" spans="1:16" ht="13.5" thickBot="1">
      <c r="A37" t="s">
        <v>1189</v>
      </c>
      <c r="B37" t="s">
        <v>1426</v>
      </c>
      <c r="C37" t="s">
        <v>1423</v>
      </c>
      <c r="D37">
        <v>3.2</v>
      </c>
      <c r="F37" t="str">
        <f t="shared" si="0"/>
        <v>231839_DearCC_IC321_ESP9.3</v>
      </c>
      <c r="H37" s="154" t="s">
        <v>1400</v>
      </c>
      <c r="I37" s="154" t="s">
        <v>1362</v>
      </c>
      <c r="J37" s="155" t="s">
        <v>1363</v>
      </c>
      <c r="K37" s="155" t="s">
        <v>1364</v>
      </c>
      <c r="L37" s="154" t="s">
        <v>1409</v>
      </c>
      <c r="M37" s="154" t="s">
        <v>1410</v>
      </c>
      <c r="N37" s="154"/>
      <c r="O37" s="154">
        <v>2</v>
      </c>
      <c r="P37" s="154"/>
    </row>
    <row r="38" spans="1:16" ht="13.5" thickBot="1">
      <c r="A38" t="s">
        <v>923</v>
      </c>
      <c r="B38" t="s">
        <v>1403</v>
      </c>
      <c r="C38" t="s">
        <v>1400</v>
      </c>
      <c r="D38">
        <v>3.31</v>
      </c>
      <c r="F38" t="str">
        <f t="shared" si="0"/>
        <v>HHT_VX1_IBooster_Gen2</v>
      </c>
      <c r="H38" s="154" t="s">
        <v>1400</v>
      </c>
      <c r="I38" s="154" t="s">
        <v>1362</v>
      </c>
      <c r="J38" s="155" t="s">
        <v>1363</v>
      </c>
      <c r="K38" s="155" t="s">
        <v>1364</v>
      </c>
      <c r="L38" s="154"/>
      <c r="M38" s="154" t="s">
        <v>1411</v>
      </c>
      <c r="N38" s="154"/>
      <c r="O38" s="154">
        <v>6.2</v>
      </c>
      <c r="P38" s="154"/>
    </row>
    <row r="39" spans="1:16" ht="51.75" thickBot="1">
      <c r="A39" t="s">
        <v>933</v>
      </c>
      <c r="B39" t="s">
        <v>775</v>
      </c>
      <c r="C39" t="s">
        <v>1400</v>
      </c>
      <c r="D39">
        <v>10.62</v>
      </c>
      <c r="F39" t="str">
        <f t="shared" si="0"/>
        <v>EC_245950_NIO_ESX_ESPHevX_DTC</v>
      </c>
      <c r="H39" s="154" t="s">
        <v>1400</v>
      </c>
      <c r="I39" s="154" t="s">
        <v>1362</v>
      </c>
      <c r="J39" s="155" t="s">
        <v>1363</v>
      </c>
      <c r="K39" s="154" t="s">
        <v>1364</v>
      </c>
      <c r="L39" s="159" t="s">
        <v>1412</v>
      </c>
      <c r="M39" s="154" t="s">
        <v>1413</v>
      </c>
      <c r="N39" s="154"/>
      <c r="O39" s="154">
        <v>5</v>
      </c>
      <c r="P39" s="154"/>
    </row>
    <row r="40" spans="1:16" ht="13.5" thickBot="1">
      <c r="A40" t="s">
        <v>312</v>
      </c>
      <c r="B40" t="s">
        <v>1385</v>
      </c>
      <c r="C40" t="s">
        <v>1400</v>
      </c>
      <c r="D40">
        <v>5.6</v>
      </c>
      <c r="F40" t="str">
        <f t="shared" si="0"/>
        <v>HHT_VX1_ESPHevX</v>
      </c>
      <c r="H40" s="154" t="s">
        <v>1414</v>
      </c>
      <c r="I40" s="154" t="s">
        <v>1362</v>
      </c>
      <c r="J40" s="154" t="s">
        <v>1383</v>
      </c>
      <c r="K40" s="154"/>
      <c r="L40" s="154" t="s">
        <v>1384</v>
      </c>
      <c r="M40" s="154" t="s">
        <v>1385</v>
      </c>
      <c r="N40" s="154"/>
      <c r="O40" s="154">
        <v>3</v>
      </c>
      <c r="P40" s="154"/>
    </row>
    <row r="41" spans="1:16" ht="13.5" thickBot="1">
      <c r="A41" t="s">
        <v>883</v>
      </c>
      <c r="B41" t="s">
        <v>883</v>
      </c>
      <c r="C41" t="s">
        <v>1400</v>
      </c>
      <c r="D41">
        <v>0.91</v>
      </c>
      <c r="F41" t="str">
        <f t="shared" si="0"/>
        <v>GWM_B30_CP</v>
      </c>
      <c r="H41" s="154" t="s">
        <v>1414</v>
      </c>
      <c r="I41" s="154" t="s">
        <v>1362</v>
      </c>
      <c r="J41" s="155" t="s">
        <v>1363</v>
      </c>
      <c r="K41" s="155" t="s">
        <v>1364</v>
      </c>
      <c r="L41" s="156" t="s">
        <v>1365</v>
      </c>
      <c r="M41" s="154" t="s">
        <v>1366</v>
      </c>
      <c r="N41" s="154"/>
      <c r="O41" s="154">
        <v>10.6</v>
      </c>
      <c r="P41" s="154"/>
    </row>
    <row r="42" spans="1:16" ht="13.5" thickBot="1">
      <c r="A42" t="s">
        <v>906</v>
      </c>
      <c r="B42" t="s">
        <v>1385</v>
      </c>
      <c r="C42" t="s">
        <v>1400</v>
      </c>
      <c r="D42">
        <v>5.72</v>
      </c>
      <c r="F42" t="str">
        <f t="shared" si="0"/>
        <v>HHT_VX1_ESPHevX</v>
      </c>
      <c r="H42" s="154" t="s">
        <v>1414</v>
      </c>
      <c r="I42" s="154" t="s">
        <v>1362</v>
      </c>
      <c r="J42" s="155" t="s">
        <v>1363</v>
      </c>
      <c r="K42" s="155" t="s">
        <v>1364</v>
      </c>
      <c r="L42" s="156" t="s">
        <v>1415</v>
      </c>
      <c r="M42" s="154" t="s">
        <v>99</v>
      </c>
      <c r="N42" s="154"/>
      <c r="O42" s="154">
        <v>2.5</v>
      </c>
      <c r="P42" s="154"/>
    </row>
    <row r="43" spans="1:16" ht="13.5" thickBot="1">
      <c r="A43" t="s">
        <v>1039</v>
      </c>
      <c r="B43" t="s">
        <v>1039</v>
      </c>
      <c r="C43" t="s">
        <v>1400</v>
      </c>
      <c r="D43">
        <v>4.91</v>
      </c>
      <c r="F43" t="str">
        <f t="shared" si="0"/>
        <v>BAIC_C62XP_IB2</v>
      </c>
      <c r="H43" s="154" t="s">
        <v>1414</v>
      </c>
      <c r="I43" s="154" t="s">
        <v>1362</v>
      </c>
      <c r="J43" s="155" t="s">
        <v>1363</v>
      </c>
      <c r="K43" s="155" t="s">
        <v>1364</v>
      </c>
      <c r="L43" s="154" t="s">
        <v>1416</v>
      </c>
      <c r="M43" s="154" t="s">
        <v>1417</v>
      </c>
      <c r="N43" s="154"/>
      <c r="O43" s="154">
        <v>1</v>
      </c>
      <c r="P43" s="154"/>
    </row>
    <row r="44" spans="1:16" ht="13.5" thickBot="1">
      <c r="A44" t="s">
        <v>326</v>
      </c>
      <c r="B44" t="s">
        <v>1373</v>
      </c>
      <c r="C44" t="s">
        <v>1400</v>
      </c>
      <c r="D44">
        <v>15.5</v>
      </c>
      <c r="F44" t="str">
        <f t="shared" si="0"/>
        <v>BYD_IPB_SW_Mainstream</v>
      </c>
      <c r="H44" s="154" t="s">
        <v>1414</v>
      </c>
      <c r="I44" s="154" t="s">
        <v>1362</v>
      </c>
      <c r="J44" s="155" t="s">
        <v>1363</v>
      </c>
      <c r="K44" s="155" t="s">
        <v>1376</v>
      </c>
      <c r="L44" s="156" t="s">
        <v>1388</v>
      </c>
      <c r="M44" s="154" t="s">
        <v>356</v>
      </c>
      <c r="N44" s="154"/>
      <c r="O44" s="154">
        <v>0.3</v>
      </c>
      <c r="P44" s="154"/>
    </row>
    <row r="45" spans="1:16" ht="13.5" thickBot="1">
      <c r="A45" t="s">
        <v>1155</v>
      </c>
      <c r="B45" t="s">
        <v>1366</v>
      </c>
      <c r="C45" t="s">
        <v>1400</v>
      </c>
      <c r="D45">
        <v>2.09</v>
      </c>
      <c r="F45" t="str">
        <f t="shared" si="0"/>
        <v>BYD_Carbon_Mainstream</v>
      </c>
      <c r="H45" s="154" t="s">
        <v>1414</v>
      </c>
      <c r="I45" s="154" t="s">
        <v>1362</v>
      </c>
      <c r="J45" s="155" t="s">
        <v>1363</v>
      </c>
      <c r="K45" s="155" t="s">
        <v>1364</v>
      </c>
      <c r="L45" s="154" t="s">
        <v>1378</v>
      </c>
      <c r="M45" s="154" t="s">
        <v>1379</v>
      </c>
      <c r="N45" s="154"/>
      <c r="O45" s="154">
        <v>1</v>
      </c>
      <c r="P45" s="154"/>
    </row>
    <row r="46" spans="1:16" ht="13.5" thickBot="1">
      <c r="A46" t="s">
        <v>1159</v>
      </c>
      <c r="B46" t="s">
        <v>1410</v>
      </c>
      <c r="C46" t="s">
        <v>1400</v>
      </c>
      <c r="D46">
        <v>4.17</v>
      </c>
      <c r="F46" t="str">
        <f t="shared" si="0"/>
        <v>GAC_220680_Carbon_A18_ESPHevx_FPA/RPA</v>
      </c>
      <c r="H46" s="154" t="s">
        <v>1414</v>
      </c>
      <c r="I46" s="154" t="s">
        <v>1362</v>
      </c>
      <c r="J46" s="155" t="s">
        <v>1363</v>
      </c>
      <c r="K46" s="155" t="s">
        <v>1364</v>
      </c>
      <c r="L46" s="154" t="s">
        <v>1380</v>
      </c>
      <c r="M46" s="154" t="s">
        <v>1381</v>
      </c>
      <c r="N46" s="154"/>
      <c r="O46" s="154">
        <v>4.5</v>
      </c>
      <c r="P46" s="154"/>
    </row>
    <row r="47" spans="1:16" ht="13.5" thickBot="1">
      <c r="A47" t="s">
        <v>1162</v>
      </c>
      <c r="B47" t="s">
        <v>1411</v>
      </c>
      <c r="C47" t="s">
        <v>1400</v>
      </c>
      <c r="D47">
        <v>17.309999999999899</v>
      </c>
      <c r="F47" t="str">
        <f t="shared" si="0"/>
        <v>KX63_FL_ACC_232961</v>
      </c>
      <c r="H47" s="154" t="s">
        <v>1414</v>
      </c>
      <c r="I47" s="154" t="s">
        <v>1362</v>
      </c>
      <c r="J47" s="155" t="s">
        <v>1363</v>
      </c>
      <c r="K47" s="155" t="s">
        <v>1376</v>
      </c>
      <c r="L47" s="156" t="s">
        <v>1388</v>
      </c>
      <c r="M47" s="154" t="s">
        <v>118</v>
      </c>
      <c r="N47" s="154"/>
      <c r="O47" s="154">
        <v>1.5</v>
      </c>
      <c r="P47" s="154"/>
    </row>
    <row r="48" spans="1:16" ht="13.5" thickBot="1">
      <c r="A48" t="s">
        <v>1181</v>
      </c>
      <c r="B48" t="s">
        <v>1373</v>
      </c>
      <c r="C48" t="s">
        <v>1400</v>
      </c>
      <c r="D48">
        <v>4.91</v>
      </c>
      <c r="F48" t="str">
        <f t="shared" si="0"/>
        <v>BYD_IPB_SW_Mainstream</v>
      </c>
      <c r="H48" s="154" t="s">
        <v>1414</v>
      </c>
      <c r="I48" s="154" t="s">
        <v>1362</v>
      </c>
      <c r="J48" s="155" t="s">
        <v>1396</v>
      </c>
      <c r="K48" s="154"/>
      <c r="L48" s="151" t="s">
        <v>1397</v>
      </c>
      <c r="M48" s="154" t="s">
        <v>176</v>
      </c>
      <c r="N48" s="154"/>
      <c r="O48" s="154">
        <v>31.4</v>
      </c>
      <c r="P48" s="154"/>
    </row>
    <row r="49" spans="1:16" ht="13.5" thickBot="1">
      <c r="A49" t="s">
        <v>1209</v>
      </c>
      <c r="B49" t="s">
        <v>1407</v>
      </c>
      <c r="C49" t="s">
        <v>1400</v>
      </c>
      <c r="D49">
        <v>2.98</v>
      </c>
      <c r="F49" t="str">
        <f t="shared" si="0"/>
        <v>218053_CA_CD569_ESP9.3CP</v>
      </c>
      <c r="H49" s="154" t="s">
        <v>1414</v>
      </c>
      <c r="I49" s="154" t="s">
        <v>1362</v>
      </c>
      <c r="J49" s="155" t="s">
        <v>1363</v>
      </c>
      <c r="K49" s="155" t="s">
        <v>1376</v>
      </c>
      <c r="L49" s="154" t="s">
        <v>1418</v>
      </c>
      <c r="M49" s="154" t="s">
        <v>286</v>
      </c>
      <c r="N49" s="154"/>
      <c r="O49" s="154">
        <v>2.5</v>
      </c>
      <c r="P49" s="154"/>
    </row>
    <row r="50" spans="1:16" ht="13.5" thickBot="1">
      <c r="A50" t="s">
        <v>1215</v>
      </c>
      <c r="B50" t="s">
        <v>1413</v>
      </c>
      <c r="C50" t="s">
        <v>1400</v>
      </c>
      <c r="D50">
        <v>14.6</v>
      </c>
      <c r="F50" t="str">
        <f t="shared" si="0"/>
        <v>233324_JAC_P843_ESP9.3</v>
      </c>
      <c r="H50" s="154" t="s">
        <v>1414</v>
      </c>
      <c r="I50" s="154" t="s">
        <v>1362</v>
      </c>
      <c r="J50" s="155" t="s">
        <v>1363</v>
      </c>
      <c r="K50" s="155" t="s">
        <v>1367</v>
      </c>
      <c r="L50" s="154" t="s">
        <v>1419</v>
      </c>
      <c r="M50" s="154" t="s">
        <v>1420</v>
      </c>
      <c r="N50" s="154"/>
      <c r="O50" s="154">
        <v>1.5</v>
      </c>
      <c r="P50" s="154"/>
    </row>
    <row r="51" spans="1:16" ht="13.5" thickBot="1">
      <c r="A51" t="s">
        <v>694</v>
      </c>
      <c r="B51" t="s">
        <v>1431</v>
      </c>
      <c r="C51" t="s">
        <v>1467</v>
      </c>
      <c r="D51">
        <v>2.76</v>
      </c>
      <c r="F51" t="str">
        <f t="shared" si="0"/>
        <v>DFN_ESP_Gen9.3_534_238307</v>
      </c>
      <c r="H51" s="154" t="s">
        <v>1414</v>
      </c>
      <c r="I51" s="154" t="s">
        <v>1362</v>
      </c>
      <c r="J51" s="155" t="s">
        <v>1363</v>
      </c>
      <c r="K51" s="154" t="s">
        <v>1364</v>
      </c>
      <c r="L51" s="156" t="s">
        <v>1421</v>
      </c>
      <c r="M51" s="154" t="s">
        <v>616</v>
      </c>
      <c r="N51" s="154"/>
      <c r="O51" s="154">
        <v>3</v>
      </c>
      <c r="P51" s="154"/>
    </row>
    <row r="52" spans="1:16" ht="13.5" thickBot="1">
      <c r="A52" t="s">
        <v>356</v>
      </c>
      <c r="B52" t="s">
        <v>356</v>
      </c>
      <c r="C52" t="s">
        <v>1467</v>
      </c>
      <c r="D52">
        <v>9.3000000000000007</v>
      </c>
      <c r="F52" t="str">
        <f t="shared" si="0"/>
        <v>GWM_B30_HP</v>
      </c>
      <c r="H52" s="154" t="s">
        <v>1414</v>
      </c>
      <c r="I52" s="154" t="s">
        <v>1362</v>
      </c>
      <c r="J52" s="155" t="s">
        <v>1396</v>
      </c>
      <c r="K52" s="154"/>
      <c r="L52" s="151" t="s">
        <v>1397</v>
      </c>
      <c r="M52" s="154" t="s">
        <v>634</v>
      </c>
      <c r="N52" s="154"/>
      <c r="O52" s="154">
        <v>14</v>
      </c>
      <c r="P52" s="154"/>
    </row>
    <row r="53" spans="1:16" ht="13.5" thickBot="1">
      <c r="A53" t="s">
        <v>118</v>
      </c>
      <c r="B53" t="s">
        <v>118</v>
      </c>
      <c r="C53" t="s">
        <v>1467</v>
      </c>
      <c r="D53">
        <v>21.42</v>
      </c>
      <c r="F53" t="str">
        <f t="shared" si="0"/>
        <v>GWM_B30HP ESP</v>
      </c>
      <c r="H53" s="154" t="s">
        <v>1414</v>
      </c>
      <c r="I53" s="154" t="s">
        <v>1362</v>
      </c>
      <c r="J53" s="155" t="s">
        <v>1363</v>
      </c>
      <c r="K53" s="155" t="s">
        <v>1364</v>
      </c>
      <c r="L53" s="154" t="s">
        <v>1421</v>
      </c>
      <c r="M53" s="154" t="s">
        <v>1422</v>
      </c>
      <c r="N53" s="154"/>
      <c r="O53" s="154">
        <v>4.5</v>
      </c>
      <c r="P53" s="154"/>
    </row>
    <row r="54" spans="1:16" ht="13.5" thickBot="1">
      <c r="A54" t="s">
        <v>176</v>
      </c>
      <c r="B54" t="s">
        <v>176</v>
      </c>
      <c r="C54" t="s">
        <v>1467</v>
      </c>
      <c r="D54">
        <v>47.549999999999898</v>
      </c>
      <c r="F54" t="str">
        <f t="shared" si="0"/>
        <v>Suzuki_XE431RC ABS10.3ME</v>
      </c>
      <c r="H54" s="154" t="s">
        <v>1423</v>
      </c>
      <c r="I54" s="154" t="s">
        <v>1362</v>
      </c>
      <c r="J54" s="154" t="s">
        <v>1383</v>
      </c>
      <c r="K54" s="154"/>
      <c r="L54" s="160" t="s">
        <v>1402</v>
      </c>
      <c r="M54" s="154" t="s">
        <v>1403</v>
      </c>
      <c r="N54" s="154"/>
      <c r="O54" s="154">
        <v>8.5</v>
      </c>
      <c r="P54" s="154"/>
    </row>
    <row r="55" spans="1:16" ht="13.5" thickBot="1">
      <c r="A55" t="s">
        <v>234</v>
      </c>
      <c r="B55" t="s">
        <v>1366</v>
      </c>
      <c r="C55" t="s">
        <v>1467</v>
      </c>
      <c r="D55">
        <v>28.059999999999899</v>
      </c>
      <c r="F55" t="str">
        <f t="shared" si="0"/>
        <v>BYD_Carbon_Mainstream</v>
      </c>
      <c r="H55" s="154" t="s">
        <v>1423</v>
      </c>
      <c r="I55" s="154" t="s">
        <v>1362</v>
      </c>
      <c r="J55" s="155" t="s">
        <v>1363</v>
      </c>
      <c r="K55" s="154" t="s">
        <v>1404</v>
      </c>
      <c r="L55" s="151" t="s">
        <v>1405</v>
      </c>
      <c r="M55" s="154" t="s">
        <v>775</v>
      </c>
      <c r="N55" s="154"/>
      <c r="O55" s="154">
        <v>18</v>
      </c>
      <c r="P55" s="154"/>
    </row>
    <row r="56" spans="1:16" ht="13.5" thickBot="1">
      <c r="A56" t="s">
        <v>286</v>
      </c>
      <c r="B56" t="s">
        <v>286</v>
      </c>
      <c r="C56" t="s">
        <v>1467</v>
      </c>
      <c r="D56">
        <v>12.85</v>
      </c>
      <c r="F56" t="str">
        <f t="shared" si="0"/>
        <v>GWM_ABS9.3_EC01</v>
      </c>
      <c r="H56" s="154" t="s">
        <v>1424</v>
      </c>
      <c r="I56" s="154" t="s">
        <v>1362</v>
      </c>
      <c r="J56" s="155" t="s">
        <v>1363</v>
      </c>
      <c r="K56" s="155" t="s">
        <v>1364</v>
      </c>
      <c r="L56" s="156" t="s">
        <v>1425</v>
      </c>
      <c r="M56" s="154" t="s">
        <v>1426</v>
      </c>
      <c r="N56" s="154"/>
      <c r="O56" s="154">
        <v>2</v>
      </c>
      <c r="P56" s="154"/>
    </row>
    <row r="57" spans="1:16" ht="13.5" thickBot="1">
      <c r="A57" t="s">
        <v>330</v>
      </c>
      <c r="B57" t="s">
        <v>1420</v>
      </c>
      <c r="C57" t="s">
        <v>1467</v>
      </c>
      <c r="D57">
        <v>3.07</v>
      </c>
      <c r="F57" t="str">
        <f t="shared" si="0"/>
        <v>GEELY_BX11_ESP9.3HD</v>
      </c>
      <c r="H57" s="154" t="s">
        <v>1423</v>
      </c>
      <c r="I57" s="154" t="s">
        <v>1362</v>
      </c>
      <c r="J57" s="155" t="s">
        <v>1363</v>
      </c>
      <c r="K57" s="154" t="s">
        <v>1404</v>
      </c>
      <c r="L57" s="156" t="s">
        <v>1427</v>
      </c>
      <c r="M57" s="154" t="s">
        <v>30</v>
      </c>
      <c r="N57" s="154"/>
      <c r="O57" s="154">
        <v>0.5</v>
      </c>
      <c r="P57" s="154"/>
    </row>
    <row r="58" spans="1:16" ht="13.5" thickBot="1">
      <c r="A58" t="s">
        <v>18</v>
      </c>
      <c r="B58" t="s">
        <v>1381</v>
      </c>
      <c r="C58" t="s">
        <v>1467</v>
      </c>
      <c r="D58">
        <v>28.32</v>
      </c>
      <c r="F58" t="str">
        <f t="shared" si="0"/>
        <v>GAC_Carbon_Stream_ESPCP</v>
      </c>
      <c r="H58" s="154" t="s">
        <v>1423</v>
      </c>
      <c r="I58" s="154" t="s">
        <v>1362</v>
      </c>
      <c r="J58" s="155" t="s">
        <v>1370</v>
      </c>
      <c r="K58" s="154" t="s">
        <v>1367</v>
      </c>
      <c r="L58" s="156" t="s">
        <v>1371</v>
      </c>
      <c r="M58" s="154" t="s">
        <v>1045</v>
      </c>
      <c r="N58" s="154"/>
      <c r="O58" s="154">
        <v>3</v>
      </c>
      <c r="P58" s="154"/>
    </row>
    <row r="59" spans="1:16" ht="13.5" thickBot="1">
      <c r="A59" t="s">
        <v>616</v>
      </c>
      <c r="B59" t="s">
        <v>616</v>
      </c>
      <c r="C59" t="s">
        <v>1467</v>
      </c>
      <c r="D59">
        <v>22.47</v>
      </c>
      <c r="F59" t="str">
        <f t="shared" si="0"/>
        <v>Carbon RPA</v>
      </c>
      <c r="H59" s="154" t="s">
        <v>1423</v>
      </c>
      <c r="I59" s="154" t="s">
        <v>1362</v>
      </c>
      <c r="J59" s="155" t="s">
        <v>1363</v>
      </c>
      <c r="K59" s="155" t="s">
        <v>1364</v>
      </c>
      <c r="L59" s="154" t="s">
        <v>1372</v>
      </c>
      <c r="M59" s="154" t="s">
        <v>1373</v>
      </c>
      <c r="N59" s="154"/>
      <c r="O59" s="154">
        <v>5</v>
      </c>
      <c r="P59" s="154"/>
    </row>
    <row r="60" spans="1:16" ht="13.5" thickBot="1">
      <c r="A60" t="s">
        <v>634</v>
      </c>
      <c r="B60" t="s">
        <v>634</v>
      </c>
      <c r="C60" t="s">
        <v>1467</v>
      </c>
      <c r="D60">
        <v>12.969999999999899</v>
      </c>
      <c r="F60" t="str">
        <f t="shared" si="0"/>
        <v>XE431RC ABS10.3ME</v>
      </c>
      <c r="H60" s="154" t="s">
        <v>1423</v>
      </c>
      <c r="I60" s="154" t="s">
        <v>1362</v>
      </c>
      <c r="J60" s="155" t="s">
        <v>1363</v>
      </c>
      <c r="K60" s="155" t="s">
        <v>1364</v>
      </c>
      <c r="L60" s="156" t="s">
        <v>1374</v>
      </c>
      <c r="M60" s="154" t="s">
        <v>1375</v>
      </c>
      <c r="N60" s="154"/>
      <c r="O60" s="154">
        <v>2</v>
      </c>
      <c r="P60" s="154"/>
    </row>
    <row r="61" spans="1:16" ht="13.5" thickBot="1">
      <c r="A61" t="s">
        <v>104</v>
      </c>
      <c r="B61" t="s">
        <v>1395</v>
      </c>
      <c r="C61" t="s">
        <v>1467</v>
      </c>
      <c r="D61">
        <v>2.04</v>
      </c>
      <c r="F61" t="str">
        <f t="shared" si="0"/>
        <v>235149_FAW_HS7_RC</v>
      </c>
      <c r="H61" s="154" t="s">
        <v>1423</v>
      </c>
      <c r="I61" s="154" t="s">
        <v>1362</v>
      </c>
      <c r="J61" s="155" t="s">
        <v>1363</v>
      </c>
      <c r="K61" s="155" t="s">
        <v>1376</v>
      </c>
      <c r="L61" s="156" t="s">
        <v>1388</v>
      </c>
      <c r="M61" s="154" t="s">
        <v>356</v>
      </c>
      <c r="N61" s="154"/>
      <c r="O61" s="154">
        <v>8.6199999999999992</v>
      </c>
      <c r="P61" s="154"/>
    </row>
    <row r="62" spans="1:16" ht="13.5" thickBot="1">
      <c r="A62" t="s">
        <v>346</v>
      </c>
      <c r="B62" t="s">
        <v>346</v>
      </c>
      <c r="C62" t="s">
        <v>1467</v>
      </c>
      <c r="D62">
        <v>0.76</v>
      </c>
      <c r="F62" t="str">
        <f t="shared" si="0"/>
        <v>AB30IB2</v>
      </c>
      <c r="H62" s="154" t="s">
        <v>1423</v>
      </c>
      <c r="I62" s="154" t="s">
        <v>1362</v>
      </c>
      <c r="J62" s="155" t="s">
        <v>1363</v>
      </c>
      <c r="K62" s="155" t="s">
        <v>1404</v>
      </c>
      <c r="L62" s="151" t="s">
        <v>1428</v>
      </c>
      <c r="M62" s="154" t="s">
        <v>1429</v>
      </c>
      <c r="N62" s="154"/>
      <c r="O62" s="154">
        <v>2</v>
      </c>
      <c r="P62" s="154"/>
    </row>
    <row r="63" spans="1:16" ht="13.5" thickBot="1">
      <c r="A63" t="s">
        <v>350</v>
      </c>
      <c r="B63" t="s">
        <v>350</v>
      </c>
      <c r="C63" t="s">
        <v>1467</v>
      </c>
      <c r="D63">
        <v>0.51</v>
      </c>
      <c r="F63" t="e">
        <f t="shared" si="0"/>
        <v>#N/A</v>
      </c>
      <c r="H63" s="154" t="s">
        <v>1423</v>
      </c>
      <c r="I63" s="154" t="s">
        <v>1362</v>
      </c>
      <c r="J63" s="155" t="s">
        <v>1363</v>
      </c>
      <c r="K63" s="155" t="s">
        <v>1404</v>
      </c>
      <c r="L63" s="154" t="s">
        <v>1430</v>
      </c>
      <c r="M63" s="154" t="s">
        <v>1431</v>
      </c>
      <c r="N63" s="154"/>
      <c r="O63" s="154">
        <v>7</v>
      </c>
      <c r="P63" s="154"/>
    </row>
    <row r="64" spans="1:16" ht="13.5" thickBot="1">
      <c r="A64" t="s">
        <v>353</v>
      </c>
      <c r="B64" t="s">
        <v>353</v>
      </c>
      <c r="C64" t="s">
        <v>1467</v>
      </c>
      <c r="D64">
        <v>0.26</v>
      </c>
      <c r="F64" t="e">
        <f t="shared" si="0"/>
        <v>#N/A</v>
      </c>
      <c r="H64" s="154" t="s">
        <v>1423</v>
      </c>
      <c r="I64" s="154" t="s">
        <v>1362</v>
      </c>
      <c r="J64" s="155" t="s">
        <v>1363</v>
      </c>
      <c r="K64" s="155" t="s">
        <v>1376</v>
      </c>
      <c r="L64" s="156" t="s">
        <v>1432</v>
      </c>
      <c r="M64" s="154" t="s">
        <v>1433</v>
      </c>
      <c r="N64" s="154"/>
      <c r="O64" s="154">
        <v>1.5</v>
      </c>
      <c r="P64" s="154"/>
    </row>
    <row r="65" spans="1:16" ht="13.5" thickBot="1">
      <c r="A65" t="s">
        <v>360</v>
      </c>
      <c r="B65" t="s">
        <v>1469</v>
      </c>
      <c r="C65" t="s">
        <v>1467</v>
      </c>
      <c r="D65">
        <v>7.44</v>
      </c>
      <c r="F65" t="str">
        <f t="shared" si="0"/>
        <v>GAC_Carbon_RPA_iBooster_Mainpath</v>
      </c>
      <c r="H65" s="154" t="s">
        <v>1423</v>
      </c>
      <c r="I65" s="154" t="s">
        <v>1362</v>
      </c>
      <c r="J65" s="155" t="s">
        <v>1363</v>
      </c>
      <c r="K65" s="155" t="s">
        <v>1364</v>
      </c>
      <c r="L65" s="156" t="s">
        <v>1434</v>
      </c>
      <c r="M65" s="154" t="s">
        <v>1435</v>
      </c>
      <c r="N65" s="154"/>
      <c r="O65" s="154">
        <v>0.5</v>
      </c>
      <c r="P65" s="154"/>
    </row>
    <row r="66" spans="1:16" ht="13.5" thickBot="1">
      <c r="A66" t="s">
        <v>621</v>
      </c>
      <c r="B66" t="s">
        <v>1399</v>
      </c>
      <c r="C66" t="s">
        <v>1467</v>
      </c>
      <c r="D66">
        <v>0.49</v>
      </c>
      <c r="F66" t="str">
        <f t="shared" si="0"/>
        <v>CNMS_226315_HevX_RPA</v>
      </c>
      <c r="H66" s="154" t="s">
        <v>1436</v>
      </c>
      <c r="I66" s="154" t="s">
        <v>1362</v>
      </c>
      <c r="J66" s="155" t="s">
        <v>1363</v>
      </c>
      <c r="K66" s="155" t="s">
        <v>1364</v>
      </c>
      <c r="L66" s="156" t="s">
        <v>1365</v>
      </c>
      <c r="M66" s="154" t="s">
        <v>1366</v>
      </c>
      <c r="N66" s="154"/>
      <c r="O66" s="154">
        <v>16.5</v>
      </c>
      <c r="P66" s="154"/>
    </row>
    <row r="67" spans="1:16" ht="13.5" thickBot="1">
      <c r="A67" t="s">
        <v>21</v>
      </c>
      <c r="B67" t="s">
        <v>1410</v>
      </c>
      <c r="C67" t="s">
        <v>1467</v>
      </c>
      <c r="D67">
        <v>17.93</v>
      </c>
      <c r="F67" t="str">
        <f t="shared" si="0"/>
        <v>GAC_220680_Carbon_A18_ESPHevx_FPA/RPA</v>
      </c>
      <c r="H67" s="154" t="s">
        <v>1436</v>
      </c>
      <c r="I67" s="154" t="s">
        <v>1362</v>
      </c>
      <c r="J67" s="155" t="s">
        <v>1363</v>
      </c>
      <c r="K67" s="155" t="s">
        <v>1376</v>
      </c>
      <c r="L67" s="154" t="s">
        <v>1437</v>
      </c>
      <c r="M67" s="154" t="s">
        <v>688</v>
      </c>
      <c r="N67" s="154"/>
      <c r="O67" s="154">
        <v>1</v>
      </c>
      <c r="P67" s="154"/>
    </row>
    <row r="68" spans="1:16" ht="13.5" thickBot="1">
      <c r="A68" t="s">
        <v>870</v>
      </c>
      <c r="B68" t="s">
        <v>1429</v>
      </c>
      <c r="C68" t="s">
        <v>1467</v>
      </c>
      <c r="D68">
        <v>2.46</v>
      </c>
      <c r="F68" t="str">
        <f t="shared" ref="F68:F131" si="1">VLOOKUP(B68,$M$3:$M$132,1,0)</f>
        <v>MC_239507_SGMW_CN210S_PHEV_ESP9.3CPi</v>
      </c>
      <c r="H68" s="154" t="s">
        <v>1436</v>
      </c>
      <c r="I68" s="154" t="s">
        <v>1362</v>
      </c>
      <c r="J68" s="155" t="s">
        <v>1363</v>
      </c>
      <c r="K68" s="155" t="s">
        <v>1364</v>
      </c>
      <c r="L68" s="154" t="s">
        <v>1372</v>
      </c>
      <c r="M68" s="154" t="s">
        <v>1373</v>
      </c>
      <c r="N68" s="154"/>
      <c r="O68" s="154">
        <v>10</v>
      </c>
      <c r="P68" s="154"/>
    </row>
    <row r="69" spans="1:16" ht="13.5" thickBot="1">
      <c r="A69" t="s">
        <v>356</v>
      </c>
      <c r="B69" t="s">
        <v>356</v>
      </c>
      <c r="C69" t="s">
        <v>1470</v>
      </c>
      <c r="D69">
        <v>2.82</v>
      </c>
      <c r="F69" t="str">
        <f t="shared" si="1"/>
        <v>GWM_B30_HP</v>
      </c>
      <c r="H69" s="154" t="s">
        <v>1436</v>
      </c>
      <c r="I69" s="154" t="s">
        <v>1362</v>
      </c>
      <c r="J69" s="155" t="s">
        <v>1363</v>
      </c>
      <c r="K69" s="155" t="s">
        <v>1364</v>
      </c>
      <c r="L69" s="154" t="s">
        <v>1380</v>
      </c>
      <c r="M69" s="154" t="s">
        <v>1381</v>
      </c>
      <c r="N69" s="154"/>
      <c r="O69" s="154">
        <v>13</v>
      </c>
      <c r="P69" s="154"/>
    </row>
    <row r="70" spans="1:16" ht="13.5" thickBot="1">
      <c r="A70" t="s">
        <v>118</v>
      </c>
      <c r="B70" t="s">
        <v>118</v>
      </c>
      <c r="C70" t="s">
        <v>1470</v>
      </c>
      <c r="D70">
        <v>1.2</v>
      </c>
      <c r="F70" t="str">
        <f t="shared" si="1"/>
        <v>GWM_B30HP ESP</v>
      </c>
      <c r="H70" s="154" t="s">
        <v>1436</v>
      </c>
      <c r="I70" s="154" t="s">
        <v>1362</v>
      </c>
      <c r="J70" s="155" t="s">
        <v>1363</v>
      </c>
      <c r="K70" s="155" t="s">
        <v>1376</v>
      </c>
      <c r="L70" s="156" t="s">
        <v>1388</v>
      </c>
      <c r="M70" s="154" t="s">
        <v>118</v>
      </c>
      <c r="N70" s="154"/>
      <c r="O70" s="154">
        <v>13</v>
      </c>
      <c r="P70" s="154"/>
    </row>
    <row r="71" spans="1:16" ht="13.5" thickBot="1">
      <c r="A71" t="s">
        <v>176</v>
      </c>
      <c r="B71" t="s">
        <v>176</v>
      </c>
      <c r="C71" t="s">
        <v>1470</v>
      </c>
      <c r="D71">
        <v>49.739999999999903</v>
      </c>
      <c r="F71" t="str">
        <f t="shared" si="1"/>
        <v>Suzuki_XE431RC ABS10.3ME</v>
      </c>
      <c r="H71" s="154" t="s">
        <v>1436</v>
      </c>
      <c r="I71" s="154" t="s">
        <v>1362</v>
      </c>
      <c r="J71" s="155" t="s">
        <v>1396</v>
      </c>
      <c r="K71" s="154"/>
      <c r="L71" s="151" t="s">
        <v>1397</v>
      </c>
      <c r="M71" s="154" t="s">
        <v>176</v>
      </c>
      <c r="N71" s="154"/>
      <c r="O71" s="154">
        <v>32.200000000000003</v>
      </c>
      <c r="P71" s="154"/>
    </row>
    <row r="72" spans="1:16" ht="13.5" thickBot="1">
      <c r="A72" t="s">
        <v>234</v>
      </c>
      <c r="B72" t="s">
        <v>1366</v>
      </c>
      <c r="C72" t="s">
        <v>1470</v>
      </c>
      <c r="D72">
        <v>26.11</v>
      </c>
      <c r="F72" t="str">
        <f t="shared" si="1"/>
        <v>BYD_Carbon_Mainstream</v>
      </c>
      <c r="H72" s="154" t="s">
        <v>1436</v>
      </c>
      <c r="I72" s="154" t="s">
        <v>1362</v>
      </c>
      <c r="J72" s="155" t="s">
        <v>1363</v>
      </c>
      <c r="K72" s="155" t="s">
        <v>1376</v>
      </c>
      <c r="L72" s="154" t="s">
        <v>1418</v>
      </c>
      <c r="M72" s="154" t="s">
        <v>286</v>
      </c>
      <c r="N72" s="154"/>
      <c r="O72" s="154">
        <v>7</v>
      </c>
      <c r="P72" s="154"/>
    </row>
    <row r="73" spans="1:16" ht="13.5" thickBot="1">
      <c r="A73" t="s">
        <v>312</v>
      </c>
      <c r="B73" t="s">
        <v>1385</v>
      </c>
      <c r="C73" t="s">
        <v>1470</v>
      </c>
      <c r="D73">
        <v>2.33</v>
      </c>
      <c r="F73" t="str">
        <f t="shared" si="1"/>
        <v>HHT_VX1_ESPHevX</v>
      </c>
      <c r="H73" s="154" t="s">
        <v>1436</v>
      </c>
      <c r="I73" s="154" t="s">
        <v>1362</v>
      </c>
      <c r="J73" s="155" t="s">
        <v>1398</v>
      </c>
      <c r="K73" s="154"/>
      <c r="L73" s="154"/>
      <c r="M73" s="154" t="s">
        <v>863</v>
      </c>
      <c r="N73" s="154"/>
      <c r="O73" s="154">
        <v>4</v>
      </c>
      <c r="P73" s="154"/>
    </row>
    <row r="74" spans="1:16" ht="13.5" thickBot="1">
      <c r="A74" t="s">
        <v>18</v>
      </c>
      <c r="B74" t="s">
        <v>1381</v>
      </c>
      <c r="C74" t="s">
        <v>1470</v>
      </c>
      <c r="D74">
        <v>41.72</v>
      </c>
      <c r="F74" t="str">
        <f t="shared" si="1"/>
        <v>GAC_Carbon_Stream_ESPCP</v>
      </c>
      <c r="H74" s="154" t="s">
        <v>1436</v>
      </c>
      <c r="I74" s="154" t="s">
        <v>1362</v>
      </c>
      <c r="J74" s="155" t="s">
        <v>1398</v>
      </c>
      <c r="K74" s="154"/>
      <c r="L74" s="154"/>
      <c r="M74" s="154" t="s">
        <v>1399</v>
      </c>
      <c r="N74" s="154"/>
      <c r="O74" s="154">
        <v>9</v>
      </c>
      <c r="P74" s="154"/>
    </row>
    <row r="75" spans="1:16" ht="13.5" thickBot="1">
      <c r="A75" t="s">
        <v>634</v>
      </c>
      <c r="B75" t="s">
        <v>634</v>
      </c>
      <c r="C75" t="s">
        <v>1470</v>
      </c>
      <c r="D75">
        <v>29.1099999999999</v>
      </c>
      <c r="F75" t="str">
        <f t="shared" si="1"/>
        <v>XE431RC ABS10.3ME</v>
      </c>
      <c r="H75" s="154" t="s">
        <v>1436</v>
      </c>
      <c r="I75" s="154" t="s">
        <v>1362</v>
      </c>
      <c r="J75" s="155" t="s">
        <v>1396</v>
      </c>
      <c r="K75" s="154"/>
      <c r="L75" s="151" t="s">
        <v>1397</v>
      </c>
      <c r="M75" s="154" t="s">
        <v>634</v>
      </c>
      <c r="N75" s="154"/>
      <c r="O75" s="154">
        <v>15.4</v>
      </c>
      <c r="P75" s="154"/>
    </row>
    <row r="76" spans="1:16" ht="13.5" thickBot="1">
      <c r="A76" t="s">
        <v>104</v>
      </c>
      <c r="B76" t="s">
        <v>1395</v>
      </c>
      <c r="C76" t="s">
        <v>1470</v>
      </c>
      <c r="D76">
        <v>5.33</v>
      </c>
      <c r="F76" t="str">
        <f t="shared" si="1"/>
        <v>235149_FAW_HS7_RC</v>
      </c>
      <c r="H76" s="154" t="s">
        <v>1436</v>
      </c>
      <c r="I76" s="154" t="s">
        <v>1362</v>
      </c>
      <c r="J76" s="155" t="s">
        <v>1363</v>
      </c>
      <c r="K76" s="155" t="s">
        <v>1364</v>
      </c>
      <c r="L76" t="s">
        <v>1421</v>
      </c>
      <c r="M76" s="154" t="s">
        <v>1422</v>
      </c>
      <c r="N76" s="154"/>
      <c r="O76" s="154">
        <v>3</v>
      </c>
      <c r="P76" s="154"/>
    </row>
    <row r="77" spans="1:16" ht="13.5" thickBot="1">
      <c r="A77" t="s">
        <v>353</v>
      </c>
      <c r="B77" t="s">
        <v>353</v>
      </c>
      <c r="C77" t="s">
        <v>1470</v>
      </c>
      <c r="D77">
        <v>2.4</v>
      </c>
      <c r="F77" t="e">
        <f t="shared" si="1"/>
        <v>#N/A</v>
      </c>
      <c r="H77" s="154" t="s">
        <v>1438</v>
      </c>
      <c r="I77" s="154" t="s">
        <v>1362</v>
      </c>
      <c r="J77" s="155" t="s">
        <v>1363</v>
      </c>
      <c r="K77" s="155" t="s">
        <v>1376</v>
      </c>
      <c r="L77" s="156" t="s">
        <v>1401</v>
      </c>
      <c r="M77" s="154" t="s">
        <v>883</v>
      </c>
      <c r="N77" s="154"/>
      <c r="O77" s="154">
        <v>11</v>
      </c>
      <c r="P77" s="154"/>
    </row>
    <row r="78" spans="1:16" ht="13.5" thickBot="1">
      <c r="A78" t="s">
        <v>621</v>
      </c>
      <c r="B78" t="s">
        <v>1399</v>
      </c>
      <c r="C78" t="s">
        <v>1470</v>
      </c>
      <c r="D78">
        <v>5.04</v>
      </c>
      <c r="F78" t="str">
        <f t="shared" si="1"/>
        <v>CNMS_226315_HevX_RPA</v>
      </c>
      <c r="H78" s="154" t="s">
        <v>1439</v>
      </c>
      <c r="I78" s="154" t="s">
        <v>1362</v>
      </c>
      <c r="J78" s="155" t="s">
        <v>1363</v>
      </c>
      <c r="K78" s="154" t="s">
        <v>1404</v>
      </c>
      <c r="L78" s="151" t="s">
        <v>1405</v>
      </c>
      <c r="M78" s="154" t="s">
        <v>775</v>
      </c>
      <c r="N78" s="154"/>
      <c r="O78" s="154">
        <v>3</v>
      </c>
      <c r="P78" s="154"/>
    </row>
    <row r="79" spans="1:16" ht="13.5" thickBot="1">
      <c r="A79" t="s">
        <v>317</v>
      </c>
      <c r="B79" t="s">
        <v>1390</v>
      </c>
      <c r="C79" t="s">
        <v>1470</v>
      </c>
      <c r="D79">
        <v>9.84</v>
      </c>
      <c r="F79" t="str">
        <f t="shared" si="1"/>
        <v>MC_225750_Geely_KC2A_ESP9.3HB_BB80336</v>
      </c>
      <c r="H79" s="154" t="s">
        <v>1438</v>
      </c>
      <c r="I79" s="154" t="s">
        <v>1362</v>
      </c>
      <c r="J79" s="155" t="s">
        <v>1363</v>
      </c>
      <c r="K79" s="155" t="s">
        <v>1376</v>
      </c>
      <c r="L79" s="156" t="s">
        <v>1440</v>
      </c>
      <c r="M79" s="154" t="s">
        <v>947</v>
      </c>
      <c r="N79" s="154"/>
      <c r="O79" s="154">
        <v>6</v>
      </c>
      <c r="P79" s="154"/>
    </row>
    <row r="80" spans="1:16" ht="13.5" thickBot="1">
      <c r="A80" t="s">
        <v>342</v>
      </c>
      <c r="B80" t="s">
        <v>1373</v>
      </c>
      <c r="C80" t="s">
        <v>1470</v>
      </c>
      <c r="D80">
        <v>13.84</v>
      </c>
      <c r="F80" t="str">
        <f t="shared" si="1"/>
        <v>BYD_IPB_SW_Mainstream</v>
      </c>
      <c r="H80" s="154" t="s">
        <v>1438</v>
      </c>
      <c r="I80" s="154" t="s">
        <v>1362</v>
      </c>
      <c r="J80" s="155" t="s">
        <v>1363</v>
      </c>
      <c r="K80" s="155" t="s">
        <v>1367</v>
      </c>
      <c r="L80" s="161" t="s">
        <v>1441</v>
      </c>
      <c r="M80" s="154" t="s">
        <v>1442</v>
      </c>
      <c r="N80" s="154"/>
      <c r="O80" s="154">
        <v>4</v>
      </c>
      <c r="P80" s="154"/>
    </row>
    <row r="81" spans="1:16" ht="13.5" thickBot="1">
      <c r="A81" t="s">
        <v>352</v>
      </c>
      <c r="B81" t="s">
        <v>352</v>
      </c>
      <c r="C81" t="s">
        <v>1470</v>
      </c>
      <c r="D81">
        <v>4.9000000000000004</v>
      </c>
      <c r="F81" t="e">
        <f t="shared" si="1"/>
        <v>#N/A</v>
      </c>
      <c r="H81" s="154" t="s">
        <v>1439</v>
      </c>
      <c r="I81" s="154" t="s">
        <v>1362</v>
      </c>
      <c r="J81" s="155" t="s">
        <v>1363</v>
      </c>
      <c r="K81" s="155" t="s">
        <v>1364</v>
      </c>
      <c r="L81" s="156" t="s">
        <v>1443</v>
      </c>
      <c r="M81" s="154" t="s">
        <v>1026</v>
      </c>
      <c r="N81" s="154"/>
      <c r="O81" s="154">
        <v>4</v>
      </c>
      <c r="P81" s="154"/>
    </row>
    <row r="82" spans="1:16" ht="13.5" thickBot="1">
      <c r="A82" t="s">
        <v>371</v>
      </c>
      <c r="B82" t="s">
        <v>863</v>
      </c>
      <c r="C82" t="s">
        <v>1470</v>
      </c>
      <c r="D82">
        <v>6.76</v>
      </c>
      <c r="F82" t="str">
        <f t="shared" si="1"/>
        <v>CNMS_226528_IB2_RPA</v>
      </c>
      <c r="H82" s="154" t="s">
        <v>1439</v>
      </c>
      <c r="I82" s="154" t="s">
        <v>1362</v>
      </c>
      <c r="J82" s="155" t="s">
        <v>1363</v>
      </c>
      <c r="K82" s="154" t="s">
        <v>1367</v>
      </c>
      <c r="L82" s="151" t="s">
        <v>1444</v>
      </c>
      <c r="M82" s="154" t="s">
        <v>1445</v>
      </c>
      <c r="N82" s="154"/>
      <c r="O82" s="154">
        <v>4</v>
      </c>
      <c r="P82" s="154"/>
    </row>
    <row r="83" spans="1:16" ht="13.5" thickBot="1">
      <c r="A83" t="s">
        <v>610</v>
      </c>
      <c r="B83" t="s">
        <v>1387</v>
      </c>
      <c r="C83" t="s">
        <v>1470</v>
      </c>
      <c r="D83">
        <v>5.16</v>
      </c>
      <c r="F83" t="str">
        <f t="shared" si="1"/>
        <v>216916_FAW_E115_L3_ESPhev_APB(CBi)</v>
      </c>
      <c r="H83" s="154" t="s">
        <v>1439</v>
      </c>
      <c r="I83" s="154" t="s">
        <v>1362</v>
      </c>
      <c r="J83" s="155" t="s">
        <v>1363</v>
      </c>
      <c r="K83" s="155" t="s">
        <v>1364</v>
      </c>
      <c r="L83" s="156" t="s">
        <v>1374</v>
      </c>
      <c r="M83" s="154" t="s">
        <v>1375</v>
      </c>
      <c r="N83" s="154"/>
      <c r="O83" s="154">
        <v>11</v>
      </c>
      <c r="P83" s="154"/>
    </row>
    <row r="84" spans="1:16" ht="13.5" thickBot="1">
      <c r="A84" t="s">
        <v>1237</v>
      </c>
      <c r="B84" t="s">
        <v>1237</v>
      </c>
      <c r="C84" t="s">
        <v>1470</v>
      </c>
      <c r="D84">
        <v>10.48</v>
      </c>
      <c r="F84" t="str">
        <f t="shared" si="1"/>
        <v>FAW_E115_ESPhev</v>
      </c>
      <c r="H84" s="154" t="s">
        <v>1439</v>
      </c>
      <c r="I84" s="154" t="s">
        <v>1362</v>
      </c>
      <c r="J84" s="155" t="s">
        <v>1363</v>
      </c>
      <c r="K84" s="155" t="s">
        <v>1364</v>
      </c>
      <c r="L84" s="154" t="s">
        <v>1378</v>
      </c>
      <c r="M84" s="154" t="s">
        <v>1379</v>
      </c>
      <c r="N84" s="154"/>
      <c r="O84" s="154">
        <v>0.5</v>
      </c>
      <c r="P84" s="154"/>
    </row>
    <row r="85" spans="1:16" ht="13.5" thickBot="1">
      <c r="A85" t="s">
        <v>1250</v>
      </c>
      <c r="B85" t="s">
        <v>1392</v>
      </c>
      <c r="C85" t="s">
        <v>1470</v>
      </c>
      <c r="D85">
        <v>23.62</v>
      </c>
      <c r="F85" t="str">
        <f t="shared" si="1"/>
        <v>242899_GAC_A39_ESP9.3CPHD_RC4</v>
      </c>
      <c r="H85" s="154" t="s">
        <v>1439</v>
      </c>
      <c r="I85" s="154" t="s">
        <v>1362</v>
      </c>
      <c r="J85" s="155" t="s">
        <v>1363</v>
      </c>
      <c r="K85" s="155" t="s">
        <v>1367</v>
      </c>
      <c r="L85" s="151" t="s">
        <v>1446</v>
      </c>
      <c r="M85" s="154" t="s">
        <v>1447</v>
      </c>
      <c r="N85" s="154"/>
      <c r="O85" s="154">
        <v>16</v>
      </c>
      <c r="P85" s="154"/>
    </row>
    <row r="86" spans="1:16" ht="13.5" thickBot="1">
      <c r="A86" t="s">
        <v>1264</v>
      </c>
      <c r="B86" t="s">
        <v>1264</v>
      </c>
      <c r="C86" t="s">
        <v>1470</v>
      </c>
      <c r="D86">
        <v>23.62</v>
      </c>
      <c r="F86" t="str">
        <f t="shared" si="1"/>
        <v>FAW_E111_ESPhev</v>
      </c>
      <c r="H86" s="154" t="s">
        <v>1439</v>
      </c>
      <c r="I86" s="154" t="s">
        <v>1362</v>
      </c>
      <c r="J86" s="155" t="s">
        <v>1363</v>
      </c>
      <c r="K86" s="155" t="s">
        <v>1367</v>
      </c>
      <c r="L86" s="151" t="s">
        <v>1448</v>
      </c>
      <c r="M86" s="154" t="s">
        <v>1449</v>
      </c>
      <c r="N86" s="154"/>
      <c r="O86" s="154">
        <v>5</v>
      </c>
      <c r="P86" s="154"/>
    </row>
    <row r="87" spans="1:16" ht="13.5" thickBot="1">
      <c r="A87" t="s">
        <v>118</v>
      </c>
      <c r="B87" t="s">
        <v>118</v>
      </c>
      <c r="C87" t="s">
        <v>1436</v>
      </c>
      <c r="D87">
        <v>18.79</v>
      </c>
      <c r="F87" t="str">
        <f t="shared" si="1"/>
        <v>GWM_B30HP ESP</v>
      </c>
      <c r="H87" s="154" t="s">
        <v>1439</v>
      </c>
      <c r="I87" s="154" t="s">
        <v>1362</v>
      </c>
      <c r="J87" s="155" t="s">
        <v>1363</v>
      </c>
      <c r="K87" s="154" t="s">
        <v>1367</v>
      </c>
      <c r="L87" s="156" t="s">
        <v>1450</v>
      </c>
      <c r="M87" s="154" t="s">
        <v>1451</v>
      </c>
      <c r="N87" s="154"/>
      <c r="O87" s="154">
        <v>3</v>
      </c>
      <c r="P87" s="154"/>
    </row>
    <row r="88" spans="1:16" ht="13.5" thickBot="1">
      <c r="A88" t="s">
        <v>176</v>
      </c>
      <c r="B88" t="s">
        <v>176</v>
      </c>
      <c r="C88" t="s">
        <v>1436</v>
      </c>
      <c r="D88">
        <v>44.82</v>
      </c>
      <c r="F88" t="str">
        <f t="shared" si="1"/>
        <v>Suzuki_XE431RC ABS10.3ME</v>
      </c>
      <c r="H88" s="154" t="s">
        <v>1439</v>
      </c>
      <c r="I88" s="154" t="s">
        <v>1362</v>
      </c>
      <c r="J88" s="155" t="s">
        <v>1363</v>
      </c>
      <c r="K88" s="155" t="s">
        <v>1376</v>
      </c>
      <c r="L88" s="156" t="s">
        <v>1452</v>
      </c>
      <c r="M88" s="154" t="s">
        <v>1453</v>
      </c>
      <c r="N88" s="154"/>
      <c r="O88" s="154">
        <v>8</v>
      </c>
      <c r="P88" s="154"/>
    </row>
    <row r="89" spans="1:16" ht="13.5" thickBot="1">
      <c r="A89" t="s">
        <v>234</v>
      </c>
      <c r="B89" t="s">
        <v>1366</v>
      </c>
      <c r="C89" t="s">
        <v>1436</v>
      </c>
      <c r="D89">
        <v>33.33</v>
      </c>
      <c r="F89" t="str">
        <f t="shared" si="1"/>
        <v>BYD_Carbon_Mainstream</v>
      </c>
      <c r="H89" s="154" t="s">
        <v>1454</v>
      </c>
      <c r="I89" s="154" t="s">
        <v>1362</v>
      </c>
      <c r="J89" s="154" t="s">
        <v>1383</v>
      </c>
      <c r="K89" s="154"/>
      <c r="L89" s="160" t="s">
        <v>1402</v>
      </c>
      <c r="M89" s="154" t="s">
        <v>1403</v>
      </c>
      <c r="N89" s="154"/>
      <c r="O89" s="154">
        <v>0.74</v>
      </c>
      <c r="P89" s="154"/>
    </row>
    <row r="90" spans="1:16" ht="13.5" thickBot="1">
      <c r="A90" t="s">
        <v>286</v>
      </c>
      <c r="B90" t="s">
        <v>286</v>
      </c>
      <c r="C90" t="s">
        <v>1436</v>
      </c>
      <c r="D90">
        <v>10.66</v>
      </c>
      <c r="F90" t="str">
        <f t="shared" si="1"/>
        <v>GWM_ABS9.3_EC01</v>
      </c>
      <c r="H90" s="154" t="s">
        <v>1454</v>
      </c>
      <c r="I90" s="154" t="s">
        <v>1362</v>
      </c>
      <c r="J90" s="155" t="s">
        <v>1363</v>
      </c>
      <c r="K90" s="154" t="s">
        <v>1404</v>
      </c>
      <c r="L90" s="151" t="s">
        <v>1405</v>
      </c>
      <c r="M90" s="154" t="s">
        <v>775</v>
      </c>
      <c r="N90" s="154"/>
      <c r="O90" s="154">
        <v>2.12</v>
      </c>
      <c r="P90" s="154"/>
    </row>
    <row r="91" spans="1:16" ht="13.5" thickBot="1">
      <c r="A91" t="s">
        <v>18</v>
      </c>
      <c r="B91" t="s">
        <v>1381</v>
      </c>
      <c r="C91" t="s">
        <v>1436</v>
      </c>
      <c r="D91">
        <v>23.02</v>
      </c>
      <c r="F91" t="str">
        <f t="shared" si="1"/>
        <v>GAC_Carbon_Stream_ESPCP</v>
      </c>
      <c r="H91" s="154" t="s">
        <v>1454</v>
      </c>
      <c r="I91" s="154" t="s">
        <v>1362</v>
      </c>
      <c r="J91" s="155" t="s">
        <v>1363</v>
      </c>
      <c r="K91" s="155" t="s">
        <v>1364</v>
      </c>
      <c r="L91" s="156" t="s">
        <v>1365</v>
      </c>
      <c r="M91" s="154" t="s">
        <v>1366</v>
      </c>
      <c r="N91" s="154"/>
      <c r="O91" s="154">
        <v>7.45</v>
      </c>
      <c r="P91" s="154"/>
    </row>
    <row r="92" spans="1:16" ht="13.5" thickBot="1">
      <c r="A92" t="s">
        <v>634</v>
      </c>
      <c r="B92" t="s">
        <v>634</v>
      </c>
      <c r="C92" t="s">
        <v>1436</v>
      </c>
      <c r="D92">
        <v>26.209999999999901</v>
      </c>
      <c r="F92" t="str">
        <f t="shared" si="1"/>
        <v>XE431RC ABS10.3ME</v>
      </c>
      <c r="H92" s="154" t="s">
        <v>1454</v>
      </c>
      <c r="I92" s="154" t="s">
        <v>1362</v>
      </c>
      <c r="J92" s="155" t="s">
        <v>1363</v>
      </c>
      <c r="K92" s="155" t="s">
        <v>1404</v>
      </c>
      <c r="L92" s="162" t="s">
        <v>1455</v>
      </c>
      <c r="M92" s="154" t="s">
        <v>1456</v>
      </c>
      <c r="N92" s="154"/>
      <c r="O92" s="154">
        <v>0.75</v>
      </c>
      <c r="P92" s="154"/>
    </row>
    <row r="93" spans="1:16" ht="13.5" thickBot="1">
      <c r="A93" t="s">
        <v>748</v>
      </c>
      <c r="B93" t="s">
        <v>1422</v>
      </c>
      <c r="C93" t="s">
        <v>1436</v>
      </c>
      <c r="D93">
        <v>5.15</v>
      </c>
      <c r="F93" t="str">
        <f t="shared" si="1"/>
        <v>GAC_Carbon_RPA_ESPHevx_Mainpath</v>
      </c>
      <c r="H93" s="154" t="s">
        <v>1454</v>
      </c>
      <c r="I93" s="154" t="s">
        <v>1362</v>
      </c>
      <c r="J93" s="155" t="s">
        <v>1363</v>
      </c>
      <c r="K93" s="155" t="s">
        <v>1367</v>
      </c>
      <c r="L93" s="156" t="s">
        <v>1457</v>
      </c>
      <c r="M93" s="154" t="s">
        <v>1458</v>
      </c>
      <c r="N93" s="154"/>
      <c r="O93" s="154">
        <v>0.61</v>
      </c>
      <c r="P93" s="154"/>
    </row>
    <row r="94" spans="1:16" ht="51.75" thickBot="1">
      <c r="A94" t="s">
        <v>326</v>
      </c>
      <c r="B94" t="s">
        <v>1373</v>
      </c>
      <c r="C94" t="s">
        <v>1436</v>
      </c>
      <c r="D94">
        <v>10.64</v>
      </c>
      <c r="F94" t="str">
        <f t="shared" si="1"/>
        <v>BYD_IPB_SW_Mainstream</v>
      </c>
      <c r="H94" s="154" t="s">
        <v>1454</v>
      </c>
      <c r="I94" s="154" t="s">
        <v>1362</v>
      </c>
      <c r="J94" s="155" t="s">
        <v>1363</v>
      </c>
      <c r="K94" s="155" t="s">
        <v>1376</v>
      </c>
      <c r="L94" s="159" t="s">
        <v>1459</v>
      </c>
      <c r="M94" s="154" t="s">
        <v>1018</v>
      </c>
      <c r="N94" s="154"/>
      <c r="O94" s="154">
        <v>1.5</v>
      </c>
      <c r="P94" s="154"/>
    </row>
    <row r="95" spans="1:16" ht="13.5" thickBot="1">
      <c r="A95" t="s">
        <v>621</v>
      </c>
      <c r="B95" t="s">
        <v>1399</v>
      </c>
      <c r="C95" t="s">
        <v>1436</v>
      </c>
      <c r="D95">
        <v>9.34</v>
      </c>
      <c r="F95" t="str">
        <f t="shared" si="1"/>
        <v>CNMS_226315_HevX_RPA</v>
      </c>
      <c r="H95" s="154" t="s">
        <v>1454</v>
      </c>
      <c r="I95" s="154" t="s">
        <v>1362</v>
      </c>
      <c r="J95" s="155" t="s">
        <v>1363</v>
      </c>
      <c r="K95" s="155" t="s">
        <v>1364</v>
      </c>
      <c r="L95" s="154" t="s">
        <v>1380</v>
      </c>
      <c r="M95" s="154" t="s">
        <v>1381</v>
      </c>
      <c r="N95" s="154"/>
      <c r="O95" s="154">
        <v>12.37</v>
      </c>
      <c r="P95" s="154"/>
    </row>
    <row r="96" spans="1:16" ht="13.5" thickBot="1">
      <c r="A96" t="s">
        <v>367</v>
      </c>
      <c r="B96" t="s">
        <v>863</v>
      </c>
      <c r="C96" t="s">
        <v>1436</v>
      </c>
      <c r="D96">
        <v>4.3</v>
      </c>
      <c r="F96" t="str">
        <f t="shared" si="1"/>
        <v>CNMS_226528_IB2_RPA</v>
      </c>
      <c r="H96" s="154" t="s">
        <v>1454</v>
      </c>
      <c r="I96" s="154" t="s">
        <v>1362</v>
      </c>
      <c r="J96" s="155" t="s">
        <v>1370</v>
      </c>
      <c r="K96" s="155" t="s">
        <v>1364</v>
      </c>
      <c r="L96" s="158" t="s">
        <v>1460</v>
      </c>
      <c r="M96" s="154" t="s">
        <v>1461</v>
      </c>
      <c r="N96" s="154"/>
      <c r="O96" s="154">
        <v>0.36</v>
      </c>
      <c r="P96" s="154"/>
    </row>
    <row r="97" spans="1:16" ht="13.5" thickBot="1">
      <c r="A97" t="s">
        <v>688</v>
      </c>
      <c r="B97" t="s">
        <v>688</v>
      </c>
      <c r="C97" t="s">
        <v>1436</v>
      </c>
      <c r="D97">
        <v>1.45</v>
      </c>
      <c r="F97" t="str">
        <f t="shared" si="1"/>
        <v>GWM CHB027 RC3 ESP9.3</v>
      </c>
      <c r="H97" s="154" t="s">
        <v>1454</v>
      </c>
      <c r="I97" s="154" t="s">
        <v>1362</v>
      </c>
      <c r="J97" s="155" t="s">
        <v>1370</v>
      </c>
      <c r="K97" s="155" t="s">
        <v>1364</v>
      </c>
      <c r="L97" s="158" t="s">
        <v>1462</v>
      </c>
      <c r="M97" s="154" t="s">
        <v>1463</v>
      </c>
      <c r="N97" s="154"/>
      <c r="O97" s="154">
        <v>3.25</v>
      </c>
      <c r="P97" s="154"/>
    </row>
    <row r="98" spans="1:16" ht="13.5" thickBot="1">
      <c r="A98" t="s">
        <v>874</v>
      </c>
      <c r="B98" t="s">
        <v>1471</v>
      </c>
      <c r="C98" t="s">
        <v>1436</v>
      </c>
      <c r="D98">
        <v>0.74</v>
      </c>
      <c r="F98" t="e">
        <f t="shared" si="1"/>
        <v>#N/A</v>
      </c>
      <c r="H98" s="154" t="s">
        <v>1454</v>
      </c>
      <c r="I98" s="154" t="s">
        <v>1362</v>
      </c>
      <c r="J98" s="155" t="s">
        <v>1363</v>
      </c>
      <c r="K98" s="155" t="s">
        <v>1364</v>
      </c>
      <c r="L98" s="154" t="s">
        <v>1409</v>
      </c>
      <c r="M98" s="154" t="s">
        <v>1410</v>
      </c>
      <c r="N98" s="154"/>
      <c r="O98" s="154">
        <v>3.62</v>
      </c>
      <c r="P98" s="154"/>
    </row>
    <row r="99" spans="1:16" ht="13.5" thickBot="1">
      <c r="A99" t="s">
        <v>877</v>
      </c>
      <c r="B99" t="s">
        <v>1472</v>
      </c>
      <c r="C99" t="s">
        <v>1436</v>
      </c>
      <c r="D99">
        <v>1.56</v>
      </c>
      <c r="F99" t="e">
        <f t="shared" si="1"/>
        <v>#N/A</v>
      </c>
      <c r="H99" s="154" t="s">
        <v>1454</v>
      </c>
      <c r="I99" s="154" t="s">
        <v>1362</v>
      </c>
      <c r="J99" s="155" t="s">
        <v>1363</v>
      </c>
      <c r="K99" s="155" t="s">
        <v>1367</v>
      </c>
      <c r="L99" s="151" t="s">
        <v>1389</v>
      </c>
      <c r="M99" s="154" t="s">
        <v>1390</v>
      </c>
      <c r="N99" s="154"/>
      <c r="O99" s="154">
        <v>9.1199999999999992</v>
      </c>
      <c r="P99" s="154"/>
    </row>
    <row r="100" spans="1:16" ht="51.75" thickBot="1">
      <c r="A100" t="s">
        <v>356</v>
      </c>
      <c r="B100" t="s">
        <v>356</v>
      </c>
      <c r="C100" t="s">
        <v>1414</v>
      </c>
      <c r="D100">
        <v>0.26</v>
      </c>
      <c r="F100" t="str">
        <f t="shared" si="1"/>
        <v>GWM_B30_HP</v>
      </c>
      <c r="H100" s="154" t="s">
        <v>1454</v>
      </c>
      <c r="I100" s="154" t="s">
        <v>1362</v>
      </c>
      <c r="J100" s="155" t="s">
        <v>1363</v>
      </c>
      <c r="K100" s="154" t="s">
        <v>1364</v>
      </c>
      <c r="L100" s="159" t="s">
        <v>1412</v>
      </c>
      <c r="M100" s="154" t="s">
        <v>1413</v>
      </c>
      <c r="N100" s="154"/>
      <c r="O100" s="154">
        <v>8.1199999999999992</v>
      </c>
      <c r="P100" s="154"/>
    </row>
    <row r="101" spans="1:16" ht="13.5" thickBot="1">
      <c r="A101" t="s">
        <v>99</v>
      </c>
      <c r="B101" t="s">
        <v>99</v>
      </c>
      <c r="C101" t="s">
        <v>1414</v>
      </c>
      <c r="D101">
        <v>4.3</v>
      </c>
      <c r="F101" t="str">
        <f t="shared" si="1"/>
        <v>241595_GAC_A27_ESP9.3CP</v>
      </c>
      <c r="H101" s="154" t="s">
        <v>1454</v>
      </c>
      <c r="I101" s="154" t="s">
        <v>1362</v>
      </c>
      <c r="J101" s="155" t="s">
        <v>1363</v>
      </c>
      <c r="K101" s="155" t="s">
        <v>1367</v>
      </c>
      <c r="L101" s="151" t="s">
        <v>1448</v>
      </c>
      <c r="M101" s="154" t="s">
        <v>1449</v>
      </c>
      <c r="N101" s="154"/>
      <c r="O101" s="154">
        <v>7</v>
      </c>
      <c r="P101" s="154"/>
    </row>
    <row r="102" spans="1:16" ht="13.5" thickBot="1">
      <c r="A102" t="s">
        <v>118</v>
      </c>
      <c r="B102" t="s">
        <v>118</v>
      </c>
      <c r="C102" t="s">
        <v>1414</v>
      </c>
      <c r="D102">
        <v>21.08</v>
      </c>
      <c r="F102" t="str">
        <f t="shared" si="1"/>
        <v>GWM_B30HP ESP</v>
      </c>
      <c r="H102" s="154" t="s">
        <v>1454</v>
      </c>
      <c r="I102" s="154" t="s">
        <v>1362</v>
      </c>
      <c r="J102" s="155" t="s">
        <v>1363</v>
      </c>
      <c r="K102" s="154" t="s">
        <v>1367</v>
      </c>
      <c r="L102" s="156" t="s">
        <v>1464</v>
      </c>
      <c r="M102" s="154" t="s">
        <v>1465</v>
      </c>
      <c r="N102" s="154"/>
      <c r="O102" s="154">
        <v>1.25</v>
      </c>
      <c r="P102" s="154"/>
    </row>
    <row r="103" spans="1:16" ht="13.5" thickBot="1">
      <c r="A103" t="s">
        <v>176</v>
      </c>
      <c r="B103" t="s">
        <v>176</v>
      </c>
      <c r="C103" t="s">
        <v>1414</v>
      </c>
      <c r="D103">
        <v>36.14</v>
      </c>
      <c r="F103" t="str">
        <f t="shared" si="1"/>
        <v>Suzuki_XE431RC ABS10.3ME</v>
      </c>
      <c r="H103" s="154" t="s">
        <v>1454</v>
      </c>
      <c r="I103" s="154" t="s">
        <v>1362</v>
      </c>
      <c r="J103" s="155" t="s">
        <v>1363</v>
      </c>
      <c r="K103" s="155" t="s">
        <v>1404</v>
      </c>
      <c r="L103" s="154" t="s">
        <v>1430</v>
      </c>
      <c r="M103" s="154" t="s">
        <v>1431</v>
      </c>
      <c r="N103" s="154"/>
      <c r="O103" s="154">
        <v>3.5</v>
      </c>
      <c r="P103" s="154"/>
    </row>
    <row r="104" spans="1:16" ht="13.5" thickBot="1">
      <c r="A104" t="s">
        <v>234</v>
      </c>
      <c r="B104" t="s">
        <v>1366</v>
      </c>
      <c r="C104" t="s">
        <v>1414</v>
      </c>
      <c r="D104">
        <v>35.479999999999897</v>
      </c>
      <c r="F104" t="str">
        <f t="shared" si="1"/>
        <v>BYD_Carbon_Mainstream</v>
      </c>
      <c r="H104" s="154" t="s">
        <v>1454</v>
      </c>
      <c r="I104" s="154" t="s">
        <v>1362</v>
      </c>
      <c r="J104" s="155" t="s">
        <v>1363</v>
      </c>
      <c r="K104" s="155" t="s">
        <v>1376</v>
      </c>
      <c r="L104" s="156" t="s">
        <v>1432</v>
      </c>
      <c r="M104" s="154" t="s">
        <v>1433</v>
      </c>
      <c r="N104" s="154"/>
      <c r="O104" s="154">
        <v>4</v>
      </c>
      <c r="P104" s="154"/>
    </row>
    <row r="105" spans="1:16" ht="13.5" thickBot="1">
      <c r="A105" t="s">
        <v>286</v>
      </c>
      <c r="B105" t="s">
        <v>286</v>
      </c>
      <c r="C105" t="s">
        <v>1414</v>
      </c>
      <c r="D105">
        <v>11.27</v>
      </c>
      <c r="F105" t="str">
        <f t="shared" si="1"/>
        <v>GWM_ABS9.3_EC01</v>
      </c>
      <c r="H105" s="154" t="s">
        <v>1454</v>
      </c>
      <c r="I105" s="154" t="s">
        <v>1362</v>
      </c>
      <c r="J105" s="155" t="s">
        <v>1363</v>
      </c>
      <c r="K105" s="155" t="s">
        <v>1364</v>
      </c>
      <c r="L105" s="154" t="s">
        <v>1421</v>
      </c>
      <c r="M105" s="154" t="s">
        <v>1422</v>
      </c>
      <c r="N105" s="154"/>
      <c r="O105" s="154">
        <v>0.15</v>
      </c>
      <c r="P105" s="154"/>
    </row>
    <row r="106" spans="1:16" ht="13.5" thickBot="1">
      <c r="A106" t="s">
        <v>312</v>
      </c>
      <c r="B106" t="s">
        <v>1385</v>
      </c>
      <c r="C106" t="s">
        <v>1414</v>
      </c>
      <c r="D106">
        <v>3.93</v>
      </c>
      <c r="F106" t="str">
        <f t="shared" si="1"/>
        <v>HHT_VX1_ESPHevX</v>
      </c>
      <c r="H106" s="154" t="s">
        <v>1454</v>
      </c>
      <c r="I106" s="154" t="s">
        <v>1362</v>
      </c>
      <c r="J106" s="155" t="s">
        <v>1363</v>
      </c>
      <c r="K106" s="155" t="s">
        <v>1364</v>
      </c>
      <c r="L106" s="156" t="s">
        <v>1434</v>
      </c>
      <c r="M106" s="154" t="s">
        <v>1435</v>
      </c>
      <c r="N106" s="154"/>
      <c r="O106" s="154">
        <v>0.12</v>
      </c>
      <c r="P106" s="154"/>
    </row>
    <row r="107" spans="1:16" ht="13.5" thickBot="1">
      <c r="A107" t="s">
        <v>322</v>
      </c>
      <c r="B107" t="s">
        <v>1417</v>
      </c>
      <c r="C107" t="s">
        <v>1414</v>
      </c>
      <c r="D107">
        <v>1.53</v>
      </c>
      <c r="F107" t="str">
        <f t="shared" si="1"/>
        <v>224752_GAC_A18_CarbonESP9.3CP</v>
      </c>
      <c r="H107" s="154" t="s">
        <v>1466</v>
      </c>
      <c r="I107" s="154" t="s">
        <v>1362</v>
      </c>
      <c r="J107" s="155" t="s">
        <v>1363</v>
      </c>
      <c r="K107" s="155" t="s">
        <v>1376</v>
      </c>
      <c r="L107" s="156" t="s">
        <v>1401</v>
      </c>
      <c r="M107" s="154" t="s">
        <v>883</v>
      </c>
      <c r="N107" s="154"/>
      <c r="O107" s="154">
        <v>10</v>
      </c>
      <c r="P107" s="154"/>
    </row>
    <row r="108" spans="1:16" ht="13.5" thickBot="1">
      <c r="A108" t="s">
        <v>330</v>
      </c>
      <c r="B108" t="s">
        <v>1420</v>
      </c>
      <c r="C108" t="s">
        <v>1414</v>
      </c>
      <c r="D108">
        <v>3.55</v>
      </c>
      <c r="F108" t="str">
        <f t="shared" si="1"/>
        <v>GEELY_BX11_ESP9.3HD</v>
      </c>
      <c r="H108" s="154" t="s">
        <v>1466</v>
      </c>
      <c r="I108" s="154" t="s">
        <v>1362</v>
      </c>
      <c r="J108" s="155" t="s">
        <v>1363</v>
      </c>
      <c r="K108" s="154" t="s">
        <v>1404</v>
      </c>
      <c r="L108" s="151" t="s">
        <v>1405</v>
      </c>
      <c r="M108" s="154" t="s">
        <v>775</v>
      </c>
      <c r="N108" s="154"/>
      <c r="O108" s="154">
        <v>6</v>
      </c>
      <c r="P108" s="154"/>
    </row>
    <row r="109" spans="1:16" ht="13.5" thickBot="1">
      <c r="A109" t="s">
        <v>338</v>
      </c>
      <c r="B109" t="s">
        <v>1379</v>
      </c>
      <c r="C109" t="s">
        <v>1414</v>
      </c>
      <c r="D109">
        <v>3.63</v>
      </c>
      <c r="F109" t="str">
        <f t="shared" si="1"/>
        <v>HAIMA_238525_VF00_ESP_RC2</v>
      </c>
      <c r="H109" s="154" t="s">
        <v>1466</v>
      </c>
      <c r="I109" s="154" t="s">
        <v>1362</v>
      </c>
      <c r="J109" s="155" t="s">
        <v>1363</v>
      </c>
      <c r="K109" s="155" t="s">
        <v>1376</v>
      </c>
      <c r="L109" s="156" t="s">
        <v>1440</v>
      </c>
      <c r="M109" s="154" t="s">
        <v>947</v>
      </c>
      <c r="N109" s="154"/>
      <c r="O109" s="154">
        <v>5</v>
      </c>
      <c r="P109" s="154"/>
    </row>
    <row r="110" spans="1:16" ht="13.5" thickBot="1">
      <c r="A110" t="s">
        <v>18</v>
      </c>
      <c r="B110" t="s">
        <v>1381</v>
      </c>
      <c r="C110" t="s">
        <v>1414</v>
      </c>
      <c r="D110">
        <v>22.24</v>
      </c>
      <c r="F110" t="str">
        <f t="shared" si="1"/>
        <v>GAC_Carbon_Stream_ESPCP</v>
      </c>
      <c r="H110" s="154" t="s">
        <v>1466</v>
      </c>
      <c r="I110" s="154" t="s">
        <v>1362</v>
      </c>
      <c r="J110" s="155" t="s">
        <v>1370</v>
      </c>
      <c r="K110" s="154" t="s">
        <v>1367</v>
      </c>
      <c r="L110" s="156" t="s">
        <v>1371</v>
      </c>
      <c r="M110" s="154" t="s">
        <v>1045</v>
      </c>
      <c r="N110" s="154"/>
      <c r="O110" s="154">
        <v>2</v>
      </c>
      <c r="P110" s="154"/>
    </row>
    <row r="111" spans="1:16" ht="13.5" thickBot="1">
      <c r="A111" t="s">
        <v>616</v>
      </c>
      <c r="B111" t="s">
        <v>616</v>
      </c>
      <c r="C111" t="s">
        <v>1414</v>
      </c>
      <c r="D111">
        <v>5.76</v>
      </c>
      <c r="F111" t="str">
        <f t="shared" si="1"/>
        <v>Carbon RPA</v>
      </c>
      <c r="H111" s="154" t="s">
        <v>1466</v>
      </c>
      <c r="I111" s="154" t="s">
        <v>1362</v>
      </c>
      <c r="J111" s="155" t="s">
        <v>1363</v>
      </c>
      <c r="K111" s="155" t="s">
        <v>1364</v>
      </c>
      <c r="L111" s="154" t="s">
        <v>1372</v>
      </c>
      <c r="M111" s="154" t="s">
        <v>1373</v>
      </c>
      <c r="N111" s="154"/>
      <c r="O111" s="154">
        <v>14</v>
      </c>
      <c r="P111" s="154"/>
    </row>
    <row r="112" spans="1:16" ht="13.5" thickBot="1">
      <c r="A112" t="s">
        <v>634</v>
      </c>
      <c r="B112" t="s">
        <v>634</v>
      </c>
      <c r="C112" t="s">
        <v>1414</v>
      </c>
      <c r="D112">
        <v>30.5899999999999</v>
      </c>
      <c r="F112" t="str">
        <f t="shared" si="1"/>
        <v>XE431RC ABS10.3ME</v>
      </c>
      <c r="H112" s="154" t="s">
        <v>1466</v>
      </c>
      <c r="I112" s="154" t="s">
        <v>1362</v>
      </c>
      <c r="J112" s="155" t="s">
        <v>1363</v>
      </c>
      <c r="K112" s="155" t="s">
        <v>1367</v>
      </c>
      <c r="L112" s="151" t="s">
        <v>1389</v>
      </c>
      <c r="M112" s="154" t="s">
        <v>1390</v>
      </c>
      <c r="N112" s="154"/>
      <c r="O112" s="154">
        <v>3</v>
      </c>
      <c r="P112" s="154"/>
    </row>
    <row r="113" spans="1:16" ht="13.5" thickBot="1">
      <c r="A113" t="s">
        <v>748</v>
      </c>
      <c r="B113" t="s">
        <v>1422</v>
      </c>
      <c r="C113" t="s">
        <v>1414</v>
      </c>
      <c r="D113">
        <v>8.1</v>
      </c>
      <c r="F113" t="str">
        <f t="shared" si="1"/>
        <v>GAC_Carbon_RPA_ESPHevx_Mainpath</v>
      </c>
      <c r="H113" s="154" t="s">
        <v>1466</v>
      </c>
      <c r="I113" s="154" t="s">
        <v>1362</v>
      </c>
      <c r="J113" s="155" t="s">
        <v>1363</v>
      </c>
      <c r="K113" s="155" t="s">
        <v>1404</v>
      </c>
      <c r="L113" s="154" t="s">
        <v>1430</v>
      </c>
      <c r="M113" s="154" t="s">
        <v>1431</v>
      </c>
      <c r="N113" s="154"/>
      <c r="O113" s="154">
        <v>8</v>
      </c>
      <c r="P113" s="154"/>
    </row>
    <row r="114" spans="1:16" ht="13.5" thickBot="1">
      <c r="A114" t="s">
        <v>48</v>
      </c>
      <c r="B114" t="s">
        <v>1422</v>
      </c>
      <c r="C114" t="s">
        <v>1414</v>
      </c>
      <c r="D114">
        <v>8.1</v>
      </c>
      <c r="F114" t="str">
        <f t="shared" si="1"/>
        <v>GAC_Carbon_RPA_ESPHevx_Mainpath</v>
      </c>
      <c r="H114" s="154" t="s">
        <v>1466</v>
      </c>
      <c r="I114" s="154" t="s">
        <v>1362</v>
      </c>
      <c r="J114" s="155" t="s">
        <v>1363</v>
      </c>
      <c r="K114" s="155" t="s">
        <v>1376</v>
      </c>
      <c r="L114" s="156" t="s">
        <v>1432</v>
      </c>
      <c r="M114" s="154" t="s">
        <v>1433</v>
      </c>
      <c r="N114" s="154"/>
      <c r="O114" s="154">
        <v>6</v>
      </c>
      <c r="P114" s="154"/>
    </row>
    <row r="115" spans="1:16" ht="13.5" thickBot="1">
      <c r="A115" t="s">
        <v>581</v>
      </c>
      <c r="B115" t="s">
        <v>1375</v>
      </c>
      <c r="C115" t="s">
        <v>1361</v>
      </c>
      <c r="D115">
        <v>2.69</v>
      </c>
      <c r="F115" t="str">
        <f t="shared" si="1"/>
        <v>206370_BYD_ESP9.3_New_Hybrid_MS15.1</v>
      </c>
      <c r="H115" s="154" t="s">
        <v>1466</v>
      </c>
      <c r="I115" s="154" t="s">
        <v>1362</v>
      </c>
      <c r="J115" s="155" t="s">
        <v>1363</v>
      </c>
      <c r="K115" s="155" t="s">
        <v>1364</v>
      </c>
      <c r="L115" s="154" t="s">
        <v>1421</v>
      </c>
      <c r="M115" s="154" t="s">
        <v>1422</v>
      </c>
      <c r="N115" s="154"/>
      <c r="O115" s="154">
        <v>5</v>
      </c>
      <c r="P115" s="154"/>
    </row>
    <row r="116" spans="1:16" ht="13.5" thickBot="1">
      <c r="A116" t="s">
        <v>1045</v>
      </c>
      <c r="B116" t="s">
        <v>1045</v>
      </c>
      <c r="C116" t="s">
        <v>1361</v>
      </c>
      <c r="D116">
        <v>4.28</v>
      </c>
      <c r="F116" t="str">
        <f t="shared" si="1"/>
        <v>Adapt_236246_SMART_BBM_Ibooster_E2_SP3</v>
      </c>
      <c r="H116" s="154" t="s">
        <v>1467</v>
      </c>
      <c r="I116" s="154" t="s">
        <v>1362</v>
      </c>
      <c r="J116" s="155" t="s">
        <v>1363</v>
      </c>
      <c r="K116" s="155" t="s">
        <v>1364</v>
      </c>
      <c r="L116" s="156" t="s">
        <v>1365</v>
      </c>
      <c r="M116" s="154" t="s">
        <v>1366</v>
      </c>
      <c r="N116" s="154"/>
      <c r="O116" s="154">
        <v>19.2</v>
      </c>
      <c r="P116" s="154"/>
    </row>
    <row r="117" spans="1:16" ht="77.25" thickBot="1">
      <c r="A117" t="s">
        <v>234</v>
      </c>
      <c r="B117" t="s">
        <v>1366</v>
      </c>
      <c r="C117" t="s">
        <v>1361</v>
      </c>
      <c r="D117">
        <v>19.079999999999899</v>
      </c>
      <c r="F117" t="str">
        <f t="shared" si="1"/>
        <v>BYD_Carbon_Mainstream</v>
      </c>
      <c r="H117" s="154" t="s">
        <v>1467</v>
      </c>
      <c r="I117" s="154" t="s">
        <v>1362</v>
      </c>
      <c r="J117" s="155" t="s">
        <v>1370</v>
      </c>
      <c r="K117" s="155" t="s">
        <v>1376</v>
      </c>
      <c r="L117" s="159" t="s">
        <v>1377</v>
      </c>
      <c r="M117" s="158" t="s">
        <v>346</v>
      </c>
      <c r="N117" s="154"/>
      <c r="O117" s="154">
        <v>0.5</v>
      </c>
      <c r="P117" s="154"/>
    </row>
    <row r="118" spans="1:16" ht="13.5" thickBot="1">
      <c r="A118" t="s">
        <v>18</v>
      </c>
      <c r="B118" t="s">
        <v>1381</v>
      </c>
      <c r="C118" t="s">
        <v>1361</v>
      </c>
      <c r="D118">
        <v>6.54</v>
      </c>
      <c r="F118" t="str">
        <f t="shared" si="1"/>
        <v>GAC_Carbon_Stream_ESPCP</v>
      </c>
      <c r="H118" s="154" t="s">
        <v>1467</v>
      </c>
      <c r="I118" s="154" t="s">
        <v>1362</v>
      </c>
      <c r="J118" s="155" t="s">
        <v>1370</v>
      </c>
      <c r="K118" s="155" t="s">
        <v>1364</v>
      </c>
      <c r="L118" s="154" t="s">
        <v>1468</v>
      </c>
      <c r="M118" s="154" t="s">
        <v>1469</v>
      </c>
      <c r="N118" s="154"/>
      <c r="O118" s="154">
        <v>7</v>
      </c>
      <c r="P118" s="154"/>
    </row>
    <row r="119" spans="1:16" ht="77.25" thickBot="1">
      <c r="A119" t="s">
        <v>346</v>
      </c>
      <c r="B119" t="s">
        <v>346</v>
      </c>
      <c r="C119" t="s">
        <v>1361</v>
      </c>
      <c r="D119">
        <v>36.22</v>
      </c>
      <c r="F119" t="str">
        <f t="shared" si="1"/>
        <v>AB30IB2</v>
      </c>
      <c r="H119" s="154" t="s">
        <v>1467</v>
      </c>
      <c r="I119" s="154" t="s">
        <v>1362</v>
      </c>
      <c r="J119" s="155" t="s">
        <v>1370</v>
      </c>
      <c r="K119" s="155" t="s">
        <v>1376</v>
      </c>
      <c r="L119" s="157" t="s">
        <v>1377</v>
      </c>
      <c r="M119" s="154" t="s">
        <v>346</v>
      </c>
      <c r="N119" s="154"/>
      <c r="O119" s="154">
        <v>0.5</v>
      </c>
      <c r="P119" s="154"/>
    </row>
    <row r="120" spans="1:16" ht="13.5" thickBot="1">
      <c r="A120" t="s">
        <v>1110</v>
      </c>
      <c r="B120" t="s">
        <v>1379</v>
      </c>
      <c r="C120" t="s">
        <v>1361</v>
      </c>
      <c r="D120">
        <v>21.85</v>
      </c>
      <c r="F120" t="str">
        <f t="shared" si="1"/>
        <v>HAIMA_238525_VF00_ESP_RC2</v>
      </c>
      <c r="H120" s="154" t="s">
        <v>1467</v>
      </c>
      <c r="I120" s="154" t="s">
        <v>1362</v>
      </c>
      <c r="J120" s="155" t="s">
        <v>1363</v>
      </c>
      <c r="K120" s="155" t="s">
        <v>1376</v>
      </c>
      <c r="L120" s="156" t="s">
        <v>1388</v>
      </c>
      <c r="M120" s="154" t="s">
        <v>356</v>
      </c>
      <c r="N120" s="154"/>
      <c r="O120" s="154">
        <v>4.5</v>
      </c>
      <c r="P120" s="154"/>
    </row>
    <row r="121" spans="1:16" ht="13.5" thickBot="1">
      <c r="A121" t="s">
        <v>1061</v>
      </c>
      <c r="B121" t="s">
        <v>1373</v>
      </c>
      <c r="C121" t="s">
        <v>1361</v>
      </c>
      <c r="D121">
        <v>3.92</v>
      </c>
      <c r="F121" t="str">
        <f t="shared" si="1"/>
        <v>BYD_IPB_SW_Mainstream</v>
      </c>
      <c r="H121" s="154" t="s">
        <v>1467</v>
      </c>
      <c r="I121" s="154" t="s">
        <v>1362</v>
      </c>
      <c r="J121" s="155" t="s">
        <v>1363</v>
      </c>
      <c r="K121" s="155" t="s">
        <v>1364</v>
      </c>
      <c r="L121" s="154" t="s">
        <v>1380</v>
      </c>
      <c r="M121" s="154" t="s">
        <v>1381</v>
      </c>
      <c r="N121" s="154"/>
      <c r="O121" s="154">
        <v>18</v>
      </c>
      <c r="P121" s="154"/>
    </row>
    <row r="122" spans="1:16" ht="13.5" thickBot="1">
      <c r="A122" t="s">
        <v>1056</v>
      </c>
      <c r="B122" t="s">
        <v>1369</v>
      </c>
      <c r="C122" t="s">
        <v>1361</v>
      </c>
      <c r="D122">
        <v>1.06</v>
      </c>
      <c r="F122" t="str">
        <f t="shared" si="1"/>
        <v>Adapt_236234_SMART_VDDM_ESPHevX</v>
      </c>
      <c r="H122" s="154" t="s">
        <v>1467</v>
      </c>
      <c r="I122" s="154" t="s">
        <v>1362</v>
      </c>
      <c r="J122" s="155" t="s">
        <v>1363</v>
      </c>
      <c r="K122" s="155" t="s">
        <v>1364</v>
      </c>
      <c r="L122" s="154" t="s">
        <v>1409</v>
      </c>
      <c r="M122" s="154" t="s">
        <v>1410</v>
      </c>
      <c r="N122" s="154"/>
      <c r="O122" s="154">
        <v>16</v>
      </c>
      <c r="P122" s="154"/>
    </row>
    <row r="123" spans="1:16" ht="13.5" thickBot="1">
      <c r="A123" t="s">
        <v>723</v>
      </c>
      <c r="B123" t="s">
        <v>1433</v>
      </c>
      <c r="C123" t="s">
        <v>1454</v>
      </c>
      <c r="D123">
        <v>8.71999999999999</v>
      </c>
      <c r="F123" t="str">
        <f t="shared" si="1"/>
        <v>BAIC_C62X_RC_APA</v>
      </c>
      <c r="H123" s="154" t="s">
        <v>1467</v>
      </c>
      <c r="I123" s="154" t="s">
        <v>1362</v>
      </c>
      <c r="J123" s="155" t="s">
        <v>1363</v>
      </c>
      <c r="K123" s="155" t="s">
        <v>1376</v>
      </c>
      <c r="L123" s="156" t="s">
        <v>1394</v>
      </c>
      <c r="M123" s="154" t="s">
        <v>1395</v>
      </c>
      <c r="N123" s="154"/>
      <c r="O123" s="154">
        <v>2</v>
      </c>
      <c r="P123" s="154"/>
    </row>
    <row r="124" spans="1:16" ht="13.5" thickBot="1">
      <c r="A124" t="s">
        <v>694</v>
      </c>
      <c r="B124" t="s">
        <v>1431</v>
      </c>
      <c r="C124" t="s">
        <v>1454</v>
      </c>
      <c r="D124">
        <v>5.1099999999999897</v>
      </c>
      <c r="F124" t="str">
        <f t="shared" si="1"/>
        <v>DFN_ESP_Gen9.3_534_238307</v>
      </c>
      <c r="H124" s="154" t="s">
        <v>1467</v>
      </c>
      <c r="I124" s="154" t="s">
        <v>1362</v>
      </c>
      <c r="J124" s="155" t="s">
        <v>1363</v>
      </c>
      <c r="K124" s="155" t="s">
        <v>1376</v>
      </c>
      <c r="L124" s="156" t="s">
        <v>1388</v>
      </c>
      <c r="M124" s="154" t="s">
        <v>118</v>
      </c>
      <c r="N124" s="154"/>
      <c r="O124" s="154">
        <v>15</v>
      </c>
      <c r="P124" s="154"/>
    </row>
    <row r="125" spans="1:16" ht="13.5" thickBot="1">
      <c r="A125" t="s">
        <v>51</v>
      </c>
      <c r="B125" t="s">
        <v>1435</v>
      </c>
      <c r="C125" t="s">
        <v>1454</v>
      </c>
      <c r="D125">
        <v>0.64</v>
      </c>
      <c r="F125" t="str">
        <f t="shared" si="1"/>
        <v>MC_237270_GAC_A55CP_Carbon_ESP</v>
      </c>
      <c r="H125" s="154" t="s">
        <v>1467</v>
      </c>
      <c r="I125" s="154" t="s">
        <v>1362</v>
      </c>
      <c r="J125" s="155" t="s">
        <v>1396</v>
      </c>
      <c r="K125" s="154"/>
      <c r="L125" s="151" t="s">
        <v>1397</v>
      </c>
      <c r="M125" s="154" t="s">
        <v>176</v>
      </c>
      <c r="N125" s="154"/>
      <c r="O125" s="154">
        <v>26.4</v>
      </c>
      <c r="P125" s="154"/>
    </row>
    <row r="126" spans="1:16" ht="13.5" thickBot="1">
      <c r="A126" t="s">
        <v>923</v>
      </c>
      <c r="B126" t="s">
        <v>1403</v>
      </c>
      <c r="C126" t="s">
        <v>1454</v>
      </c>
      <c r="D126">
        <v>2.29</v>
      </c>
      <c r="F126" t="str">
        <f t="shared" si="1"/>
        <v>HHT_VX1_IBooster_Gen2</v>
      </c>
      <c r="H126" s="154" t="s">
        <v>1467</v>
      </c>
      <c r="I126" s="154" t="s">
        <v>1362</v>
      </c>
      <c r="J126" s="155" t="s">
        <v>1363</v>
      </c>
      <c r="K126" s="155" t="s">
        <v>1376</v>
      </c>
      <c r="L126" s="154" t="s">
        <v>1418</v>
      </c>
      <c r="M126" s="154" t="s">
        <v>286</v>
      </c>
      <c r="N126" s="154"/>
      <c r="O126" s="154">
        <v>3.05</v>
      </c>
      <c r="P126" s="154"/>
    </row>
    <row r="127" spans="1:16" ht="13.5" thickBot="1">
      <c r="A127" t="s">
        <v>234</v>
      </c>
      <c r="B127" t="s">
        <v>1366</v>
      </c>
      <c r="C127" t="s">
        <v>1454</v>
      </c>
      <c r="D127">
        <v>7.92</v>
      </c>
      <c r="F127" t="str">
        <f t="shared" si="1"/>
        <v>BYD_Carbon_Mainstream</v>
      </c>
      <c r="H127" s="154" t="s">
        <v>1467</v>
      </c>
      <c r="I127" s="154" t="s">
        <v>1362</v>
      </c>
      <c r="J127" s="155" t="s">
        <v>1363</v>
      </c>
      <c r="K127" s="155" t="s">
        <v>1367</v>
      </c>
      <c r="L127" s="154" t="s">
        <v>1419</v>
      </c>
      <c r="M127" s="154" t="s">
        <v>1420</v>
      </c>
      <c r="N127" s="154"/>
      <c r="O127" s="154">
        <v>2</v>
      </c>
      <c r="P127" s="154"/>
    </row>
    <row r="128" spans="1:16" ht="77.25" thickBot="1">
      <c r="A128" t="s">
        <v>18</v>
      </c>
      <c r="B128" t="s">
        <v>1381</v>
      </c>
      <c r="C128" t="s">
        <v>1454</v>
      </c>
      <c r="D128">
        <v>45.12</v>
      </c>
      <c r="F128" t="str">
        <f t="shared" si="1"/>
        <v>GAC_Carbon_Stream_ESPCP</v>
      </c>
      <c r="H128" s="154" t="s">
        <v>1467</v>
      </c>
      <c r="I128" s="154" t="s">
        <v>1362</v>
      </c>
      <c r="J128" s="155" t="s">
        <v>1370</v>
      </c>
      <c r="K128" s="155" t="s">
        <v>1376</v>
      </c>
      <c r="L128" s="159" t="s">
        <v>1377</v>
      </c>
      <c r="M128" s="158" t="s">
        <v>346</v>
      </c>
      <c r="N128" s="154"/>
      <c r="O128" s="154">
        <v>0.2</v>
      </c>
      <c r="P128" s="154"/>
    </row>
    <row r="129" spans="1:16" ht="13.5" thickBot="1">
      <c r="A129" t="s">
        <v>48</v>
      </c>
      <c r="B129" t="s">
        <v>1422</v>
      </c>
      <c r="C129" t="s">
        <v>1454</v>
      </c>
      <c r="D129">
        <v>1.6</v>
      </c>
      <c r="F129" t="str">
        <f t="shared" si="1"/>
        <v>GAC_Carbon_RPA_ESPHevx_Mainpath</v>
      </c>
      <c r="H129" s="154" t="s">
        <v>1467</v>
      </c>
      <c r="I129" s="154" t="s">
        <v>1362</v>
      </c>
      <c r="J129" s="155" t="s">
        <v>1363</v>
      </c>
      <c r="K129" s="154" t="s">
        <v>1364</v>
      </c>
      <c r="L129" s="156" t="s">
        <v>1421</v>
      </c>
      <c r="M129" s="154" t="s">
        <v>616</v>
      </c>
      <c r="N129" s="154"/>
      <c r="O129" s="154">
        <v>8</v>
      </c>
      <c r="P129" s="154"/>
    </row>
    <row r="130" spans="1:16" ht="13.5" thickBot="1">
      <c r="A130" t="s">
        <v>1215</v>
      </c>
      <c r="B130" t="s">
        <v>1413</v>
      </c>
      <c r="C130" t="s">
        <v>1454</v>
      </c>
      <c r="D130">
        <v>15.1</v>
      </c>
      <c r="F130" t="str">
        <f t="shared" si="1"/>
        <v>233324_JAC_P843_ESP9.3</v>
      </c>
      <c r="H130" s="154" t="s">
        <v>1467</v>
      </c>
      <c r="I130" s="154" t="s">
        <v>1362</v>
      </c>
      <c r="J130" s="155" t="s">
        <v>1398</v>
      </c>
      <c r="K130" s="154"/>
      <c r="L130" s="154"/>
      <c r="M130" s="154" t="s">
        <v>1399</v>
      </c>
      <c r="N130" s="154"/>
      <c r="O130" s="154">
        <v>0.5</v>
      </c>
      <c r="P130" s="154"/>
    </row>
    <row r="131" spans="1:16" ht="13.5" thickBot="1">
      <c r="A131" t="s">
        <v>21</v>
      </c>
      <c r="B131" t="s">
        <v>1410</v>
      </c>
      <c r="C131" t="s">
        <v>1454</v>
      </c>
      <c r="D131">
        <v>5.32</v>
      </c>
      <c r="F131" t="str">
        <f t="shared" si="1"/>
        <v>GAC_220680_Carbon_A18_ESPHevx_FPA/RPA</v>
      </c>
      <c r="H131" s="154" t="s">
        <v>1467</v>
      </c>
      <c r="I131" s="154" t="s">
        <v>1362</v>
      </c>
      <c r="J131" s="155" t="s">
        <v>1396</v>
      </c>
      <c r="K131" s="154"/>
      <c r="L131" s="151" t="s">
        <v>1397</v>
      </c>
      <c r="M131" s="154" t="s">
        <v>634</v>
      </c>
      <c r="N131" s="154"/>
      <c r="O131" s="154">
        <v>12.5</v>
      </c>
      <c r="P131" s="154"/>
    </row>
    <row r="132" spans="1:16" ht="13.5" thickBot="1">
      <c r="A132" t="s">
        <v>870</v>
      </c>
      <c r="B132" t="s">
        <v>1429</v>
      </c>
      <c r="C132" t="s">
        <v>1454</v>
      </c>
      <c r="D132">
        <v>2.82</v>
      </c>
      <c r="F132" t="str">
        <f t="shared" ref="F132:F142" si="2">VLOOKUP(B132,$M$3:$M$132,1,0)</f>
        <v>MC_239507_SGMW_CN210S_PHEV_ESP9.3CPi</v>
      </c>
      <c r="H132" s="154" t="s">
        <v>1467</v>
      </c>
      <c r="I132" s="154" t="s">
        <v>1362</v>
      </c>
      <c r="J132" s="155" t="s">
        <v>1363</v>
      </c>
      <c r="K132" s="155" t="s">
        <v>1404</v>
      </c>
      <c r="L132" s="154" t="s">
        <v>1430</v>
      </c>
      <c r="M132" s="154" t="s">
        <v>1431</v>
      </c>
      <c r="N132" s="154"/>
      <c r="O132" s="154">
        <v>3</v>
      </c>
      <c r="P132" s="154"/>
    </row>
    <row r="133" spans="1:16">
      <c r="A133" t="s">
        <v>556</v>
      </c>
      <c r="B133" t="s">
        <v>1449</v>
      </c>
      <c r="C133" t="s">
        <v>1454</v>
      </c>
      <c r="D133">
        <v>9.21999999999999</v>
      </c>
      <c r="F133" t="str">
        <f t="shared" si="2"/>
        <v>GEELY_FE-3AH_CB_CSIS241976</v>
      </c>
    </row>
    <row r="134" spans="1:16">
      <c r="A134" t="s">
        <v>317</v>
      </c>
      <c r="B134" t="s">
        <v>1390</v>
      </c>
      <c r="C134" t="s">
        <v>1454</v>
      </c>
      <c r="D134">
        <v>13.73</v>
      </c>
      <c r="F134" t="str">
        <f t="shared" si="2"/>
        <v>MC_225750_Geely_KC2A_ESP9.3HB_BB80336</v>
      </c>
    </row>
    <row r="135" spans="1:16">
      <c r="A135" t="s">
        <v>592</v>
      </c>
      <c r="B135" t="s">
        <v>1465</v>
      </c>
      <c r="C135" t="s">
        <v>1454</v>
      </c>
      <c r="D135">
        <v>8.08</v>
      </c>
      <c r="F135" t="str">
        <f t="shared" si="2"/>
        <v>228771_SAIC EP22 X1 &amp; IP31E w/o_DA ESPHevX</v>
      </c>
    </row>
    <row r="136" spans="1:16">
      <c r="A136" t="s">
        <v>775</v>
      </c>
      <c r="B136" t="s">
        <v>775</v>
      </c>
      <c r="C136" t="s">
        <v>1454</v>
      </c>
      <c r="D136">
        <v>6.06</v>
      </c>
      <c r="F136" t="str">
        <f t="shared" si="2"/>
        <v>EC_245950_NIO_ESX_ESPHevX_DTC</v>
      </c>
    </row>
    <row r="137" spans="1:16">
      <c r="A137" t="s">
        <v>55</v>
      </c>
      <c r="B137" t="s">
        <v>1410</v>
      </c>
      <c r="C137" t="s">
        <v>1454</v>
      </c>
      <c r="D137">
        <v>1.1200000000000001</v>
      </c>
      <c r="F137" t="str">
        <f t="shared" si="2"/>
        <v>GAC_220680_Carbon_A18_ESPHevx_FPA/RPA</v>
      </c>
    </row>
    <row r="138" spans="1:16">
      <c r="A138" t="s">
        <v>1002</v>
      </c>
      <c r="B138" t="s">
        <v>1456</v>
      </c>
      <c r="C138" t="s">
        <v>1454</v>
      </c>
      <c r="D138">
        <v>1.31</v>
      </c>
      <c r="F138" t="str">
        <f t="shared" si="2"/>
        <v>MC_245411_SGMW_CN202C_ESPCP</v>
      </c>
    </row>
    <row r="139" spans="1:16">
      <c r="A139" t="s">
        <v>1007</v>
      </c>
      <c r="B139" t="s">
        <v>1458</v>
      </c>
      <c r="C139" t="s">
        <v>1454</v>
      </c>
      <c r="D139">
        <v>0.94</v>
      </c>
      <c r="F139" t="str">
        <f t="shared" si="2"/>
        <v>GEELY_SS11ESP9.3CP</v>
      </c>
    </row>
    <row r="140" spans="1:16">
      <c r="A140" t="s">
        <v>1018</v>
      </c>
      <c r="B140" t="s">
        <v>1018</v>
      </c>
      <c r="C140" t="s">
        <v>1454</v>
      </c>
      <c r="D140">
        <v>1.37</v>
      </c>
      <c r="F140" t="str">
        <f t="shared" si="2"/>
        <v>FAW D090 High/Low G6 ECR</v>
      </c>
    </row>
    <row r="141" spans="1:16">
      <c r="A141" t="s">
        <v>1133</v>
      </c>
      <c r="B141" t="s">
        <v>1461</v>
      </c>
      <c r="C141" t="s">
        <v>1454</v>
      </c>
      <c r="D141">
        <v>2.91</v>
      </c>
      <c r="F141" t="str">
        <f t="shared" si="2"/>
        <v>GAC_219651_Carbon_A18_iB2_FPA/RPA</v>
      </c>
    </row>
    <row r="142" spans="1:16">
      <c r="A142" t="s">
        <v>1140</v>
      </c>
      <c r="B142" t="s">
        <v>1463</v>
      </c>
      <c r="C142" t="s">
        <v>1454</v>
      </c>
      <c r="D142">
        <v>4.66</v>
      </c>
      <c r="F142" t="str">
        <f t="shared" si="2"/>
        <v>GAC_212111_Carbon_A12_iB2_FPA/RPA</v>
      </c>
    </row>
  </sheetData>
  <dataValidations disablePrompts="1" count="7">
    <dataValidation type="list" allowBlank="1" showInputMessage="1" showErrorMessage="1" sqref="K3:K132" xr:uid="{00000000-0002-0000-0500-000000000000}">
      <formula1>"E, N, M, W"</formula1>
    </dataValidation>
    <dataValidation type="list" allowBlank="1" showInputMessage="1" showErrorMessage="1" sqref="I3:I132" xr:uid="{00000000-0002-0000-0500-000001000000}">
      <formula1>"Internal, External"</formula1>
    </dataValidation>
    <dataValidation type="list" allowBlank="1" showInputMessage="1" showErrorMessage="1" sqref="H3:H10" xr:uid="{00000000-0002-0000-0500-000002000000}">
      <formula1>"External Nguyen Tuan Duong, External Do Phu Loc, External Nguyen Kim Thanh, External Ly Chung, External Nguyen Trung Hieu, External Nguyen Duy Bang, External Luu Cong Dac, External Nguyen Tai Hau, External Nguyen Thanh Phuong, External Do Anh Huy"</formula1>
    </dataValidation>
    <dataValidation type="list" allowBlank="1" showInputMessage="1" showErrorMessage="1" sqref="H11:H28" xr:uid="{00000000-0002-0000-0500-000003000000}">
      <formula1>"Tu, Vi, Han, Vien, Vu, Bao, Truong, Tai, Trung, Hai, Quynh, Thinh, Quy, Tung, Ext1, Ext2, Ext3, Ext4, Ext5, Ext6, Ext7, Ext8, Ext9, Ext10"</formula1>
    </dataValidation>
    <dataValidation type="list" allowBlank="1" showInputMessage="1" showErrorMessage="1" sqref="H29:H111 L38:P38" xr:uid="{00000000-0002-0000-0500-000004000000}">
      <formula1>"Tu, Vi, Han, Vien, Vu, Bao, Truong, Tai, Trung, Hai, Quynh, Thinh, Quy, Tung"</formula1>
    </dataValidation>
    <dataValidation type="list" allowBlank="1" showInputMessage="1" showErrorMessage="1" sqref="H112:H132" xr:uid="{00000000-0002-0000-0500-000005000000}">
      <formula1>"Long,Son,Hiep,V.Hai,Q.Hai,An,Cat,Khang,Hung,Trieu"</formula1>
    </dataValidation>
    <dataValidation type="list" allowBlank="1" showInputMessage="1" showErrorMessage="1" sqref="J3:J132" xr:uid="{00000000-0002-0000-0500-000006000000}">
      <formula1>"COEM-ESP-UT, COEM-iBooster-UT, COEM-CNMS-UT, 2WP-UT, BEG-UT, 2WP-RBT"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Merged_COEM</vt:lpstr>
      <vt:lpstr>RAW</vt:lpstr>
      <vt:lpstr>RAW_remove_BL</vt:lpstr>
      <vt:lpstr>Table</vt:lpstr>
      <vt:lpstr>Sheet1</vt:lpstr>
      <vt:lpstr>List</vt:lpstr>
      <vt:lpstr>Output</vt:lpstr>
      <vt:lpstr>Sheet5</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EXTERNAL Nguyen Trung Hieu (Ban Vien, RBVH/EPS45)</dc:creator>
  <cp:lastModifiedBy>Mr.TD</cp:lastModifiedBy>
  <dcterms:created xsi:type="dcterms:W3CDTF">2020-04-16T10:45:31Z</dcterms:created>
  <dcterms:modified xsi:type="dcterms:W3CDTF">2020-06-10T16:14:28Z</dcterms:modified>
</cp:coreProperties>
</file>